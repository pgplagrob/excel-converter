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ครุภัณฑ์โยธา\ปีงบประมาณ67\"/>
    </mc:Choice>
  </mc:AlternateContent>
  <xr:revisionPtr revIDLastSave="0" documentId="13_ncr:1_{91915D39-3D08-4652-818E-C899760D2917}" xr6:coauthVersionLast="47" xr6:coauthVersionMax="47" xr10:uidLastSave="{00000000-0000-0000-0000-000000000000}"/>
  <bookViews>
    <workbookView xWindow="-108" yWindow="-108" windowWidth="23256" windowHeight="12456" tabRatio="897" firstSheet="14" activeTab="18" xr2:uid="{00000000-000D-0000-FFFF-FFFF00000000}"/>
  </bookViews>
  <sheets>
    <sheet name="รวมงบทรัพย์สินทั้งหมด" sheetId="22" r:id="rId1"/>
    <sheet name="1.ครุภัณฑ์สำนักงาน (รวมทุกงาน)" sheetId="1" r:id="rId2"/>
    <sheet name="2.ครุภัณฑ์ยานพาหนะฯ (รวมทุกงาน)" sheetId="2" r:id="rId3"/>
    <sheet name="3. ครุภัณฑ์การเกษตร(รวมทุกงาน)" sheetId="4" r:id="rId4"/>
    <sheet name="4.ครุภัณฑ์ก่อสร้าง" sheetId="5" r:id="rId5"/>
    <sheet name="5. ครุภัณฑ์ไฟฟ้าฯ" sheetId="6" r:id="rId6"/>
    <sheet name="6. ครุภัณฑ์โฆษณาและเผยแพร่" sheetId="7" r:id="rId7"/>
    <sheet name="7.ครุภัณฑ์วิทยาศาสตร์ฯ" sheetId="8" r:id="rId8"/>
    <sheet name="8.ครุภัณฑ์งานบ้านฯ" sheetId="9" r:id="rId9"/>
    <sheet name="9.ครุภัณฑ์โรงงาน" sheetId="10" r:id="rId10"/>
    <sheet name="10.ครุภัณฑ์กีฬา" sheetId="11" r:id="rId11"/>
    <sheet name="11.ครุภัณฑ์สำรวจ" sheetId="12" r:id="rId12"/>
    <sheet name="12.ครุภัณฑ์คอมฯ" sheetId="13" r:id="rId13"/>
    <sheet name="13.ครุภัณฑ์อื่น" sheetId="14" r:id="rId14"/>
    <sheet name="14.ครุภัณฑ์ต่ำกว่าเกณฑ์" sheetId="17" r:id="rId15"/>
    <sheet name="15.ครุภัณฑ์ไม่แสดงในงบ" sheetId="18" r:id="rId16"/>
    <sheet name="16.ที่ดินและสิ่งก่อสร้าง" sheetId="19" r:id="rId17"/>
    <sheet name="ชำรุด_จำหน่าย 67" sheetId="24" r:id="rId18"/>
    <sheet name="เสื่อมสภาพ_จำหน่าย 67" sheetId="23" r:id="rId19"/>
    <sheet name="อื่นๆ_จำหน่าย 67" sheetId="25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_FilterDatabase" localSheetId="1" hidden="1">'1.ครุภัณฑ์สำนักงาน (รวมทุกงาน)'!$H$1:$H$1797</definedName>
    <definedName name="_xlnm._FilterDatabase" localSheetId="16" hidden="1">'16.ที่ดินและสิ่งก่อสร้าง'!$A$1:$P$97</definedName>
    <definedName name="_xlnm.Print_Area" localSheetId="1">'1.ครุภัณฑ์สำนักงาน (รวมทุกงาน)'!$A$1:$O$1784</definedName>
    <definedName name="_xlnm.Print_Area" localSheetId="16">'16.ที่ดินและสิ่งก่อสร้าง'!$A$1:$O$88</definedName>
    <definedName name="_xlnm.Print_Area" localSheetId="2">'2.ครุภัณฑ์ยานพาหนะฯ (รวมทุกงาน)'!$A$1:$M$150</definedName>
    <definedName name="_xlnm.Print_Area" localSheetId="3">'3. ครุภัณฑ์การเกษตร(รวมทุกงาน)'!$A$1:$O$164</definedName>
    <definedName name="_xlnm.Print_Area" localSheetId="4">'4.ครุภัณฑ์ก่อสร้าง'!$A$1:$O$114</definedName>
    <definedName name="_xlnm.Print_Area" localSheetId="17">'ชำรุด_จำหน่าย 67'!$A$1:$O$85</definedName>
    <definedName name="_xlnm.Print_Area" localSheetId="18">'เสื่อมสภาพ_จำหน่าย 67'!$A$1:$O$2270</definedName>
    <definedName name="_xlnm.Print_Area" localSheetId="19">'อื่นๆ_จำหน่าย 67'!$A$1:$O$26</definedName>
    <definedName name="_xlnm.Print_Titles" localSheetId="1">'1.ครุภัณฑ์สำนักงาน (รวมทุกงาน)'!$1:$5</definedName>
    <definedName name="_xlnm.Print_Titles" localSheetId="10">'10.ครุภัณฑ์กีฬา'!$1:$5</definedName>
    <definedName name="_xlnm.Print_Titles" localSheetId="12">'12.ครุภัณฑ์คอมฯ'!$1:$5</definedName>
    <definedName name="_xlnm.Print_Titles" localSheetId="2">'2.ครุภัณฑ์ยานพาหนะฯ (รวมทุกงาน)'!$1:$5</definedName>
    <definedName name="_xlnm.Print_Titles" localSheetId="3">'3. ครุภัณฑ์การเกษตร(รวมทุกงาน)'!$1:$5</definedName>
    <definedName name="_xlnm.Print_Titles" localSheetId="4">'4.ครุภัณฑ์ก่อสร้าง'!$1:$5</definedName>
    <definedName name="_xlnm.Print_Titles" localSheetId="5">'5. ครุภัณฑ์ไฟฟ้าฯ'!$1:$5</definedName>
    <definedName name="_xlnm.Print_Titles" localSheetId="6">'6. ครุภัณฑ์โฆษณาและเผยแพร่'!$1:$5</definedName>
    <definedName name="_xlnm.Print_Titles" localSheetId="8">'8.ครุภัณฑ์งานบ้านฯ'!$1:$5</definedName>
    <definedName name="_xlnm.Print_Titles" localSheetId="9">'9.ครุภัณฑ์โรงงาน'!$1:$5</definedName>
    <definedName name="_xlnm.Print_Titles" localSheetId="17">'ชำรุด_จำหน่าย 67'!$1:$2</definedName>
    <definedName name="_xlnm.Print_Titles" localSheetId="0">รวมงบทรัพย์สินทั้งหมด!$1:$5</definedName>
    <definedName name="_xlnm.Print_Titles" localSheetId="18">'เสื่อมสภาพ_จำหน่าย 67'!$1:$2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24" l="1"/>
  <c r="G26" i="24"/>
  <c r="G33" i="24"/>
  <c r="G49" i="24"/>
  <c r="G55" i="24"/>
  <c r="G62" i="24"/>
  <c r="G69" i="24"/>
  <c r="G75" i="24"/>
  <c r="G796" i="23" l="1"/>
  <c r="G760" i="23"/>
  <c r="G784" i="23"/>
  <c r="G777" i="23"/>
  <c r="G788" i="23"/>
  <c r="G791" i="23"/>
  <c r="G2261" i="23"/>
  <c r="G2250" i="23"/>
  <c r="G2245" i="23"/>
  <c r="G2151" i="23"/>
  <c r="G1974" i="23"/>
  <c r="G1970" i="23"/>
  <c r="G1966" i="23"/>
  <c r="G1959" i="23"/>
  <c r="G1952" i="23"/>
  <c r="G810" i="23"/>
  <c r="G806" i="23"/>
  <c r="G771" i="23"/>
  <c r="G752" i="23"/>
  <c r="G216" i="23"/>
  <c r="G10" i="25"/>
  <c r="G17" i="25"/>
  <c r="G14" i="25"/>
  <c r="G1988" i="23"/>
  <c r="G1982" i="23"/>
  <c r="G1978" i="23"/>
  <c r="G800" i="23"/>
  <c r="E14" i="2"/>
  <c r="E24" i="22"/>
  <c r="E128" i="22"/>
  <c r="E177" i="22"/>
  <c r="E185" i="22"/>
  <c r="G102" i="14"/>
  <c r="G26" i="8"/>
  <c r="F172" i="22" l="1"/>
  <c r="G156" i="22"/>
  <c r="F156" i="22"/>
  <c r="F139" i="22"/>
  <c r="F85" i="22"/>
  <c r="F54" i="22"/>
  <c r="F49" i="22"/>
  <c r="F47" i="22"/>
  <c r="F44" i="22"/>
  <c r="F43" i="22"/>
  <c r="D179" i="22"/>
  <c r="D178" i="22"/>
  <c r="D177" i="22"/>
  <c r="D176" i="22"/>
  <c r="D174" i="22"/>
  <c r="D173" i="22"/>
  <c r="D172" i="22"/>
  <c r="D170" i="22"/>
  <c r="D169" i="22"/>
  <c r="D168" i="22"/>
  <c r="D166" i="22"/>
  <c r="D165" i="22"/>
  <c r="D164" i="22"/>
  <c r="D163" i="22"/>
  <c r="D161" i="22"/>
  <c r="D160" i="22"/>
  <c r="D159" i="22"/>
  <c r="D157" i="22"/>
  <c r="D154" i="22"/>
  <c r="D153" i="22"/>
  <c r="D152" i="22"/>
  <c r="D151" i="22"/>
  <c r="D150" i="22"/>
  <c r="D149" i="22"/>
  <c r="D148" i="22"/>
  <c r="D147" i="22"/>
  <c r="D146" i="22"/>
  <c r="D145" i="22"/>
  <c r="D144" i="22"/>
  <c r="D143" i="22"/>
  <c r="D142" i="22"/>
  <c r="D141" i="22"/>
  <c r="D140" i="22"/>
  <c r="D139" i="22"/>
  <c r="D137" i="22"/>
  <c r="D136" i="22"/>
  <c r="D135" i="22"/>
  <c r="D134" i="22"/>
  <c r="D133" i="22"/>
  <c r="D132" i="22"/>
  <c r="D131" i="22"/>
  <c r="D129" i="22"/>
  <c r="D127" i="22"/>
  <c r="D126" i="22"/>
  <c r="D125" i="22"/>
  <c r="D123" i="22"/>
  <c r="D121" i="22"/>
  <c r="D122" i="22"/>
  <c r="D120" i="22"/>
  <c r="D118" i="22"/>
  <c r="D117" i="22"/>
  <c r="D116" i="22"/>
  <c r="D115" i="22"/>
  <c r="D114" i="22"/>
  <c r="D113" i="22"/>
  <c r="D112" i="22"/>
  <c r="D111" i="22"/>
  <c r="D110" i="22"/>
  <c r="D109" i="22"/>
  <c r="D108" i="22"/>
  <c r="D107" i="22"/>
  <c r="D105" i="22"/>
  <c r="E104" i="22"/>
  <c r="D104" i="22"/>
  <c r="E103" i="22"/>
  <c r="D103" i="22"/>
  <c r="D102" i="22"/>
  <c r="D101" i="22"/>
  <c r="D100" i="22"/>
  <c r="D99" i="22"/>
  <c r="D98" i="22"/>
  <c r="D97" i="22"/>
  <c r="D96" i="22"/>
  <c r="D95" i="22"/>
  <c r="D94" i="22"/>
  <c r="D93" i="22"/>
  <c r="D92" i="22"/>
  <c r="D91" i="22"/>
  <c r="D90" i="22"/>
  <c r="D89" i="22"/>
  <c r="D88" i="22"/>
  <c r="D87" i="22"/>
  <c r="D86" i="22"/>
  <c r="D85" i="22"/>
  <c r="D82" i="22"/>
  <c r="D83" i="22"/>
  <c r="D81" i="22"/>
  <c r="D80" i="22"/>
  <c r="D79" i="22"/>
  <c r="D78" i="22"/>
  <c r="D77" i="22"/>
  <c r="D76" i="22"/>
  <c r="D74" i="22"/>
  <c r="D73" i="22"/>
  <c r="D72" i="22"/>
  <c r="D71" i="22"/>
  <c r="D70" i="22"/>
  <c r="D69" i="22"/>
  <c r="D68" i="22"/>
  <c r="D67" i="22"/>
  <c r="D66" i="22"/>
  <c r="D65" i="22"/>
  <c r="D64" i="22"/>
  <c r="D63" i="22"/>
  <c r="D62" i="22"/>
  <c r="D61" i="22"/>
  <c r="D60" i="22"/>
  <c r="D58" i="22"/>
  <c r="D57" i="22"/>
  <c r="D56" i="22"/>
  <c r="D55" i="22"/>
  <c r="D54" i="22"/>
  <c r="D53" i="22"/>
  <c r="D52" i="22"/>
  <c r="D51" i="22"/>
  <c r="D50" i="22"/>
  <c r="D49" i="22"/>
  <c r="D48" i="22"/>
  <c r="D46" i="22"/>
  <c r="D45" i="22"/>
  <c r="D42" i="22"/>
  <c r="D43" i="22"/>
  <c r="D44" i="22"/>
  <c r="E20" i="22"/>
  <c r="G50" i="19"/>
  <c r="E16" i="22" s="1"/>
  <c r="G44" i="19"/>
  <c r="E15" i="22" s="1"/>
  <c r="G17" i="19"/>
  <c r="E9" i="22" s="1"/>
  <c r="G31" i="19"/>
  <c r="E11" i="22" s="1"/>
  <c r="I180" i="22"/>
  <c r="H180" i="22"/>
  <c r="E121" i="22"/>
  <c r="E22" i="22"/>
  <c r="D11" i="22"/>
  <c r="D10" i="22"/>
  <c r="D32" i="22" s="1"/>
  <c r="S88" i="19"/>
  <c r="T88" i="19"/>
  <c r="U88" i="19"/>
  <c r="V88" i="19"/>
  <c r="W88" i="19"/>
  <c r="R88" i="19"/>
  <c r="S633" i="18"/>
  <c r="T633" i="18"/>
  <c r="U633" i="18"/>
  <c r="V633" i="18"/>
  <c r="W633" i="18"/>
  <c r="R633" i="18"/>
  <c r="T421" i="17"/>
  <c r="U421" i="17"/>
  <c r="V421" i="17"/>
  <c r="W421" i="17"/>
  <c r="X421" i="17"/>
  <c r="S421" i="17"/>
  <c r="R110" i="14"/>
  <c r="S110" i="14"/>
  <c r="T110" i="14"/>
  <c r="U110" i="14"/>
  <c r="V110" i="14"/>
  <c r="Q110" i="14"/>
  <c r="S118" i="13"/>
  <c r="T118" i="13"/>
  <c r="U118" i="13"/>
  <c r="V118" i="13"/>
  <c r="W118" i="13"/>
  <c r="R118" i="13"/>
  <c r="R18" i="12"/>
  <c r="S18" i="12"/>
  <c r="T18" i="12"/>
  <c r="U18" i="12"/>
  <c r="V18" i="12"/>
  <c r="Q18" i="12"/>
  <c r="S128" i="11"/>
  <c r="T128" i="11"/>
  <c r="U128" i="11"/>
  <c r="V128" i="11"/>
  <c r="W128" i="11"/>
  <c r="R128" i="11"/>
  <c r="T130" i="10"/>
  <c r="U130" i="10"/>
  <c r="V130" i="10"/>
  <c r="W130" i="10"/>
  <c r="X130" i="10"/>
  <c r="S130" i="10"/>
  <c r="S74" i="9"/>
  <c r="T74" i="9"/>
  <c r="U74" i="9"/>
  <c r="V74" i="9"/>
  <c r="W74" i="9"/>
  <c r="R74" i="9"/>
  <c r="S29" i="8"/>
  <c r="T29" i="8"/>
  <c r="U29" i="8"/>
  <c r="V29" i="8"/>
  <c r="W29" i="8"/>
  <c r="R29" i="8"/>
  <c r="S33" i="7"/>
  <c r="T33" i="7"/>
  <c r="U33" i="7"/>
  <c r="V33" i="7"/>
  <c r="W33" i="7"/>
  <c r="R33" i="7"/>
  <c r="Q1783" i="1"/>
  <c r="G87" i="19"/>
  <c r="G88" i="19" s="1"/>
  <c r="G82" i="19"/>
  <c r="E25" i="22" s="1"/>
  <c r="G77" i="19"/>
  <c r="G74" i="19"/>
  <c r="E23" i="22" s="1"/>
  <c r="G68" i="19"/>
  <c r="G65" i="19"/>
  <c r="E21" i="22" s="1"/>
  <c r="G62" i="19"/>
  <c r="G58" i="19"/>
  <c r="E19" i="22" s="1"/>
  <c r="G53" i="19"/>
  <c r="E18" i="22" s="1"/>
  <c r="G35" i="19"/>
  <c r="E14" i="22" s="1"/>
  <c r="G25" i="19"/>
  <c r="E10" i="22" s="1"/>
  <c r="G8" i="19"/>
  <c r="E7" i="22" s="1"/>
  <c r="G632" i="18"/>
  <c r="G633" i="18" s="1"/>
  <c r="H167" i="17"/>
  <c r="H421" i="17" s="1"/>
  <c r="H362" i="17"/>
  <c r="G44" i="22" s="1"/>
  <c r="H365" i="17"/>
  <c r="G47" i="22" s="1"/>
  <c r="H377" i="17"/>
  <c r="G49" i="22" s="1"/>
  <c r="H384" i="17"/>
  <c r="G54" i="22" s="1"/>
  <c r="H389" i="17"/>
  <c r="H409" i="17" s="1"/>
  <c r="H393" i="17"/>
  <c r="G114" i="22" s="1"/>
  <c r="H399" i="17"/>
  <c r="G139" i="22" s="1"/>
  <c r="H408" i="17"/>
  <c r="G172" i="22" s="1"/>
  <c r="H420" i="17"/>
  <c r="G118" i="13"/>
  <c r="G130" i="10"/>
  <c r="E161" i="22" s="1"/>
  <c r="G854" i="1"/>
  <c r="E43" i="22" s="1"/>
  <c r="E47" i="2"/>
  <c r="E61" i="22" s="1"/>
  <c r="E55" i="2"/>
  <c r="E62" i="22" s="1"/>
  <c r="G110" i="14"/>
  <c r="E179" i="22" s="1"/>
  <c r="G105" i="14"/>
  <c r="E178" i="22" s="1"/>
  <c r="G97" i="14"/>
  <c r="E176" i="22" s="1"/>
  <c r="F133" i="13"/>
  <c r="F132" i="13"/>
  <c r="F131" i="13"/>
  <c r="F130" i="13"/>
  <c r="F129" i="13"/>
  <c r="G117" i="13"/>
  <c r="E174" i="22" s="1"/>
  <c r="G111" i="13"/>
  <c r="E173" i="22" s="1"/>
  <c r="G73" i="13"/>
  <c r="E172" i="22" s="1"/>
  <c r="G17" i="12"/>
  <c r="E170" i="22" s="1"/>
  <c r="G13" i="12"/>
  <c r="G18" i="12" s="1"/>
  <c r="G8" i="12"/>
  <c r="E168" i="22" s="1"/>
  <c r="G128" i="11"/>
  <c r="E166" i="22" s="1"/>
  <c r="G116" i="11"/>
  <c r="E165" i="22" s="1"/>
  <c r="G109" i="11"/>
  <c r="E164" i="22" s="1"/>
  <c r="G44" i="11"/>
  <c r="E163" i="22" s="1"/>
  <c r="F147" i="10"/>
  <c r="F146" i="10"/>
  <c r="F145" i="10"/>
  <c r="F144" i="10"/>
  <c r="G118" i="10"/>
  <c r="E160" i="22" s="1"/>
  <c r="G115" i="10"/>
  <c r="E159" i="22" s="1"/>
  <c r="G108" i="10"/>
  <c r="E157" i="22" s="1"/>
  <c r="G102" i="10"/>
  <c r="E154" i="22" s="1"/>
  <c r="G99" i="10"/>
  <c r="E153" i="22" s="1"/>
  <c r="G93" i="10"/>
  <c r="E152" i="22" s="1"/>
  <c r="G89" i="10"/>
  <c r="E151" i="22" s="1"/>
  <c r="G86" i="10"/>
  <c r="E150" i="22" s="1"/>
  <c r="G83" i="10"/>
  <c r="E149" i="22" s="1"/>
  <c r="G80" i="10"/>
  <c r="E148" i="22" s="1"/>
  <c r="G72" i="10"/>
  <c r="E147" i="22" s="1"/>
  <c r="G69" i="10"/>
  <c r="E146" i="22" s="1"/>
  <c r="G62" i="10"/>
  <c r="E145" i="22" s="1"/>
  <c r="G48" i="10"/>
  <c r="E144" i="22" s="1"/>
  <c r="G35" i="10"/>
  <c r="E143" i="22" s="1"/>
  <c r="G31" i="10"/>
  <c r="E142" i="22" s="1"/>
  <c r="G23" i="10"/>
  <c r="E141" i="22" s="1"/>
  <c r="G20" i="10"/>
  <c r="E140" i="22" s="1"/>
  <c r="G10" i="10"/>
  <c r="E139" i="22" s="1"/>
  <c r="F88" i="9"/>
  <c r="F87" i="9"/>
  <c r="F86" i="9"/>
  <c r="F85" i="9"/>
  <c r="F84" i="9"/>
  <c r="F89" i="9"/>
  <c r="G89" i="9" s="1"/>
  <c r="G73" i="9"/>
  <c r="E137" i="22" s="1"/>
  <c r="G66" i="9"/>
  <c r="G74" i="9" s="1"/>
  <c r="G62" i="9"/>
  <c r="E135" i="22" s="1"/>
  <c r="G59" i="9"/>
  <c r="E134" i="22" s="1"/>
  <c r="G49" i="9"/>
  <c r="E133" i="22" s="1"/>
  <c r="G18" i="9"/>
  <c r="E132" i="22" s="1"/>
  <c r="G11" i="9"/>
  <c r="E131" i="22" s="1"/>
  <c r="F42" i="8"/>
  <c r="F41" i="8"/>
  <c r="F40" i="8"/>
  <c r="F43" i="8" s="1"/>
  <c r="G29" i="8"/>
  <c r="E129" i="22" s="1"/>
  <c r="G19" i="8"/>
  <c r="E127" i="22" s="1"/>
  <c r="G15" i="8"/>
  <c r="E126" i="22" s="1"/>
  <c r="G9" i="8"/>
  <c r="E125" i="22" s="1"/>
  <c r="G46" i="7"/>
  <c r="G45" i="7"/>
  <c r="G47" i="7"/>
  <c r="G33" i="7"/>
  <c r="E123" i="22" s="1"/>
  <c r="G29" i="7"/>
  <c r="E122" i="22" s="1"/>
  <c r="G13" i="7"/>
  <c r="G9" i="7"/>
  <c r="G34" i="7" s="1"/>
  <c r="F3129" i="6"/>
  <c r="F3128" i="6"/>
  <c r="F3127" i="6"/>
  <c r="G3114" i="6"/>
  <c r="E118" i="22" s="1"/>
  <c r="G3111" i="6"/>
  <c r="E117" i="22" s="1"/>
  <c r="G3082" i="6"/>
  <c r="E116" i="22" s="1"/>
  <c r="G3077" i="6"/>
  <c r="E115" i="22" s="1"/>
  <c r="G3072" i="6"/>
  <c r="E114" i="22" s="1"/>
  <c r="G3063" i="6"/>
  <c r="E113" i="22" s="1"/>
  <c r="G3049" i="6"/>
  <c r="E112" i="22" s="1"/>
  <c r="G3038" i="6"/>
  <c r="E111" i="22" s="1"/>
  <c r="G3024" i="6"/>
  <c r="E110" i="22" s="1"/>
  <c r="G3021" i="6"/>
  <c r="E109" i="22" s="1"/>
  <c r="G3010" i="6"/>
  <c r="E108" i="22" s="1"/>
  <c r="G2975" i="6"/>
  <c r="G3115" i="6" s="1"/>
  <c r="F127" i="5"/>
  <c r="F126" i="5"/>
  <c r="F125" i="5"/>
  <c r="F124" i="5"/>
  <c r="G113" i="5"/>
  <c r="E105" i="22" s="1"/>
  <c r="G100" i="5"/>
  <c r="E102" i="22" s="1"/>
  <c r="G97" i="5"/>
  <c r="E101" i="22" s="1"/>
  <c r="G92" i="5"/>
  <c r="E100" i="22" s="1"/>
  <c r="G85" i="5"/>
  <c r="E99" i="22" s="1"/>
  <c r="G82" i="5"/>
  <c r="E98" i="22" s="1"/>
  <c r="G77" i="5"/>
  <c r="E97" i="22" s="1"/>
  <c r="G74" i="5"/>
  <c r="E96" i="22" s="1"/>
  <c r="G70" i="5"/>
  <c r="E95" i="22" s="1"/>
  <c r="G62" i="5"/>
  <c r="E94" i="22" s="1"/>
  <c r="G57" i="5"/>
  <c r="E93" i="22" s="1"/>
  <c r="G50" i="5"/>
  <c r="E92" i="22" s="1"/>
  <c r="G45" i="5"/>
  <c r="E91" i="22" s="1"/>
  <c r="G42" i="5"/>
  <c r="E90" i="22" s="1"/>
  <c r="G38" i="5"/>
  <c r="E89" i="22" s="1"/>
  <c r="G31" i="5"/>
  <c r="E88" i="22" s="1"/>
  <c r="G27" i="5"/>
  <c r="E87" i="22" s="1"/>
  <c r="G15" i="5"/>
  <c r="E86" i="22" s="1"/>
  <c r="G12" i="5"/>
  <c r="E85" i="22" s="1"/>
  <c r="G183" i="4"/>
  <c r="G182" i="4"/>
  <c r="G181" i="4"/>
  <c r="G184" i="4" s="1"/>
  <c r="G179" i="4"/>
  <c r="G164" i="4"/>
  <c r="E83" i="22" s="1"/>
  <c r="G161" i="4"/>
  <c r="E82" i="22" s="1"/>
  <c r="G156" i="4"/>
  <c r="E81" i="22" s="1"/>
  <c r="G153" i="4"/>
  <c r="E80" i="22" s="1"/>
  <c r="G150" i="4"/>
  <c r="E79" i="22" s="1"/>
  <c r="G145" i="4"/>
  <c r="E78" i="22" s="1"/>
  <c r="G140" i="4"/>
  <c r="E77" i="22" s="1"/>
  <c r="G128" i="4"/>
  <c r="E76" i="22" s="1"/>
  <c r="G165" i="4"/>
  <c r="C164" i="2"/>
  <c r="C163" i="2"/>
  <c r="C162" i="2"/>
  <c r="C161" i="2"/>
  <c r="C160" i="2"/>
  <c r="E149" i="2"/>
  <c r="E74" i="22" s="1"/>
  <c r="E146" i="2"/>
  <c r="E73" i="22" s="1"/>
  <c r="E142" i="2"/>
  <c r="E72" i="22" s="1"/>
  <c r="E138" i="2"/>
  <c r="E71" i="22" s="1"/>
  <c r="E133" i="2"/>
  <c r="E70" i="22" s="1"/>
  <c r="E129" i="2"/>
  <c r="E69" i="22" s="1"/>
  <c r="E92" i="2"/>
  <c r="E68" i="22" s="1"/>
  <c r="E80" i="2"/>
  <c r="E67" i="22" s="1"/>
  <c r="E76" i="2"/>
  <c r="E66" i="22" s="1"/>
  <c r="E69" i="2"/>
  <c r="E65" i="22" s="1"/>
  <c r="E62" i="2"/>
  <c r="E64" i="22" s="1"/>
  <c r="E58" i="2"/>
  <c r="E63" i="22" s="1"/>
  <c r="E60" i="22"/>
  <c r="D1809" i="1"/>
  <c r="D1808" i="1"/>
  <c r="D1807" i="1"/>
  <c r="D1811" i="1" s="1"/>
  <c r="G1811" i="1" s="1"/>
  <c r="D1806" i="1"/>
  <c r="C1802" i="1"/>
  <c r="C1801" i="1"/>
  <c r="C1800" i="1"/>
  <c r="C1799" i="1"/>
  <c r="C1798" i="1"/>
  <c r="C1803" i="1" s="1"/>
  <c r="C1797" i="1"/>
  <c r="G1782" i="1"/>
  <c r="E58" i="22" s="1"/>
  <c r="G1778" i="1"/>
  <c r="E57" i="22" s="1"/>
  <c r="G1771" i="1"/>
  <c r="E56" i="22" s="1"/>
  <c r="G1758" i="1"/>
  <c r="E55" i="22" s="1"/>
  <c r="G1725" i="1"/>
  <c r="E54" i="22" s="1"/>
  <c r="G1685" i="1"/>
  <c r="E53" i="22" s="1"/>
  <c r="G1655" i="1"/>
  <c r="E52" i="22" s="1"/>
  <c r="G1652" i="1"/>
  <c r="E51" i="22" s="1"/>
  <c r="G1645" i="1"/>
  <c r="E50" i="22" s="1"/>
  <c r="G1642" i="1"/>
  <c r="E49" i="22" s="1"/>
  <c r="G1594" i="1"/>
  <c r="E48" i="22" s="1"/>
  <c r="G1588" i="1"/>
  <c r="E46" i="22" s="1"/>
  <c r="G1582" i="1"/>
  <c r="E45" i="22" s="1"/>
  <c r="G1498" i="1"/>
  <c r="E44" i="22" s="1"/>
  <c r="G67" i="1"/>
  <c r="E42" i="22" s="1"/>
  <c r="G15" i="1"/>
  <c r="E41" i="22" s="1"/>
  <c r="C165" i="2" l="1"/>
  <c r="F3130" i="6"/>
  <c r="F134" i="13"/>
  <c r="G134" i="13" s="1"/>
  <c r="F128" i="5"/>
  <c r="F148" i="10"/>
  <c r="G148" i="10" s="1"/>
  <c r="D180" i="22"/>
  <c r="E107" i="22"/>
  <c r="G43" i="22"/>
  <c r="E169" i="22"/>
  <c r="E120" i="22"/>
  <c r="G78" i="19"/>
  <c r="E136" i="22"/>
  <c r="G131" i="10"/>
  <c r="G30" i="8"/>
  <c r="G85" i="22"/>
  <c r="E150" i="2"/>
  <c r="D165" i="2" s="1"/>
  <c r="G1784" i="1"/>
  <c r="G1803" i="1" s="1"/>
  <c r="G114" i="5"/>
  <c r="G129" i="11"/>
  <c r="G111" i="14"/>
  <c r="E32" i="22"/>
  <c r="F180" i="22"/>
  <c r="E180" i="22" l="1"/>
  <c r="G180" i="22"/>
</calcChain>
</file>

<file path=xl/sharedStrings.xml><?xml version="1.0" encoding="utf-8"?>
<sst xmlns="http://schemas.openxmlformats.org/spreadsheetml/2006/main" count="60434" uniqueCount="6396">
  <si>
    <t>ทะเบียนรายงานผลการตรวจนับครุภัณฑ์  ประจำปีงบประมาณ  2567</t>
  </si>
  <si>
    <t xml:space="preserve">  ส่วนการโยธา  สำนักช่าง</t>
  </si>
  <si>
    <t>1.ครุภัณฑ์สำนักงาน</t>
  </si>
  <si>
    <t>ลำดับที่</t>
  </si>
  <si>
    <t>รายการ</t>
  </si>
  <si>
    <t>หมายเลขครุภัณฑ์</t>
  </si>
  <si>
    <t>วันเดือนปี</t>
  </si>
  <si>
    <t>ราคาที่ได้</t>
  </si>
  <si>
    <t>สถานที่ใช้งาน</t>
  </si>
  <si>
    <t>สภาพครุภัณฑ์</t>
  </si>
  <si>
    <t>หมายเหตุ</t>
  </si>
  <si>
    <t>ที่ได้มา</t>
  </si>
  <si>
    <t>ใช้ได้</t>
  </si>
  <si>
    <t>ชำรุด</t>
  </si>
  <si>
    <t>เสื่อมสภาพ</t>
  </si>
  <si>
    <t>สูญหาย</t>
  </si>
  <si>
    <t>เก็บไว้นาน</t>
  </si>
  <si>
    <t>หมดความจำเป็น</t>
  </si>
  <si>
    <t>055</t>
  </si>
  <si>
    <t xml:space="preserve"> (ปั๊มน้ำ)</t>
  </si>
  <si>
    <t>ปั๊มน้ำอัตโนมัติแรงดันคงที่ขนาด 150 วัตต์</t>
  </si>
  <si>
    <t>66</t>
  </si>
  <si>
    <t>0281</t>
  </si>
  <si>
    <t>7 ก.ย 66</t>
  </si>
  <si>
    <t>ส่วนการาโยธา/งานสวนสาธารณะ/สวนเขื่อนยาง</t>
  </si>
  <si>
    <t>/</t>
  </si>
  <si>
    <t>0282</t>
  </si>
  <si>
    <t>0283</t>
  </si>
  <si>
    <t>ปั๊มน้ำหอยโข่งขนาด 2HP, 220V, ท่อ 2นิ้วแรงดัน 500ลิตร/นาที</t>
  </si>
  <si>
    <t>0284</t>
  </si>
  <si>
    <t>0285</t>
  </si>
  <si>
    <t>ปั๊มน้ำหอยโข่งขนาด 3HP, 380V, ท่อ 3นิ้วแรงดัน1000ลิตร/นาที</t>
  </si>
  <si>
    <t>0286</t>
  </si>
  <si>
    <t>ปั๊มน้ำหอยโข่งขนาด 5HP, 380V, ท่อ 3นิ้วแรงดัน1200ลิตร/นาที</t>
  </si>
  <si>
    <t>0287</t>
  </si>
  <si>
    <t>0288</t>
  </si>
  <si>
    <t>087</t>
  </si>
  <si>
    <t xml:space="preserve"> (เต้นท์)</t>
  </si>
  <si>
    <t xml:space="preserve">โครงเต้นท์พร้อมผ้าใบ </t>
  </si>
  <si>
    <t>0126</t>
  </si>
  <si>
    <t>7 เม.ย. 59</t>
  </si>
  <si>
    <t>ส่วนการโยธา / งานบำรุงรักษาอาคารและสถานที่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</si>
  <si>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</si>
  <si>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</si>
  <si>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</si>
  <si>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</si>
  <si>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</si>
  <si>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</si>
  <si>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</si>
  <si>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</si>
  <si>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</si>
  <si>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 xml:space="preserve"> 7 เม.ย. 59</t>
  </si>
  <si>
    <t>ผ้าใบเต็นท์ขนาด 4x8 เมตร สีขาว</t>
  </si>
  <si>
    <t>0136</t>
  </si>
  <si>
    <t>14 มี.ค.62</t>
  </si>
  <si>
    <t>088</t>
  </si>
  <si>
    <t>0137</t>
  </si>
  <si>
    <t>089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</si>
  <si>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</si>
  <si>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</si>
  <si>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</si>
  <si>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</si>
  <si>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</si>
  <si>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</si>
  <si>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</si>
  <si>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</si>
  <si>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</si>
  <si>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</si>
  <si>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</si>
  <si>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</si>
  <si>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</si>
  <si>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</si>
  <si>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</si>
  <si>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</si>
  <si>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</si>
  <si>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</si>
  <si>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ผ้าใบเต็นท์ขนาด 4x8 เมตร สีขาว พร้อมสกรีนโลโก้ เทศบาลนครลำปาง</t>
  </si>
  <si>
    <t>0156</t>
  </si>
  <si>
    <t>6 ม.ค.66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</si>
  <si>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</si>
  <si>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</si>
  <si>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</si>
  <si>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</si>
  <si>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</si>
  <si>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</si>
  <si>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</si>
  <si>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</si>
  <si>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</si>
  <si>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</si>
  <si>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</si>
  <si>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</si>
  <si>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</si>
  <si>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</si>
  <si>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</si>
  <si>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</si>
  <si>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</si>
  <si>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</si>
  <si>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</si>
  <si>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 xml:space="preserve">   (โต๊ะ) </t>
  </si>
  <si>
    <t>โต๊ะ</t>
  </si>
  <si>
    <t>0713</t>
  </si>
  <si>
    <t>ส่วนการโยธา/งานธุรการ</t>
  </si>
  <si>
    <t xml:space="preserve"> /</t>
  </si>
  <si>
    <t>โต๊ะพิมพ์ดีด</t>
  </si>
  <si>
    <t>โต๊ะทำงานไม้อัดสัก</t>
  </si>
  <si>
    <t>ส่วนการโยธา/งานธุรการ  (ช่างสุขาฯ เดิม)</t>
  </si>
  <si>
    <t>ส่วนการโยธา/ฝ่ายช่างสุขาภิบาล/งานวิเคราะห์คุณภาพน้ำ</t>
  </si>
  <si>
    <t>โต๊ะประชุม ผิวพื้นและขากรุไม้อัดสัก</t>
  </si>
  <si>
    <t>ส่วนการโยธา/งานเครื่องจักรกล/ ศูนย์เครื่องจักรฯ</t>
  </si>
  <si>
    <t>พิมทิพย์</t>
  </si>
  <si>
    <t>โต๊ะประชุม</t>
  </si>
  <si>
    <t>ส่วนการโยธา/งานสวนสาธารณะ/สาธารณะ สวน ท.7</t>
  </si>
  <si>
    <t>สวน ท.7</t>
  </si>
  <si>
    <t>โต๊ะทำงานเหล็ก</t>
  </si>
  <si>
    <t>ส่วนการโยธา/งานธุรการ/(ช่างสุขาฯ เดิม)</t>
  </si>
  <si>
    <t>จารุภาส</t>
  </si>
  <si>
    <t>ส่วนการโยธา/งานธุรการ/(ช่างสุขาฯ เดิม)/รอง</t>
  </si>
  <si>
    <t>โต๊ะทำงานไม้สัก</t>
  </si>
  <si>
    <t>ส่วนการโยธา/งานธุรการ/(ช่างสุขาฯ เดิม)รอง</t>
  </si>
  <si>
    <t xml:space="preserve"> </t>
  </si>
  <si>
    <t>ส่วนการโยธา/งานธุรการ/(ช่างสุขาฯ เดิม)ช่างเสวก</t>
  </si>
  <si>
    <t>เสวก</t>
  </si>
  <si>
    <t>โต๊ะคอมพิวเตอร์</t>
  </si>
  <si>
    <t>ส่วนการโยธา / งานวิเคราะห์คุณภาพน้ำ</t>
  </si>
  <si>
    <t>โต๊ะเหล็ก</t>
  </si>
  <si>
    <t>ส่วนการโยธา/งานธุรการ (ช่างสุขาฯ เดิม)</t>
  </si>
  <si>
    <t>เมธ์วดี</t>
  </si>
  <si>
    <t>งานธุรการ (ช่างสุขาฯ เดิม)</t>
  </si>
  <si>
    <t>4701</t>
  </si>
  <si>
    <t>งานบำรุงรักษาอาคารและสถานที่ ช่างอรุณ</t>
  </si>
  <si>
    <t>โต๊ะทำงานพร้อมเก้าอี้</t>
  </si>
  <si>
    <t>ภัทรพร</t>
  </si>
  <si>
    <t>โต๊ะหมู่บูชา (สำนักการช่าง งานไฟฟ้าถนน)</t>
  </si>
  <si>
    <t>โต๊ะวางคอมพิวเตอร์และวางเครื่องปริ๊นเตอร์</t>
  </si>
  <si>
    <t>ส่วนการโยธา/งานธุรการ(ภัทรพร)</t>
  </si>
  <si>
    <t>โต๊ะทำงาน</t>
  </si>
  <si>
    <t>ส่วนการโยธา/งานธุรการ(ไพรัช)</t>
  </si>
  <si>
    <t>5340</t>
  </si>
  <si>
    <t xml:space="preserve">ส่วนการโยธา/งานเครื่องจักรและซ่อมบำรุง </t>
  </si>
  <si>
    <t>5341</t>
  </si>
  <si>
    <t>ส่วนการโยธา/งานธุรการ(งานเลขารองปลัด)</t>
  </si>
  <si>
    <t>ส่วนการโยธา/งานซ่อมและบำรุงเครื่องจักรกล</t>
  </si>
  <si>
    <t>ส่วนการโยธา/งานธุรการ (อรุณ)</t>
  </si>
  <si>
    <t>อรุณ</t>
  </si>
  <si>
    <t>ส่วนการโยธา/งานธุรการ (ชนิดา)</t>
  </si>
  <si>
    <t>ชนิดา</t>
  </si>
  <si>
    <t>ส่วนการโยธา/งานธุรการ (ช่างสุขาฯ เดิม) เมธ์วดี</t>
  </si>
  <si>
    <t>ส่วนการโยธา/งานธุรการ (องอาจ)</t>
  </si>
  <si>
    <t>องอาจ</t>
  </si>
  <si>
    <t>ส่วนการโยธา/งานธุรการ (มณเฑียร)</t>
  </si>
  <si>
    <t>มณเฑียร</t>
  </si>
  <si>
    <t>ส่วนการโยธา/งานธุรการ (ธนพันธ์)</t>
  </si>
  <si>
    <t>ธนพันธ์</t>
  </si>
  <si>
    <t>ส่วนการโยธา / งานกำจัดขยะมูลฝอยฯ/บ่อขยะกล้วยแพะ</t>
  </si>
  <si>
    <t>ส่วนการโยธา/งานธุรการ (เฉลิมพล)</t>
  </si>
  <si>
    <t>โต๊ะสนามเหล็กหล่อ</t>
  </si>
  <si>
    <t>ส่วนการโยธา/ศาลากลางหลังเก่า</t>
  </si>
  <si>
    <t>ศาลากลางเก่า</t>
  </si>
  <si>
    <t>โต๊ะพับเหล็ก</t>
  </si>
  <si>
    <t xml:space="preserve"> รับ ยธ ที่ 316/66 ลว.27 เม.ย.66</t>
  </si>
  <si>
    <t>ส่วนการโยธา/งานบำรุงรักษาและซ่อมแซม</t>
  </si>
  <si>
    <t>โต๊ะพับเอนกประสงค์</t>
  </si>
  <si>
    <t>ส่วนการโยธา / งานสวนสาธารณะ /โรงพัสดุ</t>
  </si>
  <si>
    <t>ส่วนการโยธา/งานสวนสาธารณะ/สวนเวียงละกอน</t>
  </si>
  <si>
    <t>ในสำนักงานส่วนการโยธา</t>
  </si>
  <si>
    <t>โต๊ะเอนกประสงค์สแตนเลส แบบพับได้ ขนาด 0.75x1.80x0.75 ม.</t>
  </si>
  <si>
    <t>ส่วนการโยธา/งานสวนสาธารณะ/สวนเขลางค์</t>
  </si>
  <si>
    <t>ชุดโต๊ะอัลลอยด์ พร้อมเก้าอี้อัลลอยด์จำนวน 2 ตัว</t>
  </si>
  <si>
    <t>ส่วนการโยธา / งานสวนสาธารณะ /สวนเขลางค์</t>
  </si>
  <si>
    <t>ส่วนการโยธา / งานสวนสาธารณะ /สวนประตูเวียง</t>
  </si>
  <si>
    <t>โอนจากฝ่ายบริหารงานทั่วไป สำนักช่าง</t>
  </si>
  <si>
    <t>400</t>
  </si>
  <si>
    <t>67</t>
  </si>
  <si>
    <t>7515</t>
  </si>
  <si>
    <t>งานแบบแผนและก่อสร้าง/ฝ่ายช่างสุขาภิบาล/ส่วนการโยธา</t>
  </si>
  <si>
    <t>7516</t>
  </si>
  <si>
    <t>โต๊ะปฎิบัติการเคมีพร้อมอ่างล้าง</t>
  </si>
  <si>
    <t>7002</t>
  </si>
  <si>
    <t xml:space="preserve">   (เก้าอี้)</t>
  </si>
  <si>
    <t>เก้าอี้นั่งปฏิบัติงาน</t>
  </si>
  <si>
    <t>ส่วนการโยธา/งานธุรการ (ช่างสุขาฯ(เดิม)</t>
  </si>
  <si>
    <t>สุทธิศักดิ์</t>
  </si>
  <si>
    <t>เก้าอี้สนามโครงเหล็ก</t>
  </si>
  <si>
    <t>ส่วนการโยธา / งานสวนสาธารณะ/เรือนเพาะชำ</t>
  </si>
  <si>
    <t xml:space="preserve">ส่วนการโยธา / งานสวนสาธารณะ </t>
  </si>
  <si>
    <t>เก้าอี้</t>
  </si>
  <si>
    <t>ส่วนการโยธา/งานธุรการ /(ช่างสุขาฯ เดิม) อุษณี</t>
  </si>
  <si>
    <t>เก้าอี้โครงเหล็กเบาะนวม</t>
  </si>
  <si>
    <t>อุษณี</t>
  </si>
  <si>
    <t>เก้าอี้สำนักงาน</t>
  </si>
  <si>
    <t>เก้าอี้ประชุม</t>
  </si>
  <si>
    <t>ส่วนการโยธา / งานกำจัดขยะมูลฝอยฯ</t>
  </si>
  <si>
    <t>เก้าอี้กำมะหยี่</t>
  </si>
  <si>
    <t>เก้าอี้เอนกประสงค์</t>
  </si>
  <si>
    <t>เก้าอี้พลาสติก</t>
  </si>
  <si>
    <t>เก้าอี้จัดเลี้ยง ขาชุบโครเมี่ยม สีกรม</t>
  </si>
  <si>
    <t>( ม้านั่ง) (ชุดโต๊ะสนาม)</t>
  </si>
  <si>
    <t>ม้านั่งสนาม 61x120x77.5 ซม.</t>
  </si>
  <si>
    <t>402</t>
  </si>
  <si>
    <t>0770</t>
  </si>
  <si>
    <t>4 ธ.ค. 51</t>
  </si>
  <si>
    <t>0771</t>
  </si>
  <si>
    <t>ส่วนการโยธา / งานสวนสาธารณะ /ศูนย์เครื่องจักรกล</t>
  </si>
  <si>
    <t>0772</t>
  </si>
  <si>
    <t>0773</t>
  </si>
  <si>
    <t>0774</t>
  </si>
  <si>
    <t>0775</t>
  </si>
  <si>
    <t>0776</t>
  </si>
  <si>
    <t>0777</t>
  </si>
  <si>
    <t>0778</t>
  </si>
  <si>
    <t>ม้านั่งสนาม 43x140x80 ซม.</t>
  </si>
  <si>
    <t>0780</t>
  </si>
  <si>
    <t>0781</t>
  </si>
  <si>
    <t>0782</t>
  </si>
  <si>
    <t>0784</t>
  </si>
  <si>
    <t>ส่วนการโยธา / งานสวนสาธารณะ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</si>
  <si>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</si>
  <si>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</si>
  <si>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</si>
  <si>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</si>
  <si>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</si>
  <si>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</si>
  <si>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</si>
  <si>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</si>
  <si>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</si>
  <si>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</si>
  <si>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</si>
  <si>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</si>
  <si>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</si>
  <si>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</si>
  <si>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</si>
  <si>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</si>
  <si>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</si>
  <si>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</si>
  <si>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</si>
  <si>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0807</t>
  </si>
  <si>
    <t>ส่วนการโยธา/ฝ่ายสวนสาธารณะ/สวนเขลางค์</t>
  </si>
  <si>
    <t>0809</t>
  </si>
  <si>
    <t xml:space="preserve"> รับ ยธ ที่ 279/66 ลว.19 เม.ย.66</t>
  </si>
  <si>
    <t>ม้านั่งสนามโครงเหล็กหล่อยาว 2 ม.</t>
  </si>
  <si>
    <t>0811</t>
  </si>
  <si>
    <t>29 ต.ค. 55</t>
  </si>
  <si>
    <t>ส่วนการโยธา/ฝ่ายสวนสาธารณะ/บ่อหมัก</t>
  </si>
  <si>
    <t>0812</t>
  </si>
  <si>
    <t>0813</t>
  </si>
  <si>
    <t>0814</t>
  </si>
  <si>
    <t>0815</t>
  </si>
  <si>
    <t>0816</t>
  </si>
  <si>
    <t>ส่วนการโยธา/ฝ่ายสวนสาธารณะ/หอสมุด</t>
  </si>
  <si>
    <t>0817</t>
  </si>
  <si>
    <t>0818</t>
  </si>
  <si>
    <t>ม้านั่งสนาม</t>
  </si>
  <si>
    <t>0819</t>
  </si>
  <si>
    <t>3 ธ.ค. 55</t>
  </si>
  <si>
    <t>ส่วนการโยธา/ฝ่ายสวนสาธารณะ/บูรณะกู่เจ้าย่าสุตา</t>
  </si>
  <si>
    <t>0820</t>
  </si>
  <si>
    <t>0821</t>
  </si>
  <si>
    <t>0822</t>
  </si>
  <si>
    <t>0823</t>
  </si>
  <si>
    <t>ม้านั่งสำเร็จรูปขนาด 1.20x0.60x1.80 ม.ที่นั่งทำด้วยไม้ ขาเหล็กหล่อมีตราเทศบาล</t>
  </si>
  <si>
    <t>0850</t>
  </si>
  <si>
    <t>21 ม.ค. 58</t>
  </si>
  <si>
    <t>ส่วนการโยธา/ฝ่ายสวนสาธารณะ/ใช้งานที่ห้องสมุด</t>
  </si>
  <si>
    <t>0851</t>
  </si>
  <si>
    <t>0852</t>
  </si>
  <si>
    <t>0853</t>
  </si>
  <si>
    <t>0854</t>
  </si>
  <si>
    <t>0855</t>
  </si>
  <si>
    <t>ส่วนการโยธา/ฝ่ายสวนสาธารณะ/สวนหน้าศาลากลาง(เก่า)</t>
  </si>
  <si>
    <t>0856</t>
  </si>
  <si>
    <t>0857</t>
  </si>
  <si>
    <t>0859</t>
  </si>
  <si>
    <t>0860</t>
  </si>
  <si>
    <t>0861</t>
  </si>
  <si>
    <t>0863</t>
  </si>
  <si>
    <t>ส่วนการโยธา/ฝ่ายสวนสาธารณะ/โรงพัสดุ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</si>
  <si>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</si>
  <si>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</si>
  <si>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</si>
  <si>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</si>
  <si>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</si>
  <si>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</si>
  <si>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</si>
  <si>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</si>
  <si>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</si>
  <si>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</si>
  <si>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</si>
  <si>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</si>
  <si>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ม้านั่งสนามเหล็กหล่อกว่าง 0.06 ม. สูงถึงพนักพิง 1.80 ม.</t>
  </si>
  <si>
    <t>0876</t>
  </si>
  <si>
    <t>0877</t>
  </si>
  <si>
    <t xml:space="preserve"> รับ ยธ ที่ 565/66 ลว.4 ส.ค.66</t>
  </si>
  <si>
    <t>0878</t>
  </si>
  <si>
    <t>0880</t>
  </si>
  <si>
    <t>0881</t>
  </si>
  <si>
    <t>ชุดโต๊ะสนามหินขัดสี่เหลี่ยมตารางหมากรุก + เก้าอี้ 4 ตัว</t>
  </si>
  <si>
    <t>0882</t>
  </si>
  <si>
    <t>5 ก.ย.62</t>
  </si>
  <si>
    <t>ส่วนการโยธา/ฝ่ายสวนสาธารณะ/สวนเวียงละกอน</t>
  </si>
  <si>
    <t>0883</t>
  </si>
  <si>
    <t>0884</t>
  </si>
  <si>
    <t>0885</t>
  </si>
  <si>
    <t>0886</t>
  </si>
  <si>
    <t>0887</t>
  </si>
  <si>
    <t>403</t>
  </si>
  <si>
    <t xml:space="preserve">  (ชุดรับแขก)</t>
  </si>
  <si>
    <t>ชุดรับแขก</t>
  </si>
  <si>
    <t>0188</t>
  </si>
  <si>
    <t>2 ม.ค. 51</t>
  </si>
  <si>
    <t>0193</t>
  </si>
  <si>
    <t>24 ก.ค. 55</t>
  </si>
  <si>
    <t>สำนักงานส่วนการโยธา</t>
  </si>
  <si>
    <t>ชุดรับแขกแบบโซฟา  ขาชุบโครเมี่ยม</t>
  </si>
  <si>
    <t>0194</t>
  </si>
  <si>
    <t xml:space="preserve"> 17 มี.ค. 59</t>
  </si>
  <si>
    <t>0195</t>
  </si>
  <si>
    <t>405</t>
  </si>
  <si>
    <t xml:space="preserve">   (โพเดียม, แท่นกล่าวรายงาน)</t>
  </si>
  <si>
    <t>โพเดียม</t>
  </si>
  <si>
    <t>0030</t>
  </si>
  <si>
    <t>0031</t>
  </si>
  <si>
    <t>แท่นกล่าวรายงาน</t>
  </si>
  <si>
    <t>0032</t>
  </si>
  <si>
    <t>25 พ.ค. 58</t>
  </si>
  <si>
    <t>0033</t>
  </si>
  <si>
    <t>(ตู้เอกสาร)</t>
  </si>
  <si>
    <t>ตู้เหล็กเก็บเอกสารสูง</t>
  </si>
  <si>
    <t>0201</t>
  </si>
  <si>
    <t>ส่วนการโยธา / ศูนย์เครื่องจักรฯ</t>
  </si>
  <si>
    <t>โอนจากธุรการ สำนักช่าง</t>
  </si>
  <si>
    <t>ตู้เหล็ก</t>
  </si>
  <si>
    <t>0400</t>
  </si>
  <si>
    <t xml:space="preserve">ส่วนการโยธา/งานธุรการ/ช่างสุขาฯ เดิม </t>
  </si>
  <si>
    <t>ตู้เหล็กเก็บเอกสาร</t>
  </si>
  <si>
    <t>0460</t>
  </si>
  <si>
    <t>ส่วนการโยธา/งานควบคุมและตรวจสอบ</t>
  </si>
  <si>
    <t>0626</t>
  </si>
  <si>
    <t>0627</t>
  </si>
  <si>
    <t>ตู้เก็บเอกสาร</t>
  </si>
  <si>
    <t>0575</t>
  </si>
  <si>
    <t>0633</t>
  </si>
  <si>
    <t>ส่วนการโยธา/งานธุรการ/สุทัศน์</t>
  </si>
  <si>
    <t>0634</t>
  </si>
  <si>
    <t>ส่วนการโยธา/งานธุรการ/องอาจ</t>
  </si>
  <si>
    <t>0665</t>
  </si>
  <si>
    <t>0666</t>
  </si>
  <si>
    <t>0667</t>
  </si>
  <si>
    <t>อารุณ</t>
  </si>
  <si>
    <t>0895</t>
  </si>
  <si>
    <t>ตู้บานเลื่อนทึบ</t>
  </si>
  <si>
    <t>0896</t>
  </si>
  <si>
    <t>0897</t>
  </si>
  <si>
    <t>ส่วนการโยธา/งานธุรการ/ช่างสุขาฯ เดิม</t>
  </si>
  <si>
    <t>ตู้เหล็กเก็บเอกสาร 4 ลิ้นชัก ยี่ห้อไทโย</t>
  </si>
  <si>
    <t>0923</t>
  </si>
  <si>
    <t>ตู้เหล็กเก็บเอกสาร 4 ลิ้นชัก ยี่ห้อ KUNOKI สีเทา</t>
  </si>
  <si>
    <t>0925</t>
  </si>
  <si>
    <t>ตู้เหล็กเก็บเอกสารบานเลื่อน</t>
  </si>
  <si>
    <t>0926</t>
  </si>
  <si>
    <t>ส่วนการโยธา/ร่องสามดวง (นฤมล)</t>
  </si>
  <si>
    <t>0928</t>
  </si>
  <si>
    <t>0929</t>
  </si>
  <si>
    <t>0995</t>
  </si>
  <si>
    <t>1000</t>
  </si>
  <si>
    <t>1001</t>
  </si>
  <si>
    <t>1011</t>
  </si>
  <si>
    <t>1012</t>
  </si>
  <si>
    <t>1107</t>
  </si>
  <si>
    <t>ตู้เหล็กเก็บเอกสาร ชนิดบานเลื่อนทึบ</t>
  </si>
  <si>
    <t>1110</t>
  </si>
  <si>
    <t>1134</t>
  </si>
  <si>
    <t>1136</t>
  </si>
  <si>
    <t>1137</t>
  </si>
  <si>
    <t>1149</t>
  </si>
  <si>
    <t>ส่วนการโยธา/งานสวนสาธารณะ (สำนักงาน)</t>
  </si>
  <si>
    <t>1150</t>
  </si>
  <si>
    <t>ตู้เหล็กเก็บเอกสาร 4 ลิ้นชัก ชนิดบานเลื่อนพร้อมฐานรอง</t>
  </si>
  <si>
    <t>1151</t>
  </si>
  <si>
    <t>1153</t>
  </si>
  <si>
    <t>ตู้เหล็กเก็บเอกสารบานเลื่อนกระจก</t>
  </si>
  <si>
    <t>1177</t>
  </si>
  <si>
    <t>1178</t>
  </si>
  <si>
    <t>1195</t>
  </si>
  <si>
    <t>ตู้ล๊อคเกอร์เหล็ก</t>
  </si>
  <si>
    <t>1248</t>
  </si>
  <si>
    <t>1249</t>
  </si>
  <si>
    <t>ตู้เหล็กเก็บอุปกรณ์กีฬา 4 ลิ้นชัก สีเทา ขนาด 0.45x0.60x1.30 ม.</t>
  </si>
  <si>
    <t>1302</t>
  </si>
  <si>
    <t>1303</t>
  </si>
  <si>
    <t>ส่วนการโยธา/ฝ่ายสวนสาธารณะ/สวนเขื่อนยาง</t>
  </si>
  <si>
    <t>0632</t>
  </si>
  <si>
    <t>งานบำรุงรักษาทางและสะพาน</t>
  </si>
  <si>
    <t>0635</t>
  </si>
  <si>
    <t>โอนจากส่วนควบคุมอาคารและผังเมือง สำนักช่าง</t>
  </si>
  <si>
    <t>0982</t>
  </si>
  <si>
    <t>ตู้เก็บเอกสาร 4 ลิ้นชัก</t>
  </si>
  <si>
    <t>0984</t>
  </si>
  <si>
    <t>0641</t>
  </si>
  <si>
    <t>ไซด์บอร์ด</t>
  </si>
  <si>
    <t>0009</t>
  </si>
  <si>
    <t>ส่วนการโยธา / งานบำรุงรักษาและซ่อมแซม</t>
  </si>
  <si>
    <t>บ่อบำบัดน้ำเสีย</t>
  </si>
  <si>
    <t>(นาฬิกา)</t>
  </si>
  <si>
    <t>นาฬิกาเรือนแม่ (Master Counter Unit) ของ Bodet</t>
  </si>
  <si>
    <t>408</t>
  </si>
  <si>
    <t>24 มิ.ย. 52</t>
  </si>
  <si>
    <t>ฝ่ายสวนสาธาณะ/ข่วงนคร</t>
  </si>
  <si>
    <t>นาฬิกา (Slave Clock)</t>
  </si>
  <si>
    <t>0034</t>
  </si>
  <si>
    <t>0035</t>
  </si>
  <si>
    <t>0036</t>
  </si>
  <si>
    <t>0037</t>
  </si>
  <si>
    <t xml:space="preserve"> (เครื่องพิมพ์ดีด)</t>
  </si>
  <si>
    <t>เครื่องพิมพ์ดีดโอลิมเปีย  ภาษาไทย  18"</t>
  </si>
  <si>
    <t>0098</t>
  </si>
  <si>
    <t>ส่วนการโยธา / งานธุรการ (ช่างสุขาฯ เดิม)</t>
  </si>
  <si>
    <t xml:space="preserve"> (เครื่องปรับอากาศ)</t>
  </si>
  <si>
    <t>เครื่องปรับอากาศ</t>
  </si>
  <si>
    <t>0023</t>
  </si>
  <si>
    <t>ส่วนการโยธา / งานธุรการ 2</t>
  </si>
  <si>
    <t>0052</t>
  </si>
  <si>
    <t>0330</t>
  </si>
  <si>
    <t>ส่วนการโยธา/งานกำจัดขยะมูลฝอยและสิ่งปฏิกูล</t>
  </si>
  <si>
    <t>0331</t>
  </si>
  <si>
    <t>0332</t>
  </si>
  <si>
    <t>0333</t>
  </si>
  <si>
    <t>0199</t>
  </si>
  <si>
    <t>0200</t>
  </si>
  <si>
    <t>เครื่องปรับอากาศแบบแยกส่วน</t>
  </si>
  <si>
    <t>0212</t>
  </si>
  <si>
    <t>ส่วนการโยธา / งานธุรการ/ห้องประชุม</t>
  </si>
  <si>
    <t>0213</t>
  </si>
  <si>
    <t>ส่วนการโยธา / งานธุรการ/ห้อง ผอ. ส่วน</t>
  </si>
  <si>
    <t>0214</t>
  </si>
  <si>
    <t>ส่วนการโยธา /งานธุรการ/ ห้องทำงาน</t>
  </si>
  <si>
    <t>ห้องทำงาน</t>
  </si>
  <si>
    <t>0215</t>
  </si>
  <si>
    <t>ส่วนการโยธา /งานธุรการ/ห้องทำงาน</t>
  </si>
  <si>
    <t>0202</t>
  </si>
  <si>
    <t>ส่วนการโยธา /งานธุรการ</t>
  </si>
  <si>
    <t>0203</t>
  </si>
  <si>
    <t>0257</t>
  </si>
  <si>
    <t>0258</t>
  </si>
  <si>
    <t>เครื่องปรับอากาศ ขนาด 26,000 แบบแยกส่วนชนิดแขวน ยี่ห้อ Star air</t>
  </si>
  <si>
    <t>0294</t>
  </si>
  <si>
    <t>ส่วนการโยธา/ฟิตเนส สวนเขลางค์</t>
  </si>
  <si>
    <t>สุขาภิบาล (เดิม)</t>
  </si>
  <si>
    <t>0295</t>
  </si>
  <si>
    <t>เครื่องปรับอากาศ ขนาด 32,000 แบบแยกส่วนชนิดแขวน ยี่ห้อ Unimaster</t>
  </si>
  <si>
    <t>0296</t>
  </si>
  <si>
    <t>0297</t>
  </si>
  <si>
    <t>0298</t>
  </si>
  <si>
    <t>0299</t>
  </si>
  <si>
    <t>0329</t>
  </si>
  <si>
    <t>ส่วนการโยธา/สวนสาธารณะเวียงละกอน (ลานกีฬา ท.7)</t>
  </si>
  <si>
    <t>เครื่องปรับอากาศ ขนาด 48,000 BTU ยี่ห้อ EMINENT สีขาว</t>
  </si>
  <si>
    <t>0334</t>
  </si>
  <si>
    <t>เครื่องปรับอากาศ TASAKI ขนาด 24,000 บีทียู</t>
  </si>
  <si>
    <t>420</t>
  </si>
  <si>
    <t>0490</t>
  </si>
  <si>
    <t>งานไฟฟ้าสาธารณะ/ฝ่ายสาธารณูปโภค/ส่วนการโยธา</t>
  </si>
  <si>
    <t>เครื่องปรับอากาศ TASAKI ขนาด 36,000 บีทียู</t>
  </si>
  <si>
    <t>0491</t>
  </si>
  <si>
    <t>0492</t>
  </si>
  <si>
    <t>0493</t>
  </si>
  <si>
    <t xml:space="preserve"> (พัดลม)</t>
  </si>
  <si>
    <t xml:space="preserve">พัดลมระบายอากาศแบบตั้งพื้น ชนิดสี่เหลี่ยมกว้าง 20"  มีขาตั้ง </t>
  </si>
  <si>
    <t>0303</t>
  </si>
  <si>
    <t xml:space="preserve"> 26 ม.ค.36</t>
  </si>
  <si>
    <t>0304</t>
  </si>
  <si>
    <t>พัดลมโคจรติดฝาผนัง ขนาด 16"  ยี่ห้อ โตชิบ้า (2)</t>
  </si>
  <si>
    <t>0465</t>
  </si>
  <si>
    <t xml:space="preserve"> 5 มี.ค.40 </t>
  </si>
  <si>
    <t>พัดลมแบบตั้งพื้น</t>
  </si>
  <si>
    <t>432</t>
  </si>
  <si>
    <t>0563</t>
  </si>
  <si>
    <t>26 มี.ค. 45</t>
  </si>
  <si>
    <t>บ่อหมัก</t>
  </si>
  <si>
    <t xml:space="preserve">พัดลมดูดอากาศ ขนาด 12" </t>
  </si>
  <si>
    <t>1162</t>
  </si>
  <si>
    <t>25 ก.ย.49</t>
  </si>
  <si>
    <t>ห้องประชุมบ่อขยะ</t>
  </si>
  <si>
    <t xml:space="preserve">พัดลมดูดอากาศ ขนาด 8" </t>
  </si>
  <si>
    <t>1163</t>
  </si>
  <si>
    <t>ห้องทำงานบ่อ่ขยะ</t>
  </si>
  <si>
    <t xml:space="preserve"> 2 ก.ค.52</t>
  </si>
  <si>
    <t>0668</t>
  </si>
  <si>
    <t>พัดลมระบายอากาศติดผนัง</t>
  </si>
  <si>
    <t>0733</t>
  </si>
  <si>
    <t xml:space="preserve"> 24 มิ.ย.52</t>
  </si>
  <si>
    <t>ส่วนการโยธา/งานสวนสาธารณะ</t>
  </si>
  <si>
    <t>0734</t>
  </si>
  <si>
    <t>0735</t>
  </si>
  <si>
    <t>พัดลมระบายอากาศ แบบติดผนัง ขนาด 500 cfm,50w</t>
  </si>
  <si>
    <t>52</t>
  </si>
  <si>
    <t>0736</t>
  </si>
  <si>
    <t>ส่วนการโยธา/งานสวนสาธารณะ/ช่วงนคร</t>
  </si>
  <si>
    <t>พัดลมไอเย็นชนิดตั้งพื้น</t>
  </si>
  <si>
    <t>0845</t>
  </si>
  <si>
    <t xml:space="preserve"> 10 มี.ค.59</t>
  </si>
  <si>
    <t>0846</t>
  </si>
  <si>
    <t>0847</t>
  </si>
  <si>
    <t>0848</t>
  </si>
  <si>
    <t>พัดลมโคจร ขนาด 18"</t>
  </si>
  <si>
    <t>1048</t>
  </si>
  <si>
    <t>ฝ่ายสวนสาธารณะ/สวนเวียงละกอน</t>
  </si>
  <si>
    <t>1049</t>
  </si>
  <si>
    <t>1050</t>
  </si>
  <si>
    <t>1051</t>
  </si>
  <si>
    <t>1052</t>
  </si>
  <si>
    <t>1053</t>
  </si>
  <si>
    <t>พัดลมอุตสาหกรรมตั้งพื้น Twister ขนาด 24"</t>
  </si>
  <si>
    <t>1054</t>
  </si>
  <si>
    <t>1055</t>
  </si>
  <si>
    <t>1056</t>
  </si>
  <si>
    <t>1057</t>
  </si>
  <si>
    <t>ฝ่ายสวนสาธารณะ/สวนภิรมย์ธาร</t>
  </si>
  <si>
    <t>อยู่ที่ชุดเครื่องย่อย</t>
  </si>
  <si>
    <t>1058</t>
  </si>
  <si>
    <t>1059</t>
  </si>
  <si>
    <t>พัดลมอุตสาหกรรมตั้งพื้น Twister ขนาด 26"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</si>
  <si>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</si>
  <si>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</si>
  <si>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</si>
  <si>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</si>
  <si>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</si>
  <si>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</si>
  <si>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</si>
  <si>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</si>
  <si>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</si>
  <si>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</si>
  <si>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 xml:space="preserve"> (ถังน้ำ)</t>
  </si>
  <si>
    <t>ถังน้ำไฟเบอร์กลาส 2,000 ลิตร</t>
  </si>
  <si>
    <t>437</t>
  </si>
  <si>
    <t>48</t>
  </si>
  <si>
    <t>0019</t>
  </si>
  <si>
    <t xml:space="preserve"> 29 ส.ค.48</t>
  </si>
  <si>
    <t>ส่วนการโยธา / งานกำจัดขยะมูลฝอย</t>
  </si>
  <si>
    <t>0020</t>
  </si>
  <si>
    <t>ถังเก็บน้ำพลาสติก ขนาด 1,000 ลิตร  (โพลีเอทิลีน)</t>
  </si>
  <si>
    <t xml:space="preserve"> 25 ก.พ.52</t>
  </si>
  <si>
    <t>ส่วนการโยธา / งานกำจัดมูลฝอยฯ /บ่อหมัก</t>
  </si>
  <si>
    <t>0024</t>
  </si>
  <si>
    <t>0025</t>
  </si>
  <si>
    <t>0026</t>
  </si>
  <si>
    <t>0027</t>
  </si>
  <si>
    <t>0028</t>
  </si>
  <si>
    <t>0029</t>
  </si>
  <si>
    <t xml:space="preserve">ถังแรงดัน ขนาด 200 ลิตร  </t>
  </si>
  <si>
    <t xml:space="preserve">ถังเก็บน้ำ ขนาด 2000 ลิตร ยี่ห้อ BARON สีเทา </t>
  </si>
  <si>
    <t>62</t>
  </si>
  <si>
    <t>0042</t>
  </si>
  <si>
    <t>18 ม.ค.62</t>
  </si>
  <si>
    <t>ฝ่ายสวนสาธารณะ/สวนเขลางค์นคร</t>
  </si>
  <si>
    <t>ถังเก็บน้ำบนดินโพลิเมอร์เกรด A 2,000 ลิตร</t>
  </si>
  <si>
    <t>0043</t>
  </si>
  <si>
    <t>ฝ่ายสวนสาธารณะ/เวียงละกอน</t>
  </si>
  <si>
    <t>0044</t>
  </si>
  <si>
    <t>ฝ่ายสวนสาธารณะ/สวนสาธารณะเขื่อนยาง</t>
  </si>
  <si>
    <t xml:space="preserve">ถังเก็บน้ำ ขนาด 2000 ลิตร </t>
  </si>
  <si>
    <t>65</t>
  </si>
  <si>
    <t>0054</t>
  </si>
  <si>
    <t>25 พ.ค.65</t>
  </si>
  <si>
    <t>ถังเก็บน้ำวางบนดิน ขนาด 2,000 ลิตร</t>
  </si>
  <si>
    <t>0057</t>
  </si>
  <si>
    <t>0058</t>
  </si>
  <si>
    <t>ถังเก็บน้ำวางบนดิน ขนาด 5,000 ลิตร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</si>
  <si>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</si>
  <si>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</si>
  <si>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</si>
  <si>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</si>
  <si>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</si>
  <si>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</si>
  <si>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</si>
  <si>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</si>
  <si>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</si>
  <si>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</si>
  <si>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ถังเก็บน้ำขนาด 2,000 ลิตร</t>
  </si>
  <si>
    <t>0069</t>
  </si>
  <si>
    <t>ฝ่ายสวนสาธารณะ/งานควบคุมและบำรุงรักษาสวนสาธารณะที่</t>
  </si>
  <si>
    <t>งบปี67</t>
  </si>
  <si>
    <t xml:space="preserve"> (โต๊ะหมู่บูชา)</t>
  </si>
  <si>
    <t>อาสนสงฆ์ พร้อมเบาะนั่ง ขนาด 0.5</t>
  </si>
  <si>
    <t>481</t>
  </si>
  <si>
    <t>0049</t>
  </si>
  <si>
    <t xml:space="preserve"> 29 ก.พ.59</t>
  </si>
  <si>
    <t>0050</t>
  </si>
  <si>
    <t>0051</t>
  </si>
  <si>
    <t>0053</t>
  </si>
  <si>
    <t>อาสนสงฆ์ พร้อมเบาะนั่ง ขนาด 0.55 x 0.55 ม.</t>
  </si>
  <si>
    <t>0055</t>
  </si>
  <si>
    <t>0056</t>
  </si>
  <si>
    <t>โต๊ะหมู่บูชาทำด้วยไม้สักแกะลายปิดทองสีแดง</t>
  </si>
  <si>
    <t xml:space="preserve"> 15 พ.ค.60</t>
  </si>
  <si>
    <t xml:space="preserve"> (ไฟฉุกเฉิน)</t>
  </si>
  <si>
    <t>ไฟฉุกเฉิน 12v 7.5AH LED 2x6W.</t>
  </si>
  <si>
    <t>0038</t>
  </si>
  <si>
    <t xml:space="preserve"> (รถเข็น)</t>
  </si>
  <si>
    <t>รถเข็นของ 4 ล้อ ขนาด 60x90 ซม. แบบพับได้มีล้อยาง</t>
  </si>
  <si>
    <t>0002</t>
  </si>
  <si>
    <t>0003</t>
  </si>
  <si>
    <t>(ลงชื่อ)                                                          ประธานกรรมการ</t>
  </si>
  <si>
    <t>(ลงชื่อ)</t>
  </si>
  <si>
    <t>กรรมการ</t>
  </si>
  <si>
    <t>(นางสาวสุทธินี  พูลสวัสดิ์)</t>
  </si>
  <si>
    <t>(นายอนุพงษ์  คำฟู)</t>
  </si>
  <si>
    <t>นักวิชาการสุขาภิบาลปฏิบัติการ</t>
  </si>
  <si>
    <t>วิศวกรสุขาภิบาลปฏิบัติการ</t>
  </si>
  <si>
    <t>(ลงชื่อ)                                                 กรรมการและเลขานุการ</t>
  </si>
  <si>
    <t>(นายสิทธิพล  ธรรมสาร)</t>
  </si>
  <si>
    <t>นายช่างเครื่องกลชำนาญงาน</t>
  </si>
  <si>
    <t>งานธุรการ</t>
  </si>
  <si>
    <t>งานสาธารณูปโภคบำรุงรักษาอาคารและสถานที่</t>
  </si>
  <si>
    <t>งานสาธารณูปโภคบำรุงรักษาทางและสะพาน</t>
  </si>
  <si>
    <t>งานสวนสาธารณะ</t>
  </si>
  <si>
    <t>กลุ่มงานเครื่องจักรกล</t>
  </si>
  <si>
    <t>ฝ่ายช่างสุขาภิบาล</t>
  </si>
  <si>
    <t>สุขาภิบาล แยกงาน</t>
  </si>
  <si>
    <t>เครื่องจักรและซ่อมบำรุง</t>
  </si>
  <si>
    <t>คุณภาพน้ำ</t>
  </si>
  <si>
    <t>บำรุงรักษาและซ่อมแซม</t>
  </si>
  <si>
    <t>ขยะมูลฝอย</t>
  </si>
  <si>
    <t>งานควบคุมและตรวจสอบการบำบัดน้ำเสีย</t>
  </si>
  <si>
    <t>2. ครุภัณฑ์ยานพาหนะและขนส่ง</t>
  </si>
  <si>
    <t xml:space="preserve">วันเดือนปี </t>
  </si>
  <si>
    <t>001</t>
  </si>
  <si>
    <t xml:space="preserve"> (รถตู้)</t>
  </si>
  <si>
    <t>รถตู้ ยี่ห้อ มิตซูบิชิ รุ่น แอล300 (นก.587)</t>
  </si>
  <si>
    <t>001-28-0003</t>
  </si>
  <si>
    <t xml:space="preserve"> 2 เม.ย.28</t>
  </si>
  <si>
    <t>Carpool 1</t>
  </si>
  <si>
    <t>รถตรวจการณ์ ยี่ห้อ แลนด์โรเวอร์ รุ่น Discouvery  (กค-589)</t>
  </si>
  <si>
    <t>001-40-0007</t>
  </si>
  <si>
    <t>Carpool 2</t>
  </si>
  <si>
    <t>รถตู้ ยี่ห้อ โตโยต้า รุ่น คอมมูเตอร์ สีเทา  (นก 2277)</t>
  </si>
  <si>
    <t>001-49-0008</t>
  </si>
  <si>
    <t>รถตู้ ยี่ห้อ นิสสัน รุ่น เออแวน สีบรอนซ์เงิน  (นข 2892)</t>
  </si>
  <si>
    <t>001-49-0009</t>
  </si>
  <si>
    <t xml:space="preserve"> 31 พ.ค.49</t>
  </si>
  <si>
    <t>รถตรวจการณ์ ยี่ห้อ อีซูซุ รุ่น MU7 สีดำ-เทา  (กก-9546)</t>
  </si>
  <si>
    <t>001-52-0010</t>
  </si>
  <si>
    <t>รถตู้ ยี่ห้อโตโยต้า รุ่น คอมมูเตอร์ สีขาว(นข-5828)</t>
  </si>
  <si>
    <t>001-58-0013</t>
  </si>
  <si>
    <t>รถตู้ 12 ที่นั่ง ยี่ห้อนิสสัน รุ่น NV 350 URVAN (นข-6898)</t>
  </si>
  <si>
    <t>001-62-0014</t>
  </si>
  <si>
    <t>002</t>
  </si>
  <si>
    <t xml:space="preserve">  (รถกระบะ)</t>
  </si>
  <si>
    <t>รถยนต์บรรทุก</t>
  </si>
  <si>
    <t>002-29-0018</t>
  </si>
  <si>
    <t>ส่วนการโยธา/งานสวนสาธาณะ</t>
  </si>
  <si>
    <t>รถยนต์ปิคอัพสองตอน</t>
  </si>
  <si>
    <t>002-29-0020</t>
  </si>
  <si>
    <t>โอนให้งานลาดยางงบ 62</t>
  </si>
  <si>
    <t>รถกระบะ 4 ประตู</t>
  </si>
  <si>
    <t>002-31-0021</t>
  </si>
  <si>
    <t>Capool 2</t>
  </si>
  <si>
    <t>002-34-0024</t>
  </si>
  <si>
    <t>รถบรรทุกกระบะ 6 ล้อ</t>
  </si>
  <si>
    <t>002-34-0025</t>
  </si>
  <si>
    <t>Capool 1</t>
  </si>
  <si>
    <t>รถกระบะวากอน</t>
  </si>
  <si>
    <t>002-34-0039</t>
  </si>
  <si>
    <t>002-35-0027</t>
  </si>
  <si>
    <t>รถบรรทุกกระบะสำเร็จรูป</t>
  </si>
  <si>
    <t>002-35-0028</t>
  </si>
  <si>
    <t>รถยนต์กระบะ</t>
  </si>
  <si>
    <t>002-37-0030</t>
  </si>
  <si>
    <t>งานบำรุงรักษาอาคารและสถานที่</t>
  </si>
  <si>
    <t>กระบะ 4 ประตู</t>
  </si>
  <si>
    <t>002-39-0034</t>
  </si>
  <si>
    <t>รถกระบะแค็บ</t>
  </si>
  <si>
    <t>002-40-0038</t>
  </si>
  <si>
    <t>002-40-0040</t>
  </si>
  <si>
    <t>รถยนต์บรรทุกกระบะ</t>
  </si>
  <si>
    <t>002-41-0041</t>
  </si>
  <si>
    <t>รถยนต์ ยี่ห้อ TOYOTA ทะเบียน บท5886 ลำปาง</t>
  </si>
  <si>
    <t>002-41-0042</t>
  </si>
  <si>
    <t xml:space="preserve">ศูนย์เครื่องจักรกล </t>
  </si>
  <si>
    <t>กระบะแค๊ป</t>
  </si>
  <si>
    <t>002-41-0043</t>
  </si>
  <si>
    <t>002-41-0044</t>
  </si>
  <si>
    <t>002-41-0045</t>
  </si>
  <si>
    <t>รถยนต์สายตรวจ</t>
  </si>
  <si>
    <t>002-43-0049</t>
  </si>
  <si>
    <t>กระบะแค๊บ</t>
  </si>
  <si>
    <t>002-43-0050</t>
  </si>
  <si>
    <t>รถกระบะช่วงยาว</t>
  </si>
  <si>
    <t>002-43-0051</t>
  </si>
  <si>
    <t>002-43-0052</t>
  </si>
  <si>
    <t>รถกระบะแค๊บ</t>
  </si>
  <si>
    <t>002-43-0053</t>
  </si>
  <si>
    <t>002-46-0056</t>
  </si>
  <si>
    <t>002-46-0057</t>
  </si>
  <si>
    <t>รถยนต์บรรทุกดีเซล แบบดับเบิ้ลแคบ</t>
  </si>
  <si>
    <t>002-47-0058</t>
  </si>
  <si>
    <t>002-48-0059</t>
  </si>
  <si>
    <t>002-49-0061</t>
  </si>
  <si>
    <t>002-49-0062</t>
  </si>
  <si>
    <t>002-52-0063</t>
  </si>
  <si>
    <t>002-55-0064</t>
  </si>
  <si>
    <t>006</t>
  </si>
  <si>
    <t xml:space="preserve">  (รถบรรทุกน้ำ)</t>
  </si>
  <si>
    <t>รถบรรทุกน้ำ ยี่ห้อ HINO สีแดง  (ลป. 81-1716)</t>
  </si>
  <si>
    <t>006-22-0004</t>
  </si>
  <si>
    <t>14 พ.ค. 22</t>
  </si>
  <si>
    <t>รถบรรทุกน้ำ ยี่ห้ออีซูซุ สีแดง   (ลป.81-1885)</t>
  </si>
  <si>
    <t>006-25-0006</t>
  </si>
  <si>
    <t>24 ส.ค. 25</t>
  </si>
  <si>
    <t>รถบรรทุกน้ำ ยี่ห้ออีซูซุ สีแดง  (ลป.81-1715)</t>
  </si>
  <si>
    <t>006-25-0007</t>
  </si>
  <si>
    <t>17 ก.ย. 25</t>
  </si>
  <si>
    <t>รถบรรทุกน้ำ ยี่ห้อ HINO สีแดง</t>
  </si>
  <si>
    <t>006-34-0008</t>
  </si>
  <si>
    <t>31 ม.ค.34</t>
  </si>
  <si>
    <t>ส่วนการโยธา /งานบำรุงรักษาและซ่อมแซม</t>
  </si>
  <si>
    <t>รถบรรทุกน้ำ ยี่ห้ออีซูซุ บรรจุน้ำ 12,000 บาท (ลป บท 4615)</t>
  </si>
  <si>
    <t>006-41-0012</t>
  </si>
  <si>
    <t>23 มี.ค.41</t>
  </si>
  <si>
    <t>โอนมาจากดับเพลิง</t>
  </si>
  <si>
    <t>009</t>
  </si>
  <si>
    <t xml:space="preserve"> (รถดูดสิ่งปฏิกูล)</t>
  </si>
  <si>
    <t>รถยนต์บรรทุกเฉพาะกิจ (กำจัดสิ่งปฏิกูล) ลป.81-0391</t>
  </si>
  <si>
    <t>009-26-0003</t>
  </si>
  <si>
    <t>29 เม.ย. 26</t>
  </si>
  <si>
    <t>ส่วนการโยธา / งานบำรุงรักษาทางและสะพาน</t>
  </si>
  <si>
    <t>010</t>
  </si>
  <si>
    <t xml:space="preserve"> (รถกวาดถนน)</t>
  </si>
  <si>
    <t>รถยนต์ซ่อมบำรุงรักษาถนนแบบเอนกประสงค์  ลป.80-8808</t>
  </si>
  <si>
    <t>010-37-0001</t>
  </si>
  <si>
    <t>22 มิ.ย. 37</t>
  </si>
  <si>
    <t>รถดูดสิ่งโสโครก โคลนเลนและฉีดท่อระบายน้ำ ลป.80-8778</t>
  </si>
  <si>
    <t>010-44-0004</t>
  </si>
  <si>
    <t>9 เม.ย. 44</t>
  </si>
  <si>
    <t>011</t>
  </si>
  <si>
    <t xml:space="preserve">  (รถบรรทุกขยะมูลฝอย)</t>
  </si>
  <si>
    <t>รถกระบะ ช่วงยาว ยี่ห้อ มิตซูบิชิ สีขาว   (บห 4612)</t>
  </si>
  <si>
    <t>011-29-0012</t>
  </si>
  <si>
    <t xml:space="preserve">รถกระบะ ช่วงยาว ยี่ห้อ มิตซูบิชิ สีขาว  (บค 1440)  </t>
  </si>
  <si>
    <t>011-29-0014</t>
  </si>
  <si>
    <t>รถกระบะช่วงยาว ยี่ห้อโตโยต้า รุ่นไฮลักซ์ สีขาว (บษ-9184)</t>
  </si>
  <si>
    <t>011-34-0015</t>
  </si>
  <si>
    <t xml:space="preserve"> 3 มิ.ย.34</t>
  </si>
  <si>
    <t>รถกระบะช่วงยาว ยี่ห้อ โตโยต้ารุ่นไฮลักซ์ สีขาว  (บง 2571)</t>
  </si>
  <si>
    <t>011-34-0016</t>
  </si>
  <si>
    <t>รถยนต์บรรทุกขยะมูลฝอย ยี่ห้อนิสสัน สีส้ม  ลป.81-3514</t>
  </si>
  <si>
    <t>011-55-0035</t>
  </si>
  <si>
    <t>8 ต.ค. 55</t>
  </si>
  <si>
    <t>ส่วนการโยธา /งานบำรุงรักษาทางและสะพาน</t>
  </si>
  <si>
    <t>012</t>
  </si>
  <si>
    <t xml:space="preserve">  (รถกระเช้า)</t>
  </si>
  <si>
    <t>รถกระเช้าไฮโดรลิค ยี่ห้ออีซูซุ  สีส้ม  ลป.80-8807</t>
  </si>
  <si>
    <t>012-27-0001</t>
  </si>
  <si>
    <t>27 พ.ค. 27</t>
  </si>
  <si>
    <t>รถกระเช้าไฟฟ้า ยี่ห้ออีซูซุ สีขาว  ลป.80-8806</t>
  </si>
  <si>
    <t>012-35-0002</t>
  </si>
  <si>
    <t>14 ธ.ค. 35</t>
  </si>
  <si>
    <t>รถยนต์ซ่อมบำรุงรักษาไฟฟ้าเอนกประสงค์ยี่ห้ออีซูซุ สีส้ม ลป.80-8813</t>
  </si>
  <si>
    <t>012-37-0003</t>
  </si>
  <si>
    <t>รถยนต์กระเช้าติดตั้งไฟฟ้า ยี่ห้อฮีโน่ สีส้ม  ลป.80-8601</t>
  </si>
  <si>
    <t>012-43-0004</t>
  </si>
  <si>
    <t>15 ก.ย. 43</t>
  </si>
  <si>
    <t>รถยนต์เครนพับแขนยืดหดได้ยีห้อ มิตซูบิชิ สีเหลือง (ลป.81-0758)</t>
  </si>
  <si>
    <t>012-49-0005</t>
  </si>
  <si>
    <t>21 ก.พ. 49</t>
  </si>
  <si>
    <t>014</t>
  </si>
  <si>
    <t xml:space="preserve">  (รถยก รถปั้นจั่น)</t>
  </si>
  <si>
    <t>รถเครน ยี่ห้อ อีซูซุ สีขาว  ลป.81-0835</t>
  </si>
  <si>
    <t>014-41-0001</t>
  </si>
  <si>
    <t>7 ต.ค. 41</t>
  </si>
  <si>
    <t>รถเครนแขนพับและยืดได้ ยี่ห้อ มิตซูบิชิ สีเหลือง (ลป 80-8766)</t>
  </si>
  <si>
    <t>014-41-0002</t>
  </si>
  <si>
    <t>30 พ.ย. 41</t>
  </si>
  <si>
    <t>017</t>
  </si>
  <si>
    <t xml:space="preserve"> (รถกระบะยกเท)</t>
  </si>
  <si>
    <t>รถกระบะยกเท 6 ล้อ ยี่ห้ออีซูซุ สีฟ้า ลป.80-8864</t>
  </si>
  <si>
    <t>017-25-0005</t>
  </si>
  <si>
    <t>16 ก.ค. 25</t>
  </si>
  <si>
    <t>รถกระบะยกเท 6 ล้อ ยี่ห้ออีซูซุ  ลป.80-8805</t>
  </si>
  <si>
    <t>017-27-0006</t>
  </si>
  <si>
    <t>11 ก.ย. 27</t>
  </si>
  <si>
    <t>รถบรรทุกหกล้อเทท้าย ยี่ห้อฮีโน่ สีขาว ลป.80-8771</t>
  </si>
  <si>
    <t>017-32-0008</t>
  </si>
  <si>
    <t>14 ก.ย. 32</t>
  </si>
  <si>
    <t>รถกระบะยกเท 6 ล้อ ยี่ห้ออีซูซุ สีขาว ลป.80-8798</t>
  </si>
  <si>
    <t>017-35-0010</t>
  </si>
  <si>
    <t>21 พ.ค. 35</t>
  </si>
  <si>
    <t>รถกระบะยกเท 6 ล้อ ยี่ห้อฮีโน่ สีส้ม ลป.81-0836</t>
  </si>
  <si>
    <t>017-36-0011</t>
  </si>
  <si>
    <t>22 เม.ย. 36</t>
  </si>
  <si>
    <t>รถบรรทุกหกล้อเทท้าย ยี่อีซูซุ สีขาว   (ลป.80-8773)</t>
  </si>
  <si>
    <t>017-37-0009</t>
  </si>
  <si>
    <t>รถบรรทุกเทท้าย ยี่ห้อมิตซูบิชิ สีขาว  ลป.80-8770</t>
  </si>
  <si>
    <t>017-40-0012</t>
  </si>
  <si>
    <t>2 เม.ย. 40</t>
  </si>
  <si>
    <t>รถบรรทุกเทท้าย 6 ล้อ ยี่ห้ออีซูซุ สีขาว ลป.80-8772</t>
  </si>
  <si>
    <t>017-40-0013</t>
  </si>
  <si>
    <t>6 พ.ค. 40</t>
  </si>
  <si>
    <t>รถยนต์บรรทุกเทท้าย 6 ล้อ ยี่ห้อนิสสัน สีขาว ลป.80-8774</t>
  </si>
  <si>
    <t>017-41-0014</t>
  </si>
  <si>
    <t>15 ก.ย. 41</t>
  </si>
  <si>
    <t>รถบรรทุกเทท้าย 4 ล้อ ยี่ห้อ TOYOTA  ลป.บว.6173</t>
  </si>
  <si>
    <t>017-59-0015</t>
  </si>
  <si>
    <t>29 มิ.ย 59</t>
  </si>
  <si>
    <t>024</t>
  </si>
  <si>
    <t xml:space="preserve"> (รถจักรยานยนต์)</t>
  </si>
  <si>
    <t>รถจักรยานยนต์ ยี่ห้อฮอนด้า 90 ซีซี สีน้ำตาล ลป (ช-3827)</t>
  </si>
  <si>
    <t>024-29-0030</t>
  </si>
  <si>
    <t>21 ก.พ. 29</t>
  </si>
  <si>
    <t>รถจักรยานยนต์ ยี่ห้อซูซูกิ รุ่น RC100 J สีแดงเข้ม (เลขทะเบียนเดิม ต - 6343 เปลี่ยนเป็น ขจง 539)</t>
  </si>
  <si>
    <t>024-32-0041</t>
  </si>
  <si>
    <t xml:space="preserve"> 5 ม.ค.32</t>
  </si>
  <si>
    <t>ส่วนโยธา/งานธุรการ</t>
  </si>
  <si>
    <t>รถจักรยานยนต์ ยี่ห้อซูซูกิ  สีน้ำตาล  ขจง 541</t>
  </si>
  <si>
    <t>024-35-0048</t>
  </si>
  <si>
    <t>3 มี.ค. 35</t>
  </si>
  <si>
    <t>รถจักรยานยนต์ ยี่ห้อซูซูกิ  สีน้ำตาล ป 7112</t>
  </si>
  <si>
    <t>024-35-0049</t>
  </si>
  <si>
    <t>รถจักรยานยนต์ ยี่ห้อ ซูซูกิ  (ป 7110)</t>
  </si>
  <si>
    <t>024-35-0051</t>
  </si>
  <si>
    <t>ส่วนการโยธา / งานบำรุงทางและสะพาน</t>
  </si>
  <si>
    <t>รถจักรยานยนต์ ยี่ห้อ ซูซูกิ  (ป 7115)</t>
  </si>
  <si>
    <t>024-35-0052</t>
  </si>
  <si>
    <t xml:space="preserve"> 3 มี.ค.35</t>
  </si>
  <si>
    <t>รถจักรยานยนต์ ยี่ห้อ ยามาฮ่า  (ป 4184)  สีน้ำเงิน</t>
  </si>
  <si>
    <t>024-35-0061</t>
  </si>
  <si>
    <t>รถจักรยานยนต์ ยี่ห้อ ฮอนด้า  (ย 3370)  สีแดง</t>
  </si>
  <si>
    <t>024-38-0062</t>
  </si>
  <si>
    <t xml:space="preserve"> 9 ม.ค.38</t>
  </si>
  <si>
    <t>รถจักรยานยนต์ ยี่ห้อ ยามาฮ่า รุ่น เมท (ขจง-542)  สีแดง</t>
  </si>
  <si>
    <t>024-39-0064</t>
  </si>
  <si>
    <t>รถจักรยานยนต์ ยี่ห้อ คาวาซากิ (กษษ-145) สีแดง</t>
  </si>
  <si>
    <t>024-44-0071</t>
  </si>
  <si>
    <t>รถจักรยานยนต์ ยี่ห้อ ซูซูกิ (ขกข-249) สีดำ</t>
  </si>
  <si>
    <t>024-44-0073</t>
  </si>
  <si>
    <t>รถจักรยานยนต์  ยี่ห้อคาวาซากิ  สีเขียว (ขกพ.850)</t>
  </si>
  <si>
    <t>024-45-0075</t>
  </si>
  <si>
    <t>วิชชุดา</t>
  </si>
  <si>
    <t>รถจักรยานยนต์ ยี่ห้อ  ซูซูกิ  (ขกว 845)  สีเทา</t>
  </si>
  <si>
    <t>024-45-0076</t>
  </si>
  <si>
    <t>รถจักรยานยนต์ ยี่ห้อ คาวาซากิ  (ขขก-778)  สีเทา</t>
  </si>
  <si>
    <t>024-45-0077</t>
  </si>
  <si>
    <t>รถจักรยานยนต์ ยี่ห้อ ซูซูกิ (ขขง-293)  สีน้ำเงิน</t>
  </si>
  <si>
    <t>024-45-0078</t>
  </si>
  <si>
    <t>รถจักรยานยนต์ ยี่ห้อ ซูซูกิ (ขขง-296)  สีน้ำเงิน</t>
  </si>
  <si>
    <t>024-45-0079</t>
  </si>
  <si>
    <t>รถจักรยานยนต์ ยี่ห้อ ซูซูกิ (ขขง-295) สีน้ำเงิน</t>
  </si>
  <si>
    <t>024-45-0080</t>
  </si>
  <si>
    <t>รถจักรยานยนต์ ยี่ห้อ ซูซูกิ (ขขง-297) สีน้ำเงิน</t>
  </si>
  <si>
    <t>024-45-0081</t>
  </si>
  <si>
    <t>รถจักรยานยนต์ ยี่ห้อ ซูซูกิ  (ขขง 294) สีน้ำเงิน</t>
  </si>
  <si>
    <t>024-45-0082</t>
  </si>
  <si>
    <t>รถจักรยานยนต์ ยี่ห้อ ซูซูกิ  (ขขษ 233) สีเทา</t>
  </si>
  <si>
    <t>024-46-0084</t>
  </si>
  <si>
    <t>รถจักรยานยนต์ ยี่ห้อ ซูซูกิ  (ขคง 530) สีแดง-ดำ</t>
  </si>
  <si>
    <t>024-46-0085</t>
  </si>
  <si>
    <t xml:space="preserve"> 23 มิ.ย.46</t>
  </si>
  <si>
    <t>รถจักรยานยนต์ ยี่ห้อ ซูซูกิ  (ขคง 529) สีฟ้า-ดำ</t>
  </si>
  <si>
    <t>024-46-0086</t>
  </si>
  <si>
    <t>รถจักรยานยนต์ ยี่ห้อ ซูซูกิ (ขงง-995)  สีฟ้า-ดำ</t>
  </si>
  <si>
    <t>024-47-0089</t>
  </si>
  <si>
    <t>รถจักรยานยนต์ ยี่ห้อซูซูกิ  สีฟ้าดำ ขวท.666 สีฟ้า-ดำ</t>
  </si>
  <si>
    <t>024-47-0090</t>
  </si>
  <si>
    <t>17 มี.ค 47</t>
  </si>
  <si>
    <t>รถจักรยานยนต์ ซู.ซู.กิ สีฟ้า-ดำ  (ทะเบียนขงท. 777) สีฟ้า-ดำ</t>
  </si>
  <si>
    <t>024-47-0091</t>
  </si>
  <si>
    <t>ศูนย์เครื่องจักรฯ</t>
  </si>
  <si>
    <t>รถจักรยานยนต์ ยี่ห้อซูซูกิ  สีน้ำเงิน (เลขทะเบียน ขงง 994)</t>
  </si>
  <si>
    <t>024-47-0092</t>
  </si>
  <si>
    <t xml:space="preserve"> 17 มี.ค.47</t>
  </si>
  <si>
    <t>รถจักรยานยนต์ ยี่ห้อซูซูกิ  สีน้ำเงิน (เลขทะเบียน ขงง 993)</t>
  </si>
  <si>
    <t>024-47-0093</t>
  </si>
  <si>
    <t>รถจักรยานยนต์ ยี่ห้อ ซูซูกิ  (ขงง 992)  สีน้ำเงิน-ดำ</t>
  </si>
  <si>
    <t>024-47-0094</t>
  </si>
  <si>
    <t>รถจักรยานยนต์ ยี่ห้อ ซูซูกิ (ขขง-991) สีน้ำเงิน-ดำ</t>
  </si>
  <si>
    <t>024-47-0095</t>
  </si>
  <si>
    <t>รถจักรยานยนต์ ยี่ห้อ ซูซูกิ  (ขงต 169) สีน้ำเงิน-ดำ</t>
  </si>
  <si>
    <t>024-47-0104</t>
  </si>
  <si>
    <t>รถจักรยานยนต์ ยี่ห้อ ซูซูกิ  (ขทธ 250)  สีแดง</t>
  </si>
  <si>
    <t>024-49-0099</t>
  </si>
  <si>
    <t xml:space="preserve"> 28 ธ.ค.49</t>
  </si>
  <si>
    <t>รถจักรยานยนต์ ยี่ห้อ แพทตินั่ม  (ขนพ 892)  สีน้ำเงิน</t>
  </si>
  <si>
    <t>024-52-0100</t>
  </si>
  <si>
    <t xml:space="preserve"> 9 เม.ย.52</t>
  </si>
  <si>
    <t>รถจักรยานยนต์ ยี่ห้อ แพทตินั่ม  (ขนพ 895)  สีน้ำเงิน</t>
  </si>
  <si>
    <t>024-52-0101</t>
  </si>
  <si>
    <t>รถจักรยานยนต์ ยี่ห้อ แพทตินั่ม  (ชนพ 893)  สีน้ำเงิน</t>
  </si>
  <si>
    <t>024-52-0102</t>
  </si>
  <si>
    <t>รถจักรยานยนต์ ยี่ห้อ แพทตินั่ม  (ขนพ 894)  สีน้ำเงิน</t>
  </si>
  <si>
    <t>024-52-0103</t>
  </si>
  <si>
    <t>026</t>
  </si>
  <si>
    <t xml:space="preserve"> (รถสามล้อแดง รถดั๊มเปอร์เล็ก)</t>
  </si>
  <si>
    <t>รถกระบะ (วากอน) ยี่ห้ออีซูซุ รุ่น TFR 54 สีขาว (ม.4407)</t>
  </si>
  <si>
    <t>026-38-0019</t>
  </si>
  <si>
    <t>รถดั๊มเปอร์ยันม่าร์ 1 สูบ 4 จังหวะ</t>
  </si>
  <si>
    <t>026-41-0020</t>
  </si>
  <si>
    <t>7 ส.ค.41</t>
  </si>
  <si>
    <t>033</t>
  </si>
  <si>
    <t xml:space="preserve"> (เรือ)</t>
  </si>
  <si>
    <t>1</t>
  </si>
  <si>
    <t>เรือท้องแบนไฟเบอร์กลาสพร้อมเครื่องยนต์และอุปกรณ์ประจำเรือ</t>
  </si>
  <si>
    <t>033-62-0003</t>
  </si>
  <si>
    <t>ส่วนการโยธา / งานเครื่องจักรแลและซ่อมบำรุง</t>
  </si>
  <si>
    <t>2</t>
  </si>
  <si>
    <t>033-62-0004</t>
  </si>
  <si>
    <t>033-62-0005</t>
  </si>
  <si>
    <t>035</t>
  </si>
  <si>
    <t>(เครื่องชักลาก)</t>
  </si>
  <si>
    <t>เครื่องชักลากโคลนเลน</t>
  </si>
  <si>
    <t>035-29-0005</t>
  </si>
  <si>
    <t>039</t>
  </si>
  <si>
    <t>(เครื่องติดตามรถยนต์)</t>
  </si>
  <si>
    <t>เครื่องติดตามรถยนต์ GPS พร้อมเครื่องรูดใบขับขี่ ยี่ห้อ AGT-T3 รุ่น 51</t>
  </si>
  <si>
    <t>039-63-0001</t>
  </si>
  <si>
    <t>039-63-0002</t>
  </si>
  <si>
    <t>053</t>
  </si>
  <si>
    <t xml:space="preserve"> (ลิฟท์ไฟฟ้ารถยก)</t>
  </si>
  <si>
    <t>ลิฟท์ไฟฟ้ายกรถ แบบ 2 เสา  ยี่ห้อ MAHA รุ่น EL-3.0 CF</t>
  </si>
  <si>
    <t>053-47-0002</t>
  </si>
  <si>
    <t xml:space="preserve"> 8 มี.ค.47</t>
  </si>
  <si>
    <t>ศูนย์เครื่องจักรกล</t>
  </si>
  <si>
    <t>ฝ่ายสาธารณูปโภค</t>
  </si>
  <si>
    <t>3. ครุภัณฑ์การเกษตร</t>
  </si>
  <si>
    <t xml:space="preserve"> (เครื่องสูบน้ำ เครื่องปั๊มน้ำ)</t>
  </si>
  <si>
    <t xml:space="preserve">เครื่องปั๊มน้ำ(ปั๊มแช่ ปั๊มจุ่ม) ขนาด 2 นิ้ว กำลังไฟ 400 วัตต์ </t>
  </si>
  <si>
    <t>63</t>
  </si>
  <si>
    <t>0244</t>
  </si>
  <si>
    <t>23 มี.ค. 63</t>
  </si>
  <si>
    <t>0245</t>
  </si>
  <si>
    <t>0246</t>
  </si>
  <si>
    <t>0247</t>
  </si>
  <si>
    <t>0248</t>
  </si>
  <si>
    <t>ทะเบียนรายงานผลการตรวจนับครุภัณฑ์  ประจำปีงบประมาณ  2566</t>
  </si>
  <si>
    <t>เครื่องสูบน้ำ</t>
  </si>
  <si>
    <t>34</t>
  </si>
  <si>
    <t>0021</t>
  </si>
  <si>
    <t>24 พ.ค.34</t>
  </si>
  <si>
    <t>ส่วนการโยธา/สวนสาธารณะ/เขื่อนยาง</t>
  </si>
  <si>
    <t>เครื่องปั๊มน้ำ</t>
  </si>
  <si>
    <t>35</t>
  </si>
  <si>
    <t>1 ก.ย. 35</t>
  </si>
  <si>
    <t>36</t>
  </si>
  <si>
    <t>20 ม.ค. 36</t>
  </si>
  <si>
    <t>ส่วนการโยธา/งานบำรุงรักษาและซ่อมแซม/บ่อหมัก</t>
  </si>
  <si>
    <t>38</t>
  </si>
  <si>
    <t>29 ก.ย. 38</t>
  </si>
  <si>
    <t>42</t>
  </si>
  <si>
    <t>12 มี.ค. 42</t>
  </si>
  <si>
    <t>44</t>
  </si>
  <si>
    <t>0075</t>
  </si>
  <si>
    <t>25 เม.ย. 44</t>
  </si>
  <si>
    <t>45</t>
  </si>
  <si>
    <t>0084</t>
  </si>
  <si>
    <t>5 มิ.ย. 45</t>
  </si>
  <si>
    <t>0085</t>
  </si>
  <si>
    <t>47</t>
  </si>
  <si>
    <t>0113</t>
  </si>
  <si>
    <t>28 เม.ย. 47</t>
  </si>
  <si>
    <t>0114</t>
  </si>
  <si>
    <t>เครื่องสูบน้ำหอยโข่ง</t>
  </si>
  <si>
    <t>0116</t>
  </si>
  <si>
    <t>31 ส.ค. 48</t>
  </si>
  <si>
    <t>ปั๊มหอยโข่ง</t>
  </si>
  <si>
    <t>0117</t>
  </si>
  <si>
    <t>26 ก.ย. 48</t>
  </si>
  <si>
    <t>ส่วนการโยธา/งานสวนสาธารณะ/เรือนเพาะชำเคนเน็ต</t>
  </si>
  <si>
    <t>เครื่องสูบน้ำแบบหอยโข่ง</t>
  </si>
  <si>
    <t>49</t>
  </si>
  <si>
    <t>2 มี.ค. 49</t>
  </si>
  <si>
    <t>50</t>
  </si>
  <si>
    <t>3 พ.ค. 50</t>
  </si>
  <si>
    <t>28 ธ.ค. 50</t>
  </si>
  <si>
    <t>ใช้ที่ระบบประปาถังสูง</t>
  </si>
  <si>
    <t>14 พ.ย. 52</t>
  </si>
  <si>
    <t>เครื่องสูบน้ำหมุนเวียน</t>
  </si>
  <si>
    <t>ส่วนการโยธา/งานสวนสาธารณะ/ข่วงนคร</t>
  </si>
  <si>
    <t>เครื่องสูบน้ำแบบจุ่ม</t>
  </si>
  <si>
    <t>เครื่องสูบน้ำรดน้ำต้นไม้</t>
  </si>
  <si>
    <t>ส่วนการโยธา/งานสวนสาธารณะ/สวนห้าแยก</t>
  </si>
  <si>
    <t>เครื่องสูบน้ำพุ</t>
  </si>
  <si>
    <t>เครื่องสูบน้ำแรงดัน</t>
  </si>
  <si>
    <t>ส่วนการโยธา/งานสวนสาธารณะ/ข่วงนคร (สระน้ำ 1)</t>
  </si>
  <si>
    <t>เครื่องสูบน้ำแบบจุ่ม (งานไฟฟ้าถนน)</t>
  </si>
  <si>
    <t>เครื่องสูบน้ำ(แบบจุ่ม)</t>
  </si>
  <si>
    <t>53</t>
  </si>
  <si>
    <t>29 มี.ค. 53</t>
  </si>
  <si>
    <t>เครื่องดูดตะกอน</t>
  </si>
  <si>
    <t>54</t>
  </si>
  <si>
    <t>23 ก.ย. 54</t>
  </si>
  <si>
    <t>ส่วนการโยธา/งานสวนสาธารณะ/ห้องพัสดุ เคนเน็ต</t>
  </si>
  <si>
    <t>ห้องพัสดุ</t>
  </si>
  <si>
    <t>เครื่องปั้มน้ำ</t>
  </si>
  <si>
    <t>ส่วนการโยธา/งานสวนสาธารณะ/หน้าวัดสิงห์ชัย</t>
  </si>
  <si>
    <t>เครื่องปั้มน้ำ (ปั้มขึ้นถังหอสูง)</t>
  </si>
  <si>
    <t>55</t>
  </si>
  <si>
    <t>23 ก.ค. 55</t>
  </si>
  <si>
    <t>ส่วนการโยธา/งานสวนสาธารณะ/สวนประตูเวียง</t>
  </si>
  <si>
    <t>(ในห้องเครื่องใต้ดิน)</t>
  </si>
  <si>
    <t>เครื่องปั้มน้ำสูบน้ำทิ้ง (ภายในห้องปั้ม)</t>
  </si>
  <si>
    <t>อยู่ในห้องเครื่องใต้ดิน</t>
  </si>
  <si>
    <t>0176</t>
  </si>
  <si>
    <t>0177</t>
  </si>
  <si>
    <t>0178</t>
  </si>
  <si>
    <t>0179</t>
  </si>
  <si>
    <t>เครื่องปั้มน้ำสำหรับใช้ในอาคาร (ภายในห้องปั้ม)</t>
  </si>
  <si>
    <t>0180</t>
  </si>
  <si>
    <t>0181</t>
  </si>
  <si>
    <t>0182</t>
  </si>
  <si>
    <t>0183</t>
  </si>
  <si>
    <t>0184</t>
  </si>
  <si>
    <t>เครื่องปั้มน้ำสูบน้ำทิ้ง</t>
  </si>
  <si>
    <t>0185</t>
  </si>
  <si>
    <t>ตู้ควบคุมปั้มน้ำ</t>
  </si>
  <si>
    <t>0187</t>
  </si>
  <si>
    <t>ส่วนการโยธา/งานสวนสาธารณะ/สวนสุชาดา(พระแก้ว)</t>
  </si>
  <si>
    <t>0189</t>
  </si>
  <si>
    <t>ปั้มระบบส่งน้ำก๊อกสนาม</t>
  </si>
  <si>
    <t>0190</t>
  </si>
  <si>
    <t>ปั้มระบบสูบน้ำทิ้ง</t>
  </si>
  <si>
    <t>0191</t>
  </si>
  <si>
    <t>ปั้มระบบส่งน้ำหัวน้ำพุ</t>
  </si>
  <si>
    <t>0192</t>
  </si>
  <si>
    <t>ตัวควบคุมปั้มน้ำ</t>
  </si>
  <si>
    <t>ตัวควบคุมปั้ม</t>
  </si>
  <si>
    <t>ชุดควบคุมสถานะปั้ม</t>
  </si>
  <si>
    <t>0204</t>
  </si>
  <si>
    <t>ตู้ควบคุมปั้ม</t>
  </si>
  <si>
    <t>0205</t>
  </si>
  <si>
    <t>0206</t>
  </si>
  <si>
    <t>10 เม.ย. 55</t>
  </si>
  <si>
    <t>หัวน้ำพุทองเหลือง</t>
  </si>
  <si>
    <t>0207</t>
  </si>
  <si>
    <t>2 เม.ย. 55</t>
  </si>
  <si>
    <t>เครื่องสูบน้ำบาดาล</t>
  </si>
  <si>
    <t>57</t>
  </si>
  <si>
    <t>20 ส.ค. 57</t>
  </si>
  <si>
    <t>ส่วนการโยธา/งานสวนสาธารณะ/ศาลากลางหลังเก่า</t>
  </si>
  <si>
    <t>58</t>
  </si>
  <si>
    <t>0208</t>
  </si>
  <si>
    <t>เครื่องสูบน้ำดี</t>
  </si>
  <si>
    <t>0209</t>
  </si>
  <si>
    <t>0210</t>
  </si>
  <si>
    <t>0211</t>
  </si>
  <si>
    <t>เครื่องจ่ายสารละลายครอรีน</t>
  </si>
  <si>
    <t>ปั้มน้ำ PUMP CAPACITY :833</t>
  </si>
  <si>
    <t>ปั้มน้ำ PUMP CAPACITY :834</t>
  </si>
  <si>
    <t>ปั้มน้ำ PUMP CAPACITY :835</t>
  </si>
  <si>
    <t>ปั้มน้ำ PUMP CAPACITY :836</t>
  </si>
  <si>
    <t>0216</t>
  </si>
  <si>
    <t>เครื่องปั้มน้ำ ปั้มแช่ ปั้มจุ่ม</t>
  </si>
  <si>
    <t>0217</t>
  </si>
  <si>
    <t>23 พ.ค. 58</t>
  </si>
  <si>
    <t>0218</t>
  </si>
  <si>
    <t>เครื่องสูบน้ำแบบหอยโข่ง มอเตอร์ไฟฟ้า</t>
  </si>
  <si>
    <t>61</t>
  </si>
  <si>
    <t>0226</t>
  </si>
  <si>
    <t>14 มี.ค. 61</t>
  </si>
  <si>
    <t>0227</t>
  </si>
  <si>
    <t>ปั้มน้ำแบบจุ่มจมใต้น้ำ</t>
  </si>
  <si>
    <t>0228</t>
  </si>
  <si>
    <t>8 มี.ค. 61</t>
  </si>
  <si>
    <t>ปั๊มน้ำอัตโนมัติ</t>
  </si>
  <si>
    <t>0230</t>
  </si>
  <si>
    <t>18 ม.ค. 62</t>
  </si>
  <si>
    <t>0231</t>
  </si>
  <si>
    <t>15 ก.พ. 62</t>
  </si>
  <si>
    <t>0232</t>
  </si>
  <si>
    <t>ตู้ควบคุมเครื่องสูบน้ำหอยโข่ง</t>
  </si>
  <si>
    <t>0233</t>
  </si>
  <si>
    <t>0234</t>
  </si>
  <si>
    <t>0235</t>
  </si>
  <si>
    <t>0236</t>
  </si>
  <si>
    <t>5 ก.ย. 62</t>
  </si>
  <si>
    <t>ส่วนการโยธา/สวนสาธารณะ/สวนเวียงละกอน</t>
  </si>
  <si>
    <t>0237</t>
  </si>
  <si>
    <t>19 เม.ย. 62</t>
  </si>
  <si>
    <t>ตู้ควบคุมอัตโนมัติ</t>
  </si>
  <si>
    <t>0238</t>
  </si>
  <si>
    <t>ส่วนการโยธา/งานควบคุมและบำรุงรักษาสถานที่</t>
  </si>
  <si>
    <t>ปั๊มน้ำหอยโข่ง ขนาด 2 นิ้ว</t>
  </si>
  <si>
    <t>0274</t>
  </si>
  <si>
    <t>25 พ.ค. 63</t>
  </si>
  <si>
    <t>ส่วนการโยธา/งานสวนสาธารณะ/สวนจีน</t>
  </si>
  <si>
    <t>ปั๊มจุ่ม 2 นิ้ว</t>
  </si>
  <si>
    <t>0275</t>
  </si>
  <si>
    <t>0276</t>
  </si>
  <si>
    <t>ปั๊มน้ำพุงานน้ำพุสามชั้น</t>
  </si>
  <si>
    <t>0278</t>
  </si>
  <si>
    <t>20 ธ.ค. 66</t>
  </si>
  <si>
    <t>เครื่องสูบน้ำแบบหอยโข่ง เครื่องยนต์ดีเซลสูบน้ำได้ 3,800 ลิตร/นาที</t>
  </si>
  <si>
    <t>0279</t>
  </si>
  <si>
    <t>29 มี.ค. 66</t>
  </si>
  <si>
    <t>เครื่องสูบน้ำแบบหอยโข่ง เครื่องยนต์ดีเซลสูบน้ำได้ 1,750 ลิตร/นาที</t>
  </si>
  <si>
    <t>30 มี.ค. 66</t>
  </si>
  <si>
    <t>เครื่องปั๊มน้ำหอยโข่ง</t>
  </si>
  <si>
    <t>0289</t>
  </si>
  <si>
    <t>ส่วนการโยธา/ฝ่ายสวนสาธารณะ/งานควบคุมและบำรุงรักษาสวนสาธารณะ</t>
  </si>
  <si>
    <t>เครื่องสูบน้ำพร้อมอุปกรณ์</t>
  </si>
  <si>
    <t>0293(2)</t>
  </si>
  <si>
    <t>0294(3)</t>
  </si>
  <si>
    <t>0295(2)</t>
  </si>
  <si>
    <t>เครื่องสูบน้ำ(อัตราการไหลไม่น้อยกว่า200ลิตร)</t>
  </si>
  <si>
    <t>(เลื่อยโซ่ยนต์)</t>
  </si>
  <si>
    <t>เลื่อยโซ่ยนต์ ตัดแต่งกิ่งไม้ ยี่ห้อ NORVAX NV3800 ขนาดไม่เกิน 1 แรงม้า</t>
  </si>
  <si>
    <t>640</t>
  </si>
  <si>
    <t>0006</t>
  </si>
  <si>
    <t>14 ก.ย.64</t>
  </si>
  <si>
    <t>0007</t>
  </si>
  <si>
    <t>0008</t>
  </si>
  <si>
    <t>0010</t>
  </si>
  <si>
    <t>เลื่อยยนต์ เครื่องยนต์เบนซิน 2 จังหวะ ยี่ห้อ STIHL ขนาด 2 แรงม้า</t>
  </si>
  <si>
    <t>0011</t>
  </si>
  <si>
    <t>15 ธ.ค.65</t>
  </si>
  <si>
    <t>0012</t>
  </si>
  <si>
    <t>0013</t>
  </si>
  <si>
    <t>0014</t>
  </si>
  <si>
    <t>0015</t>
  </si>
  <si>
    <t>(เครื่องพ่นยา, เครื่องพ่นสารเคมี)</t>
  </si>
  <si>
    <t>เครื่องพ่นยาแบบใช้แรงดัน ยี่ห้อ HONDA</t>
  </si>
  <si>
    <t>625</t>
  </si>
  <si>
    <t xml:space="preserve">เครื่องพ่นยาชนิดสะพายหลัง ยี่ห้อ BKFFALOELEGANT </t>
  </si>
  <si>
    <t>27 ก.ค.59</t>
  </si>
  <si>
    <t>ส่วนการโยธา / งานสวนสาธารณะ /</t>
  </si>
  <si>
    <t>(เครื่องโม่ปุ๋ย)</t>
  </si>
  <si>
    <t>เครื่องโม่กาบมะพร้าว ทำปุ๋ยใช้มอเตอร์ไฟฟ้าขนาดไม่น้อยกว่า 2 แรงม้า</t>
  </si>
  <si>
    <t>633</t>
  </si>
  <si>
    <t>0001</t>
  </si>
  <si>
    <t>19 ส.ค. 40</t>
  </si>
  <si>
    <t>เครื่องโม่ปุ๋ย ขนาด 5 แรงม้า</t>
  </si>
  <si>
    <t>10 ก.ย. 41</t>
  </si>
  <si>
    <t>เครื่องแปลงขยะชีวะมวลเป็นอินทรีย์</t>
  </si>
  <si>
    <t>19 ต.ค.55</t>
  </si>
  <si>
    <t xml:space="preserve">  (เครื่องกระเทาะเมล็ดพืช)</t>
  </si>
  <si>
    <t>เครื่องตีขุยมะพร้าว</t>
  </si>
  <si>
    <t>634</t>
  </si>
  <si>
    <t>23 ส.ค. 44</t>
  </si>
  <si>
    <t xml:space="preserve">ส่วนการโยธา / งานกำจัดมูลฝอยฯ  </t>
  </si>
  <si>
    <t xml:space="preserve">  (เครื่องตัดต้นไม้)</t>
  </si>
  <si>
    <t>เครื่องตัดต้นไม้ แบบบรรทุกรถเคลื่อนที่</t>
  </si>
  <si>
    <t>635</t>
  </si>
  <si>
    <t>23 มิ.ย.65</t>
  </si>
  <si>
    <t>(เครื่องให้อ๊อกซิเจนไฟฟ้า)</t>
  </si>
  <si>
    <t xml:space="preserve">เครื่องให้อ๊อกซิเจนไฟฟ้า </t>
  </si>
  <si>
    <t>638</t>
  </si>
  <si>
    <t>เครื่องให้อ๊อกซิเจนไฟฟ้า 4 ใบพัด(โยธา)</t>
  </si>
  <si>
    <t>7 ก.พ. 50</t>
  </si>
  <si>
    <t>เครื่องตีน้ำชนิด47ใบพัดขนาดกำลังมอเตอร์ 2 แรงม้า ยี่ห้อSV</t>
  </si>
  <si>
    <t>60</t>
  </si>
  <si>
    <t xml:space="preserve"> 28 เม.ย.60</t>
  </si>
  <si>
    <t>สระน้ำหน้าวัดพระแก้ว</t>
  </si>
  <si>
    <t xml:space="preserve">  (เครื่องย่อยต้นไม้ กิ่งไม้)</t>
  </si>
  <si>
    <t>เครื่องย่อยต้นไม้ กิ่งไม้ แบบเคลื่อนที่ เครื่องยนต์ดีเซล 102 แรงม้า</t>
  </si>
  <si>
    <t>639</t>
  </si>
  <si>
    <t>12 ก.ค.65</t>
  </si>
  <si>
    <t>(ลงชื่อ)                                                       กรรมการและเลขานุการ</t>
  </si>
  <si>
    <t>งานเครื่องจักรกลและซ่อมบำรุง</t>
  </si>
  <si>
    <t>งานกำจัดขยะมูลฝอยและสิ่งปฏิกูล</t>
  </si>
  <si>
    <t xml:space="preserve">งานสาธารณูปโภค </t>
  </si>
  <si>
    <t>4. ครุภัณฑ์ก่อสร้าง</t>
  </si>
  <si>
    <t>วันเดือนปี ที่ได้มา</t>
  </si>
  <si>
    <t>005</t>
  </si>
  <si>
    <t>รถเข็น  ชนิด 3 ล้อ  ขนาด 10 ปิ๊บ สีน้ำเงิน</t>
  </si>
  <si>
    <t>005-63-0109</t>
  </si>
  <si>
    <t>ส่วนการโยธา / ฝ่ายสวนสาธารณะ (เรือ่นเพาะชำ)</t>
  </si>
  <si>
    <t>005-63-0110</t>
  </si>
  <si>
    <t>3</t>
  </si>
  <si>
    <t>005-63-0111</t>
  </si>
  <si>
    <t>4</t>
  </si>
  <si>
    <t>005-63-0112</t>
  </si>
  <si>
    <t>5</t>
  </si>
  <si>
    <t>005-63-0113</t>
  </si>
  <si>
    <t>015</t>
  </si>
  <si>
    <t xml:space="preserve"> (รถเกลี่ยดิน รถเกรด รถบด)</t>
  </si>
  <si>
    <t>รถเกลี่ยดิน ยี่ห้อมิตซูบิชิ สีเหลือง  ลป.ต.1145</t>
  </si>
  <si>
    <t>015-39-0002</t>
  </si>
  <si>
    <t>17 มิ.ย. 39</t>
  </si>
  <si>
    <t>018</t>
  </si>
  <si>
    <t xml:space="preserve"> (รถตักดินล้อยาง รถขุดดิน รถตักหน้าขุดหลัง)</t>
  </si>
  <si>
    <t>รถตักล้อยาง ยี่ห้อฟูรูกาว่า สีเหลือง  ลป.ต.0293</t>
  </si>
  <si>
    <t>018-30-0001</t>
  </si>
  <si>
    <t>18 มิ.ย. 30</t>
  </si>
  <si>
    <t>รถขุดตีนตะขาบ ยี่ห้อแคตเตอร์ฟิลล่าร์ สีเหลือง  ลป.ต.0002</t>
  </si>
  <si>
    <t>018-32-0002</t>
  </si>
  <si>
    <t>28 เม.ย. 32</t>
  </si>
  <si>
    <t>รถขุดตีนตะขาบ ยี่ห้อแคตเตอร์ฟิลล่าร์ สีเหลือง  ลป.ต 0017</t>
  </si>
  <si>
    <t>018-34-0003</t>
  </si>
  <si>
    <t>11 เม.ย. 34</t>
  </si>
  <si>
    <t>รถขุดตักดิน ยี่ห้อแคตเตอร์ฟิลล่าร์ สีเหลือง ลป.ต.1202</t>
  </si>
  <si>
    <t>018-40-0005</t>
  </si>
  <si>
    <t>17 ก.พ. 40</t>
  </si>
  <si>
    <t>รถขุดตีนตะขาบ ยี่ห้อแคตเตอร์ฟิลล่าร์ สีเหลือง-ดำ ลป.ตค 101</t>
  </si>
  <si>
    <t>018-41-0006</t>
  </si>
  <si>
    <t>15 ก.ค. 41</t>
  </si>
  <si>
    <t xml:space="preserve">รถขุดตีนตะชาบ ขนาด 150 แรงม้า รถขุดไฮโดลิค ยี่ห้อ JCB  </t>
  </si>
  <si>
    <t>018-59-0007</t>
  </si>
  <si>
    <t>15 มี.ค. 59</t>
  </si>
  <si>
    <t>รุ่น JS200sc สีเหลือง ลป.ต.ค 1441</t>
  </si>
  <si>
    <t>รถขุดตีนตะขาบ ขนาด 150 แรงม้า รถขุดไฮโดลิค ยี่ห้อ JCB</t>
  </si>
  <si>
    <t>018-59-0008</t>
  </si>
  <si>
    <t>15 มี.ค.59</t>
  </si>
  <si>
    <t>รุ่น JS200sc สีเหลือง ลป.ต.ค 1442</t>
  </si>
  <si>
    <t>รถตักหน้าขุดหลัง LOVOL  ขับเคลื่อน 4 ล้อ ทะเบียน ตค-2124</t>
  </si>
  <si>
    <t>018-61-0009</t>
  </si>
  <si>
    <t>30 ส.ค.61</t>
  </si>
  <si>
    <t>019</t>
  </si>
  <si>
    <t xml:space="preserve">  (รถแทรกเตอร์)</t>
  </si>
  <si>
    <t>รถแทรกเตอร์ตีนตะขาบ ยี่ห้อคัตเตอร์ฟิลล่า สีเหลือง  ลป.ต 1016</t>
  </si>
  <si>
    <t>019-34-0002</t>
  </si>
  <si>
    <t>28 พ.ย. 34</t>
  </si>
  <si>
    <t>รถแทรกเตอร์ตีนตะขาบ ยี่ห้อคัตเตอร์ฟิลล่า สีเหลือง ลป.ต 1051</t>
  </si>
  <si>
    <t>019-36-0003</t>
  </si>
  <si>
    <t>14 พ.ค. 36</t>
  </si>
  <si>
    <t>020</t>
  </si>
  <si>
    <t xml:space="preserve"> (รถบด)</t>
  </si>
  <si>
    <t>รถบดเซดติลามเยอร์ เครื่องดีเซล 8-10 ตัน</t>
  </si>
  <si>
    <t>020-04-0002</t>
  </si>
  <si>
    <t>28 ก.พ. 04</t>
  </si>
  <si>
    <t>รถบดแบบสั่นสะเทือน ยี่ห้อไดน่าแพค สีเหลือง  ลป.ถ.0026</t>
  </si>
  <si>
    <t>020-34-0004</t>
  </si>
  <si>
    <t>17 เม.ย. 34</t>
  </si>
  <si>
    <t>รถบดล้อยาง ยี่ห้อไดน่าแพค สีเหลือง  ลป.ถ.0038</t>
  </si>
  <si>
    <t>020-37-0005</t>
  </si>
  <si>
    <t>12 พ.ค. 37</t>
  </si>
  <si>
    <t>รถบดถนนล้อเหล็กเรียบ 2 ล้อยี่ห้อ DYNAPACสีเหลือง  ลป.ถ 0062</t>
  </si>
  <si>
    <t>020-40-0006</t>
  </si>
  <si>
    <t>27 มี.ค. 40</t>
  </si>
  <si>
    <t xml:space="preserve">รดบด (รถไม่ได้ใช้แล้วเก็บอนุรักษ์ไว้) </t>
  </si>
  <si>
    <t>020-98-0001</t>
  </si>
  <si>
    <t>26 ธค.98</t>
  </si>
  <si>
    <t>023</t>
  </si>
  <si>
    <t xml:space="preserve"> (ล้อเลื่อน เกวียน ล้อเข็น)</t>
  </si>
  <si>
    <t xml:space="preserve">รถเข็นชนิดล้อคู่ ตัวถังทำด้วยเหล็กหนา       </t>
  </si>
  <si>
    <t>023-45-0419</t>
  </si>
  <si>
    <t>22 มี.ค. 45</t>
  </si>
  <si>
    <t xml:space="preserve">รถเข็นชนิดล้อคู่ ตัวถังทำด้วยเหล็กหนา     </t>
  </si>
  <si>
    <t>023-45-0420</t>
  </si>
  <si>
    <t>028</t>
  </si>
  <si>
    <t xml:space="preserve"> (รถตักล้อยางเอนกประสงค์)</t>
  </si>
  <si>
    <t>รถตักล้อยาง เอนกประงสงค์</t>
  </si>
  <si>
    <t>028-66-0001</t>
  </si>
  <si>
    <t>7 ส.ค. 66</t>
  </si>
  <si>
    <t>052</t>
  </si>
  <si>
    <t>(รอกแม่แรง)</t>
  </si>
  <si>
    <t>รอกยกของ แบบใช้โซ่ดึง ยกได้ไม่น้อยกว่า 2 ตัน   1  ตัว</t>
  </si>
  <si>
    <t xml:space="preserve"> 3 มี.ค.29</t>
  </si>
  <si>
    <t>รอก ขนาด 2 ตัน ยี่ห้อ TOYO</t>
  </si>
  <si>
    <t>25 ก.ค. 55</t>
  </si>
  <si>
    <t>รอกไฟฟ้า</t>
  </si>
  <si>
    <t>056</t>
  </si>
  <si>
    <t>(เครื่องกระทุ้งดิน เครื่องแอสฟัลท์ เครื่องตบดิน)</t>
  </si>
  <si>
    <t>เครื่องตบดิน ยี่ห้อ EARTH SMAKER(โยธา)</t>
  </si>
  <si>
    <t>0005</t>
  </si>
  <si>
    <t>อยู่ที่งานบำรุงรักษาทางฯ</t>
  </si>
  <si>
    <t>เครื่องตบดิน ยี่ห้อ HONDA</t>
  </si>
  <si>
    <t>40</t>
  </si>
  <si>
    <t>30 มิ.ย.40</t>
  </si>
  <si>
    <t>เครื่องซ่อมผิวแอสฟัลท์</t>
  </si>
  <si>
    <t>ส่วนการโยธา /ฝ่ายสาธารณูปโภค/งานบำรุงรักษาทางและสะพาน</t>
  </si>
  <si>
    <t>058</t>
  </si>
  <si>
    <t xml:space="preserve"> (เครื่องเจาะหิน เครื่องเจาะเหล็ก เครื่องตัดคอนกรีต)</t>
  </si>
  <si>
    <t xml:space="preserve">เครื่องเจาะคอนกรีต ยี่ห้อแคตเตอร์ฟิลล่า </t>
  </si>
  <si>
    <t>2 ก.ค. 40</t>
  </si>
  <si>
    <t>เครื่องตัดคอนกรีต  ยี่ห้อ Honda</t>
  </si>
  <si>
    <t>8 ส.ค.43</t>
  </si>
  <si>
    <t>เครื่องสกัดคอนกรีต ยี่ห้อมากีต้า รุ่น HM 1306 กำลังไฟ 1510 วัตต์</t>
  </si>
  <si>
    <t>062</t>
  </si>
  <si>
    <t xml:space="preserve"> (เครื่องผสมยางแอสฟัลท์)</t>
  </si>
  <si>
    <t xml:space="preserve">เครื่องผสมยางแอสฟัลท์  </t>
  </si>
  <si>
    <t>37</t>
  </si>
  <si>
    <t>16 ก.ย. 37</t>
  </si>
  <si>
    <t xml:space="preserve">ถังบรรจุเก็บยางแอสฟัลท์ 15,000 ลิตร </t>
  </si>
  <si>
    <t xml:space="preserve">ถังบรรจุยางแอสฟัลท์  15,000 ลิตร </t>
  </si>
  <si>
    <t>0004</t>
  </si>
  <si>
    <t>7 ส.ค. 38</t>
  </si>
  <si>
    <t>39</t>
  </si>
  <si>
    <t>7 ส.ค. 39</t>
  </si>
  <si>
    <t>ถังเหล็กใช้บรรจุบางแอสฟัลท์ 15,000 ลิตร</t>
  </si>
  <si>
    <t>17 ก.ค. 40</t>
  </si>
  <si>
    <t xml:space="preserve">เครื่องผสมแอสฟัลท์แบบเคลื่อนที่ </t>
  </si>
  <si>
    <t>063</t>
  </si>
  <si>
    <t xml:space="preserve">  (เครื่องผสมคอนกรีต)</t>
  </si>
  <si>
    <t>เครื่องผสมคอนกรีต ยี่ห้อยันมาร์</t>
  </si>
  <si>
    <t>26 พ.ย. 36</t>
  </si>
  <si>
    <t>เครื่องผสมคอนกรีต ยี่ห้อ MIXON ใช้มอเตอร์ 3 HP 220 โวลท์</t>
  </si>
  <si>
    <t>13 ธ.ค.61</t>
  </si>
  <si>
    <t>070</t>
  </si>
  <si>
    <t>(เครื่องอัดลม)</t>
  </si>
  <si>
    <t>เครื่องปั้มลมอัตโนมัติ ยี่ห้อ PUMA รุ่น DP 35 P สีฟ้า</t>
  </si>
  <si>
    <t>070-34-0003</t>
  </si>
  <si>
    <t xml:space="preserve"> 20 มี.ค.34 </t>
  </si>
  <si>
    <t>073</t>
  </si>
  <si>
    <t xml:space="preserve"> (เครื่องตีเส้น เครื่องโรยเส้น)</t>
  </si>
  <si>
    <t>เครื่องตีเส้นจราจร 1 ชุด(เครื่องตีเส้น,ปากกาตีเส้น,เครื่องประสานน้ำยา)</t>
  </si>
  <si>
    <t>17 มิ.ย. 45</t>
  </si>
  <si>
    <t>เครื่องตีเส้นจราจร 1 ชุด</t>
  </si>
  <si>
    <t>1 เม.ย. 56</t>
  </si>
  <si>
    <t>รถตีเส้นจราจร (สีเทอร์โมพลาสติก แบบเดินตามพร้อมกล่องโรยลูกแก้ว)</t>
  </si>
  <si>
    <t>15 ก.ค.64</t>
  </si>
  <si>
    <t>080</t>
  </si>
  <si>
    <t xml:space="preserve"> (เครื่องกะเทาะสี)</t>
  </si>
  <si>
    <t>เครื่องกะเทาะสี (ขับด้วยเครื่องยนต์เบนซิน ไม่น้อยกว่า 9 แรงม้า)</t>
  </si>
  <si>
    <t>090</t>
  </si>
  <si>
    <t xml:space="preserve"> (เครื่องต๊าฟเกลียว, เครื่องตัดโลหะ,เครื่องตัดคอนกรีต)</t>
  </si>
  <si>
    <t>เครื่องตัดคอนกรีตแอสฟัลด์</t>
  </si>
  <si>
    <t>11 มี.ค. 35</t>
  </si>
  <si>
    <t xml:space="preserve">เครื่องตัดคอนกรีต HONDA </t>
  </si>
  <si>
    <t>43</t>
  </si>
  <si>
    <t>8 ส.ค. 43</t>
  </si>
  <si>
    <t>เครื่องตัดเหล็ก ขนาด 1.6 มม.ยี่ห้อมากีต้า</t>
  </si>
  <si>
    <t>2 เม.ย. 47</t>
  </si>
  <si>
    <t>เครื่องสั่นคอนกรีต ขนาด 25 มิลลิเมตร ประกอบด้วยมอเตอร์ แบะสายจี้</t>
  </si>
  <si>
    <t>12 มี.ค.63</t>
  </si>
  <si>
    <t>คอนกรีต แกนหกเหลี่ยม ยาว 6 เมตร</t>
  </si>
  <si>
    <t>095</t>
  </si>
  <si>
    <t>(เครื่องบดอัด)</t>
  </si>
  <si>
    <t>เครื่องบดอัดดิน สั่นสะเทือน บังคับด้วยมือ 3.5 แรงม้า</t>
  </si>
  <si>
    <t>31</t>
  </si>
  <si>
    <t>2 ส.ค. 31</t>
  </si>
  <si>
    <t xml:space="preserve">เครื่องตบดิน ยี่ห้อ BERGIN รุ่น สปริงเกอร์ พร้อมมอเตอร์ </t>
  </si>
  <si>
    <t>12 มีค.63</t>
  </si>
  <si>
    <t xml:space="preserve">ยี่ห้อ SAKARI BX550DI </t>
  </si>
  <si>
    <t>(ชุดดรีมเมอร์)</t>
  </si>
  <si>
    <t>ชุดดริมเมอร์ (คว้านบู๊ช) ขนาด 1/2" - 1 1/2" 1 ชุด</t>
  </si>
  <si>
    <t>106</t>
  </si>
  <si>
    <t>19 ก.พ.36</t>
  </si>
  <si>
    <t>ส่วนการโยธา/ศูนย์เครื่องจักรฯ</t>
  </si>
  <si>
    <t>(ไม้ชักฟิวส์)</t>
  </si>
  <si>
    <t>ไม้ชักฟิวส์ ชนิดไฟเบอร์ ยาว 8 ฟุต</t>
  </si>
  <si>
    <t>107</t>
  </si>
  <si>
    <t>4 ต.ค. 36</t>
  </si>
  <si>
    <t>(เครื่องโรยหินแบบกลไก)</t>
  </si>
  <si>
    <t xml:space="preserve">เครื่องโรยหินแบบกลไก ใช้ติดพ่วงท้ายรถยนต์บรรทุกแบบเทท้ายได้ </t>
  </si>
  <si>
    <t>110</t>
  </si>
  <si>
    <t>7  ส.ค. 39</t>
  </si>
  <si>
    <t>สีเหลือง</t>
  </si>
  <si>
    <t xml:space="preserve"> ( เครื่องกรองทราย)</t>
  </si>
  <si>
    <t>เครื่องกรองทรายขนาด 25 ลบ.ม/ซม.</t>
  </si>
  <si>
    <t>113</t>
  </si>
  <si>
    <t xml:space="preserve">ส่วนการโยธา / ฝ่ายสวนสาธารณะ  </t>
  </si>
  <si>
    <t>เครื่องกรองทรายขนาด 7 ลบ.ม/ซม.</t>
  </si>
  <si>
    <t>เครื่องกรองทรายขนาด 12 ลบ.ม/ซม.(F-1A ตามแบบ)</t>
  </si>
  <si>
    <t>ส่วนการโยธา / ฝ่ายสวนสาธารณะ  /ข่วงนคร</t>
  </si>
  <si>
    <t>เครื่องกรองทรายขนาด 45ลบ.ม/ซม.(F-Bตามแบบ)</t>
  </si>
  <si>
    <t>งานเครื่องจักรกล</t>
  </si>
  <si>
    <t>5.ครุภัณฑ์ไฟฟ้าและวิทยุ</t>
  </si>
  <si>
    <t>082</t>
  </si>
  <si>
    <t>(โคมไฟฟ้าสาธารณะ, โคมไฟฟ้า, ไฟราว)</t>
  </si>
  <si>
    <t>โคมไฟฟ้า ขนาด 2X40W</t>
  </si>
  <si>
    <t>0016</t>
  </si>
  <si>
    <t>8 ก.ย. 31</t>
  </si>
  <si>
    <t>ส่วนการโยธา/งานไฟฟ้าสาธารณะ</t>
  </si>
  <si>
    <t>ชุมชนนาก่วมใต้</t>
  </si>
  <si>
    <t>0017</t>
  </si>
  <si>
    <t>0018</t>
  </si>
  <si>
    <t>0022</t>
  </si>
  <si>
    <t>0039</t>
  </si>
  <si>
    <t>0040</t>
  </si>
  <si>
    <t>0041</t>
  </si>
  <si>
    <t>0045</t>
  </si>
  <si>
    <t>0046</t>
  </si>
  <si>
    <t>0047</t>
  </si>
  <si>
    <t>0048</t>
  </si>
  <si>
    <t>0070</t>
  </si>
  <si>
    <t>0071</t>
  </si>
  <si>
    <t>0072</t>
  </si>
  <si>
    <t>0073</t>
  </si>
  <si>
    <t>0074</t>
  </si>
  <si>
    <t>0076</t>
  </si>
  <si>
    <t>0077</t>
  </si>
  <si>
    <t>ชุมชนศรีปงชัย</t>
  </si>
  <si>
    <t>0078</t>
  </si>
  <si>
    <t>0079</t>
  </si>
  <si>
    <t>0080</t>
  </si>
  <si>
    <t>0081</t>
  </si>
  <si>
    <t>0082</t>
  </si>
  <si>
    <t>0083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</si>
  <si>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</si>
  <si>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</si>
  <si>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</si>
  <si>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</si>
  <si>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</si>
  <si>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</si>
  <si>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</si>
  <si>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</si>
  <si>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</si>
  <si>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</si>
  <si>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</si>
  <si>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</si>
  <si>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ชุมชนท่ามะโอ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</si>
  <si>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</si>
  <si>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</si>
  <si>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</si>
  <si>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</si>
  <si>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</si>
  <si>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</si>
  <si>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</si>
  <si>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</si>
  <si>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</si>
  <si>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</si>
  <si>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</si>
  <si>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</si>
  <si>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</si>
  <si>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</si>
  <si>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0115</t>
  </si>
  <si>
    <t>0118</t>
  </si>
  <si>
    <t>0119</t>
  </si>
  <si>
    <t>0120</t>
  </si>
  <si>
    <t>0121</t>
  </si>
  <si>
    <t>0122</t>
  </si>
  <si>
    <t>0123</t>
  </si>
  <si>
    <t>0124</t>
  </si>
  <si>
    <t>0125</t>
  </si>
  <si>
    <t>ถ.ท่าคราวน้อย</t>
  </si>
  <si>
    <t>0186</t>
  </si>
  <si>
    <t>0196</t>
  </si>
  <si>
    <t>0197</t>
  </si>
  <si>
    <t>0198</t>
  </si>
  <si>
    <t>โคมไฟฟ้าอลูมิเนียมเหล็กหล่อ ขนาด 2X20W</t>
  </si>
  <si>
    <t>9 ก.ค. 35</t>
  </si>
  <si>
    <t>0229</t>
  </si>
  <si>
    <t>0239</t>
  </si>
  <si>
    <t>0240</t>
  </si>
  <si>
    <t>0241</t>
  </si>
  <si>
    <t>0242</t>
  </si>
  <si>
    <t>0243</t>
  </si>
  <si>
    <t>0249</t>
  </si>
  <si>
    <t>0250</t>
  </si>
  <si>
    <t>0251</t>
  </si>
  <si>
    <t>0252</t>
  </si>
  <si>
    <t>0253</t>
  </si>
  <si>
    <t>0254</t>
  </si>
  <si>
    <t>0255</t>
  </si>
  <si>
    <t>0256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</si>
  <si>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</si>
  <si>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</si>
  <si>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</si>
  <si>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</si>
  <si>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</si>
  <si>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</si>
  <si>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</si>
  <si>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</si>
  <si>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</si>
  <si>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</si>
  <si>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</si>
  <si>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</si>
  <si>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</si>
  <si>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</si>
  <si>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</si>
  <si>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0277</t>
  </si>
  <si>
    <t>0280</t>
  </si>
  <si>
    <t>0290</t>
  </si>
  <si>
    <t>0291</t>
  </si>
  <si>
    <t>0292</t>
  </si>
  <si>
    <t>0293</t>
  </si>
  <si>
    <t>0300</t>
  </si>
  <si>
    <t>0301</t>
  </si>
  <si>
    <t>0302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</si>
  <si>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</si>
  <si>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</si>
  <si>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</si>
  <si>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</si>
  <si>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</si>
  <si>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</si>
  <si>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</si>
  <si>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</si>
  <si>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</si>
  <si>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</si>
  <si>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</si>
  <si>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</si>
  <si>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</si>
  <si>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</si>
  <si>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</si>
  <si>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</si>
  <si>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</si>
  <si>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</si>
  <si>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</si>
  <si>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</si>
  <si>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</si>
  <si>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โคมไฟฟ้าอลูมิเนียมเหล็กหล่อ ขนาด 2X40W</t>
  </si>
  <si>
    <t>0326</t>
  </si>
  <si>
    <t>0327</t>
  </si>
  <si>
    <t>0328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</si>
  <si>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</si>
  <si>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</si>
  <si>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</si>
  <si>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</si>
  <si>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</si>
  <si>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</si>
  <si>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</si>
  <si>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</si>
  <si>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</si>
  <si>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</si>
  <si>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</si>
  <si>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</si>
  <si>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</si>
  <si>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</si>
  <si>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</si>
  <si>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</si>
  <si>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</si>
  <si>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</si>
  <si>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</si>
  <si>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</si>
  <si>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</si>
  <si>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</si>
  <si>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</si>
  <si>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</si>
  <si>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</si>
  <si>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</si>
  <si>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</si>
  <si>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</si>
  <si>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</si>
  <si>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</si>
  <si>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</si>
  <si>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</si>
  <si>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</si>
  <si>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</si>
  <si>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</si>
  <si>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</si>
  <si>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</si>
  <si>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</si>
  <si>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</si>
  <si>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</si>
  <si>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</si>
  <si>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</si>
  <si>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</si>
  <si>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</si>
  <si>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</si>
  <si>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</si>
  <si>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</si>
  <si>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</si>
  <si>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</si>
  <si>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</si>
  <si>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</si>
  <si>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</si>
  <si>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</si>
  <si>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ชุมชนนาก่วมเหนือ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</si>
  <si>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</si>
  <si>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</si>
  <si>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</si>
  <si>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</si>
  <si>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</si>
  <si>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</si>
  <si>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</si>
  <si>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</si>
  <si>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</si>
  <si>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</si>
  <si>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</si>
  <si>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</si>
  <si>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</si>
  <si>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</si>
  <si>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</si>
  <si>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</si>
  <si>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</si>
  <si>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</si>
  <si>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</si>
  <si>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</si>
  <si>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</si>
  <si>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</si>
  <si>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</si>
  <si>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</si>
  <si>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</si>
  <si>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</si>
  <si>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</si>
  <si>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</si>
  <si>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</si>
  <si>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</si>
  <si>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</si>
  <si>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</si>
  <si>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</si>
  <si>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</si>
  <si>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</si>
  <si>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</si>
  <si>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</si>
  <si>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</si>
  <si>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</si>
  <si>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</si>
  <si>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</si>
  <si>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</si>
  <si>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</si>
  <si>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</si>
  <si>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</si>
  <si>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</si>
  <si>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</si>
  <si>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</si>
  <si>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</si>
  <si>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</si>
  <si>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</si>
  <si>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</si>
  <si>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</si>
  <si>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</si>
  <si>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</si>
  <si>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</si>
  <si>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</si>
  <si>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</si>
  <si>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</si>
  <si>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</si>
  <si>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</si>
  <si>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</si>
  <si>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</si>
  <si>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</si>
  <si>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</si>
  <si>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</si>
  <si>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</si>
  <si>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</si>
  <si>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</si>
  <si>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</si>
  <si>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</si>
  <si>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0461</t>
  </si>
  <si>
    <t>0462</t>
  </si>
  <si>
    <t>0463</t>
  </si>
  <si>
    <t>0464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</si>
  <si>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</si>
  <si>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</si>
  <si>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</si>
  <si>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</si>
  <si>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</si>
  <si>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</si>
  <si>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</si>
  <si>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</si>
  <si>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</si>
  <si>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</si>
  <si>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</si>
  <si>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</si>
  <si>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</si>
  <si>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</si>
  <si>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</si>
  <si>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</si>
  <si>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</si>
  <si>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</si>
  <si>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</si>
  <si>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</si>
  <si>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</si>
  <si>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</si>
  <si>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</si>
  <si>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</si>
  <si>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</si>
  <si>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</si>
  <si>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</si>
  <si>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</si>
  <si>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</si>
  <si>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</si>
  <si>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</si>
  <si>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</si>
  <si>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</si>
  <si>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</si>
  <si>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</si>
  <si>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</si>
  <si>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</si>
  <si>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</si>
  <si>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</si>
  <si>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</si>
  <si>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</si>
  <si>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</si>
  <si>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</si>
  <si>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</si>
  <si>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</si>
  <si>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</si>
  <si>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</si>
  <si>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</si>
  <si>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</si>
  <si>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</si>
  <si>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</si>
  <si>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</si>
  <si>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</si>
  <si>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</si>
  <si>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</si>
  <si>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</si>
  <si>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โคมไฟฟ้าเมทัลฮาไลน์ ขนาด 1000 W</t>
  </si>
  <si>
    <t>0526</t>
  </si>
  <si>
    <t>23 ก.ค. 35</t>
  </si>
  <si>
    <t>0527</t>
  </si>
  <si>
    <t>0528</t>
  </si>
  <si>
    <t xml:space="preserve">โคมไฟฟ้าเมทัลฮาไลน์ (โคมไฟถนน) 400W </t>
  </si>
  <si>
    <t>0541</t>
  </si>
  <si>
    <t>23 พ.ย. 44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</si>
  <si>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</si>
  <si>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</si>
  <si>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</si>
  <si>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</si>
  <si>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</si>
  <si>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</si>
  <si>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</si>
  <si>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</si>
  <si>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</si>
  <si>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โคมไฟฟ้าเมอรี่คิวรี่ 1000W</t>
  </si>
  <si>
    <t>0551</t>
  </si>
  <si>
    <t xml:space="preserve">โคมไฟฟ้าเมทัลฮาไลน์ (โคมไฟถนน) 1000W </t>
  </si>
  <si>
    <t>0552</t>
  </si>
  <si>
    <t>0553</t>
  </si>
  <si>
    <t>0554</t>
  </si>
  <si>
    <t>0555</t>
  </si>
  <si>
    <t>โคมไฟฟ้า เนชั่นแนล 250 W</t>
  </si>
  <si>
    <t>0556</t>
  </si>
  <si>
    <t>30 พ.ย. 44</t>
  </si>
  <si>
    <t>0557</t>
  </si>
  <si>
    <t>0558</t>
  </si>
  <si>
    <t>0559</t>
  </si>
  <si>
    <t>0560</t>
  </si>
  <si>
    <t>0561</t>
  </si>
  <si>
    <t>0562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</si>
  <si>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</si>
  <si>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</si>
  <si>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</si>
  <si>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</si>
  <si>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</si>
  <si>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</si>
  <si>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</si>
  <si>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</si>
  <si>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</si>
  <si>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</si>
  <si>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</si>
  <si>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</si>
  <si>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</si>
  <si>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</si>
  <si>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</si>
  <si>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</si>
  <si>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</si>
  <si>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</si>
  <si>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</si>
  <si>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</si>
  <si>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</si>
  <si>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</si>
  <si>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</si>
  <si>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</si>
  <si>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</si>
  <si>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</si>
  <si>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</si>
  <si>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</si>
  <si>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</si>
  <si>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</si>
  <si>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</si>
  <si>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</si>
  <si>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</si>
  <si>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</si>
  <si>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</si>
  <si>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</si>
  <si>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</si>
  <si>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</si>
  <si>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</si>
  <si>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</si>
  <si>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</si>
  <si>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</si>
  <si>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</si>
  <si>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</si>
  <si>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</si>
  <si>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</si>
  <si>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</si>
  <si>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</si>
  <si>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</si>
  <si>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</si>
  <si>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</si>
  <si>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</si>
  <si>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</si>
  <si>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</si>
  <si>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</si>
  <si>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</si>
  <si>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</si>
  <si>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</si>
  <si>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</si>
  <si>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</si>
  <si>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</si>
  <si>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0628</t>
  </si>
  <si>
    <t>0629</t>
  </si>
  <si>
    <t>0630</t>
  </si>
  <si>
    <t>0631</t>
  </si>
  <si>
    <t>0636</t>
  </si>
  <si>
    <t>0637</t>
  </si>
  <si>
    <t>0638</t>
  </si>
  <si>
    <t>0639</t>
  </si>
  <si>
    <t>0640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</si>
  <si>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</si>
  <si>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</si>
  <si>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</si>
  <si>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</si>
  <si>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</si>
  <si>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</si>
  <si>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</si>
  <si>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</si>
  <si>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</si>
  <si>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</si>
  <si>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</si>
  <si>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</si>
  <si>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</si>
  <si>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</si>
  <si>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</si>
  <si>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</si>
  <si>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</si>
  <si>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</si>
  <si>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</si>
  <si>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</si>
  <si>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</si>
  <si>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</si>
  <si>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</si>
  <si>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</si>
  <si>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</si>
  <si>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</si>
  <si>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</si>
  <si>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</si>
  <si>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</si>
  <si>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</si>
  <si>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</si>
  <si>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</si>
  <si>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</si>
  <si>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</si>
  <si>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</si>
  <si>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</si>
  <si>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</si>
  <si>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</si>
  <si>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</si>
  <si>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</si>
  <si>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</si>
  <si>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</si>
  <si>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</si>
  <si>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</si>
  <si>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</si>
  <si>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</si>
  <si>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</si>
  <si>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</si>
  <si>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</si>
  <si>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โคมไฟถนนชนิดหลอดแสงจันทร์ เนชั่นแนล 250 W</t>
  </si>
  <si>
    <t>0695</t>
  </si>
  <si>
    <t>7 ม.ค. 47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</si>
  <si>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</si>
  <si>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</si>
  <si>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</si>
  <si>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</si>
  <si>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</si>
  <si>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</si>
  <si>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</si>
  <si>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</si>
  <si>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</si>
  <si>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</si>
  <si>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</si>
  <si>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</si>
  <si>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</si>
  <si>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</si>
  <si>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</si>
  <si>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</si>
  <si>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</si>
  <si>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</si>
  <si>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</si>
  <si>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</si>
  <si>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</si>
  <si>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</si>
  <si>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</si>
  <si>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</si>
  <si>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</si>
  <si>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</si>
  <si>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</si>
  <si>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</si>
  <si>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</si>
  <si>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</si>
  <si>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</si>
  <si>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</si>
  <si>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</si>
  <si>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</si>
  <si>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</si>
  <si>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</si>
  <si>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</si>
  <si>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</si>
  <si>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</si>
  <si>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</si>
  <si>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</si>
  <si>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</si>
  <si>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</si>
  <si>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</si>
  <si>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</si>
  <si>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</si>
  <si>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</si>
  <si>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</si>
  <si>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</si>
  <si>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</si>
  <si>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</si>
  <si>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</si>
  <si>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</si>
  <si>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</si>
  <si>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</si>
  <si>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</si>
  <si>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</si>
  <si>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</si>
  <si>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</si>
  <si>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</si>
  <si>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</si>
  <si>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</si>
  <si>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</si>
  <si>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</si>
  <si>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</si>
  <si>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</si>
  <si>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</si>
  <si>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</si>
  <si>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</si>
  <si>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0779</t>
  </si>
  <si>
    <t>0783</t>
  </si>
  <si>
    <t>0785</t>
  </si>
  <si>
    <t>0805</t>
  </si>
  <si>
    <t>0806</t>
  </si>
  <si>
    <t>0808</t>
  </si>
  <si>
    <t>0810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</si>
  <si>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</si>
  <si>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</si>
  <si>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</si>
  <si>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</si>
  <si>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</si>
  <si>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</si>
  <si>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</si>
  <si>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</si>
  <si>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</si>
  <si>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</si>
  <si>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</si>
  <si>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</si>
  <si>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โคมไฟฟ้า เนชั่นแนล 250W</t>
  </si>
  <si>
    <t>0836</t>
  </si>
  <si>
    <t>6 ม.ค. 47</t>
  </si>
  <si>
    <t>0837</t>
  </si>
  <si>
    <t>0838</t>
  </si>
  <si>
    <t>0839</t>
  </si>
  <si>
    <t>0840</t>
  </si>
  <si>
    <t>0841</t>
  </si>
  <si>
    <t>0842</t>
  </si>
  <si>
    <t>0843</t>
  </si>
  <si>
    <t>0844</t>
  </si>
  <si>
    <t>0849</t>
  </si>
  <si>
    <t>0858</t>
  </si>
  <si>
    <t>0862</t>
  </si>
  <si>
    <t>0879</t>
  </si>
  <si>
    <t>0888</t>
  </si>
  <si>
    <t>0889</t>
  </si>
  <si>
    <t>0890</t>
  </si>
  <si>
    <t>0891</t>
  </si>
  <si>
    <t>0892</t>
  </si>
  <si>
    <t>0893</t>
  </si>
  <si>
    <t>0894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</si>
  <si>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</si>
  <si>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</si>
  <si>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</si>
  <si>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</si>
  <si>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</si>
  <si>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</si>
  <si>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</si>
  <si>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</si>
  <si>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</si>
  <si>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</si>
  <si>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</si>
  <si>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</si>
  <si>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</si>
  <si>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</si>
  <si>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</si>
  <si>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</si>
  <si>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</si>
  <si>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</si>
  <si>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</si>
  <si>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</si>
  <si>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</si>
  <si>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</si>
  <si>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</si>
  <si>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</si>
  <si>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</si>
  <si>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0924</t>
  </si>
  <si>
    <t>0927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</si>
  <si>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</si>
  <si>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</si>
  <si>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</si>
  <si>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</si>
  <si>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</si>
  <si>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</si>
  <si>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</si>
  <si>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</si>
  <si>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</si>
  <si>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</si>
  <si>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โคมไฟฟ้าพร้อมกับขาโคมขาจับและอุปกร์ เนชั่นแนล 250 W</t>
  </si>
  <si>
    <t>0940</t>
  </si>
  <si>
    <t>4 พ.ค. 49</t>
  </si>
  <si>
    <t>ถ.ทิพย์ช้าง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</si>
  <si>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</si>
  <si>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</si>
  <si>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</si>
  <si>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</si>
  <si>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</si>
  <si>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</si>
  <si>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</si>
  <si>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</si>
  <si>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</si>
  <si>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</si>
  <si>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</si>
  <si>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</si>
  <si>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</si>
  <si>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</si>
  <si>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</si>
  <si>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</si>
  <si>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</si>
  <si>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</si>
  <si>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</si>
  <si>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</si>
  <si>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</si>
  <si>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</si>
  <si>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</si>
  <si>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</si>
  <si>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</si>
  <si>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</si>
  <si>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</si>
  <si>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</si>
  <si>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</si>
  <si>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</si>
  <si>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</si>
  <si>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</si>
  <si>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</si>
  <si>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</si>
  <si>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</si>
  <si>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</si>
  <si>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</si>
  <si>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</si>
  <si>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</si>
  <si>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</si>
  <si>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ถ.วังโค้ง</t>
  </si>
  <si>
    <t>0981</t>
  </si>
  <si>
    <t>0983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</si>
  <si>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</si>
  <si>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</si>
  <si>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</si>
  <si>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</si>
  <si>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</si>
  <si>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</si>
  <si>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</si>
  <si>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</si>
  <si>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</si>
  <si>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</si>
  <si>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0996</t>
  </si>
  <si>
    <t>0997</t>
  </si>
  <si>
    <t>0998</t>
  </si>
  <si>
    <t>0999</t>
  </si>
  <si>
    <t>1002</t>
  </si>
  <si>
    <t>1003</t>
  </si>
  <si>
    <t>1004</t>
  </si>
  <si>
    <t>1005</t>
  </si>
  <si>
    <t>ถ.นาก่วม</t>
  </si>
  <si>
    <t>1006</t>
  </si>
  <si>
    <t>1007</t>
  </si>
  <si>
    <t>1008</t>
  </si>
  <si>
    <t>1009</t>
  </si>
  <si>
    <t>1010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</si>
  <si>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</si>
  <si>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</si>
  <si>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</si>
  <si>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</si>
  <si>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</si>
  <si>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</si>
  <si>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</si>
  <si>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</si>
  <si>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</si>
  <si>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</si>
  <si>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</si>
  <si>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</si>
  <si>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</si>
  <si>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</si>
  <si>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</si>
  <si>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</si>
  <si>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</si>
  <si>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</si>
  <si>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</si>
  <si>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</si>
  <si>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</si>
  <si>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</si>
  <si>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</si>
  <si>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</si>
  <si>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</si>
  <si>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</si>
  <si>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</si>
  <si>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</si>
  <si>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</si>
  <si>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</si>
  <si>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</si>
  <si>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</si>
  <si>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</si>
  <si>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</si>
  <si>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</si>
  <si>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</si>
  <si>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</si>
  <si>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</si>
  <si>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</si>
  <si>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</si>
  <si>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</si>
  <si>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</si>
  <si>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</si>
  <si>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</si>
  <si>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</si>
  <si>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</si>
  <si>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ถ.บ้านดงไชย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</si>
  <si>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</si>
  <si>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</si>
  <si>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</si>
  <si>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</si>
  <si>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</si>
  <si>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</si>
  <si>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</si>
  <si>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</si>
  <si>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</si>
  <si>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</si>
  <si>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</si>
  <si>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</si>
  <si>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</si>
  <si>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</si>
  <si>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</si>
  <si>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</si>
  <si>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</si>
  <si>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</si>
  <si>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</si>
  <si>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</si>
  <si>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</si>
  <si>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</si>
  <si>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</si>
  <si>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</si>
  <si>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</si>
  <si>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</si>
  <si>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1108</t>
  </si>
  <si>
    <t>1109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</si>
  <si>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</si>
  <si>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</si>
  <si>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</si>
  <si>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</si>
  <si>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</si>
  <si>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</si>
  <si>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</si>
  <si>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</si>
  <si>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</si>
  <si>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</si>
  <si>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</si>
  <si>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</si>
  <si>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</si>
  <si>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</si>
  <si>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</si>
  <si>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</si>
  <si>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</si>
  <si>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</si>
  <si>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</si>
  <si>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</si>
  <si>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</si>
  <si>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</si>
  <si>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</si>
  <si>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1135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</si>
  <si>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</si>
  <si>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</si>
  <si>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</si>
  <si>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</si>
  <si>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</si>
  <si>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</si>
  <si>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</si>
  <si>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</si>
  <si>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</si>
  <si>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</si>
  <si>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</si>
  <si>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1152</t>
  </si>
  <si>
    <t>1154</t>
  </si>
  <si>
    <t>1155</t>
  </si>
  <si>
    <t>1156</t>
  </si>
  <si>
    <t>1157</t>
  </si>
  <si>
    <t>1158</t>
  </si>
  <si>
    <t>1159</t>
  </si>
  <si>
    <t>1160</t>
  </si>
  <si>
    <t>1161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</si>
  <si>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</si>
  <si>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</si>
  <si>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</si>
  <si>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</si>
  <si>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</si>
  <si>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</si>
  <si>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</si>
  <si>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</si>
  <si>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</si>
  <si>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</si>
  <si>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โคมไฟถนนชนิดใช้หลอดแสงจันทร์ พานาโซนิคพร้อมอุปกร์</t>
  </si>
  <si>
    <t>1174</t>
  </si>
  <si>
    <t xml:space="preserve"> 10 ก.ย. 50</t>
  </si>
  <si>
    <t>1175</t>
  </si>
  <si>
    <t>1176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</si>
  <si>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</si>
  <si>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</si>
  <si>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</si>
  <si>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</si>
  <si>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</si>
  <si>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</si>
  <si>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</si>
  <si>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</si>
  <si>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</si>
  <si>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</si>
  <si>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</si>
  <si>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</si>
  <si>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</si>
  <si>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</si>
  <si>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</si>
  <si>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</si>
  <si>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</si>
  <si>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</si>
  <si>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</si>
  <si>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</si>
  <si>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</si>
  <si>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</si>
  <si>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</si>
  <si>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</si>
  <si>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</si>
  <si>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</si>
  <si>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</si>
  <si>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</si>
  <si>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</si>
  <si>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</si>
  <si>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</si>
  <si>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</si>
  <si>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</si>
  <si>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</si>
  <si>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</si>
  <si>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</si>
  <si>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</si>
  <si>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</si>
  <si>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</si>
  <si>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</si>
  <si>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</si>
  <si>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</si>
  <si>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</si>
  <si>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</si>
  <si>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</si>
  <si>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</si>
  <si>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</si>
  <si>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</si>
  <si>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</si>
  <si>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</si>
  <si>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</si>
  <si>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</si>
  <si>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</si>
  <si>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</si>
  <si>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</si>
  <si>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</si>
  <si>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</si>
  <si>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</si>
  <si>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</si>
  <si>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</si>
  <si>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</si>
  <si>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</si>
  <si>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</si>
  <si>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</si>
  <si>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</si>
  <si>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</si>
  <si>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</si>
  <si>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</si>
  <si>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</si>
  <si>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</si>
  <si>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</si>
  <si>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</si>
  <si>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</si>
  <si>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</si>
  <si>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</si>
  <si>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</si>
  <si>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</si>
  <si>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</si>
  <si>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</si>
  <si>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</si>
  <si>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</si>
  <si>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</si>
  <si>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</si>
  <si>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</si>
  <si>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</si>
  <si>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</si>
  <si>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</si>
  <si>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</si>
  <si>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</si>
  <si>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</si>
  <si>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</si>
  <si>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</si>
  <si>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</si>
  <si>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</si>
  <si>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</si>
  <si>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</si>
  <si>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</si>
  <si>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</si>
  <si>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</si>
  <si>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</si>
  <si>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</si>
  <si>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</si>
  <si>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</si>
  <si>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</si>
  <si>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</si>
  <si>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</si>
  <si>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</si>
  <si>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</si>
  <si>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</si>
  <si>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</si>
  <si>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</si>
  <si>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</si>
  <si>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</si>
  <si>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</si>
  <si>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</si>
  <si>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โคมไฟถนนชนิดใช้หลอดแสงจันทร์</t>
  </si>
  <si>
    <t>1297</t>
  </si>
  <si>
    <t>1298</t>
  </si>
  <si>
    <t>1299</t>
  </si>
  <si>
    <t>1300</t>
  </si>
  <si>
    <t>โคมไฟสนามภายนอกแบบ 5 หัว</t>
  </si>
  <si>
    <t>51</t>
  </si>
  <si>
    <t>1307</t>
  </si>
  <si>
    <t xml:space="preserve"> 4 ธ.ค. 51</t>
  </si>
  <si>
    <t>เลขรหัสเลอะเลือน</t>
  </si>
  <si>
    <t>1308</t>
  </si>
  <si>
    <t>1309</t>
  </si>
  <si>
    <t>1310</t>
  </si>
  <si>
    <t>1311</t>
  </si>
  <si>
    <t>1312</t>
  </si>
  <si>
    <t>1313</t>
  </si>
  <si>
    <t>1315</t>
  </si>
  <si>
    <t>1316</t>
  </si>
  <si>
    <t>1317</t>
  </si>
  <si>
    <t>1318</t>
  </si>
  <si>
    <t>1319</t>
  </si>
  <si>
    <t>1320</t>
  </si>
  <si>
    <t>1321</t>
  </si>
  <si>
    <t>1322</t>
  </si>
  <si>
    <t>1325</t>
  </si>
  <si>
    <t>1330</t>
  </si>
  <si>
    <t>1336</t>
  </si>
  <si>
    <t>1337</t>
  </si>
  <si>
    <t>1338</t>
  </si>
  <si>
    <t>1339</t>
  </si>
  <si>
    <t>1340</t>
  </si>
  <si>
    <t>1341</t>
  </si>
  <si>
    <t>1342</t>
  </si>
  <si>
    <t>ชุดโคมไฟสัญญาณจราจรเตือนกระพริบ พลังงานแสงอาทิตย์</t>
  </si>
  <si>
    <t>59</t>
  </si>
  <si>
    <t>1343</t>
  </si>
  <si>
    <t xml:space="preserve"> 15 ม.ค. 59</t>
  </si>
  <si>
    <t>1344</t>
  </si>
  <si>
    <t>1345</t>
  </si>
  <si>
    <t>1346</t>
  </si>
  <si>
    <t>1347</t>
  </si>
  <si>
    <t>1348</t>
  </si>
  <si>
    <t>1349</t>
  </si>
  <si>
    <t>1350</t>
  </si>
  <si>
    <t>โคมไฟ LED 150 วัตต์</t>
  </si>
  <si>
    <t>1351</t>
  </si>
  <si>
    <t xml:space="preserve"> 14 พ.ย. 59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</si>
  <si>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</si>
  <si>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</si>
  <si>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</si>
  <si>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</si>
  <si>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</si>
  <si>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</si>
  <si>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</si>
  <si>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</si>
  <si>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</si>
  <si>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</si>
  <si>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</si>
  <si>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</si>
  <si>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</si>
  <si>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</si>
  <si>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</si>
  <si>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</si>
  <si>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</si>
  <si>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</si>
  <si>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</si>
  <si>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</si>
  <si>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</si>
  <si>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</si>
  <si>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</si>
  <si>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</si>
  <si>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</si>
  <si>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</si>
  <si>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</si>
  <si>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</si>
  <si>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</si>
  <si>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</si>
  <si>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</si>
  <si>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</si>
  <si>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</si>
  <si>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</si>
  <si>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</si>
  <si>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</si>
  <si>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</si>
  <si>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</si>
  <si>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</si>
  <si>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</si>
  <si>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</si>
  <si>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</si>
  <si>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</si>
  <si>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</si>
  <si>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</si>
  <si>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</si>
  <si>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</si>
  <si>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</si>
  <si>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</si>
  <si>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</si>
  <si>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</si>
  <si>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</si>
  <si>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</si>
  <si>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</si>
  <si>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</si>
  <si>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</si>
  <si>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</si>
  <si>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งานไฟฟ้า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</si>
  <si>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</si>
  <si>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</si>
  <si>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</si>
  <si>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</si>
  <si>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</si>
  <si>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</si>
  <si>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</si>
  <si>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</si>
  <si>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</si>
  <si>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</si>
  <si>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</si>
  <si>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</si>
  <si>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</si>
  <si>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</si>
  <si>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</si>
  <si>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</si>
  <si>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</si>
  <si>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</si>
  <si>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</si>
  <si>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</si>
  <si>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</si>
  <si>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</si>
  <si>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</si>
  <si>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</si>
  <si>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</si>
  <si>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</si>
  <si>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</si>
  <si>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</si>
  <si>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</si>
  <si>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</si>
  <si>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</si>
  <si>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</si>
  <si>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</si>
  <si>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</si>
  <si>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</si>
  <si>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</si>
  <si>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</si>
  <si>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</si>
  <si>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</si>
  <si>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</si>
  <si>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</si>
  <si>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</si>
  <si>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โคมไฟฟ้า ชนิด LED 150 W</t>
  </si>
  <si>
    <t>1451</t>
  </si>
  <si>
    <t xml:space="preserve"> 15 ก.ย. 60</t>
  </si>
  <si>
    <t>เสาสูงสะพานเขลางค์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</si>
  <si>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</si>
  <si>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</si>
  <si>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</si>
  <si>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</si>
  <si>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</si>
  <si>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</si>
  <si>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</si>
  <si>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</si>
  <si>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</si>
  <si>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</si>
  <si>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</si>
  <si>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</si>
  <si>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</si>
  <si>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</si>
  <si>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</si>
  <si>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</si>
  <si>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</si>
  <si>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</si>
  <si>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</si>
  <si>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</si>
  <si>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</si>
  <si>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</si>
  <si>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</si>
  <si>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</si>
  <si>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</si>
  <si>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</si>
  <si>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</si>
  <si>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</si>
  <si>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</si>
  <si>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</si>
  <si>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</si>
  <si>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</si>
  <si>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</si>
  <si>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</si>
  <si>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</si>
  <si>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</si>
  <si>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</si>
  <si>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</si>
  <si>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</si>
  <si>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</si>
  <si>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</si>
  <si>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</si>
  <si>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</si>
  <si>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</si>
  <si>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</si>
  <si>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</si>
  <si>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</si>
  <si>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</si>
  <si>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</si>
  <si>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</si>
  <si>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</si>
  <si>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</si>
  <si>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</si>
  <si>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</si>
  <si>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เสาสูง ท่าน้ำสิงห์ชัย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</si>
  <si>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</si>
  <si>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</si>
  <si>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</si>
  <si>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</si>
  <si>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</si>
  <si>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</si>
  <si>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</si>
  <si>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</si>
  <si>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</si>
  <si>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</si>
  <si>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</si>
  <si>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</si>
  <si>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</si>
  <si>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</si>
  <si>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</si>
  <si>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</si>
  <si>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</si>
  <si>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</si>
  <si>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</si>
  <si>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</si>
  <si>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</si>
  <si>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</si>
  <si>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</si>
  <si>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</si>
  <si>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</si>
  <si>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</si>
  <si>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</si>
  <si>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</si>
  <si>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</si>
  <si>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</si>
  <si>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</si>
  <si>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</si>
  <si>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</si>
  <si>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</si>
  <si>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</si>
  <si>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</si>
  <si>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</si>
  <si>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</si>
  <si>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บ่อขยะ บ้านกล้วย</t>
  </si>
  <si>
    <t>1544</t>
  </si>
  <si>
    <t>1545</t>
  </si>
  <si>
    <t>1546</t>
  </si>
  <si>
    <t>1547</t>
  </si>
  <si>
    <t>1548</t>
  </si>
  <si>
    <t>1549</t>
  </si>
  <si>
    <t>1550</t>
  </si>
  <si>
    <t>เสาสูง ชุมชนนาก่วมใต้</t>
  </si>
  <si>
    <t>โคมไฟฟ้า ขนาด 2X18 W</t>
  </si>
  <si>
    <t>1551</t>
  </si>
  <si>
    <t>ซ.สมประเสริฐ 3-5/6</t>
  </si>
  <si>
    <t>1552</t>
  </si>
  <si>
    <t>ซ.สมประเสริฐ 3-4</t>
  </si>
  <si>
    <t>1553</t>
  </si>
  <si>
    <t>ชุมชนบ้านดง 1-17/5</t>
  </si>
  <si>
    <t>1554</t>
  </si>
  <si>
    <t xml:space="preserve">ชุมชนท่าคราวน้อย </t>
  </si>
  <si>
    <t>1555</t>
  </si>
  <si>
    <t>สุขสวัสดิ์ 1 ซ.5 1-6/4</t>
  </si>
  <si>
    <t>1556</t>
  </si>
  <si>
    <t>หน้าประตู ท.1 1-3/2</t>
  </si>
  <si>
    <t>1557</t>
  </si>
  <si>
    <t>ถ.มนตรี ซ.ซุปเปอร์แซบ</t>
  </si>
  <si>
    <t>1558</t>
  </si>
  <si>
    <t>ซ.สมประเสริฐ 3-8</t>
  </si>
  <si>
    <t>1559</t>
  </si>
  <si>
    <t>ซ.สมประเสริฐ 1-2/5</t>
  </si>
  <si>
    <t>1560</t>
  </si>
  <si>
    <t xml:space="preserve">ฃุมชนท่าคราวน้อย </t>
  </si>
  <si>
    <t>1561</t>
  </si>
  <si>
    <t>ฃุมชนพระบาท ซ..3</t>
  </si>
  <si>
    <t>1562</t>
  </si>
  <si>
    <t>ชุมชนประตูตาล 1-9/1-4</t>
  </si>
  <si>
    <t>1563</t>
  </si>
  <si>
    <t>ชุมชนท่านางลอย เสา 43</t>
  </si>
  <si>
    <t>1564</t>
  </si>
  <si>
    <t>ซ.สมประเสริฐ เสา 3-5/8</t>
  </si>
  <si>
    <t>1565</t>
  </si>
  <si>
    <t>1566</t>
  </si>
  <si>
    <t>1567</t>
  </si>
  <si>
    <t>ถ.วังขวา ซ.8 3-7/8</t>
  </si>
  <si>
    <t>1568</t>
  </si>
  <si>
    <t>ชุมชนประตูตาล 1-9/1-3</t>
  </si>
  <si>
    <t>1569</t>
  </si>
  <si>
    <t>ชุมชนนาก่วม ถ.ริมน้ำ 3-4/3</t>
  </si>
  <si>
    <t>1570</t>
  </si>
  <si>
    <t>ซ.สมประเสริฐ 1-4/1</t>
  </si>
  <si>
    <t>1571</t>
  </si>
  <si>
    <t>ชุมชนนาก่วมใต้ 1-12/2</t>
  </si>
  <si>
    <t>1572</t>
  </si>
  <si>
    <t>ชุมขนประตูตาล 1-11/6</t>
  </si>
  <si>
    <t>1573</t>
  </si>
  <si>
    <t>สุขสวัสดิ์  1 ซ.5 1-6/3</t>
  </si>
  <si>
    <t>1574</t>
  </si>
  <si>
    <t>ถ.วังขวา 14/7-6</t>
  </si>
  <si>
    <t>1575</t>
  </si>
  <si>
    <t>พระบาท ซ.5/2 ไม่มีเลขเสา</t>
  </si>
  <si>
    <t>1576</t>
  </si>
  <si>
    <t>1577</t>
  </si>
  <si>
    <t>ชุมชนท่าคราวน้อย 3-3/2-6</t>
  </si>
  <si>
    <t>1578</t>
  </si>
  <si>
    <t>ชุมชนท่าคราวน้อย 3-3/2-2</t>
  </si>
  <si>
    <t>1579</t>
  </si>
  <si>
    <t>ชุมชนท่าคราวน้อย 3-3/2-1</t>
  </si>
  <si>
    <t>1580</t>
  </si>
  <si>
    <t>ชุมชนท่าคราวน้อย 3-11/3</t>
  </si>
  <si>
    <t>1581</t>
  </si>
  <si>
    <t>ชุมขนท่าคราวน้อย 3-14</t>
  </si>
  <si>
    <t>1582</t>
  </si>
  <si>
    <t>ซ.พ่อเลี้ยงอุ่น 3-3/2</t>
  </si>
  <si>
    <t>1583</t>
  </si>
  <si>
    <t>1584</t>
  </si>
  <si>
    <t>ชุมชนศรีชุม - ป่าไผ่</t>
  </si>
  <si>
    <t>1585</t>
  </si>
  <si>
    <t>1586</t>
  </si>
  <si>
    <t>ถนนเลียบแม่น้ำวัง 1-5/1-10</t>
  </si>
  <si>
    <t>1587</t>
  </si>
  <si>
    <t>ชุมชนบ้านดงไชย ซ.4</t>
  </si>
  <si>
    <t>1588</t>
  </si>
  <si>
    <t>ถ.ริมน้ำก่อนถึงสะพานท่ามะโอ</t>
  </si>
  <si>
    <t>1589</t>
  </si>
  <si>
    <t>ถ.ตรอกสีนวล 2-4/3-7</t>
  </si>
  <si>
    <t>1590</t>
  </si>
  <si>
    <t>ถ.ตรอกสีนวล 2-4/3-8</t>
  </si>
  <si>
    <t>1591</t>
  </si>
  <si>
    <t>ถ.วังขวา 3-6 A/1</t>
  </si>
  <si>
    <t>1592</t>
  </si>
  <si>
    <t>1593</t>
  </si>
  <si>
    <t>ถนรัษฎา</t>
  </si>
  <si>
    <t>1594</t>
  </si>
  <si>
    <t>1595</t>
  </si>
  <si>
    <t>ถ.จามเทวี ซ.สมประเสริฐ 1-7</t>
  </si>
  <si>
    <t>1596</t>
  </si>
  <si>
    <t>ถ.วัดจองคำ ซ.3 3-1/2</t>
  </si>
  <si>
    <t>1597</t>
  </si>
  <si>
    <t>ชุมชนป่าขาม 1</t>
  </si>
  <si>
    <t>1598</t>
  </si>
  <si>
    <t>ถ.ตรอกสีนวล 2-4/3-4</t>
  </si>
  <si>
    <t>1599</t>
  </si>
  <si>
    <t>ถ.เจริญประเทศ ริมน้ำ</t>
  </si>
  <si>
    <t>1600</t>
  </si>
  <si>
    <t>ถ.วังขวา 3-6 A/2</t>
  </si>
  <si>
    <t>1601</t>
  </si>
  <si>
    <t>1602</t>
  </si>
  <si>
    <t>1603</t>
  </si>
  <si>
    <t>1604</t>
  </si>
  <si>
    <t>ชุมชนศรีชุม - ป่าไผ่ 3-2/9</t>
  </si>
  <si>
    <t>1605</t>
  </si>
  <si>
    <t>ซ.กรีนบัส ทางเลี่ยงเมือง</t>
  </si>
  <si>
    <t>1606</t>
  </si>
  <si>
    <t>1607</t>
  </si>
  <si>
    <t>ถ.มนตรี ซ.บ้านนายกเรือง</t>
  </si>
  <si>
    <t>1608</t>
  </si>
  <si>
    <t>1609</t>
  </si>
  <si>
    <t>ถ.พหลโยธิน ซ.โรงไม้อุดมสิน</t>
  </si>
  <si>
    <t>1610</t>
  </si>
  <si>
    <t>1611</t>
  </si>
  <si>
    <t>ชุมชนนาก่วมใต้ 1-6/8</t>
  </si>
  <si>
    <t>1612</t>
  </si>
  <si>
    <t>1613</t>
  </si>
  <si>
    <t>ชุมชนบ้านดง ข้างศูนย์เด็กเล็ก</t>
  </si>
  <si>
    <t>1614</t>
  </si>
  <si>
    <t>ชุมชนสามดวงสามัคคี 1-10/2</t>
  </si>
  <si>
    <t>1615</t>
  </si>
  <si>
    <t>ชุมชนบ้านดง  1-14/11</t>
  </si>
  <si>
    <t>1616</t>
  </si>
  <si>
    <t xml:space="preserve">ถ.จามเทวี ซ.วังคูณ </t>
  </si>
  <si>
    <t>1617</t>
  </si>
  <si>
    <t>ชุมชนบ้านดง ซ.7</t>
  </si>
  <si>
    <t>1618</t>
  </si>
  <si>
    <t>ชุมชนนาก่วมเหนือ ถนนริมน้ำ</t>
  </si>
  <si>
    <t>1619</t>
  </si>
  <si>
    <t>ถ.ไทยลานนา ซ.สมเกียรติ</t>
  </si>
  <si>
    <t>1620</t>
  </si>
  <si>
    <t>ชุมชนท่ามะโอ 1-18/9</t>
  </si>
  <si>
    <t>1621</t>
  </si>
  <si>
    <t>ซ.โรงรับจำนำชมดวง 1-6/2</t>
  </si>
  <si>
    <t>1622</t>
  </si>
  <si>
    <t>ถ.มนตรี 1-0/3</t>
  </si>
  <si>
    <t>1623</t>
  </si>
  <si>
    <t xml:space="preserve">ถ.มนตรี </t>
  </si>
  <si>
    <t>1624</t>
  </si>
  <si>
    <t xml:space="preserve">ชุมชนท่ามะโอ </t>
  </si>
  <si>
    <t>1625</t>
  </si>
  <si>
    <t>1626</t>
  </si>
  <si>
    <t>ถ.มนตรี 1-0/4</t>
  </si>
  <si>
    <t>1627</t>
  </si>
  <si>
    <t>ชุมชนนาก่วมใต้ ซ.9 1-12</t>
  </si>
  <si>
    <t>1628</t>
  </si>
  <si>
    <t>ชุมชนนาก่วมเหนือ ต้นที่ 1</t>
  </si>
  <si>
    <t>1629</t>
  </si>
  <si>
    <t>สุขสวัสดิ์ 1 ซ.4 1-2/6</t>
  </si>
  <si>
    <t>1630</t>
  </si>
  <si>
    <t>ถนนเลียบแม่น้ำวัง 1-5/1-8</t>
  </si>
  <si>
    <t>1631</t>
  </si>
  <si>
    <t>ชุมชนนาก่วมใต้ ซ. 7 3-16/2</t>
  </si>
  <si>
    <t>1632</t>
  </si>
  <si>
    <t xml:space="preserve">ชุมชนนาก่วมใต้ </t>
  </si>
  <si>
    <t>1633</t>
  </si>
  <si>
    <t>ชุมชนท่าต้นเกี๋ยง</t>
  </si>
  <si>
    <t>1634</t>
  </si>
  <si>
    <t>1635</t>
  </si>
  <si>
    <t>ชุมขนนาก่วมใต้ ซ.9</t>
  </si>
  <si>
    <t>1636</t>
  </si>
  <si>
    <t>ชุมชนนาก่วมต้ ซ.9</t>
  </si>
  <si>
    <t>1637</t>
  </si>
  <si>
    <t>ถ.ประสานไมตรี</t>
  </si>
  <si>
    <t>1638</t>
  </si>
  <si>
    <t>1639</t>
  </si>
  <si>
    <t>สุขสวัสดิ์ 3 ซ. 11 1-8/4</t>
  </si>
  <si>
    <t>1640</t>
  </si>
  <si>
    <t>1641</t>
  </si>
  <si>
    <t>บ้านดงไชย 3-2/2-1</t>
  </si>
  <si>
    <t>1642</t>
  </si>
  <si>
    <t>ซ.สมประเสริฐ 3-5/10</t>
  </si>
  <si>
    <t>1643</t>
  </si>
  <si>
    <t>พระบาท ซ.1 4-1/4</t>
  </si>
  <si>
    <t>1644</t>
  </si>
  <si>
    <t xml:space="preserve">บ้านดงไชย </t>
  </si>
  <si>
    <t>1645</t>
  </si>
  <si>
    <t>ซ.สมประเสริฐ 3-5/4</t>
  </si>
  <si>
    <t>1646</t>
  </si>
  <si>
    <t>ถ.ประสานวิถี 3-11/1</t>
  </si>
  <si>
    <t>1647</t>
  </si>
  <si>
    <t>ซ.สมประเสริฐ 3-5/12</t>
  </si>
  <si>
    <t>1648</t>
  </si>
  <si>
    <t>พระบาท ซ.1 1-5/8</t>
  </si>
  <si>
    <t>1649</t>
  </si>
  <si>
    <t>ถ.ประสานวิถี แฟลตตำรวจ</t>
  </si>
  <si>
    <t>1650</t>
  </si>
  <si>
    <t>ซ.สมประเสริฐ 3-5/14</t>
  </si>
  <si>
    <t>โคมไฟฟ้า ขนาด 2X36 W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</si>
  <si>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</si>
  <si>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</si>
  <si>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</si>
  <si>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</si>
  <si>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</si>
  <si>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</si>
  <si>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</si>
  <si>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</si>
  <si>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</si>
  <si>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</si>
  <si>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</si>
  <si>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</si>
  <si>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</si>
  <si>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</si>
  <si>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</si>
  <si>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</si>
  <si>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</si>
  <si>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</si>
  <si>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</si>
  <si>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</si>
  <si>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</si>
  <si>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</si>
  <si>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</si>
  <si>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</si>
  <si>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</si>
  <si>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</si>
  <si>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</si>
  <si>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</si>
  <si>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</si>
  <si>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</si>
  <si>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</si>
  <si>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</si>
  <si>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</si>
  <si>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</si>
  <si>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</si>
  <si>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</si>
  <si>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</si>
  <si>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</si>
  <si>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</si>
  <si>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</si>
  <si>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</si>
  <si>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</si>
  <si>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</si>
  <si>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</si>
  <si>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</si>
  <si>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</si>
  <si>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</si>
  <si>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</si>
  <si>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</si>
  <si>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</si>
  <si>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</si>
  <si>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</si>
  <si>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</si>
  <si>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</si>
  <si>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</si>
  <si>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</si>
  <si>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</si>
  <si>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</si>
  <si>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</si>
  <si>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</si>
  <si>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</si>
  <si>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</si>
  <si>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</si>
  <si>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</si>
  <si>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</si>
  <si>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</si>
  <si>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</si>
  <si>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</si>
  <si>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</si>
  <si>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</si>
  <si>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</si>
  <si>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</si>
  <si>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</si>
  <si>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</si>
  <si>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</si>
  <si>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</si>
  <si>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</si>
  <si>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</si>
  <si>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</si>
  <si>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</si>
  <si>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</si>
  <si>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</si>
  <si>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</si>
  <si>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</si>
  <si>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</si>
  <si>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</si>
  <si>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</si>
  <si>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</si>
  <si>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</si>
  <si>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</si>
  <si>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</si>
  <si>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</si>
  <si>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</si>
  <si>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</si>
  <si>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</si>
  <si>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</si>
  <si>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</si>
  <si>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</si>
  <si>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</si>
  <si>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</si>
  <si>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โคมไฟถนน ขนาด 2X36 W พร้อมอุปกรณ์คบชุด</t>
  </si>
  <si>
    <t>1752</t>
  </si>
  <si>
    <t xml:space="preserve"> 18 มิ.ย. 61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</si>
  <si>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</si>
  <si>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</si>
  <si>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</si>
  <si>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</si>
  <si>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</si>
  <si>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</si>
  <si>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</si>
  <si>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</si>
  <si>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</si>
  <si>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</si>
  <si>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</si>
  <si>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</si>
  <si>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</si>
  <si>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</si>
  <si>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</si>
  <si>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</si>
  <si>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</si>
  <si>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</si>
  <si>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</si>
  <si>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</si>
  <si>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</si>
  <si>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</si>
  <si>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</si>
  <si>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</si>
  <si>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</si>
  <si>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</si>
  <si>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</si>
  <si>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</si>
  <si>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</si>
  <si>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</si>
  <si>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</si>
  <si>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</si>
  <si>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</si>
  <si>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</si>
  <si>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</si>
  <si>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</si>
  <si>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</si>
  <si>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</si>
  <si>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</si>
  <si>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</si>
  <si>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</si>
  <si>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</si>
  <si>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</si>
  <si>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</si>
  <si>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</si>
  <si>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</si>
  <si>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</si>
  <si>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</si>
  <si>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</si>
  <si>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</si>
  <si>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</si>
  <si>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</si>
  <si>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</si>
  <si>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</si>
  <si>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</si>
  <si>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</si>
  <si>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</si>
  <si>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</si>
  <si>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</si>
  <si>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</si>
  <si>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</si>
  <si>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</si>
  <si>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</si>
  <si>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</si>
  <si>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</si>
  <si>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</si>
  <si>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</si>
  <si>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</si>
  <si>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</si>
  <si>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</si>
  <si>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</si>
  <si>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</si>
  <si>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</si>
  <si>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</si>
  <si>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</si>
  <si>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</si>
  <si>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</si>
  <si>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</si>
  <si>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</si>
  <si>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</si>
  <si>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</si>
  <si>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</si>
  <si>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</si>
  <si>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</si>
  <si>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</si>
  <si>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</si>
  <si>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</si>
  <si>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</si>
  <si>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</si>
  <si>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</si>
  <si>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</si>
  <si>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</si>
  <si>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</si>
  <si>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</si>
  <si>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</si>
  <si>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</si>
  <si>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</si>
  <si>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</si>
  <si>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</si>
  <si>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โคมไฟถนน ขนาด 2X18 W พร้อมอุปกรณ์คบชุด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</si>
  <si>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</si>
  <si>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</si>
  <si>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</si>
  <si>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</si>
  <si>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</si>
  <si>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</si>
  <si>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</si>
  <si>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</si>
  <si>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</si>
  <si>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</si>
  <si>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</si>
  <si>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</si>
  <si>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</si>
  <si>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</si>
  <si>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</si>
  <si>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</si>
  <si>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</si>
  <si>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</si>
  <si>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</si>
  <si>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</si>
  <si>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</si>
  <si>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</si>
  <si>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</si>
  <si>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</si>
  <si>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</si>
  <si>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</si>
  <si>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</si>
  <si>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</si>
  <si>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</si>
  <si>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</si>
  <si>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</si>
  <si>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</si>
  <si>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</si>
  <si>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</si>
  <si>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</si>
  <si>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</si>
  <si>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</si>
  <si>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</si>
  <si>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</si>
  <si>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</si>
  <si>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</si>
  <si>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</si>
  <si>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</si>
  <si>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</si>
  <si>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</si>
  <si>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</si>
  <si>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</si>
  <si>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</si>
  <si>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</si>
  <si>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</si>
  <si>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</si>
  <si>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</si>
  <si>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</si>
  <si>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</si>
  <si>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</si>
  <si>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</si>
  <si>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</si>
  <si>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</si>
  <si>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</si>
  <si>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</si>
  <si>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</si>
  <si>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</si>
  <si>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</si>
  <si>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</si>
  <si>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</si>
  <si>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</si>
  <si>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</si>
  <si>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</si>
  <si>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</si>
  <si>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</si>
  <si>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</si>
  <si>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</si>
  <si>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</si>
  <si>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</si>
  <si>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</si>
  <si>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</si>
  <si>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</si>
  <si>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</si>
  <si>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</si>
  <si>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</si>
  <si>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</si>
  <si>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</si>
  <si>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</si>
  <si>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</si>
  <si>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</si>
  <si>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</si>
  <si>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</si>
  <si>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</si>
  <si>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</si>
  <si>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</si>
  <si>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</si>
  <si>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</si>
  <si>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</si>
  <si>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</si>
  <si>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</si>
  <si>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</si>
  <si>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</si>
  <si>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</si>
  <si>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</si>
  <si>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</si>
  <si>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โคมไฟแบบแขวน 250 W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</si>
  <si>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</si>
  <si>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</si>
  <si>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</si>
  <si>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</si>
  <si>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</si>
  <si>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</si>
  <si>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</si>
  <si>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</si>
  <si>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</si>
  <si>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</si>
  <si>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</si>
  <si>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</si>
  <si>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</si>
  <si>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</si>
  <si>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</si>
  <si>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</si>
  <si>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</si>
  <si>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</si>
  <si>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</si>
  <si>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</si>
  <si>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</si>
  <si>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</si>
  <si>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</si>
  <si>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</si>
  <si>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</si>
  <si>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</si>
  <si>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</si>
  <si>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</si>
  <si>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</si>
  <si>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</si>
  <si>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</si>
  <si>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</si>
  <si>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</si>
  <si>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</si>
  <si>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</si>
  <si>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</si>
  <si>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</si>
  <si>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</si>
  <si>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</si>
  <si>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</si>
  <si>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</si>
  <si>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</si>
  <si>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</si>
  <si>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</si>
  <si>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</si>
  <si>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</si>
  <si>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</si>
  <si>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</si>
  <si>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</si>
  <si>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</si>
  <si>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โคมไฟฟ้าถนน ขนาด 2X18 W พร้อมอุปกรณ์ครบชุด</t>
  </si>
  <si>
    <t>2002</t>
  </si>
  <si>
    <t xml:space="preserve"> 22 ส.ค. 62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</si>
  <si>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</si>
  <si>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</si>
  <si>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</si>
  <si>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</si>
  <si>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</si>
  <si>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</si>
  <si>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</si>
  <si>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</si>
  <si>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</si>
  <si>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</si>
  <si>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</si>
  <si>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</si>
  <si>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</si>
  <si>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</si>
  <si>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</si>
  <si>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</si>
  <si>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</si>
  <si>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</si>
  <si>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</si>
  <si>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</si>
  <si>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</si>
  <si>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</si>
  <si>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</si>
  <si>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</si>
  <si>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</si>
  <si>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</si>
  <si>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</si>
  <si>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</si>
  <si>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</si>
  <si>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</si>
  <si>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</si>
  <si>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</si>
  <si>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</si>
  <si>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</si>
  <si>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</si>
  <si>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</si>
  <si>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</si>
  <si>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</si>
  <si>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</si>
  <si>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</si>
  <si>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</si>
  <si>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</si>
  <si>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</si>
  <si>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</si>
  <si>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</si>
  <si>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</si>
  <si>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</si>
  <si>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</si>
  <si>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</si>
  <si>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</si>
  <si>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</si>
  <si>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</si>
  <si>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</si>
  <si>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</si>
  <si>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</si>
  <si>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</si>
  <si>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</si>
  <si>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</si>
  <si>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</si>
  <si>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</si>
  <si>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</si>
  <si>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</si>
  <si>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</si>
  <si>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</si>
  <si>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</si>
  <si>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</si>
  <si>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</si>
  <si>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</si>
  <si>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</si>
  <si>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</si>
  <si>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</si>
  <si>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</si>
  <si>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</si>
  <si>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</si>
  <si>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</si>
  <si>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</si>
  <si>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</si>
  <si>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</si>
  <si>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</si>
  <si>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</si>
  <si>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</si>
  <si>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</si>
  <si>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</si>
  <si>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</si>
  <si>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</si>
  <si>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</si>
  <si>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</si>
  <si>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</si>
  <si>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</si>
  <si>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</si>
  <si>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</si>
  <si>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</si>
  <si>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</si>
  <si>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</si>
  <si>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</si>
  <si>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</si>
  <si>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</si>
  <si>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</si>
  <si>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</si>
  <si>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โคมไฟฟ้าถนน ขนาด 2X36 W พร้อมอุปกรณ์ครบชุด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</si>
  <si>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</si>
  <si>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</si>
  <si>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</si>
  <si>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</si>
  <si>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</si>
  <si>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</si>
  <si>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</si>
  <si>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</si>
  <si>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</si>
  <si>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</si>
  <si>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</si>
  <si>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</si>
  <si>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</si>
  <si>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</si>
  <si>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</si>
  <si>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</si>
  <si>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</si>
  <si>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</si>
  <si>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</si>
  <si>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</si>
  <si>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</si>
  <si>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</si>
  <si>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</si>
  <si>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</si>
  <si>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</si>
  <si>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</si>
  <si>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</si>
  <si>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</si>
  <si>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</si>
  <si>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</si>
  <si>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</si>
  <si>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</si>
  <si>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</si>
  <si>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</si>
  <si>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</si>
  <si>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</si>
  <si>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</si>
  <si>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</si>
  <si>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</si>
  <si>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</si>
  <si>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</si>
  <si>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</si>
  <si>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</si>
  <si>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</si>
  <si>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</si>
  <si>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</si>
  <si>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</si>
  <si>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</si>
  <si>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</si>
  <si>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</si>
  <si>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</si>
  <si>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</si>
  <si>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</si>
  <si>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</si>
  <si>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</si>
  <si>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</si>
  <si>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</si>
  <si>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</si>
  <si>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</si>
  <si>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</si>
  <si>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</si>
  <si>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</si>
  <si>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</si>
  <si>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</si>
  <si>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</si>
  <si>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</si>
  <si>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</si>
  <si>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</si>
  <si>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</si>
  <si>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</si>
  <si>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</si>
  <si>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</si>
  <si>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</si>
  <si>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</si>
  <si>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</si>
  <si>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</si>
  <si>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</si>
  <si>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</si>
  <si>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</si>
  <si>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</si>
  <si>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</si>
  <si>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</si>
  <si>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</si>
  <si>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</si>
  <si>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</si>
  <si>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</si>
  <si>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</si>
  <si>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</si>
  <si>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</si>
  <si>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</si>
  <si>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</si>
  <si>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</si>
  <si>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</si>
  <si>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</si>
  <si>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</si>
  <si>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</si>
  <si>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</si>
  <si>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</si>
  <si>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</si>
  <si>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</si>
  <si>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โคมไฟฟ้าส่องสว่างถนนชนิด LED 65 W พร้อมเสาไฟฟ้า</t>
  </si>
  <si>
    <t>2210</t>
  </si>
  <si>
    <t>19 พ.ย. 62</t>
  </si>
  <si>
    <t>ไม่แสดงในงบทรัพย์สิน ปี 2563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</si>
  <si>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</si>
  <si>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</si>
  <si>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</si>
  <si>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</si>
  <si>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</si>
  <si>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</si>
  <si>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</si>
  <si>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</si>
  <si>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</si>
  <si>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</si>
  <si>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</si>
  <si>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</si>
  <si>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</si>
  <si>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</si>
  <si>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</si>
  <si>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</si>
  <si>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</si>
  <si>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</si>
  <si>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</si>
  <si>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</si>
  <si>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</si>
  <si>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</si>
  <si>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</si>
  <si>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</si>
  <si>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</si>
  <si>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</si>
  <si>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</si>
  <si>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</si>
  <si>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</si>
  <si>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</si>
  <si>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</si>
  <si>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</si>
  <si>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</si>
  <si>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</si>
  <si>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</si>
  <si>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</si>
  <si>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</si>
  <si>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</si>
  <si>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</si>
  <si>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</si>
  <si>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</si>
  <si>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โคมไฟสนาม(L-02)พร้อมเสา อลูมิเนียมฉีดพ่นทับด้วยสีฝุ่น IP55 LED 16 W</t>
  </si>
  <si>
    <t>2877</t>
  </si>
  <si>
    <t>4 ก.พ. 65</t>
  </si>
  <si>
    <t>2878</t>
  </si>
  <si>
    <t>2879</t>
  </si>
  <si>
    <t>2880</t>
  </si>
  <si>
    <t>2881</t>
  </si>
  <si>
    <t>2882</t>
  </si>
  <si>
    <t>ชุดหัวโคมไฟสนาม (L-03) ชนิดอลูมิเนียมฉีดพ่นทับด้วยสีฝุ่น IP66 หลอด LED 35 วัตต์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</si>
  <si>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</si>
  <si>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</si>
  <si>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</si>
  <si>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</si>
  <si>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</si>
  <si>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</si>
  <si>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</si>
  <si>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</si>
  <si>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</si>
  <si>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</si>
  <si>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</si>
  <si>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</si>
  <si>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</si>
  <si>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</si>
  <si>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</si>
  <si>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</si>
  <si>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</si>
  <si>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</si>
  <si>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</si>
  <si>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</si>
  <si>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</si>
  <si>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</si>
  <si>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</si>
  <si>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</si>
  <si>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</si>
  <si>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</si>
  <si>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</si>
  <si>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</si>
  <si>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</si>
  <si>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</si>
  <si>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</si>
  <si>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</si>
  <si>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</si>
  <si>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</si>
  <si>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</si>
  <si>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</si>
  <si>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</si>
  <si>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</si>
  <si>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</si>
  <si>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</si>
  <si>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</si>
  <si>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</si>
  <si>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</si>
  <si>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</si>
  <si>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</si>
  <si>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</si>
  <si>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</si>
  <si>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</si>
  <si>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</si>
  <si>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</si>
  <si>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</si>
  <si>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</si>
  <si>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</si>
  <si>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</si>
  <si>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</si>
  <si>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</si>
  <si>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</si>
  <si>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</si>
  <si>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</si>
  <si>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</si>
  <si>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</si>
  <si>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</si>
  <si>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</si>
  <si>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</si>
  <si>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</si>
  <si>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</si>
  <si>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</si>
  <si>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</si>
  <si>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</si>
  <si>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</si>
  <si>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</si>
  <si>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</si>
  <si>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</si>
  <si>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</si>
  <si>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</si>
  <si>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</si>
  <si>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</si>
  <si>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</si>
  <si>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</si>
  <si>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</si>
  <si>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</si>
  <si>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</si>
  <si>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</si>
  <si>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</si>
  <si>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</si>
  <si>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โคมไฟสนาม (L-01) พร้อมเสา ชนิดอลูมิเนียมฉีดพ่นทับด้วยสีฝุ่น IP66 หลอด LED 35 วัตต์</t>
  </si>
  <si>
    <t>2968</t>
  </si>
  <si>
    <t>2969</t>
  </si>
  <si>
    <t>2970</t>
  </si>
  <si>
    <t>โคมไฟสนาม (L-04) พร้อมเสา ชนิดอลูมิเนียมฉีดพ่นทับด้วยสีฝุ่น IP66 หลอด LED 35 วัตต์</t>
  </si>
  <si>
    <t>2971</t>
  </si>
  <si>
    <t>2972</t>
  </si>
  <si>
    <t>2973</t>
  </si>
  <si>
    <t>2974</t>
  </si>
  <si>
    <t>2975</t>
  </si>
  <si>
    <t>ชุดหัวโคมไฟสนาม (L-05) ชนิดอลูมิเนียมฉีดพ่นทับด้วยสีฝุ่น IP66 หลอด LED 105 วัตต์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</si>
  <si>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</si>
  <si>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</si>
  <si>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</si>
  <si>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</si>
  <si>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</si>
  <si>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</si>
  <si>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</si>
  <si>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</si>
  <si>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</si>
  <si>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</si>
  <si>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</si>
  <si>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</si>
  <si>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</si>
  <si>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</si>
  <si>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</si>
  <si>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</si>
  <si>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</si>
  <si>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</si>
  <si>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</si>
  <si>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</si>
  <si>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</si>
  <si>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</si>
  <si>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</si>
  <si>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</si>
  <si>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</si>
  <si>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</si>
  <si>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</si>
  <si>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</si>
  <si>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</si>
  <si>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</si>
  <si>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</si>
  <si>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</si>
  <si>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</si>
  <si>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</si>
  <si>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</si>
  <si>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</si>
  <si>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</si>
  <si>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</si>
  <si>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</si>
  <si>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</si>
  <si>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</si>
  <si>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</si>
  <si>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</si>
  <si>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</si>
  <si>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</si>
  <si>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</si>
  <si>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</si>
  <si>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โคมไฟถนน (L-06) สูง 15.00 พร้อมโคมไฟฟ้า IP66 หลอด LED 400 วัตต์ 8 ชุด</t>
  </si>
  <si>
    <t>3023</t>
  </si>
  <si>
    <t>ชุดหัวโคมไฟสนาม อลูมิเนียมพ่นทับสีฝุ่น หลอด LED 35 W</t>
  </si>
  <si>
    <t>3058</t>
  </si>
  <si>
    <t>20 ธ.ค. 65</t>
  </si>
  <si>
    <t>ส่วนการโยธา / งานสวนสาธารณะ/สวนเขลางค์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</si>
  <si>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</si>
  <si>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</si>
  <si>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</si>
  <si>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</si>
  <si>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</si>
  <si>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</si>
  <si>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</si>
  <si>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</si>
  <si>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</si>
  <si>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</si>
  <si>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</si>
  <si>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</si>
  <si>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</si>
  <si>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</si>
  <si>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</si>
  <si>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</si>
  <si>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</si>
  <si>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</si>
  <si>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</si>
  <si>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</si>
  <si>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</si>
  <si>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</si>
  <si>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</si>
  <si>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</si>
  <si>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</si>
  <si>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</si>
  <si>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</si>
  <si>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</si>
  <si>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</si>
  <si>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</si>
  <si>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</si>
  <si>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</si>
  <si>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</si>
  <si>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</si>
  <si>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</si>
  <si>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</si>
  <si>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</si>
  <si>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</si>
  <si>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</si>
  <si>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</si>
  <si>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</si>
  <si>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</si>
  <si>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</si>
  <si>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</si>
  <si>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</si>
  <si>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</si>
  <si>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</si>
  <si>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</si>
  <si>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</si>
  <si>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</si>
  <si>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</si>
  <si>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</si>
  <si>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</si>
  <si>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</si>
  <si>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</si>
  <si>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</si>
  <si>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</si>
  <si>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</si>
  <si>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</si>
  <si>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</si>
  <si>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</si>
  <si>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</si>
  <si>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</si>
  <si>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</si>
  <si>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</si>
  <si>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</si>
  <si>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</si>
  <si>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</si>
  <si>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</si>
  <si>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</si>
  <si>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</si>
  <si>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</si>
  <si>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</si>
  <si>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</si>
  <si>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โคมไฟสปอร์ตไลท์ LED 100 วัตต์ TP 66</t>
  </si>
  <si>
    <t>3133</t>
  </si>
  <si>
    <t>3134</t>
  </si>
  <si>
    <t>3135</t>
  </si>
  <si>
    <t>3136</t>
  </si>
  <si>
    <t>3137</t>
  </si>
  <si>
    <t>3138</t>
  </si>
  <si>
    <t>3139</t>
  </si>
  <si>
    <t>3140</t>
  </si>
  <si>
    <t>เสาไฟสูง 12 ม. โซนC (ค)</t>
  </si>
  <si>
    <t>3141</t>
  </si>
  <si>
    <t>7 ก.ย. 65</t>
  </si>
  <si>
    <t>ส่วนการโยธา/สวนสาธารณะ/สวนเขื่อนยาง</t>
  </si>
  <si>
    <t>เสาไฟสูง 9 ม. โซน D (ง) ต้นที่1</t>
  </si>
  <si>
    <t>3144</t>
  </si>
  <si>
    <t>เสาไฟสูง 9 ม. โซน D (ง) ต้นที่2</t>
  </si>
  <si>
    <t>3145</t>
  </si>
  <si>
    <t>โคมไฟสปอร์ตไลท์ LED 600W IP66</t>
  </si>
  <si>
    <t>3235</t>
  </si>
  <si>
    <t>3236</t>
  </si>
  <si>
    <t>3237</t>
  </si>
  <si>
    <t>3238</t>
  </si>
  <si>
    <t>3239</t>
  </si>
  <si>
    <t>3240</t>
  </si>
  <si>
    <t>3241</t>
  </si>
  <si>
    <t>3249</t>
  </si>
  <si>
    <t>3250</t>
  </si>
  <si>
    <t>3251</t>
  </si>
  <si>
    <t>3252</t>
  </si>
  <si>
    <t>3253</t>
  </si>
  <si>
    <t>โคมไฟเสาไฟสูง 4.00 ม. หลอด LED 70w เดี่ยว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</si>
  <si>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</si>
  <si>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</si>
  <si>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</si>
  <si>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</si>
  <si>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</si>
  <si>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</si>
  <si>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</si>
  <si>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</si>
  <si>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</si>
  <si>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</si>
  <si>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</si>
  <si>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</si>
  <si>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</si>
  <si>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</si>
  <si>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</si>
  <si>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</si>
  <si>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</si>
  <si>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</si>
  <si>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</si>
  <si>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</si>
  <si>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</si>
  <si>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</si>
  <si>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</si>
  <si>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</si>
  <si>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</si>
  <si>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</si>
  <si>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</si>
  <si>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</si>
  <si>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</si>
  <si>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</si>
  <si>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</si>
  <si>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</si>
  <si>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</si>
  <si>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</si>
  <si>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</si>
  <si>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</si>
  <si>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</si>
  <si>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</si>
  <si>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</si>
  <si>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</si>
  <si>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</si>
  <si>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</si>
  <si>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</si>
  <si>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</si>
  <si>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</si>
  <si>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</si>
  <si>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</si>
  <si>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</si>
  <si>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</si>
  <si>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</si>
  <si>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</si>
  <si>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</si>
  <si>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</si>
  <si>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</si>
  <si>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</si>
  <si>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</si>
  <si>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</si>
  <si>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</si>
  <si>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</si>
  <si>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</si>
  <si>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</si>
  <si>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</si>
  <si>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</si>
  <si>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</si>
  <si>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</si>
  <si>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</si>
  <si>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</si>
  <si>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</si>
  <si>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</si>
  <si>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</si>
  <si>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</si>
  <si>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</si>
  <si>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</si>
  <si>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</si>
  <si>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</si>
  <si>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</si>
  <si>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</si>
  <si>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</si>
  <si>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</si>
  <si>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</si>
  <si>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</si>
  <si>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โคมไฟเสาไฟสูง 6.00 ม. หลอด LED 105w คู่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</si>
  <si>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</si>
  <si>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</si>
  <si>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</si>
  <si>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</si>
  <si>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</si>
  <si>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</si>
  <si>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</si>
  <si>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</si>
  <si>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</si>
  <si>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</si>
  <si>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</si>
  <si>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</si>
  <si>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</si>
  <si>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</si>
  <si>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</si>
  <si>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</si>
  <si>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</si>
  <si>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</si>
  <si>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</si>
  <si>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</si>
  <si>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</si>
  <si>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</si>
  <si>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</si>
  <si>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</si>
  <si>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</si>
  <si>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</si>
  <si>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</si>
  <si>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</si>
  <si>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</si>
  <si>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</si>
  <si>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</si>
  <si>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</si>
  <si>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</si>
  <si>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</si>
  <si>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</si>
  <si>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</si>
  <si>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</si>
  <si>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</si>
  <si>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</si>
  <si>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</si>
  <si>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</si>
  <si>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โคมไฟสปอร์ตไลท์ LED 50W IP66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</si>
  <si>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</si>
  <si>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</si>
  <si>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</si>
  <si>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</si>
  <si>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</si>
  <si>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</si>
  <si>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</si>
  <si>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</si>
  <si>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</si>
  <si>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</si>
  <si>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</si>
  <si>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</si>
  <si>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</si>
  <si>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</si>
  <si>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</si>
  <si>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</si>
  <si>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โคมไฟสปอร์ตไลท์ LED 400W IP66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</si>
  <si>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</si>
  <si>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</si>
  <si>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</si>
  <si>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</si>
  <si>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</si>
  <si>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</si>
  <si>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</si>
  <si>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</si>
  <si>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</si>
  <si>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</si>
  <si>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</si>
  <si>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</si>
  <si>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</si>
  <si>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</si>
  <si>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</si>
  <si>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</si>
  <si>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</si>
  <si>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</si>
  <si>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</si>
  <si>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</si>
  <si>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</si>
  <si>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</si>
  <si>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</si>
  <si>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</si>
  <si>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</si>
  <si>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</si>
  <si>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</si>
  <si>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</si>
  <si>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</si>
  <si>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</si>
  <si>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</si>
  <si>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</si>
  <si>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</si>
  <si>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</si>
  <si>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</si>
  <si>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</si>
  <si>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</si>
  <si>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</si>
  <si>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</si>
  <si>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</si>
  <si>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</si>
  <si>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เสาไฟสูง 15 ม. โซนA ต้นที่1</t>
  </si>
  <si>
    <t>3439</t>
  </si>
  <si>
    <t>เสาไฟสูง 15 ม. โซนA ต้นที่2</t>
  </si>
  <si>
    <t>3440</t>
  </si>
  <si>
    <t>เสาไฟสูง 14 ม. โซนB (ข)</t>
  </si>
  <si>
    <t>3441</t>
  </si>
  <si>
    <t>เสาไฟสูง 10 ม. โซนB (ข)</t>
  </si>
  <si>
    <t>3442</t>
  </si>
  <si>
    <t>โคมไฟจีน พร้อมเสาสูง 3 เมตร</t>
  </si>
  <si>
    <t>3024</t>
  </si>
  <si>
    <t>25 พ.ค. 65</t>
  </si>
  <si>
    <t xml:space="preserve">ส่วนการโยธา/งานไฟฟ้าสาธารณะ/ถนนประสานไมตรี 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</si>
  <si>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</si>
  <si>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</si>
  <si>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</si>
  <si>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</si>
  <si>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</si>
  <si>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</si>
  <si>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</si>
  <si>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</si>
  <si>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</si>
  <si>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</si>
  <si>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</si>
  <si>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</si>
  <si>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</si>
  <si>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</si>
  <si>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</si>
  <si>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</si>
  <si>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</si>
  <si>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</si>
  <si>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</si>
  <si>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</si>
  <si>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</si>
  <si>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</si>
  <si>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</si>
  <si>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</si>
  <si>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</si>
  <si>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</si>
  <si>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</si>
  <si>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</si>
  <si>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</si>
  <si>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</si>
  <si>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</si>
  <si>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</si>
  <si>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</si>
  <si>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โคมไฟประดับ</t>
  </si>
  <si>
    <t>3242</t>
  </si>
  <si>
    <t>9 ม.ค. 66</t>
  </si>
  <si>
    <t>ส่วนการโยธา/งานไฟฟ้าสาธารณะ/ถนนสมนตรีถึงถนนประสานไมตรี</t>
  </si>
  <si>
    <t>3243</t>
  </si>
  <si>
    <t>3244</t>
  </si>
  <si>
    <t>3245</t>
  </si>
  <si>
    <t>3246</t>
  </si>
  <si>
    <t>3247</t>
  </si>
  <si>
    <t>3248</t>
  </si>
  <si>
    <t>โคมไฟถนนโซล่าเซลล์ 100 W</t>
  </si>
  <si>
    <t>3146</t>
  </si>
  <si>
    <t>ส่วนการโยธา/งานไฟฟ้ารสาธารณะ/ถนนเลียบน้ำวังฝั่งซ้าย ตั้งแต่ชุมชนบ้านดงไชย ถึงชุมชนท่าคราวน้อย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</si>
  <si>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</si>
  <si>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</si>
  <si>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</si>
  <si>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</si>
  <si>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</si>
  <si>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</si>
  <si>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</si>
  <si>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</si>
  <si>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</si>
  <si>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</si>
  <si>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</si>
  <si>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</si>
  <si>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</si>
  <si>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</si>
  <si>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</si>
  <si>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</si>
  <si>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</si>
  <si>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</si>
  <si>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</si>
  <si>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</si>
  <si>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</si>
  <si>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</si>
  <si>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</si>
  <si>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</si>
  <si>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</si>
  <si>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</si>
  <si>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</si>
  <si>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</si>
  <si>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</si>
  <si>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</si>
  <si>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</si>
  <si>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</si>
  <si>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</si>
  <si>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</si>
  <si>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</si>
  <si>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</si>
  <si>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</si>
  <si>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</si>
  <si>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</si>
  <si>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</si>
  <si>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</si>
  <si>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</si>
  <si>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</si>
  <si>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</si>
  <si>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</si>
  <si>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</si>
  <si>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</si>
  <si>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</si>
  <si>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</si>
  <si>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</si>
  <si>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</si>
  <si>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</si>
  <si>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</si>
  <si>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</si>
  <si>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</si>
  <si>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</si>
  <si>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</si>
  <si>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</si>
  <si>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โคมไฟประดับพร้อมอุปกรณ์</t>
  </si>
  <si>
    <t>โคมไฟพร้อมหลอด LED ขนาดไม่น้อยกว่า 105W</t>
  </si>
  <si>
    <t>โคมไฟส่องสว่าง LED ขนาดไม่น้อยกว่า 100 W</t>
  </si>
  <si>
    <t>3443</t>
  </si>
  <si>
    <t>ส่วนการโยธา/ฝ่ายสาธารณูปโภค/งานไฟฟ้าสาธารณะ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</si>
  <si>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</si>
  <si>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</si>
  <si>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</si>
  <si>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</si>
  <si>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</si>
  <si>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</si>
  <si>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</si>
  <si>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</si>
  <si>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</si>
  <si>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</si>
  <si>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</si>
  <si>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</si>
  <si>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</si>
  <si>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</si>
  <si>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โคมไฟฟ้า</t>
  </si>
  <si>
    <t>3462</t>
  </si>
  <si>
    <t>3462/1</t>
  </si>
  <si>
    <t>3462/2</t>
  </si>
  <si>
    <t>3462/3</t>
  </si>
  <si>
    <t>3462/4</t>
  </si>
  <si>
    <t>3462/5</t>
  </si>
  <si>
    <t>3462/6</t>
  </si>
  <si>
    <t>3462/7</t>
  </si>
  <si>
    <t>3462/8</t>
  </si>
  <si>
    <t>3462/9</t>
  </si>
  <si>
    <t>3462/10</t>
  </si>
  <si>
    <t>3462/11</t>
  </si>
  <si>
    <t>3462/12</t>
  </si>
  <si>
    <t>3462/13</t>
  </si>
  <si>
    <t>3462/14</t>
  </si>
  <si>
    <t>3462/15</t>
  </si>
  <si>
    <t>3462/16</t>
  </si>
  <si>
    <t>3462/17</t>
  </si>
  <si>
    <t>3462/18</t>
  </si>
  <si>
    <t>3462/19</t>
  </si>
  <si>
    <t>โคมไฟสนาม ชนิด LED 35 วัตต์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</si>
  <si>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</si>
  <si>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</si>
  <si>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</si>
  <si>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</si>
  <si>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</si>
  <si>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</si>
  <si>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</si>
  <si>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</si>
  <si>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</si>
  <si>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</si>
  <si>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</si>
  <si>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</si>
  <si>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</si>
  <si>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</si>
  <si>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</si>
  <si>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</si>
  <si>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</si>
  <si>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</si>
  <si>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</si>
  <si>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</si>
  <si>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</si>
  <si>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</si>
  <si>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</si>
  <si>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</si>
  <si>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</si>
  <si>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</si>
  <si>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</si>
  <si>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</si>
  <si>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</si>
  <si>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</si>
  <si>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</si>
  <si>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</si>
  <si>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</si>
  <si>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</si>
  <si>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</si>
  <si>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</si>
  <si>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</si>
  <si>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</si>
  <si>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</si>
  <si>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</si>
  <si>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</si>
  <si>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</si>
  <si>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</si>
  <si>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</si>
  <si>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</si>
  <si>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</si>
  <si>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</si>
  <si>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</si>
  <si>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</si>
  <si>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</si>
  <si>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</si>
  <si>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</si>
  <si>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</si>
  <si>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</si>
  <si>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</si>
  <si>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</si>
  <si>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</si>
  <si>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</si>
  <si>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</si>
  <si>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</si>
  <si>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</si>
  <si>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</si>
  <si>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</si>
  <si>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</si>
  <si>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</si>
  <si>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</si>
  <si>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</si>
  <si>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</si>
  <si>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</si>
  <si>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</si>
  <si>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</si>
  <si>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</si>
  <si>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</si>
  <si>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</si>
  <si>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</si>
  <si>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</si>
  <si>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</si>
  <si>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</si>
  <si>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</si>
  <si>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</si>
  <si>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</si>
  <si>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</si>
  <si>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</si>
  <si>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</si>
  <si>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</si>
  <si>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</si>
  <si>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</si>
  <si>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</si>
  <si>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</si>
  <si>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</si>
  <si>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</si>
  <si>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</si>
  <si>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</si>
  <si>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</si>
  <si>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</si>
  <si>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</si>
  <si>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</si>
  <si>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</si>
  <si>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</si>
  <si>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</si>
  <si>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</si>
  <si>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</si>
  <si>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</si>
  <si>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</si>
  <si>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</si>
  <si>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</si>
  <si>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</si>
  <si>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</si>
  <si>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</si>
  <si>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</si>
  <si>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</si>
  <si>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</si>
  <si>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</si>
  <si>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</si>
  <si>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</si>
  <si>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</si>
  <si>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</si>
  <si>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</si>
  <si>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</si>
  <si>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</si>
  <si>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</si>
  <si>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</si>
  <si>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</si>
  <si>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</si>
  <si>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</si>
  <si>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</si>
  <si>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</si>
  <si>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</si>
  <si>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</si>
  <si>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</si>
  <si>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</si>
  <si>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</si>
  <si>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</si>
  <si>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</si>
  <si>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</si>
  <si>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</si>
  <si>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</si>
  <si>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</si>
  <si>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</si>
  <si>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</si>
  <si>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</si>
  <si>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</si>
  <si>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</si>
  <si>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</si>
  <si>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</si>
  <si>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</si>
  <si>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</si>
  <si>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</si>
  <si>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</si>
  <si>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</si>
  <si>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</si>
  <si>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</si>
  <si>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</si>
  <si>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</si>
  <si>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</si>
  <si>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</si>
  <si>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</si>
  <si>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</si>
  <si>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</si>
  <si>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</si>
  <si>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</si>
  <si>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</si>
  <si>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</si>
  <si>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</si>
  <si>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</si>
  <si>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</si>
  <si>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</si>
  <si>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</si>
  <si>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</si>
  <si>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</si>
  <si>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</si>
  <si>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</si>
  <si>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</si>
  <si>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</si>
  <si>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</si>
  <si>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</si>
  <si>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</si>
  <si>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</si>
  <si>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</si>
  <si>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</si>
  <si>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</si>
  <si>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</si>
  <si>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</si>
  <si>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</si>
  <si>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</si>
  <si>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</si>
  <si>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</si>
  <si>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</si>
  <si>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105</t>
  </si>
  <si>
    <t xml:space="preserve">เสาไฟฟ้าประดับโคมส่องสว่าง </t>
  </si>
  <si>
    <t>454</t>
  </si>
  <si>
    <t xml:space="preserve">  (กล้องวงจรปิด)</t>
  </si>
  <si>
    <t xml:space="preserve">กล้องวงจรปิด AHD1080P เลนส์ 3.6 ม.ม. MP </t>
  </si>
  <si>
    <t>ส่วนการโยธา / ฝ่ายสวนสาธารณะ/เวียงละกอน</t>
  </si>
  <si>
    <t>จอมอนิเตอร์ LED ขนาด 16" พร้อมขาจอติดผนัง</t>
  </si>
  <si>
    <t>455</t>
  </si>
  <si>
    <t xml:space="preserve">  (เครื่องเล่นดีวีดี)</t>
  </si>
  <si>
    <t>เครื่องเล่น CD,VCD,MP3 สีดำ</t>
  </si>
  <si>
    <t>17 ก.ย. 55</t>
  </si>
  <si>
    <t>ส่วนการโยธา / งานไฟฟ้าสาธารณะ</t>
  </si>
  <si>
    <t>457</t>
  </si>
  <si>
    <t xml:space="preserve"> (ขาไมโครโฟน)</t>
  </si>
  <si>
    <t xml:space="preserve">ขาตั้งลำโพงคู่ </t>
  </si>
  <si>
    <t>26 ก.ค. 45</t>
  </si>
  <si>
    <t xml:space="preserve">ขาตั้งไมค์ </t>
  </si>
  <si>
    <t>25 ส.ค. 47</t>
  </si>
  <si>
    <t>ขาตั้งลำโพง แบบอลูมิเนียม ปรับสูง-ต่ำ</t>
  </si>
  <si>
    <t xml:space="preserve"> 25 ส.ค.47</t>
  </si>
  <si>
    <t>( ไมโครโฟน, ไมค์ลอย)</t>
  </si>
  <si>
    <t>ไมโครโฟน ยี่ห้อ NPE รุ่น DM-707</t>
  </si>
  <si>
    <t xml:space="preserve"> 25 ก.ย.50</t>
  </si>
  <si>
    <t>ไมค์ลอยไร้สาย ยี่ห้อ AETCR สีดำ</t>
  </si>
  <si>
    <t>ชุดไมค์ลอย พร้อมตัวสัญญาณ</t>
  </si>
  <si>
    <t>ส่วนการโยธา /ฝ่ายสวนสาธารณะ/เวียงละกอน</t>
  </si>
  <si>
    <t>ไมค์สายคุณภาพดีพร้อมสายยาว 60 ม.</t>
  </si>
  <si>
    <t>( ลำโพง, แอคโค่)</t>
  </si>
  <si>
    <t>ตู้ลำโพงพร้อมเสียงเบส 18 นิ้ว 1200 วัตต์</t>
  </si>
  <si>
    <t>ตู้ลำโพงพร้อมดอกเสียงกลาง-แหลม 18 นิ้ว 400 วัตต์</t>
  </si>
  <si>
    <t>ตู้ลำโพงพร้อมดอกเสียงกลาง-แหลม 15 นิ้ว 400 วัตต์</t>
  </si>
  <si>
    <t>ชุดลำโพงกลางแจ้ง ยี่ห้อ NPE GOOD-159</t>
  </si>
  <si>
    <t xml:space="preserve"> 25 เม.ย.60</t>
  </si>
  <si>
    <t>ลำโพงเสียงสองทางขนาดดอก 15" 450W พร้อมสาย 100 ม.</t>
  </si>
  <si>
    <t xml:space="preserve"> (เครื่องขยายสียง)</t>
  </si>
  <si>
    <t>เครื่องเล่น CD (SOKEN)</t>
  </si>
  <si>
    <t>46</t>
  </si>
  <si>
    <t>30 ต.ค 46</t>
  </si>
  <si>
    <t>เครื่องเสียงขนาด 400 วัตต์ ยี่ห้อ ENGINEER รุ่นPA 400 W</t>
  </si>
  <si>
    <t>462</t>
  </si>
  <si>
    <t>25 ส.ค.47</t>
  </si>
  <si>
    <t>มิกเซอร์ 16 ช่อง</t>
  </si>
  <si>
    <t>เครื่องพาวเวอรืแอมป์ กำลังขับไม่น้อยกว่า 1,200 วัตต์</t>
  </si>
  <si>
    <t>Mixer Stereo &amp; channel มีช่องเสียบ USB</t>
  </si>
  <si>
    <t>Power Armplifer Stereo 400 w พร้อมราง  10 ม. และอุปกรณ์ พร้อมตู้แร็ค 19"</t>
  </si>
  <si>
    <t>(วิทยุรับ-ส่ง แบบมือถือ,สะพาย,ติดรถยนต์)</t>
  </si>
  <si>
    <t>วิทยุรับ - ส่ง ICOM (บริจาค)</t>
  </si>
  <si>
    <t>464</t>
  </si>
  <si>
    <t>33</t>
  </si>
  <si>
    <t>13 ธ.ค.33</t>
  </si>
  <si>
    <t>-</t>
  </si>
  <si>
    <t>ส่วนการโยธา/งานบำรุงรักษาทางและสะพาน</t>
  </si>
  <si>
    <t>วิทยุรับ - ส่ง แบบมือถือ ICOM</t>
  </si>
  <si>
    <t>1 ก.พ. 36</t>
  </si>
  <si>
    <t xml:space="preserve"> (เครื่องกำเนิดไฟฟ้า)</t>
  </si>
  <si>
    <t>เครื่องกำเนิดไฟฟ้า ยี่ห้อ TIGER</t>
  </si>
  <si>
    <t>465</t>
  </si>
  <si>
    <t>เครื่องกำเนิดไฟฟ้า ขนาด 14 กิโลวัตต์</t>
  </si>
  <si>
    <t>21 ก.ค.63</t>
  </si>
  <si>
    <t>เครื่องกำเนิดไฟฟ้า ขนาด 5 กิโลวัตต์ ยี่ห้อ ROWEL รุ่น RW-6500DS</t>
  </si>
  <si>
    <t>22 ธ.ค.65</t>
  </si>
  <si>
    <t xml:space="preserve"> (หม้อแปลงไฟฟ้า)</t>
  </si>
  <si>
    <t>หม้อแปลงไฟฟ้า ขนาด 250 KVA 3 เฟส พร้อมติดตั้ง</t>
  </si>
  <si>
    <t>466</t>
  </si>
  <si>
    <t>23 ก.พ. 54</t>
  </si>
  <si>
    <t>ตู้ควบคุมการจ่ายไฟ</t>
  </si>
  <si>
    <t>มิเตอร์ไฟฟ้าระบบ 3 เฟส 380 โวลล์พร้อมอุปกรณ์</t>
  </si>
  <si>
    <t>ขาตั้งไฟพาร์ LED  แบบชักรอก 2 ชั้น สามารถชักรอกได้</t>
  </si>
  <si>
    <t xml:space="preserve"> 22 พ.ค.60</t>
  </si>
  <si>
    <t>ตู้ควบคุมระบบไฟสัญญาณจราจร พร้อมดวงโคมชนิด LED</t>
  </si>
  <si>
    <t xml:space="preserve"> 22 มิ.ย. 2561</t>
  </si>
  <si>
    <t>ตู้ควบคุมสัญญาณไฟจราจร 4-16 เฟส ยี่ห้อ FORTH รุ่น TCA-0205</t>
  </si>
  <si>
    <t>ตู้ควบคุมสัญญาณไฟจราจร 4-16 เฟส ยี่ห้อ FORTH รุ่น TCA-0206</t>
  </si>
  <si>
    <t>ตู้ควบคุมไฟฟ้าพร้อมอุปกรณ์ สีเทา</t>
  </si>
  <si>
    <t>ตู้ควบคุมไฟฟ้าสัญญาณจารจร แบบ 4-16 เฟส พร้อมติดตั้ง</t>
  </si>
  <si>
    <t>หม้อแปลงไฟฟ้า ขนาด 50 เควีเอ ระบบ 3 เฟส 22000-400/230 โวลท์ พร้อมอุปกรณ์ติดตั้ง</t>
  </si>
  <si>
    <t>ตู้ควบคุมระบบไฟฟ้า กันน้ำอัตโนมัติฝา 2 ชั้น ขนาด 60 แอมป์</t>
  </si>
  <si>
    <t>ตู้โหลดเซนเตอร์เสาไฟ</t>
  </si>
  <si>
    <t>ส่วนการโยธา / ฝ่ายสวนสาธารณะ  /สวนจีน</t>
  </si>
  <si>
    <t>แผงควบคุมไฟฟ้าชนิดตู้โลหะพร้อมอุปกรณ์ป้องกันไฟฟ้า</t>
  </si>
  <si>
    <t>ตู้เมนควบคุมปั๊ม</t>
  </si>
  <si>
    <t xml:space="preserve">ตู้เมนไฟฟ้า ขนาด 100 แอมป์ 3 เฟส </t>
  </si>
  <si>
    <t>ตู้ควบคุมระบบไฟฟ้า</t>
  </si>
  <si>
    <t>8-กค-65</t>
  </si>
  <si>
    <t xml:space="preserve">ส่วนการโยธา / ฝ่ายสวนสาธารณะ </t>
  </si>
  <si>
    <t>16-ธค-65</t>
  </si>
  <si>
    <t>ส่วนการโยธา / ฝ่ายสวนสาธารณะ/ถนนประสานไมตรี</t>
  </si>
  <si>
    <t>ตู้ควบคุมไฟฟ้าเหล็กชนิดกันน้ำ</t>
  </si>
  <si>
    <t>2-ตค-65</t>
  </si>
  <si>
    <t xml:space="preserve"> (ตู้ชาร์จแบตเตอรี่)</t>
  </si>
  <si>
    <t>ตู้ชาร์จแบตเตอรรี่แบบรถเข็น 60 V</t>
  </si>
  <si>
    <t>469</t>
  </si>
  <si>
    <t>งานซ่อมบำรุงเครื่องจักรกล/กลุ่มงานเครื่องจักรกล/ส่วนการโยธา</t>
  </si>
  <si>
    <t>6. ครุภัณฑ์โฆษณาและเผยแพร่</t>
  </si>
  <si>
    <t xml:space="preserve"> (จอมอเตอร์)</t>
  </si>
  <si>
    <t>จอมอเตอร์ไฟฟ้า 150" เนื้อ MW สัดส่วน 4:3 ซ่อนบนฝ้า</t>
  </si>
  <si>
    <t>444</t>
  </si>
  <si>
    <t>ส่วนการโยธา / ฝ่ายสวนสาธารณะ/ สวนเวียงละกอน</t>
  </si>
  <si>
    <t>447</t>
  </si>
  <si>
    <t xml:space="preserve">  (โปรเจคเตอร์)</t>
  </si>
  <si>
    <t>โปรเจ็คเตอร์หลอด LCD 3000ANSI ความละเอียด 1280x80 พร้อมอุปกรณ์และขาแขวน 43x95 ซม.</t>
  </si>
  <si>
    <t>ส่วนการโยธา /ฝ่ายสวนสาธารณะ/ สวนเวียงละกอน</t>
  </si>
  <si>
    <t>(กล้องวงจรปิด)</t>
  </si>
  <si>
    <t>กล้องโทรทัศน์วงจรปิดชนิดเครือข่าย แบบมุมมองคงที่สำหรับติดตั้งภาย</t>
  </si>
  <si>
    <t>64</t>
  </si>
  <si>
    <t>21 ก.ย.64</t>
  </si>
  <si>
    <t>อาคารบ่อขยะ</t>
  </si>
  <si>
    <t>ในอาคาร ยี่ห้อ Hikvision รุ่น HVS-2CD2721Go-l</t>
  </si>
  <si>
    <t>อุปกรณ์บันทึกภาพผ่านเครือข่าย แบบ 8 ช่อง ยี่ห้อ Hikvision รุ่น</t>
  </si>
  <si>
    <t xml:space="preserve">DS-7608NI-K2 </t>
  </si>
  <si>
    <t>อุปกรณ์กระจายสัญญาณแบบ PoE (PoE 2 Switch) ขนาด 8 ช่อง</t>
  </si>
  <si>
    <t xml:space="preserve">ยี่ห้อ D-Link รุ่น DGS-1210-10P </t>
  </si>
  <si>
    <t>(เครื่องรับโทรทัศน์)</t>
  </si>
  <si>
    <t xml:space="preserve">โทรทัศน์สีขนาด 25 นิ้ว </t>
  </si>
  <si>
    <t>456</t>
  </si>
  <si>
    <t>16 มี.ค.47</t>
  </si>
  <si>
    <t>บ่อขยะ</t>
  </si>
  <si>
    <t>จอทีวี Aconatic ขนาด 43 นิ้ว</t>
  </si>
  <si>
    <t>7. ครุภัณฑ์วิทยาศาสาตร์การแพทย์</t>
  </si>
  <si>
    <t>201</t>
  </si>
  <si>
    <t xml:space="preserve"> (กล้องจุลทรรศน์)</t>
  </si>
  <si>
    <t>กล้องจุลทรรศน์</t>
  </si>
  <si>
    <t>10 มี.ค. 24</t>
  </si>
  <si>
    <t>227</t>
  </si>
  <si>
    <r>
      <t>(</t>
    </r>
    <r>
      <rPr>
        <b/>
        <sz val="12"/>
        <rFont val="TH SarabunPSK"/>
        <family val="2"/>
      </rPr>
      <t>เครื่องตรวจคุณภาพน้ำ)</t>
    </r>
  </si>
  <si>
    <t>เครื่องตรวจสอบคุณภาพน้ำ เครื่องวัดปริมาณ O2 ที่ละลายในน้ำและวัด</t>
  </si>
  <si>
    <t>5 เม.ย. 44</t>
  </si>
  <si>
    <t>โรงจัดการคุณภาพน้ำ</t>
  </si>
  <si>
    <t>ค่าความเป็นกรด - ด่าง แบบพกพา (SER NA 00270016 , SER RN 01050118)</t>
  </si>
  <si>
    <t>เครื่องตรวจวัดคุณภาพน้ำอัตโนมัติ ยี่ห้อ Commandorสีขาว แบบตู้สถานี</t>
  </si>
  <si>
    <t>8 เม.ย. 52</t>
  </si>
  <si>
    <t>ส่วนการโยธา / งานวิเคราะห์คุณภาพน้ำ/สุรชาติ</t>
  </si>
  <si>
    <t xml:space="preserve">ถ.วังขวา </t>
  </si>
  <si>
    <t>รุ่น Data logger CT-10</t>
  </si>
  <si>
    <t>(ตรงข้ามวัดสิงห์ชัย)</t>
  </si>
  <si>
    <t>(เครื่องชั่ง)</t>
  </si>
  <si>
    <t>เครื่องชั่งชนิดละเอียด</t>
  </si>
  <si>
    <t>289</t>
  </si>
  <si>
    <t>เครื่องชั่งชนิดหยาบ</t>
  </si>
  <si>
    <t>298</t>
  </si>
  <si>
    <r>
      <t>(</t>
    </r>
    <r>
      <rPr>
        <b/>
        <sz val="12"/>
        <rFont val="TH SarabunPSK"/>
        <family val="2"/>
      </rPr>
      <t>เครื่องวัดอุณหภูมิ)</t>
    </r>
  </si>
  <si>
    <t>เครื่องวัดอุณหภูมิระบบินฟาเรดทางหน้าผาก</t>
  </si>
  <si>
    <t>29 ม.ค.64</t>
  </si>
  <si>
    <t>ฝ่ายสวนสาธารณะ/โรงพัสดุ</t>
  </si>
  <si>
    <t>ฝ่ายสวนสาธารณะ/สวนเขลางค์</t>
  </si>
  <si>
    <t>เครื่องวัดอุณหภูมิอินฟราเรด ชนิดมีขาตั้ง ใช้พลังงานไฟฟ้า</t>
  </si>
  <si>
    <t>30 ธ.ค.65</t>
  </si>
  <si>
    <t>ส่วนการโยธา</t>
  </si>
  <si>
    <t>(ครุภัณฑ์วิทยาศาสตร์และการแพทย์)</t>
  </si>
  <si>
    <t>อ่างน้ำควบคุมอุณหภูมิ</t>
  </si>
  <si>
    <t>299</t>
  </si>
  <si>
    <t>8.ครุภัณฑ์งานบ้านงานครัว</t>
  </si>
  <si>
    <t xml:space="preserve"> (ม่านม้วน)</t>
  </si>
  <si>
    <t>ม่านม้วนขนาด 1.0x2.05 ซม. สีขาว</t>
  </si>
  <si>
    <t>6 ก.ย.62</t>
  </si>
  <si>
    <t>ฝ่ายสวนสาธารณะ /สวนเขลางค์</t>
  </si>
  <si>
    <t>อาคารสุขาภิบาล (เดิม)</t>
  </si>
  <si>
    <t>ม่านม้วนขนาด 1.35x1.35 ซม. สีขาว</t>
  </si>
  <si>
    <t>( เครื่องทำน้ำเย็น)</t>
  </si>
  <si>
    <t xml:space="preserve">เครื่องทำน้ำเย็น แบบใช้ขวด </t>
  </si>
  <si>
    <t>439</t>
  </si>
  <si>
    <t>27 พ.ย.40</t>
  </si>
  <si>
    <t>ผ่ายสวนสาธารณะ/โรงพัสดุ</t>
  </si>
  <si>
    <t xml:space="preserve">เครื่องทำน้ำเย็นแบบใช้ขวด ยี่ห้อ STANDARD </t>
  </si>
  <si>
    <t>22 มี.ค.65</t>
  </si>
  <si>
    <t>ส่วนการโยธา /งานไฟฟ้าสาธารณะ</t>
  </si>
  <si>
    <t xml:space="preserve">เครื่องทำน้ำเย็น </t>
  </si>
  <si>
    <t>18 เม.ย.46</t>
  </si>
  <si>
    <t>เครื่องทำน้ำเย็นแบบใช้ขวด</t>
  </si>
  <si>
    <t>(เครื่องตัดหญ้า)</t>
  </si>
  <si>
    <t>เครื่องตัดหญ้าข้อแข็ง</t>
  </si>
  <si>
    <t>441</t>
  </si>
  <si>
    <t>29 ส.ค. 48</t>
  </si>
  <si>
    <t>เครื่องตัดหญ้าแบบล้อจักรยาน</t>
  </si>
  <si>
    <t>เครื่องตัดหญ้าแบบสะพาย ยี่ห้อ ฮอนด้า รุ่น UMK435</t>
  </si>
  <si>
    <t>เครื่องตัดหญ้า ชนิดเข็น 2 ล้อ ยี่ห้อฮอนด้า รุ่น GX160T</t>
  </si>
  <si>
    <t>เครื่องตัดหญ้าแบบสะพาย</t>
  </si>
  <si>
    <t>เครื่องตัดหญ้า 4 ล้อ ยี่ห้อ HONDA</t>
  </si>
  <si>
    <t>เครื่องตัดหญ้าข้อแข็ง แบบสะพาย ยี่ห้อ Honda UMK435T รุ่น GX35</t>
  </si>
  <si>
    <t>7 ม.ค.62</t>
  </si>
  <si>
    <t>ฝ่ายสวนสาธารณะ/โรงพัสดุ/ห้องพัสดุ 2</t>
  </si>
  <si>
    <t>เครื่องตัดหญ้าแบบข้อแข็ง ยี่ห้อ HONDA  รุ่น UMK435</t>
  </si>
  <si>
    <t>ฝ่ายสวนสาธารณะ/ใช้งานชุดตัดหญ้า</t>
  </si>
  <si>
    <t>เครื่องตัดหญ้าแบบข้ออ่อน ยี่ห้อ HONDA  รุ่น UMR435</t>
  </si>
  <si>
    <t>ฝ่ายสวนสาธารณะ/ใช้งานสวนภิรมย์ธาร</t>
  </si>
  <si>
    <t>เครื่องตัดหญ้าแบบล้อจักรยาน ยี่ห้อ HONDA รุ่น GX160</t>
  </si>
  <si>
    <t>เครื่องตัดหญ้าแบบข้อแข็ง</t>
  </si>
  <si>
    <t>งานกำจัดมูลฝอยและสื่งปฏิกูล/ฝ่ายช่างสุขาภิบาล/ส่วนการโยธา</t>
  </si>
  <si>
    <t>(เครื่องตัดแต่งพุ่มไม้)</t>
  </si>
  <si>
    <t>เครื่องตัดแต่งพุ่มไม้ ยี่ห้อ KASEI รุ่น SLP600S</t>
  </si>
  <si>
    <t>ฝ่ายสวนสาธารณะ/ใช้งานชุดตัดแต่ง</t>
  </si>
  <si>
    <t>เครื่องตัดแต่งพุ่มไม้</t>
  </si>
  <si>
    <t>ฝ่ายสวนสาธารณะ/งานควบคุมและบำรุงรักษาสวนสาธารณะ</t>
  </si>
  <si>
    <t>(เครื่องกรองน้ำ)</t>
  </si>
  <si>
    <t>เครื่องกรองน้ำ</t>
  </si>
  <si>
    <t>701</t>
  </si>
  <si>
    <t>15 พ.ย. 55</t>
  </si>
  <si>
    <t>ส่วนการโยธา / งานสวนสาธารณะ /ข้างป้อมห้าแยก</t>
  </si>
  <si>
    <t xml:space="preserve"> (ถังเก็บน้ำ)</t>
  </si>
  <si>
    <t>ถังเก็บน้ำบนดินไฟเบอร์กลาสขนาดบรรจุ 5 ลบ.ม.พร้อมฐาน</t>
  </si>
  <si>
    <t>711</t>
  </si>
  <si>
    <t>21 ม.ค.58</t>
  </si>
  <si>
    <t>ฝ่ายสวนสาธารณะ/ หน้าศาลากลางเก่า</t>
  </si>
  <si>
    <t>(เครื่องเป่าพ่นลม)</t>
  </si>
  <si>
    <t>เครื่องเป่าพ่นลมใบไม้ ยี่ห้อ KASEI รุ่น EB500</t>
  </si>
  <si>
    <t>ฝ่ายสวนสาธารณะ</t>
  </si>
  <si>
    <t>9.ครุภัณฑ์โรงงาน</t>
  </si>
  <si>
    <t>059</t>
  </si>
  <si>
    <t xml:space="preserve"> (สว่าน สว่านไฟฟ้า)</t>
  </si>
  <si>
    <t>สว่านไฟฟ้าเจาะเหล็ก ใช้ดอกสว่าน ขนาด 1/2"  ยี่ห้อ MAKITA 1 ตัว</t>
  </si>
  <si>
    <t xml:space="preserve"> 7 มี.ค.43</t>
  </si>
  <si>
    <t>สว่านกระแทกไร้สาย 2 ระบบ ชนิดปรับแรง</t>
  </si>
  <si>
    <t>9 มี.ค. 59</t>
  </si>
  <si>
    <t>ช่างอรุณ</t>
  </si>
  <si>
    <t>สว่านไฟฟ้า ยี่ห้อมากีต้า รุ่น HR4013 กำลังไฟ 1100</t>
  </si>
  <si>
    <t>060</t>
  </si>
  <si>
    <t>(ตู้เชื่อมไฟฟ้า)</t>
  </si>
  <si>
    <t xml:space="preserve">แก๊สอซิเทลีน สำเร็จพร้อมเกย์อัด พร้อมอุปกรณ์รวม 7 รายการ  1 ชุด </t>
  </si>
  <si>
    <t xml:space="preserve"> 23 ธ.ค.32 </t>
  </si>
  <si>
    <t>เครื่องเชื่อมเหล็ก 500 แอมป์ ยี่ห้อ พลัง</t>
  </si>
  <si>
    <t xml:space="preserve"> 22 พ.ค.40</t>
  </si>
  <si>
    <t>เครื่องเชื่อมไฟฟ้า ยี่ห้อ พลัง(โรงงาน)</t>
  </si>
  <si>
    <t>17 ก.พ. 43</t>
  </si>
  <si>
    <t>ตู้เชื่อมไฟฟ้า ขนาด 200 แอมป์ ยี่ห้อ WELPRD สีแดง(โรงงาน)</t>
  </si>
  <si>
    <t>3 ม.ค. 51</t>
  </si>
  <si>
    <t>ชุดเชิ่อมและตัดแก๊ส (โรงงาน)</t>
  </si>
  <si>
    <t>6</t>
  </si>
  <si>
    <t>ชุดตัดเชิ่อมแก๊ส  ยี่ห้อ TANAKA</t>
  </si>
  <si>
    <t xml:space="preserve"> 1 เม.ย. 59</t>
  </si>
  <si>
    <t>7</t>
  </si>
  <si>
    <t>ตู้เชื่อมไฟฟ้า ระบบอินเวสเตอร์ ยี่ห้อ POWELL</t>
  </si>
  <si>
    <t>30 มี.ค. 60</t>
  </si>
  <si>
    <t>8</t>
  </si>
  <si>
    <t>เครื่องเชื่อมไฟฟ้า Longwell ระบบอินเวอร์เตอร์  MMA 170</t>
  </si>
  <si>
    <t>23 ธ.ค.65</t>
  </si>
  <si>
    <t>067</t>
  </si>
  <si>
    <t xml:space="preserve"> (เครื่องไสไม้ไฟฟ้า)</t>
  </si>
  <si>
    <t xml:space="preserve">กบไฟฟ้า 5 นิ้ว ยี่ห้อมาร์กีต้า </t>
  </si>
  <si>
    <t>8 ก.ค. 45</t>
  </si>
  <si>
    <t>068</t>
  </si>
  <si>
    <t xml:space="preserve"> (เลื่อย หินเจีย เครื่องเจีย)</t>
  </si>
  <si>
    <t>เครื่องเจียร/ตัดแบบมือถือ 7 นิ้ว ยี่ห้อมากีต้า รุ่น LP 1500</t>
  </si>
  <si>
    <t>1 เม.ย. 45</t>
  </si>
  <si>
    <t>เลื่อยกล ยี่ห้อ ฮีโร่</t>
  </si>
  <si>
    <t>เลื่อยวงเดือนไฟฟ้า 9 นิ้ว ยี่ห้อมากีต้า รุ่น 5900</t>
  </si>
  <si>
    <t>เลื่อยฉลุไฟฟ้า ขับด้วยมอเตอร์ไฟฟ้า ยี่ห้อมากีต้า รุ่น 4300</t>
  </si>
  <si>
    <t>เครื่องเจียร/ตัด 4 นิ้ว 570 วัตต์ ยี่ห้อมากีต้า รุ่น 9500 NB</t>
  </si>
  <si>
    <t>17 ก.พ. 52</t>
  </si>
  <si>
    <t xml:space="preserve">ส่วนการโยธา /งานบำรุงรักษาและซ่อมแซม </t>
  </si>
  <si>
    <t xml:space="preserve">เลื่อยยนต์ 25" ยี่ห้อ STIHLS สี่ส้ม-ขาว </t>
  </si>
  <si>
    <t>9 ธ.ค. 56</t>
  </si>
  <si>
    <t>074</t>
  </si>
  <si>
    <t xml:space="preserve"> (เครื่องอัดจารบี)</t>
  </si>
  <si>
    <t xml:space="preserve">ถังอัดจารบีแบบใช้ความดันลมพร้อมหัวฉีด ขนาดความจุ20 ลิตร ยี่ห้อ RAASM   1  ชุด  </t>
  </si>
  <si>
    <t xml:space="preserve">  4 ก.ย.45</t>
  </si>
  <si>
    <t xml:space="preserve">ถังเติมน้ำมันเฟืองท้ายมีเกจ์วัดแบบมีโยก ยี่ห้อ ACTELL รุ่น HO-32 (1 ถัง) </t>
  </si>
  <si>
    <t xml:space="preserve">  6 ก.ย.45</t>
  </si>
  <si>
    <t>075</t>
  </si>
  <si>
    <t xml:space="preserve"> (แม่แรง แท่นไฮโดรลิค)</t>
  </si>
  <si>
    <t xml:space="preserve">แม่แรงตะเข้ ขนาดยกน้ำหนักได้ 5 ตัน </t>
  </si>
  <si>
    <t>075-30-0003</t>
  </si>
  <si>
    <t xml:space="preserve"> 27 มี.ค.30 </t>
  </si>
  <si>
    <t>แม่แรงอัดไฮโดรลิคยกเกียร์  จำนวน  1  ชุด</t>
  </si>
  <si>
    <t>075-33-0004</t>
  </si>
  <si>
    <t xml:space="preserve"> 15 พ.ค.33 </t>
  </si>
  <si>
    <t>แก้ไขราคาเพิ่มเติมจากกองคลัง</t>
  </si>
  <si>
    <t>ชุดแท่นอัดไฮโดรลิค ขนาด 1 1/2 ตัน จำนวน 1ชุด</t>
  </si>
  <si>
    <t>075-33-0005</t>
  </si>
  <si>
    <t>แม่แรงไฮโดรลิค ชนิดจระเข้ ขนาด 10 ตัน  1 ตัว</t>
  </si>
  <si>
    <t>075-35-0006</t>
  </si>
  <si>
    <t xml:space="preserve"> 11 มี.ค.35</t>
  </si>
  <si>
    <t>แม่แรงไฮโดรลิค  ชนิดจระเข้ ขนาด 5 ตัน  1 ตัว</t>
  </si>
  <si>
    <t>075-35-0007</t>
  </si>
  <si>
    <t xml:space="preserve">แม่แรงตีนช้าง ยี่ห้อ คายาบ่า </t>
  </si>
  <si>
    <t>075-35-0009</t>
  </si>
  <si>
    <t xml:space="preserve"> 12 มี.ค.35 </t>
  </si>
  <si>
    <t>แม่แรงแยกส่วน ขนาด 10 ตัน พร้อมอุปกรณ์ 1 ชุด</t>
  </si>
  <si>
    <t>075-37-0010</t>
  </si>
  <si>
    <t xml:space="preserve"> 15 มิ.ย.37 </t>
  </si>
  <si>
    <t xml:space="preserve">แม่แรงไฮดรอลิคสำหรับยกเพลากลาง แบบ 3 ขา ใช้คันโยกขึ้นลงได้  </t>
  </si>
  <si>
    <t>075-40-0012</t>
  </si>
  <si>
    <t xml:space="preserve"> 20 มี.ค.40 </t>
  </si>
  <si>
    <t>แก้ไขวันที่เพิ่มเติมจากกองคลัง</t>
  </si>
  <si>
    <t>แม่แรงตะเฆ่ตัน ยี่ห้อ  HAMCo จำนวน 1 ตัว (สีส้ม)</t>
  </si>
  <si>
    <t>075-43-0013</t>
  </si>
  <si>
    <t>แม่แรงตะเฆ่ ขนาด 3.5 ตัน ยี่ห้อ PRINE รุ่น 3.5 ตัน 1 ตัว (สีแดง)</t>
  </si>
  <si>
    <t>075-48-0014</t>
  </si>
  <si>
    <t>23 มี.ค.48</t>
  </si>
  <si>
    <t>แท่นไฮดรอลิกยกมอเตอร์ไซค์ BR-500 จำนวน 1ชุด</t>
  </si>
  <si>
    <t>075-52-0015</t>
  </si>
  <si>
    <t xml:space="preserve"> 10 มี.ค.52</t>
  </si>
  <si>
    <t>แก้ไขวันที่</t>
  </si>
  <si>
    <t>(ประแจ ปากกา)</t>
  </si>
  <si>
    <t>ปากกาจับเหล็ก ขนาด 6" ชนิดหมุนอัดด้วยมือ 1 ตัว</t>
  </si>
  <si>
    <t>088-29-0003</t>
  </si>
  <si>
    <t xml:space="preserve"> 23 ม.ค.29 </t>
  </si>
  <si>
    <t>กุญแจลมถอดล้อรถยนต์ พร้อมลูกบล๊อค  1 ขุด</t>
  </si>
  <si>
    <t>088-30-0005</t>
  </si>
  <si>
    <t xml:space="preserve"> 19 มี.ค.30 </t>
  </si>
  <si>
    <t>ประแจบล็อกชุดใหญ่ ใช้หัวสวมลูกปล๊อก ขนาด Ø 3/4"</t>
  </si>
  <si>
    <t>088-33-0006</t>
  </si>
  <si>
    <t xml:space="preserve"> 4 มิ.ย.33</t>
  </si>
  <si>
    <t xml:space="preserve">ประแจปอนด์ Ø 1/2" จำนวน  1  ตัว </t>
  </si>
  <si>
    <t>088-34-0018</t>
  </si>
  <si>
    <t xml:space="preserve"> 9 เม.ย.34</t>
  </si>
  <si>
    <t>กุญแจโซ่ แบบขันแป๊บน้ำ ขนาดจับได้ Ø  1" - 4"</t>
  </si>
  <si>
    <t>088-35-0021</t>
  </si>
  <si>
    <t xml:space="preserve"> 3 มี.ค.35 </t>
  </si>
  <si>
    <t>088-35-0022</t>
  </si>
  <si>
    <t>ประแจบล๊อคเส้นผ่าศูนย์กลาง 3/4"</t>
  </si>
  <si>
    <t>088-35-0023</t>
  </si>
  <si>
    <t xml:space="preserve">ประแจแป๊บน้ำ ขนาด 2"   1 ตัว </t>
  </si>
  <si>
    <t>088-35-0024</t>
  </si>
  <si>
    <t xml:space="preserve">ประแจแป๊บน้ำ ขนาด 4"   1 ตัว </t>
  </si>
  <si>
    <t>088-35-0025</t>
  </si>
  <si>
    <t>บล็อกลมถอดน๊อต  จำนวน  1  ตัว</t>
  </si>
  <si>
    <t>088-39-0027</t>
  </si>
  <si>
    <t xml:space="preserve"> 17 มิ.ย.39</t>
  </si>
  <si>
    <t xml:space="preserve">ประแจถอดน๊อต(ฟรีลมขนาด3/8") ยี่ห้อTOKU รุ่นM120P </t>
  </si>
  <si>
    <t>088-48-0028</t>
  </si>
  <si>
    <t xml:space="preserve"> 23 ก.ย.48</t>
  </si>
  <si>
    <t>ปากกาจับชิ้นงาน</t>
  </si>
  <si>
    <t>088-58-0029</t>
  </si>
  <si>
    <t>12 พ.ค. 58</t>
  </si>
  <si>
    <t>เพิ่มงบปี 58  เพิ่มเติม</t>
  </si>
  <si>
    <t>(มอเตอร์ เครื่องชาร์ทแบตเตอรี่)</t>
  </si>
  <si>
    <t>มอเตอร์หินเจียร ชนิดตั้งแท่นมอเตอร์ ขนาด1/3 แรงม้า จำนวน 1 ตัว</t>
  </si>
  <si>
    <t>เครื่องเจียรมือ ขนาด100x16x6 มม.  ยี่ห้อ มาร์กีต้า รุ่น9500 N  1ชุด</t>
  </si>
  <si>
    <t xml:space="preserve"> 14 ก.ย.38 </t>
  </si>
  <si>
    <t>เครื่องชาร์จแบตเตอรี่  จำนวน  1  เครื่อง</t>
  </si>
  <si>
    <t xml:space="preserve"> 14 มิ.ย.39</t>
  </si>
  <si>
    <t>เครื่องเจียร์ตัด ยี่ห้อ มาร์กีการ์</t>
  </si>
  <si>
    <t>เครื่องเจียรไฟฟ้า ขนาด 7 นิ้ว  Makita รุ่น GA 7060 ขนาด 2200 W</t>
  </si>
  <si>
    <t>23 ธ.ค.66</t>
  </si>
  <si>
    <t>099</t>
  </si>
  <si>
    <t xml:space="preserve"> (เครนยกของ , ลอกยกของ)</t>
  </si>
  <si>
    <t>เครนยกของตั้งอยู่บนล้อไม่น้อยกว่า 3 ล้อ มีอุปกรณ์พร้อมขอเกี่ยว1 ชุด</t>
  </si>
  <si>
    <t xml:space="preserve"> 3 เม.ย.34</t>
  </si>
  <si>
    <t>103</t>
  </si>
  <si>
    <t>(ชุดดูดแป๊บ)</t>
  </si>
  <si>
    <t>ชุดดูดแป๊บ</t>
  </si>
  <si>
    <t>9 เม.ย 34</t>
  </si>
  <si>
    <t xml:space="preserve">พัดลมโรงงาน ชนิดมีล้อเลื่อน Ø 24" 1 ชุด </t>
  </si>
  <si>
    <t xml:space="preserve"> 9 เม.ย.34 </t>
  </si>
  <si>
    <t>ชุดดูดลูกปืน แบบประกอบและแบน 2 ขา 1 ชุด</t>
  </si>
  <si>
    <t>ชุดบานแป๊บเหล็ก พร้อมชุดตัด 1 ชุด</t>
  </si>
  <si>
    <t xml:space="preserve">เหล็กดูดลูกปืนขนาด 30-16 มม. ขนาดขาเลื่อน100-300มม. </t>
  </si>
  <si>
    <t xml:space="preserve"> 15 มิ.ย.37</t>
  </si>
  <si>
    <t>ชุดดูดลูกปืน ประกอบด้วยชนิด 60/1 และ 62/1 ( 1ชุด)</t>
  </si>
  <si>
    <t>(ทั่งตีเหล็ก)</t>
  </si>
  <si>
    <t>ทั่งตีเหล็ก ขนาด น้ำหนัก  50 กก.   1 ตัว</t>
  </si>
  <si>
    <t>104</t>
  </si>
  <si>
    <t xml:space="preserve"> (เครื่องผลิตน้ำมันไบโอดีเซล)</t>
  </si>
  <si>
    <t>เครื่องผลิตน้ำมันไบโอดีเซล</t>
  </si>
  <si>
    <t>108</t>
  </si>
  <si>
    <t>7 เม.ย. 52</t>
  </si>
  <si>
    <t xml:space="preserve">ส่วนการโยธา / งานกำจัดมูลฝอยฯ </t>
  </si>
  <si>
    <t>เครื่องเย็บปากถุงปุ๋ย(อื่นๆ)</t>
  </si>
  <si>
    <t>112</t>
  </si>
  <si>
    <t>(เครื่องอัดขยะ)</t>
  </si>
  <si>
    <t>เครื่องอัดขยะ</t>
  </si>
  <si>
    <t>115</t>
  </si>
  <si>
    <t>เครื่องชั่งขยะมูลฝอย</t>
  </si>
  <si>
    <t xml:space="preserve"> (เครื่องฉีดน้ำ)</t>
  </si>
  <si>
    <t>เครื่องฉีดน้ำแรงสูง</t>
  </si>
  <si>
    <t>116</t>
  </si>
  <si>
    <t>อุปกรณ์เครื่องมือซ่อมบำรุง</t>
  </si>
  <si>
    <t>อุปกรณ์ปูแผ่นยางทั้งระบบ (บ่อขยะกล้วยแพะ)</t>
  </si>
  <si>
    <t>อุปกรณ์บำบัดน้ำเสีย (บ่อขยะกล้วยแพะ)</t>
  </si>
  <si>
    <t xml:space="preserve"> (เครื่องทำความสะอาดแรงดันสูง)</t>
  </si>
  <si>
    <t xml:space="preserve">เครื่องทำความสะอาดผิวแรงดันสูง </t>
  </si>
  <si>
    <t>421</t>
  </si>
  <si>
    <t>ฝ่ายสาธารณูปโภค/งานบำรุงรักษาทางและสะพาน</t>
  </si>
  <si>
    <t xml:space="preserve"> (ตู้ควบคุมระบบบำบัดน้ำเสีย)</t>
  </si>
  <si>
    <t>ตู้ควบคุมระบบบำบัดน้ำเสีย</t>
  </si>
  <si>
    <t>(เครื่องกระเทาะเมล็ดพืช)</t>
  </si>
  <si>
    <t>เครื่องกระเทาะเปลือกผลสบู่ดำและเครื่องคัดแยกเมล็ดสบู่ดำ</t>
  </si>
  <si>
    <t>611</t>
  </si>
  <si>
    <t>9 ก.ย. 52</t>
  </si>
  <si>
    <t>ส่วนการโยธา / งานกำจัดมูลฝอยฯ  /สุรชาติ</t>
  </si>
  <si>
    <t>(เครื่องตักขยะ)</t>
  </si>
  <si>
    <t>เครื่องตักขยะพร้อมตู้ควบคุม</t>
  </si>
  <si>
    <t>(เครื่องหีบน้ำมันเมล็ดสบู่ดำ)</t>
  </si>
  <si>
    <t>เครื่องหีบน้ำมันสบู่ดำ (โรงงาน)</t>
  </si>
  <si>
    <t>636</t>
  </si>
  <si>
    <t>(เครื่องกรองน้ำสบู่ดำ)</t>
  </si>
  <si>
    <t>เครื่องกรองน้ำสบู่ดำ แบบการทำงานแบบไส้กรอง</t>
  </si>
  <si>
    <t>637</t>
  </si>
  <si>
    <t>(เครื่องเป่าลม)</t>
  </si>
  <si>
    <t>เครื่องเป่าลม (เป่าใบไม้)  KASEI รุ่น EB-500-E</t>
  </si>
  <si>
    <t>722</t>
  </si>
  <si>
    <t>ฝ่ายส่วนสาธารณะ</t>
  </si>
  <si>
    <t>10.ครุภัณฑ์กีฬา</t>
  </si>
  <si>
    <t xml:space="preserve"> ( กีฬา)</t>
  </si>
  <si>
    <t>บาร์เดี่ยว</t>
  </si>
  <si>
    <t>ส่วนการโยธา /ฝ่ายสวนสาธารณะ(สนามเด็กเล่นสวนประตูเวียง)</t>
  </si>
  <si>
    <t>บาร์เดี่ยว 3 ระดับ</t>
  </si>
  <si>
    <t>วิดพื้น</t>
  </si>
  <si>
    <t>กระโดดข้าม</t>
  </si>
  <si>
    <t>ห้อยโหน</t>
  </si>
  <si>
    <t>ฝึกกำลังแขน</t>
  </si>
  <si>
    <t>ก้าวกระโดด</t>
  </si>
  <si>
    <t>บาร์คู่</t>
  </si>
  <si>
    <t>ชุดสะพานระวิง</t>
  </si>
  <si>
    <t>ชิงช้า</t>
  </si>
  <si>
    <t>คานทรงตัว</t>
  </si>
  <si>
    <t>เครื่องจักรยานปั่นเอน ซ้าย-ขวา</t>
  </si>
  <si>
    <t>2 ต.ค.62</t>
  </si>
  <si>
    <t>ส่วนการโยธา /ฝ่ายสวนสาธารณะ(สวนเขลางค์)</t>
  </si>
  <si>
    <t>เครื่องบริหารขาแบบดันขึ้น</t>
  </si>
  <si>
    <t>เครื่องกรรเชียง</t>
  </si>
  <si>
    <t>เครื่องออกกำลังกายขา</t>
  </si>
  <si>
    <t>เครื่องก้าวเหวี่ยง</t>
  </si>
  <si>
    <t>เครื่องวิ่งล้อถ่วง</t>
  </si>
  <si>
    <t>เครื่องบริหารแบบถ่างขา</t>
  </si>
  <si>
    <t>จักรยานปั่นออกกำลังแขน</t>
  </si>
  <si>
    <t>จักรยานบริหารขา</t>
  </si>
  <si>
    <t>เครื่องบริหารวงแขน</t>
  </si>
  <si>
    <t>จักรยานเอนปั่น</t>
  </si>
  <si>
    <t>จักรยานบริหารขาและมือ</t>
  </si>
  <si>
    <t>ซิทอัพคู่</t>
  </si>
  <si>
    <t xml:space="preserve"> (เครื่องออกกำลังกาย(บริหารกล้ามเนื้อ)</t>
  </si>
  <si>
    <t>เครื่องนวดหลังคลายกล้ามเนื้อ</t>
  </si>
  <si>
    <t>11 เม.ย.51</t>
  </si>
  <si>
    <t xml:space="preserve">ฝ่ายสวนสาธารณะ (สวนสาธารณะเขลางค์) </t>
  </si>
  <si>
    <t>ฝั่งอาคารวัฒนธรรม</t>
  </si>
  <si>
    <t>เครื่องนั่งปั่นจักรยานอบอุ่นร่างกายท่อนล่าง</t>
  </si>
  <si>
    <t>เครื่องบริหารหัวไหล่และหน้าอก</t>
  </si>
  <si>
    <t>เครื่องบิดเอว</t>
  </si>
  <si>
    <t>เครื่องจักรยานก้าวเดิน</t>
  </si>
  <si>
    <t>เครื่องบริหารนวดเท้า</t>
  </si>
  <si>
    <t>เครื่องบริหารแขนและหัวไหล่อบอุ่นร่างกายท่อนบน</t>
  </si>
  <si>
    <t>เครื่องล้อหมุนบริหารหัวไหล่</t>
  </si>
  <si>
    <t>เครื่องบาร์โหนทรงตัว</t>
  </si>
  <si>
    <t>เครื่องกระดานซิทอัพ</t>
  </si>
  <si>
    <t>เครื่องฝึกก้าวเดิน</t>
  </si>
  <si>
    <t>ชุดฝึกก้าวเดิน</t>
  </si>
  <si>
    <t>ชุดจักรยานก้าวเดิน</t>
  </si>
  <si>
    <t>อุปกรณ์ล้อหมุนบริหารไหล่</t>
  </si>
  <si>
    <t>ฝ่ายสวนสาธารณะ(สนามเด็กเล่นสวนประตูเวียง)</t>
  </si>
  <si>
    <t>อุปกรณ์บริหารไหล่และหน้าอก</t>
  </si>
  <si>
    <t>อุปกรณ์จักรยานเดินก้าว</t>
  </si>
  <si>
    <t>อุปกรณ์นวดหลังและขา</t>
  </si>
  <si>
    <t>อุปกรณ์โหนตัว</t>
  </si>
  <si>
    <t>อุปกรณ์บริหารเอว</t>
  </si>
  <si>
    <t>ลูกตุ้มแกว่งตัว</t>
  </si>
  <si>
    <t>อุปกรณ์ฝึกการเดิน (คู่)</t>
  </si>
  <si>
    <t>อุปกรณ์ฝึกการเดิน (เดี่ยว)</t>
  </si>
  <si>
    <t>อุปกรณ์จักรยานบริหารหน้าท้อง</t>
  </si>
  <si>
    <t>อุปกรณ์ฝึกการเดินคู่</t>
  </si>
  <si>
    <t>อุปกรณ์ล้อหมุนบริหารเท้า</t>
  </si>
  <si>
    <t>อุปกรณ์ลูกกลิ้ง</t>
  </si>
  <si>
    <t>อุปกรณ์ที่นั่งปั่นจักรยาน</t>
  </si>
  <si>
    <t>อุปกรณ์กรรเชียงบก</t>
  </si>
  <si>
    <t>เครื่องออกกำลังกายแขน</t>
  </si>
  <si>
    <t>ฝ่ายสวนสาธารณะ (สวนสาธารณะเวียงละกอน)</t>
  </si>
  <si>
    <t>เครื่องดึงไหล่ออกกำลังแขน</t>
  </si>
  <si>
    <t>เครื่องออกกำลังกายข้อเข่า (จักรยาน)</t>
  </si>
  <si>
    <t>เครื่องลดหน้าท้อง</t>
  </si>
  <si>
    <t>เครื่องบริหารหัวเข่า</t>
  </si>
  <si>
    <t>เครื่องออกกำลังกายแขนลดหน้าท้อง</t>
  </si>
  <si>
    <t>เครื่องนวดหลัง ออกกำลังกายแขน</t>
  </si>
  <si>
    <t>เครื่องออกกำลังขา</t>
  </si>
  <si>
    <t>เครื่องบริหารข้อสะโพก</t>
  </si>
  <si>
    <t>เครื่องบริหารข้อเข่า (จักรยาน)</t>
  </si>
  <si>
    <t>เครื่องบริหารข้อเข่าและออกกำลังแขน</t>
  </si>
  <si>
    <t>เครื่องบริหารหัวเข่าและออกกำลังแขน</t>
  </si>
  <si>
    <t>เครื่องดึงไหล่</t>
  </si>
  <si>
    <t>เครื่องบริหารไหล่และสะโพก</t>
  </si>
  <si>
    <t>ลู่วิ่งอเนกประสงค์</t>
  </si>
  <si>
    <t>ฝ่ายสวนสาธารณะ (สวนสาธารณะเขื่อนยาง)</t>
  </si>
  <si>
    <t>เครื่องนวดหลัง ออกกำลังแขน</t>
  </si>
  <si>
    <t>( อุปกรณ์เด็กเล่น)</t>
  </si>
  <si>
    <t>ชุดการเล่นกลางแจ้ง (15 รายการ)</t>
  </si>
  <si>
    <t>808</t>
  </si>
  <si>
    <t>ฝั่งคลีนิคฟัน</t>
  </si>
  <si>
    <t>สปริงโยกรูปสัตว์</t>
  </si>
  <si>
    <t>กระดานหกรูปสัตว์</t>
  </si>
  <si>
    <t>ม้าหมุน 3 ที่นั่ง</t>
  </si>
  <si>
    <t>ปีนป่าย</t>
  </si>
  <si>
    <t>( อุปกรณ์กีฬา)</t>
  </si>
  <si>
    <t>เสาสนามเซปัคตะกร้อเหล็กกลมล้อยาง</t>
  </si>
  <si>
    <t>811</t>
  </si>
  <si>
    <t>20 ธ.ค.65</t>
  </si>
  <si>
    <t>เสาแบตมินตันระบบเฟืองแบบล้อเลื่อนพร้อมตาข่าย</t>
  </si>
  <si>
    <t>เสาบาสเกตบอลพร้อมแป้นห่วงตาข่าย</t>
  </si>
  <si>
    <t>เสาฟุตซอลเหล็กกลมพร้อมตาข่าย</t>
  </si>
  <si>
    <t>เสาฟุตซอลเหล็กกลมมาตรฐานพร้อมตาข่าย</t>
  </si>
  <si>
    <t xml:space="preserve">ฝ่ายสวนสาธารณะ (สวนสาธารณะเขื่อนยาง) </t>
  </si>
  <si>
    <t>เสาตะกร้อเหล็กกลมพร้อมาข่ายชนิดมีเฟืองและล้อยาง</t>
  </si>
  <si>
    <t>เสาแบดมินตันเหล็กกลมพร้อมตาข่ายชนิดมีเฟืองและล้อยาง</t>
  </si>
  <si>
    <t>11.ครุภัณฑ์สำรวจ</t>
  </si>
  <si>
    <t>051</t>
  </si>
  <si>
    <t>(ไม้สตาฟฟ์)</t>
  </si>
  <si>
    <t>ไม้สต๊าฟ ยี่ห้อนิคอน (ของแถม)</t>
  </si>
  <si>
    <t>078</t>
  </si>
  <si>
    <t xml:space="preserve"> (กล้องระดับ)</t>
  </si>
  <si>
    <t>กล้องระดับยี่ห้อนิคอน อัตโนมัติพร้อมขาตั้ง เลขเครื่อง 211085</t>
  </si>
  <si>
    <t>กล้องระดับอัตโนมัติ (กำลังขยาย 32 เท่า)</t>
  </si>
  <si>
    <t>3 มี.ค.64</t>
  </si>
  <si>
    <t>กล้องระดับ ขนาดกำลังขยาย 30 เท่า ยี่ห้อ TOPCON รุ่น AT-B2</t>
  </si>
  <si>
    <t>19 ส.ค.64</t>
  </si>
  <si>
    <t>079</t>
  </si>
  <si>
    <t xml:space="preserve"> (เครื่องหาพิกัด)</t>
  </si>
  <si>
    <t>เครื่องหาพิกัดด้วยสัญญาณดาวเทียมแบบพกพา</t>
  </si>
  <si>
    <t>12.ครุภัณฑ์คอมพิวเตอร์</t>
  </si>
  <si>
    <t xml:space="preserve">  (เครื่องคอมพิวเตอร์)</t>
  </si>
  <si>
    <t>เครื่องคอมพิวเตอร์  ยี่ห้อ WINWAY พร้อมเครื่องปรินเตอร์  ยี่ห้อ SHARP รุ่น AJ-6010    1 ชุด</t>
  </si>
  <si>
    <t>416-45-0118</t>
  </si>
  <si>
    <t xml:space="preserve"> 24 มิ.ย.45</t>
  </si>
  <si>
    <t>จิราภรณ์</t>
  </si>
  <si>
    <t xml:space="preserve">เครื่องคอมพิวเตอร์ ยี่ห้อ Powell พร้อมเครื่องปริ้นเตอร์ </t>
  </si>
  <si>
    <t>416-47-0221</t>
  </si>
  <si>
    <t xml:space="preserve"> 21 พ.ค.47</t>
  </si>
  <si>
    <t>ส่วนการโยธา/งานบำบัดน้ำเสีย</t>
  </si>
  <si>
    <t>วิชุดา (ปริ้นชำรุด)</t>
  </si>
  <si>
    <t>โอน จากงานธุรการวันที่ 3 พ.ย.64</t>
  </si>
  <si>
    <t xml:space="preserve">เครื่องคอมพิวเตอร์ POWELL รุ่น  P 4300 CF </t>
  </si>
  <si>
    <t>416-47-0222</t>
  </si>
  <si>
    <t>ณัฐนิชา</t>
  </si>
  <si>
    <t xml:space="preserve"> * ยอดเงินเอามาตัดกับการจำหน่ายจอภาพ 15 สค.61</t>
  </si>
  <si>
    <t>เครื่องคอมพิวเตอร์ 1 ชุด</t>
  </si>
  <si>
    <t>416-48-0324</t>
  </si>
  <si>
    <t>25 ม.ค. 48</t>
  </si>
  <si>
    <t>อุษณีพร</t>
  </si>
  <si>
    <t>เครื่องคอมฯ  CPU HP (ลูกข่าย)</t>
  </si>
  <si>
    <t>416-51-0389</t>
  </si>
  <si>
    <t xml:space="preserve"> 29 พ.ค.51</t>
  </si>
  <si>
    <t xml:space="preserve">เครื่องคอมพิวเตอร์ ยี่ห้อ Powell (CPU HP) (ลูกข่าย) </t>
  </si>
  <si>
    <t>416-51-0392</t>
  </si>
  <si>
    <t>ปรมินทร์</t>
  </si>
  <si>
    <t>เครื่องสำรองไฟ SYNDOME (ลูกข่าย)</t>
  </si>
  <si>
    <t>416-51-0426</t>
  </si>
  <si>
    <t>416-51-0428</t>
  </si>
  <si>
    <t>จอคอมพิวเตอร์ LCD HP (ลูกข่าย)</t>
  </si>
  <si>
    <t>416-51-0492</t>
  </si>
  <si>
    <t>416-51-0495</t>
  </si>
  <si>
    <t>เครื่องคอมพิวเตอร์ (CPU) HP COMPAQ DC 5800MT</t>
  </si>
  <si>
    <t>416-52-0594</t>
  </si>
  <si>
    <t xml:space="preserve"> 1 ก.ค. 52</t>
  </si>
  <si>
    <t>จอคอมพิวเตอร์ LCD 23 นิ้ว HP 2309 M เทา-ดำ</t>
  </si>
  <si>
    <t>416-52-0596</t>
  </si>
  <si>
    <t>416-52-0601</t>
  </si>
  <si>
    <t>ส่วนโยธา/งานบำรุงรักษาอาคารและสถานที่/งานศิลป์</t>
  </si>
  <si>
    <t>คอมพิวเตอร์ (cpu ยี่ห้อ hp พร้อมเครื่องสำรองไฟ  จำนวน  1  ชุด)</t>
  </si>
  <si>
    <t>416-53-0647</t>
  </si>
  <si>
    <t xml:space="preserve"> 18 พ.ย.53</t>
  </si>
  <si>
    <t>จอคอมพิวเตอร์ LCD  HP 19 นิ้ว</t>
  </si>
  <si>
    <t>416-53-0648</t>
  </si>
  <si>
    <t>เครื่องพิมพ์คอมพิวเตอร์ ยี่ห้อ Canon  E 510 สีดำ</t>
  </si>
  <si>
    <t xml:space="preserve">416-58-0828 </t>
  </si>
  <si>
    <t xml:space="preserve"> 8 ก.ค.58</t>
  </si>
  <si>
    <t>วิชุดา</t>
  </si>
  <si>
    <t>เครื่องคอมพิวเตอร์ สเปก CORE I5 มีหน่วยความจำรอง คือ DDR m (133) 4 GB พร้อมอุปกรณ์ (CPU)</t>
  </si>
  <si>
    <t>416-58-0829</t>
  </si>
  <si>
    <t>22 ก.ค 58</t>
  </si>
  <si>
    <t>เครื่องปริ้นเตอร์ยี่ห้อ  EPSON  L220 พร้อมแท้งค์</t>
  </si>
  <si>
    <t>416-59-0835</t>
  </si>
  <si>
    <t>18 ก.พ 59</t>
  </si>
  <si>
    <t>เครื่องคอมพิวเตอร์</t>
  </si>
  <si>
    <t>416-59-0916</t>
  </si>
  <si>
    <t>จอภาพ  LCS   19.5"</t>
  </si>
  <si>
    <t>416-59-0917</t>
  </si>
  <si>
    <t>เครื่องสำรองไฟ ขนาด 800 VA 480 วัตต์</t>
  </si>
  <si>
    <t>416-59-0918</t>
  </si>
  <si>
    <t>416-59-0871</t>
  </si>
  <si>
    <t>จอภาพ  LCS   18.5"</t>
  </si>
  <si>
    <t>416-59-0872</t>
  </si>
  <si>
    <t>เครื่องคอมพิวเตอร์ ยี่ห้อ Acer รุ่น ES2740G Core13-10105</t>
  </si>
  <si>
    <t>416-65-2007</t>
  </si>
  <si>
    <t>จอคอมพิวเตอร์ ยี่ห้อ Acer รุ่น V206HQL จอแบน LED 19.5"</t>
  </si>
  <si>
    <t>416-65-2008</t>
  </si>
  <si>
    <t>416-65-2009</t>
  </si>
  <si>
    <t>416-65-2010</t>
  </si>
  <si>
    <t xml:space="preserve">ส่วนการโยธา /ฝ่ายสวนสาธารณะ </t>
  </si>
  <si>
    <t>416-65-2011</t>
  </si>
  <si>
    <t>416-65-2012</t>
  </si>
  <si>
    <t>416-65-2013</t>
  </si>
  <si>
    <t>416-65-2014</t>
  </si>
  <si>
    <t>เครื่องสำรองไฟ ยี่ห้อ ZIRCON รุ่น ICT-1 ขนาด 800 AV 480 W</t>
  </si>
  <si>
    <t>416-65-2019</t>
  </si>
  <si>
    <t>416-65-2020</t>
  </si>
  <si>
    <t>เครื่องคอมพิวเตอร์สำหรับงานประมวลผลแบบที่ 1 ยี่ห้อ ACER</t>
  </si>
  <si>
    <t>416-65-2021</t>
  </si>
  <si>
    <t>ส่วนการโยธา/งานวางแผนและบริหารเครื่องจักรฯ</t>
  </si>
  <si>
    <t>รุ่น ES2740G Core15-10400</t>
  </si>
  <si>
    <t>416-65-2022</t>
  </si>
  <si>
    <t>416-65-2023</t>
  </si>
  <si>
    <t>416-65-2024</t>
  </si>
  <si>
    <t>416-65-2025</t>
  </si>
  <si>
    <t>416-65-2026</t>
  </si>
  <si>
    <t>เครื่องพิมพ์ Multifunction ยี่ห้อ Brother รุ่น DCP-T720W แบบฉีด</t>
  </si>
  <si>
    <t>416-65-2038</t>
  </si>
  <si>
    <t xml:space="preserve">หมึก พร้อมติดตั้งถังหมึก (lnk Tank Printer) </t>
  </si>
  <si>
    <t>416-65-2039</t>
  </si>
  <si>
    <t>เครื่องพิมพ์แบบฉีดหมึก(lnk Printer) สำหรับกระดาษ A3 แบบฉีดหมึก</t>
  </si>
  <si>
    <t>416-65-2040</t>
  </si>
  <si>
    <t>รุ่นOfficejet Pro 7720 Wide Format All-ln-One Printer</t>
  </si>
  <si>
    <t>เครื่องสำรองไฟฟ้า ZIRCON รุ่น EMPOW ขนาด 1KVA 1200VA720W</t>
  </si>
  <si>
    <t>416-65-2042</t>
  </si>
  <si>
    <t>416-65-2043</t>
  </si>
  <si>
    <t>416-65-2049</t>
  </si>
  <si>
    <t>416-65-2050</t>
  </si>
  <si>
    <t xml:space="preserve">เครื่องพิมพ์ชนิด Dot Matrix Peinyer ยี่ห้อ OKI รุ่น ML790Plus </t>
  </si>
  <si>
    <t>416-65-2051</t>
  </si>
  <si>
    <t>แบบแคร่สั้น</t>
  </si>
  <si>
    <t>416</t>
  </si>
  <si>
    <t>2202</t>
  </si>
  <si>
    <t>ส่วนการโยธา/งานสวนสาธารณะ/ห้องรองกิตติ</t>
  </si>
  <si>
    <t xml:space="preserve"> (ฝายแม่น้ำวัง เขื่อนยาง) </t>
  </si>
  <si>
    <t>จอมอนิเตอร์ LED ขนาด 50 นิ้ว</t>
  </si>
  <si>
    <t>2285</t>
  </si>
  <si>
    <t>ส่วนการโยธา/งานสวนสาธารณะ/สวนเขื่อนยาง</t>
  </si>
  <si>
    <t>2286</t>
  </si>
  <si>
    <t>สแกนเนอร์ สำหรับงานเก็บเอกสารระดับศูนย์บริการแบบที่ 2</t>
  </si>
  <si>
    <t>2300</t>
  </si>
  <si>
    <t xml:space="preserve">เครื่องสำรองไฟฟ้าขนาด 800 VA </t>
  </si>
  <si>
    <t>2301</t>
  </si>
  <si>
    <t>2302</t>
  </si>
  <si>
    <t>2303</t>
  </si>
  <si>
    <t xml:space="preserve">เครื่องสำรองไฟฟ้าขนาด 1 kVA </t>
  </si>
  <si>
    <t>2304</t>
  </si>
  <si>
    <t>ส่วนการโยธา/ฝ่ายช่างสุขาภิบาล/งานกำจัดขยะมูลฝอยและสิ่งปฏิกูล</t>
  </si>
  <si>
    <t>เครื่องคอมพิวเตอร์สำหรับประมวลผล แบบที่ 2 (CPU)</t>
  </si>
  <si>
    <t>2305</t>
  </si>
  <si>
    <t>ส่วนการโยธา/ฝ่ายช่างสุขาภิบาล/งานแบบแผนและก่อสร้าง</t>
  </si>
  <si>
    <t xml:space="preserve">จอภาพขนาด 23.8 นิ้ว </t>
  </si>
  <si>
    <t>2306</t>
  </si>
  <si>
    <t>เครื่องพิมพ์แบบ Multifunction แบบฉีดหมึกพร้อมติดตั้งถังหมีกพิมพ์</t>
  </si>
  <si>
    <t>2307</t>
  </si>
  <si>
    <t>2308</t>
  </si>
  <si>
    <t xml:space="preserve">  (กล้องถ่ายวีดีโอ กล้องวงจรปิด )</t>
  </si>
  <si>
    <t>กล้องวงจรปิดชนิดเครือข่ายนอกสำนักงาน</t>
  </si>
  <si>
    <t>อุปกรณ์บันทึกภาพเครือข่าย 8 ช่อง</t>
  </si>
  <si>
    <t>0219</t>
  </si>
  <si>
    <t>0220</t>
  </si>
  <si>
    <t>0221</t>
  </si>
  <si>
    <t>ตัวกระจายสัญญาณ (430)</t>
  </si>
  <si>
    <t>ตัวกระจายสัญญาณขนาด 8 พอร์ต</t>
  </si>
  <si>
    <t>ฝ่ายสุขาภิบาล</t>
  </si>
  <si>
    <t>ฝ่ายสวนสาธารณะ  ส่วนการโยธา  สำนักช่าง</t>
  </si>
  <si>
    <t>13.ครุภัณฑ์อื่นๆ</t>
  </si>
  <si>
    <t xml:space="preserve">ป้าย </t>
  </si>
  <si>
    <t>ป้ายชื่อถนน</t>
  </si>
  <si>
    <t>192</t>
  </si>
  <si>
    <t>ฝ่ายสาธารณูปโภค/งานบำรุงรักษาอาคารและสถานที่</t>
  </si>
  <si>
    <t>0060/1</t>
  </si>
  <si>
    <t>0060/2</t>
  </si>
  <si>
    <t>0060/3</t>
  </si>
  <si>
    <t>0061/1</t>
  </si>
  <si>
    <t>0062/1</t>
  </si>
  <si>
    <t>0063/1</t>
  </si>
  <si>
    <t>0064/1</t>
  </si>
  <si>
    <t>0065/1</t>
  </si>
  <si>
    <t>0066/1</t>
  </si>
  <si>
    <t>0066/2</t>
  </si>
  <si>
    <t>0066/3</t>
  </si>
  <si>
    <t>0066/4</t>
  </si>
  <si>
    <t>0067/1</t>
  </si>
  <si>
    <t>0068/1</t>
  </si>
  <si>
    <t>0069/1</t>
  </si>
  <si>
    <t>0070/1</t>
  </si>
  <si>
    <t>0071/1</t>
  </si>
  <si>
    <t>0072/1</t>
  </si>
  <si>
    <t>0073/1</t>
  </si>
  <si>
    <t>0074/1</t>
  </si>
  <si>
    <t>0074/2</t>
  </si>
  <si>
    <t>0074/3</t>
  </si>
  <si>
    <t>0075/1</t>
  </si>
  <si>
    <t>0076/1</t>
  </si>
  <si>
    <t>0077/1</t>
  </si>
  <si>
    <t>0078/1</t>
  </si>
  <si>
    <t>ป้ายบอกทางแยก</t>
  </si>
  <si>
    <t>0114/1</t>
  </si>
  <si>
    <t>0117/1</t>
  </si>
  <si>
    <t>ป้ายบอกสถานที่ในเขตเทศบาลนครลำปาง</t>
  </si>
  <si>
    <t>(หัวน้ำพุ)</t>
  </si>
  <si>
    <t>หัวน้ำพุทองเหลือง (อื่นๆ)</t>
  </si>
  <si>
    <t>200</t>
  </si>
  <si>
    <t>29 ต.ค.55</t>
  </si>
  <si>
    <t>ประติมากรรมกลางแจ้งรูปปั้นมังกร</t>
  </si>
  <si>
    <t>888</t>
  </si>
  <si>
    <t>ส่วนการโยธา/งานบำรุงรักษาอาคารและสถานที่</t>
  </si>
  <si>
    <t>(  ปืน, ระบบเซนเซอร์ตรวจนับคน)</t>
  </si>
  <si>
    <t>ปืนลูกซอง ขนาดเบอร์ 12 บรรจุ 5 นัด แบบสไลด์แอ๊คชั่น</t>
  </si>
  <si>
    <t>488</t>
  </si>
  <si>
    <t>21 มี.ค.34</t>
  </si>
  <si>
    <t>ส่วนการโยธา / ฝ่ายสวนสาธารณะ</t>
  </si>
  <si>
    <t>ประติมากรรมกลางแจ้ง (888)</t>
  </si>
  <si>
    <t>ประติมากรรมกลางแจ้งโลหะ/ไม้/ปูน ขนาด 1.00x1.50 ม.</t>
  </si>
  <si>
    <t xml:space="preserve">รถบรรทุกดีเซล บรรจุน้ำ </t>
  </si>
  <si>
    <t>006-67-0018</t>
  </si>
  <si>
    <t>19 ก.ย 67</t>
  </si>
  <si>
    <t>รถยนต์บรรทุก (ดีเซล) กระบะเหล็ก</t>
  </si>
  <si>
    <t>002-67-0065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</si>
  <si>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</si>
  <si>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</si>
  <si>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</si>
  <si>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</si>
  <si>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</si>
  <si>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</si>
  <si>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</si>
  <si>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</si>
  <si>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</si>
  <si>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</si>
  <si>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</si>
  <si>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</si>
  <si>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</si>
  <si>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</si>
  <si>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</si>
  <si>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</si>
  <si>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</si>
  <si>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</si>
  <si>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</si>
  <si>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</si>
  <si>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</si>
  <si>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</si>
  <si>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</si>
  <si>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</si>
  <si>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</si>
  <si>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</si>
  <si>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</si>
  <si>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</si>
  <si>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</si>
  <si>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</si>
  <si>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</si>
  <si>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</si>
  <si>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</si>
  <si>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</si>
  <si>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</si>
  <si>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</si>
  <si>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</si>
  <si>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</si>
  <si>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</si>
  <si>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</si>
  <si>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</si>
  <si>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</si>
  <si>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</si>
  <si>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</si>
  <si>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</si>
  <si>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</si>
  <si>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</si>
  <si>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</si>
  <si>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</si>
  <si>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</si>
  <si>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</si>
  <si>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</si>
  <si>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</si>
  <si>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</si>
  <si>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</si>
  <si>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</si>
  <si>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</si>
  <si>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</si>
  <si>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</si>
  <si>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</si>
  <si>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</si>
  <si>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</si>
  <si>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</si>
  <si>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</si>
  <si>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</si>
  <si>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</si>
  <si>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</si>
  <si>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</si>
  <si>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</si>
  <si>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</si>
  <si>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</si>
  <si>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</si>
  <si>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</si>
  <si>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</si>
  <si>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</si>
  <si>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</si>
  <si>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</si>
  <si>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</si>
  <si>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</si>
  <si>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</si>
  <si>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</si>
  <si>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</si>
  <si>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</si>
  <si>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</si>
  <si>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</si>
  <si>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</si>
  <si>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</si>
  <si>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</si>
  <si>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</si>
  <si>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</si>
  <si>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</si>
  <si>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</si>
  <si>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</si>
  <si>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</si>
  <si>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</si>
  <si>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</si>
  <si>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</si>
  <si>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</si>
  <si>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</si>
  <si>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</si>
  <si>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</si>
  <si>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</si>
  <si>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</si>
  <si>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</si>
  <si>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</si>
  <si>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</si>
  <si>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</si>
  <si>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</si>
  <si>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</si>
  <si>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</si>
  <si>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</si>
  <si>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</si>
  <si>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</si>
  <si>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</si>
  <si>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</si>
  <si>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</si>
  <si>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</si>
  <si>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</si>
  <si>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</si>
  <si>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</si>
  <si>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</si>
  <si>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</si>
  <si>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</si>
  <si>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</si>
  <si>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</si>
  <si>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</si>
  <si>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</si>
  <si>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</si>
  <si>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</si>
  <si>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</si>
  <si>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</si>
  <si>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</si>
  <si>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</si>
  <si>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</si>
  <si>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</si>
  <si>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</si>
  <si>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</si>
  <si>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</si>
  <si>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</si>
  <si>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</si>
  <si>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</si>
  <si>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</si>
  <si>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</si>
  <si>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</si>
  <si>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</si>
  <si>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</si>
  <si>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</si>
  <si>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</si>
  <si>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</si>
  <si>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</si>
  <si>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</si>
  <si>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</si>
  <si>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</si>
  <si>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</si>
  <si>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</si>
  <si>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</si>
  <si>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</si>
  <si>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</si>
  <si>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</si>
  <si>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</si>
  <si>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</si>
  <si>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</si>
  <si>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</si>
  <si>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</si>
  <si>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</si>
  <si>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</si>
  <si>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</si>
  <si>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</si>
  <si>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</si>
  <si>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</si>
  <si>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</si>
  <si>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</si>
  <si>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</si>
  <si>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</si>
  <si>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</si>
  <si>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</si>
  <si>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</si>
  <si>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</si>
  <si>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</si>
  <si>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</si>
  <si>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</si>
  <si>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</si>
  <si>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</si>
  <si>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</si>
  <si>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</si>
  <si>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</si>
  <si>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</si>
  <si>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</si>
  <si>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</si>
  <si>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</si>
  <si>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</si>
  <si>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</si>
  <si>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</si>
  <si>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</si>
  <si>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</si>
  <si>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</si>
  <si>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</si>
  <si>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</si>
  <si>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</si>
  <si>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</si>
  <si>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</si>
  <si>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</si>
  <si>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</si>
  <si>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</si>
  <si>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</si>
  <si>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</si>
  <si>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</si>
  <si>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</si>
  <si>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</si>
  <si>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</si>
  <si>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</si>
  <si>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</si>
  <si>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</si>
  <si>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</si>
  <si>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</si>
  <si>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</si>
  <si>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</si>
  <si>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</si>
  <si>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</si>
  <si>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</si>
  <si>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</si>
  <si>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</si>
  <si>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</si>
  <si>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</si>
  <si>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</si>
  <si>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</si>
  <si>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</si>
  <si>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</si>
  <si>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</si>
  <si>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</si>
  <si>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</si>
  <si>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</si>
  <si>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</si>
  <si>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</si>
  <si>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</si>
  <si>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</si>
  <si>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</si>
  <si>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</si>
  <si>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</si>
  <si>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</si>
  <si>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</si>
  <si>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</si>
  <si>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</si>
  <si>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</si>
  <si>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</si>
  <si>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</si>
  <si>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</si>
  <si>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</si>
  <si>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</si>
  <si>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</si>
  <si>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</si>
  <si>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</si>
  <si>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</si>
  <si>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</si>
  <si>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</si>
  <si>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</si>
  <si>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</si>
  <si>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</si>
  <si>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</si>
  <si>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</si>
  <si>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</si>
  <si>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</si>
  <si>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</si>
  <si>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</si>
  <si>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</si>
  <si>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</si>
  <si>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</si>
  <si>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</si>
  <si>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</si>
  <si>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</si>
  <si>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</si>
  <si>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</si>
  <si>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</si>
  <si>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</si>
  <si>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</si>
  <si>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</si>
  <si>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</si>
  <si>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</si>
  <si>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</si>
  <si>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</si>
  <si>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</si>
  <si>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</si>
  <si>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</si>
  <si>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</si>
  <si>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</si>
  <si>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</si>
  <si>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</si>
  <si>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</si>
  <si>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</si>
  <si>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</si>
  <si>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</si>
  <si>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</si>
  <si>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</si>
  <si>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</si>
  <si>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</si>
  <si>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</si>
  <si>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</si>
  <si>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</si>
  <si>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</si>
  <si>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</si>
  <si>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</si>
  <si>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</si>
  <si>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</si>
  <si>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</si>
  <si>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</si>
  <si>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</si>
  <si>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</si>
  <si>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</si>
  <si>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</si>
  <si>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</si>
  <si>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</si>
  <si>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</si>
  <si>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</si>
  <si>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</si>
  <si>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</si>
  <si>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</si>
  <si>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</si>
  <si>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</si>
  <si>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</si>
  <si>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</si>
  <si>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</si>
  <si>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</si>
  <si>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</si>
  <si>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</si>
  <si>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</si>
  <si>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</si>
  <si>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</si>
  <si>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</si>
  <si>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</si>
  <si>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</si>
  <si>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</si>
  <si>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</si>
  <si>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</si>
  <si>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</si>
  <si>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</si>
  <si>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</si>
  <si>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</si>
  <si>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</si>
  <si>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</si>
  <si>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</si>
  <si>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</si>
  <si>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</si>
  <si>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</si>
  <si>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</si>
  <si>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</si>
  <si>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</si>
  <si>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</si>
  <si>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</si>
  <si>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</si>
  <si>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</si>
  <si>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</si>
  <si>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</si>
  <si>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</si>
  <si>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</si>
  <si>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</si>
  <si>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</si>
  <si>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</si>
  <si>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</si>
  <si>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</si>
  <si>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</si>
  <si>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</si>
  <si>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</si>
  <si>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</si>
  <si>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</si>
  <si>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</si>
  <si>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</si>
  <si>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</si>
  <si>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</si>
  <si>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</si>
  <si>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</si>
  <si>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</si>
  <si>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</si>
  <si>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</si>
  <si>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</si>
  <si>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</si>
  <si>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</si>
  <si>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</si>
  <si>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</si>
  <si>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</si>
  <si>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</si>
  <si>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</si>
  <si>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</si>
  <si>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</si>
  <si>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</si>
  <si>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</si>
  <si>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</si>
  <si>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</si>
  <si>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</si>
  <si>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</si>
  <si>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</si>
  <si>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</si>
  <si>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</si>
  <si>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</si>
  <si>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</si>
  <si>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</si>
  <si>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</si>
  <si>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</si>
  <si>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</si>
  <si>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</si>
  <si>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</si>
  <si>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</si>
  <si>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</si>
  <si>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</si>
  <si>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</si>
  <si>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</si>
  <si>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</si>
  <si>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</si>
  <si>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</si>
  <si>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</si>
  <si>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</si>
  <si>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</si>
  <si>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</si>
  <si>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</si>
  <si>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</si>
  <si>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</si>
  <si>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</si>
  <si>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</si>
  <si>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</si>
  <si>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</si>
  <si>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</si>
  <si>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</si>
  <si>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</si>
  <si>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</si>
  <si>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</si>
  <si>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</si>
  <si>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</si>
  <si>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</si>
  <si>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</si>
  <si>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</si>
  <si>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</si>
  <si>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</si>
  <si>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</si>
  <si>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</si>
  <si>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</si>
  <si>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</si>
  <si>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</si>
  <si>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</si>
  <si>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</si>
  <si>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</si>
  <si>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</si>
  <si>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</si>
  <si>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</si>
  <si>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</si>
  <si>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</si>
  <si>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</si>
  <si>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</si>
  <si>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</si>
  <si>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</si>
  <si>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</si>
  <si>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</si>
  <si>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</si>
  <si>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</si>
  <si>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</si>
  <si>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</si>
  <si>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</si>
  <si>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</si>
  <si>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</si>
  <si>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</si>
  <si>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</si>
  <si>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</si>
  <si>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</si>
  <si>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</si>
  <si>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</si>
  <si>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</si>
  <si>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</si>
  <si>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</si>
  <si>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</si>
  <si>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</si>
  <si>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</si>
  <si>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</si>
  <si>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</si>
  <si>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</si>
  <si>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</si>
  <si>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</si>
  <si>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</si>
  <si>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</si>
  <si>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</si>
  <si>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</si>
  <si>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</si>
  <si>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</si>
  <si>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</si>
  <si>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</si>
  <si>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</si>
  <si>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</si>
  <si>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</si>
  <si>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</si>
  <si>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</si>
  <si>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</si>
  <si>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</si>
  <si>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</si>
  <si>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</si>
  <si>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</si>
  <si>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</si>
  <si>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</si>
  <si>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</si>
  <si>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</si>
  <si>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</si>
  <si>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</si>
  <si>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</si>
  <si>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</si>
  <si>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(ลงชื่อ)                                                   กรรมการและเลขานุการ</t>
  </si>
  <si>
    <t>(ลงชื่อ)                                                      กรรมการและเลขานุการ</t>
  </si>
  <si>
    <t>สำนักช่าง/ส่วนการโยธา/สวน</t>
  </si>
  <si>
    <t xml:space="preserve"> 1 ก.พ. 55</t>
  </si>
  <si>
    <t>(ต)</t>
  </si>
  <si>
    <t>400-55-0104</t>
  </si>
  <si>
    <t>โต๊ะพับขาซ่อนเหล็กเหล็ก (71x116 cm)</t>
  </si>
  <si>
    <t>400-55-0103</t>
  </si>
  <si>
    <t>400-55-0102</t>
  </si>
  <si>
    <t>400-55-0101</t>
  </si>
  <si>
    <t>400-55-0100</t>
  </si>
  <si>
    <t>400-55-0099</t>
  </si>
  <si>
    <t>ไม่รวมในงบทรัพย์สิน</t>
  </si>
  <si>
    <t xml:space="preserve"> 6 ก.ย.56</t>
  </si>
  <si>
    <t xml:space="preserve">416-56-0137 </t>
  </si>
  <si>
    <t>ปริ้นเตอร์ Brother DCP -JIAOW พร้อมติดตั้งแท้งหมึก 1 เครื่อง</t>
  </si>
  <si>
    <t xml:space="preserve"> 416-56-0136</t>
  </si>
  <si>
    <t xml:space="preserve">เครื่องปริ้นเตอร์ Canon รุ่น P4 Ma PM 287 </t>
  </si>
  <si>
    <t xml:space="preserve"> 16 ก.ค.55</t>
  </si>
  <si>
    <t xml:space="preserve">416-55-0057 </t>
  </si>
  <si>
    <t>จอ Monitor Aoc Led 18.5" รุ่น E960 SWN</t>
  </si>
  <si>
    <t>(คอมพิวเตอร์)</t>
  </si>
  <si>
    <t>4.ครุภัณฑ์คอมพิวเตอร์</t>
  </si>
  <si>
    <t>13 ก.ย. 55</t>
  </si>
  <si>
    <t xml:space="preserve">0001 </t>
  </si>
  <si>
    <t>210</t>
  </si>
  <si>
    <t>เครื่องเป่าลม มากีตาร์ รุ่น UB 110</t>
  </si>
  <si>
    <t xml:space="preserve">เครื่องเป่าลม </t>
  </si>
  <si>
    <t xml:space="preserve"> 6 ม.ค. 55</t>
  </si>
  <si>
    <t xml:space="preserve">สว่านไฟฟ้า มือถือ  ยี่ห้อมาร์กีต้า </t>
  </si>
  <si>
    <t>4.ครุภัณฑ์โรงงาน</t>
  </si>
  <si>
    <t xml:space="preserve"> 2 ก.ย.58</t>
  </si>
  <si>
    <t>โทรโข่ง ยี่ห้อ SR รุ่น TRM-762 W  (ต)</t>
  </si>
  <si>
    <t xml:space="preserve"> (เครื่องขยายเสียง)</t>
  </si>
  <si>
    <t>3.ครุภัณฑ์ไฟฟ้าวิทยุ</t>
  </si>
  <si>
    <t>หน.สมวาส ยืม</t>
  </si>
  <si>
    <t>ส่วนการโยธา / งานกำจัดมูลฝอยและสิ่งปฏิกูล</t>
  </si>
  <si>
    <t>4 ก.พ.56</t>
  </si>
  <si>
    <t>56</t>
  </si>
  <si>
    <t>รถเข็นชนิดล้อคู่ จุไม่น้อยกว่า 60 ลิตร ตัวถังทำด้วยเหล็ก</t>
  </si>
  <si>
    <t>(รถเข็น)</t>
  </si>
  <si>
    <t>2.ครุภัณฑ์ก่อสร้าง</t>
  </si>
  <si>
    <t xml:space="preserve"> 21 ส.ค.58</t>
  </si>
  <si>
    <t xml:space="preserve">พัดลม 3 ขา 24 นิ้ว ไม่มีล้อ  </t>
  </si>
  <si>
    <t xml:space="preserve"> 11 มิ.ย.56</t>
  </si>
  <si>
    <t xml:space="preserve">พัดลมตั้งพื้น 16 นิ้ว ยีห้อฮาตาชิ </t>
  </si>
  <si>
    <t>30 มิ.ย.58</t>
  </si>
  <si>
    <t>406</t>
  </si>
  <si>
    <t>ตู้บานเลื่อนทึบ 4 ฟุต Smart Form</t>
  </si>
  <si>
    <t>งานสวนสาธารณะ (สำนักงาน)</t>
  </si>
  <si>
    <t>17 มี.ค.58</t>
  </si>
  <si>
    <t>ตู้เอกสาร 1 บาน 6 ลิ้นชัก</t>
  </si>
  <si>
    <t xml:space="preserve"> 29 มิ.ย. 58</t>
  </si>
  <si>
    <t xml:space="preserve">ตู้เหล็กบานเก็บเอกสาร บานเลื่อนกระจก       </t>
  </si>
  <si>
    <t>18 ก.พ. 58</t>
  </si>
  <si>
    <t>ตู้เหล็กเก็บเอกสาร 2 บาน เปิด ยี่ห้อ smart Form</t>
  </si>
  <si>
    <t>ส่วนการโยธา / งานควบคุมและตรวจสอบฯ</t>
  </si>
  <si>
    <t xml:space="preserve"> 12 ก.ค. 56</t>
  </si>
  <si>
    <t xml:space="preserve">ตู้บานเลื่อนกระจก  ยี่ห้อ TAIYO รุ่น R-024    </t>
  </si>
  <si>
    <t xml:space="preserve"> 8 ม.ค. 56</t>
  </si>
  <si>
    <t xml:space="preserve"> 5 ก.ย.57</t>
  </si>
  <si>
    <t>ตู้เลื่อนทึบ ขนาด 4 ฟุต (Smart porm)</t>
  </si>
  <si>
    <t>(ตู้)</t>
  </si>
  <si>
    <t>ชั้นวางแฟ้มไม้ 4 ชั้น</t>
  </si>
  <si>
    <t xml:space="preserve"> (ชั้นวาง)</t>
  </si>
  <si>
    <t xml:space="preserve"> 10 ก.ค.58</t>
  </si>
  <si>
    <t xml:space="preserve">401-58-0919 </t>
  </si>
  <si>
    <t xml:space="preserve">เก้าอี้สำนักงาน (มีท้าวแขน พนักพิงสูง (BB2) </t>
  </si>
  <si>
    <t xml:space="preserve"> 29 มิ.ย.58</t>
  </si>
  <si>
    <t xml:space="preserve">401-58-0862 </t>
  </si>
  <si>
    <t xml:space="preserve">เก้าอี้ปรับเอน (06 RS 111) </t>
  </si>
  <si>
    <t>401-57-0809</t>
  </si>
  <si>
    <t xml:space="preserve">เก้าอี้สำนักงานพนักพิงสูง โมเทค </t>
  </si>
  <si>
    <t>401-57-0808</t>
  </si>
  <si>
    <t>เก้าอี้สำนักงานมีโช็คปรับระดับได้</t>
  </si>
  <si>
    <t>401-57-0807</t>
  </si>
  <si>
    <t xml:space="preserve"> 7 ส.ค.57</t>
  </si>
  <si>
    <t xml:space="preserve">401-57-0806 </t>
  </si>
  <si>
    <t xml:space="preserve">เก้าอี้สำนักงานมีโซ๊ดปรับระดับได้ </t>
  </si>
  <si>
    <t xml:space="preserve"> 27 มิ.ย.57</t>
  </si>
  <si>
    <t xml:space="preserve">401-57-0800 </t>
  </si>
  <si>
    <t xml:space="preserve">401-57-0799 </t>
  </si>
  <si>
    <t>11 เม.ย 57</t>
  </si>
  <si>
    <t>401-57-0798</t>
  </si>
  <si>
    <t>เก้าอี้พลาสติก แบบมีพนักพิง</t>
  </si>
  <si>
    <t>401-57-0797</t>
  </si>
  <si>
    <t>401-57-0796</t>
  </si>
  <si>
    <t>401-57-0795</t>
  </si>
  <si>
    <t>401-57-0794</t>
  </si>
  <si>
    <t>401-57-0793</t>
  </si>
  <si>
    <t>401-57-0792</t>
  </si>
  <si>
    <t>401-57-0791</t>
  </si>
  <si>
    <t>401-57-0790</t>
  </si>
  <si>
    <t>401-57-0789</t>
  </si>
  <si>
    <t>401-57-0788</t>
  </si>
  <si>
    <t>401-57-0787</t>
  </si>
  <si>
    <t>401-57-0786</t>
  </si>
  <si>
    <t>401-57-0785</t>
  </si>
  <si>
    <t>401-57-0784</t>
  </si>
  <si>
    <t>401-57-0783</t>
  </si>
  <si>
    <t>401-57-0782</t>
  </si>
  <si>
    <t>401-57-0781</t>
  </si>
  <si>
    <t>401-57-0780</t>
  </si>
  <si>
    <t>401-57-0779</t>
  </si>
  <si>
    <t>401-57-0778</t>
  </si>
  <si>
    <t>401-57-0777</t>
  </si>
  <si>
    <t>401-57-0776</t>
  </si>
  <si>
    <t>401-57-0775</t>
  </si>
  <si>
    <t>401-57-0774</t>
  </si>
  <si>
    <t>401-57-0773</t>
  </si>
  <si>
    <t>401-57-0772</t>
  </si>
  <si>
    <t>401-57-0771</t>
  </si>
  <si>
    <t>401-57-0770</t>
  </si>
  <si>
    <t>401-57-0769</t>
  </si>
  <si>
    <t>401-57-0768</t>
  </si>
  <si>
    <t>401-57-0767</t>
  </si>
  <si>
    <t>401-57-0766</t>
  </si>
  <si>
    <t>401-57-0765</t>
  </si>
  <si>
    <t>401-57-0764</t>
  </si>
  <si>
    <t>401-57-0763</t>
  </si>
  <si>
    <t>401-57-0762</t>
  </si>
  <si>
    <t>401-57-0761</t>
  </si>
  <si>
    <t>401-57-0760</t>
  </si>
  <si>
    <t>401-57-0759</t>
  </si>
  <si>
    <t>401-57-0758</t>
  </si>
  <si>
    <t>401-57-0757</t>
  </si>
  <si>
    <t>401-57-0756</t>
  </si>
  <si>
    <t>401-57-0755</t>
  </si>
  <si>
    <t>401-57-0754</t>
  </si>
  <si>
    <t>401-57-0753</t>
  </si>
  <si>
    <t>401-57-0752</t>
  </si>
  <si>
    <t>401-57-0751</t>
  </si>
  <si>
    <t>401-57-0750</t>
  </si>
  <si>
    <t>401-57-0749</t>
  </si>
  <si>
    <t>6 ก.ย 56</t>
  </si>
  <si>
    <t>401-56-0550</t>
  </si>
  <si>
    <t>เก้าอี้พลาสติก พนักพิง เกรด A ยี่ห้อซุปเปอร์แวร์</t>
  </si>
  <si>
    <t>401-56-0549</t>
  </si>
  <si>
    <t>401-56-0548</t>
  </si>
  <si>
    <t>401-56-0547</t>
  </si>
  <si>
    <t>401-56-0546</t>
  </si>
  <si>
    <t>401-56-0545</t>
  </si>
  <si>
    <t>401-56-0544</t>
  </si>
  <si>
    <t>401-56-0543</t>
  </si>
  <si>
    <t>401-56-0542</t>
  </si>
  <si>
    <t>401-56-0541</t>
  </si>
  <si>
    <t>401-56-0540</t>
  </si>
  <si>
    <t>401-56-0539</t>
  </si>
  <si>
    <t>401-56-0538</t>
  </si>
  <si>
    <t>401-56-0537</t>
  </si>
  <si>
    <t>401-56-0536</t>
  </si>
  <si>
    <t>401-56-0535</t>
  </si>
  <si>
    <t>401-56-0534</t>
  </si>
  <si>
    <t>401-56-0533</t>
  </si>
  <si>
    <t>401-56-0532</t>
  </si>
  <si>
    <t>401-56-0531</t>
  </si>
  <si>
    <t>401-56-0530</t>
  </si>
  <si>
    <t>401-56-0529</t>
  </si>
  <si>
    <t>401-56-0528</t>
  </si>
  <si>
    <t>401-56-0527</t>
  </si>
  <si>
    <t>401-56-0526</t>
  </si>
  <si>
    <t>401-56-0525</t>
  </si>
  <si>
    <t>401-56-0524</t>
  </si>
  <si>
    <t>401-56-0523</t>
  </si>
  <si>
    <t>401-56-0522</t>
  </si>
  <si>
    <t>401-56-0521</t>
  </si>
  <si>
    <t>401-56-0520</t>
  </si>
  <si>
    <t>401-56-0519</t>
  </si>
  <si>
    <t>401-56-0518</t>
  </si>
  <si>
    <t>401-56-0517</t>
  </si>
  <si>
    <t>401-56-0516</t>
  </si>
  <si>
    <t>401-56-0515</t>
  </si>
  <si>
    <t>401-56-0514</t>
  </si>
  <si>
    <t>401-56-0513</t>
  </si>
  <si>
    <t>401-56-0512</t>
  </si>
  <si>
    <t>401-56-0511</t>
  </si>
  <si>
    <t>401-56-0510</t>
  </si>
  <si>
    <t>14 พ.ค.55</t>
  </si>
  <si>
    <t>401-55-0492</t>
  </si>
  <si>
    <t xml:space="preserve">เก้าอี้สำนักงาน พนักพิงสูงหนังเทียม </t>
  </si>
  <si>
    <t>18 ธ.ค.55</t>
  </si>
  <si>
    <t>401-55-0483</t>
  </si>
  <si>
    <t xml:space="preserve">เก้าอี้สำนักงาน </t>
  </si>
  <si>
    <t>401-55-0482</t>
  </si>
  <si>
    <t xml:space="preserve"> 12 ก.ย.55</t>
  </si>
  <si>
    <t>401-55-0353</t>
  </si>
  <si>
    <t xml:space="preserve">เก้าอี้สำนักงาน รุ่น EURO 120-M ยี่ห้อ EUROPLAN    </t>
  </si>
  <si>
    <t>14 ก.พ. 55</t>
  </si>
  <si>
    <t>401-55-0116</t>
  </si>
  <si>
    <t>เก้าอี้พลาสติก ชนิดหนา</t>
  </si>
  <si>
    <t>401-55-0115</t>
  </si>
  <si>
    <t>401-55-0114</t>
  </si>
  <si>
    <t>401-55-0113</t>
  </si>
  <si>
    <t>401-55-0112</t>
  </si>
  <si>
    <t>401-55-0111</t>
  </si>
  <si>
    <t>401-55-0110</t>
  </si>
  <si>
    <t>401-55-0109</t>
  </si>
  <si>
    <t>401-55-0108</t>
  </si>
  <si>
    <t>401-55-0107</t>
  </si>
  <si>
    <t>401-55-0106</t>
  </si>
  <si>
    <t>401-55-0105</t>
  </si>
  <si>
    <t>401-55-0104</t>
  </si>
  <si>
    <t>401-55-0103</t>
  </si>
  <si>
    <t>401-55-0102</t>
  </si>
  <si>
    <t>401-55-0101</t>
  </si>
  <si>
    <t>401-55-0100</t>
  </si>
  <si>
    <t>401-55-0099</t>
  </si>
  <si>
    <t>401-55-0098</t>
  </si>
  <si>
    <t>401-55-0097</t>
  </si>
  <si>
    <t>401-55-0096</t>
  </si>
  <si>
    <t>401-55-0095</t>
  </si>
  <si>
    <t>401-55-0094</t>
  </si>
  <si>
    <t>401-55-0093</t>
  </si>
  <si>
    <t>401-55-0092</t>
  </si>
  <si>
    <t>401-55-0091</t>
  </si>
  <si>
    <t>401-55-0090</t>
  </si>
  <si>
    <t>401-55-0089</t>
  </si>
  <si>
    <t>401-55-0088</t>
  </si>
  <si>
    <t>401-55-0087</t>
  </si>
  <si>
    <t>401-55-0086</t>
  </si>
  <si>
    <t>401-55-0085</t>
  </si>
  <si>
    <t>401-55-0084</t>
  </si>
  <si>
    <t>401-55-0083</t>
  </si>
  <si>
    <t>401-55-0082</t>
  </si>
  <si>
    <t>401-55-0081</t>
  </si>
  <si>
    <t>401-55-0080</t>
  </si>
  <si>
    <t>401-55-0079</t>
  </si>
  <si>
    <t>401-55-0078</t>
  </si>
  <si>
    <t>401-55-0077</t>
  </si>
  <si>
    <t>401-55-0076</t>
  </si>
  <si>
    <t>401-55-0075</t>
  </si>
  <si>
    <t>401-55-0074</t>
  </si>
  <si>
    <t>401-55-0073</t>
  </si>
  <si>
    <t>401-55-0072</t>
  </si>
  <si>
    <t>401-55-0071</t>
  </si>
  <si>
    <t>401-55-0070</t>
  </si>
  <si>
    <t>401-55-0069</t>
  </si>
  <si>
    <t>401-55-0068</t>
  </si>
  <si>
    <t>401-55-0067</t>
  </si>
  <si>
    <t>401-55-0066</t>
  </si>
  <si>
    <t>401-55-0065</t>
  </si>
  <si>
    <t>401-55-0064</t>
  </si>
  <si>
    <t>401-55-0063</t>
  </si>
  <si>
    <t>401-55-0062</t>
  </si>
  <si>
    <t>401-55-0061</t>
  </si>
  <si>
    <t>401-55-0060</t>
  </si>
  <si>
    <t>401-55-0059</t>
  </si>
  <si>
    <t>401-55-0058</t>
  </si>
  <si>
    <t>401-55-0057</t>
  </si>
  <si>
    <t>401-55-0056</t>
  </si>
  <si>
    <t>401-55-0055</t>
  </si>
  <si>
    <t>401-55-0054</t>
  </si>
  <si>
    <t>401-55-0053</t>
  </si>
  <si>
    <t>401-55-0052</t>
  </si>
  <si>
    <t>401-55-0051</t>
  </si>
  <si>
    <t>401-55-0050</t>
  </si>
  <si>
    <t>401-55-0049</t>
  </si>
  <si>
    <t>401-55-0048</t>
  </si>
  <si>
    <t>401-55-0047</t>
  </si>
  <si>
    <t>401-55-0046</t>
  </si>
  <si>
    <t>401-55-0045</t>
  </si>
  <si>
    <t>401-55-0044</t>
  </si>
  <si>
    <t>401-55-0043</t>
  </si>
  <si>
    <t>401-55-0042</t>
  </si>
  <si>
    <t>401-55-0041</t>
  </si>
  <si>
    <t>401-55-0040</t>
  </si>
  <si>
    <t>401-55-0039</t>
  </si>
  <si>
    <t>401-55-0038</t>
  </si>
  <si>
    <t>401-55-0037</t>
  </si>
  <si>
    <t>401-55-0036</t>
  </si>
  <si>
    <t>401-55-0035</t>
  </si>
  <si>
    <t>401-55-0034</t>
  </si>
  <si>
    <t>401-55-0033</t>
  </si>
  <si>
    <t>401-55-0032</t>
  </si>
  <si>
    <t>401-55-0031</t>
  </si>
  <si>
    <t>401-55-0030</t>
  </si>
  <si>
    <t>401-55-0029</t>
  </si>
  <si>
    <t>401-55-0028</t>
  </si>
  <si>
    <t>401-55-0027</t>
  </si>
  <si>
    <t xml:space="preserve">400-57-0250 </t>
  </si>
  <si>
    <t>โต๊ะทำงาน ระดับ 3-6 จำนวน 1 ตัว</t>
  </si>
  <si>
    <t xml:space="preserve">400-57-0247 </t>
  </si>
  <si>
    <t>โต๊ะคอมพิวเตอร์ ขนาด 1.20 ม.</t>
  </si>
  <si>
    <t>11 เม.ย.57</t>
  </si>
  <si>
    <t>400-57-0216</t>
  </si>
  <si>
    <t>โต๊ะพับขาเหล็ก ขาเหล็กพับได้ (71 x 116 x 74 cm)</t>
  </si>
  <si>
    <t>400-57-0215</t>
  </si>
  <si>
    <t>400-57-0214</t>
  </si>
  <si>
    <t>400-57-0213</t>
  </si>
  <si>
    <t>400-57-0212</t>
  </si>
  <si>
    <t>400-57-0211</t>
  </si>
  <si>
    <t>400-57-0210</t>
  </si>
  <si>
    <t>400-57-0209</t>
  </si>
  <si>
    <t>400-57-0208</t>
  </si>
  <si>
    <t>400-57-0207</t>
  </si>
  <si>
    <t>400-57-0206</t>
  </si>
  <si>
    <t>400-57-0205</t>
  </si>
  <si>
    <t>400-57-0204</t>
  </si>
  <si>
    <t>400-57-0203</t>
  </si>
  <si>
    <t>400-57-0202</t>
  </si>
  <si>
    <t>400-57-0201</t>
  </si>
  <si>
    <t>400-57-0200</t>
  </si>
  <si>
    <t>400-57-0199</t>
  </si>
  <si>
    <t>400-57-0198</t>
  </si>
  <si>
    <t>400-57-0197</t>
  </si>
  <si>
    <t>400-57-0196</t>
  </si>
  <si>
    <t>400-57-0195</t>
  </si>
  <si>
    <t>400-57-0194</t>
  </si>
  <si>
    <t>400-57-0193</t>
  </si>
  <si>
    <t>400-57-0192</t>
  </si>
  <si>
    <t>400-57-0191</t>
  </si>
  <si>
    <t>400-57-0190</t>
  </si>
  <si>
    <t>400-57-0189</t>
  </si>
  <si>
    <t>400-57-0188</t>
  </si>
  <si>
    <t>400-57-0187</t>
  </si>
  <si>
    <t>400-57-0186</t>
  </si>
  <si>
    <t>400-57-0185</t>
  </si>
  <si>
    <t>400-57-0184</t>
  </si>
  <si>
    <t>400-57-0183</t>
  </si>
  <si>
    <t>400-57-0182</t>
  </si>
  <si>
    <t>400-57-0181</t>
  </si>
  <si>
    <t>400-57-0180</t>
  </si>
  <si>
    <t>400-57-0179</t>
  </si>
  <si>
    <t>400-57-0178</t>
  </si>
  <si>
    <t>400-57-0177</t>
  </si>
  <si>
    <t>400-56-0164</t>
  </si>
  <si>
    <t>โต๊ะพับขาเหล็ก ขาเหล็กพับได้ (70 x 150 cm)</t>
  </si>
  <si>
    <t>400-56-0163</t>
  </si>
  <si>
    <t>400-56-0162</t>
  </si>
  <si>
    <t>400-56-0161</t>
  </si>
  <si>
    <t>400-56-0160</t>
  </si>
  <si>
    <t>400-56-0159</t>
  </si>
  <si>
    <t>400-56-0158</t>
  </si>
  <si>
    <t>400-56-0157</t>
  </si>
  <si>
    <t>400-56-0156</t>
  </si>
  <si>
    <t>400-56-0155</t>
  </si>
  <si>
    <t>400-56-0154</t>
  </si>
  <si>
    <t>400-56-0153</t>
  </si>
  <si>
    <t>400-56-0152</t>
  </si>
  <si>
    <t>400-56-0150</t>
  </si>
  <si>
    <t>400-56-0149</t>
  </si>
  <si>
    <t>400-56-0148</t>
  </si>
  <si>
    <t>400-56-0147</t>
  </si>
  <si>
    <t>400-56-0146</t>
  </si>
  <si>
    <t>400-56-0145</t>
  </si>
  <si>
    <t>400-56-0144</t>
  </si>
  <si>
    <t>400-56-0143</t>
  </si>
  <si>
    <t>400-56-0142</t>
  </si>
  <si>
    <t>400-56-0141</t>
  </si>
  <si>
    <t>400-56-0140</t>
  </si>
  <si>
    <t>400-56-0139</t>
  </si>
  <si>
    <t>400-56-0138</t>
  </si>
  <si>
    <t>400-56-0137</t>
  </si>
  <si>
    <t>400-56-0136</t>
  </si>
  <si>
    <t>400-56-0135</t>
  </si>
  <si>
    <t>400-55-0093</t>
  </si>
  <si>
    <t>400-55-0092</t>
  </si>
  <si>
    <t>400-55-0091</t>
  </si>
  <si>
    <t>400-55-0090</t>
  </si>
  <si>
    <t>400-55-0089</t>
  </si>
  <si>
    <t>400-55-0088</t>
  </si>
  <si>
    <t>400-55-0087</t>
  </si>
  <si>
    <t>400-55-0086</t>
  </si>
  <si>
    <t>400-55-0085</t>
  </si>
  <si>
    <t>400-55-0084</t>
  </si>
  <si>
    <t>400-55-0083</t>
  </si>
  <si>
    <t>400-55-0082</t>
  </si>
  <si>
    <t>400-55-0081</t>
  </si>
  <si>
    <t>400-55-0080</t>
  </si>
  <si>
    <t>400-55-0079</t>
  </si>
  <si>
    <t>400-55-0078</t>
  </si>
  <si>
    <t>400-55-0077</t>
  </si>
  <si>
    <t>400-55-0076</t>
  </si>
  <si>
    <t>400-55-0075</t>
  </si>
  <si>
    <t>400-55-0074</t>
  </si>
  <si>
    <t>400-55-0073</t>
  </si>
  <si>
    <t>400-55-0072</t>
  </si>
  <si>
    <t>400-55-0071</t>
  </si>
  <si>
    <t>400-55-0070</t>
  </si>
  <si>
    <t>400-55-0069</t>
  </si>
  <si>
    <t>400-55-0068</t>
  </si>
  <si>
    <t>400-55-0067</t>
  </si>
  <si>
    <t>400-55-0066</t>
  </si>
  <si>
    <t>400-55-0065</t>
  </si>
  <si>
    <t>400-55-0064</t>
  </si>
  <si>
    <t>400-55-0063</t>
  </si>
  <si>
    <t>400-55-0062</t>
  </si>
  <si>
    <t>400-55-0061</t>
  </si>
  <si>
    <t>400-55-0060</t>
  </si>
  <si>
    <t>400-55-0059</t>
  </si>
  <si>
    <t>400-55-0058</t>
  </si>
  <si>
    <t>400-55-0057</t>
  </si>
  <si>
    <t>400-55-0056</t>
  </si>
  <si>
    <t>400-55-0055</t>
  </si>
  <si>
    <t>โต๊ะพับขาซ่อนหน้าเหล็ก (71x116 cm)</t>
  </si>
  <si>
    <t>400-55-0054</t>
  </si>
  <si>
    <t>400-55-0053</t>
  </si>
  <si>
    <t>400-55-0052</t>
  </si>
  <si>
    <t>400-55-0051</t>
  </si>
  <si>
    <t>400-55-0050</t>
  </si>
  <si>
    <t>400-55-0049</t>
  </si>
  <si>
    <t>400-55-0048</t>
  </si>
  <si>
    <t>400-55-0047</t>
  </si>
  <si>
    <t>400-55-0046</t>
  </si>
  <si>
    <t>400-55-0045</t>
  </si>
  <si>
    <t>400-55-0044</t>
  </si>
  <si>
    <t>400-55-0043</t>
  </si>
  <si>
    <t>400-55-0042</t>
  </si>
  <si>
    <t>400-55-0041</t>
  </si>
  <si>
    <t>400-55-0040</t>
  </si>
  <si>
    <t>400-55-0039</t>
  </si>
  <si>
    <t>400-55-0038</t>
  </si>
  <si>
    <t>400-55-0037</t>
  </si>
  <si>
    <t>400-55-0036</t>
  </si>
  <si>
    <t>400-55-0035</t>
  </si>
  <si>
    <t>400-55-0034</t>
  </si>
  <si>
    <t>400-55-0033</t>
  </si>
  <si>
    <t>400-55-0032</t>
  </si>
  <si>
    <t>400-55-0031</t>
  </si>
  <si>
    <t>400-55-0030</t>
  </si>
  <si>
    <t>400-55-0029</t>
  </si>
  <si>
    <t>400-55-0028</t>
  </si>
  <si>
    <t>400-55-0027</t>
  </si>
  <si>
    <t>400-55-0026</t>
  </si>
  <si>
    <t>400-55-0025</t>
  </si>
  <si>
    <t>400-55-0024</t>
  </si>
  <si>
    <t>400-55-0023</t>
  </si>
  <si>
    <t>400-55-0022</t>
  </si>
  <si>
    <t>400-55-0021</t>
  </si>
  <si>
    <t>400-55-0020</t>
  </si>
  <si>
    <t>400-55-0019</t>
  </si>
  <si>
    <t>400-55-0018</t>
  </si>
  <si>
    <t>400-55-0017</t>
  </si>
  <si>
    <t>400-55-0016</t>
  </si>
  <si>
    <t>400-55-0015</t>
  </si>
  <si>
    <t>400-55-0014</t>
  </si>
  <si>
    <t>400-55-0013</t>
  </si>
  <si>
    <t>400-55-0012</t>
  </si>
  <si>
    <t>400-55-0011</t>
  </si>
  <si>
    <t xml:space="preserve">400-55-0010 </t>
  </si>
  <si>
    <t xml:space="preserve">400-55-0009 </t>
  </si>
  <si>
    <t xml:space="preserve">400-55-0008 </t>
  </si>
  <si>
    <t xml:space="preserve">400-55-0007 </t>
  </si>
  <si>
    <t>400-55-0006</t>
  </si>
  <si>
    <t xml:space="preserve">400-55-0005 </t>
  </si>
  <si>
    <t>1. ครุภัณฑ์สำนักงาน</t>
  </si>
  <si>
    <t>(ต่ำกว่าเกณฑ์)</t>
  </si>
  <si>
    <t>ทะเบียนรายงานผลการตรวจนับครุภัณฑ์  (ต่ำกว่าเกณฑ์)  ประจำปีงบประมาณ  2567</t>
  </si>
  <si>
    <t>ทะเบียนรายงานผลการตรวจนับครุภัณฑ์  ประจำปีงบประมาณ  2567 (ไม่แสดงในงบฯ)</t>
  </si>
  <si>
    <t>6.ครุภัณฑ์ไฟฟ้าและวิทยุ</t>
  </si>
  <si>
    <t>(ไฟฟ้าสาธารณะ)</t>
  </si>
  <si>
    <t>โคมไฟถนน ขนาด2x18วัตต์ พร้อมอุปกรณ์</t>
  </si>
  <si>
    <t>1 เม.ย.64</t>
  </si>
  <si>
    <t>โคมไฟถนน ขนาด2x36วัตต์ พร้อมอุปกรณ์</t>
  </si>
  <si>
    <t>โคมสปอร์ตไลท์ ชนิด LED ขนาด 200 วัตต์</t>
  </si>
  <si>
    <t>โคมสปอร์ตไลท์ ชนิด LED ขนาด 400 วัตต์</t>
  </si>
  <si>
    <t>5 ส.ค.64</t>
  </si>
  <si>
    <t>1. ที่ดินและสิ่งก่อสร้าง (ที่ดิน)</t>
  </si>
  <si>
    <t>(ที่ดินสาธารณะ)</t>
  </si>
  <si>
    <t>ที่ดิน สาธารณะประโยชน์ การเคหะชุมชนลำปาง</t>
  </si>
  <si>
    <t>12 ก.ย.62</t>
  </si>
  <si>
    <t xml:space="preserve">ส่วนการโยธา </t>
  </si>
  <si>
    <t xml:space="preserve">3. ที่ดินและสิ่งก่อสร้าง  (สิ่งก่อสร้างอื่น) </t>
  </si>
  <si>
    <t>(อาคารสำนักงาน)</t>
  </si>
  <si>
    <t>อาคารสำนักงานที่พักคนงานสวนสาธาณะเขลางค์นคร</t>
  </si>
  <si>
    <t>ส่วนการโยธา/สวนสาธารณะเขลางค์นคร</t>
  </si>
  <si>
    <t>สวนฯ เขลางค์ฯ</t>
  </si>
  <si>
    <t>ปรับปรุงอาคารสำนักงานสวนสาธารณะเขลางค์นครเป็นศูนย์ออกกำลังกาย</t>
  </si>
  <si>
    <t>อาคารสำนักงานบ่อขยะบ้านกล้วยแพะ</t>
  </si>
  <si>
    <t>ส่วนการโยธา/งานกำจัดขยะมูลฝอยฯ</t>
  </si>
  <si>
    <t>อาคารศาลา (เดิม)</t>
  </si>
  <si>
    <t>สวนสาธารณะเขื่อนยาง</t>
  </si>
  <si>
    <t>อาคารควบคุม</t>
  </si>
  <si>
    <t>อาคารสำนักงาน</t>
  </si>
  <si>
    <t>021</t>
  </si>
  <si>
    <t>(อาคารเครื่องชั่ง)</t>
  </si>
  <si>
    <t>อาคารเครื่องชั่งขยะ</t>
  </si>
  <si>
    <t>อาคารคัดแยกขยะรีไซเคิล</t>
  </si>
  <si>
    <t>สายพานลำเลียงคัดแยกขยะ (ติดกับอาคาร)</t>
  </si>
  <si>
    <t>อาคารโรงเก็บพัสดุขยะมูลฝอย</t>
  </si>
  <si>
    <t>อาคารปุ๋ยหมัก</t>
  </si>
  <si>
    <t>อาคารเตาเผาขยะติดเชื้อพร้อมอุปกรณ์</t>
  </si>
  <si>
    <t>(อาคารบ้านพัก)</t>
  </si>
  <si>
    <t>อาคารบ้านพักคนงานบ่อขยะ</t>
  </si>
  <si>
    <t>บ้านพักเจ้าหน้าที่ (เดิม)</t>
  </si>
  <si>
    <t>อาคารบ้านพัก</t>
  </si>
  <si>
    <t xml:space="preserve">3.   ที่ดินและสิ่งก่อสร้าง  (สิ่งก่อสร้างอื่น) </t>
  </si>
  <si>
    <t>(ลานกีฬา)</t>
  </si>
  <si>
    <t>ลานกีฬาสวนสาธารณะเวียงละกอน</t>
  </si>
  <si>
    <t>5-กย.-62</t>
  </si>
  <si>
    <t>สวนเวียงละกอน ท7</t>
  </si>
  <si>
    <t>072</t>
  </si>
  <si>
    <t xml:space="preserve">(ที่ดินและสิ่งก่อสร้าง) </t>
  </si>
  <si>
    <t>อาคารร้านอาหารและห้องสุขา</t>
  </si>
  <si>
    <t>24 มิ.ย.52</t>
  </si>
  <si>
    <t>สวนห้าแยกหอนาฬิกา</t>
  </si>
  <si>
    <t>ซุ้มขายขนม</t>
  </si>
  <si>
    <t>ซุ้มไม้เลื้อยระแนง+ร้านกาแฟ</t>
  </si>
  <si>
    <t>23 ก.ค.55</t>
  </si>
  <si>
    <t>สวนประตูเวียง</t>
  </si>
  <si>
    <t xml:space="preserve"> ได้มาพร้อมกับก่อสร้างสวนสาธารณะประตูเวียง</t>
  </si>
  <si>
    <t>ร้านขายของที่ระลึก</t>
  </si>
  <si>
    <t>ข้างวัดพระแก้ว</t>
  </si>
  <si>
    <t>อาคารที่ 1</t>
  </si>
  <si>
    <t>ร้านบริการน้ำดื่ม-กาแฟ</t>
  </si>
  <si>
    <t>อาคารที่ 3</t>
  </si>
  <si>
    <t>อาคารที่ 2</t>
  </si>
  <si>
    <t>ศาลาพักผ่อน</t>
  </si>
  <si>
    <t>187</t>
  </si>
  <si>
    <t>(อาคารห้องน้ำ - ส้วม)</t>
  </si>
  <si>
    <t>อาคารห้องน้ำ-ส้วม ภายในสวนสาธารณะเขลางค์นคร</t>
  </si>
  <si>
    <t>พื้นที่ใช้สอยไม่น้อยกว่า 60 ตารางเมตร(อาคาร ค.ส.ล. ชั้นเดียว)</t>
  </si>
  <si>
    <t>ห้องน้ำสาธารณะ (เดิม)</t>
  </si>
  <si>
    <t>ห้องน้ำสาธารณะ (ใหม่ มี 2 หลัง)</t>
  </si>
  <si>
    <t>183</t>
  </si>
  <si>
    <t>(เสาธง)</t>
  </si>
  <si>
    <t>เสาธง</t>
  </si>
  <si>
    <t>184</t>
  </si>
  <si>
    <t>(ป้อมยาม)</t>
  </si>
  <si>
    <t>ป้อมยาม</t>
  </si>
  <si>
    <t>191</t>
  </si>
  <si>
    <t>(ปรับปรุงสวนสาธารณะ)</t>
  </si>
  <si>
    <t>โครงการปรับปรุงสวนสาธารณะสวนเขลางค์นคร</t>
  </si>
  <si>
    <t>ค่าก่อสร้าง = 7,856,963 บาท / ค่าครุภัณฑ์ = 843,037  บาท</t>
  </si>
  <si>
    <t>256</t>
  </si>
  <si>
    <t>(บ่อบาดาล)</t>
  </si>
  <si>
    <t>บ่อบาดาลระบบน้ำ</t>
  </si>
  <si>
    <t>273</t>
  </si>
  <si>
    <t>(ป้าย)</t>
  </si>
  <si>
    <t>ป้ายโครงการ จำนวน 1 แห่ง</t>
  </si>
  <si>
    <t>281</t>
  </si>
  <si>
    <t>(บ่อฝังกลบ)</t>
  </si>
  <si>
    <t>บ่อฝังกลบ - รั้ว จำนวน 1 แห่ง</t>
  </si>
  <si>
    <t>ก่อสร้างบ่อฝังกลบมูลฝอย</t>
  </si>
  <si>
    <t xml:space="preserve">โครงการก่อสร้างบ่อฝังกลบมูลฝอย </t>
  </si>
  <si>
    <t>283</t>
  </si>
  <si>
    <t>(ลานจอดรถ)</t>
  </si>
  <si>
    <t>ลานจอดรถ</t>
  </si>
  <si>
    <t>(ระบบไฟฟ้า)</t>
  </si>
  <si>
    <t>ระบบไฟฟ้า</t>
  </si>
  <si>
    <t>147</t>
  </si>
  <si>
    <t>(ปรับปรุงอาคาร)</t>
  </si>
  <si>
    <t>แก้ไขเพิ่มเติมตามบันทึกจากกองคลังที่ ลป 52003/007  ลงวันที่  11  มกราคม 2564  เรื่องขอปรับปรุงรายละเอียดการรับเพิ่มทรัพย์สินของเทศบาลนครลำปาง ในปีงบประมาณ 2563</t>
  </si>
  <si>
    <t>ค่าปรับปรุงศาลาริมน้ำ สวนสาธารณะเขลางค์นคร</t>
  </si>
  <si>
    <t>ค่าปรับปรุงตกแต่งภูมิทัศน์ บริเวณศาลหลักเมือง</t>
  </si>
  <si>
    <t>หลังโต๊ะสุทธินี</t>
  </si>
  <si>
    <t>เคนเน็ต</t>
  </si>
  <si>
    <t>ธนัญญา</t>
  </si>
  <si>
    <t>สุพัตรา</t>
  </si>
  <si>
    <t>สุทธินี</t>
  </si>
  <si>
    <t>อจน.</t>
  </si>
  <si>
    <t>อนุพงษ์</t>
  </si>
  <si>
    <t>ตึกสุขาภิบาล</t>
  </si>
  <si>
    <t>ทิพย์ธัญญา</t>
  </si>
  <si>
    <t>***หาเก้าอี้ไม่เจอ</t>
  </si>
  <si>
    <t>ตึกสาธารณูปโภค</t>
  </si>
  <si>
    <t>คืนให้สป.</t>
  </si>
  <si>
    <t>ตู้ธุรการ</t>
  </si>
  <si>
    <t>มธุสร (จ้างเหมา)</t>
  </si>
  <si>
    <t>สว่าง</t>
  </si>
  <si>
    <t>หน้าจอ (ธนัญญา)</t>
  </si>
  <si>
    <t>พิมพ์ทิพย์</t>
  </si>
  <si>
    <t>นฤมล</t>
  </si>
  <si>
    <t>ตึกช่างสุขาภิบาล</t>
  </si>
  <si>
    <t>สวนเขลางค์</t>
  </si>
  <si>
    <t>ของงานบำบัดน้ำเสีย</t>
  </si>
  <si>
    <t>สวนเขื่อนยางโซน B</t>
  </si>
  <si>
    <t>ข้างโฮงละกอน</t>
  </si>
  <si>
    <t>ของงานไฟฟ้า</t>
  </si>
  <si>
    <t>***คอมพิวเตอร์ประมวลผล</t>
  </si>
  <si>
    <t>นก</t>
  </si>
  <si>
    <t>ม้า</t>
  </si>
  <si>
    <t>ลูกโลก</t>
  </si>
  <si>
    <t>โรงพัสดุฯ</t>
  </si>
  <si>
    <t>(ฑูรย์) ผู้ช่วยช่างศิลป์</t>
  </si>
  <si>
    <t>ห้องเก็บของ</t>
  </si>
  <si>
    <t>ห้องคนงาน งานสถานที่</t>
  </si>
  <si>
    <t>สนง.ส่วนการโยธา</t>
  </si>
  <si>
    <t>ห้องคนงาน (งานสถานที่)</t>
  </si>
  <si>
    <t>กรกิจ</t>
  </si>
  <si>
    <t>อัศวิน</t>
  </si>
  <si>
    <t>เปลี่ยนจาก (นข 3185) ชาติ บุญทาแดง</t>
  </si>
  <si>
    <t>ของงานไฟฟ้าสาธารณะ</t>
  </si>
  <si>
    <t>ของงานสวนสาธารณะ</t>
  </si>
  <si>
    <t>ห้องเชื่อมเหล็ก</t>
  </si>
  <si>
    <t>ช.เวลก</t>
  </si>
  <si>
    <r>
      <t xml:space="preserve">อรรถกร </t>
    </r>
    <r>
      <rPr>
        <sz val="9"/>
        <color rgb="FFFF0000"/>
        <rFont val="TH SarabunPSK"/>
        <family val="2"/>
      </rPr>
      <t>ของงานไฟฟ้าสาธารณะ</t>
    </r>
  </si>
  <si>
    <t>ศตวรรษ</t>
  </si>
  <si>
    <r>
      <t>ภัทรพร</t>
    </r>
    <r>
      <rPr>
        <sz val="9"/>
        <color rgb="FFFF0000"/>
        <rFont val="TH SarabunPSK"/>
        <family val="2"/>
      </rPr>
      <t xml:space="preserve"> ของงานธุรการ</t>
    </r>
  </si>
  <si>
    <r>
      <t xml:space="preserve">ไพรัช </t>
    </r>
    <r>
      <rPr>
        <sz val="9"/>
        <color rgb="FFFF0000"/>
        <rFont val="TH SarabunPSK"/>
        <family val="2"/>
      </rPr>
      <t xml:space="preserve"> ของงานธุรการ</t>
    </r>
  </si>
  <si>
    <t>ห้องช.อรุณ</t>
  </si>
  <si>
    <t>ไม่มี ไม่ใช่งานสถานที่</t>
  </si>
  <si>
    <t>สุชาติ</t>
  </si>
  <si>
    <t>บ้านพักลุงหมี</t>
  </si>
  <si>
    <t xml:space="preserve"> บ่อบำบัด</t>
  </si>
  <si>
    <t xml:space="preserve">บ้านพักลุงหมี </t>
  </si>
  <si>
    <t xml:space="preserve"> บ้านพักลุงหมี</t>
  </si>
  <si>
    <t>สำนักงานบ่อขยะ</t>
  </si>
  <si>
    <t>เครื่องชั่งกล้วยแพ</t>
  </si>
  <si>
    <t>เครื่องชั่งบ่อขยะ</t>
  </si>
  <si>
    <t>*** ไม่ได้ติ๊ก</t>
  </si>
  <si>
    <t>บ่อบำบัด</t>
  </si>
  <si>
    <t>2 * เครื่องสำรองไฟชำรุด</t>
  </si>
  <si>
    <t>โต๊ะหมู่บูชา</t>
  </si>
  <si>
    <t>งบทรัพย์สินเทศบาลนครลำปาง</t>
  </si>
  <si>
    <t>หน่วยงาน  ส่วนการโยธา  สำนักช่าง</t>
  </si>
  <si>
    <t>ประเภททรัพย์สิน</t>
  </si>
  <si>
    <t>รหัส</t>
  </si>
  <si>
    <t>ครุภัณฑ์</t>
  </si>
  <si>
    <t>ครุภัณฑ์ต่ำกว่าเกณฑ์</t>
  </si>
  <si>
    <t>จำนวนเงิน</t>
  </si>
  <si>
    <t>จำนวนรายการ</t>
  </si>
  <si>
    <t>จำนวนเงินที่ได้มา</t>
  </si>
  <si>
    <t>ก</t>
  </si>
  <si>
    <t>อสังหาริมทรัพย์</t>
  </si>
  <si>
    <t>ที่ดิน</t>
  </si>
  <si>
    <t xml:space="preserve"> -</t>
  </si>
  <si>
    <t>อาคารและโรงเรือน</t>
  </si>
  <si>
    <t>2.1 อาคารสำนักงาน</t>
  </si>
  <si>
    <t>2.2 อาคารเครื่องชั่ง</t>
  </si>
  <si>
    <t>2.3 อาคารบ้านพัก</t>
  </si>
  <si>
    <t>สิ่งก่อสร้างอื่น</t>
  </si>
  <si>
    <t>3.1  สิ่งปลูกสร้าง</t>
  </si>
  <si>
    <t xml:space="preserve">    3.1.1 ลานกีฬา</t>
  </si>
  <si>
    <t>3.1.2  อาคารเพื่อประโยชน์อื่น</t>
  </si>
  <si>
    <t xml:space="preserve">    3.1.3 อาคารห้องน้ำ - ส้วม</t>
  </si>
  <si>
    <t>3.14  อื่นๆ</t>
  </si>
  <si>
    <t xml:space="preserve">   3.14.1  เสาธง</t>
  </si>
  <si>
    <t xml:space="preserve">   3.14.2  ป้อมยาม</t>
  </si>
  <si>
    <t xml:space="preserve">            สวนสาธาณะเขลางค์นคร</t>
  </si>
  <si>
    <t xml:space="preserve">            บริเวณศาลหลักเมือง</t>
  </si>
  <si>
    <t>รวมอสังหาริมทรัพย์</t>
  </si>
  <si>
    <t>ข</t>
  </si>
  <si>
    <t>สังหาริมทรัพย์</t>
  </si>
  <si>
    <t>ครุภัณฑ์สำนักงาน</t>
  </si>
  <si>
    <t>เต้นท์</t>
  </si>
  <si>
    <t>ม้านั่ง</t>
  </si>
  <si>
    <t>ชั้นวางของ</t>
  </si>
  <si>
    <t>โพเดียม, แท่นกล่าวรายงาน</t>
  </si>
  <si>
    <t>ตู้</t>
  </si>
  <si>
    <t>กระดาน, ไวท์บอร์ด, บอร์ดนิทรรศการ</t>
  </si>
  <si>
    <t>นาฬิกา</t>
  </si>
  <si>
    <t>เครื่องพิมพ์ดีด</t>
  </si>
  <si>
    <t>พัดลม</t>
  </si>
  <si>
    <t>ถังน้ำ</t>
  </si>
  <si>
    <t>รถเข็น</t>
  </si>
  <si>
    <t>เครื่องให้อ๊อกซิเจนไฟฟ้า</t>
  </si>
  <si>
    <t>ครุภัณฑ์ยานพาหนะและขนส่ง</t>
  </si>
  <si>
    <t>รถยนต์นั่ง  รถตู้ไม่เกิน 15 คน</t>
  </si>
  <si>
    <t>รถบรรทุก รถปิ๊กอัพ</t>
  </si>
  <si>
    <t>รถบรรทุกน้ำ</t>
  </si>
  <si>
    <t>รถดูดสิ่งปฏิกูล</t>
  </si>
  <si>
    <t>รถกวาดถนน</t>
  </si>
  <si>
    <t>รถบรรทุกขยะมูลฝอย</t>
  </si>
  <si>
    <t>รถกระเช้า</t>
  </si>
  <si>
    <t>รถยก  รถปั้นจั่น</t>
  </si>
  <si>
    <t>รถกระบะยกเท 2-15 ตัน</t>
  </si>
  <si>
    <t>รถจักรยานยนต์</t>
  </si>
  <si>
    <t>รถสามล้อแดง รถดั๊มเปอร์เล็ก รถเก็บสายยาง</t>
  </si>
  <si>
    <t>เรือยนต์  เรือเร็ว</t>
  </si>
  <si>
    <t xml:space="preserve">GPS สัญญาณติดตามรถยนต์ </t>
  </si>
  <si>
    <t>ลิฟท์ไฟฟ้ายกรถไม้สตาฟฟ์</t>
  </si>
  <si>
    <t>ครุภัณฑ์การเกษตร</t>
  </si>
  <si>
    <t>เครื่องสูบน้ำ  เครื่องปั๊มน้ำ</t>
  </si>
  <si>
    <t>เลื่อยโซ่ยนต์ ตัดแต่งกิ่งไม้</t>
  </si>
  <si>
    <t>เครื่องพ่นยา, เครื่องพ่นสารเคมี</t>
  </si>
  <si>
    <t>เครื่องโม่กาบมะพร้าว, เครื่องแปลงขยะชีวภาพ</t>
  </si>
  <si>
    <t>เครื่องตัดต้นไม้</t>
  </si>
  <si>
    <t>เครื่องย่อยต้นไม้ กิ่งไม้</t>
  </si>
  <si>
    <t>ครุภัณฑ์ก่อสร้าง</t>
  </si>
  <si>
    <t>รถเกลี่ยดิน  รถเกรด   รถบดถนน</t>
  </si>
  <si>
    <t>รถตักดินล้อยาง รถขุดดิน รถตักหน้าขุดหลัง</t>
  </si>
  <si>
    <t>รถแทรกเตอร์</t>
  </si>
  <si>
    <t>รถบด</t>
  </si>
  <si>
    <t>ล้อเลื่อน  เกวียน  ล้อเข็น</t>
  </si>
  <si>
    <t>รอกแม่แรง</t>
  </si>
  <si>
    <t>เครื่องกระทุ้งดิน, เครื่องแอสฟัลท์, เครื่องตบดิน</t>
  </si>
  <si>
    <t>เครื่องเจาะหิน, เครื่องจาะเหล็ก, เครื่องตัดคอนกรีต</t>
  </si>
  <si>
    <t>เครื่องผสมยางแอสฟัลท์, ถังบรรจุยางแอสฟัลท์</t>
  </si>
  <si>
    <t>เครื่องผสมคอนกรีต</t>
  </si>
  <si>
    <t>เครื่องอัดลม</t>
  </si>
  <si>
    <t>เครื่องตีเส้น, เครื่องโรยเส้น</t>
  </si>
  <si>
    <t>เครื่องกะเทาะสี</t>
  </si>
  <si>
    <t>เครื่องต๊าฟเกลียว, เครื่องตัดโลหะ,เครื่องตัดคอนกรีต</t>
  </si>
  <si>
    <t>เครื่องบดอัด</t>
  </si>
  <si>
    <t>ชุดดรีมเมอร์</t>
  </si>
  <si>
    <t>ไม้ชักฟิวส์</t>
  </si>
  <si>
    <t>เครื่องโรยหินแบบกลไก</t>
  </si>
  <si>
    <t>เครื่องกรองทราย</t>
  </si>
  <si>
    <t>ครุภัณฑ์ไฟฟ้าและวิทยุ</t>
  </si>
  <si>
    <t>โคมไฟฟ้าสาธารณะ, โคมไฟฟ้า, ไฟราว</t>
  </si>
  <si>
    <t>กล้องวงจรปิด</t>
  </si>
  <si>
    <t>เครื่องเล่นดีวีดี</t>
  </si>
  <si>
    <t>ขาไมโครโฟน</t>
  </si>
  <si>
    <t>ไมโครโฟน, ไมค์ลอย</t>
  </si>
  <si>
    <t>458</t>
  </si>
  <si>
    <t>ลำโพง, แอคโค่</t>
  </si>
  <si>
    <t>459</t>
  </si>
  <si>
    <t>เครื่องขยายสียง</t>
  </si>
  <si>
    <t>วิทยุรับ-ส่งแบบมือถือ สะพาย ติดรถยนต์</t>
  </si>
  <si>
    <t>เครื่องกำเนิดไฟฟ้า</t>
  </si>
  <si>
    <t xml:space="preserve">หม้อแปลงไฟฟ้า, ตู้คอนโทรลไฟฟ้า, </t>
  </si>
  <si>
    <t>ครุภัณฑ์โฆษณาและเผยแพร่</t>
  </si>
  <si>
    <t>จอรับภาพชนิดมอเตอร์ไฟฟ้า</t>
  </si>
  <si>
    <t xml:space="preserve">กล้องวงจรปิด </t>
  </si>
  <si>
    <t>เครื่องฉายภาพข้ามศรีษะ</t>
  </si>
  <si>
    <t>เครื่องรับโทรทัศน์</t>
  </si>
  <si>
    <t>ครุภัณฑ์วิทยาศาสตร์การแพทย์</t>
  </si>
  <si>
    <t>เครื่องตรวจสอบคุณภาพน้ำ</t>
  </si>
  <si>
    <t>เครื่องวัดอุณหภูมิ</t>
  </si>
  <si>
    <t>ครุภัณฑ์งานบ้านงานครัว</t>
  </si>
  <si>
    <t>ม่านม้วน</t>
  </si>
  <si>
    <t>เครื่องทำน้ำเย็น</t>
  </si>
  <si>
    <t>เครื่องตัดหญ้า</t>
  </si>
  <si>
    <t>ถังเก็บน้ำ</t>
  </si>
  <si>
    <t>เครื่องเป่าพ่นลมใบไม้</t>
  </si>
  <si>
    <t>ครุภัณฑ์โรงงาน</t>
  </si>
  <si>
    <t>สว่าน, สว่านไฟฟ้า</t>
  </si>
  <si>
    <t>เครื่องเชื่อมโลหะ, ตู้เชื่อมไฟฟ้า</t>
  </si>
  <si>
    <t>เครื่องไสไม้ไฟฟ้า</t>
  </si>
  <si>
    <t>เลื่อย, หินเจีย, เครื่องเจีย</t>
  </si>
  <si>
    <t>เครื่องอัดจารบี</t>
  </si>
  <si>
    <t>แม่แรง, แท่นไฮโดรลิค</t>
  </si>
  <si>
    <t>ประแจ, ปากกาจับชิ้นงาน</t>
  </si>
  <si>
    <t>มอเตอร์ เครื่องชาร์ทแบตเตอรี่</t>
  </si>
  <si>
    <t>เครนยกของ, ลอกยกของ</t>
  </si>
  <si>
    <t>คันยกวาวล์, ชุดงานแป๊ปเหล็ก,ชุดดูดลูกปืน</t>
  </si>
  <si>
    <t>ทั่งตีเหล็ก</t>
  </si>
  <si>
    <t>เครื่องผลิตน้ำมัน</t>
  </si>
  <si>
    <t>เครื่องเย็บปากถุง</t>
  </si>
  <si>
    <t>เครื่องฉีดน้ำ</t>
  </si>
  <si>
    <t>เครื่องเป่าลม</t>
  </si>
  <si>
    <t>เครื่องกระเทาะเมล็ดพืช</t>
  </si>
  <si>
    <t>เครื่องหีบน้ำมันเมล็ดสบู่ดำ</t>
  </si>
  <si>
    <t>เครื่องกรองน้ำมันสบู่ดำ</t>
  </si>
  <si>
    <t>ครุภัณฑ์กีฬา</t>
  </si>
  <si>
    <t>อุปกรณ์ประจำสนามเด็กเล่น</t>
  </si>
  <si>
    <t>เครื่องออกกำลังกาย(บริหารกล้ามเนื้อ)</t>
  </si>
  <si>
    <t>อุปกรณ์เด็กเล่น</t>
  </si>
  <si>
    <t>อุปกรณ์กีฬา</t>
  </si>
  <si>
    <t>ครุภัณฑ์สำรวจ</t>
  </si>
  <si>
    <t>ไม้สตาฟฟ์</t>
  </si>
  <si>
    <t>กล้องระดับ</t>
  </si>
  <si>
    <t>เครื่องหาพิกัด</t>
  </si>
  <si>
    <t>ครุภัณฑ์คอมพิวเตอร์</t>
  </si>
  <si>
    <t>คอมพิวเตอร์</t>
  </si>
  <si>
    <t>ครุภัณฑ์อื่น</t>
  </si>
  <si>
    <t>ปืนลูกซอง</t>
  </si>
  <si>
    <t>รวมสังหาริมทรัพย์</t>
  </si>
  <si>
    <t>ครุภัณฑ์ไม่แสดงในงบและทรัพย์สิน</t>
  </si>
  <si>
    <t>ปั๊มน้ำ</t>
  </si>
  <si>
    <t>รถตักล้อยางเอนกประสงค์</t>
  </si>
  <si>
    <t>ตู้ชาร์จแบตเตอรี่</t>
  </si>
  <si>
    <t>เครื่องชั่ง</t>
  </si>
  <si>
    <t>ครุภัณฑ์วิทยาศาสตร์และการแพทย์</t>
  </si>
  <si>
    <t>เครื่องทำความสะอาดแรงดันสูง</t>
  </si>
  <si>
    <t>กล้องถ่ายวีดีโอ กล้องวงจรปิด</t>
  </si>
  <si>
    <t>ตัวกระจายสัญญาณ</t>
  </si>
  <si>
    <t xml:space="preserve">ประติมากรรมกลางแจ้ง </t>
  </si>
  <si>
    <t>(นางสาวสุทธินี พูลสวัสดิ์)</t>
  </si>
  <si>
    <t>ไฟฉุกเฉิน</t>
  </si>
  <si>
    <t xml:space="preserve"> (เครื่องเย็บปากถุง)</t>
  </si>
  <si>
    <t>เครื่องตักขยะ</t>
  </si>
  <si>
    <t xml:space="preserve">   3.14.3  โครงการปรับปรุงสวนสาธารณะสวนเขลางค์นคร</t>
  </si>
  <si>
    <t xml:space="preserve">   3.14.4  บ่อบาดาลระบบน้ำ</t>
  </si>
  <si>
    <t xml:space="preserve">   3.14.5  ป้ายโครงการ</t>
  </si>
  <si>
    <t xml:space="preserve">   3.14.6  บ่อฝังกลบ-รั้วบ่อขยะ</t>
  </si>
  <si>
    <t xml:space="preserve">   3.14.7  ลานจอดรถ</t>
  </si>
  <si>
    <t xml:space="preserve">   3.14.8  ระบบไฟฟ้า</t>
  </si>
  <si>
    <t xml:space="preserve">   3.14.9  ค่าปรับปรุงศาลาริมน้ำ </t>
  </si>
  <si>
    <t xml:space="preserve">   3.14.10  ค่าปรับปรุงตกแต่งภูมิทัศน์ </t>
  </si>
  <si>
    <t>โคมไฟถนน</t>
  </si>
  <si>
    <t>.</t>
  </si>
  <si>
    <t xml:space="preserve">      (นายอนุพงษ์  คำฟู)</t>
  </si>
  <si>
    <t xml:space="preserve">        วิศวกรสุขาภิบาลปฏิบัติการ</t>
  </si>
  <si>
    <t xml:space="preserve">                                                   ณ  วันที่  30  กันยายน 2567                             (e-laas)</t>
  </si>
  <si>
    <r>
      <rPr>
        <b/>
        <sz val="14"/>
        <color indexed="9"/>
        <rFont val="TH SarabunPSK"/>
        <family val="2"/>
      </rPr>
      <t xml:space="preserve">. </t>
    </r>
    <r>
      <rPr>
        <b/>
        <sz val="14"/>
        <color indexed="8"/>
        <rFont val="TH SarabunPSK"/>
        <family val="2"/>
      </rPr>
      <t>001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</si>
  <si>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001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</si>
  <si>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002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</si>
  <si>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006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</si>
  <si>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009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</si>
  <si>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010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</si>
  <si>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011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</si>
  <si>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012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</si>
  <si>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014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</si>
  <si>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017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</si>
  <si>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024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</si>
  <si>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026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</si>
  <si>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033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</si>
  <si>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035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</si>
  <si>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039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</si>
  <si>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053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</si>
  <si>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055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</si>
  <si>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005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</si>
  <si>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015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</si>
  <si>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018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</si>
  <si>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019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</si>
  <si>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020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</si>
  <si>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023</t>
    </r>
  </si>
  <si>
    <r>
      <rPr>
        <b/>
        <sz val="14"/>
        <color theme="0"/>
        <rFont val="TH SarabunPSK"/>
        <family val="2"/>
      </rPr>
      <t xml:space="preserve"> . </t>
    </r>
    <r>
      <rPr>
        <b/>
        <sz val="14"/>
        <color theme="1"/>
        <rFont val="TH SarabunPSK"/>
        <family val="2"/>
      </rPr>
      <t>028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</si>
  <si>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052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</si>
  <si>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056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</si>
  <si>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058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</si>
  <si>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062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</si>
  <si>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063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</si>
  <si>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070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</si>
  <si>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073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</si>
  <si>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080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</si>
  <si>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090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</si>
  <si>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095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</si>
  <si>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059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</si>
  <si>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060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</si>
  <si>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067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</si>
  <si>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068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</si>
  <si>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074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</si>
  <si>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075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</si>
  <si>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088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</si>
  <si>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089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</si>
  <si>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099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</si>
  <si>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051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</si>
  <si>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078</t>
    </r>
  </si>
  <si>
    <r>
      <rPr>
        <b/>
        <sz val="14"/>
        <color indexed="9"/>
        <rFont val="TH SarabunPSK"/>
        <family val="2"/>
      </rPr>
      <t xml:space="preserve"> . </t>
    </r>
    <r>
      <rPr>
        <b/>
        <sz val="14"/>
        <color indexed="8"/>
        <rFont val="TH SarabunPSK"/>
        <family val="2"/>
      </rPr>
      <t>079</t>
    </r>
    <r>
      <rPr>
        <sz val="11"/>
        <color theme="1"/>
        <rFont val="Tahoma"/>
        <family val="2"/>
        <charset val="222"/>
        <scheme val="minor"/>
      </rPr>
      <t/>
    </r>
  </si>
  <si>
    <t>1. ครุภัณฑ์สำนักงาน (ต่ำกว่าเกณฑ์)</t>
  </si>
  <si>
    <t xml:space="preserve">   (โต๊ะ) (ต่ำกว่าเกณฑ์)</t>
  </si>
  <si>
    <t xml:space="preserve">   (เก้าอี้) (ต่ำกว่าเกณฑ์)</t>
  </si>
  <si>
    <t>400-55-0104 (ต)</t>
  </si>
  <si>
    <t>400-55-0103  (ต)</t>
  </si>
  <si>
    <t>400-55-0102 (ต)</t>
  </si>
  <si>
    <t>400-55-0101 (ต)</t>
  </si>
  <si>
    <t>400-55-0100 (ต)</t>
  </si>
  <si>
    <t>400-55-0099 (ต)</t>
  </si>
  <si>
    <t>0032 (ต)</t>
  </si>
  <si>
    <t>0034 (ต)</t>
  </si>
  <si>
    <t>401-58-0862  (ต)</t>
  </si>
  <si>
    <t>401-55-0116 (ต)</t>
  </si>
  <si>
    <t>401-55-0115 (ต)</t>
  </si>
  <si>
    <t>401-55-0114 (ต)</t>
  </si>
  <si>
    <t>401-55-0113 (ต)</t>
  </si>
  <si>
    <t>401-55-0112 (ต)</t>
  </si>
  <si>
    <t>401-55-0111 (ต)</t>
  </si>
  <si>
    <t>401-55-0110 (ต)</t>
  </si>
  <si>
    <t>401-55-0109 (ต)</t>
  </si>
  <si>
    <t>401-55-0108 (ต)</t>
  </si>
  <si>
    <t>401-55-0107 (ต)</t>
  </si>
  <si>
    <t>401-55-0106 (ต)</t>
  </si>
  <si>
    <t>401-55-0105 (ต)</t>
  </si>
  <si>
    <t>401-55-0104 (ต)</t>
  </si>
  <si>
    <t>401-55-0103 (ต)</t>
  </si>
  <si>
    <t>401-55-0102 (ต)</t>
  </si>
  <si>
    <t>401-55-0101 (ต)</t>
  </si>
  <si>
    <t>401-55-0100 (ต)</t>
  </si>
  <si>
    <t>401-55-0099 (ต)</t>
  </si>
  <si>
    <t>401-55-0098 (ต)</t>
  </si>
  <si>
    <t>401-55-0097 (ต)</t>
  </si>
  <si>
    <t>401-55-0096 (ต)</t>
  </si>
  <si>
    <t>401-55-0095 (ต)</t>
  </si>
  <si>
    <t>401-55-0094 (ต)</t>
  </si>
  <si>
    <t>401-55-0093 (ต)</t>
  </si>
  <si>
    <t>401-55-0092 (ต)</t>
  </si>
  <si>
    <t>401-55-0091 (ต)</t>
  </si>
  <si>
    <t>401-55-0090 (ต)</t>
  </si>
  <si>
    <t>401-55-0089 (ต)</t>
  </si>
  <si>
    <t>401-55-0088 (ต)</t>
  </si>
  <si>
    <t>401-55-0087 (ต)</t>
  </si>
  <si>
    <t>401-55-0086 (ต)</t>
  </si>
  <si>
    <t>401-55-0085 (ต)</t>
  </si>
  <si>
    <t>401-55-0084 (ต)</t>
  </si>
  <si>
    <t>401-55-0083 (ต)</t>
  </si>
  <si>
    <t>401-55-0082 (ต)</t>
  </si>
  <si>
    <t>401-55-0081 (ต)</t>
  </si>
  <si>
    <t>401-55-0080 (ต)</t>
  </si>
  <si>
    <t>401-55-0079 (ต)</t>
  </si>
  <si>
    <t>401-55-0078 (ต)</t>
  </si>
  <si>
    <t>401-55-0077 (ต)</t>
  </si>
  <si>
    <t>401-55-0076 (ต)</t>
  </si>
  <si>
    <t>401-55-0075 (ต)</t>
  </si>
  <si>
    <t>401-55-0074 (ต)</t>
  </si>
  <si>
    <t>401-55-0073 (ต)</t>
  </si>
  <si>
    <t>401-55-0072 (ต)</t>
  </si>
  <si>
    <t>401-55-0071 (ต)</t>
  </si>
  <si>
    <t>401-55-0070 (ต)</t>
  </si>
  <si>
    <t>401-55-0069 (ต)</t>
  </si>
  <si>
    <t>401-55-0068 (ต)</t>
  </si>
  <si>
    <t>401-55-0067 (ต)</t>
  </si>
  <si>
    <t>401-55-0066 (ต)</t>
  </si>
  <si>
    <t>401-55-0065 (ต)</t>
  </si>
  <si>
    <t>401-55-0064 (ต)</t>
  </si>
  <si>
    <t>401-55-0063 (ต)</t>
  </si>
  <si>
    <t>401-55-0062 (ต)</t>
  </si>
  <si>
    <t>401-55-0061 (ต)</t>
  </si>
  <si>
    <t>401-55-0060 (ต)</t>
  </si>
  <si>
    <t>401-55-0059 (ต)</t>
  </si>
  <si>
    <t>401-55-0058 (ต)</t>
  </si>
  <si>
    <t>401-55-0057 (ต)</t>
  </si>
  <si>
    <t>401-55-0056 (ต)</t>
  </si>
  <si>
    <t>401-55-0055 (ต)</t>
  </si>
  <si>
    <t>401-55-0054 (ต)</t>
  </si>
  <si>
    <t>401-55-0053 (ต)</t>
  </si>
  <si>
    <t>401-55-0052 (ต)</t>
  </si>
  <si>
    <t>401-55-0051 (ต)</t>
  </si>
  <si>
    <t>401-55-0050 (ต)</t>
  </si>
  <si>
    <t>401-55-0049 (ต)</t>
  </si>
  <si>
    <t>401-55-0048 (ต)</t>
  </si>
  <si>
    <t>401-55-0047 (ต)</t>
  </si>
  <si>
    <t>401-55-0046 (ต)</t>
  </si>
  <si>
    <t>401-55-0045 (ต)</t>
  </si>
  <si>
    <t>401-55-0044 (ต)</t>
  </si>
  <si>
    <t>401-55-0043 (ต)</t>
  </si>
  <si>
    <t>401-55-0042 (ต)</t>
  </si>
  <si>
    <t>401-55-0041 (ต)</t>
  </si>
  <si>
    <t>401-55-0040 (ต)</t>
  </si>
  <si>
    <t>401-55-0039 (ต)</t>
  </si>
  <si>
    <t>401-55-0038 (ต)</t>
  </si>
  <si>
    <t>401-55-0037 (ต)</t>
  </si>
  <si>
    <t>401-55-0036 (ต)</t>
  </si>
  <si>
    <t>401-55-0035 (ต)</t>
  </si>
  <si>
    <t>401-55-0034 (ต)</t>
  </si>
  <si>
    <t>401-55-0033 (ต)</t>
  </si>
  <si>
    <t>401-55-0032 (ต)</t>
  </si>
  <si>
    <t>401-55-0031 (ต)</t>
  </si>
  <si>
    <t>401-55-0030 (ต)</t>
  </si>
  <si>
    <t>401-55-0029 (ต)</t>
  </si>
  <si>
    <t>401-55-0028 (ต)</t>
  </si>
  <si>
    <t>401-55-0027 (ต)</t>
  </si>
  <si>
    <t>400-57-0216 (ต)</t>
  </si>
  <si>
    <t>400-57-0215 (ต)</t>
  </si>
  <si>
    <t>400-57-0214 (ต)</t>
  </si>
  <si>
    <t>400-57-0213 (ต)</t>
  </si>
  <si>
    <t>400-57-0212 (ต)</t>
  </si>
  <si>
    <t>400-57-0211 (ต)</t>
  </si>
  <si>
    <t>400-57-0210 (ต)</t>
  </si>
  <si>
    <t>400-57-0209 (ต)</t>
  </si>
  <si>
    <t>400-57-0208 (ต)</t>
  </si>
  <si>
    <t>400-57-0207 (ต)</t>
  </si>
  <si>
    <t>400-57-0206 (ต)</t>
  </si>
  <si>
    <t>400-57-0205 (ต)</t>
  </si>
  <si>
    <t>400-57-0204 (ต)</t>
  </si>
  <si>
    <t>400-57-0203 (ต)</t>
  </si>
  <si>
    <t>400-57-0202 (ต)</t>
  </si>
  <si>
    <t>400-57-0201 (ต)</t>
  </si>
  <si>
    <t>400-57-0200 (ต)</t>
  </si>
  <si>
    <t>400-57-0199 (ต)</t>
  </si>
  <si>
    <t>400-57-0198 (ต)</t>
  </si>
  <si>
    <t>400-57-0197 (ต)</t>
  </si>
  <si>
    <t>400-57-0196 (ต)</t>
  </si>
  <si>
    <t>400-57-0195 (ต)</t>
  </si>
  <si>
    <t>400-57-0194 (ต)</t>
  </si>
  <si>
    <t>400-57-0193 (ต)</t>
  </si>
  <si>
    <t>400-57-0192 (ต)</t>
  </si>
  <si>
    <t>400-57-0191 (ต)</t>
  </si>
  <si>
    <t>400-57-0190 (ต)</t>
  </si>
  <si>
    <t>400-57-0189 (ต)</t>
  </si>
  <si>
    <t>400-57-0188 (ต)</t>
  </si>
  <si>
    <t>400-57-0187 (ต)</t>
  </si>
  <si>
    <t>400-57-0186 (ต)</t>
  </si>
  <si>
    <t>400-57-0185 (ต)</t>
  </si>
  <si>
    <t>400-57-0184 (ต)</t>
  </si>
  <si>
    <t>400-57-0183 (ต)</t>
  </si>
  <si>
    <t>400-57-0182 (ต)</t>
  </si>
  <si>
    <t>400-57-0181 (ต)</t>
  </si>
  <si>
    <t>400-55-0005  (ต)</t>
  </si>
  <si>
    <t>400-55-0006 (ต)</t>
  </si>
  <si>
    <t>400-55-0007  (ต)</t>
  </si>
  <si>
    <t>400-55-0008  (ต)</t>
  </si>
  <si>
    <t>400-55-0009  (ต)</t>
  </si>
  <si>
    <t>400-55-0010  (ต)</t>
  </si>
  <si>
    <t>400-55-0011 (ต)</t>
  </si>
  <si>
    <t>400-55-0012 (ต)</t>
  </si>
  <si>
    <t>400-55-0013 (ต)</t>
  </si>
  <si>
    <t>400-55-0014 (ต)</t>
  </si>
  <si>
    <t>400-55-0015 (ต)</t>
  </si>
  <si>
    <t>400-55-0016 (ต)</t>
  </si>
  <si>
    <t>400-55-0017 (ต)</t>
  </si>
  <si>
    <t>400-55-0018 (ต)</t>
  </si>
  <si>
    <t>400-55-0019 (ต)</t>
  </si>
  <si>
    <t>400-55-0020 (ต)</t>
  </si>
  <si>
    <t>400-55-0021 (ต)</t>
  </si>
  <si>
    <t>400-55-0022 (ต)</t>
  </si>
  <si>
    <t>400-55-0023 (ต)</t>
  </si>
  <si>
    <t>400-55-0024 (ต)</t>
  </si>
  <si>
    <t>400-55-0025 (ต)</t>
  </si>
  <si>
    <t>400-55-0026 (ต)</t>
  </si>
  <si>
    <t>400-55-0027 (ต)</t>
  </si>
  <si>
    <t>400-55-0028 (ต)</t>
  </si>
  <si>
    <t>400-55-0029 (ต)</t>
  </si>
  <si>
    <t>400-55-0030 (ต)</t>
  </si>
  <si>
    <t>400-55-0031 (ต)</t>
  </si>
  <si>
    <t>400-55-0032 (ต)</t>
  </si>
  <si>
    <t>400-55-0033 (ต)</t>
  </si>
  <si>
    <t>400-55-0034 (ต)</t>
  </si>
  <si>
    <t>400-55-0035 (ต)</t>
  </si>
  <si>
    <t>400-55-0036 (ต)</t>
  </si>
  <si>
    <t>400-55-0037 (ต)</t>
  </si>
  <si>
    <t>400-55-0038 (ต)</t>
  </si>
  <si>
    <t>400-55-0039 (ต)</t>
  </si>
  <si>
    <t>400-55-0040 (ต)</t>
  </si>
  <si>
    <t>400-55-0041 (ต)</t>
  </si>
  <si>
    <t>400-55-0042 (ต)</t>
  </si>
  <si>
    <t>400-55-0043 (ต)</t>
  </si>
  <si>
    <t>400-55-0044 (ต)</t>
  </si>
  <si>
    <t>400-55-0045 (ต)</t>
  </si>
  <si>
    <t>400-55-0046 (ต)</t>
  </si>
  <si>
    <t>400-55-0047 (ต)</t>
  </si>
  <si>
    <t>400-55-0048 (ต)</t>
  </si>
  <si>
    <t>400-55-0049 (ต)</t>
  </si>
  <si>
    <t>400-55-0050 (ต)</t>
  </si>
  <si>
    <t>400-55-0051 (ต)</t>
  </si>
  <si>
    <t>400-55-0052 (ต)</t>
  </si>
  <si>
    <t>400-55-0053 (ต)</t>
  </si>
  <si>
    <t>400-55-0054 (ต)</t>
  </si>
  <si>
    <t>400-55-0055 (ต)</t>
  </si>
  <si>
    <t>400-55-0056 (ต)</t>
  </si>
  <si>
    <t>400-55-0057 (ต)</t>
  </si>
  <si>
    <t>400-55-0058 (ต)</t>
  </si>
  <si>
    <t>400-55-0059 (ต)</t>
  </si>
  <si>
    <t>400-55-0060 (ต)</t>
  </si>
  <si>
    <t>400-55-0061 (ต)</t>
  </si>
  <si>
    <t>400-55-0062 (ต)</t>
  </si>
  <si>
    <t>400-55-0063 (ต)</t>
  </si>
  <si>
    <t>400-55-0064 (ต)</t>
  </si>
  <si>
    <t>400-55-0065 (ต)</t>
  </si>
  <si>
    <t>400-55-0066 (ต)</t>
  </si>
  <si>
    <t>400-55-0067 (ต)</t>
  </si>
  <si>
    <t>400-55-0068 (ต)</t>
  </si>
  <si>
    <t>400-55-0069 (ต)</t>
  </si>
  <si>
    <t>400-55-0070 (ต)</t>
  </si>
  <si>
    <t>400-55-0071 (ต)</t>
  </si>
  <si>
    <t>400-55-0072 (ต)</t>
  </si>
  <si>
    <t>400-55-0073 (ต)</t>
  </si>
  <si>
    <t>400-55-0074 (ต)</t>
  </si>
  <si>
    <t>400-55-0075 (ต)</t>
  </si>
  <si>
    <t>400-55-0076 (ต)</t>
  </si>
  <si>
    <t>400-55-0077 (ต)</t>
  </si>
  <si>
    <t>400-55-0078 (ต)</t>
  </si>
  <si>
    <t>400-55-0079 (ต)</t>
  </si>
  <si>
    <t>400-55-0080 (ต)</t>
  </si>
  <si>
    <t>400-55-0081 (ต)</t>
  </si>
  <si>
    <t>400-55-0082 (ต)</t>
  </si>
  <si>
    <t>400-55-0083 (ต)</t>
  </si>
  <si>
    <t>400-55-0084 (ต)</t>
  </si>
  <si>
    <t>400-55-0085 (ต)</t>
  </si>
  <si>
    <t>400-55-0086 (ต)</t>
  </si>
  <si>
    <t>400-55-0087 (ต)</t>
  </si>
  <si>
    <t>400-55-0088 (ต)</t>
  </si>
  <si>
    <t>400-55-0089 (ต)</t>
  </si>
  <si>
    <t>400-55-0090 (ต)</t>
  </si>
  <si>
    <t>400-55-0091 (ต)</t>
  </si>
  <si>
    <t>400-55-0092 (ต)</t>
  </si>
  <si>
    <t>400-55-0093 (ต)</t>
  </si>
  <si>
    <t>400-56-0135 (ต)</t>
  </si>
  <si>
    <t>400-56-0136 (ต)</t>
  </si>
  <si>
    <t>400-56-0137 (ต)</t>
  </si>
  <si>
    <t>400-56-0138 (ต)</t>
  </si>
  <si>
    <t>400-56-0139 (ต)</t>
  </si>
  <si>
    <t>400-56-0140 (ต)</t>
  </si>
  <si>
    <t>400-56-0141 (ต)</t>
  </si>
  <si>
    <t>400-56-0142 (ต)</t>
  </si>
  <si>
    <t>400-56-0143 (ต)</t>
  </si>
  <si>
    <t>400-56-0144 (ต)</t>
  </si>
  <si>
    <t>400-56-0145 (ต)</t>
  </si>
  <si>
    <t>400-56-0146 (ต)</t>
  </si>
  <si>
    <t>400-56-0147 (ต)</t>
  </si>
  <si>
    <t>400-56-0148 (ต)</t>
  </si>
  <si>
    <t>400-56-0149 (ต)</t>
  </si>
  <si>
    <t>400-56-0150 (ต)</t>
  </si>
  <si>
    <t>400-56-0152 (ต)</t>
  </si>
  <si>
    <t>400-56-0153 (ต)</t>
  </si>
  <si>
    <t>400-56-0154 (ต)</t>
  </si>
  <si>
    <t>400-56-0155 (ต)</t>
  </si>
  <si>
    <t>400-56-0156 (ต)</t>
  </si>
  <si>
    <t>400-56-0157 (ต)</t>
  </si>
  <si>
    <t>400-56-0158 (ต)</t>
  </si>
  <si>
    <t>400-56-0159 (ต)</t>
  </si>
  <si>
    <t>400-56-0160 (ต)</t>
  </si>
  <si>
    <t>400-56-0161 (ต)</t>
  </si>
  <si>
    <t>400-56-0162 (ต)</t>
  </si>
  <si>
    <t>400-56-0163 (ต)</t>
  </si>
  <si>
    <t>400-56-0164 (ต)</t>
  </si>
  <si>
    <t>400-57-0177 (ต)</t>
  </si>
  <si>
    <t>400-57-0178 (ต)</t>
  </si>
  <si>
    <t>400-57-0179 (ต)</t>
  </si>
  <si>
    <t>400-57-0180 (ต)</t>
  </si>
  <si>
    <t>จำหน่าย</t>
  </si>
  <si>
    <t>ขอจำหน่าย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</si>
</sst>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฿&quot;* #,##0.00_-;\-&quot;฿&quot;* #,##0.00_-;_-&quot;฿&quot;* &quot;-&quot;??_-;_-@_-"/>
    <numFmt numFmtId="43" formatCode="_-* #,##0.00_-;\-* #,##0.00_-;_-* &quot;-&quot;??_-;_-@_-"/>
    <numFmt numFmtId="187" formatCode="_-* #,##0_-;\-* #,##0_-;_-* &quot;-&quot;??_-;_-@_-"/>
    <numFmt numFmtId="188" formatCode="_-* #,##0.00_-;\-* #,##0.00_-;_-* &quot;-&quot;??_-;_-@"/>
    <numFmt numFmtId="189" formatCode="[$-101041E]d\ mmm\ yy;@"/>
    <numFmt numFmtId="190" formatCode="ว\ ดดด\ ปป"/>
    <numFmt numFmtId="191" formatCode="d\ ดดด\ bb"/>
  </numFmts>
  <fonts count="81" x14ac:knownFonts="1">
    <font>
      <sz val="10"/>
      <name val="Arial"/>
      <charset val="222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4"/>
      <name val="TH SarabunPSK"/>
      <family val="2"/>
    </font>
    <font>
      <b/>
      <sz val="9"/>
      <name val="TH SarabunPSK"/>
      <family val="2"/>
    </font>
    <font>
      <sz val="12"/>
      <name val="TH SarabunPSK"/>
      <family val="2"/>
    </font>
    <font>
      <b/>
      <sz val="12"/>
      <name val="TH SarabunPSK"/>
      <family val="2"/>
    </font>
    <font>
      <sz val="8"/>
      <name val="TH SarabunPSK"/>
      <family val="2"/>
    </font>
    <font>
      <b/>
      <u/>
      <sz val="12"/>
      <name val="TH SarabunPSK"/>
      <family val="2"/>
    </font>
    <font>
      <sz val="10"/>
      <name val="Arial"/>
      <family val="2"/>
    </font>
    <font>
      <sz val="9"/>
      <name val="TH SarabunPSK"/>
      <family val="2"/>
    </font>
    <font>
      <b/>
      <sz val="9"/>
      <color rgb="FFFF0000"/>
      <name val="TH SarabunPSK"/>
      <family val="2"/>
    </font>
    <font>
      <sz val="12"/>
      <color theme="1"/>
      <name val="TH SarabunPSK"/>
      <family val="2"/>
    </font>
    <font>
      <sz val="9"/>
      <color theme="1"/>
      <name val="TH SarabunPSK"/>
      <family val="2"/>
    </font>
    <font>
      <sz val="14"/>
      <name val="Cordia New"/>
      <family val="2"/>
    </font>
    <font>
      <sz val="9"/>
      <color rgb="FFFF0000"/>
      <name val="TH SarabunPSK"/>
      <family val="2"/>
    </font>
    <font>
      <b/>
      <u val="double"/>
      <sz val="12"/>
      <name val="TH SarabunPSK"/>
      <family val="2"/>
    </font>
    <font>
      <sz val="9"/>
      <color rgb="FF0070C0"/>
      <name val="TH SarabunPSK"/>
      <family val="2"/>
    </font>
    <font>
      <sz val="12"/>
      <color rgb="FFFF0000"/>
      <name val="TH SarabunPSK"/>
      <family val="2"/>
    </font>
    <font>
      <sz val="16"/>
      <color theme="1"/>
      <name val="TH SarabunPSK"/>
      <family val="2"/>
    </font>
    <font>
      <b/>
      <u val="doubleAccounting"/>
      <sz val="12"/>
      <name val="TH SarabunPSK"/>
      <family val="2"/>
    </font>
    <font>
      <sz val="12"/>
      <color rgb="FF000000"/>
      <name val="TH SarabunPSK"/>
      <family val="2"/>
    </font>
    <font>
      <u val="singleAccounting"/>
      <sz val="12"/>
      <color theme="1"/>
      <name val="TH SarabunPSK"/>
      <family val="2"/>
    </font>
    <font>
      <b/>
      <sz val="12"/>
      <color theme="1"/>
      <name val="TH SarabunPSK"/>
      <family val="2"/>
    </font>
    <font>
      <b/>
      <u/>
      <sz val="12"/>
      <color theme="1"/>
      <name val="TH SarabunPSK"/>
      <family val="2"/>
    </font>
    <font>
      <b/>
      <sz val="9"/>
      <color theme="1"/>
      <name val="TH SarabunPSK"/>
      <family val="2"/>
    </font>
    <font>
      <b/>
      <u val="doubleAccounting"/>
      <sz val="12"/>
      <color theme="1"/>
      <name val="TH SarabunPSK"/>
      <family val="2"/>
    </font>
    <font>
      <b/>
      <sz val="9"/>
      <color rgb="FF0070C0"/>
      <name val="TH SarabunPSK"/>
      <family val="2"/>
    </font>
    <font>
      <sz val="10"/>
      <color theme="1"/>
      <name val="TH SarabunPSK"/>
      <family val="2"/>
    </font>
    <font>
      <sz val="14"/>
      <name val="TH SarabunPSK"/>
      <family val="2"/>
    </font>
    <font>
      <sz val="8"/>
      <color rgb="FFFF0000"/>
      <name val="TH SarabunPSK"/>
      <family val="2"/>
    </font>
    <font>
      <sz val="12"/>
      <color rgb="FF0070C0"/>
      <name val="TH SarabunPSK"/>
      <family val="2"/>
    </font>
    <font>
      <sz val="8"/>
      <color rgb="FF0070C0"/>
      <name val="TH SarabunPSK"/>
      <family val="2"/>
    </font>
    <font>
      <sz val="8"/>
      <color theme="1"/>
      <name val="TH SarabunPSK"/>
      <family val="2"/>
    </font>
    <font>
      <sz val="9"/>
      <color theme="3" tint="0.39997558519241921"/>
      <name val="TH SarabunPSK"/>
      <family val="2"/>
    </font>
    <font>
      <sz val="10"/>
      <name val="TH SarabunPSK"/>
      <family val="2"/>
    </font>
    <font>
      <sz val="7"/>
      <color rgb="FFFF0000"/>
      <name val="TH SarabunPSK"/>
      <family val="2"/>
    </font>
    <font>
      <sz val="12"/>
      <color theme="3"/>
      <name val="TH SarabunPSK"/>
      <family val="2"/>
    </font>
    <font>
      <sz val="16"/>
      <color rgb="FFFF0000"/>
      <name val="TH SarabunPSK"/>
      <family val="2"/>
    </font>
    <font>
      <sz val="11"/>
      <color theme="1"/>
      <name val="TH SarabunPSK"/>
      <family val="2"/>
    </font>
    <font>
      <u val="doubleAccounting"/>
      <sz val="12"/>
      <name val="TH SarabunPSK"/>
      <family val="2"/>
    </font>
    <font>
      <sz val="11"/>
      <name val="TH SarabunPSK"/>
      <family val="2"/>
    </font>
    <font>
      <sz val="14"/>
      <color theme="1"/>
      <name val="TH SarabunPSK"/>
      <family val="2"/>
    </font>
    <font>
      <sz val="8.5"/>
      <color theme="1"/>
      <name val="TH SarabunPSK"/>
      <family val="2"/>
    </font>
    <font>
      <u/>
      <sz val="9"/>
      <name val="TH SarabunPSK"/>
      <family val="2"/>
    </font>
    <font>
      <u/>
      <sz val="12"/>
      <name val="TH SarabunPSK"/>
      <family val="2"/>
    </font>
    <font>
      <sz val="10"/>
      <color rgb="FFFF0000"/>
      <name val="TH SarabunPSK"/>
      <family val="2"/>
    </font>
    <font>
      <sz val="11"/>
      <color rgb="FFFF0000"/>
      <name val="TH SarabunPSK"/>
      <family val="2"/>
    </font>
    <font>
      <b/>
      <u val="singleAccounting"/>
      <sz val="12"/>
      <name val="TH SarabunPSK"/>
      <family val="2"/>
    </font>
    <font>
      <sz val="9"/>
      <color rgb="FF0000FF"/>
      <name val="TH SarabunPSK"/>
      <family val="2"/>
    </font>
    <font>
      <sz val="8"/>
      <name val="Arial"/>
      <family val="2"/>
    </font>
    <font>
      <sz val="7.5"/>
      <color theme="1"/>
      <name val="TH SarabunPSK"/>
      <family val="2"/>
    </font>
    <font>
      <sz val="7.5"/>
      <name val="TH SarabunPSK"/>
      <family val="2"/>
    </font>
    <font>
      <sz val="11.5"/>
      <name val="TH SarabunPSK"/>
      <family val="2"/>
    </font>
    <font>
      <b/>
      <sz val="12"/>
      <color rgb="FFFF0000"/>
      <name val="TH SarabunPSK"/>
      <family val="2"/>
    </font>
    <font>
      <sz val="8"/>
      <name val="Arial"/>
      <family val="2"/>
    </font>
    <font>
      <sz val="9"/>
      <color theme="8" tint="-0.249977111117893"/>
      <name val="TH SarabunPSK"/>
      <family val="2"/>
    </font>
    <font>
      <b/>
      <sz val="14"/>
      <color theme="1"/>
      <name val="TH SarabunPSK"/>
      <family val="2"/>
    </font>
    <font>
      <sz val="16"/>
      <name val="TH SarabunPSK"/>
      <family val="2"/>
    </font>
    <font>
      <b/>
      <sz val="16"/>
      <color theme="1"/>
      <name val="TH SarabunPSK"/>
      <family val="2"/>
      <charset val="222"/>
    </font>
    <font>
      <b/>
      <sz val="15"/>
      <color theme="1"/>
      <name val="TH SarabunPSK"/>
      <family val="2"/>
      <charset val="222"/>
    </font>
    <font>
      <b/>
      <sz val="14"/>
      <name val="TH SarabunPSK"/>
      <family val="2"/>
      <charset val="222"/>
    </font>
    <font>
      <b/>
      <sz val="14"/>
      <color theme="1"/>
      <name val="TH SarabunPSK"/>
      <family val="2"/>
      <charset val="222"/>
    </font>
    <font>
      <b/>
      <u val="doubleAccounting"/>
      <sz val="12"/>
      <color theme="1"/>
      <name val="TH SarabunPSK"/>
      <family val="2"/>
      <charset val="222"/>
    </font>
    <font>
      <b/>
      <u val="doubleAccounting"/>
      <sz val="14"/>
      <color theme="1"/>
      <name val="TH SarabunPSK"/>
      <family val="2"/>
      <charset val="222"/>
    </font>
    <font>
      <b/>
      <sz val="13"/>
      <color theme="1"/>
      <name val="TH SarabunPSK"/>
      <family val="2"/>
      <charset val="222"/>
    </font>
    <font>
      <b/>
      <sz val="13"/>
      <name val="TH SarabunPSK"/>
      <family val="2"/>
      <charset val="222"/>
    </font>
    <font>
      <b/>
      <sz val="12"/>
      <color theme="1"/>
      <name val="TH SarabunPSK"/>
      <family val="2"/>
      <charset val="222"/>
    </font>
    <font>
      <b/>
      <sz val="10"/>
      <color rgb="FFFF0000"/>
      <name val="TH SarabunPSK"/>
      <family val="2"/>
      <charset val="222"/>
    </font>
    <font>
      <b/>
      <u val="doubleAccounting"/>
      <sz val="14"/>
      <name val="TH SarabunPSK"/>
      <family val="2"/>
      <charset val="222"/>
    </font>
    <font>
      <b/>
      <sz val="9"/>
      <color theme="1"/>
      <name val="TH SarabunPSK"/>
      <family val="2"/>
      <charset val="222"/>
    </font>
    <font>
      <b/>
      <sz val="10"/>
      <name val="TH SarabunPSK"/>
      <family val="2"/>
      <charset val="222"/>
    </font>
    <font>
      <b/>
      <sz val="14"/>
      <color indexed="9"/>
      <name val="TH SarabunPSK"/>
      <family val="2"/>
    </font>
    <font>
      <b/>
      <sz val="14"/>
      <color indexed="8"/>
      <name val="TH SarabunPSK"/>
      <family val="2"/>
    </font>
    <font>
      <b/>
      <sz val="14"/>
      <color theme="0"/>
      <name val="TH SarabunPSK"/>
      <family val="2"/>
    </font>
    <font>
      <b/>
      <sz val="12"/>
      <name val="TH SarabunPSK"/>
      <family val="2"/>
      <charset val="222"/>
    </font>
    <font>
      <b/>
      <sz val="11"/>
      <color rgb="FFFF0000"/>
      <name val="TH SarabunPSK"/>
      <family val="2"/>
      <charset val="222"/>
    </font>
    <font>
      <b/>
      <sz val="12"/>
      <color rgb="FFFF0000"/>
      <name val="TH SarabunPSK"/>
      <family val="2"/>
      <charset val="222"/>
    </font>
    <font>
      <b/>
      <sz val="10"/>
      <color theme="1"/>
      <name val="TH SarabunPSK"/>
      <family val="2"/>
      <charset val="222"/>
    </font>
    <font>
      <b/>
      <sz val="16"/>
      <name val="TH SarabunPSK"/>
      <family val="2"/>
      <charset val="222"/>
    </font>
    <font>
      <b/>
      <sz val="8"/>
      <color rgb="FFFF0000"/>
      <name val="TH SarabunPSK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rgb="FF00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5" tint="0.79998168889431442"/>
        <bgColor rgb="FFFFFFFF"/>
      </patternFill>
    </fill>
    <fill>
      <patternFill patternType="solid">
        <fgColor rgb="FF9999FF"/>
        <bgColor rgb="FFFFFFFF"/>
      </patternFill>
    </fill>
    <fill>
      <patternFill patternType="solid">
        <fgColor rgb="FFDF73BB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rgb="FF00FF00"/>
      </patternFill>
    </fill>
    <fill>
      <patternFill patternType="solid">
        <fgColor rgb="FFC4BD97"/>
        <bgColor rgb="FFFFFFFF"/>
      </patternFill>
    </fill>
    <fill>
      <patternFill patternType="solid">
        <fgColor theme="9" tint="0.39997558519241921"/>
        <bgColor rgb="FFFFFFFF"/>
      </patternFill>
    </fill>
    <fill>
      <patternFill patternType="solid">
        <fgColor rgb="FFFDA9A9"/>
        <bgColor rgb="FFFFFFFF"/>
      </patternFill>
    </fill>
    <fill>
      <patternFill patternType="solid">
        <fgColor rgb="FFFDA9A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25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theme="1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 style="thin">
        <color theme="1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theme="1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/>
      <top style="hair">
        <color indexed="64"/>
      </top>
      <bottom/>
      <diagonal/>
    </border>
    <border>
      <left/>
      <right style="thin">
        <color theme="1"/>
      </right>
      <top style="hair">
        <color indexed="64"/>
      </top>
      <bottom/>
      <diagonal/>
    </border>
    <border>
      <left style="thin">
        <color theme="1"/>
      </left>
      <right style="thin">
        <color theme="1"/>
      </right>
      <top style="hair">
        <color indexed="64"/>
      </top>
      <bottom/>
      <diagonal/>
    </border>
    <border>
      <left style="thin">
        <color indexed="64"/>
      </left>
      <right style="thin">
        <color theme="1"/>
      </right>
      <top style="hair">
        <color indexed="64"/>
      </top>
      <bottom/>
      <diagonal/>
    </border>
    <border>
      <left style="thin">
        <color indexed="64"/>
      </left>
      <right style="thin">
        <color theme="1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 style="thin">
        <color indexed="64"/>
      </top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hair">
        <color indexed="64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indexed="64"/>
      </bottom>
      <diagonal/>
    </border>
    <border>
      <left/>
      <right/>
      <top style="hair">
        <color rgb="FF000000"/>
      </top>
      <bottom style="hair">
        <color indexed="64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indexed="64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000000"/>
      </left>
      <right/>
      <top style="hair">
        <color indexed="64"/>
      </top>
      <bottom style="hair">
        <color rgb="FF000000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theme="1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hair">
        <color indexed="64"/>
      </top>
      <bottom style="hair">
        <color rgb="FF000000"/>
      </bottom>
      <diagonal/>
    </border>
    <border>
      <left/>
      <right style="thin">
        <color rgb="FF000000"/>
      </right>
      <top style="hair">
        <color indexed="64"/>
      </top>
      <bottom style="hair">
        <color rgb="FF000000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rgb="FF000000"/>
      </right>
      <top style="hair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indexed="64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34998626667073579"/>
      </bottom>
      <diagonal/>
    </border>
    <border>
      <left/>
      <right style="thin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0" tint="-0.24994659260841701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0" tint="-0.24994659260841701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 style="thin">
        <color theme="1"/>
      </right>
      <top/>
      <bottom style="hair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hair">
        <color theme="1"/>
      </bottom>
      <diagonal/>
    </border>
    <border>
      <left style="thin">
        <color theme="1"/>
      </left>
      <right style="thin">
        <color indexed="64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thin">
        <color indexed="64"/>
      </right>
      <top style="hair">
        <color theme="1"/>
      </top>
      <bottom style="hair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hair">
        <color indexed="64"/>
      </bottom>
      <diagonal/>
    </border>
    <border>
      <left/>
      <right style="thin">
        <color theme="1"/>
      </right>
      <top style="thin">
        <color indexed="64"/>
      </top>
      <bottom style="hair">
        <color indexed="64"/>
      </bottom>
      <diagonal/>
    </border>
    <border>
      <left style="thin">
        <color theme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 style="thin">
        <color indexed="64"/>
      </right>
      <top style="hair">
        <color indexed="64"/>
      </top>
      <bottom/>
      <diagonal/>
    </border>
    <border>
      <left style="thin">
        <color theme="1"/>
      </left>
      <right/>
      <top style="hair">
        <color theme="1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hair">
        <color theme="1"/>
      </top>
      <bottom style="thin">
        <color indexed="64"/>
      </bottom>
      <diagonal/>
    </border>
    <border>
      <left/>
      <right/>
      <top style="hair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hair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hair">
        <color theme="1"/>
      </bottom>
      <diagonal/>
    </border>
    <border>
      <left style="thin">
        <color theme="1"/>
      </left>
      <right/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thin">
        <color theme="1"/>
      </right>
      <top style="thin">
        <color indexed="64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/>
      <bottom style="hair">
        <color theme="1"/>
      </bottom>
      <diagonal/>
    </border>
    <border>
      <left style="thin">
        <color theme="1"/>
      </left>
      <right/>
      <top/>
      <bottom style="hair">
        <color theme="1"/>
      </bottom>
      <diagonal/>
    </border>
    <border>
      <left style="thin">
        <color indexed="64"/>
      </left>
      <right/>
      <top/>
      <bottom style="hair">
        <color theme="1"/>
      </bottom>
      <diagonal/>
    </border>
    <border>
      <left/>
      <right/>
      <top/>
      <bottom style="hair">
        <color theme="1"/>
      </bottom>
      <diagonal/>
    </border>
    <border>
      <left/>
      <right style="thin">
        <color theme="1"/>
      </right>
      <top/>
      <bottom style="hair">
        <color theme="1"/>
      </bottom>
      <diagonal/>
    </border>
    <border>
      <left/>
      <right style="thin">
        <color indexed="64"/>
      </right>
      <top/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hair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hair">
        <color theme="1"/>
      </top>
      <bottom style="thin">
        <color theme="0" tint="-0.34998626667073579"/>
      </bottom>
      <diagonal/>
    </border>
    <border>
      <left/>
      <right/>
      <top style="hair">
        <color theme="1"/>
      </top>
      <bottom style="thin">
        <color theme="0" tint="-0.34998626667073579"/>
      </bottom>
      <diagonal/>
    </border>
    <border>
      <left/>
      <right style="thin">
        <color theme="1"/>
      </right>
      <top style="hair">
        <color theme="1"/>
      </top>
      <bottom style="thin">
        <color theme="0" tint="-0.499984740745262"/>
      </bottom>
      <diagonal/>
    </border>
    <border>
      <left style="thin">
        <color theme="1"/>
      </left>
      <right style="thin">
        <color theme="1"/>
      </right>
      <top style="hair">
        <color theme="1"/>
      </top>
      <bottom style="thin">
        <color theme="0" tint="-0.499984740745262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hair">
        <color theme="1"/>
      </top>
      <bottom style="thin">
        <color theme="1"/>
      </bottom>
      <diagonal/>
    </border>
    <border>
      <left/>
      <right/>
      <top style="hair">
        <color theme="1"/>
      </top>
      <bottom style="thin">
        <color theme="1"/>
      </bottom>
      <diagonal/>
    </border>
    <border>
      <left style="thin">
        <color indexed="64"/>
      </left>
      <right/>
      <top style="hair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  <border>
      <left/>
      <right style="thin">
        <color theme="1"/>
      </right>
      <top style="hair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hair">
        <color indexed="64"/>
      </bottom>
      <diagonal/>
    </border>
    <border>
      <left/>
      <right style="thin">
        <color theme="1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hair">
        <color indexed="64"/>
      </bottom>
      <diagonal/>
    </border>
    <border>
      <left style="thin">
        <color rgb="FF000000"/>
      </left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hair">
        <color indexed="64"/>
      </top>
      <bottom/>
      <diagonal/>
    </border>
    <border>
      <left style="thin">
        <color rgb="FF000000"/>
      </left>
      <right/>
      <top/>
      <bottom style="hair">
        <color indexed="64"/>
      </bottom>
      <diagonal/>
    </border>
    <border>
      <left style="thin">
        <color indexed="64"/>
      </left>
      <right style="thin">
        <color rgb="FF000000"/>
      </right>
      <top/>
      <bottom style="hair">
        <color indexed="64"/>
      </bottom>
      <diagonal/>
    </border>
    <border>
      <left style="thin">
        <color rgb="FF000000"/>
      </left>
      <right style="thin">
        <color indexed="64"/>
      </right>
      <top/>
      <bottom style="hair">
        <color rgb="FF000000"/>
      </bottom>
      <diagonal/>
    </border>
    <border>
      <left style="thin">
        <color rgb="FF00000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indexed="64"/>
      </right>
      <top style="hair">
        <color indexed="64"/>
      </top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auto="1"/>
      </top>
      <bottom style="thin">
        <color theme="0" tint="-0.34998626667073579"/>
      </bottom>
      <diagonal/>
    </border>
    <border>
      <left/>
      <right style="thin">
        <color indexed="64"/>
      </right>
      <top style="hair">
        <color auto="1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hair">
        <color indexed="64"/>
      </bottom>
      <diagonal/>
    </border>
    <border>
      <left/>
      <right style="thin">
        <color indexed="64"/>
      </right>
      <top style="thin">
        <color theme="0" tint="-0.34998626667073579"/>
      </top>
      <bottom style="hair">
        <color indexed="64"/>
      </bottom>
      <diagonal/>
    </border>
    <border>
      <left style="thin">
        <color indexed="64"/>
      </left>
      <right style="thin">
        <color theme="1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theme="1"/>
      </bottom>
      <diagonal/>
    </border>
    <border>
      <left style="thin">
        <color indexed="64"/>
      </left>
      <right/>
      <top style="hair">
        <color indexed="64"/>
      </top>
      <bottom style="thin">
        <color theme="1"/>
      </bottom>
      <diagonal/>
    </border>
    <border>
      <left/>
      <right/>
      <top style="hair">
        <color indexed="64"/>
      </top>
      <bottom style="thin">
        <color theme="1"/>
      </bottom>
      <diagonal/>
    </border>
    <border>
      <left/>
      <right style="thin">
        <color indexed="64"/>
      </right>
      <top style="hair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 style="hair">
        <color theme="1"/>
      </bottom>
      <diagonal/>
    </border>
    <border>
      <left style="thin">
        <color theme="1"/>
      </left>
      <right style="thin">
        <color indexed="64"/>
      </right>
      <top style="hair">
        <color theme="1"/>
      </top>
      <bottom style="thin">
        <color indexed="64"/>
      </bottom>
      <diagonal/>
    </border>
    <border>
      <left style="thin">
        <color indexed="64"/>
      </left>
      <right/>
      <top style="hair">
        <color theme="1"/>
      </top>
      <bottom style="thin">
        <color indexed="64"/>
      </bottom>
      <diagonal/>
    </border>
    <border>
      <left/>
      <right style="thin">
        <color indexed="64"/>
      </right>
      <top style="hair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hair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/>
      <right/>
      <top style="thin">
        <color theme="1"/>
      </top>
      <bottom style="hair">
        <color theme="1"/>
      </bottom>
      <diagonal/>
    </border>
    <border>
      <left style="thin">
        <color theme="1"/>
      </left>
      <right/>
      <top style="thin">
        <color theme="1"/>
      </top>
      <bottom style="hair">
        <color theme="1"/>
      </bottom>
      <diagonal/>
    </border>
    <border>
      <left/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/>
      <right style="thin">
        <color theme="1"/>
      </right>
      <top style="hair">
        <color theme="1"/>
      </top>
      <bottom style="hair">
        <color theme="1"/>
      </bottom>
      <diagonal/>
    </border>
    <border>
      <left/>
      <right style="thin">
        <color theme="1"/>
      </right>
      <top style="hair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hair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hair">
        <color theme="1"/>
      </top>
      <bottom/>
      <diagonal/>
    </border>
    <border>
      <left/>
      <right style="thin">
        <color indexed="64"/>
      </right>
      <top style="hair">
        <color theme="1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/>
      <diagonal/>
    </border>
    <border>
      <left style="thin">
        <color theme="1"/>
      </left>
      <right/>
      <top style="hair">
        <color theme="1"/>
      </top>
      <bottom style="thin">
        <color theme="1"/>
      </bottom>
      <diagonal/>
    </border>
    <border>
      <left/>
      <right style="thin">
        <color indexed="64"/>
      </right>
      <top style="hair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theme="1"/>
      </bottom>
      <diagonal/>
    </border>
    <border>
      <left style="thin">
        <color indexed="64"/>
      </left>
      <right style="thin">
        <color rgb="FF000000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theme="1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hair">
        <color indexed="64"/>
      </bottom>
      <diagonal/>
    </border>
    <border>
      <left/>
      <right/>
      <top style="thin">
        <color theme="0" tint="-0.499984740745262"/>
      </top>
      <bottom style="hair">
        <color indexed="64"/>
      </bottom>
      <diagonal/>
    </border>
    <border>
      <left/>
      <right style="thin">
        <color indexed="64"/>
      </right>
      <top style="thin">
        <color theme="0" tint="-0.499984740745262"/>
      </top>
      <bottom style="hair">
        <color indexed="64"/>
      </bottom>
      <diagonal/>
    </border>
    <border>
      <left style="thin">
        <color theme="0" tint="-0.499984740745262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/>
      <diagonal/>
    </border>
    <border>
      <left/>
      <right style="thin">
        <color indexed="64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hair">
        <color theme="1"/>
      </top>
      <bottom/>
      <diagonal/>
    </border>
    <border>
      <left/>
      <right/>
      <top style="hair">
        <color theme="1"/>
      </top>
      <bottom/>
      <diagonal/>
    </border>
    <border>
      <left/>
      <right/>
      <top style="hair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43" fontId="9" fillId="0" borderId="0" applyFont="0" applyFill="0" applyBorder="0" applyAlignment="0" applyProtection="0"/>
    <xf numFmtId="0" fontId="14" fillId="0" borderId="0"/>
    <xf numFmtId="0" fontId="2" fillId="0" borderId="0"/>
    <xf numFmtId="43" fontId="2" fillId="0" borderId="0" applyFont="0" applyFill="0" applyBorder="0" applyAlignment="0" applyProtection="0"/>
  </cellStyleXfs>
  <cellXfs count="3015">
    <xf numFmtId="0" fontId="0" fillId="0" borderId="0" xfId="0"/>
    <xf numFmtId="0" fontId="5" fillId="0" borderId="0" xfId="0" applyFont="1"/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3" fontId="6" fillId="2" borderId="1" xfId="0" applyNumberFormat="1" applyFont="1" applyFill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/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wrapText="1"/>
    </xf>
    <xf numFmtId="49" fontId="6" fillId="3" borderId="6" xfId="0" applyNumberFormat="1" applyFont="1" applyFill="1" applyBorder="1" applyAlignment="1">
      <alignment horizontal="center" vertical="center"/>
    </xf>
    <xf numFmtId="0" fontId="6" fillId="3" borderId="7" xfId="0" applyFont="1" applyFill="1" applyBorder="1"/>
    <xf numFmtId="0" fontId="6" fillId="3" borderId="7" xfId="0" applyFont="1" applyFill="1" applyBorder="1" applyAlignment="1">
      <alignment horizontal="center" vertical="center"/>
    </xf>
    <xf numFmtId="49" fontId="6" fillId="3" borderId="7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left"/>
    </xf>
    <xf numFmtId="43" fontId="6" fillId="3" borderId="7" xfId="0" applyNumberFormat="1" applyFont="1" applyFill="1" applyBorder="1" applyAlignment="1">
      <alignment horizontal="center" vertical="center"/>
    </xf>
    <xf numFmtId="43" fontId="10" fillId="3" borderId="7" xfId="1" applyFont="1" applyFill="1" applyBorder="1" applyAlignment="1">
      <alignment horizontal="center" vertical="top" wrapText="1"/>
    </xf>
    <xf numFmtId="187" fontId="6" fillId="3" borderId="7" xfId="1" applyNumberFormat="1" applyFont="1" applyFill="1" applyBorder="1" applyAlignment="1">
      <alignment horizontal="center" vertical="center"/>
    </xf>
    <xf numFmtId="43" fontId="5" fillId="3" borderId="7" xfId="1" applyFont="1" applyFill="1" applyBorder="1" applyAlignment="1">
      <alignment horizontal="center" vertical="top" wrapText="1"/>
    </xf>
    <xf numFmtId="187" fontId="5" fillId="3" borderId="7" xfId="1" applyNumberFormat="1" applyFont="1" applyFill="1" applyBorder="1" applyAlignment="1">
      <alignment horizontal="center" vertical="top" wrapText="1"/>
    </xf>
    <xf numFmtId="0" fontId="11" fillId="3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/>
    </xf>
    <xf numFmtId="0" fontId="12" fillId="2" borderId="15" xfId="0" applyFont="1" applyFill="1" applyBorder="1" applyAlignment="1">
      <alignment wrapText="1"/>
    </xf>
    <xf numFmtId="49" fontId="5" fillId="2" borderId="16" xfId="0" quotePrefix="1" applyNumberFormat="1" applyFont="1" applyFill="1" applyBorder="1" applyAlignment="1">
      <alignment horizontal="center" vertical="top"/>
    </xf>
    <xf numFmtId="49" fontId="5" fillId="2" borderId="17" xfId="0" applyNumberFormat="1" applyFont="1" applyFill="1" applyBorder="1" applyAlignment="1">
      <alignment horizontal="center" vertical="top"/>
    </xf>
    <xf numFmtId="49" fontId="5" fillId="2" borderId="18" xfId="0" applyNumberFormat="1" applyFont="1" applyFill="1" applyBorder="1" applyAlignment="1">
      <alignment horizontal="center" vertical="top"/>
    </xf>
    <xf numFmtId="15" fontId="5" fillId="2" borderId="14" xfId="0" applyNumberFormat="1" applyFont="1" applyFill="1" applyBorder="1" applyAlignment="1">
      <alignment horizontal="center"/>
    </xf>
    <xf numFmtId="4" fontId="12" fillId="2" borderId="15" xfId="0" applyNumberFormat="1" applyFont="1" applyFill="1" applyBorder="1" applyAlignment="1">
      <alignment horizontal="right" wrapText="1"/>
    </xf>
    <xf numFmtId="0" fontId="5" fillId="0" borderId="15" xfId="0" applyFont="1" applyBorder="1" applyAlignment="1">
      <alignment horizontal="center" vertical="top" wrapText="1"/>
    </xf>
    <xf numFmtId="0" fontId="5" fillId="0" borderId="14" xfId="2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87" fontId="5" fillId="0" borderId="14" xfId="1" applyNumberFormat="1" applyFont="1" applyFill="1" applyBorder="1" applyAlignment="1">
      <alignment horizontal="right"/>
    </xf>
    <xf numFmtId="187" fontId="15" fillId="0" borderId="14" xfId="1" applyNumberFormat="1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12" fillId="2" borderId="19" xfId="0" applyFont="1" applyFill="1" applyBorder="1" applyAlignment="1">
      <alignment wrapText="1"/>
    </xf>
    <xf numFmtId="49" fontId="5" fillId="2" borderId="20" xfId="0" quotePrefix="1" applyNumberFormat="1" applyFont="1" applyFill="1" applyBorder="1" applyAlignment="1">
      <alignment horizontal="center" vertical="top"/>
    </xf>
    <xf numFmtId="49" fontId="5" fillId="2" borderId="21" xfId="0" applyNumberFormat="1" applyFont="1" applyFill="1" applyBorder="1" applyAlignment="1">
      <alignment horizontal="center" vertical="top"/>
    </xf>
    <xf numFmtId="49" fontId="5" fillId="2" borderId="22" xfId="0" applyNumberFormat="1" applyFont="1" applyFill="1" applyBorder="1" applyAlignment="1">
      <alignment horizontal="center" vertical="top"/>
    </xf>
    <xf numFmtId="15" fontId="5" fillId="2" borderId="19" xfId="0" applyNumberFormat="1" applyFont="1" applyFill="1" applyBorder="1" applyAlignment="1">
      <alignment horizontal="center"/>
    </xf>
    <xf numFmtId="4" fontId="12" fillId="2" borderId="19" xfId="0" applyNumberFormat="1" applyFont="1" applyFill="1" applyBorder="1" applyAlignment="1">
      <alignment horizontal="right" wrapText="1"/>
    </xf>
    <xf numFmtId="0" fontId="5" fillId="0" borderId="19" xfId="0" applyFont="1" applyBorder="1" applyAlignment="1">
      <alignment horizontal="center" vertical="top" wrapText="1"/>
    </xf>
    <xf numFmtId="0" fontId="5" fillId="0" borderId="19" xfId="2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187" fontId="5" fillId="0" borderId="19" xfId="1" applyNumberFormat="1" applyFont="1" applyFill="1" applyBorder="1" applyAlignment="1">
      <alignment horizontal="right"/>
    </xf>
    <xf numFmtId="187" fontId="15" fillId="0" borderId="19" xfId="1" applyNumberFormat="1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12" fillId="2" borderId="1" xfId="0" applyFont="1" applyFill="1" applyBorder="1" applyAlignment="1">
      <alignment wrapText="1"/>
    </xf>
    <xf numFmtId="49" fontId="5" fillId="2" borderId="1" xfId="0" quotePrefix="1" applyNumberFormat="1" applyFont="1" applyFill="1" applyBorder="1" applyAlignment="1">
      <alignment horizontal="center" vertical="top"/>
    </xf>
    <xf numFmtId="49" fontId="5" fillId="2" borderId="1" xfId="0" applyNumberFormat="1" applyFont="1" applyFill="1" applyBorder="1" applyAlignment="1">
      <alignment horizontal="center" vertical="top"/>
    </xf>
    <xf numFmtId="15" fontId="5" fillId="2" borderId="1" xfId="0" applyNumberFormat="1" applyFont="1" applyFill="1" applyBorder="1" applyAlignment="1">
      <alignment horizontal="center"/>
    </xf>
    <xf numFmtId="4" fontId="12" fillId="2" borderId="23" xfId="0" applyNumberFormat="1" applyFont="1" applyFill="1" applyBorder="1" applyAlignment="1">
      <alignment horizontal="right" wrapText="1"/>
    </xf>
    <xf numFmtId="0" fontId="13" fillId="2" borderId="1" xfId="0" applyFont="1" applyFill="1" applyBorder="1" applyAlignment="1">
      <alignment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2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87" fontId="5" fillId="0" borderId="1" xfId="1" applyNumberFormat="1" applyFont="1" applyFill="1" applyBorder="1" applyAlignment="1">
      <alignment horizontal="right"/>
    </xf>
    <xf numFmtId="187" fontId="15" fillId="0" borderId="1" xfId="1" applyNumberFormat="1" applyFont="1" applyFill="1" applyBorder="1" applyAlignment="1">
      <alignment horizontal="center"/>
    </xf>
    <xf numFmtId="49" fontId="6" fillId="2" borderId="6" xfId="0" applyNumberFormat="1" applyFont="1" applyFill="1" applyBorder="1" applyAlignment="1">
      <alignment horizontal="center" vertical="center"/>
    </xf>
    <xf numFmtId="43" fontId="6" fillId="3" borderId="1" xfId="0" applyNumberFormat="1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left"/>
    </xf>
    <xf numFmtId="49" fontId="5" fillId="2" borderId="26" xfId="0" applyNumberFormat="1" applyFont="1" applyFill="1" applyBorder="1" applyAlignment="1">
      <alignment horizontal="center"/>
    </xf>
    <xf numFmtId="0" fontId="5" fillId="2" borderId="27" xfId="0" applyFont="1" applyFill="1" applyBorder="1" applyAlignment="1">
      <alignment horizontal="center"/>
    </xf>
    <xf numFmtId="49" fontId="5" fillId="2" borderId="28" xfId="0" applyNumberFormat="1" applyFont="1" applyFill="1" applyBorder="1" applyAlignment="1">
      <alignment horizontal="center"/>
    </xf>
    <xf numFmtId="49" fontId="5" fillId="2" borderId="25" xfId="0" applyNumberFormat="1" applyFont="1" applyFill="1" applyBorder="1" applyAlignment="1">
      <alignment horizontal="center"/>
    </xf>
    <xf numFmtId="43" fontId="5" fillId="2" borderId="25" xfId="1" applyFont="1" applyFill="1" applyBorder="1" applyAlignment="1">
      <alignment horizontal="right"/>
    </xf>
    <xf numFmtId="0" fontId="10" fillId="5" borderId="25" xfId="0" applyFont="1" applyFill="1" applyBorder="1" applyAlignment="1">
      <alignment horizontal="left"/>
    </xf>
    <xf numFmtId="0" fontId="5" fillId="0" borderId="25" xfId="0" applyFont="1" applyBorder="1" applyAlignment="1">
      <alignment horizontal="center" vertical="top" wrapText="1"/>
    </xf>
    <xf numFmtId="4" fontId="5" fillId="0" borderId="25" xfId="1" applyNumberFormat="1" applyFont="1" applyFill="1" applyBorder="1" applyAlignment="1">
      <alignment horizontal="right"/>
    </xf>
    <xf numFmtId="49" fontId="5" fillId="2" borderId="29" xfId="0" applyNumberFormat="1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49" fontId="5" fillId="2" borderId="30" xfId="0" applyNumberFormat="1" applyFont="1" applyFill="1" applyBorder="1" applyAlignment="1">
      <alignment horizontal="center"/>
    </xf>
    <xf numFmtId="49" fontId="5" fillId="2" borderId="31" xfId="0" applyNumberFormat="1" applyFont="1" applyFill="1" applyBorder="1" applyAlignment="1">
      <alignment horizontal="center"/>
    </xf>
    <xf numFmtId="43" fontId="5" fillId="2" borderId="31" xfId="1" applyFont="1" applyFill="1" applyBorder="1" applyAlignment="1">
      <alignment horizontal="right"/>
    </xf>
    <xf numFmtId="0" fontId="5" fillId="0" borderId="31" xfId="0" applyFont="1" applyBorder="1" applyAlignment="1">
      <alignment horizontal="center" vertical="top" wrapText="1"/>
    </xf>
    <xf numFmtId="4" fontId="5" fillId="0" borderId="31" xfId="1" applyNumberFormat="1" applyFont="1" applyFill="1" applyBorder="1" applyAlignment="1">
      <alignment horizontal="right"/>
    </xf>
    <xf numFmtId="0" fontId="12" fillId="2" borderId="15" xfId="0" applyFont="1" applyFill="1" applyBorder="1" applyAlignment="1">
      <alignment vertical="center"/>
    </xf>
    <xf numFmtId="49" fontId="5" fillId="2" borderId="14" xfId="0" applyNumberFormat="1" applyFont="1" applyFill="1" applyBorder="1" applyAlignment="1">
      <alignment horizontal="center"/>
    </xf>
    <xf numFmtId="43" fontId="5" fillId="2" borderId="14" xfId="1" applyFont="1" applyFill="1" applyBorder="1" applyAlignment="1">
      <alignment horizontal="right"/>
    </xf>
    <xf numFmtId="0" fontId="5" fillId="0" borderId="14" xfId="0" applyFont="1" applyBorder="1" applyAlignment="1">
      <alignment horizontal="center" vertical="top" wrapText="1"/>
    </xf>
    <xf numFmtId="4" fontId="5" fillId="0" borderId="14" xfId="1" applyNumberFormat="1" applyFont="1" applyFill="1" applyBorder="1" applyAlignment="1">
      <alignment horizontal="right"/>
    </xf>
    <xf numFmtId="0" fontId="15" fillId="0" borderId="32" xfId="0" applyFont="1" applyBorder="1" applyAlignment="1">
      <alignment horizontal="center"/>
    </xf>
    <xf numFmtId="4" fontId="5" fillId="0" borderId="15" xfId="1" applyNumberFormat="1" applyFont="1" applyFill="1" applyBorder="1" applyAlignment="1">
      <alignment horizontal="right"/>
    </xf>
    <xf numFmtId="0" fontId="5" fillId="2" borderId="19" xfId="0" applyFont="1" applyFill="1" applyBorder="1" applyAlignment="1">
      <alignment horizontal="left"/>
    </xf>
    <xf numFmtId="49" fontId="5" fillId="2" borderId="20" xfId="0" applyNumberFormat="1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49" fontId="5" fillId="2" borderId="22" xfId="0" applyNumberFormat="1" applyFont="1" applyFill="1" applyBorder="1"/>
    <xf numFmtId="43" fontId="16" fillId="2" borderId="19" xfId="1" applyFont="1" applyFill="1" applyBorder="1" applyAlignment="1">
      <alignment horizontal="right"/>
    </xf>
    <xf numFmtId="0" fontId="10" fillId="0" borderId="19" xfId="0" applyFont="1" applyBorder="1" applyAlignment="1">
      <alignment horizontal="left"/>
    </xf>
    <xf numFmtId="4" fontId="5" fillId="0" borderId="19" xfId="1" applyNumberFormat="1" applyFont="1" applyFill="1" applyBorder="1" applyAlignment="1">
      <alignment horizontal="right"/>
    </xf>
    <xf numFmtId="0" fontId="15" fillId="0" borderId="33" xfId="0" applyFont="1" applyBorder="1" applyAlignment="1">
      <alignment horizontal="center"/>
    </xf>
    <xf numFmtId="0" fontId="6" fillId="3" borderId="6" xfId="2" applyFont="1" applyFill="1" applyBorder="1" applyAlignment="1">
      <alignment horizontal="center" vertical="center"/>
    </xf>
    <xf numFmtId="0" fontId="6" fillId="3" borderId="7" xfId="2" applyFont="1" applyFill="1" applyBorder="1" applyAlignment="1">
      <alignment vertical="center"/>
    </xf>
    <xf numFmtId="0" fontId="6" fillId="3" borderId="4" xfId="2" applyFont="1" applyFill="1" applyBorder="1" applyAlignment="1">
      <alignment vertical="center"/>
    </xf>
    <xf numFmtId="49" fontId="6" fillId="3" borderId="7" xfId="2" applyNumberFormat="1" applyFont="1" applyFill="1" applyBorder="1" applyAlignment="1">
      <alignment horizontal="center" vertical="center"/>
    </xf>
    <xf numFmtId="43" fontId="6" fillId="3" borderId="7" xfId="2" applyNumberFormat="1" applyFont="1" applyFill="1" applyBorder="1" applyAlignment="1">
      <alignment vertical="center"/>
    </xf>
    <xf numFmtId="0" fontId="4" fillId="3" borderId="7" xfId="2" applyFont="1" applyFill="1" applyBorder="1" applyAlignment="1">
      <alignment vertical="center"/>
    </xf>
    <xf numFmtId="0" fontId="5" fillId="3" borderId="7" xfId="0" applyFont="1" applyFill="1" applyBorder="1"/>
    <xf numFmtId="0" fontId="17" fillId="3" borderId="8" xfId="0" applyFont="1" applyFill="1" applyBorder="1" applyAlignment="1">
      <alignment horizontal="center"/>
    </xf>
    <xf numFmtId="0" fontId="5" fillId="2" borderId="15" xfId="2" applyFont="1" applyFill="1" applyBorder="1" applyAlignment="1">
      <alignment horizontal="center" vertical="top" wrapText="1"/>
    </xf>
    <xf numFmtId="0" fontId="12" fillId="2" borderId="34" xfId="0" applyFont="1" applyFill="1" applyBorder="1" applyAlignment="1">
      <alignment horizontal="left"/>
    </xf>
    <xf numFmtId="0" fontId="12" fillId="6" borderId="35" xfId="0" applyFont="1" applyFill="1" applyBorder="1" applyAlignment="1">
      <alignment horizontal="center"/>
    </xf>
    <xf numFmtId="0" fontId="12" fillId="2" borderId="36" xfId="0" applyFont="1" applyFill="1" applyBorder="1" applyAlignment="1">
      <alignment horizontal="center"/>
    </xf>
    <xf numFmtId="49" fontId="12" fillId="2" borderId="37" xfId="0" applyNumberFormat="1" applyFont="1" applyFill="1" applyBorder="1" applyAlignment="1">
      <alignment horizontal="center"/>
    </xf>
    <xf numFmtId="15" fontId="12" fillId="2" borderId="38" xfId="0" applyNumberFormat="1" applyFont="1" applyFill="1" applyBorder="1" applyAlignment="1">
      <alignment horizontal="center"/>
    </xf>
    <xf numFmtId="188" fontId="12" fillId="2" borderId="38" xfId="0" applyNumberFormat="1" applyFont="1" applyFill="1" applyBorder="1" applyAlignment="1">
      <alignment horizontal="right"/>
    </xf>
    <xf numFmtId="0" fontId="17" fillId="2" borderId="15" xfId="2" applyFont="1" applyFill="1" applyBorder="1" applyAlignment="1">
      <alignment horizontal="center" vertical="top" wrapText="1"/>
    </xf>
    <xf numFmtId="0" fontId="5" fillId="2" borderId="39" xfId="2" applyFont="1" applyFill="1" applyBorder="1" applyAlignment="1">
      <alignment horizontal="center" vertical="top" wrapText="1"/>
    </xf>
    <xf numFmtId="0" fontId="12" fillId="2" borderId="40" xfId="0" applyFont="1" applyFill="1" applyBorder="1" applyAlignment="1">
      <alignment horizontal="center"/>
    </xf>
    <xf numFmtId="49" fontId="12" fillId="2" borderId="41" xfId="0" applyNumberFormat="1" applyFont="1" applyFill="1" applyBorder="1" applyAlignment="1">
      <alignment horizontal="center"/>
    </xf>
    <xf numFmtId="15" fontId="12" fillId="2" borderId="34" xfId="0" applyNumberFormat="1" applyFont="1" applyFill="1" applyBorder="1" applyAlignment="1">
      <alignment horizontal="center"/>
    </xf>
    <xf numFmtId="188" fontId="12" fillId="2" borderId="34" xfId="0" applyNumberFormat="1" applyFont="1" applyFill="1" applyBorder="1" applyAlignment="1">
      <alignment horizontal="right"/>
    </xf>
    <xf numFmtId="0" fontId="10" fillId="8" borderId="42" xfId="0" applyFont="1" applyFill="1" applyBorder="1" applyAlignment="1">
      <alignment horizontal="left"/>
    </xf>
    <xf numFmtId="0" fontId="5" fillId="2" borderId="15" xfId="0" applyFont="1" applyFill="1" applyBorder="1" applyAlignment="1">
      <alignment horizontal="center" vertical="top" wrapText="1"/>
    </xf>
    <xf numFmtId="187" fontId="5" fillId="2" borderId="15" xfId="1" applyNumberFormat="1" applyFont="1" applyFill="1" applyBorder="1" applyAlignment="1">
      <alignment horizontal="right"/>
    </xf>
    <xf numFmtId="0" fontId="10" fillId="9" borderId="44" xfId="2" applyFont="1" applyFill="1" applyBorder="1" applyAlignment="1">
      <alignment horizontal="left" vertical="center" wrapText="1"/>
    </xf>
    <xf numFmtId="0" fontId="5" fillId="0" borderId="15" xfId="2" applyFont="1" applyBorder="1" applyAlignment="1">
      <alignment horizontal="center" vertical="center" wrapText="1"/>
    </xf>
    <xf numFmtId="0" fontId="17" fillId="0" borderId="15" xfId="2" applyFont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left" shrinkToFit="1"/>
    </xf>
    <xf numFmtId="0" fontId="17" fillId="0" borderId="43" xfId="2" applyFont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/>
    </xf>
    <xf numFmtId="0" fontId="17" fillId="2" borderId="15" xfId="2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/>
    </xf>
    <xf numFmtId="0" fontId="12" fillId="2" borderId="46" xfId="0" applyFont="1" applyFill="1" applyBorder="1" applyAlignment="1">
      <alignment horizontal="center"/>
    </xf>
    <xf numFmtId="0" fontId="12" fillId="6" borderId="47" xfId="0" applyFont="1" applyFill="1" applyBorder="1" applyAlignment="1">
      <alignment horizontal="center"/>
    </xf>
    <xf numFmtId="0" fontId="15" fillId="2" borderId="15" xfId="2" applyFont="1" applyFill="1" applyBorder="1" applyAlignment="1">
      <alignment horizontal="center" vertical="top" wrapText="1"/>
    </xf>
    <xf numFmtId="0" fontId="13" fillId="10" borderId="34" xfId="0" applyFont="1" applyFill="1" applyBorder="1" applyAlignment="1">
      <alignment horizontal="left"/>
    </xf>
    <xf numFmtId="0" fontId="5" fillId="2" borderId="15" xfId="0" applyFont="1" applyFill="1" applyBorder="1" applyAlignment="1">
      <alignment horizontal="left" vertical="top" wrapText="1"/>
    </xf>
    <xf numFmtId="0" fontId="5" fillId="2" borderId="43" xfId="2" applyFont="1" applyFill="1" applyBorder="1" applyAlignment="1">
      <alignment horizontal="center" vertical="top" wrapText="1"/>
    </xf>
    <xf numFmtId="0" fontId="17" fillId="2" borderId="43" xfId="2" applyFont="1" applyFill="1" applyBorder="1" applyAlignment="1">
      <alignment horizontal="center" vertical="top" wrapText="1"/>
    </xf>
    <xf numFmtId="0" fontId="12" fillId="6" borderId="48" xfId="0" applyFont="1" applyFill="1" applyBorder="1" applyAlignment="1">
      <alignment horizontal="center"/>
    </xf>
    <xf numFmtId="0" fontId="12" fillId="2" borderId="49" xfId="0" applyFont="1" applyFill="1" applyBorder="1" applyAlignment="1">
      <alignment horizontal="center"/>
    </xf>
    <xf numFmtId="49" fontId="12" fillId="2" borderId="50" xfId="0" applyNumberFormat="1" applyFont="1" applyFill="1" applyBorder="1" applyAlignment="1">
      <alignment horizontal="center"/>
    </xf>
    <xf numFmtId="49" fontId="12" fillId="2" borderId="51" xfId="0" applyNumberFormat="1" applyFont="1" applyFill="1" applyBorder="1" applyAlignment="1">
      <alignment horizontal="center"/>
    </xf>
    <xf numFmtId="0" fontId="12" fillId="2" borderId="27" xfId="0" applyFont="1" applyFill="1" applyBorder="1" applyAlignment="1">
      <alignment horizontal="center"/>
    </xf>
    <xf numFmtId="49" fontId="12" fillId="2" borderId="52" xfId="0" applyNumberFormat="1" applyFont="1" applyFill="1" applyBorder="1" applyAlignment="1">
      <alignment horizontal="center"/>
    </xf>
    <xf numFmtId="15" fontId="12" fillId="2" borderId="53" xfId="0" applyNumberFormat="1" applyFont="1" applyFill="1" applyBorder="1" applyAlignment="1">
      <alignment horizontal="center"/>
    </xf>
    <xf numFmtId="0" fontId="10" fillId="11" borderId="15" xfId="2" applyFont="1" applyFill="1" applyBorder="1" applyAlignment="1">
      <alignment wrapText="1"/>
    </xf>
    <xf numFmtId="49" fontId="12" fillId="2" borderId="40" xfId="0" applyNumberFormat="1" applyFont="1" applyFill="1" applyBorder="1" applyAlignment="1">
      <alignment horizontal="center"/>
    </xf>
    <xf numFmtId="49" fontId="12" fillId="2" borderId="45" xfId="0" applyNumberFormat="1" applyFont="1" applyFill="1" applyBorder="1" applyAlignment="1">
      <alignment horizontal="center"/>
    </xf>
    <xf numFmtId="0" fontId="13" fillId="12" borderId="34" xfId="0" applyFont="1" applyFill="1" applyBorder="1" applyAlignment="1">
      <alignment horizontal="left"/>
    </xf>
    <xf numFmtId="0" fontId="17" fillId="2" borderId="15" xfId="0" applyFont="1" applyFill="1" applyBorder="1" applyAlignment="1">
      <alignment horizontal="center"/>
    </xf>
    <xf numFmtId="187" fontId="5" fillId="0" borderId="15" xfId="1" applyNumberFormat="1" applyFont="1" applyFill="1" applyBorder="1" applyAlignment="1">
      <alignment horizontal="right"/>
    </xf>
    <xf numFmtId="187" fontId="15" fillId="0" borderId="15" xfId="1" applyNumberFormat="1" applyFont="1" applyFill="1" applyBorder="1" applyAlignment="1">
      <alignment horizontal="center"/>
    </xf>
    <xf numFmtId="0" fontId="12" fillId="2" borderId="54" xfId="0" applyFont="1" applyFill="1" applyBorder="1" applyAlignment="1">
      <alignment horizontal="center"/>
    </xf>
    <xf numFmtId="0" fontId="5" fillId="0" borderId="0" xfId="0" applyFont="1" applyAlignment="1">
      <alignment vertical="top"/>
    </xf>
    <xf numFmtId="187" fontId="18" fillId="0" borderId="14" xfId="1" applyNumberFormat="1" applyFont="1" applyFill="1" applyBorder="1" applyAlignment="1">
      <alignment horizontal="right"/>
    </xf>
    <xf numFmtId="0" fontId="12" fillId="2" borderId="47" xfId="0" applyFont="1" applyFill="1" applyBorder="1" applyAlignment="1">
      <alignment horizontal="center"/>
    </xf>
    <xf numFmtId="188" fontId="5" fillId="2" borderId="34" xfId="0" applyNumberFormat="1" applyFont="1" applyFill="1" applyBorder="1"/>
    <xf numFmtId="188" fontId="12" fillId="2" borderId="34" xfId="0" applyNumberFormat="1" applyFont="1" applyFill="1" applyBorder="1"/>
    <xf numFmtId="0" fontId="12" fillId="2" borderId="34" xfId="0" applyFont="1" applyFill="1" applyBorder="1" applyAlignment="1">
      <alignment horizontal="left" vertical="center"/>
    </xf>
    <xf numFmtId="0" fontId="12" fillId="2" borderId="48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49" fontId="12" fillId="2" borderId="55" xfId="0" applyNumberFormat="1" applyFont="1" applyFill="1" applyBorder="1" applyAlignment="1">
      <alignment horizontal="center" vertical="center"/>
    </xf>
    <xf numFmtId="15" fontId="12" fillId="2" borderId="56" xfId="0" applyNumberFormat="1" applyFont="1" applyFill="1" applyBorder="1" applyAlignment="1">
      <alignment horizontal="center" vertical="center"/>
    </xf>
    <xf numFmtId="188" fontId="12" fillId="2" borderId="57" xfId="0" applyNumberFormat="1" applyFont="1" applyFill="1" applyBorder="1" applyAlignment="1">
      <alignment horizontal="right" vertical="center"/>
    </xf>
    <xf numFmtId="187" fontId="5" fillId="0" borderId="14" xfId="1" applyNumberFormat="1" applyFont="1" applyFill="1" applyBorder="1" applyAlignment="1">
      <alignment horizontal="right" vertical="top"/>
    </xf>
    <xf numFmtId="0" fontId="15" fillId="2" borderId="43" xfId="2" applyFont="1" applyFill="1" applyBorder="1" applyAlignment="1">
      <alignment horizontal="center" vertical="top" wrapText="1"/>
    </xf>
    <xf numFmtId="49" fontId="12" fillId="6" borderId="47" xfId="3" applyNumberFormat="1" applyFont="1" applyFill="1" applyBorder="1" applyAlignment="1">
      <alignment horizontal="center"/>
    </xf>
    <xf numFmtId="49" fontId="12" fillId="2" borderId="40" xfId="3" applyNumberFormat="1" applyFont="1" applyFill="1" applyBorder="1" applyAlignment="1">
      <alignment horizontal="center"/>
    </xf>
    <xf numFmtId="49" fontId="12" fillId="2" borderId="41" xfId="3" applyNumberFormat="1" applyFont="1" applyFill="1" applyBorder="1" applyAlignment="1">
      <alignment horizontal="center"/>
    </xf>
    <xf numFmtId="189" fontId="12" fillId="2" borderId="34" xfId="3" applyNumberFormat="1" applyFont="1" applyFill="1" applyBorder="1" applyAlignment="1">
      <alignment horizontal="center"/>
    </xf>
    <xf numFmtId="43" fontId="12" fillId="2" borderId="43" xfId="4" applyFont="1" applyFill="1" applyBorder="1" applyAlignment="1">
      <alignment horizontal="center"/>
    </xf>
    <xf numFmtId="0" fontId="13" fillId="13" borderId="27" xfId="3" applyFont="1" applyFill="1" applyBorder="1"/>
    <xf numFmtId="49" fontId="12" fillId="6" borderId="40" xfId="3" applyNumberFormat="1" applyFont="1" applyFill="1" applyBorder="1" applyAlignment="1">
      <alignment horizontal="center"/>
    </xf>
    <xf numFmtId="189" fontId="12" fillId="2" borderId="15" xfId="3" applyNumberFormat="1" applyFont="1" applyFill="1" applyBorder="1" applyAlignment="1">
      <alignment horizontal="center"/>
    </xf>
    <xf numFmtId="43" fontId="12" fillId="2" borderId="15" xfId="4" applyFont="1" applyFill="1" applyBorder="1" applyAlignment="1">
      <alignment horizontal="center"/>
    </xf>
    <xf numFmtId="0" fontId="5" fillId="2" borderId="19" xfId="0" applyFont="1" applyFill="1" applyBorder="1"/>
    <xf numFmtId="0" fontId="5" fillId="2" borderId="1" xfId="0" applyFont="1" applyFill="1" applyBorder="1" applyAlignment="1">
      <alignment horizontal="center"/>
    </xf>
    <xf numFmtId="0" fontId="5" fillId="2" borderId="21" xfId="0" applyFont="1" applyFill="1" applyBorder="1"/>
    <xf numFmtId="49" fontId="5" fillId="2" borderId="1" xfId="0" applyNumberFormat="1" applyFont="1" applyFill="1" applyBorder="1" applyAlignment="1">
      <alignment horizontal="center"/>
    </xf>
    <xf numFmtId="49" fontId="5" fillId="2" borderId="19" xfId="0" applyNumberFormat="1" applyFont="1" applyFill="1" applyBorder="1" applyAlignment="1">
      <alignment horizontal="center"/>
    </xf>
    <xf numFmtId="43" fontId="20" fillId="2" borderId="9" xfId="1" applyFont="1" applyFill="1" applyBorder="1" applyAlignment="1">
      <alignment horizontal="right"/>
    </xf>
    <xf numFmtId="0" fontId="10" fillId="0" borderId="19" xfId="0" applyFont="1" applyBorder="1"/>
    <xf numFmtId="0" fontId="6" fillId="2" borderId="59" xfId="2" applyFont="1" applyFill="1" applyBorder="1" applyAlignment="1">
      <alignment horizontal="center" vertical="top" wrapText="1"/>
    </xf>
    <xf numFmtId="0" fontId="6" fillId="2" borderId="60" xfId="2" applyFont="1" applyFill="1" applyBorder="1" applyAlignment="1">
      <alignment horizontal="left" vertical="top" wrapText="1"/>
    </xf>
    <xf numFmtId="0" fontId="5" fillId="2" borderId="60" xfId="2" applyFont="1" applyFill="1" applyBorder="1" applyAlignment="1">
      <alignment horizontal="center" vertical="top" wrapText="1"/>
    </xf>
    <xf numFmtId="0" fontId="5" fillId="2" borderId="60" xfId="0" applyFont="1" applyFill="1" applyBorder="1"/>
    <xf numFmtId="49" fontId="5" fillId="2" borderId="60" xfId="0" applyNumberFormat="1" applyFont="1" applyFill="1" applyBorder="1" applyAlignment="1">
      <alignment horizontal="center"/>
    </xf>
    <xf numFmtId="43" fontId="5" fillId="2" borderId="60" xfId="2" applyNumberFormat="1" applyFont="1" applyFill="1" applyBorder="1" applyAlignment="1">
      <alignment horizontal="right" vertical="top" wrapText="1"/>
    </xf>
    <xf numFmtId="0" fontId="10" fillId="3" borderId="60" xfId="2" applyFont="1" applyFill="1" applyBorder="1" applyAlignment="1">
      <alignment vertical="top" wrapText="1"/>
    </xf>
    <xf numFmtId="0" fontId="5" fillId="3" borderId="60" xfId="2" applyFont="1" applyFill="1" applyBorder="1" applyAlignment="1">
      <alignment horizontal="center" vertical="top" wrapText="1"/>
    </xf>
    <xf numFmtId="0" fontId="15" fillId="3" borderId="61" xfId="2" applyFont="1" applyFill="1" applyBorder="1" applyAlignment="1">
      <alignment horizontal="center" vertical="top" wrapText="1"/>
    </xf>
    <xf numFmtId="0" fontId="12" fillId="6" borderId="62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/>
    </xf>
    <xf numFmtId="43" fontId="5" fillId="2" borderId="15" xfId="1" applyFont="1" applyFill="1" applyBorder="1" applyAlignment="1">
      <alignment horizontal="right"/>
    </xf>
    <xf numFmtId="0" fontId="12" fillId="2" borderId="17" xfId="0" applyFont="1" applyFill="1" applyBorder="1" applyAlignment="1">
      <alignment horizontal="center"/>
    </xf>
    <xf numFmtId="0" fontId="12" fillId="2" borderId="42" xfId="0" applyFont="1" applyFill="1" applyBorder="1" applyAlignment="1">
      <alignment horizontal="center"/>
    </xf>
    <xf numFmtId="0" fontId="21" fillId="6" borderId="47" xfId="0" applyFont="1" applyFill="1" applyBorder="1" applyAlignment="1">
      <alignment horizontal="center"/>
    </xf>
    <xf numFmtId="0" fontId="5" fillId="2" borderId="15" xfId="2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/>
    </xf>
    <xf numFmtId="188" fontId="22" fillId="2" borderId="63" xfId="0" applyNumberFormat="1" applyFont="1" applyFill="1" applyBorder="1" applyAlignment="1">
      <alignment horizontal="right"/>
    </xf>
    <xf numFmtId="0" fontId="5" fillId="2" borderId="20" xfId="0" applyFont="1" applyFill="1" applyBorder="1"/>
    <xf numFmtId="0" fontId="5" fillId="2" borderId="1" xfId="0" applyFont="1" applyFill="1" applyBorder="1"/>
    <xf numFmtId="49" fontId="5" fillId="2" borderId="22" xfId="0" applyNumberFormat="1" applyFont="1" applyFill="1" applyBorder="1" applyAlignment="1">
      <alignment horizontal="center"/>
    </xf>
    <xf numFmtId="43" fontId="20" fillId="2" borderId="12" xfId="0" applyNumberFormat="1" applyFont="1" applyFill="1" applyBorder="1"/>
    <xf numFmtId="43" fontId="10" fillId="0" borderId="19" xfId="0" applyNumberFormat="1" applyFont="1" applyBorder="1"/>
    <xf numFmtId="0" fontId="5" fillId="0" borderId="19" xfId="0" applyFont="1" applyBorder="1"/>
    <xf numFmtId="0" fontId="15" fillId="0" borderId="19" xfId="0" applyFont="1" applyBorder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49" fontId="5" fillId="3" borderId="7" xfId="0" applyNumberFormat="1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43" fontId="5" fillId="3" borderId="7" xfId="1" applyFont="1" applyFill="1" applyBorder="1" applyAlignment="1">
      <alignment horizontal="right"/>
    </xf>
    <xf numFmtId="0" fontId="10" fillId="3" borderId="7" xfId="0" applyFont="1" applyFill="1" applyBorder="1"/>
    <xf numFmtId="0" fontId="5" fillId="3" borderId="7" xfId="0" applyFont="1" applyFill="1" applyBorder="1" applyAlignment="1">
      <alignment horizontal="left" vertical="top" wrapText="1"/>
    </xf>
    <xf numFmtId="187" fontId="5" fillId="3" borderId="7" xfId="1" applyNumberFormat="1" applyFont="1" applyFill="1" applyBorder="1" applyAlignment="1">
      <alignment horizontal="right"/>
    </xf>
    <xf numFmtId="0" fontId="15" fillId="3" borderId="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left"/>
    </xf>
    <xf numFmtId="49" fontId="5" fillId="2" borderId="64" xfId="0" applyNumberFormat="1" applyFont="1" applyFill="1" applyBorder="1" applyAlignment="1">
      <alignment horizontal="center"/>
    </xf>
    <xf numFmtId="49" fontId="5" fillId="2" borderId="43" xfId="0" applyNumberFormat="1" applyFont="1" applyFill="1" applyBorder="1" applyAlignment="1">
      <alignment horizontal="center"/>
    </xf>
    <xf numFmtId="49" fontId="5" fillId="2" borderId="15" xfId="0" applyNumberFormat="1" applyFont="1" applyFill="1" applyBorder="1" applyAlignment="1">
      <alignment horizontal="center"/>
    </xf>
    <xf numFmtId="0" fontId="5" fillId="0" borderId="15" xfId="0" applyFont="1" applyBorder="1" applyAlignment="1">
      <alignment horizontal="left"/>
    </xf>
    <xf numFmtId="49" fontId="5" fillId="0" borderId="64" xfId="0" applyNumberFormat="1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49" fontId="5" fillId="0" borderId="43" xfId="0" applyNumberFormat="1" applyFont="1" applyBorder="1" applyAlignment="1">
      <alignment horizontal="center"/>
    </xf>
    <xf numFmtId="49" fontId="5" fillId="0" borderId="15" xfId="0" applyNumberFormat="1" applyFont="1" applyBorder="1" applyAlignment="1">
      <alignment horizontal="center"/>
    </xf>
    <xf numFmtId="43" fontId="5" fillId="0" borderId="15" xfId="1" applyFont="1" applyFill="1" applyBorder="1" applyAlignment="1">
      <alignment horizontal="right"/>
    </xf>
    <xf numFmtId="0" fontId="15" fillId="0" borderId="15" xfId="0" applyFont="1" applyBorder="1" applyAlignment="1">
      <alignment horizontal="center"/>
    </xf>
    <xf numFmtId="0" fontId="5" fillId="2" borderId="14" xfId="0" applyFont="1" applyFill="1" applyBorder="1" applyAlignment="1">
      <alignment horizontal="left"/>
    </xf>
    <xf numFmtId="49" fontId="5" fillId="2" borderId="18" xfId="0" quotePrefix="1" applyNumberFormat="1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 vertical="top" wrapText="1"/>
    </xf>
    <xf numFmtId="0" fontId="17" fillId="2" borderId="14" xfId="0" applyFont="1" applyFill="1" applyBorder="1" applyAlignment="1">
      <alignment horizontal="center"/>
    </xf>
    <xf numFmtId="49" fontId="5" fillId="2" borderId="21" xfId="0" applyNumberFormat="1" applyFont="1" applyFill="1" applyBorder="1" applyAlignment="1">
      <alignment horizontal="center"/>
    </xf>
    <xf numFmtId="43" fontId="20" fillId="2" borderId="19" xfId="1" applyFont="1" applyFill="1" applyBorder="1" applyAlignment="1">
      <alignment horizontal="right"/>
    </xf>
    <xf numFmtId="0" fontId="10" fillId="2" borderId="19" xfId="0" applyFont="1" applyFill="1" applyBorder="1"/>
    <xf numFmtId="0" fontId="5" fillId="2" borderId="19" xfId="0" applyFont="1" applyFill="1" applyBorder="1" applyAlignment="1">
      <alignment horizontal="center" vertical="top" wrapText="1"/>
    </xf>
    <xf numFmtId="43" fontId="5" fillId="2" borderId="19" xfId="1" applyFont="1" applyFill="1" applyBorder="1" applyAlignment="1">
      <alignment horizontal="right"/>
    </xf>
    <xf numFmtId="0" fontId="17" fillId="2" borderId="19" xfId="0" applyFont="1" applyFill="1" applyBorder="1" applyAlignment="1">
      <alignment horizontal="center"/>
    </xf>
    <xf numFmtId="49" fontId="23" fillId="2" borderId="65" xfId="0" applyNumberFormat="1" applyFont="1" applyFill="1" applyBorder="1" applyAlignment="1">
      <alignment horizontal="center" vertical="center"/>
    </xf>
    <xf numFmtId="0" fontId="23" fillId="2" borderId="66" xfId="0" applyFont="1" applyFill="1" applyBorder="1"/>
    <xf numFmtId="0" fontId="23" fillId="2" borderId="66" xfId="0" applyFont="1" applyFill="1" applyBorder="1" applyAlignment="1">
      <alignment horizontal="center" vertical="center"/>
    </xf>
    <xf numFmtId="49" fontId="23" fillId="2" borderId="66" xfId="0" applyNumberFormat="1" applyFont="1" applyFill="1" applyBorder="1" applyAlignment="1">
      <alignment horizontal="center" vertical="center"/>
    </xf>
    <xf numFmtId="49" fontId="24" fillId="2" borderId="66" xfId="0" applyNumberFormat="1" applyFont="1" applyFill="1" applyBorder="1" applyAlignment="1">
      <alignment horizontal="left"/>
    </xf>
    <xf numFmtId="43" fontId="23" fillId="2" borderId="66" xfId="0" applyNumberFormat="1" applyFont="1" applyFill="1" applyBorder="1" applyAlignment="1">
      <alignment horizontal="center" vertical="center"/>
    </xf>
    <xf numFmtId="43" fontId="10" fillId="3" borderId="66" xfId="1" applyFont="1" applyFill="1" applyBorder="1" applyAlignment="1">
      <alignment vertical="top" wrapText="1"/>
    </xf>
    <xf numFmtId="187" fontId="23" fillId="3" borderId="66" xfId="1" applyNumberFormat="1" applyFont="1" applyFill="1" applyBorder="1" applyAlignment="1">
      <alignment horizontal="center" vertical="center"/>
    </xf>
    <xf numFmtId="43" fontId="5" fillId="3" borderId="66" xfId="1" applyFont="1" applyFill="1" applyBorder="1" applyAlignment="1">
      <alignment horizontal="center" vertical="top" wrapText="1"/>
    </xf>
    <xf numFmtId="187" fontId="5" fillId="3" borderId="66" xfId="1" applyNumberFormat="1" applyFont="1" applyFill="1" applyBorder="1" applyAlignment="1">
      <alignment horizontal="center" vertical="top" wrapText="1"/>
    </xf>
    <xf numFmtId="0" fontId="25" fillId="3" borderId="67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/>
    </xf>
    <xf numFmtId="0" fontId="5" fillId="2" borderId="15" xfId="0" applyFont="1" applyFill="1" applyBorder="1"/>
    <xf numFmtId="0" fontId="12" fillId="2" borderId="15" xfId="0" applyFont="1" applyFill="1" applyBorder="1"/>
    <xf numFmtId="49" fontId="12" fillId="2" borderId="64" xfId="0" applyNumberFormat="1" applyFont="1" applyFill="1" applyBorder="1" applyAlignment="1">
      <alignment horizontal="center"/>
    </xf>
    <xf numFmtId="49" fontId="12" fillId="2" borderId="43" xfId="0" applyNumberFormat="1" applyFont="1" applyFill="1" applyBorder="1" applyAlignment="1">
      <alignment horizontal="center"/>
    </xf>
    <xf numFmtId="49" fontId="12" fillId="2" borderId="15" xfId="0" applyNumberFormat="1" applyFont="1" applyFill="1" applyBorder="1" applyAlignment="1">
      <alignment horizontal="center"/>
    </xf>
    <xf numFmtId="43" fontId="12" fillId="2" borderId="15" xfId="1" applyFont="1" applyFill="1" applyBorder="1" applyAlignment="1">
      <alignment horizontal="right"/>
    </xf>
    <xf numFmtId="187" fontId="12" fillId="0" borderId="15" xfId="1" applyNumberFormat="1" applyFont="1" applyFill="1" applyBorder="1" applyAlignment="1">
      <alignment horizontal="right"/>
    </xf>
    <xf numFmtId="43" fontId="12" fillId="0" borderId="15" xfId="1" applyFont="1" applyFill="1" applyBorder="1" applyAlignment="1">
      <alignment horizontal="right"/>
    </xf>
    <xf numFmtId="187" fontId="10" fillId="0" borderId="15" xfId="1" applyNumberFormat="1" applyFont="1" applyFill="1" applyBorder="1" applyAlignment="1">
      <alignment horizontal="right"/>
    </xf>
    <xf numFmtId="0" fontId="5" fillId="2" borderId="21" xfId="0" applyFont="1" applyFill="1" applyBorder="1" applyAlignment="1">
      <alignment horizontal="left"/>
    </xf>
    <xf numFmtId="43" fontId="5" fillId="2" borderId="21" xfId="1" applyFont="1" applyFill="1" applyBorder="1" applyAlignment="1">
      <alignment horizontal="right"/>
    </xf>
    <xf numFmtId="0" fontId="23" fillId="3" borderId="66" xfId="0" applyFont="1" applyFill="1" applyBorder="1"/>
    <xf numFmtId="0" fontId="23" fillId="3" borderId="66" xfId="0" applyFont="1" applyFill="1" applyBorder="1" applyAlignment="1">
      <alignment horizontal="center" vertical="center"/>
    </xf>
    <xf numFmtId="49" fontId="23" fillId="3" borderId="66" xfId="0" applyNumberFormat="1" applyFont="1" applyFill="1" applyBorder="1" applyAlignment="1">
      <alignment horizontal="center" vertical="center"/>
    </xf>
    <xf numFmtId="49" fontId="24" fillId="3" borderId="66" xfId="0" applyNumberFormat="1" applyFont="1" applyFill="1" applyBorder="1" applyAlignment="1">
      <alignment horizontal="left"/>
    </xf>
    <xf numFmtId="43" fontId="23" fillId="3" borderId="68" xfId="0" applyNumberFormat="1" applyFont="1" applyFill="1" applyBorder="1" applyAlignment="1">
      <alignment horizontal="center" vertical="center"/>
    </xf>
    <xf numFmtId="0" fontId="12" fillId="2" borderId="69" xfId="0" applyFont="1" applyFill="1" applyBorder="1" applyAlignment="1">
      <alignment horizontal="left"/>
    </xf>
    <xf numFmtId="49" fontId="12" fillId="2" borderId="70" xfId="0" applyNumberFormat="1" applyFont="1" applyFill="1" applyBorder="1" applyAlignment="1">
      <alignment horizontal="center"/>
    </xf>
    <xf numFmtId="0" fontId="12" fillId="2" borderId="66" xfId="0" applyFont="1" applyFill="1" applyBorder="1" applyAlignment="1">
      <alignment horizontal="center"/>
    </xf>
    <xf numFmtId="49" fontId="12" fillId="2" borderId="67" xfId="0" applyNumberFormat="1" applyFont="1" applyFill="1" applyBorder="1" applyAlignment="1">
      <alignment horizontal="center"/>
    </xf>
    <xf numFmtId="49" fontId="12" fillId="2" borderId="69" xfId="0" applyNumberFormat="1" applyFont="1" applyFill="1" applyBorder="1" applyAlignment="1">
      <alignment horizontal="center"/>
    </xf>
    <xf numFmtId="43" fontId="12" fillId="2" borderId="69" xfId="1" applyFont="1" applyFill="1" applyBorder="1" applyAlignment="1">
      <alignment horizontal="right"/>
    </xf>
    <xf numFmtId="0" fontId="5" fillId="0" borderId="69" xfId="0" applyFont="1" applyBorder="1" applyAlignment="1">
      <alignment horizontal="center" vertical="top" wrapText="1"/>
    </xf>
    <xf numFmtId="187" fontId="5" fillId="0" borderId="69" xfId="1" applyNumberFormat="1" applyFont="1" applyFill="1" applyBorder="1" applyAlignment="1">
      <alignment horizontal="right"/>
    </xf>
    <xf numFmtId="43" fontId="5" fillId="0" borderId="69" xfId="1" applyFont="1" applyFill="1" applyBorder="1" applyAlignment="1">
      <alignment horizontal="right"/>
    </xf>
    <xf numFmtId="43" fontId="12" fillId="2" borderId="71" xfId="1" applyFont="1" applyFill="1" applyBorder="1" applyAlignment="1">
      <alignment horizontal="right"/>
    </xf>
    <xf numFmtId="0" fontId="5" fillId="2" borderId="69" xfId="0" applyFont="1" applyFill="1" applyBorder="1" applyAlignment="1">
      <alignment horizontal="center"/>
    </xf>
    <xf numFmtId="0" fontId="12" fillId="2" borderId="69" xfId="0" applyFont="1" applyFill="1" applyBorder="1"/>
    <xf numFmtId="43" fontId="26" fillId="2" borderId="12" xfId="1" applyFont="1" applyFill="1" applyBorder="1" applyAlignment="1">
      <alignment horizontal="right"/>
    </xf>
    <xf numFmtId="0" fontId="13" fillId="0" borderId="69" xfId="0" applyFont="1" applyBorder="1"/>
    <xf numFmtId="43" fontId="12" fillId="0" borderId="69" xfId="1" applyFont="1" applyFill="1" applyBorder="1" applyAlignment="1">
      <alignment horizontal="right"/>
    </xf>
    <xf numFmtId="4" fontId="23" fillId="0" borderId="69" xfId="1" applyNumberFormat="1" applyFont="1" applyFill="1" applyBorder="1" applyAlignment="1">
      <alignment horizontal="right"/>
    </xf>
    <xf numFmtId="4" fontId="12" fillId="0" borderId="69" xfId="1" applyNumberFormat="1" applyFont="1" applyFill="1" applyBorder="1" applyAlignment="1">
      <alignment horizontal="right"/>
    </xf>
    <xf numFmtId="0" fontId="13" fillId="0" borderId="67" xfId="0" applyFont="1" applyBorder="1"/>
    <xf numFmtId="0" fontId="6" fillId="3" borderId="60" xfId="0" applyFont="1" applyFill="1" applyBorder="1"/>
    <xf numFmtId="0" fontId="6" fillId="3" borderId="6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49" fontId="6" fillId="3" borderId="60" xfId="0" applyNumberFormat="1" applyFont="1" applyFill="1" applyBorder="1" applyAlignment="1">
      <alignment horizontal="center" vertical="center"/>
    </xf>
    <xf numFmtId="49" fontId="8" fillId="3" borderId="60" xfId="0" applyNumberFormat="1" applyFont="1" applyFill="1" applyBorder="1" applyAlignment="1">
      <alignment horizontal="left"/>
    </xf>
    <xf numFmtId="43" fontId="6" fillId="3" borderId="60" xfId="0" applyNumberFormat="1" applyFont="1" applyFill="1" applyBorder="1" applyAlignment="1">
      <alignment horizontal="center" vertical="center"/>
    </xf>
    <xf numFmtId="43" fontId="10" fillId="3" borderId="60" xfId="1" applyFont="1" applyFill="1" applyBorder="1" applyAlignment="1">
      <alignment vertical="top" wrapText="1"/>
    </xf>
    <xf numFmtId="187" fontId="6" fillId="3" borderId="60" xfId="1" applyNumberFormat="1" applyFont="1" applyFill="1" applyBorder="1" applyAlignment="1">
      <alignment horizontal="center" vertical="center"/>
    </xf>
    <xf numFmtId="43" fontId="5" fillId="3" borderId="60" xfId="1" applyFont="1" applyFill="1" applyBorder="1" applyAlignment="1">
      <alignment horizontal="center" vertical="top" wrapText="1"/>
    </xf>
    <xf numFmtId="187" fontId="5" fillId="3" borderId="60" xfId="1" applyNumberFormat="1" applyFont="1" applyFill="1" applyBorder="1" applyAlignment="1">
      <alignment horizontal="center" vertical="top" wrapText="1"/>
    </xf>
    <xf numFmtId="0" fontId="27" fillId="3" borderId="61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/>
    </xf>
    <xf numFmtId="0" fontId="12" fillId="2" borderId="35" xfId="0" applyFont="1" applyFill="1" applyBorder="1" applyAlignment="1">
      <alignment horizontal="center"/>
    </xf>
    <xf numFmtId="187" fontId="5" fillId="2" borderId="15" xfId="1" applyNumberFormat="1" applyFont="1" applyFill="1" applyBorder="1" applyAlignment="1">
      <alignment horizontal="center" vertical="center"/>
    </xf>
    <xf numFmtId="43" fontId="5" fillId="2" borderId="15" xfId="1" applyFont="1" applyFill="1" applyBorder="1" applyAlignment="1">
      <alignment horizontal="center" vertical="top" wrapText="1"/>
    </xf>
    <xf numFmtId="187" fontId="5" fillId="2" borderId="15" xfId="1" applyNumberFormat="1" applyFont="1" applyFill="1" applyBorder="1" applyAlignment="1">
      <alignment horizontal="center" vertical="top" wrapText="1"/>
    </xf>
    <xf numFmtId="0" fontId="15" fillId="2" borderId="43" xfId="2" applyFont="1" applyFill="1" applyBorder="1" applyAlignment="1">
      <alignment horizontal="center" wrapText="1"/>
    </xf>
    <xf numFmtId="4" fontId="6" fillId="2" borderId="15" xfId="1" applyNumberFormat="1" applyFont="1" applyFill="1" applyBorder="1" applyAlignment="1">
      <alignment horizontal="right"/>
    </xf>
    <xf numFmtId="4" fontId="5" fillId="2" borderId="15" xfId="1" applyNumberFormat="1" applyFont="1" applyFill="1" applyBorder="1" applyAlignment="1">
      <alignment horizontal="right"/>
    </xf>
    <xf numFmtId="0" fontId="17" fillId="2" borderId="43" xfId="0" applyFont="1" applyFill="1" applyBorder="1" applyAlignment="1">
      <alignment horizontal="center"/>
    </xf>
    <xf numFmtId="0" fontId="12" fillId="2" borderId="56" xfId="0" applyFont="1" applyFill="1" applyBorder="1" applyAlignment="1">
      <alignment horizontal="left"/>
    </xf>
    <xf numFmtId="15" fontId="12" fillId="2" borderId="56" xfId="0" applyNumberFormat="1" applyFont="1" applyFill="1" applyBorder="1" applyAlignment="1">
      <alignment horizontal="center"/>
    </xf>
    <xf numFmtId="188" fontId="12" fillId="2" borderId="73" xfId="0" applyNumberFormat="1" applyFont="1" applyFill="1" applyBorder="1" applyAlignment="1">
      <alignment horizontal="right"/>
    </xf>
    <xf numFmtId="0" fontId="12" fillId="2" borderId="74" xfId="0" applyFont="1" applyFill="1" applyBorder="1" applyAlignment="1">
      <alignment horizontal="left"/>
    </xf>
    <xf numFmtId="15" fontId="12" fillId="2" borderId="15" xfId="0" applyNumberFormat="1" applyFont="1" applyFill="1" applyBorder="1" applyAlignment="1">
      <alignment horizontal="center"/>
    </xf>
    <xf numFmtId="188" fontId="12" fillId="2" borderId="58" xfId="0" applyNumberFormat="1" applyFont="1" applyFill="1" applyBorder="1" applyAlignment="1">
      <alignment horizontal="right"/>
    </xf>
    <xf numFmtId="49" fontId="12" fillId="2" borderId="75" xfId="0" applyNumberFormat="1" applyFont="1" applyFill="1" applyBorder="1" applyAlignment="1">
      <alignment horizontal="center"/>
    </xf>
    <xf numFmtId="188" fontId="12" fillId="2" borderId="15" xfId="0" applyNumberFormat="1" applyFont="1" applyFill="1" applyBorder="1" applyAlignment="1">
      <alignment horizontal="right"/>
    </xf>
    <xf numFmtId="0" fontId="12" fillId="2" borderId="76" xfId="0" applyFont="1" applyFill="1" applyBorder="1" applyAlignment="1">
      <alignment horizontal="left"/>
    </xf>
    <xf numFmtId="49" fontId="12" fillId="2" borderId="77" xfId="0" applyNumberFormat="1" applyFont="1" applyFill="1" applyBorder="1" applyAlignment="1">
      <alignment horizontal="center"/>
    </xf>
    <xf numFmtId="0" fontId="17" fillId="2" borderId="15" xfId="0" applyFont="1" applyFill="1" applyBorder="1" applyAlignment="1">
      <alignment horizontal="center" vertical="center"/>
    </xf>
    <xf numFmtId="0" fontId="5" fillId="0" borderId="15" xfId="0" applyFont="1" applyBorder="1"/>
    <xf numFmtId="0" fontId="17" fillId="0" borderId="15" xfId="0" applyFont="1" applyBorder="1" applyAlignment="1">
      <alignment horizontal="center"/>
    </xf>
    <xf numFmtId="0" fontId="12" fillId="2" borderId="15" xfId="0" applyFont="1" applyFill="1" applyBorder="1" applyAlignment="1">
      <alignment horizontal="left"/>
    </xf>
    <xf numFmtId="15" fontId="12" fillId="2" borderId="27" xfId="0" applyNumberFormat="1" applyFont="1" applyFill="1" applyBorder="1" applyAlignment="1">
      <alignment horizontal="center"/>
    </xf>
    <xf numFmtId="4" fontId="6" fillId="0" borderId="15" xfId="1" applyNumberFormat="1" applyFont="1" applyFill="1" applyBorder="1" applyAlignment="1">
      <alignment horizontal="right"/>
    </xf>
    <xf numFmtId="0" fontId="13" fillId="0" borderId="43" xfId="0" applyFont="1" applyBorder="1"/>
    <xf numFmtId="0" fontId="5" fillId="2" borderId="73" xfId="0" applyFont="1" applyFill="1" applyBorder="1" applyAlignment="1">
      <alignment horizontal="left"/>
    </xf>
    <xf numFmtId="0" fontId="5" fillId="2" borderId="0" xfId="0" applyFont="1" applyFill="1" applyAlignment="1">
      <alignment horizontal="center"/>
    </xf>
    <xf numFmtId="49" fontId="5" fillId="2" borderId="55" xfId="0" applyNumberFormat="1" applyFont="1" applyFill="1" applyBorder="1" applyAlignment="1">
      <alignment horizontal="center"/>
    </xf>
    <xf numFmtId="15" fontId="5" fillId="2" borderId="73" xfId="0" applyNumberFormat="1" applyFont="1" applyFill="1" applyBorder="1" applyAlignment="1">
      <alignment horizontal="center"/>
    </xf>
    <xf numFmtId="188" fontId="5" fillId="2" borderId="73" xfId="0" applyNumberFormat="1" applyFont="1" applyFill="1" applyBorder="1" applyAlignment="1">
      <alignment horizontal="right"/>
    </xf>
    <xf numFmtId="0" fontId="15" fillId="2" borderId="43" xfId="2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left"/>
    </xf>
    <xf numFmtId="0" fontId="5" fillId="2" borderId="42" xfId="0" applyFont="1" applyFill="1" applyBorder="1" applyAlignment="1">
      <alignment horizontal="center"/>
    </xf>
    <xf numFmtId="43" fontId="5" fillId="0" borderId="14" xfId="1" applyFont="1" applyFill="1" applyBorder="1" applyAlignment="1">
      <alignment horizontal="right"/>
    </xf>
    <xf numFmtId="4" fontId="6" fillId="0" borderId="14" xfId="1" applyNumberFormat="1" applyFont="1" applyFill="1" applyBorder="1" applyAlignment="1">
      <alignment horizontal="right"/>
    </xf>
    <xf numFmtId="15" fontId="12" fillId="2" borderId="73" xfId="0" applyNumberFormat="1" applyFont="1" applyFill="1" applyBorder="1" applyAlignment="1">
      <alignment horizontal="center"/>
    </xf>
    <xf numFmtId="188" fontId="12" fillId="2" borderId="56" xfId="0" applyNumberFormat="1" applyFont="1" applyFill="1" applyBorder="1" applyAlignment="1">
      <alignment horizontal="right"/>
    </xf>
    <xf numFmtId="0" fontId="5" fillId="2" borderId="9" xfId="0" applyFont="1" applyFill="1" applyBorder="1"/>
    <xf numFmtId="43" fontId="20" fillId="2" borderId="19" xfId="0" applyNumberFormat="1" applyFont="1" applyFill="1" applyBorder="1"/>
    <xf numFmtId="0" fontId="5" fillId="2" borderId="6" xfId="0" applyFont="1" applyFill="1" applyBorder="1" applyAlignment="1">
      <alignment horizontal="center"/>
    </xf>
    <xf numFmtId="43" fontId="10" fillId="3" borderId="7" xfId="1" applyFont="1" applyFill="1" applyBorder="1" applyAlignment="1">
      <alignment vertical="top" wrapText="1"/>
    </xf>
    <xf numFmtId="0" fontId="27" fillId="3" borderId="8" xfId="0" applyFont="1" applyFill="1" applyBorder="1" applyAlignment="1">
      <alignment horizontal="center" vertical="center"/>
    </xf>
    <xf numFmtId="0" fontId="5" fillId="2" borderId="59" xfId="0" applyFont="1" applyFill="1" applyBorder="1" applyAlignment="1">
      <alignment horizontal="center"/>
    </xf>
    <xf numFmtId="0" fontId="5" fillId="2" borderId="72" xfId="0" applyFont="1" applyFill="1" applyBorder="1"/>
    <xf numFmtId="49" fontId="5" fillId="2" borderId="60" xfId="0" quotePrefix="1" applyNumberFormat="1" applyFont="1" applyFill="1" applyBorder="1" applyAlignment="1">
      <alignment horizontal="center"/>
    </xf>
    <xf numFmtId="15" fontId="5" fillId="2" borderId="72" xfId="0" applyNumberFormat="1" applyFont="1" applyFill="1" applyBorder="1" applyAlignment="1">
      <alignment horizontal="center"/>
    </xf>
    <xf numFmtId="43" fontId="5" fillId="2" borderId="2" xfId="0" applyNumberFormat="1" applyFont="1" applyFill="1" applyBorder="1"/>
    <xf numFmtId="0" fontId="10" fillId="14" borderId="15" xfId="0" applyFont="1" applyFill="1" applyBorder="1"/>
    <xf numFmtId="43" fontId="5" fillId="2" borderId="2" xfId="1" applyFont="1" applyFill="1" applyBorder="1" applyAlignment="1">
      <alignment horizontal="right"/>
    </xf>
    <xf numFmtId="0" fontId="17" fillId="2" borderId="61" xfId="0" applyFont="1" applyFill="1" applyBorder="1" applyAlignment="1">
      <alignment horizontal="center"/>
    </xf>
    <xf numFmtId="0" fontId="10" fillId="0" borderId="1" xfId="0" applyFont="1" applyBorder="1"/>
    <xf numFmtId="0" fontId="17" fillId="2" borderId="11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2" borderId="39" xfId="0" applyFont="1" applyFill="1" applyBorder="1" applyAlignment="1">
      <alignment horizontal="left"/>
    </xf>
    <xf numFmtId="49" fontId="5" fillId="2" borderId="78" xfId="0" applyNumberFormat="1" applyFont="1" applyFill="1" applyBorder="1" applyAlignment="1">
      <alignment horizontal="center"/>
    </xf>
    <xf numFmtId="49" fontId="5" fillId="2" borderId="79" xfId="0" applyNumberFormat="1" applyFont="1" applyFill="1" applyBorder="1" applyAlignment="1">
      <alignment horizontal="center"/>
    </xf>
    <xf numFmtId="49" fontId="5" fillId="2" borderId="39" xfId="0" applyNumberFormat="1" applyFont="1" applyFill="1" applyBorder="1" applyAlignment="1">
      <alignment horizontal="center"/>
    </xf>
    <xf numFmtId="43" fontId="5" fillId="2" borderId="39" xfId="1" applyFont="1" applyFill="1" applyBorder="1" applyAlignment="1">
      <alignment horizontal="right"/>
    </xf>
    <xf numFmtId="0" fontId="5" fillId="2" borderId="39" xfId="0" applyFont="1" applyFill="1" applyBorder="1" applyAlignment="1">
      <alignment horizontal="center" vertical="top" wrapText="1"/>
    </xf>
    <xf numFmtId="187" fontId="5" fillId="2" borderId="39" xfId="1" applyNumberFormat="1" applyFont="1" applyFill="1" applyBorder="1" applyAlignment="1">
      <alignment horizontal="right"/>
    </xf>
    <xf numFmtId="0" fontId="17" fillId="2" borderId="39" xfId="0" applyFont="1" applyFill="1" applyBorder="1" applyAlignment="1">
      <alignment horizontal="center"/>
    </xf>
    <xf numFmtId="187" fontId="5" fillId="2" borderId="19" xfId="1" applyNumberFormat="1" applyFont="1" applyFill="1" applyBorder="1" applyAlignment="1">
      <alignment horizontal="right"/>
    </xf>
    <xf numFmtId="0" fontId="6" fillId="3" borderId="6" xfId="2" applyFont="1" applyFill="1" applyBorder="1" applyAlignment="1">
      <alignment horizontal="center" vertical="top" wrapText="1"/>
    </xf>
    <xf numFmtId="0" fontId="5" fillId="3" borderId="7" xfId="2" applyFont="1" applyFill="1" applyBorder="1" applyAlignment="1">
      <alignment horizontal="center" vertical="top" wrapText="1"/>
    </xf>
    <xf numFmtId="49" fontId="6" fillId="3" borderId="7" xfId="0" applyNumberFormat="1" applyFont="1" applyFill="1" applyBorder="1" applyAlignment="1">
      <alignment horizontal="center"/>
    </xf>
    <xf numFmtId="43" fontId="5" fillId="3" borderId="7" xfId="1" applyFont="1" applyFill="1" applyBorder="1" applyAlignment="1">
      <alignment horizontal="right" vertical="top" wrapText="1"/>
    </xf>
    <xf numFmtId="0" fontId="10" fillId="3" borderId="7" xfId="2" applyFont="1" applyFill="1" applyBorder="1" applyAlignment="1">
      <alignment vertical="top" wrapText="1"/>
    </xf>
    <xf numFmtId="0" fontId="17" fillId="3" borderId="8" xfId="2" applyFont="1" applyFill="1" applyBorder="1" applyAlignment="1">
      <alignment horizontal="center" vertical="top" wrapText="1"/>
    </xf>
    <xf numFmtId="0" fontId="5" fillId="2" borderId="39" xfId="2" applyFont="1" applyFill="1" applyBorder="1" applyAlignment="1">
      <alignment vertical="top" wrapText="1"/>
    </xf>
    <xf numFmtId="0" fontId="5" fillId="2" borderId="78" xfId="2" applyFont="1" applyFill="1" applyBorder="1" applyAlignment="1">
      <alignment horizontal="center" vertical="top" wrapText="1"/>
    </xf>
    <xf numFmtId="0" fontId="5" fillId="2" borderId="42" xfId="2" applyFont="1" applyFill="1" applyBorder="1" applyAlignment="1">
      <alignment horizontal="center" vertical="top" wrapText="1"/>
    </xf>
    <xf numFmtId="49" fontId="5" fillId="2" borderId="79" xfId="2" quotePrefix="1" applyNumberFormat="1" applyFont="1" applyFill="1" applyBorder="1" applyAlignment="1">
      <alignment horizontal="center" vertical="top" wrapText="1"/>
    </xf>
    <xf numFmtId="191" fontId="5" fillId="2" borderId="39" xfId="2" applyNumberFormat="1" applyFont="1" applyFill="1" applyBorder="1" applyAlignment="1">
      <alignment horizontal="center" vertical="top" wrapText="1"/>
    </xf>
    <xf numFmtId="43" fontId="5" fillId="2" borderId="58" xfId="1" applyFont="1" applyFill="1" applyBorder="1" applyAlignment="1">
      <alignment horizontal="right" vertical="top" wrapText="1"/>
    </xf>
    <xf numFmtId="0" fontId="10" fillId="15" borderId="39" xfId="2" applyFont="1" applyFill="1" applyBorder="1" applyAlignment="1">
      <alignment vertical="top" wrapText="1"/>
    </xf>
    <xf numFmtId="0" fontId="17" fillId="2" borderId="39" xfId="2" applyFont="1" applyFill="1" applyBorder="1" applyAlignment="1">
      <alignment horizontal="center" vertical="top" wrapText="1"/>
    </xf>
    <xf numFmtId="0" fontId="5" fillId="2" borderId="19" xfId="2" applyFont="1" applyFill="1" applyBorder="1" applyAlignment="1">
      <alignment horizontal="center" vertical="top" wrapText="1"/>
    </xf>
    <xf numFmtId="0" fontId="5" fillId="2" borderId="19" xfId="2" applyFont="1" applyFill="1" applyBorder="1" applyAlignment="1">
      <alignment vertical="top" wrapText="1"/>
    </xf>
    <xf numFmtId="0" fontId="5" fillId="2" borderId="20" xfId="2" applyFont="1" applyFill="1" applyBorder="1" applyAlignment="1">
      <alignment horizontal="center" vertical="top" wrapText="1"/>
    </xf>
    <xf numFmtId="0" fontId="6" fillId="2" borderId="21" xfId="0" applyFont="1" applyFill="1" applyBorder="1"/>
    <xf numFmtId="49" fontId="6" fillId="2" borderId="22" xfId="0" applyNumberFormat="1" applyFont="1" applyFill="1" applyBorder="1" applyAlignment="1">
      <alignment horizontal="center"/>
    </xf>
    <xf numFmtId="191" fontId="5" fillId="2" borderId="19" xfId="2" applyNumberFormat="1" applyFont="1" applyFill="1" applyBorder="1" applyAlignment="1">
      <alignment horizontal="center" vertical="top" wrapText="1"/>
    </xf>
    <xf numFmtId="0" fontId="10" fillId="2" borderId="19" xfId="2" applyFont="1" applyFill="1" applyBorder="1" applyAlignment="1">
      <alignment vertical="top" wrapText="1"/>
    </xf>
    <xf numFmtId="0" fontId="17" fillId="2" borderId="19" xfId="2" applyFont="1" applyFill="1" applyBorder="1" applyAlignment="1">
      <alignment horizontal="center" vertical="top" wrapText="1"/>
    </xf>
    <xf numFmtId="190" fontId="5" fillId="3" borderId="7" xfId="2" applyNumberFormat="1" applyFont="1" applyFill="1" applyBorder="1" applyAlignment="1">
      <alignment horizontal="center" vertical="top" wrapText="1"/>
    </xf>
    <xf numFmtId="0" fontId="5" fillId="2" borderId="39" xfId="2" applyFont="1" applyFill="1" applyBorder="1" applyAlignment="1">
      <alignment horizontal="center" wrapText="1"/>
    </xf>
    <xf numFmtId="0" fontId="17" fillId="2" borderId="39" xfId="2" applyFont="1" applyFill="1" applyBorder="1" applyAlignment="1">
      <alignment horizontal="center" wrapText="1"/>
    </xf>
    <xf numFmtId="0" fontId="5" fillId="2" borderId="15" xfId="2" applyFont="1" applyFill="1" applyBorder="1" applyAlignment="1">
      <alignment horizontal="center" wrapText="1"/>
    </xf>
    <xf numFmtId="0" fontId="5" fillId="2" borderId="43" xfId="2" applyFont="1" applyFill="1" applyBorder="1" applyAlignment="1">
      <alignment horizontal="center" wrapText="1"/>
    </xf>
    <xf numFmtId="0" fontId="17" fillId="2" borderId="15" xfId="2" applyFont="1" applyFill="1" applyBorder="1" applyAlignment="1">
      <alignment horizontal="center" wrapText="1"/>
    </xf>
    <xf numFmtId="0" fontId="13" fillId="16" borderId="34" xfId="0" applyFont="1" applyFill="1" applyBorder="1" applyAlignment="1">
      <alignment horizontal="left" shrinkToFit="1"/>
    </xf>
    <xf numFmtId="0" fontId="5" fillId="2" borderId="14" xfId="2" applyFont="1" applyFill="1" applyBorder="1" applyAlignment="1">
      <alignment horizontal="center" vertical="top" wrapText="1"/>
    </xf>
    <xf numFmtId="4" fontId="12" fillId="2" borderId="34" xfId="0" applyNumberFormat="1" applyFont="1" applyFill="1" applyBorder="1"/>
    <xf numFmtId="0" fontId="17" fillId="2" borderId="14" xfId="2" applyFont="1" applyFill="1" applyBorder="1" applyAlignment="1">
      <alignment horizontal="center" vertical="center" wrapText="1"/>
    </xf>
    <xf numFmtId="49" fontId="12" fillId="2" borderId="55" xfId="0" applyNumberFormat="1" applyFont="1" applyFill="1" applyBorder="1" applyAlignment="1">
      <alignment horizontal="center"/>
    </xf>
    <xf numFmtId="4" fontId="12" fillId="2" borderId="73" xfId="0" applyNumberFormat="1" applyFont="1" applyFill="1" applyBorder="1"/>
    <xf numFmtId="0" fontId="12" fillId="2" borderId="15" xfId="3" applyFont="1" applyFill="1" applyBorder="1"/>
    <xf numFmtId="49" fontId="12" fillId="2" borderId="49" xfId="3" applyNumberFormat="1" applyFont="1" applyFill="1" applyBorder="1" applyAlignment="1">
      <alignment horizontal="center"/>
    </xf>
    <xf numFmtId="0" fontId="6" fillId="2" borderId="1" xfId="0" applyFont="1" applyFill="1" applyBorder="1"/>
    <xf numFmtId="49" fontId="6" fillId="2" borderId="11" xfId="0" applyNumberFormat="1" applyFont="1" applyFill="1" applyBorder="1" applyAlignment="1">
      <alignment horizontal="center"/>
    </xf>
    <xf numFmtId="0" fontId="15" fillId="2" borderId="19" xfId="2" applyFont="1" applyFill="1" applyBorder="1" applyAlignment="1">
      <alignment horizontal="center" vertical="top" wrapText="1"/>
    </xf>
    <xf numFmtId="0" fontId="5" fillId="3" borderId="7" xfId="0" applyFont="1" applyFill="1" applyBorder="1" applyAlignment="1">
      <alignment vertical="top" wrapText="1"/>
    </xf>
    <xf numFmtId="49" fontId="5" fillId="3" borderId="7" xfId="0" applyNumberFormat="1" applyFont="1" applyFill="1" applyBorder="1" applyAlignment="1">
      <alignment horizontal="center" vertical="top" wrapText="1"/>
    </xf>
    <xf numFmtId="43" fontId="5" fillId="3" borderId="1" xfId="2" applyNumberFormat="1" applyFont="1" applyFill="1" applyBorder="1" applyAlignment="1">
      <alignment horizontal="right" vertical="top" wrapText="1"/>
    </xf>
    <xf numFmtId="0" fontId="15" fillId="3" borderId="8" xfId="2" applyFont="1" applyFill="1" applyBorder="1" applyAlignment="1">
      <alignment horizontal="center" vertical="top" wrapText="1"/>
    </xf>
    <xf numFmtId="0" fontId="5" fillId="2" borderId="39" xfId="2" applyFont="1" applyFill="1" applyBorder="1" applyAlignment="1">
      <alignment horizontal="left" vertical="center" wrapText="1"/>
    </xf>
    <xf numFmtId="0" fontId="5" fillId="2" borderId="78" xfId="2" applyFont="1" applyFill="1" applyBorder="1" applyAlignment="1">
      <alignment horizontal="center" vertical="center" wrapText="1"/>
    </xf>
    <xf numFmtId="0" fontId="5" fillId="2" borderId="42" xfId="2" applyFont="1" applyFill="1" applyBorder="1" applyAlignment="1">
      <alignment horizontal="center" vertical="center" wrapText="1"/>
    </xf>
    <xf numFmtId="49" fontId="5" fillId="2" borderId="79" xfId="2" quotePrefix="1" applyNumberFormat="1" applyFont="1" applyFill="1" applyBorder="1" applyAlignment="1">
      <alignment horizontal="center" vertical="center" wrapText="1"/>
    </xf>
    <xf numFmtId="190" fontId="5" fillId="2" borderId="39" xfId="2" applyNumberFormat="1" applyFont="1" applyFill="1" applyBorder="1" applyAlignment="1">
      <alignment horizontal="center" vertical="center" wrapText="1"/>
    </xf>
    <xf numFmtId="43" fontId="5" fillId="2" borderId="39" xfId="2" applyNumberFormat="1" applyFont="1" applyFill="1" applyBorder="1" applyAlignment="1">
      <alignment horizontal="right" vertical="center" wrapText="1"/>
    </xf>
    <xf numFmtId="0" fontId="10" fillId="9" borderId="39" xfId="2" applyFont="1" applyFill="1" applyBorder="1" applyAlignment="1">
      <alignment vertical="center" wrapText="1"/>
    </xf>
    <xf numFmtId="0" fontId="5" fillId="0" borderId="39" xfId="2" applyFont="1" applyBorder="1" applyAlignment="1">
      <alignment horizontal="center" vertical="center" wrapText="1"/>
    </xf>
    <xf numFmtId="0" fontId="5" fillId="2" borderId="15" xfId="2" applyFont="1" applyFill="1" applyBorder="1" applyAlignment="1">
      <alignment horizontal="left" vertical="center" wrapText="1"/>
    </xf>
    <xf numFmtId="0" fontId="5" fillId="2" borderId="64" xfId="2" applyFont="1" applyFill="1" applyBorder="1" applyAlignment="1">
      <alignment horizontal="center" vertical="center" wrapText="1"/>
    </xf>
    <xf numFmtId="0" fontId="5" fillId="2" borderId="27" xfId="2" applyFont="1" applyFill="1" applyBorder="1" applyAlignment="1">
      <alignment horizontal="center" vertical="center" wrapText="1"/>
    </xf>
    <xf numFmtId="49" fontId="5" fillId="2" borderId="43" xfId="2" quotePrefix="1" applyNumberFormat="1" applyFont="1" applyFill="1" applyBorder="1" applyAlignment="1">
      <alignment horizontal="center" vertical="center" wrapText="1"/>
    </xf>
    <xf numFmtId="190" fontId="5" fillId="2" borderId="15" xfId="2" applyNumberFormat="1" applyFont="1" applyFill="1" applyBorder="1" applyAlignment="1">
      <alignment horizontal="center" vertical="center" wrapText="1"/>
    </xf>
    <xf numFmtId="43" fontId="5" fillId="2" borderId="15" xfId="2" applyNumberFormat="1" applyFont="1" applyFill="1" applyBorder="1" applyAlignment="1">
      <alignment horizontal="right" vertical="center" wrapText="1"/>
    </xf>
    <xf numFmtId="0" fontId="5" fillId="2" borderId="15" xfId="2" applyFont="1" applyFill="1" applyBorder="1" applyAlignment="1">
      <alignment vertical="center" wrapText="1"/>
    </xf>
    <xf numFmtId="191" fontId="5" fillId="2" borderId="15" xfId="2" applyNumberFormat="1" applyFont="1" applyFill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/>
    </xf>
    <xf numFmtId="49" fontId="5" fillId="2" borderId="27" xfId="0" applyNumberFormat="1" applyFont="1" applyFill="1" applyBorder="1" applyAlignment="1">
      <alignment horizontal="center"/>
    </xf>
    <xf numFmtId="187" fontId="5" fillId="2" borderId="15" xfId="1" applyNumberFormat="1" applyFont="1" applyFill="1" applyBorder="1" applyAlignment="1">
      <alignment vertical="top" wrapText="1"/>
    </xf>
    <xf numFmtId="49" fontId="5" fillId="2" borderId="16" xfId="0" applyNumberFormat="1" applyFont="1" applyFill="1" applyBorder="1" applyAlignment="1">
      <alignment horizontal="center"/>
    </xf>
    <xf numFmtId="49" fontId="5" fillId="2" borderId="18" xfId="0" applyNumberFormat="1" applyFont="1" applyFill="1" applyBorder="1" applyAlignment="1">
      <alignment horizontal="center"/>
    </xf>
    <xf numFmtId="187" fontId="5" fillId="2" borderId="14" xfId="1" applyNumberFormat="1" applyFont="1" applyFill="1" applyBorder="1" applyAlignment="1">
      <alignment vertical="top" wrapText="1"/>
    </xf>
    <xf numFmtId="0" fontId="5" fillId="2" borderId="14" xfId="0" applyFont="1" applyFill="1" applyBorder="1"/>
    <xf numFmtId="0" fontId="5" fillId="2" borderId="19" xfId="2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vertical="top" wrapText="1"/>
    </xf>
    <xf numFmtId="0" fontId="5" fillId="2" borderId="21" xfId="2" applyFont="1" applyFill="1" applyBorder="1" applyAlignment="1">
      <alignment horizontal="center" vertical="top" wrapText="1"/>
    </xf>
    <xf numFmtId="49" fontId="5" fillId="2" borderId="22" xfId="2" applyNumberFormat="1" applyFont="1" applyFill="1" applyBorder="1" applyAlignment="1">
      <alignment horizontal="center" vertical="top" wrapText="1"/>
    </xf>
    <xf numFmtId="190" fontId="5" fillId="2" borderId="19" xfId="2" applyNumberFormat="1" applyFont="1" applyFill="1" applyBorder="1" applyAlignment="1">
      <alignment horizontal="center" vertical="top" wrapText="1"/>
    </xf>
    <xf numFmtId="43" fontId="20" fillId="2" borderId="19" xfId="1" applyFont="1" applyFill="1" applyBorder="1" applyAlignment="1">
      <alignment horizontal="right" wrapText="1"/>
    </xf>
    <xf numFmtId="43" fontId="10" fillId="2" borderId="19" xfId="2" applyNumberFormat="1" applyFont="1" applyFill="1" applyBorder="1" applyAlignment="1">
      <alignment vertical="top" wrapText="1"/>
    </xf>
    <xf numFmtId="187" fontId="5" fillId="2" borderId="19" xfId="1" applyNumberFormat="1" applyFont="1" applyFill="1" applyBorder="1" applyAlignment="1">
      <alignment vertical="top" wrapText="1"/>
    </xf>
    <xf numFmtId="0" fontId="5" fillId="2" borderId="58" xfId="2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top" wrapText="1"/>
    </xf>
    <xf numFmtId="0" fontId="5" fillId="2" borderId="0" xfId="2" applyFont="1" applyFill="1" applyAlignment="1">
      <alignment horizontal="center" vertical="top" wrapText="1"/>
    </xf>
    <xf numFmtId="49" fontId="5" fillId="2" borderId="0" xfId="2" applyNumberFormat="1" applyFont="1" applyFill="1" applyAlignment="1">
      <alignment horizontal="center" vertical="top" wrapText="1"/>
    </xf>
    <xf numFmtId="190" fontId="5" fillId="2" borderId="0" xfId="2" applyNumberFormat="1" applyFont="1" applyFill="1" applyAlignment="1">
      <alignment horizontal="center" vertical="top" wrapText="1"/>
    </xf>
    <xf numFmtId="43" fontId="20" fillId="2" borderId="0" xfId="1" applyFont="1" applyFill="1" applyBorder="1" applyAlignment="1">
      <alignment horizontal="right" wrapText="1"/>
    </xf>
    <xf numFmtId="43" fontId="10" fillId="2" borderId="0" xfId="2" applyNumberFormat="1" applyFont="1" applyFill="1" applyAlignment="1">
      <alignment vertical="top" wrapText="1"/>
    </xf>
    <xf numFmtId="187" fontId="5" fillId="2" borderId="0" xfId="1" applyNumberFormat="1" applyFont="1" applyFill="1" applyBorder="1" applyAlignment="1">
      <alignment vertical="top" wrapText="1"/>
    </xf>
    <xf numFmtId="0" fontId="5" fillId="2" borderId="0" xfId="0" applyFont="1" applyFill="1"/>
    <xf numFmtId="0" fontId="17" fillId="2" borderId="75" xfId="0" applyFont="1" applyFill="1" applyBorder="1" applyAlignment="1">
      <alignment horizontal="center"/>
    </xf>
    <xf numFmtId="0" fontId="5" fillId="3" borderId="60" xfId="0" applyFont="1" applyFill="1" applyBorder="1"/>
    <xf numFmtId="49" fontId="5" fillId="3" borderId="60" xfId="0" applyNumberFormat="1" applyFont="1" applyFill="1" applyBorder="1" applyAlignment="1">
      <alignment horizontal="center"/>
    </xf>
    <xf numFmtId="43" fontId="5" fillId="3" borderId="60" xfId="0" applyNumberFormat="1" applyFont="1" applyFill="1" applyBorder="1"/>
    <xf numFmtId="0" fontId="10" fillId="3" borderId="60" xfId="0" applyFont="1" applyFill="1" applyBorder="1"/>
    <xf numFmtId="0" fontId="5" fillId="15" borderId="60" xfId="0" applyFont="1" applyFill="1" applyBorder="1"/>
    <xf numFmtId="0" fontId="15" fillId="15" borderId="61" xfId="0" applyFont="1" applyFill="1" applyBorder="1" applyAlignment="1">
      <alignment horizontal="center"/>
    </xf>
    <xf numFmtId="0" fontId="10" fillId="11" borderId="15" xfId="2" applyFont="1" applyFill="1" applyBorder="1" applyAlignment="1">
      <alignment vertical="top" wrapText="1"/>
    </xf>
    <xf numFmtId="0" fontId="10" fillId="11" borderId="15" xfId="0" applyFont="1" applyFill="1" applyBorder="1"/>
    <xf numFmtId="0" fontId="5" fillId="2" borderId="43" xfId="0" applyFont="1" applyFill="1" applyBorder="1" applyAlignment="1">
      <alignment horizontal="left"/>
    </xf>
    <xf numFmtId="43" fontId="15" fillId="2" borderId="15" xfId="1" applyFont="1" applyFill="1" applyBorder="1" applyAlignment="1">
      <alignment horizontal="center"/>
    </xf>
    <xf numFmtId="0" fontId="12" fillId="2" borderId="39" xfId="0" applyFont="1" applyFill="1" applyBorder="1" applyAlignment="1">
      <alignment horizontal="left" shrinkToFit="1"/>
    </xf>
    <xf numFmtId="0" fontId="5" fillId="2" borderId="16" xfId="0" applyFont="1" applyFill="1" applyBorder="1" applyAlignment="1">
      <alignment horizontal="center"/>
    </xf>
    <xf numFmtId="49" fontId="5" fillId="2" borderId="17" xfId="0" applyNumberFormat="1" applyFont="1" applyFill="1" applyBorder="1" applyAlignment="1">
      <alignment horizontal="center"/>
    </xf>
    <xf numFmtId="43" fontId="12" fillId="2" borderId="58" xfId="1" applyFont="1" applyFill="1" applyBorder="1" applyAlignment="1">
      <alignment horizontal="center"/>
    </xf>
    <xf numFmtId="43" fontId="15" fillId="2" borderId="14" xfId="1" applyFont="1" applyFill="1" applyBorder="1" applyAlignment="1">
      <alignment horizontal="center"/>
    </xf>
    <xf numFmtId="43" fontId="12" fillId="2" borderId="15" xfId="1" applyFont="1" applyFill="1" applyBorder="1" applyAlignment="1">
      <alignment horizontal="center"/>
    </xf>
    <xf numFmtId="0" fontId="12" fillId="2" borderId="58" xfId="0" applyFont="1" applyFill="1" applyBorder="1" applyAlignment="1">
      <alignment horizontal="left" shrinkToFit="1"/>
    </xf>
    <xf numFmtId="43" fontId="12" fillId="2" borderId="14" xfId="1" applyFont="1" applyFill="1" applyBorder="1" applyAlignment="1">
      <alignment horizontal="center"/>
    </xf>
    <xf numFmtId="0" fontId="12" fillId="2" borderId="58" xfId="0" applyFont="1" applyFill="1" applyBorder="1" applyAlignment="1">
      <alignment wrapText="1"/>
    </xf>
    <xf numFmtId="4" fontId="12" fillId="2" borderId="80" xfId="0" applyNumberFormat="1" applyFont="1" applyFill="1" applyBorder="1" applyAlignment="1">
      <alignment horizontal="right" wrapText="1"/>
    </xf>
    <xf numFmtId="0" fontId="12" fillId="2" borderId="81" xfId="3" applyFont="1" applyFill="1" applyBorder="1" applyAlignment="1">
      <alignment vertical="top" wrapText="1"/>
    </xf>
    <xf numFmtId="49" fontId="12" fillId="6" borderId="47" xfId="3" applyNumberFormat="1" applyFont="1" applyFill="1" applyBorder="1" applyAlignment="1">
      <alignment horizontal="center" vertical="top"/>
    </xf>
    <xf numFmtId="49" fontId="12" fillId="2" borderId="49" xfId="3" applyNumberFormat="1" applyFont="1" applyFill="1" applyBorder="1" applyAlignment="1">
      <alignment horizontal="center" vertical="top"/>
    </xf>
    <xf numFmtId="49" fontId="12" fillId="2" borderId="41" xfId="3" applyNumberFormat="1" applyFont="1" applyFill="1" applyBorder="1" applyAlignment="1">
      <alignment horizontal="center" vertical="top"/>
    </xf>
    <xf numFmtId="189" fontId="12" fillId="2" borderId="34" xfId="3" applyNumberFormat="1" applyFont="1" applyFill="1" applyBorder="1" applyAlignment="1">
      <alignment horizontal="center" vertical="top"/>
    </xf>
    <xf numFmtId="43" fontId="12" fillId="2" borderId="43" xfId="4" applyFont="1" applyFill="1" applyBorder="1" applyAlignment="1">
      <alignment horizontal="center" vertical="top"/>
    </xf>
    <xf numFmtId="0" fontId="19" fillId="2" borderId="27" xfId="3" applyFont="1" applyFill="1" applyBorder="1"/>
    <xf numFmtId="0" fontId="15" fillId="0" borderId="14" xfId="0" applyFont="1" applyBorder="1" applyAlignment="1">
      <alignment horizontal="center"/>
    </xf>
    <xf numFmtId="43" fontId="20" fillId="2" borderId="39" xfId="1" applyFont="1" applyFill="1" applyBorder="1" applyAlignment="1">
      <alignment horizontal="right"/>
    </xf>
    <xf numFmtId="43" fontId="15" fillId="2" borderId="19" xfId="1" applyFont="1" applyFill="1" applyBorder="1" applyAlignment="1">
      <alignment horizontal="center"/>
    </xf>
    <xf numFmtId="43" fontId="6" fillId="3" borderId="42" xfId="0" applyNumberFormat="1" applyFont="1" applyFill="1" applyBorder="1" applyAlignment="1">
      <alignment horizontal="center" vertical="center"/>
    </xf>
    <xf numFmtId="43" fontId="10" fillId="15" borderId="60" xfId="1" applyFont="1" applyFill="1" applyBorder="1" applyAlignment="1">
      <alignment vertical="top" wrapText="1"/>
    </xf>
    <xf numFmtId="43" fontId="5" fillId="15" borderId="60" xfId="1" applyFont="1" applyFill="1" applyBorder="1" applyAlignment="1">
      <alignment horizontal="center" vertical="top" wrapText="1"/>
    </xf>
    <xf numFmtId="187" fontId="5" fillId="15" borderId="60" xfId="1" applyNumberFormat="1" applyFont="1" applyFill="1" applyBorder="1" applyAlignment="1">
      <alignment horizontal="center" vertical="top" wrapText="1"/>
    </xf>
    <xf numFmtId="0" fontId="6" fillId="15" borderId="61" xfId="0" applyFont="1" applyFill="1" applyBorder="1" applyAlignment="1">
      <alignment horizontal="center" vertical="center"/>
    </xf>
    <xf numFmtId="187" fontId="6" fillId="0" borderId="15" xfId="1" applyNumberFormat="1" applyFont="1" applyFill="1" applyBorder="1" applyAlignment="1">
      <alignment horizontal="right"/>
    </xf>
    <xf numFmtId="0" fontId="15" fillId="0" borderId="43" xfId="0" applyFont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43" fontId="5" fillId="0" borderId="19" xfId="1" applyFont="1" applyFill="1" applyBorder="1" applyAlignment="1">
      <alignment horizontal="right"/>
    </xf>
    <xf numFmtId="0" fontId="6" fillId="0" borderId="22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/>
    </xf>
    <xf numFmtId="0" fontId="6" fillId="3" borderId="59" xfId="0" applyFont="1" applyFill="1" applyBorder="1" applyAlignment="1">
      <alignment horizontal="center" vertical="center"/>
    </xf>
    <xf numFmtId="0" fontId="6" fillId="15" borderId="60" xfId="0" applyFont="1" applyFill="1" applyBorder="1" applyAlignment="1">
      <alignment horizontal="center" vertical="center"/>
    </xf>
    <xf numFmtId="187" fontId="15" fillId="15" borderId="61" xfId="1" applyNumberFormat="1" applyFont="1" applyFill="1" applyBorder="1" applyAlignment="1">
      <alignment horizontal="center" vertical="top" wrapText="1"/>
    </xf>
    <xf numFmtId="0" fontId="12" fillId="2" borderId="39" xfId="0" applyFont="1" applyFill="1" applyBorder="1" applyAlignment="1">
      <alignment horizontal="left" vertical="center" shrinkToFit="1"/>
    </xf>
    <xf numFmtId="0" fontId="5" fillId="2" borderId="27" xfId="0" applyFont="1" applyFill="1" applyBorder="1" applyAlignment="1">
      <alignment horizontal="center" vertical="center"/>
    </xf>
    <xf numFmtId="49" fontId="5" fillId="2" borderId="27" xfId="0" applyNumberFormat="1" applyFont="1" applyFill="1" applyBorder="1" applyAlignment="1">
      <alignment horizontal="center" vertical="center"/>
    </xf>
    <xf numFmtId="49" fontId="5" fillId="2" borderId="15" xfId="0" applyNumberFormat="1" applyFont="1" applyFill="1" applyBorder="1" applyAlignment="1">
      <alignment horizontal="center" vertical="center"/>
    </xf>
    <xf numFmtId="43" fontId="12" fillId="2" borderId="15" xfId="1" applyFont="1" applyFill="1" applyBorder="1" applyAlignment="1">
      <alignment horizontal="center" vertical="center"/>
    </xf>
    <xf numFmtId="187" fontId="5" fillId="0" borderId="15" xfId="1" applyNumberFormat="1" applyFont="1" applyFill="1" applyBorder="1" applyAlignment="1">
      <alignment horizontal="right" vertical="center"/>
    </xf>
    <xf numFmtId="43" fontId="5" fillId="0" borderId="15" xfId="1" applyFont="1" applyFill="1" applyBorder="1" applyAlignment="1">
      <alignment horizontal="right" vertical="center"/>
    </xf>
    <xf numFmtId="0" fontId="6" fillId="0" borderId="15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43" fontId="12" fillId="2" borderId="14" xfId="1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49" fontId="5" fillId="2" borderId="0" xfId="0" applyNumberFormat="1" applyFont="1" applyFill="1" applyAlignment="1">
      <alignment horizontal="center"/>
    </xf>
    <xf numFmtId="43" fontId="20" fillId="2" borderId="0" xfId="0" applyNumberFormat="1" applyFont="1" applyFill="1"/>
    <xf numFmtId="0" fontId="10" fillId="0" borderId="0" xfId="0" applyFont="1"/>
    <xf numFmtId="0" fontId="15" fillId="0" borderId="0" xfId="0" applyFont="1" applyAlignment="1">
      <alignment horizontal="center"/>
    </xf>
    <xf numFmtId="43" fontId="6" fillId="2" borderId="23" xfId="0" applyNumberFormat="1" applyFont="1" applyFill="1" applyBorder="1"/>
    <xf numFmtId="43" fontId="6" fillId="2" borderId="0" xfId="0" applyNumberFormat="1" applyFont="1" applyFill="1"/>
    <xf numFmtId="43" fontId="10" fillId="0" borderId="0" xfId="0" applyNumberFormat="1" applyFont="1"/>
    <xf numFmtId="0" fontId="29" fillId="2" borderId="0" xfId="0" applyFont="1" applyFill="1"/>
    <xf numFmtId="49" fontId="29" fillId="2" borderId="0" xfId="0" applyNumberFormat="1" applyFont="1" applyFill="1" applyAlignment="1">
      <alignment horizontal="center"/>
    </xf>
    <xf numFmtId="43" fontId="29" fillId="2" borderId="0" xfId="0" applyNumberFormat="1" applyFont="1" applyFill="1" applyAlignment="1">
      <alignment horizontal="center"/>
    </xf>
    <xf numFmtId="0" fontId="29" fillId="0" borderId="0" xfId="0" applyFont="1"/>
    <xf numFmtId="0" fontId="10" fillId="0" borderId="0" xfId="0" applyFont="1" applyAlignment="1">
      <alignment horizontal="center"/>
    </xf>
    <xf numFmtId="0" fontId="29" fillId="2" borderId="0" xfId="0" applyFont="1" applyFill="1" applyAlignment="1">
      <alignment horizontal="center"/>
    </xf>
    <xf numFmtId="0" fontId="29" fillId="2" borderId="0" xfId="0" applyFont="1" applyFill="1" applyAlignment="1">
      <alignment horizontal="left"/>
    </xf>
    <xf numFmtId="0" fontId="29" fillId="0" borderId="0" xfId="0" applyFont="1" applyAlignment="1">
      <alignment horizontal="center"/>
    </xf>
    <xf numFmtId="43" fontId="29" fillId="2" borderId="0" xfId="0" applyNumberFormat="1" applyFont="1" applyFill="1"/>
    <xf numFmtId="0" fontId="5" fillId="2" borderId="0" xfId="0" applyFont="1" applyFill="1" applyAlignment="1">
      <alignment horizontal="right"/>
    </xf>
    <xf numFmtId="43" fontId="5" fillId="2" borderId="0" xfId="0" applyNumberFormat="1" applyFont="1" applyFill="1"/>
    <xf numFmtId="0" fontId="6" fillId="0" borderId="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49" fontId="6" fillId="7" borderId="12" xfId="2" applyNumberFormat="1" applyFont="1" applyFill="1" applyBorder="1" applyAlignment="1">
      <alignment horizontal="center" vertical="center"/>
    </xf>
    <xf numFmtId="0" fontId="6" fillId="7" borderId="12" xfId="2" applyFont="1" applyFill="1" applyBorder="1" applyAlignment="1">
      <alignment horizontal="left" vertical="top"/>
    </xf>
    <xf numFmtId="0" fontId="6" fillId="7" borderId="6" xfId="2" applyFont="1" applyFill="1" applyBorder="1" applyAlignment="1">
      <alignment horizontal="center" vertical="center"/>
    </xf>
    <xf numFmtId="190" fontId="6" fillId="7" borderId="12" xfId="2" applyNumberFormat="1" applyFont="1" applyFill="1" applyBorder="1" applyAlignment="1">
      <alignment horizontal="center" vertical="center"/>
    </xf>
    <xf numFmtId="43" fontId="6" fillId="7" borderId="12" xfId="2" applyNumberFormat="1" applyFont="1" applyFill="1" applyBorder="1" applyAlignment="1">
      <alignment horizontal="right" vertical="center"/>
    </xf>
    <xf numFmtId="0" fontId="4" fillId="7" borderId="12" xfId="0" applyFont="1" applyFill="1" applyBorder="1" applyAlignment="1">
      <alignment vertical="center"/>
    </xf>
    <xf numFmtId="0" fontId="5" fillId="7" borderId="12" xfId="2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15" fillId="7" borderId="12" xfId="2" applyFont="1" applyFill="1" applyBorder="1" applyAlignment="1">
      <alignment horizontal="center" vertical="center"/>
    </xf>
    <xf numFmtId="0" fontId="5" fillId="0" borderId="72" xfId="2" applyFont="1" applyBorder="1" applyAlignment="1">
      <alignment horizontal="center" vertical="center" wrapText="1"/>
    </xf>
    <xf numFmtId="0" fontId="5" fillId="0" borderId="72" xfId="2" applyFont="1" applyBorder="1" applyAlignment="1">
      <alignment vertical="top" wrapText="1"/>
    </xf>
    <xf numFmtId="15" fontId="5" fillId="2" borderId="59" xfId="2" applyNumberFormat="1" applyFont="1" applyFill="1" applyBorder="1" applyAlignment="1">
      <alignment horizontal="center" vertical="center" wrapText="1"/>
    </xf>
    <xf numFmtId="15" fontId="5" fillId="2" borderId="72" xfId="2" applyNumberFormat="1" applyFont="1" applyFill="1" applyBorder="1" applyAlignment="1">
      <alignment horizontal="center" vertical="center" wrapText="1"/>
    </xf>
    <xf numFmtId="43" fontId="5" fillId="2" borderId="72" xfId="1" applyFont="1" applyFill="1" applyBorder="1" applyAlignment="1">
      <alignment horizontal="right" vertical="center" wrapText="1"/>
    </xf>
    <xf numFmtId="0" fontId="10" fillId="9" borderId="72" xfId="2" applyFont="1" applyFill="1" applyBorder="1" applyAlignment="1">
      <alignment horizontal="center" vertical="center"/>
    </xf>
    <xf numFmtId="0" fontId="15" fillId="0" borderId="15" xfId="2" applyFont="1" applyBorder="1" applyAlignment="1">
      <alignment horizontal="center" vertical="center" wrapText="1"/>
    </xf>
    <xf numFmtId="0" fontId="5" fillId="0" borderId="15" xfId="2" applyFont="1" applyBorder="1" applyAlignment="1">
      <alignment horizontal="left" vertical="center" wrapText="1"/>
    </xf>
    <xf numFmtId="0" fontId="5" fillId="2" borderId="64" xfId="2" applyFont="1" applyFill="1" applyBorder="1" applyAlignment="1">
      <alignment horizontal="center" vertical="center"/>
    </xf>
    <xf numFmtId="15" fontId="5" fillId="2" borderId="15" xfId="2" applyNumberFormat="1" applyFont="1" applyFill="1" applyBorder="1" applyAlignment="1">
      <alignment horizontal="center" vertical="center" wrapText="1"/>
    </xf>
    <xf numFmtId="43" fontId="5" fillId="2" borderId="15" xfId="2" applyNumberFormat="1" applyFont="1" applyFill="1" applyBorder="1" applyAlignment="1">
      <alignment horizontal="right" vertical="center"/>
    </xf>
    <xf numFmtId="0" fontId="10" fillId="9" borderId="15" xfId="2" applyFont="1" applyFill="1" applyBorder="1" applyAlignment="1">
      <alignment horizontal="center" vertical="center"/>
    </xf>
    <xf numFmtId="0" fontId="5" fillId="0" borderId="15" xfId="2" applyFont="1" applyBorder="1" applyAlignment="1">
      <alignment vertical="top" wrapText="1"/>
    </xf>
    <xf numFmtId="0" fontId="5" fillId="0" borderId="15" xfId="2" applyFont="1" applyBorder="1" applyAlignment="1">
      <alignment horizontal="left" vertical="top" wrapText="1"/>
    </xf>
    <xf numFmtId="0" fontId="5" fillId="2" borderId="64" xfId="0" applyFont="1" applyFill="1" applyBorder="1" applyAlignment="1">
      <alignment horizontal="center" vertical="center"/>
    </xf>
    <xf numFmtId="15" fontId="5" fillId="2" borderId="15" xfId="2" applyNumberFormat="1" applyFont="1" applyFill="1" applyBorder="1" applyAlignment="1">
      <alignment horizontal="center" vertical="center"/>
    </xf>
    <xf numFmtId="43" fontId="5" fillId="2" borderId="15" xfId="0" applyNumberFormat="1" applyFont="1" applyFill="1" applyBorder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4" xfId="2" applyFont="1" applyBorder="1" applyAlignment="1">
      <alignment horizontal="center" vertical="center"/>
    </xf>
    <xf numFmtId="0" fontId="5" fillId="0" borderId="14" xfId="0" applyFont="1" applyBorder="1"/>
    <xf numFmtId="15" fontId="5" fillId="2" borderId="14" xfId="2" applyNumberFormat="1" applyFont="1" applyFill="1" applyBorder="1" applyAlignment="1">
      <alignment horizontal="center" vertical="center"/>
    </xf>
    <xf numFmtId="43" fontId="5" fillId="2" borderId="14" xfId="0" applyNumberFormat="1" applyFont="1" applyFill="1" applyBorder="1" applyAlignment="1">
      <alignment horizontal="right" vertical="center"/>
    </xf>
    <xf numFmtId="0" fontId="5" fillId="0" borderId="14" xfId="0" applyFont="1" applyBorder="1" applyAlignment="1">
      <alignment vertical="center"/>
    </xf>
    <xf numFmtId="0" fontId="5" fillId="0" borderId="19" xfId="2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5" fontId="5" fillId="0" borderId="19" xfId="2" applyNumberFormat="1" applyFont="1" applyBorder="1" applyAlignment="1">
      <alignment horizontal="center" vertical="center"/>
    </xf>
    <xf numFmtId="43" fontId="16" fillId="0" borderId="19" xfId="0" applyNumberFormat="1" applyFont="1" applyBorder="1" applyAlignment="1">
      <alignment horizontal="right" vertical="center"/>
    </xf>
    <xf numFmtId="0" fontId="10" fillId="0" borderId="19" xfId="2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 wrapText="1"/>
    </xf>
    <xf numFmtId="0" fontId="5" fillId="0" borderId="19" xfId="0" applyFont="1" applyBorder="1" applyAlignment="1">
      <alignment vertical="center"/>
    </xf>
    <xf numFmtId="0" fontId="15" fillId="0" borderId="19" xfId="2" applyFont="1" applyBorder="1" applyAlignment="1">
      <alignment horizontal="center" vertical="center" wrapText="1"/>
    </xf>
    <xf numFmtId="49" fontId="6" fillId="7" borderId="58" xfId="2" applyNumberFormat="1" applyFont="1" applyFill="1" applyBorder="1" applyAlignment="1">
      <alignment horizontal="center" vertical="center"/>
    </xf>
    <xf numFmtId="190" fontId="6" fillId="7" borderId="58" xfId="2" applyNumberFormat="1" applyFont="1" applyFill="1" applyBorder="1" applyAlignment="1">
      <alignment horizontal="center" vertical="center"/>
    </xf>
    <xf numFmtId="0" fontId="5" fillId="7" borderId="58" xfId="2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15" fillId="7" borderId="58" xfId="2" applyFont="1" applyFill="1" applyBorder="1" applyAlignment="1">
      <alignment horizontal="center" vertical="center"/>
    </xf>
    <xf numFmtId="0" fontId="12" fillId="18" borderId="38" xfId="0" applyFont="1" applyFill="1" applyBorder="1" applyAlignment="1">
      <alignment horizontal="left"/>
    </xf>
    <xf numFmtId="0" fontId="12" fillId="6" borderId="82" xfId="0" applyFont="1" applyFill="1" applyBorder="1" applyAlignment="1">
      <alignment horizontal="center"/>
    </xf>
    <xf numFmtId="15" fontId="5" fillId="2" borderId="83" xfId="2" applyNumberFormat="1" applyFont="1" applyFill="1" applyBorder="1" applyAlignment="1">
      <alignment horizontal="center" vertical="center" wrapText="1"/>
    </xf>
    <xf numFmtId="188" fontId="12" fillId="18" borderId="38" xfId="0" applyNumberFormat="1" applyFont="1" applyFill="1" applyBorder="1" applyAlignment="1">
      <alignment horizontal="right"/>
    </xf>
    <xf numFmtId="0" fontId="5" fillId="2" borderId="72" xfId="0" applyFont="1" applyFill="1" applyBorder="1" applyAlignment="1">
      <alignment horizontal="center" vertical="top" wrapText="1"/>
    </xf>
    <xf numFmtId="187" fontId="5" fillId="2" borderId="72" xfId="1" applyNumberFormat="1" applyFont="1" applyFill="1" applyBorder="1" applyAlignment="1">
      <alignment horizontal="right"/>
    </xf>
    <xf numFmtId="0" fontId="15" fillId="2" borderId="72" xfId="0" applyFont="1" applyFill="1" applyBorder="1" applyAlignment="1">
      <alignment horizontal="center"/>
    </xf>
    <xf numFmtId="0" fontId="12" fillId="18" borderId="34" xfId="0" applyFont="1" applyFill="1" applyBorder="1" applyAlignment="1">
      <alignment horizontal="left"/>
    </xf>
    <xf numFmtId="188" fontId="12" fillId="18" borderId="34" xfId="0" applyNumberFormat="1" applyFont="1" applyFill="1" applyBorder="1" applyAlignment="1">
      <alignment horizontal="right"/>
    </xf>
    <xf numFmtId="0" fontId="30" fillId="0" borderId="15" xfId="2" applyFont="1" applyBorder="1" applyAlignment="1">
      <alignment horizontal="center" vertical="center" wrapText="1"/>
    </xf>
    <xf numFmtId="0" fontId="13" fillId="20" borderId="34" xfId="0" applyFont="1" applyFill="1" applyBorder="1"/>
    <xf numFmtId="0" fontId="12" fillId="2" borderId="34" xfId="0" applyFont="1" applyFill="1" applyBorder="1" applyAlignment="1">
      <alignment horizontal="left" vertical="top"/>
    </xf>
    <xf numFmtId="4" fontId="12" fillId="2" borderId="38" xfId="0" applyNumberFormat="1" applyFont="1" applyFill="1" applyBorder="1"/>
    <xf numFmtId="0" fontId="12" fillId="6" borderId="84" xfId="0" applyFont="1" applyFill="1" applyBorder="1" applyAlignment="1">
      <alignment horizontal="center"/>
    </xf>
    <xf numFmtId="15" fontId="5" fillId="2" borderId="81" xfId="2" applyNumberFormat="1" applyFont="1" applyFill="1" applyBorder="1" applyAlignment="1">
      <alignment horizontal="center" vertical="center" wrapText="1"/>
    </xf>
    <xf numFmtId="188" fontId="12" fillId="18" borderId="73" xfId="0" applyNumberFormat="1" applyFont="1" applyFill="1" applyBorder="1" applyAlignment="1">
      <alignment horizontal="right"/>
    </xf>
    <xf numFmtId="0" fontId="13" fillId="20" borderId="85" xfId="0" applyFont="1" applyFill="1" applyBorder="1"/>
    <xf numFmtId="0" fontId="5" fillId="0" borderId="58" xfId="0" applyFont="1" applyBorder="1"/>
    <xf numFmtId="0" fontId="12" fillId="18" borderId="0" xfId="0" applyFont="1" applyFill="1" applyAlignment="1">
      <alignment horizontal="left"/>
    </xf>
    <xf numFmtId="0" fontId="12" fillId="6" borderId="21" xfId="0" applyFont="1" applyFill="1" applyBorder="1" applyAlignment="1">
      <alignment horizontal="center"/>
    </xf>
    <xf numFmtId="0" fontId="12" fillId="18" borderId="21" xfId="0" applyFont="1" applyFill="1" applyBorder="1" applyAlignment="1">
      <alignment horizontal="center"/>
    </xf>
    <xf numFmtId="188" fontId="23" fillId="18" borderId="86" xfId="0" applyNumberFormat="1" applyFont="1" applyFill="1" applyBorder="1" applyAlignment="1">
      <alignment horizontal="right"/>
    </xf>
    <xf numFmtId="0" fontId="6" fillId="0" borderId="9" xfId="0" applyFont="1" applyBorder="1"/>
    <xf numFmtId="0" fontId="17" fillId="0" borderId="75" xfId="0" applyFont="1" applyBorder="1" applyAlignment="1">
      <alignment horizontal="center"/>
    </xf>
    <xf numFmtId="49" fontId="6" fillId="7" borderId="2" xfId="2" applyNumberFormat="1" applyFont="1" applyFill="1" applyBorder="1" applyAlignment="1">
      <alignment horizontal="center" vertical="center"/>
    </xf>
    <xf numFmtId="0" fontId="6" fillId="7" borderId="2" xfId="2" applyFont="1" applyFill="1" applyBorder="1" applyAlignment="1">
      <alignment horizontal="left" vertical="top"/>
    </xf>
    <xf numFmtId="0" fontId="6" fillId="7" borderId="3" xfId="2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vertical="center"/>
    </xf>
    <xf numFmtId="43" fontId="5" fillId="7" borderId="87" xfId="2" applyNumberFormat="1" applyFont="1" applyFill="1" applyBorder="1" applyAlignment="1">
      <alignment horizontal="center" vertical="center"/>
    </xf>
    <xf numFmtId="0" fontId="10" fillId="7" borderId="12" xfId="2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43" fontId="5" fillId="7" borderId="12" xfId="1" applyFont="1" applyFill="1" applyBorder="1" applyAlignment="1">
      <alignment horizontal="center" vertical="top" wrapText="1"/>
    </xf>
    <xf numFmtId="0" fontId="27" fillId="7" borderId="8" xfId="0" applyFont="1" applyFill="1" applyBorder="1" applyAlignment="1">
      <alignment horizontal="center" vertical="center"/>
    </xf>
    <xf numFmtId="49" fontId="5" fillId="2" borderId="59" xfId="0" applyNumberFormat="1" applyFont="1" applyFill="1" applyBorder="1" applyAlignment="1">
      <alignment horizontal="center"/>
    </xf>
    <xf numFmtId="49" fontId="5" fillId="2" borderId="72" xfId="0" applyNumberFormat="1" applyFont="1" applyFill="1" applyBorder="1" applyAlignment="1">
      <alignment horizontal="center"/>
    </xf>
    <xf numFmtId="0" fontId="5" fillId="2" borderId="43" xfId="0" applyFont="1" applyFill="1" applyBorder="1"/>
    <xf numFmtId="0" fontId="10" fillId="12" borderId="15" xfId="0" applyFont="1" applyFill="1" applyBorder="1" applyAlignment="1">
      <alignment horizontal="left"/>
    </xf>
    <xf numFmtId="0" fontId="12" fillId="2" borderId="18" xfId="0" applyFont="1" applyFill="1" applyBorder="1"/>
    <xf numFmtId="49" fontId="12" fillId="2" borderId="14" xfId="0" applyNumberFormat="1" applyFont="1" applyFill="1" applyBorder="1" applyAlignment="1">
      <alignment horizontal="center"/>
    </xf>
    <xf numFmtId="43" fontId="12" fillId="2" borderId="14" xfId="1" applyFont="1" applyFill="1" applyBorder="1" applyAlignment="1">
      <alignment horizontal="right"/>
    </xf>
    <xf numFmtId="187" fontId="5" fillId="2" borderId="14" xfId="1" applyNumberFormat="1" applyFont="1" applyFill="1" applyBorder="1" applyAlignment="1">
      <alignment horizontal="right"/>
    </xf>
    <xf numFmtId="0" fontId="15" fillId="2" borderId="14" xfId="0" applyFont="1" applyFill="1" applyBorder="1" applyAlignment="1">
      <alignment horizontal="center"/>
    </xf>
    <xf numFmtId="0" fontId="10" fillId="2" borderId="19" xfId="0" applyFont="1" applyFill="1" applyBorder="1" applyAlignment="1">
      <alignment horizontal="left"/>
    </xf>
    <xf numFmtId="0" fontId="6" fillId="7" borderId="58" xfId="2" applyFont="1" applyFill="1" applyBorder="1" applyAlignment="1">
      <alignment horizontal="left" vertical="top"/>
    </xf>
    <xf numFmtId="0" fontId="6" fillId="7" borderId="88" xfId="2" applyFont="1" applyFill="1" applyBorder="1" applyAlignment="1">
      <alignment horizontal="center" vertical="center"/>
    </xf>
    <xf numFmtId="0" fontId="6" fillId="7" borderId="58" xfId="0" applyFont="1" applyFill="1" applyBorder="1" applyAlignment="1">
      <alignment vertical="center"/>
    </xf>
    <xf numFmtId="43" fontId="5" fillId="7" borderId="58" xfId="2" applyNumberFormat="1" applyFont="1" applyFill="1" applyBorder="1" applyAlignment="1">
      <alignment horizontal="center" vertical="center"/>
    </xf>
    <xf numFmtId="0" fontId="10" fillId="7" borderId="58" xfId="2" applyFont="1" applyFill="1" applyBorder="1" applyAlignment="1">
      <alignment horizontal="center" vertical="center"/>
    </xf>
    <xf numFmtId="0" fontId="5" fillId="7" borderId="89" xfId="0" applyFont="1" applyFill="1" applyBorder="1" applyAlignment="1">
      <alignment horizontal="center" vertical="center"/>
    </xf>
    <xf numFmtId="0" fontId="5" fillId="7" borderId="89" xfId="2" applyFont="1" applyFill="1" applyBorder="1" applyAlignment="1">
      <alignment horizontal="center" vertical="center"/>
    </xf>
    <xf numFmtId="43" fontId="5" fillId="7" borderId="89" xfId="1" applyFont="1" applyFill="1" applyBorder="1" applyAlignment="1">
      <alignment horizontal="center" vertical="top" wrapText="1"/>
    </xf>
    <xf numFmtId="0" fontId="27" fillId="7" borderId="90" xfId="0" applyFont="1" applyFill="1" applyBorder="1" applyAlignment="1">
      <alignment horizontal="center" vertical="center"/>
    </xf>
    <xf numFmtId="0" fontId="5" fillId="0" borderId="44" xfId="0" applyFont="1" applyBorder="1" applyAlignment="1">
      <alignment horizontal="center"/>
    </xf>
    <xf numFmtId="0" fontId="5" fillId="0" borderId="44" xfId="0" applyFont="1" applyBorder="1"/>
    <xf numFmtId="49" fontId="5" fillId="2" borderId="91" xfId="0" applyNumberFormat="1" applyFont="1" applyFill="1" applyBorder="1" applyAlignment="1">
      <alignment horizontal="center"/>
    </xf>
    <xf numFmtId="49" fontId="5" fillId="2" borderId="44" xfId="0" applyNumberFormat="1" applyFont="1" applyFill="1" applyBorder="1" applyAlignment="1">
      <alignment horizontal="center"/>
    </xf>
    <xf numFmtId="43" fontId="5" fillId="2" borderId="44" xfId="1" applyFont="1" applyFill="1" applyBorder="1" applyAlignment="1">
      <alignment horizontal="right"/>
    </xf>
    <xf numFmtId="0" fontId="5" fillId="0" borderId="44" xfId="0" applyFont="1" applyBorder="1" applyAlignment="1">
      <alignment horizontal="center" vertical="top" wrapText="1"/>
    </xf>
    <xf numFmtId="0" fontId="5" fillId="2" borderId="44" xfId="0" applyFont="1" applyFill="1" applyBorder="1" applyAlignment="1">
      <alignment horizontal="center" vertical="top" wrapText="1"/>
    </xf>
    <xf numFmtId="187" fontId="5" fillId="2" borderId="44" xfId="1" applyNumberFormat="1" applyFont="1" applyFill="1" applyBorder="1" applyAlignment="1">
      <alignment horizontal="right"/>
    </xf>
    <xf numFmtId="187" fontId="5" fillId="2" borderId="44" xfId="1" applyNumberFormat="1" applyFont="1" applyFill="1" applyBorder="1" applyAlignment="1">
      <alignment horizontal="center"/>
    </xf>
    <xf numFmtId="0" fontId="5" fillId="2" borderId="44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49" fontId="5" fillId="2" borderId="10" xfId="0" applyNumberFormat="1" applyFont="1" applyFill="1" applyBorder="1" applyAlignment="1">
      <alignment horizontal="center"/>
    </xf>
    <xf numFmtId="49" fontId="5" fillId="2" borderId="9" xfId="0" applyNumberFormat="1" applyFont="1" applyFill="1" applyBorder="1" applyAlignment="1">
      <alignment horizontal="center"/>
    </xf>
    <xf numFmtId="43" fontId="6" fillId="2" borderId="92" xfId="1" applyFont="1" applyFill="1" applyBorder="1" applyAlignment="1">
      <alignment horizontal="right"/>
    </xf>
    <xf numFmtId="0" fontId="10" fillId="2" borderId="9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center" vertical="top" wrapText="1"/>
    </xf>
    <xf numFmtId="187" fontId="6" fillId="2" borderId="9" xfId="1" applyNumberFormat="1" applyFont="1" applyFill="1" applyBorder="1" applyAlignment="1">
      <alignment horizontal="center"/>
    </xf>
    <xf numFmtId="187" fontId="5" fillId="2" borderId="9" xfId="1" applyNumberFormat="1" applyFont="1" applyFill="1" applyBorder="1" applyAlignment="1">
      <alignment horizontal="right"/>
    </xf>
    <xf numFmtId="187" fontId="5" fillId="2" borderId="9" xfId="1" applyNumberFormat="1" applyFont="1" applyFill="1" applyBorder="1" applyAlignment="1">
      <alignment horizontal="center"/>
    </xf>
    <xf numFmtId="0" fontId="17" fillId="2" borderId="9" xfId="0" applyFont="1" applyFill="1" applyBorder="1" applyAlignment="1">
      <alignment horizontal="center"/>
    </xf>
    <xf numFmtId="49" fontId="6" fillId="7" borderId="93" xfId="2" applyNumberFormat="1" applyFont="1" applyFill="1" applyBorder="1" applyAlignment="1">
      <alignment horizontal="center" vertical="center"/>
    </xf>
    <xf numFmtId="0" fontId="6" fillId="7" borderId="93" xfId="2" applyFont="1" applyFill="1" applyBorder="1" applyAlignment="1">
      <alignment horizontal="left" vertical="top"/>
    </xf>
    <xf numFmtId="0" fontId="6" fillId="7" borderId="59" xfId="2" applyFont="1" applyFill="1" applyBorder="1" applyAlignment="1">
      <alignment horizontal="center" vertical="center"/>
    </xf>
    <xf numFmtId="0" fontId="6" fillId="7" borderId="39" xfId="0" applyFont="1" applyFill="1" applyBorder="1" applyAlignment="1">
      <alignment vertical="center"/>
    </xf>
    <xf numFmtId="43" fontId="5" fillId="7" borderId="39" xfId="2" applyNumberFormat="1" applyFont="1" applyFill="1" applyBorder="1" applyAlignment="1">
      <alignment horizontal="center" vertical="center"/>
    </xf>
    <xf numFmtId="0" fontId="10" fillId="7" borderId="39" xfId="2" applyFont="1" applyFill="1" applyBorder="1" applyAlignment="1">
      <alignment horizontal="center" vertical="center"/>
    </xf>
    <xf numFmtId="0" fontId="5" fillId="7" borderId="42" xfId="0" applyFont="1" applyFill="1" applyBorder="1" applyAlignment="1">
      <alignment horizontal="center" vertical="center"/>
    </xf>
    <xf numFmtId="0" fontId="5" fillId="7" borderId="39" xfId="2" applyFont="1" applyFill="1" applyBorder="1" applyAlignment="1">
      <alignment horizontal="center" vertical="center"/>
    </xf>
    <xf numFmtId="43" fontId="5" fillId="7" borderId="72" xfId="1" applyFont="1" applyFill="1" applyBorder="1" applyAlignment="1">
      <alignment horizontal="center" vertical="top" wrapText="1"/>
    </xf>
    <xf numFmtId="0" fontId="27" fillId="7" borderId="79" xfId="0" applyFont="1" applyFill="1" applyBorder="1" applyAlignment="1">
      <alignment horizontal="center" vertical="center"/>
    </xf>
    <xf numFmtId="0" fontId="5" fillId="0" borderId="39" xfId="0" applyFont="1" applyBorder="1" applyAlignment="1">
      <alignment horizontal="center"/>
    </xf>
    <xf numFmtId="0" fontId="5" fillId="0" borderId="39" xfId="0" applyFont="1" applyBorder="1"/>
    <xf numFmtId="0" fontId="5" fillId="0" borderId="39" xfId="0" applyFont="1" applyBorder="1" applyAlignment="1">
      <alignment horizontal="center" vertical="top" wrapText="1"/>
    </xf>
    <xf numFmtId="0" fontId="5" fillId="2" borderId="39" xfId="0" applyFont="1" applyFill="1" applyBorder="1"/>
    <xf numFmtId="0" fontId="17" fillId="0" borderId="39" xfId="0" applyFont="1" applyBorder="1" applyAlignment="1">
      <alignment horizontal="center"/>
    </xf>
    <xf numFmtId="0" fontId="5" fillId="0" borderId="94" xfId="2" applyFont="1" applyBorder="1" applyAlignment="1">
      <alignment horizontal="center" vertical="center" wrapText="1"/>
    </xf>
    <xf numFmtId="0" fontId="5" fillId="0" borderId="94" xfId="2" applyFont="1" applyBorder="1" applyAlignment="1">
      <alignment horizontal="left" vertical="top" wrapText="1"/>
    </xf>
    <xf numFmtId="15" fontId="5" fillId="2" borderId="91" xfId="2" applyNumberFormat="1" applyFont="1" applyFill="1" applyBorder="1" applyAlignment="1">
      <alignment horizontal="center" vertical="center" wrapText="1"/>
    </xf>
    <xf numFmtId="15" fontId="5" fillId="2" borderId="94" xfId="2" applyNumberFormat="1" applyFont="1" applyFill="1" applyBorder="1" applyAlignment="1">
      <alignment horizontal="center" vertical="center" wrapText="1"/>
    </xf>
    <xf numFmtId="43" fontId="5" fillId="2" borderId="94" xfId="1" applyFont="1" applyFill="1" applyBorder="1" applyAlignment="1">
      <alignment horizontal="right" vertical="center" wrapText="1"/>
    </xf>
    <xf numFmtId="0" fontId="17" fillId="0" borderId="94" xfId="2" applyFont="1" applyBorder="1" applyAlignment="1">
      <alignment horizontal="center" vertical="center" wrapText="1"/>
    </xf>
    <xf numFmtId="15" fontId="5" fillId="2" borderId="64" xfId="2" applyNumberFormat="1" applyFont="1" applyFill="1" applyBorder="1" applyAlignment="1">
      <alignment horizontal="center" vertical="center" wrapText="1"/>
    </xf>
    <xf numFmtId="43" fontId="5" fillId="2" borderId="15" xfId="1" applyFont="1" applyFill="1" applyBorder="1" applyAlignment="1">
      <alignment horizontal="right" vertical="center" wrapText="1"/>
    </xf>
    <xf numFmtId="0" fontId="10" fillId="5" borderId="39" xfId="0" applyFont="1" applyFill="1" applyBorder="1" applyAlignment="1">
      <alignment horizontal="left"/>
    </xf>
    <xf numFmtId="43" fontId="16" fillId="0" borderId="19" xfId="0" applyNumberFormat="1" applyFont="1" applyBorder="1"/>
    <xf numFmtId="0" fontId="17" fillId="0" borderId="19" xfId="0" applyFont="1" applyBorder="1" applyAlignment="1">
      <alignment horizontal="center"/>
    </xf>
    <xf numFmtId="49" fontId="6" fillId="7" borderId="95" xfId="2" applyNumberFormat="1" applyFont="1" applyFill="1" applyBorder="1" applyAlignment="1">
      <alignment horizontal="center" vertical="center"/>
    </xf>
    <xf numFmtId="0" fontId="6" fillId="7" borderId="95" xfId="2" applyFont="1" applyFill="1" applyBorder="1" applyAlignment="1">
      <alignment horizontal="left" vertical="top"/>
    </xf>
    <xf numFmtId="0" fontId="6" fillId="7" borderId="96" xfId="2" applyFont="1" applyFill="1" applyBorder="1" applyAlignment="1">
      <alignment horizontal="center" vertical="center"/>
    </xf>
    <xf numFmtId="187" fontId="5" fillId="0" borderId="44" xfId="1" applyNumberFormat="1" applyFont="1" applyFill="1" applyBorder="1" applyAlignment="1">
      <alignment horizontal="right"/>
    </xf>
    <xf numFmtId="0" fontId="5" fillId="0" borderId="15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49" fontId="5" fillId="0" borderId="20" xfId="0" applyNumberFormat="1" applyFont="1" applyBorder="1" applyAlignment="1">
      <alignment horizontal="center"/>
    </xf>
    <xf numFmtId="43" fontId="20" fillId="0" borderId="19" xfId="1" applyFont="1" applyFill="1" applyBorder="1" applyAlignment="1">
      <alignment horizontal="right" vertical="center"/>
    </xf>
    <xf numFmtId="49" fontId="6" fillId="7" borderId="10" xfId="2" applyNumberFormat="1" applyFont="1" applyFill="1" applyBorder="1" applyAlignment="1">
      <alignment horizontal="center" vertical="center"/>
    </xf>
    <xf numFmtId="0" fontId="6" fillId="7" borderId="1" xfId="2" applyFont="1" applyFill="1" applyBorder="1" applyAlignment="1">
      <alignment horizontal="left" vertical="top"/>
    </xf>
    <xf numFmtId="0" fontId="6" fillId="7" borderId="97" xfId="2" applyFont="1" applyFill="1" applyBorder="1" applyAlignment="1">
      <alignment horizontal="center" vertical="center"/>
    </xf>
    <xf numFmtId="0" fontId="6" fillId="7" borderId="1" xfId="0" applyFont="1" applyFill="1" applyBorder="1" applyAlignment="1">
      <alignment vertical="center"/>
    </xf>
    <xf numFmtId="43" fontId="5" fillId="7" borderId="1" xfId="2" applyNumberFormat="1" applyFont="1" applyFill="1" applyBorder="1" applyAlignment="1">
      <alignment horizontal="center" vertical="center"/>
    </xf>
    <xf numFmtId="0" fontId="10" fillId="7" borderId="1" xfId="2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2" applyFont="1" applyFill="1" applyBorder="1" applyAlignment="1">
      <alignment horizontal="center" vertical="center"/>
    </xf>
    <xf numFmtId="43" fontId="5" fillId="7" borderId="1" xfId="1" applyFont="1" applyFill="1" applyBorder="1" applyAlignment="1">
      <alignment horizontal="center" vertical="top" wrapText="1"/>
    </xf>
    <xf numFmtId="0" fontId="27" fillId="7" borderId="11" xfId="0" applyFont="1" applyFill="1" applyBorder="1" applyAlignment="1">
      <alignment horizontal="center" vertical="center"/>
    </xf>
    <xf numFmtId="0" fontId="5" fillId="2" borderId="79" xfId="0" applyFont="1" applyFill="1" applyBorder="1"/>
    <xf numFmtId="0" fontId="10" fillId="12" borderId="79" xfId="0" applyFont="1" applyFill="1" applyBorder="1" applyAlignment="1">
      <alignment horizontal="left"/>
    </xf>
    <xf numFmtId="0" fontId="5" fillId="2" borderId="79" xfId="0" applyFont="1" applyFill="1" applyBorder="1" applyAlignment="1">
      <alignment horizontal="center" vertical="top" wrapText="1"/>
    </xf>
    <xf numFmtId="0" fontId="17" fillId="2" borderId="79" xfId="0" applyFont="1" applyFill="1" applyBorder="1" applyAlignment="1">
      <alignment horizontal="center"/>
    </xf>
    <xf numFmtId="49" fontId="5" fillId="2" borderId="64" xfId="0" quotePrefix="1" applyNumberFormat="1" applyFont="1" applyFill="1" applyBorder="1" applyAlignment="1">
      <alignment horizontal="center"/>
    </xf>
    <xf numFmtId="43" fontId="20" fillId="2" borderId="14" xfId="1" applyFont="1" applyFill="1" applyBorder="1" applyAlignment="1">
      <alignment horizontal="right"/>
    </xf>
    <xf numFmtId="0" fontId="10" fillId="2" borderId="14" xfId="0" applyFont="1" applyFill="1" applyBorder="1" applyAlignment="1">
      <alignment horizontal="left"/>
    </xf>
    <xf numFmtId="49" fontId="6" fillId="7" borderId="6" xfId="2" applyNumberFormat="1" applyFont="1" applyFill="1" applyBorder="1" applyAlignment="1">
      <alignment horizontal="center" vertical="center"/>
    </xf>
    <xf numFmtId="0" fontId="6" fillId="7" borderId="97" xfId="2" applyFont="1" applyFill="1" applyBorder="1" applyAlignment="1">
      <alignment horizontal="left" vertical="top"/>
    </xf>
    <xf numFmtId="0" fontId="6" fillId="7" borderId="97" xfId="0" applyFont="1" applyFill="1" applyBorder="1" applyAlignment="1">
      <alignment vertical="center"/>
    </xf>
    <xf numFmtId="43" fontId="5" fillId="7" borderId="97" xfId="2" applyNumberFormat="1" applyFont="1" applyFill="1" applyBorder="1" applyAlignment="1">
      <alignment horizontal="center" vertical="center"/>
    </xf>
    <xf numFmtId="0" fontId="10" fillId="7" borderId="97" xfId="2" applyFont="1" applyFill="1" applyBorder="1" applyAlignment="1">
      <alignment horizontal="center" vertical="center"/>
    </xf>
    <xf numFmtId="0" fontId="5" fillId="7" borderId="97" xfId="0" applyFont="1" applyFill="1" applyBorder="1" applyAlignment="1">
      <alignment horizontal="center" vertical="center"/>
    </xf>
    <xf numFmtId="0" fontId="5" fillId="7" borderId="97" xfId="2" applyFont="1" applyFill="1" applyBorder="1" applyAlignment="1">
      <alignment horizontal="center" vertical="center"/>
    </xf>
    <xf numFmtId="43" fontId="5" fillId="7" borderId="97" xfId="1" applyFont="1" applyFill="1" applyBorder="1" applyAlignment="1">
      <alignment horizontal="center" vertical="top" wrapText="1"/>
    </xf>
    <xf numFmtId="0" fontId="11" fillId="7" borderId="8" xfId="0" applyFont="1" applyFill="1" applyBorder="1" applyAlignment="1">
      <alignment horizontal="center" vertical="center"/>
    </xf>
    <xf numFmtId="187" fontId="5" fillId="0" borderId="39" xfId="1" applyNumberFormat="1" applyFont="1" applyFill="1" applyBorder="1" applyAlignment="1">
      <alignment horizontal="right"/>
    </xf>
    <xf numFmtId="0" fontId="15" fillId="0" borderId="39" xfId="0" applyFont="1" applyBorder="1" applyAlignment="1">
      <alignment horizontal="center"/>
    </xf>
    <xf numFmtId="0" fontId="5" fillId="2" borderId="43" xfId="0" applyFont="1" applyFill="1" applyBorder="1" applyAlignment="1">
      <alignment horizontal="center" vertical="top" wrapText="1"/>
    </xf>
    <xf numFmtId="0" fontId="15" fillId="2" borderId="43" xfId="0" applyFont="1" applyFill="1" applyBorder="1" applyAlignment="1">
      <alignment horizontal="center"/>
    </xf>
    <xf numFmtId="43" fontId="20" fillId="0" borderId="21" xfId="0" applyNumberFormat="1" applyFont="1" applyBorder="1"/>
    <xf numFmtId="0" fontId="15" fillId="2" borderId="39" xfId="0" applyFont="1" applyFill="1" applyBorder="1" applyAlignment="1">
      <alignment horizontal="center"/>
    </xf>
    <xf numFmtId="0" fontId="5" fillId="2" borderId="15" xfId="2" applyFont="1" applyFill="1" applyBorder="1" applyAlignment="1">
      <alignment vertical="top" wrapText="1"/>
    </xf>
    <xf numFmtId="0" fontId="5" fillId="0" borderId="15" xfId="0" applyFont="1" applyBorder="1" applyAlignment="1">
      <alignment horizontal="center" vertical="center" wrapText="1"/>
    </xf>
    <xf numFmtId="0" fontId="5" fillId="2" borderId="15" xfId="2" applyFont="1" applyFill="1" applyBorder="1" applyAlignment="1">
      <alignment horizontal="left" vertical="top" wrapText="1"/>
    </xf>
    <xf numFmtId="0" fontId="5" fillId="2" borderId="64" xfId="2" applyFont="1" applyFill="1" applyBorder="1" applyAlignment="1">
      <alignment horizontal="center" vertical="top" wrapText="1"/>
    </xf>
    <xf numFmtId="191" fontId="5" fillId="2" borderId="15" xfId="2" applyNumberFormat="1" applyFont="1" applyFill="1" applyBorder="1" applyAlignment="1">
      <alignment horizontal="center" vertical="top" wrapText="1"/>
    </xf>
    <xf numFmtId="43" fontId="5" fillId="2" borderId="15" xfId="1" applyFont="1" applyFill="1" applyBorder="1" applyAlignment="1">
      <alignment horizontal="right" vertical="top" wrapText="1"/>
    </xf>
    <xf numFmtId="0" fontId="10" fillId="15" borderId="15" xfId="2" applyFont="1" applyFill="1" applyBorder="1" applyAlignment="1">
      <alignment horizontal="center" vertical="top" wrapText="1"/>
    </xf>
    <xf numFmtId="0" fontId="5" fillId="0" borderId="15" xfId="2" applyFont="1" applyBorder="1" applyAlignment="1">
      <alignment wrapText="1"/>
    </xf>
    <xf numFmtId="0" fontId="5" fillId="2" borderId="64" xfId="2" applyFont="1" applyFill="1" applyBorder="1" applyAlignment="1">
      <alignment horizontal="center" wrapText="1"/>
    </xf>
    <xf numFmtId="15" fontId="5" fillId="2" borderId="15" xfId="2" applyNumberFormat="1" applyFont="1" applyFill="1" applyBorder="1" applyAlignment="1">
      <alignment horizontal="center" wrapText="1"/>
    </xf>
    <xf numFmtId="43" fontId="5" fillId="2" borderId="15" xfId="1" applyFont="1" applyFill="1" applyBorder="1" applyAlignment="1">
      <alignment horizontal="right" wrapText="1"/>
    </xf>
    <xf numFmtId="0" fontId="10" fillId="9" borderId="15" xfId="2" applyFont="1" applyFill="1" applyBorder="1" applyAlignment="1">
      <alignment horizontal="center" wrapText="1"/>
    </xf>
    <xf numFmtId="0" fontId="5" fillId="0" borderId="15" xfId="2" applyFont="1" applyBorder="1" applyAlignment="1">
      <alignment horizontal="center" wrapText="1"/>
    </xf>
    <xf numFmtId="190" fontId="5" fillId="2" borderId="15" xfId="2" applyNumberFormat="1" applyFont="1" applyFill="1" applyBorder="1" applyAlignment="1">
      <alignment horizontal="center" vertical="top" wrapText="1"/>
    </xf>
    <xf numFmtId="43" fontId="5" fillId="2" borderId="15" xfId="2" applyNumberFormat="1" applyFont="1" applyFill="1" applyBorder="1" applyAlignment="1">
      <alignment horizontal="right" vertical="top" wrapText="1"/>
    </xf>
    <xf numFmtId="43" fontId="20" fillId="0" borderId="19" xfId="0" applyNumberFormat="1" applyFont="1" applyBorder="1"/>
    <xf numFmtId="43" fontId="10" fillId="0" borderId="19" xfId="1" applyFont="1" applyBorder="1"/>
    <xf numFmtId="0" fontId="5" fillId="7" borderId="59" xfId="2" applyFont="1" applyFill="1" applyBorder="1" applyAlignment="1">
      <alignment horizontal="center" vertical="center"/>
    </xf>
    <xf numFmtId="43" fontId="5" fillId="7" borderId="98" xfId="1" applyFont="1" applyFill="1" applyBorder="1" applyAlignment="1">
      <alignment horizontal="center" vertical="top" wrapText="1"/>
    </xf>
    <xf numFmtId="0" fontId="11" fillId="7" borderId="75" xfId="0" applyFont="1" applyFill="1" applyBorder="1" applyAlignment="1">
      <alignment horizontal="center" vertical="center"/>
    </xf>
    <xf numFmtId="49" fontId="6" fillId="7" borderId="98" xfId="2" applyNumberFormat="1" applyFont="1" applyFill="1" applyBorder="1" applyAlignment="1">
      <alignment horizontal="center" vertical="center"/>
    </xf>
    <xf numFmtId="0" fontId="6" fillId="7" borderId="98" xfId="2" applyFont="1" applyFill="1" applyBorder="1" applyAlignment="1">
      <alignment horizontal="left" vertical="top"/>
    </xf>
    <xf numFmtId="0" fontId="6" fillId="7" borderId="98" xfId="0" applyFont="1" applyFill="1" applyBorder="1" applyAlignment="1">
      <alignment vertical="center"/>
    </xf>
    <xf numFmtId="43" fontId="5" fillId="7" borderId="98" xfId="2" applyNumberFormat="1" applyFont="1" applyFill="1" applyBorder="1" applyAlignment="1">
      <alignment horizontal="center" vertical="center"/>
    </xf>
    <xf numFmtId="0" fontId="10" fillId="7" borderId="98" xfId="2" applyFont="1" applyFill="1" applyBorder="1" applyAlignment="1">
      <alignment horizontal="center" vertical="center"/>
    </xf>
    <xf numFmtId="0" fontId="5" fillId="7" borderId="99" xfId="0" applyFont="1" applyFill="1" applyBorder="1" applyAlignment="1">
      <alignment horizontal="center" vertical="center"/>
    </xf>
    <xf numFmtId="0" fontId="5" fillId="7" borderId="98" xfId="2" applyFont="1" applyFill="1" applyBorder="1" applyAlignment="1">
      <alignment horizontal="center" vertical="center"/>
    </xf>
    <xf numFmtId="0" fontId="11" fillId="7" borderId="100" xfId="0" applyFont="1" applyFill="1" applyBorder="1" applyAlignment="1">
      <alignment horizontal="center" vertical="center"/>
    </xf>
    <xf numFmtId="0" fontId="5" fillId="2" borderId="78" xfId="2" quotePrefix="1" applyFont="1" applyFill="1" applyBorder="1" applyAlignment="1">
      <alignment horizontal="center" vertical="center" wrapText="1"/>
    </xf>
    <xf numFmtId="15" fontId="5" fillId="2" borderId="44" xfId="2" applyNumberFormat="1" applyFont="1" applyFill="1" applyBorder="1" applyAlignment="1">
      <alignment horizontal="center" vertical="center" wrapText="1"/>
    </xf>
    <xf numFmtId="43" fontId="5" fillId="2" borderId="44" xfId="1" applyFont="1" applyFill="1" applyBorder="1" applyAlignment="1">
      <alignment horizontal="right" vertical="center" wrapText="1"/>
    </xf>
    <xf numFmtId="0" fontId="10" fillId="12" borderId="15" xfId="0" applyFont="1" applyFill="1" applyBorder="1" applyAlignment="1">
      <alignment vertical="center"/>
    </xf>
    <xf numFmtId="0" fontId="5" fillId="2" borderId="15" xfId="2" applyFont="1" applyFill="1" applyBorder="1" applyAlignment="1">
      <alignment horizontal="center" vertical="center"/>
    </xf>
    <xf numFmtId="0" fontId="5" fillId="2" borderId="64" xfId="2" quotePrefix="1" applyFont="1" applyFill="1" applyBorder="1" applyAlignment="1">
      <alignment horizontal="center" vertical="center" wrapText="1"/>
    </xf>
    <xf numFmtId="15" fontId="5" fillId="2" borderId="58" xfId="2" applyNumberFormat="1" applyFont="1" applyFill="1" applyBorder="1" applyAlignment="1">
      <alignment horizontal="center" vertical="center" wrapText="1"/>
    </xf>
    <xf numFmtId="43" fontId="5" fillId="2" borderId="39" xfId="1" applyFont="1" applyFill="1" applyBorder="1" applyAlignment="1">
      <alignment horizontal="right" vertical="center" wrapText="1"/>
    </xf>
    <xf numFmtId="0" fontId="5" fillId="0" borderId="27" xfId="0" applyFont="1" applyBorder="1"/>
    <xf numFmtId="0" fontId="5" fillId="2" borderId="58" xfId="0" applyFont="1" applyFill="1" applyBorder="1" applyAlignment="1">
      <alignment horizontal="center"/>
    </xf>
    <xf numFmtId="43" fontId="16" fillId="0" borderId="58" xfId="0" applyNumberFormat="1" applyFont="1" applyBorder="1"/>
    <xf numFmtId="0" fontId="10" fillId="0" borderId="58" xfId="0" applyFont="1" applyBorder="1"/>
    <xf numFmtId="0" fontId="15" fillId="0" borderId="75" xfId="0" applyFont="1" applyBorder="1" applyAlignment="1">
      <alignment horizontal="center"/>
    </xf>
    <xf numFmtId="49" fontId="5" fillId="2" borderId="101" xfId="0" applyNumberFormat="1" applyFont="1" applyFill="1" applyBorder="1" applyAlignment="1">
      <alignment horizontal="center"/>
    </xf>
    <xf numFmtId="0" fontId="5" fillId="0" borderId="44" xfId="2" applyFont="1" applyBorder="1" applyAlignment="1">
      <alignment horizontal="center" vertical="center" wrapText="1"/>
    </xf>
    <xf numFmtId="0" fontId="5" fillId="0" borderId="44" xfId="2" applyFont="1" applyBorder="1" applyAlignment="1">
      <alignment vertical="center" wrapText="1"/>
    </xf>
    <xf numFmtId="0" fontId="10" fillId="12" borderId="44" xfId="2" applyFont="1" applyFill="1" applyBorder="1" applyAlignment="1">
      <alignment horizontal="left" vertical="center" wrapText="1"/>
    </xf>
    <xf numFmtId="0" fontId="5" fillId="2" borderId="19" xfId="0" applyFont="1" applyFill="1" applyBorder="1" applyAlignment="1">
      <alignment horizontal="right"/>
    </xf>
    <xf numFmtId="3" fontId="6" fillId="2" borderId="20" xfId="2" applyNumberFormat="1" applyFont="1" applyFill="1" applyBorder="1" applyAlignment="1">
      <alignment horizontal="center" vertical="center" wrapText="1"/>
    </xf>
    <xf numFmtId="3" fontId="6" fillId="2" borderId="19" xfId="2" applyNumberFormat="1" applyFont="1" applyFill="1" applyBorder="1" applyAlignment="1">
      <alignment horizontal="center" vertical="center" wrapText="1"/>
    </xf>
    <xf numFmtId="49" fontId="6" fillId="7" borderId="72" xfId="2" applyNumberFormat="1" applyFont="1" applyFill="1" applyBorder="1" applyAlignment="1">
      <alignment horizontal="center" vertical="center"/>
    </xf>
    <xf numFmtId="0" fontId="6" fillId="7" borderId="72" xfId="2" applyFont="1" applyFill="1" applyBorder="1" applyAlignment="1">
      <alignment horizontal="left" vertical="top"/>
    </xf>
    <xf numFmtId="0" fontId="6" fillId="7" borderId="72" xfId="0" applyFont="1" applyFill="1" applyBorder="1" applyAlignment="1">
      <alignment vertical="center"/>
    </xf>
    <xf numFmtId="43" fontId="5" fillId="7" borderId="72" xfId="2" applyNumberFormat="1" applyFont="1" applyFill="1" applyBorder="1" applyAlignment="1">
      <alignment horizontal="center" vertical="center"/>
    </xf>
    <xf numFmtId="0" fontId="10" fillId="7" borderId="72" xfId="2" applyFont="1" applyFill="1" applyBorder="1" applyAlignment="1">
      <alignment horizontal="center" vertical="center"/>
    </xf>
    <xf numFmtId="0" fontId="5" fillId="7" borderId="60" xfId="0" applyFont="1" applyFill="1" applyBorder="1" applyAlignment="1">
      <alignment horizontal="center" vertical="center"/>
    </xf>
    <xf numFmtId="0" fontId="5" fillId="7" borderId="72" xfId="2" applyFont="1" applyFill="1" applyBorder="1" applyAlignment="1">
      <alignment horizontal="center" vertical="center"/>
    </xf>
    <xf numFmtId="0" fontId="11" fillId="7" borderId="61" xfId="0" applyFont="1" applyFill="1" applyBorder="1" applyAlignment="1">
      <alignment horizontal="center" vertical="center"/>
    </xf>
    <xf numFmtId="0" fontId="5" fillId="0" borderId="39" xfId="2" applyFont="1" applyBorder="1" applyAlignment="1">
      <alignment vertical="top" wrapText="1"/>
    </xf>
    <xf numFmtId="15" fontId="5" fillId="2" borderId="39" xfId="2" applyNumberFormat="1" applyFont="1" applyFill="1" applyBorder="1" applyAlignment="1">
      <alignment horizontal="center" vertical="center" wrapText="1"/>
    </xf>
    <xf numFmtId="0" fontId="15" fillId="0" borderId="39" xfId="2" applyFont="1" applyBorder="1" applyAlignment="1">
      <alignment horizontal="center" vertical="center" wrapText="1"/>
    </xf>
    <xf numFmtId="0" fontId="5" fillId="0" borderId="44" xfId="2" applyFont="1" applyBorder="1" applyAlignment="1">
      <alignment vertical="top" wrapText="1"/>
    </xf>
    <xf numFmtId="0" fontId="5" fillId="0" borderId="58" xfId="2" applyFont="1" applyBorder="1" applyAlignment="1">
      <alignment horizontal="center" vertical="center" wrapText="1"/>
    </xf>
    <xf numFmtId="0" fontId="15" fillId="0" borderId="58" xfId="2" applyFont="1" applyBorder="1" applyAlignment="1">
      <alignment horizontal="center" vertical="center" wrapText="1"/>
    </xf>
    <xf numFmtId="43" fontId="5" fillId="7" borderId="58" xfId="1" applyFont="1" applyFill="1" applyBorder="1" applyAlignment="1">
      <alignment horizontal="center" vertical="top" wrapText="1"/>
    </xf>
    <xf numFmtId="0" fontId="5" fillId="0" borderId="39" xfId="2" applyFont="1" applyBorder="1" applyAlignment="1">
      <alignment vertical="center" wrapText="1"/>
    </xf>
    <xf numFmtId="0" fontId="10" fillId="9" borderId="39" xfId="2" applyFont="1" applyFill="1" applyBorder="1" applyAlignment="1">
      <alignment horizontal="left" vertical="center" wrapText="1"/>
    </xf>
    <xf numFmtId="43" fontId="20" fillId="0" borderId="0" xfId="0" applyNumberFormat="1" applyFont="1"/>
    <xf numFmtId="0" fontId="5" fillId="0" borderId="0" xfId="0" applyFont="1" applyAlignment="1">
      <alignment horizontal="center"/>
    </xf>
    <xf numFmtId="0" fontId="29" fillId="0" borderId="0" xfId="0" applyFont="1" applyAlignment="1">
      <alignment horizontal="right"/>
    </xf>
    <xf numFmtId="43" fontId="5" fillId="0" borderId="0" xfId="0" applyNumberFormat="1" applyFont="1"/>
    <xf numFmtId="0" fontId="5" fillId="0" borderId="0" xfId="0" applyFont="1" applyAlignment="1">
      <alignment horizontal="right"/>
    </xf>
    <xf numFmtId="43" fontId="5" fillId="21" borderId="86" xfId="0" applyNumberFormat="1" applyFont="1" applyFill="1" applyBorder="1"/>
    <xf numFmtId="0" fontId="6" fillId="0" borderId="98" xfId="0" applyFont="1" applyBorder="1" applyAlignment="1">
      <alignment horizontal="center" vertical="center"/>
    </xf>
    <xf numFmtId="49" fontId="6" fillId="0" borderId="98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49" fontId="6" fillId="3" borderId="6" xfId="2" applyNumberFormat="1" applyFont="1" applyFill="1" applyBorder="1" applyAlignment="1">
      <alignment horizontal="center" vertical="center"/>
    </xf>
    <xf numFmtId="0" fontId="6" fillId="3" borderId="97" xfId="2" applyFont="1" applyFill="1" applyBorder="1" applyAlignment="1">
      <alignment horizontal="left" vertical="top"/>
    </xf>
    <xf numFmtId="49" fontId="6" fillId="3" borderId="97" xfId="0" applyNumberFormat="1" applyFont="1" applyFill="1" applyBorder="1" applyAlignment="1">
      <alignment vertical="center"/>
    </xf>
    <xf numFmtId="43" fontId="5" fillId="3" borderId="97" xfId="2" applyNumberFormat="1" applyFont="1" applyFill="1" applyBorder="1" applyAlignment="1">
      <alignment horizontal="center" vertical="center"/>
    </xf>
    <xf numFmtId="0" fontId="10" fillId="3" borderId="97" xfId="2" applyFont="1" applyFill="1" applyBorder="1" applyAlignment="1">
      <alignment horizontal="center" vertical="center"/>
    </xf>
    <xf numFmtId="0" fontId="5" fillId="3" borderId="97" xfId="0" applyFont="1" applyFill="1" applyBorder="1" applyAlignment="1">
      <alignment horizontal="center" vertical="center"/>
    </xf>
    <xf numFmtId="0" fontId="5" fillId="3" borderId="97" xfId="2" applyFont="1" applyFill="1" applyBorder="1" applyAlignment="1">
      <alignment horizontal="center" vertical="center"/>
    </xf>
    <xf numFmtId="43" fontId="5" fillId="3" borderId="97" xfId="1" applyFont="1" applyFill="1" applyBorder="1" applyAlignment="1">
      <alignment horizontal="center" vertical="top" wrapText="1"/>
    </xf>
    <xf numFmtId="0" fontId="11" fillId="3" borderId="8" xfId="0" applyFont="1" applyFill="1" applyBorder="1" applyAlignment="1">
      <alignment horizontal="center" vertical="center"/>
    </xf>
    <xf numFmtId="49" fontId="12" fillId="6" borderId="35" xfId="0" applyNumberFormat="1" applyFont="1" applyFill="1" applyBorder="1" applyAlignment="1">
      <alignment horizontal="center"/>
    </xf>
    <xf numFmtId="0" fontId="5" fillId="0" borderId="9" xfId="0" applyFont="1" applyBorder="1"/>
    <xf numFmtId="49" fontId="5" fillId="0" borderId="9" xfId="0" applyNumberFormat="1" applyFont="1" applyBorder="1"/>
    <xf numFmtId="43" fontId="20" fillId="0" borderId="9" xfId="0" applyNumberFormat="1" applyFont="1" applyBorder="1"/>
    <xf numFmtId="43" fontId="10" fillId="0" borderId="9" xfId="1" applyFont="1" applyBorder="1"/>
    <xf numFmtId="0" fontId="15" fillId="0" borderId="9" xfId="0" applyFont="1" applyBorder="1" applyAlignment="1">
      <alignment horizontal="center"/>
    </xf>
    <xf numFmtId="2" fontId="5" fillId="0" borderId="0" xfId="0" applyNumberFormat="1" applyFont="1"/>
    <xf numFmtId="49" fontId="5" fillId="2" borderId="0" xfId="0" applyNumberFormat="1" applyFont="1" applyFill="1"/>
    <xf numFmtId="49" fontId="5" fillId="0" borderId="0" xfId="0" applyNumberFormat="1" applyFont="1"/>
    <xf numFmtId="43" fontId="29" fillId="0" borderId="0" xfId="0" applyNumberFormat="1" applyFont="1"/>
    <xf numFmtId="0" fontId="12" fillId="18" borderId="76" xfId="0" applyFont="1" applyFill="1" applyBorder="1" applyAlignment="1">
      <alignment horizontal="left"/>
    </xf>
    <xf numFmtId="0" fontId="13" fillId="19" borderId="34" xfId="0" applyFont="1" applyFill="1" applyBorder="1" applyAlignment="1">
      <alignment horizontal="left"/>
    </xf>
    <xf numFmtId="49" fontId="5" fillId="2" borderId="42" xfId="0" applyNumberFormat="1" applyFont="1" applyFill="1" applyBorder="1" applyAlignment="1">
      <alignment horizontal="center"/>
    </xf>
    <xf numFmtId="0" fontId="5" fillId="2" borderId="103" xfId="0" applyFont="1" applyFill="1" applyBorder="1" applyAlignment="1">
      <alignment horizontal="center" vertical="top" wrapText="1"/>
    </xf>
    <xf numFmtId="187" fontId="5" fillId="2" borderId="103" xfId="1" applyNumberFormat="1" applyFont="1" applyFill="1" applyBorder="1" applyAlignment="1">
      <alignment horizontal="right"/>
    </xf>
    <xf numFmtId="43" fontId="5" fillId="2" borderId="103" xfId="1" applyFont="1" applyFill="1" applyBorder="1" applyAlignment="1">
      <alignment horizontal="right"/>
    </xf>
    <xf numFmtId="187" fontId="5" fillId="2" borderId="103" xfId="1" applyNumberFormat="1" applyFont="1" applyFill="1" applyBorder="1" applyAlignment="1">
      <alignment horizontal="center"/>
    </xf>
    <xf numFmtId="187" fontId="31" fillId="2" borderId="103" xfId="1" applyNumberFormat="1" applyFont="1" applyFill="1" applyBorder="1" applyAlignment="1">
      <alignment horizontal="center"/>
    </xf>
    <xf numFmtId="187" fontId="5" fillId="2" borderId="104" xfId="1" applyNumberFormat="1" applyFont="1" applyFill="1" applyBorder="1" applyAlignment="1">
      <alignment horizontal="right"/>
    </xf>
    <xf numFmtId="187" fontId="5" fillId="2" borderId="91" xfId="1" applyNumberFormat="1" applyFont="1" applyFill="1" applyBorder="1" applyAlignment="1">
      <alignment horizontal="right"/>
    </xf>
    <xf numFmtId="0" fontId="11" fillId="2" borderId="15" xfId="0" applyFont="1" applyFill="1" applyBorder="1" applyAlignment="1">
      <alignment horizontal="center"/>
    </xf>
    <xf numFmtId="187" fontId="15" fillId="2" borderId="15" xfId="1" applyNumberFormat="1" applyFont="1" applyFill="1" applyBorder="1" applyAlignment="1">
      <alignment horizontal="center"/>
    </xf>
    <xf numFmtId="0" fontId="5" fillId="0" borderId="15" xfId="0" applyFont="1" applyBorder="1" applyAlignment="1">
      <alignment horizontal="left" vertical="top" wrapText="1"/>
    </xf>
    <xf numFmtId="0" fontId="12" fillId="2" borderId="34" xfId="0" applyFont="1" applyFill="1" applyBorder="1"/>
    <xf numFmtId="43" fontId="12" fillId="2" borderId="34" xfId="0" applyNumberFormat="1" applyFont="1" applyFill="1" applyBorder="1" applyAlignment="1">
      <alignment horizontal="center"/>
    </xf>
    <xf numFmtId="0" fontId="12" fillId="2" borderId="56" xfId="0" applyFont="1" applyFill="1" applyBorder="1"/>
    <xf numFmtId="43" fontId="12" fillId="2" borderId="73" xfId="0" applyNumberFormat="1" applyFont="1" applyFill="1" applyBorder="1" applyAlignment="1">
      <alignment horizontal="center"/>
    </xf>
    <xf numFmtId="43" fontId="12" fillId="2" borderId="27" xfId="4" applyFont="1" applyFill="1" applyBorder="1"/>
    <xf numFmtId="0" fontId="5" fillId="0" borderId="58" xfId="0" applyFont="1" applyBorder="1" applyAlignment="1">
      <alignment horizontal="center" vertical="top" wrapText="1"/>
    </xf>
    <xf numFmtId="0" fontId="5" fillId="0" borderId="58" xfId="2" applyFont="1" applyBorder="1" applyAlignment="1">
      <alignment horizontal="left" vertical="top" wrapText="1"/>
    </xf>
    <xf numFmtId="0" fontId="5" fillId="0" borderId="58" xfId="0" applyFont="1" applyBorder="1" applyAlignment="1">
      <alignment horizontal="left" vertical="top" wrapText="1"/>
    </xf>
    <xf numFmtId="187" fontId="5" fillId="0" borderId="58" xfId="1" applyNumberFormat="1" applyFont="1" applyFill="1" applyBorder="1" applyAlignment="1">
      <alignment horizontal="right"/>
    </xf>
    <xf numFmtId="43" fontId="12" fillId="2" borderId="15" xfId="4" applyFont="1" applyFill="1" applyBorder="1"/>
    <xf numFmtId="0" fontId="6" fillId="3" borderId="6" xfId="0" quotePrefix="1" applyFont="1" applyFill="1" applyBorder="1" applyAlignment="1">
      <alignment horizontal="center" vertical="center"/>
    </xf>
    <xf numFmtId="0" fontId="6" fillId="3" borderId="97" xfId="0" applyFont="1" applyFill="1" applyBorder="1"/>
    <xf numFmtId="49" fontId="5" fillId="3" borderId="97" xfId="0" applyNumberFormat="1" applyFont="1" applyFill="1" applyBorder="1"/>
    <xf numFmtId="43" fontId="5" fillId="3" borderId="97" xfId="0" applyNumberFormat="1" applyFont="1" applyFill="1" applyBorder="1"/>
    <xf numFmtId="0" fontId="10" fillId="3" borderId="97" xfId="0" applyFont="1" applyFill="1" applyBorder="1"/>
    <xf numFmtId="0" fontId="5" fillId="3" borderId="97" xfId="0" applyFont="1" applyFill="1" applyBorder="1"/>
    <xf numFmtId="43" fontId="15" fillId="3" borderId="8" xfId="1" applyFont="1" applyFill="1" applyBorder="1" applyAlignment="1">
      <alignment horizontal="center"/>
    </xf>
    <xf numFmtId="43" fontId="15" fillId="2" borderId="39" xfId="1" applyFont="1" applyFill="1" applyBorder="1" applyAlignment="1">
      <alignment horizontal="center"/>
    </xf>
    <xf numFmtId="187" fontId="15" fillId="2" borderId="14" xfId="1" applyNumberFormat="1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 vertical="center"/>
    </xf>
    <xf numFmtId="43" fontId="10" fillId="2" borderId="19" xfId="0" applyNumberFormat="1" applyFont="1" applyFill="1" applyBorder="1" applyAlignment="1">
      <alignment horizontal="left"/>
    </xf>
    <xf numFmtId="0" fontId="6" fillId="3" borderId="6" xfId="0" applyFont="1" applyFill="1" applyBorder="1" applyAlignment="1">
      <alignment horizontal="center"/>
    </xf>
    <xf numFmtId="43" fontId="6" fillId="3" borderId="97" xfId="0" applyNumberFormat="1" applyFont="1" applyFill="1" applyBorder="1" applyAlignment="1">
      <alignment horizontal="center" vertical="center"/>
    </xf>
    <xf numFmtId="43" fontId="10" fillId="3" borderId="97" xfId="1" applyFont="1" applyFill="1" applyBorder="1" applyAlignment="1">
      <alignment horizontal="center" vertical="top" wrapText="1"/>
    </xf>
    <xf numFmtId="187" fontId="5" fillId="3" borderId="97" xfId="1" applyNumberFormat="1" applyFont="1" applyFill="1" applyBorder="1" applyAlignment="1">
      <alignment horizontal="center" vertical="top" wrapText="1"/>
    </xf>
    <xf numFmtId="0" fontId="6" fillId="3" borderId="97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/>
    </xf>
    <xf numFmtId="49" fontId="5" fillId="2" borderId="64" xfId="0" applyNumberFormat="1" applyFont="1" applyFill="1" applyBorder="1" applyAlignment="1">
      <alignment horizontal="center" vertical="top"/>
    </xf>
    <xf numFmtId="49" fontId="5" fillId="2" borderId="27" xfId="2" applyNumberFormat="1" applyFont="1" applyFill="1" applyBorder="1" applyAlignment="1">
      <alignment vertical="top" wrapText="1"/>
    </xf>
    <xf numFmtId="49" fontId="5" fillId="2" borderId="43" xfId="0" applyNumberFormat="1" applyFont="1" applyFill="1" applyBorder="1" applyAlignment="1">
      <alignment horizontal="center" vertical="top"/>
    </xf>
    <xf numFmtId="43" fontId="5" fillId="2" borderId="15" xfId="1" applyFont="1" applyFill="1" applyBorder="1" applyAlignment="1">
      <alignment horizontal="left" vertical="top" wrapText="1"/>
    </xf>
    <xf numFmtId="0" fontId="10" fillId="11" borderId="15" xfId="2" applyFont="1" applyFill="1" applyBorder="1" applyAlignment="1">
      <alignment horizontal="left" wrapText="1"/>
    </xf>
    <xf numFmtId="0" fontId="5" fillId="0" borderId="27" xfId="2" applyFont="1" applyBorder="1" applyAlignment="1">
      <alignment horizontal="left" vertical="top" wrapText="1"/>
    </xf>
    <xf numFmtId="43" fontId="5" fillId="2" borderId="43" xfId="1" applyFont="1" applyFill="1" applyBorder="1" applyAlignment="1">
      <alignment horizontal="left" vertical="top" wrapText="1"/>
    </xf>
    <xf numFmtId="0" fontId="5" fillId="0" borderId="9" xfId="0" applyFont="1" applyBorder="1" applyAlignment="1">
      <alignment horizontal="center" vertical="top"/>
    </xf>
    <xf numFmtId="49" fontId="5" fillId="2" borderId="10" xfId="0" applyNumberFormat="1" applyFont="1" applyFill="1" applyBorder="1" applyAlignment="1">
      <alignment vertical="top"/>
    </xf>
    <xf numFmtId="49" fontId="5" fillId="2" borderId="1" xfId="2" applyNumberFormat="1" applyFont="1" applyFill="1" applyBorder="1" applyAlignment="1">
      <alignment vertical="top" wrapText="1"/>
    </xf>
    <xf numFmtId="49" fontId="5" fillId="2" borderId="11" xfId="0" applyNumberFormat="1" applyFont="1" applyFill="1" applyBorder="1" applyAlignment="1">
      <alignment horizontal="center" vertical="top"/>
    </xf>
    <xf numFmtId="43" fontId="20" fillId="0" borderId="11" xfId="1" applyFont="1" applyFill="1" applyBorder="1" applyAlignment="1">
      <alignment horizontal="left" vertical="center" wrapText="1"/>
    </xf>
    <xf numFmtId="0" fontId="10" fillId="0" borderId="1" xfId="2" applyFont="1" applyBorder="1" applyAlignment="1">
      <alignment horizontal="left" vertical="top" wrapText="1"/>
    </xf>
    <xf numFmtId="187" fontId="15" fillId="0" borderId="11" xfId="1" applyNumberFormat="1" applyFont="1" applyFill="1" applyBorder="1" applyAlignment="1">
      <alignment horizontal="center"/>
    </xf>
    <xf numFmtId="49" fontId="8" fillId="3" borderId="97" xfId="0" applyNumberFormat="1" applyFont="1" applyFill="1" applyBorder="1" applyAlignment="1">
      <alignment horizontal="left"/>
    </xf>
    <xf numFmtId="187" fontId="6" fillId="3" borderId="97" xfId="1" applyNumberFormat="1" applyFont="1" applyFill="1" applyBorder="1" applyAlignment="1">
      <alignment horizontal="center" vertical="center"/>
    </xf>
    <xf numFmtId="0" fontId="10" fillId="11" borderId="39" xfId="0" applyFont="1" applyFill="1" applyBorder="1" applyAlignment="1">
      <alignment horizontal="left"/>
    </xf>
    <xf numFmtId="43" fontId="5" fillId="0" borderId="39" xfId="1" applyFont="1" applyFill="1" applyBorder="1" applyAlignment="1">
      <alignment horizontal="right"/>
    </xf>
    <xf numFmtId="187" fontId="5" fillId="0" borderId="78" xfId="1" applyNumberFormat="1" applyFont="1" applyFill="1" applyBorder="1" applyAlignment="1">
      <alignment horizontal="right"/>
    </xf>
    <xf numFmtId="49" fontId="5" fillId="0" borderId="19" xfId="0" applyNumberFormat="1" applyFont="1" applyBorder="1"/>
    <xf numFmtId="43" fontId="20" fillId="0" borderId="22" xfId="1" applyFont="1" applyFill="1" applyBorder="1" applyAlignment="1">
      <alignment horizontal="right"/>
    </xf>
    <xf numFmtId="0" fontId="5" fillId="0" borderId="39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187" fontId="4" fillId="0" borderId="19" xfId="1" applyNumberFormat="1" applyFont="1" applyFill="1" applyBorder="1" applyAlignment="1">
      <alignment horizontal="center"/>
    </xf>
    <xf numFmtId="43" fontId="5" fillId="0" borderId="1" xfId="0" applyNumberFormat="1" applyFont="1" applyBorder="1"/>
    <xf numFmtId="43" fontId="5" fillId="0" borderId="86" xfId="0" applyNumberFormat="1" applyFont="1" applyBorder="1"/>
    <xf numFmtId="0" fontId="6" fillId="0" borderId="9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3" borderId="97" xfId="2" applyFont="1" applyFill="1" applyBorder="1" applyAlignment="1">
      <alignment horizontal="center" vertical="center"/>
    </xf>
    <xf numFmtId="0" fontId="6" fillId="3" borderId="97" xfId="0" applyFont="1" applyFill="1" applyBorder="1" applyAlignment="1">
      <alignment vertical="center"/>
    </xf>
    <xf numFmtId="0" fontId="5" fillId="2" borderId="72" xfId="2" applyFont="1" applyFill="1" applyBorder="1" applyAlignment="1">
      <alignment horizontal="left" vertical="top"/>
    </xf>
    <xf numFmtId="15" fontId="5" fillId="2" borderId="72" xfId="0" applyNumberFormat="1" applyFont="1" applyFill="1" applyBorder="1" applyAlignment="1">
      <alignment horizontal="center" vertical="center"/>
    </xf>
    <xf numFmtId="43" fontId="5" fillId="2" borderId="72" xfId="2" applyNumberFormat="1" applyFont="1" applyFill="1" applyBorder="1" applyAlignment="1">
      <alignment horizontal="center" vertical="center"/>
    </xf>
    <xf numFmtId="0" fontId="5" fillId="0" borderId="106" xfId="0" applyFont="1" applyBorder="1" applyAlignment="1">
      <alignment horizontal="center" vertical="top" wrapText="1"/>
    </xf>
    <xf numFmtId="0" fontId="5" fillId="2" borderId="72" xfId="2" applyFont="1" applyFill="1" applyBorder="1" applyAlignment="1">
      <alignment horizontal="center" vertical="center"/>
    </xf>
    <xf numFmtId="0" fontId="5" fillId="2" borderId="72" xfId="0" applyFont="1" applyFill="1" applyBorder="1" applyAlignment="1">
      <alignment horizontal="center" vertical="center"/>
    </xf>
    <xf numFmtId="43" fontId="5" fillId="2" borderId="72" xfId="1" applyFont="1" applyFill="1" applyBorder="1" applyAlignment="1">
      <alignment horizontal="center" vertical="top" wrapText="1"/>
    </xf>
    <xf numFmtId="0" fontId="15" fillId="2" borderId="61" xfId="0" applyFont="1" applyFill="1" applyBorder="1" applyAlignment="1">
      <alignment horizontal="center" vertical="center"/>
    </xf>
    <xf numFmtId="0" fontId="5" fillId="2" borderId="15" xfId="2" applyFont="1" applyFill="1" applyBorder="1" applyAlignment="1">
      <alignment horizontal="left" vertical="top"/>
    </xf>
    <xf numFmtId="15" fontId="5" fillId="2" borderId="15" xfId="0" applyNumberFormat="1" applyFont="1" applyFill="1" applyBorder="1" applyAlignment="1">
      <alignment horizontal="center" vertical="center"/>
    </xf>
    <xf numFmtId="43" fontId="5" fillId="2" borderId="15" xfId="2" applyNumberFormat="1" applyFont="1" applyFill="1" applyBorder="1" applyAlignment="1">
      <alignment horizontal="center" vertical="center"/>
    </xf>
    <xf numFmtId="0" fontId="5" fillId="0" borderId="107" xfId="0" applyFont="1" applyBorder="1" applyAlignment="1">
      <alignment horizontal="center" vertical="top" wrapText="1"/>
    </xf>
    <xf numFmtId="0" fontId="15" fillId="2" borderId="43" xfId="0" applyFont="1" applyFill="1" applyBorder="1" applyAlignment="1">
      <alignment horizontal="center" vertical="center"/>
    </xf>
    <xf numFmtId="0" fontId="5" fillId="0" borderId="108" xfId="0" applyFont="1" applyBorder="1" applyAlignment="1">
      <alignment horizontal="center" vertical="top" wrapText="1"/>
    </xf>
    <xf numFmtId="0" fontId="5" fillId="2" borderId="14" xfId="2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43" fontId="5" fillId="2" borderId="14" xfId="1" applyFont="1" applyFill="1" applyBorder="1" applyAlignment="1">
      <alignment horizontal="center" vertical="top" wrapText="1"/>
    </xf>
    <xf numFmtId="0" fontId="15" fillId="2" borderId="18" xfId="0" applyFont="1" applyFill="1" applyBorder="1" applyAlignment="1">
      <alignment horizontal="center" vertical="center"/>
    </xf>
    <xf numFmtId="49" fontId="6" fillId="2" borderId="19" xfId="2" applyNumberFormat="1" applyFont="1" applyFill="1" applyBorder="1" applyAlignment="1">
      <alignment horizontal="center" vertical="center"/>
    </xf>
    <xf numFmtId="0" fontId="5" fillId="2" borderId="19" xfId="2" applyFont="1" applyFill="1" applyBorder="1" applyAlignment="1">
      <alignment horizontal="left" vertical="top"/>
    </xf>
    <xf numFmtId="0" fontId="6" fillId="2" borderId="20" xfId="2" applyFont="1" applyFill="1" applyBorder="1" applyAlignment="1">
      <alignment horizontal="center" vertical="center"/>
    </xf>
    <xf numFmtId="0" fontId="6" fillId="2" borderId="21" xfId="2" applyFont="1" applyFill="1" applyBorder="1" applyAlignment="1">
      <alignment horizontal="center" vertical="center"/>
    </xf>
    <xf numFmtId="0" fontId="6" fillId="2" borderId="22" xfId="2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vertical="center"/>
    </xf>
    <xf numFmtId="43" fontId="20" fillId="2" borderId="19" xfId="2" applyNumberFormat="1" applyFont="1" applyFill="1" applyBorder="1" applyAlignment="1">
      <alignment horizontal="center" vertical="center"/>
    </xf>
    <xf numFmtId="0" fontId="10" fillId="2" borderId="19" xfId="2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19" xfId="2" applyFont="1" applyFill="1" applyBorder="1" applyAlignment="1">
      <alignment horizontal="center" vertical="center"/>
    </xf>
    <xf numFmtId="43" fontId="5" fillId="2" borderId="19" xfId="1" applyFont="1" applyFill="1" applyBorder="1" applyAlignment="1">
      <alignment horizontal="center" vertical="top" wrapText="1"/>
    </xf>
    <xf numFmtId="0" fontId="11" fillId="2" borderId="22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/>
    </xf>
    <xf numFmtId="0" fontId="6" fillId="3" borderId="97" xfId="2" applyFont="1" applyFill="1" applyBorder="1" applyAlignment="1">
      <alignment vertical="center"/>
    </xf>
    <xf numFmtId="0" fontId="5" fillId="0" borderId="15" xfId="0" applyFont="1" applyBorder="1" applyAlignment="1">
      <alignment vertical="top"/>
    </xf>
    <xf numFmtId="0" fontId="5" fillId="0" borderId="43" xfId="0" applyFont="1" applyBorder="1" applyAlignment="1">
      <alignment vertical="top"/>
    </xf>
    <xf numFmtId="187" fontId="5" fillId="0" borderId="43" xfId="1" applyNumberFormat="1" applyFont="1" applyFill="1" applyBorder="1" applyAlignment="1">
      <alignment horizontal="right"/>
    </xf>
    <xf numFmtId="0" fontId="5" fillId="2" borderId="18" xfId="0" applyFont="1" applyFill="1" applyBorder="1"/>
    <xf numFmtId="0" fontId="5" fillId="2" borderId="18" xfId="0" applyFont="1" applyFill="1" applyBorder="1" applyAlignment="1">
      <alignment horizontal="center" vertical="top" wrapText="1"/>
    </xf>
    <xf numFmtId="0" fontId="15" fillId="2" borderId="18" xfId="0" applyFont="1" applyFill="1" applyBorder="1" applyAlignment="1">
      <alignment horizontal="center"/>
    </xf>
    <xf numFmtId="0" fontId="5" fillId="0" borderId="39" xfId="0" applyFont="1" applyBorder="1" applyAlignment="1">
      <alignment horizontal="left" vertical="top" wrapText="1"/>
    </xf>
    <xf numFmtId="187" fontId="18" fillId="0" borderId="39" xfId="1" applyNumberFormat="1" applyFont="1" applyFill="1" applyBorder="1" applyAlignment="1">
      <alignment horizontal="right"/>
    </xf>
    <xf numFmtId="0" fontId="11" fillId="0" borderId="39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49" fontId="5" fillId="0" borderId="21" xfId="0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/>
    </xf>
    <xf numFmtId="49" fontId="5" fillId="0" borderId="19" xfId="0" applyNumberFormat="1" applyFont="1" applyBorder="1" applyAlignment="1">
      <alignment horizontal="center"/>
    </xf>
    <xf numFmtId="43" fontId="20" fillId="0" borderId="19" xfId="1" applyFont="1" applyFill="1" applyBorder="1" applyAlignment="1">
      <alignment horizontal="right"/>
    </xf>
    <xf numFmtId="0" fontId="5" fillId="2" borderId="43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 wrapText="1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2" borderId="42" xfId="2" applyFont="1" applyFill="1" applyBorder="1" applyAlignment="1">
      <alignment vertical="center" wrapText="1"/>
    </xf>
    <xf numFmtId="0" fontId="5" fillId="2" borderId="79" xfId="2" quotePrefix="1" applyFont="1" applyFill="1" applyBorder="1" applyAlignment="1">
      <alignment horizontal="center" vertical="center" wrapText="1"/>
    </xf>
    <xf numFmtId="0" fontId="10" fillId="9" borderId="39" xfId="2" applyFont="1" applyFill="1" applyBorder="1" applyAlignment="1">
      <alignment horizontal="center" vertical="center" wrapText="1"/>
    </xf>
    <xf numFmtId="187" fontId="12" fillId="2" borderId="15" xfId="4" applyNumberFormat="1" applyFont="1" applyFill="1" applyBorder="1" applyAlignment="1">
      <alignment horizontal="center"/>
    </xf>
    <xf numFmtId="0" fontId="28" fillId="13" borderId="27" xfId="3" applyFont="1" applyFill="1" applyBorder="1"/>
    <xf numFmtId="0" fontId="5" fillId="2" borderId="14" xfId="0" applyFont="1" applyFill="1" applyBorder="1" applyAlignment="1">
      <alignment horizontal="right"/>
    </xf>
    <xf numFmtId="3" fontId="6" fillId="2" borderId="14" xfId="2" applyNumberFormat="1" applyFont="1" applyFill="1" applyBorder="1" applyAlignment="1">
      <alignment horizontal="center" vertical="center" wrapText="1"/>
    </xf>
    <xf numFmtId="0" fontId="5" fillId="0" borderId="14" xfId="2" applyFont="1" applyBorder="1" applyAlignment="1">
      <alignment horizontal="center" vertical="center" wrapText="1"/>
    </xf>
    <xf numFmtId="0" fontId="15" fillId="0" borderId="14" xfId="2" applyFont="1" applyBorder="1" applyAlignment="1">
      <alignment horizontal="center" vertical="center" wrapText="1"/>
    </xf>
    <xf numFmtId="43" fontId="5" fillId="3" borderId="1" xfId="2" applyNumberFormat="1" applyFont="1" applyFill="1" applyBorder="1" applyAlignment="1">
      <alignment horizontal="center" vertical="center"/>
    </xf>
    <xf numFmtId="15" fontId="5" fillId="2" borderId="43" xfId="0" applyNumberFormat="1" applyFont="1" applyFill="1" applyBorder="1" applyAlignment="1">
      <alignment horizontal="center"/>
    </xf>
    <xf numFmtId="43" fontId="5" fillId="2" borderId="27" xfId="1" applyFont="1" applyFill="1" applyBorder="1"/>
    <xf numFmtId="43" fontId="5" fillId="2" borderId="15" xfId="1" applyFont="1" applyFill="1" applyBorder="1" applyAlignment="1">
      <alignment horizontal="center"/>
    </xf>
    <xf numFmtId="0" fontId="13" fillId="22" borderId="27" xfId="3" applyFont="1" applyFill="1" applyBorder="1"/>
    <xf numFmtId="0" fontId="6" fillId="3" borderId="97" xfId="2" applyFont="1" applyFill="1" applyBorder="1" applyAlignment="1">
      <alignment vertical="top"/>
    </xf>
    <xf numFmtId="0" fontId="8" fillId="3" borderId="97" xfId="2" applyFont="1" applyFill="1" applyBorder="1" applyAlignment="1">
      <alignment vertical="top"/>
    </xf>
    <xf numFmtId="0" fontId="8" fillId="3" borderId="97" xfId="2" applyFont="1" applyFill="1" applyBorder="1" applyAlignment="1">
      <alignment horizontal="center" vertical="top"/>
    </xf>
    <xf numFmtId="43" fontId="5" fillId="2" borderId="39" xfId="1" applyFont="1" applyFill="1" applyBorder="1" applyAlignment="1">
      <alignment horizontal="center"/>
    </xf>
    <xf numFmtId="0" fontId="5" fillId="2" borderId="39" xfId="2" applyFont="1" applyFill="1" applyBorder="1" applyAlignment="1">
      <alignment horizontal="center" vertical="center"/>
    </xf>
    <xf numFmtId="43" fontId="5" fillId="2" borderId="39" xfId="1" applyFont="1" applyFill="1" applyBorder="1" applyAlignment="1">
      <alignment horizontal="center" vertical="top" wrapText="1"/>
    </xf>
    <xf numFmtId="0" fontId="11" fillId="2" borderId="39" xfId="0" applyFont="1" applyFill="1" applyBorder="1" applyAlignment="1">
      <alignment horizontal="center" vertical="center"/>
    </xf>
    <xf numFmtId="187" fontId="17" fillId="2" borderId="39" xfId="1" applyNumberFormat="1" applyFont="1" applyFill="1" applyBorder="1" applyAlignment="1">
      <alignment horizontal="center"/>
    </xf>
    <xf numFmtId="0" fontId="12" fillId="0" borderId="15" xfId="0" applyFont="1" applyBorder="1" applyAlignment="1">
      <alignment shrinkToFit="1"/>
    </xf>
    <xf numFmtId="187" fontId="5" fillId="2" borderId="58" xfId="1" applyNumberFormat="1" applyFont="1" applyFill="1" applyBorder="1" applyAlignment="1">
      <alignment horizontal="right"/>
    </xf>
    <xf numFmtId="43" fontId="5" fillId="2" borderId="58" xfId="1" applyFont="1" applyFill="1" applyBorder="1" applyAlignment="1">
      <alignment horizontal="right"/>
    </xf>
    <xf numFmtId="187" fontId="17" fillId="2" borderId="58" xfId="1" applyNumberFormat="1" applyFont="1" applyFill="1" applyBorder="1" applyAlignment="1">
      <alignment horizontal="center"/>
    </xf>
    <xf numFmtId="187" fontId="15" fillId="2" borderId="19" xfId="1" applyNumberFormat="1" applyFont="1" applyFill="1" applyBorder="1" applyAlignment="1">
      <alignment horizontal="center"/>
    </xf>
    <xf numFmtId="43" fontId="5" fillId="2" borderId="14" xfId="1" applyFont="1" applyFill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5" fillId="0" borderId="16" xfId="0" applyFont="1" applyBorder="1" applyAlignment="1">
      <alignment horizontal="left"/>
    </xf>
    <xf numFmtId="49" fontId="5" fillId="0" borderId="17" xfId="0" applyNumberFormat="1" applyFont="1" applyBorder="1" applyAlignment="1">
      <alignment horizontal="center"/>
    </xf>
    <xf numFmtId="43" fontId="20" fillId="0" borderId="19" xfId="1" applyFont="1" applyFill="1" applyBorder="1" applyAlignment="1">
      <alignment horizontal="center"/>
    </xf>
    <xf numFmtId="0" fontId="10" fillId="0" borderId="17" xfId="0" applyFont="1" applyBorder="1" applyAlignment="1">
      <alignment horizontal="left"/>
    </xf>
    <xf numFmtId="187" fontId="5" fillId="2" borderId="39" xfId="1" applyNumberFormat="1" applyFont="1" applyFill="1" applyBorder="1" applyAlignment="1">
      <alignment horizontal="center"/>
    </xf>
    <xf numFmtId="49" fontId="5" fillId="2" borderId="75" xfId="0" applyNumberFormat="1" applyFont="1" applyFill="1" applyBorder="1" applyAlignment="1">
      <alignment horizontal="center"/>
    </xf>
    <xf numFmtId="49" fontId="5" fillId="2" borderId="58" xfId="0" applyNumberFormat="1" applyFont="1" applyFill="1" applyBorder="1" applyAlignment="1">
      <alignment horizontal="center"/>
    </xf>
    <xf numFmtId="43" fontId="5" fillId="2" borderId="58" xfId="1" applyFont="1" applyFill="1" applyBorder="1" applyAlignment="1">
      <alignment horizontal="center"/>
    </xf>
    <xf numFmtId="187" fontId="5" fillId="2" borderId="58" xfId="1" applyNumberFormat="1" applyFont="1" applyFill="1" applyBorder="1" applyAlignment="1">
      <alignment horizontal="center"/>
    </xf>
    <xf numFmtId="0" fontId="5" fillId="0" borderId="20" xfId="0" applyFont="1" applyBorder="1"/>
    <xf numFmtId="0" fontId="5" fillId="0" borderId="21" xfId="0" applyFont="1" applyBorder="1"/>
    <xf numFmtId="0" fontId="5" fillId="0" borderId="39" xfId="2" applyFont="1" applyBorder="1" applyAlignment="1">
      <alignment horizontal="left" vertical="center" wrapText="1"/>
    </xf>
    <xf numFmtId="49" fontId="6" fillId="3" borderId="109" xfId="0" applyNumberFormat="1" applyFont="1" applyFill="1" applyBorder="1" applyAlignment="1">
      <alignment horizontal="center" vertical="center"/>
    </xf>
    <xf numFmtId="0" fontId="6" fillId="3" borderId="110" xfId="0" applyFont="1" applyFill="1" applyBorder="1"/>
    <xf numFmtId="0" fontId="6" fillId="3" borderId="110" xfId="0" applyFont="1" applyFill="1" applyBorder="1" applyAlignment="1">
      <alignment horizontal="center" vertical="center"/>
    </xf>
    <xf numFmtId="49" fontId="8" fillId="3" borderId="110" xfId="0" applyNumberFormat="1" applyFont="1" applyFill="1" applyBorder="1" applyAlignment="1">
      <alignment horizontal="left"/>
    </xf>
    <xf numFmtId="43" fontId="6" fillId="3" borderId="110" xfId="0" applyNumberFormat="1" applyFont="1" applyFill="1" applyBorder="1" applyAlignment="1">
      <alignment horizontal="center" vertical="center"/>
    </xf>
    <xf numFmtId="43" fontId="10" fillId="3" borderId="110" xfId="1" applyFont="1" applyFill="1" applyBorder="1" applyAlignment="1">
      <alignment horizontal="center" vertical="top" wrapText="1"/>
    </xf>
    <xf numFmtId="0" fontId="5" fillId="3" borderId="110" xfId="0" applyFont="1" applyFill="1" applyBorder="1" applyAlignment="1">
      <alignment horizontal="center" vertical="top" wrapText="1"/>
    </xf>
    <xf numFmtId="43" fontId="5" fillId="3" borderId="110" xfId="1" applyFont="1" applyFill="1" applyBorder="1" applyAlignment="1">
      <alignment horizontal="center" vertical="top" wrapText="1"/>
    </xf>
    <xf numFmtId="187" fontId="5" fillId="3" borderId="110" xfId="1" applyNumberFormat="1" applyFont="1" applyFill="1" applyBorder="1" applyAlignment="1">
      <alignment horizontal="center" vertical="top" wrapText="1"/>
    </xf>
    <xf numFmtId="0" fontId="11" fillId="3" borderId="111" xfId="0" applyFont="1" applyFill="1" applyBorder="1" applyAlignment="1">
      <alignment horizontal="center" vertical="center"/>
    </xf>
    <xf numFmtId="0" fontId="5" fillId="0" borderId="78" xfId="0" quotePrefix="1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5" fillId="0" borderId="42" xfId="0" quotePrefix="1" applyFont="1" applyBorder="1" applyAlignment="1">
      <alignment horizontal="center"/>
    </xf>
    <xf numFmtId="15" fontId="5" fillId="0" borderId="39" xfId="0" applyNumberFormat="1" applyFont="1" applyBorder="1" applyAlignment="1">
      <alignment horizontal="center"/>
    </xf>
    <xf numFmtId="0" fontId="15" fillId="0" borderId="7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49" fontId="6" fillId="3" borderId="112" xfId="0" applyNumberFormat="1" applyFont="1" applyFill="1" applyBorder="1" applyAlignment="1">
      <alignment horizontal="center" vertical="center"/>
    </xf>
    <xf numFmtId="43" fontId="10" fillId="3" borderId="60" xfId="1" applyFont="1" applyFill="1" applyBorder="1" applyAlignment="1">
      <alignment horizontal="center" vertical="top" wrapText="1"/>
    </xf>
    <xf numFmtId="0" fontId="5" fillId="3" borderId="60" xfId="0" applyFont="1" applyFill="1" applyBorder="1" applyAlignment="1">
      <alignment horizontal="center" vertical="top" wrapText="1"/>
    </xf>
    <xf numFmtId="0" fontId="11" fillId="3" borderId="113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43" fontId="5" fillId="2" borderId="25" xfId="1" applyFont="1" applyFill="1" applyBorder="1" applyAlignment="1">
      <alignment horizontal="center"/>
    </xf>
    <xf numFmtId="187" fontId="5" fillId="0" borderId="25" xfId="1" applyNumberFormat="1" applyFont="1" applyFill="1" applyBorder="1" applyAlignment="1">
      <alignment horizontal="right"/>
    </xf>
    <xf numFmtId="0" fontId="5" fillId="2" borderId="117" xfId="0" applyFont="1" applyFill="1" applyBorder="1" applyAlignment="1">
      <alignment horizontal="left"/>
    </xf>
    <xf numFmtId="49" fontId="5" fillId="2" borderId="118" xfId="0" applyNumberFormat="1" applyFont="1" applyFill="1" applyBorder="1" applyAlignment="1">
      <alignment horizontal="center"/>
    </xf>
    <xf numFmtId="0" fontId="5" fillId="2" borderId="118" xfId="0" applyFont="1" applyFill="1" applyBorder="1" applyAlignment="1">
      <alignment horizontal="center"/>
    </xf>
    <xf numFmtId="49" fontId="5" fillId="2" borderId="117" xfId="0" applyNumberFormat="1" applyFont="1" applyFill="1" applyBorder="1" applyAlignment="1">
      <alignment horizontal="center"/>
    </xf>
    <xf numFmtId="43" fontId="5" fillId="2" borderId="118" xfId="1" applyFont="1" applyFill="1" applyBorder="1" applyAlignment="1">
      <alignment horizontal="right"/>
    </xf>
    <xf numFmtId="0" fontId="5" fillId="2" borderId="119" xfId="0" applyFont="1" applyFill="1" applyBorder="1" applyAlignment="1">
      <alignment horizontal="center" vertical="top" wrapText="1"/>
    </xf>
    <xf numFmtId="187" fontId="5" fillId="2" borderId="117" xfId="1" applyNumberFormat="1" applyFont="1" applyFill="1" applyBorder="1" applyAlignment="1">
      <alignment horizontal="right"/>
    </xf>
    <xf numFmtId="0" fontId="17" fillId="2" borderId="117" xfId="0" applyFont="1" applyFill="1" applyBorder="1" applyAlignment="1">
      <alignment horizontal="center"/>
    </xf>
    <xf numFmtId="0" fontId="5" fillId="2" borderId="120" xfId="0" applyFont="1" applyFill="1" applyBorder="1" applyAlignment="1">
      <alignment horizontal="center"/>
    </xf>
    <xf numFmtId="0" fontId="5" fillId="2" borderId="58" xfId="0" applyFont="1" applyFill="1" applyBorder="1" applyAlignment="1">
      <alignment horizontal="left"/>
    </xf>
    <xf numFmtId="43" fontId="5" fillId="2" borderId="0" xfId="1" applyFont="1" applyFill="1" applyBorder="1" applyAlignment="1">
      <alignment horizontal="right"/>
    </xf>
    <xf numFmtId="0" fontId="5" fillId="2" borderId="58" xfId="0" applyFont="1" applyFill="1" applyBorder="1" applyAlignment="1">
      <alignment horizontal="center" vertical="top" wrapText="1"/>
    </xf>
    <xf numFmtId="0" fontId="5" fillId="0" borderId="121" xfId="0" applyFont="1" applyBorder="1" applyAlignment="1">
      <alignment horizontal="center"/>
    </xf>
    <xf numFmtId="49" fontId="5" fillId="0" borderId="122" xfId="0" applyNumberFormat="1" applyFont="1" applyBorder="1" applyAlignment="1">
      <alignment horizontal="center"/>
    </xf>
    <xf numFmtId="0" fontId="5" fillId="0" borderId="122" xfId="0" applyFont="1" applyBorder="1" applyAlignment="1">
      <alignment horizontal="center"/>
    </xf>
    <xf numFmtId="43" fontId="20" fillId="0" borderId="122" xfId="1" applyFont="1" applyFill="1" applyBorder="1" applyAlignment="1">
      <alignment horizontal="right"/>
    </xf>
    <xf numFmtId="0" fontId="5" fillId="0" borderId="123" xfId="0" applyFont="1" applyBorder="1" applyAlignment="1">
      <alignment horizontal="center" vertical="top" wrapText="1"/>
    </xf>
    <xf numFmtId="187" fontId="5" fillId="0" borderId="123" xfId="1" applyNumberFormat="1" applyFont="1" applyFill="1" applyBorder="1" applyAlignment="1">
      <alignment horizontal="right"/>
    </xf>
    <xf numFmtId="0" fontId="5" fillId="3" borderId="97" xfId="0" applyFont="1" applyFill="1" applyBorder="1" applyAlignment="1">
      <alignment horizontal="center" vertical="top" wrapText="1"/>
    </xf>
    <xf numFmtId="0" fontId="5" fillId="0" borderId="125" xfId="0" applyFont="1" applyBorder="1" applyAlignment="1">
      <alignment horizontal="left"/>
    </xf>
    <xf numFmtId="49" fontId="5" fillId="2" borderId="126" xfId="0" applyNumberFormat="1" applyFont="1" applyFill="1" applyBorder="1" applyAlignment="1">
      <alignment horizontal="center"/>
    </xf>
    <xf numFmtId="49" fontId="5" fillId="2" borderId="127" xfId="0" applyNumberFormat="1" applyFont="1" applyFill="1" applyBorder="1" applyAlignment="1">
      <alignment horizontal="center"/>
    </xf>
    <xf numFmtId="49" fontId="5" fillId="2" borderId="128" xfId="0" applyNumberFormat="1" applyFont="1" applyFill="1" applyBorder="1" applyAlignment="1">
      <alignment horizontal="center"/>
    </xf>
    <xf numFmtId="49" fontId="5" fillId="2" borderId="125" xfId="0" applyNumberFormat="1" applyFont="1" applyFill="1" applyBorder="1" applyAlignment="1">
      <alignment horizontal="center"/>
    </xf>
    <xf numFmtId="43" fontId="5" fillId="2" borderId="124" xfId="1" applyFont="1" applyFill="1" applyBorder="1" applyAlignment="1">
      <alignment horizontal="center"/>
    </xf>
    <xf numFmtId="0" fontId="5" fillId="0" borderId="129" xfId="0" applyFont="1" applyBorder="1" applyAlignment="1">
      <alignment horizontal="center" vertical="top" wrapText="1"/>
    </xf>
    <xf numFmtId="187" fontId="5" fillId="0" borderId="124" xfId="1" applyNumberFormat="1" applyFont="1" applyFill="1" applyBorder="1" applyAlignment="1">
      <alignment horizontal="right"/>
    </xf>
    <xf numFmtId="0" fontId="15" fillId="0" borderId="124" xfId="0" applyFont="1" applyBorder="1" applyAlignment="1">
      <alignment horizontal="center"/>
    </xf>
    <xf numFmtId="0" fontId="5" fillId="0" borderId="131" xfId="0" applyFont="1" applyBorder="1" applyAlignment="1">
      <alignment horizontal="left"/>
    </xf>
    <xf numFmtId="49" fontId="5" fillId="2" borderId="130" xfId="0" applyNumberFormat="1" applyFont="1" applyFill="1" applyBorder="1" applyAlignment="1">
      <alignment horizontal="center"/>
    </xf>
    <xf numFmtId="49" fontId="5" fillId="2" borderId="132" xfId="0" applyNumberFormat="1" applyFont="1" applyFill="1" applyBorder="1" applyAlignment="1">
      <alignment horizontal="center"/>
    </xf>
    <xf numFmtId="49" fontId="5" fillId="2" borderId="133" xfId="0" applyNumberFormat="1" applyFont="1" applyFill="1" applyBorder="1" applyAlignment="1">
      <alignment horizontal="center"/>
    </xf>
    <xf numFmtId="49" fontId="5" fillId="2" borderId="134" xfId="0" applyNumberFormat="1" applyFont="1" applyFill="1" applyBorder="1" applyAlignment="1">
      <alignment horizontal="center"/>
    </xf>
    <xf numFmtId="43" fontId="5" fillId="2" borderId="132" xfId="1" applyFont="1" applyFill="1" applyBorder="1" applyAlignment="1">
      <alignment horizontal="center"/>
    </xf>
    <xf numFmtId="187" fontId="5" fillId="0" borderId="133" xfId="1" applyNumberFormat="1" applyFont="1" applyFill="1" applyBorder="1" applyAlignment="1">
      <alignment horizontal="right"/>
    </xf>
    <xf numFmtId="0" fontId="5" fillId="0" borderId="120" xfId="0" applyFont="1" applyBorder="1" applyAlignment="1">
      <alignment horizontal="center"/>
    </xf>
    <xf numFmtId="0" fontId="5" fillId="0" borderId="78" xfId="0" applyFont="1" applyBorder="1" applyAlignment="1">
      <alignment horizontal="left"/>
    </xf>
    <xf numFmtId="49" fontId="5" fillId="2" borderId="131" xfId="0" applyNumberFormat="1" applyFont="1" applyFill="1" applyBorder="1" applyAlignment="1">
      <alignment horizontal="center"/>
    </xf>
    <xf numFmtId="49" fontId="5" fillId="2" borderId="135" xfId="0" applyNumberFormat="1" applyFont="1" applyFill="1" applyBorder="1" applyAlignment="1">
      <alignment horizontal="center"/>
    </xf>
    <xf numFmtId="43" fontId="5" fillId="2" borderId="129" xfId="1" applyFont="1" applyFill="1" applyBorder="1" applyAlignment="1">
      <alignment horizontal="center"/>
    </xf>
    <xf numFmtId="0" fontId="10" fillId="2" borderId="0" xfId="0" applyFont="1" applyFill="1" applyAlignment="1">
      <alignment horizontal="left"/>
    </xf>
    <xf numFmtId="187" fontId="5" fillId="0" borderId="136" xfId="1" applyNumberFormat="1" applyFont="1" applyFill="1" applyBorder="1" applyAlignment="1">
      <alignment horizontal="right"/>
    </xf>
    <xf numFmtId="187" fontId="5" fillId="0" borderId="137" xfId="1" applyNumberFormat="1" applyFont="1" applyFill="1" applyBorder="1" applyAlignment="1">
      <alignment horizontal="right"/>
    </xf>
    <xf numFmtId="0" fontId="15" fillId="0" borderId="137" xfId="0" applyFont="1" applyBorder="1" applyAlignment="1">
      <alignment horizontal="center"/>
    </xf>
    <xf numFmtId="0" fontId="5" fillId="0" borderId="138" xfId="0" applyFont="1" applyBorder="1" applyAlignment="1">
      <alignment horizontal="center"/>
    </xf>
    <xf numFmtId="49" fontId="5" fillId="0" borderId="139" xfId="0" applyNumberFormat="1" applyFont="1" applyBorder="1" applyAlignment="1">
      <alignment horizontal="center"/>
    </xf>
    <xf numFmtId="49" fontId="5" fillId="0" borderId="122" xfId="0" applyNumberFormat="1" applyFont="1" applyBorder="1"/>
    <xf numFmtId="43" fontId="20" fillId="0" borderId="123" xfId="1" applyFont="1" applyFill="1" applyBorder="1" applyAlignment="1">
      <alignment horizontal="center"/>
    </xf>
    <xf numFmtId="0" fontId="10" fillId="0" borderId="139" xfId="0" applyFont="1" applyBorder="1" applyAlignment="1">
      <alignment horizontal="left"/>
    </xf>
    <xf numFmtId="187" fontId="5" fillId="0" borderId="140" xfId="1" applyNumberFormat="1" applyFont="1" applyFill="1" applyBorder="1" applyAlignment="1">
      <alignment horizontal="right"/>
    </xf>
    <xf numFmtId="187" fontId="5" fillId="0" borderId="141" xfId="1" applyNumberFormat="1" applyFont="1" applyFill="1" applyBorder="1" applyAlignment="1">
      <alignment horizontal="right"/>
    </xf>
    <xf numFmtId="0" fontId="15" fillId="0" borderId="141" xfId="0" applyFont="1" applyBorder="1" applyAlignment="1">
      <alignment horizontal="center"/>
    </xf>
    <xf numFmtId="49" fontId="6" fillId="3" borderId="97" xfId="0" applyNumberFormat="1" applyFont="1" applyFill="1" applyBorder="1" applyAlignment="1">
      <alignment horizontal="left"/>
    </xf>
    <xf numFmtId="0" fontId="5" fillId="0" borderId="72" xfId="0" applyFont="1" applyBorder="1" applyAlignment="1">
      <alignment horizontal="left"/>
    </xf>
    <xf numFmtId="0" fontId="5" fillId="2" borderId="60" xfId="0" applyFont="1" applyFill="1" applyBorder="1" applyAlignment="1">
      <alignment horizontal="center"/>
    </xf>
    <xf numFmtId="49" fontId="5" fillId="2" borderId="61" xfId="0" applyNumberFormat="1" applyFont="1" applyFill="1" applyBorder="1" applyAlignment="1">
      <alignment horizontal="center"/>
    </xf>
    <xf numFmtId="43" fontId="5" fillId="2" borderId="72" xfId="1" applyFont="1" applyFill="1" applyBorder="1" applyAlignment="1">
      <alignment horizontal="right"/>
    </xf>
    <xf numFmtId="0" fontId="10" fillId="9" borderId="72" xfId="2" applyFont="1" applyFill="1" applyBorder="1" applyAlignment="1">
      <alignment horizontal="center" vertical="center" wrapText="1"/>
    </xf>
    <xf numFmtId="0" fontId="5" fillId="0" borderId="72" xfId="0" applyFont="1" applyBorder="1" applyAlignment="1">
      <alignment horizontal="center" vertical="top" wrapText="1"/>
    </xf>
    <xf numFmtId="187" fontId="5" fillId="0" borderId="72" xfId="1" applyNumberFormat="1" applyFont="1" applyFill="1" applyBorder="1" applyAlignment="1">
      <alignment horizontal="right"/>
    </xf>
    <xf numFmtId="0" fontId="5" fillId="0" borderId="9" xfId="0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49" fontId="5" fillId="0" borderId="10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5" fillId="0" borderId="11" xfId="0" applyNumberFormat="1" applyFont="1" applyBorder="1" applyAlignment="1">
      <alignment horizontal="center"/>
    </xf>
    <xf numFmtId="49" fontId="5" fillId="0" borderId="9" xfId="0" applyNumberFormat="1" applyFont="1" applyBorder="1" applyAlignment="1">
      <alignment horizontal="center"/>
    </xf>
    <xf numFmtId="43" fontId="20" fillId="0" borderId="9" xfId="1" applyFont="1" applyFill="1" applyBorder="1" applyAlignment="1">
      <alignment horizontal="right"/>
    </xf>
    <xf numFmtId="0" fontId="10" fillId="0" borderId="9" xfId="0" applyFont="1" applyBorder="1" applyAlignment="1">
      <alignment horizontal="left"/>
    </xf>
    <xf numFmtId="0" fontId="5" fillId="0" borderId="9" xfId="0" applyFont="1" applyBorder="1" applyAlignment="1">
      <alignment horizontal="center" vertical="top" wrapText="1"/>
    </xf>
    <xf numFmtId="187" fontId="5" fillId="0" borderId="9" xfId="1" applyNumberFormat="1" applyFont="1" applyFill="1" applyBorder="1" applyAlignment="1">
      <alignment horizontal="right"/>
    </xf>
    <xf numFmtId="0" fontId="6" fillId="3" borderId="10" xfId="0" applyFont="1" applyFill="1" applyBorder="1" applyAlignment="1">
      <alignment horizontal="center" vertic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left"/>
    </xf>
    <xf numFmtId="43" fontId="10" fillId="3" borderId="1" xfId="1" applyFont="1" applyFill="1" applyBorder="1" applyAlignment="1">
      <alignment horizontal="center" vertical="top" wrapText="1"/>
    </xf>
    <xf numFmtId="187" fontId="6" fillId="3" borderId="1" xfId="1" applyNumberFormat="1" applyFont="1" applyFill="1" applyBorder="1" applyAlignment="1">
      <alignment horizontal="center" vertical="center"/>
    </xf>
    <xf numFmtId="43" fontId="5" fillId="3" borderId="1" xfId="1" applyFont="1" applyFill="1" applyBorder="1" applyAlignment="1">
      <alignment horizontal="center" vertical="top" wrapText="1"/>
    </xf>
    <xf numFmtId="187" fontId="5" fillId="3" borderId="1" xfId="1" applyNumberFormat="1" applyFont="1" applyFill="1" applyBorder="1" applyAlignment="1">
      <alignment horizontal="center" vertical="top" wrapText="1"/>
    </xf>
    <xf numFmtId="0" fontId="11" fillId="3" borderId="11" xfId="0" applyFont="1" applyFill="1" applyBorder="1" applyAlignment="1">
      <alignment horizontal="center" vertical="center"/>
    </xf>
    <xf numFmtId="49" fontId="5" fillId="0" borderId="22" xfId="0" applyNumberFormat="1" applyFont="1" applyBorder="1"/>
    <xf numFmtId="0" fontId="5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/>
    <xf numFmtId="43" fontId="20" fillId="0" borderId="1" xfId="1" applyFont="1" applyFill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5" fillId="0" borderId="1" xfId="0" applyFont="1" applyBorder="1"/>
    <xf numFmtId="0" fontId="15" fillId="0" borderId="11" xfId="0" applyFont="1" applyBorder="1" applyAlignment="1">
      <alignment horizontal="center"/>
    </xf>
    <xf numFmtId="0" fontId="6" fillId="3" borderId="142" xfId="0" applyFont="1" applyFill="1" applyBorder="1" applyAlignment="1">
      <alignment horizontal="center" vertical="center"/>
    </xf>
    <xf numFmtId="0" fontId="6" fillId="3" borderId="143" xfId="0" applyFont="1" applyFill="1" applyBorder="1"/>
    <xf numFmtId="0" fontId="6" fillId="3" borderId="143" xfId="0" applyFont="1" applyFill="1" applyBorder="1" applyAlignment="1">
      <alignment horizontal="center" vertical="center"/>
    </xf>
    <xf numFmtId="49" fontId="6" fillId="3" borderId="143" xfId="0" applyNumberFormat="1" applyFont="1" applyFill="1" applyBorder="1" applyAlignment="1">
      <alignment horizontal="left"/>
    </xf>
    <xf numFmtId="43" fontId="6" fillId="3" borderId="143" xfId="0" applyNumberFormat="1" applyFont="1" applyFill="1" applyBorder="1" applyAlignment="1">
      <alignment horizontal="center" vertical="center"/>
    </xf>
    <xf numFmtId="43" fontId="10" fillId="3" borderId="143" xfId="1" applyFont="1" applyFill="1" applyBorder="1" applyAlignment="1">
      <alignment horizontal="center" vertical="top" wrapText="1"/>
    </xf>
    <xf numFmtId="0" fontId="5" fillId="3" borderId="143" xfId="0" applyFont="1" applyFill="1" applyBorder="1" applyAlignment="1">
      <alignment horizontal="left" vertical="top" wrapText="1"/>
    </xf>
    <xf numFmtId="187" fontId="5" fillId="3" borderId="143" xfId="1" applyNumberFormat="1" applyFont="1" applyFill="1" applyBorder="1" applyAlignment="1">
      <alignment horizontal="right"/>
    </xf>
    <xf numFmtId="0" fontId="15" fillId="3" borderId="144" xfId="0" applyFont="1" applyFill="1" applyBorder="1" applyAlignment="1">
      <alignment horizontal="center"/>
    </xf>
    <xf numFmtId="0" fontId="5" fillId="0" borderId="124" xfId="0" applyFont="1" applyBorder="1" applyAlignment="1">
      <alignment horizontal="left" vertical="top" wrapText="1"/>
    </xf>
    <xf numFmtId="49" fontId="5" fillId="2" borderId="130" xfId="0" applyNumberFormat="1" applyFont="1" applyFill="1" applyBorder="1" applyAlignment="1">
      <alignment horizontal="center" vertical="top"/>
    </xf>
    <xf numFmtId="49" fontId="5" fillId="2" borderId="132" xfId="0" applyNumberFormat="1" applyFont="1" applyFill="1" applyBorder="1" applyAlignment="1">
      <alignment horizontal="center" vertical="top"/>
    </xf>
    <xf numFmtId="49" fontId="5" fillId="2" borderId="133" xfId="0" applyNumberFormat="1" applyFont="1" applyFill="1" applyBorder="1" applyAlignment="1">
      <alignment horizontal="center" vertical="top"/>
    </xf>
    <xf numFmtId="49" fontId="5" fillId="2" borderId="124" xfId="0" applyNumberFormat="1" applyFont="1" applyFill="1" applyBorder="1" applyAlignment="1">
      <alignment horizontal="center" vertical="top"/>
    </xf>
    <xf numFmtId="43" fontId="5" fillId="2" borderId="124" xfId="1" applyFont="1" applyFill="1" applyBorder="1" applyAlignment="1">
      <alignment horizontal="right" vertical="top"/>
    </xf>
    <xf numFmtId="0" fontId="5" fillId="0" borderId="145" xfId="0" applyFont="1" applyBorder="1" applyAlignment="1">
      <alignment horizontal="center" vertical="top"/>
    </xf>
    <xf numFmtId="0" fontId="5" fillId="0" borderId="146" xfId="0" applyFont="1" applyBorder="1" applyAlignment="1">
      <alignment horizontal="left" vertical="top" wrapText="1"/>
    </xf>
    <xf numFmtId="49" fontId="5" fillId="0" borderId="147" xfId="0" applyNumberFormat="1" applyFont="1" applyBorder="1" applyAlignment="1">
      <alignment horizontal="center" vertical="top"/>
    </xf>
    <xf numFmtId="49" fontId="5" fillId="0" borderId="146" xfId="0" applyNumberFormat="1" applyFont="1" applyBorder="1" applyAlignment="1">
      <alignment horizontal="center" vertical="top"/>
    </xf>
    <xf numFmtId="49" fontId="5" fillId="0" borderId="146" xfId="0" applyNumberFormat="1" applyFont="1" applyBorder="1" applyAlignment="1">
      <alignment vertical="top"/>
    </xf>
    <xf numFmtId="49" fontId="5" fillId="0" borderId="148" xfId="0" applyNumberFormat="1" applyFont="1" applyBorder="1" applyAlignment="1">
      <alignment vertical="top"/>
    </xf>
    <xf numFmtId="43" fontId="20" fillId="0" borderId="148" xfId="1" applyFont="1" applyFill="1" applyBorder="1" applyAlignment="1">
      <alignment horizontal="right" vertical="top"/>
    </xf>
    <xf numFmtId="0" fontId="10" fillId="0" borderId="146" xfId="0" applyFont="1" applyBorder="1" applyAlignment="1">
      <alignment horizontal="left" vertical="top"/>
    </xf>
    <xf numFmtId="0" fontId="5" fillId="0" borderId="149" xfId="0" applyFont="1" applyBorder="1" applyAlignment="1">
      <alignment horizontal="center" vertical="top" wrapText="1"/>
    </xf>
    <xf numFmtId="187" fontId="5" fillId="0" borderId="149" xfId="1" applyNumberFormat="1" applyFont="1" applyFill="1" applyBorder="1" applyAlignment="1">
      <alignment horizontal="right"/>
    </xf>
    <xf numFmtId="0" fontId="15" fillId="0" borderId="150" xfId="0" applyFont="1" applyBorder="1" applyAlignment="1">
      <alignment horizontal="center"/>
    </xf>
    <xf numFmtId="0" fontId="6" fillId="3" borderId="151" xfId="0" applyFont="1" applyFill="1" applyBorder="1" applyAlignment="1">
      <alignment horizontal="center" vertical="center"/>
    </xf>
    <xf numFmtId="0" fontId="6" fillId="3" borderId="152" xfId="0" applyFont="1" applyFill="1" applyBorder="1"/>
    <xf numFmtId="49" fontId="5" fillId="3" borderId="152" xfId="0" applyNumberFormat="1" applyFont="1" applyFill="1" applyBorder="1" applyAlignment="1">
      <alignment horizontal="center"/>
    </xf>
    <xf numFmtId="43" fontId="5" fillId="3" borderId="152" xfId="1" applyFont="1" applyFill="1" applyBorder="1" applyAlignment="1">
      <alignment horizontal="right"/>
    </xf>
    <xf numFmtId="0" fontId="10" fillId="3" borderId="152" xfId="0" applyFont="1" applyFill="1" applyBorder="1" applyAlignment="1">
      <alignment horizontal="left"/>
    </xf>
    <xf numFmtId="0" fontId="5" fillId="3" borderId="152" xfId="0" applyFont="1" applyFill="1" applyBorder="1" applyAlignment="1">
      <alignment horizontal="left" vertical="top" wrapText="1"/>
    </xf>
    <xf numFmtId="187" fontId="5" fillId="3" borderId="152" xfId="1" applyNumberFormat="1" applyFont="1" applyFill="1" applyBorder="1" applyAlignment="1">
      <alignment horizontal="right"/>
    </xf>
    <xf numFmtId="0" fontId="15" fillId="3" borderId="153" xfId="0" applyFont="1" applyFill="1" applyBorder="1" applyAlignment="1">
      <alignment horizontal="center"/>
    </xf>
    <xf numFmtId="0" fontId="5" fillId="2" borderId="105" xfId="0" applyFont="1" applyFill="1" applyBorder="1" applyAlignment="1">
      <alignment horizontal="left"/>
    </xf>
    <xf numFmtId="49" fontId="5" fillId="2" borderId="154" xfId="0" applyNumberFormat="1" applyFont="1" applyFill="1" applyBorder="1" applyAlignment="1">
      <alignment horizontal="center"/>
    </xf>
    <xf numFmtId="49" fontId="5" fillId="2" borderId="155" xfId="0" applyNumberFormat="1" applyFont="1" applyFill="1" applyBorder="1" applyAlignment="1">
      <alignment horizontal="center"/>
    </xf>
    <xf numFmtId="49" fontId="5" fillId="2" borderId="105" xfId="0" applyNumberFormat="1" applyFont="1" applyFill="1" applyBorder="1" applyAlignment="1">
      <alignment horizontal="center"/>
    </xf>
    <xf numFmtId="43" fontId="5" fillId="2" borderId="105" xfId="1" applyFont="1" applyFill="1" applyBorder="1" applyAlignment="1">
      <alignment horizontal="right"/>
    </xf>
    <xf numFmtId="187" fontId="5" fillId="2" borderId="105" xfId="1" applyNumberFormat="1" applyFont="1" applyFill="1" applyBorder="1" applyAlignment="1">
      <alignment horizontal="right"/>
    </xf>
    <xf numFmtId="0" fontId="15" fillId="2" borderId="105" xfId="0" applyFont="1" applyFill="1" applyBorder="1" applyAlignment="1">
      <alignment horizontal="center"/>
    </xf>
    <xf numFmtId="187" fontId="5" fillId="2" borderId="25" xfId="1" applyNumberFormat="1" applyFont="1" applyFill="1" applyBorder="1" applyAlignment="1">
      <alignment horizontal="right"/>
    </xf>
    <xf numFmtId="0" fontId="15" fillId="2" borderId="25" xfId="0" applyFont="1" applyFill="1" applyBorder="1" applyAlignment="1">
      <alignment horizontal="center"/>
    </xf>
    <xf numFmtId="0" fontId="15" fillId="2" borderId="19" xfId="0" applyFont="1" applyFill="1" applyBorder="1" applyAlignment="1">
      <alignment horizontal="center"/>
    </xf>
    <xf numFmtId="0" fontId="29" fillId="0" borderId="0" xfId="0" applyFont="1" applyAlignment="1">
      <alignment horizontal="left"/>
    </xf>
    <xf numFmtId="0" fontId="6" fillId="15" borderId="97" xfId="0" applyFont="1" applyFill="1" applyBorder="1"/>
    <xf numFmtId="0" fontId="6" fillId="15" borderId="97" xfId="0" applyFont="1" applyFill="1" applyBorder="1" applyAlignment="1">
      <alignment horizontal="center" vertical="center"/>
    </xf>
    <xf numFmtId="49" fontId="8" fillId="15" borderId="97" xfId="0" applyNumberFormat="1" applyFont="1" applyFill="1" applyBorder="1" applyAlignment="1">
      <alignment horizontal="left"/>
    </xf>
    <xf numFmtId="43" fontId="6" fillId="15" borderId="97" xfId="0" applyNumberFormat="1" applyFont="1" applyFill="1" applyBorder="1" applyAlignment="1">
      <alignment horizontal="center" vertical="center"/>
    </xf>
    <xf numFmtId="43" fontId="10" fillId="15" borderId="97" xfId="1" applyFont="1" applyFill="1" applyBorder="1" applyAlignment="1">
      <alignment horizontal="center" vertical="top" wrapText="1"/>
    </xf>
    <xf numFmtId="0" fontId="12" fillId="0" borderId="34" xfId="0" applyFont="1" applyBorder="1" applyAlignment="1">
      <alignment horizontal="center"/>
    </xf>
    <xf numFmtId="0" fontId="12" fillId="2" borderId="156" xfId="0" applyFont="1" applyFill="1" applyBorder="1" applyAlignment="1">
      <alignment horizontal="left"/>
    </xf>
    <xf numFmtId="49" fontId="5" fillId="2" borderId="157" xfId="0" applyNumberFormat="1" applyFont="1" applyFill="1" applyBorder="1" applyAlignment="1">
      <alignment horizontal="center"/>
    </xf>
    <xf numFmtId="0" fontId="13" fillId="14" borderId="34" xfId="0" applyFont="1" applyFill="1" applyBorder="1" applyAlignment="1">
      <alignment horizontal="left"/>
    </xf>
    <xf numFmtId="49" fontId="5" fillId="2" borderId="158" xfId="0" applyNumberFormat="1" applyFont="1" applyFill="1" applyBorder="1" applyAlignment="1">
      <alignment horizontal="center"/>
    </xf>
    <xf numFmtId="0" fontId="12" fillId="0" borderId="38" xfId="0" applyFont="1" applyBorder="1" applyAlignment="1">
      <alignment horizontal="center"/>
    </xf>
    <xf numFmtId="49" fontId="5" fillId="2" borderId="159" xfId="0" applyNumberFormat="1" applyFont="1" applyFill="1" applyBorder="1" applyAlignment="1">
      <alignment horizontal="center"/>
    </xf>
    <xf numFmtId="49" fontId="5" fillId="2" borderId="160" xfId="0" applyNumberFormat="1" applyFont="1" applyFill="1" applyBorder="1" applyAlignment="1">
      <alignment horizontal="center"/>
    </xf>
    <xf numFmtId="49" fontId="5" fillId="2" borderId="161" xfId="0" applyNumberFormat="1" applyFont="1" applyFill="1" applyBorder="1" applyAlignment="1">
      <alignment horizontal="center"/>
    </xf>
    <xf numFmtId="0" fontId="12" fillId="2" borderId="41" xfId="0" applyFont="1" applyFill="1" applyBorder="1" applyAlignment="1">
      <alignment horizontal="left"/>
    </xf>
    <xf numFmtId="0" fontId="12" fillId="2" borderId="50" xfId="0" applyFont="1" applyFill="1" applyBorder="1" applyAlignment="1">
      <alignment horizontal="left"/>
    </xf>
    <xf numFmtId="0" fontId="12" fillId="2" borderId="162" xfId="0" applyFont="1" applyFill="1" applyBorder="1" applyAlignment="1">
      <alignment horizontal="left"/>
    </xf>
    <xf numFmtId="43" fontId="5" fillId="0" borderId="58" xfId="1" applyFont="1" applyFill="1" applyBorder="1" applyAlignment="1">
      <alignment horizontal="right"/>
    </xf>
    <xf numFmtId="43" fontId="5" fillId="0" borderId="15" xfId="1" applyFont="1" applyFill="1" applyBorder="1" applyAlignment="1">
      <alignment horizontal="right" vertical="top"/>
    </xf>
    <xf numFmtId="187" fontId="6" fillId="0" borderId="15" xfId="1" applyNumberFormat="1" applyFont="1" applyFill="1" applyBorder="1" applyAlignment="1">
      <alignment horizontal="right" vertical="top"/>
    </xf>
    <xf numFmtId="187" fontId="6" fillId="0" borderId="14" xfId="1" applyNumberFormat="1" applyFont="1" applyFill="1" applyBorder="1" applyAlignment="1">
      <alignment horizontal="right"/>
    </xf>
    <xf numFmtId="0" fontId="18" fillId="0" borderId="14" xfId="0" applyFont="1" applyBorder="1" applyAlignment="1">
      <alignment horizontal="center"/>
    </xf>
    <xf numFmtId="0" fontId="12" fillId="18" borderId="41" xfId="0" applyFont="1" applyFill="1" applyBorder="1" applyAlignment="1">
      <alignment horizontal="left"/>
    </xf>
    <xf numFmtId="188" fontId="12" fillId="18" borderId="34" xfId="0" applyNumberFormat="1" applyFont="1" applyFill="1" applyBorder="1" applyAlignment="1">
      <alignment horizontal="center"/>
    </xf>
    <xf numFmtId="0" fontId="29" fillId="0" borderId="15" xfId="0" applyFont="1" applyBorder="1" applyAlignment="1">
      <alignment horizontal="center" vertical="top" wrapText="1"/>
    </xf>
    <xf numFmtId="43" fontId="29" fillId="0" borderId="14" xfId="1" applyFont="1" applyFill="1" applyBorder="1" applyAlignment="1">
      <alignment horizontal="right"/>
    </xf>
    <xf numFmtId="187" fontId="29" fillId="0" borderId="14" xfId="1" applyNumberFormat="1" applyFont="1" applyFill="1" applyBorder="1" applyAlignment="1">
      <alignment horizontal="right"/>
    </xf>
    <xf numFmtId="187" fontId="3" fillId="0" borderId="14" xfId="1" applyNumberFormat="1" applyFont="1" applyFill="1" applyBorder="1" applyAlignment="1">
      <alignment horizontal="right"/>
    </xf>
    <xf numFmtId="0" fontId="36" fillId="0" borderId="14" xfId="0" applyFont="1" applyBorder="1" applyAlignment="1">
      <alignment horizontal="center"/>
    </xf>
    <xf numFmtId="49" fontId="5" fillId="2" borderId="99" xfId="0" applyNumberFormat="1" applyFont="1" applyFill="1" applyBorder="1" applyAlignment="1">
      <alignment horizontal="center"/>
    </xf>
    <xf numFmtId="188" fontId="12" fillId="18" borderId="56" xfId="0" applyNumberFormat="1" applyFont="1" applyFill="1" applyBorder="1" applyAlignment="1">
      <alignment horizontal="right"/>
    </xf>
    <xf numFmtId="0" fontId="12" fillId="2" borderId="41" xfId="0" applyFont="1" applyFill="1" applyBorder="1"/>
    <xf numFmtId="43" fontId="12" fillId="2" borderId="56" xfId="0" applyNumberFormat="1" applyFont="1" applyFill="1" applyBorder="1" applyAlignment="1">
      <alignment horizontal="center"/>
    </xf>
    <xf numFmtId="4" fontId="12" fillId="2" borderId="14" xfId="0" applyNumberFormat="1" applyFont="1" applyFill="1" applyBorder="1" applyAlignment="1">
      <alignment horizontal="right" wrapText="1"/>
    </xf>
    <xf numFmtId="0" fontId="12" fillId="2" borderId="14" xfId="0" applyFont="1" applyFill="1" applyBorder="1" applyAlignment="1">
      <alignment wrapText="1"/>
    </xf>
    <xf numFmtId="0" fontId="12" fillId="2" borderId="163" xfId="0" applyFont="1" applyFill="1" applyBorder="1" applyAlignment="1">
      <alignment wrapText="1"/>
    </xf>
    <xf numFmtId="4" fontId="12" fillId="2" borderId="164" xfId="0" applyNumberFormat="1" applyFont="1" applyFill="1" applyBorder="1" applyAlignment="1">
      <alignment horizontal="right" wrapText="1"/>
    </xf>
    <xf numFmtId="4" fontId="12" fillId="2" borderId="58" xfId="0" applyNumberFormat="1" applyFont="1" applyFill="1" applyBorder="1" applyAlignment="1">
      <alignment horizontal="right" wrapText="1"/>
    </xf>
    <xf numFmtId="0" fontId="12" fillId="2" borderId="43" xfId="0" applyFont="1" applyFill="1" applyBorder="1" applyAlignment="1">
      <alignment wrapText="1"/>
    </xf>
    <xf numFmtId="0" fontId="12" fillId="2" borderId="79" xfId="0" applyFont="1" applyFill="1" applyBorder="1" applyAlignment="1">
      <alignment wrapText="1"/>
    </xf>
    <xf numFmtId="0" fontId="12" fillId="2" borderId="75" xfId="0" applyFont="1" applyFill="1" applyBorder="1" applyAlignment="1">
      <alignment wrapText="1"/>
    </xf>
    <xf numFmtId="4" fontId="12" fillId="2" borderId="81" xfId="0" applyNumberFormat="1" applyFont="1" applyFill="1" applyBorder="1" applyAlignment="1">
      <alignment horizontal="right" wrapText="1"/>
    </xf>
    <xf numFmtId="0" fontId="12" fillId="2" borderId="74" xfId="0" applyFont="1" applyFill="1" applyBorder="1" applyAlignment="1">
      <alignment wrapText="1"/>
    </xf>
    <xf numFmtId="0" fontId="37" fillId="2" borderId="163" xfId="0" applyFont="1" applyFill="1" applyBorder="1" applyAlignment="1">
      <alignment wrapText="1"/>
    </xf>
    <xf numFmtId="4" fontId="37" fillId="2" borderId="81" xfId="0" applyNumberFormat="1" applyFont="1" applyFill="1" applyBorder="1" applyAlignment="1">
      <alignment horizontal="right" wrapText="1"/>
    </xf>
    <xf numFmtId="0" fontId="37" fillId="2" borderId="58" xfId="0" applyFont="1" applyFill="1" applyBorder="1" applyAlignment="1">
      <alignment wrapText="1"/>
    </xf>
    <xf numFmtId="4" fontId="12" fillId="2" borderId="161" xfId="0" applyNumberFormat="1" applyFont="1" applyFill="1" applyBorder="1" applyAlignment="1">
      <alignment horizontal="right" wrapText="1"/>
    </xf>
    <xf numFmtId="0" fontId="12" fillId="2" borderId="165" xfId="0" applyFont="1" applyFill="1" applyBorder="1" applyAlignment="1">
      <alignment wrapText="1"/>
    </xf>
    <xf numFmtId="0" fontId="12" fillId="18" borderId="166" xfId="0" applyFont="1" applyFill="1" applyBorder="1" applyAlignment="1">
      <alignment horizontal="left"/>
    </xf>
    <xf numFmtId="49" fontId="12" fillId="2" borderId="27" xfId="0" applyNumberFormat="1" applyFont="1" applyFill="1" applyBorder="1" applyAlignment="1">
      <alignment horizontal="center"/>
    </xf>
    <xf numFmtId="49" fontId="12" fillId="2" borderId="17" xfId="0" applyNumberFormat="1" applyFont="1" applyFill="1" applyBorder="1" applyAlignment="1">
      <alignment horizontal="center"/>
    </xf>
    <xf numFmtId="49" fontId="12" fillId="2" borderId="42" xfId="0" applyNumberFormat="1" applyFont="1" applyFill="1" applyBorder="1" applyAlignment="1">
      <alignment horizontal="center"/>
    </xf>
    <xf numFmtId="49" fontId="12" fillId="2" borderId="0" xfId="0" applyNumberFormat="1" applyFont="1" applyFill="1" applyAlignment="1">
      <alignment horizontal="center"/>
    </xf>
    <xf numFmtId="43" fontId="12" fillId="2" borderId="15" xfId="0" applyNumberFormat="1" applyFont="1" applyFill="1" applyBorder="1" applyAlignment="1">
      <alignment horizontal="center"/>
    </xf>
    <xf numFmtId="15" fontId="12" fillId="2" borderId="14" xfId="0" applyNumberFormat="1" applyFont="1" applyFill="1" applyBorder="1" applyAlignment="1">
      <alignment horizontal="center"/>
    </xf>
    <xf numFmtId="4" fontId="12" fillId="2" borderId="15" xfId="0" applyNumberFormat="1" applyFont="1" applyFill="1" applyBorder="1" applyAlignment="1">
      <alignment horizontal="right"/>
    </xf>
    <xf numFmtId="0" fontId="12" fillId="2" borderId="43" xfId="0" applyFont="1" applyFill="1" applyBorder="1" applyAlignment="1">
      <alignment horizontal="center"/>
    </xf>
    <xf numFmtId="4" fontId="12" fillId="2" borderId="39" xfId="0" applyNumberFormat="1" applyFont="1" applyFill="1" applyBorder="1" applyAlignment="1">
      <alignment horizontal="right"/>
    </xf>
    <xf numFmtId="187" fontId="6" fillId="2" borderId="39" xfId="1" applyNumberFormat="1" applyFont="1" applyFill="1" applyBorder="1" applyAlignment="1">
      <alignment horizontal="right"/>
    </xf>
    <xf numFmtId="43" fontId="17" fillId="2" borderId="79" xfId="1" applyFont="1" applyFill="1" applyBorder="1" applyAlignment="1">
      <alignment horizontal="center"/>
    </xf>
    <xf numFmtId="187" fontId="6" fillId="2" borderId="15" xfId="1" applyNumberFormat="1" applyFont="1" applyFill="1" applyBorder="1" applyAlignment="1">
      <alignment horizontal="right"/>
    </xf>
    <xf numFmtId="49" fontId="12" fillId="2" borderId="16" xfId="0" applyNumberFormat="1" applyFont="1" applyFill="1" applyBorder="1" applyAlignment="1">
      <alignment horizontal="center"/>
    </xf>
    <xf numFmtId="0" fontId="12" fillId="2" borderId="18" xfId="0" applyFont="1" applyFill="1" applyBorder="1" applyAlignment="1">
      <alignment horizontal="center"/>
    </xf>
    <xf numFmtId="187" fontId="6" fillId="2" borderId="58" xfId="1" applyNumberFormat="1" applyFont="1" applyFill="1" applyBorder="1" applyAlignment="1">
      <alignment horizontal="right"/>
    </xf>
    <xf numFmtId="43" fontId="17" fillId="2" borderId="75" xfId="1" applyFont="1" applyFill="1" applyBorder="1" applyAlignment="1">
      <alignment horizontal="center"/>
    </xf>
    <xf numFmtId="0" fontId="19" fillId="0" borderId="27" xfId="3" applyFont="1" applyBorder="1"/>
    <xf numFmtId="0" fontId="38" fillId="2" borderId="15" xfId="3" applyFont="1" applyFill="1" applyBorder="1"/>
    <xf numFmtId="0" fontId="19" fillId="2" borderId="80" xfId="3" applyFont="1" applyFill="1" applyBorder="1"/>
    <xf numFmtId="0" fontId="19" fillId="2" borderId="167" xfId="3" applyFont="1" applyFill="1" applyBorder="1"/>
    <xf numFmtId="43" fontId="12" fillId="2" borderId="15" xfId="3" applyNumberFormat="1" applyFont="1" applyFill="1" applyBorder="1" applyAlignment="1">
      <alignment horizontal="center"/>
    </xf>
    <xf numFmtId="0" fontId="12" fillId="2" borderId="14" xfId="3" applyFont="1" applyFill="1" applyBorder="1"/>
    <xf numFmtId="0" fontId="12" fillId="0" borderId="0" xfId="0" applyFont="1" applyAlignment="1">
      <alignment horizontal="center"/>
    </xf>
    <xf numFmtId="0" fontId="12" fillId="2" borderId="0" xfId="3" applyFont="1" applyFill="1"/>
    <xf numFmtId="49" fontId="12" fillId="6" borderId="0" xfId="3" applyNumberFormat="1" applyFont="1" applyFill="1" applyAlignment="1">
      <alignment horizontal="center"/>
    </xf>
    <xf numFmtId="49" fontId="12" fillId="2" borderId="0" xfId="3" applyNumberFormat="1" applyFont="1" applyFill="1" applyAlignment="1">
      <alignment horizontal="center"/>
    </xf>
    <xf numFmtId="189" fontId="12" fillId="2" borderId="0" xfId="3" applyNumberFormat="1" applyFont="1" applyFill="1" applyAlignment="1">
      <alignment horizontal="center"/>
    </xf>
    <xf numFmtId="43" fontId="26" fillId="2" borderId="0" xfId="3" applyNumberFormat="1" applyFont="1" applyFill="1" applyAlignment="1">
      <alignment horizontal="center"/>
    </xf>
    <xf numFmtId="0" fontId="19" fillId="2" borderId="0" xfId="3" applyFont="1" applyFill="1"/>
    <xf numFmtId="0" fontId="38" fillId="2" borderId="0" xfId="3" applyFont="1" applyFill="1"/>
    <xf numFmtId="0" fontId="12" fillId="2" borderId="39" xfId="3" applyFont="1" applyFill="1" applyBorder="1"/>
    <xf numFmtId="0" fontId="18" fillId="2" borderId="15" xfId="0" applyFont="1" applyFill="1" applyBorder="1"/>
    <xf numFmtId="0" fontId="18" fillId="2" borderId="20" xfId="0" applyFont="1" applyFill="1" applyBorder="1" applyAlignment="1">
      <alignment horizontal="center"/>
    </xf>
    <xf numFmtId="0" fontId="18" fillId="2" borderId="21" xfId="0" applyFont="1" applyFill="1" applyBorder="1" applyAlignment="1">
      <alignment horizontal="center"/>
    </xf>
    <xf numFmtId="0" fontId="18" fillId="2" borderId="22" xfId="0" applyFont="1" applyFill="1" applyBorder="1" applyAlignment="1">
      <alignment horizontal="center"/>
    </xf>
    <xf numFmtId="0" fontId="18" fillId="2" borderId="19" xfId="0" applyFont="1" applyFill="1" applyBorder="1" applyAlignment="1">
      <alignment horizontal="center"/>
    </xf>
    <xf numFmtId="43" fontId="23" fillId="2" borderId="92" xfId="0" applyNumberFormat="1" applyFont="1" applyFill="1" applyBorder="1" applyAlignment="1">
      <alignment horizontal="center"/>
    </xf>
    <xf numFmtId="0" fontId="15" fillId="2" borderId="27" xfId="0" applyFont="1" applyFill="1" applyBorder="1"/>
    <xf numFmtId="43" fontId="5" fillId="2" borderId="19" xfId="1" applyFont="1" applyFill="1" applyBorder="1" applyAlignment="1">
      <alignment horizontal="center"/>
    </xf>
    <xf numFmtId="187" fontId="6" fillId="2" borderId="19" xfId="1" applyNumberFormat="1" applyFont="1" applyFill="1" applyBorder="1" applyAlignment="1">
      <alignment horizontal="right"/>
    </xf>
    <xf numFmtId="0" fontId="15" fillId="2" borderId="22" xfId="0" applyFont="1" applyFill="1" applyBorder="1" applyAlignment="1">
      <alignment horizontal="center"/>
    </xf>
    <xf numFmtId="0" fontId="5" fillId="2" borderId="78" xfId="0" applyFont="1" applyFill="1" applyBorder="1" applyAlignment="1">
      <alignment horizontal="center"/>
    </xf>
    <xf numFmtId="43" fontId="5" fillId="0" borderId="14" xfId="1" applyFont="1" applyFill="1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5" fillId="2" borderId="22" xfId="0" applyFont="1" applyFill="1" applyBorder="1"/>
    <xf numFmtId="49" fontId="6" fillId="2" borderId="20" xfId="0" applyNumberFormat="1" applyFont="1" applyFill="1" applyBorder="1" applyAlignment="1">
      <alignment horizontal="center"/>
    </xf>
    <xf numFmtId="43" fontId="20" fillId="2" borderId="20" xfId="1" applyFont="1" applyFill="1" applyBorder="1" applyAlignment="1">
      <alignment horizontal="right"/>
    </xf>
    <xf numFmtId="0" fontId="10" fillId="0" borderId="20" xfId="0" applyFont="1" applyBorder="1" applyAlignment="1">
      <alignment horizontal="left"/>
    </xf>
    <xf numFmtId="0" fontId="10" fillId="5" borderId="15" xfId="0" applyFont="1" applyFill="1" applyBorder="1" applyAlignment="1">
      <alignment horizontal="left"/>
    </xf>
    <xf numFmtId="0" fontId="5" fillId="2" borderId="22" xfId="0" applyFont="1" applyFill="1" applyBorder="1" applyAlignment="1">
      <alignment horizontal="center"/>
    </xf>
    <xf numFmtId="49" fontId="6" fillId="3" borderId="59" xfId="0" applyNumberFormat="1" applyFont="1" applyFill="1" applyBorder="1" applyAlignment="1">
      <alignment horizontal="center" vertical="center"/>
    </xf>
    <xf numFmtId="0" fontId="10" fillId="0" borderId="21" xfId="0" applyFont="1" applyBorder="1"/>
    <xf numFmtId="0" fontId="6" fillId="3" borderId="6" xfId="0" applyFont="1" applyFill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5" fillId="2" borderId="18" xfId="0" applyFont="1" applyFill="1" applyBorder="1" applyAlignment="1">
      <alignment horizontal="center"/>
    </xf>
    <xf numFmtId="0" fontId="5" fillId="2" borderId="16" xfId="0" applyFont="1" applyFill="1" applyBorder="1"/>
    <xf numFmtId="0" fontId="5" fillId="2" borderId="17" xfId="0" applyFont="1" applyFill="1" applyBorder="1"/>
    <xf numFmtId="43" fontId="20" fillId="2" borderId="14" xfId="0" applyNumberFormat="1" applyFont="1" applyFill="1" applyBorder="1"/>
    <xf numFmtId="0" fontId="10" fillId="0" borderId="17" xfId="0" applyFont="1" applyBorder="1"/>
    <xf numFmtId="0" fontId="6" fillId="2" borderId="60" xfId="0" applyFont="1" applyFill="1" applyBorder="1" applyAlignment="1">
      <alignment horizontal="center" vertical="center"/>
    </xf>
    <xf numFmtId="0" fontId="12" fillId="2" borderId="39" xfId="0" applyFont="1" applyFill="1" applyBorder="1" applyAlignment="1">
      <alignment horizontal="left" wrapText="1" shrinkToFit="1"/>
    </xf>
    <xf numFmtId="49" fontId="6" fillId="2" borderId="20" xfId="0" applyNumberFormat="1" applyFont="1" applyFill="1" applyBorder="1"/>
    <xf numFmtId="49" fontId="6" fillId="2" borderId="21" xfId="0" applyNumberFormat="1" applyFont="1" applyFill="1" applyBorder="1"/>
    <xf numFmtId="49" fontId="6" fillId="2" borderId="22" xfId="0" applyNumberFormat="1" applyFont="1" applyFill="1" applyBorder="1" applyAlignment="1">
      <alignment horizontal="right"/>
    </xf>
    <xf numFmtId="0" fontId="10" fillId="2" borderId="21" xfId="0" applyFont="1" applyFill="1" applyBorder="1" applyAlignment="1">
      <alignment horizontal="left" vertical="center"/>
    </xf>
    <xf numFmtId="0" fontId="5" fillId="2" borderId="101" xfId="0" applyFont="1" applyFill="1" applyBorder="1" applyAlignment="1">
      <alignment horizontal="center"/>
    </xf>
    <xf numFmtId="49" fontId="6" fillId="2" borderId="0" xfId="0" applyNumberFormat="1" applyFont="1" applyFill="1"/>
    <xf numFmtId="49" fontId="6" fillId="2" borderId="0" xfId="0" applyNumberFormat="1" applyFont="1" applyFill="1" applyAlignment="1">
      <alignment horizontal="center"/>
    </xf>
    <xf numFmtId="49" fontId="6" fillId="2" borderId="0" xfId="0" applyNumberFormat="1" applyFont="1" applyFill="1" applyAlignment="1">
      <alignment horizontal="right"/>
    </xf>
    <xf numFmtId="43" fontId="20" fillId="2" borderId="0" xfId="1" applyFont="1" applyFill="1" applyBorder="1" applyAlignment="1">
      <alignment horizontal="right"/>
    </xf>
    <xf numFmtId="0" fontId="10" fillId="2" borderId="0" xfId="0" applyFont="1" applyFill="1" applyAlignment="1">
      <alignment horizontal="left" vertical="center"/>
    </xf>
    <xf numFmtId="49" fontId="6" fillId="3" borderId="97" xfId="0" applyNumberFormat="1" applyFont="1" applyFill="1" applyBorder="1" applyAlignment="1">
      <alignment horizontal="right"/>
    </xf>
    <xf numFmtId="43" fontId="6" fillId="3" borderId="97" xfId="1" applyFont="1" applyFill="1" applyBorder="1" applyAlignment="1">
      <alignment horizontal="right"/>
    </xf>
    <xf numFmtId="0" fontId="10" fillId="3" borderId="97" xfId="0" applyFont="1" applyFill="1" applyBorder="1" applyAlignment="1">
      <alignment horizontal="left" vertical="top"/>
    </xf>
    <xf numFmtId="0" fontId="5" fillId="2" borderId="155" xfId="0" applyFont="1" applyFill="1" applyBorder="1" applyAlignment="1">
      <alignment horizontal="left" vertical="top" wrapText="1"/>
    </xf>
    <xf numFmtId="49" fontId="5" fillId="2" borderId="154" xfId="0" applyNumberFormat="1" applyFont="1" applyFill="1" applyBorder="1" applyAlignment="1">
      <alignment horizontal="center" vertical="top"/>
    </xf>
    <xf numFmtId="49" fontId="5" fillId="2" borderId="42" xfId="0" applyNumberFormat="1" applyFont="1" applyFill="1" applyBorder="1" applyAlignment="1">
      <alignment horizontal="center" vertical="top"/>
    </xf>
    <xf numFmtId="49" fontId="5" fillId="2" borderId="155" xfId="0" applyNumberFormat="1" applyFont="1" applyFill="1" applyBorder="1" applyAlignment="1">
      <alignment horizontal="center" vertical="top"/>
    </xf>
    <xf numFmtId="49" fontId="5" fillId="2" borderId="105" xfId="0" applyNumberFormat="1" applyFont="1" applyFill="1" applyBorder="1" applyAlignment="1">
      <alignment horizontal="center" vertical="top"/>
    </xf>
    <xf numFmtId="43" fontId="5" fillId="2" borderId="105" xfId="1" applyFont="1" applyFill="1" applyBorder="1" applyAlignment="1">
      <alignment horizontal="right" vertical="top"/>
    </xf>
    <xf numFmtId="49" fontId="6" fillId="2" borderId="19" xfId="0" applyNumberFormat="1" applyFont="1" applyFill="1" applyBorder="1"/>
    <xf numFmtId="0" fontId="10" fillId="2" borderId="21" xfId="0" applyFont="1" applyFill="1" applyBorder="1" applyAlignment="1">
      <alignment horizontal="left" vertical="top"/>
    </xf>
    <xf numFmtId="0" fontId="6" fillId="3" borderId="97" xfId="0" applyFont="1" applyFill="1" applyBorder="1" applyAlignment="1">
      <alignment horizontal="center"/>
    </xf>
    <xf numFmtId="49" fontId="6" fillId="3" borderId="97" xfId="0" applyNumberFormat="1" applyFont="1" applyFill="1" applyBorder="1" applyAlignment="1">
      <alignment horizontal="center"/>
    </xf>
    <xf numFmtId="0" fontId="4" fillId="3" borderId="97" xfId="0" applyFont="1" applyFill="1" applyBorder="1" applyAlignment="1">
      <alignment horizontal="left" vertical="center"/>
    </xf>
    <xf numFmtId="0" fontId="5" fillId="2" borderId="58" xfId="0" applyFont="1" applyFill="1" applyBorder="1"/>
    <xf numFmtId="0" fontId="6" fillId="3" borderId="59" xfId="0" applyFont="1" applyFill="1" applyBorder="1" applyAlignment="1">
      <alignment horizontal="center"/>
    </xf>
    <xf numFmtId="0" fontId="5" fillId="3" borderId="60" xfId="0" applyFont="1" applyFill="1" applyBorder="1" applyAlignment="1">
      <alignment horizontal="center"/>
    </xf>
    <xf numFmtId="0" fontId="5" fillId="3" borderId="0" xfId="0" applyFont="1" applyFill="1"/>
    <xf numFmtId="0" fontId="15" fillId="3" borderId="0" xfId="0" applyFont="1" applyFill="1" applyAlignment="1">
      <alignment horizontal="center"/>
    </xf>
    <xf numFmtId="43" fontId="5" fillId="2" borderId="15" xfId="1" applyFont="1" applyFill="1" applyBorder="1"/>
    <xf numFmtId="0" fontId="12" fillId="2" borderId="15" xfId="0" applyFont="1" applyFill="1" applyBorder="1" applyAlignment="1">
      <alignment shrinkToFit="1"/>
    </xf>
    <xf numFmtId="43" fontId="12" fillId="2" borderId="14" xfId="4" applyFont="1" applyFill="1" applyBorder="1"/>
    <xf numFmtId="0" fontId="12" fillId="2" borderId="15" xfId="0" applyFont="1" applyFill="1" applyBorder="1" applyAlignment="1">
      <alignment horizontal="left" shrinkToFit="1"/>
    </xf>
    <xf numFmtId="49" fontId="5" fillId="2" borderId="43" xfId="0" quotePrefix="1" applyNumberFormat="1" applyFont="1" applyFill="1" applyBorder="1" applyAlignment="1">
      <alignment horizontal="center"/>
    </xf>
    <xf numFmtId="0" fontId="28" fillId="18" borderId="15" xfId="0" applyFont="1" applyFill="1" applyBorder="1" applyAlignment="1" applyProtection="1">
      <alignment horizontal="left"/>
      <protection locked="0"/>
    </xf>
    <xf numFmtId="0" fontId="12" fillId="18" borderId="15" xfId="0" applyFont="1" applyFill="1" applyBorder="1" applyAlignment="1" applyProtection="1">
      <alignment horizontal="left"/>
      <protection locked="0"/>
    </xf>
    <xf numFmtId="0" fontId="12" fillId="18" borderId="14" xfId="0" applyFont="1" applyFill="1" applyBorder="1" applyAlignment="1" applyProtection="1">
      <alignment horizontal="left"/>
      <protection locked="0"/>
    </xf>
    <xf numFmtId="43" fontId="20" fillId="2" borderId="19" xfId="1" applyFont="1" applyFill="1" applyBorder="1"/>
    <xf numFmtId="0" fontId="28" fillId="9" borderId="27" xfId="3" applyFont="1" applyFill="1" applyBorder="1"/>
    <xf numFmtId="43" fontId="26" fillId="2" borderId="0" xfId="4" applyFont="1" applyFill="1" applyBorder="1" applyAlignment="1">
      <alignment horizontal="center"/>
    </xf>
    <xf numFmtId="0" fontId="28" fillId="0" borderId="0" xfId="3" applyFont="1"/>
    <xf numFmtId="187" fontId="5" fillId="0" borderId="0" xfId="1" applyNumberFormat="1" applyFont="1" applyFill="1" applyBorder="1" applyAlignment="1">
      <alignment horizontal="right"/>
    </xf>
    <xf numFmtId="187" fontId="6" fillId="0" borderId="0" xfId="1" applyNumberFormat="1" applyFont="1" applyFill="1" applyBorder="1" applyAlignment="1">
      <alignment horizontal="right"/>
    </xf>
    <xf numFmtId="43" fontId="5" fillId="0" borderId="0" xfId="1" applyFont="1" applyFill="1" applyBorder="1" applyAlignment="1">
      <alignment horizontal="right"/>
    </xf>
    <xf numFmtId="0" fontId="34" fillId="0" borderId="0" xfId="0" applyFont="1" applyAlignment="1">
      <alignment horizontal="center"/>
    </xf>
    <xf numFmtId="0" fontId="10" fillId="0" borderId="169" xfId="0" applyFont="1" applyBorder="1" applyAlignment="1">
      <alignment horizontal="center"/>
    </xf>
    <xf numFmtId="43" fontId="6" fillId="3" borderId="97" xfId="2" applyNumberFormat="1" applyFont="1" applyFill="1" applyBorder="1" applyAlignment="1">
      <alignment vertical="center"/>
    </xf>
    <xf numFmtId="0" fontId="4" fillId="3" borderId="97" xfId="2" applyFont="1" applyFill="1" applyBorder="1" applyAlignment="1">
      <alignment vertical="center"/>
    </xf>
    <xf numFmtId="0" fontId="12" fillId="0" borderId="39" xfId="0" applyFont="1" applyBorder="1" applyAlignment="1">
      <alignment horizontal="left" shrinkToFit="1"/>
    </xf>
    <xf numFmtId="49" fontId="23" fillId="3" borderId="65" xfId="0" applyNumberFormat="1" applyFont="1" applyFill="1" applyBorder="1" applyAlignment="1">
      <alignment horizontal="center" vertical="center"/>
    </xf>
    <xf numFmtId="43" fontId="23" fillId="3" borderId="66" xfId="0" applyNumberFormat="1" applyFont="1" applyFill="1" applyBorder="1" applyAlignment="1">
      <alignment horizontal="center" vertical="center"/>
    </xf>
    <xf numFmtId="0" fontId="12" fillId="0" borderId="39" xfId="0" applyFont="1" applyBorder="1" applyAlignment="1">
      <alignment horizontal="left" wrapText="1" shrinkToFit="1"/>
    </xf>
    <xf numFmtId="187" fontId="5" fillId="2" borderId="15" xfId="1" applyNumberFormat="1" applyFont="1" applyFill="1" applyBorder="1" applyAlignment="1">
      <alignment horizontal="center"/>
    </xf>
    <xf numFmtId="0" fontId="10" fillId="11" borderId="14" xfId="2" applyFont="1" applyFill="1" applyBorder="1" applyAlignment="1">
      <alignment horizontal="left" wrapText="1"/>
    </xf>
    <xf numFmtId="187" fontId="5" fillId="2" borderId="14" xfId="1" applyNumberFormat="1" applyFont="1" applyFill="1" applyBorder="1" applyAlignment="1">
      <alignment horizontal="center"/>
    </xf>
    <xf numFmtId="0" fontId="10" fillId="2" borderId="19" xfId="2" applyFont="1" applyFill="1" applyBorder="1" applyAlignment="1">
      <alignment horizontal="left" wrapText="1"/>
    </xf>
    <xf numFmtId="187" fontId="5" fillId="2" borderId="19" xfId="1" applyNumberFormat="1" applyFont="1" applyFill="1" applyBorder="1" applyAlignment="1">
      <alignment horizontal="center"/>
    </xf>
    <xf numFmtId="15" fontId="5" fillId="0" borderId="19" xfId="0" applyNumberFormat="1" applyFont="1" applyBorder="1"/>
    <xf numFmtId="43" fontId="40" fillId="0" borderId="19" xfId="0" applyNumberFormat="1" applyFont="1" applyBorder="1"/>
    <xf numFmtId="49" fontId="5" fillId="2" borderId="8" xfId="0" applyNumberFormat="1" applyFont="1" applyFill="1" applyBorder="1" applyAlignment="1">
      <alignment horizontal="center"/>
    </xf>
    <xf numFmtId="43" fontId="20" fillId="0" borderId="99" xfId="0" applyNumberFormat="1" applyFont="1" applyBorder="1"/>
    <xf numFmtId="43" fontId="6" fillId="3" borderId="97" xfId="1" applyFont="1" applyFill="1" applyBorder="1" applyAlignment="1">
      <alignment horizontal="center" vertical="center"/>
    </xf>
    <xf numFmtId="0" fontId="4" fillId="3" borderId="97" xfId="0" applyFont="1" applyFill="1" applyBorder="1" applyAlignment="1">
      <alignment horizontal="center" vertical="center"/>
    </xf>
    <xf numFmtId="0" fontId="27" fillId="2" borderId="79" xfId="0" applyFont="1" applyFill="1" applyBorder="1" applyAlignment="1">
      <alignment horizontal="center"/>
    </xf>
    <xf numFmtId="0" fontId="12" fillId="2" borderId="27" xfId="3" applyFont="1" applyFill="1" applyBorder="1"/>
    <xf numFmtId="0" fontId="18" fillId="2" borderId="15" xfId="3" applyFont="1" applyFill="1" applyBorder="1"/>
    <xf numFmtId="0" fontId="12" fillId="2" borderId="64" xfId="3" applyFont="1" applyFill="1" applyBorder="1"/>
    <xf numFmtId="0" fontId="12" fillId="2" borderId="80" xfId="3" applyFont="1" applyFill="1" applyBorder="1"/>
    <xf numFmtId="0" fontId="12" fillId="2" borderId="167" xfId="3" applyFont="1" applyFill="1" applyBorder="1"/>
    <xf numFmtId="0" fontId="6" fillId="2" borderId="19" xfId="0" applyFont="1" applyFill="1" applyBorder="1"/>
    <xf numFmtId="0" fontId="10" fillId="2" borderId="21" xfId="0" applyFont="1" applyFill="1" applyBorder="1" applyAlignment="1">
      <alignment horizontal="left"/>
    </xf>
    <xf numFmtId="0" fontId="27" fillId="2" borderId="22" xfId="0" applyFont="1" applyFill="1" applyBorder="1" applyAlignment="1">
      <alignment horizontal="center"/>
    </xf>
    <xf numFmtId="0" fontId="8" fillId="3" borderId="97" xfId="0" applyFont="1" applyFill="1" applyBorder="1"/>
    <xf numFmtId="0" fontId="10" fillId="8" borderId="79" xfId="0" applyFont="1" applyFill="1" applyBorder="1" applyAlignment="1">
      <alignment horizontal="left"/>
    </xf>
    <xf numFmtId="0" fontId="41" fillId="2" borderId="39" xfId="0" applyFont="1" applyFill="1" applyBorder="1"/>
    <xf numFmtId="0" fontId="10" fillId="8" borderId="15" xfId="0" applyFont="1" applyFill="1" applyBorder="1" applyAlignment="1">
      <alignment horizontal="left"/>
    </xf>
    <xf numFmtId="0" fontId="27" fillId="2" borderId="43" xfId="0" applyFont="1" applyFill="1" applyBorder="1" applyAlignment="1">
      <alignment horizontal="center"/>
    </xf>
    <xf numFmtId="0" fontId="10" fillId="8" borderId="14" xfId="0" applyFont="1" applyFill="1" applyBorder="1" applyAlignment="1">
      <alignment horizontal="left"/>
    </xf>
    <xf numFmtId="0" fontId="5" fillId="2" borderId="14" xfId="0" applyFont="1" applyFill="1" applyBorder="1" applyAlignment="1">
      <alignment horizontal="left" vertical="top" wrapText="1"/>
    </xf>
    <xf numFmtId="0" fontId="27" fillId="2" borderId="19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left" vertical="top" wrapText="1"/>
    </xf>
    <xf numFmtId="0" fontId="23" fillId="3" borderId="6" xfId="3" applyFont="1" applyFill="1" applyBorder="1" applyAlignment="1">
      <alignment horizontal="center" vertical="center"/>
    </xf>
    <xf numFmtId="0" fontId="12" fillId="2" borderId="78" xfId="3" applyFont="1" applyFill="1" applyBorder="1"/>
    <xf numFmtId="49" fontId="12" fillId="2" borderId="101" xfId="3" applyNumberFormat="1" applyFont="1" applyFill="1" applyBorder="1" applyAlignment="1">
      <alignment horizontal="center"/>
    </xf>
    <xf numFmtId="49" fontId="12" fillId="2" borderId="42" xfId="3" applyNumberFormat="1" applyFont="1" applyFill="1" applyBorder="1" applyAlignment="1">
      <alignment horizontal="center"/>
    </xf>
    <xf numFmtId="189" fontId="12" fillId="2" borderId="39" xfId="3" applyNumberFormat="1" applyFont="1" applyFill="1" applyBorder="1" applyAlignment="1">
      <alignment horizontal="center"/>
    </xf>
    <xf numFmtId="43" fontId="12" fillId="2" borderId="39" xfId="4" applyFont="1" applyFill="1" applyBorder="1" applyAlignment="1">
      <alignment horizontal="center"/>
    </xf>
    <xf numFmtId="0" fontId="12" fillId="2" borderId="42" xfId="3" applyFont="1" applyFill="1" applyBorder="1"/>
    <xf numFmtId="0" fontId="18" fillId="2" borderId="39" xfId="3" applyFont="1" applyFill="1" applyBorder="1"/>
    <xf numFmtId="0" fontId="12" fillId="2" borderId="72" xfId="3" applyFont="1" applyFill="1" applyBorder="1"/>
    <xf numFmtId="0" fontId="19" fillId="2" borderId="72" xfId="3" applyFont="1" applyFill="1" applyBorder="1"/>
    <xf numFmtId="49" fontId="12" fillId="6" borderId="35" xfId="3" applyNumberFormat="1" applyFont="1" applyFill="1" applyBorder="1" applyAlignment="1">
      <alignment horizontal="center"/>
    </xf>
    <xf numFmtId="49" fontId="12" fillId="2" borderId="46" xfId="3" applyNumberFormat="1" applyFont="1" applyFill="1" applyBorder="1" applyAlignment="1">
      <alignment horizontal="center"/>
    </xf>
    <xf numFmtId="0" fontId="12" fillId="2" borderId="19" xfId="3" applyFont="1" applyFill="1" applyBorder="1"/>
    <xf numFmtId="0" fontId="19" fillId="2" borderId="19" xfId="3" applyFont="1" applyFill="1" applyBorder="1"/>
    <xf numFmtId="0" fontId="12" fillId="2" borderId="101" xfId="3" applyFont="1" applyFill="1" applyBorder="1" applyAlignment="1">
      <alignment horizontal="center" vertical="center"/>
    </xf>
    <xf numFmtId="0" fontId="13" fillId="0" borderId="0" xfId="3" applyFont="1"/>
    <xf numFmtId="0" fontId="18" fillId="2" borderId="0" xfId="3" applyFont="1" applyFill="1"/>
    <xf numFmtId="0" fontId="29" fillId="2" borderId="39" xfId="0" applyFont="1" applyFill="1" applyBorder="1"/>
    <xf numFmtId="49" fontId="29" fillId="2" borderId="42" xfId="0" applyNumberFormat="1" applyFont="1" applyFill="1" applyBorder="1" applyAlignment="1">
      <alignment horizontal="center"/>
    </xf>
    <xf numFmtId="0" fontId="29" fillId="2" borderId="42" xfId="0" applyFont="1" applyFill="1" applyBorder="1" applyAlignment="1">
      <alignment horizontal="center"/>
    </xf>
    <xf numFmtId="49" fontId="29" fillId="2" borderId="79" xfId="0" applyNumberFormat="1" applyFont="1" applyFill="1" applyBorder="1" applyAlignment="1">
      <alignment horizontal="center"/>
    </xf>
    <xf numFmtId="49" fontId="29" fillId="2" borderId="39" xfId="0" applyNumberFormat="1" applyFont="1" applyFill="1" applyBorder="1" applyAlignment="1">
      <alignment horizontal="center"/>
    </xf>
    <xf numFmtId="43" fontId="29" fillId="2" borderId="39" xfId="1" applyFont="1" applyFill="1" applyBorder="1" applyAlignment="1">
      <alignment horizontal="right"/>
    </xf>
    <xf numFmtId="0" fontId="29" fillId="2" borderId="39" xfId="0" applyFont="1" applyFill="1" applyBorder="1" applyAlignment="1">
      <alignment horizontal="center" vertical="top" wrapText="1"/>
    </xf>
    <xf numFmtId="0" fontId="29" fillId="2" borderId="15" xfId="0" applyFont="1" applyFill="1" applyBorder="1" applyAlignment="1">
      <alignment horizontal="center"/>
    </xf>
    <xf numFmtId="0" fontId="42" fillId="0" borderId="15" xfId="0" applyFont="1" applyBorder="1" applyAlignment="1" applyProtection="1">
      <alignment horizontal="left"/>
      <protection locked="0"/>
    </xf>
    <xf numFmtId="49" fontId="29" fillId="2" borderId="15" xfId="0" applyNumberFormat="1" applyFont="1" applyFill="1" applyBorder="1" applyAlignment="1">
      <alignment horizontal="center"/>
    </xf>
    <xf numFmtId="43" fontId="42" fillId="0" borderId="15" xfId="1" applyFont="1" applyFill="1" applyBorder="1" applyAlignment="1" applyProtection="1">
      <alignment horizontal="right"/>
      <protection locked="0"/>
    </xf>
    <xf numFmtId="0" fontId="12" fillId="3" borderId="170" xfId="3" applyFont="1" applyFill="1" applyBorder="1"/>
    <xf numFmtId="0" fontId="12" fillId="3" borderId="171" xfId="3" applyFont="1" applyFill="1" applyBorder="1"/>
    <xf numFmtId="0" fontId="12" fillId="3" borderId="172" xfId="3" applyFont="1" applyFill="1" applyBorder="1"/>
    <xf numFmtId="0" fontId="12" fillId="7" borderId="80" xfId="3" applyFont="1" applyFill="1" applyBorder="1"/>
    <xf numFmtId="0" fontId="12" fillId="7" borderId="167" xfId="3" applyFont="1" applyFill="1" applyBorder="1"/>
    <xf numFmtId="49" fontId="12" fillId="2" borderId="37" xfId="3" applyNumberFormat="1" applyFont="1" applyFill="1" applyBorder="1" applyAlignment="1">
      <alignment horizontal="center"/>
    </xf>
    <xf numFmtId="0" fontId="12" fillId="2" borderId="173" xfId="3" applyFont="1" applyFill="1" applyBorder="1"/>
    <xf numFmtId="0" fontId="12" fillId="2" borderId="0" xfId="3" applyFont="1" applyFill="1" applyAlignment="1">
      <alignment horizontal="center" vertical="center"/>
    </xf>
    <xf numFmtId="0" fontId="12" fillId="0" borderId="0" xfId="3" applyFont="1"/>
    <xf numFmtId="0" fontId="6" fillId="15" borderId="72" xfId="0" applyFont="1" applyFill="1" applyBorder="1" applyAlignment="1">
      <alignment horizontal="center"/>
    </xf>
    <xf numFmtId="0" fontId="6" fillId="15" borderId="60" xfId="0" applyFont="1" applyFill="1" applyBorder="1"/>
    <xf numFmtId="0" fontId="5" fillId="15" borderId="60" xfId="0" applyFont="1" applyFill="1" applyBorder="1" applyAlignment="1">
      <alignment horizontal="center"/>
    </xf>
    <xf numFmtId="43" fontId="5" fillId="15" borderId="60" xfId="0" applyNumberFormat="1" applyFont="1" applyFill="1" applyBorder="1"/>
    <xf numFmtId="0" fontId="10" fillId="15" borderId="60" xfId="0" applyFont="1" applyFill="1" applyBorder="1"/>
    <xf numFmtId="0" fontId="5" fillId="0" borderId="9" xfId="2" applyFont="1" applyBorder="1" applyAlignment="1">
      <alignment horizontal="center" vertical="center" wrapText="1"/>
    </xf>
    <xf numFmtId="0" fontId="5" fillId="2" borderId="1" xfId="0" applyFont="1" applyFill="1" applyBorder="1" applyAlignment="1">
      <alignment vertical="top" wrapText="1"/>
    </xf>
    <xf numFmtId="0" fontId="5" fillId="2" borderId="22" xfId="2" applyFont="1" applyFill="1" applyBorder="1" applyAlignment="1">
      <alignment horizontal="center" vertical="top" wrapText="1"/>
    </xf>
    <xf numFmtId="43" fontId="10" fillId="2" borderId="9" xfId="2" applyNumberFormat="1" applyFont="1" applyFill="1" applyBorder="1" applyAlignment="1">
      <alignment vertical="top" wrapText="1"/>
    </xf>
    <xf numFmtId="0" fontId="5" fillId="2" borderId="75" xfId="0" applyFont="1" applyFill="1" applyBorder="1"/>
    <xf numFmtId="43" fontId="15" fillId="2" borderId="58" xfId="1" applyFont="1" applyFill="1" applyBorder="1" applyAlignment="1">
      <alignment horizontal="center"/>
    </xf>
    <xf numFmtId="0" fontId="10" fillId="15" borderId="14" xfId="0" applyFont="1" applyFill="1" applyBorder="1" applyAlignment="1">
      <alignment horizontal="left"/>
    </xf>
    <xf numFmtId="0" fontId="5" fillId="2" borderId="18" xfId="0" applyFont="1" applyFill="1" applyBorder="1" applyAlignment="1">
      <alignment vertical="top"/>
    </xf>
    <xf numFmtId="0" fontId="5" fillId="2" borderId="16" xfId="0" applyFont="1" applyFill="1" applyBorder="1" applyAlignment="1">
      <alignment horizontal="center" vertical="top"/>
    </xf>
    <xf numFmtId="0" fontId="5" fillId="2" borderId="17" xfId="0" applyFont="1" applyFill="1" applyBorder="1" applyAlignment="1">
      <alignment horizontal="center" vertical="top"/>
    </xf>
    <xf numFmtId="49" fontId="5" fillId="2" borderId="15" xfId="0" applyNumberFormat="1" applyFont="1" applyFill="1" applyBorder="1" applyAlignment="1">
      <alignment horizontal="center" vertical="top"/>
    </xf>
    <xf numFmtId="43" fontId="5" fillId="2" borderId="14" xfId="1" applyFont="1" applyFill="1" applyBorder="1" applyAlignment="1">
      <alignment horizontal="right" vertical="top"/>
    </xf>
    <xf numFmtId="43" fontId="5" fillId="0" borderId="14" xfId="1" applyFont="1" applyFill="1" applyBorder="1" applyAlignment="1">
      <alignment horizontal="right" vertical="top"/>
    </xf>
    <xf numFmtId="4" fontId="6" fillId="0" borderId="14" xfId="1" applyNumberFormat="1" applyFont="1" applyFill="1" applyBorder="1" applyAlignment="1">
      <alignment horizontal="right" vertical="top"/>
    </xf>
    <xf numFmtId="4" fontId="5" fillId="0" borderId="14" xfId="1" applyNumberFormat="1" applyFont="1" applyFill="1" applyBorder="1" applyAlignment="1">
      <alignment horizontal="right" vertical="top"/>
    </xf>
    <xf numFmtId="0" fontId="8" fillId="3" borderId="97" xfId="0" applyFont="1" applyFill="1" applyBorder="1" applyAlignment="1">
      <alignment horizontal="center" vertical="center"/>
    </xf>
    <xf numFmtId="43" fontId="8" fillId="3" borderId="97" xfId="0" applyNumberFormat="1" applyFont="1" applyFill="1" applyBorder="1" applyAlignment="1">
      <alignment horizontal="center" vertical="center"/>
    </xf>
    <xf numFmtId="43" fontId="44" fillId="3" borderId="97" xfId="1" applyFont="1" applyFill="1" applyBorder="1" applyAlignment="1">
      <alignment horizontal="center" vertical="top" wrapText="1"/>
    </xf>
    <xf numFmtId="43" fontId="45" fillId="3" borderId="97" xfId="1" applyFont="1" applyFill="1" applyBorder="1" applyAlignment="1">
      <alignment horizontal="center" vertical="top" wrapText="1"/>
    </xf>
    <xf numFmtId="187" fontId="45" fillId="3" borderId="97" xfId="1" applyNumberFormat="1" applyFont="1" applyFill="1" applyBorder="1" applyAlignment="1">
      <alignment horizontal="center" vertical="top" wrapText="1"/>
    </xf>
    <xf numFmtId="0" fontId="5" fillId="2" borderId="27" xfId="0" applyFont="1" applyFill="1" applyBorder="1" applyAlignment="1">
      <alignment horizontal="center" vertical="top"/>
    </xf>
    <xf numFmtId="43" fontId="5" fillId="2" borderId="15" xfId="1" applyFont="1" applyFill="1" applyBorder="1" applyAlignment="1">
      <alignment horizontal="right" vertical="top"/>
    </xf>
    <xf numFmtId="43" fontId="5" fillId="0" borderId="64" xfId="1" applyFont="1" applyFill="1" applyBorder="1" applyAlignment="1">
      <alignment horizontal="right"/>
    </xf>
    <xf numFmtId="187" fontId="5" fillId="0" borderId="64" xfId="1" applyNumberFormat="1" applyFont="1" applyFill="1" applyBorder="1" applyAlignment="1">
      <alignment horizontal="right"/>
    </xf>
    <xf numFmtId="0" fontId="5" fillId="2" borderId="15" xfId="0" applyFont="1" applyFill="1" applyBorder="1" applyAlignment="1">
      <alignment horizontal="center" vertical="center" wrapText="1"/>
    </xf>
    <xf numFmtId="43" fontId="12" fillId="2" borderId="39" xfId="1" applyFont="1" applyFill="1" applyBorder="1" applyAlignment="1">
      <alignment horizontal="center"/>
    </xf>
    <xf numFmtId="0" fontId="12" fillId="0" borderId="15" xfId="0" applyFont="1" applyBorder="1" applyAlignment="1">
      <alignment horizontal="left" shrinkToFit="1"/>
    </xf>
    <xf numFmtId="0" fontId="12" fillId="2" borderId="39" xfId="3" applyFont="1" applyFill="1" applyBorder="1" applyAlignment="1">
      <alignment vertical="top"/>
    </xf>
    <xf numFmtId="49" fontId="12" fillId="6" borderId="35" xfId="3" applyNumberFormat="1" applyFont="1" applyFill="1" applyBorder="1" applyAlignment="1">
      <alignment horizontal="center" vertical="top"/>
    </xf>
    <xf numFmtId="49" fontId="12" fillId="2" borderId="46" xfId="3" applyNumberFormat="1" applyFont="1" applyFill="1" applyBorder="1" applyAlignment="1">
      <alignment horizontal="center" vertical="top"/>
    </xf>
    <xf numFmtId="49" fontId="12" fillId="2" borderId="37" xfId="3" applyNumberFormat="1" applyFont="1" applyFill="1" applyBorder="1" applyAlignment="1">
      <alignment horizontal="center" vertical="top"/>
    </xf>
    <xf numFmtId="189" fontId="12" fillId="2" borderId="39" xfId="3" applyNumberFormat="1" applyFont="1" applyFill="1" applyBorder="1" applyAlignment="1">
      <alignment horizontal="center" vertical="top"/>
    </xf>
    <xf numFmtId="187" fontId="12" fillId="2" borderId="39" xfId="4" applyNumberFormat="1" applyFont="1" applyFill="1" applyBorder="1" applyAlignment="1">
      <alignment horizontal="center" vertical="top"/>
    </xf>
    <xf numFmtId="0" fontId="19" fillId="2" borderId="80" xfId="3" applyFont="1" applyFill="1" applyBorder="1" applyAlignment="1">
      <alignment vertical="top"/>
    </xf>
    <xf numFmtId="0" fontId="19" fillId="2" borderId="167" xfId="3" applyFont="1" applyFill="1" applyBorder="1" applyAlignment="1">
      <alignment vertical="top"/>
    </xf>
    <xf numFmtId="0" fontId="18" fillId="2" borderId="15" xfId="3" applyFont="1" applyFill="1" applyBorder="1" applyAlignment="1">
      <alignment vertical="top"/>
    </xf>
    <xf numFmtId="0" fontId="12" fillId="2" borderId="15" xfId="3" applyFont="1" applyFill="1" applyBorder="1" applyAlignment="1">
      <alignment vertical="top"/>
    </xf>
    <xf numFmtId="43" fontId="5" fillId="2" borderId="9" xfId="1" applyFont="1" applyFill="1" applyBorder="1" applyAlignment="1">
      <alignment horizontal="right"/>
    </xf>
    <xf numFmtId="0" fontId="5" fillId="3" borderId="1" xfId="0" applyFont="1" applyFill="1" applyBorder="1"/>
    <xf numFmtId="43" fontId="5" fillId="3" borderId="1" xfId="0" applyNumberFormat="1" applyFont="1" applyFill="1" applyBorder="1"/>
    <xf numFmtId="0" fontId="10" fillId="3" borderId="1" xfId="0" applyFont="1" applyFill="1" applyBorder="1"/>
    <xf numFmtId="43" fontId="15" fillId="3" borderId="11" xfId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 vertical="center"/>
    </xf>
    <xf numFmtId="0" fontId="5" fillId="2" borderId="42" xfId="0" quotePrefix="1" applyFont="1" applyFill="1" applyBorder="1" applyAlignment="1">
      <alignment horizontal="center" vertical="center"/>
    </xf>
    <xf numFmtId="15" fontId="5" fillId="2" borderId="39" xfId="0" applyNumberFormat="1" applyFont="1" applyFill="1" applyBorder="1" applyAlignment="1">
      <alignment horizontal="center"/>
    </xf>
    <xf numFmtId="43" fontId="5" fillId="2" borderId="39" xfId="0" applyNumberFormat="1" applyFont="1" applyFill="1" applyBorder="1"/>
    <xf numFmtId="0" fontId="12" fillId="2" borderId="43" xfId="3" applyFont="1" applyFill="1" applyBorder="1"/>
    <xf numFmtId="0" fontId="11" fillId="3" borderId="61" xfId="0" applyFont="1" applyFill="1" applyBorder="1" applyAlignment="1">
      <alignment horizontal="center" vertical="center"/>
    </xf>
    <xf numFmtId="43" fontId="40" fillId="0" borderId="0" xfId="0" applyNumberFormat="1" applyFont="1"/>
    <xf numFmtId="43" fontId="5" fillId="21" borderId="23" xfId="0" applyNumberFormat="1" applyFont="1" applyFill="1" applyBorder="1"/>
    <xf numFmtId="0" fontId="5" fillId="0" borderId="72" xfId="2" applyFont="1" applyBorder="1" applyAlignment="1">
      <alignment vertical="center" wrapText="1"/>
    </xf>
    <xf numFmtId="0" fontId="5" fillId="2" borderId="60" xfId="2" applyFont="1" applyFill="1" applyBorder="1" applyAlignment="1">
      <alignment vertical="center" wrapText="1"/>
    </xf>
    <xf numFmtId="190" fontId="5" fillId="2" borderId="72" xfId="2" applyNumberFormat="1" applyFont="1" applyFill="1" applyBorder="1" applyAlignment="1">
      <alignment horizontal="center" vertical="center" wrapText="1"/>
    </xf>
    <xf numFmtId="43" fontId="5" fillId="2" borderId="72" xfId="2" applyNumberFormat="1" applyFont="1" applyFill="1" applyBorder="1" applyAlignment="1">
      <alignment horizontal="right" vertical="center" wrapText="1"/>
    </xf>
    <xf numFmtId="0" fontId="5" fillId="9" borderId="39" xfId="2" applyFont="1" applyFill="1" applyBorder="1" applyAlignment="1">
      <alignment horizontal="center" vertical="center" wrapText="1"/>
    </xf>
    <xf numFmtId="187" fontId="15" fillId="2" borderId="61" xfId="1" applyNumberFormat="1" applyFont="1" applyFill="1" applyBorder="1" applyAlignment="1">
      <alignment horizontal="center"/>
    </xf>
    <xf numFmtId="0" fontId="5" fillId="0" borderId="124" xfId="0" applyFont="1" applyBorder="1" applyAlignment="1">
      <alignment horizontal="left"/>
    </xf>
    <xf numFmtId="49" fontId="5" fillId="2" borderId="124" xfId="0" applyNumberFormat="1" applyFont="1" applyFill="1" applyBorder="1" applyAlignment="1">
      <alignment horizontal="center"/>
    </xf>
    <xf numFmtId="0" fontId="5" fillId="0" borderId="124" xfId="0" applyFont="1" applyBorder="1" applyAlignment="1">
      <alignment horizontal="center" vertical="top" wrapText="1"/>
    </xf>
    <xf numFmtId="0" fontId="12" fillId="0" borderId="15" xfId="0" applyFont="1" applyBorder="1" applyAlignment="1">
      <alignment horizontal="left"/>
    </xf>
    <xf numFmtId="43" fontId="46" fillId="0" borderId="14" xfId="1" applyFont="1" applyFill="1" applyBorder="1" applyAlignment="1">
      <alignment horizontal="center" vertical="top" wrapText="1"/>
    </xf>
    <xf numFmtId="187" fontId="46" fillId="0" borderId="14" xfId="1" applyNumberFormat="1" applyFont="1" applyFill="1" applyBorder="1" applyAlignment="1">
      <alignment horizontal="center" vertical="top" wrapText="1"/>
    </xf>
    <xf numFmtId="187" fontId="47" fillId="0" borderId="14" xfId="1" applyNumberFormat="1" applyFont="1" applyFill="1" applyBorder="1" applyAlignment="1">
      <alignment horizontal="right"/>
    </xf>
    <xf numFmtId="0" fontId="5" fillId="0" borderId="19" xfId="2" applyFont="1" applyBorder="1" applyAlignment="1">
      <alignment vertical="center" wrapText="1"/>
    </xf>
    <xf numFmtId="190" fontId="5" fillId="0" borderId="19" xfId="2" applyNumberFormat="1" applyFont="1" applyBorder="1" applyAlignment="1">
      <alignment horizontal="center" vertical="center" wrapText="1"/>
    </xf>
    <xf numFmtId="43" fontId="48" fillId="0" borderId="19" xfId="2" applyNumberFormat="1" applyFont="1" applyBorder="1" applyAlignment="1">
      <alignment horizontal="right" vertical="center" wrapText="1"/>
    </xf>
    <xf numFmtId="0" fontId="10" fillId="0" borderId="19" xfId="2" applyFont="1" applyBorder="1" applyAlignment="1">
      <alignment horizontal="center" vertical="center" wrapText="1"/>
    </xf>
    <xf numFmtId="0" fontId="5" fillId="2" borderId="175" xfId="2" quotePrefix="1" applyFont="1" applyFill="1" applyBorder="1" applyAlignment="1">
      <alignment horizontal="center" vertical="center" wrapText="1"/>
    </xf>
    <xf numFmtId="0" fontId="5" fillId="2" borderId="0" xfId="2" applyFont="1" applyFill="1" applyAlignment="1">
      <alignment horizontal="center" vertical="center" wrapText="1"/>
    </xf>
    <xf numFmtId="0" fontId="5" fillId="2" borderId="176" xfId="2" quotePrefix="1" applyFont="1" applyFill="1" applyBorder="1" applyAlignment="1">
      <alignment horizontal="center" vertical="center" wrapText="1"/>
    </xf>
    <xf numFmtId="0" fontId="5" fillId="2" borderId="44" xfId="0" applyFont="1" applyFill="1" applyBorder="1"/>
    <xf numFmtId="0" fontId="5" fillId="2" borderId="177" xfId="0" applyFont="1" applyFill="1" applyBorder="1" applyAlignment="1">
      <alignment horizontal="center"/>
    </xf>
    <xf numFmtId="49" fontId="5" fillId="2" borderId="178" xfId="0" applyNumberFormat="1" applyFont="1" applyFill="1" applyBorder="1" applyAlignment="1">
      <alignment horizontal="center"/>
    </xf>
    <xf numFmtId="0" fontId="5" fillId="0" borderId="10" xfId="2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190" fontId="5" fillId="0" borderId="9" xfId="2" applyNumberFormat="1" applyFont="1" applyBorder="1" applyAlignment="1">
      <alignment horizontal="center" vertical="center" wrapText="1"/>
    </xf>
    <xf numFmtId="43" fontId="48" fillId="0" borderId="9" xfId="2" applyNumberFormat="1" applyFont="1" applyBorder="1" applyAlignment="1">
      <alignment horizontal="right" vertical="center" wrapText="1"/>
    </xf>
    <xf numFmtId="187" fontId="15" fillId="2" borderId="22" xfId="1" applyNumberFormat="1" applyFont="1" applyFill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49" fontId="5" fillId="0" borderId="16" xfId="0" applyNumberFormat="1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49" fontId="5" fillId="0" borderId="18" xfId="0" applyNumberFormat="1" applyFont="1" applyBorder="1" applyAlignment="1">
      <alignment horizontal="center"/>
    </xf>
    <xf numFmtId="49" fontId="5" fillId="0" borderId="14" xfId="0" applyNumberFormat="1" applyFont="1" applyBorder="1" applyAlignment="1">
      <alignment horizontal="center"/>
    </xf>
    <xf numFmtId="43" fontId="20" fillId="0" borderId="14" xfId="1" applyFont="1" applyFill="1" applyBorder="1" applyAlignment="1">
      <alignment horizontal="right"/>
    </xf>
    <xf numFmtId="0" fontId="10" fillId="0" borderId="14" xfId="0" applyFont="1" applyBorder="1" applyAlignment="1">
      <alignment horizontal="left"/>
    </xf>
    <xf numFmtId="0" fontId="5" fillId="0" borderId="17" xfId="0" applyFont="1" applyBorder="1" applyAlignment="1">
      <alignment horizontal="center" vertical="top" wrapText="1"/>
    </xf>
    <xf numFmtId="187" fontId="5" fillId="0" borderId="17" xfId="1" applyNumberFormat="1" applyFont="1" applyFill="1" applyBorder="1" applyAlignment="1">
      <alignment horizontal="right"/>
    </xf>
    <xf numFmtId="0" fontId="35" fillId="0" borderId="39" xfId="2" applyFont="1" applyBorder="1" applyAlignment="1">
      <alignment vertical="center" wrapText="1"/>
    </xf>
    <xf numFmtId="0" fontId="5" fillId="2" borderId="79" xfId="2" quotePrefix="1" applyFont="1" applyFill="1" applyBorder="1" applyAlignment="1">
      <alignment vertical="center" wrapText="1"/>
    </xf>
    <xf numFmtId="191" fontId="5" fillId="2" borderId="39" xfId="2" applyNumberFormat="1" applyFont="1" applyFill="1" applyBorder="1" applyAlignment="1">
      <alignment horizontal="center" vertical="center" wrapText="1"/>
    </xf>
    <xf numFmtId="0" fontId="41" fillId="0" borderId="15" xfId="2" applyFont="1" applyBorder="1" applyAlignment="1">
      <alignment vertical="center" wrapText="1"/>
    </xf>
    <xf numFmtId="0" fontId="5" fillId="2" borderId="43" xfId="2" quotePrefix="1" applyFont="1" applyFill="1" applyBorder="1" applyAlignment="1">
      <alignment vertical="center" wrapText="1"/>
    </xf>
    <xf numFmtId="190" fontId="5" fillId="2" borderId="39" xfId="2" applyNumberFormat="1" applyFont="1" applyFill="1" applyBorder="1" applyAlignment="1">
      <alignment horizontal="center" vertical="center"/>
    </xf>
    <xf numFmtId="43" fontId="5" fillId="2" borderId="39" xfId="2" applyNumberFormat="1" applyFont="1" applyFill="1" applyBorder="1" applyAlignment="1">
      <alignment horizontal="right" vertical="center"/>
    </xf>
    <xf numFmtId="0" fontId="15" fillId="0" borderId="39" xfId="2" applyFont="1" applyBorder="1" applyAlignment="1">
      <alignment horizontal="center" vertical="center"/>
    </xf>
    <xf numFmtId="0" fontId="5" fillId="0" borderId="15" xfId="2" applyFont="1" applyBorder="1" applyAlignment="1">
      <alignment vertical="center" wrapText="1"/>
    </xf>
    <xf numFmtId="0" fontId="49" fillId="0" borderId="15" xfId="2" applyFont="1" applyBorder="1" applyAlignment="1">
      <alignment horizontal="center" vertical="center" wrapText="1"/>
    </xf>
    <xf numFmtId="49" fontId="5" fillId="2" borderId="15" xfId="2" applyNumberFormat="1" applyFont="1" applyFill="1" applyBorder="1" applyAlignment="1">
      <alignment horizontal="center" vertical="center" wrapText="1"/>
    </xf>
    <xf numFmtId="189" fontId="5" fillId="2" borderId="15" xfId="2" applyNumberFormat="1" applyFont="1" applyFill="1" applyBorder="1" applyAlignment="1">
      <alignment horizontal="center" vertical="center" wrapText="1"/>
    </xf>
    <xf numFmtId="0" fontId="6" fillId="3" borderId="97" xfId="2" applyFont="1" applyFill="1" applyBorder="1" applyAlignment="1">
      <alignment horizontal="left" vertical="center"/>
    </xf>
    <xf numFmtId="0" fontId="5" fillId="3" borderId="97" xfId="2" applyFont="1" applyFill="1" applyBorder="1" applyAlignment="1">
      <alignment horizontal="center" vertical="center" wrapText="1"/>
    </xf>
    <xf numFmtId="43" fontId="5" fillId="3" borderId="97" xfId="2" applyNumberFormat="1" applyFont="1" applyFill="1" applyBorder="1" applyAlignment="1">
      <alignment horizontal="center" vertical="center" wrapText="1"/>
    </xf>
    <xf numFmtId="0" fontId="10" fillId="3" borderId="97" xfId="2" applyFont="1" applyFill="1" applyBorder="1" applyAlignment="1">
      <alignment horizontal="center" vertical="center" wrapText="1"/>
    </xf>
    <xf numFmtId="4" fontId="5" fillId="3" borderId="97" xfId="1" applyNumberFormat="1" applyFont="1" applyFill="1" applyBorder="1" applyAlignment="1">
      <alignment horizontal="right"/>
    </xf>
    <xf numFmtId="190" fontId="5" fillId="2" borderId="15" xfId="2" applyNumberFormat="1" applyFont="1" applyFill="1" applyBorder="1" applyAlignment="1">
      <alignment horizontal="center" vertical="center"/>
    </xf>
    <xf numFmtId="0" fontId="15" fillId="0" borderId="15" xfId="2" applyFont="1" applyBorder="1" applyAlignment="1">
      <alignment horizontal="center" vertical="center"/>
    </xf>
    <xf numFmtId="15" fontId="5" fillId="2" borderId="19" xfId="2" applyNumberFormat="1" applyFont="1" applyFill="1" applyBorder="1" applyAlignment="1">
      <alignment horizontal="left" vertical="center"/>
    </xf>
    <xf numFmtId="43" fontId="16" fillId="2" borderId="19" xfId="0" applyNumberFormat="1" applyFont="1" applyFill="1" applyBorder="1" applyAlignment="1">
      <alignment horizontal="right"/>
    </xf>
    <xf numFmtId="0" fontId="5" fillId="2" borderId="27" xfId="2" applyFont="1" applyFill="1" applyBorder="1" applyAlignment="1">
      <alignment vertical="center" wrapText="1"/>
    </xf>
    <xf numFmtId="0" fontId="5" fillId="2" borderId="43" xfId="2" quotePrefix="1" applyFont="1" applyFill="1" applyBorder="1" applyAlignment="1">
      <alignment horizontal="center" vertical="center" wrapText="1"/>
    </xf>
    <xf numFmtId="43" fontId="10" fillId="0" borderId="19" xfId="0" applyNumberFormat="1" applyFont="1" applyBorder="1" applyAlignment="1">
      <alignment horizontal="left"/>
    </xf>
    <xf numFmtId="0" fontId="5" fillId="2" borderId="42" xfId="2" quotePrefix="1" applyFont="1" applyFill="1" applyBorder="1" applyAlignment="1">
      <alignment horizontal="center" vertical="center" wrapText="1"/>
    </xf>
    <xf numFmtId="43" fontId="16" fillId="2" borderId="19" xfId="0" applyNumberFormat="1" applyFont="1" applyFill="1" applyBorder="1" applyAlignment="1">
      <alignment horizontal="right" vertical="center"/>
    </xf>
    <xf numFmtId="0" fontId="5" fillId="0" borderId="179" xfId="0" applyFont="1" applyBorder="1" applyAlignment="1">
      <alignment horizontal="left"/>
    </xf>
    <xf numFmtId="0" fontId="5" fillId="0" borderId="105" xfId="0" applyFont="1" applyBorder="1" applyAlignment="1">
      <alignment horizontal="center" vertical="top" wrapText="1"/>
    </xf>
    <xf numFmtId="187" fontId="5" fillId="0" borderId="105" xfId="1" applyNumberFormat="1" applyFont="1" applyFill="1" applyBorder="1" applyAlignment="1">
      <alignment horizontal="right"/>
    </xf>
    <xf numFmtId="0" fontId="15" fillId="0" borderId="168" xfId="0" applyFont="1" applyBorder="1" applyAlignment="1">
      <alignment horizontal="center"/>
    </xf>
    <xf numFmtId="0" fontId="6" fillId="3" borderId="6" xfId="2" applyFont="1" applyFill="1" applyBorder="1" applyAlignment="1">
      <alignment horizontal="center" vertical="center" wrapText="1"/>
    </xf>
    <xf numFmtId="49" fontId="5" fillId="3" borderId="97" xfId="0" applyNumberFormat="1" applyFont="1" applyFill="1" applyBorder="1" applyAlignment="1">
      <alignment horizontal="center"/>
    </xf>
    <xf numFmtId="0" fontId="5" fillId="3" borderId="97" xfId="0" applyFont="1" applyFill="1" applyBorder="1" applyAlignment="1">
      <alignment horizontal="center"/>
    </xf>
    <xf numFmtId="43" fontId="20" fillId="3" borderId="97" xfId="1" applyFont="1" applyFill="1" applyBorder="1" applyAlignment="1">
      <alignment horizontal="right"/>
    </xf>
    <xf numFmtId="0" fontId="10" fillId="3" borderId="97" xfId="0" applyFont="1" applyFill="1" applyBorder="1" applyAlignment="1">
      <alignment horizontal="left"/>
    </xf>
    <xf numFmtId="187" fontId="5" fillId="3" borderId="97" xfId="1" applyNumberFormat="1" applyFont="1" applyFill="1" applyBorder="1" applyAlignment="1">
      <alignment horizontal="right"/>
    </xf>
    <xf numFmtId="0" fontId="5" fillId="0" borderId="105" xfId="0" applyFont="1" applyBorder="1" applyAlignment="1">
      <alignment horizontal="left"/>
    </xf>
    <xf numFmtId="0" fontId="41" fillId="11" borderId="105" xfId="0" applyFont="1" applyFill="1" applyBorder="1" applyAlignment="1">
      <alignment horizontal="left"/>
    </xf>
    <xf numFmtId="0" fontId="5" fillId="0" borderId="180" xfId="0" applyFont="1" applyBorder="1" applyAlignment="1">
      <alignment horizontal="center"/>
    </xf>
    <xf numFmtId="0" fontId="5" fillId="0" borderId="180" xfId="0" applyFont="1" applyBorder="1" applyAlignment="1">
      <alignment horizontal="left"/>
    </xf>
    <xf numFmtId="49" fontId="5" fillId="0" borderId="181" xfId="0" applyNumberFormat="1" applyFont="1" applyBorder="1" applyAlignment="1">
      <alignment horizontal="center"/>
    </xf>
    <xf numFmtId="49" fontId="5" fillId="0" borderId="182" xfId="0" applyNumberFormat="1" applyFont="1" applyBorder="1" applyAlignment="1">
      <alignment horizontal="center"/>
    </xf>
    <xf numFmtId="49" fontId="5" fillId="0" borderId="183" xfId="0" applyNumberFormat="1" applyFont="1" applyBorder="1" applyAlignment="1">
      <alignment horizontal="center"/>
    </xf>
    <xf numFmtId="49" fontId="5" fillId="0" borderId="180" xfId="0" applyNumberFormat="1" applyFont="1" applyBorder="1"/>
    <xf numFmtId="43" fontId="20" fillId="0" borderId="180" xfId="1" applyFont="1" applyFill="1" applyBorder="1" applyAlignment="1">
      <alignment horizontal="right"/>
    </xf>
    <xf numFmtId="0" fontId="10" fillId="0" borderId="180" xfId="0" applyFont="1" applyBorder="1" applyAlignment="1">
      <alignment horizontal="left"/>
    </xf>
    <xf numFmtId="0" fontId="5" fillId="0" borderId="180" xfId="0" applyFont="1" applyBorder="1" applyAlignment="1">
      <alignment horizontal="center" vertical="top" wrapText="1"/>
    </xf>
    <xf numFmtId="43" fontId="5" fillId="0" borderId="180" xfId="1" applyFont="1" applyFill="1" applyBorder="1" applyAlignment="1">
      <alignment horizontal="right"/>
    </xf>
    <xf numFmtId="187" fontId="5" fillId="0" borderId="180" xfId="1" applyNumberFormat="1" applyFont="1" applyFill="1" applyBorder="1" applyAlignment="1">
      <alignment horizontal="right"/>
    </xf>
    <xf numFmtId="0" fontId="5" fillId="0" borderId="180" xfId="0" applyFont="1" applyBorder="1"/>
    <xf numFmtId="0" fontId="15" fillId="0" borderId="180" xfId="0" applyFont="1" applyBorder="1" applyAlignment="1">
      <alignment horizontal="center"/>
    </xf>
    <xf numFmtId="43" fontId="5" fillId="2" borderId="124" xfId="1" applyFont="1" applyFill="1" applyBorder="1" applyAlignment="1">
      <alignment horizontal="right"/>
    </xf>
    <xf numFmtId="0" fontId="41" fillId="11" borderId="124" xfId="0" applyFont="1" applyFill="1" applyBorder="1" applyAlignment="1">
      <alignment horizontal="left"/>
    </xf>
    <xf numFmtId="187" fontId="5" fillId="0" borderId="129" xfId="1" applyNumberFormat="1" applyFont="1" applyFill="1" applyBorder="1" applyAlignment="1">
      <alignment horizontal="right"/>
    </xf>
    <xf numFmtId="187" fontId="5" fillId="0" borderId="131" xfId="1" applyNumberFormat="1" applyFont="1" applyFill="1" applyBorder="1" applyAlignment="1">
      <alignment horizontal="right"/>
    </xf>
    <xf numFmtId="0" fontId="5" fillId="0" borderId="129" xfId="0" applyFont="1" applyBorder="1"/>
    <xf numFmtId="0" fontId="5" fillId="0" borderId="185" xfId="0" applyFont="1" applyBorder="1" applyAlignment="1">
      <alignment horizontal="center" vertical="top"/>
    </xf>
    <xf numFmtId="0" fontId="5" fillId="0" borderId="123" xfId="0" applyFont="1" applyBorder="1" applyAlignment="1">
      <alignment horizontal="left" vertical="top" wrapText="1"/>
    </xf>
    <xf numFmtId="49" fontId="5" fillId="0" borderId="122" xfId="0" applyNumberFormat="1" applyFont="1" applyBorder="1" applyAlignment="1">
      <alignment horizontal="center" vertical="top"/>
    </xf>
    <xf numFmtId="49" fontId="5" fillId="0" borderId="123" xfId="0" applyNumberFormat="1" applyFont="1" applyBorder="1" applyAlignment="1">
      <alignment horizontal="center" vertical="top"/>
    </xf>
    <xf numFmtId="43" fontId="20" fillId="0" borderId="123" xfId="1" applyFont="1" applyFill="1" applyBorder="1" applyAlignment="1">
      <alignment horizontal="right" vertical="top"/>
    </xf>
    <xf numFmtId="0" fontId="10" fillId="0" borderId="123" xfId="0" applyFont="1" applyBorder="1" applyAlignment="1">
      <alignment horizontal="left" vertical="top"/>
    </xf>
    <xf numFmtId="0" fontId="15" fillId="0" borderId="188" xfId="0" applyFont="1" applyBorder="1" applyAlignment="1">
      <alignment horizontal="center"/>
    </xf>
    <xf numFmtId="0" fontId="5" fillId="0" borderId="190" xfId="0" applyFont="1" applyBorder="1" applyAlignment="1">
      <alignment horizontal="left" vertical="top" wrapText="1"/>
    </xf>
    <xf numFmtId="49" fontId="5" fillId="0" borderId="191" xfId="0" applyNumberFormat="1" applyFont="1" applyBorder="1" applyAlignment="1">
      <alignment horizontal="center" vertical="top"/>
    </xf>
    <xf numFmtId="49" fontId="5" fillId="0" borderId="190" xfId="0" applyNumberFormat="1" applyFont="1" applyBorder="1" applyAlignment="1">
      <alignment horizontal="center" vertical="top"/>
    </xf>
    <xf numFmtId="49" fontId="5" fillId="0" borderId="192" xfId="0" quotePrefix="1" applyNumberFormat="1" applyFont="1" applyBorder="1" applyAlignment="1">
      <alignment horizontal="center" vertical="top"/>
    </xf>
    <xf numFmtId="49" fontId="5" fillId="0" borderId="189" xfId="0" applyNumberFormat="1" applyFont="1" applyBorder="1" applyAlignment="1">
      <alignment horizontal="center" vertical="top"/>
    </xf>
    <xf numFmtId="43" fontId="5" fillId="0" borderId="189" xfId="1" applyFont="1" applyFill="1" applyBorder="1" applyAlignment="1">
      <alignment horizontal="right" vertical="top"/>
    </xf>
    <xf numFmtId="0" fontId="41" fillId="11" borderId="189" xfId="0" applyFont="1" applyFill="1" applyBorder="1" applyAlignment="1">
      <alignment horizontal="left"/>
    </xf>
    <xf numFmtId="0" fontId="5" fillId="0" borderId="189" xfId="0" applyFont="1" applyBorder="1" applyAlignment="1">
      <alignment horizontal="center" vertical="top" wrapText="1"/>
    </xf>
    <xf numFmtId="187" fontId="5" fillId="0" borderId="189" xfId="1" applyNumberFormat="1" applyFont="1" applyFill="1" applyBorder="1" applyAlignment="1">
      <alignment horizontal="right"/>
    </xf>
    <xf numFmtId="0" fontId="5" fillId="0" borderId="118" xfId="0" applyFont="1" applyBorder="1" applyAlignment="1">
      <alignment horizontal="left" vertical="top" wrapText="1"/>
    </xf>
    <xf numFmtId="49" fontId="5" fillId="0" borderId="116" xfId="0" applyNumberFormat="1" applyFont="1" applyBorder="1" applyAlignment="1">
      <alignment horizontal="center" vertical="top"/>
    </xf>
    <xf numFmtId="49" fontId="5" fillId="0" borderId="118" xfId="0" applyNumberFormat="1" applyFont="1" applyBorder="1" applyAlignment="1">
      <alignment horizontal="center" vertical="top"/>
    </xf>
    <xf numFmtId="49" fontId="5" fillId="0" borderId="194" xfId="0" quotePrefix="1" applyNumberFormat="1" applyFont="1" applyBorder="1" applyAlignment="1">
      <alignment horizontal="center" vertical="top"/>
    </xf>
    <xf numFmtId="49" fontId="5" fillId="0" borderId="193" xfId="0" applyNumberFormat="1" applyFont="1" applyBorder="1" applyAlignment="1">
      <alignment horizontal="center" vertical="top"/>
    </xf>
    <xf numFmtId="43" fontId="5" fillId="0" borderId="193" xfId="1" applyFont="1" applyFill="1" applyBorder="1" applyAlignment="1">
      <alignment horizontal="right" vertical="top"/>
    </xf>
    <xf numFmtId="0" fontId="41" fillId="11" borderId="193" xfId="0" applyFont="1" applyFill="1" applyBorder="1" applyAlignment="1">
      <alignment horizontal="left"/>
    </xf>
    <xf numFmtId="0" fontId="5" fillId="0" borderId="193" xfId="0" applyFont="1" applyBorder="1" applyAlignment="1">
      <alignment horizontal="center" vertical="top" wrapText="1"/>
    </xf>
    <xf numFmtId="187" fontId="5" fillId="0" borderId="193" xfId="1" applyNumberFormat="1" applyFont="1" applyFill="1" applyBorder="1" applyAlignment="1">
      <alignment horizontal="right"/>
    </xf>
    <xf numFmtId="0" fontId="5" fillId="0" borderId="187" xfId="0" applyFont="1" applyBorder="1" applyAlignment="1">
      <alignment horizontal="center" vertical="top"/>
    </xf>
    <xf numFmtId="0" fontId="5" fillId="0" borderId="0" xfId="0" applyFont="1" applyAlignment="1">
      <alignment horizontal="left" vertical="top" wrapText="1"/>
    </xf>
    <xf numFmtId="49" fontId="5" fillId="0" borderId="121" xfId="0" applyNumberFormat="1" applyFont="1" applyBorder="1" applyAlignment="1">
      <alignment horizontal="center" vertical="top"/>
    </xf>
    <xf numFmtId="49" fontId="5" fillId="0" borderId="195" xfId="0" applyNumberFormat="1" applyFont="1" applyBorder="1" applyAlignment="1">
      <alignment horizontal="center" vertical="top"/>
    </xf>
    <xf numFmtId="49" fontId="5" fillId="0" borderId="0" xfId="0" applyNumberFormat="1" applyFont="1" applyAlignment="1">
      <alignment horizontal="center" vertical="top"/>
    </xf>
    <xf numFmtId="43" fontId="20" fillId="0" borderId="196" xfId="1" applyFont="1" applyFill="1" applyBorder="1" applyAlignment="1">
      <alignment horizontal="right" vertical="top"/>
    </xf>
    <xf numFmtId="0" fontId="10" fillId="0" borderId="0" xfId="0" applyFont="1" applyAlignment="1">
      <alignment horizontal="left" vertical="top"/>
    </xf>
    <xf numFmtId="0" fontId="5" fillId="0" borderId="196" xfId="0" applyFont="1" applyBorder="1" applyAlignment="1">
      <alignment horizontal="center" vertical="top" wrapText="1"/>
    </xf>
    <xf numFmtId="187" fontId="5" fillId="0" borderId="196" xfId="1" applyNumberFormat="1" applyFont="1" applyFill="1" applyBorder="1" applyAlignment="1">
      <alignment horizontal="right"/>
    </xf>
    <xf numFmtId="0" fontId="15" fillId="0" borderId="196" xfId="0" applyFont="1" applyBorder="1" applyAlignment="1">
      <alignment horizontal="center"/>
    </xf>
    <xf numFmtId="0" fontId="5" fillId="0" borderId="193" xfId="0" applyFont="1" applyBorder="1" applyAlignment="1">
      <alignment horizontal="left"/>
    </xf>
    <xf numFmtId="49" fontId="5" fillId="2" borderId="116" xfId="0" applyNumberFormat="1" applyFont="1" applyFill="1" applyBorder="1" applyAlignment="1">
      <alignment horizontal="center"/>
    </xf>
    <xf numFmtId="49" fontId="5" fillId="2" borderId="118" xfId="0" quotePrefix="1" applyNumberFormat="1" applyFont="1" applyFill="1" applyBorder="1" applyAlignment="1">
      <alignment horizontal="center"/>
    </xf>
    <xf numFmtId="43" fontId="5" fillId="2" borderId="117" xfId="1" applyFont="1" applyFill="1" applyBorder="1" applyAlignment="1">
      <alignment horizontal="center"/>
    </xf>
    <xf numFmtId="0" fontId="5" fillId="0" borderId="197" xfId="0" applyFont="1" applyBorder="1" applyAlignment="1">
      <alignment horizontal="left"/>
    </xf>
    <xf numFmtId="49" fontId="5" fillId="2" borderId="198" xfId="0" quotePrefix="1" applyNumberFormat="1" applyFont="1" applyFill="1" applyBorder="1" applyAlignment="1">
      <alignment horizontal="center"/>
    </xf>
    <xf numFmtId="43" fontId="5" fillId="2" borderId="199" xfId="1" applyFont="1" applyFill="1" applyBorder="1" applyAlignment="1">
      <alignment horizontal="center"/>
    </xf>
    <xf numFmtId="0" fontId="5" fillId="0" borderId="197" xfId="0" applyFont="1" applyBorder="1" applyAlignment="1">
      <alignment horizontal="center" vertical="top" wrapText="1"/>
    </xf>
    <xf numFmtId="187" fontId="5" fillId="0" borderId="197" xfId="1" applyNumberFormat="1" applyFont="1" applyFill="1" applyBorder="1" applyAlignment="1">
      <alignment horizontal="right"/>
    </xf>
    <xf numFmtId="0" fontId="5" fillId="0" borderId="149" xfId="0" applyFont="1" applyBorder="1" applyAlignment="1">
      <alignment horizontal="center"/>
    </xf>
    <xf numFmtId="0" fontId="5" fillId="0" borderId="149" xfId="0" applyFont="1" applyBorder="1" applyAlignment="1">
      <alignment horizontal="left"/>
    </xf>
    <xf numFmtId="49" fontId="5" fillId="0" borderId="200" xfId="0" applyNumberFormat="1" applyFont="1" applyBorder="1" applyAlignment="1">
      <alignment horizontal="center"/>
    </xf>
    <xf numFmtId="0" fontId="5" fillId="0" borderId="146" xfId="0" applyFont="1" applyBorder="1" applyAlignment="1">
      <alignment horizontal="center"/>
    </xf>
    <xf numFmtId="49" fontId="5" fillId="0" borderId="201" xfId="0" applyNumberFormat="1" applyFont="1" applyBorder="1"/>
    <xf numFmtId="49" fontId="5" fillId="0" borderId="148" xfId="0" applyNumberFormat="1" applyFont="1" applyBorder="1"/>
    <xf numFmtId="43" fontId="20" fillId="0" borderId="148" xfId="1" applyFont="1" applyFill="1" applyBorder="1" applyAlignment="1">
      <alignment horizontal="right"/>
    </xf>
    <xf numFmtId="0" fontId="10" fillId="0" borderId="150" xfId="0" applyFont="1" applyBorder="1" applyAlignment="1">
      <alignment horizontal="left"/>
    </xf>
    <xf numFmtId="4" fontId="5" fillId="0" borderId="149" xfId="1" applyNumberFormat="1" applyFont="1" applyFill="1" applyBorder="1" applyAlignment="1">
      <alignment horizontal="right"/>
    </xf>
    <xf numFmtId="0" fontId="17" fillId="0" borderId="149" xfId="0" applyFont="1" applyBorder="1" applyAlignment="1">
      <alignment horizontal="center"/>
    </xf>
    <xf numFmtId="0" fontId="12" fillId="2" borderId="202" xfId="3" applyFont="1" applyFill="1" applyBorder="1"/>
    <xf numFmtId="44" fontId="12" fillId="2" borderId="64" xfId="3" applyNumberFormat="1" applyFont="1" applyFill="1" applyBorder="1" applyAlignment="1">
      <alignment horizontal="center"/>
    </xf>
    <xf numFmtId="0" fontId="41" fillId="11" borderId="39" xfId="0" applyFont="1" applyFill="1" applyBorder="1" applyAlignment="1">
      <alignment horizontal="left"/>
    </xf>
    <xf numFmtId="0" fontId="6" fillId="3" borderId="16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14" xfId="0" applyFont="1" applyFill="1" applyBorder="1"/>
    <xf numFmtId="43" fontId="20" fillId="3" borderId="16" xfId="0" applyNumberFormat="1" applyFont="1" applyFill="1" applyBorder="1"/>
    <xf numFmtId="0" fontId="10" fillId="3" borderId="14" xfId="0" applyFont="1" applyFill="1" applyBorder="1"/>
    <xf numFmtId="0" fontId="5" fillId="3" borderId="17" xfId="0" applyFont="1" applyFill="1" applyBorder="1"/>
    <xf numFmtId="0" fontId="15" fillId="3" borderId="17" xfId="0" applyFont="1" applyFill="1" applyBorder="1" applyAlignment="1">
      <alignment horizontal="center"/>
    </xf>
    <xf numFmtId="44" fontId="12" fillId="2" borderId="64" xfId="4" applyNumberFormat="1" applyFont="1" applyFill="1" applyBorder="1" applyAlignment="1">
      <alignment horizontal="center"/>
    </xf>
    <xf numFmtId="0" fontId="12" fillId="2" borderId="203" xfId="3" applyFont="1" applyFill="1" applyBorder="1"/>
    <xf numFmtId="49" fontId="12" fillId="6" borderId="84" xfId="3" applyNumberFormat="1" applyFont="1" applyFill="1" applyBorder="1" applyAlignment="1">
      <alignment horizontal="center"/>
    </xf>
    <xf numFmtId="49" fontId="12" fillId="2" borderId="45" xfId="3" applyNumberFormat="1" applyFont="1" applyFill="1" applyBorder="1" applyAlignment="1">
      <alignment horizontal="center"/>
    </xf>
    <xf numFmtId="49" fontId="12" fillId="2" borderId="50" xfId="3" applyNumberFormat="1" applyFont="1" applyFill="1" applyBorder="1" applyAlignment="1">
      <alignment horizontal="center"/>
    </xf>
    <xf numFmtId="43" fontId="20" fillId="0" borderId="1" xfId="0" applyNumberFormat="1" applyFont="1" applyBorder="1"/>
    <xf numFmtId="43" fontId="5" fillId="3" borderId="97" xfId="1" applyFont="1" applyFill="1" applyBorder="1" applyAlignment="1">
      <alignment horizontal="right"/>
    </xf>
    <xf numFmtId="187" fontId="5" fillId="0" borderId="20" xfId="1" applyNumberFormat="1" applyFont="1" applyFill="1" applyBorder="1" applyAlignment="1">
      <alignment horizontal="right"/>
    </xf>
    <xf numFmtId="0" fontId="5" fillId="0" borderId="58" xfId="0" applyFont="1" applyBorder="1" applyAlignment="1">
      <alignment horizontal="center"/>
    </xf>
    <xf numFmtId="0" fontId="41" fillId="11" borderId="58" xfId="0" applyFont="1" applyFill="1" applyBorder="1" applyAlignment="1">
      <alignment horizontal="left"/>
    </xf>
    <xf numFmtId="187" fontId="5" fillId="0" borderId="101" xfId="1" applyNumberFormat="1" applyFont="1" applyFill="1" applyBorder="1" applyAlignment="1">
      <alignment horizontal="right"/>
    </xf>
    <xf numFmtId="0" fontId="12" fillId="2" borderId="15" xfId="3" applyFont="1" applyFill="1" applyBorder="1" applyAlignment="1">
      <alignment vertical="center"/>
    </xf>
    <xf numFmtId="49" fontId="12" fillId="6" borderId="47" xfId="3" applyNumberFormat="1" applyFont="1" applyFill="1" applyBorder="1" applyAlignment="1">
      <alignment horizontal="center" vertical="center"/>
    </xf>
    <xf numFmtId="49" fontId="12" fillId="2" borderId="40" xfId="3" applyNumberFormat="1" applyFont="1" applyFill="1" applyBorder="1" applyAlignment="1">
      <alignment horizontal="center" vertical="center"/>
    </xf>
    <xf numFmtId="49" fontId="12" fillId="2" borderId="41" xfId="3" applyNumberFormat="1" applyFont="1" applyFill="1" applyBorder="1" applyAlignment="1">
      <alignment horizontal="center" vertical="center"/>
    </xf>
    <xf numFmtId="189" fontId="12" fillId="2" borderId="15" xfId="3" applyNumberFormat="1" applyFont="1" applyFill="1" applyBorder="1" applyAlignment="1">
      <alignment horizontal="center" vertical="center"/>
    </xf>
    <xf numFmtId="43" fontId="12" fillId="2" borderId="15" xfId="3" applyNumberFormat="1" applyFont="1" applyFill="1" applyBorder="1" applyAlignment="1">
      <alignment horizontal="center" vertical="center"/>
    </xf>
    <xf numFmtId="0" fontId="12" fillId="2" borderId="174" xfId="3" applyFont="1" applyFill="1" applyBorder="1"/>
    <xf numFmtId="0" fontId="12" fillId="2" borderId="61" xfId="3" applyFont="1" applyFill="1" applyBorder="1"/>
    <xf numFmtId="0" fontId="12" fillId="2" borderId="17" xfId="3" applyFont="1" applyFill="1" applyBorder="1"/>
    <xf numFmtId="0" fontId="18" fillId="2" borderId="14" xfId="3" applyFont="1" applyFill="1" applyBorder="1"/>
    <xf numFmtId="0" fontId="12" fillId="2" borderId="204" xfId="3" applyFont="1" applyFill="1" applyBorder="1"/>
    <xf numFmtId="0" fontId="29" fillId="2" borderId="39" xfId="0" applyFont="1" applyFill="1" applyBorder="1" applyAlignment="1">
      <alignment horizontal="left" vertical="center"/>
    </xf>
    <xf numFmtId="0" fontId="29" fillId="2" borderId="15" xfId="0" applyFont="1" applyFill="1" applyBorder="1" applyAlignment="1">
      <alignment horizontal="left" vertical="center"/>
    </xf>
    <xf numFmtId="0" fontId="42" fillId="2" borderId="39" xfId="0" applyFont="1" applyFill="1" applyBorder="1" applyAlignment="1">
      <alignment horizontal="left" vertical="center"/>
    </xf>
    <xf numFmtId="43" fontId="20" fillId="2" borderId="19" xfId="1" applyFont="1" applyFill="1" applyBorder="1" applyAlignment="1">
      <alignment horizontal="center"/>
    </xf>
    <xf numFmtId="0" fontId="29" fillId="2" borderId="14" xfId="0" applyFont="1" applyFill="1" applyBorder="1" applyAlignment="1">
      <alignment horizontal="left" vertical="center"/>
    </xf>
    <xf numFmtId="49" fontId="5" fillId="2" borderId="79" xfId="0" quotePrefix="1" applyNumberFormat="1" applyFont="1" applyFill="1" applyBorder="1" applyAlignment="1">
      <alignment horizontal="center"/>
    </xf>
    <xf numFmtId="0" fontId="12" fillId="0" borderId="15" xfId="0" applyFont="1" applyBorder="1" applyAlignment="1">
      <alignment wrapText="1"/>
    </xf>
    <xf numFmtId="4" fontId="12" fillId="0" borderId="15" xfId="0" applyNumberFormat="1" applyFont="1" applyBorder="1" applyAlignment="1">
      <alignment horizontal="right" wrapText="1"/>
    </xf>
    <xf numFmtId="0" fontId="12" fillId="0" borderId="19" xfId="0" applyFont="1" applyBorder="1" applyAlignment="1">
      <alignment wrapText="1"/>
    </xf>
    <xf numFmtId="49" fontId="5" fillId="2" borderId="11" xfId="0" quotePrefix="1" applyNumberFormat="1" applyFont="1" applyFill="1" applyBorder="1" applyAlignment="1">
      <alignment horizontal="center"/>
    </xf>
    <xf numFmtId="4" fontId="12" fillId="0" borderId="19" xfId="0" applyNumberFormat="1" applyFont="1" applyBorder="1" applyAlignment="1">
      <alignment horizontal="right" wrapText="1"/>
    </xf>
    <xf numFmtId="0" fontId="5" fillId="2" borderId="79" xfId="0" applyFont="1" applyFill="1" applyBorder="1" applyAlignment="1">
      <alignment horizontal="left"/>
    </xf>
    <xf numFmtId="49" fontId="5" fillId="2" borderId="78" xfId="0" quotePrefix="1" applyNumberFormat="1" applyFont="1" applyFill="1" applyBorder="1" applyAlignment="1">
      <alignment horizontal="center"/>
    </xf>
    <xf numFmtId="0" fontId="41" fillId="14" borderId="39" xfId="0" applyFont="1" applyFill="1" applyBorder="1" applyAlignment="1">
      <alignment horizontal="left"/>
    </xf>
    <xf numFmtId="49" fontId="5" fillId="2" borderId="39" xfId="1" applyNumberFormat="1" applyFont="1" applyFill="1" applyBorder="1" applyAlignment="1">
      <alignment horizontal="right"/>
    </xf>
    <xf numFmtId="0" fontId="6" fillId="2" borderId="19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43" fontId="20" fillId="0" borderId="19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wrapText="1"/>
    </xf>
    <xf numFmtId="0" fontId="5" fillId="0" borderId="19" xfId="0" applyFont="1" applyBorder="1" applyAlignment="1">
      <alignment horizontal="center" wrapText="1"/>
    </xf>
    <xf numFmtId="0" fontId="11" fillId="0" borderId="22" xfId="0" applyFont="1" applyBorder="1" applyAlignment="1">
      <alignment horizontal="center" vertical="center"/>
    </xf>
    <xf numFmtId="0" fontId="12" fillId="0" borderId="15" xfId="0" applyFont="1" applyBorder="1" applyAlignment="1">
      <alignment horizontal="left" vertical="center"/>
    </xf>
    <xf numFmtId="0" fontId="17" fillId="2" borderId="58" xfId="0" applyFont="1" applyFill="1" applyBorder="1" applyAlignment="1">
      <alignment horizontal="center"/>
    </xf>
    <xf numFmtId="0" fontId="5" fillId="3" borderId="97" xfId="2" applyFont="1" applyFill="1" applyBorder="1" applyAlignment="1">
      <alignment horizontal="center" vertical="top" wrapText="1"/>
    </xf>
    <xf numFmtId="191" fontId="5" fillId="3" borderId="97" xfId="2" applyNumberFormat="1" applyFont="1" applyFill="1" applyBorder="1" applyAlignment="1">
      <alignment horizontal="center" vertical="top" wrapText="1"/>
    </xf>
    <xf numFmtId="43" fontId="5" fillId="3" borderId="97" xfId="1" applyFont="1" applyFill="1" applyBorder="1" applyAlignment="1">
      <alignment horizontal="right" vertical="top" wrapText="1"/>
    </xf>
    <xf numFmtId="0" fontId="10" fillId="3" borderId="97" xfId="2" applyFont="1" applyFill="1" applyBorder="1" applyAlignment="1">
      <alignment horizontal="left" vertical="top" wrapText="1"/>
    </xf>
    <xf numFmtId="0" fontId="5" fillId="2" borderId="39" xfId="2" applyFont="1" applyFill="1" applyBorder="1" applyAlignment="1">
      <alignment horizontal="left" vertical="top" wrapText="1"/>
    </xf>
    <xf numFmtId="190" fontId="5" fillId="2" borderId="39" xfId="2" applyNumberFormat="1" applyFont="1" applyFill="1" applyBorder="1" applyAlignment="1">
      <alignment horizontal="center" vertical="top" wrapText="1"/>
    </xf>
    <xf numFmtId="43" fontId="5" fillId="2" borderId="39" xfId="2" applyNumberFormat="1" applyFont="1" applyFill="1" applyBorder="1" applyAlignment="1">
      <alignment horizontal="right" vertical="top" wrapText="1"/>
    </xf>
    <xf numFmtId="0" fontId="41" fillId="15" borderId="39" xfId="2" applyFont="1" applyFill="1" applyBorder="1" applyAlignment="1">
      <alignment horizontal="center" vertical="top" wrapText="1"/>
    </xf>
    <xf numFmtId="0" fontId="41" fillId="23" borderId="15" xfId="2" applyFont="1" applyFill="1" applyBorder="1" applyAlignment="1">
      <alignment horizontal="center" vertical="top" wrapText="1"/>
    </xf>
    <xf numFmtId="0" fontId="18" fillId="0" borderId="0" xfId="0" applyFont="1"/>
    <xf numFmtId="0" fontId="5" fillId="2" borderId="15" xfId="0" applyFont="1" applyFill="1" applyBorder="1" applyAlignment="1">
      <alignment vertical="top"/>
    </xf>
    <xf numFmtId="0" fontId="41" fillId="15" borderId="15" xfId="2" applyFont="1" applyFill="1" applyBorder="1" applyAlignment="1">
      <alignment horizontal="center" vertical="top" wrapText="1"/>
    </xf>
    <xf numFmtId="0" fontId="41" fillId="11" borderId="15" xfId="2" applyFont="1" applyFill="1" applyBorder="1" applyAlignment="1">
      <alignment horizontal="center" wrapText="1"/>
    </xf>
    <xf numFmtId="0" fontId="6" fillId="2" borderId="27" xfId="0" applyFont="1" applyFill="1" applyBorder="1"/>
    <xf numFmtId="0" fontId="5" fillId="2" borderId="15" xfId="0" applyFont="1" applyFill="1" applyBorder="1" applyAlignment="1">
      <alignment vertical="top" wrapText="1"/>
    </xf>
    <xf numFmtId="0" fontId="35" fillId="0" borderId="0" xfId="0" applyFont="1"/>
    <xf numFmtId="0" fontId="41" fillId="15" borderId="15" xfId="2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top"/>
    </xf>
    <xf numFmtId="43" fontId="5" fillId="2" borderId="15" xfId="1" applyFont="1" applyFill="1" applyBorder="1" applyAlignment="1">
      <alignment horizontal="center" vertical="top"/>
    </xf>
    <xf numFmtId="0" fontId="41" fillId="15" borderId="15" xfId="0" applyFont="1" applyFill="1" applyBorder="1" applyAlignment="1">
      <alignment horizontal="center" vertical="top"/>
    </xf>
    <xf numFmtId="15" fontId="5" fillId="2" borderId="15" xfId="0" applyNumberFormat="1" applyFont="1" applyFill="1" applyBorder="1" applyAlignment="1">
      <alignment horizontal="center"/>
    </xf>
    <xf numFmtId="0" fontId="41" fillId="15" borderId="15" xfId="0" applyFont="1" applyFill="1" applyBorder="1" applyAlignment="1">
      <alignment horizontal="center"/>
    </xf>
    <xf numFmtId="43" fontId="5" fillId="2" borderId="15" xfId="0" applyNumberFormat="1" applyFont="1" applyFill="1" applyBorder="1" applyAlignment="1">
      <alignment horizontal="right"/>
    </xf>
    <xf numFmtId="43" fontId="5" fillId="2" borderId="14" xfId="0" applyNumberFormat="1" applyFont="1" applyFill="1" applyBorder="1" applyAlignment="1">
      <alignment horizontal="right"/>
    </xf>
    <xf numFmtId="0" fontId="35" fillId="9" borderId="14" xfId="0" applyFont="1" applyFill="1" applyBorder="1" applyAlignment="1">
      <alignment horizontal="center"/>
    </xf>
    <xf numFmtId="0" fontId="41" fillId="5" borderId="15" xfId="0" applyFont="1" applyFill="1" applyBorder="1" applyAlignment="1">
      <alignment horizontal="left"/>
    </xf>
    <xf numFmtId="43" fontId="5" fillId="2" borderId="24" xfId="0" applyNumberFormat="1" applyFont="1" applyFill="1" applyBorder="1" applyAlignment="1">
      <alignment horizontal="right"/>
    </xf>
    <xf numFmtId="0" fontId="41" fillId="2" borderId="105" xfId="0" applyFont="1" applyFill="1" applyBorder="1" applyAlignment="1">
      <alignment horizontal="left"/>
    </xf>
    <xf numFmtId="0" fontId="12" fillId="2" borderId="27" xfId="0" applyFont="1" applyFill="1" applyBorder="1"/>
    <xf numFmtId="43" fontId="12" fillId="2" borderId="58" xfId="0" applyNumberFormat="1" applyFont="1" applyFill="1" applyBorder="1" applyAlignment="1">
      <alignment horizontal="center"/>
    </xf>
    <xf numFmtId="0" fontId="12" fillId="2" borderId="27" xfId="0" applyFont="1" applyFill="1" applyBorder="1" applyAlignment="1">
      <alignment wrapText="1"/>
    </xf>
    <xf numFmtId="4" fontId="12" fillId="2" borderId="27" xfId="0" applyNumberFormat="1" applyFont="1" applyFill="1" applyBorder="1" applyAlignment="1">
      <alignment horizontal="right" wrapText="1"/>
    </xf>
    <xf numFmtId="49" fontId="5" fillId="2" borderId="207" xfId="0" applyNumberFormat="1" applyFont="1" applyFill="1" applyBorder="1" applyAlignment="1">
      <alignment horizontal="center"/>
    </xf>
    <xf numFmtId="49" fontId="5" fillId="2" borderId="204" xfId="0" applyNumberFormat="1" applyFont="1" applyFill="1" applyBorder="1" applyAlignment="1">
      <alignment horizontal="center"/>
    </xf>
    <xf numFmtId="4" fontId="12" fillId="2" borderId="208" xfId="0" applyNumberFormat="1" applyFont="1" applyFill="1" applyBorder="1" applyAlignment="1">
      <alignment horizontal="right" wrapText="1"/>
    </xf>
    <xf numFmtId="0" fontId="12" fillId="0" borderId="39" xfId="3" applyFont="1" applyBorder="1" applyAlignment="1">
      <alignment horizontal="left"/>
    </xf>
    <xf numFmtId="0" fontId="13" fillId="24" borderId="42" xfId="3" applyFont="1" applyFill="1" applyBorder="1"/>
    <xf numFmtId="0" fontId="12" fillId="0" borderId="15" xfId="3" applyFont="1" applyBorder="1"/>
    <xf numFmtId="0" fontId="33" fillId="16" borderId="43" xfId="3" applyFont="1" applyFill="1" applyBorder="1"/>
    <xf numFmtId="0" fontId="18" fillId="2" borderId="167" xfId="3" applyFont="1" applyFill="1" applyBorder="1"/>
    <xf numFmtId="0" fontId="12" fillId="2" borderId="15" xfId="3" applyFont="1" applyFill="1" applyBorder="1" applyAlignment="1">
      <alignment shrinkToFit="1"/>
    </xf>
    <xf numFmtId="43" fontId="26" fillId="2" borderId="0" xfId="4" applyFont="1" applyFill="1" applyBorder="1"/>
    <xf numFmtId="0" fontId="15" fillId="0" borderId="0" xfId="3" applyFont="1"/>
    <xf numFmtId="0" fontId="12" fillId="2" borderId="1" xfId="3" applyFont="1" applyFill="1" applyBorder="1"/>
    <xf numFmtId="0" fontId="12" fillId="2" borderId="11" xfId="3" applyFont="1" applyFill="1" applyBorder="1"/>
    <xf numFmtId="43" fontId="5" fillId="3" borderId="1" xfId="1" applyFont="1" applyFill="1" applyBorder="1" applyAlignment="1">
      <alignment horizontal="right" vertical="top" wrapText="1"/>
    </xf>
    <xf numFmtId="0" fontId="12" fillId="0" borderId="39" xfId="0" applyFont="1" applyBorder="1" applyAlignment="1">
      <alignment wrapText="1"/>
    </xf>
    <xf numFmtId="15" fontId="5" fillId="2" borderId="58" xfId="0" applyNumberFormat="1" applyFont="1" applyFill="1" applyBorder="1" applyAlignment="1">
      <alignment horizontal="center"/>
    </xf>
    <xf numFmtId="4" fontId="12" fillId="0" borderId="39" xfId="0" applyNumberFormat="1" applyFont="1" applyBorder="1" applyAlignment="1">
      <alignment horizontal="right" wrapText="1"/>
    </xf>
    <xf numFmtId="4" fontId="12" fillId="0" borderId="14" xfId="0" applyNumberFormat="1" applyFont="1" applyBorder="1" applyAlignment="1">
      <alignment horizontal="right" wrapText="1"/>
    </xf>
    <xf numFmtId="0" fontId="12" fillId="0" borderId="14" xfId="0" applyFont="1" applyBorder="1" applyAlignment="1">
      <alignment wrapText="1"/>
    </xf>
    <xf numFmtId="43" fontId="6" fillId="2" borderId="209" xfId="0" applyNumberFormat="1" applyFont="1" applyFill="1" applyBorder="1" applyAlignment="1">
      <alignment horizontal="right"/>
    </xf>
    <xf numFmtId="0" fontId="41" fillId="2" borderId="136" xfId="0" applyFont="1" applyFill="1" applyBorder="1" applyAlignment="1">
      <alignment horizontal="left"/>
    </xf>
    <xf numFmtId="0" fontId="5" fillId="3" borderId="12" xfId="2" applyFont="1" applyFill="1" applyBorder="1" applyAlignment="1">
      <alignment horizontal="center" vertical="top" wrapText="1"/>
    </xf>
    <xf numFmtId="0" fontId="23" fillId="3" borderId="8" xfId="0" applyFont="1" applyFill="1" applyBorder="1" applyAlignment="1">
      <alignment wrapText="1"/>
    </xf>
    <xf numFmtId="0" fontId="5" fillId="3" borderId="8" xfId="0" applyFont="1" applyFill="1" applyBorder="1" applyAlignment="1">
      <alignment horizontal="center"/>
    </xf>
    <xf numFmtId="15" fontId="5" fillId="3" borderId="12" xfId="0" applyNumberFormat="1" applyFont="1" applyFill="1" applyBorder="1" applyAlignment="1">
      <alignment horizontal="center"/>
    </xf>
    <xf numFmtId="43" fontId="5" fillId="3" borderId="210" xfId="0" applyNumberFormat="1" applyFont="1" applyFill="1" applyBorder="1" applyAlignment="1">
      <alignment horizontal="right"/>
    </xf>
    <xf numFmtId="0" fontId="41" fillId="3" borderId="211" xfId="0" applyFont="1" applyFill="1" applyBorder="1" applyAlignment="1">
      <alignment horizontal="left"/>
    </xf>
    <xf numFmtId="0" fontId="5" fillId="3" borderId="12" xfId="0" applyFont="1" applyFill="1" applyBorder="1"/>
    <xf numFmtId="0" fontId="17" fillId="3" borderId="12" xfId="0" applyFont="1" applyFill="1" applyBorder="1" applyAlignment="1">
      <alignment horizontal="center"/>
    </xf>
    <xf numFmtId="0" fontId="12" fillId="0" borderId="72" xfId="0" applyFont="1" applyBorder="1" applyAlignment="1">
      <alignment wrapText="1"/>
    </xf>
    <xf numFmtId="4" fontId="12" fillId="0" borderId="179" xfId="0" applyNumberFormat="1" applyFont="1" applyBorder="1" applyAlignment="1">
      <alignment horizontal="right" wrapText="1"/>
    </xf>
    <xf numFmtId="4" fontId="12" fillId="0" borderId="24" xfId="0" applyNumberFormat="1" applyFont="1" applyBorder="1" applyAlignment="1">
      <alignment horizontal="right" wrapText="1"/>
    </xf>
    <xf numFmtId="0" fontId="23" fillId="0" borderId="9" xfId="0" applyFont="1" applyBorder="1" applyAlignment="1">
      <alignment wrapText="1"/>
    </xf>
    <xf numFmtId="0" fontId="5" fillId="2" borderId="11" xfId="0" applyFont="1" applyFill="1" applyBorder="1" applyAlignment="1">
      <alignment horizontal="center"/>
    </xf>
    <xf numFmtId="15" fontId="5" fillId="2" borderId="9" xfId="0" applyNumberFormat="1" applyFont="1" applyFill="1" applyBorder="1" applyAlignment="1">
      <alignment horizontal="center"/>
    </xf>
    <xf numFmtId="43" fontId="6" fillId="2" borderId="9" xfId="0" applyNumberFormat="1" applyFont="1" applyFill="1" applyBorder="1" applyAlignment="1">
      <alignment horizontal="right"/>
    </xf>
    <xf numFmtId="0" fontId="41" fillId="2" borderId="19" xfId="0" applyFont="1" applyFill="1" applyBorder="1" applyAlignment="1">
      <alignment horizontal="left"/>
    </xf>
    <xf numFmtId="0" fontId="5" fillId="2" borderId="9" xfId="2" applyFont="1" applyFill="1" applyBorder="1" applyAlignment="1">
      <alignment horizontal="center" vertical="top" wrapText="1"/>
    </xf>
    <xf numFmtId="0" fontId="23" fillId="0" borderId="0" xfId="0" applyFont="1" applyAlignment="1">
      <alignment wrapText="1"/>
    </xf>
    <xf numFmtId="15" fontId="5" fillId="2" borderId="0" xfId="0" applyNumberFormat="1" applyFont="1" applyFill="1" applyAlignment="1">
      <alignment horizontal="center"/>
    </xf>
    <xf numFmtId="43" fontId="6" fillId="2" borderId="23" xfId="0" applyNumberFormat="1" applyFont="1" applyFill="1" applyBorder="1" applyAlignment="1">
      <alignment horizontal="right"/>
    </xf>
    <xf numFmtId="0" fontId="41" fillId="2" borderId="0" xfId="0" applyFont="1" applyFill="1" applyAlignment="1">
      <alignment horizontal="left"/>
    </xf>
    <xf numFmtId="0" fontId="17" fillId="2" borderId="0" xfId="0" applyFont="1" applyFill="1" applyAlignment="1">
      <alignment horizontal="center"/>
    </xf>
    <xf numFmtId="43" fontId="6" fillId="2" borderId="0" xfId="0" applyNumberFormat="1" applyFont="1" applyFill="1" applyAlignment="1">
      <alignment horizontal="right"/>
    </xf>
    <xf numFmtId="0" fontId="12" fillId="15" borderId="64" xfId="3" applyFont="1" applyFill="1" applyBorder="1" applyAlignment="1">
      <alignment horizontal="center" vertical="center"/>
    </xf>
    <xf numFmtId="0" fontId="23" fillId="15" borderId="15" xfId="3" applyFont="1" applyFill="1" applyBorder="1"/>
    <xf numFmtId="49" fontId="12" fillId="25" borderId="47" xfId="3" applyNumberFormat="1" applyFont="1" applyFill="1" applyBorder="1" applyAlignment="1">
      <alignment horizontal="center"/>
    </xf>
    <xf numFmtId="49" fontId="12" fillId="15" borderId="49" xfId="3" applyNumberFormat="1" applyFont="1" applyFill="1" applyBorder="1" applyAlignment="1">
      <alignment horizontal="center"/>
    </xf>
    <xf numFmtId="49" fontId="12" fillId="15" borderId="41" xfId="3" applyNumberFormat="1" applyFont="1" applyFill="1" applyBorder="1" applyAlignment="1">
      <alignment horizontal="left"/>
    </xf>
    <xf numFmtId="189" fontId="12" fillId="15" borderId="15" xfId="3" applyNumberFormat="1" applyFont="1" applyFill="1" applyBorder="1" applyAlignment="1">
      <alignment horizontal="center"/>
    </xf>
    <xf numFmtId="187" fontId="12" fillId="15" borderId="15" xfId="4" applyNumberFormat="1" applyFont="1" applyFill="1" applyBorder="1" applyAlignment="1">
      <alignment horizontal="center"/>
    </xf>
    <xf numFmtId="0" fontId="12" fillId="15" borderId="27" xfId="3" applyFont="1" applyFill="1" applyBorder="1"/>
    <xf numFmtId="0" fontId="12" fillId="15" borderId="14" xfId="3" applyFont="1" applyFill="1" applyBorder="1"/>
    <xf numFmtId="0" fontId="12" fillId="15" borderId="17" xfId="3" applyFont="1" applyFill="1" applyBorder="1"/>
    <xf numFmtId="0" fontId="5" fillId="15" borderId="14" xfId="3" applyFont="1" applyFill="1" applyBorder="1"/>
    <xf numFmtId="0" fontId="12" fillId="15" borderId="6" xfId="3" applyFont="1" applyFill="1" applyBorder="1"/>
    <xf numFmtId="0" fontId="12" fillId="15" borderId="12" xfId="3" applyFont="1" applyFill="1" applyBorder="1"/>
    <xf numFmtId="0" fontId="12" fillId="15" borderId="97" xfId="3" applyFont="1" applyFill="1" applyBorder="1"/>
    <xf numFmtId="0" fontId="12" fillId="15" borderId="72" xfId="3" applyFont="1" applyFill="1" applyBorder="1"/>
    <xf numFmtId="49" fontId="12" fillId="2" borderId="41" xfId="3" applyNumberFormat="1" applyFont="1" applyFill="1" applyBorder="1" applyAlignment="1">
      <alignment horizontal="left"/>
    </xf>
    <xf numFmtId="0" fontId="5" fillId="2" borderId="72" xfId="3" applyFont="1" applyFill="1" applyBorder="1"/>
    <xf numFmtId="0" fontId="12" fillId="2" borderId="212" xfId="3" applyFont="1" applyFill="1" applyBorder="1"/>
    <xf numFmtId="0" fontId="5" fillId="2" borderId="15" xfId="3" applyFont="1" applyFill="1" applyBorder="1"/>
    <xf numFmtId="49" fontId="12" fillId="0" borderId="47" xfId="3" applyNumberFormat="1" applyFont="1" applyBorder="1" applyAlignment="1">
      <alignment horizontal="center"/>
    </xf>
    <xf numFmtId="49" fontId="12" fillId="0" borderId="40" xfId="3" applyNumberFormat="1" applyFont="1" applyBorder="1" applyAlignment="1">
      <alignment horizontal="center"/>
    </xf>
    <xf numFmtId="49" fontId="12" fillId="0" borderId="41" xfId="3" applyNumberFormat="1" applyFont="1" applyBorder="1" applyAlignment="1">
      <alignment horizontal="left"/>
    </xf>
    <xf numFmtId="0" fontId="12" fillId="0" borderId="27" xfId="3" applyFont="1" applyBorder="1"/>
    <xf numFmtId="0" fontId="5" fillId="0" borderId="15" xfId="3" applyFont="1" applyBorder="1"/>
    <xf numFmtId="0" fontId="12" fillId="0" borderId="174" xfId="3" applyFont="1" applyBorder="1"/>
    <xf numFmtId="0" fontId="12" fillId="0" borderId="64" xfId="3" applyFont="1" applyBorder="1"/>
    <xf numFmtId="0" fontId="12" fillId="0" borderId="80" xfId="3" applyFont="1" applyBorder="1"/>
    <xf numFmtId="0" fontId="12" fillId="0" borderId="167" xfId="3" applyFont="1" applyBorder="1"/>
    <xf numFmtId="49" fontId="12" fillId="2" borderId="27" xfId="3" applyNumberFormat="1" applyFont="1" applyFill="1" applyBorder="1" applyAlignment="1">
      <alignment horizontal="left"/>
    </xf>
    <xf numFmtId="0" fontId="12" fillId="2" borderId="20" xfId="3" applyFont="1" applyFill="1" applyBorder="1"/>
    <xf numFmtId="0" fontId="6" fillId="0" borderId="1" xfId="0" applyFont="1" applyBorder="1" applyAlignment="1">
      <alignment horizontal="center" vertical="center"/>
    </xf>
    <xf numFmtId="43" fontId="20" fillId="0" borderId="1" xfId="0" applyNumberFormat="1" applyFont="1" applyBorder="1" applyAlignment="1">
      <alignment horizontal="center" vertical="center"/>
    </xf>
    <xf numFmtId="0" fontId="7" fillId="0" borderId="97" xfId="0" applyFont="1" applyBorder="1" applyAlignment="1">
      <alignment horizontal="center" vertical="center"/>
    </xf>
    <xf numFmtId="0" fontId="7" fillId="0" borderId="97" xfId="0" applyFont="1" applyBorder="1" applyAlignment="1">
      <alignment horizontal="center" wrapText="1"/>
    </xf>
    <xf numFmtId="49" fontId="12" fillId="6" borderId="47" xfId="3" applyNumberFormat="1" applyFont="1" applyFill="1" applyBorder="1" applyAlignment="1">
      <alignment horizontal="left"/>
    </xf>
    <xf numFmtId="189" fontId="12" fillId="2" borderId="15" xfId="3" applyNumberFormat="1" applyFont="1" applyFill="1" applyBorder="1" applyAlignment="1">
      <alignment horizontal="left"/>
    </xf>
    <xf numFmtId="189" fontId="5" fillId="2" borderId="15" xfId="3" applyNumberFormat="1" applyFont="1" applyFill="1" applyBorder="1" applyAlignment="1">
      <alignment horizontal="left"/>
    </xf>
    <xf numFmtId="0" fontId="5" fillId="0" borderId="14" xfId="0" applyFont="1" applyBorder="1" applyAlignment="1">
      <alignment horizontal="left"/>
    </xf>
    <xf numFmtId="49" fontId="5" fillId="0" borderId="18" xfId="0" applyNumberFormat="1" applyFont="1" applyBorder="1"/>
    <xf numFmtId="0" fontId="23" fillId="15" borderId="12" xfId="0" applyFont="1" applyFill="1" applyBorder="1" applyAlignment="1">
      <alignment wrapText="1"/>
    </xf>
    <xf numFmtId="43" fontId="6" fillId="3" borderId="12" xfId="0" applyNumberFormat="1" applyFont="1" applyFill="1" applyBorder="1" applyAlignment="1">
      <alignment horizontal="center" vertical="center"/>
    </xf>
    <xf numFmtId="43" fontId="10" fillId="3" borderId="12" xfId="1" applyFont="1" applyFill="1" applyBorder="1" applyAlignment="1">
      <alignment horizontal="center" vertical="top" wrapText="1"/>
    </xf>
    <xf numFmtId="0" fontId="12" fillId="6" borderId="0" xfId="0" applyFont="1" applyFill="1" applyAlignment="1">
      <alignment horizontal="center"/>
    </xf>
    <xf numFmtId="188" fontId="12" fillId="18" borderId="0" xfId="0" applyNumberFormat="1" applyFont="1" applyFill="1" applyAlignment="1">
      <alignment horizontal="right"/>
    </xf>
    <xf numFmtId="0" fontId="13" fillId="17" borderId="15" xfId="0" applyFont="1" applyFill="1" applyBorder="1" applyAlignment="1">
      <alignment horizontal="left"/>
    </xf>
    <xf numFmtId="0" fontId="10" fillId="17" borderId="39" xfId="0" applyFont="1" applyFill="1" applyBorder="1" applyAlignment="1">
      <alignment horizontal="left"/>
    </xf>
    <xf numFmtId="0" fontId="10" fillId="17" borderId="15" xfId="0" applyFont="1" applyFill="1" applyBorder="1" applyAlignment="1">
      <alignment horizontal="left"/>
    </xf>
    <xf numFmtId="0" fontId="10" fillId="15" borderId="15" xfId="2" applyFont="1" applyFill="1" applyBorder="1" applyAlignment="1">
      <alignment horizontal="left" vertical="center" wrapText="1"/>
    </xf>
    <xf numFmtId="0" fontId="10" fillId="22" borderId="44" xfId="0" applyFont="1" applyFill="1" applyBorder="1" applyAlignment="1">
      <alignment horizontal="left"/>
    </xf>
    <xf numFmtId="0" fontId="13" fillId="27" borderId="38" xfId="0" applyFont="1" applyFill="1" applyBorder="1"/>
    <xf numFmtId="0" fontId="13" fillId="26" borderId="34" xfId="0" applyFont="1" applyFill="1" applyBorder="1"/>
    <xf numFmtId="0" fontId="10" fillId="22" borderId="39" xfId="0" applyFont="1" applyFill="1" applyBorder="1" applyAlignment="1">
      <alignment horizontal="left"/>
    </xf>
    <xf numFmtId="0" fontId="10" fillId="22" borderId="15" xfId="0" applyFont="1" applyFill="1" applyBorder="1" applyAlignment="1">
      <alignment horizontal="left"/>
    </xf>
    <xf numFmtId="0" fontId="10" fillId="22" borderId="14" xfId="0" applyFont="1" applyFill="1" applyBorder="1" applyAlignment="1">
      <alignment horizontal="left"/>
    </xf>
    <xf numFmtId="0" fontId="10" fillId="22" borderId="15" xfId="0" applyFont="1" applyFill="1" applyBorder="1" applyAlignment="1">
      <alignment horizontal="center"/>
    </xf>
    <xf numFmtId="0" fontId="10" fillId="22" borderId="58" xfId="0" applyFont="1" applyFill="1" applyBorder="1" applyAlignment="1">
      <alignment horizontal="left"/>
    </xf>
    <xf numFmtId="0" fontId="13" fillId="9" borderId="34" xfId="0" applyFont="1" applyFill="1" applyBorder="1"/>
    <xf numFmtId="0" fontId="13" fillId="28" borderId="34" xfId="0" applyFont="1" applyFill="1" applyBorder="1"/>
    <xf numFmtId="0" fontId="10" fillId="29" borderId="25" xfId="0" applyFont="1" applyFill="1" applyBorder="1" applyAlignment="1">
      <alignment horizontal="left"/>
    </xf>
    <xf numFmtId="0" fontId="10" fillId="29" borderId="39" xfId="0" applyFont="1" applyFill="1" applyBorder="1" applyAlignment="1">
      <alignment horizontal="left"/>
    </xf>
    <xf numFmtId="0" fontId="13" fillId="30" borderId="34" xfId="0" applyFont="1" applyFill="1" applyBorder="1" applyAlignment="1">
      <alignment horizontal="left"/>
    </xf>
    <xf numFmtId="0" fontId="13" fillId="17" borderId="38" xfId="0" applyFont="1" applyFill="1" applyBorder="1" applyAlignment="1">
      <alignment horizontal="left" shrinkToFit="1"/>
    </xf>
    <xf numFmtId="0" fontId="10" fillId="17" borderId="14" xfId="0" applyFont="1" applyFill="1" applyBorder="1"/>
    <xf numFmtId="0" fontId="13" fillId="17" borderId="15" xfId="0" applyFont="1" applyFill="1" applyBorder="1" applyAlignment="1">
      <alignment shrinkToFit="1"/>
    </xf>
    <xf numFmtId="0" fontId="13" fillId="17" borderId="19" xfId="0" applyFont="1" applyFill="1" applyBorder="1" applyAlignment="1">
      <alignment shrinkToFit="1"/>
    </xf>
    <xf numFmtId="0" fontId="13" fillId="30" borderId="34" xfId="0" applyFont="1" applyFill="1" applyBorder="1" applyAlignment="1">
      <alignment horizontal="left" shrinkToFit="1"/>
    </xf>
    <xf numFmtId="0" fontId="13" fillId="29" borderId="34" xfId="0" applyFont="1" applyFill="1" applyBorder="1" applyAlignment="1">
      <alignment horizontal="left"/>
    </xf>
    <xf numFmtId="0" fontId="13" fillId="5" borderId="34" xfId="0" applyFont="1" applyFill="1" applyBorder="1" applyAlignment="1">
      <alignment horizontal="left"/>
    </xf>
    <xf numFmtId="0" fontId="10" fillId="17" borderId="15" xfId="0" applyFont="1" applyFill="1" applyBorder="1"/>
    <xf numFmtId="0" fontId="13" fillId="17" borderId="34" xfId="0" applyFont="1" applyFill="1" applyBorder="1" applyAlignment="1">
      <alignment horizontal="left" shrinkToFit="1"/>
    </xf>
    <xf numFmtId="0" fontId="13" fillId="15" borderId="34" xfId="0" applyFont="1" applyFill="1" applyBorder="1" applyAlignment="1">
      <alignment horizontal="left" vertical="center"/>
    </xf>
    <xf numFmtId="0" fontId="13" fillId="15" borderId="38" xfId="0" applyFont="1" applyFill="1" applyBorder="1" applyAlignment="1">
      <alignment horizontal="left"/>
    </xf>
    <xf numFmtId="0" fontId="13" fillId="15" borderId="34" xfId="0" applyFont="1" applyFill="1" applyBorder="1" applyAlignment="1">
      <alignment horizontal="left"/>
    </xf>
    <xf numFmtId="0" fontId="13" fillId="24" borderId="34" xfId="0" applyFont="1" applyFill="1" applyBorder="1" applyAlignment="1">
      <alignment horizontal="left"/>
    </xf>
    <xf numFmtId="0" fontId="12" fillId="0" borderId="34" xfId="0" applyFont="1" applyBorder="1" applyAlignment="1">
      <alignment horizontal="left"/>
    </xf>
    <xf numFmtId="0" fontId="12" fillId="0" borderId="47" xfId="0" applyFont="1" applyBorder="1" applyAlignment="1">
      <alignment horizontal="center"/>
    </xf>
    <xf numFmtId="49" fontId="12" fillId="0" borderId="0" xfId="0" applyNumberFormat="1" applyFont="1" applyAlignment="1">
      <alignment horizontal="center"/>
    </xf>
    <xf numFmtId="188" fontId="12" fillId="0" borderId="0" xfId="0" applyNumberFormat="1" applyFont="1" applyAlignment="1">
      <alignment horizontal="right"/>
    </xf>
    <xf numFmtId="15" fontId="12" fillId="2" borderId="58" xfId="0" applyNumberFormat="1" applyFont="1" applyFill="1" applyBorder="1" applyAlignment="1">
      <alignment horizontal="center"/>
    </xf>
    <xf numFmtId="0" fontId="13" fillId="23" borderId="34" xfId="0" applyFont="1" applyFill="1" applyBorder="1" applyAlignment="1">
      <alignment horizontal="left"/>
    </xf>
    <xf numFmtId="0" fontId="10" fillId="22" borderId="73" xfId="0" applyFont="1" applyFill="1" applyBorder="1" applyAlignment="1">
      <alignment horizontal="left"/>
    </xf>
    <xf numFmtId="0" fontId="10" fillId="14" borderId="39" xfId="0" applyFont="1" applyFill="1" applyBorder="1"/>
    <xf numFmtId="0" fontId="13" fillId="14" borderId="34" xfId="0" applyFont="1" applyFill="1" applyBorder="1"/>
    <xf numFmtId="0" fontId="10" fillId="5" borderId="15" xfId="0" applyFont="1" applyFill="1" applyBorder="1"/>
    <xf numFmtId="0" fontId="10" fillId="17" borderId="15" xfId="2" applyFont="1" applyFill="1" applyBorder="1" applyAlignment="1">
      <alignment vertical="center" wrapText="1"/>
    </xf>
    <xf numFmtId="0" fontId="13" fillId="17" borderId="27" xfId="3" applyFont="1" applyFill="1" applyBorder="1" applyAlignment="1">
      <alignment vertical="top" wrapText="1"/>
    </xf>
    <xf numFmtId="0" fontId="10" fillId="17" borderId="15" xfId="0" applyFont="1" applyFill="1" applyBorder="1" applyAlignment="1">
      <alignment vertical="center"/>
    </xf>
    <xf numFmtId="0" fontId="13" fillId="27" borderId="38" xfId="0" applyFont="1" applyFill="1" applyBorder="1" applyAlignment="1">
      <alignment horizontal="left"/>
    </xf>
    <xf numFmtId="0" fontId="13" fillId="27" borderId="34" xfId="0" applyFont="1" applyFill="1" applyBorder="1" applyAlignment="1">
      <alignment horizontal="left"/>
    </xf>
    <xf numFmtId="0" fontId="13" fillId="17" borderId="34" xfId="0" applyFont="1" applyFill="1" applyBorder="1"/>
    <xf numFmtId="0" fontId="13" fillId="17" borderId="73" xfId="0" applyFont="1" applyFill="1" applyBorder="1"/>
    <xf numFmtId="0" fontId="33" fillId="17" borderId="15" xfId="3" applyFont="1" applyFill="1" applyBorder="1"/>
    <xf numFmtId="0" fontId="10" fillId="17" borderId="14" xfId="0" applyFont="1" applyFill="1" applyBorder="1" applyAlignment="1">
      <alignment horizontal="left"/>
    </xf>
    <xf numFmtId="0" fontId="10" fillId="17" borderId="105" xfId="0" applyFont="1" applyFill="1" applyBorder="1" applyAlignment="1">
      <alignment horizontal="left"/>
    </xf>
    <xf numFmtId="0" fontId="10" fillId="5" borderId="43" xfId="0" applyFont="1" applyFill="1" applyBorder="1" applyAlignment="1">
      <alignment horizontal="left"/>
    </xf>
    <xf numFmtId="0" fontId="28" fillId="5" borderId="27" xfId="3" applyFont="1" applyFill="1" applyBorder="1"/>
    <xf numFmtId="0" fontId="10" fillId="22" borderId="25" xfId="0" applyFont="1" applyFill="1" applyBorder="1" applyAlignment="1">
      <alignment horizontal="left"/>
    </xf>
    <xf numFmtId="0" fontId="10" fillId="5" borderId="14" xfId="0" applyFont="1" applyFill="1" applyBorder="1" applyAlignment="1">
      <alignment horizontal="left"/>
    </xf>
    <xf numFmtId="0" fontId="10" fillId="5" borderId="119" xfId="0" applyFont="1" applyFill="1" applyBorder="1" applyAlignment="1">
      <alignment horizontal="left"/>
    </xf>
    <xf numFmtId="0" fontId="10" fillId="22" borderId="124" xfId="0" applyFont="1" applyFill="1" applyBorder="1" applyAlignment="1">
      <alignment horizontal="left"/>
    </xf>
    <xf numFmtId="0" fontId="35" fillId="29" borderId="25" xfId="0" applyFont="1" applyFill="1" applyBorder="1" applyAlignment="1">
      <alignment horizontal="left"/>
    </xf>
    <xf numFmtId="0" fontId="10" fillId="22" borderId="124" xfId="0" applyFont="1" applyFill="1" applyBorder="1" applyAlignment="1">
      <alignment horizontal="left" vertical="top"/>
    </xf>
    <xf numFmtId="0" fontId="10" fillId="17" borderId="25" xfId="0" applyFont="1" applyFill="1" applyBorder="1" applyAlignment="1">
      <alignment horizontal="left"/>
    </xf>
    <xf numFmtId="0" fontId="13" fillId="13" borderId="34" xfId="0" applyFont="1" applyFill="1" applyBorder="1" applyAlignment="1">
      <alignment horizontal="left"/>
    </xf>
    <xf numFmtId="0" fontId="13" fillId="17" borderId="105" xfId="0" applyFont="1" applyFill="1" applyBorder="1" applyAlignment="1">
      <alignment horizontal="left"/>
    </xf>
    <xf numFmtId="0" fontId="13" fillId="31" borderId="34" xfId="0" applyFont="1" applyFill="1" applyBorder="1" applyAlignment="1">
      <alignment horizontal="left"/>
    </xf>
    <xf numFmtId="0" fontId="13" fillId="13" borderId="27" xfId="0" applyFont="1" applyFill="1" applyBorder="1"/>
    <xf numFmtId="0" fontId="12" fillId="13" borderId="27" xfId="3" applyFont="1" applyFill="1" applyBorder="1"/>
    <xf numFmtId="0" fontId="39" fillId="5" borderId="27" xfId="3" applyFont="1" applyFill="1" applyBorder="1"/>
    <xf numFmtId="0" fontId="10" fillId="17" borderId="39" xfId="0" applyFont="1" applyFill="1" applyBorder="1" applyAlignment="1">
      <alignment horizontal="left" vertical="center"/>
    </xf>
    <xf numFmtId="0" fontId="10" fillId="13" borderId="15" xfId="0" applyFont="1" applyFill="1" applyBorder="1" applyAlignment="1">
      <alignment horizontal="left"/>
    </xf>
    <xf numFmtId="0" fontId="10" fillId="17" borderId="17" xfId="0" applyFont="1" applyFill="1" applyBorder="1" applyAlignment="1">
      <alignment horizontal="left" vertical="center"/>
    </xf>
    <xf numFmtId="0" fontId="10" fillId="22" borderId="168" xfId="0" applyFont="1" applyFill="1" applyBorder="1" applyAlignment="1">
      <alignment horizontal="left" vertical="top"/>
    </xf>
    <xf numFmtId="0" fontId="10" fillId="29" borderId="15" xfId="0" applyFont="1" applyFill="1" applyBorder="1" applyAlignment="1">
      <alignment horizontal="left" vertical="center"/>
    </xf>
    <xf numFmtId="0" fontId="10" fillId="5" borderId="42" xfId="0" applyFont="1" applyFill="1" applyBorder="1" applyAlignment="1">
      <alignment horizontal="left"/>
    </xf>
    <xf numFmtId="0" fontId="10" fillId="5" borderId="27" xfId="0" applyFont="1" applyFill="1" applyBorder="1" applyAlignment="1">
      <alignment horizontal="left"/>
    </xf>
    <xf numFmtId="0" fontId="4" fillId="17" borderId="15" xfId="0" applyFont="1" applyFill="1" applyBorder="1"/>
    <xf numFmtId="0" fontId="43" fillId="5" borderId="42" xfId="3" applyFont="1" applyFill="1" applyBorder="1"/>
    <xf numFmtId="0" fontId="5" fillId="17" borderId="14" xfId="0" applyFont="1" applyFill="1" applyBorder="1" applyAlignment="1">
      <alignment horizontal="left"/>
    </xf>
    <xf numFmtId="0" fontId="13" fillId="5" borderId="42" xfId="3" applyFont="1" applyFill="1" applyBorder="1"/>
    <xf numFmtId="0" fontId="13" fillId="5" borderId="27" xfId="3" applyFont="1" applyFill="1" applyBorder="1"/>
    <xf numFmtId="0" fontId="35" fillId="17" borderId="14" xfId="0" applyFont="1" applyFill="1" applyBorder="1"/>
    <xf numFmtId="0" fontId="35" fillId="17" borderId="39" xfId="0" applyFont="1" applyFill="1" applyBorder="1" applyAlignment="1">
      <alignment horizontal="left"/>
    </xf>
    <xf numFmtId="0" fontId="35" fillId="13" borderId="42" xfId="0" applyFont="1" applyFill="1" applyBorder="1" applyAlignment="1">
      <alignment horizontal="left"/>
    </xf>
    <xf numFmtId="0" fontId="10" fillId="22" borderId="15" xfId="0" applyFont="1" applyFill="1" applyBorder="1" applyAlignment="1">
      <alignment vertical="top"/>
    </xf>
    <xf numFmtId="0" fontId="10" fillId="17" borderId="15" xfId="0" applyFont="1" applyFill="1" applyBorder="1" applyAlignment="1">
      <alignment horizontal="left" vertical="center"/>
    </xf>
    <xf numFmtId="0" fontId="51" fillId="16" borderId="42" xfId="3" applyFont="1" applyFill="1" applyBorder="1" applyAlignment="1">
      <alignment vertical="center"/>
    </xf>
    <xf numFmtId="0" fontId="52" fillId="2" borderId="19" xfId="0" applyFont="1" applyFill="1" applyBorder="1" applyAlignment="1">
      <alignment horizontal="left" vertical="top"/>
    </xf>
    <xf numFmtId="0" fontId="43" fillId="17" borderId="15" xfId="3" applyFont="1" applyFill="1" applyBorder="1"/>
    <xf numFmtId="0" fontId="35" fillId="5" borderId="15" xfId="0" applyFont="1" applyFill="1" applyBorder="1" applyAlignment="1">
      <alignment horizontal="left"/>
    </xf>
    <xf numFmtId="0" fontId="10" fillId="5" borderId="44" xfId="0" applyFont="1" applyFill="1" applyBorder="1" applyAlignment="1">
      <alignment horizontal="left"/>
    </xf>
    <xf numFmtId="0" fontId="28" fillId="22" borderId="27" xfId="3" applyFont="1" applyFill="1" applyBorder="1"/>
    <xf numFmtId="0" fontId="13" fillId="5" borderId="15" xfId="3" applyFont="1" applyFill="1" applyBorder="1"/>
    <xf numFmtId="0" fontId="28" fillId="17" borderId="15" xfId="3" applyFont="1" applyFill="1" applyBorder="1" applyAlignment="1">
      <alignment wrapText="1"/>
    </xf>
    <xf numFmtId="0" fontId="12" fillId="2" borderId="14" xfId="3" applyFont="1" applyFill="1" applyBorder="1" applyAlignment="1">
      <alignment vertical="center"/>
    </xf>
    <xf numFmtId="49" fontId="12" fillId="6" borderId="84" xfId="3" applyNumberFormat="1" applyFont="1" applyFill="1" applyBorder="1" applyAlignment="1">
      <alignment horizontal="center" vertical="center"/>
    </xf>
    <xf numFmtId="49" fontId="12" fillId="2" borderId="45" xfId="3" applyNumberFormat="1" applyFont="1" applyFill="1" applyBorder="1" applyAlignment="1">
      <alignment horizontal="center" vertical="center"/>
    </xf>
    <xf numFmtId="49" fontId="12" fillId="2" borderId="50" xfId="3" applyNumberFormat="1" applyFont="1" applyFill="1" applyBorder="1" applyAlignment="1">
      <alignment horizontal="center" vertical="center"/>
    </xf>
    <xf numFmtId="189" fontId="12" fillId="2" borderId="14" xfId="3" applyNumberFormat="1" applyFont="1" applyFill="1" applyBorder="1" applyAlignment="1">
      <alignment horizontal="center" vertical="center"/>
    </xf>
    <xf numFmtId="43" fontId="12" fillId="2" borderId="14" xfId="3" applyNumberFormat="1" applyFont="1" applyFill="1" applyBorder="1" applyAlignment="1">
      <alignment horizontal="center" vertical="center"/>
    </xf>
    <xf numFmtId="0" fontId="28" fillId="17" borderId="14" xfId="3" applyFont="1" applyFill="1" applyBorder="1" applyAlignment="1">
      <alignment wrapText="1"/>
    </xf>
    <xf numFmtId="0" fontId="12" fillId="2" borderId="99" xfId="3" applyFont="1" applyFill="1" applyBorder="1"/>
    <xf numFmtId="0" fontId="18" fillId="2" borderId="98" xfId="3" applyFont="1" applyFill="1" applyBorder="1"/>
    <xf numFmtId="0" fontId="12" fillId="2" borderId="213" xfId="3" applyFont="1" applyFill="1" applyBorder="1"/>
    <xf numFmtId="0" fontId="12" fillId="2" borderId="18" xfId="3" applyFont="1" applyFill="1" applyBorder="1"/>
    <xf numFmtId="0" fontId="5" fillId="0" borderId="97" xfId="0" applyFont="1" applyBorder="1"/>
    <xf numFmtId="0" fontId="5" fillId="0" borderId="97" xfId="0" applyFont="1" applyBorder="1" applyAlignment="1">
      <alignment horizontal="center"/>
    </xf>
    <xf numFmtId="43" fontId="20" fillId="0" borderId="97" xfId="0" applyNumberFormat="1" applyFont="1" applyBorder="1"/>
    <xf numFmtId="0" fontId="15" fillId="0" borderId="8" xfId="0" applyFont="1" applyBorder="1" applyAlignment="1">
      <alignment horizontal="center"/>
    </xf>
    <xf numFmtId="0" fontId="10" fillId="0" borderId="12" xfId="0" applyFont="1" applyBorder="1"/>
    <xf numFmtId="0" fontId="10" fillId="0" borderId="9" xfId="0" applyFont="1" applyBorder="1"/>
    <xf numFmtId="0" fontId="7" fillId="17" borderId="39" xfId="0" applyFont="1" applyFill="1" applyBorder="1" applyAlignment="1">
      <alignment horizontal="left"/>
    </xf>
    <xf numFmtId="0" fontId="10" fillId="17" borderId="9" xfId="0" applyFont="1" applyFill="1" applyBorder="1" applyAlignment="1">
      <alignment horizontal="left"/>
    </xf>
    <xf numFmtId="0" fontId="41" fillId="5" borderId="39" xfId="0" applyFont="1" applyFill="1" applyBorder="1" applyAlignment="1">
      <alignment horizontal="left"/>
    </xf>
    <xf numFmtId="0" fontId="35" fillId="29" borderId="15" xfId="2" applyFont="1" applyFill="1" applyBorder="1" applyAlignment="1">
      <alignment horizontal="center" vertical="top" wrapText="1"/>
    </xf>
    <xf numFmtId="0" fontId="41" fillId="22" borderId="15" xfId="0" applyFont="1" applyFill="1" applyBorder="1" applyAlignment="1">
      <alignment horizontal="left"/>
    </xf>
    <xf numFmtId="0" fontId="41" fillId="17" borderId="15" xfId="0" applyFont="1" applyFill="1" applyBorder="1" applyAlignment="1">
      <alignment horizontal="left" vertical="center"/>
    </xf>
    <xf numFmtId="0" fontId="13" fillId="17" borderId="39" xfId="0" applyFont="1" applyFill="1" applyBorder="1" applyAlignment="1">
      <alignment wrapText="1"/>
    </xf>
    <xf numFmtId="0" fontId="13" fillId="17" borderId="15" xfId="0" applyFont="1" applyFill="1" applyBorder="1" applyAlignment="1">
      <alignment wrapText="1"/>
    </xf>
    <xf numFmtId="0" fontId="13" fillId="5" borderId="43" xfId="3" applyFont="1" applyFill="1" applyBorder="1"/>
    <xf numFmtId="0" fontId="13" fillId="29" borderId="27" xfId="3" applyFont="1" applyFill="1" applyBorder="1"/>
    <xf numFmtId="0" fontId="41" fillId="17" borderId="39" xfId="0" applyFont="1" applyFill="1" applyBorder="1" applyAlignment="1">
      <alignment horizontal="left"/>
    </xf>
    <xf numFmtId="0" fontId="28" fillId="29" borderId="27" xfId="3" applyFont="1" applyFill="1" applyBorder="1"/>
    <xf numFmtId="0" fontId="5" fillId="2" borderId="27" xfId="2" applyFont="1" applyFill="1" applyBorder="1" applyAlignment="1">
      <alignment horizontal="center" vertical="top" wrapText="1"/>
    </xf>
    <xf numFmtId="0" fontId="13" fillId="17" borderId="34" xfId="0" applyFont="1" applyFill="1" applyBorder="1" applyAlignment="1">
      <alignment horizontal="left"/>
    </xf>
    <xf numFmtId="0" fontId="33" fillId="32" borderId="27" xfId="3" applyFont="1" applyFill="1" applyBorder="1"/>
    <xf numFmtId="0" fontId="5" fillId="0" borderId="0" xfId="0" applyFont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2" xfId="0" applyFont="1" applyBorder="1"/>
    <xf numFmtId="0" fontId="6" fillId="3" borderId="7" xfId="2" applyFont="1" applyFill="1" applyBorder="1" applyAlignment="1">
      <alignment horizontal="left" vertical="center"/>
    </xf>
    <xf numFmtId="0" fontId="6" fillId="3" borderId="7" xfId="2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43" fontId="6" fillId="0" borderId="1" xfId="0" applyNumberFormat="1" applyFont="1" applyBorder="1" applyAlignment="1">
      <alignment horizontal="center" vertical="center"/>
    </xf>
    <xf numFmtId="190" fontId="5" fillId="2" borderId="43" xfId="2" applyNumberFormat="1" applyFont="1" applyFill="1" applyBorder="1" applyAlignment="1">
      <alignment horizontal="left" vertical="top" wrapText="1"/>
    </xf>
    <xf numFmtId="0" fontId="10" fillId="9" borderId="15" xfId="2" applyFont="1" applyFill="1" applyBorder="1" applyAlignment="1">
      <alignment horizontal="center" vertical="center" wrapText="1"/>
    </xf>
    <xf numFmtId="190" fontId="5" fillId="2" borderId="61" xfId="2" applyNumberFormat="1" applyFont="1" applyFill="1" applyBorder="1" applyAlignment="1">
      <alignment horizontal="left" vertical="top" wrapText="1"/>
    </xf>
    <xf numFmtId="0" fontId="6" fillId="3" borderId="6" xfId="2" quotePrefix="1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27" fillId="0" borderId="19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43" fontId="5" fillId="2" borderId="61" xfId="1" applyFont="1" applyFill="1" applyBorder="1" applyAlignment="1">
      <alignment horizontal="left"/>
    </xf>
    <xf numFmtId="0" fontId="27" fillId="3" borderId="7" xfId="0" applyFont="1" applyFill="1" applyBorder="1" applyAlignment="1">
      <alignment horizontal="center" vertical="center"/>
    </xf>
    <xf numFmtId="0" fontId="5" fillId="3" borderId="7" xfId="2" applyFont="1" applyFill="1" applyBorder="1" applyAlignment="1">
      <alignment horizontal="left" vertical="top" wrapText="1"/>
    </xf>
    <xf numFmtId="187" fontId="5" fillId="3" borderId="7" xfId="1" applyNumberFormat="1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center" vertical="top" wrapText="1"/>
    </xf>
    <xf numFmtId="187" fontId="10" fillId="3" borderId="7" xfId="1" applyNumberFormat="1" applyFont="1" applyFill="1" applyBorder="1" applyAlignment="1">
      <alignment horizontal="left" vertical="top" wrapText="1"/>
    </xf>
    <xf numFmtId="43" fontId="5" fillId="3" borderId="7" xfId="1" applyFont="1" applyFill="1" applyBorder="1" applyAlignment="1">
      <alignment horizontal="left" vertical="top" wrapText="1"/>
    </xf>
    <xf numFmtId="0" fontId="6" fillId="3" borderId="7" xfId="0" applyFont="1" applyFill="1" applyBorder="1" applyAlignment="1">
      <alignment horizontal="left" vertical="center"/>
    </xf>
    <xf numFmtId="43" fontId="16" fillId="0" borderId="19" xfId="2" applyNumberFormat="1" applyFont="1" applyBorder="1" applyAlignment="1">
      <alignment horizontal="right" vertical="center" wrapText="1"/>
    </xf>
    <xf numFmtId="190" fontId="5" fillId="0" borderId="22" xfId="2" applyNumberFormat="1" applyFont="1" applyBorder="1" applyAlignment="1">
      <alignment horizontal="center" vertical="center" wrapText="1"/>
    </xf>
    <xf numFmtId="0" fontId="5" fillId="3" borderId="7" xfId="2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10" fillId="3" borderId="7" xfId="2" applyFont="1" applyFill="1" applyBorder="1" applyAlignment="1">
      <alignment horizontal="center" vertical="center"/>
    </xf>
    <xf numFmtId="43" fontId="5" fillId="3" borderId="7" xfId="2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vertical="center"/>
    </xf>
    <xf numFmtId="0" fontId="6" fillId="3" borderId="7" xfId="2" applyFont="1" applyFill="1" applyBorder="1" applyAlignment="1">
      <alignment horizontal="left" vertical="top"/>
    </xf>
    <xf numFmtId="0" fontId="3" fillId="0" borderId="0" xfId="0" applyFont="1"/>
    <xf numFmtId="49" fontId="6" fillId="2" borderId="21" xfId="0" applyNumberFormat="1" applyFont="1" applyFill="1" applyBorder="1" applyAlignment="1">
      <alignment horizontal="center"/>
    </xf>
    <xf numFmtId="0" fontId="10" fillId="5" borderId="27" xfId="0" applyFont="1" applyFill="1" applyBorder="1" applyAlignment="1">
      <alignment horizontal="left" vertical="center"/>
    </xf>
    <xf numFmtId="0" fontId="15" fillId="3" borderId="6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left"/>
    </xf>
    <xf numFmtId="0" fontId="10" fillId="11" borderId="15" xfId="0" applyFont="1" applyFill="1" applyBorder="1" applyAlignment="1">
      <alignment horizontal="left"/>
    </xf>
    <xf numFmtId="49" fontId="5" fillId="2" borderId="27" xfId="0" applyNumberFormat="1" applyFont="1" applyFill="1" applyBorder="1"/>
    <xf numFmtId="49" fontId="5" fillId="2" borderId="91" xfId="0" applyNumberFormat="1" applyFont="1" applyFill="1" applyBorder="1"/>
    <xf numFmtId="0" fontId="5" fillId="2" borderId="22" xfId="2" applyFont="1" applyFill="1" applyBorder="1" applyAlignment="1">
      <alignment horizontal="left" vertical="center" wrapText="1"/>
    </xf>
    <xf numFmtId="0" fontId="10" fillId="5" borderId="15" xfId="0" applyFont="1" applyFill="1" applyBorder="1" applyAlignment="1">
      <alignment vertical="center"/>
    </xf>
    <xf numFmtId="49" fontId="5" fillId="2" borderId="43" xfId="0" applyNumberFormat="1" applyFont="1" applyFill="1" applyBorder="1" applyAlignment="1">
      <alignment horizontal="left" vertical="center"/>
    </xf>
    <xf numFmtId="49" fontId="5" fillId="2" borderId="64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left" vertical="center"/>
    </xf>
    <xf numFmtId="187" fontId="5" fillId="2" borderId="15" xfId="1" applyNumberFormat="1" applyFont="1" applyFill="1" applyBorder="1" applyAlignment="1">
      <alignment wrapText="1"/>
    </xf>
    <xf numFmtId="0" fontId="10" fillId="15" borderId="15" xfId="2" applyFont="1" applyFill="1" applyBorder="1" applyAlignment="1">
      <alignment vertical="center" wrapText="1"/>
    </xf>
    <xf numFmtId="190" fontId="5" fillId="2" borderId="15" xfId="2" applyNumberFormat="1" applyFont="1" applyFill="1" applyBorder="1" applyAlignment="1">
      <alignment horizontal="center" wrapText="1"/>
    </xf>
    <xf numFmtId="0" fontId="5" fillId="2" borderId="43" xfId="2" quotePrefix="1" applyFont="1" applyFill="1" applyBorder="1" applyAlignment="1">
      <alignment horizontal="left" vertical="center" wrapText="1"/>
    </xf>
    <xf numFmtId="0" fontId="5" fillId="2" borderId="27" xfId="2" quotePrefix="1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vertical="center" wrapText="1"/>
    </xf>
    <xf numFmtId="0" fontId="5" fillId="2" borderId="61" xfId="2" quotePrefix="1" applyFont="1" applyFill="1" applyBorder="1" applyAlignment="1">
      <alignment horizontal="left" vertical="center" wrapText="1"/>
    </xf>
    <xf numFmtId="43" fontId="5" fillId="3" borderId="7" xfId="2" applyNumberFormat="1" applyFont="1" applyFill="1" applyBorder="1" applyAlignment="1">
      <alignment horizontal="right" vertical="top" wrapText="1"/>
    </xf>
    <xf numFmtId="0" fontId="10" fillId="0" borderId="19" xfId="0" applyFont="1" applyBorder="1" applyAlignment="1">
      <alignment vertical="center"/>
    </xf>
    <xf numFmtId="0" fontId="35" fillId="15" borderId="15" xfId="2" applyFont="1" applyFill="1" applyBorder="1" applyAlignment="1">
      <alignment vertical="center" wrapText="1"/>
    </xf>
    <xf numFmtId="0" fontId="35" fillId="17" borderId="15" xfId="0" applyFont="1" applyFill="1" applyBorder="1" applyAlignment="1">
      <alignment vertical="center"/>
    </xf>
    <xf numFmtId="0" fontId="35" fillId="5" borderId="15" xfId="0" applyFont="1" applyFill="1" applyBorder="1" applyAlignment="1">
      <alignment vertical="center"/>
    </xf>
    <xf numFmtId="0" fontId="5" fillId="2" borderId="27" xfId="2" applyFont="1" applyFill="1" applyBorder="1" applyAlignment="1">
      <alignment horizontal="left" vertical="top" wrapText="1"/>
    </xf>
    <xf numFmtId="0" fontId="5" fillId="0" borderId="103" xfId="0" applyFont="1" applyBorder="1" applyAlignment="1">
      <alignment horizontal="left" vertical="top" wrapText="1"/>
    </xf>
    <xf numFmtId="187" fontId="5" fillId="0" borderId="103" xfId="1" applyNumberFormat="1" applyFont="1" applyFill="1" applyBorder="1" applyAlignment="1">
      <alignment horizontal="right"/>
    </xf>
    <xf numFmtId="49" fontId="5" fillId="2" borderId="103" xfId="0" applyNumberFormat="1" applyFont="1" applyFill="1" applyBorder="1" applyAlignment="1">
      <alignment horizontal="center"/>
    </xf>
    <xf numFmtId="49" fontId="5" fillId="2" borderId="214" xfId="0" applyNumberFormat="1" applyFont="1" applyFill="1" applyBorder="1" applyAlignment="1">
      <alignment horizontal="left" vertical="center"/>
    </xf>
    <xf numFmtId="49" fontId="5" fillId="2" borderId="215" xfId="0" applyNumberFormat="1" applyFont="1" applyFill="1" applyBorder="1" applyAlignment="1">
      <alignment horizontal="center"/>
    </xf>
    <xf numFmtId="0" fontId="5" fillId="2" borderId="215" xfId="0" applyFont="1" applyFill="1" applyBorder="1" applyAlignment="1">
      <alignment horizontal="center"/>
    </xf>
    <xf numFmtId="49" fontId="5" fillId="2" borderId="104" xfId="0" applyNumberFormat="1" applyFont="1" applyFill="1" applyBorder="1" applyAlignment="1">
      <alignment horizontal="center"/>
    </xf>
    <xf numFmtId="0" fontId="5" fillId="0" borderId="103" xfId="0" applyFont="1" applyBorder="1" applyAlignment="1">
      <alignment horizontal="left"/>
    </xf>
    <xf numFmtId="0" fontId="5" fillId="0" borderId="103" xfId="2" applyFont="1" applyBorder="1" applyAlignment="1">
      <alignment horizontal="left" vertical="top" wrapText="1"/>
    </xf>
    <xf numFmtId="187" fontId="5" fillId="2" borderId="15" xfId="1" applyNumberFormat="1" applyFont="1" applyFill="1" applyBorder="1" applyAlignment="1">
      <alignment horizontal="left" vertical="top" wrapText="1"/>
    </xf>
    <xf numFmtId="187" fontId="35" fillId="8" borderId="15" xfId="1" applyNumberFormat="1" applyFont="1" applyFill="1" applyBorder="1" applyAlignment="1">
      <alignment vertical="center" wrapText="1"/>
    </xf>
    <xf numFmtId="190" fontId="5" fillId="2" borderId="176" xfId="2" applyNumberFormat="1" applyFont="1" applyFill="1" applyBorder="1" applyAlignment="1">
      <alignment horizontal="left" vertical="center" wrapText="1"/>
    </xf>
    <xf numFmtId="190" fontId="5" fillId="2" borderId="43" xfId="2" applyNumberFormat="1" applyFont="1" applyFill="1" applyBorder="1" applyAlignment="1">
      <alignment horizontal="left" vertical="center" wrapText="1"/>
    </xf>
    <xf numFmtId="0" fontId="5" fillId="2" borderId="5" xfId="2" quotePrefix="1" applyFont="1" applyFill="1" applyBorder="1" applyAlignment="1">
      <alignment horizontal="left" vertical="center" wrapText="1"/>
    </xf>
    <xf numFmtId="0" fontId="5" fillId="2" borderId="216" xfId="2" quotePrefix="1" applyFont="1" applyFill="1" applyBorder="1" applyAlignment="1">
      <alignment horizontal="center" vertical="top" wrapText="1"/>
    </xf>
    <xf numFmtId="0" fontId="5" fillId="2" borderId="216" xfId="2" applyFont="1" applyFill="1" applyBorder="1" applyAlignment="1">
      <alignment vertical="top" wrapText="1"/>
    </xf>
    <xf numFmtId="0" fontId="5" fillId="2" borderId="96" xfId="2" applyFont="1" applyFill="1" applyBorder="1" applyAlignment="1">
      <alignment horizontal="center" vertical="top" wrapText="1"/>
    </xf>
    <xf numFmtId="43" fontId="5" fillId="3" borderId="7" xfId="2" applyNumberFormat="1" applyFont="1" applyFill="1" applyBorder="1" applyAlignment="1">
      <alignment horizontal="center" vertical="top" wrapText="1"/>
    </xf>
    <xf numFmtId="43" fontId="20" fillId="2" borderId="19" xfId="2" applyNumberFormat="1" applyFont="1" applyFill="1" applyBorder="1" applyAlignment="1">
      <alignment horizontal="center" vertical="top" wrapText="1"/>
    </xf>
    <xf numFmtId="0" fontId="5" fillId="2" borderId="22" xfId="2" applyFont="1" applyFill="1" applyBorder="1" applyAlignment="1">
      <alignment horizontal="left" vertical="top" wrapText="1"/>
    </xf>
    <xf numFmtId="0" fontId="6" fillId="2" borderId="19" xfId="2" applyFont="1" applyFill="1" applyBorder="1" applyAlignment="1">
      <alignment horizontal="center" vertical="top" wrapText="1"/>
    </xf>
    <xf numFmtId="0" fontId="5" fillId="2" borderId="72" xfId="2" applyFont="1" applyFill="1" applyBorder="1" applyAlignment="1">
      <alignment horizontal="center" vertical="top" wrapText="1"/>
    </xf>
    <xf numFmtId="0" fontId="10" fillId="15" borderId="72" xfId="2" applyFont="1" applyFill="1" applyBorder="1" applyAlignment="1">
      <alignment vertical="top" wrapText="1"/>
    </xf>
    <xf numFmtId="43" fontId="5" fillId="2" borderId="72" xfId="2" applyNumberFormat="1" applyFont="1" applyFill="1" applyBorder="1" applyAlignment="1">
      <alignment horizontal="center" vertical="top" wrapText="1"/>
    </xf>
    <xf numFmtId="15" fontId="5" fillId="2" borderId="72" xfId="2" applyNumberFormat="1" applyFont="1" applyFill="1" applyBorder="1" applyAlignment="1">
      <alignment horizontal="center" vertical="top" wrapText="1"/>
    </xf>
    <xf numFmtId="0" fontId="5" fillId="2" borderId="61" xfId="2" applyFont="1" applyFill="1" applyBorder="1" applyAlignment="1">
      <alignment horizontal="left" vertical="top" wrapText="1"/>
    </xf>
    <xf numFmtId="0" fontId="5" fillId="2" borderId="60" xfId="2" quotePrefix="1" applyFont="1" applyFill="1" applyBorder="1" applyAlignment="1">
      <alignment horizontal="center" vertical="top" wrapText="1"/>
    </xf>
    <xf numFmtId="0" fontId="5" fillId="2" borderId="59" xfId="2" applyFont="1" applyFill="1" applyBorder="1" applyAlignment="1">
      <alignment horizontal="center" vertical="top" wrapText="1"/>
    </xf>
    <xf numFmtId="49" fontId="5" fillId="2" borderId="22" xfId="0" applyNumberFormat="1" applyFont="1" applyFill="1" applyBorder="1" applyAlignment="1">
      <alignment horizontal="left"/>
    </xf>
    <xf numFmtId="0" fontId="10" fillId="15" borderId="15" xfId="2" applyFont="1" applyFill="1" applyBorder="1" applyAlignment="1">
      <alignment vertical="top" wrapText="1"/>
    </xf>
    <xf numFmtId="0" fontId="5" fillId="2" borderId="43" xfId="2" applyFont="1" applyFill="1" applyBorder="1" applyAlignment="1">
      <alignment horizontal="left" vertical="top" wrapText="1"/>
    </xf>
    <xf numFmtId="0" fontId="5" fillId="2" borderId="43" xfId="2" applyFont="1" applyFill="1" applyBorder="1" applyAlignment="1">
      <alignment horizontal="left" vertical="center" wrapText="1"/>
    </xf>
    <xf numFmtId="0" fontId="10" fillId="9" borderId="15" xfId="2" applyFont="1" applyFill="1" applyBorder="1" applyAlignment="1">
      <alignment vertical="center" wrapText="1"/>
    </xf>
    <xf numFmtId="49" fontId="5" fillId="2" borderId="43" xfId="0" applyNumberFormat="1" applyFont="1" applyFill="1" applyBorder="1" applyAlignment="1">
      <alignment horizontal="left"/>
    </xf>
    <xf numFmtId="0" fontId="5" fillId="0" borderId="43" xfId="0" applyFont="1" applyBorder="1" applyAlignment="1">
      <alignment horizontal="left"/>
    </xf>
    <xf numFmtId="43" fontId="5" fillId="3" borderId="60" xfId="2" applyNumberFormat="1" applyFont="1" applyFill="1" applyBorder="1" applyAlignment="1">
      <alignment horizontal="right" vertical="top" wrapText="1"/>
    </xf>
    <xf numFmtId="190" fontId="5" fillId="3" borderId="60" xfId="2" applyNumberFormat="1" applyFont="1" applyFill="1" applyBorder="1" applyAlignment="1">
      <alignment horizontal="center" vertical="top" wrapText="1"/>
    </xf>
    <xf numFmtId="0" fontId="5" fillId="3" borderId="60" xfId="0" applyFont="1" applyFill="1" applyBorder="1" applyAlignment="1">
      <alignment horizontal="left"/>
    </xf>
    <xf numFmtId="0" fontId="6" fillId="3" borderId="60" xfId="2" applyFont="1" applyFill="1" applyBorder="1" applyAlignment="1">
      <alignment horizontal="left" vertical="top" wrapText="1"/>
    </xf>
    <xf numFmtId="0" fontId="6" fillId="3" borderId="59" xfId="2" applyFont="1" applyFill="1" applyBorder="1" applyAlignment="1">
      <alignment horizontal="center" vertical="top" wrapText="1"/>
    </xf>
    <xf numFmtId="0" fontId="17" fillId="2" borderId="79" xfId="2" applyFont="1" applyFill="1" applyBorder="1" applyAlignment="1">
      <alignment horizontal="center" vertical="center" wrapText="1"/>
    </xf>
    <xf numFmtId="0" fontId="10" fillId="2" borderId="42" xfId="2" applyFont="1" applyFill="1" applyBorder="1" applyAlignment="1">
      <alignment vertical="center" wrapText="1"/>
    </xf>
    <xf numFmtId="43" fontId="20" fillId="2" borderId="42" xfId="1" applyFont="1" applyFill="1" applyBorder="1" applyAlignment="1">
      <alignment horizontal="right" vertical="top" wrapText="1"/>
    </xf>
    <xf numFmtId="190" fontId="5" fillId="2" borderId="42" xfId="2" applyNumberFormat="1" applyFont="1" applyFill="1" applyBorder="1" applyAlignment="1">
      <alignment horizontal="center" vertical="top" wrapText="1"/>
    </xf>
    <xf numFmtId="0" fontId="5" fillId="2" borderId="42" xfId="2" applyFont="1" applyFill="1" applyBorder="1" applyAlignment="1">
      <alignment horizontal="left" vertical="top" wrapText="1"/>
    </xf>
    <xf numFmtId="0" fontId="5" fillId="2" borderId="42" xfId="2" applyFont="1" applyFill="1" applyBorder="1" applyAlignment="1">
      <alignment vertical="top" wrapText="1"/>
    </xf>
    <xf numFmtId="0" fontId="5" fillId="2" borderId="61" xfId="0" applyFont="1" applyFill="1" applyBorder="1" applyAlignment="1">
      <alignment horizontal="left"/>
    </xf>
    <xf numFmtId="0" fontId="6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wrapText="1"/>
    </xf>
    <xf numFmtId="0" fontId="7" fillId="0" borderId="7" xfId="0" applyFont="1" applyBorder="1" applyAlignment="1">
      <alignment horizontal="center" vertical="center"/>
    </xf>
    <xf numFmtId="0" fontId="3" fillId="2" borderId="1" xfId="0" applyFont="1" applyFill="1" applyBorder="1"/>
    <xf numFmtId="0" fontId="5" fillId="0" borderId="0" xfId="3" applyFont="1"/>
    <xf numFmtId="0" fontId="6" fillId="2" borderId="1" xfId="3" applyFont="1" applyFill="1" applyBorder="1" applyAlignment="1">
      <alignment horizontal="center"/>
    </xf>
    <xf numFmtId="43" fontId="6" fillId="2" borderId="1" xfId="3" applyNumberFormat="1" applyFont="1" applyFill="1" applyBorder="1" applyAlignment="1">
      <alignment horizontal="center"/>
    </xf>
    <xf numFmtId="0" fontId="4" fillId="2" borderId="1" xfId="3" applyFont="1" applyFill="1" applyBorder="1" applyAlignment="1">
      <alignment horizontal="center"/>
    </xf>
    <xf numFmtId="0" fontId="6" fillId="0" borderId="2" xfId="3" applyFont="1" applyBorder="1" applyAlignment="1">
      <alignment horizontal="center" vertical="center" wrapText="1"/>
    </xf>
    <xf numFmtId="0" fontId="6" fillId="0" borderId="0" xfId="3" applyFont="1"/>
    <xf numFmtId="0" fontId="6" fillId="0" borderId="9" xfId="3" applyFont="1" applyBorder="1" applyAlignment="1">
      <alignment horizontal="center" vertical="center" wrapText="1"/>
    </xf>
    <xf numFmtId="0" fontId="7" fillId="0" borderId="12" xfId="3" applyFont="1" applyBorder="1" applyAlignment="1">
      <alignment horizontal="center" vertical="center"/>
    </xf>
    <xf numFmtId="0" fontId="7" fillId="0" borderId="12" xfId="3" applyFont="1" applyBorder="1" applyAlignment="1">
      <alignment horizontal="center" wrapText="1"/>
    </xf>
    <xf numFmtId="49" fontId="6" fillId="3" borderId="6" xfId="3" applyNumberFormat="1" applyFont="1" applyFill="1" applyBorder="1" applyAlignment="1">
      <alignment horizontal="center" vertical="center"/>
    </xf>
    <xf numFmtId="0" fontId="6" fillId="3" borderId="7" xfId="3" applyFont="1" applyFill="1" applyBorder="1"/>
    <xf numFmtId="0" fontId="6" fillId="3" borderId="7" xfId="3" applyFont="1" applyFill="1" applyBorder="1" applyAlignment="1">
      <alignment horizontal="center" vertical="center"/>
    </xf>
    <xf numFmtId="49" fontId="8" fillId="3" borderId="7" xfId="3" applyNumberFormat="1" applyFont="1" applyFill="1" applyBorder="1" applyAlignment="1">
      <alignment horizontal="left"/>
    </xf>
    <xf numFmtId="43" fontId="6" fillId="3" borderId="7" xfId="3" applyNumberFormat="1" applyFont="1" applyFill="1" applyBorder="1" applyAlignment="1">
      <alignment horizontal="center" vertical="center"/>
    </xf>
    <xf numFmtId="0" fontId="11" fillId="3" borderId="8" xfId="3" applyFont="1" applyFill="1" applyBorder="1" applyAlignment="1">
      <alignment horizontal="center" vertical="center"/>
    </xf>
    <xf numFmtId="0" fontId="42" fillId="2" borderId="15" xfId="3" applyFont="1" applyFill="1" applyBorder="1" applyAlignment="1">
      <alignment horizontal="left" vertical="center"/>
    </xf>
    <xf numFmtId="0" fontId="5" fillId="2" borderId="64" xfId="3" applyFont="1" applyFill="1" applyBorder="1" applyAlignment="1">
      <alignment horizontal="center" vertical="top"/>
    </xf>
    <xf numFmtId="0" fontId="5" fillId="2" borderId="27" xfId="3" applyFont="1" applyFill="1" applyBorder="1" applyAlignment="1">
      <alignment horizontal="center" vertical="top"/>
    </xf>
    <xf numFmtId="0" fontId="5" fillId="2" borderId="43" xfId="3" applyFont="1" applyFill="1" applyBorder="1" applyAlignment="1">
      <alignment horizontal="center" vertical="top"/>
    </xf>
    <xf numFmtId="49" fontId="5" fillId="2" borderId="15" xfId="3" applyNumberFormat="1" applyFont="1" applyFill="1" applyBorder="1" applyAlignment="1">
      <alignment horizontal="center" vertical="top"/>
    </xf>
    <xf numFmtId="0" fontId="5" fillId="13" borderId="15" xfId="3" applyFont="1" applyFill="1" applyBorder="1" applyAlignment="1">
      <alignment horizontal="left"/>
    </xf>
    <xf numFmtId="0" fontId="5" fillId="0" borderId="15" xfId="3" applyFont="1" applyBorder="1" applyAlignment="1">
      <alignment horizontal="center" vertical="top" wrapText="1"/>
    </xf>
    <xf numFmtId="0" fontId="10" fillId="0" borderId="15" xfId="3" applyFont="1" applyBorder="1" applyAlignment="1">
      <alignment horizontal="center"/>
    </xf>
    <xf numFmtId="0" fontId="15" fillId="0" borderId="15" xfId="3" applyFont="1" applyBorder="1" applyAlignment="1">
      <alignment horizontal="center"/>
    </xf>
    <xf numFmtId="0" fontId="42" fillId="2" borderId="15" xfId="3" applyFont="1" applyFill="1" applyBorder="1" applyAlignment="1">
      <alignment vertical="center"/>
    </xf>
    <xf numFmtId="43" fontId="12" fillId="2" borderId="15" xfId="1" applyFont="1" applyFill="1" applyBorder="1" applyAlignment="1">
      <alignment vertical="center"/>
    </xf>
    <xf numFmtId="0" fontId="42" fillId="2" borderId="15" xfId="3" applyFont="1" applyFill="1" applyBorder="1"/>
    <xf numFmtId="43" fontId="12" fillId="2" borderId="15" xfId="1" applyFont="1" applyFill="1" applyBorder="1" applyAlignment="1"/>
    <xf numFmtId="0" fontId="42" fillId="2" borderId="14" xfId="3" applyFont="1" applyFill="1" applyBorder="1" applyAlignment="1">
      <alignment horizontal="left" vertical="center"/>
    </xf>
    <xf numFmtId="0" fontId="5" fillId="2" borderId="16" xfId="3" applyFont="1" applyFill="1" applyBorder="1" applyAlignment="1">
      <alignment horizontal="center" vertical="top"/>
    </xf>
    <xf numFmtId="0" fontId="5" fillId="2" borderId="17" xfId="3" applyFont="1" applyFill="1" applyBorder="1" applyAlignment="1">
      <alignment horizontal="center" vertical="top"/>
    </xf>
    <xf numFmtId="0" fontId="5" fillId="2" borderId="18" xfId="3" applyFont="1" applyFill="1" applyBorder="1" applyAlignment="1">
      <alignment horizontal="center" vertical="top"/>
    </xf>
    <xf numFmtId="49" fontId="5" fillId="2" borderId="14" xfId="3" applyNumberFormat="1" applyFont="1" applyFill="1" applyBorder="1" applyAlignment="1">
      <alignment horizontal="center" vertical="top"/>
    </xf>
    <xf numFmtId="43" fontId="12" fillId="2" borderId="14" xfId="1" applyFont="1" applyFill="1" applyBorder="1" applyAlignment="1"/>
    <xf numFmtId="0" fontId="5" fillId="0" borderId="14" xfId="3" applyFont="1" applyBorder="1" applyAlignment="1">
      <alignment horizontal="center" vertical="top" wrapText="1"/>
    </xf>
    <xf numFmtId="0" fontId="5" fillId="0" borderId="14" xfId="3" applyFont="1" applyBorder="1"/>
    <xf numFmtId="0" fontId="15" fillId="0" borderId="14" xfId="3" applyFont="1" applyBorder="1" applyAlignment="1">
      <alignment horizontal="center"/>
    </xf>
    <xf numFmtId="0" fontId="5" fillId="2" borderId="19" xfId="3" applyFont="1" applyFill="1" applyBorder="1" applyAlignment="1">
      <alignment horizontal="center"/>
    </xf>
    <xf numFmtId="0" fontId="5" fillId="0" borderId="19" xfId="3" applyFont="1" applyBorder="1"/>
    <xf numFmtId="0" fontId="5" fillId="0" borderId="20" xfId="3" applyFont="1" applyBorder="1"/>
    <xf numFmtId="0" fontId="5" fillId="0" borderId="21" xfId="3" applyFont="1" applyBorder="1"/>
    <xf numFmtId="0" fontId="5" fillId="0" borderId="22" xfId="3" applyFont="1" applyBorder="1" applyAlignment="1">
      <alignment horizontal="center"/>
    </xf>
    <xf numFmtId="43" fontId="20" fillId="0" borderId="19" xfId="3" applyNumberFormat="1" applyFont="1" applyBorder="1"/>
    <xf numFmtId="0" fontId="10" fillId="0" borderId="19" xfId="3" applyFont="1" applyBorder="1"/>
    <xf numFmtId="0" fontId="15" fillId="0" borderId="19" xfId="3" applyFont="1" applyBorder="1" applyAlignment="1">
      <alignment horizontal="center"/>
    </xf>
    <xf numFmtId="0" fontId="5" fillId="2" borderId="0" xfId="3" applyFont="1" applyFill="1" applyAlignment="1">
      <alignment horizontal="center"/>
    </xf>
    <xf numFmtId="0" fontId="5" fillId="0" borderId="0" xfId="3" applyFont="1" applyAlignment="1">
      <alignment horizontal="center"/>
    </xf>
    <xf numFmtId="43" fontId="6" fillId="0" borderId="0" xfId="3" applyNumberFormat="1" applyFont="1"/>
    <xf numFmtId="0" fontId="10" fillId="0" borderId="0" xfId="3" applyFont="1"/>
    <xf numFmtId="0" fontId="15" fillId="0" borderId="0" xfId="3" applyFont="1" applyAlignment="1">
      <alignment horizontal="center"/>
    </xf>
    <xf numFmtId="0" fontId="29" fillId="0" borderId="0" xfId="3" applyFont="1"/>
    <xf numFmtId="0" fontId="10" fillId="0" borderId="0" xfId="3" applyFont="1" applyAlignment="1">
      <alignment horizontal="center"/>
    </xf>
    <xf numFmtId="0" fontId="29" fillId="0" borderId="0" xfId="3" applyFont="1" applyAlignment="1">
      <alignment horizontal="center"/>
    </xf>
    <xf numFmtId="43" fontId="29" fillId="0" borderId="0" xfId="3" applyNumberFormat="1" applyFont="1"/>
    <xf numFmtId="43" fontId="29" fillId="2" borderId="0" xfId="3" applyNumberFormat="1" applyFont="1" applyFill="1" applyAlignment="1">
      <alignment horizontal="center"/>
    </xf>
    <xf numFmtId="43" fontId="5" fillId="0" borderId="0" xfId="3" applyNumberFormat="1" applyFont="1"/>
    <xf numFmtId="0" fontId="6" fillId="2" borderId="1" xfId="3" applyFont="1" applyFill="1" applyBorder="1" applyAlignment="1">
      <alignment horizontal="left" vertical="center"/>
    </xf>
    <xf numFmtId="0" fontId="6" fillId="2" borderId="1" xfId="3" applyFont="1" applyFill="1" applyBorder="1" applyAlignment="1">
      <alignment horizontal="center" vertical="center"/>
    </xf>
    <xf numFmtId="43" fontId="6" fillId="2" borderId="1" xfId="3" applyNumberFormat="1" applyFont="1" applyFill="1" applyBorder="1" applyAlignment="1">
      <alignment horizontal="center" vertical="center"/>
    </xf>
    <xf numFmtId="0" fontId="4" fillId="2" borderId="1" xfId="3" applyFont="1" applyFill="1" applyBorder="1" applyAlignment="1">
      <alignment vertical="center"/>
    </xf>
    <xf numFmtId="0" fontId="4" fillId="2" borderId="1" xfId="3" applyFont="1" applyFill="1" applyBorder="1" applyAlignment="1">
      <alignment horizontal="center" vertical="center"/>
    </xf>
    <xf numFmtId="0" fontId="5" fillId="0" borderId="0" xfId="3" applyFont="1" applyAlignment="1">
      <alignment vertical="center"/>
    </xf>
    <xf numFmtId="0" fontId="7" fillId="0" borderId="12" xfId="3" applyFont="1" applyBorder="1" applyAlignment="1">
      <alignment horizontal="center" vertical="top"/>
    </xf>
    <xf numFmtId="0" fontId="7" fillId="0" borderId="12" xfId="3" applyFont="1" applyBorder="1" applyAlignment="1">
      <alignment horizontal="center" vertical="top" wrapText="1"/>
    </xf>
    <xf numFmtId="0" fontId="5" fillId="3" borderId="7" xfId="3" applyFont="1" applyFill="1" applyBorder="1" applyAlignment="1">
      <alignment vertical="center"/>
    </xf>
    <xf numFmtId="0" fontId="10" fillId="3" borderId="8" xfId="3" applyFont="1" applyFill="1" applyBorder="1" applyAlignment="1">
      <alignment horizontal="center" vertical="center"/>
    </xf>
    <xf numFmtId="0" fontId="5" fillId="2" borderId="15" xfId="3" applyFont="1" applyFill="1" applyBorder="1" applyAlignment="1">
      <alignment vertical="center" shrinkToFit="1"/>
    </xf>
    <xf numFmtId="49" fontId="5" fillId="2" borderId="64" xfId="3" applyNumberFormat="1" applyFont="1" applyFill="1" applyBorder="1" applyAlignment="1">
      <alignment horizontal="center" vertical="center"/>
    </xf>
    <xf numFmtId="0" fontId="5" fillId="2" borderId="17" xfId="3" applyFont="1" applyFill="1" applyBorder="1" applyAlignment="1">
      <alignment horizontal="center" vertical="center"/>
    </xf>
    <xf numFmtId="49" fontId="5" fillId="2" borderId="18" xfId="3" quotePrefix="1" applyNumberFormat="1" applyFont="1" applyFill="1" applyBorder="1" applyAlignment="1">
      <alignment horizontal="center" vertical="center"/>
    </xf>
    <xf numFmtId="49" fontId="5" fillId="2" borderId="14" xfId="3" applyNumberFormat="1" applyFont="1" applyFill="1" applyBorder="1" applyAlignment="1">
      <alignment horizontal="center" vertical="center"/>
    </xf>
    <xf numFmtId="43" fontId="5" fillId="2" borderId="14" xfId="1" applyFont="1" applyFill="1" applyBorder="1" applyAlignment="1">
      <alignment horizontal="right" vertical="center"/>
    </xf>
    <xf numFmtId="0" fontId="5" fillId="17" borderId="15" xfId="3" applyFont="1" applyFill="1" applyBorder="1" applyAlignment="1">
      <alignment vertical="center"/>
    </xf>
    <xf numFmtId="0" fontId="5" fillId="2" borderId="15" xfId="3" applyFont="1" applyFill="1" applyBorder="1" applyAlignment="1">
      <alignment horizontal="center" vertical="center" wrapText="1"/>
    </xf>
    <xf numFmtId="0" fontId="5" fillId="2" borderId="14" xfId="3" applyFont="1" applyFill="1" applyBorder="1" applyAlignment="1">
      <alignment horizontal="center" vertical="center" wrapText="1"/>
    </xf>
    <xf numFmtId="0" fontId="10" fillId="2" borderId="14" xfId="3" applyFont="1" applyFill="1" applyBorder="1" applyAlignment="1">
      <alignment horizontal="center" vertical="center"/>
    </xf>
    <xf numFmtId="0" fontId="5" fillId="2" borderId="19" xfId="3" applyFont="1" applyFill="1" applyBorder="1" applyAlignment="1">
      <alignment horizontal="center" vertical="center"/>
    </xf>
    <xf numFmtId="0" fontId="5" fillId="2" borderId="19" xfId="3" applyFont="1" applyFill="1" applyBorder="1" applyAlignment="1">
      <alignment horizontal="left" vertical="center"/>
    </xf>
    <xf numFmtId="49" fontId="5" fillId="2" borderId="20" xfId="3" applyNumberFormat="1" applyFont="1" applyFill="1" applyBorder="1" applyAlignment="1">
      <alignment horizontal="center" vertical="center"/>
    </xf>
    <xf numFmtId="49" fontId="5" fillId="2" borderId="21" xfId="3" applyNumberFormat="1" applyFont="1" applyFill="1" applyBorder="1" applyAlignment="1">
      <alignment horizontal="center" vertical="center"/>
    </xf>
    <xf numFmtId="49" fontId="5" fillId="2" borderId="22" xfId="3" applyNumberFormat="1" applyFont="1" applyFill="1" applyBorder="1" applyAlignment="1">
      <alignment horizontal="center" vertical="center"/>
    </xf>
    <xf numFmtId="49" fontId="5" fillId="2" borderId="19" xfId="3" applyNumberFormat="1" applyFont="1" applyFill="1" applyBorder="1" applyAlignment="1">
      <alignment horizontal="center" vertical="center"/>
    </xf>
    <xf numFmtId="43" fontId="20" fillId="2" borderId="19" xfId="1" applyFont="1" applyFill="1" applyBorder="1" applyAlignment="1">
      <alignment horizontal="right" vertical="center"/>
    </xf>
    <xf numFmtId="0" fontId="10" fillId="2" borderId="19" xfId="3" applyFont="1" applyFill="1" applyBorder="1" applyAlignment="1">
      <alignment vertical="center"/>
    </xf>
    <xf numFmtId="0" fontId="5" fillId="2" borderId="19" xfId="3" applyFont="1" applyFill="1" applyBorder="1" applyAlignment="1">
      <alignment horizontal="center" vertical="center" wrapText="1"/>
    </xf>
    <xf numFmtId="43" fontId="5" fillId="2" borderId="19" xfId="1" applyFont="1" applyFill="1" applyBorder="1" applyAlignment="1">
      <alignment horizontal="right" vertical="center"/>
    </xf>
    <xf numFmtId="0" fontId="10" fillId="2" borderId="19" xfId="3" applyFont="1" applyFill="1" applyBorder="1" applyAlignment="1">
      <alignment horizontal="center" vertical="center"/>
    </xf>
    <xf numFmtId="49" fontId="6" fillId="3" borderId="217" xfId="3" quotePrefix="1" applyNumberFormat="1" applyFont="1" applyFill="1" applyBorder="1" applyAlignment="1">
      <alignment horizontal="center" vertical="center"/>
    </xf>
    <xf numFmtId="0" fontId="6" fillId="3" borderId="218" xfId="3" applyFont="1" applyFill="1" applyBorder="1" applyAlignment="1">
      <alignment vertical="center"/>
    </xf>
    <xf numFmtId="0" fontId="6" fillId="3" borderId="218" xfId="3" applyFont="1" applyFill="1" applyBorder="1" applyAlignment="1">
      <alignment horizontal="center" vertical="center"/>
    </xf>
    <xf numFmtId="49" fontId="8" fillId="3" borderId="218" xfId="3" applyNumberFormat="1" applyFont="1" applyFill="1" applyBorder="1" applyAlignment="1">
      <alignment horizontal="left" vertical="center"/>
    </xf>
    <xf numFmtId="43" fontId="6" fillId="3" borderId="218" xfId="3" applyNumberFormat="1" applyFont="1" applyFill="1" applyBorder="1" applyAlignment="1">
      <alignment horizontal="center" vertical="center"/>
    </xf>
    <xf numFmtId="43" fontId="10" fillId="3" borderId="218" xfId="1" applyFont="1" applyFill="1" applyBorder="1" applyAlignment="1">
      <alignment vertical="center" wrapText="1"/>
    </xf>
    <xf numFmtId="187" fontId="6" fillId="3" borderId="218" xfId="1" applyNumberFormat="1" applyFont="1" applyFill="1" applyBorder="1" applyAlignment="1">
      <alignment horizontal="center" vertical="center"/>
    </xf>
    <xf numFmtId="43" fontId="5" fillId="3" borderId="218" xfId="1" applyFont="1" applyFill="1" applyBorder="1" applyAlignment="1">
      <alignment horizontal="center" vertical="center" wrapText="1"/>
    </xf>
    <xf numFmtId="187" fontId="5" fillId="3" borderId="218" xfId="1" applyNumberFormat="1" applyFont="1" applyFill="1" applyBorder="1" applyAlignment="1">
      <alignment horizontal="center" vertical="center" wrapText="1"/>
    </xf>
    <xf numFmtId="0" fontId="4" fillId="3" borderId="219" xfId="3" applyFont="1" applyFill="1" applyBorder="1" applyAlignment="1">
      <alignment horizontal="center" vertical="center"/>
    </xf>
    <xf numFmtId="0" fontId="5" fillId="2" borderId="72" xfId="3" applyFont="1" applyFill="1" applyBorder="1" applyAlignment="1">
      <alignment horizontal="center" vertical="center" wrapText="1"/>
    </xf>
    <xf numFmtId="0" fontId="5" fillId="0" borderId="72" xfId="3" applyFont="1" applyBorder="1" applyAlignment="1">
      <alignment horizontal="left" vertical="center"/>
    </xf>
    <xf numFmtId="0" fontId="5" fillId="0" borderId="59" xfId="3" quotePrefix="1" applyFont="1" applyBorder="1" applyAlignment="1">
      <alignment horizontal="center" vertical="center" wrapText="1"/>
    </xf>
    <xf numFmtId="0" fontId="5" fillId="0" borderId="60" xfId="3" applyFont="1" applyBorder="1" applyAlignment="1">
      <alignment horizontal="center" vertical="center" wrapText="1"/>
    </xf>
    <xf numFmtId="0" fontId="5" fillId="0" borderId="61" xfId="3" quotePrefix="1" applyFont="1" applyBorder="1" applyAlignment="1">
      <alignment horizontal="center" vertical="center" wrapText="1"/>
    </xf>
    <xf numFmtId="15" fontId="5" fillId="0" borderId="2" xfId="3" quotePrefix="1" applyNumberFormat="1" applyFont="1" applyBorder="1" applyAlignment="1">
      <alignment horizontal="center" vertical="center" wrapText="1"/>
    </xf>
    <xf numFmtId="43" fontId="5" fillId="0" borderId="72" xfId="3" applyNumberFormat="1" applyFont="1" applyBorder="1" applyAlignment="1">
      <alignment horizontal="center" vertical="center"/>
    </xf>
    <xf numFmtId="0" fontId="5" fillId="17" borderId="72" xfId="3" applyFont="1" applyFill="1" applyBorder="1" applyAlignment="1">
      <alignment horizontal="left" vertical="center"/>
    </xf>
    <xf numFmtId="0" fontId="5" fillId="0" borderId="72" xfId="3" applyFont="1" applyBorder="1" applyAlignment="1">
      <alignment horizontal="center" vertical="center" wrapText="1"/>
    </xf>
    <xf numFmtId="0" fontId="5" fillId="0" borderId="2" xfId="3" applyFont="1" applyBorder="1" applyAlignment="1">
      <alignment horizontal="left" vertical="center"/>
    </xf>
    <xf numFmtId="0" fontId="6" fillId="0" borderId="0" xfId="3" applyFont="1" applyAlignment="1">
      <alignment vertical="center"/>
    </xf>
    <xf numFmtId="0" fontId="53" fillId="0" borderId="39" xfId="3" applyFont="1" applyBorder="1" applyAlignment="1">
      <alignment horizontal="left" vertical="center"/>
    </xf>
    <xf numFmtId="0" fontId="5" fillId="0" borderId="78" xfId="3" quotePrefix="1" applyFont="1" applyBorder="1" applyAlignment="1">
      <alignment horizontal="center" vertical="center" wrapText="1"/>
    </xf>
    <xf numFmtId="0" fontId="5" fillId="0" borderId="42" xfId="3" applyFont="1" applyBorder="1" applyAlignment="1">
      <alignment horizontal="center" vertical="center" wrapText="1"/>
    </xf>
    <xf numFmtId="0" fontId="5" fillId="0" borderId="79" xfId="3" quotePrefix="1" applyFont="1" applyBorder="1" applyAlignment="1">
      <alignment horizontal="center" vertical="center" wrapText="1"/>
    </xf>
    <xf numFmtId="15" fontId="5" fillId="0" borderId="15" xfId="3" quotePrefix="1" applyNumberFormat="1" applyFont="1" applyBorder="1" applyAlignment="1">
      <alignment horizontal="center" vertical="center" wrapText="1"/>
    </xf>
    <xf numFmtId="43" fontId="5" fillId="0" borderId="39" xfId="3" applyNumberFormat="1" applyFont="1" applyBorder="1" applyAlignment="1">
      <alignment horizontal="center" vertical="center"/>
    </xf>
    <xf numFmtId="0" fontId="5" fillId="17" borderId="39" xfId="3" applyFont="1" applyFill="1" applyBorder="1" applyAlignment="1">
      <alignment horizontal="left" vertical="center"/>
    </xf>
    <xf numFmtId="0" fontId="5" fillId="0" borderId="39" xfId="3" applyFont="1" applyBorder="1" applyAlignment="1">
      <alignment horizontal="center" vertical="center" wrapText="1"/>
    </xf>
    <xf numFmtId="0" fontId="5" fillId="0" borderId="15" xfId="3" applyFont="1" applyBorder="1" applyAlignment="1">
      <alignment horizontal="left" vertical="center"/>
    </xf>
    <xf numFmtId="15" fontId="5" fillId="0" borderId="39" xfId="3" applyNumberFormat="1" applyFont="1" applyBorder="1" applyAlignment="1">
      <alignment horizontal="center" vertical="center" wrapText="1"/>
    </xf>
    <xf numFmtId="43" fontId="5" fillId="0" borderId="58" xfId="3" applyNumberFormat="1" applyFont="1" applyBorder="1" applyAlignment="1">
      <alignment horizontal="center" vertical="center"/>
    </xf>
    <xf numFmtId="0" fontId="5" fillId="11" borderId="58" xfId="3" applyFont="1" applyFill="1" applyBorder="1" applyAlignment="1">
      <alignment horizontal="left" vertical="center"/>
    </xf>
    <xf numFmtId="0" fontId="5" fillId="0" borderId="39" xfId="3" applyFont="1" applyBorder="1" applyAlignment="1">
      <alignment horizontal="left" vertical="center"/>
    </xf>
    <xf numFmtId="0" fontId="12" fillId="0" borderId="15" xfId="3" applyFont="1" applyBorder="1" applyAlignment="1">
      <alignment vertical="center" wrapText="1"/>
    </xf>
    <xf numFmtId="0" fontId="5" fillId="0" borderId="64" xfId="3" quotePrefix="1" applyFont="1" applyBorder="1" applyAlignment="1">
      <alignment horizontal="center" vertical="center" wrapText="1"/>
    </xf>
    <xf numFmtId="49" fontId="5" fillId="0" borderId="27" xfId="3" applyNumberFormat="1" applyFont="1" applyBorder="1" applyAlignment="1">
      <alignment horizontal="center" vertical="center" wrapText="1"/>
    </xf>
    <xf numFmtId="49" fontId="5" fillId="0" borderId="43" xfId="3" quotePrefix="1" applyNumberFormat="1" applyFont="1" applyBorder="1" applyAlignment="1">
      <alignment horizontal="center" vertical="center" wrapText="1"/>
    </xf>
    <xf numFmtId="15" fontId="5" fillId="0" borderId="15" xfId="3" applyNumberFormat="1" applyFont="1" applyBorder="1" applyAlignment="1">
      <alignment horizontal="center" vertical="center" wrapText="1"/>
    </xf>
    <xf numFmtId="4" fontId="12" fillId="0" borderId="15" xfId="3" applyNumberFormat="1" applyFont="1" applyBorder="1" applyAlignment="1">
      <alignment horizontal="right" vertical="center" wrapText="1"/>
    </xf>
    <xf numFmtId="0" fontId="12" fillId="17" borderId="15" xfId="3" applyFont="1" applyFill="1" applyBorder="1" applyAlignment="1">
      <alignment vertical="center" wrapText="1"/>
    </xf>
    <xf numFmtId="0" fontId="5" fillId="0" borderId="15" xfId="3" applyFont="1" applyBorder="1" applyAlignment="1">
      <alignment horizontal="center" vertical="center" wrapText="1"/>
    </xf>
    <xf numFmtId="0" fontId="7" fillId="0" borderId="15" xfId="3" applyFont="1" applyBorder="1" applyAlignment="1">
      <alignment horizontal="left" vertical="center"/>
    </xf>
    <xf numFmtId="0" fontId="12" fillId="0" borderId="16" xfId="3" applyFont="1" applyBorder="1" applyAlignment="1">
      <alignment vertical="center" wrapText="1"/>
    </xf>
    <xf numFmtId="49" fontId="5" fillId="0" borderId="0" xfId="3" applyNumberFormat="1" applyFont="1" applyAlignment="1">
      <alignment horizontal="center" vertical="center" wrapText="1"/>
    </xf>
    <xf numFmtId="15" fontId="5" fillId="0" borderId="14" xfId="3" applyNumberFormat="1" applyFont="1" applyBorder="1" applyAlignment="1">
      <alignment horizontal="center" vertical="center" wrapText="1"/>
    </xf>
    <xf numFmtId="4" fontId="12" fillId="0" borderId="0" xfId="3" applyNumberFormat="1" applyFont="1" applyAlignment="1">
      <alignment horizontal="right" vertical="center" wrapText="1"/>
    </xf>
    <xf numFmtId="0" fontId="10" fillId="5" borderId="72" xfId="3" applyFont="1" applyFill="1" applyBorder="1" applyAlignment="1">
      <alignment horizontal="left" vertical="center"/>
    </xf>
    <xf numFmtId="0" fontId="5" fillId="0" borderId="16" xfId="3" applyFont="1" applyBorder="1" applyAlignment="1">
      <alignment horizontal="center" vertical="center" wrapText="1"/>
    </xf>
    <xf numFmtId="0" fontId="5" fillId="0" borderId="20" xfId="3" applyFont="1" applyBorder="1" applyAlignment="1">
      <alignment horizontal="left" vertical="center"/>
    </xf>
    <xf numFmtId="0" fontId="5" fillId="0" borderId="20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0" borderId="19" xfId="3" applyFont="1" applyBorder="1" applyAlignment="1">
      <alignment horizontal="center" vertical="center" wrapText="1"/>
    </xf>
    <xf numFmtId="43" fontId="20" fillId="0" borderId="1" xfId="3" applyNumberFormat="1" applyFont="1" applyBorder="1" applyAlignment="1">
      <alignment horizontal="center" vertical="center"/>
    </xf>
    <xf numFmtId="0" fontId="7" fillId="0" borderId="20" xfId="3" applyFont="1" applyBorder="1" applyAlignment="1">
      <alignment horizontal="left" vertical="center"/>
    </xf>
    <xf numFmtId="0" fontId="5" fillId="0" borderId="19" xfId="3" applyFont="1" applyBorder="1" applyAlignment="1">
      <alignment horizontal="left" vertical="center"/>
    </xf>
    <xf numFmtId="49" fontId="6" fillId="3" borderId="217" xfId="3" applyNumberFormat="1" applyFont="1" applyFill="1" applyBorder="1" applyAlignment="1">
      <alignment horizontal="center" vertical="center"/>
    </xf>
    <xf numFmtId="15" fontId="5" fillId="0" borderId="72" xfId="3" applyNumberFormat="1" applyFont="1" applyBorder="1" applyAlignment="1">
      <alignment horizontal="center" vertical="center" wrapText="1"/>
    </xf>
    <xf numFmtId="0" fontId="5" fillId="11" borderId="72" xfId="3" applyFont="1" applyFill="1" applyBorder="1" applyAlignment="1">
      <alignment horizontal="left" vertical="center"/>
    </xf>
    <xf numFmtId="0" fontId="5" fillId="0" borderId="27" xfId="3" applyFont="1" applyBorder="1" applyAlignment="1">
      <alignment horizontal="center" vertical="center" wrapText="1"/>
    </xf>
    <xf numFmtId="0" fontId="5" fillId="0" borderId="43" xfId="3" quotePrefix="1" applyFont="1" applyBorder="1" applyAlignment="1">
      <alignment horizontal="center" vertical="center" wrapText="1"/>
    </xf>
    <xf numFmtId="43" fontId="5" fillId="0" borderId="15" xfId="3" applyNumberFormat="1" applyFont="1" applyBorder="1" applyAlignment="1">
      <alignment horizontal="center" vertical="center"/>
    </xf>
    <xf numFmtId="0" fontId="5" fillId="11" borderId="15" xfId="3" applyFont="1" applyFill="1" applyBorder="1" applyAlignment="1">
      <alignment horizontal="left" vertical="center"/>
    </xf>
    <xf numFmtId="0" fontId="5" fillId="2" borderId="9" xfId="3" applyFont="1" applyFill="1" applyBorder="1" applyAlignment="1">
      <alignment horizontal="center" vertical="center" wrapText="1"/>
    </xf>
    <xf numFmtId="0" fontId="5" fillId="0" borderId="9" xfId="3" applyFont="1" applyBorder="1" applyAlignment="1">
      <alignment horizontal="left" vertical="center"/>
    </xf>
    <xf numFmtId="0" fontId="5" fillId="0" borderId="10" xfId="3" applyFont="1" applyBorder="1" applyAlignment="1">
      <alignment horizontal="center" vertical="center" wrapText="1"/>
    </xf>
    <xf numFmtId="0" fontId="5" fillId="0" borderId="11" xfId="3" applyFont="1" applyBorder="1" applyAlignment="1">
      <alignment horizontal="center" vertical="center" wrapText="1"/>
    </xf>
    <xf numFmtId="0" fontId="5" fillId="0" borderId="9" xfId="3" applyFont="1" applyBorder="1" applyAlignment="1">
      <alignment horizontal="center" vertical="center" wrapText="1"/>
    </xf>
    <xf numFmtId="43" fontId="20" fillId="0" borderId="9" xfId="3" applyNumberFormat="1" applyFont="1" applyBorder="1" applyAlignment="1">
      <alignment horizontal="center" vertical="center"/>
    </xf>
    <xf numFmtId="0" fontId="7" fillId="0" borderId="9" xfId="3" applyFont="1" applyBorder="1" applyAlignment="1">
      <alignment horizontal="left" vertical="center"/>
    </xf>
    <xf numFmtId="0" fontId="5" fillId="2" borderId="0" xfId="3" applyFont="1" applyFill="1" applyAlignment="1">
      <alignment horizontal="center" vertical="center" wrapText="1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 wrapText="1"/>
    </xf>
    <xf numFmtId="43" fontId="20" fillId="0" borderId="0" xfId="3" applyNumberFormat="1" applyFont="1" applyAlignment="1">
      <alignment horizontal="center" vertical="center"/>
    </xf>
    <xf numFmtId="0" fontId="7" fillId="0" borderId="0" xfId="3" applyFont="1" applyAlignment="1">
      <alignment horizontal="left" vertical="center"/>
    </xf>
    <xf numFmtId="0" fontId="5" fillId="0" borderId="75" xfId="3" applyFont="1" applyBorder="1" applyAlignment="1">
      <alignment horizontal="left" vertical="center"/>
    </xf>
    <xf numFmtId="0" fontId="6" fillId="3" borderId="7" xfId="3" applyFont="1" applyFill="1" applyBorder="1" applyAlignment="1">
      <alignment vertical="center"/>
    </xf>
    <xf numFmtId="49" fontId="8" fillId="3" borderId="7" xfId="3" applyNumberFormat="1" applyFont="1" applyFill="1" applyBorder="1" applyAlignment="1">
      <alignment horizontal="left" vertical="center"/>
    </xf>
    <xf numFmtId="43" fontId="10" fillId="3" borderId="7" xfId="1" applyFont="1" applyFill="1" applyBorder="1" applyAlignment="1">
      <alignment vertical="center" wrapText="1"/>
    </xf>
    <xf numFmtId="43" fontId="5" fillId="3" borderId="7" xfId="1" applyFont="1" applyFill="1" applyBorder="1" applyAlignment="1">
      <alignment horizontal="center" vertical="center" wrapText="1"/>
    </xf>
    <xf numFmtId="187" fontId="5" fillId="3" borderId="7" xfId="1" applyNumberFormat="1" applyFont="1" applyFill="1" applyBorder="1" applyAlignment="1">
      <alignment horizontal="center" vertical="center" wrapText="1"/>
    </xf>
    <xf numFmtId="0" fontId="4" fillId="3" borderId="8" xfId="3" applyFont="1" applyFill="1" applyBorder="1" applyAlignment="1">
      <alignment horizontal="center" vertical="center"/>
    </xf>
    <xf numFmtId="43" fontId="5" fillId="0" borderId="39" xfId="3" applyNumberFormat="1" applyFont="1" applyBorder="1" applyAlignment="1">
      <alignment horizontal="right" vertical="center"/>
    </xf>
    <xf numFmtId="0" fontId="5" fillId="11" borderId="39" xfId="3" applyFont="1" applyFill="1" applyBorder="1" applyAlignment="1">
      <alignment horizontal="left" vertical="center"/>
    </xf>
    <xf numFmtId="4" fontId="12" fillId="0" borderId="39" xfId="3" applyNumberFormat="1" applyFont="1" applyBorder="1" applyAlignment="1">
      <alignment horizontal="right" vertical="center" wrapText="1"/>
    </xf>
    <xf numFmtId="0" fontId="12" fillId="17" borderId="39" xfId="3" applyFont="1" applyFill="1" applyBorder="1" applyAlignment="1">
      <alignment vertical="center" wrapText="1"/>
    </xf>
    <xf numFmtId="0" fontId="5" fillId="0" borderId="58" xfId="3" applyFont="1" applyBorder="1" applyAlignment="1">
      <alignment horizontal="center" vertical="center" wrapText="1"/>
    </xf>
    <xf numFmtId="0" fontId="5" fillId="0" borderId="58" xfId="3" applyFont="1" applyBorder="1" applyAlignment="1">
      <alignment horizontal="left" vertical="center"/>
    </xf>
    <xf numFmtId="0" fontId="12" fillId="0" borderId="14" xfId="3" applyFont="1" applyBorder="1" applyAlignment="1">
      <alignment vertical="center" wrapText="1"/>
    </xf>
    <xf numFmtId="15" fontId="5" fillId="0" borderId="58" xfId="3" applyNumberFormat="1" applyFont="1" applyBorder="1" applyAlignment="1">
      <alignment horizontal="center" vertical="center" wrapText="1"/>
    </xf>
    <xf numFmtId="4" fontId="12" fillId="0" borderId="58" xfId="3" applyNumberFormat="1" applyFont="1" applyBorder="1" applyAlignment="1">
      <alignment horizontal="right" vertical="center" wrapText="1"/>
    </xf>
    <xf numFmtId="0" fontId="5" fillId="0" borderId="21" xfId="3" applyFont="1" applyBorder="1" applyAlignment="1">
      <alignment horizontal="center" vertical="center" wrapText="1"/>
    </xf>
    <xf numFmtId="0" fontId="5" fillId="0" borderId="22" xfId="3" applyFont="1" applyBorder="1" applyAlignment="1">
      <alignment horizontal="center" vertical="center" wrapText="1"/>
    </xf>
    <xf numFmtId="43" fontId="20" fillId="0" borderId="19" xfId="3" applyNumberFormat="1" applyFont="1" applyBorder="1" applyAlignment="1">
      <alignment horizontal="center" vertical="center"/>
    </xf>
    <xf numFmtId="0" fontId="7" fillId="0" borderId="19" xfId="3" applyFont="1" applyBorder="1" applyAlignment="1">
      <alignment horizontal="left" vertical="center"/>
    </xf>
    <xf numFmtId="15" fontId="5" fillId="0" borderId="72" xfId="3" quotePrefix="1" applyNumberFormat="1" applyFont="1" applyBorder="1" applyAlignment="1">
      <alignment horizontal="center" vertical="center" wrapText="1"/>
    </xf>
    <xf numFmtId="0" fontId="35" fillId="0" borderId="72" xfId="3" applyFont="1" applyBorder="1" applyAlignment="1">
      <alignment horizontal="left" vertical="center"/>
    </xf>
    <xf numFmtId="49" fontId="6" fillId="3" borderId="220" xfId="3" applyNumberFormat="1" applyFont="1" applyFill="1" applyBorder="1" applyAlignment="1">
      <alignment horizontal="center" vertical="center"/>
    </xf>
    <xf numFmtId="49" fontId="5" fillId="2" borderId="72" xfId="3" applyNumberFormat="1" applyFont="1" applyFill="1" applyBorder="1" applyAlignment="1">
      <alignment horizontal="center" vertical="center"/>
    </xf>
    <xf numFmtId="0" fontId="5" fillId="2" borderId="72" xfId="3" applyFont="1" applyFill="1" applyBorder="1" applyAlignment="1">
      <alignment vertical="center"/>
    </xf>
    <xf numFmtId="0" fontId="5" fillId="2" borderId="3" xfId="3" quotePrefix="1" applyFont="1" applyFill="1" applyBorder="1" applyAlignment="1">
      <alignment horizontal="center" vertical="center"/>
    </xf>
    <xf numFmtId="0" fontId="5" fillId="2" borderId="60" xfId="3" applyFont="1" applyFill="1" applyBorder="1" applyAlignment="1">
      <alignment horizontal="center" vertical="center"/>
    </xf>
    <xf numFmtId="0" fontId="5" fillId="2" borderId="61" xfId="3" quotePrefix="1" applyFont="1" applyFill="1" applyBorder="1" applyAlignment="1">
      <alignment horizontal="center" vertical="center"/>
    </xf>
    <xf numFmtId="43" fontId="5" fillId="2" borderId="72" xfId="3" applyNumberFormat="1" applyFont="1" applyFill="1" applyBorder="1" applyAlignment="1">
      <alignment horizontal="center" vertical="center"/>
    </xf>
    <xf numFmtId="43" fontId="5" fillId="2" borderId="72" xfId="1" applyFont="1" applyFill="1" applyBorder="1" applyAlignment="1">
      <alignment horizontal="center" vertical="center" wrapText="1"/>
    </xf>
    <xf numFmtId="187" fontId="5" fillId="2" borderId="72" xfId="1" applyNumberFormat="1" applyFont="1" applyFill="1" applyBorder="1" applyAlignment="1">
      <alignment horizontal="center" vertical="center" wrapText="1"/>
    </xf>
    <xf numFmtId="0" fontId="10" fillId="2" borderId="72" xfId="3" applyFont="1" applyFill="1" applyBorder="1" applyAlignment="1">
      <alignment horizontal="center" vertical="center"/>
    </xf>
    <xf numFmtId="49" fontId="5" fillId="2" borderId="39" xfId="3" applyNumberFormat="1" applyFont="1" applyFill="1" applyBorder="1" applyAlignment="1">
      <alignment horizontal="center" vertical="center"/>
    </xf>
    <xf numFmtId="0" fontId="5" fillId="2" borderId="39" xfId="3" applyFont="1" applyFill="1" applyBorder="1" applyAlignment="1">
      <alignment vertical="center"/>
    </xf>
    <xf numFmtId="0" fontId="5" fillId="2" borderId="64" xfId="3" quotePrefix="1" applyFont="1" applyFill="1" applyBorder="1" applyAlignment="1">
      <alignment horizontal="center" vertical="center"/>
    </xf>
    <xf numFmtId="0" fontId="5" fillId="2" borderId="42" xfId="3" applyFont="1" applyFill="1" applyBorder="1" applyAlignment="1">
      <alignment horizontal="center" vertical="center"/>
    </xf>
    <xf numFmtId="0" fontId="5" fillId="2" borderId="43" xfId="3" quotePrefix="1" applyFont="1" applyFill="1" applyBorder="1" applyAlignment="1">
      <alignment horizontal="center" vertical="center"/>
    </xf>
    <xf numFmtId="49" fontId="5" fillId="2" borderId="58" xfId="3" applyNumberFormat="1" applyFont="1" applyFill="1" applyBorder="1" applyAlignment="1">
      <alignment horizontal="center" vertical="center"/>
    </xf>
    <xf numFmtId="43" fontId="5" fillId="2" borderId="58" xfId="3" applyNumberFormat="1" applyFont="1" applyFill="1" applyBorder="1" applyAlignment="1">
      <alignment horizontal="center" vertical="center"/>
    </xf>
    <xf numFmtId="0" fontId="5" fillId="17" borderId="15" xfId="3" applyFont="1" applyFill="1" applyBorder="1" applyAlignment="1">
      <alignment horizontal="left" vertical="center"/>
    </xf>
    <xf numFmtId="43" fontId="5" fillId="2" borderId="39" xfId="1" applyFont="1" applyFill="1" applyBorder="1" applyAlignment="1">
      <alignment horizontal="center" vertical="center" wrapText="1"/>
    </xf>
    <xf numFmtId="187" fontId="5" fillId="2" borderId="39" xfId="1" applyNumberFormat="1" applyFont="1" applyFill="1" applyBorder="1" applyAlignment="1">
      <alignment horizontal="center" vertical="center" wrapText="1"/>
    </xf>
    <xf numFmtId="0" fontId="10" fillId="2" borderId="58" xfId="3" applyFont="1" applyFill="1" applyBorder="1" applyAlignment="1">
      <alignment horizontal="center" vertical="center"/>
    </xf>
    <xf numFmtId="49" fontId="5" fillId="2" borderId="15" xfId="3" applyNumberFormat="1" applyFont="1" applyFill="1" applyBorder="1" applyAlignment="1">
      <alignment horizontal="center" vertical="center"/>
    </xf>
    <xf numFmtId="43" fontId="5" fillId="2" borderId="15" xfId="3" applyNumberFormat="1" applyFont="1" applyFill="1" applyBorder="1" applyAlignment="1">
      <alignment horizontal="center" vertical="center"/>
    </xf>
    <xf numFmtId="0" fontId="10" fillId="2" borderId="15" xfId="3" applyFont="1" applyFill="1" applyBorder="1" applyAlignment="1">
      <alignment horizontal="center" vertical="center"/>
    </xf>
    <xf numFmtId="0" fontId="5" fillId="2" borderId="79" xfId="3" quotePrefix="1" applyFont="1" applyFill="1" applyBorder="1" applyAlignment="1">
      <alignment horizontal="center" vertical="center"/>
    </xf>
    <xf numFmtId="43" fontId="5" fillId="2" borderId="39" xfId="3" applyNumberFormat="1" applyFont="1" applyFill="1" applyBorder="1" applyAlignment="1">
      <alignment horizontal="center" vertical="center"/>
    </xf>
    <xf numFmtId="0" fontId="35" fillId="29" borderId="25" xfId="3" applyFont="1" applyFill="1" applyBorder="1" applyAlignment="1">
      <alignment horizontal="left" vertical="center"/>
    </xf>
    <xf numFmtId="0" fontId="10" fillId="2" borderId="39" xfId="3" applyFont="1" applyFill="1" applyBorder="1" applyAlignment="1">
      <alignment horizontal="center" vertical="center"/>
    </xf>
    <xf numFmtId="0" fontId="5" fillId="2" borderId="78" xfId="3" quotePrefix="1" applyFont="1" applyFill="1" applyBorder="1" applyAlignment="1">
      <alignment horizontal="center" vertical="center"/>
    </xf>
    <xf numFmtId="0" fontId="5" fillId="2" borderId="15" xfId="3" applyFont="1" applyFill="1" applyBorder="1" applyAlignment="1">
      <alignment vertical="center"/>
    </xf>
    <xf numFmtId="0" fontId="5" fillId="2" borderId="27" xfId="3" applyFont="1" applyFill="1" applyBorder="1" applyAlignment="1">
      <alignment horizontal="center" vertical="center"/>
    </xf>
    <xf numFmtId="43" fontId="5" fillId="2" borderId="15" xfId="1" applyFont="1" applyFill="1" applyBorder="1" applyAlignment="1">
      <alignment horizontal="center" vertical="center" wrapText="1"/>
    </xf>
    <xf numFmtId="187" fontId="5" fillId="2" borderId="15" xfId="1" applyNumberFormat="1" applyFont="1" applyFill="1" applyBorder="1" applyAlignment="1">
      <alignment horizontal="center" vertical="center" wrapText="1"/>
    </xf>
    <xf numFmtId="0" fontId="5" fillId="0" borderId="39" xfId="3" applyFont="1" applyBorder="1" applyAlignment="1">
      <alignment horizontal="center" vertical="center"/>
    </xf>
    <xf numFmtId="0" fontId="5" fillId="0" borderId="39" xfId="3" applyFont="1" applyBorder="1" applyAlignment="1">
      <alignment vertical="center"/>
    </xf>
    <xf numFmtId="49" fontId="5" fillId="2" borderId="42" xfId="3" applyNumberFormat="1" applyFont="1" applyFill="1" applyBorder="1" applyAlignment="1">
      <alignment horizontal="center" vertical="center"/>
    </xf>
    <xf numFmtId="49" fontId="5" fillId="2" borderId="79" xfId="3" quotePrefix="1" applyNumberFormat="1" applyFont="1" applyFill="1" applyBorder="1" applyAlignment="1">
      <alignment horizontal="center" vertical="center"/>
    </xf>
    <xf numFmtId="43" fontId="5" fillId="2" borderId="79" xfId="1" applyFont="1" applyFill="1" applyBorder="1" applyAlignment="1">
      <alignment horizontal="right" vertical="center"/>
    </xf>
    <xf numFmtId="0" fontId="5" fillId="17" borderId="39" xfId="3" applyFont="1" applyFill="1" applyBorder="1" applyAlignment="1">
      <alignment vertical="center"/>
    </xf>
    <xf numFmtId="187" fontId="5" fillId="0" borderId="39" xfId="1" applyNumberFormat="1" applyFont="1" applyFill="1" applyBorder="1" applyAlignment="1">
      <alignment horizontal="right" vertical="center"/>
    </xf>
    <xf numFmtId="43" fontId="5" fillId="0" borderId="39" xfId="1" applyFont="1" applyFill="1" applyBorder="1" applyAlignment="1">
      <alignment horizontal="right" vertical="center"/>
    </xf>
    <xf numFmtId="187" fontId="10" fillId="0" borderId="72" xfId="1" applyNumberFormat="1" applyFont="1" applyFill="1" applyBorder="1" applyAlignment="1">
      <alignment horizontal="center" vertical="center"/>
    </xf>
    <xf numFmtId="0" fontId="5" fillId="0" borderId="15" xfId="3" applyFont="1" applyBorder="1" applyAlignment="1">
      <alignment horizontal="center" vertical="center"/>
    </xf>
    <xf numFmtId="0" fontId="5" fillId="0" borderId="15" xfId="3" applyFont="1" applyBorder="1" applyAlignment="1">
      <alignment vertical="center" shrinkToFit="1"/>
    </xf>
    <xf numFmtId="49" fontId="5" fillId="2" borderId="27" xfId="3" applyNumberFormat="1" applyFont="1" applyFill="1" applyBorder="1" applyAlignment="1">
      <alignment horizontal="center" vertical="center"/>
    </xf>
    <xf numFmtId="49" fontId="5" fillId="2" borderId="43" xfId="3" quotePrefix="1" applyNumberFormat="1" applyFont="1" applyFill="1" applyBorder="1" applyAlignment="1">
      <alignment horizontal="center" vertical="center"/>
    </xf>
    <xf numFmtId="43" fontId="5" fillId="2" borderId="43" xfId="1" applyFont="1" applyFill="1" applyBorder="1" applyAlignment="1">
      <alignment horizontal="right" vertical="center"/>
    </xf>
    <xf numFmtId="0" fontId="10" fillId="2" borderId="15" xfId="3" applyFont="1" applyFill="1" applyBorder="1" applyAlignment="1">
      <alignment vertical="center"/>
    </xf>
    <xf numFmtId="187" fontId="10" fillId="0" borderId="15" xfId="1" applyNumberFormat="1" applyFont="1" applyFill="1" applyBorder="1" applyAlignment="1">
      <alignment horizontal="right" vertical="center"/>
    </xf>
    <xf numFmtId="4" fontId="12" fillId="0" borderId="43" xfId="3" applyNumberFormat="1" applyFont="1" applyBorder="1" applyAlignment="1">
      <alignment horizontal="right" vertical="center" wrapText="1"/>
    </xf>
    <xf numFmtId="0" fontId="12" fillId="17" borderId="58" xfId="3" applyFont="1" applyFill="1" applyBorder="1" applyAlignment="1">
      <alignment vertical="center" wrapText="1"/>
    </xf>
    <xf numFmtId="0" fontId="5" fillId="0" borderId="14" xfId="3" applyFont="1" applyBorder="1" applyAlignment="1">
      <alignment horizontal="center" vertical="center" wrapText="1"/>
    </xf>
    <xf numFmtId="187" fontId="5" fillId="0" borderId="14" xfId="1" applyNumberFormat="1" applyFont="1" applyFill="1" applyBorder="1" applyAlignment="1">
      <alignment horizontal="right" vertical="center"/>
    </xf>
    <xf numFmtId="43" fontId="5" fillId="0" borderId="14" xfId="1" applyFont="1" applyFill="1" applyBorder="1" applyAlignment="1">
      <alignment horizontal="right" vertical="center"/>
    </xf>
    <xf numFmtId="43" fontId="5" fillId="0" borderId="17" xfId="1" applyFont="1" applyFill="1" applyBorder="1" applyAlignment="1">
      <alignment horizontal="right" vertical="center"/>
    </xf>
    <xf numFmtId="187" fontId="10" fillId="0" borderId="14" xfId="1" applyNumberFormat="1" applyFont="1" applyFill="1" applyBorder="1" applyAlignment="1">
      <alignment horizontal="right" vertical="center"/>
    </xf>
    <xf numFmtId="43" fontId="5" fillId="2" borderId="21" xfId="1" applyFont="1" applyFill="1" applyBorder="1" applyAlignment="1">
      <alignment horizontal="right" vertical="center"/>
    </xf>
    <xf numFmtId="0" fontId="5" fillId="2" borderId="222" xfId="3" applyFont="1" applyFill="1" applyBorder="1" applyAlignment="1">
      <alignment horizontal="left" vertical="center"/>
    </xf>
    <xf numFmtId="49" fontId="5" fillId="2" borderId="223" xfId="3" applyNumberFormat="1" applyFont="1" applyFill="1" applyBorder="1" applyAlignment="1">
      <alignment horizontal="center" vertical="center"/>
    </xf>
    <xf numFmtId="49" fontId="5" fillId="2" borderId="224" xfId="3" quotePrefix="1" applyNumberFormat="1" applyFont="1" applyFill="1" applyBorder="1" applyAlignment="1">
      <alignment horizontal="center" vertical="center"/>
    </xf>
    <xf numFmtId="49" fontId="5" fillId="2" borderId="222" xfId="3" applyNumberFormat="1" applyFont="1" applyFill="1" applyBorder="1" applyAlignment="1">
      <alignment horizontal="center" vertical="center"/>
    </xf>
    <xf numFmtId="43" fontId="5" fillId="2" borderId="222" xfId="1" applyFont="1" applyFill="1" applyBorder="1" applyAlignment="1">
      <alignment horizontal="right" vertical="center"/>
    </xf>
    <xf numFmtId="0" fontId="5" fillId="17" borderId="72" xfId="3" applyFont="1" applyFill="1" applyBorder="1" applyAlignment="1">
      <alignment vertical="center"/>
    </xf>
    <xf numFmtId="0" fontId="10" fillId="2" borderId="222" xfId="3" applyFont="1" applyFill="1" applyBorder="1" applyAlignment="1">
      <alignment horizontal="center" vertical="center"/>
    </xf>
    <xf numFmtId="0" fontId="5" fillId="2" borderId="225" xfId="3" applyFont="1" applyFill="1" applyBorder="1" applyAlignment="1">
      <alignment horizontal="center" vertical="center"/>
    </xf>
    <xf numFmtId="0" fontId="5" fillId="2" borderId="15" xfId="3" applyFont="1" applyFill="1" applyBorder="1" applyAlignment="1">
      <alignment horizontal="left" vertical="center"/>
    </xf>
    <xf numFmtId="43" fontId="5" fillId="2" borderId="15" xfId="1" applyFont="1" applyFill="1" applyBorder="1" applyAlignment="1">
      <alignment horizontal="right" vertical="center"/>
    </xf>
    <xf numFmtId="0" fontId="5" fillId="2" borderId="226" xfId="3" applyFont="1" applyFill="1" applyBorder="1" applyAlignment="1">
      <alignment horizontal="center" vertical="center"/>
    </xf>
    <xf numFmtId="0" fontId="5" fillId="2" borderId="227" xfId="3" applyFont="1" applyFill="1" applyBorder="1" applyAlignment="1">
      <alignment horizontal="left" vertical="center"/>
    </xf>
    <xf numFmtId="49" fontId="5" fillId="2" borderId="68" xfId="3" applyNumberFormat="1" applyFont="1" applyFill="1" applyBorder="1" applyAlignment="1">
      <alignment horizontal="center" vertical="center"/>
    </xf>
    <xf numFmtId="49" fontId="5" fillId="2" borderId="228" xfId="3" applyNumberFormat="1" applyFont="1" applyFill="1" applyBorder="1" applyAlignment="1">
      <alignment horizontal="center" vertical="center"/>
    </xf>
    <xf numFmtId="49" fontId="5" fillId="2" borderId="227" xfId="3" applyNumberFormat="1" applyFont="1" applyFill="1" applyBorder="1" applyAlignment="1">
      <alignment horizontal="center" vertical="center"/>
    </xf>
    <xf numFmtId="43" fontId="20" fillId="2" borderId="227" xfId="1" applyFont="1" applyFill="1" applyBorder="1" applyAlignment="1">
      <alignment horizontal="right" vertical="center"/>
    </xf>
    <xf numFmtId="0" fontId="10" fillId="2" borderId="227" xfId="3" applyFont="1" applyFill="1" applyBorder="1" applyAlignment="1">
      <alignment vertical="center"/>
    </xf>
    <xf numFmtId="0" fontId="5" fillId="2" borderId="227" xfId="3" applyFont="1" applyFill="1" applyBorder="1" applyAlignment="1">
      <alignment horizontal="center" vertical="center" wrapText="1"/>
    </xf>
    <xf numFmtId="43" fontId="5" fillId="2" borderId="227" xfId="1" applyFont="1" applyFill="1" applyBorder="1" applyAlignment="1">
      <alignment horizontal="right" vertical="center"/>
    </xf>
    <xf numFmtId="0" fontId="10" fillId="2" borderId="227" xfId="3" applyFont="1" applyFill="1" applyBorder="1" applyAlignment="1">
      <alignment horizontal="center" vertical="center"/>
    </xf>
    <xf numFmtId="0" fontId="5" fillId="0" borderId="2" xfId="3" applyFont="1" applyBorder="1" applyAlignment="1">
      <alignment horizontal="center" vertical="center" wrapText="1"/>
    </xf>
    <xf numFmtId="0" fontId="5" fillId="0" borderId="0" xfId="3" quotePrefix="1" applyFont="1" applyAlignment="1">
      <alignment horizontal="center" vertical="center" wrapText="1"/>
    </xf>
    <xf numFmtId="15" fontId="5" fillId="0" borderId="0" xfId="3" applyNumberFormat="1" applyFont="1" applyAlignment="1">
      <alignment horizontal="center" vertical="center" wrapText="1"/>
    </xf>
    <xf numFmtId="0" fontId="10" fillId="0" borderId="75" xfId="3" applyFont="1" applyBorder="1" applyAlignment="1">
      <alignment horizontal="left" vertical="center"/>
    </xf>
    <xf numFmtId="0" fontId="5" fillId="0" borderId="6" xfId="3" quotePrefix="1" applyFont="1" applyBorder="1" applyAlignment="1">
      <alignment horizontal="center" vertical="center" wrapText="1"/>
    </xf>
    <xf numFmtId="0" fontId="5" fillId="0" borderId="7" xfId="3" applyFont="1" applyBorder="1" applyAlignment="1">
      <alignment horizontal="center" vertical="center" wrapText="1"/>
    </xf>
    <xf numFmtId="0" fontId="5" fillId="0" borderId="8" xfId="3" quotePrefix="1" applyFont="1" applyBorder="1" applyAlignment="1">
      <alignment horizontal="center" vertical="center" wrapText="1"/>
    </xf>
    <xf numFmtId="0" fontId="5" fillId="2" borderId="0" xfId="3" applyFont="1" applyFill="1" applyAlignment="1">
      <alignment horizontal="center" vertical="center"/>
    </xf>
    <xf numFmtId="0" fontId="5" fillId="0" borderId="0" xfId="3" applyFont="1" applyAlignment="1">
      <alignment horizontal="center" vertical="center"/>
    </xf>
    <xf numFmtId="43" fontId="20" fillId="0" borderId="0" xfId="3" applyNumberFormat="1" applyFont="1" applyAlignment="1">
      <alignment vertical="center"/>
    </xf>
    <xf numFmtId="0" fontId="10" fillId="0" borderId="0" xfId="3" applyFont="1" applyAlignment="1">
      <alignment vertical="center"/>
    </xf>
    <xf numFmtId="0" fontId="10" fillId="0" borderId="0" xfId="3" applyFont="1" applyAlignment="1">
      <alignment horizontal="center" vertical="center"/>
    </xf>
    <xf numFmtId="0" fontId="5" fillId="0" borderId="72" xfId="3" applyFont="1" applyBorder="1" applyAlignment="1">
      <alignment horizontal="center" vertical="top" wrapText="1"/>
    </xf>
    <xf numFmtId="0" fontId="7" fillId="0" borderId="9" xfId="3" applyFont="1" applyBorder="1" applyAlignment="1">
      <alignment horizontal="left" wrapText="1"/>
    </xf>
    <xf numFmtId="0" fontId="5" fillId="33" borderId="15" xfId="3" applyFont="1" applyFill="1" applyBorder="1" applyAlignment="1">
      <alignment horizontal="left" vertical="center"/>
    </xf>
    <xf numFmtId="0" fontId="7" fillId="0" borderId="15" xfId="3" applyFont="1" applyBorder="1" applyAlignment="1">
      <alignment horizontal="left" wrapText="1"/>
    </xf>
    <xf numFmtId="43" fontId="20" fillId="0" borderId="0" xfId="3" applyNumberFormat="1" applyFont="1"/>
    <xf numFmtId="0" fontId="29" fillId="0" borderId="0" xfId="3" applyFont="1" applyAlignment="1">
      <alignment horizontal="left"/>
    </xf>
    <xf numFmtId="0" fontId="5" fillId="16" borderId="15" xfId="0" applyFont="1" applyFill="1" applyBorder="1" applyAlignment="1">
      <alignment horizontal="center"/>
    </xf>
    <xf numFmtId="0" fontId="5" fillId="16" borderId="15" xfId="2" applyFont="1" applyFill="1" applyBorder="1" applyAlignment="1">
      <alignment horizontal="center" vertical="top" wrapText="1"/>
    </xf>
    <xf numFmtId="4" fontId="5" fillId="0" borderId="25" xfId="1" applyNumberFormat="1" applyFont="1" applyFill="1" applyBorder="1" applyAlignment="1">
      <alignment horizontal="center"/>
    </xf>
    <xf numFmtId="4" fontId="5" fillId="0" borderId="31" xfId="1" applyNumberFormat="1" applyFont="1" applyFill="1" applyBorder="1" applyAlignment="1">
      <alignment horizontal="center"/>
    </xf>
    <xf numFmtId="4" fontId="5" fillId="0" borderId="14" xfId="1" applyNumberFormat="1" applyFont="1" applyFill="1" applyBorder="1" applyAlignment="1">
      <alignment horizontal="center"/>
    </xf>
    <xf numFmtId="4" fontId="5" fillId="0" borderId="15" xfId="1" applyNumberFormat="1" applyFont="1" applyFill="1" applyBorder="1" applyAlignment="1">
      <alignment horizontal="center"/>
    </xf>
    <xf numFmtId="4" fontId="5" fillId="0" borderId="19" xfId="1" applyNumberFormat="1" applyFont="1" applyFill="1" applyBorder="1" applyAlignment="1">
      <alignment horizontal="center"/>
    </xf>
    <xf numFmtId="187" fontId="5" fillId="0" borderId="15" xfId="1" applyNumberFormat="1" applyFont="1" applyFill="1" applyBorder="1" applyAlignment="1">
      <alignment horizontal="center"/>
    </xf>
    <xf numFmtId="187" fontId="18" fillId="0" borderId="14" xfId="1" applyNumberFormat="1" applyFont="1" applyFill="1" applyBorder="1" applyAlignment="1">
      <alignment horizontal="center"/>
    </xf>
    <xf numFmtId="187" fontId="5" fillId="0" borderId="14" xfId="1" applyNumberFormat="1" applyFont="1" applyFill="1" applyBorder="1" applyAlignment="1">
      <alignment horizontal="center"/>
    </xf>
    <xf numFmtId="187" fontId="5" fillId="0" borderId="14" xfId="1" applyNumberFormat="1" applyFont="1" applyFill="1" applyBorder="1" applyAlignment="1">
      <alignment horizontal="center" vertical="top"/>
    </xf>
    <xf numFmtId="187" fontId="5" fillId="0" borderId="19" xfId="1" applyNumberFormat="1" applyFont="1" applyFill="1" applyBorder="1" applyAlignment="1">
      <alignment horizontal="center"/>
    </xf>
    <xf numFmtId="187" fontId="5" fillId="3" borderId="7" xfId="1" applyNumberFormat="1" applyFont="1" applyFill="1" applyBorder="1" applyAlignment="1">
      <alignment horizontal="center"/>
    </xf>
    <xf numFmtId="187" fontId="5" fillId="0" borderId="69" xfId="1" applyNumberFormat="1" applyFont="1" applyFill="1" applyBorder="1" applyAlignment="1">
      <alignment horizontal="center"/>
    </xf>
    <xf numFmtId="187" fontId="12" fillId="0" borderId="69" xfId="1" applyNumberFormat="1" applyFont="1" applyFill="1" applyBorder="1" applyAlignment="1">
      <alignment horizontal="center"/>
    </xf>
    <xf numFmtId="43" fontId="5" fillId="2" borderId="2" xfId="1" applyFont="1" applyFill="1" applyBorder="1" applyAlignment="1">
      <alignment horizontal="center"/>
    </xf>
    <xf numFmtId="187" fontId="5" fillId="2" borderId="14" xfId="1" applyNumberFormat="1" applyFont="1" applyFill="1" applyBorder="1" applyAlignment="1">
      <alignment horizontal="center" vertical="top" wrapText="1"/>
    </xf>
    <xf numFmtId="187" fontId="5" fillId="2" borderId="19" xfId="1" applyNumberFormat="1" applyFont="1" applyFill="1" applyBorder="1" applyAlignment="1">
      <alignment horizontal="center" vertical="top" wrapText="1"/>
    </xf>
    <xf numFmtId="187" fontId="5" fillId="2" borderId="0" xfId="1" applyNumberFormat="1" applyFont="1" applyFill="1" applyBorder="1" applyAlignment="1">
      <alignment horizontal="center" vertical="top" wrapText="1"/>
    </xf>
    <xf numFmtId="187" fontId="6" fillId="0" borderId="15" xfId="1" applyNumberFormat="1" applyFont="1" applyFill="1" applyBorder="1" applyAlignment="1">
      <alignment horizontal="center"/>
    </xf>
    <xf numFmtId="187" fontId="6" fillId="0" borderId="19" xfId="1" applyNumberFormat="1" applyFont="1" applyFill="1" applyBorder="1" applyAlignment="1">
      <alignment horizontal="center"/>
    </xf>
    <xf numFmtId="187" fontId="6" fillId="0" borderId="15" xfId="1" applyNumberFormat="1" applyFont="1" applyFill="1" applyBorder="1" applyAlignment="1">
      <alignment horizontal="center" vertical="center"/>
    </xf>
    <xf numFmtId="0" fontId="15" fillId="0" borderId="15" xfId="0" applyFont="1" applyBorder="1" applyAlignment="1">
      <alignment horizontal="left"/>
    </xf>
    <xf numFmtId="0" fontId="5" fillId="16" borderId="15" xfId="0" applyFont="1" applyFill="1" applyBorder="1" applyAlignment="1">
      <alignment horizontal="center" vertical="top"/>
    </xf>
    <xf numFmtId="0" fontId="5" fillId="16" borderId="39" xfId="0" applyFont="1" applyFill="1" applyBorder="1" applyAlignment="1">
      <alignment horizontal="center"/>
    </xf>
    <xf numFmtId="0" fontId="15" fillId="0" borderId="39" xfId="0" applyFont="1" applyBorder="1" applyAlignment="1">
      <alignment horizontal="left"/>
    </xf>
    <xf numFmtId="0" fontId="12" fillId="2" borderId="39" xfId="3" applyFont="1" applyFill="1" applyBorder="1" applyAlignment="1">
      <alignment horizontal="center" vertical="top"/>
    </xf>
    <xf numFmtId="0" fontId="15" fillId="2" borderId="15" xfId="3" applyFont="1" applyFill="1" applyBorder="1" applyAlignment="1">
      <alignment vertical="top"/>
    </xf>
    <xf numFmtId="0" fontId="15" fillId="2" borderId="39" xfId="3" applyFont="1" applyFill="1" applyBorder="1" applyAlignment="1">
      <alignment vertical="top"/>
    </xf>
    <xf numFmtId="43" fontId="15" fillId="2" borderId="9" xfId="1" applyFont="1" applyFill="1" applyBorder="1" applyAlignment="1">
      <alignment horizontal="center"/>
    </xf>
    <xf numFmtId="0" fontId="5" fillId="16" borderId="179" xfId="0" applyFont="1" applyFill="1" applyBorder="1" applyAlignment="1">
      <alignment horizontal="center"/>
    </xf>
    <xf numFmtId="0" fontId="5" fillId="16" borderId="124" xfId="0" applyFont="1" applyFill="1" applyBorder="1" applyAlignment="1">
      <alignment horizontal="center"/>
    </xf>
    <xf numFmtId="43" fontId="5" fillId="0" borderId="129" xfId="1" applyFont="1" applyFill="1" applyBorder="1" applyAlignment="1">
      <alignment horizontal="center"/>
    </xf>
    <xf numFmtId="0" fontId="15" fillId="0" borderId="184" xfId="0" applyFont="1" applyBorder="1" applyAlignment="1">
      <alignment horizontal="left"/>
    </xf>
    <xf numFmtId="0" fontId="5" fillId="16" borderId="193" xfId="0" applyFont="1" applyFill="1" applyBorder="1" applyAlignment="1">
      <alignment horizontal="center"/>
    </xf>
    <xf numFmtId="0" fontId="15" fillId="0" borderId="193" xfId="0" applyFont="1" applyBorder="1" applyAlignment="1">
      <alignment horizontal="left"/>
    </xf>
    <xf numFmtId="0" fontId="5" fillId="16" borderId="58" xfId="0" applyFont="1" applyFill="1" applyBorder="1" applyAlignment="1">
      <alignment horizontal="center"/>
    </xf>
    <xf numFmtId="0" fontId="5" fillId="16" borderId="39" xfId="2" applyFont="1" applyFill="1" applyBorder="1" applyAlignment="1">
      <alignment horizontal="center" vertical="top" wrapText="1"/>
    </xf>
    <xf numFmtId="0" fontId="17" fillId="2" borderId="14" xfId="0" applyFont="1" applyFill="1" applyBorder="1" applyAlignment="1">
      <alignment horizontal="left"/>
    </xf>
    <xf numFmtId="0" fontId="5" fillId="16" borderId="14" xfId="2" applyFont="1" applyFill="1" applyBorder="1" applyAlignment="1">
      <alignment horizontal="center" vertical="top" wrapText="1"/>
    </xf>
    <xf numFmtId="0" fontId="12" fillId="16" borderId="205" xfId="0" applyFont="1" applyFill="1" applyBorder="1" applyAlignment="1">
      <alignment horizontal="center"/>
    </xf>
    <xf numFmtId="0" fontId="17" fillId="0" borderId="15" xfId="0" applyFont="1" applyBorder="1" applyAlignment="1">
      <alignment horizontal="left"/>
    </xf>
    <xf numFmtId="0" fontId="5" fillId="16" borderId="15" xfId="3" applyFont="1" applyFill="1" applyBorder="1" applyAlignment="1">
      <alignment horizontal="center" vertical="center" wrapText="1"/>
    </xf>
    <xf numFmtId="0" fontId="5" fillId="0" borderId="72" xfId="3" applyFont="1" applyBorder="1" applyAlignment="1">
      <alignment horizontal="left" vertical="center" wrapText="1"/>
    </xf>
    <xf numFmtId="0" fontId="5" fillId="0" borderId="39" xfId="3" applyFont="1" applyBorder="1" applyAlignment="1">
      <alignment horizontal="left" vertical="center" wrapText="1"/>
    </xf>
    <xf numFmtId="0" fontId="5" fillId="0" borderId="15" xfId="3" applyFont="1" applyBorder="1" applyAlignment="1">
      <alignment horizontal="left" vertical="center" wrapText="1"/>
    </xf>
    <xf numFmtId="0" fontId="5" fillId="0" borderId="16" xfId="3" applyFont="1" applyBorder="1" applyAlignment="1">
      <alignment horizontal="left" vertical="center"/>
    </xf>
    <xf numFmtId="0" fontId="5" fillId="0" borderId="16" xfId="3" applyFont="1" applyBorder="1" applyAlignment="1">
      <alignment horizontal="left" vertical="center" wrapText="1"/>
    </xf>
    <xf numFmtId="0" fontId="5" fillId="0" borderId="14" xfId="3" applyFont="1" applyBorder="1" applyAlignment="1">
      <alignment horizontal="left" vertical="center" wrapText="1"/>
    </xf>
    <xf numFmtId="0" fontId="5" fillId="0" borderId="20" xfId="3" applyFont="1" applyBorder="1" applyAlignment="1">
      <alignment horizontal="left" vertical="center" wrapText="1"/>
    </xf>
    <xf numFmtId="0" fontId="5" fillId="0" borderId="19" xfId="3" applyFont="1" applyBorder="1" applyAlignment="1">
      <alignment horizontal="left" vertical="center" wrapText="1"/>
    </xf>
    <xf numFmtId="0" fontId="5" fillId="0" borderId="9" xfId="3" applyFont="1" applyBorder="1" applyAlignment="1">
      <alignment horizontal="left" vertical="center" wrapText="1"/>
    </xf>
    <xf numFmtId="0" fontId="5" fillId="0" borderId="0" xfId="3" applyFont="1" applyAlignment="1">
      <alignment horizontal="left" vertical="center" wrapText="1"/>
    </xf>
    <xf numFmtId="0" fontId="5" fillId="0" borderId="58" xfId="3" applyFont="1" applyBorder="1" applyAlignment="1">
      <alignment horizontal="left" vertical="center" wrapText="1"/>
    </xf>
    <xf numFmtId="0" fontId="5" fillId="0" borderId="72" xfId="3" applyFont="1" applyBorder="1" applyAlignment="1">
      <alignment horizontal="left" wrapText="1"/>
    </xf>
    <xf numFmtId="0" fontId="5" fillId="0" borderId="9" xfId="3" applyFont="1" applyBorder="1" applyAlignment="1">
      <alignment horizontal="left" wrapText="1"/>
    </xf>
    <xf numFmtId="0" fontId="5" fillId="16" borderId="72" xfId="3" applyFont="1" applyFill="1" applyBorder="1" applyAlignment="1">
      <alignment horizontal="center" vertical="center" wrapText="1"/>
    </xf>
    <xf numFmtId="0" fontId="5" fillId="16" borderId="39" xfId="3" applyFont="1" applyFill="1" applyBorder="1" applyAlignment="1">
      <alignment horizontal="center" vertical="center" wrapText="1"/>
    </xf>
    <xf numFmtId="0" fontId="12" fillId="2" borderId="56" xfId="0" applyFont="1" applyFill="1" applyBorder="1" applyAlignment="1">
      <alignment horizontal="left" vertical="center"/>
    </xf>
    <xf numFmtId="0" fontId="12" fillId="0" borderId="38" xfId="0" applyFont="1" applyBorder="1" applyAlignment="1">
      <alignment horizontal="left"/>
    </xf>
    <xf numFmtId="0" fontId="12" fillId="2" borderId="167" xfId="3" applyFont="1" applyFill="1" applyBorder="1" applyAlignment="1">
      <alignment vertical="center"/>
    </xf>
    <xf numFmtId="0" fontId="19" fillId="2" borderId="15" xfId="3" applyFont="1" applyFill="1" applyBorder="1" applyAlignment="1">
      <alignment horizontal="center"/>
    </xf>
    <xf numFmtId="0" fontId="15" fillId="2" borderId="18" xfId="2" applyFont="1" applyFill="1" applyBorder="1" applyAlignment="1">
      <alignment horizontal="left" wrapText="1"/>
    </xf>
    <xf numFmtId="187" fontId="15" fillId="0" borderId="58" xfId="1" applyNumberFormat="1" applyFont="1" applyFill="1" applyBorder="1" applyAlignment="1">
      <alignment horizontal="left"/>
    </xf>
    <xf numFmtId="0" fontId="12" fillId="16" borderId="64" xfId="3" applyFont="1" applyFill="1" applyBorder="1" applyAlignment="1">
      <alignment horizontal="center" vertical="center"/>
    </xf>
    <xf numFmtId="0" fontId="12" fillId="2" borderId="15" xfId="3" applyFont="1" applyFill="1" applyBorder="1" applyAlignment="1">
      <alignment horizontal="center"/>
    </xf>
    <xf numFmtId="0" fontId="12" fillId="16" borderId="78" xfId="3" applyFont="1" applyFill="1" applyBorder="1" applyAlignment="1">
      <alignment horizontal="center" vertical="center"/>
    </xf>
    <xf numFmtId="0" fontId="12" fillId="2" borderId="39" xfId="3" applyFont="1" applyFill="1" applyBorder="1" applyAlignment="1">
      <alignment horizontal="center"/>
    </xf>
    <xf numFmtId="0" fontId="15" fillId="2" borderId="167" xfId="3" applyFont="1" applyFill="1" applyBorder="1"/>
    <xf numFmtId="0" fontId="12" fillId="16" borderId="206" xfId="0" applyFont="1" applyFill="1" applyBorder="1" applyAlignment="1">
      <alignment horizontal="center"/>
    </xf>
    <xf numFmtId="0" fontId="5" fillId="16" borderId="14" xfId="3" applyFont="1" applyFill="1" applyBorder="1" applyAlignment="1">
      <alignment horizontal="center" vertical="center" wrapText="1"/>
    </xf>
    <xf numFmtId="0" fontId="15" fillId="0" borderId="14" xfId="3" applyFont="1" applyBorder="1" applyAlignment="1">
      <alignment horizontal="left" vertical="center"/>
    </xf>
    <xf numFmtId="0" fontId="5" fillId="16" borderId="58" xfId="3" applyFont="1" applyFill="1" applyBorder="1" applyAlignment="1">
      <alignment horizontal="center" vertical="center" wrapText="1"/>
    </xf>
    <xf numFmtId="0" fontId="5" fillId="16" borderId="14" xfId="0" applyFont="1" applyFill="1" applyBorder="1" applyAlignment="1">
      <alignment horizontal="center"/>
    </xf>
    <xf numFmtId="0" fontId="5" fillId="16" borderId="15" xfId="0" applyFont="1" applyFill="1" applyBorder="1" applyAlignment="1">
      <alignment horizontal="center" vertical="center"/>
    </xf>
    <xf numFmtId="0" fontId="46" fillId="0" borderId="0" xfId="0" applyFont="1"/>
    <xf numFmtId="0" fontId="5" fillId="16" borderId="15" xfId="2" applyFont="1" applyFill="1" applyBorder="1" applyAlignment="1">
      <alignment horizontal="center" vertical="center" wrapText="1"/>
    </xf>
    <xf numFmtId="0" fontId="17" fillId="2" borderId="15" xfId="2" applyFont="1" applyFill="1" applyBorder="1" applyAlignment="1">
      <alignment horizontal="left" vertical="center" wrapText="1"/>
    </xf>
    <xf numFmtId="0" fontId="17" fillId="2" borderId="15" xfId="0" applyFont="1" applyFill="1" applyBorder="1" applyAlignment="1">
      <alignment horizontal="left" vertical="center"/>
    </xf>
    <xf numFmtId="0" fontId="17" fillId="2" borderId="15" xfId="0" applyFont="1" applyFill="1" applyBorder="1" applyAlignment="1">
      <alignment horizontal="left"/>
    </xf>
    <xf numFmtId="0" fontId="5" fillId="16" borderId="15" xfId="2" applyFont="1" applyFill="1" applyBorder="1" applyAlignment="1">
      <alignment horizontal="center" wrapText="1"/>
    </xf>
    <xf numFmtId="0" fontId="10" fillId="15" borderId="39" xfId="2" applyFont="1" applyFill="1" applyBorder="1" applyAlignment="1">
      <alignment vertical="center" wrapText="1"/>
    </xf>
    <xf numFmtId="0" fontId="17" fillId="2" borderId="15" xfId="2" applyFont="1" applyFill="1" applyBorder="1" applyAlignment="1">
      <alignment horizontal="left" vertical="top" wrapText="1"/>
    </xf>
    <xf numFmtId="0" fontId="17" fillId="2" borderId="14" xfId="2" applyFont="1" applyFill="1" applyBorder="1" applyAlignment="1">
      <alignment horizontal="left" vertical="center" wrapText="1"/>
    </xf>
    <xf numFmtId="0" fontId="29" fillId="16" borderId="39" xfId="0" applyFont="1" applyFill="1" applyBorder="1" applyAlignment="1">
      <alignment horizontal="center"/>
    </xf>
    <xf numFmtId="0" fontId="27" fillId="2" borderId="18" xfId="0" applyFont="1" applyFill="1" applyBorder="1" applyAlignment="1">
      <alignment horizontal="left"/>
    </xf>
    <xf numFmtId="0" fontId="5" fillId="15" borderId="14" xfId="0" applyFont="1" applyFill="1" applyBorder="1" applyAlignment="1">
      <alignment horizontal="left"/>
    </xf>
    <xf numFmtId="0" fontId="17" fillId="2" borderId="15" xfId="0" applyFont="1" applyFill="1" applyBorder="1" applyAlignment="1">
      <alignment horizontal="left" vertical="top"/>
    </xf>
    <xf numFmtId="0" fontId="17" fillId="2" borderId="15" xfId="3" applyFont="1" applyFill="1" applyBorder="1"/>
    <xf numFmtId="0" fontId="56" fillId="2" borderId="15" xfId="3" applyFont="1" applyFill="1" applyBorder="1"/>
    <xf numFmtId="0" fontId="15" fillId="2" borderId="15" xfId="3" applyFont="1" applyFill="1" applyBorder="1"/>
    <xf numFmtId="0" fontId="12" fillId="16" borderId="85" xfId="0" applyFont="1" applyFill="1" applyBorder="1" applyAlignment="1">
      <alignment horizontal="center"/>
    </xf>
    <xf numFmtId="49" fontId="12" fillId="6" borderId="229" xfId="3" applyNumberFormat="1" applyFont="1" applyFill="1" applyBorder="1" applyAlignment="1">
      <alignment horizontal="center"/>
    </xf>
    <xf numFmtId="49" fontId="12" fillId="2" borderId="1" xfId="3" applyNumberFormat="1" applyFont="1" applyFill="1" applyBorder="1" applyAlignment="1">
      <alignment horizontal="center"/>
    </xf>
    <xf numFmtId="49" fontId="12" fillId="2" borderId="230" xfId="3" applyNumberFormat="1" applyFont="1" applyFill="1" applyBorder="1" applyAlignment="1">
      <alignment horizontal="center"/>
    </xf>
    <xf numFmtId="189" fontId="12" fillId="2" borderId="19" xfId="3" applyNumberFormat="1" applyFont="1" applyFill="1" applyBorder="1" applyAlignment="1">
      <alignment horizontal="center"/>
    </xf>
    <xf numFmtId="43" fontId="12" fillId="2" borderId="19" xfId="4" applyFont="1" applyFill="1" applyBorder="1"/>
    <xf numFmtId="0" fontId="13" fillId="5" borderId="22" xfId="3" applyFont="1" applyFill="1" applyBorder="1"/>
    <xf numFmtId="0" fontId="12" fillId="2" borderId="19" xfId="3" applyFont="1" applyFill="1" applyBorder="1" applyAlignment="1">
      <alignment horizontal="center"/>
    </xf>
    <xf numFmtId="0" fontId="15" fillId="2" borderId="19" xfId="3" applyFont="1" applyFill="1" applyBorder="1"/>
    <xf numFmtId="0" fontId="12" fillId="2" borderId="101" xfId="3" applyFont="1" applyFill="1" applyBorder="1"/>
    <xf numFmtId="0" fontId="17" fillId="0" borderId="15" xfId="0" applyFont="1" applyBorder="1" applyAlignment="1">
      <alignment horizontal="left" vertical="center" wrapText="1"/>
    </xf>
    <xf numFmtId="0" fontId="17" fillId="0" borderId="15" xfId="2" applyFont="1" applyBorder="1" applyAlignment="1">
      <alignment horizontal="left" vertical="center" wrapText="1"/>
    </xf>
    <xf numFmtId="0" fontId="5" fillId="16" borderId="39" xfId="2" applyFont="1" applyFill="1" applyBorder="1" applyAlignment="1">
      <alignment horizontal="center" vertical="center" wrapText="1"/>
    </xf>
    <xf numFmtId="0" fontId="17" fillId="2" borderId="39" xfId="2" applyFont="1" applyFill="1" applyBorder="1" applyAlignment="1">
      <alignment horizontal="left" vertical="top" wrapText="1"/>
    </xf>
    <xf numFmtId="0" fontId="10" fillId="15" borderId="15" xfId="2" applyFont="1" applyFill="1" applyBorder="1" applyAlignment="1">
      <alignment horizontal="center" vertical="center" wrapText="1"/>
    </xf>
    <xf numFmtId="0" fontId="17" fillId="0" borderId="15" xfId="2" applyFont="1" applyBorder="1" applyAlignment="1">
      <alignment horizontal="left" wrapText="1"/>
    </xf>
    <xf numFmtId="0" fontId="5" fillId="0" borderId="12" xfId="0" applyFont="1" applyBorder="1"/>
    <xf numFmtId="0" fontId="5" fillId="16" borderId="15" xfId="0" quotePrefix="1" applyFont="1" applyFill="1" applyBorder="1" applyAlignment="1">
      <alignment horizontal="center" vertical="center"/>
    </xf>
    <xf numFmtId="0" fontId="17" fillId="0" borderId="44" xfId="2" applyFont="1" applyBorder="1" applyAlignment="1">
      <alignment horizontal="left" vertical="center" wrapText="1"/>
    </xf>
    <xf numFmtId="0" fontId="15" fillId="0" borderId="39" xfId="2" applyFont="1" applyBorder="1" applyAlignment="1">
      <alignment horizontal="left" vertical="center" wrapText="1"/>
    </xf>
    <xf numFmtId="0" fontId="17" fillId="0" borderId="39" xfId="2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/>
    </xf>
    <xf numFmtId="0" fontId="5" fillId="16" borderId="72" xfId="0" applyFont="1" applyFill="1" applyBorder="1" applyAlignment="1">
      <alignment horizontal="center"/>
    </xf>
    <xf numFmtId="0" fontId="15" fillId="0" borderId="72" xfId="0" applyFont="1" applyBorder="1" applyAlignment="1">
      <alignment horizontal="left"/>
    </xf>
    <xf numFmtId="0" fontId="5" fillId="16" borderId="72" xfId="0" applyFont="1" applyFill="1" applyBorder="1" applyAlignment="1">
      <alignment horizontal="center" vertical="center"/>
    </xf>
    <xf numFmtId="0" fontId="41" fillId="9" borderId="39" xfId="2" applyFont="1" applyFill="1" applyBorder="1" applyAlignment="1">
      <alignment horizontal="left" vertical="center" wrapText="1"/>
    </xf>
    <xf numFmtId="49" fontId="5" fillId="16" borderId="39" xfId="2" applyNumberFormat="1" applyFont="1" applyFill="1" applyBorder="1" applyAlignment="1">
      <alignment horizontal="center" vertical="center"/>
    </xf>
    <xf numFmtId="0" fontId="5" fillId="0" borderId="14" xfId="2" applyFont="1" applyBorder="1" applyAlignment="1">
      <alignment horizontal="center" vertical="top" wrapText="1"/>
    </xf>
    <xf numFmtId="0" fontId="41" fillId="0" borderId="14" xfId="0" applyFont="1" applyBorder="1" applyAlignment="1">
      <alignment horizontal="center"/>
    </xf>
    <xf numFmtId="0" fontId="5" fillId="16" borderId="72" xfId="2" applyFont="1" applyFill="1" applyBorder="1" applyAlignment="1">
      <alignment horizontal="center" vertical="center" wrapText="1"/>
    </xf>
    <xf numFmtId="0" fontId="5" fillId="16" borderId="15" xfId="2" applyFont="1" applyFill="1" applyBorder="1" applyAlignment="1">
      <alignment horizontal="center" vertical="center"/>
    </xf>
    <xf numFmtId="0" fontId="5" fillId="16" borderId="14" xfId="2" applyFont="1" applyFill="1" applyBorder="1" applyAlignment="1">
      <alignment horizontal="center" vertical="center"/>
    </xf>
    <xf numFmtId="0" fontId="32" fillId="0" borderId="15" xfId="2" applyFont="1" applyBorder="1" applyAlignment="1">
      <alignment horizontal="left" vertical="center" wrapText="1"/>
    </xf>
    <xf numFmtId="0" fontId="17" fillId="2" borderId="43" xfId="0" applyFont="1" applyFill="1" applyBorder="1" applyAlignment="1">
      <alignment horizontal="left" vertical="center" wrapText="1"/>
    </xf>
    <xf numFmtId="0" fontId="15" fillId="2" borderId="43" xfId="2" applyFont="1" applyFill="1" applyBorder="1" applyAlignment="1">
      <alignment horizontal="left" wrapText="1"/>
    </xf>
    <xf numFmtId="0" fontId="17" fillId="2" borderId="43" xfId="0" applyFont="1" applyFill="1" applyBorder="1" applyAlignment="1">
      <alignment horizontal="left"/>
    </xf>
    <xf numFmtId="0" fontId="17" fillId="2" borderId="43" xfId="2" applyFont="1" applyFill="1" applyBorder="1" applyAlignment="1">
      <alignment horizontal="left" wrapText="1"/>
    </xf>
    <xf numFmtId="0" fontId="27" fillId="2" borderId="79" xfId="0" applyFont="1" applyFill="1" applyBorder="1" applyAlignment="1">
      <alignment horizontal="left"/>
    </xf>
    <xf numFmtId="0" fontId="27" fillId="2" borderId="43" xfId="0" applyFont="1" applyFill="1" applyBorder="1" applyAlignment="1">
      <alignment horizontal="left"/>
    </xf>
    <xf numFmtId="0" fontId="27" fillId="2" borderId="19" xfId="0" applyFont="1" applyFill="1" applyBorder="1" applyAlignment="1">
      <alignment horizontal="left"/>
    </xf>
    <xf numFmtId="49" fontId="6" fillId="16" borderId="15" xfId="2" applyNumberFormat="1" applyFont="1" applyFill="1" applyBorder="1" applyAlignment="1">
      <alignment horizontal="center" vertical="center"/>
    </xf>
    <xf numFmtId="0" fontId="27" fillId="2" borderId="43" xfId="0" applyFont="1" applyFill="1" applyBorder="1" applyAlignment="1">
      <alignment horizontal="left" vertical="center"/>
    </xf>
    <xf numFmtId="0" fontId="5" fillId="16" borderId="44" xfId="2" applyFont="1" applyFill="1" applyBorder="1" applyAlignment="1">
      <alignment horizontal="center" vertical="center" wrapText="1"/>
    </xf>
    <xf numFmtId="187" fontId="15" fillId="0" borderId="14" xfId="1" applyNumberFormat="1" applyFont="1" applyFill="1" applyBorder="1" applyAlignment="1">
      <alignment horizontal="left"/>
    </xf>
    <xf numFmtId="43" fontId="17" fillId="2" borderId="15" xfId="1" applyFont="1" applyFill="1" applyBorder="1" applyAlignment="1">
      <alignment horizontal="left"/>
    </xf>
    <xf numFmtId="0" fontId="5" fillId="16" borderId="44" xfId="0" applyFont="1" applyFill="1" applyBorder="1" applyAlignment="1">
      <alignment horizontal="center"/>
    </xf>
    <xf numFmtId="0" fontId="17" fillId="0" borderId="44" xfId="0" applyFont="1" applyBorder="1" applyAlignment="1">
      <alignment horizontal="left"/>
    </xf>
    <xf numFmtId="187" fontId="17" fillId="2" borderId="103" xfId="1" applyNumberFormat="1" applyFont="1" applyFill="1" applyBorder="1" applyAlignment="1">
      <alignment horizontal="left"/>
    </xf>
    <xf numFmtId="187" fontId="32" fillId="2" borderId="89" xfId="1" applyNumberFormat="1" applyFont="1" applyFill="1" applyBorder="1" applyAlignment="1">
      <alignment horizontal="left"/>
    </xf>
    <xf numFmtId="187" fontId="32" fillId="2" borderId="103" xfId="1" applyNumberFormat="1" applyFont="1" applyFill="1" applyBorder="1" applyAlignment="1">
      <alignment horizontal="left"/>
    </xf>
    <xf numFmtId="187" fontId="17" fillId="2" borderId="44" xfId="1" applyNumberFormat="1" applyFont="1" applyFill="1" applyBorder="1" applyAlignment="1">
      <alignment horizontal="left" vertical="center"/>
    </xf>
    <xf numFmtId="0" fontId="17" fillId="0" borderId="39" xfId="0" applyFont="1" applyBorder="1" applyAlignment="1">
      <alignment horizontal="left"/>
    </xf>
    <xf numFmtId="187" fontId="17" fillId="2" borderId="15" xfId="1" applyNumberFormat="1" applyFont="1" applyFill="1" applyBorder="1" applyAlignment="1">
      <alignment horizontal="left"/>
    </xf>
    <xf numFmtId="187" fontId="32" fillId="2" borderId="15" xfId="1" applyNumberFormat="1" applyFont="1" applyFill="1" applyBorder="1" applyAlignment="1">
      <alignment horizontal="left"/>
    </xf>
    <xf numFmtId="0" fontId="5" fillId="16" borderId="58" xfId="2" applyFont="1" applyFill="1" applyBorder="1" applyAlignment="1">
      <alignment horizontal="center" vertical="top" wrapText="1"/>
    </xf>
    <xf numFmtId="187" fontId="17" fillId="2" borderId="39" xfId="1" applyNumberFormat="1" applyFont="1" applyFill="1" applyBorder="1" applyAlignment="1">
      <alignment horizontal="left"/>
    </xf>
    <xf numFmtId="0" fontId="5" fillId="16" borderId="114" xfId="0" applyFont="1" applyFill="1" applyBorder="1" applyAlignment="1">
      <alignment horizontal="center"/>
    </xf>
    <xf numFmtId="0" fontId="5" fillId="16" borderId="115" xfId="0" applyFont="1" applyFill="1" applyBorder="1" applyAlignment="1">
      <alignment horizontal="center"/>
    </xf>
    <xf numFmtId="0" fontId="5" fillId="16" borderId="116" xfId="0" applyFont="1" applyFill="1" applyBorder="1" applyAlignment="1">
      <alignment horizontal="center"/>
    </xf>
    <xf numFmtId="0" fontId="17" fillId="2" borderId="24" xfId="0" applyFont="1" applyFill="1" applyBorder="1" applyAlignment="1">
      <alignment horizontal="left"/>
    </xf>
    <xf numFmtId="0" fontId="15" fillId="0" borderId="114" xfId="0" applyFont="1" applyBorder="1" applyAlignment="1">
      <alignment horizontal="left"/>
    </xf>
    <xf numFmtId="0" fontId="17" fillId="2" borderId="32" xfId="0" applyFont="1" applyFill="1" applyBorder="1" applyAlignment="1">
      <alignment horizontal="left"/>
    </xf>
    <xf numFmtId="0" fontId="10" fillId="0" borderId="58" xfId="0" applyFont="1" applyBorder="1" applyAlignment="1">
      <alignment horizontal="left"/>
    </xf>
    <xf numFmtId="0" fontId="5" fillId="16" borderId="130" xfId="0" applyFont="1" applyFill="1" applyBorder="1" applyAlignment="1">
      <alignment horizontal="center"/>
    </xf>
    <xf numFmtId="43" fontId="17" fillId="2" borderId="43" xfId="1" applyFont="1" applyFill="1" applyBorder="1" applyAlignment="1">
      <alignment horizontal="left"/>
    </xf>
    <xf numFmtId="0" fontId="5" fillId="16" borderId="14" xfId="0" applyFont="1" applyFill="1" applyBorder="1" applyAlignment="1">
      <alignment horizontal="center" vertical="center"/>
    </xf>
    <xf numFmtId="0" fontId="17" fillId="0" borderId="124" xfId="0" applyFont="1" applyBorder="1" applyAlignment="1">
      <alignment horizontal="left"/>
    </xf>
    <xf numFmtId="49" fontId="5" fillId="16" borderId="15" xfId="2" applyNumberFormat="1" applyFont="1" applyFill="1" applyBorder="1" applyAlignment="1">
      <alignment horizontal="center" vertical="center"/>
    </xf>
    <xf numFmtId="0" fontId="5" fillId="16" borderId="64" xfId="0" applyFont="1" applyFill="1" applyBorder="1" applyAlignment="1">
      <alignment horizontal="center" vertical="center"/>
    </xf>
    <xf numFmtId="0" fontId="17" fillId="2" borderId="72" xfId="0" applyFont="1" applyFill="1" applyBorder="1" applyAlignment="1">
      <alignment horizontal="left"/>
    </xf>
    <xf numFmtId="0" fontId="17" fillId="2" borderId="58" xfId="0" applyFont="1" applyFill="1" applyBorder="1" applyAlignment="1">
      <alignment horizontal="left"/>
    </xf>
    <xf numFmtId="43" fontId="17" fillId="2" borderId="15" xfId="1" applyFont="1" applyFill="1" applyBorder="1" applyAlignment="1"/>
    <xf numFmtId="0" fontId="5" fillId="16" borderId="24" xfId="0" applyFont="1" applyFill="1" applyBorder="1" applyAlignment="1">
      <alignment horizontal="center"/>
    </xf>
    <xf numFmtId="0" fontId="5" fillId="16" borderId="124" xfId="0" applyFont="1" applyFill="1" applyBorder="1" applyAlignment="1">
      <alignment horizontal="center" vertical="top"/>
    </xf>
    <xf numFmtId="0" fontId="5" fillId="16" borderId="14" xfId="0" applyFont="1" applyFill="1" applyBorder="1" applyAlignment="1">
      <alignment horizontal="center" vertical="top"/>
    </xf>
    <xf numFmtId="0" fontId="5" fillId="16" borderId="19" xfId="0" applyFont="1" applyFill="1" applyBorder="1" applyAlignment="1">
      <alignment horizontal="center"/>
    </xf>
    <xf numFmtId="0" fontId="15" fillId="2" borderId="15" xfId="2" applyFont="1" applyFill="1" applyBorder="1" applyAlignment="1">
      <alignment horizontal="center" vertical="center" wrapText="1"/>
    </xf>
    <xf numFmtId="0" fontId="5" fillId="16" borderId="39" xfId="0" applyFont="1" applyFill="1" applyBorder="1" applyAlignment="1">
      <alignment horizontal="center" vertical="center"/>
    </xf>
    <xf numFmtId="0" fontId="5" fillId="16" borderId="58" xfId="2" applyFont="1" applyFill="1" applyBorder="1" applyAlignment="1">
      <alignment horizontal="center" vertical="center" wrapText="1"/>
    </xf>
    <xf numFmtId="0" fontId="12" fillId="16" borderId="14" xfId="0" applyFont="1" applyFill="1" applyBorder="1" applyAlignment="1">
      <alignment horizontal="center"/>
    </xf>
    <xf numFmtId="187" fontId="5" fillId="0" borderId="39" xfId="1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49" fontId="5" fillId="16" borderId="72" xfId="2" applyNumberFormat="1" applyFont="1" applyFill="1" applyBorder="1" applyAlignment="1">
      <alignment horizontal="center" vertical="center"/>
    </xf>
    <xf numFmtId="49" fontId="5" fillId="16" borderId="14" xfId="2" applyNumberFormat="1" applyFont="1" applyFill="1" applyBorder="1" applyAlignment="1">
      <alignment horizontal="center" vertical="center"/>
    </xf>
    <xf numFmtId="0" fontId="12" fillId="16" borderId="38" xfId="0" applyFont="1" applyFill="1" applyBorder="1" applyAlignment="1">
      <alignment horizontal="center"/>
    </xf>
    <xf numFmtId="0" fontId="12" fillId="16" borderId="34" xfId="0" applyFont="1" applyFill="1" applyBorder="1" applyAlignment="1">
      <alignment horizontal="center"/>
    </xf>
    <xf numFmtId="0" fontId="15" fillId="0" borderId="18" xfId="0" applyFont="1" applyBorder="1" applyAlignment="1">
      <alignment horizontal="left"/>
    </xf>
    <xf numFmtId="0" fontId="29" fillId="16" borderId="15" xfId="0" applyFont="1" applyFill="1" applyBorder="1" applyAlignment="1">
      <alignment horizontal="center"/>
    </xf>
    <xf numFmtId="0" fontId="15" fillId="2" borderId="43" xfId="2" applyFont="1" applyFill="1" applyBorder="1" applyAlignment="1">
      <alignment vertical="top" wrapText="1"/>
    </xf>
    <xf numFmtId="0" fontId="5" fillId="16" borderId="78" xfId="0" applyFont="1" applyFill="1" applyBorder="1" applyAlignment="1">
      <alignment horizontal="center" vertical="center"/>
    </xf>
    <xf numFmtId="0" fontId="6" fillId="16" borderId="78" xfId="0" applyFont="1" applyFill="1" applyBorder="1" applyAlignment="1">
      <alignment horizontal="center" vertical="center"/>
    </xf>
    <xf numFmtId="0" fontId="6" fillId="16" borderId="15" xfId="0" applyFont="1" applyFill="1" applyBorder="1" applyAlignment="1">
      <alignment horizontal="center"/>
    </xf>
    <xf numFmtId="0" fontId="12" fillId="16" borderId="16" xfId="3" applyFont="1" applyFill="1" applyBorder="1" applyAlignment="1">
      <alignment horizontal="center" vertical="center"/>
    </xf>
    <xf numFmtId="0" fontId="5" fillId="16" borderId="39" xfId="3" applyFont="1" applyFill="1" applyBorder="1" applyAlignment="1">
      <alignment horizontal="center" vertical="center"/>
    </xf>
    <xf numFmtId="49" fontId="5" fillId="16" borderId="72" xfId="3" applyNumberFormat="1" applyFont="1" applyFill="1" applyBorder="1" applyAlignment="1">
      <alignment horizontal="center" vertical="center"/>
    </xf>
    <xf numFmtId="49" fontId="5" fillId="16" borderId="39" xfId="3" applyNumberFormat="1" applyFont="1" applyFill="1" applyBorder="1" applyAlignment="1">
      <alignment horizontal="center" vertical="center"/>
    </xf>
    <xf numFmtId="0" fontId="5" fillId="16" borderId="14" xfId="3" applyFont="1" applyFill="1" applyBorder="1" applyAlignment="1">
      <alignment horizontal="center" vertical="center"/>
    </xf>
    <xf numFmtId="0" fontId="5" fillId="2" borderId="15" xfId="3" applyFont="1" applyFill="1" applyBorder="1" applyAlignment="1">
      <alignment horizontal="center" vertical="center"/>
    </xf>
    <xf numFmtId="0" fontId="5" fillId="16" borderId="221" xfId="3" applyFont="1" applyFill="1" applyBorder="1" applyAlignment="1">
      <alignment horizontal="center" vertical="center"/>
    </xf>
    <xf numFmtId="0" fontId="15" fillId="0" borderId="25" xfId="0" applyFont="1" applyBorder="1" applyAlignment="1">
      <alignment horizontal="left"/>
    </xf>
    <xf numFmtId="0" fontId="15" fillId="2" borderId="15" xfId="2" applyFont="1" applyFill="1" applyBorder="1" applyAlignment="1">
      <alignment horizontal="left" vertical="top" wrapText="1"/>
    </xf>
    <xf numFmtId="187" fontId="15" fillId="0" borderId="15" xfId="1" applyNumberFormat="1" applyFont="1" applyFill="1" applyBorder="1" applyAlignment="1">
      <alignment horizontal="left"/>
    </xf>
    <xf numFmtId="187" fontId="10" fillId="0" borderId="15" xfId="1" applyNumberFormat="1" applyFont="1" applyFill="1" applyBorder="1" applyAlignment="1">
      <alignment horizontal="left"/>
    </xf>
    <xf numFmtId="0" fontId="15" fillId="0" borderId="43" xfId="0" applyFont="1" applyBorder="1"/>
    <xf numFmtId="43" fontId="5" fillId="0" borderId="15" xfId="1" applyFont="1" applyFill="1" applyBorder="1" applyAlignment="1">
      <alignment horizontal="center"/>
    </xf>
    <xf numFmtId="0" fontId="15" fillId="0" borderId="43" xfId="0" applyFont="1" applyBorder="1" applyAlignment="1">
      <alignment horizontal="left"/>
    </xf>
    <xf numFmtId="0" fontId="5" fillId="16" borderId="94" xfId="2" applyFont="1" applyFill="1" applyBorder="1" applyAlignment="1">
      <alignment horizontal="center" vertical="center" wrapText="1"/>
    </xf>
    <xf numFmtId="187" fontId="5" fillId="0" borderId="44" xfId="1" applyNumberFormat="1" applyFont="1" applyFill="1" applyBorder="1" applyAlignment="1">
      <alignment horizontal="center"/>
    </xf>
    <xf numFmtId="0" fontId="15" fillId="2" borderId="15" xfId="0" applyFont="1" applyFill="1" applyBorder="1" applyAlignment="1">
      <alignment horizontal="left" vertical="center"/>
    </xf>
    <xf numFmtId="0" fontId="15" fillId="2" borderId="14" xfId="0" applyFont="1" applyFill="1" applyBorder="1" applyAlignment="1">
      <alignment horizontal="left"/>
    </xf>
    <xf numFmtId="0" fontId="41" fillId="2" borderId="15" xfId="0" applyFont="1" applyFill="1" applyBorder="1" applyAlignment="1">
      <alignment horizontal="left"/>
    </xf>
    <xf numFmtId="0" fontId="15" fillId="0" borderId="1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 wrapText="1"/>
    </xf>
    <xf numFmtId="187" fontId="4" fillId="0" borderId="15" xfId="1" applyNumberFormat="1" applyFont="1" applyFill="1" applyBorder="1" applyAlignment="1">
      <alignment horizontal="left"/>
    </xf>
    <xf numFmtId="0" fontId="15" fillId="0" borderId="39" xfId="0" applyFont="1" applyBorder="1" applyAlignment="1">
      <alignment horizontal="center" vertical="center"/>
    </xf>
    <xf numFmtId="49" fontId="5" fillId="16" borderId="15" xfId="3" applyNumberFormat="1" applyFont="1" applyFill="1" applyBorder="1" applyAlignment="1">
      <alignment horizontal="center" vertical="center"/>
    </xf>
    <xf numFmtId="0" fontId="17" fillId="0" borderId="43" xfId="2" applyFont="1" applyBorder="1" applyAlignment="1">
      <alignment horizontal="left" vertical="center" wrapText="1"/>
    </xf>
    <xf numFmtId="0" fontId="5" fillId="16" borderId="72" xfId="2" applyFont="1" applyFill="1" applyBorder="1" applyAlignment="1">
      <alignment horizontal="center" vertical="top" wrapText="1"/>
    </xf>
    <xf numFmtId="187" fontId="5" fillId="2" borderId="15" xfId="1" applyNumberFormat="1" applyFont="1" applyFill="1" applyBorder="1" applyAlignment="1">
      <alignment horizontal="center" wrapText="1"/>
    </xf>
    <xf numFmtId="0" fontId="5" fillId="16" borderId="15" xfId="3" applyFont="1" applyFill="1" applyBorder="1" applyAlignment="1">
      <alignment horizontal="center"/>
    </xf>
    <xf numFmtId="0" fontId="5" fillId="16" borderId="39" xfId="0" applyFont="1" applyFill="1" applyBorder="1" applyAlignment="1">
      <alignment horizontal="center" vertical="top"/>
    </xf>
    <xf numFmtId="0" fontId="17" fillId="2" borderId="79" xfId="0" applyFont="1" applyFill="1" applyBorder="1" applyAlignment="1">
      <alignment horizontal="left"/>
    </xf>
    <xf numFmtId="0" fontId="5" fillId="16" borderId="58" xfId="0" applyFont="1" applyFill="1" applyBorder="1" applyAlignment="1">
      <alignment horizontal="center" vertical="center"/>
    </xf>
    <xf numFmtId="0" fontId="5" fillId="16" borderId="189" xfId="0" applyFont="1" applyFill="1" applyBorder="1" applyAlignment="1">
      <alignment horizontal="center" vertical="top"/>
    </xf>
    <xf numFmtId="0" fontId="5" fillId="16" borderId="193" xfId="0" applyFont="1" applyFill="1" applyBorder="1" applyAlignment="1">
      <alignment horizontal="center" vertical="top"/>
    </xf>
    <xf numFmtId="0" fontId="5" fillId="16" borderId="137" xfId="0" applyFont="1" applyFill="1" applyBorder="1" applyAlignment="1">
      <alignment horizontal="center"/>
    </xf>
    <xf numFmtId="0" fontId="17" fillId="2" borderId="43" xfId="2" applyFont="1" applyFill="1" applyBorder="1" applyAlignment="1">
      <alignment horizontal="left" vertical="center" wrapText="1"/>
    </xf>
    <xf numFmtId="0" fontId="17" fillId="2" borderId="15" xfId="2" applyFont="1" applyFill="1" applyBorder="1" applyAlignment="1">
      <alignment horizontal="left" wrapText="1"/>
    </xf>
    <xf numFmtId="0" fontId="19" fillId="0" borderId="15" xfId="3" applyFont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35" fillId="0" borderId="0" xfId="0" applyFont="1" applyAlignment="1">
      <alignment horizontal="center"/>
    </xf>
    <xf numFmtId="0" fontId="58" fillId="0" borderId="0" xfId="0" applyFont="1"/>
    <xf numFmtId="0" fontId="58" fillId="0" borderId="0" xfId="0" applyFont="1" applyAlignment="1">
      <alignment horizontal="center"/>
    </xf>
    <xf numFmtId="187" fontId="58" fillId="0" borderId="0" xfId="0" applyNumberFormat="1" applyFont="1"/>
    <xf numFmtId="43" fontId="35" fillId="0" borderId="0" xfId="1" applyFont="1"/>
    <xf numFmtId="43" fontId="58" fillId="0" borderId="0" xfId="1" applyFont="1"/>
    <xf numFmtId="187" fontId="35" fillId="0" borderId="0" xfId="0" applyNumberFormat="1" applyFont="1"/>
    <xf numFmtId="0" fontId="61" fillId="0" borderId="98" xfId="0" applyFont="1" applyBorder="1" applyAlignment="1">
      <alignment horizontal="center"/>
    </xf>
    <xf numFmtId="43" fontId="61" fillId="0" borderId="98" xfId="1" applyFont="1" applyBorder="1" applyAlignment="1">
      <alignment horizontal="center"/>
    </xf>
    <xf numFmtId="0" fontId="62" fillId="0" borderId="102" xfId="0" applyFont="1" applyBorder="1" applyAlignment="1">
      <alignment horizontal="center" vertical="center"/>
    </xf>
    <xf numFmtId="0" fontId="62" fillId="0" borderId="100" xfId="0" applyFont="1" applyBorder="1" applyAlignment="1">
      <alignment horizontal="left" vertical="center"/>
    </xf>
    <xf numFmtId="0" fontId="62" fillId="0" borderId="104" xfId="0" applyFont="1" applyBorder="1" applyAlignment="1">
      <alignment horizontal="center" vertical="center"/>
    </xf>
    <xf numFmtId="0" fontId="62" fillId="0" borderId="214" xfId="0" applyFont="1" applyBorder="1" applyAlignment="1">
      <alignment vertical="center"/>
    </xf>
    <xf numFmtId="0" fontId="62" fillId="0" borderId="231" xfId="0" applyFont="1" applyBorder="1" applyAlignment="1">
      <alignment horizontal="center" vertical="center"/>
    </xf>
    <xf numFmtId="0" fontId="62" fillId="0" borderId="234" xfId="0" applyFont="1" applyBorder="1" applyAlignment="1">
      <alignment horizontal="center" vertical="center"/>
    </xf>
    <xf numFmtId="0" fontId="62" fillId="0" borderId="235" xfId="0" applyFont="1" applyBorder="1" applyAlignment="1">
      <alignment horizontal="right" vertical="center"/>
    </xf>
    <xf numFmtId="0" fontId="62" fillId="0" borderId="236" xfId="0" applyFont="1" applyBorder="1" applyAlignment="1">
      <alignment horizontal="center" vertical="center"/>
    </xf>
    <xf numFmtId="0" fontId="62" fillId="0" borderId="236" xfId="0" applyFont="1" applyBorder="1" applyAlignment="1">
      <alignment horizontal="center"/>
    </xf>
    <xf numFmtId="43" fontId="63" fillId="0" borderId="236" xfId="1" applyFont="1" applyBorder="1"/>
    <xf numFmtId="187" fontId="62" fillId="0" borderId="236" xfId="1" applyNumberFormat="1" applyFont="1" applyBorder="1"/>
    <xf numFmtId="0" fontId="62" fillId="0" borderId="237" xfId="0" applyFont="1" applyBorder="1" applyAlignment="1">
      <alignment horizontal="center" vertical="center"/>
    </xf>
    <xf numFmtId="0" fontId="62" fillId="0" borderId="237" xfId="0" applyFont="1" applyBorder="1" applyAlignment="1">
      <alignment horizontal="right" vertical="center"/>
    </xf>
    <xf numFmtId="0" fontId="62" fillId="0" borderId="237" xfId="0" applyFont="1" applyBorder="1" applyAlignment="1">
      <alignment horizontal="center"/>
    </xf>
    <xf numFmtId="187" fontId="64" fillId="0" borderId="237" xfId="1" applyNumberFormat="1" applyFont="1" applyBorder="1"/>
    <xf numFmtId="187" fontId="62" fillId="0" borderId="237" xfId="1" applyNumberFormat="1" applyFont="1" applyBorder="1"/>
    <xf numFmtId="0" fontId="65" fillId="0" borderId="88" xfId="0" applyFont="1" applyBorder="1" applyAlignment="1">
      <alignment horizontal="center" vertical="center"/>
    </xf>
    <xf numFmtId="0" fontId="65" fillId="0" borderId="90" xfId="0" applyFont="1" applyBorder="1" applyAlignment="1">
      <alignment horizontal="left" vertical="center"/>
    </xf>
    <xf numFmtId="0" fontId="62" fillId="0" borderId="89" xfId="0" applyFont="1" applyBorder="1" applyAlignment="1">
      <alignment horizontal="center" vertical="center"/>
    </xf>
    <xf numFmtId="0" fontId="65" fillId="0" borderId="104" xfId="0" applyFont="1" applyBorder="1" applyAlignment="1">
      <alignment horizontal="center"/>
    </xf>
    <xf numFmtId="0" fontId="65" fillId="0" borderId="214" xfId="0" applyFont="1" applyBorder="1"/>
    <xf numFmtId="0" fontId="65" fillId="2" borderId="104" xfId="0" applyFont="1" applyFill="1" applyBorder="1" applyAlignment="1">
      <alignment horizontal="center"/>
    </xf>
    <xf numFmtId="0" fontId="65" fillId="2" borderId="214" xfId="0" applyFont="1" applyFill="1" applyBorder="1"/>
    <xf numFmtId="43" fontId="66" fillId="2" borderId="214" xfId="1" applyFont="1" applyFill="1" applyBorder="1" applyAlignment="1">
      <alignment horizontal="left"/>
    </xf>
    <xf numFmtId="0" fontId="66" fillId="2" borderId="104" xfId="0" applyFont="1" applyFill="1" applyBorder="1" applyAlignment="1">
      <alignment horizontal="center" vertical="center"/>
    </xf>
    <xf numFmtId="0" fontId="66" fillId="2" borderId="214" xfId="0" applyFont="1" applyFill="1" applyBorder="1" applyAlignment="1">
      <alignment horizontal="left"/>
    </xf>
    <xf numFmtId="0" fontId="66" fillId="2" borderId="214" xfId="0" applyFont="1" applyFill="1" applyBorder="1"/>
    <xf numFmtId="0" fontId="62" fillId="2" borderId="235" xfId="0" applyFont="1" applyFill="1" applyBorder="1" applyAlignment="1">
      <alignment horizontal="right"/>
    </xf>
    <xf numFmtId="187" fontId="62" fillId="2" borderId="236" xfId="1" applyNumberFormat="1" applyFont="1" applyFill="1" applyBorder="1" applyAlignment="1">
      <alignment horizontal="center"/>
    </xf>
    <xf numFmtId="43" fontId="67" fillId="2" borderId="236" xfId="1" applyFont="1" applyFill="1" applyBorder="1"/>
    <xf numFmtId="187" fontId="65" fillId="0" borderId="236" xfId="1" applyNumberFormat="1" applyFont="1" applyFill="1" applyBorder="1" applyAlignment="1">
      <alignment horizontal="center"/>
    </xf>
    <xf numFmtId="43" fontId="67" fillId="0" borderId="236" xfId="1" applyFont="1" applyFill="1" applyBorder="1" applyAlignment="1">
      <alignment horizontal="center"/>
    </xf>
    <xf numFmtId="43" fontId="68" fillId="0" borderId="236" xfId="1" applyFont="1" applyFill="1" applyBorder="1" applyAlignment="1">
      <alignment horizontal="center"/>
    </xf>
    <xf numFmtId="43" fontId="61" fillId="0" borderId="98" xfId="1" applyFont="1" applyFill="1" applyBorder="1" applyAlignment="1">
      <alignment horizontal="center"/>
    </xf>
    <xf numFmtId="187" fontId="69" fillId="0" borderId="12" xfId="0" applyNumberFormat="1" applyFont="1" applyBorder="1" applyAlignment="1">
      <alignment horizontal="center"/>
    </xf>
    <xf numFmtId="43" fontId="69" fillId="0" borderId="12" xfId="0" applyNumberFormat="1" applyFont="1" applyBorder="1"/>
    <xf numFmtId="187" fontId="69" fillId="0" borderId="12" xfId="0" applyNumberFormat="1" applyFont="1" applyBorder="1"/>
    <xf numFmtId="0" fontId="70" fillId="0" borderId="12" xfId="0" applyFont="1" applyBorder="1" applyAlignment="1">
      <alignment horizontal="center"/>
    </xf>
    <xf numFmtId="187" fontId="70" fillId="0" borderId="12" xfId="1" applyNumberFormat="1" applyFont="1" applyBorder="1" applyAlignment="1">
      <alignment horizontal="center"/>
    </xf>
    <xf numFmtId="187" fontId="70" fillId="0" borderId="12" xfId="1" applyNumberFormat="1" applyFont="1" applyBorder="1"/>
    <xf numFmtId="0" fontId="71" fillId="0" borderId="9" xfId="0" applyFont="1" applyBorder="1"/>
    <xf numFmtId="43" fontId="71" fillId="0" borderId="9" xfId="1" applyFont="1" applyBorder="1"/>
    <xf numFmtId="0" fontId="62" fillId="0" borderId="58" xfId="0" applyFont="1" applyBorder="1" applyAlignment="1">
      <alignment horizontal="center" vertical="center"/>
    </xf>
    <xf numFmtId="0" fontId="62" fillId="0" borderId="98" xfId="0" applyFont="1" applyBorder="1" applyAlignment="1">
      <alignment horizontal="center"/>
    </xf>
    <xf numFmtId="187" fontId="62" fillId="0" borderId="98" xfId="1" applyNumberFormat="1" applyFont="1" applyBorder="1"/>
    <xf numFmtId="0" fontId="62" fillId="0" borderId="103" xfId="0" applyFont="1" applyBorder="1" applyAlignment="1">
      <alignment horizontal="center" vertical="center"/>
    </xf>
    <xf numFmtId="0" fontId="62" fillId="0" borderId="103" xfId="0" applyFont="1" applyBorder="1" applyAlignment="1">
      <alignment horizontal="center"/>
    </xf>
    <xf numFmtId="43" fontId="62" fillId="0" borderId="103" xfId="1" applyFont="1" applyBorder="1"/>
    <xf numFmtId="187" fontId="62" fillId="0" borderId="103" xfId="1" applyNumberFormat="1" applyFont="1" applyBorder="1" applyAlignment="1">
      <alignment horizontal="center"/>
    </xf>
    <xf numFmtId="187" fontId="62" fillId="0" borderId="103" xfId="1" applyNumberFormat="1" applyFont="1" applyBorder="1"/>
    <xf numFmtId="0" fontId="62" fillId="0" borderId="103" xfId="0" quotePrefix="1" applyFont="1" applyBorder="1" applyAlignment="1">
      <alignment horizontal="center" vertical="center"/>
    </xf>
    <xf numFmtId="43" fontId="65" fillId="0" borderId="103" xfId="1" applyFont="1" applyBorder="1"/>
    <xf numFmtId="0" fontId="62" fillId="0" borderId="214" xfId="0" applyFont="1" applyBorder="1" applyAlignment="1">
      <alignment horizontal="left" vertical="center"/>
    </xf>
    <xf numFmtId="0" fontId="65" fillId="0" borderId="232" xfId="0" applyFont="1" applyBorder="1" applyAlignment="1">
      <alignment vertical="center"/>
    </xf>
    <xf numFmtId="0" fontId="61" fillId="0" borderId="233" xfId="0" applyFont="1" applyBorder="1" applyAlignment="1">
      <alignment horizontal="center" vertical="center"/>
    </xf>
    <xf numFmtId="0" fontId="61" fillId="0" borderId="233" xfId="0" applyFont="1" applyBorder="1" applyAlignment="1">
      <alignment horizontal="center"/>
    </xf>
    <xf numFmtId="43" fontId="66" fillId="0" borderId="233" xfId="1" applyFont="1" applyFill="1" applyBorder="1"/>
    <xf numFmtId="187" fontId="62" fillId="0" borderId="233" xfId="1" applyNumberFormat="1" applyFont="1" applyFill="1" applyBorder="1"/>
    <xf numFmtId="187" fontId="62" fillId="0" borderId="233" xfId="1" applyNumberFormat="1" applyFont="1" applyBorder="1"/>
    <xf numFmtId="43" fontId="62" fillId="0" borderId="103" xfId="1" applyFont="1" applyFill="1" applyBorder="1"/>
    <xf numFmtId="187" fontId="62" fillId="0" borderId="103" xfId="1" applyNumberFormat="1" applyFont="1" applyFill="1" applyBorder="1"/>
    <xf numFmtId="0" fontId="61" fillId="0" borderId="103" xfId="0" applyFont="1" applyBorder="1" applyAlignment="1">
      <alignment horizontal="center" vertical="center"/>
    </xf>
    <xf numFmtId="0" fontId="61" fillId="0" borderId="103" xfId="0" applyFont="1" applyBorder="1" applyAlignment="1">
      <alignment horizontal="center"/>
    </xf>
    <xf numFmtId="43" fontId="61" fillId="0" borderId="103" xfId="1" applyFont="1" applyFill="1" applyBorder="1"/>
    <xf numFmtId="43" fontId="61" fillId="0" borderId="233" xfId="1" applyFont="1" applyFill="1" applyBorder="1"/>
    <xf numFmtId="0" fontId="62" fillId="0" borderId="232" xfId="0" applyFont="1" applyBorder="1" applyAlignment="1">
      <alignment vertical="center"/>
    </xf>
    <xf numFmtId="0" fontId="62" fillId="0" borderId="232" xfId="0" applyFont="1" applyBorder="1" applyAlignment="1">
      <alignment horizontal="left" vertical="center"/>
    </xf>
    <xf numFmtId="43" fontId="61" fillId="0" borderId="233" xfId="1" applyFont="1" applyBorder="1"/>
    <xf numFmtId="0" fontId="62" fillId="0" borderId="233" xfId="0" applyFont="1" applyBorder="1" applyAlignment="1">
      <alignment horizontal="center" vertical="center"/>
    </xf>
    <xf numFmtId="0" fontId="62" fillId="0" borderId="233" xfId="0" applyFont="1" applyBorder="1" applyAlignment="1">
      <alignment horizontal="center"/>
    </xf>
    <xf numFmtId="43" fontId="62" fillId="0" borderId="233" xfId="1" applyFont="1" applyBorder="1"/>
    <xf numFmtId="0" fontId="62" fillId="0" borderId="0" xfId="0" applyFont="1" applyAlignment="1">
      <alignment horizontal="center" vertical="center"/>
    </xf>
    <xf numFmtId="0" fontId="62" fillId="0" borderId="0" xfId="0" applyFont="1" applyAlignment="1">
      <alignment horizontal="left" vertical="center"/>
    </xf>
    <xf numFmtId="43" fontId="63" fillId="0" borderId="0" xfId="1" applyFont="1" applyBorder="1" applyAlignment="1">
      <alignment vertical="center"/>
    </xf>
    <xf numFmtId="0" fontId="65" fillId="0" borderId="0" xfId="0" applyFont="1" applyAlignment="1">
      <alignment horizontal="center"/>
    </xf>
    <xf numFmtId="187" fontId="65" fillId="0" borderId="0" xfId="1" applyNumberFormat="1" applyFont="1" applyBorder="1"/>
    <xf numFmtId="187" fontId="64" fillId="0" borderId="0" xfId="1" applyNumberFormat="1" applyFont="1" applyBorder="1" applyAlignment="1">
      <alignment vertical="center"/>
    </xf>
    <xf numFmtId="0" fontId="62" fillId="0" borderId="89" xfId="0" applyFont="1" applyBorder="1" applyAlignment="1">
      <alignment horizontal="center"/>
    </xf>
    <xf numFmtId="187" fontId="62" fillId="0" borderId="89" xfId="1" applyNumberFormat="1" applyFont="1" applyBorder="1"/>
    <xf numFmtId="0" fontId="65" fillId="0" borderId="89" xfId="0" applyFont="1" applyBorder="1" applyAlignment="1">
      <alignment horizontal="center"/>
    </xf>
    <xf numFmtId="187" fontId="65" fillId="0" borderId="89" xfId="1" applyNumberFormat="1" applyFont="1" applyBorder="1"/>
    <xf numFmtId="0" fontId="65" fillId="0" borderId="103" xfId="0" applyFont="1" applyBorder="1" applyAlignment="1">
      <alignment horizontal="center"/>
    </xf>
    <xf numFmtId="187" fontId="65" fillId="0" borderId="103" xfId="1" applyNumberFormat="1" applyFont="1" applyBorder="1" applyAlignment="1">
      <alignment horizontal="center"/>
    </xf>
    <xf numFmtId="0" fontId="65" fillId="0" borderId="215" xfId="0" applyFont="1" applyBorder="1" applyAlignment="1">
      <alignment horizontal="center"/>
    </xf>
    <xf numFmtId="43" fontId="65" fillId="0" borderId="103" xfId="1" applyFont="1" applyFill="1" applyBorder="1" applyAlignment="1">
      <alignment horizontal="center"/>
    </xf>
    <xf numFmtId="187" fontId="65" fillId="0" borderId="103" xfId="1" applyNumberFormat="1" applyFont="1" applyFill="1" applyBorder="1" applyAlignment="1">
      <alignment horizontal="center"/>
    </xf>
    <xf numFmtId="49" fontId="66" fillId="2" borderId="214" xfId="0" applyNumberFormat="1" applyFont="1" applyFill="1" applyBorder="1" applyAlignment="1">
      <alignment horizontal="left"/>
    </xf>
    <xf numFmtId="43" fontId="62" fillId="0" borderId="103" xfId="1" applyFont="1" applyBorder="1" applyAlignment="1">
      <alignment horizontal="center"/>
    </xf>
    <xf numFmtId="43" fontId="65" fillId="0" borderId="103" xfId="1" applyFont="1" applyFill="1" applyBorder="1"/>
    <xf numFmtId="0" fontId="66" fillId="0" borderId="103" xfId="0" applyFont="1" applyBorder="1" applyAlignment="1">
      <alignment horizontal="center"/>
    </xf>
    <xf numFmtId="43" fontId="66" fillId="0" borderId="103" xfId="1" applyFont="1" applyFill="1" applyBorder="1" applyAlignment="1">
      <alignment horizontal="center"/>
    </xf>
    <xf numFmtId="0" fontId="62" fillId="2" borderId="103" xfId="0" applyFont="1" applyFill="1" applyBorder="1" applyAlignment="1">
      <alignment horizontal="center"/>
    </xf>
    <xf numFmtId="43" fontId="62" fillId="2" borderId="103" xfId="1" applyFont="1" applyFill="1" applyBorder="1"/>
    <xf numFmtId="0" fontId="62" fillId="2" borderId="103" xfId="0" applyFont="1" applyFill="1" applyBorder="1"/>
    <xf numFmtId="43" fontId="65" fillId="2" borderId="103" xfId="1" applyFont="1" applyFill="1" applyBorder="1"/>
    <xf numFmtId="0" fontId="62" fillId="0" borderId="215" xfId="0" applyFont="1" applyBorder="1" applyAlignment="1">
      <alignment horizontal="center"/>
    </xf>
    <xf numFmtId="43" fontId="62" fillId="2" borderId="103" xfId="1" applyFont="1" applyFill="1" applyBorder="1" applyAlignment="1">
      <alignment horizontal="center"/>
    </xf>
    <xf numFmtId="0" fontId="62" fillId="2" borderId="103" xfId="0" quotePrefix="1" applyFont="1" applyFill="1" applyBorder="1" applyAlignment="1">
      <alignment horizontal="center"/>
    </xf>
    <xf numFmtId="49" fontId="62" fillId="2" borderId="103" xfId="0" applyNumberFormat="1" applyFont="1" applyFill="1" applyBorder="1" applyAlignment="1">
      <alignment horizontal="center"/>
    </xf>
    <xf numFmtId="43" fontId="62" fillId="2" borderId="103" xfId="0" applyNumberFormat="1" applyFont="1" applyFill="1" applyBorder="1" applyAlignment="1">
      <alignment horizontal="center"/>
    </xf>
    <xf numFmtId="0" fontId="61" fillId="2" borderId="103" xfId="0" applyFont="1" applyFill="1" applyBorder="1" applyAlignment="1">
      <alignment horizontal="center" vertical="center"/>
    </xf>
    <xf numFmtId="0" fontId="62" fillId="2" borderId="89" xfId="0" applyFont="1" applyFill="1" applyBorder="1" applyAlignment="1">
      <alignment horizontal="center"/>
    </xf>
    <xf numFmtId="0" fontId="62" fillId="2" borderId="215" xfId="0" applyFont="1" applyFill="1" applyBorder="1" applyAlignment="1">
      <alignment horizontal="center"/>
    </xf>
    <xf numFmtId="49" fontId="75" fillId="2" borderId="214" xfId="0" applyNumberFormat="1" applyFont="1" applyFill="1" applyBorder="1"/>
    <xf numFmtId="49" fontId="61" fillId="2" borderId="103" xfId="0" applyNumberFormat="1" applyFont="1" applyFill="1" applyBorder="1" applyAlignment="1">
      <alignment horizontal="center"/>
    </xf>
    <xf numFmtId="49" fontId="66" fillId="0" borderId="103" xfId="0" applyNumberFormat="1" applyFont="1" applyBorder="1" applyAlignment="1">
      <alignment horizontal="center"/>
    </xf>
    <xf numFmtId="187" fontId="62" fillId="2" borderId="103" xfId="1" applyNumberFormat="1" applyFont="1" applyFill="1" applyBorder="1" applyAlignment="1">
      <alignment horizontal="center"/>
    </xf>
    <xf numFmtId="43" fontId="66" fillId="0" borderId="15" xfId="1" applyFont="1" applyFill="1" applyBorder="1" applyAlignment="1">
      <alignment horizontal="right" vertical="top"/>
    </xf>
    <xf numFmtId="0" fontId="68" fillId="0" borderId="215" xfId="0" applyFont="1" applyBorder="1" applyAlignment="1">
      <alignment horizontal="center"/>
    </xf>
    <xf numFmtId="43" fontId="76" fillId="0" borderId="103" xfId="1" applyFont="1" applyFill="1" applyBorder="1" applyAlignment="1">
      <alignment horizontal="center"/>
    </xf>
    <xf numFmtId="0" fontId="62" fillId="2" borderId="103" xfId="1" applyNumberFormat="1" applyFont="1" applyFill="1" applyBorder="1" applyAlignment="1">
      <alignment horizontal="center"/>
    </xf>
    <xf numFmtId="49" fontId="66" fillId="2" borderId="214" xfId="0" applyNumberFormat="1" applyFont="1" applyFill="1" applyBorder="1"/>
    <xf numFmtId="43" fontId="61" fillId="2" borderId="103" xfId="1" applyFont="1" applyFill="1" applyBorder="1"/>
    <xf numFmtId="43" fontId="77" fillId="0" borderId="103" xfId="1" applyFont="1" applyFill="1" applyBorder="1" applyAlignment="1">
      <alignment horizontal="center"/>
    </xf>
    <xf numFmtId="187" fontId="62" fillId="2" borderId="103" xfId="0" applyNumberFormat="1" applyFont="1" applyFill="1" applyBorder="1" applyAlignment="1">
      <alignment horizontal="center"/>
    </xf>
    <xf numFmtId="49" fontId="66" fillId="0" borderId="215" xfId="0" applyNumberFormat="1" applyFont="1" applyBorder="1" applyAlignment="1">
      <alignment horizontal="center"/>
    </xf>
    <xf numFmtId="0" fontId="66" fillId="2" borderId="178" xfId="0" applyFont="1" applyFill="1" applyBorder="1" applyAlignment="1">
      <alignment horizontal="left"/>
    </xf>
    <xf numFmtId="43" fontId="61" fillId="2" borderId="103" xfId="1" applyFont="1" applyFill="1" applyBorder="1" applyAlignment="1">
      <alignment horizontal="left"/>
    </xf>
    <xf numFmtId="49" fontId="66" fillId="0" borderId="214" xfId="0" applyNumberFormat="1" applyFont="1" applyBorder="1"/>
    <xf numFmtId="43" fontId="61" fillId="0" borderId="103" xfId="1" applyFont="1" applyFill="1" applyBorder="1" applyAlignment="1">
      <alignment horizontal="left"/>
    </xf>
    <xf numFmtId="0" fontId="62" fillId="2" borderId="103" xfId="0" applyFont="1" applyFill="1" applyBorder="1" applyAlignment="1">
      <alignment horizontal="left"/>
    </xf>
    <xf numFmtId="0" fontId="61" fillId="2" borderId="103" xfId="0" applyFont="1" applyFill="1" applyBorder="1" applyAlignment="1">
      <alignment horizontal="center"/>
    </xf>
    <xf numFmtId="43" fontId="66" fillId="0" borderId="214" xfId="1" applyFont="1" applyFill="1" applyBorder="1" applyAlignment="1">
      <alignment horizontal="left"/>
    </xf>
    <xf numFmtId="0" fontId="62" fillId="2" borderId="234" xfId="0" applyFont="1" applyFill="1" applyBorder="1" applyAlignment="1">
      <alignment horizontal="center"/>
    </xf>
    <xf numFmtId="0" fontId="62" fillId="2" borderId="236" xfId="0" applyFont="1" applyFill="1" applyBorder="1" applyAlignment="1">
      <alignment horizontal="center"/>
    </xf>
    <xf numFmtId="0" fontId="61" fillId="0" borderId="0" xfId="0" applyFont="1"/>
    <xf numFmtId="0" fontId="61" fillId="0" borderId="0" xfId="0" applyFont="1" applyAlignment="1">
      <alignment horizontal="center"/>
    </xf>
    <xf numFmtId="187" fontId="61" fillId="0" borderId="0" xfId="0" applyNumberFormat="1" applyFont="1"/>
    <xf numFmtId="43" fontId="61" fillId="0" borderId="0" xfId="0" applyNumberFormat="1" applyFont="1"/>
    <xf numFmtId="0" fontId="78" fillId="0" borderId="12" xfId="0" applyFont="1" applyBorder="1" applyAlignment="1">
      <alignment horizontal="center"/>
    </xf>
    <xf numFmtId="187" fontId="67" fillId="0" borderId="12" xfId="1" applyNumberFormat="1" applyFont="1" applyFill="1" applyBorder="1" applyAlignment="1">
      <alignment horizontal="center"/>
    </xf>
    <xf numFmtId="187" fontId="78" fillId="0" borderId="12" xfId="1" applyNumberFormat="1" applyFont="1" applyFill="1" applyBorder="1"/>
    <xf numFmtId="43" fontId="71" fillId="0" borderId="9" xfId="1" applyFont="1" applyFill="1" applyBorder="1"/>
    <xf numFmtId="0" fontId="61" fillId="0" borderId="12" xfId="0" applyFont="1" applyBorder="1" applyAlignment="1">
      <alignment horizontal="center"/>
    </xf>
    <xf numFmtId="0" fontId="61" fillId="0" borderId="12" xfId="0" applyFont="1" applyBorder="1"/>
    <xf numFmtId="187" fontId="61" fillId="0" borderId="12" xfId="0" applyNumberFormat="1" applyFont="1" applyBorder="1"/>
    <xf numFmtId="0" fontId="79" fillId="0" borderId="0" xfId="0" applyFont="1"/>
    <xf numFmtId="0" fontId="79" fillId="0" borderId="0" xfId="0" applyFont="1" applyAlignment="1">
      <alignment horizontal="center"/>
    </xf>
    <xf numFmtId="187" fontId="79" fillId="0" borderId="0" xfId="0" applyNumberFormat="1" applyFont="1"/>
    <xf numFmtId="43" fontId="75" fillId="0" borderId="0" xfId="0" applyNumberFormat="1" applyFont="1"/>
    <xf numFmtId="0" fontId="71" fillId="0" borderId="0" xfId="0" applyFont="1"/>
    <xf numFmtId="43" fontId="71" fillId="0" borderId="0" xfId="1" applyFont="1"/>
    <xf numFmtId="0" fontId="75" fillId="2" borderId="0" xfId="0" applyFont="1" applyFill="1" applyAlignment="1">
      <alignment horizontal="center"/>
    </xf>
    <xf numFmtId="43" fontId="61" fillId="2" borderId="0" xfId="0" applyNumberFormat="1" applyFont="1" applyFill="1" applyAlignment="1">
      <alignment horizontal="center"/>
    </xf>
    <xf numFmtId="0" fontId="75" fillId="0" borderId="0" xfId="0" applyFont="1"/>
    <xf numFmtId="0" fontId="61" fillId="0" borderId="0" xfId="0" applyFont="1" applyAlignment="1">
      <alignment horizontal="left"/>
    </xf>
    <xf numFmtId="0" fontId="12" fillId="2" borderId="0" xfId="0" applyFont="1" applyFill="1" applyAlignment="1">
      <alignment horizontal="left"/>
    </xf>
    <xf numFmtId="15" fontId="12" fillId="2" borderId="0" xfId="0" applyNumberFormat="1" applyFont="1" applyFill="1" applyAlignment="1">
      <alignment horizontal="center"/>
    </xf>
    <xf numFmtId="0" fontId="10" fillId="29" borderId="0" xfId="0" applyFont="1" applyFill="1" applyAlignment="1">
      <alignment horizontal="left"/>
    </xf>
    <xf numFmtId="0" fontId="5" fillId="2" borderId="0" xfId="0" applyFont="1" applyFill="1" applyAlignment="1">
      <alignment horizontal="center" vertical="top" wrapText="1"/>
    </xf>
    <xf numFmtId="0" fontId="15" fillId="2" borderId="75" xfId="2" applyFont="1" applyFill="1" applyBorder="1" applyAlignment="1">
      <alignment horizontal="left" vertical="center" wrapText="1"/>
    </xf>
    <xf numFmtId="0" fontId="5" fillId="0" borderId="42" xfId="0" applyFont="1" applyBorder="1" applyAlignment="1">
      <alignment horizontal="center" vertical="top" wrapText="1"/>
    </xf>
    <xf numFmtId="187" fontId="5" fillId="0" borderId="42" xfId="1" applyNumberFormat="1" applyFont="1" applyFill="1" applyBorder="1" applyAlignment="1">
      <alignment horizontal="right"/>
    </xf>
    <xf numFmtId="187" fontId="5" fillId="0" borderId="42" xfId="1" applyNumberFormat="1" applyFont="1" applyFill="1" applyBorder="1" applyAlignment="1">
      <alignment horizontal="center"/>
    </xf>
    <xf numFmtId="187" fontId="15" fillId="0" borderId="79" xfId="1" applyNumberFormat="1" applyFont="1" applyFill="1" applyBorder="1" applyAlignment="1">
      <alignment horizontal="left"/>
    </xf>
    <xf numFmtId="0" fontId="5" fillId="0" borderId="0" xfId="0" applyFont="1" applyAlignment="1">
      <alignment horizontal="center" vertical="top" wrapText="1"/>
    </xf>
    <xf numFmtId="0" fontId="6" fillId="0" borderId="72" xfId="0" applyFont="1" applyBorder="1"/>
    <xf numFmtId="0" fontId="12" fillId="6" borderId="40" xfId="0" applyFont="1" applyFill="1" applyBorder="1" applyAlignment="1">
      <alignment horizontal="center"/>
    </xf>
    <xf numFmtId="0" fontId="12" fillId="6" borderId="238" xfId="0" applyFont="1" applyFill="1" applyBorder="1" applyAlignment="1">
      <alignment horizontal="center"/>
    </xf>
    <xf numFmtId="187" fontId="5" fillId="0" borderId="0" xfId="1" applyNumberFormat="1" applyFont="1" applyFill="1" applyBorder="1" applyAlignment="1">
      <alignment horizontal="center"/>
    </xf>
    <xf numFmtId="187" fontId="5" fillId="0" borderId="75" xfId="1" applyNumberFormat="1" applyFont="1" applyFill="1" applyBorder="1" applyAlignment="1">
      <alignment horizontal="right"/>
    </xf>
    <xf numFmtId="0" fontId="17" fillId="0" borderId="0" xfId="0" applyFont="1" applyAlignment="1">
      <alignment horizontal="left"/>
    </xf>
    <xf numFmtId="0" fontId="10" fillId="22" borderId="0" xfId="0" applyFont="1" applyFill="1" applyAlignment="1">
      <alignment horizontal="left"/>
    </xf>
    <xf numFmtId="0" fontId="5" fillId="0" borderId="42" xfId="0" applyFont="1" applyBorder="1"/>
    <xf numFmtId="0" fontId="5" fillId="23" borderId="0" xfId="0" applyFont="1" applyFill="1"/>
    <xf numFmtId="0" fontId="11" fillId="2" borderId="15" xfId="2" applyFont="1" applyFill="1" applyBorder="1" applyAlignment="1">
      <alignment horizontal="center" vertical="top" wrapText="1"/>
    </xf>
    <xf numFmtId="187" fontId="11" fillId="0" borderId="15" xfId="1" applyNumberFormat="1" applyFont="1" applyFill="1" applyBorder="1" applyAlignment="1">
      <alignment horizontal="center"/>
    </xf>
    <xf numFmtId="0" fontId="80" fillId="0" borderId="15" xfId="2" applyFont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/>
    </xf>
    <xf numFmtId="43" fontId="11" fillId="2" borderId="14" xfId="1" applyFont="1" applyFill="1" applyBorder="1" applyAlignment="1">
      <alignment horizontal="center"/>
    </xf>
    <xf numFmtId="0" fontId="11" fillId="2" borderId="15" xfId="2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2" borderId="15" xfId="2" applyFont="1" applyFill="1" applyBorder="1" applyAlignment="1">
      <alignment horizontal="center" wrapText="1"/>
    </xf>
    <xf numFmtId="0" fontId="11" fillId="0" borderId="15" xfId="0" applyFont="1" applyBorder="1" applyAlignment="1">
      <alignment horizontal="center" vertical="top" wrapText="1"/>
    </xf>
    <xf numFmtId="0" fontId="5" fillId="2" borderId="72" xfId="3" applyFont="1" applyFill="1" applyBorder="1" applyAlignment="1">
      <alignment horizontal="left" vertical="center"/>
    </xf>
    <xf numFmtId="0" fontId="11" fillId="2" borderId="79" xfId="0" applyFont="1" applyFill="1" applyBorder="1" applyAlignment="1">
      <alignment horizontal="center"/>
    </xf>
    <xf numFmtId="0" fontId="5" fillId="2" borderId="190" xfId="0" applyFont="1" applyFill="1" applyBorder="1" applyAlignment="1">
      <alignment horizontal="left" vertical="top" wrapText="1"/>
    </xf>
    <xf numFmtId="0" fontId="11" fillId="0" borderId="193" xfId="0" applyFont="1" applyBorder="1" applyAlignment="1">
      <alignment horizontal="center"/>
    </xf>
    <xf numFmtId="187" fontId="5" fillId="2" borderId="0" xfId="1" applyNumberFormat="1" applyFont="1" applyFill="1" applyBorder="1" applyAlignment="1">
      <alignment horizontal="center"/>
    </xf>
    <xf numFmtId="187" fontId="5" fillId="2" borderId="0" xfId="1" applyNumberFormat="1" applyFont="1" applyFill="1" applyBorder="1" applyAlignment="1">
      <alignment horizontal="right"/>
    </xf>
    <xf numFmtId="0" fontId="11" fillId="2" borderId="0" xfId="0" applyFont="1" applyFill="1" applyAlignment="1">
      <alignment horizontal="center"/>
    </xf>
    <xf numFmtId="0" fontId="10" fillId="2" borderId="0" xfId="2" applyFont="1" applyFill="1" applyAlignment="1">
      <alignment horizontal="left" wrapText="1"/>
    </xf>
    <xf numFmtId="49" fontId="5" fillId="2" borderId="0" xfId="0" quotePrefix="1" applyNumberFormat="1" applyFont="1" applyFill="1" applyAlignment="1">
      <alignment horizontal="center"/>
    </xf>
    <xf numFmtId="0" fontId="5" fillId="2" borderId="0" xfId="0" applyFont="1" applyFill="1" applyAlignment="1">
      <alignment horizontal="left"/>
    </xf>
    <xf numFmtId="49" fontId="5" fillId="2" borderId="0" xfId="0" applyNumberFormat="1" applyFont="1" applyFill="1" applyAlignment="1">
      <alignment horizontal="center" vertical="top"/>
    </xf>
    <xf numFmtId="0" fontId="6" fillId="2" borderId="6" xfId="2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center"/>
    </xf>
    <xf numFmtId="0" fontId="5" fillId="2" borderId="193" xfId="0" applyFont="1" applyFill="1" applyBorder="1" applyAlignment="1">
      <alignment horizontal="center"/>
    </xf>
    <xf numFmtId="0" fontId="6" fillId="2" borderId="6" xfId="2" applyFont="1" applyFill="1" applyBorder="1" applyAlignment="1">
      <alignment horizontal="center" vertical="center"/>
    </xf>
    <xf numFmtId="0" fontId="12" fillId="2" borderId="69" xfId="0" applyFont="1" applyFill="1" applyBorder="1" applyAlignment="1">
      <alignment horizontal="center"/>
    </xf>
    <xf numFmtId="0" fontId="6" fillId="2" borderId="72" xfId="0" applyFont="1" applyFill="1" applyBorder="1" applyAlignment="1">
      <alignment horizontal="center"/>
    </xf>
    <xf numFmtId="0" fontId="6" fillId="2" borderId="59" xfId="0" applyFont="1" applyFill="1" applyBorder="1" applyAlignment="1">
      <alignment horizontal="center" vertical="center"/>
    </xf>
    <xf numFmtId="49" fontId="6" fillId="2" borderId="58" xfId="2" applyNumberFormat="1" applyFont="1" applyFill="1" applyBorder="1" applyAlignment="1">
      <alignment horizontal="center" vertical="center"/>
    </xf>
    <xf numFmtId="49" fontId="6" fillId="2" borderId="6" xfId="2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12" fillId="2" borderId="34" xfId="0" applyFont="1" applyFill="1" applyBorder="1" applyAlignment="1">
      <alignment horizontal="center"/>
    </xf>
    <xf numFmtId="0" fontId="12" fillId="2" borderId="38" xfId="0" applyFont="1" applyFill="1" applyBorder="1" applyAlignment="1">
      <alignment horizontal="center"/>
    </xf>
    <xf numFmtId="0" fontId="5" fillId="2" borderId="179" xfId="0" applyFont="1" applyFill="1" applyBorder="1" applyAlignment="1">
      <alignment horizontal="center"/>
    </xf>
    <xf numFmtId="0" fontId="6" fillId="2" borderId="142" xfId="0" applyFont="1" applyFill="1" applyBorder="1" applyAlignment="1">
      <alignment horizontal="center" vertical="center"/>
    </xf>
    <xf numFmtId="0" fontId="5" fillId="2" borderId="189" xfId="0" applyFont="1" applyFill="1" applyBorder="1" applyAlignment="1">
      <alignment horizontal="center" vertical="top"/>
    </xf>
    <xf numFmtId="0" fontId="11" fillId="2" borderId="39" xfId="2" applyFont="1" applyFill="1" applyBorder="1" applyAlignment="1">
      <alignment horizontal="center" wrapText="1"/>
    </xf>
    <xf numFmtId="49" fontId="6" fillId="2" borderId="12" xfId="2" applyNumberFormat="1" applyFont="1" applyFill="1" applyBorder="1" applyAlignment="1">
      <alignment horizontal="center" vertical="center"/>
    </xf>
    <xf numFmtId="43" fontId="5" fillId="7" borderId="12" xfId="2" applyNumberFormat="1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vertical="center"/>
    </xf>
    <xf numFmtId="43" fontId="5" fillId="7" borderId="8" xfId="2" applyNumberFormat="1" applyFont="1" applyFill="1" applyBorder="1" applyAlignment="1">
      <alignment horizontal="center" vertical="center"/>
    </xf>
    <xf numFmtId="0" fontId="5" fillId="0" borderId="101" xfId="0" applyFont="1" applyBorder="1"/>
    <xf numFmtId="0" fontId="5" fillId="0" borderId="17" xfId="0" applyFont="1" applyBorder="1"/>
    <xf numFmtId="0" fontId="6" fillId="2" borderId="0" xfId="0" applyFont="1" applyFill="1" applyAlignment="1">
      <alignment horizontal="center"/>
    </xf>
    <xf numFmtId="43" fontId="20" fillId="2" borderId="1" xfId="1" applyFont="1" applyFill="1" applyBorder="1" applyAlignment="1">
      <alignment horizontal="right"/>
    </xf>
    <xf numFmtId="0" fontId="6" fillId="3" borderId="42" xfId="0" applyFont="1" applyFill="1" applyBorder="1" applyAlignment="1">
      <alignment horizontal="center" vertical="center"/>
    </xf>
    <xf numFmtId="49" fontId="6" fillId="3" borderId="42" xfId="0" applyNumberFormat="1" applyFont="1" applyFill="1" applyBorder="1" applyAlignment="1">
      <alignment horizontal="center" vertical="center"/>
    </xf>
    <xf numFmtId="49" fontId="8" fillId="3" borderId="42" xfId="0" applyNumberFormat="1" applyFont="1" applyFill="1" applyBorder="1" applyAlignment="1">
      <alignment horizontal="left"/>
    </xf>
    <xf numFmtId="43" fontId="10" fillId="15" borderId="42" xfId="1" applyFont="1" applyFill="1" applyBorder="1" applyAlignment="1">
      <alignment vertical="top" wrapText="1"/>
    </xf>
    <xf numFmtId="43" fontId="5" fillId="15" borderId="42" xfId="1" applyFont="1" applyFill="1" applyBorder="1" applyAlignment="1">
      <alignment horizontal="center" vertical="top" wrapText="1"/>
    </xf>
    <xf numFmtId="187" fontId="5" fillId="15" borderId="42" xfId="1" applyNumberFormat="1" applyFont="1" applyFill="1" applyBorder="1" applyAlignment="1">
      <alignment horizontal="center" vertical="top" wrapText="1"/>
    </xf>
    <xf numFmtId="43" fontId="20" fillId="2" borderId="42" xfId="1" applyFont="1" applyFill="1" applyBorder="1" applyAlignment="1">
      <alignment horizontal="right"/>
    </xf>
    <xf numFmtId="49" fontId="12" fillId="2" borderId="1" xfId="0" applyNumberFormat="1" applyFont="1" applyFill="1" applyBorder="1" applyAlignment="1">
      <alignment horizontal="center"/>
    </xf>
    <xf numFmtId="15" fontId="12" fillId="2" borderId="99" xfId="0" applyNumberFormat="1" applyFont="1" applyFill="1" applyBorder="1" applyAlignment="1">
      <alignment horizontal="center"/>
    </xf>
    <xf numFmtId="0" fontId="5" fillId="2" borderId="101" xfId="2" applyFont="1" applyFill="1" applyBorder="1" applyAlignment="1">
      <alignment horizontal="center" vertical="top" wrapText="1"/>
    </xf>
    <xf numFmtId="0" fontId="5" fillId="2" borderId="10" xfId="2" applyFont="1" applyFill="1" applyBorder="1" applyAlignment="1">
      <alignment horizontal="center" vertical="top" wrapText="1"/>
    </xf>
    <xf numFmtId="187" fontId="5" fillId="0" borderId="17" xfId="1" applyNumberFormat="1" applyFont="1" applyFill="1" applyBorder="1" applyAlignment="1">
      <alignment horizontal="center"/>
    </xf>
    <xf numFmtId="187" fontId="15" fillId="0" borderId="18" xfId="1" applyNumberFormat="1" applyFont="1" applyFill="1" applyBorder="1" applyAlignment="1">
      <alignment horizontal="left"/>
    </xf>
    <xf numFmtId="187" fontId="15" fillId="0" borderId="75" xfId="1" applyNumberFormat="1" applyFont="1" applyFill="1" applyBorder="1" applyAlignment="1">
      <alignment horizontal="left"/>
    </xf>
    <xf numFmtId="43" fontId="20" fillId="2" borderId="45" xfId="1" applyFont="1" applyFill="1" applyBorder="1" applyAlignment="1">
      <alignment horizontal="right"/>
    </xf>
    <xf numFmtId="0" fontId="10" fillId="2" borderId="17" xfId="0" applyFont="1" applyFill="1" applyBorder="1" applyAlignment="1">
      <alignment horizontal="left"/>
    </xf>
    <xf numFmtId="0" fontId="10" fillId="2" borderId="42" xfId="0" applyFont="1" applyFill="1" applyBorder="1" applyAlignment="1">
      <alignment horizontal="left"/>
    </xf>
    <xf numFmtId="43" fontId="23" fillId="3" borderId="1" xfId="0" applyNumberFormat="1" applyFont="1" applyFill="1" applyBorder="1" applyAlignment="1">
      <alignment horizontal="center" vertical="center"/>
    </xf>
    <xf numFmtId="49" fontId="23" fillId="2" borderId="241" xfId="0" applyNumberFormat="1" applyFont="1" applyFill="1" applyBorder="1" applyAlignment="1">
      <alignment horizontal="center" vertical="center"/>
    </xf>
    <xf numFmtId="0" fontId="23" fillId="3" borderId="68" xfId="0" applyFont="1" applyFill="1" applyBorder="1"/>
    <xf numFmtId="0" fontId="23" fillId="3" borderId="68" xfId="0" applyFont="1" applyFill="1" applyBorder="1" applyAlignment="1">
      <alignment horizontal="center" vertical="center"/>
    </xf>
    <xf numFmtId="0" fontId="21" fillId="6" borderId="0" xfId="0" applyFont="1" applyFill="1" applyAlignment="1">
      <alignment horizontal="center"/>
    </xf>
    <xf numFmtId="49" fontId="23" fillId="3" borderId="68" xfId="0" applyNumberFormat="1" applyFont="1" applyFill="1" applyBorder="1" applyAlignment="1">
      <alignment horizontal="center" vertical="center"/>
    </xf>
    <xf numFmtId="49" fontId="24" fillId="3" borderId="68" xfId="0" applyNumberFormat="1" applyFont="1" applyFill="1" applyBorder="1" applyAlignment="1">
      <alignment horizontal="left"/>
    </xf>
    <xf numFmtId="43" fontId="10" fillId="3" borderId="68" xfId="1" applyFont="1" applyFill="1" applyBorder="1" applyAlignment="1">
      <alignment vertical="top" wrapText="1"/>
    </xf>
    <xf numFmtId="187" fontId="23" fillId="3" borderId="68" xfId="1" applyNumberFormat="1" applyFont="1" applyFill="1" applyBorder="1" applyAlignment="1">
      <alignment horizontal="center" vertical="center"/>
    </xf>
    <xf numFmtId="43" fontId="5" fillId="3" borderId="68" xfId="1" applyFont="1" applyFill="1" applyBorder="1" applyAlignment="1">
      <alignment horizontal="center" vertical="top" wrapText="1"/>
    </xf>
    <xf numFmtId="187" fontId="5" fillId="3" borderId="68" xfId="1" applyNumberFormat="1" applyFont="1" applyFill="1" applyBorder="1" applyAlignment="1">
      <alignment horizontal="center" vertical="top" wrapText="1"/>
    </xf>
    <xf numFmtId="0" fontId="25" fillId="3" borderId="228" xfId="0" applyFont="1" applyFill="1" applyBorder="1" applyAlignment="1">
      <alignment horizontal="center" vertical="center"/>
    </xf>
    <xf numFmtId="0" fontId="5" fillId="0" borderId="75" xfId="0" applyFont="1" applyBorder="1"/>
    <xf numFmtId="0" fontId="5" fillId="2" borderId="101" xfId="2" applyFont="1" applyFill="1" applyBorder="1" applyAlignment="1">
      <alignment horizontal="center" vertical="center" wrapText="1"/>
    </xf>
    <xf numFmtId="0" fontId="15" fillId="15" borderId="8" xfId="0" applyFont="1" applyFill="1" applyBorder="1" applyAlignment="1">
      <alignment horizontal="center"/>
    </xf>
    <xf numFmtId="0" fontId="5" fillId="2" borderId="14" xfId="2" applyFont="1" applyFill="1" applyBorder="1" applyAlignment="1">
      <alignment horizontal="left" vertical="top" wrapText="1"/>
    </xf>
    <xf numFmtId="0" fontId="15" fillId="0" borderId="17" xfId="0" applyFont="1" applyBorder="1" applyAlignment="1">
      <alignment horizontal="center"/>
    </xf>
    <xf numFmtId="0" fontId="6" fillId="0" borderId="75" xfId="0" applyFont="1" applyBorder="1" applyAlignment="1">
      <alignment horizontal="center" vertical="center"/>
    </xf>
    <xf numFmtId="0" fontId="6" fillId="0" borderId="101" xfId="0" applyFont="1" applyBorder="1"/>
    <xf numFmtId="0" fontId="17" fillId="3" borderId="75" xfId="0" applyFont="1" applyFill="1" applyBorder="1" applyAlignment="1">
      <alignment horizontal="center"/>
    </xf>
    <xf numFmtId="43" fontId="20" fillId="0" borderId="0" xfId="1" applyFont="1" applyFill="1" applyBorder="1" applyAlignment="1">
      <alignment horizontal="right"/>
    </xf>
    <xf numFmtId="0" fontId="35" fillId="29" borderId="0" xfId="0" applyFont="1" applyFill="1" applyAlignment="1">
      <alignment horizontal="left"/>
    </xf>
    <xf numFmtId="0" fontId="15" fillId="0" borderId="0" xfId="0" applyFont="1" applyAlignment="1">
      <alignment horizontal="left" vertical="center"/>
    </xf>
    <xf numFmtId="0" fontId="5" fillId="0" borderId="17" xfId="0" applyFont="1" applyBorder="1" applyAlignment="1">
      <alignment horizontal="left" vertical="top" wrapText="1"/>
    </xf>
    <xf numFmtId="0" fontId="15" fillId="0" borderId="17" xfId="0" applyFont="1" applyBorder="1" applyAlignment="1">
      <alignment horizontal="left" vertical="center"/>
    </xf>
    <xf numFmtId="0" fontId="35" fillId="29" borderId="17" xfId="0" applyFont="1" applyFill="1" applyBorder="1" applyAlignment="1">
      <alignment horizontal="left"/>
    </xf>
    <xf numFmtId="43" fontId="20" fillId="0" borderId="17" xfId="1" applyFont="1" applyFill="1" applyBorder="1" applyAlignment="1">
      <alignment horizontal="right"/>
    </xf>
    <xf numFmtId="0" fontId="15" fillId="3" borderId="75" xfId="2" applyFont="1" applyFill="1" applyBorder="1" applyAlignment="1">
      <alignment horizontal="center" vertical="top" wrapText="1"/>
    </xf>
    <xf numFmtId="43" fontId="20" fillId="0" borderId="18" xfId="0" applyNumberFormat="1" applyFont="1" applyBorder="1"/>
    <xf numFmtId="43" fontId="20" fillId="0" borderId="17" xfId="0" applyNumberFormat="1" applyFont="1" applyBorder="1"/>
    <xf numFmtId="43" fontId="20" fillId="0" borderId="1" xfId="1" applyFont="1" applyFill="1" applyBorder="1" applyAlignment="1">
      <alignment horizontal="right"/>
    </xf>
    <xf numFmtId="0" fontId="5" fillId="2" borderId="16" xfId="2" applyFont="1" applyFill="1" applyBorder="1" applyAlignment="1">
      <alignment horizontal="center" vertical="top" wrapText="1"/>
    </xf>
    <xf numFmtId="0" fontId="15" fillId="0" borderId="1" xfId="0" applyFont="1" applyBorder="1" applyAlignment="1">
      <alignment horizontal="center"/>
    </xf>
    <xf numFmtId="0" fontId="5" fillId="0" borderId="4" xfId="0" applyFont="1" applyBorder="1"/>
    <xf numFmtId="0" fontId="5" fillId="2" borderId="1" xfId="0" applyFont="1" applyFill="1" applyBorder="1" applyAlignment="1">
      <alignment horizontal="center" vertical="top"/>
    </xf>
    <xf numFmtId="49" fontId="5" fillId="0" borderId="1" xfId="0" applyNumberFormat="1" applyFont="1" applyBorder="1" applyAlignment="1">
      <alignment horizontal="center" vertical="top"/>
    </xf>
    <xf numFmtId="43" fontId="20" fillId="0" borderId="1" xfId="1" applyFont="1" applyFill="1" applyBorder="1" applyAlignment="1">
      <alignment horizontal="right" vertical="top"/>
    </xf>
    <xf numFmtId="0" fontId="5" fillId="2" borderId="242" xfId="0" applyFont="1" applyFill="1" applyBorder="1" applyAlignment="1">
      <alignment horizontal="center"/>
    </xf>
    <xf numFmtId="0" fontId="5" fillId="0" borderId="242" xfId="0" applyFont="1" applyBorder="1" applyAlignment="1">
      <alignment horizontal="left"/>
    </xf>
    <xf numFmtId="49" fontId="5" fillId="0" borderId="242" xfId="0" applyNumberFormat="1" applyFont="1" applyBorder="1" applyAlignment="1">
      <alignment horizontal="center"/>
    </xf>
    <xf numFmtId="49" fontId="5" fillId="0" borderId="242" xfId="0" applyNumberFormat="1" applyFont="1" applyBorder="1"/>
    <xf numFmtId="43" fontId="20" fillId="0" borderId="242" xfId="1" applyFont="1" applyFill="1" applyBorder="1" applyAlignment="1">
      <alignment horizontal="right"/>
    </xf>
    <xf numFmtId="0" fontId="10" fillId="0" borderId="242" xfId="0" applyFont="1" applyBorder="1" applyAlignment="1">
      <alignment horizontal="left"/>
    </xf>
    <xf numFmtId="0" fontId="5" fillId="0" borderId="242" xfId="0" applyFont="1" applyBorder="1" applyAlignment="1">
      <alignment horizontal="center" vertical="top" wrapText="1"/>
    </xf>
    <xf numFmtId="43" fontId="5" fillId="0" borderId="242" xfId="1" applyFont="1" applyFill="1" applyBorder="1" applyAlignment="1">
      <alignment horizontal="right"/>
    </xf>
    <xf numFmtId="187" fontId="5" fillId="0" borderId="242" xfId="1" applyNumberFormat="1" applyFont="1" applyFill="1" applyBorder="1" applyAlignment="1">
      <alignment horizontal="right"/>
    </xf>
    <xf numFmtId="0" fontId="5" fillId="0" borderId="242" xfId="0" applyFont="1" applyBorder="1"/>
    <xf numFmtId="0" fontId="15" fillId="0" borderId="242" xfId="0" applyFont="1" applyBorder="1" applyAlignment="1">
      <alignment horizontal="center"/>
    </xf>
    <xf numFmtId="0" fontId="5" fillId="2" borderId="244" xfId="0" applyFont="1" applyFill="1" applyBorder="1" applyAlignment="1">
      <alignment horizontal="center" vertical="top"/>
    </xf>
    <xf numFmtId="0" fontId="5" fillId="0" borderId="244" xfId="0" applyFont="1" applyBorder="1" applyAlignment="1">
      <alignment horizontal="left" vertical="top" wrapText="1"/>
    </xf>
    <xf numFmtId="49" fontId="5" fillId="0" borderId="244" xfId="0" applyNumberFormat="1" applyFont="1" applyBorder="1" applyAlignment="1">
      <alignment horizontal="center" vertical="top"/>
    </xf>
    <xf numFmtId="43" fontId="20" fillId="0" borderId="243" xfId="1" applyFont="1" applyFill="1" applyBorder="1" applyAlignment="1">
      <alignment horizontal="right" vertical="top"/>
    </xf>
    <xf numFmtId="0" fontId="15" fillId="0" borderId="30" xfId="0" applyFont="1" applyBorder="1" applyAlignment="1">
      <alignment horizontal="center"/>
    </xf>
    <xf numFmtId="187" fontId="5" fillId="0" borderId="244" xfId="1" applyNumberFormat="1" applyFont="1" applyFill="1" applyBorder="1" applyAlignment="1">
      <alignment horizontal="right"/>
    </xf>
    <xf numFmtId="0" fontId="5" fillId="0" borderId="244" xfId="0" applyFont="1" applyBorder="1" applyAlignment="1">
      <alignment horizontal="center" vertical="top" wrapText="1"/>
    </xf>
    <xf numFmtId="0" fontId="10" fillId="0" borderId="16" xfId="0" applyFont="1" applyBorder="1"/>
    <xf numFmtId="49" fontId="5" fillId="0" borderId="17" xfId="0" applyNumberFormat="1" applyFont="1" applyBorder="1"/>
    <xf numFmtId="43" fontId="5" fillId="0" borderId="17" xfId="1" applyFont="1" applyFill="1" applyBorder="1" applyAlignment="1">
      <alignment horizontal="right"/>
    </xf>
    <xf numFmtId="0" fontId="5" fillId="0" borderId="17" xfId="0" applyFont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 vertical="top" wrapText="1"/>
    </xf>
    <xf numFmtId="187" fontId="5" fillId="2" borderId="1" xfId="1" applyNumberFormat="1" applyFont="1" applyFill="1" applyBorder="1" applyAlignment="1">
      <alignment horizontal="right"/>
    </xf>
    <xf numFmtId="43" fontId="5" fillId="2" borderId="1" xfId="1" applyFont="1" applyFill="1" applyBorder="1" applyAlignment="1">
      <alignment horizontal="right"/>
    </xf>
    <xf numFmtId="43" fontId="15" fillId="2" borderId="1" xfId="1" applyFont="1" applyFill="1" applyBorder="1" applyAlignment="1">
      <alignment horizontal="center"/>
    </xf>
    <xf numFmtId="43" fontId="15" fillId="2" borderId="18" xfId="1" applyFont="1" applyFill="1" applyBorder="1" applyAlignment="1">
      <alignment horizontal="center"/>
    </xf>
    <xf numFmtId="43" fontId="5" fillId="2" borderId="17" xfId="1" applyFont="1" applyFill="1" applyBorder="1" applyAlignment="1">
      <alignment horizontal="right"/>
    </xf>
    <xf numFmtId="187" fontId="5" fillId="2" borderId="17" xfId="1" applyNumberFormat="1" applyFont="1" applyFill="1" applyBorder="1" applyAlignment="1">
      <alignment horizontal="right"/>
    </xf>
    <xf numFmtId="0" fontId="5" fillId="2" borderId="17" xfId="0" applyFont="1" applyFill="1" applyBorder="1" applyAlignment="1">
      <alignment horizontal="center" vertical="top" wrapText="1"/>
    </xf>
    <xf numFmtId="43" fontId="20" fillId="2" borderId="17" xfId="1" applyFont="1" applyFill="1" applyBorder="1" applyAlignment="1">
      <alignment horizontal="right"/>
    </xf>
    <xf numFmtId="43" fontId="20" fillId="2" borderId="245" xfId="1" applyFont="1" applyFill="1" applyBorder="1" applyAlignment="1">
      <alignment horizontal="right"/>
    </xf>
    <xf numFmtId="0" fontId="10" fillId="0" borderId="45" xfId="0" applyFont="1" applyBorder="1"/>
    <xf numFmtId="0" fontId="6" fillId="0" borderId="17" xfId="0" applyFont="1" applyBorder="1" applyAlignment="1">
      <alignment horizontal="center" vertical="center"/>
    </xf>
    <xf numFmtId="187" fontId="6" fillId="0" borderId="17" xfId="1" applyNumberFormat="1" applyFont="1" applyFill="1" applyBorder="1" applyAlignment="1">
      <alignment horizontal="center"/>
    </xf>
    <xf numFmtId="43" fontId="5" fillId="0" borderId="1" xfId="1" applyFont="1" applyFill="1" applyBorder="1" applyAlignment="1">
      <alignment horizontal="right"/>
    </xf>
    <xf numFmtId="187" fontId="6" fillId="0" borderId="1" xfId="1" applyNumberFormat="1" applyFont="1" applyFill="1" applyBorder="1" applyAlignment="1">
      <alignment horizontal="center"/>
    </xf>
    <xf numFmtId="0" fontId="10" fillId="29" borderId="105" xfId="0" applyFont="1" applyFill="1" applyBorder="1" applyAlignment="1">
      <alignment horizontal="left"/>
    </xf>
    <xf numFmtId="0" fontId="5" fillId="0" borderId="7" xfId="0" applyFont="1" applyBorder="1"/>
    <xf numFmtId="0" fontId="5" fillId="0" borderId="8" xfId="0" applyFont="1" applyBorder="1"/>
    <xf numFmtId="0" fontId="5" fillId="2" borderId="247" xfId="0" applyFont="1" applyFill="1" applyBorder="1" applyAlignment="1">
      <alignment horizontal="center"/>
    </xf>
    <xf numFmtId="0" fontId="5" fillId="0" borderId="248" xfId="0" applyFont="1" applyBorder="1"/>
    <xf numFmtId="49" fontId="5" fillId="2" borderId="249" xfId="0" applyNumberFormat="1" applyFont="1" applyFill="1" applyBorder="1" applyAlignment="1">
      <alignment horizontal="center"/>
    </xf>
    <xf numFmtId="0" fontId="5" fillId="2" borderId="247" xfId="0" applyFont="1" applyFill="1" applyBorder="1"/>
    <xf numFmtId="49" fontId="5" fillId="2" borderId="247" xfId="0" applyNumberFormat="1" applyFont="1" applyFill="1" applyBorder="1" applyAlignment="1">
      <alignment horizontal="center"/>
    </xf>
    <xf numFmtId="49" fontId="5" fillId="2" borderId="248" xfId="0" applyNumberFormat="1" applyFont="1" applyFill="1" applyBorder="1" applyAlignment="1">
      <alignment horizontal="center"/>
    </xf>
    <xf numFmtId="43" fontId="5" fillId="2" borderId="248" xfId="1" applyFont="1" applyFill="1" applyBorder="1" applyAlignment="1">
      <alignment horizontal="right"/>
    </xf>
    <xf numFmtId="0" fontId="10" fillId="22" borderId="248" xfId="0" applyFont="1" applyFill="1" applyBorder="1" applyAlignment="1">
      <alignment horizontal="left"/>
    </xf>
    <xf numFmtId="0" fontId="5" fillId="0" borderId="248" xfId="0" applyFont="1" applyBorder="1" applyAlignment="1">
      <alignment horizontal="center" vertical="top" wrapText="1"/>
    </xf>
    <xf numFmtId="187" fontId="5" fillId="0" borderId="248" xfId="1" applyNumberFormat="1" applyFont="1" applyFill="1" applyBorder="1" applyAlignment="1">
      <alignment horizontal="right"/>
    </xf>
    <xf numFmtId="187" fontId="5" fillId="0" borderId="248" xfId="1" applyNumberFormat="1" applyFont="1" applyFill="1" applyBorder="1" applyAlignment="1">
      <alignment horizontal="center"/>
    </xf>
    <xf numFmtId="0" fontId="11" fillId="2" borderId="248" xfId="2" applyFont="1" applyFill="1" applyBorder="1" applyAlignment="1">
      <alignment horizontal="center" wrapText="1"/>
    </xf>
    <xf numFmtId="49" fontId="5" fillId="2" borderId="246" xfId="0" applyNumberFormat="1" applyFont="1" applyFill="1" applyBorder="1" applyAlignment="1">
      <alignment horizontal="center"/>
    </xf>
    <xf numFmtId="43" fontId="20" fillId="2" borderId="21" xfId="1" applyFont="1" applyFill="1" applyBorder="1" applyAlignment="1">
      <alignment horizontal="right"/>
    </xf>
    <xf numFmtId="43" fontId="6" fillId="2" borderId="7" xfId="0" applyNumberFormat="1" applyFont="1" applyFill="1" applyBorder="1" applyAlignment="1">
      <alignment horizontal="center"/>
    </xf>
    <xf numFmtId="0" fontId="10" fillId="2" borderId="15" xfId="0" applyFont="1" applyFill="1" applyBorder="1" applyAlignment="1">
      <alignment horizontal="left"/>
    </xf>
    <xf numFmtId="43" fontId="15" fillId="2" borderId="11" xfId="1" applyFont="1" applyFill="1" applyBorder="1" applyAlignment="1">
      <alignment horizontal="center"/>
    </xf>
    <xf numFmtId="0" fontId="5" fillId="2" borderId="18" xfId="0" applyFont="1" applyFill="1" applyBorder="1" applyAlignment="1">
      <alignment horizontal="left"/>
    </xf>
    <xf numFmtId="43" fontId="5" fillId="2" borderId="17" xfId="1" applyFont="1" applyFill="1" applyBorder="1" applyAlignment="1">
      <alignment horizontal="center"/>
    </xf>
    <xf numFmtId="0" fontId="10" fillId="2" borderId="17" xfId="0" applyFont="1" applyFill="1" applyBorder="1"/>
    <xf numFmtId="0" fontId="6" fillId="15" borderId="42" xfId="0" applyFont="1" applyFill="1" applyBorder="1" applyAlignment="1">
      <alignment horizontal="center" vertical="center"/>
    </xf>
    <xf numFmtId="0" fontId="10" fillId="2" borderId="1" xfId="0" applyFont="1" applyFill="1" applyBorder="1"/>
    <xf numFmtId="43" fontId="5" fillId="2" borderId="1" xfId="1" applyFont="1" applyFill="1" applyBorder="1" applyAlignment="1">
      <alignment horizontal="center"/>
    </xf>
    <xf numFmtId="0" fontId="6" fillId="0" borderId="10" xfId="0" applyFont="1" applyBorder="1"/>
    <xf numFmtId="43" fontId="20" fillId="2" borderId="1" xfId="1" applyFont="1" applyFill="1" applyBorder="1" applyAlignment="1">
      <alignment horizontal="right" wrapText="1"/>
    </xf>
    <xf numFmtId="0" fontId="5" fillId="2" borderId="227" xfId="0" applyFont="1" applyFill="1" applyBorder="1" applyAlignment="1">
      <alignment horizontal="center"/>
    </xf>
    <xf numFmtId="0" fontId="12" fillId="2" borderId="250" xfId="0" applyFont="1" applyFill="1" applyBorder="1"/>
    <xf numFmtId="49" fontId="12" fillId="2" borderId="68" xfId="0" applyNumberFormat="1" applyFont="1" applyFill="1" applyBorder="1" applyAlignment="1">
      <alignment horizontal="center"/>
    </xf>
    <xf numFmtId="0" fontId="12" fillId="2" borderId="68" xfId="0" applyFont="1" applyFill="1" applyBorder="1" applyAlignment="1">
      <alignment horizontal="center"/>
    </xf>
    <xf numFmtId="43" fontId="26" fillId="2" borderId="0" xfId="1" applyFont="1" applyFill="1" applyBorder="1" applyAlignment="1">
      <alignment horizontal="right"/>
    </xf>
    <xf numFmtId="0" fontId="13" fillId="0" borderId="68" xfId="0" applyFont="1" applyBorder="1"/>
    <xf numFmtId="0" fontId="5" fillId="0" borderId="68" xfId="0" applyFont="1" applyBorder="1" applyAlignment="1">
      <alignment horizontal="center" vertical="top" wrapText="1"/>
    </xf>
    <xf numFmtId="43" fontId="12" fillId="0" borderId="68" xfId="1" applyFont="1" applyFill="1" applyBorder="1" applyAlignment="1">
      <alignment horizontal="right"/>
    </xf>
    <xf numFmtId="187" fontId="12" fillId="0" borderId="68" xfId="1" applyNumberFormat="1" applyFont="1" applyFill="1" applyBorder="1" applyAlignment="1">
      <alignment horizontal="center"/>
    </xf>
    <xf numFmtId="4" fontId="23" fillId="0" borderId="68" xfId="1" applyNumberFormat="1" applyFont="1" applyFill="1" applyBorder="1" applyAlignment="1">
      <alignment horizontal="right"/>
    </xf>
    <xf numFmtId="4" fontId="12" fillId="0" borderId="68" xfId="1" applyNumberFormat="1" applyFont="1" applyFill="1" applyBorder="1" applyAlignment="1">
      <alignment horizontal="right"/>
    </xf>
    <xf numFmtId="0" fontId="13" fillId="0" borderId="228" xfId="0" applyFont="1" applyBorder="1"/>
    <xf numFmtId="0" fontId="12" fillId="2" borderId="251" xfId="0" applyFont="1" applyFill="1" applyBorder="1" applyAlignment="1">
      <alignment horizontal="center"/>
    </xf>
    <xf numFmtId="0" fontId="12" fillId="2" borderId="251" xfId="0" applyFont="1" applyFill="1" applyBorder="1" applyAlignment="1">
      <alignment horizontal="left"/>
    </xf>
    <xf numFmtId="49" fontId="12" fillId="2" borderId="252" xfId="0" applyNumberFormat="1" applyFont="1" applyFill="1" applyBorder="1" applyAlignment="1">
      <alignment horizontal="center"/>
    </xf>
    <xf numFmtId="0" fontId="12" fillId="2" borderId="253" xfId="0" applyFont="1" applyFill="1" applyBorder="1" applyAlignment="1">
      <alignment horizontal="center"/>
    </xf>
    <xf numFmtId="49" fontId="12" fillId="2" borderId="254" xfId="0" applyNumberFormat="1" applyFont="1" applyFill="1" applyBorder="1" applyAlignment="1">
      <alignment horizontal="center"/>
    </xf>
    <xf numFmtId="49" fontId="12" fillId="2" borderId="251" xfId="0" applyNumberFormat="1" applyFont="1" applyFill="1" applyBorder="1" applyAlignment="1">
      <alignment horizontal="center"/>
    </xf>
    <xf numFmtId="43" fontId="12" fillId="2" borderId="251" xfId="1" applyFont="1" applyFill="1" applyBorder="1" applyAlignment="1">
      <alignment horizontal="right"/>
    </xf>
    <xf numFmtId="0" fontId="10" fillId="29" borderId="255" xfId="0" applyFont="1" applyFill="1" applyBorder="1" applyAlignment="1">
      <alignment horizontal="left"/>
    </xf>
    <xf numFmtId="0" fontId="5" fillId="0" borderId="251" xfId="0" applyFont="1" applyBorder="1" applyAlignment="1">
      <alignment horizontal="center" vertical="top" wrapText="1"/>
    </xf>
    <xf numFmtId="187" fontId="5" fillId="0" borderId="251" xfId="1" applyNumberFormat="1" applyFont="1" applyFill="1" applyBorder="1" applyAlignment="1">
      <alignment horizontal="right"/>
    </xf>
    <xf numFmtId="187" fontId="5" fillId="0" borderId="251" xfId="1" applyNumberFormat="1" applyFont="1" applyFill="1" applyBorder="1" applyAlignment="1">
      <alignment horizontal="center"/>
    </xf>
    <xf numFmtId="43" fontId="5" fillId="0" borderId="251" xfId="1" applyFont="1" applyFill="1" applyBorder="1" applyAlignment="1">
      <alignment horizontal="right"/>
    </xf>
    <xf numFmtId="187" fontId="11" fillId="0" borderId="19" xfId="1" applyNumberFormat="1" applyFont="1" applyFill="1" applyBorder="1" applyAlignment="1">
      <alignment horizontal="center"/>
    </xf>
    <xf numFmtId="43" fontId="5" fillId="2" borderId="39" xfId="1" applyFont="1" applyFill="1" applyBorder="1" applyAlignment="1">
      <alignment vertical="top" wrapText="1"/>
    </xf>
    <xf numFmtId="43" fontId="20" fillId="0" borderId="17" xfId="1" applyFont="1" applyFill="1" applyBorder="1" applyAlignment="1">
      <alignment horizontal="center" vertical="center"/>
    </xf>
    <xf numFmtId="0" fontId="11" fillId="0" borderId="15" xfId="2" applyFont="1" applyBorder="1" applyAlignment="1">
      <alignment horizontal="center" vertical="center" wrapText="1"/>
    </xf>
    <xf numFmtId="0" fontId="5" fillId="0" borderId="64" xfId="2" applyFont="1" applyBorder="1" applyAlignment="1">
      <alignment horizontal="center" vertical="center" wrapText="1"/>
    </xf>
    <xf numFmtId="0" fontId="80" fillId="0" borderId="256" xfId="2" applyFont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0" fontId="5" fillId="0" borderId="11" xfId="0" applyFont="1" applyBorder="1"/>
    <xf numFmtId="0" fontId="5" fillId="2" borderId="102" xfId="2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/>
    </xf>
    <xf numFmtId="15" fontId="5" fillId="2" borderId="0" xfId="2" applyNumberFormat="1" applyFont="1" applyFill="1" applyAlignment="1">
      <alignment horizontal="center" vertical="center" wrapText="1"/>
    </xf>
    <xf numFmtId="0" fontId="5" fillId="2" borderId="24" xfId="0" applyFont="1" applyFill="1" applyBorder="1" applyAlignment="1">
      <alignment horizontal="center"/>
    </xf>
    <xf numFmtId="0" fontId="5" fillId="2" borderId="39" xfId="2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top"/>
    </xf>
    <xf numFmtId="0" fontId="5" fillId="0" borderId="99" xfId="2" applyFont="1" applyBorder="1" applyAlignment="1">
      <alignment vertical="top" wrapText="1"/>
    </xf>
    <xf numFmtId="15" fontId="5" fillId="2" borderId="99" xfId="2" applyNumberFormat="1" applyFont="1" applyFill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11" fillId="0" borderId="75" xfId="2" applyFont="1" applyBorder="1" applyAlignment="1">
      <alignment horizontal="center" vertical="center" wrapText="1"/>
    </xf>
    <xf numFmtId="0" fontId="5" fillId="2" borderId="72" xfId="2" applyFont="1" applyFill="1" applyBorder="1" applyAlignment="1">
      <alignment horizontal="center" vertical="center" wrapText="1"/>
    </xf>
    <xf numFmtId="0" fontId="10" fillId="2" borderId="0" xfId="2" applyFont="1" applyFill="1" applyAlignment="1">
      <alignment horizontal="center" vertical="center"/>
    </xf>
    <xf numFmtId="0" fontId="59" fillId="0" borderId="0" xfId="0" applyFont="1" applyAlignment="1">
      <alignment horizontal="center"/>
    </xf>
    <xf numFmtId="0" fontId="59" fillId="0" borderId="1" xfId="0" applyFont="1" applyBorder="1" applyAlignment="1">
      <alignment horizontal="left"/>
    </xf>
    <xf numFmtId="0" fontId="60" fillId="0" borderId="102" xfId="0" applyFont="1" applyBorder="1" applyAlignment="1">
      <alignment horizontal="center" vertical="center"/>
    </xf>
    <xf numFmtId="0" fontId="60" fillId="0" borderId="100" xfId="0" applyFont="1" applyBorder="1" applyAlignment="1">
      <alignment horizontal="center" vertical="center"/>
    </xf>
    <xf numFmtId="0" fontId="60" fillId="0" borderId="10" xfId="0" applyFont="1" applyBorder="1" applyAlignment="1">
      <alignment horizontal="center" vertical="center"/>
    </xf>
    <xf numFmtId="0" fontId="60" fillId="0" borderId="11" xfId="0" applyFont="1" applyBorder="1" applyAlignment="1">
      <alignment horizontal="center" vertical="center"/>
    </xf>
    <xf numFmtId="0" fontId="60" fillId="0" borderId="98" xfId="0" applyFont="1" applyBorder="1" applyAlignment="1">
      <alignment horizontal="center" vertical="center"/>
    </xf>
    <xf numFmtId="0" fontId="60" fillId="0" borderId="9" xfId="0" applyFont="1" applyBorder="1" applyAlignment="1">
      <alignment horizontal="center" vertical="center"/>
    </xf>
    <xf numFmtId="0" fontId="60" fillId="0" borderId="12" xfId="0" applyFont="1" applyBorder="1" applyAlignment="1">
      <alignment horizontal="center"/>
    </xf>
    <xf numFmtId="0" fontId="61" fillId="0" borderId="1" xfId="0" applyFont="1" applyBorder="1" applyAlignment="1">
      <alignment horizontal="left"/>
    </xf>
    <xf numFmtId="43" fontId="5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43" fontId="6" fillId="2" borderId="2" xfId="0" applyNumberFormat="1" applyFont="1" applyFill="1" applyBorder="1" applyAlignment="1">
      <alignment horizontal="center" vertical="center"/>
    </xf>
    <xf numFmtId="43" fontId="6" fillId="2" borderId="9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6" fillId="0" borderId="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3" fontId="6" fillId="0" borderId="2" xfId="0" applyNumberFormat="1" applyFont="1" applyBorder="1" applyAlignment="1">
      <alignment horizontal="center" vertical="center"/>
    </xf>
    <xf numFmtId="43" fontId="6" fillId="0" borderId="9" xfId="0" applyNumberFormat="1" applyFont="1" applyBorder="1" applyAlignment="1">
      <alignment horizontal="center" vertical="center"/>
    </xf>
    <xf numFmtId="49" fontId="5" fillId="2" borderId="0" xfId="0" applyNumberFormat="1" applyFont="1" applyFill="1" applyAlignment="1">
      <alignment horizontal="center"/>
    </xf>
    <xf numFmtId="0" fontId="6" fillId="2" borderId="98" xfId="0" applyFont="1" applyFill="1" applyBorder="1" applyAlignment="1">
      <alignment horizontal="center" vertical="center" wrapText="1"/>
    </xf>
    <xf numFmtId="0" fontId="6" fillId="0" borderId="98" xfId="0" applyFont="1" applyBorder="1" applyAlignment="1">
      <alignment horizontal="center" vertical="center"/>
    </xf>
    <xf numFmtId="49" fontId="6" fillId="2" borderId="102" xfId="0" applyNumberFormat="1" applyFont="1" applyFill="1" applyBorder="1" applyAlignment="1">
      <alignment horizontal="center" vertical="center" wrapText="1"/>
    </xf>
    <xf numFmtId="49" fontId="6" fillId="2" borderId="99" xfId="0" applyNumberFormat="1" applyFont="1" applyFill="1" applyBorder="1" applyAlignment="1">
      <alignment horizontal="center" vertical="center" wrapText="1"/>
    </xf>
    <xf numFmtId="49" fontId="6" fillId="2" borderId="100" xfId="0" applyNumberFormat="1" applyFont="1" applyFill="1" applyBorder="1" applyAlignment="1">
      <alignment horizontal="center" vertical="center" wrapText="1"/>
    </xf>
    <xf numFmtId="49" fontId="6" fillId="2" borderId="10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2" borderId="11" xfId="0" applyNumberFormat="1" applyFont="1" applyFill="1" applyBorder="1" applyAlignment="1">
      <alignment horizontal="center" vertical="center" wrapText="1"/>
    </xf>
    <xf numFmtId="43" fontId="6" fillId="0" borderId="98" xfId="0" applyNumberFormat="1" applyFont="1" applyBorder="1" applyAlignment="1">
      <alignment horizontal="center" vertical="center"/>
    </xf>
    <xf numFmtId="0" fontId="6" fillId="0" borderId="97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6" fillId="3" borderId="97" xfId="2" applyFont="1" applyFill="1" applyBorder="1" applyAlignment="1">
      <alignment horizontal="left" vertical="top"/>
    </xf>
    <xf numFmtId="0" fontId="8" fillId="3" borderId="97" xfId="2" applyFont="1" applyFill="1" applyBorder="1" applyAlignment="1">
      <alignment horizontal="left" vertical="top"/>
    </xf>
    <xf numFmtId="0" fontId="6" fillId="3" borderId="97" xfId="2" applyFont="1" applyFill="1" applyBorder="1" applyAlignment="1">
      <alignment horizontal="center" vertical="center"/>
    </xf>
    <xf numFmtId="0" fontId="5" fillId="2" borderId="78" xfId="2" applyFont="1" applyFill="1" applyBorder="1" applyAlignment="1">
      <alignment horizontal="center" vertical="center" wrapText="1"/>
    </xf>
    <xf numFmtId="0" fontId="5" fillId="2" borderId="42" xfId="2" applyFont="1" applyFill="1" applyBorder="1" applyAlignment="1">
      <alignment horizontal="center" vertical="center" wrapText="1"/>
    </xf>
    <xf numFmtId="0" fontId="5" fillId="2" borderId="79" xfId="2" applyFont="1" applyFill="1" applyBorder="1" applyAlignment="1">
      <alignment horizontal="center" vertical="center" wrapText="1"/>
    </xf>
    <xf numFmtId="3" fontId="6" fillId="2" borderId="16" xfId="2" applyNumberFormat="1" applyFont="1" applyFill="1" applyBorder="1" applyAlignment="1">
      <alignment horizontal="center" vertical="center" wrapText="1"/>
    </xf>
    <xf numFmtId="3" fontId="6" fillId="2" borderId="17" xfId="2" applyNumberFormat="1" applyFont="1" applyFill="1" applyBorder="1" applyAlignment="1">
      <alignment horizontal="center" vertical="center" wrapText="1"/>
    </xf>
    <xf numFmtId="3" fontId="6" fillId="2" borderId="18" xfId="2" applyNumberFormat="1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right"/>
    </xf>
    <xf numFmtId="0" fontId="6" fillId="2" borderId="21" xfId="0" applyFont="1" applyFill="1" applyBorder="1" applyAlignment="1">
      <alignment horizontal="right"/>
    </xf>
    <xf numFmtId="0" fontId="6" fillId="2" borderId="22" xfId="0" applyFont="1" applyFill="1" applyBorder="1" applyAlignment="1">
      <alignment horizontal="right"/>
    </xf>
    <xf numFmtId="49" fontId="5" fillId="2" borderId="64" xfId="0" applyNumberFormat="1" applyFont="1" applyFill="1" applyBorder="1" applyAlignment="1">
      <alignment horizontal="center"/>
    </xf>
    <xf numFmtId="49" fontId="5" fillId="2" borderId="27" xfId="0" applyNumberFormat="1" applyFont="1" applyFill="1" applyBorder="1" applyAlignment="1">
      <alignment horizontal="center"/>
    </xf>
    <xf numFmtId="49" fontId="5" fillId="2" borderId="43" xfId="0" applyNumberFormat="1" applyFont="1" applyFill="1" applyBorder="1" applyAlignment="1">
      <alignment horizontal="center"/>
    </xf>
    <xf numFmtId="49" fontId="5" fillId="0" borderId="20" xfId="0" applyNumberFormat="1" applyFont="1" applyBorder="1" applyAlignment="1">
      <alignment horizontal="center"/>
    </xf>
    <xf numFmtId="49" fontId="5" fillId="0" borderId="21" xfId="0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/>
    </xf>
    <xf numFmtId="0" fontId="6" fillId="7" borderId="97" xfId="2" applyFont="1" applyFill="1" applyBorder="1" applyAlignment="1">
      <alignment horizontal="center" vertical="center"/>
    </xf>
    <xf numFmtId="49" fontId="5" fillId="2" borderId="78" xfId="0" applyNumberFormat="1" applyFont="1" applyFill="1" applyBorder="1" applyAlignment="1">
      <alignment horizontal="center"/>
    </xf>
    <xf numFmtId="49" fontId="5" fillId="2" borderId="42" xfId="0" applyNumberFormat="1" applyFont="1" applyFill="1" applyBorder="1" applyAlignment="1">
      <alignment horizontal="center"/>
    </xf>
    <xf numFmtId="49" fontId="5" fillId="2" borderId="79" xfId="0" applyNumberFormat="1" applyFont="1" applyFill="1" applyBorder="1" applyAlignment="1">
      <alignment horizontal="center"/>
    </xf>
    <xf numFmtId="49" fontId="5" fillId="2" borderId="20" xfId="0" applyNumberFormat="1" applyFont="1" applyFill="1" applyBorder="1" applyAlignment="1">
      <alignment horizontal="center"/>
    </xf>
    <xf numFmtId="49" fontId="5" fillId="2" borderId="21" xfId="0" applyNumberFormat="1" applyFont="1" applyFill="1" applyBorder="1" applyAlignment="1">
      <alignment horizontal="center"/>
    </xf>
    <xf numFmtId="49" fontId="5" fillId="2" borderId="22" xfId="0" applyNumberFormat="1" applyFont="1" applyFill="1" applyBorder="1" applyAlignment="1">
      <alignment horizontal="center"/>
    </xf>
    <xf numFmtId="0" fontId="5" fillId="2" borderId="59" xfId="2" quotePrefix="1" applyFont="1" applyFill="1" applyBorder="1" applyAlignment="1">
      <alignment horizontal="center" vertical="center"/>
    </xf>
    <xf numFmtId="0" fontId="5" fillId="2" borderId="60" xfId="2" quotePrefix="1" applyFont="1" applyFill="1" applyBorder="1" applyAlignment="1">
      <alignment horizontal="center" vertical="center"/>
    </xf>
    <xf numFmtId="0" fontId="5" fillId="2" borderId="61" xfId="2" quotePrefix="1" applyFont="1" applyFill="1" applyBorder="1" applyAlignment="1">
      <alignment horizontal="center" vertical="center"/>
    </xf>
    <xf numFmtId="0" fontId="5" fillId="2" borderId="64" xfId="2" quotePrefix="1" applyFont="1" applyFill="1" applyBorder="1" applyAlignment="1">
      <alignment horizontal="center" vertical="center"/>
    </xf>
    <xf numFmtId="0" fontId="5" fillId="2" borderId="27" xfId="2" quotePrefix="1" applyFont="1" applyFill="1" applyBorder="1" applyAlignment="1">
      <alignment horizontal="center" vertical="center"/>
    </xf>
    <xf numFmtId="0" fontId="5" fillId="2" borderId="43" xfId="2" quotePrefix="1" applyFont="1" applyFill="1" applyBorder="1" applyAlignment="1">
      <alignment horizontal="center" vertical="center"/>
    </xf>
    <xf numFmtId="0" fontId="6" fillId="0" borderId="102" xfId="0" applyFont="1" applyBorder="1" applyAlignment="1">
      <alignment horizontal="center" vertical="center" wrapText="1"/>
    </xf>
    <xf numFmtId="0" fontId="6" fillId="0" borderId="99" xfId="0" applyFont="1" applyBorder="1" applyAlignment="1">
      <alignment horizontal="center" vertical="center" wrapText="1"/>
    </xf>
    <xf numFmtId="0" fontId="6" fillId="0" borderId="10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9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23" fillId="3" borderId="97" xfId="3" applyFont="1" applyFill="1" applyBorder="1" applyAlignment="1">
      <alignment horizontal="left"/>
    </xf>
    <xf numFmtId="0" fontId="6" fillId="2" borderId="98" xfId="0" applyFont="1" applyFill="1" applyBorder="1" applyAlignment="1">
      <alignment horizontal="center" vertical="center"/>
    </xf>
    <xf numFmtId="0" fontId="6" fillId="2" borderId="102" xfId="0" applyFont="1" applyFill="1" applyBorder="1" applyAlignment="1">
      <alignment horizontal="center" vertical="center" wrapText="1"/>
    </xf>
    <xf numFmtId="0" fontId="6" fillId="2" borderId="99" xfId="0" applyFont="1" applyFill="1" applyBorder="1" applyAlignment="1">
      <alignment horizontal="center" vertical="center" wrapText="1"/>
    </xf>
    <xf numFmtId="0" fontId="6" fillId="2" borderId="100" xfId="0" applyFont="1" applyFill="1" applyBorder="1" applyAlignment="1">
      <alignment horizontal="center" vertical="center" wrapText="1"/>
    </xf>
    <xf numFmtId="43" fontId="6" fillId="2" borderId="98" xfId="0" applyNumberFormat="1" applyFont="1" applyFill="1" applyBorder="1" applyAlignment="1">
      <alignment horizontal="center" vertical="center"/>
    </xf>
    <xf numFmtId="0" fontId="23" fillId="3" borderId="6" xfId="3" applyFont="1" applyFill="1" applyBorder="1" applyAlignment="1">
      <alignment horizontal="left"/>
    </xf>
    <xf numFmtId="0" fontId="23" fillId="3" borderId="8" xfId="3" applyFont="1" applyFill="1" applyBorder="1" applyAlignment="1">
      <alignment horizontal="left"/>
    </xf>
    <xf numFmtId="49" fontId="5" fillId="0" borderId="186" xfId="0" applyNumberFormat="1" applyFont="1" applyBorder="1" applyAlignment="1">
      <alignment horizontal="center" vertical="top"/>
    </xf>
    <xf numFmtId="49" fontId="5" fillId="0" borderId="122" xfId="0" applyNumberFormat="1" applyFont="1" applyBorder="1" applyAlignment="1">
      <alignment horizontal="center" vertical="top"/>
    </xf>
    <xf numFmtId="49" fontId="5" fillId="0" borderId="187" xfId="0" applyNumberFormat="1" applyFont="1" applyBorder="1" applyAlignment="1">
      <alignment horizontal="center" vertical="top"/>
    </xf>
    <xf numFmtId="0" fontId="5" fillId="2" borderId="64" xfId="2" applyFont="1" applyFill="1" applyBorder="1" applyAlignment="1">
      <alignment horizontal="center" vertical="center" wrapText="1"/>
    </xf>
    <xf numFmtId="0" fontId="5" fillId="2" borderId="27" xfId="2" applyFont="1" applyFill="1" applyBorder="1" applyAlignment="1">
      <alignment horizontal="center" vertical="center" wrapText="1"/>
    </xf>
    <xf numFmtId="0" fontId="5" fillId="2" borderId="43" xfId="2" applyFont="1" applyFill="1" applyBorder="1" applyAlignment="1">
      <alignment horizontal="center" vertical="center" wrapText="1"/>
    </xf>
    <xf numFmtId="3" fontId="6" fillId="2" borderId="20" xfId="0" applyNumberFormat="1" applyFont="1" applyFill="1" applyBorder="1" applyAlignment="1">
      <alignment horizontal="center" vertical="center"/>
    </xf>
    <xf numFmtId="3" fontId="6" fillId="2" borderId="21" xfId="0" applyNumberFormat="1" applyFont="1" applyFill="1" applyBorder="1" applyAlignment="1">
      <alignment horizontal="center" vertical="center"/>
    </xf>
    <xf numFmtId="3" fontId="6" fillId="2" borderId="22" xfId="0" applyNumberFormat="1" applyFont="1" applyFill="1" applyBorder="1" applyAlignment="1">
      <alignment horizontal="center" vertical="center"/>
    </xf>
    <xf numFmtId="3" fontId="6" fillId="2" borderId="20" xfId="2" applyNumberFormat="1" applyFont="1" applyFill="1" applyBorder="1" applyAlignment="1">
      <alignment horizontal="center" vertical="center" wrapText="1"/>
    </xf>
    <xf numFmtId="3" fontId="6" fillId="2" borderId="21" xfId="2" applyNumberFormat="1" applyFont="1" applyFill="1" applyBorder="1" applyAlignment="1">
      <alignment horizontal="center" vertical="center" wrapText="1"/>
    </xf>
    <xf numFmtId="3" fontId="6" fillId="2" borderId="22" xfId="2" applyNumberFormat="1" applyFont="1" applyFill="1" applyBorder="1" applyAlignment="1">
      <alignment horizontal="center" vertical="center" wrapText="1"/>
    </xf>
    <xf numFmtId="0" fontId="5" fillId="3" borderId="97" xfId="2" applyFont="1" applyFill="1" applyBorder="1" applyAlignment="1">
      <alignment horizontal="center" vertical="center" wrapText="1"/>
    </xf>
    <xf numFmtId="0" fontId="5" fillId="2" borderId="78" xfId="2" applyFont="1" applyFill="1" applyBorder="1" applyAlignment="1">
      <alignment horizontal="center" vertical="center"/>
    </xf>
    <xf numFmtId="0" fontId="5" fillId="2" borderId="42" xfId="2" applyFont="1" applyFill="1" applyBorder="1" applyAlignment="1">
      <alignment horizontal="center" vertical="center"/>
    </xf>
    <xf numFmtId="0" fontId="5" fillId="2" borderId="79" xfId="2" applyFont="1" applyFill="1" applyBorder="1" applyAlignment="1">
      <alignment horizontal="center" vertical="center"/>
    </xf>
    <xf numFmtId="0" fontId="5" fillId="2" borderId="64" xfId="2" applyFont="1" applyFill="1" applyBorder="1" applyAlignment="1">
      <alignment horizontal="center" vertical="center"/>
    </xf>
    <xf numFmtId="0" fontId="5" fillId="2" borderId="27" xfId="2" applyFont="1" applyFill="1" applyBorder="1" applyAlignment="1">
      <alignment horizontal="center" vertical="center"/>
    </xf>
    <xf numFmtId="0" fontId="5" fillId="2" borderId="43" xfId="2" applyFont="1" applyFill="1" applyBorder="1" applyAlignment="1">
      <alignment horizontal="center" vertical="center"/>
    </xf>
    <xf numFmtId="0" fontId="5" fillId="0" borderId="20" xfId="2" applyFont="1" applyBorder="1" applyAlignment="1">
      <alignment horizontal="center" vertical="center" wrapText="1"/>
    </xf>
    <xf numFmtId="0" fontId="5" fillId="0" borderId="21" xfId="2" applyFont="1" applyBorder="1" applyAlignment="1">
      <alignment horizontal="center" vertical="center" wrapText="1"/>
    </xf>
    <xf numFmtId="0" fontId="5" fillId="0" borderId="22" xfId="2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/>
    </xf>
    <xf numFmtId="0" fontId="5" fillId="2" borderId="27" xfId="0" applyFont="1" applyFill="1" applyBorder="1" applyAlignment="1">
      <alignment horizontal="center"/>
    </xf>
    <xf numFmtId="0" fontId="5" fillId="2" borderId="43" xfId="0" applyFont="1" applyFill="1" applyBorder="1" applyAlignment="1">
      <alignment horizontal="center"/>
    </xf>
    <xf numFmtId="0" fontId="5" fillId="2" borderId="64" xfId="0" applyFont="1" applyFill="1" applyBorder="1" applyAlignment="1">
      <alignment horizontal="center" vertical="top"/>
    </xf>
    <xf numFmtId="0" fontId="5" fillId="2" borderId="27" xfId="0" applyFont="1" applyFill="1" applyBorder="1" applyAlignment="1">
      <alignment horizontal="center" vertical="top"/>
    </xf>
    <xf numFmtId="0" fontId="5" fillId="2" borderId="43" xfId="0" applyFont="1" applyFill="1" applyBorder="1" applyAlignment="1">
      <alignment horizontal="center" vertical="top"/>
    </xf>
    <xf numFmtId="0" fontId="5" fillId="2" borderId="64" xfId="2" applyFont="1" applyFill="1" applyBorder="1" applyAlignment="1">
      <alignment horizontal="center" vertical="top" wrapText="1"/>
    </xf>
    <xf numFmtId="0" fontId="5" fillId="2" borderId="27" xfId="2" applyFont="1" applyFill="1" applyBorder="1" applyAlignment="1">
      <alignment horizontal="center" vertical="top" wrapText="1"/>
    </xf>
    <xf numFmtId="0" fontId="5" fillId="2" borderId="43" xfId="2" applyFont="1" applyFill="1" applyBorder="1" applyAlignment="1">
      <alignment horizontal="center" vertical="top" wrapText="1"/>
    </xf>
    <xf numFmtId="0" fontId="5" fillId="2" borderId="78" xfId="2" applyFont="1" applyFill="1" applyBorder="1" applyAlignment="1">
      <alignment horizontal="center" vertical="top" wrapText="1"/>
    </xf>
    <xf numFmtId="0" fontId="5" fillId="2" borderId="42" xfId="2" applyFont="1" applyFill="1" applyBorder="1" applyAlignment="1">
      <alignment horizontal="center" vertical="top" wrapText="1"/>
    </xf>
    <xf numFmtId="0" fontId="5" fillId="2" borderId="79" xfId="2" applyFont="1" applyFill="1" applyBorder="1" applyAlignment="1">
      <alignment horizontal="center" vertical="top" wrapText="1"/>
    </xf>
    <xf numFmtId="0" fontId="29" fillId="0" borderId="0" xfId="0" applyFont="1" applyAlignment="1">
      <alignment horizontal="center"/>
    </xf>
    <xf numFmtId="0" fontId="6" fillId="3" borderId="7" xfId="2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wrapText="1"/>
    </xf>
    <xf numFmtId="0" fontId="3" fillId="2" borderId="7" xfId="0" applyFont="1" applyFill="1" applyBorder="1" applyAlignment="1">
      <alignment horizontal="left" wrapText="1"/>
    </xf>
    <xf numFmtId="0" fontId="5" fillId="2" borderId="59" xfId="0" applyFont="1" applyFill="1" applyBorder="1" applyAlignment="1">
      <alignment horizontal="center"/>
    </xf>
    <xf numFmtId="0" fontId="5" fillId="2" borderId="60" xfId="0" applyFont="1" applyFill="1" applyBorder="1" applyAlignment="1">
      <alignment horizontal="center"/>
    </xf>
    <xf numFmtId="0" fontId="6" fillId="0" borderId="2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3" fillId="2" borderId="0" xfId="3" applyFont="1" applyFill="1" applyAlignment="1">
      <alignment horizontal="center"/>
    </xf>
    <xf numFmtId="0" fontId="6" fillId="2" borderId="1" xfId="3" applyFont="1" applyFill="1" applyBorder="1" applyAlignment="1">
      <alignment horizontal="left"/>
    </xf>
    <xf numFmtId="0" fontId="6" fillId="2" borderId="2" xfId="3" applyFont="1" applyFill="1" applyBorder="1" applyAlignment="1">
      <alignment horizontal="center" vertical="center" wrapText="1"/>
    </xf>
    <xf numFmtId="0" fontId="6" fillId="2" borderId="9" xfId="3" applyFont="1" applyFill="1" applyBorder="1" applyAlignment="1">
      <alignment horizontal="center" vertical="center" wrapText="1"/>
    </xf>
    <xf numFmtId="0" fontId="6" fillId="0" borderId="3" xfId="3" applyFont="1" applyBorder="1" applyAlignment="1">
      <alignment horizontal="center" vertical="center" wrapText="1"/>
    </xf>
    <xf numFmtId="0" fontId="6" fillId="0" borderId="4" xfId="3" applyFont="1" applyBorder="1" applyAlignment="1">
      <alignment horizontal="center" vertical="center" wrapText="1"/>
    </xf>
    <xf numFmtId="0" fontId="6" fillId="0" borderId="5" xfId="3" applyFont="1" applyBorder="1" applyAlignment="1">
      <alignment horizontal="center" vertical="center" wrapText="1"/>
    </xf>
    <xf numFmtId="0" fontId="6" fillId="0" borderId="10" xfId="3" applyFont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 wrapText="1"/>
    </xf>
    <xf numFmtId="0" fontId="6" fillId="0" borderId="11" xfId="3" applyFont="1" applyBorder="1" applyAlignment="1">
      <alignment horizontal="center" vertical="center" wrapText="1"/>
    </xf>
    <xf numFmtId="0" fontId="6" fillId="0" borderId="2" xfId="3" applyFont="1" applyBorder="1" applyAlignment="1">
      <alignment horizontal="center" vertical="center" wrapText="1"/>
    </xf>
    <xf numFmtId="0" fontId="6" fillId="0" borderId="9" xfId="3" applyFont="1" applyBorder="1" applyAlignment="1">
      <alignment horizontal="center" vertical="center" wrapText="1"/>
    </xf>
    <xf numFmtId="43" fontId="6" fillId="0" borderId="2" xfId="3" applyNumberFormat="1" applyFont="1" applyBorder="1" applyAlignment="1">
      <alignment horizontal="center" vertical="center"/>
    </xf>
    <xf numFmtId="43" fontId="6" fillId="0" borderId="9" xfId="3" applyNumberFormat="1" applyFont="1" applyBorder="1" applyAlignment="1">
      <alignment horizontal="center" vertical="center"/>
    </xf>
    <xf numFmtId="0" fontId="6" fillId="0" borderId="6" xfId="3" applyFont="1" applyBorder="1" applyAlignment="1">
      <alignment horizontal="center"/>
    </xf>
    <xf numFmtId="0" fontId="6" fillId="0" borderId="7" xfId="3" applyFont="1" applyBorder="1" applyAlignment="1">
      <alignment horizontal="center"/>
    </xf>
    <xf numFmtId="0" fontId="6" fillId="0" borderId="8" xfId="3" applyFont="1" applyBorder="1" applyAlignment="1">
      <alignment horizontal="center"/>
    </xf>
    <xf numFmtId="49" fontId="18" fillId="2" borderId="7" xfId="3" applyNumberFormat="1" applyFont="1" applyFill="1" applyBorder="1" applyAlignment="1">
      <alignment horizontal="left" vertical="center"/>
    </xf>
    <xf numFmtId="49" fontId="54" fillId="2" borderId="7" xfId="3" applyNumberFormat="1" applyFont="1" applyFill="1" applyBorder="1" applyAlignment="1">
      <alignment horizontal="left" vertical="center"/>
    </xf>
    <xf numFmtId="49" fontId="54" fillId="2" borderId="8" xfId="3" applyNumberFormat="1" applyFont="1" applyFill="1" applyBorder="1" applyAlignment="1">
      <alignment horizontal="left" vertical="center"/>
    </xf>
    <xf numFmtId="0" fontId="5" fillId="2" borderId="59" xfId="2" applyFont="1" applyFill="1" applyBorder="1" applyAlignment="1">
      <alignment horizontal="center" vertical="top" wrapText="1"/>
    </xf>
    <xf numFmtId="0" fontId="5" fillId="2" borderId="60" xfId="2" applyFont="1" applyFill="1" applyBorder="1" applyAlignment="1">
      <alignment horizontal="center" vertical="top" wrapText="1"/>
    </xf>
    <xf numFmtId="0" fontId="5" fillId="2" borderId="61" xfId="2" applyFont="1" applyFill="1" applyBorder="1" applyAlignment="1">
      <alignment horizontal="center" vertical="top" wrapText="1"/>
    </xf>
    <xf numFmtId="0" fontId="5" fillId="2" borderId="102" xfId="2" applyFont="1" applyFill="1" applyBorder="1" applyAlignment="1">
      <alignment horizontal="center" vertical="center" wrapText="1"/>
    </xf>
    <xf numFmtId="0" fontId="5" fillId="2" borderId="99" xfId="2" applyFont="1" applyFill="1" applyBorder="1" applyAlignment="1">
      <alignment horizontal="center" vertical="center" wrapText="1"/>
    </xf>
    <xf numFmtId="0" fontId="5" fillId="2" borderId="100" xfId="2" applyFont="1" applyFill="1" applyBorder="1" applyAlignment="1">
      <alignment horizontal="center" vertical="center" wrapText="1"/>
    </xf>
    <xf numFmtId="0" fontId="5" fillId="2" borderId="101" xfId="2" applyFont="1" applyFill="1" applyBorder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5" fillId="2" borderId="75" xfId="2" applyFont="1" applyFill="1" applyBorder="1" applyAlignment="1">
      <alignment horizontal="center" vertical="center"/>
    </xf>
    <xf numFmtId="0" fontId="6" fillId="7" borderId="240" xfId="2" applyFont="1" applyFill="1" applyBorder="1" applyAlignment="1">
      <alignment horizontal="center" vertical="center"/>
    </xf>
    <xf numFmtId="0" fontId="6" fillId="7" borderId="239" xfId="2" applyFont="1" applyFill="1" applyBorder="1" applyAlignment="1">
      <alignment horizontal="center" vertical="center"/>
    </xf>
    <xf numFmtId="0" fontId="6" fillId="0" borderId="240" xfId="0" applyFont="1" applyBorder="1" applyAlignment="1">
      <alignment horizontal="center"/>
    </xf>
    <xf numFmtId="0" fontId="6" fillId="0" borderId="239" xfId="0" applyFont="1" applyBorder="1" applyAlignment="1">
      <alignment horizontal="center"/>
    </xf>
    <xf numFmtId="15" fontId="5" fillId="2" borderId="101" xfId="2" applyNumberFormat="1" applyFont="1" applyFill="1" applyBorder="1" applyAlignment="1">
      <alignment horizontal="center" vertical="center" wrapText="1"/>
    </xf>
    <xf numFmtId="15" fontId="5" fillId="2" borderId="0" xfId="2" applyNumberFormat="1" applyFont="1" applyFill="1" applyAlignment="1">
      <alignment horizontal="center" vertical="center" wrapText="1"/>
    </xf>
    <xf numFmtId="15" fontId="5" fillId="2" borderId="75" xfId="2" applyNumberFormat="1" applyFont="1" applyFill="1" applyBorder="1" applyAlignment="1">
      <alignment horizontal="center" vertical="center" wrapText="1"/>
    </xf>
    <xf numFmtId="0" fontId="5" fillId="2" borderId="10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75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wrapText="1"/>
    </xf>
    <xf numFmtId="0" fontId="5" fillId="2" borderId="79" xfId="0" applyFont="1" applyFill="1" applyBorder="1" applyAlignment="1">
      <alignment horizontal="center"/>
    </xf>
  </cellXfs>
  <cellStyles count="5">
    <cellStyle name="Comma 2" xfId="4" xr:uid="{00000000-0005-0000-0000-000001000000}"/>
    <cellStyle name="Normal 2" xfId="3" xr:uid="{00000000-0005-0000-0000-000003000000}"/>
    <cellStyle name="จุลภาค" xfId="1" builtinId="3"/>
    <cellStyle name="ปกติ" xfId="0" builtinId="0"/>
    <cellStyle name="ปกติ_Sheet1" xfId="2" xr:uid="{00000000-0005-0000-0000-000004000000}"/>
  </cellStyles>
  <dxfs count="0"/>
  <tableStyles count="0" defaultTableStyle="TableStyleMedium2" defaultPivotStyle="PivotStyleLight16"/>
  <colors>
    <mruColors>
      <color rgb="FFFDA9A9"/>
      <color rgb="FFC4BD97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externalLink" Target="externalLinks/externalLink1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OneDrive\Documents\&#3588;&#3619;&#3640;&#3616;&#3633;&#3603;&#3601;&#3660;%2066%20&#3650;&#3618;&#3608;&#3634;%20&#3611;&#3619;&#3633;&#3610;&#3611;&#3619;&#3640;&#3591;&#3627;&#3609;&#3657;&#3634;&#3591;&#3610;&#3607;&#3619;&#3633;&#3614;&#3618;&#3660;&#3626;&#3636;&#3609;&#3649;&#3621;&#3657;.xlsx" TargetMode="External"/><Relationship Id="rId1" Type="http://schemas.openxmlformats.org/officeDocument/2006/relationships/externalLinkPath" Target="file:///C:\Users\ACER\OneDrive\Documents\&#3588;&#3619;&#3640;&#3616;&#3633;&#3603;&#3601;&#3660;%2066%20&#3650;&#3618;&#3608;&#3634;%20&#3611;&#3619;&#3633;&#3610;&#3611;&#3619;&#3640;&#3591;&#3627;&#3609;&#3657;&#3634;&#3591;&#3610;&#3607;&#3619;&#3633;&#3614;&#3618;&#3660;&#3626;&#3636;&#3609;&#3649;&#3621;&#365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hinkCentre\Desktop\&#3588;&#3619;&#3640;&#3616;&#3633;&#3603;&#3601;&#3660;&#3649;&#3618;&#3585;&#3605;&#3634;&#3617;&#3611;&#3619;&#3632;&#3648;&#3616;&#3607;&#3591;&#3634;&#3609;(&#3605;&#3633;&#3604;&#3592;&#3635;&#3627;&#3609;&#3656;&#3634;&#3618;&#3649;&#3621;&#3657;&#3623;)\1.&#3588;&#3619;&#3640;&#3616;&#3633;&#3603;&#3601;&#3660;&#3626;&#3635;&#3609;&#3633;&#3585;&#3591;&#3634;&#3609;66(&#3605;&#3633;&#3604;&#3649;&#3621;&#3657;&#3623;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hinkCentre\Desktop\&#3588;&#3619;&#3640;&#3616;&#3633;&#3603;&#3601;&#3660;&#3649;&#3618;&#3585;&#3605;&#3634;&#3617;&#3611;&#3619;&#3632;&#3648;&#3616;&#3607;&#3591;&#3634;&#3609;(&#3605;&#3633;&#3604;&#3592;&#3635;&#3627;&#3609;&#3656;&#3634;&#3618;&#3649;&#3621;&#3657;&#3623;)\2.&#3588;&#3619;&#3640;&#3616;&#3633;&#3603;&#3601;&#3660;&#3618;&#3634;&#3609;&#3614;&#3634;&#3627;&#3609;&#3632;&#3649;&#3621;&#3632;&#3586;&#3609;&#3626;&#3656;&#3591;66(&#3605;&#3633;&#3604;&#3649;&#3621;&#3657;&#3623;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hinkCentre\Desktop\&#3588;&#3619;&#3640;&#3616;&#3633;&#3603;&#3601;&#3660;&#3649;&#3618;&#3585;&#3605;&#3634;&#3617;&#3611;&#3619;&#3632;&#3648;&#3616;&#3607;&#3591;&#3634;&#3609;(&#3605;&#3633;&#3604;&#3592;&#3635;&#3627;&#3609;&#3656;&#3634;&#3618;&#3649;&#3621;&#3657;&#3623;)\3.%20&#3588;&#3619;&#3640;&#3616;&#3633;&#3603;&#3601;&#3660;&#3585;&#3634;&#3619;&#3648;&#3585;&#3625;&#3605;&#3619;66(&#3605;&#3633;&#3604;&#3649;&#3621;&#3657;&#3623;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hinkCentre\Desktop\&#3588;&#3619;&#3640;&#3616;&#3633;&#3603;&#3601;&#3660;&#3649;&#3618;&#3585;&#3605;&#3634;&#3617;&#3611;&#3619;&#3632;&#3648;&#3616;&#3607;&#3591;&#3634;&#3609;(&#3605;&#3633;&#3604;&#3592;&#3635;&#3627;&#3609;&#3656;&#3634;&#3618;&#3649;&#3621;&#3657;&#3623;)\4.&#3588;&#3619;&#3640;&#3616;&#3633;&#3603;&#3601;&#3660;&#3585;&#3656;&#3629;&#3626;&#3619;&#3657;&#3634;&#3591;66(&#3605;&#3633;&#3604;&#3649;&#3621;&#3657;&#3623;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hinkCentre\Desktop\&#3588;&#3619;&#3640;&#3616;&#3633;&#3603;&#3601;&#3660;&#3649;&#3618;&#3585;&#3605;&#3634;&#3617;&#3611;&#3619;&#3632;&#3648;&#3616;&#3607;&#3591;&#3634;&#3609;(&#3605;&#3633;&#3604;&#3592;&#3635;&#3627;&#3609;&#3656;&#3634;&#3618;&#3649;&#3621;&#3657;&#3623;)\5.&#3588;&#3619;&#3640;&#3616;&#3633;&#3603;&#3601;&#3660;&#3652;&#3615;&#3615;&#3657;&#3634;&#3649;&#3621;&#3632;&#3623;&#3636;&#3607;&#3618;&#3640;66(&#3605;&#3633;&#3604;&#3649;&#3621;&#3657;&#3623;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hinkCentre\Desktop\&#3588;&#3619;&#3640;&#3616;&#3633;&#3603;&#3601;&#3660;&#3649;&#3618;&#3585;&#3605;&#3634;&#3617;&#3611;&#3619;&#3632;&#3648;&#3616;&#3607;&#3591;&#3634;&#3609;(&#3605;&#3633;&#3604;&#3592;&#3635;&#3627;&#3609;&#3656;&#3634;&#3618;&#3649;&#3621;&#3657;&#3623;)\6.&#3588;&#3619;&#3640;&#3616;&#3633;&#3603;&#3601;&#3660;&#3650;&#3590;&#3625;&#3603;&#3634;&#3649;&#3621;&#3632;&#3648;&#3612;&#3618;&#3649;&#3614;&#3619;&#3656;66(&#3605;&#3633;&#3604;&#3649;&#3621;&#3657;&#3623;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hinkCentre\Desktop\&#3588;&#3619;&#3640;&#3616;&#3633;&#3603;&#3601;&#3660;&#3649;&#3618;&#3585;&#3605;&#3634;&#3617;&#3611;&#3619;&#3632;&#3648;&#3616;&#3607;&#3591;&#3634;&#3609;(&#3605;&#3633;&#3604;&#3592;&#3635;&#3627;&#3609;&#3656;&#3634;&#3618;&#3649;&#3621;&#3657;&#3623;)\7.&#3588;&#3619;&#3640;&#3616;&#3633;&#3603;&#3601;&#3660;&#3623;&#3636;&#3607;&#3618;&#3634;&#3624;&#3634;&#3626;&#3605;&#3619;&#3660;&#3649;&#3621;&#3632;&#3585;&#3634;&#3619;&#3649;&#3614;&#3607;&#3618;&#3660;66(&#3605;&#3633;&#3604;&#3649;&#3621;&#3657;&#3623;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hinkCentre\Desktop\&#3588;&#3619;&#3640;&#3616;&#3633;&#3603;&#3601;&#3660;&#3649;&#3618;&#3585;&#3605;&#3634;&#3617;&#3611;&#3619;&#3632;&#3648;&#3616;&#3607;&#3591;&#3634;&#3609;(&#3605;&#3633;&#3604;&#3592;&#3635;&#3627;&#3609;&#3656;&#3634;&#3618;&#3649;&#3621;&#3657;&#3623;)\8.&#3588;&#3619;&#3640;&#3616;&#3633;&#3603;&#3601;&#3660;&#3591;&#3634;&#3609;&#3610;&#3657;&#3634;&#3609;&#3591;&#3634;&#3609;&#3588;&#3619;&#3633;&#3623;66(&#3605;&#3633;&#3604;&#3649;&#3621;&#3657;&#3623;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hinkCentre\Desktop\&#3588;&#3619;&#3640;&#3616;&#3633;&#3603;&#3601;&#3660;&#3649;&#3618;&#3585;&#3605;&#3634;&#3617;&#3611;&#3619;&#3632;&#3648;&#3616;&#3607;&#3591;&#3634;&#3609;(&#3605;&#3633;&#3604;&#3592;&#3635;&#3627;&#3609;&#3656;&#3634;&#3618;&#3649;&#3621;&#3657;&#3623;)\9.&#3588;&#3619;&#3640;&#3616;&#3633;&#3603;&#3601;&#3660;&#3650;&#3619;&#3591;&#3591;&#3634;&#3609;66(&#3605;&#3633;&#3604;&#3649;&#3621;&#3657;&#3623;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hinkCentre\Desktop\&#3588;&#3619;&#3640;&#3616;&#3633;&#3603;&#3601;&#3660;&#3649;&#3618;&#3585;&#3605;&#3634;&#3617;&#3611;&#3619;&#3632;&#3648;&#3616;&#3607;&#3591;&#3634;&#3609;(&#3605;&#3633;&#3604;&#3592;&#3635;&#3627;&#3609;&#3656;&#3634;&#3618;&#3649;&#3621;&#3657;&#3623;)\12.&#3588;&#3619;&#3640;&#3616;&#3633;&#3603;&#3601;&#3660;&#3588;&#3629;&#3617;&#3614;&#3636;&#3623;&#3648;&#3605;&#3629;&#3619;&#3660;66(&#3605;&#3633;&#3604;&#3649;&#3621;&#3657;&#3623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รวมงบทรัพย์สินทั้งหมด"/>
      <sheetName val="รวมงบทรัพย์สินทั้งหมด (2)"/>
      <sheetName val="ที่ดินและสิ่งก่อสร้าง"/>
      <sheetName val="ครุภัณฑ์ต่ำกว่าเกณฑ์"/>
      <sheetName val="ชำรุด_จำหน่าย"/>
      <sheetName val="1.ครุภัณฑ์สำนักงาน"/>
      <sheetName val="3.ครุภัณฑ์ยานฯ"/>
      <sheetName val="4.ครุภัณฑ์การเกษตร"/>
      <sheetName val="5.ครุภัณฑ์ก่อสร้าง"/>
      <sheetName val="6.ครุภัณฑ์ไฟฟ้าฯ-89"/>
      <sheetName val="ไฟสัญญาณจราจร สาธารณะ"/>
      <sheetName val="7. ครุภัณฑ์โฆษณาและเผยแพร่"/>
      <sheetName val="8.ครุภัณฑ์วิทยาศาสตร์ฯ"/>
      <sheetName val="9.ครุภัณฑ์งานบ้านฯ"/>
      <sheetName val="10.ครุภัณฑ์โรงงาน"/>
      <sheetName val="11.ครุภัณฑ์กีฬา"/>
      <sheetName val="12.ครุภัณฑ์สำรวจ"/>
      <sheetName val="14.ครุภัณฑ์คอมฯ"/>
      <sheetName val="16.ครุภัณฑ์อื่น"/>
    </sheetNames>
    <sheetDataSet>
      <sheetData sheetId="0"/>
      <sheetData sheetId="1"/>
      <sheetData sheetId="2"/>
      <sheetData sheetId="3">
        <row r="22">
          <cell r="A22">
            <v>6</v>
          </cell>
        </row>
        <row r="27">
          <cell r="A27">
            <v>1</v>
          </cell>
        </row>
        <row r="64">
          <cell r="G64">
            <v>30000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3">
          <cell r="G13">
            <v>101168.5</v>
          </cell>
        </row>
      </sheetData>
      <sheetData sheetId="13">
        <row r="21">
          <cell r="G21">
            <v>6585</v>
          </cell>
        </row>
      </sheetData>
      <sheetData sheetId="14"/>
      <sheetData sheetId="15"/>
      <sheetData sheetId="16"/>
      <sheetData sheetId="17"/>
      <sheetData sheetId="18"/>
      <sheetData sheetId="19">
        <row r="9">
          <cell r="G9">
            <v>170000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ครุภัณฑ์สำนักงาน (รวมทุกงาน)"/>
      <sheetName val="งานธุรการ"/>
      <sheetName val="งานบำรุงรักษาอาคารและสถานที่"/>
      <sheetName val="งานบำรุงรักษาทางและสะพาน"/>
      <sheetName val="งานสวนสาธารณะ"/>
      <sheetName val="กลุ่มงานเครื่องจักรกล"/>
      <sheetName val="ฝ่ายช่างสุขาภิบาลขยะมูลฝอยและสิ"/>
      <sheetName val="ฝ่ายช่างสุขาภิบาล(รวม)"/>
      <sheetName val="สุขาภิบาลงานเครื่องจักรและซ่อม"/>
      <sheetName val="ช่างสุขาภิบาล งานซ่อมแซมและบำรุ"/>
      <sheetName val="ฝ่ายช่างสุขาภิบาล งานกำจัดขยะมู"/>
      <sheetName val="ฝ่ายช่างสุขาภิบาล ควบคุมและตรวจ"/>
      <sheetName val="งานแบบแผนและก่อร้าง"/>
      <sheetName val="งานไฟฟ้าสาธารณะ"/>
      <sheetName val="ฝ่ายช่างสุขาภิบาล คุณภาพน้ำ"/>
      <sheetName val="Sheet4"/>
    </sheetNames>
    <sheetDataSet>
      <sheetData sheetId="0"/>
      <sheetData sheetId="1">
        <row r="87">
          <cell r="G87">
            <v>487332</v>
          </cell>
        </row>
      </sheetData>
      <sheetData sheetId="2">
        <row r="833">
          <cell r="G833">
            <v>1420092</v>
          </cell>
        </row>
      </sheetData>
      <sheetData sheetId="3">
        <row r="13">
          <cell r="G13">
            <v>15500</v>
          </cell>
        </row>
      </sheetData>
      <sheetData sheetId="4">
        <row r="297">
          <cell r="G297">
            <v>1866973.3800000004</v>
          </cell>
        </row>
      </sheetData>
      <sheetData sheetId="5">
        <row r="32">
          <cell r="G32">
            <v>142170</v>
          </cell>
        </row>
      </sheetData>
      <sheetData sheetId="6"/>
      <sheetData sheetId="7">
        <row r="89">
          <cell r="G89">
            <v>277556</v>
          </cell>
        </row>
      </sheetData>
      <sheetData sheetId="8">
        <row r="16">
          <cell r="G16">
            <v>8566</v>
          </cell>
        </row>
      </sheetData>
      <sheetData sheetId="9">
        <row r="11">
          <cell r="G11">
            <v>22200</v>
          </cell>
        </row>
      </sheetData>
      <sheetData sheetId="10">
        <row r="69">
          <cell r="G69">
            <v>235890</v>
          </cell>
        </row>
      </sheetData>
      <sheetData sheetId="11"/>
      <sheetData sheetId="12"/>
      <sheetData sheetId="13"/>
      <sheetData sheetId="14">
        <row r="14">
          <cell r="G14">
            <v>9700</v>
          </cell>
        </row>
      </sheetData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ครุภัณฑ์ยานพาหนะฯ (รวมทุกงาน)"/>
      <sheetName val="งานธุรการ"/>
      <sheetName val="ฝ่ายสาธารณูปโภค (รวม)"/>
      <sheetName val="งานบำรุงรักษาทางและสะพาน"/>
      <sheetName val="ฝ่ายสาธารณูปโภค บำรุงรักษาอาคาร"/>
      <sheetName val="งานสวนสาธารณะ"/>
      <sheetName val="งานเครื่องจักรกล"/>
      <sheetName val="ฝ่ายช่างสุขาภิบาลงานเครื่องจักร"/>
      <sheetName val="ฝ่ายช่างสุขาภิบาลงานซ่อมแซม"/>
    </sheetNames>
    <sheetDataSet>
      <sheetData sheetId="0"/>
      <sheetData sheetId="1">
        <row r="12">
          <cell r="E12">
            <v>124900</v>
          </cell>
        </row>
      </sheetData>
      <sheetData sheetId="2"/>
      <sheetData sheetId="3">
        <row r="35">
          <cell r="G35">
            <v>10362880</v>
          </cell>
        </row>
      </sheetData>
      <sheetData sheetId="4"/>
      <sheetData sheetId="5">
        <row r="33">
          <cell r="G33">
            <v>10071872</v>
          </cell>
        </row>
      </sheetData>
      <sheetData sheetId="6">
        <row r="78">
          <cell r="G78">
            <v>21542190.329999998</v>
          </cell>
        </row>
      </sheetData>
      <sheetData sheetId="7">
        <row r="11">
          <cell r="G11">
            <v>234000</v>
          </cell>
        </row>
      </sheetData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 ครุภัณฑ์การเกษตร(รวมทุกงาน)"/>
      <sheetName val="ฝ่ายสาธารณูปโภค บำรุงรักษาอาคาร"/>
      <sheetName val="งานสวนสาธารณะ"/>
      <sheetName val="ฝ่ายช่างสุขาภิบาล รวม"/>
      <sheetName val=" ฝ่ายช่างสุขาภิบาล งานซ่อมแซมแล"/>
      <sheetName val="งานแบบแผนและก่อสร้าง"/>
      <sheetName val="ฝ่ายช่างสุขาภิบาล งานกำจัดขยะมู"/>
    </sheetNames>
    <sheetDataSet>
      <sheetData sheetId="0"/>
      <sheetData sheetId="1">
        <row r="13">
          <cell r="G13">
            <v>29000</v>
          </cell>
        </row>
      </sheetData>
      <sheetData sheetId="2">
        <row r="135">
          <cell r="G135">
            <v>10287291.810000001</v>
          </cell>
        </row>
      </sheetData>
      <sheetData sheetId="3"/>
      <sheetData sheetId="4">
        <row r="21">
          <cell r="G21">
            <v>635300</v>
          </cell>
        </row>
      </sheetData>
      <sheetData sheetId="5"/>
      <sheetData sheetId="6">
        <row r="17">
          <cell r="G17">
            <v>1833620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.ครุภัณฑ์ก่อสร้าง"/>
      <sheetName val="ฝ่ายสาธารณูปโภค รวม"/>
      <sheetName val="ฝ่ายสาธารณูปโภค บำรุงรักษาทาง"/>
      <sheetName val="ฝ่ายสาธารณูปโภค งานบำรุงรักษาอา"/>
      <sheetName val="งานแบบแผนและก่อสร้าง"/>
      <sheetName val="กลุ่มงานเครื่องจักรกล"/>
      <sheetName val="งานสวนสาธารณะ"/>
      <sheetName val="ฝ่ายช่างสุขาภิบาลเครื่องจักรและ"/>
    </sheetNames>
    <sheetDataSet>
      <sheetData sheetId="0"/>
      <sheetData sheetId="1">
        <row r="65">
          <cell r="G65">
            <v>30119400</v>
          </cell>
        </row>
      </sheetData>
      <sheetData sheetId="2"/>
      <sheetData sheetId="3"/>
      <sheetData sheetId="4"/>
      <sheetData sheetId="5">
        <row r="15">
          <cell r="G15">
            <v>61800</v>
          </cell>
        </row>
      </sheetData>
      <sheetData sheetId="6">
        <row r="19">
          <cell r="G19">
            <v>111020</v>
          </cell>
        </row>
      </sheetData>
      <sheetData sheetId="7">
        <row r="44">
          <cell r="G44">
            <v>19118040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. ครุภัณฑ์ไฟฟ้าฯ"/>
      <sheetName val="งานศูนย์เครื่องจักรกล"/>
      <sheetName val="งานไฟสาธารณะ "/>
      <sheetName val="งานไฟสาธารณะ ต่ำกว่าเกณฑ์"/>
      <sheetName val="ฝ่ายสาธารณูปโภค (รวม)"/>
      <sheetName val="ฝ่ายสาธารณูปโภค ทางและสะพาน"/>
      <sheetName val="ฝ่ายสาธารณูปโภค  อาคารและสถานที"/>
      <sheetName val="ฝ่ายสาธารณูปโภค งานไฟฟ้าสาธารณะ"/>
      <sheetName val="งานสวนสาธารณะ"/>
      <sheetName val="สุขาภิบาล งานซ่อมแซมและบำรุงรัก"/>
    </sheetNames>
    <sheetDataSet>
      <sheetData sheetId="0"/>
      <sheetData sheetId="1"/>
      <sheetData sheetId="2"/>
      <sheetData sheetId="3"/>
      <sheetData sheetId="4">
        <row r="2548">
          <cell r="G2548">
            <v>18619269.700000018</v>
          </cell>
        </row>
      </sheetData>
      <sheetData sheetId="5"/>
      <sheetData sheetId="6"/>
      <sheetData sheetId="7"/>
      <sheetData sheetId="8">
        <row r="320">
          <cell r="G320">
            <v>4385149.9999999981</v>
          </cell>
        </row>
      </sheetData>
      <sheetData sheetId="9">
        <row r="10">
          <cell r="G10">
            <v>189000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 ครุภัณฑ์โฆษณาและเผยแพร่"/>
      <sheetName val="งานสวนสาธารณะ"/>
      <sheetName val="ฝ่ายช่างสุขาภิบาล งานกำจัดขยะฯ"/>
    </sheetNames>
    <sheetDataSet>
      <sheetData sheetId="0"/>
      <sheetData sheetId="1">
        <row r="17">
          <cell r="G17">
            <v>163763.5</v>
          </cell>
        </row>
      </sheetData>
      <sheetData sheetId="2">
        <row r="25">
          <cell r="G25">
            <v>124000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.ครุภัณฑ์วิทยาศาสตร์ฯ"/>
      <sheetName val="งานแบบแผนและก่อสร้าง"/>
      <sheetName val="ฝ่ายสวนสาธารณะ"/>
      <sheetName val="สุขาภิบาล งานวิเคราะห์คุณภาพน้ำ"/>
      <sheetName val="งานธุการ"/>
    </sheetNames>
    <sheetDataSet>
      <sheetData sheetId="0"/>
      <sheetData sheetId="1"/>
      <sheetData sheetId="2">
        <row r="11">
          <cell r="G11">
            <v>6585</v>
          </cell>
        </row>
      </sheetData>
      <sheetData sheetId="3">
        <row r="15">
          <cell r="G15">
            <v>381320</v>
          </cell>
        </row>
      </sheetData>
      <sheetData sheetId="4">
        <row r="10">
          <cell r="G10">
            <v>3440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ครุภัณฑ์งานบ้านฯ"/>
      <sheetName val="งานธุรการ"/>
      <sheetName val="ฝ่ายสาธารณูปโภค ไฟฟ้าสาธารณะ"/>
      <sheetName val="ฝ่ายสาธารณูปโภค ทางและสะพาน"/>
      <sheetName val="ฝ่ายสวนสาธารณะ"/>
      <sheetName val="ฝ่ายช่างสุขาภิบาล งานกำจัดขยะมู"/>
      <sheetName val="ฝ่ายช่างสุขาภิบาล งานซ่อมแซมและ"/>
    </sheetNames>
    <sheetDataSet>
      <sheetData sheetId="0"/>
      <sheetData sheetId="1">
        <row r="10">
          <cell r="G10">
            <v>6900</v>
          </cell>
        </row>
      </sheetData>
      <sheetData sheetId="2">
        <row r="9">
          <cell r="G9">
            <v>3200</v>
          </cell>
        </row>
      </sheetData>
      <sheetData sheetId="3"/>
      <sheetData sheetId="4">
        <row r="58">
          <cell r="G58">
            <v>637681.25</v>
          </cell>
        </row>
      </sheetData>
      <sheetData sheetId="5">
        <row r="14">
          <cell r="G14">
            <v>18700</v>
          </cell>
        </row>
      </sheetData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.ครุภัณฑ์โรงงาน"/>
      <sheetName val="งานแบบแผนและก่อสร้าง"/>
      <sheetName val="งานบำรุงรักษาทางและสะพาน"/>
      <sheetName val=" สาธารณูปโภค บำรุงรักษาอาคารฯ"/>
      <sheetName val="ฝ่ายสวนสาธารณะ"/>
      <sheetName val="กลุ่มงานเครื่องจักรกล"/>
      <sheetName val="ฝ่ายช่างสุขาภิบาล งานซ่อมแซมและ"/>
      <sheetName val="ฝ่ายช่างสุขาภิบาล งานกำจัดขยะฯ"/>
    </sheetNames>
    <sheetDataSet>
      <sheetData sheetId="0"/>
      <sheetData sheetId="1"/>
      <sheetData sheetId="2"/>
      <sheetData sheetId="3">
        <row r="21">
          <cell r="G21">
            <v>125990</v>
          </cell>
        </row>
      </sheetData>
      <sheetData sheetId="4">
        <row r="20">
          <cell r="G20">
            <v>50000</v>
          </cell>
        </row>
      </sheetData>
      <sheetData sheetId="5">
        <row r="61">
          <cell r="G61">
            <v>424318</v>
          </cell>
        </row>
      </sheetData>
      <sheetData sheetId="6">
        <row r="27">
          <cell r="G27">
            <v>130800</v>
          </cell>
        </row>
      </sheetData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ครุภัณฑ์คอมฯ"/>
      <sheetName val="งานแบบแผนและก่อสร้าง"/>
      <sheetName val="งานธุรการ"/>
      <sheetName val=" ฝ่ายสาธารณูปโภค ทางและสะพาน"/>
      <sheetName val="ฝ่ายสาธารณูปโภค อาคารและสถานที่"/>
      <sheetName val="ฝ่ายส่วนสาธารณะ"/>
      <sheetName val="กลุ่มงานเครื่องจักรกล"/>
      <sheetName val="ฝ่ายช่างสุขาภิบาล  (รวม)"/>
      <sheetName val="สุขาภิบาล งานจำกัดขยะมูลฝอยฯ"/>
      <sheetName val="สุขาภิบาล งานบำบัดน้ำเสีย"/>
      <sheetName val="สุขาภิบาล งานซ่อมแซมและบำรุงรัก"/>
    </sheetNames>
    <sheetDataSet>
      <sheetData sheetId="0"/>
      <sheetData sheetId="1"/>
      <sheetData sheetId="2">
        <row r="29">
          <cell r="G29">
            <v>260584</v>
          </cell>
        </row>
      </sheetData>
      <sheetData sheetId="3">
        <row r="9">
          <cell r="G9">
            <v>4000</v>
          </cell>
        </row>
      </sheetData>
      <sheetData sheetId="4"/>
      <sheetData sheetId="5">
        <row r="58">
          <cell r="G58">
            <v>405671.78</v>
          </cell>
        </row>
      </sheetData>
      <sheetData sheetId="6">
        <row r="11">
          <cell r="G11">
            <v>21500</v>
          </cell>
        </row>
      </sheetData>
      <sheetData sheetId="7">
        <row r="27">
          <cell r="G27">
            <v>187944.1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O214"/>
  <sheetViews>
    <sheetView topLeftCell="A174" zoomScaleNormal="100" workbookViewId="0">
      <selection activeCell="L175" sqref="L175"/>
    </sheetView>
  </sheetViews>
  <sheetFormatPr defaultColWidth="9.109375" defaultRowHeight="13.8" x14ac:dyDescent="0.3"/>
  <cols>
    <col min="1" max="1" width="3.5546875" style="1612" bestFit="1" customWidth="1"/>
    <col min="2" max="2" width="32.44140625" style="1612" customWidth="1"/>
    <col min="3" max="3" width="5.5546875" style="2447" customWidth="1"/>
    <col min="4" max="4" width="9" style="1612" bestFit="1" customWidth="1"/>
    <col min="5" max="5" width="14.44140625" style="2453" bestFit="1" customWidth="1"/>
    <col min="6" max="6" width="8.109375" style="1612" customWidth="1"/>
    <col min="7" max="7" width="11.5546875" style="2453" bestFit="1" customWidth="1"/>
    <col min="8" max="8" width="11.88671875" style="1612" customWidth="1"/>
    <col min="9" max="9" width="9.44140625" style="2451" customWidth="1"/>
    <col min="10" max="10" width="13.109375" style="1612" customWidth="1"/>
    <col min="11" max="11" width="9.109375" style="1612"/>
    <col min="12" max="12" width="15.5546875" style="1612" customWidth="1"/>
    <col min="13" max="16384" width="9.109375" style="1612"/>
  </cols>
  <sheetData>
    <row r="1" spans="1:9" ht="21.9" customHeight="1" x14ac:dyDescent="0.4">
      <c r="A1" s="2830" t="s">
        <v>5916</v>
      </c>
      <c r="B1" s="2830"/>
      <c r="C1" s="2830"/>
      <c r="D1" s="2830"/>
      <c r="E1" s="2830"/>
      <c r="F1" s="2830"/>
      <c r="G1" s="2830"/>
      <c r="H1" s="2830"/>
      <c r="I1" s="2830"/>
    </row>
    <row r="2" spans="1:9" ht="21.9" customHeight="1" x14ac:dyDescent="0.4">
      <c r="A2" s="2830" t="s">
        <v>5917</v>
      </c>
      <c r="B2" s="2830"/>
      <c r="C2" s="2830"/>
      <c r="D2" s="2830"/>
      <c r="E2" s="2830"/>
      <c r="F2" s="2830"/>
      <c r="G2" s="2830"/>
      <c r="H2" s="2830"/>
      <c r="I2" s="2830"/>
    </row>
    <row r="3" spans="1:9" ht="21.9" customHeight="1" x14ac:dyDescent="0.4">
      <c r="A3" s="2831" t="s">
        <v>6087</v>
      </c>
      <c r="B3" s="2831"/>
      <c r="C3" s="2831"/>
      <c r="D3" s="2831"/>
      <c r="E3" s="2831"/>
      <c r="F3" s="2831"/>
      <c r="G3" s="2831"/>
      <c r="H3" s="2831"/>
      <c r="I3" s="2831"/>
    </row>
    <row r="4" spans="1:9" ht="21.9" customHeight="1" x14ac:dyDescent="0.4">
      <c r="A4" s="2832" t="s">
        <v>5918</v>
      </c>
      <c r="B4" s="2833"/>
      <c r="C4" s="2836" t="s">
        <v>5919</v>
      </c>
      <c r="D4" s="2838" t="s">
        <v>5920</v>
      </c>
      <c r="E4" s="2838"/>
      <c r="F4" s="2838" t="s">
        <v>5921</v>
      </c>
      <c r="G4" s="2838"/>
      <c r="H4" s="2454" t="s">
        <v>10</v>
      </c>
      <c r="I4" s="2455" t="s">
        <v>5922</v>
      </c>
    </row>
    <row r="5" spans="1:9" ht="21.9" customHeight="1" x14ac:dyDescent="0.3">
      <c r="A5" s="2834"/>
      <c r="B5" s="2835"/>
      <c r="C5" s="2837"/>
      <c r="D5" s="2493" t="s">
        <v>5923</v>
      </c>
      <c r="E5" s="2494" t="s">
        <v>5924</v>
      </c>
      <c r="F5" s="2493" t="s">
        <v>5923</v>
      </c>
      <c r="G5" s="2495" t="s">
        <v>5924</v>
      </c>
      <c r="H5" s="2496"/>
      <c r="I5" s="2497"/>
    </row>
    <row r="6" spans="1:9" ht="21.9" customHeight="1" x14ac:dyDescent="0.35">
      <c r="A6" s="2456" t="s">
        <v>5925</v>
      </c>
      <c r="B6" s="2457" t="s">
        <v>5926</v>
      </c>
      <c r="C6" s="2498"/>
      <c r="D6" s="2499"/>
      <c r="E6" s="2500"/>
      <c r="F6" s="2499"/>
      <c r="G6" s="2500"/>
      <c r="H6" s="2499"/>
      <c r="I6" s="2500"/>
    </row>
    <row r="7" spans="1:9" ht="21.9" customHeight="1" x14ac:dyDescent="0.35">
      <c r="A7" s="2458">
        <v>1</v>
      </c>
      <c r="B7" s="2459" t="s">
        <v>5927</v>
      </c>
      <c r="C7" s="2501" t="s">
        <v>6088</v>
      </c>
      <c r="D7" s="2502">
        <v>1</v>
      </c>
      <c r="E7" s="2503">
        <f>'16.ที่ดินและสิ่งก่อสร้าง'!G8</f>
        <v>5337885</v>
      </c>
      <c r="F7" s="2502" t="s">
        <v>5928</v>
      </c>
      <c r="G7" s="2504" t="s">
        <v>5928</v>
      </c>
      <c r="H7" s="2502"/>
      <c r="I7" s="2504"/>
    </row>
    <row r="8" spans="1:9" ht="21.9" customHeight="1" x14ac:dyDescent="0.35">
      <c r="A8" s="2458">
        <v>2</v>
      </c>
      <c r="B8" s="2459" t="s">
        <v>5929</v>
      </c>
      <c r="C8" s="2501"/>
      <c r="D8" s="2502"/>
      <c r="E8" s="2503"/>
      <c r="F8" s="2502"/>
      <c r="G8" s="2505"/>
      <c r="H8" s="2502"/>
      <c r="I8" s="2505"/>
    </row>
    <row r="9" spans="1:9" ht="21.9" customHeight="1" x14ac:dyDescent="0.35">
      <c r="A9" s="2458"/>
      <c r="B9" s="2459" t="s">
        <v>5930</v>
      </c>
      <c r="C9" s="2506" t="s">
        <v>1159</v>
      </c>
      <c r="D9" s="2502">
        <v>6</v>
      </c>
      <c r="E9" s="2503">
        <f>'16.ที่ดินและสิ่งก่อสร้าง'!G17</f>
        <v>5838015.3900000006</v>
      </c>
      <c r="F9" s="2502"/>
      <c r="G9" s="2505"/>
      <c r="H9" s="2502"/>
      <c r="I9" s="2505"/>
    </row>
    <row r="10" spans="1:9" ht="21.9" customHeight="1" x14ac:dyDescent="0.35">
      <c r="A10" s="2458"/>
      <c r="B10" s="2459" t="s">
        <v>5931</v>
      </c>
      <c r="C10" s="2506" t="s">
        <v>5786</v>
      </c>
      <c r="D10" s="2502">
        <f>[1]ที่ดินและสิ่งก่อสร้าง!A22</f>
        <v>6</v>
      </c>
      <c r="E10" s="2507">
        <f>'16.ที่ดินและสิ่งก่อสร้าง'!G25</f>
        <v>12456000</v>
      </c>
      <c r="F10" s="2502"/>
      <c r="G10" s="2505"/>
      <c r="H10" s="2502"/>
      <c r="I10" s="2505"/>
    </row>
    <row r="11" spans="1:9" ht="21.9" customHeight="1" x14ac:dyDescent="0.35">
      <c r="A11" s="2458"/>
      <c r="B11" s="2459" t="s">
        <v>5932</v>
      </c>
      <c r="C11" s="2506" t="s">
        <v>1300</v>
      </c>
      <c r="D11" s="2502">
        <f>[1]ที่ดินและสิ่งก่อสร้าง!A27</f>
        <v>1</v>
      </c>
      <c r="E11" s="2503">
        <f>'16.ที่ดินและสิ่งก่อสร้าง'!G31</f>
        <v>2767434.8</v>
      </c>
      <c r="F11" s="2502"/>
      <c r="G11" s="2505"/>
      <c r="H11" s="2502"/>
      <c r="I11" s="2505"/>
    </row>
    <row r="12" spans="1:9" ht="21.9" customHeight="1" x14ac:dyDescent="0.35">
      <c r="A12" s="2458">
        <v>3</v>
      </c>
      <c r="B12" s="2459" t="s">
        <v>5933</v>
      </c>
      <c r="C12" s="2501"/>
      <c r="D12" s="2502"/>
      <c r="E12" s="2503"/>
      <c r="F12" s="2502"/>
      <c r="G12" s="2505"/>
      <c r="H12" s="2502"/>
      <c r="I12" s="2505"/>
    </row>
    <row r="13" spans="1:9" ht="21.9" customHeight="1" x14ac:dyDescent="0.35">
      <c r="A13" s="2458"/>
      <c r="B13" s="2459" t="s">
        <v>5934</v>
      </c>
      <c r="C13" s="2501"/>
      <c r="D13" s="2502"/>
      <c r="E13" s="2503"/>
      <c r="F13" s="2502"/>
      <c r="G13" s="2505"/>
      <c r="H13" s="2502"/>
      <c r="I13" s="2505"/>
    </row>
    <row r="14" spans="1:9" ht="21.9" customHeight="1" x14ac:dyDescent="0.35">
      <c r="A14" s="2458"/>
      <c r="B14" s="2459" t="s">
        <v>5935</v>
      </c>
      <c r="C14" s="2506" t="s">
        <v>764</v>
      </c>
      <c r="D14" s="2502">
        <v>1</v>
      </c>
      <c r="E14" s="2503">
        <f>'16.ที่ดินและสิ่งก่อสร้าง'!G35</f>
        <v>6817490.75</v>
      </c>
      <c r="F14" s="2502"/>
      <c r="G14" s="2505"/>
      <c r="H14" s="2502"/>
      <c r="I14" s="2505"/>
    </row>
    <row r="15" spans="1:9" ht="21.9" customHeight="1" x14ac:dyDescent="0.35">
      <c r="A15" s="2458"/>
      <c r="B15" s="2459" t="s">
        <v>5936</v>
      </c>
      <c r="C15" s="2506" t="s">
        <v>5803</v>
      </c>
      <c r="D15" s="2502">
        <v>7</v>
      </c>
      <c r="E15" s="2503">
        <f>'16.ที่ดินและสิ่งก่อสร้าง'!G44</f>
        <v>2450103.5300000003</v>
      </c>
      <c r="F15" s="2502"/>
      <c r="G15" s="2505"/>
      <c r="H15" s="2502"/>
      <c r="I15" s="2505"/>
    </row>
    <row r="16" spans="1:9" ht="21.9" customHeight="1" x14ac:dyDescent="0.35">
      <c r="A16" s="2458"/>
      <c r="B16" s="2459" t="s">
        <v>5937</v>
      </c>
      <c r="C16" s="2501">
        <v>187</v>
      </c>
      <c r="D16" s="2502">
        <v>3</v>
      </c>
      <c r="E16" s="2503">
        <f>'16.ที่ดินและสิ่งก่อสร้าง'!G50</f>
        <v>2490808.46</v>
      </c>
      <c r="F16" s="2502"/>
      <c r="G16" s="2505"/>
      <c r="H16" s="2502"/>
      <c r="I16" s="2505"/>
    </row>
    <row r="17" spans="1:12" ht="21.9" customHeight="1" x14ac:dyDescent="0.35">
      <c r="A17" s="2458"/>
      <c r="B17" s="2459" t="s">
        <v>5938</v>
      </c>
      <c r="C17" s="2501"/>
      <c r="D17" s="2502"/>
      <c r="E17" s="2503"/>
      <c r="F17" s="2502"/>
      <c r="G17" s="2505"/>
      <c r="H17" s="2502"/>
      <c r="I17" s="2505"/>
    </row>
    <row r="18" spans="1:12" ht="21.9" customHeight="1" x14ac:dyDescent="0.35">
      <c r="A18" s="2458"/>
      <c r="B18" s="2508" t="s">
        <v>5939</v>
      </c>
      <c r="C18" s="2501">
        <v>183</v>
      </c>
      <c r="D18" s="2502">
        <v>1</v>
      </c>
      <c r="E18" s="2503">
        <f>'16.ที่ดินและสิ่งก่อสร้าง'!G53</f>
        <v>20000</v>
      </c>
      <c r="F18" s="2502"/>
      <c r="G18" s="2505"/>
      <c r="H18" s="2502"/>
      <c r="I18" s="2505"/>
    </row>
    <row r="19" spans="1:12" ht="21.9" customHeight="1" x14ac:dyDescent="0.35">
      <c r="A19" s="2458"/>
      <c r="B19" s="2508" t="s">
        <v>5940</v>
      </c>
      <c r="C19" s="2501">
        <v>184</v>
      </c>
      <c r="D19" s="2502">
        <v>3</v>
      </c>
      <c r="E19" s="2503">
        <f>'16.ที่ดินและสิ่งก่อสร้าง'!G58</f>
        <v>421648</v>
      </c>
      <c r="F19" s="2502"/>
      <c r="G19" s="2505"/>
      <c r="H19" s="2502"/>
      <c r="I19" s="2505"/>
    </row>
    <row r="20" spans="1:12" ht="21.9" customHeight="1" x14ac:dyDescent="0.4">
      <c r="A20" s="2460"/>
      <c r="B20" s="2509" t="s">
        <v>6075</v>
      </c>
      <c r="C20" s="2510">
        <v>191</v>
      </c>
      <c r="D20" s="2511">
        <v>1</v>
      </c>
      <c r="E20" s="2512">
        <f>'16.ที่ดินและสิ่งก่อสร้าง'!G60</f>
        <v>8700000</v>
      </c>
      <c r="F20" s="2511"/>
      <c r="G20" s="2513"/>
      <c r="H20" s="2511"/>
      <c r="I20" s="2514"/>
      <c r="J20" s="2301"/>
      <c r="L20" s="2448"/>
    </row>
    <row r="21" spans="1:12" ht="21.9" customHeight="1" x14ac:dyDescent="0.35">
      <c r="A21" s="2458"/>
      <c r="B21" s="2508" t="s">
        <v>6076</v>
      </c>
      <c r="C21" s="2501">
        <v>256</v>
      </c>
      <c r="D21" s="2502">
        <v>1</v>
      </c>
      <c r="E21" s="2515">
        <f>'16.ที่ดินและสิ่งก่อสร้าง'!G65</f>
        <v>120000</v>
      </c>
      <c r="F21" s="2502"/>
      <c r="G21" s="2516"/>
      <c r="H21" s="2502"/>
      <c r="I21" s="2505"/>
    </row>
    <row r="22" spans="1:12" ht="21.9" customHeight="1" x14ac:dyDescent="0.35">
      <c r="A22" s="2458"/>
      <c r="B22" s="2508" t="s">
        <v>6077</v>
      </c>
      <c r="C22" s="2501">
        <v>273</v>
      </c>
      <c r="D22" s="2502">
        <v>1</v>
      </c>
      <c r="E22" s="2515">
        <f>[1]ที่ดินและสิ่งก่อสร้าง!G64</f>
        <v>30000</v>
      </c>
      <c r="F22" s="2502"/>
      <c r="G22" s="2516"/>
      <c r="H22" s="2502"/>
      <c r="I22" s="2505"/>
    </row>
    <row r="23" spans="1:12" ht="21.9" customHeight="1" x14ac:dyDescent="0.35">
      <c r="A23" s="2458"/>
      <c r="B23" s="2459" t="s">
        <v>6078</v>
      </c>
      <c r="C23" s="2517">
        <v>281</v>
      </c>
      <c r="D23" s="2518">
        <v>3</v>
      </c>
      <c r="E23" s="2519">
        <f>'16.ที่ดินและสิ่งก่อสร้าง'!G74</f>
        <v>6584000</v>
      </c>
      <c r="F23" s="2518"/>
      <c r="G23" s="2516"/>
      <c r="H23" s="2518"/>
      <c r="I23" s="2505"/>
    </row>
    <row r="24" spans="1:12" ht="21.9" customHeight="1" x14ac:dyDescent="0.35">
      <c r="A24" s="2460"/>
      <c r="B24" s="2459" t="s">
        <v>6079</v>
      </c>
      <c r="C24" s="2510">
        <v>283</v>
      </c>
      <c r="D24" s="2511">
        <v>1</v>
      </c>
      <c r="E24" s="2520">
        <f>'16.ที่ดินและสิ่งก่อสร้าง'!G35</f>
        <v>6817490.75</v>
      </c>
      <c r="F24" s="2511"/>
      <c r="G24" s="2513"/>
      <c r="H24" s="2511"/>
      <c r="I24" s="2514"/>
      <c r="J24" s="2301"/>
    </row>
    <row r="25" spans="1:12" ht="21.9" customHeight="1" x14ac:dyDescent="0.35">
      <c r="A25" s="2460"/>
      <c r="B25" s="2521" t="s">
        <v>6080</v>
      </c>
      <c r="C25" s="2510">
        <v>110</v>
      </c>
      <c r="D25" s="2511">
        <v>1</v>
      </c>
      <c r="E25" s="2520">
        <f>'16.ที่ดินและสิ่งก่อสร้าง'!G82</f>
        <v>2500000</v>
      </c>
      <c r="F25" s="2511"/>
      <c r="G25" s="2513"/>
      <c r="H25" s="2511"/>
      <c r="I25" s="2514"/>
    </row>
    <row r="26" spans="1:12" ht="21.9" customHeight="1" x14ac:dyDescent="0.35">
      <c r="A26" s="2460"/>
      <c r="B26" s="2521"/>
      <c r="C26" s="2510"/>
      <c r="D26" s="2511"/>
      <c r="E26" s="2520"/>
      <c r="F26" s="2511"/>
      <c r="G26" s="2513"/>
      <c r="H26" s="2511"/>
      <c r="I26" s="2514"/>
    </row>
    <row r="27" spans="1:12" ht="21.9" customHeight="1" x14ac:dyDescent="0.35">
      <c r="A27" s="2460"/>
      <c r="B27" s="2521" t="s">
        <v>6081</v>
      </c>
      <c r="C27" s="2510" t="s">
        <v>4167</v>
      </c>
      <c r="D27" s="2511">
        <v>1</v>
      </c>
      <c r="E27" s="2520">
        <v>848408</v>
      </c>
      <c r="F27" s="2511"/>
      <c r="G27" s="2513"/>
      <c r="H27" s="2511"/>
      <c r="I27" s="2514"/>
    </row>
    <row r="28" spans="1:12" ht="21.9" customHeight="1" x14ac:dyDescent="0.4">
      <c r="A28" s="2460"/>
      <c r="B28" s="2522" t="s">
        <v>5941</v>
      </c>
      <c r="C28" s="2510"/>
      <c r="D28" s="2511"/>
      <c r="E28" s="2523"/>
      <c r="F28" s="2511"/>
      <c r="G28" s="2514"/>
      <c r="H28" s="2511"/>
      <c r="I28" s="2514"/>
      <c r="L28" s="2448"/>
    </row>
    <row r="29" spans="1:12" ht="21.9" customHeight="1" x14ac:dyDescent="0.4">
      <c r="A29" s="2460"/>
      <c r="B29" s="2521" t="s">
        <v>6082</v>
      </c>
      <c r="C29" s="2510" t="s">
        <v>4167</v>
      </c>
      <c r="D29" s="2511">
        <v>1</v>
      </c>
      <c r="E29" s="2523">
        <v>2174850</v>
      </c>
      <c r="F29" s="2511"/>
      <c r="G29" s="2514"/>
      <c r="H29" s="2511"/>
      <c r="I29" s="2514"/>
      <c r="L29" s="2448"/>
    </row>
    <row r="30" spans="1:12" ht="21.9" customHeight="1" x14ac:dyDescent="0.35">
      <c r="A30" s="2460"/>
      <c r="B30" s="2521" t="s">
        <v>5942</v>
      </c>
      <c r="C30" s="2510"/>
      <c r="D30" s="2511"/>
      <c r="E30" s="2523"/>
      <c r="F30" s="2511"/>
      <c r="G30" s="2514"/>
      <c r="H30" s="2511"/>
      <c r="I30" s="2514"/>
    </row>
    <row r="31" spans="1:12" ht="21.9" customHeight="1" x14ac:dyDescent="0.35">
      <c r="A31" s="2460"/>
      <c r="B31" s="2521"/>
      <c r="C31" s="2524"/>
      <c r="D31" s="2525"/>
      <c r="E31" s="2526"/>
      <c r="F31" s="2525"/>
      <c r="G31" s="2514"/>
      <c r="H31" s="2525"/>
      <c r="I31" s="2514"/>
    </row>
    <row r="32" spans="1:12" ht="21.9" customHeight="1" thickBot="1" x14ac:dyDescent="0.5">
      <c r="A32" s="2461"/>
      <c r="B32" s="2462" t="s">
        <v>5943</v>
      </c>
      <c r="C32" s="2463"/>
      <c r="D32" s="2464">
        <f>SUM(D7:D31)</f>
        <v>39</v>
      </c>
      <c r="E32" s="2465">
        <f>SUM(E7:E31)</f>
        <v>66374134.68</v>
      </c>
      <c r="F32" s="2464"/>
      <c r="G32" s="2466"/>
      <c r="H32" s="2464"/>
      <c r="I32" s="2466"/>
    </row>
    <row r="33" spans="1:9" ht="21.9" customHeight="1" thickTop="1" x14ac:dyDescent="0.5">
      <c r="A33" s="2467"/>
      <c r="B33" s="2468"/>
      <c r="C33" s="2467"/>
      <c r="D33" s="2469"/>
      <c r="E33" s="2470"/>
      <c r="F33" s="2469"/>
      <c r="G33" s="2471"/>
      <c r="H33" s="2469"/>
      <c r="I33" s="2471"/>
    </row>
    <row r="34" spans="1:9" ht="21.9" customHeight="1" x14ac:dyDescent="0.35">
      <c r="A34" s="2527"/>
      <c r="B34" s="2528"/>
      <c r="C34" s="2527"/>
      <c r="D34" s="2527"/>
      <c r="E34" s="2529"/>
      <c r="F34" s="2530"/>
      <c r="G34" s="2531"/>
      <c r="H34" s="2530"/>
      <c r="I34" s="2531"/>
    </row>
    <row r="35" spans="1:9" ht="21.9" customHeight="1" x14ac:dyDescent="0.35">
      <c r="A35" s="2527"/>
      <c r="B35" s="2528"/>
      <c r="C35" s="2527"/>
      <c r="D35" s="2527"/>
      <c r="E35" s="2532"/>
      <c r="F35" s="2530"/>
      <c r="G35" s="2531"/>
      <c r="H35" s="2530"/>
      <c r="I35" s="2531"/>
    </row>
    <row r="36" spans="1:9" ht="21.9" customHeight="1" x14ac:dyDescent="0.35">
      <c r="A36" s="2527"/>
      <c r="B36" s="2528"/>
      <c r="C36" s="2527"/>
      <c r="D36" s="2527"/>
      <c r="E36" s="2532"/>
      <c r="F36" s="2530"/>
      <c r="G36" s="2531"/>
      <c r="H36" s="2530"/>
      <c r="I36" s="2531"/>
    </row>
    <row r="37" spans="1:9" ht="21.9" customHeight="1" x14ac:dyDescent="0.35">
      <c r="A37" s="2527"/>
      <c r="B37" s="2528"/>
      <c r="C37" s="2527"/>
      <c r="D37" s="2527"/>
      <c r="E37" s="2532"/>
      <c r="F37" s="2530"/>
      <c r="G37" s="2531"/>
      <c r="H37" s="2530"/>
      <c r="I37" s="2531"/>
    </row>
    <row r="38" spans="1:9" ht="21.9" customHeight="1" x14ac:dyDescent="0.35">
      <c r="A38" s="2527"/>
      <c r="B38" s="2528"/>
      <c r="C38" s="2527"/>
      <c r="D38" s="2527"/>
      <c r="E38" s="2532"/>
      <c r="F38" s="2530"/>
      <c r="G38" s="2531"/>
      <c r="H38" s="2530"/>
      <c r="I38" s="2531"/>
    </row>
    <row r="39" spans="1:9" ht="21.9" customHeight="1" x14ac:dyDescent="0.35">
      <c r="A39" s="2472" t="s">
        <v>5944</v>
      </c>
      <c r="B39" s="2473" t="s">
        <v>5945</v>
      </c>
      <c r="C39" s="2474"/>
      <c r="D39" s="2533"/>
      <c r="E39" s="2534"/>
      <c r="F39" s="2535"/>
      <c r="G39" s="2536"/>
      <c r="H39" s="2535"/>
      <c r="I39" s="2536"/>
    </row>
    <row r="40" spans="1:9" ht="21.9" customHeight="1" x14ac:dyDescent="0.35">
      <c r="A40" s="2475">
        <v>1</v>
      </c>
      <c r="B40" s="2476" t="s">
        <v>5946</v>
      </c>
      <c r="C40" s="2502"/>
      <c r="D40" s="2502"/>
      <c r="E40" s="2505"/>
      <c r="F40" s="2537"/>
      <c r="G40" s="2538"/>
      <c r="H40" s="2537"/>
      <c r="I40" s="2538"/>
    </row>
    <row r="41" spans="1:9" ht="21.9" customHeight="1" x14ac:dyDescent="0.35">
      <c r="A41" s="2475"/>
      <c r="B41" s="2476" t="s">
        <v>6062</v>
      </c>
      <c r="C41" s="2502">
        <v>55</v>
      </c>
      <c r="D41" s="2502">
        <v>8</v>
      </c>
      <c r="E41" s="2505">
        <f>'1.ครุภัณฑ์สำนักงาน (รวมทุกงาน)'!G15</f>
        <v>88810</v>
      </c>
      <c r="F41" s="2539" t="s">
        <v>4167</v>
      </c>
      <c r="G41" s="2540" t="s">
        <v>4167</v>
      </c>
      <c r="H41" s="2537"/>
      <c r="I41" s="2541"/>
    </row>
    <row r="42" spans="1:9" ht="21.9" customHeight="1" x14ac:dyDescent="0.35">
      <c r="A42" s="2475"/>
      <c r="B42" s="2476" t="s">
        <v>5947</v>
      </c>
      <c r="C42" s="2502">
        <v>87</v>
      </c>
      <c r="D42" s="2502">
        <f>'1.ครุภัณฑ์สำนักงาน (รวมทุกงาน)'!A66</f>
        <v>50</v>
      </c>
      <c r="E42" s="2503">
        <f>'1.ครุภัณฑ์สำนักงาน (รวมทุกงาน)'!G67</f>
        <v>833000</v>
      </c>
      <c r="F42" s="2537" t="s">
        <v>4167</v>
      </c>
      <c r="G42" s="2541" t="s">
        <v>4167</v>
      </c>
      <c r="H42" s="2537"/>
      <c r="I42" s="2541"/>
    </row>
    <row r="43" spans="1:9" ht="21.9" customHeight="1" x14ac:dyDescent="0.35">
      <c r="A43" s="2475"/>
      <c r="B43" s="2542" t="s">
        <v>99</v>
      </c>
      <c r="C43" s="2502">
        <v>400</v>
      </c>
      <c r="D43" s="2502">
        <f>'1.ครุภัณฑ์สำนักงาน (รวมทุกงาน)'!A853</f>
        <v>785</v>
      </c>
      <c r="E43" s="2503">
        <f>'1.ครุภัณฑ์สำนักงาน (รวมทุกงาน)'!G854</f>
        <v>857760.10000000033</v>
      </c>
      <c r="F43" s="2537">
        <f>'14.ครุภัณฑ์ต่ำกว่าเกณฑ์'!A166</f>
        <v>160</v>
      </c>
      <c r="G43" s="2540">
        <f>'14.ครุภัณฑ์ต่ำกว่าเกณฑ์'!H167</f>
        <v>144100</v>
      </c>
      <c r="H43" s="2537"/>
      <c r="I43" s="2540"/>
    </row>
    <row r="44" spans="1:9" ht="21.9" customHeight="1" x14ac:dyDescent="0.35">
      <c r="A44" s="2475"/>
      <c r="B44" s="2542" t="s">
        <v>185</v>
      </c>
      <c r="C44" s="2502">
        <v>401</v>
      </c>
      <c r="D44" s="2502">
        <f>'1.ครุภัณฑ์สำนักงาน (รวมทุกงาน)'!A1497</f>
        <v>642</v>
      </c>
      <c r="E44" s="2503">
        <f>'1.ครุภัณฑ์สำนักงาน (รวมทุกงาน)'!G1498</f>
        <v>296347.5999999987</v>
      </c>
      <c r="F44" s="2537">
        <f>'14.ครุภัณฑ์ต่ำกว่าเกณฑ์'!A361</f>
        <v>193</v>
      </c>
      <c r="G44" s="2540">
        <f>'14.ครุภัณฑ์ต่ำกว่าเกณฑ์'!H362</f>
        <v>76040</v>
      </c>
      <c r="H44" s="2537"/>
      <c r="I44" s="2540"/>
    </row>
    <row r="45" spans="1:9" ht="21.9" customHeight="1" x14ac:dyDescent="0.35">
      <c r="A45" s="2475"/>
      <c r="B45" s="2542" t="s">
        <v>5948</v>
      </c>
      <c r="C45" s="2502">
        <v>402</v>
      </c>
      <c r="D45" s="2502">
        <f>'1.ครุภัณฑ์สำนักงาน (รวมทุกงาน)'!A1581</f>
        <v>82</v>
      </c>
      <c r="E45" s="2503">
        <f>'1.ครุภัณฑ์สำนักงาน (รวมทุกงาน)'!G1582</f>
        <v>594030</v>
      </c>
      <c r="F45" s="2539" t="s">
        <v>4167</v>
      </c>
      <c r="G45" s="2540" t="s">
        <v>4167</v>
      </c>
      <c r="H45" s="2539"/>
      <c r="I45" s="2540"/>
    </row>
    <row r="46" spans="1:9" ht="21.9" customHeight="1" x14ac:dyDescent="0.35">
      <c r="A46" s="2475"/>
      <c r="B46" s="2542" t="s">
        <v>306</v>
      </c>
      <c r="C46" s="2502">
        <v>403</v>
      </c>
      <c r="D46" s="2502">
        <f>'1.ครุภัณฑ์สำนักงาน (รวมทุกงาน)'!A1587</f>
        <v>4</v>
      </c>
      <c r="E46" s="2503">
        <f>'1.ครุภัณฑ์สำนักงาน (รวมทุกงาน)'!G1588</f>
        <v>89400</v>
      </c>
      <c r="F46" s="2539" t="s">
        <v>4167</v>
      </c>
      <c r="G46" s="2540" t="s">
        <v>4167</v>
      </c>
      <c r="H46" s="2539"/>
      <c r="I46" s="2540"/>
    </row>
    <row r="47" spans="1:9" ht="21.9" customHeight="1" x14ac:dyDescent="0.35">
      <c r="A47" s="2475"/>
      <c r="B47" s="2542" t="s">
        <v>5949</v>
      </c>
      <c r="C47" s="2502">
        <v>404</v>
      </c>
      <c r="D47" s="2502" t="s">
        <v>4167</v>
      </c>
      <c r="E47" s="2543" t="s">
        <v>4167</v>
      </c>
      <c r="F47" s="2537">
        <f>'14.ครุภัณฑ์ต่ำกว่าเกณฑ์'!A364</f>
        <v>1</v>
      </c>
      <c r="G47" s="2544">
        <f>'14.ครุภัณฑ์ต่ำกว่าเกณฑ์'!H365</f>
        <v>1000</v>
      </c>
      <c r="H47" s="2537"/>
      <c r="I47" s="2544"/>
    </row>
    <row r="48" spans="1:9" ht="21.9" customHeight="1" x14ac:dyDescent="0.35">
      <c r="A48" s="2475"/>
      <c r="B48" s="2542" t="s">
        <v>5950</v>
      </c>
      <c r="C48" s="2502">
        <v>405</v>
      </c>
      <c r="D48" s="2502">
        <f>'1.ครุภัณฑ์สำนักงาน (รวมทุกงาน)'!A1593</f>
        <v>4</v>
      </c>
      <c r="E48" s="2503">
        <f>'1.ครุภัณฑ์สำนักงาน (รวมทุกงาน)'!G1594</f>
        <v>83772</v>
      </c>
      <c r="F48" s="2539" t="s">
        <v>4167</v>
      </c>
      <c r="G48" s="2540" t="s">
        <v>4167</v>
      </c>
      <c r="H48" s="2539"/>
      <c r="I48" s="2540"/>
    </row>
    <row r="49" spans="1:9" ht="21.9" customHeight="1" x14ac:dyDescent="0.35">
      <c r="A49" s="2475"/>
      <c r="B49" s="2542" t="s">
        <v>5951</v>
      </c>
      <c r="C49" s="2502">
        <v>406</v>
      </c>
      <c r="D49" s="2502">
        <f>'1.ครุภัณฑ์สำนักงาน (รวมทุกงาน)'!A1641</f>
        <v>46</v>
      </c>
      <c r="E49" s="2503">
        <f>'1.ครุภัณฑ์สำนักงาน (รวมทุกงาน)'!G1642</f>
        <v>140180.24</v>
      </c>
      <c r="F49" s="2545">
        <f>'14.ครุภัณฑ์ต่ำกว่าเกณฑ์'!A376</f>
        <v>10</v>
      </c>
      <c r="G49" s="2546">
        <f>'14.ครุภัณฑ์ต่ำกว่าเกณฑ์'!H377</f>
        <v>39857</v>
      </c>
      <c r="H49" s="2545"/>
      <c r="I49" s="2546"/>
    </row>
    <row r="50" spans="1:9" ht="21.9" customHeight="1" x14ac:dyDescent="0.35">
      <c r="A50" s="2475"/>
      <c r="B50" s="2542" t="s">
        <v>5952</v>
      </c>
      <c r="C50" s="2502">
        <v>407</v>
      </c>
      <c r="D50" s="2502">
        <f>'1.ครุภัณฑ์สำนักงาน (รวมทุกงาน)'!A1644</f>
        <v>1</v>
      </c>
      <c r="E50" s="2543">
        <f>'1.ครุภัณฑ์สำนักงาน (รวมทุกงาน)'!G1645</f>
        <v>1530</v>
      </c>
      <c r="F50" s="2539" t="s">
        <v>4167</v>
      </c>
      <c r="G50" s="2540" t="s">
        <v>4167</v>
      </c>
      <c r="H50" s="2539"/>
      <c r="I50" s="2540"/>
    </row>
    <row r="51" spans="1:9" ht="21.9" customHeight="1" x14ac:dyDescent="0.35">
      <c r="A51" s="2475"/>
      <c r="B51" s="2542" t="s">
        <v>5953</v>
      </c>
      <c r="C51" s="2502">
        <v>408</v>
      </c>
      <c r="D51" s="2502">
        <f>'1.ครุภัณฑ์สำนักงาน (รวมทุกงาน)'!A1651</f>
        <v>5</v>
      </c>
      <c r="E51" s="2503">
        <f>'1.ครุภัณฑ์สำนักงาน (รวมทุกงาน)'!G1652</f>
        <v>200000</v>
      </c>
      <c r="F51" s="2539" t="s">
        <v>4167</v>
      </c>
      <c r="G51" s="2540" t="s">
        <v>4167</v>
      </c>
      <c r="H51" s="2539"/>
      <c r="I51" s="2540"/>
    </row>
    <row r="52" spans="1:9" ht="21.9" customHeight="1" x14ac:dyDescent="0.35">
      <c r="A52" s="2475"/>
      <c r="B52" s="2542" t="s">
        <v>5954</v>
      </c>
      <c r="C52" s="2502">
        <v>414</v>
      </c>
      <c r="D52" s="2502">
        <f>'1.ครุภัณฑ์สำนักงาน (รวมทุกงาน)'!A1654</f>
        <v>1</v>
      </c>
      <c r="E52" s="2503">
        <f>'1.ครุภัณฑ์สำนักงาน (รวมทุกงาน)'!G1655</f>
        <v>9600</v>
      </c>
      <c r="F52" s="2539" t="s">
        <v>4167</v>
      </c>
      <c r="G52" s="2540" t="s">
        <v>4167</v>
      </c>
      <c r="H52" s="2539"/>
      <c r="I52" s="2540"/>
    </row>
    <row r="53" spans="1:9" ht="21.9" customHeight="1" x14ac:dyDescent="0.35">
      <c r="A53" s="2475"/>
      <c r="B53" s="2542" t="s">
        <v>417</v>
      </c>
      <c r="C53" s="2502">
        <v>420</v>
      </c>
      <c r="D53" s="2502">
        <f>'1.ครุภัณฑ์สำนักงาน (รวมทุกงาน)'!A1684</f>
        <v>28</v>
      </c>
      <c r="E53" s="2503">
        <f>'1.ครุภัณฑ์สำนักงาน (รวมทุกงาน)'!G1685</f>
        <v>1036887.9999999999</v>
      </c>
      <c r="F53" s="2539" t="s">
        <v>4167</v>
      </c>
      <c r="G53" s="2540" t="s">
        <v>4167</v>
      </c>
      <c r="H53" s="2539"/>
      <c r="I53" s="2540"/>
    </row>
    <row r="54" spans="1:9" ht="21.9" customHeight="1" x14ac:dyDescent="0.35">
      <c r="A54" s="2475"/>
      <c r="B54" s="2542" t="s">
        <v>5955</v>
      </c>
      <c r="C54" s="2502">
        <v>432</v>
      </c>
      <c r="D54" s="2502">
        <f>'1.ครุภัณฑ์สำนักงาน (รวมทุกงาน)'!A1724</f>
        <v>38</v>
      </c>
      <c r="E54" s="2503">
        <f>'1.ครุภัณฑ์สำนักงาน (รวมทุกงาน)'!G1725</f>
        <v>160962</v>
      </c>
      <c r="F54" s="2537">
        <f>'14.ครุภัณฑ์ต่ำกว่าเกณฑ์'!A383</f>
        <v>5</v>
      </c>
      <c r="G54" s="2540">
        <f>'14.ครุภัณฑ์ต่ำกว่าเกณฑ์'!H384</f>
        <v>11648</v>
      </c>
      <c r="H54" s="2537"/>
      <c r="I54" s="2540"/>
    </row>
    <row r="55" spans="1:9" ht="21.9" customHeight="1" x14ac:dyDescent="0.35">
      <c r="A55" s="2475"/>
      <c r="B55" s="2542" t="s">
        <v>5956</v>
      </c>
      <c r="C55" s="2502">
        <v>437</v>
      </c>
      <c r="D55" s="2502">
        <f>'1.ครุภัณฑ์สำนักงาน (รวมทุกงาน)'!A1757</f>
        <v>30</v>
      </c>
      <c r="E55" s="2503">
        <f>'1.ครุภัณฑ์สำนักงาน (รวมทุกงาน)'!G1758</f>
        <v>355727.44000000018</v>
      </c>
      <c r="F55" s="2539" t="s">
        <v>4167</v>
      </c>
      <c r="G55" s="2540" t="s">
        <v>4167</v>
      </c>
      <c r="H55" s="2539"/>
      <c r="I55" s="2540"/>
    </row>
    <row r="56" spans="1:9" ht="21.9" customHeight="1" x14ac:dyDescent="0.35">
      <c r="A56" s="2475"/>
      <c r="B56" s="2542" t="s">
        <v>5915</v>
      </c>
      <c r="C56" s="2502">
        <v>481</v>
      </c>
      <c r="D56" s="2502">
        <f>'1.ครุภัณฑ์สำนักงาน (รวมทุกงาน)'!A1770</f>
        <v>11</v>
      </c>
      <c r="E56" s="2543">
        <f>'1.ครุภัณฑ์สำนักงาน (รวมทุกงาน)'!G1771</f>
        <v>34500</v>
      </c>
      <c r="F56" s="2539" t="s">
        <v>4167</v>
      </c>
      <c r="G56" s="2540" t="s">
        <v>4167</v>
      </c>
      <c r="H56" s="2539"/>
      <c r="I56" s="2540"/>
    </row>
    <row r="57" spans="1:9" ht="21.9" customHeight="1" x14ac:dyDescent="0.35">
      <c r="A57" s="2475"/>
      <c r="B57" s="2542" t="s">
        <v>6072</v>
      </c>
      <c r="C57" s="2502">
        <v>487</v>
      </c>
      <c r="D57" s="2502">
        <f>'1.ครุภัณฑ์สำนักงาน (รวมทุกงาน)'!A1777</f>
        <v>5</v>
      </c>
      <c r="E57" s="2543">
        <f>'1.ครุภัณฑ์สำนักงาน (รวมทุกงาน)'!G1778</f>
        <v>14980</v>
      </c>
      <c r="F57" s="2539"/>
      <c r="G57" s="2540"/>
      <c r="H57" s="2539"/>
      <c r="I57" s="2540"/>
    </row>
    <row r="58" spans="1:9" ht="21.9" customHeight="1" x14ac:dyDescent="0.35">
      <c r="A58" s="2475"/>
      <c r="B58" s="2542" t="s">
        <v>5957</v>
      </c>
      <c r="C58" s="2502">
        <v>496</v>
      </c>
      <c r="D58" s="2502">
        <f>'1.ครุภัณฑ์สำนักงาน (รวมทุกงาน)'!A1781</f>
        <v>2</v>
      </c>
      <c r="E58" s="2543">
        <f>'1.ครุภัณฑ์สำนักงาน (รวมทุกงาน)'!G1782</f>
        <v>5136</v>
      </c>
      <c r="F58" s="2539"/>
      <c r="G58" s="2540"/>
      <c r="H58" s="2539"/>
      <c r="I58" s="2540"/>
    </row>
    <row r="59" spans="1:9" ht="21.9" customHeight="1" x14ac:dyDescent="0.35">
      <c r="A59" s="2477">
        <v>2</v>
      </c>
      <c r="B59" s="2478" t="s">
        <v>5959</v>
      </c>
      <c r="C59" s="2547"/>
      <c r="D59" s="2547"/>
      <c r="E59" s="2548"/>
      <c r="F59" s="2539"/>
      <c r="G59" s="2540"/>
      <c r="H59" s="2539"/>
      <c r="I59" s="2540"/>
    </row>
    <row r="60" spans="1:9" ht="21.9" customHeight="1" x14ac:dyDescent="0.35">
      <c r="A60" s="2477"/>
      <c r="B60" s="2542" t="s">
        <v>5960</v>
      </c>
      <c r="C60" s="2549" t="s">
        <v>6089</v>
      </c>
      <c r="D60" s="2547">
        <f>'2.ครุภัณฑ์ยานพาหนะฯ (รวมทุกงาน)'!A13</f>
        <v>7</v>
      </c>
      <c r="E60" s="2548">
        <f>'2.ครุภัณฑ์ยานพาหนะฯ (รวมทุกงาน)'!E14</f>
        <v>7452000</v>
      </c>
      <c r="F60" s="2539" t="s">
        <v>4167</v>
      </c>
      <c r="G60" s="2540" t="s">
        <v>4167</v>
      </c>
      <c r="H60" s="2539"/>
      <c r="I60" s="2540"/>
    </row>
    <row r="61" spans="1:9" ht="21.9" customHeight="1" x14ac:dyDescent="0.35">
      <c r="A61" s="2477"/>
      <c r="B61" s="2542" t="s">
        <v>5961</v>
      </c>
      <c r="C61" s="2549" t="s">
        <v>6090</v>
      </c>
      <c r="D61" s="2547">
        <f>'2.ครุภัณฑ์ยานพาหนะฯ (รวมทุกงาน)'!A46</f>
        <v>31</v>
      </c>
      <c r="E61" s="2550">
        <f>'2.ครุภัณฑ์ยานพาหนะฯ (รวมทุกงาน)'!E47</f>
        <v>16549970.33</v>
      </c>
      <c r="F61" s="2539" t="s">
        <v>4167</v>
      </c>
      <c r="G61" s="2540" t="s">
        <v>4167</v>
      </c>
      <c r="H61" s="2539"/>
      <c r="I61" s="2540"/>
    </row>
    <row r="62" spans="1:9" ht="21.9" customHeight="1" x14ac:dyDescent="0.35">
      <c r="A62" s="2477"/>
      <c r="B62" s="2542" t="s">
        <v>5962</v>
      </c>
      <c r="C62" s="2549" t="s">
        <v>6091</v>
      </c>
      <c r="D62" s="2547">
        <f>'2.ครุภัณฑ์ยานพาหนะฯ (รวมทุกงาน)'!A54</f>
        <v>6</v>
      </c>
      <c r="E62" s="2548">
        <f>'2.ครุภัณฑ์ยานพาหนะฯ (รวมทุกงาน)'!E55</f>
        <v>6777722</v>
      </c>
      <c r="F62" s="2539" t="s">
        <v>4167</v>
      </c>
      <c r="G62" s="2540" t="s">
        <v>4167</v>
      </c>
      <c r="H62" s="2539"/>
      <c r="I62" s="2540"/>
    </row>
    <row r="63" spans="1:9" ht="21.9" customHeight="1" x14ac:dyDescent="0.35">
      <c r="A63" s="2477"/>
      <c r="B63" s="2542" t="s">
        <v>5963</v>
      </c>
      <c r="C63" s="2549" t="s">
        <v>6092</v>
      </c>
      <c r="D63" s="2547">
        <f>'2.ครุภัณฑ์ยานพาหนะฯ (รวมทุกงาน)'!A57</f>
        <v>1</v>
      </c>
      <c r="E63" s="2548">
        <f>'2.ครุภัณฑ์ยานพาหนะฯ (รวมทุกงาน)'!E58</f>
        <v>473500</v>
      </c>
      <c r="F63" s="2539" t="s">
        <v>4167</v>
      </c>
      <c r="G63" s="2540" t="s">
        <v>4167</v>
      </c>
      <c r="H63" s="2539"/>
      <c r="I63" s="2540"/>
    </row>
    <row r="64" spans="1:9" ht="21.9" customHeight="1" x14ac:dyDescent="0.35">
      <c r="A64" s="2477"/>
      <c r="B64" s="2542" t="s">
        <v>5964</v>
      </c>
      <c r="C64" s="2549" t="s">
        <v>6093</v>
      </c>
      <c r="D64" s="2547">
        <f>'2.ครุภัณฑ์ยานพาหนะฯ (รวมทุกงาน)'!A61</f>
        <v>2</v>
      </c>
      <c r="E64" s="2550">
        <f>'2.ครุภัณฑ์ยานพาหนะฯ (รวมทุกงาน)'!E62</f>
        <v>13236000</v>
      </c>
      <c r="F64" s="2539" t="s">
        <v>4167</v>
      </c>
      <c r="G64" s="2540" t="s">
        <v>4167</v>
      </c>
      <c r="H64" s="2539"/>
      <c r="I64" s="2540"/>
    </row>
    <row r="65" spans="1:9" ht="21.9" customHeight="1" x14ac:dyDescent="0.35">
      <c r="A65" s="2477"/>
      <c r="B65" s="2542" t="s">
        <v>5965</v>
      </c>
      <c r="C65" s="2549" t="s">
        <v>6094</v>
      </c>
      <c r="D65" s="2547">
        <f>'2.ครุภัณฑ์ยานพาหนะฯ (รวมทุกงาน)'!A68</f>
        <v>5</v>
      </c>
      <c r="E65" s="2548">
        <f>'2.ครุภัณฑ์ยานพาหนะฯ (รวมทุกงาน)'!E69</f>
        <v>3296780</v>
      </c>
      <c r="F65" s="2539" t="s">
        <v>4167</v>
      </c>
      <c r="G65" s="2540" t="s">
        <v>4167</v>
      </c>
      <c r="H65" s="2539"/>
      <c r="I65" s="2540"/>
    </row>
    <row r="66" spans="1:9" ht="21.9" customHeight="1" x14ac:dyDescent="0.35">
      <c r="A66" s="2477"/>
      <c r="B66" s="2542" t="s">
        <v>5966</v>
      </c>
      <c r="C66" s="2549" t="s">
        <v>6095</v>
      </c>
      <c r="D66" s="2547">
        <f>'2.ครุภัณฑ์ยานพาหนะฯ (รวมทุกงาน)'!A75</f>
        <v>5</v>
      </c>
      <c r="E66" s="2548">
        <f>'2.ครุภัณฑ์ยานพาหนะฯ (รวมทุกงาน)'!E76</f>
        <v>6478200</v>
      </c>
      <c r="F66" s="2539" t="s">
        <v>4167</v>
      </c>
      <c r="G66" s="2540" t="s">
        <v>4167</v>
      </c>
      <c r="H66" s="2539"/>
      <c r="I66" s="2540"/>
    </row>
    <row r="67" spans="1:9" ht="21.9" customHeight="1" x14ac:dyDescent="0.35">
      <c r="A67" s="2477"/>
      <c r="B67" s="2542" t="s">
        <v>5967</v>
      </c>
      <c r="C67" s="2549" t="s">
        <v>6096</v>
      </c>
      <c r="D67" s="2547">
        <f>'2.ครุภัณฑ์ยานพาหนะฯ (รวมทุกงาน)'!A79</f>
        <v>2</v>
      </c>
      <c r="E67" s="2548">
        <f>'2.ครุภัณฑ์ยานพาหนะฯ (รวมทุกงาน)'!E80</f>
        <v>3229500</v>
      </c>
      <c r="F67" s="2539" t="s">
        <v>4167</v>
      </c>
      <c r="G67" s="2540" t="s">
        <v>4167</v>
      </c>
      <c r="H67" s="2539"/>
      <c r="I67" s="2540"/>
    </row>
    <row r="68" spans="1:9" ht="21.9" customHeight="1" x14ac:dyDescent="0.35">
      <c r="A68" s="2477"/>
      <c r="B68" s="2542" t="s">
        <v>5968</v>
      </c>
      <c r="C68" s="2549" t="s">
        <v>6097</v>
      </c>
      <c r="D68" s="2547">
        <f>'2.ครุภัณฑ์ยานพาหนะฯ (รวมทุกงาน)'!A91</f>
        <v>10</v>
      </c>
      <c r="E68" s="2548">
        <f>'2.ครุภัณฑ์ยานพาหนะฯ (รวมทุกงาน)'!E92</f>
        <v>7597250</v>
      </c>
      <c r="F68" s="2539" t="s">
        <v>4167</v>
      </c>
      <c r="G68" s="2540" t="s">
        <v>4167</v>
      </c>
      <c r="H68" s="2539"/>
      <c r="I68" s="2540"/>
    </row>
    <row r="69" spans="1:9" ht="21.9" customHeight="1" x14ac:dyDescent="0.35">
      <c r="A69" s="2477"/>
      <c r="B69" s="2542" t="s">
        <v>5969</v>
      </c>
      <c r="C69" s="2549" t="s">
        <v>6098</v>
      </c>
      <c r="D69" s="2547">
        <f>'2.ครุภัณฑ์ยานพาหนะฯ (รวมทุกงาน)'!A128</f>
        <v>35</v>
      </c>
      <c r="E69" s="2548">
        <f>'2.ครุภัณฑ์ยานพาหนะฯ (รวมทุกงาน)'!E129</f>
        <v>1104920</v>
      </c>
      <c r="F69" s="2539" t="s">
        <v>4167</v>
      </c>
      <c r="G69" s="2540" t="s">
        <v>4167</v>
      </c>
      <c r="H69" s="2539"/>
      <c r="I69" s="2540"/>
    </row>
    <row r="70" spans="1:9" ht="21.9" customHeight="1" x14ac:dyDescent="0.35">
      <c r="A70" s="2477"/>
      <c r="B70" s="2542" t="s">
        <v>5970</v>
      </c>
      <c r="C70" s="2549" t="s">
        <v>6099</v>
      </c>
      <c r="D70" s="2547">
        <f>'2.ครุภัณฑ์ยานพาหนะฯ (รวมทุกงาน)'!A132</f>
        <v>2</v>
      </c>
      <c r="E70" s="2548">
        <f>'2.ครุภัณฑ์ยานพาหนะฯ (รวมทุกงาน)'!E133</f>
        <v>711500</v>
      </c>
      <c r="F70" s="2539" t="s">
        <v>4167</v>
      </c>
      <c r="G70" s="2540" t="s">
        <v>4167</v>
      </c>
      <c r="H70" s="2539"/>
      <c r="I70" s="2540"/>
    </row>
    <row r="71" spans="1:9" ht="21.9" customHeight="1" x14ac:dyDescent="0.35">
      <c r="A71" s="2477"/>
      <c r="B71" s="2542" t="s">
        <v>5971</v>
      </c>
      <c r="C71" s="2549" t="s">
        <v>6100</v>
      </c>
      <c r="D71" s="2551">
        <f>'2.ครุภัณฑ์ยานพาหนะฯ (รวมทุกงาน)'!A137</f>
        <v>3</v>
      </c>
      <c r="E71" s="2552">
        <f>'2.ครุภัณฑ์ยานพาหนะฯ (รวมทุกงาน)'!E138</f>
        <v>234000</v>
      </c>
      <c r="F71" s="2539" t="s">
        <v>4167</v>
      </c>
      <c r="G71" s="2540" t="s">
        <v>4167</v>
      </c>
      <c r="H71" s="2539"/>
      <c r="I71" s="2540"/>
    </row>
    <row r="72" spans="1:9" ht="21.9" customHeight="1" x14ac:dyDescent="0.35">
      <c r="A72" s="2477"/>
      <c r="B72" s="2542" t="s">
        <v>907</v>
      </c>
      <c r="C72" s="2549" t="s">
        <v>6101</v>
      </c>
      <c r="D72" s="2551">
        <f>'2.ครุภัณฑ์ยานพาหนะฯ (รวมทุกงาน)'!A141</f>
        <v>1</v>
      </c>
      <c r="E72" s="2552">
        <f>'2.ครุภัณฑ์ยานพาหนะฯ (รวมทุกงาน)'!E142</f>
        <v>85000</v>
      </c>
      <c r="F72" s="2539"/>
      <c r="G72" s="2540"/>
      <c r="H72" s="2539"/>
      <c r="I72" s="2540"/>
    </row>
    <row r="73" spans="1:9" ht="21.9" customHeight="1" x14ac:dyDescent="0.35">
      <c r="A73" s="2477"/>
      <c r="B73" s="2542" t="s">
        <v>5972</v>
      </c>
      <c r="C73" s="2549" t="s">
        <v>6102</v>
      </c>
      <c r="D73" s="2551">
        <f>'2.ครุภัณฑ์ยานพาหนะฯ (รวมทุกงาน)'!A145</f>
        <v>2</v>
      </c>
      <c r="E73" s="2552">
        <f>'2.ครุภัณฑ์ยานพาหนะฯ (รวมทุกงาน)'!E146</f>
        <v>13800</v>
      </c>
      <c r="F73" s="2539"/>
      <c r="G73" s="2540"/>
      <c r="H73" s="2539"/>
      <c r="I73" s="2540"/>
    </row>
    <row r="74" spans="1:9" ht="21.9" customHeight="1" x14ac:dyDescent="0.35">
      <c r="A74" s="2477"/>
      <c r="B74" s="2542" t="s">
        <v>5973</v>
      </c>
      <c r="C74" s="2549" t="s">
        <v>6103</v>
      </c>
      <c r="D74" s="2547">
        <f>'2.ครุภัณฑ์ยานพาหนะฯ (รวมทุกงาน)'!A148</f>
        <v>1</v>
      </c>
      <c r="E74" s="2548">
        <f>'2.ครุภัณฑ์ยานพาหนะฯ (รวมทุกงาน)'!E149</f>
        <v>158500</v>
      </c>
      <c r="F74" s="2539" t="s">
        <v>4167</v>
      </c>
      <c r="G74" s="2540" t="s">
        <v>4167</v>
      </c>
      <c r="H74" s="2539"/>
      <c r="I74" s="2540"/>
    </row>
    <row r="75" spans="1:9" ht="21.9" customHeight="1" x14ac:dyDescent="0.35">
      <c r="A75" s="2477">
        <v>3</v>
      </c>
      <c r="B75" s="2479" t="s">
        <v>5974</v>
      </c>
      <c r="C75" s="2549"/>
      <c r="D75" s="2547"/>
      <c r="E75" s="2548"/>
      <c r="F75" s="2537"/>
      <c r="G75" s="2540"/>
      <c r="H75" s="2537"/>
      <c r="I75" s="2540"/>
    </row>
    <row r="76" spans="1:9" ht="21.9" customHeight="1" x14ac:dyDescent="0.35">
      <c r="A76" s="2477"/>
      <c r="B76" s="2479" t="s">
        <v>5975</v>
      </c>
      <c r="C76" s="2549" t="s">
        <v>6104</v>
      </c>
      <c r="D76" s="2547">
        <f>'3. ครุภัณฑ์การเกษตร(รวมทุกงาน)'!A127</f>
        <v>121</v>
      </c>
      <c r="E76" s="2548">
        <f>'3. ครุภัณฑ์การเกษตร(รวมทุกงาน)'!G128</f>
        <v>12306691.810000001</v>
      </c>
      <c r="F76" s="2539" t="s">
        <v>4167</v>
      </c>
      <c r="G76" s="2540" t="s">
        <v>4167</v>
      </c>
      <c r="H76" s="2539"/>
      <c r="I76" s="2540"/>
    </row>
    <row r="77" spans="1:9" ht="21.9" customHeight="1" x14ac:dyDescent="0.35">
      <c r="A77" s="2477"/>
      <c r="B77" s="2479" t="s">
        <v>5976</v>
      </c>
      <c r="C77" s="2553">
        <v>640</v>
      </c>
      <c r="D77" s="2547">
        <f>'3. ครุภัณฑ์การเกษตร(รวมทุกงาน)'!A139</f>
        <v>10</v>
      </c>
      <c r="E77" s="2548">
        <f>'3. ครุภัณฑ์การเกษตร(รวมทุกงาน)'!G140</f>
        <v>95000</v>
      </c>
      <c r="F77" s="2539"/>
      <c r="G77" s="2540"/>
      <c r="H77" s="2539"/>
      <c r="I77" s="2540"/>
    </row>
    <row r="78" spans="1:9" ht="21.9" customHeight="1" x14ac:dyDescent="0.35">
      <c r="A78" s="2477"/>
      <c r="B78" s="2479" t="s">
        <v>5977</v>
      </c>
      <c r="C78" s="2547">
        <v>625</v>
      </c>
      <c r="D78" s="2547">
        <f>'3. ครุภัณฑ์การเกษตร(รวมทุกงาน)'!A144</f>
        <v>3</v>
      </c>
      <c r="E78" s="2548">
        <f>'3. ครุภัณฑ์การเกษตร(รวมทุกงาน)'!G145</f>
        <v>14900</v>
      </c>
      <c r="F78" s="2539" t="s">
        <v>4167</v>
      </c>
      <c r="G78" s="2540" t="s">
        <v>4167</v>
      </c>
      <c r="H78" s="2539"/>
      <c r="I78" s="2540"/>
    </row>
    <row r="79" spans="1:9" ht="21.9" customHeight="1" x14ac:dyDescent="0.35">
      <c r="A79" s="2477"/>
      <c r="B79" s="2479" t="s">
        <v>5978</v>
      </c>
      <c r="C79" s="2547">
        <v>633</v>
      </c>
      <c r="D79" s="2547">
        <f>'3. ครุภัณฑ์การเกษตร(รวมทุกงาน)'!A149</f>
        <v>3</v>
      </c>
      <c r="E79" s="2548">
        <f>'3. ครุภัณฑ์การเกษตร(รวมทุกงาน)'!G150</f>
        <v>1671720</v>
      </c>
      <c r="F79" s="2539" t="s">
        <v>4167</v>
      </c>
      <c r="G79" s="2540" t="s">
        <v>4167</v>
      </c>
      <c r="H79" s="2539"/>
      <c r="I79" s="2540"/>
    </row>
    <row r="80" spans="1:9" ht="21.9" customHeight="1" x14ac:dyDescent="0.35">
      <c r="A80" s="2477"/>
      <c r="B80" s="2479" t="s">
        <v>1132</v>
      </c>
      <c r="C80" s="2547">
        <v>634</v>
      </c>
      <c r="D80" s="2547">
        <f>'3. ครุภัณฑ์การเกษตร(รวมทุกงาน)'!A152</f>
        <v>1</v>
      </c>
      <c r="E80" s="2548">
        <f>'3. ครุภัณฑ์การเกษตร(รวมทุกงาน)'!G153</f>
        <v>50000</v>
      </c>
      <c r="F80" s="2539" t="s">
        <v>4167</v>
      </c>
      <c r="G80" s="2540" t="s">
        <v>4167</v>
      </c>
      <c r="H80" s="2539"/>
      <c r="I80" s="2540"/>
    </row>
    <row r="81" spans="1:9" ht="21.9" customHeight="1" x14ac:dyDescent="0.35">
      <c r="A81" s="2477"/>
      <c r="B81" s="2479" t="s">
        <v>5979</v>
      </c>
      <c r="C81" s="2547">
        <v>635</v>
      </c>
      <c r="D81" s="2547">
        <f>'3. ครุภัณฑ์การเกษตร(รวมทุกงาน)'!A155</f>
        <v>1</v>
      </c>
      <c r="E81" s="2548">
        <f>'3. ครุภัณฑ์การเกษตร(รวมทุกงาน)'!G156</f>
        <v>4480000</v>
      </c>
      <c r="F81" s="2539"/>
      <c r="G81" s="2540"/>
      <c r="H81" s="2539"/>
      <c r="I81" s="2540"/>
    </row>
    <row r="82" spans="1:9" ht="21.9" customHeight="1" x14ac:dyDescent="0.35">
      <c r="A82" s="2477"/>
      <c r="B82" s="2479" t="s">
        <v>5958</v>
      </c>
      <c r="C82" s="2547">
        <v>638</v>
      </c>
      <c r="D82" s="2547">
        <f>'3. ครุภัณฑ์การเกษตร(รวมทุกงาน)'!A160</f>
        <v>3</v>
      </c>
      <c r="E82" s="2548">
        <f>'3. ครุภัณฑ์การเกษตร(รวมทุกงาน)'!G161</f>
        <v>161900</v>
      </c>
      <c r="F82" s="2539"/>
      <c r="G82" s="2540"/>
      <c r="H82" s="2539"/>
      <c r="I82" s="2540"/>
    </row>
    <row r="83" spans="1:9" ht="21.9" customHeight="1" x14ac:dyDescent="0.35">
      <c r="A83" s="2477"/>
      <c r="B83" s="2479" t="s">
        <v>5980</v>
      </c>
      <c r="C83" s="2547">
        <v>639</v>
      </c>
      <c r="D83" s="2547">
        <f>'3. ครุภัณฑ์การเกษตร(รวมทุกงาน)'!A163</f>
        <v>1</v>
      </c>
      <c r="E83" s="2548">
        <f>'3. ครุภัณฑ์การเกษตร(รวมทุกงาน)'!G164</f>
        <v>2490000</v>
      </c>
      <c r="F83" s="2539"/>
      <c r="G83" s="2540"/>
      <c r="H83" s="2539"/>
      <c r="I83" s="2540"/>
    </row>
    <row r="84" spans="1:9" ht="21.9" customHeight="1" x14ac:dyDescent="0.35">
      <c r="A84" s="2477">
        <v>4</v>
      </c>
      <c r="B84" s="2479" t="s">
        <v>5981</v>
      </c>
      <c r="C84" s="2549"/>
      <c r="D84" s="2547"/>
      <c r="E84" s="2548"/>
      <c r="F84" s="2537"/>
      <c r="G84" s="2540"/>
      <c r="H84" s="2537"/>
      <c r="I84" s="2540"/>
    </row>
    <row r="85" spans="1:9" ht="21.9" customHeight="1" x14ac:dyDescent="0.35">
      <c r="A85" s="2477"/>
      <c r="B85" s="2479" t="s">
        <v>5957</v>
      </c>
      <c r="C85" s="2549" t="s">
        <v>6105</v>
      </c>
      <c r="D85" s="2554" t="str">
        <f>'4.ครุภัณฑ์ก่อสร้าง'!A11</f>
        <v>5</v>
      </c>
      <c r="E85" s="2555">
        <f>'4.ครุภัณฑ์ก่อสร้าง'!G12</f>
        <v>10000</v>
      </c>
      <c r="F85" s="2537">
        <f>'14.ครุภัณฑ์ต่ำกว่าเกณฑ์'!A388</f>
        <v>2</v>
      </c>
      <c r="G85" s="2540">
        <f>'14.ครุภัณฑ์ต่ำกว่าเกณฑ์'!H389</f>
        <v>4900</v>
      </c>
      <c r="H85" s="2537"/>
      <c r="I85" s="2540"/>
    </row>
    <row r="86" spans="1:9" ht="21.9" customHeight="1" x14ac:dyDescent="0.35">
      <c r="A86" s="2477"/>
      <c r="B86" s="2479" t="s">
        <v>5982</v>
      </c>
      <c r="C86" s="2549" t="s">
        <v>6106</v>
      </c>
      <c r="D86" s="2547">
        <f>'4.ครุภัณฑ์ก่อสร้าง'!A14</f>
        <v>1</v>
      </c>
      <c r="E86" s="2548">
        <f>'4.ครุภัณฑ์ก่อสร้าง'!G15</f>
        <v>2694000</v>
      </c>
      <c r="F86" s="2539" t="s">
        <v>4167</v>
      </c>
      <c r="G86" s="2540" t="s">
        <v>4167</v>
      </c>
      <c r="H86" s="2539"/>
      <c r="I86" s="2540"/>
    </row>
    <row r="87" spans="1:9" ht="21.9" customHeight="1" x14ac:dyDescent="0.35">
      <c r="A87" s="2477"/>
      <c r="B87" s="2479" t="s">
        <v>5983</v>
      </c>
      <c r="C87" s="2549" t="s">
        <v>6107</v>
      </c>
      <c r="D87" s="2547">
        <f>'4.ครุภัณฑ์ก่อสร้าง'!A26</f>
        <v>8</v>
      </c>
      <c r="E87" s="2550">
        <f>'4.ครุภัณฑ์ก่อสร้าง'!G27</f>
        <v>23068000</v>
      </c>
      <c r="F87" s="2539" t="s">
        <v>4167</v>
      </c>
      <c r="G87" s="2540" t="s">
        <v>4167</v>
      </c>
      <c r="H87" s="2539"/>
      <c r="I87" s="2540"/>
    </row>
    <row r="88" spans="1:9" ht="21.9" customHeight="1" x14ac:dyDescent="0.35">
      <c r="A88" s="2480"/>
      <c r="B88" s="2479" t="s">
        <v>5984</v>
      </c>
      <c r="C88" s="2549" t="s">
        <v>6108</v>
      </c>
      <c r="D88" s="2556">
        <f>'4.ครุภัณฑ์ก่อสร้าง'!A30</f>
        <v>2</v>
      </c>
      <c r="E88" s="2548">
        <f>'4.ครุภัณฑ์ก่อสร้าง'!G31</f>
        <v>6690000</v>
      </c>
      <c r="F88" s="2539" t="s">
        <v>4167</v>
      </c>
      <c r="G88" s="2540" t="s">
        <v>4167</v>
      </c>
      <c r="H88" s="2539"/>
      <c r="I88" s="2540"/>
    </row>
    <row r="89" spans="1:9" ht="21.9" customHeight="1" x14ac:dyDescent="0.35">
      <c r="A89" s="2477"/>
      <c r="B89" s="2479" t="s">
        <v>5985</v>
      </c>
      <c r="C89" s="2549" t="s">
        <v>6109</v>
      </c>
      <c r="D89" s="2547">
        <f>'4.ครุภัณฑ์ก่อสร้าง'!A37</f>
        <v>5</v>
      </c>
      <c r="E89" s="2548">
        <f>'4.ครุภัณฑ์ก่อสร้าง'!G38</f>
        <v>6041000</v>
      </c>
      <c r="F89" s="2539" t="s">
        <v>4167</v>
      </c>
      <c r="G89" s="2540" t="s">
        <v>4167</v>
      </c>
      <c r="H89" s="2539"/>
      <c r="I89" s="2540"/>
    </row>
    <row r="90" spans="1:9" ht="21.9" customHeight="1" x14ac:dyDescent="0.35">
      <c r="A90" s="2477"/>
      <c r="B90" s="2479" t="s">
        <v>5986</v>
      </c>
      <c r="C90" s="2549" t="s">
        <v>6110</v>
      </c>
      <c r="D90" s="2547">
        <f>'4.ครุภัณฑ์ก่อสร้าง'!A41</f>
        <v>2</v>
      </c>
      <c r="E90" s="2548">
        <f>'4.ครุภัณฑ์ก่อสร้าง'!G42</f>
        <v>2400</v>
      </c>
      <c r="F90" s="2539"/>
      <c r="G90" s="2540"/>
      <c r="H90" s="2539"/>
      <c r="I90" s="2540"/>
    </row>
    <row r="91" spans="1:9" ht="21.9" customHeight="1" x14ac:dyDescent="0.35">
      <c r="A91" s="2477"/>
      <c r="B91" s="2479" t="s">
        <v>6063</v>
      </c>
      <c r="C91" s="2549" t="s">
        <v>6111</v>
      </c>
      <c r="D91" s="2547">
        <f>'4.ครุภัณฑ์ก่อสร้าง'!A44</f>
        <v>1</v>
      </c>
      <c r="E91" s="2548">
        <f>'4.ครุภัณฑ์ก่อสร้าง'!G45</f>
        <v>6149900</v>
      </c>
      <c r="F91" s="2539"/>
      <c r="G91" s="2540"/>
      <c r="H91" s="2539"/>
      <c r="I91" s="2540"/>
    </row>
    <row r="92" spans="1:9" ht="21.9" customHeight="1" x14ac:dyDescent="0.35">
      <c r="A92" s="2477"/>
      <c r="B92" s="2479" t="s">
        <v>5987</v>
      </c>
      <c r="C92" s="2549" t="s">
        <v>6112</v>
      </c>
      <c r="D92" s="2557">
        <f>'4.ครุภัณฑ์ก่อสร้าง'!A49</f>
        <v>3</v>
      </c>
      <c r="E92" s="2548">
        <f>'4.ครุภัณฑ์ก่อสร้าง'!G50</f>
        <v>10000</v>
      </c>
      <c r="F92" s="2539" t="s">
        <v>4167</v>
      </c>
      <c r="G92" s="2540" t="s">
        <v>4167</v>
      </c>
      <c r="H92" s="2539"/>
      <c r="I92" s="2540"/>
    </row>
    <row r="93" spans="1:9" ht="21.9" customHeight="1" x14ac:dyDescent="0.35">
      <c r="A93" s="2477"/>
      <c r="B93" s="2479" t="s">
        <v>5988</v>
      </c>
      <c r="C93" s="2549" t="s">
        <v>6113</v>
      </c>
      <c r="D93" s="2547">
        <f>'4.ครุภัณฑ์ก่อสร้าง'!A56</f>
        <v>5</v>
      </c>
      <c r="E93" s="2548">
        <f>'4.ครุภัณฑ์ก่อสร้าง'!G57</f>
        <v>1948400</v>
      </c>
      <c r="F93" s="2539" t="s">
        <v>4167</v>
      </c>
      <c r="G93" s="2540" t="s">
        <v>4167</v>
      </c>
      <c r="H93" s="2539"/>
      <c r="I93" s="2540"/>
    </row>
    <row r="94" spans="1:9" ht="21.9" customHeight="1" x14ac:dyDescent="0.35">
      <c r="A94" s="2477"/>
      <c r="B94" s="2479" t="s">
        <v>5989</v>
      </c>
      <c r="C94" s="2549" t="s">
        <v>6114</v>
      </c>
      <c r="D94" s="2547">
        <f>'4.ครุภัณฑ์ก่อสร้าง'!A61</f>
        <v>3</v>
      </c>
      <c r="E94" s="2548">
        <f>'4.ครุภัณฑ์ก่อสร้าง'!G62</f>
        <v>720990</v>
      </c>
      <c r="F94" s="2539" t="s">
        <v>4167</v>
      </c>
      <c r="G94" s="2540" t="s">
        <v>4167</v>
      </c>
      <c r="H94" s="2539"/>
      <c r="I94" s="2540"/>
    </row>
    <row r="95" spans="1:9" ht="21.9" customHeight="1" x14ac:dyDescent="0.35">
      <c r="A95" s="2477"/>
      <c r="B95" s="2479" t="s">
        <v>5990</v>
      </c>
      <c r="C95" s="2549" t="s">
        <v>6115</v>
      </c>
      <c r="D95" s="2547">
        <f>'4.ครุภัณฑ์ก่อสร้าง'!A69</f>
        <v>6</v>
      </c>
      <c r="E95" s="2548">
        <f>'4.ครุภัณฑ์ก่อสร้าง'!G70</f>
        <v>6930820</v>
      </c>
      <c r="F95" s="2539" t="s">
        <v>4167</v>
      </c>
      <c r="G95" s="2540" t="s">
        <v>4167</v>
      </c>
      <c r="H95" s="2539"/>
      <c r="I95" s="2540"/>
    </row>
    <row r="96" spans="1:9" ht="21.9" customHeight="1" x14ac:dyDescent="0.35">
      <c r="A96" s="2477"/>
      <c r="B96" s="2479" t="s">
        <v>5991</v>
      </c>
      <c r="C96" s="2549" t="s">
        <v>6116</v>
      </c>
      <c r="D96" s="2547">
        <f>'4.ครุภัณฑ์ก่อสร้าง'!A73</f>
        <v>2</v>
      </c>
      <c r="E96" s="2548">
        <f>'4.ครุภัณฑ์ก่อสร้าง'!G74</f>
        <v>74000</v>
      </c>
      <c r="F96" s="2539" t="s">
        <v>4167</v>
      </c>
      <c r="G96" s="2540" t="s">
        <v>4167</v>
      </c>
      <c r="H96" s="2539"/>
      <c r="I96" s="2540"/>
    </row>
    <row r="97" spans="1:9" ht="21.9" customHeight="1" x14ac:dyDescent="0.35">
      <c r="A97" s="2477"/>
      <c r="B97" s="2479" t="s">
        <v>5992</v>
      </c>
      <c r="C97" s="2549" t="s">
        <v>6117</v>
      </c>
      <c r="D97" s="2547">
        <f>'4.ครุภัณฑ์ก่อสร้าง'!A76</f>
        <v>1</v>
      </c>
      <c r="E97" s="2548">
        <f>'4.ครุภัณฑ์ก่อสร้าง'!G77</f>
        <v>42000</v>
      </c>
      <c r="F97" s="2539" t="s">
        <v>4167</v>
      </c>
      <c r="G97" s="2540" t="s">
        <v>4167</v>
      </c>
      <c r="H97" s="2539"/>
      <c r="I97" s="2540"/>
    </row>
    <row r="98" spans="1:9" ht="21.9" customHeight="1" x14ac:dyDescent="0.35">
      <c r="A98" s="2477"/>
      <c r="B98" s="2479" t="s">
        <v>5993</v>
      </c>
      <c r="C98" s="2549" t="s">
        <v>6118</v>
      </c>
      <c r="D98" s="2547">
        <f>'4.ครุภัณฑ์ก่อสร้าง'!A81</f>
        <v>3</v>
      </c>
      <c r="E98" s="2548">
        <f>'4.ครุภัณฑ์ก่อสร้าง'!G82</f>
        <v>516000</v>
      </c>
      <c r="F98" s="2539" t="s">
        <v>4167</v>
      </c>
      <c r="G98" s="2540" t="s">
        <v>4167</v>
      </c>
      <c r="H98" s="2539"/>
      <c r="I98" s="2540"/>
    </row>
    <row r="99" spans="1:9" ht="21.9" customHeight="1" x14ac:dyDescent="0.35">
      <c r="A99" s="2477"/>
      <c r="B99" s="2479" t="s">
        <v>5994</v>
      </c>
      <c r="C99" s="2549" t="s">
        <v>6119</v>
      </c>
      <c r="D99" s="2558">
        <f>'4.ครุภัณฑ์ก่อสร้าง'!A84</f>
        <v>1</v>
      </c>
      <c r="E99" s="2548">
        <f>'4.ครุภัณฑ์ก่อสร้าง'!G85</f>
        <v>89500</v>
      </c>
      <c r="F99" s="2539"/>
      <c r="G99" s="2540"/>
      <c r="H99" s="2539"/>
      <c r="I99" s="2540"/>
    </row>
    <row r="100" spans="1:9" ht="21.9" customHeight="1" x14ac:dyDescent="0.35">
      <c r="A100" s="2477"/>
      <c r="B100" s="2559" t="s">
        <v>5995</v>
      </c>
      <c r="C100" s="2549" t="s">
        <v>6120</v>
      </c>
      <c r="D100" s="2551">
        <f>'4.ครุภัณฑ์ก่อสร้าง'!A90</f>
        <v>4</v>
      </c>
      <c r="E100" s="2552">
        <f>'4.ครุภัณฑ์ก่อสร้าง'!G92</f>
        <v>98250</v>
      </c>
      <c r="F100" s="2539"/>
      <c r="G100" s="2540"/>
      <c r="H100" s="2539"/>
      <c r="I100" s="2540"/>
    </row>
    <row r="101" spans="1:9" ht="21.9" customHeight="1" x14ac:dyDescent="0.35">
      <c r="A101" s="2477"/>
      <c r="B101" s="2479" t="s">
        <v>5996</v>
      </c>
      <c r="C101" s="2549" t="s">
        <v>6121</v>
      </c>
      <c r="D101" s="2547">
        <f>'4.ครุภัณฑ์ก่อสร้าง'!A95</f>
        <v>2</v>
      </c>
      <c r="E101" s="2548">
        <f>'4.ครุภัณฑ์ก่อสร้าง'!G97</f>
        <v>38480</v>
      </c>
      <c r="F101" s="2539" t="s">
        <v>4167</v>
      </c>
      <c r="G101" s="2540" t="s">
        <v>4167</v>
      </c>
      <c r="H101" s="2539"/>
      <c r="I101" s="2540"/>
    </row>
    <row r="102" spans="1:9" ht="21.9" customHeight="1" x14ac:dyDescent="0.35">
      <c r="A102" s="2477"/>
      <c r="B102" s="2479" t="s">
        <v>5997</v>
      </c>
      <c r="C102" s="2547">
        <v>106</v>
      </c>
      <c r="D102" s="2547">
        <f>'4.ครุภัณฑ์ก่อสร้าง'!A99</f>
        <v>1</v>
      </c>
      <c r="E102" s="2548">
        <f>'4.ครุภัณฑ์ก่อสร้าง'!G100</f>
        <v>17000</v>
      </c>
      <c r="F102" s="2539" t="s">
        <v>4167</v>
      </c>
      <c r="G102" s="2540" t="s">
        <v>4167</v>
      </c>
      <c r="H102" s="2539"/>
      <c r="I102" s="2540"/>
    </row>
    <row r="103" spans="1:9" ht="21.9" customHeight="1" x14ac:dyDescent="0.35">
      <c r="A103" s="2477"/>
      <c r="B103" s="2479" t="s">
        <v>5998</v>
      </c>
      <c r="C103" s="2547">
        <v>107</v>
      </c>
      <c r="D103" s="2547">
        <f>'4.ครุภัณฑ์ก่อสร้าง'!A102</f>
        <v>1</v>
      </c>
      <c r="E103" s="2548">
        <f>'4.ครุภัณฑ์ก่อสร้าง'!G103</f>
        <v>9500</v>
      </c>
      <c r="F103" s="2539" t="s">
        <v>4167</v>
      </c>
      <c r="G103" s="2540" t="s">
        <v>4167</v>
      </c>
      <c r="H103" s="2539"/>
      <c r="I103" s="2540"/>
    </row>
    <row r="104" spans="1:9" ht="21.9" customHeight="1" x14ac:dyDescent="0.35">
      <c r="A104" s="2477"/>
      <c r="B104" s="2479" t="s">
        <v>5999</v>
      </c>
      <c r="C104" s="2547">
        <v>110</v>
      </c>
      <c r="D104" s="2547">
        <f>'4.ครุภัณฑ์ก่อสร้าง'!A106</f>
        <v>1</v>
      </c>
      <c r="E104" s="2548">
        <f>'4.ครุภัณฑ์ก่อสร้าง'!G107</f>
        <v>289000</v>
      </c>
      <c r="F104" s="2539" t="s">
        <v>4167</v>
      </c>
      <c r="G104" s="2540" t="s">
        <v>4167</v>
      </c>
      <c r="H104" s="2539"/>
      <c r="I104" s="2540"/>
    </row>
    <row r="105" spans="1:9" ht="21.9" customHeight="1" x14ac:dyDescent="0.35">
      <c r="A105" s="2477"/>
      <c r="B105" s="2479" t="s">
        <v>6000</v>
      </c>
      <c r="C105" s="2547">
        <v>113</v>
      </c>
      <c r="D105" s="2547">
        <f>'4.ครุภัณฑ์ก่อสร้าง'!A112</f>
        <v>4</v>
      </c>
      <c r="E105" s="2548">
        <f>'4.ครุภัณฑ์ก่อสร้าง'!G113</f>
        <v>101020</v>
      </c>
      <c r="F105" s="2539" t="s">
        <v>4167</v>
      </c>
      <c r="G105" s="2540" t="s">
        <v>4167</v>
      </c>
      <c r="H105" s="2539"/>
      <c r="I105" s="2540"/>
    </row>
    <row r="106" spans="1:9" ht="21.9" customHeight="1" x14ac:dyDescent="0.35">
      <c r="A106" s="2477">
        <v>5</v>
      </c>
      <c r="B106" s="2481" t="s">
        <v>6001</v>
      </c>
      <c r="C106" s="2560"/>
      <c r="D106" s="2547"/>
      <c r="E106" s="2548"/>
      <c r="F106" s="2561"/>
      <c r="G106" s="2546"/>
      <c r="H106" s="2561"/>
      <c r="I106" s="2546"/>
    </row>
    <row r="107" spans="1:9" ht="21.9" customHeight="1" x14ac:dyDescent="0.35">
      <c r="A107" s="2477"/>
      <c r="B107" s="2542" t="s">
        <v>6002</v>
      </c>
      <c r="C107" s="2553" t="s">
        <v>1344</v>
      </c>
      <c r="D107" s="2562">
        <f>'5. ครุภัณฑ์ไฟฟ้าฯ'!A2974</f>
        <v>2968</v>
      </c>
      <c r="E107" s="2563">
        <f>'5. ครุภัณฑ์ไฟฟ้าฯ'!G2975</f>
        <v>24537691.870000038</v>
      </c>
      <c r="F107" s="2539" t="s">
        <v>4167</v>
      </c>
      <c r="G107" s="2540" t="s">
        <v>4167</v>
      </c>
      <c r="H107" s="2564"/>
      <c r="I107" s="2565"/>
    </row>
    <row r="108" spans="1:9" ht="21.9" customHeight="1" x14ac:dyDescent="0.35">
      <c r="A108" s="2480"/>
      <c r="B108" s="2542" t="s">
        <v>4118</v>
      </c>
      <c r="C108" s="2556">
        <v>105</v>
      </c>
      <c r="D108" s="2566">
        <f>'5. ครุภัณฑ์ไฟฟ้าฯ'!A3009</f>
        <v>33</v>
      </c>
      <c r="E108" s="2548">
        <f>'5. ครุภัณฑ์ไฟฟ้าฯ'!G3010</f>
        <v>1676810.9999999993</v>
      </c>
      <c r="F108" s="2561"/>
      <c r="G108" s="2546"/>
      <c r="H108" s="2561"/>
      <c r="I108" s="2546"/>
    </row>
    <row r="109" spans="1:9" ht="21.9" customHeight="1" x14ac:dyDescent="0.35">
      <c r="A109" s="2480"/>
      <c r="B109" s="2542" t="s">
        <v>6003</v>
      </c>
      <c r="C109" s="2556">
        <v>454</v>
      </c>
      <c r="D109" s="2566">
        <f>'5. ครุภัณฑ์ไฟฟ้าฯ'!A3020</f>
        <v>9</v>
      </c>
      <c r="E109" s="2548">
        <f>'5. ครุภัณฑ์ไฟฟ้าฯ'!G3021</f>
        <v>35310</v>
      </c>
      <c r="F109" s="2561"/>
      <c r="G109" s="2546"/>
      <c r="H109" s="2561"/>
      <c r="I109" s="2546"/>
    </row>
    <row r="110" spans="1:9" ht="21.9" customHeight="1" x14ac:dyDescent="0.35">
      <c r="A110" s="2480"/>
      <c r="B110" s="2542" t="s">
        <v>6004</v>
      </c>
      <c r="C110" s="2556">
        <v>455</v>
      </c>
      <c r="D110" s="2566">
        <f>'5. ครุภัณฑ์ไฟฟ้าฯ'!A3023</f>
        <v>1</v>
      </c>
      <c r="E110" s="2548">
        <f>'5. ครุภัณฑ์ไฟฟ้าฯ'!G3024</f>
        <v>1000</v>
      </c>
      <c r="F110" s="2561" t="s">
        <v>4167</v>
      </c>
      <c r="G110" s="2546" t="s">
        <v>4167</v>
      </c>
      <c r="H110" s="2561"/>
      <c r="I110" s="2546"/>
    </row>
    <row r="111" spans="1:9" ht="21.9" customHeight="1" x14ac:dyDescent="0.35">
      <c r="A111" s="2477"/>
      <c r="B111" s="2542" t="s">
        <v>6005</v>
      </c>
      <c r="C111" s="2502">
        <v>457</v>
      </c>
      <c r="D111" s="2502">
        <f>'5. ครุภัณฑ์ไฟฟ้าฯ'!A3037</f>
        <v>12</v>
      </c>
      <c r="E111" s="2503">
        <f>'5. ครุภัณฑ์ไฟฟ้าฯ'!G3038</f>
        <v>13200</v>
      </c>
      <c r="F111" s="2561" t="s">
        <v>4167</v>
      </c>
      <c r="G111" s="2546" t="s">
        <v>4167</v>
      </c>
      <c r="H111" s="2539"/>
      <c r="I111" s="2540"/>
    </row>
    <row r="112" spans="1:9" ht="21.9" customHeight="1" x14ac:dyDescent="0.35">
      <c r="A112" s="2477"/>
      <c r="B112" s="2542" t="s">
        <v>6006</v>
      </c>
      <c r="C112" s="2560" t="s">
        <v>6007</v>
      </c>
      <c r="D112" s="2547">
        <f>'5. ครุภัณฑ์ไฟฟ้าฯ'!A3048</f>
        <v>9</v>
      </c>
      <c r="E112" s="2548">
        <f>'5. ครุภัณฑ์ไฟฟ้าฯ'!G3049</f>
        <v>22161</v>
      </c>
      <c r="F112" s="2561" t="s">
        <v>4167</v>
      </c>
      <c r="G112" s="2546" t="s">
        <v>4167</v>
      </c>
      <c r="H112" s="2561"/>
      <c r="I112" s="2546"/>
    </row>
    <row r="113" spans="1:10" ht="21.9" customHeight="1" x14ac:dyDescent="0.35">
      <c r="A113" s="2477"/>
      <c r="B113" s="2542" t="s">
        <v>6008</v>
      </c>
      <c r="C113" s="2560" t="s">
        <v>6009</v>
      </c>
      <c r="D113" s="2547">
        <f>'5. ครุภัณฑ์ไฟฟ้าฯ'!A3062</f>
        <v>12</v>
      </c>
      <c r="E113" s="2548">
        <f>'5. ครุภัณฑ์ไฟฟ้าฯ'!G3063</f>
        <v>88474</v>
      </c>
      <c r="F113" s="2561" t="s">
        <v>4167</v>
      </c>
      <c r="G113" s="2546" t="s">
        <v>4167</v>
      </c>
      <c r="H113" s="2561"/>
      <c r="I113" s="2546"/>
    </row>
    <row r="114" spans="1:10" ht="21.9" customHeight="1" x14ac:dyDescent="0.35">
      <c r="A114" s="2477"/>
      <c r="B114" s="2542" t="s">
        <v>6010</v>
      </c>
      <c r="C114" s="2560" t="s">
        <v>4156</v>
      </c>
      <c r="D114" s="2547">
        <f>'5. ครุภัณฑ์ไฟฟ้าฯ'!A3071</f>
        <v>7</v>
      </c>
      <c r="E114" s="2548">
        <f>'5. ครุภัณฑ์ไฟฟ้าฯ'!G3072</f>
        <v>125831.75</v>
      </c>
      <c r="F114" s="2561" t="s">
        <v>1164</v>
      </c>
      <c r="G114" s="2540">
        <f>'14.ครุภัณฑ์ต่ำกว่าเกณฑ์'!H393</f>
        <v>2700</v>
      </c>
      <c r="H114" s="2561"/>
      <c r="I114" s="2540"/>
    </row>
    <row r="115" spans="1:10" ht="21.9" customHeight="1" x14ac:dyDescent="0.35">
      <c r="A115" s="2477"/>
      <c r="B115" s="2542" t="s">
        <v>6011</v>
      </c>
      <c r="C115" s="2560" t="s">
        <v>4164</v>
      </c>
      <c r="D115" s="2547">
        <f>'5. ครุภัณฑ์ไฟฟ้าฯ'!A3076</f>
        <v>2</v>
      </c>
      <c r="E115" s="2548">
        <f>'5. ครุภัณฑ์ไฟฟ้าฯ'!G3077</f>
        <v>5000</v>
      </c>
      <c r="F115" s="2539" t="s">
        <v>4167</v>
      </c>
      <c r="G115" s="2540" t="s">
        <v>4167</v>
      </c>
      <c r="H115" s="2539"/>
      <c r="I115" s="2540"/>
    </row>
    <row r="116" spans="1:10" ht="21.9" customHeight="1" x14ac:dyDescent="0.35">
      <c r="A116" s="2477"/>
      <c r="B116" s="2542" t="s">
        <v>6012</v>
      </c>
      <c r="C116" s="2560" t="s">
        <v>4173</v>
      </c>
      <c r="D116" s="2547">
        <f>'5. ครุภัณฑ์ไฟฟ้าฯ'!A3081</f>
        <v>3</v>
      </c>
      <c r="E116" s="2548">
        <f>'5. ครุภัณฑ์ไฟฟ้าฯ'!G3082</f>
        <v>240000</v>
      </c>
      <c r="F116" s="2539" t="s">
        <v>4167</v>
      </c>
      <c r="G116" s="2540" t="s">
        <v>4167</v>
      </c>
      <c r="H116" s="2539"/>
      <c r="I116" s="2540"/>
    </row>
    <row r="117" spans="1:10" ht="21.9" customHeight="1" x14ac:dyDescent="0.35">
      <c r="A117" s="2477"/>
      <c r="B117" s="2567" t="s">
        <v>6013</v>
      </c>
      <c r="C117" s="2560" t="s">
        <v>4180</v>
      </c>
      <c r="D117" s="2547">
        <f>'5. ครุภัณฑ์ไฟฟ้าฯ'!A3110</f>
        <v>27</v>
      </c>
      <c r="E117" s="2568">
        <f>'5. ครุภัณฑ์ไฟฟ้าฯ'!G3111</f>
        <v>2658964.0699999994</v>
      </c>
      <c r="F117" s="2539" t="s">
        <v>4167</v>
      </c>
      <c r="G117" s="2540" t="s">
        <v>4167</v>
      </c>
      <c r="H117" s="2564"/>
      <c r="I117" s="2569"/>
    </row>
    <row r="118" spans="1:10" ht="21.9" customHeight="1" x14ac:dyDescent="0.35">
      <c r="A118" s="2477"/>
      <c r="B118" s="2567" t="s">
        <v>6064</v>
      </c>
      <c r="C118" s="2560" t="s">
        <v>4208</v>
      </c>
      <c r="D118" s="2547">
        <f>'5. ครุภัณฑ์ไฟฟ้าฯ'!A3113</f>
        <v>1</v>
      </c>
      <c r="E118" s="2568">
        <f>'5. ครุภัณฑ์ไฟฟ้าฯ'!G3114</f>
        <v>8400</v>
      </c>
      <c r="F118" s="2539" t="s">
        <v>4167</v>
      </c>
      <c r="G118" s="2540" t="s">
        <v>4167</v>
      </c>
      <c r="H118" s="2564"/>
      <c r="I118" s="2569"/>
    </row>
    <row r="119" spans="1:10" ht="21.9" customHeight="1" x14ac:dyDescent="0.35">
      <c r="A119" s="2477">
        <v>6</v>
      </c>
      <c r="B119" s="2482" t="s">
        <v>6014</v>
      </c>
      <c r="C119" s="2560"/>
      <c r="D119" s="2570"/>
      <c r="E119" s="2548"/>
      <c r="F119" s="2561"/>
      <c r="G119" s="2540"/>
      <c r="H119" s="2561"/>
      <c r="I119" s="2540"/>
    </row>
    <row r="120" spans="1:10" ht="21.9" customHeight="1" x14ac:dyDescent="0.35">
      <c r="A120" s="2477"/>
      <c r="B120" s="2482" t="s">
        <v>6015</v>
      </c>
      <c r="C120" s="2560" t="s">
        <v>4213</v>
      </c>
      <c r="D120" s="2558">
        <f>'6. ครุภัณฑ์โฆษณาและเผยแพร่'!A8</f>
        <v>2</v>
      </c>
      <c r="E120" s="2548">
        <f>'6. ครุภัณฑ์โฆษณาและเผยแพร่'!G9</f>
        <v>42800</v>
      </c>
      <c r="F120" s="2571" t="s">
        <v>4167</v>
      </c>
      <c r="G120" s="2540" t="s">
        <v>4167</v>
      </c>
      <c r="H120" s="2571"/>
      <c r="I120" s="2540"/>
    </row>
    <row r="121" spans="1:10" ht="21.9" customHeight="1" x14ac:dyDescent="0.35">
      <c r="A121" s="2477"/>
      <c r="B121" s="2567" t="s">
        <v>6017</v>
      </c>
      <c r="C121" s="2560" t="s">
        <v>4215</v>
      </c>
      <c r="D121" s="2551">
        <f>'6. ครุภัณฑ์โฆษณาและเผยแพร่'!A12</f>
        <v>2</v>
      </c>
      <c r="E121" s="2552">
        <f>'[1]7. ครุภัณฑ์โฆษณาและเผยแพร่'!G13</f>
        <v>101168.5</v>
      </c>
      <c r="F121" s="2539" t="s">
        <v>4167</v>
      </c>
      <c r="G121" s="2540" t="s">
        <v>4167</v>
      </c>
      <c r="H121" s="2539"/>
      <c r="I121" s="2540"/>
    </row>
    <row r="122" spans="1:10" ht="21.9" customHeight="1" x14ac:dyDescent="0.35">
      <c r="A122" s="2477"/>
      <c r="B122" s="2482" t="s">
        <v>6016</v>
      </c>
      <c r="C122" s="2560" t="s">
        <v>4119</v>
      </c>
      <c r="D122" s="2558">
        <f>'6. ครุภัณฑ์โฆษณาและเผยแพร่'!A27</f>
        <v>7</v>
      </c>
      <c r="E122" s="2548">
        <f>'6. ครุภัณฑ์โฆษณาและเผยแพร่'!G29</f>
        <v>109000</v>
      </c>
      <c r="F122" s="2571" t="s">
        <v>4167</v>
      </c>
      <c r="G122" s="2540" t="s">
        <v>4167</v>
      </c>
      <c r="H122" s="2571"/>
      <c r="I122" s="2540"/>
    </row>
    <row r="123" spans="1:10" ht="21.9" customHeight="1" x14ac:dyDescent="0.35">
      <c r="A123" s="2477"/>
      <c r="B123" s="2542" t="s">
        <v>6018</v>
      </c>
      <c r="C123" s="2560" t="s">
        <v>4231</v>
      </c>
      <c r="D123" s="2547">
        <f>'6. ครุภัณฑ์โฆษณาและเผยแพร่'!A32</f>
        <v>2</v>
      </c>
      <c r="E123" s="2548">
        <f>'6. ครุภัณฑ์โฆษณาและเผยแพร่'!G33</f>
        <v>34795</v>
      </c>
      <c r="F123" s="2539" t="s">
        <v>4167</v>
      </c>
      <c r="G123" s="2540" t="s">
        <v>4167</v>
      </c>
      <c r="H123" s="2539"/>
      <c r="I123" s="2540"/>
    </row>
    <row r="124" spans="1:10" ht="21.9" customHeight="1" x14ac:dyDescent="0.35">
      <c r="A124" s="2477">
        <v>7</v>
      </c>
      <c r="B124" s="2482" t="s">
        <v>6019</v>
      </c>
      <c r="C124" s="2560"/>
      <c r="D124" s="2547"/>
      <c r="E124" s="2548"/>
      <c r="F124" s="2537"/>
      <c r="G124" s="2540"/>
      <c r="H124" s="2537"/>
      <c r="I124" s="2540"/>
    </row>
    <row r="125" spans="1:10" ht="21.9" customHeight="1" x14ac:dyDescent="0.35">
      <c r="A125" s="2477"/>
      <c r="B125" s="2572" t="s">
        <v>4238</v>
      </c>
      <c r="C125" s="2560" t="s">
        <v>4236</v>
      </c>
      <c r="D125" s="2547">
        <f>'7.ครุภัณฑ์วิทยาศาสตร์ฯ'!A8</f>
        <v>2</v>
      </c>
      <c r="E125" s="2548">
        <f>'7.ครุภัณฑ์วิทยาศาสตร์ฯ'!G9</f>
        <v>164500</v>
      </c>
      <c r="F125" s="2539" t="s">
        <v>4167</v>
      </c>
      <c r="G125" s="2540" t="s">
        <v>4167</v>
      </c>
      <c r="H125" s="2539"/>
      <c r="I125" s="2540"/>
    </row>
    <row r="126" spans="1:10" ht="21.9" customHeight="1" x14ac:dyDescent="0.35">
      <c r="A126" s="2477"/>
      <c r="B126" s="2567" t="s">
        <v>6020</v>
      </c>
      <c r="C126" s="2547">
        <v>227</v>
      </c>
      <c r="D126" s="2547">
        <f>'7.ครุภัณฑ์วิทยาศาสตร์ฯ'!A13</f>
        <v>2</v>
      </c>
      <c r="E126" s="2573">
        <f>'7.ครุภัณฑ์วิทยาศาสตร์ฯ'!G15</f>
        <v>361820</v>
      </c>
      <c r="F126" s="2539" t="s">
        <v>4167</v>
      </c>
      <c r="G126" s="2540" t="s">
        <v>4167</v>
      </c>
      <c r="H126" s="2539"/>
      <c r="I126" s="2540"/>
    </row>
    <row r="127" spans="1:10" ht="21.9" customHeight="1" x14ac:dyDescent="0.35">
      <c r="A127" s="2477"/>
      <c r="B127" s="2567" t="s">
        <v>6065</v>
      </c>
      <c r="C127" s="2547">
        <v>289</v>
      </c>
      <c r="D127" s="2547">
        <f>'7.ครุภัณฑ์วิทยาศาสตร์ฯ'!A18</f>
        <v>2</v>
      </c>
      <c r="E127" s="2573">
        <f>'7.ครุภัณฑ์วิทยาศาสตร์ฯ'!G19</f>
        <v>130000</v>
      </c>
      <c r="F127" s="2539" t="s">
        <v>4167</v>
      </c>
      <c r="G127" s="2540" t="s">
        <v>4167</v>
      </c>
      <c r="H127" s="2539"/>
      <c r="I127" s="2540"/>
    </row>
    <row r="128" spans="1:10" ht="21.9" customHeight="1" x14ac:dyDescent="0.35">
      <c r="A128" s="2475"/>
      <c r="B128" s="2574" t="s">
        <v>6021</v>
      </c>
      <c r="C128" s="2502">
        <v>298</v>
      </c>
      <c r="D128" s="2502">
        <v>5</v>
      </c>
      <c r="E128" s="2575">
        <f>'7.ครุภัณฑ์วิทยาศาสตร์ฯ'!G26</f>
        <v>10025</v>
      </c>
      <c r="F128" s="2539" t="s">
        <v>4167</v>
      </c>
      <c r="G128" s="2540" t="s">
        <v>4167</v>
      </c>
      <c r="H128" s="2539"/>
      <c r="I128" s="2540"/>
      <c r="J128" s="2301"/>
    </row>
    <row r="129" spans="1:9" ht="21.9" customHeight="1" x14ac:dyDescent="0.35">
      <c r="A129" s="2477"/>
      <c r="B129" s="2567" t="s">
        <v>6066</v>
      </c>
      <c r="C129" s="2547">
        <v>299</v>
      </c>
      <c r="D129" s="2547">
        <f>'7.ครุภัณฑ์วิทยาศาสตร์ฯ'!A28</f>
        <v>1</v>
      </c>
      <c r="E129" s="2573">
        <f>'7.ครุภัณฑ์วิทยาศาสตร์ฯ'!G29</f>
        <v>90000</v>
      </c>
      <c r="F129" s="2539" t="s">
        <v>4167</v>
      </c>
      <c r="G129" s="2540" t="s">
        <v>4167</v>
      </c>
      <c r="H129" s="2539"/>
      <c r="I129" s="2540"/>
    </row>
    <row r="130" spans="1:9" ht="21.9" customHeight="1" x14ac:dyDescent="0.35">
      <c r="A130" s="2477">
        <v>8</v>
      </c>
      <c r="B130" s="2482" t="s">
        <v>6022</v>
      </c>
      <c r="C130" s="2547"/>
      <c r="D130" s="2547"/>
      <c r="E130" s="2548"/>
      <c r="F130" s="2537"/>
      <c r="G130" s="2546"/>
      <c r="H130" s="2537"/>
      <c r="I130" s="2546"/>
    </row>
    <row r="131" spans="1:9" ht="21.9" customHeight="1" x14ac:dyDescent="0.35">
      <c r="A131" s="2475"/>
      <c r="B131" s="2542" t="s">
        <v>6023</v>
      </c>
      <c r="C131" s="2502">
        <v>434</v>
      </c>
      <c r="D131" s="2502">
        <f>'8.ครุภัณฑ์งานบ้านฯ'!A10</f>
        <v>4</v>
      </c>
      <c r="E131" s="2503">
        <f>'8.ครุภัณฑ์งานบ้านฯ'!G11</f>
        <v>19931.25</v>
      </c>
      <c r="F131" s="2539" t="s">
        <v>4167</v>
      </c>
      <c r="G131" s="2540" t="s">
        <v>4167</v>
      </c>
      <c r="H131" s="2539"/>
      <c r="I131" s="2540"/>
    </row>
    <row r="132" spans="1:9" ht="21.9" customHeight="1" x14ac:dyDescent="0.35">
      <c r="A132" s="2477"/>
      <c r="B132" s="2567" t="s">
        <v>6024</v>
      </c>
      <c r="C132" s="2547">
        <v>439</v>
      </c>
      <c r="D132" s="2547">
        <f>'8.ครุภัณฑ์งานบ้านฯ'!A17</f>
        <v>5</v>
      </c>
      <c r="E132" s="2548">
        <f>'8.ครุภัณฑ์งานบ้านฯ'!G18</f>
        <v>16600</v>
      </c>
      <c r="F132" s="2539" t="s">
        <v>4167</v>
      </c>
      <c r="G132" s="2540" t="s">
        <v>4167</v>
      </c>
      <c r="H132" s="2539"/>
      <c r="I132" s="2540"/>
    </row>
    <row r="133" spans="1:9" ht="21.9" customHeight="1" x14ac:dyDescent="0.35">
      <c r="A133" s="2477"/>
      <c r="B133" s="2567" t="s">
        <v>6025</v>
      </c>
      <c r="C133" s="2547">
        <v>441</v>
      </c>
      <c r="D133" s="2547">
        <f>'8.ครุภัณฑ์งานบ้านฯ'!A48</f>
        <v>29</v>
      </c>
      <c r="E133" s="2548">
        <f>'8.ครุภัณฑ์งานบ้านฯ'!G49</f>
        <v>292500</v>
      </c>
      <c r="F133" s="2539" t="s">
        <v>4167</v>
      </c>
      <c r="G133" s="2540" t="s">
        <v>4167</v>
      </c>
      <c r="H133" s="2539"/>
      <c r="I133" s="2540"/>
    </row>
    <row r="134" spans="1:9" ht="21.9" customHeight="1" x14ac:dyDescent="0.35">
      <c r="A134" s="2477"/>
      <c r="B134" s="2567" t="s">
        <v>4308</v>
      </c>
      <c r="C134" s="2547">
        <v>635</v>
      </c>
      <c r="D134" s="2547">
        <f>'8.ครุภัณฑ์งานบ้านฯ'!A58</f>
        <v>8</v>
      </c>
      <c r="E134" s="2548">
        <f>'8.ครุภัณฑ์งานบ้านฯ'!G59</f>
        <v>92650</v>
      </c>
      <c r="F134" s="2539" t="s">
        <v>4167</v>
      </c>
      <c r="G134" s="2540" t="s">
        <v>4167</v>
      </c>
      <c r="H134" s="2539"/>
      <c r="I134" s="2540"/>
    </row>
    <row r="135" spans="1:9" ht="21.9" customHeight="1" x14ac:dyDescent="0.35">
      <c r="A135" s="2477"/>
      <c r="B135" s="2567" t="s">
        <v>4311</v>
      </c>
      <c r="C135" s="2547">
        <v>701</v>
      </c>
      <c r="D135" s="2547">
        <f>'8.ครุภัณฑ์งานบ้านฯ'!A61</f>
        <v>1</v>
      </c>
      <c r="E135" s="2548">
        <f>'8.ครุภัณฑ์งานบ้านฯ'!G62</f>
        <v>270000</v>
      </c>
      <c r="F135" s="2539" t="s">
        <v>4167</v>
      </c>
      <c r="G135" s="2540" t="s">
        <v>4167</v>
      </c>
      <c r="H135" s="2539"/>
      <c r="I135" s="2540"/>
    </row>
    <row r="136" spans="1:9" ht="21.9" customHeight="1" x14ac:dyDescent="0.35">
      <c r="A136" s="2477"/>
      <c r="B136" s="2567" t="s">
        <v>6026</v>
      </c>
      <c r="C136" s="2547">
        <v>711</v>
      </c>
      <c r="D136" s="2547">
        <f>'8.ครุภัณฑ์งานบ้านฯ'!A65</f>
        <v>2</v>
      </c>
      <c r="E136" s="2548">
        <f>'8.ครุภัณฑ์งานบ้านฯ'!G66</f>
        <v>38600</v>
      </c>
      <c r="F136" s="2539" t="s">
        <v>4167</v>
      </c>
      <c r="G136" s="2540" t="s">
        <v>4167</v>
      </c>
      <c r="H136" s="2539"/>
      <c r="I136" s="2540"/>
    </row>
    <row r="137" spans="1:9" ht="21.9" customHeight="1" x14ac:dyDescent="0.35">
      <c r="A137" s="2477"/>
      <c r="B137" s="2567" t="s">
        <v>6027</v>
      </c>
      <c r="C137" s="2547">
        <v>722</v>
      </c>
      <c r="D137" s="2547">
        <f>'8.ครุภัณฑ์งานบ้านฯ'!A72</f>
        <v>5</v>
      </c>
      <c r="E137" s="2548">
        <f>'8.ครุภัณฑ์งานบ้านฯ'!G73</f>
        <v>30000</v>
      </c>
      <c r="F137" s="2539" t="s">
        <v>4167</v>
      </c>
      <c r="G137" s="2540" t="s">
        <v>4167</v>
      </c>
      <c r="H137" s="2539"/>
      <c r="I137" s="2540"/>
    </row>
    <row r="138" spans="1:9" ht="21.9" customHeight="1" x14ac:dyDescent="0.35">
      <c r="A138" s="2477">
        <v>9</v>
      </c>
      <c r="B138" s="2482" t="s">
        <v>6028</v>
      </c>
      <c r="C138" s="2547"/>
      <c r="D138" s="2547"/>
      <c r="E138" s="2548"/>
      <c r="F138" s="2537"/>
      <c r="G138" s="2540"/>
      <c r="H138" s="2537"/>
      <c r="I138" s="2540"/>
    </row>
    <row r="139" spans="1:9" ht="21.9" customHeight="1" x14ac:dyDescent="0.35">
      <c r="A139" s="2477"/>
      <c r="B139" s="2567" t="s">
        <v>6029</v>
      </c>
      <c r="C139" s="2576" t="s">
        <v>6122</v>
      </c>
      <c r="D139" s="2547">
        <f>'9.ครุภัณฑ์โรงงาน'!A9</f>
        <v>3</v>
      </c>
      <c r="E139" s="2548">
        <f>'9.ครุภัณฑ์โรงงาน'!G10</f>
        <v>49200</v>
      </c>
      <c r="F139" s="2537">
        <f>'14.ครุภัณฑ์ต่ำกว่าเกณฑ์'!A398</f>
        <v>3</v>
      </c>
      <c r="G139" s="2540">
        <f>'14.ครุภัณฑ์ต่ำกว่าเกณฑ์'!H399</f>
        <v>8400</v>
      </c>
      <c r="H139" s="2537"/>
      <c r="I139" s="2540"/>
    </row>
    <row r="140" spans="1:9" ht="21.9" customHeight="1" x14ac:dyDescent="0.35">
      <c r="A140" s="2477"/>
      <c r="B140" s="2479" t="s">
        <v>6030</v>
      </c>
      <c r="C140" s="2576" t="s">
        <v>6123</v>
      </c>
      <c r="D140" s="2554" t="str">
        <f>'9.ครุภัณฑ์โรงงาน'!A19</f>
        <v>8</v>
      </c>
      <c r="E140" s="2548">
        <f>'9.ครุภัณฑ์โรงงาน'!G20</f>
        <v>162520</v>
      </c>
      <c r="F140" s="2539" t="s">
        <v>4167</v>
      </c>
      <c r="G140" s="2540" t="s">
        <v>4167</v>
      </c>
      <c r="H140" s="2539"/>
      <c r="I140" s="2540"/>
    </row>
    <row r="141" spans="1:9" ht="21.9" customHeight="1" x14ac:dyDescent="0.35">
      <c r="A141" s="2477"/>
      <c r="B141" s="2567" t="s">
        <v>6031</v>
      </c>
      <c r="C141" s="2576" t="s">
        <v>6124</v>
      </c>
      <c r="D141" s="2547">
        <f>'9.ครุภัณฑ์โรงงาน'!A22</f>
        <v>1</v>
      </c>
      <c r="E141" s="2548">
        <f>'9.ครุภัณฑ์โรงงาน'!G23</f>
        <v>6300</v>
      </c>
      <c r="F141" s="2539" t="s">
        <v>4167</v>
      </c>
      <c r="G141" s="2540" t="s">
        <v>4167</v>
      </c>
      <c r="H141" s="2539"/>
      <c r="I141" s="2540"/>
    </row>
    <row r="142" spans="1:9" ht="21.9" customHeight="1" x14ac:dyDescent="0.35">
      <c r="A142" s="2477"/>
      <c r="B142" s="2567" t="s">
        <v>6032</v>
      </c>
      <c r="C142" s="2576" t="s">
        <v>6125</v>
      </c>
      <c r="D142" s="2547">
        <f>'9.ครุภัณฑ์โรงงาน'!A29</f>
        <v>5</v>
      </c>
      <c r="E142" s="2548">
        <f>'9.ครุภัณฑ์โรงงาน'!G31</f>
        <v>83600</v>
      </c>
      <c r="F142" s="2539" t="s">
        <v>4167</v>
      </c>
      <c r="G142" s="2540" t="s">
        <v>4167</v>
      </c>
      <c r="H142" s="2539"/>
      <c r="I142" s="2540"/>
    </row>
    <row r="143" spans="1:9" ht="21.9" customHeight="1" x14ac:dyDescent="0.35">
      <c r="A143" s="2477"/>
      <c r="B143" s="2567" t="s">
        <v>6033</v>
      </c>
      <c r="C143" s="2576" t="s">
        <v>6126</v>
      </c>
      <c r="D143" s="2547">
        <f>'9.ครุภัณฑ์โรงงาน'!A34</f>
        <v>2</v>
      </c>
      <c r="E143" s="2548">
        <f>'9.ครุภัณฑ์โรงงาน'!G35</f>
        <v>39180</v>
      </c>
      <c r="F143" s="2539" t="s">
        <v>4167</v>
      </c>
      <c r="G143" s="2540" t="s">
        <v>4167</v>
      </c>
      <c r="H143" s="2539"/>
      <c r="I143" s="2540"/>
    </row>
    <row r="144" spans="1:9" ht="21.9" customHeight="1" x14ac:dyDescent="0.35">
      <c r="A144" s="2477"/>
      <c r="B144" s="2567" t="s">
        <v>6034</v>
      </c>
      <c r="C144" s="2576" t="s">
        <v>6127</v>
      </c>
      <c r="D144" s="2547">
        <f>'9.ครุภัณฑ์โรงงาน'!A47</f>
        <v>11</v>
      </c>
      <c r="E144" s="2548">
        <f>'9.ครุภัณฑ์โรงงาน'!G48</f>
        <v>221830</v>
      </c>
      <c r="F144" s="2539" t="s">
        <v>4167</v>
      </c>
      <c r="G144" s="2540" t="s">
        <v>4167</v>
      </c>
      <c r="H144" s="2539"/>
      <c r="I144" s="2540"/>
    </row>
    <row r="145" spans="1:10" ht="21.9" customHeight="1" x14ac:dyDescent="0.35">
      <c r="A145" s="2477"/>
      <c r="B145" s="2567" t="s">
        <v>6035</v>
      </c>
      <c r="C145" s="2576" t="s">
        <v>6128</v>
      </c>
      <c r="D145" s="2547">
        <f>'9.ครุภัณฑ์โรงงาน'!A61</f>
        <v>12</v>
      </c>
      <c r="E145" s="2548">
        <f>'9.ครุภัณฑ์โรงงาน'!G62</f>
        <v>84476</v>
      </c>
      <c r="F145" s="2539" t="s">
        <v>4167</v>
      </c>
      <c r="G145" s="2540" t="s">
        <v>4167</v>
      </c>
      <c r="H145" s="2539"/>
      <c r="I145" s="2540"/>
    </row>
    <row r="146" spans="1:10" ht="21.9" customHeight="1" x14ac:dyDescent="0.35">
      <c r="A146" s="2477"/>
      <c r="B146" s="2567" t="s">
        <v>6036</v>
      </c>
      <c r="C146" s="2576" t="s">
        <v>6129</v>
      </c>
      <c r="D146" s="2547">
        <f>'9.ครุภัณฑ์โรงงาน'!A68</f>
        <v>5</v>
      </c>
      <c r="E146" s="2548">
        <f>'9.ครุภัณฑ์โรงงาน'!G69</f>
        <v>17950</v>
      </c>
      <c r="F146" s="2539" t="s">
        <v>4167</v>
      </c>
      <c r="G146" s="2540" t="s">
        <v>4167</v>
      </c>
      <c r="H146" s="2539"/>
      <c r="I146" s="2540"/>
    </row>
    <row r="147" spans="1:10" ht="21.9" customHeight="1" x14ac:dyDescent="0.35">
      <c r="A147" s="2477"/>
      <c r="B147" s="2567" t="s">
        <v>6037</v>
      </c>
      <c r="C147" s="2576" t="s">
        <v>6130</v>
      </c>
      <c r="D147" s="2547">
        <f>'9.ครุภัณฑ์โรงงาน'!A71</f>
        <v>1</v>
      </c>
      <c r="E147" s="2548">
        <f>'9.ครุภัณฑ์โรงงาน'!G72</f>
        <v>37000</v>
      </c>
      <c r="F147" s="2539" t="s">
        <v>4167</v>
      </c>
      <c r="G147" s="2540" t="s">
        <v>4167</v>
      </c>
      <c r="H147" s="2539"/>
      <c r="I147" s="2540"/>
    </row>
    <row r="148" spans="1:10" ht="21.9" customHeight="1" x14ac:dyDescent="0.35">
      <c r="A148" s="2477"/>
      <c r="B148" s="2567" t="s">
        <v>6038</v>
      </c>
      <c r="C148" s="2547">
        <v>103</v>
      </c>
      <c r="D148" s="2547">
        <f>'9.ครุภัณฑ์โรงงาน'!A79</f>
        <v>6</v>
      </c>
      <c r="E148" s="2548">
        <f>'9.ครุภัณฑ์โรงงาน'!G80</f>
        <v>25852</v>
      </c>
      <c r="F148" s="2539" t="s">
        <v>4167</v>
      </c>
      <c r="G148" s="2540" t="s">
        <v>4167</v>
      </c>
      <c r="H148" s="2539"/>
      <c r="I148" s="2540"/>
    </row>
    <row r="149" spans="1:10" ht="21.9" customHeight="1" x14ac:dyDescent="0.35">
      <c r="A149" s="2477"/>
      <c r="B149" s="2567" t="s">
        <v>6039</v>
      </c>
      <c r="C149" s="2547">
        <v>104</v>
      </c>
      <c r="D149" s="2547">
        <f>'9.ครุภัณฑ์โรงงาน'!A82</f>
        <v>1</v>
      </c>
      <c r="E149" s="2548">
        <f>'9.ครุภัณฑ์โรงงาน'!G83</f>
        <v>2200</v>
      </c>
      <c r="F149" s="2539" t="s">
        <v>4167</v>
      </c>
      <c r="G149" s="2540" t="s">
        <v>4167</v>
      </c>
      <c r="H149" s="2539"/>
      <c r="I149" s="2540"/>
    </row>
    <row r="150" spans="1:10" ht="21.9" customHeight="1" x14ac:dyDescent="0.35">
      <c r="A150" s="2477"/>
      <c r="B150" s="2478" t="s">
        <v>6040</v>
      </c>
      <c r="C150" s="2547">
        <v>108</v>
      </c>
      <c r="D150" s="2547">
        <f>'9.ครุภัณฑ์โรงงาน'!A85</f>
        <v>1</v>
      </c>
      <c r="E150" s="2548">
        <f>'9.ครุภัณฑ์โรงงาน'!G86</f>
        <v>85000</v>
      </c>
      <c r="F150" s="2539" t="s">
        <v>4167</v>
      </c>
      <c r="G150" s="2540" t="s">
        <v>4167</v>
      </c>
      <c r="H150" s="2539"/>
      <c r="I150" s="2540"/>
    </row>
    <row r="151" spans="1:10" ht="21.9" customHeight="1" x14ac:dyDescent="0.35">
      <c r="A151" s="2477"/>
      <c r="B151" s="2567" t="s">
        <v>6041</v>
      </c>
      <c r="C151" s="2547">
        <v>112</v>
      </c>
      <c r="D151" s="2547">
        <f>'9.ครุภัณฑ์โรงงาน'!A88</f>
        <v>1</v>
      </c>
      <c r="E151" s="2548">
        <f>'9.ครุภัณฑ์โรงงาน'!G89</f>
        <v>20000</v>
      </c>
      <c r="F151" s="2539" t="s">
        <v>4167</v>
      </c>
      <c r="G151" s="2540" t="s">
        <v>4167</v>
      </c>
      <c r="H151" s="2539"/>
      <c r="I151" s="2540"/>
    </row>
    <row r="152" spans="1:10" ht="21.9" customHeight="1" x14ac:dyDescent="0.35">
      <c r="A152" s="2477"/>
      <c r="B152" s="2567" t="s">
        <v>4477</v>
      </c>
      <c r="C152" s="2547">
        <v>115</v>
      </c>
      <c r="D152" s="2547">
        <f>'9.ครุภัณฑ์โรงงาน'!A92</f>
        <v>2</v>
      </c>
      <c r="E152" s="2548">
        <f>'9.ครุภัณฑ์โรงงาน'!G93</f>
        <v>3300000</v>
      </c>
      <c r="F152" s="2539" t="s">
        <v>4167</v>
      </c>
      <c r="G152" s="2540" t="s">
        <v>4167</v>
      </c>
      <c r="H152" s="2539"/>
      <c r="I152" s="2540"/>
    </row>
    <row r="153" spans="1:10" ht="21.9" customHeight="1" x14ac:dyDescent="0.35">
      <c r="A153" s="2477"/>
      <c r="B153" s="2567" t="s">
        <v>6042</v>
      </c>
      <c r="C153" s="2577">
        <v>116</v>
      </c>
      <c r="D153" s="2547">
        <f>'9.ครุภัณฑ์โรงงาน'!A98</f>
        <v>4</v>
      </c>
      <c r="E153" s="2548">
        <f>'9.ครุภัณฑ์โรงงาน'!G99</f>
        <v>2520000</v>
      </c>
      <c r="F153" s="2539" t="s">
        <v>4167</v>
      </c>
      <c r="G153" s="2540" t="s">
        <v>4167</v>
      </c>
      <c r="H153" s="2539"/>
      <c r="I153" s="2540"/>
    </row>
    <row r="154" spans="1:10" ht="21.9" customHeight="1" x14ac:dyDescent="0.35">
      <c r="A154" s="2477"/>
      <c r="B154" s="2567" t="s">
        <v>6067</v>
      </c>
      <c r="C154" s="2577">
        <v>421</v>
      </c>
      <c r="D154" s="2547">
        <f>'9.ครุภัณฑ์โรงงาน'!A101</f>
        <v>1</v>
      </c>
      <c r="E154" s="2548">
        <f>'9.ครุภัณฑ์โรงงาน'!G102</f>
        <v>493000</v>
      </c>
      <c r="F154" s="2539"/>
      <c r="G154" s="2540"/>
      <c r="H154" s="2539"/>
      <c r="I154" s="2540"/>
    </row>
    <row r="155" spans="1:10" ht="21.9" customHeight="1" x14ac:dyDescent="0.35">
      <c r="A155" s="2477"/>
      <c r="B155" s="2574" t="s">
        <v>4491</v>
      </c>
      <c r="C155" s="2518">
        <v>466</v>
      </c>
      <c r="D155" s="2502">
        <v>1</v>
      </c>
      <c r="E155" s="2552" t="s">
        <v>4167</v>
      </c>
      <c r="F155" s="2539"/>
      <c r="G155" s="2540"/>
      <c r="H155" s="2539"/>
      <c r="I155" s="2540"/>
      <c r="J155" s="2301"/>
    </row>
    <row r="156" spans="1:10" ht="21.9" customHeight="1" x14ac:dyDescent="0.35">
      <c r="A156" s="2477"/>
      <c r="B156" s="2574" t="s">
        <v>6043</v>
      </c>
      <c r="C156" s="2502">
        <v>210</v>
      </c>
      <c r="D156" s="2502" t="s">
        <v>4167</v>
      </c>
      <c r="E156" s="2552" t="s">
        <v>4167</v>
      </c>
      <c r="F156" s="2537">
        <f>'14.ครุภัณฑ์ต่ำกว่าเกณฑ์'!A401</f>
        <v>1</v>
      </c>
      <c r="G156" s="2540">
        <f>'14.ครุภัณฑ์ต่ำกว่าเกณฑ์'!H402</f>
        <v>2300</v>
      </c>
      <c r="H156" s="2537"/>
      <c r="I156" s="2540"/>
    </row>
    <row r="157" spans="1:10" ht="21.9" customHeight="1" x14ac:dyDescent="0.35">
      <c r="A157" s="2477"/>
      <c r="B157" s="2578" t="s">
        <v>6044</v>
      </c>
      <c r="C157" s="2502">
        <v>611</v>
      </c>
      <c r="D157" s="2502">
        <f>'9.ครุภัณฑ์โรงงาน'!A107</f>
        <v>1</v>
      </c>
      <c r="E157" s="2552">
        <f>'9.ครุภัณฑ์โรงงาน'!G108</f>
        <v>29850</v>
      </c>
      <c r="F157" s="2537" t="s">
        <v>4167</v>
      </c>
      <c r="G157" s="2540" t="s">
        <v>4167</v>
      </c>
      <c r="H157" s="2537"/>
      <c r="I157" s="2540"/>
    </row>
    <row r="158" spans="1:10" ht="21.9" customHeight="1" x14ac:dyDescent="0.35">
      <c r="A158" s="2477"/>
      <c r="B158" s="2578" t="s">
        <v>6074</v>
      </c>
      <c r="C158" s="2502">
        <v>633</v>
      </c>
      <c r="D158" s="2502">
        <v>2</v>
      </c>
      <c r="E158" s="2552" t="s">
        <v>4167</v>
      </c>
      <c r="F158" s="2537"/>
      <c r="G158" s="2540"/>
      <c r="H158" s="2537"/>
      <c r="I158" s="2540"/>
      <c r="J158" s="2301"/>
    </row>
    <row r="159" spans="1:10" ht="21.9" customHeight="1" x14ac:dyDescent="0.35">
      <c r="A159" s="2477"/>
      <c r="B159" s="2479" t="s">
        <v>6045</v>
      </c>
      <c r="C159" s="2547">
        <v>636</v>
      </c>
      <c r="D159" s="2547">
        <f>'9.ครุภัณฑ์โรงงาน'!A114</f>
        <v>1</v>
      </c>
      <c r="E159" s="2552">
        <f>'9.ครุภัณฑ์โรงงาน'!G115</f>
        <v>74800</v>
      </c>
      <c r="F159" s="2537" t="s">
        <v>4167</v>
      </c>
      <c r="G159" s="2540" t="s">
        <v>4167</v>
      </c>
      <c r="H159" s="2537"/>
      <c r="I159" s="2540"/>
    </row>
    <row r="160" spans="1:10" ht="21.9" customHeight="1" x14ac:dyDescent="0.35">
      <c r="A160" s="2477"/>
      <c r="B160" s="2479" t="s">
        <v>6046</v>
      </c>
      <c r="C160" s="2547">
        <v>637</v>
      </c>
      <c r="D160" s="2547">
        <f>'9.ครุภัณฑ์โรงงาน'!A117</f>
        <v>1</v>
      </c>
      <c r="E160" s="2552">
        <f>'9.ครุภัณฑ์โรงงาน'!G118</f>
        <v>69800</v>
      </c>
      <c r="F160" s="2537" t="s">
        <v>4167</v>
      </c>
      <c r="G160" s="2540" t="s">
        <v>4167</v>
      </c>
      <c r="H160" s="2537"/>
      <c r="I160" s="2540"/>
    </row>
    <row r="161" spans="1:9" ht="21.9" customHeight="1" x14ac:dyDescent="0.35">
      <c r="A161" s="2477"/>
      <c r="B161" s="2479" t="s">
        <v>6043</v>
      </c>
      <c r="C161" s="2547">
        <v>722</v>
      </c>
      <c r="D161" s="2547">
        <f>'9.ครุภัณฑ์โรงงาน'!A129</f>
        <v>10</v>
      </c>
      <c r="E161" s="2552">
        <f>'9.ครุภัณฑ์โรงงาน'!G130</f>
        <v>50000</v>
      </c>
      <c r="F161" s="2537" t="s">
        <v>4167</v>
      </c>
      <c r="G161" s="2540" t="s">
        <v>4167</v>
      </c>
      <c r="H161" s="2537"/>
      <c r="I161" s="2540"/>
    </row>
    <row r="162" spans="1:9" ht="21.9" customHeight="1" x14ac:dyDescent="0.35">
      <c r="A162" s="2477">
        <v>10</v>
      </c>
      <c r="B162" s="2482" t="s">
        <v>6047</v>
      </c>
      <c r="C162" s="2547"/>
      <c r="D162" s="2554"/>
      <c r="E162" s="2552"/>
      <c r="F162" s="2537"/>
      <c r="G162" s="2540"/>
      <c r="H162" s="2537"/>
      <c r="I162" s="2540"/>
    </row>
    <row r="163" spans="1:9" ht="21.9" customHeight="1" x14ac:dyDescent="0.35">
      <c r="A163" s="2477"/>
      <c r="B163" s="2567" t="s">
        <v>6048</v>
      </c>
      <c r="C163" s="2547">
        <v>806</v>
      </c>
      <c r="D163" s="2547">
        <f>'10.ครุภัณฑ์กีฬา'!A43</f>
        <v>37</v>
      </c>
      <c r="E163" s="2548">
        <f>'10.ครุภัณฑ์กีฬา'!G44</f>
        <v>708909</v>
      </c>
      <c r="F163" s="2539" t="s">
        <v>4167</v>
      </c>
      <c r="G163" s="2540" t="s">
        <v>4167</v>
      </c>
      <c r="H163" s="2539"/>
      <c r="I163" s="2540"/>
    </row>
    <row r="164" spans="1:9" ht="21.9" customHeight="1" x14ac:dyDescent="0.35">
      <c r="A164" s="2477"/>
      <c r="B164" s="2567" t="s">
        <v>6049</v>
      </c>
      <c r="C164" s="2547">
        <v>807</v>
      </c>
      <c r="D164" s="2547">
        <f>'10.ครุภัณฑ์กีฬา'!A108</f>
        <v>63</v>
      </c>
      <c r="E164" s="2548">
        <f>'10.ครุภัณฑ์กีฬา'!G109</f>
        <v>4420500</v>
      </c>
      <c r="F164" s="2539" t="s">
        <v>4167</v>
      </c>
      <c r="G164" s="2540" t="s">
        <v>4167</v>
      </c>
      <c r="H164" s="2539"/>
      <c r="I164" s="2540"/>
    </row>
    <row r="165" spans="1:9" ht="21.9" customHeight="1" x14ac:dyDescent="0.35">
      <c r="A165" s="2477"/>
      <c r="B165" s="2567" t="s">
        <v>6050</v>
      </c>
      <c r="C165" s="2547">
        <v>808</v>
      </c>
      <c r="D165" s="2547">
        <f>'10.ครุภัณฑ์กีฬา'!A115</f>
        <v>5</v>
      </c>
      <c r="E165" s="2552">
        <f>'10.ครุภัณฑ์กีฬา'!G116</f>
        <v>799000</v>
      </c>
      <c r="F165" s="2539" t="s">
        <v>4167</v>
      </c>
      <c r="G165" s="2540" t="s">
        <v>4167</v>
      </c>
      <c r="H165" s="2539"/>
      <c r="I165" s="2540"/>
    </row>
    <row r="166" spans="1:9" ht="21.9" customHeight="1" x14ac:dyDescent="0.35">
      <c r="A166" s="2477"/>
      <c r="B166" s="2567" t="s">
        <v>6051</v>
      </c>
      <c r="C166" s="2547">
        <v>811</v>
      </c>
      <c r="D166" s="2547">
        <f>'10.ครุภัณฑ์กีฬา'!A127</f>
        <v>10</v>
      </c>
      <c r="E166" s="2552">
        <f>'10.ครุภัณฑ์กีฬา'!G128</f>
        <v>209971.44999999998</v>
      </c>
      <c r="F166" s="2539"/>
      <c r="G166" s="2540"/>
      <c r="H166" s="2539"/>
      <c r="I166" s="2540"/>
    </row>
    <row r="167" spans="1:9" ht="21.9" customHeight="1" x14ac:dyDescent="0.35">
      <c r="A167" s="2477">
        <v>11</v>
      </c>
      <c r="B167" s="2482" t="s">
        <v>6052</v>
      </c>
      <c r="C167" s="2547"/>
      <c r="D167" s="2547"/>
      <c r="E167" s="2548"/>
      <c r="F167" s="2537"/>
      <c r="G167" s="2540"/>
      <c r="H167" s="2537"/>
      <c r="I167" s="2540"/>
    </row>
    <row r="168" spans="1:9" ht="21.9" customHeight="1" x14ac:dyDescent="0.35">
      <c r="A168" s="2477"/>
      <c r="B168" s="2567" t="s">
        <v>6053</v>
      </c>
      <c r="C168" s="2549" t="s">
        <v>6131</v>
      </c>
      <c r="D168" s="2547">
        <f>'11.ครุภัณฑ์สำรวจ'!A7</f>
        <v>1</v>
      </c>
      <c r="E168" s="2548">
        <f>'11.ครุภัณฑ์สำรวจ'!G8</f>
        <v>5000</v>
      </c>
      <c r="F168" s="2539" t="s">
        <v>4167</v>
      </c>
      <c r="G168" s="2540" t="s">
        <v>4167</v>
      </c>
      <c r="H168" s="2539"/>
      <c r="I168" s="2540"/>
    </row>
    <row r="169" spans="1:9" ht="21.9" customHeight="1" x14ac:dyDescent="0.35">
      <c r="A169" s="2477"/>
      <c r="B169" s="2567" t="s">
        <v>6054</v>
      </c>
      <c r="C169" s="2549" t="s">
        <v>6132</v>
      </c>
      <c r="D169" s="2547">
        <f>'11.ครุภัณฑ์สำรวจ'!A12</f>
        <v>3</v>
      </c>
      <c r="E169" s="2548">
        <f>'11.ครุภัณฑ์สำรวจ'!G13</f>
        <v>82500</v>
      </c>
      <c r="F169" s="2539" t="s">
        <v>4167</v>
      </c>
      <c r="G169" s="2540" t="s">
        <v>4167</v>
      </c>
      <c r="H169" s="2539"/>
      <c r="I169" s="2540"/>
    </row>
    <row r="170" spans="1:9" ht="21.9" customHeight="1" x14ac:dyDescent="0.35">
      <c r="A170" s="2477"/>
      <c r="B170" s="2567" t="s">
        <v>6055</v>
      </c>
      <c r="C170" s="2549" t="s">
        <v>6133</v>
      </c>
      <c r="D170" s="2558">
        <f>'11.ครุภัณฑ์สำรวจ'!A16</f>
        <v>2</v>
      </c>
      <c r="E170" s="2548">
        <f>'11.ครุภัณฑ์สำรวจ'!G17</f>
        <v>49000</v>
      </c>
      <c r="F170" s="2539" t="s">
        <v>4167</v>
      </c>
      <c r="G170" s="2540" t="s">
        <v>4167</v>
      </c>
      <c r="H170" s="2539"/>
      <c r="I170" s="2540"/>
    </row>
    <row r="171" spans="1:9" ht="21.9" customHeight="1" x14ac:dyDescent="0.35">
      <c r="A171" s="2477">
        <v>12</v>
      </c>
      <c r="B171" s="2482" t="s">
        <v>6056</v>
      </c>
      <c r="C171" s="2547"/>
      <c r="D171" s="2551"/>
      <c r="E171" s="2552"/>
      <c r="F171" s="2539"/>
      <c r="G171" s="2540"/>
      <c r="H171" s="2539"/>
      <c r="I171" s="2540"/>
    </row>
    <row r="172" spans="1:9" ht="21.9" customHeight="1" x14ac:dyDescent="0.35">
      <c r="A172" s="2477"/>
      <c r="B172" s="2567" t="s">
        <v>6057</v>
      </c>
      <c r="C172" s="2547">
        <v>416</v>
      </c>
      <c r="D172" s="2551">
        <f>'12.ครุภัณฑ์คอมฯ'!A72</f>
        <v>59</v>
      </c>
      <c r="E172" s="2552">
        <f>'12.ครุภัณฑ์คอมฯ'!G73</f>
        <v>673064.96000000008</v>
      </c>
      <c r="F172" s="2545">
        <f>'14.ครุภัณฑ์ต่ำกว่าเกณฑ์'!A407</f>
        <v>3</v>
      </c>
      <c r="G172" s="2546">
        <f>'14.ครุภัณฑ์ต่ำกว่าเกณฑ์'!H408</f>
        <v>11880</v>
      </c>
      <c r="H172" s="2545"/>
      <c r="I172" s="2546"/>
    </row>
    <row r="173" spans="1:9" ht="21.9" customHeight="1" x14ac:dyDescent="0.35">
      <c r="A173" s="2477"/>
      <c r="B173" s="2567" t="s">
        <v>6068</v>
      </c>
      <c r="C173" s="2547">
        <v>545</v>
      </c>
      <c r="D173" s="2551">
        <f>'12.ครุภัณฑ์คอมฯ'!A110</f>
        <v>36</v>
      </c>
      <c r="E173" s="2552">
        <f>'12.ครุภัณฑ์คอมฯ'!G111</f>
        <v>272791.03000000003</v>
      </c>
      <c r="F173" s="2539" t="s">
        <v>4167</v>
      </c>
      <c r="G173" s="2540" t="s">
        <v>4167</v>
      </c>
      <c r="H173" s="2545"/>
      <c r="I173" s="2546"/>
    </row>
    <row r="174" spans="1:9" ht="21.9" customHeight="1" x14ac:dyDescent="0.35">
      <c r="A174" s="2477"/>
      <c r="B174" s="2567" t="s">
        <v>6069</v>
      </c>
      <c r="C174" s="2547">
        <v>430</v>
      </c>
      <c r="D174" s="2551">
        <f>'12.ครุภัณฑ์คอมฯ'!A116</f>
        <v>4</v>
      </c>
      <c r="E174" s="2552">
        <f>'12.ครุภัณฑ์คอมฯ'!G117</f>
        <v>37723.89</v>
      </c>
      <c r="F174" s="2539" t="s">
        <v>4167</v>
      </c>
      <c r="G174" s="2540" t="s">
        <v>4167</v>
      </c>
      <c r="H174" s="2545"/>
      <c r="I174" s="2546"/>
    </row>
    <row r="175" spans="1:9" ht="21.9" customHeight="1" x14ac:dyDescent="0.35">
      <c r="A175" s="2477">
        <v>16</v>
      </c>
      <c r="B175" s="2482" t="s">
        <v>6058</v>
      </c>
      <c r="C175" s="2547"/>
      <c r="D175" s="2547"/>
      <c r="E175" s="2548"/>
      <c r="F175" s="2537"/>
      <c r="G175" s="2540"/>
      <c r="H175" s="2537"/>
      <c r="I175" s="2540"/>
    </row>
    <row r="176" spans="1:9" ht="21.9" customHeight="1" x14ac:dyDescent="0.35">
      <c r="A176" s="2477"/>
      <c r="B176" s="2567" t="s">
        <v>4759</v>
      </c>
      <c r="C176" s="2547">
        <v>192</v>
      </c>
      <c r="D176" s="2547">
        <f>'13.ครุภัณฑ์อื่น'!A96</f>
        <v>90</v>
      </c>
      <c r="E176" s="2548">
        <f>'13.ครุภัณฑ์อื่น'!G97</f>
        <v>666666.1799999997</v>
      </c>
      <c r="F176" s="2539"/>
      <c r="G176" s="2540"/>
      <c r="H176" s="2539"/>
      <c r="I176" s="2540"/>
    </row>
    <row r="177" spans="1:15" ht="21.9" customHeight="1" x14ac:dyDescent="0.35">
      <c r="A177" s="2475" t="s">
        <v>6084</v>
      </c>
      <c r="B177" s="2574" t="s">
        <v>1029</v>
      </c>
      <c r="C177" s="2502">
        <v>200</v>
      </c>
      <c r="D177" s="2502">
        <f>'13.ครุภัณฑ์อื่น'!A101+'13.ครุภัณฑ์อื่น'!A100</f>
        <v>3</v>
      </c>
      <c r="E177" s="2515">
        <f>'13.ครุภัณฑ์อื่น'!G102</f>
        <v>1070000</v>
      </c>
      <c r="F177" s="2539" t="s">
        <v>4167</v>
      </c>
      <c r="G177" s="2540" t="s">
        <v>4167</v>
      </c>
      <c r="H177" s="2539"/>
      <c r="I177" s="2540"/>
    </row>
    <row r="178" spans="1:15" ht="21.9" customHeight="1" x14ac:dyDescent="0.35">
      <c r="A178" s="2477"/>
      <c r="B178" s="2567" t="s">
        <v>6059</v>
      </c>
      <c r="C178" s="2547">
        <v>484</v>
      </c>
      <c r="D178" s="2547">
        <f>'13.ครุภัณฑ์อื่น'!A104</f>
        <v>1</v>
      </c>
      <c r="E178" s="2548">
        <f>'13.ครุภัณฑ์อื่น'!G105</f>
        <v>12000</v>
      </c>
      <c r="F178" s="2539" t="s">
        <v>4167</v>
      </c>
      <c r="G178" s="2540" t="s">
        <v>4167</v>
      </c>
      <c r="H178" s="2539"/>
      <c r="I178" s="2540"/>
      <c r="J178" s="2301"/>
    </row>
    <row r="179" spans="1:15" ht="21.9" customHeight="1" x14ac:dyDescent="0.35">
      <c r="A179" s="2477"/>
      <c r="B179" s="2567" t="s">
        <v>6070</v>
      </c>
      <c r="C179" s="2547">
        <v>888</v>
      </c>
      <c r="D179" s="2547">
        <f>'13.ครุภัณฑ์อื่น'!A109</f>
        <v>3</v>
      </c>
      <c r="E179" s="2548">
        <f>'13.ครุภัณฑ์อื่น'!G110</f>
        <v>321000</v>
      </c>
      <c r="F179" s="2539" t="s">
        <v>4167</v>
      </c>
      <c r="G179" s="2540" t="s">
        <v>4167</v>
      </c>
      <c r="H179" s="2539"/>
      <c r="I179" s="2540"/>
    </row>
    <row r="180" spans="1:15" ht="21.9" customHeight="1" thickBot="1" x14ac:dyDescent="0.4">
      <c r="A180" s="2579"/>
      <c r="B180" s="2483" t="s">
        <v>6060</v>
      </c>
      <c r="C180" s="2580"/>
      <c r="D180" s="2484">
        <f>SUM(D41:D179)</f>
        <v>5606</v>
      </c>
      <c r="E180" s="2485">
        <f>SUM(E42:E179)</f>
        <v>196840845.47000003</v>
      </c>
      <c r="F180" s="2486">
        <f>F172+F156+F139+F114+F85+F54+F49+F47+F44+F43</f>
        <v>381</v>
      </c>
      <c r="G180" s="2487">
        <f>G172+G156+G139+G114+G85+G54+G49+G47+G44+G43</f>
        <v>302825</v>
      </c>
      <c r="H180" s="2486">
        <f>H172+H156+H139+H114+H85+H54+H49+H47+H44+H43</f>
        <v>0</v>
      </c>
      <c r="I180" s="2488">
        <f>I107+I117</f>
        <v>0</v>
      </c>
    </row>
    <row r="181" spans="1:15" ht="18.600000000000001" thickTop="1" x14ac:dyDescent="0.35">
      <c r="A181" s="2581"/>
      <c r="B181" s="2581"/>
      <c r="C181" s="2582"/>
      <c r="D181" s="2583"/>
      <c r="E181" s="2584"/>
      <c r="F181" s="2581"/>
      <c r="G181" s="2583"/>
      <c r="H181" s="2581"/>
      <c r="I181" s="2583"/>
    </row>
    <row r="182" spans="1:15" ht="18" x14ac:dyDescent="0.35">
      <c r="A182" s="2839" t="s">
        <v>6061</v>
      </c>
      <c r="B182" s="2839"/>
      <c r="C182" s="2582"/>
      <c r="D182" s="2583"/>
      <c r="E182" s="2584"/>
      <c r="F182" s="2581"/>
      <c r="G182" s="2583"/>
      <c r="H182" s="2581"/>
      <c r="I182" s="2583"/>
      <c r="J182" s="2301"/>
    </row>
    <row r="183" spans="1:15" ht="21.9" customHeight="1" x14ac:dyDescent="0.4">
      <c r="A183" s="2832" t="s">
        <v>5918</v>
      </c>
      <c r="B183" s="2833"/>
      <c r="C183" s="2836" t="s">
        <v>5919</v>
      </c>
      <c r="D183" s="2838" t="s">
        <v>5920</v>
      </c>
      <c r="E183" s="2838"/>
      <c r="F183" s="2838" t="s">
        <v>5921</v>
      </c>
      <c r="G183" s="2838"/>
      <c r="H183" s="2454" t="s">
        <v>10</v>
      </c>
      <c r="I183" s="2489" t="s">
        <v>5922</v>
      </c>
    </row>
    <row r="184" spans="1:15" ht="21.9" customHeight="1" x14ac:dyDescent="0.3">
      <c r="A184" s="2834"/>
      <c r="B184" s="2835"/>
      <c r="C184" s="2837"/>
      <c r="D184" s="2585" t="s">
        <v>5923</v>
      </c>
      <c r="E184" s="2586" t="s">
        <v>5924</v>
      </c>
      <c r="F184" s="2585" t="s">
        <v>5923</v>
      </c>
      <c r="G184" s="2587" t="s">
        <v>5924</v>
      </c>
      <c r="H184" s="2496"/>
      <c r="I184" s="2588"/>
    </row>
    <row r="185" spans="1:15" ht="19.8" x14ac:dyDescent="0.5">
      <c r="A185" s="2589">
        <v>2</v>
      </c>
      <c r="B185" s="2590" t="s">
        <v>6083</v>
      </c>
      <c r="C185" s="2589">
        <v>82</v>
      </c>
      <c r="D185" s="2490">
        <v>625</v>
      </c>
      <c r="E185" s="2491">
        <f>'15.ครุภัณฑ์ไม่แสดงในงบ'!G633</f>
        <v>910000</v>
      </c>
      <c r="F185" s="2492"/>
      <c r="G185" s="2491"/>
      <c r="H185" s="2590"/>
      <c r="I185" s="2591"/>
    </row>
    <row r="186" spans="1:15" ht="18" x14ac:dyDescent="0.35">
      <c r="A186" s="2581"/>
      <c r="B186" s="2581"/>
      <c r="C186" s="2582"/>
      <c r="D186" s="2583"/>
      <c r="E186" s="2584"/>
      <c r="F186" s="2581"/>
      <c r="G186" s="2583"/>
      <c r="H186" s="2581"/>
      <c r="I186" s="2583"/>
    </row>
    <row r="187" spans="1:15" ht="21" x14ac:dyDescent="0.4">
      <c r="A187" s="2592"/>
      <c r="B187" s="2592"/>
      <c r="C187" s="2593"/>
      <c r="E187" s="2595"/>
      <c r="F187" s="2592"/>
      <c r="G187" s="2594"/>
      <c r="H187" s="2596"/>
      <c r="I187" s="2597"/>
    </row>
    <row r="188" spans="1:15" ht="21" x14ac:dyDescent="0.4">
      <c r="A188" s="2592"/>
      <c r="B188" s="2592"/>
      <c r="C188" s="2593"/>
      <c r="D188" s="2592"/>
      <c r="E188" s="2594"/>
      <c r="F188" s="2592"/>
      <c r="G188" s="2594"/>
      <c r="H188" s="2596"/>
      <c r="I188" s="2597"/>
    </row>
    <row r="189" spans="1:15" s="1" customFormat="1" ht="20.25" customHeight="1" x14ac:dyDescent="0.35">
      <c r="A189" s="2598"/>
      <c r="B189" s="2581" t="s">
        <v>601</v>
      </c>
      <c r="C189" s="2581"/>
      <c r="D189" s="2581"/>
      <c r="E189" s="2582"/>
      <c r="F189" s="2599" t="s">
        <v>602</v>
      </c>
      <c r="G189" s="2600"/>
      <c r="H189" s="2581"/>
      <c r="I189" s="2581" t="s">
        <v>603</v>
      </c>
      <c r="K189" s="505"/>
      <c r="L189" s="505"/>
      <c r="M189" s="505"/>
      <c r="O189" s="506"/>
    </row>
    <row r="190" spans="1:15" s="1" customFormat="1" ht="18" x14ac:dyDescent="0.35">
      <c r="A190" s="2598"/>
      <c r="B190" s="2582" t="s">
        <v>6071</v>
      </c>
      <c r="C190" s="2601"/>
      <c r="D190" s="2581"/>
      <c r="E190" s="2582"/>
      <c r="F190" s="2599"/>
      <c r="G190" s="2582" t="s">
        <v>6085</v>
      </c>
      <c r="H190" s="2600"/>
      <c r="I190" s="2581"/>
      <c r="K190" s="505"/>
      <c r="L190" s="505"/>
      <c r="M190" s="505"/>
      <c r="O190" s="506"/>
    </row>
    <row r="191" spans="1:15" s="1" customFormat="1" ht="18" x14ac:dyDescent="0.35">
      <c r="A191" s="2598"/>
      <c r="B191" s="2582" t="s">
        <v>606</v>
      </c>
      <c r="C191" s="2601"/>
      <c r="D191" s="2581"/>
      <c r="E191" s="2582"/>
      <c r="F191" s="2599"/>
      <c r="G191" s="2582" t="s">
        <v>6086</v>
      </c>
      <c r="H191" s="2600"/>
      <c r="I191" s="2581"/>
      <c r="K191" s="505"/>
      <c r="L191" s="505"/>
      <c r="M191" s="505"/>
      <c r="O191" s="506"/>
    </row>
    <row r="192" spans="1:15" s="1" customFormat="1" ht="10.5" customHeight="1" x14ac:dyDescent="0.35">
      <c r="A192" s="2598"/>
      <c r="B192" s="2581"/>
      <c r="C192" s="2581"/>
      <c r="D192" s="2581"/>
      <c r="E192" s="2582"/>
      <c r="F192" s="2581"/>
      <c r="G192" s="2584"/>
      <c r="H192" s="2581"/>
      <c r="I192" s="2581"/>
      <c r="J192" s="505"/>
      <c r="K192" s="505"/>
      <c r="L192" s="505"/>
      <c r="M192" s="505"/>
      <c r="O192" s="506"/>
    </row>
    <row r="193" spans="1:15" s="1" customFormat="1" ht="18" x14ac:dyDescent="0.35">
      <c r="A193" s="2598"/>
      <c r="B193" s="2581" t="s">
        <v>608</v>
      </c>
      <c r="C193" s="2581"/>
      <c r="D193" s="2581"/>
      <c r="E193" s="2582"/>
      <c r="F193" s="2581"/>
      <c r="G193" s="2599"/>
      <c r="H193" s="2600"/>
      <c r="I193" s="2581"/>
      <c r="J193" s="505"/>
      <c r="K193" s="505"/>
      <c r="L193" s="505"/>
      <c r="M193" s="505"/>
      <c r="O193" s="506"/>
    </row>
    <row r="194" spans="1:15" s="1" customFormat="1" ht="18" x14ac:dyDescent="0.35">
      <c r="A194" s="2598"/>
      <c r="B194" s="2582" t="s">
        <v>609</v>
      </c>
      <c r="C194" s="2601"/>
      <c r="D194" s="2581"/>
      <c r="E194" s="2582"/>
      <c r="F194" s="2581"/>
      <c r="G194" s="2599"/>
      <c r="H194" s="2582"/>
      <c r="I194" s="2600"/>
      <c r="J194" s="505"/>
      <c r="K194" s="505"/>
      <c r="L194" s="505"/>
      <c r="M194" s="505"/>
      <c r="O194" s="506"/>
    </row>
    <row r="195" spans="1:15" s="1" customFormat="1" ht="18" x14ac:dyDescent="0.35">
      <c r="A195" s="2598"/>
      <c r="B195" s="2582" t="s">
        <v>610</v>
      </c>
      <c r="C195" s="2601"/>
      <c r="D195" s="2581"/>
      <c r="E195" s="2582"/>
      <c r="F195" s="2581"/>
      <c r="G195" s="2599"/>
      <c r="H195" s="2582"/>
      <c r="I195" s="2600"/>
      <c r="J195" s="505"/>
      <c r="K195" s="505"/>
      <c r="L195" s="505"/>
      <c r="M195" s="505"/>
      <c r="O195" s="506"/>
    </row>
    <row r="196" spans="1:15" s="2448" customFormat="1" ht="21" x14ac:dyDescent="0.4">
      <c r="C196" s="2449"/>
      <c r="E196" s="2450"/>
      <c r="G196" s="2450"/>
      <c r="I196" s="2452"/>
    </row>
    <row r="197" spans="1:15" s="2448" customFormat="1" ht="21" x14ac:dyDescent="0.4">
      <c r="C197" s="2449"/>
      <c r="E197" s="2450"/>
      <c r="G197" s="2450"/>
      <c r="I197" s="2452"/>
    </row>
    <row r="198" spans="1:15" s="2448" customFormat="1" ht="21" x14ac:dyDescent="0.4">
      <c r="C198" s="2449"/>
      <c r="E198" s="2450"/>
      <c r="G198" s="2450"/>
      <c r="I198" s="2452"/>
    </row>
    <row r="199" spans="1:15" s="2448" customFormat="1" ht="21" x14ac:dyDescent="0.4">
      <c r="C199" s="2449"/>
      <c r="E199" s="2450"/>
      <c r="G199" s="2450"/>
      <c r="I199" s="2452"/>
    </row>
    <row r="200" spans="1:15" s="2448" customFormat="1" ht="21" x14ac:dyDescent="0.4">
      <c r="C200" s="2449"/>
      <c r="E200" s="2450"/>
      <c r="G200" s="2450"/>
      <c r="I200" s="2452"/>
    </row>
    <row r="201" spans="1:15" s="2448" customFormat="1" ht="21" x14ac:dyDescent="0.4">
      <c r="C201" s="2449"/>
      <c r="E201" s="2450"/>
      <c r="G201" s="2450"/>
      <c r="I201" s="2452"/>
    </row>
    <row r="202" spans="1:15" s="2448" customFormat="1" ht="21" x14ac:dyDescent="0.4">
      <c r="C202" s="2449"/>
      <c r="E202" s="2450"/>
      <c r="G202" s="2450"/>
      <c r="I202" s="2452"/>
    </row>
    <row r="203" spans="1:15" s="2448" customFormat="1" ht="21" x14ac:dyDescent="0.4">
      <c r="C203" s="2449"/>
      <c r="E203" s="2450"/>
      <c r="G203" s="2450"/>
      <c r="I203" s="2452"/>
    </row>
    <row r="204" spans="1:15" s="2448" customFormat="1" ht="21" x14ac:dyDescent="0.4">
      <c r="C204" s="2449"/>
      <c r="E204" s="2450"/>
      <c r="G204" s="2450"/>
      <c r="I204" s="2452"/>
    </row>
    <row r="205" spans="1:15" s="2448" customFormat="1" ht="21" x14ac:dyDescent="0.4">
      <c r="C205" s="2449"/>
      <c r="E205" s="2450"/>
      <c r="G205" s="2450"/>
      <c r="I205" s="2452"/>
    </row>
    <row r="206" spans="1:15" s="2448" customFormat="1" ht="21" x14ac:dyDescent="0.4">
      <c r="C206" s="2449"/>
      <c r="E206" s="2450"/>
      <c r="G206" s="2450"/>
      <c r="I206" s="2452"/>
    </row>
    <row r="207" spans="1:15" s="2448" customFormat="1" ht="21" x14ac:dyDescent="0.4">
      <c r="C207" s="2449"/>
      <c r="E207" s="2450"/>
      <c r="G207" s="2450"/>
      <c r="I207" s="2452"/>
    </row>
    <row r="208" spans="1:15" s="2448" customFormat="1" ht="21" x14ac:dyDescent="0.4">
      <c r="C208" s="2449"/>
      <c r="E208" s="2450"/>
      <c r="G208" s="2450"/>
      <c r="I208" s="2452"/>
    </row>
    <row r="209" spans="3:9" s="2448" customFormat="1" ht="21" x14ac:dyDescent="0.4">
      <c r="C209" s="2449"/>
      <c r="E209" s="2450"/>
      <c r="G209" s="2450"/>
      <c r="I209" s="2452"/>
    </row>
    <row r="210" spans="3:9" s="2448" customFormat="1" ht="21" x14ac:dyDescent="0.4">
      <c r="C210" s="2449"/>
      <c r="E210" s="2450"/>
      <c r="G210" s="2450"/>
      <c r="I210" s="2452"/>
    </row>
    <row r="211" spans="3:9" s="2448" customFormat="1" ht="21" x14ac:dyDescent="0.4">
      <c r="C211" s="2449"/>
      <c r="E211" s="2450"/>
      <c r="G211" s="2450"/>
      <c r="I211" s="2452"/>
    </row>
    <row r="212" spans="3:9" s="2448" customFormat="1" ht="21" x14ac:dyDescent="0.4">
      <c r="C212" s="2449"/>
      <c r="E212" s="2450"/>
      <c r="G212" s="2450"/>
      <c r="I212" s="2452"/>
    </row>
    <row r="213" spans="3:9" s="2448" customFormat="1" ht="21" x14ac:dyDescent="0.4">
      <c r="C213" s="2449"/>
      <c r="E213" s="2450"/>
      <c r="G213" s="2450"/>
      <c r="I213" s="2452"/>
    </row>
    <row r="214" spans="3:9" s="2448" customFormat="1" ht="21" x14ac:dyDescent="0.4">
      <c r="C214" s="2449"/>
      <c r="E214" s="2450"/>
      <c r="G214" s="2450"/>
      <c r="I214" s="2452"/>
    </row>
  </sheetData>
  <mergeCells count="12">
    <mergeCell ref="A182:B182"/>
    <mergeCell ref="A183:B184"/>
    <mergeCell ref="C183:C184"/>
    <mergeCell ref="D183:E183"/>
    <mergeCell ref="F183:G183"/>
    <mergeCell ref="A1:I1"/>
    <mergeCell ref="A2:I2"/>
    <mergeCell ref="A3:I3"/>
    <mergeCell ref="A4:B5"/>
    <mergeCell ref="C4:C5"/>
    <mergeCell ref="D4:E4"/>
    <mergeCell ref="F4:G4"/>
  </mergeCells>
  <pageMargins left="0.31496062992125984" right="0.11811023622047245" top="0.55118110236220474" bottom="0.35433070866141736" header="0.31496062992125984" footer="0.31496062992125984"/>
  <pageSetup paperSize="9" scale="96" orientation="portrait" horizontalDpi="4294967294" verticalDpi="1200" r:id="rId1"/>
  <headerFooter>
    <oddHeader>&amp;R&amp;P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Q1811"/>
  <sheetViews>
    <sheetView showGridLines="0" zoomScale="110" zoomScaleNormal="110" workbookViewId="0">
      <pane ySplit="5" topLeftCell="A168" activePane="bottomLeft" state="frozen"/>
      <selection pane="bottomLeft" activeCell="A1558" sqref="A1558:XFD1558"/>
    </sheetView>
  </sheetViews>
  <sheetFormatPr defaultColWidth="9.109375" defaultRowHeight="15.6" x14ac:dyDescent="0.3"/>
  <cols>
    <col min="1" max="1" width="5.44140625" style="320" customWidth="1"/>
    <col min="2" max="2" width="43.88671875" style="438" customWidth="1"/>
    <col min="3" max="3" width="4.6640625" style="438" customWidth="1"/>
    <col min="4" max="4" width="3.109375" style="438" customWidth="1"/>
    <col min="5" max="5" width="6.109375" style="495" customWidth="1"/>
    <col min="6" max="6" width="8.5546875" style="438" customWidth="1"/>
    <col min="7" max="7" width="12.6640625" style="512" customWidth="1"/>
    <col min="8" max="8" width="26.6640625" style="497" customWidth="1"/>
    <col min="9" max="10" width="3.33203125" style="1" customWidth="1"/>
    <col min="11" max="11" width="3.33203125" style="764" customWidth="1"/>
    <col min="12" max="14" width="3.33203125" style="1" customWidth="1"/>
    <col min="15" max="15" width="20" style="498" customWidth="1"/>
    <col min="16" max="16" width="13.88671875" style="1" customWidth="1"/>
    <col min="17" max="16384" width="9.109375" style="1"/>
  </cols>
  <sheetData>
    <row r="1" spans="1:17" ht="18" x14ac:dyDescent="0.35">
      <c r="A1" s="2842" t="s">
        <v>0</v>
      </c>
      <c r="B1" s="2842"/>
      <c r="C1" s="2842"/>
      <c r="D1" s="2842"/>
      <c r="E1" s="2842"/>
      <c r="F1" s="2842"/>
      <c r="G1" s="2842"/>
      <c r="H1" s="2843"/>
      <c r="I1" s="2842"/>
      <c r="J1" s="2842"/>
      <c r="K1" s="2842"/>
      <c r="L1" s="2842"/>
      <c r="M1" s="2842"/>
      <c r="N1" s="2842"/>
      <c r="O1" s="2842"/>
      <c r="P1" s="2620" t="s">
        <v>6394</v>
      </c>
    </row>
    <row r="2" spans="1:17" ht="18" x14ac:dyDescent="0.35">
      <c r="A2" s="2842" t="s">
        <v>1</v>
      </c>
      <c r="B2" s="2842"/>
      <c r="C2" s="2842"/>
      <c r="D2" s="2842"/>
      <c r="E2" s="2842"/>
      <c r="F2" s="2842"/>
      <c r="G2" s="2842"/>
      <c r="H2" s="2843"/>
      <c r="I2" s="2842"/>
      <c r="J2" s="2842"/>
      <c r="K2" s="2842"/>
      <c r="L2" s="2842"/>
      <c r="M2" s="2842"/>
      <c r="N2" s="2842"/>
      <c r="O2" s="2842"/>
    </row>
    <row r="3" spans="1:17" x14ac:dyDescent="0.3">
      <c r="A3" s="2" t="s">
        <v>2</v>
      </c>
      <c r="B3" s="2"/>
      <c r="C3" s="3"/>
      <c r="D3" s="3"/>
      <c r="E3" s="4"/>
      <c r="F3" s="3"/>
      <c r="G3" s="5"/>
      <c r="H3" s="6"/>
      <c r="I3" s="3"/>
      <c r="J3" s="3"/>
      <c r="K3" s="3"/>
      <c r="L3" s="3"/>
      <c r="M3" s="3"/>
      <c r="N3" s="3"/>
      <c r="O3" s="7"/>
    </row>
    <row r="4" spans="1:17" s="10" customFormat="1" ht="18.75" customHeight="1" x14ac:dyDescent="0.3">
      <c r="A4" s="2844" t="s">
        <v>3</v>
      </c>
      <c r="B4" s="2846" t="s">
        <v>4</v>
      </c>
      <c r="C4" s="2848" t="s">
        <v>5</v>
      </c>
      <c r="D4" s="2849"/>
      <c r="E4" s="2850"/>
      <c r="F4" s="8" t="s">
        <v>6</v>
      </c>
      <c r="G4" s="2854" t="s">
        <v>7</v>
      </c>
      <c r="H4" s="2856" t="s">
        <v>8</v>
      </c>
      <c r="I4" s="2858" t="s">
        <v>9</v>
      </c>
      <c r="J4" s="2859"/>
      <c r="K4" s="2859"/>
      <c r="L4" s="2859"/>
      <c r="M4" s="2859"/>
      <c r="N4" s="2860"/>
      <c r="O4" s="9" t="s">
        <v>10</v>
      </c>
    </row>
    <row r="5" spans="1:17" s="10" customFormat="1" ht="42" customHeight="1" x14ac:dyDescent="0.3">
      <c r="A5" s="2845"/>
      <c r="B5" s="2847"/>
      <c r="C5" s="2851"/>
      <c r="D5" s="2852"/>
      <c r="E5" s="2853"/>
      <c r="F5" s="11" t="s">
        <v>11</v>
      </c>
      <c r="G5" s="2855"/>
      <c r="H5" s="2857"/>
      <c r="I5" s="14" t="s">
        <v>12</v>
      </c>
      <c r="J5" s="14" t="s">
        <v>13</v>
      </c>
      <c r="K5" s="15" t="s">
        <v>14</v>
      </c>
      <c r="L5" s="15" t="s">
        <v>15</v>
      </c>
      <c r="M5" s="15" t="s">
        <v>16</v>
      </c>
      <c r="N5" s="15" t="s">
        <v>17</v>
      </c>
      <c r="O5" s="13"/>
    </row>
    <row r="6" spans="1:17" ht="18.75" customHeight="1" x14ac:dyDescent="0.3">
      <c r="A6" s="63" t="s">
        <v>18</v>
      </c>
      <c r="B6" s="17" t="s">
        <v>19</v>
      </c>
      <c r="C6" s="18"/>
      <c r="D6" s="18"/>
      <c r="E6" s="19"/>
      <c r="F6" s="20"/>
      <c r="G6" s="21"/>
      <c r="H6" s="22"/>
      <c r="I6" s="23"/>
      <c r="J6" s="24"/>
      <c r="K6" s="24"/>
      <c r="L6" s="25"/>
      <c r="M6" s="25"/>
      <c r="N6" s="24"/>
      <c r="O6" s="26"/>
    </row>
    <row r="7" spans="1:17" ht="18.75" customHeight="1" x14ac:dyDescent="0.3">
      <c r="A7" s="27">
        <v>1</v>
      </c>
      <c r="B7" s="28" t="s">
        <v>20</v>
      </c>
      <c r="C7" s="29" t="s">
        <v>18</v>
      </c>
      <c r="D7" s="30" t="s">
        <v>21</v>
      </c>
      <c r="E7" s="31" t="s">
        <v>22</v>
      </c>
      <c r="F7" s="32" t="s">
        <v>23</v>
      </c>
      <c r="G7" s="33">
        <v>6420</v>
      </c>
      <c r="H7" s="1736" t="s">
        <v>24</v>
      </c>
      <c r="I7" s="34" t="s">
        <v>25</v>
      </c>
      <c r="J7" s="35"/>
      <c r="K7" s="84"/>
      <c r="L7" s="36"/>
      <c r="M7" s="36"/>
      <c r="N7" s="37"/>
      <c r="O7" s="38"/>
      <c r="Q7" s="34" t="s">
        <v>25</v>
      </c>
    </row>
    <row r="8" spans="1:17" ht="18.75" customHeight="1" x14ac:dyDescent="0.3">
      <c r="A8" s="27">
        <v>2</v>
      </c>
      <c r="B8" s="28" t="s">
        <v>20</v>
      </c>
      <c r="C8" s="29" t="s">
        <v>18</v>
      </c>
      <c r="D8" s="30" t="s">
        <v>21</v>
      </c>
      <c r="E8" s="31" t="s">
        <v>26</v>
      </c>
      <c r="F8" s="32" t="s">
        <v>23</v>
      </c>
      <c r="G8" s="33">
        <v>6420</v>
      </c>
      <c r="H8" s="1736" t="s">
        <v>24</v>
      </c>
      <c r="I8" s="34" t="s">
        <v>25</v>
      </c>
      <c r="J8" s="35"/>
      <c r="K8" s="84"/>
      <c r="L8" s="36"/>
      <c r="M8" s="36"/>
      <c r="N8" s="37"/>
      <c r="O8" s="38"/>
      <c r="Q8" s="34" t="s">
        <v>25</v>
      </c>
    </row>
    <row r="9" spans="1:17" ht="18.75" customHeight="1" x14ac:dyDescent="0.3">
      <c r="A9" s="27">
        <v>3</v>
      </c>
      <c r="B9" s="28" t="s">
        <v>20</v>
      </c>
      <c r="C9" s="29" t="s">
        <v>18</v>
      </c>
      <c r="D9" s="30" t="s">
        <v>21</v>
      </c>
      <c r="E9" s="31" t="s">
        <v>27</v>
      </c>
      <c r="F9" s="32" t="s">
        <v>23</v>
      </c>
      <c r="G9" s="33">
        <v>6420</v>
      </c>
      <c r="H9" s="1736" t="s">
        <v>24</v>
      </c>
      <c r="I9" s="34" t="s">
        <v>25</v>
      </c>
      <c r="J9" s="35"/>
      <c r="K9" s="84"/>
      <c r="L9" s="36"/>
      <c r="M9" s="36"/>
      <c r="N9" s="37"/>
      <c r="O9" s="38"/>
      <c r="Q9" s="34" t="s">
        <v>25</v>
      </c>
    </row>
    <row r="10" spans="1:17" ht="18.75" customHeight="1" x14ac:dyDescent="0.3">
      <c r="A10" s="27">
        <v>4</v>
      </c>
      <c r="B10" s="28" t="s">
        <v>28</v>
      </c>
      <c r="C10" s="29" t="s">
        <v>18</v>
      </c>
      <c r="D10" s="30" t="s">
        <v>21</v>
      </c>
      <c r="E10" s="31" t="s">
        <v>29</v>
      </c>
      <c r="F10" s="32" t="s">
        <v>23</v>
      </c>
      <c r="G10" s="33">
        <v>11770</v>
      </c>
      <c r="H10" s="1736" t="s">
        <v>24</v>
      </c>
      <c r="I10" s="34" t="s">
        <v>25</v>
      </c>
      <c r="J10" s="35"/>
      <c r="K10" s="84"/>
      <c r="L10" s="36"/>
      <c r="M10" s="36"/>
      <c r="N10" s="37"/>
      <c r="O10" s="38"/>
      <c r="Q10" s="34" t="s">
        <v>25</v>
      </c>
    </row>
    <row r="11" spans="1:17" ht="18.75" customHeight="1" x14ac:dyDescent="0.3">
      <c r="A11" s="27">
        <v>5</v>
      </c>
      <c r="B11" s="28" t="s">
        <v>28</v>
      </c>
      <c r="C11" s="29" t="s">
        <v>18</v>
      </c>
      <c r="D11" s="30" t="s">
        <v>21</v>
      </c>
      <c r="E11" s="31" t="s">
        <v>30</v>
      </c>
      <c r="F11" s="32" t="s">
        <v>23</v>
      </c>
      <c r="G11" s="33">
        <v>11770</v>
      </c>
      <c r="H11" s="1736" t="s">
        <v>24</v>
      </c>
      <c r="I11" s="34" t="s">
        <v>25</v>
      </c>
      <c r="J11" s="35"/>
      <c r="K11" s="84"/>
      <c r="L11" s="36"/>
      <c r="M11" s="36"/>
      <c r="N11" s="37"/>
      <c r="O11" s="38"/>
      <c r="Q11" s="34" t="s">
        <v>25</v>
      </c>
    </row>
    <row r="12" spans="1:17" ht="18.75" customHeight="1" x14ac:dyDescent="0.3">
      <c r="A12" s="27">
        <v>6</v>
      </c>
      <c r="B12" s="28" t="s">
        <v>31</v>
      </c>
      <c r="C12" s="29" t="s">
        <v>18</v>
      </c>
      <c r="D12" s="30" t="s">
        <v>21</v>
      </c>
      <c r="E12" s="31" t="s">
        <v>32</v>
      </c>
      <c r="F12" s="32" t="s">
        <v>23</v>
      </c>
      <c r="G12" s="33">
        <v>12840</v>
      </c>
      <c r="H12" s="1736" t="s">
        <v>24</v>
      </c>
      <c r="I12" s="34" t="s">
        <v>25</v>
      </c>
      <c r="J12" s="35"/>
      <c r="K12" s="84"/>
      <c r="L12" s="36"/>
      <c r="M12" s="36"/>
      <c r="N12" s="37"/>
      <c r="O12" s="38"/>
      <c r="Q12" s="34" t="s">
        <v>25</v>
      </c>
    </row>
    <row r="13" spans="1:17" ht="18.75" customHeight="1" x14ac:dyDescent="0.3">
      <c r="A13" s="27">
        <v>7</v>
      </c>
      <c r="B13" s="28" t="s">
        <v>33</v>
      </c>
      <c r="C13" s="29" t="s">
        <v>18</v>
      </c>
      <c r="D13" s="30" t="s">
        <v>21</v>
      </c>
      <c r="E13" s="31" t="s">
        <v>34</v>
      </c>
      <c r="F13" s="32" t="s">
        <v>23</v>
      </c>
      <c r="G13" s="33">
        <v>16585</v>
      </c>
      <c r="H13" s="1736" t="s">
        <v>24</v>
      </c>
      <c r="I13" s="34" t="s">
        <v>25</v>
      </c>
      <c r="J13" s="35"/>
      <c r="K13" s="84"/>
      <c r="L13" s="36"/>
      <c r="M13" s="36"/>
      <c r="N13" s="37"/>
      <c r="O13" s="38"/>
      <c r="Q13" s="34" t="s">
        <v>25</v>
      </c>
    </row>
    <row r="14" spans="1:17" ht="18.75" customHeight="1" x14ac:dyDescent="0.3">
      <c r="A14" s="39">
        <v>8</v>
      </c>
      <c r="B14" s="40" t="s">
        <v>33</v>
      </c>
      <c r="C14" s="41" t="s">
        <v>18</v>
      </c>
      <c r="D14" s="42" t="s">
        <v>21</v>
      </c>
      <c r="E14" s="43" t="s">
        <v>35</v>
      </c>
      <c r="F14" s="44" t="s">
        <v>23</v>
      </c>
      <c r="G14" s="45">
        <v>16585</v>
      </c>
      <c r="H14" s="1737" t="s">
        <v>24</v>
      </c>
      <c r="I14" s="34" t="s">
        <v>25</v>
      </c>
      <c r="J14" s="47"/>
      <c r="K14" s="46"/>
      <c r="L14" s="48"/>
      <c r="M14" s="48"/>
      <c r="N14" s="49"/>
      <c r="O14" s="50"/>
      <c r="Q14" s="34" t="s">
        <v>25</v>
      </c>
    </row>
    <row r="15" spans="1:17" ht="18.75" customHeight="1" thickBot="1" x14ac:dyDescent="0.35">
      <c r="A15" s="51"/>
      <c r="B15" s="52"/>
      <c r="C15" s="53"/>
      <c r="D15" s="54"/>
      <c r="E15" s="54"/>
      <c r="F15" s="55"/>
      <c r="G15" s="56">
        <f>SUM(G7:G14)</f>
        <v>88810</v>
      </c>
      <c r="H15" s="57"/>
      <c r="I15" s="58"/>
      <c r="J15" s="59"/>
      <c r="K15" s="58"/>
      <c r="L15" s="60"/>
      <c r="M15" s="60"/>
      <c r="N15" s="61"/>
      <c r="O15" s="62"/>
    </row>
    <row r="16" spans="1:17" ht="18.75" customHeight="1" thickTop="1" x14ac:dyDescent="0.3">
      <c r="A16" s="63" t="s">
        <v>36</v>
      </c>
      <c r="B16" s="17" t="s">
        <v>37</v>
      </c>
      <c r="C16" s="18"/>
      <c r="D16" s="18"/>
      <c r="E16" s="19"/>
      <c r="F16" s="20"/>
      <c r="G16" s="64"/>
      <c r="H16" s="22"/>
      <c r="I16" s="23"/>
      <c r="J16" s="24"/>
      <c r="K16" s="24"/>
      <c r="L16" s="25"/>
      <c r="M16" s="25"/>
      <c r="N16" s="24"/>
      <c r="O16" s="26"/>
    </row>
    <row r="17" spans="1:17" ht="18.75" customHeight="1" x14ac:dyDescent="0.3">
      <c r="A17" s="2821">
        <v>1</v>
      </c>
      <c r="B17" s="65" t="s">
        <v>38</v>
      </c>
      <c r="C17" s="66" t="s">
        <v>36</v>
      </c>
      <c r="D17" s="67">
        <v>59</v>
      </c>
      <c r="E17" s="68" t="s">
        <v>39</v>
      </c>
      <c r="F17" s="69" t="s">
        <v>40</v>
      </c>
      <c r="G17" s="70">
        <v>21900</v>
      </c>
      <c r="H17" s="1731" t="s">
        <v>41</v>
      </c>
      <c r="I17" s="72" t="s">
        <v>25</v>
      </c>
      <c r="J17" s="72"/>
      <c r="K17" s="2228"/>
      <c r="L17" s="73"/>
      <c r="M17" s="73"/>
      <c r="N17" s="73"/>
      <c r="O17" s="2416" t="s">
        <v>5885</v>
      </c>
      <c r="Q17" s="72" t="s">
        <v>25</v>
      </c>
    </row>
    <row r="18" spans="1:17" ht="18.75" customHeight="1" x14ac:dyDescent="0.3">
      <c r="A18" s="2821">
        <v>2</v>
      </c>
      <c r="B18" s="65" t="s">
        <v>38</v>
      </c>
      <c r="C18" s="66" t="s">
        <v>36</v>
      </c>
      <c r="D18" s="67">
        <v>59</v>
      </c>
      <c r="E18" s="68" t="s">
        <v>42</v>
      </c>
      <c r="F18" s="69" t="s">
        <v>40</v>
      </c>
      <c r="G18" s="70">
        <v>21900</v>
      </c>
      <c r="H18" s="1731" t="s">
        <v>41</v>
      </c>
      <c r="I18" s="72" t="s">
        <v>25</v>
      </c>
      <c r="J18" s="72"/>
      <c r="K18" s="2228"/>
      <c r="L18" s="73"/>
      <c r="M18" s="73"/>
      <c r="N18" s="73"/>
      <c r="O18" s="2416" t="s">
        <v>5885</v>
      </c>
      <c r="Q18" s="72" t="s">
        <v>25</v>
      </c>
    </row>
    <row r="19" spans="1:17" ht="18.75" customHeight="1" x14ac:dyDescent="0.3">
      <c r="A19" s="2821">
        <v>3</v>
      </c>
      <c r="B19" s="65" t="s">
        <v>38</v>
      </c>
      <c r="C19" s="66" t="s">
        <v>36</v>
      </c>
      <c r="D19" s="67">
        <v>59</v>
      </c>
      <c r="E19" s="68" t="s">
        <v>43</v>
      </c>
      <c r="F19" s="69" t="s">
        <v>40</v>
      </c>
      <c r="G19" s="70">
        <v>21900</v>
      </c>
      <c r="H19" s="1731" t="s">
        <v>41</v>
      </c>
      <c r="I19" s="72" t="s">
        <v>25</v>
      </c>
      <c r="J19" s="72"/>
      <c r="K19" s="2228"/>
      <c r="L19" s="73"/>
      <c r="M19" s="73"/>
      <c r="N19" s="73"/>
      <c r="O19" s="2416" t="s">
        <v>5885</v>
      </c>
      <c r="Q19" s="72" t="s">
        <v>25</v>
      </c>
    </row>
    <row r="20" spans="1:17" ht="18.75" customHeight="1" x14ac:dyDescent="0.3">
      <c r="A20" s="2821">
        <v>4</v>
      </c>
      <c r="B20" s="65" t="s">
        <v>38</v>
      </c>
      <c r="C20" s="66" t="s">
        <v>36</v>
      </c>
      <c r="D20" s="67">
        <v>59</v>
      </c>
      <c r="E20" s="68" t="s">
        <v>44</v>
      </c>
      <c r="F20" s="69" t="s">
        <v>40</v>
      </c>
      <c r="G20" s="70">
        <v>21900</v>
      </c>
      <c r="H20" s="1731" t="s">
        <v>41</v>
      </c>
      <c r="I20" s="72" t="s">
        <v>25</v>
      </c>
      <c r="J20" s="72"/>
      <c r="K20" s="2228"/>
      <c r="L20" s="73"/>
      <c r="M20" s="73"/>
      <c r="N20" s="73"/>
      <c r="O20" s="2416" t="s">
        <v>5885</v>
      </c>
      <c r="Q20" s="72" t="s">
        <v>25</v>
      </c>
    </row>
    <row r="21" spans="1:17" ht="18.75" customHeight="1" x14ac:dyDescent="0.3">
      <c r="A21" s="2821">
        <v>5</v>
      </c>
      <c r="B21" s="65" t="s">
        <v>38</v>
      </c>
      <c r="C21" s="66" t="s">
        <v>36</v>
      </c>
      <c r="D21" s="67">
        <v>59</v>
      </c>
      <c r="E21" s="68" t="s">
        <v>45</v>
      </c>
      <c r="F21" s="69" t="s">
        <v>40</v>
      </c>
      <c r="G21" s="70">
        <v>21900</v>
      </c>
      <c r="H21" s="1731" t="s">
        <v>41</v>
      </c>
      <c r="I21" s="72" t="s">
        <v>25</v>
      </c>
      <c r="J21" s="72"/>
      <c r="K21" s="2228"/>
      <c r="L21" s="73"/>
      <c r="M21" s="73"/>
      <c r="N21" s="73"/>
      <c r="O21" s="2416" t="s">
        <v>5885</v>
      </c>
      <c r="Q21" s="72" t="s">
        <v>25</v>
      </c>
    </row>
    <row r="22" spans="1:17" ht="18.75" customHeight="1" x14ac:dyDescent="0.3">
      <c r="A22" s="2821">
        <v>6</v>
      </c>
      <c r="B22" s="65" t="s">
        <v>38</v>
      </c>
      <c r="C22" s="66" t="s">
        <v>36</v>
      </c>
      <c r="D22" s="67">
        <v>59</v>
      </c>
      <c r="E22" s="68" t="s">
        <v>46</v>
      </c>
      <c r="F22" s="69" t="s">
        <v>40</v>
      </c>
      <c r="G22" s="70">
        <v>21900</v>
      </c>
      <c r="H22" s="1731" t="s">
        <v>41</v>
      </c>
      <c r="I22" s="72" t="s">
        <v>25</v>
      </c>
      <c r="J22" s="72"/>
      <c r="K22" s="2228"/>
      <c r="L22" s="73"/>
      <c r="M22" s="73"/>
      <c r="N22" s="73"/>
      <c r="O22" s="2416" t="s">
        <v>5885</v>
      </c>
      <c r="Q22" s="72" t="s">
        <v>25</v>
      </c>
    </row>
    <row r="23" spans="1:17" ht="18.75" customHeight="1" x14ac:dyDescent="0.3">
      <c r="A23" s="2821">
        <v>7</v>
      </c>
      <c r="B23" s="65" t="s">
        <v>38</v>
      </c>
      <c r="C23" s="66" t="s">
        <v>36</v>
      </c>
      <c r="D23" s="67">
        <v>59</v>
      </c>
      <c r="E23" s="68" t="s">
        <v>47</v>
      </c>
      <c r="F23" s="69" t="s">
        <v>40</v>
      </c>
      <c r="G23" s="70">
        <v>21900</v>
      </c>
      <c r="H23" s="1731" t="s">
        <v>41</v>
      </c>
      <c r="I23" s="72" t="s">
        <v>25</v>
      </c>
      <c r="J23" s="72"/>
      <c r="K23" s="2228"/>
      <c r="L23" s="73"/>
      <c r="M23" s="73"/>
      <c r="N23" s="73"/>
      <c r="O23" s="2416" t="s">
        <v>5885</v>
      </c>
      <c r="Q23" s="72" t="s">
        <v>25</v>
      </c>
    </row>
    <row r="24" spans="1:17" ht="18.75" customHeight="1" x14ac:dyDescent="0.3">
      <c r="A24" s="2821">
        <v>8</v>
      </c>
      <c r="B24" s="65" t="s">
        <v>38</v>
      </c>
      <c r="C24" s="66" t="s">
        <v>36</v>
      </c>
      <c r="D24" s="67">
        <v>59</v>
      </c>
      <c r="E24" s="68" t="s">
        <v>48</v>
      </c>
      <c r="F24" s="69" t="s">
        <v>40</v>
      </c>
      <c r="G24" s="70">
        <v>21900</v>
      </c>
      <c r="H24" s="1731" t="s">
        <v>41</v>
      </c>
      <c r="I24" s="72" t="s">
        <v>25</v>
      </c>
      <c r="J24" s="72"/>
      <c r="K24" s="2228"/>
      <c r="L24" s="73"/>
      <c r="M24" s="73"/>
      <c r="N24" s="73"/>
      <c r="O24" s="2416" t="s">
        <v>5885</v>
      </c>
      <c r="Q24" s="72" t="s">
        <v>25</v>
      </c>
    </row>
    <row r="25" spans="1:17" ht="18.75" customHeight="1" x14ac:dyDescent="0.3">
      <c r="A25" s="2821">
        <v>9</v>
      </c>
      <c r="B25" s="65" t="s">
        <v>38</v>
      </c>
      <c r="C25" s="66" t="s">
        <v>36</v>
      </c>
      <c r="D25" s="67">
        <v>59</v>
      </c>
      <c r="E25" s="68" t="s">
        <v>49</v>
      </c>
      <c r="F25" s="69" t="s">
        <v>40</v>
      </c>
      <c r="G25" s="70">
        <v>21900</v>
      </c>
      <c r="H25" s="1731" t="s">
        <v>41</v>
      </c>
      <c r="I25" s="72" t="s">
        <v>25</v>
      </c>
      <c r="J25" s="72"/>
      <c r="K25" s="2228"/>
      <c r="L25" s="73"/>
      <c r="M25" s="73"/>
      <c r="N25" s="73"/>
      <c r="O25" s="2416" t="s">
        <v>5885</v>
      </c>
      <c r="Q25" s="72" t="s">
        <v>25</v>
      </c>
    </row>
    <row r="26" spans="1:17" ht="18.75" customHeight="1" x14ac:dyDescent="0.3">
      <c r="A26" s="2821">
        <v>10</v>
      </c>
      <c r="B26" s="65" t="s">
        <v>38</v>
      </c>
      <c r="C26" s="74" t="s">
        <v>36</v>
      </c>
      <c r="D26" s="75">
        <v>59</v>
      </c>
      <c r="E26" s="76" t="s">
        <v>50</v>
      </c>
      <c r="F26" s="77" t="s">
        <v>51</v>
      </c>
      <c r="G26" s="78">
        <v>21900</v>
      </c>
      <c r="H26" s="1731" t="s">
        <v>41</v>
      </c>
      <c r="I26" s="72" t="s">
        <v>25</v>
      </c>
      <c r="J26" s="79"/>
      <c r="K26" s="2229"/>
      <c r="L26" s="80"/>
      <c r="M26" s="80"/>
      <c r="N26" s="80"/>
      <c r="O26" s="2416" t="s">
        <v>5885</v>
      </c>
      <c r="Q26" s="72" t="s">
        <v>25</v>
      </c>
    </row>
    <row r="27" spans="1:17" ht="18.75" customHeight="1" x14ac:dyDescent="0.3">
      <c r="A27" s="2821">
        <v>11</v>
      </c>
      <c r="B27" s="81" t="s">
        <v>52</v>
      </c>
      <c r="C27" s="74" t="s">
        <v>36</v>
      </c>
      <c r="D27" s="75">
        <v>62</v>
      </c>
      <c r="E27" s="76" t="s">
        <v>53</v>
      </c>
      <c r="F27" s="82" t="s">
        <v>54</v>
      </c>
      <c r="G27" s="83">
        <v>8700</v>
      </c>
      <c r="H27" s="1731" t="s">
        <v>41</v>
      </c>
      <c r="I27" s="72" t="s">
        <v>25</v>
      </c>
      <c r="J27" s="84"/>
      <c r="K27" s="2230"/>
      <c r="L27" s="85"/>
      <c r="M27" s="85"/>
      <c r="N27" s="85"/>
      <c r="O27" s="2416" t="s">
        <v>5885</v>
      </c>
      <c r="Q27" s="72" t="s">
        <v>25</v>
      </c>
    </row>
    <row r="28" spans="1:17" ht="18.75" customHeight="1" x14ac:dyDescent="0.3">
      <c r="A28" s="2821">
        <v>12</v>
      </c>
      <c r="B28" s="81" t="s">
        <v>52</v>
      </c>
      <c r="C28" s="74" t="s">
        <v>55</v>
      </c>
      <c r="D28" s="75">
        <v>63</v>
      </c>
      <c r="E28" s="76" t="s">
        <v>56</v>
      </c>
      <c r="F28" s="82" t="s">
        <v>54</v>
      </c>
      <c r="G28" s="83">
        <v>8700</v>
      </c>
      <c r="H28" s="1731" t="s">
        <v>41</v>
      </c>
      <c r="I28" s="72" t="s">
        <v>25</v>
      </c>
      <c r="J28" s="84"/>
      <c r="K28" s="2230"/>
      <c r="L28" s="85"/>
      <c r="M28" s="85"/>
      <c r="N28" s="85"/>
      <c r="O28" s="2416" t="s">
        <v>5885</v>
      </c>
      <c r="Q28" s="72" t="s">
        <v>25</v>
      </c>
    </row>
    <row r="29" spans="1:17" ht="18.75" customHeight="1" x14ac:dyDescent="0.3">
      <c r="A29" s="2821">
        <v>13</v>
      </c>
      <c r="B29" s="81" t="s">
        <v>52</v>
      </c>
      <c r="C29" s="74" t="s">
        <v>57</v>
      </c>
      <c r="D29" s="75">
        <v>64</v>
      </c>
      <c r="E29" s="76" t="s">
        <v>58</v>
      </c>
      <c r="F29" s="82" t="s">
        <v>54</v>
      </c>
      <c r="G29" s="83">
        <v>8700</v>
      </c>
      <c r="H29" s="1731" t="s">
        <v>41</v>
      </c>
      <c r="I29" s="72" t="s">
        <v>25</v>
      </c>
      <c r="J29" s="84"/>
      <c r="K29" s="2230"/>
      <c r="L29" s="85"/>
      <c r="M29" s="85"/>
      <c r="N29" s="85"/>
      <c r="O29" s="2416" t="s">
        <v>5885</v>
      </c>
      <c r="Q29" s="72" t="s">
        <v>25</v>
      </c>
    </row>
    <row r="30" spans="1:17" ht="18.75" customHeight="1" x14ac:dyDescent="0.3">
      <c r="A30" s="2821">
        <v>14</v>
      </c>
      <c r="B30" s="81" t="s">
        <v>52</v>
      </c>
      <c r="C30" s="74" t="s">
        <v>36</v>
      </c>
      <c r="D30" s="75">
        <v>62</v>
      </c>
      <c r="E30" s="76" t="s">
        <v>59</v>
      </c>
      <c r="F30" s="82" t="s">
        <v>54</v>
      </c>
      <c r="G30" s="83">
        <v>8700</v>
      </c>
      <c r="H30" s="1731" t="s">
        <v>41</v>
      </c>
      <c r="I30" s="72" t="s">
        <v>25</v>
      </c>
      <c r="J30" s="84"/>
      <c r="K30" s="2230"/>
      <c r="L30" s="85"/>
      <c r="M30" s="85"/>
      <c r="N30" s="85"/>
      <c r="O30" s="2416" t="s">
        <v>5885</v>
      </c>
      <c r="Q30" s="72" t="s">
        <v>25</v>
      </c>
    </row>
    <row r="31" spans="1:17" ht="18.75" customHeight="1" x14ac:dyDescent="0.3">
      <c r="A31" s="2821">
        <v>15</v>
      </c>
      <c r="B31" s="81" t="s">
        <v>52</v>
      </c>
      <c r="C31" s="74" t="s">
        <v>36</v>
      </c>
      <c r="D31" s="75">
        <v>62</v>
      </c>
      <c r="E31" s="76" t="s">
        <v>60</v>
      </c>
      <c r="F31" s="82" t="s">
        <v>54</v>
      </c>
      <c r="G31" s="83">
        <v>8700</v>
      </c>
      <c r="H31" s="1731" t="s">
        <v>41</v>
      </c>
      <c r="I31" s="72" t="s">
        <v>25</v>
      </c>
      <c r="J31" s="84"/>
      <c r="K31" s="2230"/>
      <c r="L31" s="85"/>
      <c r="M31" s="85"/>
      <c r="N31" s="85"/>
      <c r="O31" s="2416" t="s">
        <v>5885</v>
      </c>
      <c r="Q31" s="72" t="s">
        <v>25</v>
      </c>
    </row>
    <row r="32" spans="1:17" ht="18.75" customHeight="1" x14ac:dyDescent="0.3">
      <c r="A32" s="2821">
        <v>16</v>
      </c>
      <c r="B32" s="81" t="s">
        <v>52</v>
      </c>
      <c r="C32" s="74" t="s">
        <v>36</v>
      </c>
      <c r="D32" s="75">
        <v>62</v>
      </c>
      <c r="E32" s="76" t="s">
        <v>61</v>
      </c>
      <c r="F32" s="82" t="s">
        <v>54</v>
      </c>
      <c r="G32" s="83">
        <v>8700</v>
      </c>
      <c r="H32" s="1731" t="s">
        <v>41</v>
      </c>
      <c r="I32" s="72" t="s">
        <v>25</v>
      </c>
      <c r="J32" s="84"/>
      <c r="K32" s="2230"/>
      <c r="L32" s="85"/>
      <c r="M32" s="85"/>
      <c r="N32" s="85"/>
      <c r="O32" s="2416" t="s">
        <v>5885</v>
      </c>
      <c r="Q32" s="72" t="s">
        <v>25</v>
      </c>
    </row>
    <row r="33" spans="1:17" ht="18.75" customHeight="1" x14ac:dyDescent="0.3">
      <c r="A33" s="2821">
        <v>17</v>
      </c>
      <c r="B33" s="81" t="s">
        <v>52</v>
      </c>
      <c r="C33" s="74" t="s">
        <v>36</v>
      </c>
      <c r="D33" s="75">
        <v>62</v>
      </c>
      <c r="E33" s="76" t="s">
        <v>62</v>
      </c>
      <c r="F33" s="82" t="s">
        <v>54</v>
      </c>
      <c r="G33" s="83">
        <v>8700</v>
      </c>
      <c r="H33" s="1731" t="s">
        <v>41</v>
      </c>
      <c r="I33" s="72" t="s">
        <v>25</v>
      </c>
      <c r="J33" s="84"/>
      <c r="K33" s="2230"/>
      <c r="L33" s="85"/>
      <c r="M33" s="85"/>
      <c r="N33" s="85"/>
      <c r="O33" s="2416" t="s">
        <v>5885</v>
      </c>
      <c r="Q33" s="72" t="s">
        <v>25</v>
      </c>
    </row>
    <row r="34" spans="1:17" ht="18.75" customHeight="1" x14ac:dyDescent="0.3">
      <c r="A34" s="2821">
        <v>18</v>
      </c>
      <c r="B34" s="81" t="s">
        <v>52</v>
      </c>
      <c r="C34" s="74" t="s">
        <v>36</v>
      </c>
      <c r="D34" s="75">
        <v>62</v>
      </c>
      <c r="E34" s="76" t="s">
        <v>63</v>
      </c>
      <c r="F34" s="82" t="s">
        <v>54</v>
      </c>
      <c r="G34" s="83">
        <v>8700</v>
      </c>
      <c r="H34" s="1731" t="s">
        <v>41</v>
      </c>
      <c r="I34" s="72" t="s">
        <v>25</v>
      </c>
      <c r="J34" s="84"/>
      <c r="K34" s="2230"/>
      <c r="L34" s="85"/>
      <c r="M34" s="85"/>
      <c r="N34" s="85"/>
      <c r="O34" s="2416" t="s">
        <v>5885</v>
      </c>
      <c r="Q34" s="72" t="s">
        <v>25</v>
      </c>
    </row>
    <row r="35" spans="1:17" ht="18.75" customHeight="1" x14ac:dyDescent="0.3">
      <c r="A35" s="2821">
        <v>19</v>
      </c>
      <c r="B35" s="81" t="s">
        <v>52</v>
      </c>
      <c r="C35" s="74" t="s">
        <v>36</v>
      </c>
      <c r="D35" s="75">
        <v>62</v>
      </c>
      <c r="E35" s="76" t="s">
        <v>64</v>
      </c>
      <c r="F35" s="82" t="s">
        <v>54</v>
      </c>
      <c r="G35" s="83">
        <v>8700</v>
      </c>
      <c r="H35" s="1731" t="s">
        <v>41</v>
      </c>
      <c r="I35" s="72" t="s">
        <v>25</v>
      </c>
      <c r="J35" s="84"/>
      <c r="K35" s="2230"/>
      <c r="L35" s="85"/>
      <c r="M35" s="85"/>
      <c r="N35" s="85"/>
      <c r="O35" s="2416" t="s">
        <v>5885</v>
      </c>
      <c r="Q35" s="72" t="s">
        <v>25</v>
      </c>
    </row>
    <row r="36" spans="1:17" ht="18.75" customHeight="1" x14ac:dyDescent="0.3">
      <c r="A36" s="2821">
        <v>20</v>
      </c>
      <c r="B36" s="81" t="s">
        <v>52</v>
      </c>
      <c r="C36" s="74" t="s">
        <v>36</v>
      </c>
      <c r="D36" s="75">
        <v>62</v>
      </c>
      <c r="E36" s="76" t="s">
        <v>65</v>
      </c>
      <c r="F36" s="82" t="s">
        <v>54</v>
      </c>
      <c r="G36" s="83">
        <v>8700</v>
      </c>
      <c r="H36" s="1731" t="s">
        <v>41</v>
      </c>
      <c r="I36" s="72" t="s">
        <v>25</v>
      </c>
      <c r="J36" s="84"/>
      <c r="K36" s="2230"/>
      <c r="L36" s="85"/>
      <c r="M36" s="85"/>
      <c r="N36" s="85"/>
      <c r="O36" s="2416" t="s">
        <v>5885</v>
      </c>
      <c r="Q36" s="72" t="s">
        <v>25</v>
      </c>
    </row>
    <row r="37" spans="1:17" ht="18.75" customHeight="1" x14ac:dyDescent="0.3">
      <c r="A37" s="2821">
        <v>21</v>
      </c>
      <c r="B37" s="81" t="s">
        <v>52</v>
      </c>
      <c r="C37" s="74" t="s">
        <v>36</v>
      </c>
      <c r="D37" s="75">
        <v>62</v>
      </c>
      <c r="E37" s="76" t="s">
        <v>66</v>
      </c>
      <c r="F37" s="82" t="s">
        <v>54</v>
      </c>
      <c r="G37" s="83">
        <v>8700</v>
      </c>
      <c r="H37" s="1731" t="s">
        <v>41</v>
      </c>
      <c r="I37" s="72" t="s">
        <v>25</v>
      </c>
      <c r="J37" s="84"/>
      <c r="K37" s="2230"/>
      <c r="L37" s="85"/>
      <c r="M37" s="85"/>
      <c r="N37" s="85"/>
      <c r="O37" s="2416" t="s">
        <v>5885</v>
      </c>
      <c r="Q37" s="72" t="s">
        <v>25</v>
      </c>
    </row>
    <row r="38" spans="1:17" ht="18.75" customHeight="1" x14ac:dyDescent="0.3">
      <c r="A38" s="2821">
        <v>22</v>
      </c>
      <c r="B38" s="81" t="s">
        <v>52</v>
      </c>
      <c r="C38" s="74" t="s">
        <v>36</v>
      </c>
      <c r="D38" s="75">
        <v>62</v>
      </c>
      <c r="E38" s="76" t="s">
        <v>67</v>
      </c>
      <c r="F38" s="82" t="s">
        <v>54</v>
      </c>
      <c r="G38" s="83">
        <v>8700</v>
      </c>
      <c r="H38" s="1731" t="s">
        <v>41</v>
      </c>
      <c r="I38" s="72" t="s">
        <v>25</v>
      </c>
      <c r="J38" s="84"/>
      <c r="K38" s="2230"/>
      <c r="L38" s="85"/>
      <c r="M38" s="85"/>
      <c r="N38" s="85"/>
      <c r="O38" s="2416" t="s">
        <v>5885</v>
      </c>
      <c r="Q38" s="72" t="s">
        <v>25</v>
      </c>
    </row>
    <row r="39" spans="1:17" ht="18.75" customHeight="1" x14ac:dyDescent="0.3">
      <c r="A39" s="2821">
        <v>23</v>
      </c>
      <c r="B39" s="81" t="s">
        <v>52</v>
      </c>
      <c r="C39" s="74" t="s">
        <v>36</v>
      </c>
      <c r="D39" s="75">
        <v>62</v>
      </c>
      <c r="E39" s="76" t="s">
        <v>68</v>
      </c>
      <c r="F39" s="82" t="s">
        <v>54</v>
      </c>
      <c r="G39" s="83">
        <v>8700</v>
      </c>
      <c r="H39" s="1731" t="s">
        <v>41</v>
      </c>
      <c r="I39" s="72" t="s">
        <v>25</v>
      </c>
      <c r="J39" s="84"/>
      <c r="K39" s="2230"/>
      <c r="L39" s="85"/>
      <c r="M39" s="85"/>
      <c r="N39" s="85"/>
      <c r="O39" s="2416" t="s">
        <v>5885</v>
      </c>
      <c r="Q39" s="72" t="s">
        <v>25</v>
      </c>
    </row>
    <row r="40" spans="1:17" ht="18.75" customHeight="1" x14ac:dyDescent="0.3">
      <c r="A40" s="2821">
        <v>24</v>
      </c>
      <c r="B40" s="81" t="s">
        <v>52</v>
      </c>
      <c r="C40" s="74" t="s">
        <v>36</v>
      </c>
      <c r="D40" s="75">
        <v>62</v>
      </c>
      <c r="E40" s="76" t="s">
        <v>69</v>
      </c>
      <c r="F40" s="82" t="s">
        <v>54</v>
      </c>
      <c r="G40" s="83">
        <v>8700</v>
      </c>
      <c r="H40" s="1731" t="s">
        <v>41</v>
      </c>
      <c r="I40" s="72" t="s">
        <v>25</v>
      </c>
      <c r="J40" s="84"/>
      <c r="K40" s="2230"/>
      <c r="L40" s="85"/>
      <c r="M40" s="85"/>
      <c r="N40" s="85"/>
      <c r="O40" s="2416" t="s">
        <v>5885</v>
      </c>
      <c r="Q40" s="72" t="s">
        <v>25</v>
      </c>
    </row>
    <row r="41" spans="1:17" ht="18.75" customHeight="1" x14ac:dyDescent="0.3">
      <c r="A41" s="2821">
        <v>25</v>
      </c>
      <c r="B41" s="81" t="s">
        <v>52</v>
      </c>
      <c r="C41" s="74" t="s">
        <v>36</v>
      </c>
      <c r="D41" s="75">
        <v>62</v>
      </c>
      <c r="E41" s="76" t="s">
        <v>70</v>
      </c>
      <c r="F41" s="82" t="s">
        <v>54</v>
      </c>
      <c r="G41" s="83">
        <v>8700</v>
      </c>
      <c r="H41" s="1731" t="s">
        <v>41</v>
      </c>
      <c r="I41" s="72" t="s">
        <v>25</v>
      </c>
      <c r="J41" s="84"/>
      <c r="K41" s="2230"/>
      <c r="L41" s="85"/>
      <c r="M41" s="85"/>
      <c r="N41" s="85"/>
      <c r="O41" s="2416" t="s">
        <v>5885</v>
      </c>
      <c r="Q41" s="72" t="s">
        <v>25</v>
      </c>
    </row>
    <row r="42" spans="1:17" ht="18.75" customHeight="1" x14ac:dyDescent="0.3">
      <c r="A42" s="2821">
        <v>26</v>
      </c>
      <c r="B42" s="81" t="s">
        <v>52</v>
      </c>
      <c r="C42" s="74" t="s">
        <v>36</v>
      </c>
      <c r="D42" s="75">
        <v>62</v>
      </c>
      <c r="E42" s="76" t="s">
        <v>71</v>
      </c>
      <c r="F42" s="82" t="s">
        <v>54</v>
      </c>
      <c r="G42" s="83">
        <v>8700</v>
      </c>
      <c r="H42" s="1731" t="s">
        <v>41</v>
      </c>
      <c r="I42" s="72" t="s">
        <v>25</v>
      </c>
      <c r="J42" s="84"/>
      <c r="K42" s="2230"/>
      <c r="L42" s="85"/>
      <c r="M42" s="85"/>
      <c r="N42" s="85"/>
      <c r="O42" s="2416" t="s">
        <v>5885</v>
      </c>
      <c r="Q42" s="72" t="s">
        <v>25</v>
      </c>
    </row>
    <row r="43" spans="1:17" ht="18.75" customHeight="1" x14ac:dyDescent="0.3">
      <c r="A43" s="2821">
        <v>27</v>
      </c>
      <c r="B43" s="81" t="s">
        <v>52</v>
      </c>
      <c r="C43" s="74" t="s">
        <v>36</v>
      </c>
      <c r="D43" s="75">
        <v>62</v>
      </c>
      <c r="E43" s="76" t="s">
        <v>72</v>
      </c>
      <c r="F43" s="82" t="s">
        <v>54</v>
      </c>
      <c r="G43" s="83">
        <v>8700</v>
      </c>
      <c r="H43" s="1731" t="s">
        <v>41</v>
      </c>
      <c r="I43" s="72" t="s">
        <v>25</v>
      </c>
      <c r="J43" s="84"/>
      <c r="K43" s="2230"/>
      <c r="L43" s="85"/>
      <c r="M43" s="85"/>
      <c r="N43" s="85"/>
      <c r="O43" s="2416" t="s">
        <v>5885</v>
      </c>
      <c r="Q43" s="72" t="s">
        <v>25</v>
      </c>
    </row>
    <row r="44" spans="1:17" ht="18.75" customHeight="1" x14ac:dyDescent="0.3">
      <c r="A44" s="2821">
        <v>28</v>
      </c>
      <c r="B44" s="81" t="s">
        <v>52</v>
      </c>
      <c r="C44" s="74" t="s">
        <v>36</v>
      </c>
      <c r="D44" s="75">
        <v>62</v>
      </c>
      <c r="E44" s="76" t="s">
        <v>73</v>
      </c>
      <c r="F44" s="82" t="s">
        <v>54</v>
      </c>
      <c r="G44" s="83">
        <v>8700</v>
      </c>
      <c r="H44" s="1731" t="s">
        <v>41</v>
      </c>
      <c r="I44" s="72" t="s">
        <v>25</v>
      </c>
      <c r="J44" s="84"/>
      <c r="K44" s="2230"/>
      <c r="L44" s="85"/>
      <c r="M44" s="85"/>
      <c r="N44" s="85"/>
      <c r="O44" s="2416" t="s">
        <v>5885</v>
      </c>
      <c r="Q44" s="72" t="s">
        <v>25</v>
      </c>
    </row>
    <row r="45" spans="1:17" ht="18.75" customHeight="1" x14ac:dyDescent="0.3">
      <c r="A45" s="2821">
        <v>29</v>
      </c>
      <c r="B45" s="81" t="s">
        <v>52</v>
      </c>
      <c r="C45" s="74" t="s">
        <v>36</v>
      </c>
      <c r="D45" s="75">
        <v>62</v>
      </c>
      <c r="E45" s="76" t="s">
        <v>74</v>
      </c>
      <c r="F45" s="82" t="s">
        <v>54</v>
      </c>
      <c r="G45" s="83">
        <v>8700</v>
      </c>
      <c r="H45" s="1731" t="s">
        <v>41</v>
      </c>
      <c r="I45" s="72" t="s">
        <v>25</v>
      </c>
      <c r="J45" s="84"/>
      <c r="K45" s="2230"/>
      <c r="L45" s="85"/>
      <c r="M45" s="85"/>
      <c r="N45" s="85"/>
      <c r="O45" s="2416" t="s">
        <v>5885</v>
      </c>
      <c r="Q45" s="72" t="s">
        <v>25</v>
      </c>
    </row>
    <row r="46" spans="1:17" ht="18.75" customHeight="1" x14ac:dyDescent="0.3">
      <c r="A46" s="2821">
        <v>30</v>
      </c>
      <c r="B46" s="81" t="s">
        <v>52</v>
      </c>
      <c r="C46" s="74" t="s">
        <v>36</v>
      </c>
      <c r="D46" s="75">
        <v>62</v>
      </c>
      <c r="E46" s="76" t="s">
        <v>75</v>
      </c>
      <c r="F46" s="82" t="s">
        <v>54</v>
      </c>
      <c r="G46" s="83">
        <v>8700</v>
      </c>
      <c r="H46" s="1731" t="s">
        <v>41</v>
      </c>
      <c r="I46" s="72" t="s">
        <v>25</v>
      </c>
      <c r="J46" s="34"/>
      <c r="K46" s="2231"/>
      <c r="L46" s="87"/>
      <c r="M46" s="87"/>
      <c r="N46" s="87"/>
      <c r="O46" s="2416" t="s">
        <v>5885</v>
      </c>
      <c r="Q46" s="72" t="s">
        <v>25</v>
      </c>
    </row>
    <row r="47" spans="1:17" ht="18.75" customHeight="1" x14ac:dyDescent="0.3">
      <c r="A47" s="2821">
        <v>31</v>
      </c>
      <c r="B47" s="81" t="s">
        <v>76</v>
      </c>
      <c r="C47" s="74" t="s">
        <v>36</v>
      </c>
      <c r="D47" s="75">
        <v>66</v>
      </c>
      <c r="E47" s="76" t="s">
        <v>77</v>
      </c>
      <c r="F47" s="82" t="s">
        <v>78</v>
      </c>
      <c r="G47" s="83">
        <v>22000</v>
      </c>
      <c r="H47" s="1731" t="s">
        <v>41</v>
      </c>
      <c r="I47" s="72" t="s">
        <v>25</v>
      </c>
      <c r="J47" s="84"/>
      <c r="K47" s="2230"/>
      <c r="L47" s="85"/>
      <c r="M47" s="85"/>
      <c r="N47" s="85"/>
      <c r="O47" s="2416" t="s">
        <v>5885</v>
      </c>
      <c r="Q47" s="72" t="s">
        <v>25</v>
      </c>
    </row>
    <row r="48" spans="1:17" ht="18.75" customHeight="1" x14ac:dyDescent="0.3">
      <c r="A48" s="2821">
        <v>32</v>
      </c>
      <c r="B48" s="81" t="s">
        <v>76</v>
      </c>
      <c r="C48" s="74" t="s">
        <v>36</v>
      </c>
      <c r="D48" s="75">
        <v>66</v>
      </c>
      <c r="E48" s="76" t="s">
        <v>79</v>
      </c>
      <c r="F48" s="82" t="s">
        <v>78</v>
      </c>
      <c r="G48" s="83">
        <v>22000</v>
      </c>
      <c r="H48" s="1731" t="s">
        <v>41</v>
      </c>
      <c r="I48" s="72" t="s">
        <v>25</v>
      </c>
      <c r="J48" s="84"/>
      <c r="K48" s="2230"/>
      <c r="L48" s="85"/>
      <c r="M48" s="85"/>
      <c r="N48" s="85"/>
      <c r="O48" s="2416" t="s">
        <v>5885</v>
      </c>
      <c r="Q48" s="72" t="s">
        <v>25</v>
      </c>
    </row>
    <row r="49" spans="1:17" ht="18.75" customHeight="1" x14ac:dyDescent="0.3">
      <c r="A49" s="2821">
        <v>33</v>
      </c>
      <c r="B49" s="81" t="s">
        <v>76</v>
      </c>
      <c r="C49" s="74" t="s">
        <v>36</v>
      </c>
      <c r="D49" s="75">
        <v>66</v>
      </c>
      <c r="E49" s="76" t="s">
        <v>80</v>
      </c>
      <c r="F49" s="82" t="s">
        <v>78</v>
      </c>
      <c r="G49" s="83">
        <v>22000</v>
      </c>
      <c r="H49" s="1731" t="s">
        <v>41</v>
      </c>
      <c r="I49" s="72" t="s">
        <v>25</v>
      </c>
      <c r="J49" s="84"/>
      <c r="K49" s="2230"/>
      <c r="L49" s="85"/>
      <c r="M49" s="85"/>
      <c r="N49" s="85"/>
      <c r="O49" s="2416" t="s">
        <v>5885</v>
      </c>
      <c r="Q49" s="72" t="s">
        <v>25</v>
      </c>
    </row>
    <row r="50" spans="1:17" ht="18.75" customHeight="1" x14ac:dyDescent="0.3">
      <c r="A50" s="2821">
        <v>34</v>
      </c>
      <c r="B50" s="81" t="s">
        <v>76</v>
      </c>
      <c r="C50" s="74" t="s">
        <v>36</v>
      </c>
      <c r="D50" s="75">
        <v>66</v>
      </c>
      <c r="E50" s="76" t="s">
        <v>81</v>
      </c>
      <c r="F50" s="82" t="s">
        <v>78</v>
      </c>
      <c r="G50" s="83">
        <v>22000</v>
      </c>
      <c r="H50" s="1731" t="s">
        <v>41</v>
      </c>
      <c r="I50" s="72" t="s">
        <v>25</v>
      </c>
      <c r="J50" s="84"/>
      <c r="K50" s="2230"/>
      <c r="L50" s="85"/>
      <c r="M50" s="85"/>
      <c r="N50" s="85"/>
      <c r="O50" s="2416" t="s">
        <v>5885</v>
      </c>
      <c r="Q50" s="72" t="s">
        <v>25</v>
      </c>
    </row>
    <row r="51" spans="1:17" ht="18.75" customHeight="1" x14ac:dyDescent="0.3">
      <c r="A51" s="2821">
        <v>35</v>
      </c>
      <c r="B51" s="81" t="s">
        <v>76</v>
      </c>
      <c r="C51" s="74" t="s">
        <v>36</v>
      </c>
      <c r="D51" s="75">
        <v>66</v>
      </c>
      <c r="E51" s="76" t="s">
        <v>82</v>
      </c>
      <c r="F51" s="82" t="s">
        <v>78</v>
      </c>
      <c r="G51" s="83">
        <v>22000</v>
      </c>
      <c r="H51" s="1731" t="s">
        <v>41</v>
      </c>
      <c r="I51" s="72" t="s">
        <v>25</v>
      </c>
      <c r="J51" s="84"/>
      <c r="K51" s="2230"/>
      <c r="L51" s="85"/>
      <c r="M51" s="85"/>
      <c r="N51" s="85"/>
      <c r="O51" s="2416" t="s">
        <v>5885</v>
      </c>
      <c r="Q51" s="72" t="s">
        <v>25</v>
      </c>
    </row>
    <row r="52" spans="1:17" ht="18.75" customHeight="1" x14ac:dyDescent="0.3">
      <c r="A52" s="2821">
        <v>36</v>
      </c>
      <c r="B52" s="81" t="s">
        <v>76</v>
      </c>
      <c r="C52" s="74" t="s">
        <v>36</v>
      </c>
      <c r="D52" s="75">
        <v>66</v>
      </c>
      <c r="E52" s="76" t="s">
        <v>83</v>
      </c>
      <c r="F52" s="82" t="s">
        <v>78</v>
      </c>
      <c r="G52" s="83">
        <v>22000</v>
      </c>
      <c r="H52" s="1731" t="s">
        <v>41</v>
      </c>
      <c r="I52" s="72" t="s">
        <v>25</v>
      </c>
      <c r="J52" s="84"/>
      <c r="K52" s="2230"/>
      <c r="L52" s="85"/>
      <c r="M52" s="85"/>
      <c r="N52" s="85"/>
      <c r="O52" s="2416" t="s">
        <v>5885</v>
      </c>
      <c r="Q52" s="72" t="s">
        <v>25</v>
      </c>
    </row>
    <row r="53" spans="1:17" ht="18.75" customHeight="1" x14ac:dyDescent="0.3">
      <c r="A53" s="2821">
        <v>37</v>
      </c>
      <c r="B53" s="81" t="s">
        <v>76</v>
      </c>
      <c r="C53" s="74" t="s">
        <v>36</v>
      </c>
      <c r="D53" s="75">
        <v>66</v>
      </c>
      <c r="E53" s="76" t="s">
        <v>84</v>
      </c>
      <c r="F53" s="82" t="s">
        <v>78</v>
      </c>
      <c r="G53" s="83">
        <v>22000</v>
      </c>
      <c r="H53" s="1731" t="s">
        <v>41</v>
      </c>
      <c r="I53" s="72" t="s">
        <v>25</v>
      </c>
      <c r="J53" s="84"/>
      <c r="K53" s="2230"/>
      <c r="L53" s="85"/>
      <c r="M53" s="85"/>
      <c r="N53" s="85"/>
      <c r="O53" s="2416" t="s">
        <v>5885</v>
      </c>
      <c r="Q53" s="72" t="s">
        <v>25</v>
      </c>
    </row>
    <row r="54" spans="1:17" ht="18.75" customHeight="1" x14ac:dyDescent="0.3">
      <c r="A54" s="2821">
        <v>38</v>
      </c>
      <c r="B54" s="81" t="s">
        <v>76</v>
      </c>
      <c r="C54" s="74" t="s">
        <v>36</v>
      </c>
      <c r="D54" s="75">
        <v>66</v>
      </c>
      <c r="E54" s="76" t="s">
        <v>85</v>
      </c>
      <c r="F54" s="82" t="s">
        <v>78</v>
      </c>
      <c r="G54" s="83">
        <v>22000</v>
      </c>
      <c r="H54" s="1731" t="s">
        <v>41</v>
      </c>
      <c r="I54" s="72" t="s">
        <v>25</v>
      </c>
      <c r="J54" s="84"/>
      <c r="K54" s="2230"/>
      <c r="L54" s="85"/>
      <c r="M54" s="85"/>
      <c r="N54" s="85"/>
      <c r="O54" s="2416" t="s">
        <v>5885</v>
      </c>
      <c r="Q54" s="72" t="s">
        <v>25</v>
      </c>
    </row>
    <row r="55" spans="1:17" ht="18.75" customHeight="1" x14ac:dyDescent="0.3">
      <c r="A55" s="2821">
        <v>39</v>
      </c>
      <c r="B55" s="81" t="s">
        <v>76</v>
      </c>
      <c r="C55" s="74" t="s">
        <v>36</v>
      </c>
      <c r="D55" s="75">
        <v>66</v>
      </c>
      <c r="E55" s="76" t="s">
        <v>86</v>
      </c>
      <c r="F55" s="82" t="s">
        <v>78</v>
      </c>
      <c r="G55" s="83">
        <v>22000</v>
      </c>
      <c r="H55" s="1731" t="s">
        <v>41</v>
      </c>
      <c r="I55" s="72" t="s">
        <v>25</v>
      </c>
      <c r="J55" s="84"/>
      <c r="K55" s="2230"/>
      <c r="L55" s="85"/>
      <c r="M55" s="85"/>
      <c r="N55" s="85"/>
      <c r="O55" s="2416" t="s">
        <v>5885</v>
      </c>
      <c r="Q55" s="72" t="s">
        <v>25</v>
      </c>
    </row>
    <row r="56" spans="1:17" ht="18.75" customHeight="1" x14ac:dyDescent="0.3">
      <c r="A56" s="2821">
        <v>40</v>
      </c>
      <c r="B56" s="81" t="s">
        <v>76</v>
      </c>
      <c r="C56" s="74" t="s">
        <v>36</v>
      </c>
      <c r="D56" s="75">
        <v>66</v>
      </c>
      <c r="E56" s="76" t="s">
        <v>87</v>
      </c>
      <c r="F56" s="82" t="s">
        <v>78</v>
      </c>
      <c r="G56" s="83">
        <v>22000</v>
      </c>
      <c r="H56" s="1731" t="s">
        <v>41</v>
      </c>
      <c r="I56" s="72" t="s">
        <v>25</v>
      </c>
      <c r="J56" s="84"/>
      <c r="K56" s="2230"/>
      <c r="L56" s="85"/>
      <c r="M56" s="85"/>
      <c r="N56" s="85"/>
      <c r="O56" s="2416" t="s">
        <v>5885</v>
      </c>
      <c r="Q56" s="72" t="s">
        <v>25</v>
      </c>
    </row>
    <row r="57" spans="1:17" ht="18.75" customHeight="1" x14ac:dyDescent="0.3">
      <c r="A57" s="2821">
        <v>41</v>
      </c>
      <c r="B57" s="81" t="s">
        <v>76</v>
      </c>
      <c r="C57" s="74" t="s">
        <v>36</v>
      </c>
      <c r="D57" s="75">
        <v>66</v>
      </c>
      <c r="E57" s="76" t="s">
        <v>88</v>
      </c>
      <c r="F57" s="82" t="s">
        <v>78</v>
      </c>
      <c r="G57" s="83">
        <v>22000</v>
      </c>
      <c r="H57" s="1731" t="s">
        <v>41</v>
      </c>
      <c r="I57" s="72" t="s">
        <v>25</v>
      </c>
      <c r="J57" s="84"/>
      <c r="K57" s="2230"/>
      <c r="L57" s="85"/>
      <c r="M57" s="85"/>
      <c r="N57" s="85"/>
      <c r="O57" s="2416" t="s">
        <v>5885</v>
      </c>
      <c r="Q57" s="72" t="s">
        <v>25</v>
      </c>
    </row>
    <row r="58" spans="1:17" ht="18.75" customHeight="1" x14ac:dyDescent="0.3">
      <c r="A58" s="2821">
        <v>42</v>
      </c>
      <c r="B58" s="81" t="s">
        <v>76</v>
      </c>
      <c r="C58" s="74" t="s">
        <v>36</v>
      </c>
      <c r="D58" s="75">
        <v>66</v>
      </c>
      <c r="E58" s="76" t="s">
        <v>89</v>
      </c>
      <c r="F58" s="82" t="s">
        <v>78</v>
      </c>
      <c r="G58" s="83">
        <v>22000</v>
      </c>
      <c r="H58" s="1731" t="s">
        <v>41</v>
      </c>
      <c r="I58" s="72" t="s">
        <v>25</v>
      </c>
      <c r="J58" s="84"/>
      <c r="K58" s="2230"/>
      <c r="L58" s="85"/>
      <c r="M58" s="85"/>
      <c r="N58" s="85"/>
      <c r="O58" s="2416" t="s">
        <v>5885</v>
      </c>
      <c r="Q58" s="72" t="s">
        <v>25</v>
      </c>
    </row>
    <row r="59" spans="1:17" ht="18.75" customHeight="1" x14ac:dyDescent="0.3">
      <c r="A59" s="2821">
        <v>43</v>
      </c>
      <c r="B59" s="81" t="s">
        <v>76</v>
      </c>
      <c r="C59" s="74" t="s">
        <v>36</v>
      </c>
      <c r="D59" s="75">
        <v>66</v>
      </c>
      <c r="E59" s="76" t="s">
        <v>90</v>
      </c>
      <c r="F59" s="82" t="s">
        <v>78</v>
      </c>
      <c r="G59" s="83">
        <v>22000</v>
      </c>
      <c r="H59" s="1731" t="s">
        <v>41</v>
      </c>
      <c r="I59" s="72" t="s">
        <v>25</v>
      </c>
      <c r="J59" s="84"/>
      <c r="K59" s="2230"/>
      <c r="L59" s="85"/>
      <c r="M59" s="85"/>
      <c r="N59" s="85"/>
      <c r="O59" s="2416" t="s">
        <v>5885</v>
      </c>
      <c r="Q59" s="72" t="s">
        <v>25</v>
      </c>
    </row>
    <row r="60" spans="1:17" ht="18.75" customHeight="1" x14ac:dyDescent="0.3">
      <c r="A60" s="2821">
        <v>44</v>
      </c>
      <c r="B60" s="81" t="s">
        <v>76</v>
      </c>
      <c r="C60" s="74" t="s">
        <v>36</v>
      </c>
      <c r="D60" s="75">
        <v>66</v>
      </c>
      <c r="E60" s="76" t="s">
        <v>91</v>
      </c>
      <c r="F60" s="82" t="s">
        <v>78</v>
      </c>
      <c r="G60" s="83">
        <v>22000</v>
      </c>
      <c r="H60" s="1731" t="s">
        <v>41</v>
      </c>
      <c r="I60" s="72" t="s">
        <v>25</v>
      </c>
      <c r="J60" s="84"/>
      <c r="K60" s="2230"/>
      <c r="L60" s="85"/>
      <c r="M60" s="85"/>
      <c r="N60" s="85"/>
      <c r="O60" s="2416" t="s">
        <v>5885</v>
      </c>
      <c r="Q60" s="72" t="s">
        <v>25</v>
      </c>
    </row>
    <row r="61" spans="1:17" ht="18.75" customHeight="1" x14ac:dyDescent="0.3">
      <c r="A61" s="2821">
        <v>45</v>
      </c>
      <c r="B61" s="81" t="s">
        <v>76</v>
      </c>
      <c r="C61" s="74" t="s">
        <v>36</v>
      </c>
      <c r="D61" s="75">
        <v>66</v>
      </c>
      <c r="E61" s="76" t="s">
        <v>92</v>
      </c>
      <c r="F61" s="82" t="s">
        <v>78</v>
      </c>
      <c r="G61" s="83">
        <v>22000</v>
      </c>
      <c r="H61" s="1731" t="s">
        <v>41</v>
      </c>
      <c r="I61" s="72" t="s">
        <v>25</v>
      </c>
      <c r="J61" s="84"/>
      <c r="K61" s="2230"/>
      <c r="L61" s="85"/>
      <c r="M61" s="85"/>
      <c r="N61" s="85"/>
      <c r="O61" s="2416" t="s">
        <v>5885</v>
      </c>
      <c r="Q61" s="72" t="s">
        <v>25</v>
      </c>
    </row>
    <row r="62" spans="1:17" ht="18.75" customHeight="1" x14ac:dyDescent="0.3">
      <c r="A62" s="2821">
        <v>46</v>
      </c>
      <c r="B62" s="81" t="s">
        <v>76</v>
      </c>
      <c r="C62" s="74" t="s">
        <v>36</v>
      </c>
      <c r="D62" s="75">
        <v>66</v>
      </c>
      <c r="E62" s="76" t="s">
        <v>93</v>
      </c>
      <c r="F62" s="82" t="s">
        <v>78</v>
      </c>
      <c r="G62" s="83">
        <v>22000</v>
      </c>
      <c r="H62" s="1731" t="s">
        <v>41</v>
      </c>
      <c r="I62" s="72" t="s">
        <v>25</v>
      </c>
      <c r="J62" s="84"/>
      <c r="K62" s="2230"/>
      <c r="L62" s="85"/>
      <c r="M62" s="85"/>
      <c r="N62" s="85"/>
      <c r="O62" s="2416" t="s">
        <v>5885</v>
      </c>
      <c r="Q62" s="72" t="s">
        <v>25</v>
      </c>
    </row>
    <row r="63" spans="1:17" ht="18.75" customHeight="1" x14ac:dyDescent="0.3">
      <c r="A63" s="2821">
        <v>47</v>
      </c>
      <c r="B63" s="81" t="s">
        <v>76</v>
      </c>
      <c r="C63" s="74" t="s">
        <v>36</v>
      </c>
      <c r="D63" s="75">
        <v>66</v>
      </c>
      <c r="E63" s="76" t="s">
        <v>94</v>
      </c>
      <c r="F63" s="82" t="s">
        <v>78</v>
      </c>
      <c r="G63" s="83">
        <v>22000</v>
      </c>
      <c r="H63" s="1731" t="s">
        <v>41</v>
      </c>
      <c r="I63" s="72" t="s">
        <v>25</v>
      </c>
      <c r="J63" s="84"/>
      <c r="K63" s="2230"/>
      <c r="L63" s="85"/>
      <c r="M63" s="85"/>
      <c r="N63" s="85"/>
      <c r="O63" s="2416" t="s">
        <v>5885</v>
      </c>
      <c r="Q63" s="72" t="s">
        <v>25</v>
      </c>
    </row>
    <row r="64" spans="1:17" ht="18.75" customHeight="1" x14ac:dyDescent="0.3">
      <c r="A64" s="2821">
        <v>48</v>
      </c>
      <c r="B64" s="81" t="s">
        <v>76</v>
      </c>
      <c r="C64" s="74" t="s">
        <v>36</v>
      </c>
      <c r="D64" s="75">
        <v>66</v>
      </c>
      <c r="E64" s="76" t="s">
        <v>95</v>
      </c>
      <c r="F64" s="82" t="s">
        <v>78</v>
      </c>
      <c r="G64" s="83">
        <v>22000</v>
      </c>
      <c r="H64" s="1731" t="s">
        <v>41</v>
      </c>
      <c r="I64" s="72" t="s">
        <v>25</v>
      </c>
      <c r="J64" s="84"/>
      <c r="K64" s="2230"/>
      <c r="L64" s="85"/>
      <c r="M64" s="85"/>
      <c r="N64" s="85"/>
      <c r="O64" s="2416" t="s">
        <v>5885</v>
      </c>
      <c r="Q64" s="72" t="s">
        <v>25</v>
      </c>
    </row>
    <row r="65" spans="1:17" ht="18.75" customHeight="1" x14ac:dyDescent="0.3">
      <c r="A65" s="2821">
        <v>49</v>
      </c>
      <c r="B65" s="81" t="s">
        <v>76</v>
      </c>
      <c r="C65" s="74" t="s">
        <v>36</v>
      </c>
      <c r="D65" s="75">
        <v>66</v>
      </c>
      <c r="E65" s="76" t="s">
        <v>96</v>
      </c>
      <c r="F65" s="82" t="s">
        <v>78</v>
      </c>
      <c r="G65" s="83">
        <v>22000</v>
      </c>
      <c r="H65" s="1731" t="s">
        <v>41</v>
      </c>
      <c r="I65" s="72" t="s">
        <v>25</v>
      </c>
      <c r="J65" s="84"/>
      <c r="K65" s="2230"/>
      <c r="L65" s="85"/>
      <c r="M65" s="85"/>
      <c r="N65" s="85"/>
      <c r="O65" s="2416" t="s">
        <v>5885</v>
      </c>
      <c r="Q65" s="72" t="s">
        <v>25</v>
      </c>
    </row>
    <row r="66" spans="1:17" ht="18.75" customHeight="1" x14ac:dyDescent="0.3">
      <c r="A66" s="2821">
        <v>50</v>
      </c>
      <c r="B66" s="81" t="s">
        <v>76</v>
      </c>
      <c r="C66" s="74" t="s">
        <v>36</v>
      </c>
      <c r="D66" s="75">
        <v>66</v>
      </c>
      <c r="E66" s="76" t="s">
        <v>97</v>
      </c>
      <c r="F66" s="82" t="s">
        <v>78</v>
      </c>
      <c r="G66" s="83">
        <v>22000</v>
      </c>
      <c r="H66" s="1731" t="s">
        <v>41</v>
      </c>
      <c r="I66" s="72" t="s">
        <v>25</v>
      </c>
      <c r="J66" s="84"/>
      <c r="K66" s="2230"/>
      <c r="L66" s="85"/>
      <c r="M66" s="85"/>
      <c r="N66" s="85"/>
      <c r="O66" s="2416" t="s">
        <v>5885</v>
      </c>
      <c r="Q66" s="72" t="s">
        <v>25</v>
      </c>
    </row>
    <row r="67" spans="1:17" ht="18.75" customHeight="1" x14ac:dyDescent="0.3">
      <c r="A67" s="39"/>
      <c r="B67" s="88"/>
      <c r="C67" s="89"/>
      <c r="D67" s="90"/>
      <c r="E67" s="91"/>
      <c r="F67" s="91"/>
      <c r="G67" s="92">
        <f>SUM(G17:G66)</f>
        <v>833000</v>
      </c>
      <c r="H67" s="93"/>
      <c r="I67" s="46"/>
      <c r="J67" s="94"/>
      <c r="K67" s="2232"/>
      <c r="L67" s="94"/>
      <c r="M67" s="94"/>
      <c r="N67" s="94"/>
      <c r="O67" s="95"/>
    </row>
    <row r="68" spans="1:17" ht="18.75" customHeight="1" x14ac:dyDescent="0.3">
      <c r="A68" s="2644">
        <v>400</v>
      </c>
      <c r="B68" s="97" t="s">
        <v>98</v>
      </c>
      <c r="C68" s="97"/>
      <c r="D68" s="98"/>
      <c r="E68" s="99"/>
      <c r="F68" s="97"/>
      <c r="G68" s="100"/>
      <c r="H68" s="101"/>
      <c r="I68" s="97"/>
      <c r="J68" s="97"/>
      <c r="K68" s="1843"/>
      <c r="L68" s="97"/>
      <c r="M68" s="97"/>
      <c r="N68" s="102"/>
      <c r="O68" s="103"/>
    </row>
    <row r="69" spans="1:17" ht="18.75" customHeight="1" x14ac:dyDescent="0.3">
      <c r="A69" s="104">
        <v>1</v>
      </c>
      <c r="B69" s="105" t="s">
        <v>99</v>
      </c>
      <c r="C69" s="106">
        <v>400</v>
      </c>
      <c r="D69" s="107">
        <v>26</v>
      </c>
      <c r="E69" s="108" t="s">
        <v>100</v>
      </c>
      <c r="F69" s="109">
        <v>46132</v>
      </c>
      <c r="G69" s="110">
        <v>4500</v>
      </c>
      <c r="H69" s="1733" t="s">
        <v>101</v>
      </c>
      <c r="I69" s="104"/>
      <c r="J69" s="104"/>
      <c r="K69" s="104" t="s">
        <v>25</v>
      </c>
      <c r="L69" s="104"/>
      <c r="M69" s="104"/>
      <c r="N69" s="104"/>
      <c r="O69" s="2621" t="s">
        <v>6395</v>
      </c>
      <c r="Q69" s="104"/>
    </row>
    <row r="70" spans="1:17" ht="18.75" customHeight="1" x14ac:dyDescent="0.3">
      <c r="A70" s="112">
        <v>2</v>
      </c>
      <c r="B70" s="105" t="s">
        <v>103</v>
      </c>
      <c r="C70" s="106">
        <v>400</v>
      </c>
      <c r="D70" s="113">
        <v>31</v>
      </c>
      <c r="E70" s="114">
        <v>1765</v>
      </c>
      <c r="F70" s="115">
        <v>11504</v>
      </c>
      <c r="G70" s="116">
        <v>1200</v>
      </c>
      <c r="H70" s="1733" t="s">
        <v>101</v>
      </c>
      <c r="I70" s="104" t="s">
        <v>25</v>
      </c>
      <c r="J70" s="104"/>
      <c r="K70" s="104"/>
      <c r="L70" s="104"/>
      <c r="M70" s="104"/>
      <c r="N70" s="104"/>
      <c r="O70" s="2303" t="s">
        <v>5867</v>
      </c>
      <c r="Q70" s="104" t="s">
        <v>25</v>
      </c>
    </row>
    <row r="71" spans="1:17" ht="18.75" customHeight="1" x14ac:dyDescent="0.3">
      <c r="A71" s="104">
        <v>3</v>
      </c>
      <c r="B71" s="105" t="s">
        <v>104</v>
      </c>
      <c r="C71" s="106">
        <v>400</v>
      </c>
      <c r="D71" s="113">
        <v>32</v>
      </c>
      <c r="E71" s="114">
        <v>1877</v>
      </c>
      <c r="F71" s="115">
        <v>11984</v>
      </c>
      <c r="G71" s="116">
        <v>800</v>
      </c>
      <c r="H71" s="1733" t="s">
        <v>105</v>
      </c>
      <c r="I71" s="104"/>
      <c r="J71" s="104"/>
      <c r="K71" s="104" t="s">
        <v>25</v>
      </c>
      <c r="L71" s="104"/>
      <c r="M71" s="104"/>
      <c r="N71" s="104"/>
      <c r="O71" s="2621" t="s">
        <v>6395</v>
      </c>
      <c r="Q71" s="104"/>
    </row>
    <row r="72" spans="1:17" ht="18.75" customHeight="1" x14ac:dyDescent="0.3">
      <c r="A72" s="112">
        <v>4</v>
      </c>
      <c r="B72" s="105" t="s">
        <v>104</v>
      </c>
      <c r="C72" s="106">
        <v>400</v>
      </c>
      <c r="D72" s="113">
        <v>32</v>
      </c>
      <c r="E72" s="114">
        <v>1888</v>
      </c>
      <c r="F72" s="115">
        <v>11984</v>
      </c>
      <c r="G72" s="116">
        <v>900</v>
      </c>
      <c r="H72" s="117" t="s">
        <v>106</v>
      </c>
      <c r="I72" s="118"/>
      <c r="J72" s="119"/>
      <c r="K72" s="1270"/>
      <c r="L72" s="119"/>
      <c r="M72" s="119"/>
      <c r="N72" s="119"/>
      <c r="O72" s="2350" t="s">
        <v>4669</v>
      </c>
      <c r="Q72" s="118"/>
    </row>
    <row r="73" spans="1:17" ht="18.75" customHeight="1" x14ac:dyDescent="0.3">
      <c r="A73" s="104">
        <v>5</v>
      </c>
      <c r="B73" s="105" t="s">
        <v>107</v>
      </c>
      <c r="C73" s="106">
        <v>400</v>
      </c>
      <c r="D73" s="113">
        <v>38</v>
      </c>
      <c r="E73" s="114">
        <v>2834</v>
      </c>
      <c r="F73" s="115">
        <v>14158</v>
      </c>
      <c r="G73" s="116">
        <v>12915</v>
      </c>
      <c r="H73" s="120" t="s">
        <v>108</v>
      </c>
      <c r="I73" s="121" t="s">
        <v>25</v>
      </c>
      <c r="J73" s="121"/>
      <c r="K73" s="121"/>
      <c r="L73" s="121"/>
      <c r="M73" s="121"/>
      <c r="N73" s="121"/>
      <c r="O73" s="2328" t="s">
        <v>109</v>
      </c>
      <c r="Q73" s="121" t="s">
        <v>25</v>
      </c>
    </row>
    <row r="74" spans="1:17" ht="18.75" customHeight="1" x14ac:dyDescent="0.3">
      <c r="A74" s="112">
        <v>6</v>
      </c>
      <c r="B74" s="105" t="s">
        <v>110</v>
      </c>
      <c r="C74" s="106">
        <v>400</v>
      </c>
      <c r="D74" s="113">
        <v>38</v>
      </c>
      <c r="E74" s="114">
        <v>2836</v>
      </c>
      <c r="F74" s="115">
        <v>14158</v>
      </c>
      <c r="G74" s="116">
        <v>12915</v>
      </c>
      <c r="H74" s="123" t="s">
        <v>111</v>
      </c>
      <c r="I74" s="121" t="s">
        <v>25</v>
      </c>
      <c r="J74" s="121"/>
      <c r="K74" s="121"/>
      <c r="L74" s="121"/>
      <c r="M74" s="121"/>
      <c r="N74" s="121"/>
      <c r="O74" s="2433" t="s">
        <v>112</v>
      </c>
      <c r="Q74" s="121" t="s">
        <v>25</v>
      </c>
    </row>
    <row r="75" spans="1:17" ht="18.75" customHeight="1" x14ac:dyDescent="0.3">
      <c r="A75" s="104">
        <v>7</v>
      </c>
      <c r="B75" s="105" t="s">
        <v>110</v>
      </c>
      <c r="C75" s="106">
        <v>400</v>
      </c>
      <c r="D75" s="113">
        <v>38</v>
      </c>
      <c r="E75" s="114">
        <v>2837</v>
      </c>
      <c r="F75" s="115">
        <v>14158</v>
      </c>
      <c r="G75" s="116">
        <v>12915</v>
      </c>
      <c r="H75" s="1733" t="s">
        <v>101</v>
      </c>
      <c r="I75" s="121" t="s">
        <v>25</v>
      </c>
      <c r="J75" s="121"/>
      <c r="K75" s="121"/>
      <c r="L75" s="121"/>
      <c r="M75" s="121"/>
      <c r="N75" s="121"/>
      <c r="O75" s="2303" t="s">
        <v>5864</v>
      </c>
      <c r="Q75" s="121" t="s">
        <v>25</v>
      </c>
    </row>
    <row r="76" spans="1:17" ht="18.75" customHeight="1" x14ac:dyDescent="0.3">
      <c r="A76" s="112">
        <v>8</v>
      </c>
      <c r="B76" s="105" t="s">
        <v>110</v>
      </c>
      <c r="C76" s="106">
        <v>400</v>
      </c>
      <c r="D76" s="113">
        <v>38</v>
      </c>
      <c r="E76" s="114">
        <v>2842</v>
      </c>
      <c r="F76" s="115">
        <v>14158</v>
      </c>
      <c r="G76" s="116">
        <v>12915</v>
      </c>
      <c r="H76" s="1733" t="s">
        <v>101</v>
      </c>
      <c r="I76" s="121"/>
      <c r="J76" s="121"/>
      <c r="K76" s="121" t="s">
        <v>25</v>
      </c>
      <c r="L76" s="121"/>
      <c r="M76" s="121"/>
      <c r="N76" s="121"/>
      <c r="O76" s="124"/>
      <c r="Q76" s="121"/>
    </row>
    <row r="77" spans="1:17" ht="18.75" customHeight="1" x14ac:dyDescent="0.3">
      <c r="A77" s="104">
        <v>9</v>
      </c>
      <c r="B77" s="105" t="s">
        <v>113</v>
      </c>
      <c r="C77" s="106">
        <v>400</v>
      </c>
      <c r="D77" s="125">
        <v>43</v>
      </c>
      <c r="E77" s="114">
        <v>3752</v>
      </c>
      <c r="F77" s="115">
        <v>15751</v>
      </c>
      <c r="G77" s="116">
        <v>4400</v>
      </c>
      <c r="H77" s="1733" t="s">
        <v>114</v>
      </c>
      <c r="I77" s="104"/>
      <c r="J77" s="104"/>
      <c r="K77" s="104" t="s">
        <v>25</v>
      </c>
      <c r="L77" s="104"/>
      <c r="M77" s="104"/>
      <c r="N77" s="104"/>
      <c r="O77" s="2621" t="s">
        <v>6395</v>
      </c>
      <c r="Q77" s="104"/>
    </row>
    <row r="78" spans="1:17" ht="18.75" customHeight="1" x14ac:dyDescent="0.3">
      <c r="A78" s="112">
        <v>10</v>
      </c>
      <c r="B78" s="105" t="s">
        <v>113</v>
      </c>
      <c r="C78" s="106">
        <v>400</v>
      </c>
      <c r="D78" s="127">
        <v>43</v>
      </c>
      <c r="E78" s="114">
        <v>3753</v>
      </c>
      <c r="F78" s="115">
        <v>15751</v>
      </c>
      <c r="G78" s="116">
        <v>4400</v>
      </c>
      <c r="H78" s="1738" t="s">
        <v>116</v>
      </c>
      <c r="I78" s="104"/>
      <c r="J78" s="104"/>
      <c r="K78" s="104" t="s">
        <v>25</v>
      </c>
      <c r="L78" s="104"/>
      <c r="M78" s="104"/>
      <c r="N78" s="104"/>
      <c r="O78" s="2621" t="s">
        <v>6395</v>
      </c>
      <c r="Q78" s="104"/>
    </row>
    <row r="79" spans="1:17" ht="18.75" customHeight="1" x14ac:dyDescent="0.3">
      <c r="A79" s="104">
        <v>11</v>
      </c>
      <c r="B79" s="105" t="s">
        <v>117</v>
      </c>
      <c r="C79" s="106">
        <v>400</v>
      </c>
      <c r="D79" s="128">
        <v>43</v>
      </c>
      <c r="E79" s="114">
        <v>3754</v>
      </c>
      <c r="F79" s="115">
        <v>15751</v>
      </c>
      <c r="G79" s="116">
        <v>2600</v>
      </c>
      <c r="H79" s="1738" t="s">
        <v>118</v>
      </c>
      <c r="I79" s="104" t="s">
        <v>25</v>
      </c>
      <c r="J79" s="104"/>
      <c r="K79" s="104"/>
      <c r="L79" s="104"/>
      <c r="M79" s="104"/>
      <c r="N79" s="104"/>
      <c r="O79" s="2303" t="s">
        <v>121</v>
      </c>
      <c r="Q79" s="104" t="s">
        <v>25</v>
      </c>
    </row>
    <row r="80" spans="1:17" ht="18.75" customHeight="1" x14ac:dyDescent="0.3">
      <c r="A80" s="112">
        <v>12</v>
      </c>
      <c r="B80" s="105" t="s">
        <v>117</v>
      </c>
      <c r="C80" s="129">
        <v>400</v>
      </c>
      <c r="D80" s="113">
        <v>43</v>
      </c>
      <c r="E80" s="114">
        <v>3756</v>
      </c>
      <c r="F80" s="115">
        <v>15751</v>
      </c>
      <c r="G80" s="116">
        <v>2600</v>
      </c>
      <c r="H80" s="1738" t="s">
        <v>120</v>
      </c>
      <c r="I80" s="104"/>
      <c r="J80" s="104"/>
      <c r="K80" s="104" t="s">
        <v>25</v>
      </c>
      <c r="L80" s="104"/>
      <c r="M80" s="104"/>
      <c r="N80" s="104"/>
      <c r="O80" s="2621" t="s">
        <v>6395</v>
      </c>
      <c r="Q80" s="104"/>
    </row>
    <row r="81" spans="1:17" ht="18.75" customHeight="1" x14ac:dyDescent="0.3">
      <c r="A81" s="112">
        <v>13</v>
      </c>
      <c r="B81" s="105" t="s">
        <v>122</v>
      </c>
      <c r="C81" s="129">
        <v>400</v>
      </c>
      <c r="D81" s="113">
        <v>44</v>
      </c>
      <c r="E81" s="114">
        <v>3972</v>
      </c>
      <c r="F81" s="115">
        <v>16206</v>
      </c>
      <c r="G81" s="116">
        <v>3200</v>
      </c>
      <c r="H81" s="117" t="s">
        <v>123</v>
      </c>
      <c r="I81" s="118"/>
      <c r="J81" s="119"/>
      <c r="K81" s="1270" t="s">
        <v>25</v>
      </c>
      <c r="L81" s="119"/>
      <c r="M81" s="119"/>
      <c r="N81" s="119"/>
      <c r="O81" s="2621" t="s">
        <v>6395</v>
      </c>
      <c r="Q81" s="118"/>
    </row>
    <row r="82" spans="1:17" ht="18.75" customHeight="1" x14ac:dyDescent="0.3">
      <c r="A82" s="112">
        <v>14</v>
      </c>
      <c r="B82" s="105" t="s">
        <v>124</v>
      </c>
      <c r="C82" s="129">
        <v>400</v>
      </c>
      <c r="D82" s="113">
        <v>44</v>
      </c>
      <c r="E82" s="114">
        <v>3982</v>
      </c>
      <c r="F82" s="115">
        <v>16314</v>
      </c>
      <c r="G82" s="116">
        <v>4345</v>
      </c>
      <c r="H82" s="1733" t="s">
        <v>125</v>
      </c>
      <c r="I82" s="104"/>
      <c r="J82" s="104"/>
      <c r="K82" s="104" t="s">
        <v>25</v>
      </c>
      <c r="L82" s="104"/>
      <c r="M82" s="104"/>
      <c r="N82" s="104"/>
      <c r="O82" s="2621" t="s">
        <v>6395</v>
      </c>
      <c r="Q82" s="104"/>
    </row>
    <row r="83" spans="1:17" ht="18.75" customHeight="1" x14ac:dyDescent="0.3">
      <c r="A83" s="112">
        <v>15</v>
      </c>
      <c r="B83" s="105" t="s">
        <v>124</v>
      </c>
      <c r="C83" s="129">
        <v>400</v>
      </c>
      <c r="D83" s="113">
        <v>44</v>
      </c>
      <c r="E83" s="114">
        <v>3983</v>
      </c>
      <c r="F83" s="115">
        <v>16314</v>
      </c>
      <c r="G83" s="116">
        <v>4345</v>
      </c>
      <c r="H83" s="1733" t="s">
        <v>125</v>
      </c>
      <c r="I83" s="104"/>
      <c r="J83" s="104"/>
      <c r="K83" s="104" t="s">
        <v>25</v>
      </c>
      <c r="L83" s="104"/>
      <c r="M83" s="104"/>
      <c r="N83" s="104"/>
      <c r="O83" s="2621" t="s">
        <v>6395</v>
      </c>
      <c r="Q83" s="104"/>
    </row>
    <row r="84" spans="1:17" ht="18.75" customHeight="1" x14ac:dyDescent="0.3">
      <c r="A84" s="112">
        <v>16</v>
      </c>
      <c r="B84" s="105" t="s">
        <v>113</v>
      </c>
      <c r="C84" s="129">
        <v>400</v>
      </c>
      <c r="D84" s="125">
        <v>44</v>
      </c>
      <c r="E84" s="114">
        <v>3984</v>
      </c>
      <c r="F84" s="115">
        <v>16314</v>
      </c>
      <c r="G84" s="116">
        <v>4345</v>
      </c>
      <c r="H84" s="1733" t="s">
        <v>125</v>
      </c>
      <c r="I84" s="104" t="s">
        <v>25</v>
      </c>
      <c r="J84" s="104"/>
      <c r="K84" s="104"/>
      <c r="L84" s="104"/>
      <c r="M84" s="104"/>
      <c r="N84" s="104"/>
      <c r="O84" s="2621" t="s">
        <v>6395</v>
      </c>
      <c r="Q84" s="104" t="s">
        <v>25</v>
      </c>
    </row>
    <row r="85" spans="1:17" ht="18.75" customHeight="1" x14ac:dyDescent="0.3">
      <c r="A85" s="112">
        <v>17</v>
      </c>
      <c r="B85" s="105" t="s">
        <v>122</v>
      </c>
      <c r="C85" s="129">
        <v>400</v>
      </c>
      <c r="D85" s="127">
        <v>44</v>
      </c>
      <c r="E85" s="114">
        <v>3985</v>
      </c>
      <c r="F85" s="115">
        <v>16314</v>
      </c>
      <c r="G85" s="116">
        <v>2500</v>
      </c>
      <c r="H85" s="1733" t="s">
        <v>127</v>
      </c>
      <c r="I85" s="104"/>
      <c r="J85" s="104"/>
      <c r="K85" s="104" t="s">
        <v>25</v>
      </c>
      <c r="L85" s="104"/>
      <c r="M85" s="104"/>
      <c r="N85" s="104"/>
      <c r="O85" s="2621" t="s">
        <v>6395</v>
      </c>
      <c r="Q85" s="104"/>
    </row>
    <row r="86" spans="1:17" ht="18.75" customHeight="1" x14ac:dyDescent="0.3">
      <c r="A86" s="112">
        <v>18</v>
      </c>
      <c r="B86" s="105" t="s">
        <v>110</v>
      </c>
      <c r="C86" s="129">
        <v>400</v>
      </c>
      <c r="D86" s="127">
        <v>44</v>
      </c>
      <c r="E86" s="114" t="s">
        <v>128</v>
      </c>
      <c r="F86" s="115">
        <v>16340</v>
      </c>
      <c r="G86" s="116">
        <v>8000</v>
      </c>
      <c r="H86" s="1739" t="s">
        <v>129</v>
      </c>
      <c r="I86" s="104" t="s">
        <v>25</v>
      </c>
      <c r="J86" s="104"/>
      <c r="K86" s="104"/>
      <c r="L86" s="104"/>
      <c r="M86" s="104"/>
      <c r="N86" s="104"/>
      <c r="O86" s="2417" t="s">
        <v>5886</v>
      </c>
      <c r="Q86" s="104" t="s">
        <v>25</v>
      </c>
    </row>
    <row r="87" spans="1:17" ht="18.75" customHeight="1" x14ac:dyDescent="0.3">
      <c r="A87" s="112">
        <v>19</v>
      </c>
      <c r="B87" s="105" t="s">
        <v>130</v>
      </c>
      <c r="C87" s="129">
        <v>400</v>
      </c>
      <c r="D87" s="113">
        <v>45</v>
      </c>
      <c r="E87" s="114">
        <v>4513</v>
      </c>
      <c r="F87" s="115">
        <v>16521</v>
      </c>
      <c r="G87" s="116">
        <v>2600</v>
      </c>
      <c r="H87" s="1733" t="s">
        <v>106</v>
      </c>
      <c r="I87" s="104" t="s">
        <v>25</v>
      </c>
      <c r="J87" s="104"/>
      <c r="K87" s="104"/>
      <c r="L87" s="104"/>
      <c r="M87" s="104"/>
      <c r="N87" s="104"/>
      <c r="O87" s="2303" t="s">
        <v>5874</v>
      </c>
      <c r="Q87" s="104" t="s">
        <v>25</v>
      </c>
    </row>
    <row r="88" spans="1:17" ht="18.75" customHeight="1" x14ac:dyDescent="0.3">
      <c r="A88" s="112">
        <v>20</v>
      </c>
      <c r="B88" s="105" t="s">
        <v>130</v>
      </c>
      <c r="C88" s="129">
        <v>400</v>
      </c>
      <c r="D88" s="113">
        <v>45</v>
      </c>
      <c r="E88" s="114">
        <v>4519</v>
      </c>
      <c r="F88" s="115">
        <v>16522</v>
      </c>
      <c r="G88" s="116">
        <v>2020</v>
      </c>
      <c r="H88" s="1733" t="s">
        <v>125</v>
      </c>
      <c r="I88" s="118" t="s">
        <v>25</v>
      </c>
      <c r="J88" s="119"/>
      <c r="K88" s="1270"/>
      <c r="L88" s="119"/>
      <c r="M88" s="119"/>
      <c r="N88" s="119"/>
      <c r="O88" s="2350" t="s">
        <v>5859</v>
      </c>
      <c r="P88" s="2301" t="s">
        <v>5866</v>
      </c>
      <c r="Q88" s="118" t="s">
        <v>25</v>
      </c>
    </row>
    <row r="89" spans="1:17" ht="18.75" customHeight="1" x14ac:dyDescent="0.3">
      <c r="A89" s="112">
        <v>21</v>
      </c>
      <c r="B89" s="105" t="s">
        <v>132</v>
      </c>
      <c r="C89" s="129">
        <v>400</v>
      </c>
      <c r="D89" s="113">
        <v>45</v>
      </c>
      <c r="E89" s="114">
        <v>4582</v>
      </c>
      <c r="F89" s="115">
        <v>16536</v>
      </c>
      <c r="G89" s="116">
        <v>5000</v>
      </c>
      <c r="H89" s="71" t="s">
        <v>41</v>
      </c>
      <c r="I89" s="104" t="s">
        <v>25</v>
      </c>
      <c r="J89" s="104"/>
      <c r="K89" s="104"/>
      <c r="L89" s="104"/>
      <c r="M89" s="104"/>
      <c r="N89" s="104"/>
      <c r="O89" s="130"/>
      <c r="P89" s="1606" t="s">
        <v>5912</v>
      </c>
      <c r="Q89" s="104" t="s">
        <v>25</v>
      </c>
    </row>
    <row r="90" spans="1:17" ht="18.75" customHeight="1" x14ac:dyDescent="0.3">
      <c r="A90" s="112">
        <v>22</v>
      </c>
      <c r="B90" s="105" t="s">
        <v>133</v>
      </c>
      <c r="C90" s="129">
        <v>400</v>
      </c>
      <c r="D90" s="113">
        <v>45</v>
      </c>
      <c r="E90" s="114">
        <v>4707</v>
      </c>
      <c r="F90" s="115">
        <v>16587</v>
      </c>
      <c r="G90" s="116">
        <v>3200</v>
      </c>
      <c r="H90" s="1733" t="s">
        <v>134</v>
      </c>
      <c r="I90" s="104"/>
      <c r="J90" s="104" t="s">
        <v>25</v>
      </c>
      <c r="K90" s="104"/>
      <c r="L90" s="104"/>
      <c r="M90" s="104"/>
      <c r="N90" s="104"/>
      <c r="O90" s="126" t="s">
        <v>131</v>
      </c>
      <c r="Q90" s="104"/>
    </row>
    <row r="91" spans="1:17" ht="18.75" customHeight="1" x14ac:dyDescent="0.3">
      <c r="A91" s="112">
        <v>23</v>
      </c>
      <c r="B91" s="105" t="s">
        <v>135</v>
      </c>
      <c r="C91" s="129">
        <v>400</v>
      </c>
      <c r="D91" s="113">
        <v>46</v>
      </c>
      <c r="E91" s="114">
        <v>5337</v>
      </c>
      <c r="F91" s="115">
        <v>16843</v>
      </c>
      <c r="G91" s="116">
        <v>2020</v>
      </c>
      <c r="H91" s="1733" t="s">
        <v>136</v>
      </c>
      <c r="I91" s="104" t="s">
        <v>25</v>
      </c>
      <c r="J91" s="104"/>
      <c r="K91" s="104"/>
      <c r="L91" s="104"/>
      <c r="M91" s="104"/>
      <c r="N91" s="104"/>
      <c r="O91" s="126" t="s">
        <v>4647</v>
      </c>
      <c r="Q91" s="104" t="s">
        <v>25</v>
      </c>
    </row>
    <row r="92" spans="1:17" ht="18.75" customHeight="1" x14ac:dyDescent="0.3">
      <c r="A92" s="112">
        <v>24</v>
      </c>
      <c r="B92" s="105" t="s">
        <v>135</v>
      </c>
      <c r="C92" s="129">
        <v>400</v>
      </c>
      <c r="D92" s="113">
        <v>46</v>
      </c>
      <c r="E92" s="114" t="s">
        <v>137</v>
      </c>
      <c r="F92" s="115">
        <v>16843</v>
      </c>
      <c r="G92" s="116">
        <v>2020</v>
      </c>
      <c r="H92" s="1740" t="s">
        <v>138</v>
      </c>
      <c r="I92" s="104" t="s">
        <v>25</v>
      </c>
      <c r="J92" s="104"/>
      <c r="K92" s="104"/>
      <c r="L92" s="104"/>
      <c r="M92" s="104"/>
      <c r="N92" s="104"/>
      <c r="O92" s="2303" t="s">
        <v>477</v>
      </c>
      <c r="Q92" s="104" t="s">
        <v>25</v>
      </c>
    </row>
    <row r="93" spans="1:17" ht="18.75" customHeight="1" x14ac:dyDescent="0.3">
      <c r="A93" s="112">
        <v>25</v>
      </c>
      <c r="B93" s="105" t="s">
        <v>135</v>
      </c>
      <c r="C93" s="129">
        <v>400</v>
      </c>
      <c r="D93" s="113">
        <v>46</v>
      </c>
      <c r="E93" s="114" t="s">
        <v>139</v>
      </c>
      <c r="F93" s="115">
        <v>16843</v>
      </c>
      <c r="G93" s="116">
        <v>2020</v>
      </c>
      <c r="H93" s="1740" t="s">
        <v>138</v>
      </c>
      <c r="I93" s="104" t="s">
        <v>25</v>
      </c>
      <c r="J93" s="104"/>
      <c r="K93" s="104"/>
      <c r="L93" s="104"/>
      <c r="M93" s="104"/>
      <c r="N93" s="104"/>
      <c r="O93" s="2303" t="s">
        <v>477</v>
      </c>
      <c r="Q93" s="104" t="s">
        <v>25</v>
      </c>
    </row>
    <row r="94" spans="1:17" ht="18.75" customHeight="1" x14ac:dyDescent="0.3">
      <c r="A94" s="112">
        <v>26</v>
      </c>
      <c r="B94" s="105" t="s">
        <v>135</v>
      </c>
      <c r="C94" s="129">
        <v>400</v>
      </c>
      <c r="D94" s="127">
        <v>46</v>
      </c>
      <c r="E94" s="114">
        <v>5342</v>
      </c>
      <c r="F94" s="115">
        <v>16843</v>
      </c>
      <c r="G94" s="116">
        <v>2020</v>
      </c>
      <c r="H94" s="1738" t="s">
        <v>140</v>
      </c>
      <c r="I94" s="118" t="s">
        <v>25</v>
      </c>
      <c r="J94" s="119"/>
      <c r="K94" s="1270"/>
      <c r="L94" s="119"/>
      <c r="M94" s="119"/>
      <c r="N94" s="119"/>
      <c r="O94" s="2369" t="s">
        <v>4641</v>
      </c>
      <c r="Q94" s="118" t="s">
        <v>25</v>
      </c>
    </row>
    <row r="95" spans="1:17" ht="18.75" customHeight="1" x14ac:dyDescent="0.3">
      <c r="A95" s="112">
        <v>27</v>
      </c>
      <c r="B95" s="105" t="s">
        <v>135</v>
      </c>
      <c r="C95" s="129">
        <v>400</v>
      </c>
      <c r="D95" s="128">
        <v>46</v>
      </c>
      <c r="E95" s="114">
        <v>5343</v>
      </c>
      <c r="F95" s="115">
        <v>16843</v>
      </c>
      <c r="G95" s="116">
        <v>2020</v>
      </c>
      <c r="H95" s="131" t="s">
        <v>141</v>
      </c>
      <c r="I95" s="118" t="s">
        <v>25</v>
      </c>
      <c r="J95" s="132"/>
      <c r="K95" s="1270"/>
      <c r="L95" s="119"/>
      <c r="M95" s="119"/>
      <c r="N95" s="119"/>
      <c r="O95" s="2369" t="s">
        <v>5873</v>
      </c>
      <c r="Q95" s="118" t="s">
        <v>25</v>
      </c>
    </row>
    <row r="96" spans="1:17" ht="18.75" customHeight="1" x14ac:dyDescent="0.3">
      <c r="A96" s="112">
        <v>28</v>
      </c>
      <c r="B96" s="105" t="s">
        <v>135</v>
      </c>
      <c r="C96" s="129">
        <v>400</v>
      </c>
      <c r="D96" s="113">
        <v>46</v>
      </c>
      <c r="E96" s="114">
        <v>5344</v>
      </c>
      <c r="F96" s="115">
        <v>16845</v>
      </c>
      <c r="G96" s="116">
        <v>2020</v>
      </c>
      <c r="H96" s="1733" t="s">
        <v>142</v>
      </c>
      <c r="I96" s="118" t="s">
        <v>25</v>
      </c>
      <c r="J96" s="104"/>
      <c r="K96" s="104"/>
      <c r="L96" s="104"/>
      <c r="M96" s="104"/>
      <c r="N96" s="104"/>
      <c r="O96" s="2308" t="s">
        <v>143</v>
      </c>
      <c r="Q96" s="118" t="s">
        <v>25</v>
      </c>
    </row>
    <row r="97" spans="1:17" ht="18.75" customHeight="1" x14ac:dyDescent="0.3">
      <c r="A97" s="112">
        <v>29</v>
      </c>
      <c r="B97" s="105" t="s">
        <v>135</v>
      </c>
      <c r="C97" s="129">
        <v>400</v>
      </c>
      <c r="D97" s="113">
        <v>46</v>
      </c>
      <c r="E97" s="114">
        <v>5345</v>
      </c>
      <c r="F97" s="115">
        <v>16845</v>
      </c>
      <c r="G97" s="116">
        <v>2020</v>
      </c>
      <c r="H97" s="1733" t="s">
        <v>144</v>
      </c>
      <c r="I97" s="118" t="s">
        <v>25</v>
      </c>
      <c r="J97" s="104"/>
      <c r="K97" s="104"/>
      <c r="L97" s="104"/>
      <c r="M97" s="104"/>
      <c r="N97" s="104"/>
      <c r="O97" s="2308" t="s">
        <v>145</v>
      </c>
      <c r="Q97" s="118" t="s">
        <v>25</v>
      </c>
    </row>
    <row r="98" spans="1:17" ht="18.75" customHeight="1" x14ac:dyDescent="0.3">
      <c r="A98" s="112">
        <v>30</v>
      </c>
      <c r="B98" s="105" t="s">
        <v>135</v>
      </c>
      <c r="C98" s="129">
        <v>400</v>
      </c>
      <c r="D98" s="113">
        <v>46</v>
      </c>
      <c r="E98" s="114">
        <v>5348</v>
      </c>
      <c r="F98" s="115">
        <v>16851</v>
      </c>
      <c r="G98" s="116">
        <v>1800</v>
      </c>
      <c r="H98" s="1733" t="s">
        <v>146</v>
      </c>
      <c r="I98" s="104" t="s">
        <v>25</v>
      </c>
      <c r="J98" s="104"/>
      <c r="K98" s="104"/>
      <c r="L98" s="104"/>
      <c r="M98" s="104"/>
      <c r="N98" s="104"/>
      <c r="O98" s="2303" t="s">
        <v>5904</v>
      </c>
      <c r="Q98" s="104" t="s">
        <v>25</v>
      </c>
    </row>
    <row r="99" spans="1:17" ht="18.75" customHeight="1" x14ac:dyDescent="0.3">
      <c r="A99" s="112">
        <v>31</v>
      </c>
      <c r="B99" s="105" t="s">
        <v>135</v>
      </c>
      <c r="C99" s="129">
        <v>400</v>
      </c>
      <c r="D99" s="113">
        <v>48</v>
      </c>
      <c r="E99" s="114">
        <v>5667</v>
      </c>
      <c r="F99" s="115">
        <v>17818</v>
      </c>
      <c r="G99" s="116">
        <v>2600</v>
      </c>
      <c r="H99" s="1733" t="s">
        <v>147</v>
      </c>
      <c r="I99" s="104" t="s">
        <v>25</v>
      </c>
      <c r="J99" s="104"/>
      <c r="K99" s="104"/>
      <c r="L99" s="104"/>
      <c r="M99" s="133"/>
      <c r="N99" s="104"/>
      <c r="O99" s="134"/>
      <c r="Q99" s="104" t="s">
        <v>25</v>
      </c>
    </row>
    <row r="100" spans="1:17" ht="18.75" customHeight="1" x14ac:dyDescent="0.3">
      <c r="A100" s="112">
        <v>32</v>
      </c>
      <c r="B100" s="105" t="s">
        <v>135</v>
      </c>
      <c r="C100" s="135">
        <v>400</v>
      </c>
      <c r="D100" s="136">
        <v>48</v>
      </c>
      <c r="E100" s="137">
        <v>5668</v>
      </c>
      <c r="F100" s="115">
        <v>17824</v>
      </c>
      <c r="G100" s="116">
        <v>2600</v>
      </c>
      <c r="H100" s="1733" t="s">
        <v>149</v>
      </c>
      <c r="I100" s="104" t="s">
        <v>25</v>
      </c>
      <c r="J100" s="104"/>
      <c r="K100" s="104"/>
      <c r="L100" s="104"/>
      <c r="M100" s="104"/>
      <c r="N100" s="104"/>
      <c r="O100" s="111"/>
      <c r="Q100" s="104" t="s">
        <v>25</v>
      </c>
    </row>
    <row r="101" spans="1:17" ht="18.75" customHeight="1" x14ac:dyDescent="0.3">
      <c r="A101" s="112">
        <v>33</v>
      </c>
      <c r="B101" s="105" t="s">
        <v>135</v>
      </c>
      <c r="C101" s="106">
        <v>400</v>
      </c>
      <c r="D101" s="127">
        <v>48</v>
      </c>
      <c r="E101" s="138">
        <v>5669</v>
      </c>
      <c r="F101" s="115">
        <v>17824</v>
      </c>
      <c r="G101" s="116">
        <v>2600</v>
      </c>
      <c r="H101" s="1733" t="s">
        <v>151</v>
      </c>
      <c r="I101" s="104" t="s">
        <v>25</v>
      </c>
      <c r="J101" s="104"/>
      <c r="K101" s="104"/>
      <c r="L101" s="104"/>
      <c r="M101" s="104"/>
      <c r="N101" s="104"/>
      <c r="O101" s="2308" t="s">
        <v>152</v>
      </c>
      <c r="Q101" s="104" t="s">
        <v>25</v>
      </c>
    </row>
    <row r="102" spans="1:17" ht="18.75" customHeight="1" x14ac:dyDescent="0.3">
      <c r="A102" s="112">
        <v>34</v>
      </c>
      <c r="B102" s="105" t="s">
        <v>110</v>
      </c>
      <c r="C102" s="129">
        <v>400</v>
      </c>
      <c r="D102" s="139">
        <v>49</v>
      </c>
      <c r="E102" s="140">
        <v>6616</v>
      </c>
      <c r="F102" s="141">
        <v>18166</v>
      </c>
      <c r="G102" s="116">
        <v>1575</v>
      </c>
      <c r="H102" s="142" t="s">
        <v>153</v>
      </c>
      <c r="I102" s="104" t="s">
        <v>25</v>
      </c>
      <c r="J102" s="104"/>
      <c r="K102" s="104"/>
      <c r="L102" s="104"/>
      <c r="M102" s="104"/>
      <c r="N102" s="104"/>
      <c r="O102" s="2303" t="s">
        <v>5909</v>
      </c>
      <c r="Q102" s="104" t="s">
        <v>25</v>
      </c>
    </row>
    <row r="103" spans="1:17" ht="18.75" customHeight="1" x14ac:dyDescent="0.3">
      <c r="A103" s="112">
        <v>35</v>
      </c>
      <c r="B103" s="105" t="s">
        <v>110</v>
      </c>
      <c r="C103" s="129">
        <v>400</v>
      </c>
      <c r="D103" s="128">
        <v>49</v>
      </c>
      <c r="E103" s="143">
        <v>6617</v>
      </c>
      <c r="F103" s="141">
        <v>18166</v>
      </c>
      <c r="G103" s="116">
        <v>1575</v>
      </c>
      <c r="H103" s="142" t="s">
        <v>153</v>
      </c>
      <c r="I103" s="104" t="s">
        <v>25</v>
      </c>
      <c r="J103" s="104"/>
      <c r="K103" s="104"/>
      <c r="L103" s="104"/>
      <c r="M103" s="104"/>
      <c r="N103" s="104"/>
      <c r="O103" s="2303" t="s">
        <v>5909</v>
      </c>
      <c r="Q103" s="104" t="s">
        <v>25</v>
      </c>
    </row>
    <row r="104" spans="1:17" ht="18.75" customHeight="1" x14ac:dyDescent="0.3">
      <c r="A104" s="112">
        <v>36</v>
      </c>
      <c r="B104" s="105" t="s">
        <v>110</v>
      </c>
      <c r="C104" s="129">
        <v>400</v>
      </c>
      <c r="D104" s="113">
        <v>49</v>
      </c>
      <c r="E104" s="143">
        <v>6618</v>
      </c>
      <c r="F104" s="141">
        <v>18166</v>
      </c>
      <c r="G104" s="116">
        <v>1575</v>
      </c>
      <c r="H104" s="142" t="s">
        <v>153</v>
      </c>
      <c r="I104" s="104" t="s">
        <v>25</v>
      </c>
      <c r="J104" s="104"/>
      <c r="K104" s="104"/>
      <c r="L104" s="104"/>
      <c r="M104" s="104"/>
      <c r="N104" s="104"/>
      <c r="O104" s="2303" t="s">
        <v>5909</v>
      </c>
      <c r="Q104" s="104" t="s">
        <v>25</v>
      </c>
    </row>
    <row r="105" spans="1:17" ht="18.75" customHeight="1" x14ac:dyDescent="0.3">
      <c r="A105" s="112">
        <v>37</v>
      </c>
      <c r="B105" s="105" t="s">
        <v>110</v>
      </c>
      <c r="C105" s="129">
        <v>400</v>
      </c>
      <c r="D105" s="113">
        <v>49</v>
      </c>
      <c r="E105" s="143">
        <v>6619</v>
      </c>
      <c r="F105" s="141">
        <v>18166</v>
      </c>
      <c r="G105" s="116">
        <v>1575</v>
      </c>
      <c r="H105" s="142" t="s">
        <v>153</v>
      </c>
      <c r="I105" s="104" t="s">
        <v>25</v>
      </c>
      <c r="J105" s="104"/>
      <c r="K105" s="104"/>
      <c r="L105" s="104"/>
      <c r="M105" s="104"/>
      <c r="N105" s="104"/>
      <c r="O105" s="2303" t="s">
        <v>5909</v>
      </c>
      <c r="Q105" s="104" t="s">
        <v>25</v>
      </c>
    </row>
    <row r="106" spans="1:17" ht="18.75" customHeight="1" x14ac:dyDescent="0.3">
      <c r="A106" s="112">
        <v>38</v>
      </c>
      <c r="B106" s="105" t="s">
        <v>110</v>
      </c>
      <c r="C106" s="129">
        <v>400</v>
      </c>
      <c r="D106" s="113">
        <v>49</v>
      </c>
      <c r="E106" s="143">
        <v>6620</v>
      </c>
      <c r="F106" s="141">
        <v>18166</v>
      </c>
      <c r="G106" s="116">
        <v>1575</v>
      </c>
      <c r="H106" s="142" t="s">
        <v>153</v>
      </c>
      <c r="I106" s="104" t="s">
        <v>25</v>
      </c>
      <c r="J106" s="104"/>
      <c r="K106" s="104"/>
      <c r="L106" s="104"/>
      <c r="M106" s="104"/>
      <c r="N106" s="104"/>
      <c r="O106" s="2303" t="s">
        <v>5909</v>
      </c>
      <c r="Q106" s="104" t="s">
        <v>25</v>
      </c>
    </row>
    <row r="107" spans="1:17" ht="18.75" customHeight="1" x14ac:dyDescent="0.3">
      <c r="A107" s="112">
        <v>39</v>
      </c>
      <c r="B107" s="105" t="s">
        <v>110</v>
      </c>
      <c r="C107" s="129">
        <v>400</v>
      </c>
      <c r="D107" s="113">
        <v>49</v>
      </c>
      <c r="E107" s="143">
        <v>6621</v>
      </c>
      <c r="F107" s="141">
        <v>18166</v>
      </c>
      <c r="G107" s="116">
        <v>1575</v>
      </c>
      <c r="H107" s="142" t="s">
        <v>153</v>
      </c>
      <c r="I107" s="104" t="s">
        <v>25</v>
      </c>
      <c r="J107" s="104"/>
      <c r="K107" s="104"/>
      <c r="L107" s="104"/>
      <c r="M107" s="104"/>
      <c r="N107" s="104"/>
      <c r="O107" s="2303" t="s">
        <v>5909</v>
      </c>
      <c r="Q107" s="104" t="s">
        <v>25</v>
      </c>
    </row>
    <row r="108" spans="1:17" ht="18.75" customHeight="1" x14ac:dyDescent="0.3">
      <c r="A108" s="112">
        <v>40</v>
      </c>
      <c r="B108" s="105" t="s">
        <v>110</v>
      </c>
      <c r="C108" s="129">
        <v>400</v>
      </c>
      <c r="D108" s="113">
        <v>49</v>
      </c>
      <c r="E108" s="143">
        <v>6622</v>
      </c>
      <c r="F108" s="141">
        <v>18166</v>
      </c>
      <c r="G108" s="116">
        <v>1575</v>
      </c>
      <c r="H108" s="142" t="s">
        <v>153</v>
      </c>
      <c r="I108" s="104" t="s">
        <v>25</v>
      </c>
      <c r="J108" s="104"/>
      <c r="K108" s="104"/>
      <c r="L108" s="104"/>
      <c r="M108" s="104"/>
      <c r="N108" s="104"/>
      <c r="O108" s="2303" t="s">
        <v>5910</v>
      </c>
      <c r="Q108" s="104" t="s">
        <v>25</v>
      </c>
    </row>
    <row r="109" spans="1:17" ht="18.75" customHeight="1" x14ac:dyDescent="0.3">
      <c r="A109" s="112">
        <v>41</v>
      </c>
      <c r="B109" s="105" t="s">
        <v>110</v>
      </c>
      <c r="C109" s="129">
        <v>400</v>
      </c>
      <c r="D109" s="113">
        <v>49</v>
      </c>
      <c r="E109" s="143">
        <v>6623</v>
      </c>
      <c r="F109" s="141">
        <v>18166</v>
      </c>
      <c r="G109" s="116">
        <v>1575</v>
      </c>
      <c r="H109" s="142" t="s">
        <v>153</v>
      </c>
      <c r="I109" s="104"/>
      <c r="J109" s="104" t="s">
        <v>25</v>
      </c>
      <c r="K109" s="104"/>
      <c r="L109" s="104"/>
      <c r="M109" s="104"/>
      <c r="N109" s="104"/>
      <c r="O109" s="2303" t="s">
        <v>5910</v>
      </c>
      <c r="Q109" s="104"/>
    </row>
    <row r="110" spans="1:17" ht="18.75" customHeight="1" x14ac:dyDescent="0.3">
      <c r="A110" s="112">
        <v>42</v>
      </c>
      <c r="B110" s="105" t="s">
        <v>135</v>
      </c>
      <c r="C110" s="129">
        <v>400</v>
      </c>
      <c r="D110" s="113">
        <v>49</v>
      </c>
      <c r="E110" s="143">
        <v>6624</v>
      </c>
      <c r="F110" s="141">
        <v>18166</v>
      </c>
      <c r="G110" s="116">
        <v>4500</v>
      </c>
      <c r="H110" s="142" t="s">
        <v>153</v>
      </c>
      <c r="I110" s="104"/>
      <c r="J110" s="104" t="s">
        <v>25</v>
      </c>
      <c r="K110" s="104"/>
      <c r="L110" s="104"/>
      <c r="M110" s="104"/>
      <c r="N110" s="104"/>
      <c r="O110" s="2303" t="s">
        <v>5910</v>
      </c>
      <c r="Q110" s="104"/>
    </row>
    <row r="111" spans="1:17" ht="18.75" customHeight="1" x14ac:dyDescent="0.3">
      <c r="A111" s="112">
        <v>43</v>
      </c>
      <c r="B111" s="105" t="s">
        <v>135</v>
      </c>
      <c r="C111" s="129">
        <v>400</v>
      </c>
      <c r="D111" s="136">
        <v>49</v>
      </c>
      <c r="E111" s="144">
        <v>6625</v>
      </c>
      <c r="F111" s="141">
        <v>18166</v>
      </c>
      <c r="G111" s="116">
        <v>4500</v>
      </c>
      <c r="H111" s="142" t="s">
        <v>153</v>
      </c>
      <c r="I111" s="104"/>
      <c r="J111" s="104" t="s">
        <v>25</v>
      </c>
      <c r="K111" s="104"/>
      <c r="L111" s="104"/>
      <c r="M111" s="104"/>
      <c r="N111" s="104"/>
      <c r="O111" s="2303" t="s">
        <v>5909</v>
      </c>
      <c r="Q111" s="104"/>
    </row>
    <row r="112" spans="1:17" ht="18.75" customHeight="1" x14ac:dyDescent="0.3">
      <c r="A112" s="112">
        <v>44</v>
      </c>
      <c r="B112" s="105" t="s">
        <v>135</v>
      </c>
      <c r="C112" s="129">
        <v>400</v>
      </c>
      <c r="D112" s="128">
        <v>49</v>
      </c>
      <c r="E112" s="140">
        <v>6626</v>
      </c>
      <c r="F112" s="141">
        <v>18166</v>
      </c>
      <c r="G112" s="116">
        <v>4500</v>
      </c>
      <c r="H112" s="142" t="s">
        <v>153</v>
      </c>
      <c r="I112" s="104"/>
      <c r="J112" s="104" t="s">
        <v>25</v>
      </c>
      <c r="K112" s="104"/>
      <c r="L112" s="104"/>
      <c r="M112" s="104"/>
      <c r="N112" s="104"/>
      <c r="O112" s="2303" t="s">
        <v>5909</v>
      </c>
      <c r="Q112" s="104"/>
    </row>
    <row r="113" spans="1:17" ht="18.75" customHeight="1" x14ac:dyDescent="0.3">
      <c r="A113" s="112">
        <v>45</v>
      </c>
      <c r="B113" s="105" t="s">
        <v>122</v>
      </c>
      <c r="C113" s="129">
        <v>400</v>
      </c>
      <c r="D113" s="113">
        <v>53</v>
      </c>
      <c r="E113" s="114">
        <v>5948</v>
      </c>
      <c r="F113" s="115">
        <v>19681</v>
      </c>
      <c r="G113" s="116">
        <v>1700</v>
      </c>
      <c r="H113" s="1733" t="s">
        <v>154</v>
      </c>
      <c r="I113" s="104"/>
      <c r="J113" s="104" t="s">
        <v>25</v>
      </c>
      <c r="K113" s="104"/>
      <c r="L113" s="104"/>
      <c r="M113" s="104"/>
      <c r="N113" s="104"/>
      <c r="O113" s="2303" t="s">
        <v>5905</v>
      </c>
      <c r="Q113" s="104"/>
    </row>
    <row r="114" spans="1:17" ht="18.75" customHeight="1" x14ac:dyDescent="0.3">
      <c r="A114" s="112">
        <v>46</v>
      </c>
      <c r="B114" s="105" t="s">
        <v>155</v>
      </c>
      <c r="C114" s="129">
        <v>400</v>
      </c>
      <c r="D114" s="113">
        <v>58</v>
      </c>
      <c r="E114" s="114">
        <v>6022</v>
      </c>
      <c r="F114" s="115">
        <v>21206</v>
      </c>
      <c r="G114" s="116">
        <v>8000</v>
      </c>
      <c r="H114" s="145" t="s">
        <v>156</v>
      </c>
      <c r="I114" s="118"/>
      <c r="J114" s="118" t="s">
        <v>25</v>
      </c>
      <c r="K114" s="1270"/>
      <c r="L114" s="119"/>
      <c r="M114" s="119"/>
      <c r="N114" s="119"/>
      <c r="O114" s="2305" t="s">
        <v>5905</v>
      </c>
      <c r="Q114" s="118"/>
    </row>
    <row r="115" spans="1:17" ht="18.75" customHeight="1" x14ac:dyDescent="0.3">
      <c r="A115" s="112">
        <v>47</v>
      </c>
      <c r="B115" s="105" t="s">
        <v>155</v>
      </c>
      <c r="C115" s="129">
        <v>400</v>
      </c>
      <c r="D115" s="113">
        <v>58</v>
      </c>
      <c r="E115" s="114">
        <v>6023</v>
      </c>
      <c r="F115" s="115">
        <v>21206</v>
      </c>
      <c r="G115" s="116">
        <v>8000</v>
      </c>
      <c r="H115" s="145" t="s">
        <v>156</v>
      </c>
      <c r="I115" s="118"/>
      <c r="J115" s="118"/>
      <c r="K115" s="1270"/>
      <c r="L115" s="119"/>
      <c r="M115" s="119"/>
      <c r="N115" s="119"/>
      <c r="O115" s="146" t="s">
        <v>157</v>
      </c>
      <c r="Q115" s="118"/>
    </row>
    <row r="116" spans="1:17" ht="18.75" customHeight="1" x14ac:dyDescent="0.3">
      <c r="A116" s="112">
        <v>48</v>
      </c>
      <c r="B116" s="105" t="s">
        <v>155</v>
      </c>
      <c r="C116" s="129">
        <v>400</v>
      </c>
      <c r="D116" s="113">
        <v>58</v>
      </c>
      <c r="E116" s="114">
        <v>6024</v>
      </c>
      <c r="F116" s="115">
        <v>21206</v>
      </c>
      <c r="G116" s="116">
        <v>8000</v>
      </c>
      <c r="H116" s="145" t="s">
        <v>156</v>
      </c>
      <c r="I116" s="118"/>
      <c r="J116" s="118"/>
      <c r="K116" s="1270"/>
      <c r="L116" s="119"/>
      <c r="M116" s="119"/>
      <c r="N116" s="119"/>
      <c r="O116" s="146" t="s">
        <v>157</v>
      </c>
      <c r="Q116" s="118"/>
    </row>
    <row r="117" spans="1:17" ht="18.75" customHeight="1" x14ac:dyDescent="0.3">
      <c r="A117" s="112">
        <v>49</v>
      </c>
      <c r="B117" s="105" t="s">
        <v>158</v>
      </c>
      <c r="C117" s="129">
        <v>400</v>
      </c>
      <c r="D117" s="136">
        <v>59</v>
      </c>
      <c r="E117" s="114">
        <v>6027</v>
      </c>
      <c r="F117" s="115">
        <v>21662</v>
      </c>
      <c r="G117" s="116">
        <v>650</v>
      </c>
      <c r="H117" s="1731" t="s">
        <v>41</v>
      </c>
      <c r="I117" s="34"/>
      <c r="J117" s="34"/>
      <c r="K117" s="2233" t="s">
        <v>25</v>
      </c>
      <c r="L117" s="147"/>
      <c r="M117" s="147"/>
      <c r="N117" s="147"/>
      <c r="O117" s="2621" t="s">
        <v>6395</v>
      </c>
      <c r="Q117" s="34"/>
    </row>
    <row r="118" spans="1:17" ht="18.75" customHeight="1" x14ac:dyDescent="0.3">
      <c r="A118" s="112">
        <v>50</v>
      </c>
      <c r="B118" s="105" t="s">
        <v>158</v>
      </c>
      <c r="C118" s="129">
        <v>400</v>
      </c>
      <c r="D118" s="128">
        <v>59</v>
      </c>
      <c r="E118" s="114">
        <v>6028</v>
      </c>
      <c r="F118" s="115">
        <v>21662</v>
      </c>
      <c r="G118" s="116">
        <v>650</v>
      </c>
      <c r="H118" s="1731" t="s">
        <v>41</v>
      </c>
      <c r="I118" s="34"/>
      <c r="J118" s="34"/>
      <c r="K118" s="2233" t="s">
        <v>25</v>
      </c>
      <c r="L118" s="147"/>
      <c r="M118" s="147"/>
      <c r="N118" s="147"/>
      <c r="O118" s="2621" t="s">
        <v>6395</v>
      </c>
      <c r="Q118" s="34"/>
    </row>
    <row r="119" spans="1:17" ht="18.75" customHeight="1" x14ac:dyDescent="0.3">
      <c r="A119" s="112">
        <v>51</v>
      </c>
      <c r="B119" s="105" t="s">
        <v>158</v>
      </c>
      <c r="C119" s="129">
        <v>400</v>
      </c>
      <c r="D119" s="113">
        <v>59</v>
      </c>
      <c r="E119" s="114">
        <v>6029</v>
      </c>
      <c r="F119" s="115">
        <v>21662</v>
      </c>
      <c r="G119" s="116">
        <v>650</v>
      </c>
      <c r="H119" s="1731" t="s">
        <v>41</v>
      </c>
      <c r="I119" s="34"/>
      <c r="J119" s="147"/>
      <c r="K119" s="2233" t="s">
        <v>25</v>
      </c>
      <c r="L119" s="147"/>
      <c r="M119" s="147"/>
      <c r="N119" s="147"/>
      <c r="O119" s="2621" t="s">
        <v>6395</v>
      </c>
      <c r="Q119" s="34"/>
    </row>
    <row r="120" spans="1:17" ht="18.75" customHeight="1" x14ac:dyDescent="0.3">
      <c r="A120" s="112">
        <v>52</v>
      </c>
      <c r="B120" s="105" t="s">
        <v>158</v>
      </c>
      <c r="C120" s="129">
        <v>400</v>
      </c>
      <c r="D120" s="113">
        <v>59</v>
      </c>
      <c r="E120" s="114">
        <v>6030</v>
      </c>
      <c r="F120" s="115">
        <v>21662</v>
      </c>
      <c r="G120" s="116">
        <v>650</v>
      </c>
      <c r="H120" s="1731" t="s">
        <v>41</v>
      </c>
      <c r="I120" s="34"/>
      <c r="J120" s="147"/>
      <c r="K120" s="2233" t="s">
        <v>25</v>
      </c>
      <c r="L120" s="147"/>
      <c r="M120" s="147"/>
      <c r="N120" s="147"/>
      <c r="O120" s="2621" t="s">
        <v>6395</v>
      </c>
      <c r="Q120" s="34"/>
    </row>
    <row r="121" spans="1:17" ht="18.75" customHeight="1" x14ac:dyDescent="0.3">
      <c r="A121" s="112">
        <v>53</v>
      </c>
      <c r="B121" s="105" t="s">
        <v>158</v>
      </c>
      <c r="C121" s="129">
        <v>400</v>
      </c>
      <c r="D121" s="113">
        <v>59</v>
      </c>
      <c r="E121" s="114">
        <v>6031</v>
      </c>
      <c r="F121" s="115">
        <v>21662</v>
      </c>
      <c r="G121" s="116">
        <v>650</v>
      </c>
      <c r="H121" s="1731" t="s">
        <v>41</v>
      </c>
      <c r="I121" s="34"/>
      <c r="J121" s="147"/>
      <c r="K121" s="2233" t="s">
        <v>25</v>
      </c>
      <c r="L121" s="147"/>
      <c r="M121" s="147"/>
      <c r="N121" s="147"/>
      <c r="O121" s="2621" t="s">
        <v>6395</v>
      </c>
      <c r="Q121" s="34"/>
    </row>
    <row r="122" spans="1:17" ht="18.75" customHeight="1" x14ac:dyDescent="0.3">
      <c r="A122" s="112">
        <v>54</v>
      </c>
      <c r="B122" s="105" t="s">
        <v>158</v>
      </c>
      <c r="C122" s="129">
        <v>400</v>
      </c>
      <c r="D122" s="113">
        <v>59</v>
      </c>
      <c r="E122" s="114">
        <v>6032</v>
      </c>
      <c r="F122" s="115">
        <v>21662</v>
      </c>
      <c r="G122" s="116">
        <v>650</v>
      </c>
      <c r="H122" s="1731" t="s">
        <v>41</v>
      </c>
      <c r="I122" s="34"/>
      <c r="J122" s="147"/>
      <c r="K122" s="2233" t="s">
        <v>25</v>
      </c>
      <c r="L122" s="147"/>
      <c r="M122" s="147"/>
      <c r="N122" s="147"/>
      <c r="O122" s="2621" t="s">
        <v>6395</v>
      </c>
      <c r="Q122" s="34"/>
    </row>
    <row r="123" spans="1:17" ht="18.75" customHeight="1" x14ac:dyDescent="0.3">
      <c r="A123" s="112">
        <v>55</v>
      </c>
      <c r="B123" s="105" t="s">
        <v>158</v>
      </c>
      <c r="C123" s="129">
        <v>400</v>
      </c>
      <c r="D123" s="113">
        <v>59</v>
      </c>
      <c r="E123" s="114">
        <v>6033</v>
      </c>
      <c r="F123" s="115">
        <v>21662</v>
      </c>
      <c r="G123" s="116">
        <v>650</v>
      </c>
      <c r="H123" s="1731" t="s">
        <v>41</v>
      </c>
      <c r="I123" s="34"/>
      <c r="J123" s="147"/>
      <c r="K123" s="2233" t="s">
        <v>25</v>
      </c>
      <c r="L123" s="147"/>
      <c r="M123" s="147"/>
      <c r="N123" s="147"/>
      <c r="O123" s="2621" t="s">
        <v>6395</v>
      </c>
      <c r="Q123" s="34"/>
    </row>
    <row r="124" spans="1:17" ht="18.75" customHeight="1" x14ac:dyDescent="0.3">
      <c r="A124" s="112">
        <v>56</v>
      </c>
      <c r="B124" s="105" t="s">
        <v>158</v>
      </c>
      <c r="C124" s="129">
        <v>400</v>
      </c>
      <c r="D124" s="113">
        <v>59</v>
      </c>
      <c r="E124" s="114">
        <v>6034</v>
      </c>
      <c r="F124" s="115">
        <v>21662</v>
      </c>
      <c r="G124" s="116">
        <v>650</v>
      </c>
      <c r="H124" s="1731" t="s">
        <v>41</v>
      </c>
      <c r="I124" s="34"/>
      <c r="J124" s="147"/>
      <c r="K124" s="2233" t="s">
        <v>25</v>
      </c>
      <c r="L124" s="147"/>
      <c r="M124" s="147"/>
      <c r="N124" s="147"/>
      <c r="O124" s="2621" t="s">
        <v>6395</v>
      </c>
      <c r="Q124" s="34"/>
    </row>
    <row r="125" spans="1:17" ht="18.75" customHeight="1" x14ac:dyDescent="0.3">
      <c r="A125" s="112">
        <v>57</v>
      </c>
      <c r="B125" s="105" t="s">
        <v>158</v>
      </c>
      <c r="C125" s="129">
        <v>400</v>
      </c>
      <c r="D125" s="113">
        <v>59</v>
      </c>
      <c r="E125" s="114">
        <v>6035</v>
      </c>
      <c r="F125" s="115">
        <v>21662</v>
      </c>
      <c r="G125" s="116">
        <v>650</v>
      </c>
      <c r="H125" s="1731" t="s">
        <v>41</v>
      </c>
      <c r="I125" s="34"/>
      <c r="J125" s="147"/>
      <c r="K125" s="2233" t="s">
        <v>25</v>
      </c>
      <c r="L125" s="147"/>
      <c r="M125" s="147"/>
      <c r="N125" s="147"/>
      <c r="O125" s="2621" t="s">
        <v>6395</v>
      </c>
      <c r="Q125" s="34"/>
    </row>
    <row r="126" spans="1:17" ht="18.75" customHeight="1" x14ac:dyDescent="0.3">
      <c r="A126" s="112">
        <v>58</v>
      </c>
      <c r="B126" s="105" t="s">
        <v>158</v>
      </c>
      <c r="C126" s="129">
        <v>400</v>
      </c>
      <c r="D126" s="113">
        <v>59</v>
      </c>
      <c r="E126" s="114">
        <v>6036</v>
      </c>
      <c r="F126" s="115">
        <v>21662</v>
      </c>
      <c r="G126" s="116">
        <v>650</v>
      </c>
      <c r="H126" s="1731" t="s">
        <v>41</v>
      </c>
      <c r="I126" s="34"/>
      <c r="J126" s="147"/>
      <c r="K126" s="2233" t="s">
        <v>25</v>
      </c>
      <c r="L126" s="147"/>
      <c r="M126" s="147"/>
      <c r="N126" s="147"/>
      <c r="O126" s="2621" t="s">
        <v>6395</v>
      </c>
      <c r="Q126" s="34"/>
    </row>
    <row r="127" spans="1:17" ht="18.75" customHeight="1" x14ac:dyDescent="0.3">
      <c r="A127" s="112">
        <v>59</v>
      </c>
      <c r="B127" s="105" t="s">
        <v>158</v>
      </c>
      <c r="C127" s="129">
        <v>400</v>
      </c>
      <c r="D127" s="113">
        <v>59</v>
      </c>
      <c r="E127" s="114">
        <v>6037</v>
      </c>
      <c r="F127" s="115">
        <v>21662</v>
      </c>
      <c r="G127" s="116">
        <v>650</v>
      </c>
      <c r="H127" s="1731" t="s">
        <v>41</v>
      </c>
      <c r="I127" s="34"/>
      <c r="J127" s="147"/>
      <c r="K127" s="2233" t="s">
        <v>25</v>
      </c>
      <c r="L127" s="147"/>
      <c r="M127" s="147"/>
      <c r="N127" s="147"/>
      <c r="O127" s="2621" t="s">
        <v>6395</v>
      </c>
      <c r="Q127" s="34"/>
    </row>
    <row r="128" spans="1:17" ht="18.75" customHeight="1" x14ac:dyDescent="0.3">
      <c r="A128" s="112">
        <v>60</v>
      </c>
      <c r="B128" s="105" t="s">
        <v>158</v>
      </c>
      <c r="C128" s="129">
        <v>400</v>
      </c>
      <c r="D128" s="113">
        <v>59</v>
      </c>
      <c r="E128" s="114">
        <v>6038</v>
      </c>
      <c r="F128" s="115">
        <v>21662</v>
      </c>
      <c r="G128" s="116">
        <v>650</v>
      </c>
      <c r="H128" s="1731" t="s">
        <v>41</v>
      </c>
      <c r="I128" s="34"/>
      <c r="J128" s="147"/>
      <c r="K128" s="2233" t="s">
        <v>25</v>
      </c>
      <c r="L128" s="147"/>
      <c r="M128" s="147"/>
      <c r="N128" s="147"/>
      <c r="O128" s="2621" t="s">
        <v>6395</v>
      </c>
      <c r="Q128" s="34"/>
    </row>
    <row r="129" spans="1:17" ht="18.75" customHeight="1" x14ac:dyDescent="0.3">
      <c r="A129" s="112">
        <v>61</v>
      </c>
      <c r="B129" s="105" t="s">
        <v>158</v>
      </c>
      <c r="C129" s="129">
        <v>400</v>
      </c>
      <c r="D129" s="113">
        <v>59</v>
      </c>
      <c r="E129" s="114">
        <v>6039</v>
      </c>
      <c r="F129" s="115">
        <v>21662</v>
      </c>
      <c r="G129" s="116">
        <v>650</v>
      </c>
      <c r="H129" s="1731" t="s">
        <v>41</v>
      </c>
      <c r="I129" s="34"/>
      <c r="J129" s="147"/>
      <c r="K129" s="2233" t="s">
        <v>25</v>
      </c>
      <c r="L129" s="147"/>
      <c r="M129" s="147"/>
      <c r="N129" s="147"/>
      <c r="O129" s="2621" t="s">
        <v>6395</v>
      </c>
      <c r="Q129" s="34"/>
    </row>
    <row r="130" spans="1:17" ht="18.75" customHeight="1" x14ac:dyDescent="0.3">
      <c r="A130" s="112">
        <v>62</v>
      </c>
      <c r="B130" s="105" t="s">
        <v>158</v>
      </c>
      <c r="C130" s="129">
        <v>400</v>
      </c>
      <c r="D130" s="113">
        <v>59</v>
      </c>
      <c r="E130" s="114">
        <v>6040</v>
      </c>
      <c r="F130" s="115">
        <v>21662</v>
      </c>
      <c r="G130" s="116">
        <v>650</v>
      </c>
      <c r="H130" s="1731" t="s">
        <v>41</v>
      </c>
      <c r="I130" s="34"/>
      <c r="J130" s="147"/>
      <c r="K130" s="2233" t="s">
        <v>25</v>
      </c>
      <c r="L130" s="147"/>
      <c r="M130" s="147"/>
      <c r="N130" s="147"/>
      <c r="O130" s="2621" t="s">
        <v>6395</v>
      </c>
      <c r="Q130" s="34"/>
    </row>
    <row r="131" spans="1:17" ht="18.75" customHeight="1" x14ac:dyDescent="0.3">
      <c r="A131" s="112">
        <v>63</v>
      </c>
      <c r="B131" s="105" t="s">
        <v>158</v>
      </c>
      <c r="C131" s="129">
        <v>400</v>
      </c>
      <c r="D131" s="113">
        <v>59</v>
      </c>
      <c r="E131" s="114">
        <v>6041</v>
      </c>
      <c r="F131" s="115">
        <v>21662</v>
      </c>
      <c r="G131" s="116">
        <v>650</v>
      </c>
      <c r="H131" s="1731" t="s">
        <v>41</v>
      </c>
      <c r="I131" s="34"/>
      <c r="J131" s="147"/>
      <c r="K131" s="2233" t="s">
        <v>25</v>
      </c>
      <c r="L131" s="147"/>
      <c r="M131" s="147"/>
      <c r="N131" s="147"/>
      <c r="O131" s="2621" t="s">
        <v>6395</v>
      </c>
      <c r="Q131" s="34"/>
    </row>
    <row r="132" spans="1:17" ht="18.75" customHeight="1" x14ac:dyDescent="0.3">
      <c r="A132" s="112">
        <v>64</v>
      </c>
      <c r="B132" s="105" t="s">
        <v>158</v>
      </c>
      <c r="C132" s="129">
        <v>400</v>
      </c>
      <c r="D132" s="113">
        <v>59</v>
      </c>
      <c r="E132" s="114">
        <v>6042</v>
      </c>
      <c r="F132" s="115">
        <v>21662</v>
      </c>
      <c r="G132" s="116">
        <v>650</v>
      </c>
      <c r="H132" s="1731" t="s">
        <v>41</v>
      </c>
      <c r="I132" s="34"/>
      <c r="J132" s="147"/>
      <c r="K132" s="2233" t="s">
        <v>25</v>
      </c>
      <c r="L132" s="147"/>
      <c r="M132" s="147"/>
      <c r="N132" s="147"/>
      <c r="O132" s="2621" t="s">
        <v>6395</v>
      </c>
      <c r="Q132" s="34"/>
    </row>
    <row r="133" spans="1:17" ht="18.75" customHeight="1" x14ac:dyDescent="0.3">
      <c r="A133" s="112">
        <v>65</v>
      </c>
      <c r="B133" s="105" t="s">
        <v>158</v>
      </c>
      <c r="C133" s="129">
        <v>400</v>
      </c>
      <c r="D133" s="113">
        <v>59</v>
      </c>
      <c r="E133" s="114">
        <v>6043</v>
      </c>
      <c r="F133" s="115">
        <v>21662</v>
      </c>
      <c r="G133" s="116">
        <v>650</v>
      </c>
      <c r="H133" s="1731" t="s">
        <v>41</v>
      </c>
      <c r="I133" s="34"/>
      <c r="J133" s="147"/>
      <c r="K133" s="2233" t="s">
        <v>25</v>
      </c>
      <c r="L133" s="147"/>
      <c r="M133" s="147"/>
      <c r="N133" s="147"/>
      <c r="O133" s="2621" t="s">
        <v>6395</v>
      </c>
      <c r="Q133" s="34"/>
    </row>
    <row r="134" spans="1:17" ht="18.75" customHeight="1" x14ac:dyDescent="0.3">
      <c r="A134" s="112">
        <v>66</v>
      </c>
      <c r="B134" s="105" t="s">
        <v>158</v>
      </c>
      <c r="C134" s="129">
        <v>400</v>
      </c>
      <c r="D134" s="113">
        <v>59</v>
      </c>
      <c r="E134" s="114">
        <v>6044</v>
      </c>
      <c r="F134" s="115">
        <v>21662</v>
      </c>
      <c r="G134" s="116">
        <v>650</v>
      </c>
      <c r="H134" s="1731" t="s">
        <v>41</v>
      </c>
      <c r="I134" s="34"/>
      <c r="J134" s="147"/>
      <c r="K134" s="2233" t="s">
        <v>25</v>
      </c>
      <c r="L134" s="147"/>
      <c r="M134" s="147"/>
      <c r="N134" s="147"/>
      <c r="O134" s="2621" t="s">
        <v>6395</v>
      </c>
      <c r="Q134" s="34"/>
    </row>
    <row r="135" spans="1:17" ht="18.75" customHeight="1" x14ac:dyDescent="0.3">
      <c r="A135" s="112">
        <v>67</v>
      </c>
      <c r="B135" s="105" t="s">
        <v>158</v>
      </c>
      <c r="C135" s="129">
        <v>400</v>
      </c>
      <c r="D135" s="113">
        <v>59</v>
      </c>
      <c r="E135" s="114">
        <v>6045</v>
      </c>
      <c r="F135" s="115">
        <v>21662</v>
      </c>
      <c r="G135" s="116">
        <v>650</v>
      </c>
      <c r="H135" s="1731" t="s">
        <v>41</v>
      </c>
      <c r="I135" s="34"/>
      <c r="J135" s="147"/>
      <c r="K135" s="2233" t="s">
        <v>25</v>
      </c>
      <c r="L135" s="147"/>
      <c r="M135" s="147"/>
      <c r="N135" s="147"/>
      <c r="O135" s="2621" t="s">
        <v>6395</v>
      </c>
      <c r="Q135" s="34"/>
    </row>
    <row r="136" spans="1:17" ht="18.75" customHeight="1" x14ac:dyDescent="0.3">
      <c r="A136" s="112">
        <v>68</v>
      </c>
      <c r="B136" s="105" t="s">
        <v>158</v>
      </c>
      <c r="C136" s="129">
        <v>400</v>
      </c>
      <c r="D136" s="113">
        <v>59</v>
      </c>
      <c r="E136" s="114">
        <v>6046</v>
      </c>
      <c r="F136" s="115">
        <v>21662</v>
      </c>
      <c r="G136" s="116">
        <v>650</v>
      </c>
      <c r="H136" s="1731" t="s">
        <v>41</v>
      </c>
      <c r="I136" s="34"/>
      <c r="J136" s="147"/>
      <c r="K136" s="2233" t="s">
        <v>25</v>
      </c>
      <c r="L136" s="147"/>
      <c r="M136" s="147"/>
      <c r="N136" s="147"/>
      <c r="O136" s="2621" t="s">
        <v>6395</v>
      </c>
      <c r="Q136" s="34"/>
    </row>
    <row r="137" spans="1:17" ht="18.75" customHeight="1" x14ac:dyDescent="0.3">
      <c r="A137" s="112">
        <v>69</v>
      </c>
      <c r="B137" s="105" t="s">
        <v>158</v>
      </c>
      <c r="C137" s="129">
        <v>400</v>
      </c>
      <c r="D137" s="113">
        <v>59</v>
      </c>
      <c r="E137" s="114">
        <v>6047</v>
      </c>
      <c r="F137" s="115">
        <v>21662</v>
      </c>
      <c r="G137" s="116">
        <v>650</v>
      </c>
      <c r="H137" s="1731" t="s">
        <v>41</v>
      </c>
      <c r="I137" s="34"/>
      <c r="J137" s="147"/>
      <c r="K137" s="2233" t="s">
        <v>25</v>
      </c>
      <c r="L137" s="147"/>
      <c r="M137" s="147"/>
      <c r="N137" s="147"/>
      <c r="O137" s="2621" t="s">
        <v>6395</v>
      </c>
      <c r="Q137" s="34"/>
    </row>
    <row r="138" spans="1:17" ht="18.75" customHeight="1" x14ac:dyDescent="0.3">
      <c r="A138" s="112">
        <v>70</v>
      </c>
      <c r="B138" s="105" t="s">
        <v>158</v>
      </c>
      <c r="C138" s="129">
        <v>400</v>
      </c>
      <c r="D138" s="113">
        <v>59</v>
      </c>
      <c r="E138" s="114">
        <v>6048</v>
      </c>
      <c r="F138" s="115">
        <v>21662</v>
      </c>
      <c r="G138" s="116">
        <v>650</v>
      </c>
      <c r="H138" s="1731" t="s">
        <v>41</v>
      </c>
      <c r="I138" s="34"/>
      <c r="J138" s="147"/>
      <c r="K138" s="2233" t="s">
        <v>25</v>
      </c>
      <c r="L138" s="147"/>
      <c r="M138" s="147"/>
      <c r="N138" s="147"/>
      <c r="O138" s="2621" t="s">
        <v>6395</v>
      </c>
      <c r="Q138" s="34"/>
    </row>
    <row r="139" spans="1:17" ht="18.75" customHeight="1" x14ac:dyDescent="0.3">
      <c r="A139" s="112">
        <v>71</v>
      </c>
      <c r="B139" s="105" t="s">
        <v>158</v>
      </c>
      <c r="C139" s="129">
        <v>400</v>
      </c>
      <c r="D139" s="113">
        <v>59</v>
      </c>
      <c r="E139" s="114">
        <v>6049</v>
      </c>
      <c r="F139" s="115">
        <v>21662</v>
      </c>
      <c r="G139" s="116">
        <v>650</v>
      </c>
      <c r="H139" s="1731" t="s">
        <v>41</v>
      </c>
      <c r="I139" s="34"/>
      <c r="J139" s="147"/>
      <c r="K139" s="2233" t="s">
        <v>25</v>
      </c>
      <c r="L139" s="147"/>
      <c r="M139" s="147"/>
      <c r="N139" s="147"/>
      <c r="O139" s="2621" t="s">
        <v>6395</v>
      </c>
      <c r="Q139" s="34"/>
    </row>
    <row r="140" spans="1:17" ht="18.75" customHeight="1" x14ac:dyDescent="0.3">
      <c r="A140" s="112">
        <v>72</v>
      </c>
      <c r="B140" s="105" t="s">
        <v>158</v>
      </c>
      <c r="C140" s="129">
        <v>400</v>
      </c>
      <c r="D140" s="113">
        <v>59</v>
      </c>
      <c r="E140" s="114">
        <v>6050</v>
      </c>
      <c r="F140" s="115">
        <v>21662</v>
      </c>
      <c r="G140" s="116">
        <v>650</v>
      </c>
      <c r="H140" s="1731" t="s">
        <v>41</v>
      </c>
      <c r="I140" s="34"/>
      <c r="J140" s="147"/>
      <c r="K140" s="2233" t="s">
        <v>25</v>
      </c>
      <c r="L140" s="147"/>
      <c r="M140" s="147"/>
      <c r="N140" s="147"/>
      <c r="O140" s="2621" t="s">
        <v>6395</v>
      </c>
      <c r="Q140" s="34"/>
    </row>
    <row r="141" spans="1:17" ht="18.75" customHeight="1" x14ac:dyDescent="0.3">
      <c r="A141" s="112">
        <v>73</v>
      </c>
      <c r="B141" s="105" t="s">
        <v>158</v>
      </c>
      <c r="C141" s="129">
        <v>400</v>
      </c>
      <c r="D141" s="113">
        <v>59</v>
      </c>
      <c r="E141" s="114">
        <v>6051</v>
      </c>
      <c r="F141" s="115">
        <v>21662</v>
      </c>
      <c r="G141" s="116">
        <v>650</v>
      </c>
      <c r="H141" s="1731" t="s">
        <v>41</v>
      </c>
      <c r="I141" s="34"/>
      <c r="J141" s="147"/>
      <c r="K141" s="2233" t="s">
        <v>25</v>
      </c>
      <c r="L141" s="147"/>
      <c r="M141" s="147"/>
      <c r="N141" s="147"/>
      <c r="O141" s="2621" t="s">
        <v>6395</v>
      </c>
      <c r="Q141" s="34"/>
    </row>
    <row r="142" spans="1:17" ht="18.75" customHeight="1" x14ac:dyDescent="0.3">
      <c r="A142" s="112">
        <v>74</v>
      </c>
      <c r="B142" s="105" t="s">
        <v>158</v>
      </c>
      <c r="C142" s="129">
        <v>400</v>
      </c>
      <c r="D142" s="113">
        <v>59</v>
      </c>
      <c r="E142" s="114">
        <v>6052</v>
      </c>
      <c r="F142" s="115">
        <v>21662</v>
      </c>
      <c r="G142" s="116">
        <v>650</v>
      </c>
      <c r="H142" s="1731" t="s">
        <v>41</v>
      </c>
      <c r="I142" s="34"/>
      <c r="J142" s="147"/>
      <c r="K142" s="2233" t="s">
        <v>25</v>
      </c>
      <c r="L142" s="147"/>
      <c r="M142" s="147"/>
      <c r="N142" s="147"/>
      <c r="O142" s="2621" t="s">
        <v>6395</v>
      </c>
      <c r="Q142" s="34"/>
    </row>
    <row r="143" spans="1:17" ht="18.75" customHeight="1" x14ac:dyDescent="0.3">
      <c r="A143" s="112">
        <v>75</v>
      </c>
      <c r="B143" s="105" t="s">
        <v>158</v>
      </c>
      <c r="C143" s="129">
        <v>400</v>
      </c>
      <c r="D143" s="113">
        <v>59</v>
      </c>
      <c r="E143" s="114">
        <v>6053</v>
      </c>
      <c r="F143" s="115">
        <v>21662</v>
      </c>
      <c r="G143" s="116">
        <v>650</v>
      </c>
      <c r="H143" s="1731" t="s">
        <v>41</v>
      </c>
      <c r="I143" s="34"/>
      <c r="J143" s="147"/>
      <c r="K143" s="2233" t="s">
        <v>25</v>
      </c>
      <c r="L143" s="147"/>
      <c r="M143" s="147"/>
      <c r="N143" s="147"/>
      <c r="O143" s="2621" t="s">
        <v>6395</v>
      </c>
      <c r="Q143" s="34"/>
    </row>
    <row r="144" spans="1:17" ht="18.75" customHeight="1" x14ac:dyDescent="0.3">
      <c r="A144" s="112">
        <v>76</v>
      </c>
      <c r="B144" s="105" t="s">
        <v>158</v>
      </c>
      <c r="C144" s="129">
        <v>400</v>
      </c>
      <c r="D144" s="113">
        <v>59</v>
      </c>
      <c r="E144" s="114">
        <v>6054</v>
      </c>
      <c r="F144" s="115">
        <v>21662</v>
      </c>
      <c r="G144" s="116">
        <v>650</v>
      </c>
      <c r="H144" s="1731" t="s">
        <v>41</v>
      </c>
      <c r="I144" s="34"/>
      <c r="J144" s="147"/>
      <c r="K144" s="2233" t="s">
        <v>25</v>
      </c>
      <c r="L144" s="147"/>
      <c r="M144" s="147"/>
      <c r="N144" s="147"/>
      <c r="O144" s="2621" t="s">
        <v>6395</v>
      </c>
      <c r="Q144" s="34"/>
    </row>
    <row r="145" spans="1:17" ht="18.75" customHeight="1" x14ac:dyDescent="0.3">
      <c r="A145" s="112">
        <v>77</v>
      </c>
      <c r="B145" s="105" t="s">
        <v>158</v>
      </c>
      <c r="C145" s="129">
        <v>400</v>
      </c>
      <c r="D145" s="113">
        <v>59</v>
      </c>
      <c r="E145" s="114">
        <v>6055</v>
      </c>
      <c r="F145" s="115">
        <v>21662</v>
      </c>
      <c r="G145" s="116">
        <v>650</v>
      </c>
      <c r="H145" s="1731" t="s">
        <v>41</v>
      </c>
      <c r="I145" s="34"/>
      <c r="J145" s="147"/>
      <c r="K145" s="2233" t="s">
        <v>25</v>
      </c>
      <c r="L145" s="147"/>
      <c r="M145" s="147"/>
      <c r="N145" s="147"/>
      <c r="O145" s="2621" t="s">
        <v>6395</v>
      </c>
      <c r="Q145" s="34"/>
    </row>
    <row r="146" spans="1:17" ht="18.75" customHeight="1" x14ac:dyDescent="0.3">
      <c r="A146" s="112">
        <v>78</v>
      </c>
      <c r="B146" s="105" t="s">
        <v>158</v>
      </c>
      <c r="C146" s="129">
        <v>400</v>
      </c>
      <c r="D146" s="113">
        <v>59</v>
      </c>
      <c r="E146" s="114">
        <v>6056</v>
      </c>
      <c r="F146" s="115">
        <v>21662</v>
      </c>
      <c r="G146" s="116">
        <v>650</v>
      </c>
      <c r="H146" s="1731" t="s">
        <v>41</v>
      </c>
      <c r="I146" s="34"/>
      <c r="J146" s="147"/>
      <c r="K146" s="2233" t="s">
        <v>25</v>
      </c>
      <c r="L146" s="147"/>
      <c r="M146" s="147"/>
      <c r="N146" s="147"/>
      <c r="O146" s="2621" t="s">
        <v>6395</v>
      </c>
      <c r="Q146" s="34"/>
    </row>
    <row r="147" spans="1:17" ht="18.75" customHeight="1" x14ac:dyDescent="0.3">
      <c r="A147" s="112">
        <v>79</v>
      </c>
      <c r="B147" s="105" t="s">
        <v>158</v>
      </c>
      <c r="C147" s="129">
        <v>400</v>
      </c>
      <c r="D147" s="113">
        <v>59</v>
      </c>
      <c r="E147" s="114">
        <v>6057</v>
      </c>
      <c r="F147" s="115">
        <v>21662</v>
      </c>
      <c r="G147" s="116">
        <v>650</v>
      </c>
      <c r="H147" s="1731" t="s">
        <v>41</v>
      </c>
      <c r="I147" s="34"/>
      <c r="J147" s="147"/>
      <c r="K147" s="2233" t="s">
        <v>25</v>
      </c>
      <c r="L147" s="147"/>
      <c r="M147" s="147"/>
      <c r="N147" s="147"/>
      <c r="O147" s="2621" t="s">
        <v>6395</v>
      </c>
      <c r="Q147" s="34"/>
    </row>
    <row r="148" spans="1:17" ht="18.75" customHeight="1" x14ac:dyDescent="0.3">
      <c r="A148" s="112">
        <v>80</v>
      </c>
      <c r="B148" s="105" t="s">
        <v>158</v>
      </c>
      <c r="C148" s="129">
        <v>400</v>
      </c>
      <c r="D148" s="113">
        <v>59</v>
      </c>
      <c r="E148" s="114">
        <v>6058</v>
      </c>
      <c r="F148" s="115">
        <v>21662</v>
      </c>
      <c r="G148" s="116">
        <v>650</v>
      </c>
      <c r="H148" s="1731" t="s">
        <v>41</v>
      </c>
      <c r="I148" s="34"/>
      <c r="J148" s="147"/>
      <c r="K148" s="2233" t="s">
        <v>25</v>
      </c>
      <c r="L148" s="147"/>
      <c r="M148" s="147"/>
      <c r="N148" s="147"/>
      <c r="O148" s="2621" t="s">
        <v>6395</v>
      </c>
      <c r="Q148" s="34"/>
    </row>
    <row r="149" spans="1:17" ht="18.75" customHeight="1" x14ac:dyDescent="0.3">
      <c r="A149" s="112">
        <v>81</v>
      </c>
      <c r="B149" s="105" t="s">
        <v>158</v>
      </c>
      <c r="C149" s="129">
        <v>400</v>
      </c>
      <c r="D149" s="113">
        <v>59</v>
      </c>
      <c r="E149" s="114">
        <v>6059</v>
      </c>
      <c r="F149" s="115">
        <v>21662</v>
      </c>
      <c r="G149" s="116">
        <v>650</v>
      </c>
      <c r="H149" s="1731" t="s">
        <v>41</v>
      </c>
      <c r="I149" s="34"/>
      <c r="J149" s="147"/>
      <c r="K149" s="2233" t="s">
        <v>25</v>
      </c>
      <c r="L149" s="147"/>
      <c r="M149" s="147"/>
      <c r="N149" s="147"/>
      <c r="O149" s="2621" t="s">
        <v>6395</v>
      </c>
      <c r="Q149" s="34"/>
    </row>
    <row r="150" spans="1:17" ht="18.75" customHeight="1" x14ac:dyDescent="0.3">
      <c r="A150" s="112">
        <v>82</v>
      </c>
      <c r="B150" s="105" t="s">
        <v>158</v>
      </c>
      <c r="C150" s="129">
        <v>400</v>
      </c>
      <c r="D150" s="113">
        <v>59</v>
      </c>
      <c r="E150" s="114">
        <v>6060</v>
      </c>
      <c r="F150" s="115">
        <v>21662</v>
      </c>
      <c r="G150" s="116">
        <v>650</v>
      </c>
      <c r="H150" s="1731" t="s">
        <v>41</v>
      </c>
      <c r="I150" s="34"/>
      <c r="J150" s="147"/>
      <c r="K150" s="2233" t="s">
        <v>25</v>
      </c>
      <c r="L150" s="147"/>
      <c r="M150" s="147"/>
      <c r="N150" s="147"/>
      <c r="O150" s="2621" t="s">
        <v>6395</v>
      </c>
      <c r="Q150" s="34"/>
    </row>
    <row r="151" spans="1:17" ht="18.75" customHeight="1" x14ac:dyDescent="0.3">
      <c r="A151" s="112">
        <v>83</v>
      </c>
      <c r="B151" s="105" t="s">
        <v>158</v>
      </c>
      <c r="C151" s="129">
        <v>400</v>
      </c>
      <c r="D151" s="113">
        <v>59</v>
      </c>
      <c r="E151" s="114">
        <v>6061</v>
      </c>
      <c r="F151" s="115">
        <v>21662</v>
      </c>
      <c r="G151" s="116">
        <v>650</v>
      </c>
      <c r="H151" s="1731" t="s">
        <v>41</v>
      </c>
      <c r="I151" s="34"/>
      <c r="J151" s="147"/>
      <c r="K151" s="2233" t="s">
        <v>25</v>
      </c>
      <c r="L151" s="147"/>
      <c r="M151" s="147"/>
      <c r="N151" s="147"/>
      <c r="O151" s="2621" t="s">
        <v>6395</v>
      </c>
      <c r="Q151" s="34"/>
    </row>
    <row r="152" spans="1:17" ht="18.75" customHeight="1" x14ac:dyDescent="0.3">
      <c r="A152" s="112">
        <v>84</v>
      </c>
      <c r="B152" s="105" t="s">
        <v>158</v>
      </c>
      <c r="C152" s="129">
        <v>400</v>
      </c>
      <c r="D152" s="113">
        <v>59</v>
      </c>
      <c r="E152" s="114">
        <v>6062</v>
      </c>
      <c r="F152" s="115">
        <v>21662</v>
      </c>
      <c r="G152" s="116">
        <v>650</v>
      </c>
      <c r="H152" s="1731" t="s">
        <v>41</v>
      </c>
      <c r="I152" s="34"/>
      <c r="J152" s="147"/>
      <c r="K152" s="2233" t="s">
        <v>25</v>
      </c>
      <c r="L152" s="147"/>
      <c r="M152" s="147"/>
      <c r="N152" s="147"/>
      <c r="O152" s="2621" t="s">
        <v>6395</v>
      </c>
      <c r="Q152" s="34"/>
    </row>
    <row r="153" spans="1:17" ht="18.75" customHeight="1" x14ac:dyDescent="0.3">
      <c r="A153" s="112">
        <v>85</v>
      </c>
      <c r="B153" s="105" t="s">
        <v>158</v>
      </c>
      <c r="C153" s="129">
        <v>400</v>
      </c>
      <c r="D153" s="113">
        <v>59</v>
      </c>
      <c r="E153" s="114">
        <v>6063</v>
      </c>
      <c r="F153" s="115">
        <v>21662</v>
      </c>
      <c r="G153" s="116">
        <v>650</v>
      </c>
      <c r="H153" s="1731" t="s">
        <v>41</v>
      </c>
      <c r="I153" s="34"/>
      <c r="J153" s="147"/>
      <c r="K153" s="2233" t="s">
        <v>25</v>
      </c>
      <c r="L153" s="147"/>
      <c r="M153" s="147"/>
      <c r="N153" s="147"/>
      <c r="O153" s="2621" t="s">
        <v>6395</v>
      </c>
      <c r="Q153" s="34"/>
    </row>
    <row r="154" spans="1:17" ht="18.75" customHeight="1" x14ac:dyDescent="0.3">
      <c r="A154" s="112">
        <v>86</v>
      </c>
      <c r="B154" s="105" t="s">
        <v>158</v>
      </c>
      <c r="C154" s="129">
        <v>400</v>
      </c>
      <c r="D154" s="113">
        <v>59</v>
      </c>
      <c r="E154" s="114">
        <v>6064</v>
      </c>
      <c r="F154" s="115">
        <v>21662</v>
      </c>
      <c r="G154" s="116">
        <v>650</v>
      </c>
      <c r="H154" s="1731" t="s">
        <v>41</v>
      </c>
      <c r="I154" s="34"/>
      <c r="J154" s="147"/>
      <c r="K154" s="2233" t="s">
        <v>25</v>
      </c>
      <c r="L154" s="147"/>
      <c r="M154" s="147"/>
      <c r="N154" s="147"/>
      <c r="O154" s="2621" t="s">
        <v>6395</v>
      </c>
      <c r="Q154" s="34"/>
    </row>
    <row r="155" spans="1:17" ht="18.75" customHeight="1" x14ac:dyDescent="0.3">
      <c r="A155" s="112">
        <v>87</v>
      </c>
      <c r="B155" s="105" t="s">
        <v>158</v>
      </c>
      <c r="C155" s="129">
        <v>400</v>
      </c>
      <c r="D155" s="136">
        <v>59</v>
      </c>
      <c r="E155" s="114">
        <v>6065</v>
      </c>
      <c r="F155" s="115">
        <v>21662</v>
      </c>
      <c r="G155" s="116">
        <v>650</v>
      </c>
      <c r="H155" s="1731" t="s">
        <v>41</v>
      </c>
      <c r="I155" s="34"/>
      <c r="J155" s="147"/>
      <c r="K155" s="2233" t="s">
        <v>25</v>
      </c>
      <c r="L155" s="147"/>
      <c r="M155" s="147"/>
      <c r="N155" s="147"/>
      <c r="O155" s="2621" t="s">
        <v>6395</v>
      </c>
      <c r="Q155" s="34"/>
    </row>
    <row r="156" spans="1:17" ht="18.75" customHeight="1" x14ac:dyDescent="0.3">
      <c r="A156" s="112">
        <v>88</v>
      </c>
      <c r="B156" s="105" t="s">
        <v>158</v>
      </c>
      <c r="C156" s="129">
        <v>400</v>
      </c>
      <c r="D156" s="128">
        <v>59</v>
      </c>
      <c r="E156" s="114">
        <v>6066</v>
      </c>
      <c r="F156" s="115">
        <v>21662</v>
      </c>
      <c r="G156" s="116">
        <v>650</v>
      </c>
      <c r="H156" s="1731" t="s">
        <v>41</v>
      </c>
      <c r="I156" s="34"/>
      <c r="J156" s="147"/>
      <c r="K156" s="2233" t="s">
        <v>25</v>
      </c>
      <c r="L156" s="147"/>
      <c r="M156" s="147"/>
      <c r="N156" s="147"/>
      <c r="O156" s="2621" t="s">
        <v>6395</v>
      </c>
      <c r="Q156" s="34"/>
    </row>
    <row r="157" spans="1:17" ht="18.75" customHeight="1" x14ac:dyDescent="0.3">
      <c r="A157" s="112">
        <v>89</v>
      </c>
      <c r="B157" s="105" t="s">
        <v>158</v>
      </c>
      <c r="C157" s="129">
        <v>400</v>
      </c>
      <c r="D157" s="113">
        <v>59</v>
      </c>
      <c r="E157" s="114">
        <v>6067</v>
      </c>
      <c r="F157" s="115">
        <v>21662</v>
      </c>
      <c r="G157" s="116">
        <v>650</v>
      </c>
      <c r="H157" s="1731" t="s">
        <v>41</v>
      </c>
      <c r="I157" s="34"/>
      <c r="J157" s="147"/>
      <c r="K157" s="2233" t="s">
        <v>25</v>
      </c>
      <c r="L157" s="147"/>
      <c r="M157" s="147"/>
      <c r="N157" s="147"/>
      <c r="O157" s="2621" t="s">
        <v>6395</v>
      </c>
      <c r="Q157" s="34"/>
    </row>
    <row r="158" spans="1:17" ht="18.75" customHeight="1" x14ac:dyDescent="0.3">
      <c r="A158" s="112">
        <v>90</v>
      </c>
      <c r="B158" s="105" t="s">
        <v>158</v>
      </c>
      <c r="C158" s="129">
        <v>400</v>
      </c>
      <c r="D158" s="113">
        <v>59</v>
      </c>
      <c r="E158" s="114">
        <v>6068</v>
      </c>
      <c r="F158" s="115">
        <v>21662</v>
      </c>
      <c r="G158" s="116">
        <v>650</v>
      </c>
      <c r="H158" s="1731" t="s">
        <v>41</v>
      </c>
      <c r="I158" s="34"/>
      <c r="J158" s="147"/>
      <c r="K158" s="2233" t="s">
        <v>25</v>
      </c>
      <c r="L158" s="147"/>
      <c r="M158" s="147"/>
      <c r="N158" s="147"/>
      <c r="O158" s="2621" t="s">
        <v>6395</v>
      </c>
      <c r="Q158" s="34"/>
    </row>
    <row r="159" spans="1:17" ht="18.75" customHeight="1" x14ac:dyDescent="0.3">
      <c r="A159" s="112">
        <v>91</v>
      </c>
      <c r="B159" s="105" t="s">
        <v>158</v>
      </c>
      <c r="C159" s="129">
        <v>400</v>
      </c>
      <c r="D159" s="113">
        <v>59</v>
      </c>
      <c r="E159" s="114">
        <v>6069</v>
      </c>
      <c r="F159" s="115">
        <v>21662</v>
      </c>
      <c r="G159" s="116">
        <v>650</v>
      </c>
      <c r="H159" s="1731" t="s">
        <v>41</v>
      </c>
      <c r="I159" s="34"/>
      <c r="J159" s="147"/>
      <c r="K159" s="2233" t="s">
        <v>25</v>
      </c>
      <c r="L159" s="147"/>
      <c r="M159" s="147"/>
      <c r="N159" s="147"/>
      <c r="O159" s="2621" t="s">
        <v>6395</v>
      </c>
      <c r="Q159" s="34"/>
    </row>
    <row r="160" spans="1:17" ht="18.75" customHeight="1" x14ac:dyDescent="0.3">
      <c r="A160" s="112">
        <v>92</v>
      </c>
      <c r="B160" s="105" t="s">
        <v>158</v>
      </c>
      <c r="C160" s="129">
        <v>400</v>
      </c>
      <c r="D160" s="113">
        <v>59</v>
      </c>
      <c r="E160" s="114">
        <v>6070</v>
      </c>
      <c r="F160" s="115">
        <v>21662</v>
      </c>
      <c r="G160" s="116">
        <v>650</v>
      </c>
      <c r="H160" s="1731" t="s">
        <v>41</v>
      </c>
      <c r="I160" s="34"/>
      <c r="J160" s="147"/>
      <c r="K160" s="2233" t="s">
        <v>25</v>
      </c>
      <c r="L160" s="147"/>
      <c r="M160" s="147"/>
      <c r="N160" s="147"/>
      <c r="O160" s="2621" t="s">
        <v>6395</v>
      </c>
      <c r="Q160" s="34"/>
    </row>
    <row r="161" spans="1:17" ht="18.75" customHeight="1" x14ac:dyDescent="0.3">
      <c r="A161" s="112">
        <v>93</v>
      </c>
      <c r="B161" s="105" t="s">
        <v>158</v>
      </c>
      <c r="C161" s="129">
        <v>400</v>
      </c>
      <c r="D161" s="113">
        <v>59</v>
      </c>
      <c r="E161" s="114">
        <v>6071</v>
      </c>
      <c r="F161" s="115">
        <v>21662</v>
      </c>
      <c r="G161" s="116">
        <v>650</v>
      </c>
      <c r="H161" s="1731" t="s">
        <v>41</v>
      </c>
      <c r="I161" s="34"/>
      <c r="J161" s="147"/>
      <c r="K161" s="2233" t="s">
        <v>25</v>
      </c>
      <c r="L161" s="147"/>
      <c r="M161" s="147"/>
      <c r="N161" s="147"/>
      <c r="O161" s="2621" t="s">
        <v>6395</v>
      </c>
      <c r="Q161" s="34"/>
    </row>
    <row r="162" spans="1:17" ht="18.75" customHeight="1" x14ac:dyDescent="0.3">
      <c r="A162" s="112">
        <v>94</v>
      </c>
      <c r="B162" s="105" t="s">
        <v>158</v>
      </c>
      <c r="C162" s="129">
        <v>400</v>
      </c>
      <c r="D162" s="113">
        <v>59</v>
      </c>
      <c r="E162" s="114">
        <v>6072</v>
      </c>
      <c r="F162" s="115">
        <v>21662</v>
      </c>
      <c r="G162" s="116">
        <v>650</v>
      </c>
      <c r="H162" s="1731" t="s">
        <v>41</v>
      </c>
      <c r="I162" s="34"/>
      <c r="J162" s="147"/>
      <c r="K162" s="2233" t="s">
        <v>25</v>
      </c>
      <c r="L162" s="147"/>
      <c r="M162" s="147"/>
      <c r="N162" s="147"/>
      <c r="O162" s="2621" t="s">
        <v>6395</v>
      </c>
      <c r="Q162" s="34"/>
    </row>
    <row r="163" spans="1:17" ht="18.75" customHeight="1" x14ac:dyDescent="0.3">
      <c r="A163" s="112">
        <v>95</v>
      </c>
      <c r="B163" s="105" t="s">
        <v>158</v>
      </c>
      <c r="C163" s="129">
        <v>400</v>
      </c>
      <c r="D163" s="125">
        <v>59</v>
      </c>
      <c r="E163" s="114">
        <v>6073</v>
      </c>
      <c r="F163" s="115">
        <v>21662</v>
      </c>
      <c r="G163" s="116">
        <v>650</v>
      </c>
      <c r="H163" s="1731" t="s">
        <v>41</v>
      </c>
      <c r="I163" s="34"/>
      <c r="J163" s="147"/>
      <c r="K163" s="2233" t="s">
        <v>25</v>
      </c>
      <c r="L163" s="147"/>
      <c r="M163" s="147"/>
      <c r="N163" s="147"/>
      <c r="O163" s="2621" t="s">
        <v>6395</v>
      </c>
      <c r="Q163" s="34"/>
    </row>
    <row r="164" spans="1:17" ht="18.75" customHeight="1" x14ac:dyDescent="0.3">
      <c r="A164" s="112">
        <v>96</v>
      </c>
      <c r="B164" s="105" t="s">
        <v>158</v>
      </c>
      <c r="C164" s="129">
        <v>400</v>
      </c>
      <c r="D164" s="149">
        <v>59</v>
      </c>
      <c r="E164" s="114">
        <v>6074</v>
      </c>
      <c r="F164" s="115">
        <v>21662</v>
      </c>
      <c r="G164" s="116">
        <v>650</v>
      </c>
      <c r="H164" s="1731" t="s">
        <v>41</v>
      </c>
      <c r="I164" s="34"/>
      <c r="J164" s="147"/>
      <c r="K164" s="2233" t="s">
        <v>25</v>
      </c>
      <c r="L164" s="147"/>
      <c r="M164" s="147"/>
      <c r="N164" s="147"/>
      <c r="O164" s="2621" t="s">
        <v>6395</v>
      </c>
      <c r="Q164" s="34"/>
    </row>
    <row r="165" spans="1:17" ht="18.75" customHeight="1" x14ac:dyDescent="0.3">
      <c r="A165" s="112">
        <v>97</v>
      </c>
      <c r="B165" s="105" t="s">
        <v>158</v>
      </c>
      <c r="C165" s="129">
        <v>400</v>
      </c>
      <c r="D165" s="113">
        <v>59</v>
      </c>
      <c r="E165" s="114">
        <v>6075</v>
      </c>
      <c r="F165" s="115">
        <v>21662</v>
      </c>
      <c r="G165" s="116">
        <v>650</v>
      </c>
      <c r="H165" s="1731" t="s">
        <v>41</v>
      </c>
      <c r="I165" s="34"/>
      <c r="J165" s="147"/>
      <c r="K165" s="2233" t="s">
        <v>25</v>
      </c>
      <c r="L165" s="147"/>
      <c r="M165" s="147"/>
      <c r="N165" s="147"/>
      <c r="O165" s="2621" t="s">
        <v>6395</v>
      </c>
      <c r="Q165" s="34"/>
    </row>
    <row r="166" spans="1:17" ht="18.75" customHeight="1" x14ac:dyDescent="0.3">
      <c r="A166" s="112">
        <v>98</v>
      </c>
      <c r="B166" s="105" t="s">
        <v>158</v>
      </c>
      <c r="C166" s="129">
        <v>400</v>
      </c>
      <c r="D166" s="113">
        <v>59</v>
      </c>
      <c r="E166" s="114">
        <v>6076</v>
      </c>
      <c r="F166" s="115">
        <v>21662</v>
      </c>
      <c r="G166" s="116">
        <v>650</v>
      </c>
      <c r="H166" s="1731" t="s">
        <v>41</v>
      </c>
      <c r="I166" s="34"/>
      <c r="J166" s="147"/>
      <c r="K166" s="2233" t="s">
        <v>25</v>
      </c>
      <c r="L166" s="147"/>
      <c r="M166" s="147"/>
      <c r="N166" s="147"/>
      <c r="O166" s="2621" t="s">
        <v>6395</v>
      </c>
      <c r="Q166" s="34"/>
    </row>
    <row r="167" spans="1:17" ht="18.75" customHeight="1" x14ac:dyDescent="0.3">
      <c r="A167" s="112">
        <v>99</v>
      </c>
      <c r="B167" s="105" t="s">
        <v>158</v>
      </c>
      <c r="C167" s="129">
        <v>400</v>
      </c>
      <c r="D167" s="113">
        <v>59</v>
      </c>
      <c r="E167" s="114">
        <v>6077</v>
      </c>
      <c r="F167" s="115">
        <v>21662</v>
      </c>
      <c r="G167" s="116">
        <v>650</v>
      </c>
      <c r="H167" s="1731" t="s">
        <v>41</v>
      </c>
      <c r="I167" s="34"/>
      <c r="J167" s="147"/>
      <c r="K167" s="2233" t="s">
        <v>25</v>
      </c>
      <c r="L167" s="147"/>
      <c r="M167" s="147"/>
      <c r="N167" s="147"/>
      <c r="O167" s="2621" t="s">
        <v>6395</v>
      </c>
      <c r="Q167" s="34"/>
    </row>
    <row r="168" spans="1:17" ht="18.75" customHeight="1" x14ac:dyDescent="0.3">
      <c r="A168" s="112">
        <v>100</v>
      </c>
      <c r="B168" s="105" t="s">
        <v>158</v>
      </c>
      <c r="C168" s="129">
        <v>400</v>
      </c>
      <c r="D168" s="113">
        <v>59</v>
      </c>
      <c r="E168" s="114">
        <v>6078</v>
      </c>
      <c r="F168" s="115">
        <v>21662</v>
      </c>
      <c r="G168" s="116">
        <v>650</v>
      </c>
      <c r="H168" s="1731" t="s">
        <v>41</v>
      </c>
      <c r="I168" s="34"/>
      <c r="J168" s="147"/>
      <c r="K168" s="2233" t="s">
        <v>25</v>
      </c>
      <c r="L168" s="147"/>
      <c r="M168" s="147"/>
      <c r="N168" s="147"/>
      <c r="O168" s="2621" t="s">
        <v>6395</v>
      </c>
      <c r="Q168" s="34"/>
    </row>
    <row r="169" spans="1:17" ht="18.75" customHeight="1" x14ac:dyDescent="0.3">
      <c r="A169" s="112">
        <v>101</v>
      </c>
      <c r="B169" s="105" t="s">
        <v>158</v>
      </c>
      <c r="C169" s="129">
        <v>400</v>
      </c>
      <c r="D169" s="113">
        <v>59</v>
      </c>
      <c r="E169" s="114">
        <v>6079</v>
      </c>
      <c r="F169" s="115">
        <v>21662</v>
      </c>
      <c r="G169" s="116">
        <v>650</v>
      </c>
      <c r="H169" s="1731" t="s">
        <v>41</v>
      </c>
      <c r="I169" s="34"/>
      <c r="J169" s="147"/>
      <c r="K169" s="2233" t="s">
        <v>25</v>
      </c>
      <c r="L169" s="147"/>
      <c r="M169" s="147"/>
      <c r="N169" s="147"/>
      <c r="O169" s="2621" t="s">
        <v>6395</v>
      </c>
      <c r="Q169" s="34"/>
    </row>
    <row r="170" spans="1:17" ht="18.75" customHeight="1" x14ac:dyDescent="0.3">
      <c r="A170" s="112">
        <v>102</v>
      </c>
      <c r="B170" s="105" t="s">
        <v>158</v>
      </c>
      <c r="C170" s="129">
        <v>400</v>
      </c>
      <c r="D170" s="113">
        <v>59</v>
      </c>
      <c r="E170" s="114">
        <v>6080</v>
      </c>
      <c r="F170" s="115">
        <v>21662</v>
      </c>
      <c r="G170" s="116">
        <v>650</v>
      </c>
      <c r="H170" s="1731" t="s">
        <v>41</v>
      </c>
      <c r="I170" s="34"/>
      <c r="J170" s="147"/>
      <c r="K170" s="2233" t="s">
        <v>25</v>
      </c>
      <c r="L170" s="147"/>
      <c r="M170" s="147"/>
      <c r="N170" s="147"/>
      <c r="O170" s="2621" t="s">
        <v>6395</v>
      </c>
      <c r="Q170" s="34"/>
    </row>
    <row r="171" spans="1:17" ht="18.75" customHeight="1" x14ac:dyDescent="0.3">
      <c r="A171" s="112">
        <v>103</v>
      </c>
      <c r="B171" s="105" t="s">
        <v>158</v>
      </c>
      <c r="C171" s="129">
        <v>400</v>
      </c>
      <c r="D171" s="136">
        <v>59</v>
      </c>
      <c r="E171" s="114">
        <v>6081</v>
      </c>
      <c r="F171" s="115">
        <v>21662</v>
      </c>
      <c r="G171" s="116">
        <v>650</v>
      </c>
      <c r="H171" s="1731" t="s">
        <v>41</v>
      </c>
      <c r="I171" s="34"/>
      <c r="J171" s="147"/>
      <c r="K171" s="2233" t="s">
        <v>25</v>
      </c>
      <c r="L171" s="147"/>
      <c r="M171" s="147"/>
      <c r="N171" s="147"/>
      <c r="O171" s="2621" t="s">
        <v>6395</v>
      </c>
      <c r="Q171" s="34"/>
    </row>
    <row r="172" spans="1:17" ht="18.75" customHeight="1" x14ac:dyDescent="0.3">
      <c r="A172" s="112">
        <v>104</v>
      </c>
      <c r="B172" s="105" t="s">
        <v>158</v>
      </c>
      <c r="C172" s="129">
        <v>400</v>
      </c>
      <c r="D172" s="128">
        <v>59</v>
      </c>
      <c r="E172" s="114">
        <v>6082</v>
      </c>
      <c r="F172" s="115">
        <v>21662</v>
      </c>
      <c r="G172" s="116">
        <v>650</v>
      </c>
      <c r="H172" s="1731" t="s">
        <v>41</v>
      </c>
      <c r="I172" s="34"/>
      <c r="J172" s="147"/>
      <c r="K172" s="2233" t="s">
        <v>25</v>
      </c>
      <c r="L172" s="147"/>
      <c r="M172" s="147"/>
      <c r="N172" s="147"/>
      <c r="O172" s="2621" t="s">
        <v>6395</v>
      </c>
      <c r="Q172" s="34"/>
    </row>
    <row r="173" spans="1:17" ht="18.75" customHeight="1" x14ac:dyDescent="0.3">
      <c r="A173" s="112">
        <v>105</v>
      </c>
      <c r="B173" s="105" t="s">
        <v>158</v>
      </c>
      <c r="C173" s="129">
        <v>400</v>
      </c>
      <c r="D173" s="113">
        <v>59</v>
      </c>
      <c r="E173" s="114">
        <v>6083</v>
      </c>
      <c r="F173" s="115">
        <v>21662</v>
      </c>
      <c r="G173" s="116">
        <v>650</v>
      </c>
      <c r="H173" s="1731" t="s">
        <v>41</v>
      </c>
      <c r="I173" s="34"/>
      <c r="J173" s="147"/>
      <c r="K173" s="2233" t="s">
        <v>25</v>
      </c>
      <c r="L173" s="147"/>
      <c r="M173" s="147"/>
      <c r="N173" s="147"/>
      <c r="O173" s="2621" t="s">
        <v>6395</v>
      </c>
      <c r="Q173" s="34"/>
    </row>
    <row r="174" spans="1:17" ht="18.75" customHeight="1" x14ac:dyDescent="0.3">
      <c r="A174" s="112">
        <v>106</v>
      </c>
      <c r="B174" s="105" t="s">
        <v>158</v>
      </c>
      <c r="C174" s="129">
        <v>400</v>
      </c>
      <c r="D174" s="113">
        <v>59</v>
      </c>
      <c r="E174" s="114">
        <v>6084</v>
      </c>
      <c r="F174" s="115">
        <v>21662</v>
      </c>
      <c r="G174" s="116">
        <v>650</v>
      </c>
      <c r="H174" s="1731" t="s">
        <v>41</v>
      </c>
      <c r="I174" s="34"/>
      <c r="J174" s="147"/>
      <c r="K174" s="2233" t="s">
        <v>25</v>
      </c>
      <c r="L174" s="147"/>
      <c r="M174" s="147"/>
      <c r="N174" s="147"/>
      <c r="O174" s="2621" t="s">
        <v>6395</v>
      </c>
      <c r="Q174" s="34"/>
    </row>
    <row r="175" spans="1:17" ht="18.75" customHeight="1" x14ac:dyDescent="0.3">
      <c r="A175" s="112">
        <v>107</v>
      </c>
      <c r="B175" s="105" t="s">
        <v>158</v>
      </c>
      <c r="C175" s="129">
        <v>400</v>
      </c>
      <c r="D175" s="113">
        <v>59</v>
      </c>
      <c r="E175" s="114">
        <v>6085</v>
      </c>
      <c r="F175" s="115">
        <v>21662</v>
      </c>
      <c r="G175" s="116">
        <v>650</v>
      </c>
      <c r="H175" s="1731" t="s">
        <v>41</v>
      </c>
      <c r="I175" s="34"/>
      <c r="J175" s="147"/>
      <c r="K175" s="2233" t="s">
        <v>25</v>
      </c>
      <c r="L175" s="147"/>
      <c r="M175" s="147"/>
      <c r="N175" s="147"/>
      <c r="O175" s="2621" t="s">
        <v>6395</v>
      </c>
      <c r="Q175" s="34"/>
    </row>
    <row r="176" spans="1:17" ht="18.75" customHeight="1" x14ac:dyDescent="0.3">
      <c r="A176" s="112">
        <v>108</v>
      </c>
      <c r="B176" s="105" t="s">
        <v>158</v>
      </c>
      <c r="C176" s="129">
        <v>400</v>
      </c>
      <c r="D176" s="113">
        <v>59</v>
      </c>
      <c r="E176" s="114">
        <v>6086</v>
      </c>
      <c r="F176" s="115">
        <v>21662</v>
      </c>
      <c r="G176" s="116">
        <v>650</v>
      </c>
      <c r="H176" s="1731" t="s">
        <v>41</v>
      </c>
      <c r="I176" s="34"/>
      <c r="J176" s="147"/>
      <c r="K176" s="2233" t="s">
        <v>25</v>
      </c>
      <c r="L176" s="147"/>
      <c r="M176" s="147"/>
      <c r="N176" s="147"/>
      <c r="O176" s="2621" t="s">
        <v>6395</v>
      </c>
      <c r="Q176" s="34"/>
    </row>
    <row r="177" spans="1:17" ht="18.75" customHeight="1" x14ac:dyDescent="0.3">
      <c r="A177" s="112">
        <v>109</v>
      </c>
      <c r="B177" s="105" t="s">
        <v>158</v>
      </c>
      <c r="C177" s="129">
        <v>400</v>
      </c>
      <c r="D177" s="113">
        <v>59</v>
      </c>
      <c r="E177" s="114">
        <v>6087</v>
      </c>
      <c r="F177" s="115">
        <v>21662</v>
      </c>
      <c r="G177" s="116">
        <v>650</v>
      </c>
      <c r="H177" s="1731" t="s">
        <v>41</v>
      </c>
      <c r="I177" s="34"/>
      <c r="J177" s="147"/>
      <c r="K177" s="2233" t="s">
        <v>25</v>
      </c>
      <c r="L177" s="147"/>
      <c r="M177" s="147"/>
      <c r="N177" s="147"/>
      <c r="O177" s="2621" t="s">
        <v>6395</v>
      </c>
      <c r="Q177" s="34"/>
    </row>
    <row r="178" spans="1:17" ht="18.75" customHeight="1" x14ac:dyDescent="0.3">
      <c r="A178" s="112">
        <v>110</v>
      </c>
      <c r="B178" s="105" t="s">
        <v>158</v>
      </c>
      <c r="C178" s="129">
        <v>400</v>
      </c>
      <c r="D178" s="113">
        <v>59</v>
      </c>
      <c r="E178" s="114">
        <v>6088</v>
      </c>
      <c r="F178" s="115">
        <v>21662</v>
      </c>
      <c r="G178" s="116">
        <v>650</v>
      </c>
      <c r="H178" s="1731" t="s">
        <v>41</v>
      </c>
      <c r="I178" s="34"/>
      <c r="J178" s="147"/>
      <c r="K178" s="2233" t="s">
        <v>25</v>
      </c>
      <c r="L178" s="147"/>
      <c r="M178" s="147"/>
      <c r="N178" s="147"/>
      <c r="O178" s="2621" t="s">
        <v>6395</v>
      </c>
      <c r="Q178" s="34"/>
    </row>
    <row r="179" spans="1:17" ht="18.75" customHeight="1" x14ac:dyDescent="0.3">
      <c r="A179" s="112">
        <v>111</v>
      </c>
      <c r="B179" s="105" t="s">
        <v>158</v>
      </c>
      <c r="C179" s="129">
        <v>400</v>
      </c>
      <c r="D179" s="113">
        <v>59</v>
      </c>
      <c r="E179" s="114">
        <v>6089</v>
      </c>
      <c r="F179" s="115">
        <v>21662</v>
      </c>
      <c r="G179" s="116">
        <v>650</v>
      </c>
      <c r="H179" s="1731" t="s">
        <v>41</v>
      </c>
      <c r="I179" s="34"/>
      <c r="J179" s="147"/>
      <c r="K179" s="2233" t="s">
        <v>25</v>
      </c>
      <c r="L179" s="147"/>
      <c r="M179" s="147"/>
      <c r="N179" s="147"/>
      <c r="O179" s="2621" t="s">
        <v>6395</v>
      </c>
      <c r="Q179" s="34"/>
    </row>
    <row r="180" spans="1:17" ht="18.75" customHeight="1" x14ac:dyDescent="0.3">
      <c r="A180" s="112">
        <v>112</v>
      </c>
      <c r="B180" s="105" t="s">
        <v>158</v>
      </c>
      <c r="C180" s="129">
        <v>400</v>
      </c>
      <c r="D180" s="113">
        <v>59</v>
      </c>
      <c r="E180" s="114">
        <v>6090</v>
      </c>
      <c r="F180" s="115">
        <v>21662</v>
      </c>
      <c r="G180" s="116">
        <v>650</v>
      </c>
      <c r="H180" s="1731" t="s">
        <v>41</v>
      </c>
      <c r="I180" s="34"/>
      <c r="J180" s="147"/>
      <c r="K180" s="2233" t="s">
        <v>25</v>
      </c>
      <c r="L180" s="147"/>
      <c r="M180" s="147"/>
      <c r="N180" s="147"/>
      <c r="O180" s="2621" t="s">
        <v>6395</v>
      </c>
      <c r="Q180" s="34"/>
    </row>
    <row r="181" spans="1:17" ht="18.75" customHeight="1" x14ac:dyDescent="0.3">
      <c r="A181" s="112">
        <v>113</v>
      </c>
      <c r="B181" s="105" t="s">
        <v>158</v>
      </c>
      <c r="C181" s="129">
        <v>400</v>
      </c>
      <c r="D181" s="136">
        <v>59</v>
      </c>
      <c r="E181" s="114">
        <v>6091</v>
      </c>
      <c r="F181" s="115">
        <v>21662</v>
      </c>
      <c r="G181" s="116">
        <v>650</v>
      </c>
      <c r="H181" s="1731" t="s">
        <v>41</v>
      </c>
      <c r="I181" s="34"/>
      <c r="J181" s="147"/>
      <c r="K181" s="2233" t="s">
        <v>25</v>
      </c>
      <c r="L181" s="147"/>
      <c r="M181" s="147"/>
      <c r="N181" s="147"/>
      <c r="O181" s="2621" t="s">
        <v>6395</v>
      </c>
      <c r="Q181" s="34"/>
    </row>
    <row r="182" spans="1:17" ht="18.75" customHeight="1" x14ac:dyDescent="0.3">
      <c r="A182" s="112">
        <v>114</v>
      </c>
      <c r="B182" s="105" t="s">
        <v>158</v>
      </c>
      <c r="C182" s="129">
        <v>400</v>
      </c>
      <c r="D182" s="128">
        <v>59</v>
      </c>
      <c r="E182" s="114">
        <v>6092</v>
      </c>
      <c r="F182" s="115">
        <v>21662</v>
      </c>
      <c r="G182" s="116">
        <v>650</v>
      </c>
      <c r="H182" s="1731" t="s">
        <v>41</v>
      </c>
      <c r="I182" s="34"/>
      <c r="J182" s="147"/>
      <c r="K182" s="2233" t="s">
        <v>25</v>
      </c>
      <c r="L182" s="147"/>
      <c r="M182" s="147"/>
      <c r="N182" s="147"/>
      <c r="O182" s="2621" t="s">
        <v>6395</v>
      </c>
      <c r="Q182" s="34"/>
    </row>
    <row r="183" spans="1:17" ht="18.75" customHeight="1" x14ac:dyDescent="0.3">
      <c r="A183" s="112">
        <v>115</v>
      </c>
      <c r="B183" s="105" t="s">
        <v>158</v>
      </c>
      <c r="C183" s="129">
        <v>400</v>
      </c>
      <c r="D183" s="113">
        <v>59</v>
      </c>
      <c r="E183" s="114">
        <v>6093</v>
      </c>
      <c r="F183" s="115">
        <v>21662</v>
      </c>
      <c r="G183" s="116">
        <v>650</v>
      </c>
      <c r="H183" s="1731" t="s">
        <v>41</v>
      </c>
      <c r="I183" s="34"/>
      <c r="J183" s="147"/>
      <c r="K183" s="2233" t="s">
        <v>25</v>
      </c>
      <c r="L183" s="147"/>
      <c r="M183" s="147"/>
      <c r="N183" s="147"/>
      <c r="O183" s="2621" t="s">
        <v>6395</v>
      </c>
      <c r="Q183" s="34"/>
    </row>
    <row r="184" spans="1:17" ht="18.75" customHeight="1" x14ac:dyDescent="0.3">
      <c r="A184" s="112">
        <v>116</v>
      </c>
      <c r="B184" s="105" t="s">
        <v>158</v>
      </c>
      <c r="C184" s="129">
        <v>400</v>
      </c>
      <c r="D184" s="113">
        <v>59</v>
      </c>
      <c r="E184" s="114">
        <v>6094</v>
      </c>
      <c r="F184" s="115">
        <v>21662</v>
      </c>
      <c r="G184" s="116">
        <v>650</v>
      </c>
      <c r="H184" s="1731" t="s">
        <v>41</v>
      </c>
      <c r="I184" s="34"/>
      <c r="J184" s="147"/>
      <c r="K184" s="2233" t="s">
        <v>25</v>
      </c>
      <c r="L184" s="147"/>
      <c r="M184" s="147"/>
      <c r="N184" s="147"/>
      <c r="O184" s="2621" t="s">
        <v>6395</v>
      </c>
      <c r="Q184" s="34"/>
    </row>
    <row r="185" spans="1:17" ht="18.75" customHeight="1" x14ac:dyDescent="0.3">
      <c r="A185" s="112">
        <v>117</v>
      </c>
      <c r="B185" s="105" t="s">
        <v>158</v>
      </c>
      <c r="C185" s="129">
        <v>400</v>
      </c>
      <c r="D185" s="113">
        <v>59</v>
      </c>
      <c r="E185" s="114">
        <v>6095</v>
      </c>
      <c r="F185" s="115">
        <v>21662</v>
      </c>
      <c r="G185" s="116">
        <v>650</v>
      </c>
      <c r="H185" s="1731" t="s">
        <v>41</v>
      </c>
      <c r="I185" s="34"/>
      <c r="J185" s="147"/>
      <c r="K185" s="2233" t="s">
        <v>25</v>
      </c>
      <c r="L185" s="147"/>
      <c r="M185" s="147"/>
      <c r="N185" s="147"/>
      <c r="O185" s="2621" t="s">
        <v>6395</v>
      </c>
      <c r="Q185" s="34"/>
    </row>
    <row r="186" spans="1:17" ht="18.75" customHeight="1" x14ac:dyDescent="0.3">
      <c r="A186" s="112">
        <v>118</v>
      </c>
      <c r="B186" s="105" t="s">
        <v>158</v>
      </c>
      <c r="C186" s="129">
        <v>400</v>
      </c>
      <c r="D186" s="113">
        <v>59</v>
      </c>
      <c r="E186" s="114">
        <v>6096</v>
      </c>
      <c r="F186" s="115">
        <v>21662</v>
      </c>
      <c r="G186" s="116">
        <v>650</v>
      </c>
      <c r="H186" s="1731" t="s">
        <v>41</v>
      </c>
      <c r="I186" s="34"/>
      <c r="J186" s="147"/>
      <c r="K186" s="2233" t="s">
        <v>25</v>
      </c>
      <c r="L186" s="147"/>
      <c r="M186" s="147"/>
      <c r="N186" s="147"/>
      <c r="O186" s="2621" t="s">
        <v>6395</v>
      </c>
      <c r="Q186" s="34"/>
    </row>
    <row r="187" spans="1:17" ht="18.75" customHeight="1" x14ac:dyDescent="0.3">
      <c r="A187" s="112">
        <v>119</v>
      </c>
      <c r="B187" s="105" t="s">
        <v>158</v>
      </c>
      <c r="C187" s="129">
        <v>400</v>
      </c>
      <c r="D187" s="113">
        <v>59</v>
      </c>
      <c r="E187" s="114">
        <v>6097</v>
      </c>
      <c r="F187" s="115">
        <v>21662</v>
      </c>
      <c r="G187" s="116">
        <v>650</v>
      </c>
      <c r="H187" s="1731" t="s">
        <v>41</v>
      </c>
      <c r="I187" s="34"/>
      <c r="J187" s="147"/>
      <c r="K187" s="2233" t="s">
        <v>25</v>
      </c>
      <c r="L187" s="147"/>
      <c r="M187" s="147"/>
      <c r="N187" s="147"/>
      <c r="O187" s="2621" t="s">
        <v>6395</v>
      </c>
      <c r="Q187" s="34"/>
    </row>
    <row r="188" spans="1:17" ht="18.75" customHeight="1" x14ac:dyDescent="0.3">
      <c r="A188" s="112">
        <v>120</v>
      </c>
      <c r="B188" s="105" t="s">
        <v>158</v>
      </c>
      <c r="C188" s="129">
        <v>400</v>
      </c>
      <c r="D188" s="113">
        <v>59</v>
      </c>
      <c r="E188" s="114">
        <v>6098</v>
      </c>
      <c r="F188" s="115">
        <v>21662</v>
      </c>
      <c r="G188" s="116">
        <v>650</v>
      </c>
      <c r="H188" s="1731" t="s">
        <v>41</v>
      </c>
      <c r="I188" s="34"/>
      <c r="J188" s="147"/>
      <c r="K188" s="2233" t="s">
        <v>25</v>
      </c>
      <c r="L188" s="147"/>
      <c r="M188" s="147"/>
      <c r="N188" s="147"/>
      <c r="O188" s="2621" t="s">
        <v>6395</v>
      </c>
      <c r="Q188" s="34"/>
    </row>
    <row r="189" spans="1:17" ht="18.75" customHeight="1" x14ac:dyDescent="0.3">
      <c r="A189" s="112">
        <v>121</v>
      </c>
      <c r="B189" s="105" t="s">
        <v>158</v>
      </c>
      <c r="C189" s="129">
        <v>400</v>
      </c>
      <c r="D189" s="136">
        <v>59</v>
      </c>
      <c r="E189" s="114">
        <v>6099</v>
      </c>
      <c r="F189" s="115">
        <v>21662</v>
      </c>
      <c r="G189" s="116">
        <v>650</v>
      </c>
      <c r="H189" s="1731" t="s">
        <v>41</v>
      </c>
      <c r="I189" s="34"/>
      <c r="J189" s="147"/>
      <c r="K189" s="2233" t="s">
        <v>25</v>
      </c>
      <c r="L189" s="147"/>
      <c r="M189" s="147"/>
      <c r="N189" s="147"/>
      <c r="O189" s="2621" t="s">
        <v>6395</v>
      </c>
      <c r="Q189" s="34"/>
    </row>
    <row r="190" spans="1:17" ht="18.75" customHeight="1" x14ac:dyDescent="0.3">
      <c r="A190" s="112">
        <v>122</v>
      </c>
      <c r="B190" s="105" t="s">
        <v>158</v>
      </c>
      <c r="C190" s="129">
        <v>400</v>
      </c>
      <c r="D190" s="128">
        <v>59</v>
      </c>
      <c r="E190" s="114">
        <v>6100</v>
      </c>
      <c r="F190" s="115">
        <v>21662</v>
      </c>
      <c r="G190" s="116">
        <v>650</v>
      </c>
      <c r="H190" s="1731" t="s">
        <v>41</v>
      </c>
      <c r="I190" s="34"/>
      <c r="J190" s="147"/>
      <c r="K190" s="2233" t="s">
        <v>25</v>
      </c>
      <c r="L190" s="147"/>
      <c r="M190" s="147"/>
      <c r="N190" s="147"/>
      <c r="O190" s="2621" t="s">
        <v>6395</v>
      </c>
      <c r="Q190" s="34"/>
    </row>
    <row r="191" spans="1:17" ht="18.75" customHeight="1" x14ac:dyDescent="0.3">
      <c r="A191" s="112">
        <v>123</v>
      </c>
      <c r="B191" s="105" t="s">
        <v>158</v>
      </c>
      <c r="C191" s="129">
        <v>400</v>
      </c>
      <c r="D191" s="113">
        <v>59</v>
      </c>
      <c r="E191" s="114">
        <v>6101</v>
      </c>
      <c r="F191" s="115">
        <v>21662</v>
      </c>
      <c r="G191" s="116">
        <v>650</v>
      </c>
      <c r="H191" s="1731" t="s">
        <v>41</v>
      </c>
      <c r="I191" s="34"/>
      <c r="J191" s="147"/>
      <c r="K191" s="2233" t="s">
        <v>25</v>
      </c>
      <c r="L191" s="147"/>
      <c r="M191" s="147"/>
      <c r="N191" s="147"/>
      <c r="O191" s="2621" t="s">
        <v>6395</v>
      </c>
      <c r="Q191" s="34"/>
    </row>
    <row r="192" spans="1:17" ht="18.75" customHeight="1" x14ac:dyDescent="0.3">
      <c r="A192" s="112">
        <v>124</v>
      </c>
      <c r="B192" s="105" t="s">
        <v>158</v>
      </c>
      <c r="C192" s="129">
        <v>400</v>
      </c>
      <c r="D192" s="113">
        <v>59</v>
      </c>
      <c r="E192" s="114">
        <v>6102</v>
      </c>
      <c r="F192" s="115">
        <v>21662</v>
      </c>
      <c r="G192" s="116">
        <v>650</v>
      </c>
      <c r="H192" s="1731" t="s">
        <v>41</v>
      </c>
      <c r="I192" s="34"/>
      <c r="J192" s="147"/>
      <c r="K192" s="2233" t="s">
        <v>25</v>
      </c>
      <c r="L192" s="147"/>
      <c r="M192" s="147"/>
      <c r="N192" s="147"/>
      <c r="O192" s="2621" t="s">
        <v>6395</v>
      </c>
      <c r="Q192" s="34"/>
    </row>
    <row r="193" spans="1:17" ht="18.75" customHeight="1" x14ac:dyDescent="0.3">
      <c r="A193" s="112">
        <v>125</v>
      </c>
      <c r="B193" s="105" t="s">
        <v>158</v>
      </c>
      <c r="C193" s="129">
        <v>400</v>
      </c>
      <c r="D193" s="113">
        <v>59</v>
      </c>
      <c r="E193" s="114">
        <v>6103</v>
      </c>
      <c r="F193" s="115">
        <v>21662</v>
      </c>
      <c r="G193" s="116">
        <v>650</v>
      </c>
      <c r="H193" s="1731" t="s">
        <v>41</v>
      </c>
      <c r="I193" s="34"/>
      <c r="J193" s="147"/>
      <c r="K193" s="2233" t="s">
        <v>25</v>
      </c>
      <c r="L193" s="147"/>
      <c r="M193" s="147"/>
      <c r="N193" s="147"/>
      <c r="O193" s="2621" t="s">
        <v>6395</v>
      </c>
      <c r="Q193" s="34"/>
    </row>
    <row r="194" spans="1:17" ht="18.75" customHeight="1" x14ac:dyDescent="0.3">
      <c r="A194" s="112">
        <v>126</v>
      </c>
      <c r="B194" s="105" t="s">
        <v>158</v>
      </c>
      <c r="C194" s="129">
        <v>400</v>
      </c>
      <c r="D194" s="113">
        <v>59</v>
      </c>
      <c r="E194" s="114">
        <v>6104</v>
      </c>
      <c r="F194" s="115">
        <v>21662</v>
      </c>
      <c r="G194" s="116">
        <v>650</v>
      </c>
      <c r="H194" s="1731" t="s">
        <v>41</v>
      </c>
      <c r="I194" s="34"/>
      <c r="J194" s="147"/>
      <c r="K194" s="2233" t="s">
        <v>25</v>
      </c>
      <c r="L194" s="147"/>
      <c r="M194" s="147"/>
      <c r="N194" s="147"/>
      <c r="O194" s="2621" t="s">
        <v>6395</v>
      </c>
      <c r="Q194" s="34"/>
    </row>
    <row r="195" spans="1:17" ht="18.75" customHeight="1" x14ac:dyDescent="0.3">
      <c r="A195" s="112">
        <v>127</v>
      </c>
      <c r="B195" s="105" t="s">
        <v>158</v>
      </c>
      <c r="C195" s="129">
        <v>400</v>
      </c>
      <c r="D195" s="113">
        <v>59</v>
      </c>
      <c r="E195" s="114">
        <v>6105</v>
      </c>
      <c r="F195" s="115">
        <v>21662</v>
      </c>
      <c r="G195" s="116">
        <v>650</v>
      </c>
      <c r="H195" s="1731" t="s">
        <v>41</v>
      </c>
      <c r="I195" s="34"/>
      <c r="J195" s="147"/>
      <c r="K195" s="2233" t="s">
        <v>25</v>
      </c>
      <c r="L195" s="147"/>
      <c r="M195" s="147"/>
      <c r="N195" s="147"/>
      <c r="O195" s="2621" t="s">
        <v>6395</v>
      </c>
      <c r="Q195" s="34"/>
    </row>
    <row r="196" spans="1:17" ht="18.75" customHeight="1" x14ac:dyDescent="0.3">
      <c r="A196" s="112">
        <v>128</v>
      </c>
      <c r="B196" s="105" t="s">
        <v>158</v>
      </c>
      <c r="C196" s="129">
        <v>400</v>
      </c>
      <c r="D196" s="125">
        <v>59</v>
      </c>
      <c r="E196" s="114">
        <v>6106</v>
      </c>
      <c r="F196" s="115">
        <v>21662</v>
      </c>
      <c r="G196" s="116">
        <v>650</v>
      </c>
      <c r="H196" s="1731" t="s">
        <v>41</v>
      </c>
      <c r="I196" s="34"/>
      <c r="J196" s="147"/>
      <c r="K196" s="2233" t="s">
        <v>25</v>
      </c>
      <c r="L196" s="147"/>
      <c r="M196" s="147"/>
      <c r="N196" s="147"/>
      <c r="O196" s="2621" t="s">
        <v>6395</v>
      </c>
      <c r="Q196" s="34"/>
    </row>
    <row r="197" spans="1:17" ht="18.75" customHeight="1" x14ac:dyDescent="0.3">
      <c r="A197" s="112">
        <v>129</v>
      </c>
      <c r="B197" s="105" t="s">
        <v>158</v>
      </c>
      <c r="C197" s="129">
        <v>400</v>
      </c>
      <c r="D197" s="128">
        <v>59</v>
      </c>
      <c r="E197" s="114">
        <v>6107</v>
      </c>
      <c r="F197" s="115">
        <v>21662</v>
      </c>
      <c r="G197" s="116">
        <v>650</v>
      </c>
      <c r="H197" s="1731" t="s">
        <v>41</v>
      </c>
      <c r="I197" s="34"/>
      <c r="J197" s="147"/>
      <c r="K197" s="2233" t="s">
        <v>25</v>
      </c>
      <c r="L197" s="147"/>
      <c r="M197" s="147"/>
      <c r="N197" s="147"/>
      <c r="O197" s="2621" t="s">
        <v>6395</v>
      </c>
      <c r="Q197" s="34"/>
    </row>
    <row r="198" spans="1:17" ht="18.75" customHeight="1" x14ac:dyDescent="0.3">
      <c r="A198" s="112">
        <v>130</v>
      </c>
      <c r="B198" s="105" t="s">
        <v>158</v>
      </c>
      <c r="C198" s="129">
        <v>400</v>
      </c>
      <c r="D198" s="113">
        <v>59</v>
      </c>
      <c r="E198" s="114">
        <v>6108</v>
      </c>
      <c r="F198" s="115">
        <v>21662</v>
      </c>
      <c r="G198" s="116">
        <v>650</v>
      </c>
      <c r="H198" s="1731" t="s">
        <v>41</v>
      </c>
      <c r="I198" s="34"/>
      <c r="J198" s="147"/>
      <c r="K198" s="2233" t="s">
        <v>25</v>
      </c>
      <c r="L198" s="147"/>
      <c r="M198" s="147"/>
      <c r="N198" s="147"/>
      <c r="O198" s="2621" t="s">
        <v>6395</v>
      </c>
      <c r="Q198" s="34"/>
    </row>
    <row r="199" spans="1:17" ht="18.75" customHeight="1" x14ac:dyDescent="0.3">
      <c r="A199" s="112">
        <v>131</v>
      </c>
      <c r="B199" s="105" t="s">
        <v>158</v>
      </c>
      <c r="C199" s="129">
        <v>400</v>
      </c>
      <c r="D199" s="113">
        <v>59</v>
      </c>
      <c r="E199" s="114">
        <v>6109</v>
      </c>
      <c r="F199" s="115">
        <v>21662</v>
      </c>
      <c r="G199" s="116">
        <v>650</v>
      </c>
      <c r="H199" s="1731" t="s">
        <v>41</v>
      </c>
      <c r="I199" s="34"/>
      <c r="J199" s="147"/>
      <c r="K199" s="2233" t="s">
        <v>25</v>
      </c>
      <c r="L199" s="147"/>
      <c r="M199" s="147"/>
      <c r="N199" s="147"/>
      <c r="O199" s="2621" t="s">
        <v>6395</v>
      </c>
      <c r="Q199" s="34"/>
    </row>
    <row r="200" spans="1:17" ht="18.75" customHeight="1" x14ac:dyDescent="0.3">
      <c r="A200" s="112">
        <v>132</v>
      </c>
      <c r="B200" s="105" t="s">
        <v>158</v>
      </c>
      <c r="C200" s="129">
        <v>400</v>
      </c>
      <c r="D200" s="113">
        <v>59</v>
      </c>
      <c r="E200" s="114">
        <v>6110</v>
      </c>
      <c r="F200" s="115">
        <v>21662</v>
      </c>
      <c r="G200" s="116">
        <v>650</v>
      </c>
      <c r="H200" s="1731" t="s">
        <v>41</v>
      </c>
      <c r="I200" s="34"/>
      <c r="J200" s="147"/>
      <c r="K200" s="2233" t="s">
        <v>25</v>
      </c>
      <c r="L200" s="147"/>
      <c r="M200" s="147"/>
      <c r="N200" s="147"/>
      <c r="O200" s="2621" t="s">
        <v>6395</v>
      </c>
      <c r="Q200" s="34"/>
    </row>
    <row r="201" spans="1:17" ht="18.75" customHeight="1" x14ac:dyDescent="0.3">
      <c r="A201" s="112">
        <v>133</v>
      </c>
      <c r="B201" s="105" t="s">
        <v>158</v>
      </c>
      <c r="C201" s="129">
        <v>400</v>
      </c>
      <c r="D201" s="113">
        <v>59</v>
      </c>
      <c r="E201" s="114">
        <v>6111</v>
      </c>
      <c r="F201" s="115">
        <v>21662</v>
      </c>
      <c r="G201" s="116">
        <v>650</v>
      </c>
      <c r="H201" s="1731" t="s">
        <v>41</v>
      </c>
      <c r="I201" s="34"/>
      <c r="J201" s="147"/>
      <c r="K201" s="2233" t="s">
        <v>25</v>
      </c>
      <c r="L201" s="147"/>
      <c r="M201" s="147"/>
      <c r="N201" s="147"/>
      <c r="O201" s="2621" t="s">
        <v>6395</v>
      </c>
      <c r="Q201" s="34"/>
    </row>
    <row r="202" spans="1:17" ht="18.75" customHeight="1" x14ac:dyDescent="0.3">
      <c r="A202" s="112">
        <v>134</v>
      </c>
      <c r="B202" s="105" t="s">
        <v>158</v>
      </c>
      <c r="C202" s="129">
        <v>400</v>
      </c>
      <c r="D202" s="125">
        <v>59</v>
      </c>
      <c r="E202" s="114">
        <v>6112</v>
      </c>
      <c r="F202" s="115">
        <v>21662</v>
      </c>
      <c r="G202" s="116">
        <v>650</v>
      </c>
      <c r="H202" s="1731" t="s">
        <v>41</v>
      </c>
      <c r="I202" s="34"/>
      <c r="J202" s="147"/>
      <c r="K202" s="2233" t="s">
        <v>25</v>
      </c>
      <c r="L202" s="147"/>
      <c r="M202" s="147"/>
      <c r="N202" s="147"/>
      <c r="O202" s="2621" t="s">
        <v>6395</v>
      </c>
      <c r="Q202" s="34"/>
    </row>
    <row r="203" spans="1:17" ht="18.75" customHeight="1" x14ac:dyDescent="0.3">
      <c r="A203" s="112">
        <v>135</v>
      </c>
      <c r="B203" s="105" t="s">
        <v>158</v>
      </c>
      <c r="C203" s="129">
        <v>400</v>
      </c>
      <c r="D203" s="128">
        <v>59</v>
      </c>
      <c r="E203" s="114">
        <v>6113</v>
      </c>
      <c r="F203" s="115">
        <v>21662</v>
      </c>
      <c r="G203" s="116">
        <v>650</v>
      </c>
      <c r="H203" s="1731" t="s">
        <v>41</v>
      </c>
      <c r="I203" s="34"/>
      <c r="J203" s="147"/>
      <c r="K203" s="2233" t="s">
        <v>25</v>
      </c>
      <c r="L203" s="147"/>
      <c r="M203" s="147"/>
      <c r="N203" s="147"/>
      <c r="O203" s="2621" t="s">
        <v>6395</v>
      </c>
      <c r="Q203" s="34"/>
    </row>
    <row r="204" spans="1:17" ht="18.75" customHeight="1" x14ac:dyDescent="0.3">
      <c r="A204" s="112">
        <v>136</v>
      </c>
      <c r="B204" s="105" t="s">
        <v>158</v>
      </c>
      <c r="C204" s="129">
        <v>400</v>
      </c>
      <c r="D204" s="113">
        <v>59</v>
      </c>
      <c r="E204" s="114">
        <v>6114</v>
      </c>
      <c r="F204" s="115">
        <v>21662</v>
      </c>
      <c r="G204" s="116">
        <v>650</v>
      </c>
      <c r="H204" s="1731" t="s">
        <v>41</v>
      </c>
      <c r="I204" s="34"/>
      <c r="J204" s="147"/>
      <c r="K204" s="2233" t="s">
        <v>25</v>
      </c>
      <c r="L204" s="147"/>
      <c r="M204" s="147"/>
      <c r="N204" s="147"/>
      <c r="O204" s="2621" t="s">
        <v>6395</v>
      </c>
      <c r="Q204" s="34"/>
    </row>
    <row r="205" spans="1:17" ht="18.75" customHeight="1" x14ac:dyDescent="0.3">
      <c r="A205" s="112">
        <v>137</v>
      </c>
      <c r="B205" s="105" t="s">
        <v>158</v>
      </c>
      <c r="C205" s="129">
        <v>400</v>
      </c>
      <c r="D205" s="113">
        <v>59</v>
      </c>
      <c r="E205" s="114">
        <v>6115</v>
      </c>
      <c r="F205" s="115">
        <v>21662</v>
      </c>
      <c r="G205" s="116">
        <v>650</v>
      </c>
      <c r="H205" s="1731" t="s">
        <v>41</v>
      </c>
      <c r="I205" s="34"/>
      <c r="J205" s="147"/>
      <c r="K205" s="2233" t="s">
        <v>25</v>
      </c>
      <c r="L205" s="147"/>
      <c r="M205" s="147"/>
      <c r="N205" s="147"/>
      <c r="O205" s="2621" t="s">
        <v>6395</v>
      </c>
      <c r="Q205" s="34"/>
    </row>
    <row r="206" spans="1:17" ht="18.75" customHeight="1" x14ac:dyDescent="0.3">
      <c r="A206" s="112">
        <v>138</v>
      </c>
      <c r="B206" s="105" t="s">
        <v>158</v>
      </c>
      <c r="C206" s="129">
        <v>400</v>
      </c>
      <c r="D206" s="113">
        <v>59</v>
      </c>
      <c r="E206" s="114">
        <v>6116</v>
      </c>
      <c r="F206" s="115">
        <v>21662</v>
      </c>
      <c r="G206" s="116">
        <v>650</v>
      </c>
      <c r="H206" s="1731" t="s">
        <v>41</v>
      </c>
      <c r="I206" s="34"/>
      <c r="J206" s="147"/>
      <c r="K206" s="2233" t="s">
        <v>25</v>
      </c>
      <c r="L206" s="147"/>
      <c r="M206" s="147"/>
      <c r="N206" s="147"/>
      <c r="O206" s="2621" t="s">
        <v>6395</v>
      </c>
      <c r="Q206" s="34"/>
    </row>
    <row r="207" spans="1:17" ht="18.75" customHeight="1" x14ac:dyDescent="0.3">
      <c r="A207" s="112">
        <v>139</v>
      </c>
      <c r="B207" s="105" t="s">
        <v>158</v>
      </c>
      <c r="C207" s="129">
        <v>400</v>
      </c>
      <c r="D207" s="113">
        <v>59</v>
      </c>
      <c r="E207" s="114">
        <v>6117</v>
      </c>
      <c r="F207" s="115">
        <v>21662</v>
      </c>
      <c r="G207" s="116">
        <v>650</v>
      </c>
      <c r="H207" s="1731" t="s">
        <v>41</v>
      </c>
      <c r="I207" s="34"/>
      <c r="J207" s="147"/>
      <c r="K207" s="2233" t="s">
        <v>25</v>
      </c>
      <c r="L207" s="147"/>
      <c r="M207" s="147"/>
      <c r="N207" s="147"/>
      <c r="O207" s="2621" t="s">
        <v>6395</v>
      </c>
      <c r="Q207" s="34"/>
    </row>
    <row r="208" spans="1:17" ht="18.75" customHeight="1" x14ac:dyDescent="0.3">
      <c r="A208" s="112">
        <v>140</v>
      </c>
      <c r="B208" s="105" t="s">
        <v>158</v>
      </c>
      <c r="C208" s="129">
        <v>400</v>
      </c>
      <c r="D208" s="113">
        <v>59</v>
      </c>
      <c r="E208" s="114">
        <v>6118</v>
      </c>
      <c r="F208" s="115">
        <v>21662</v>
      </c>
      <c r="G208" s="116">
        <v>650</v>
      </c>
      <c r="H208" s="1731" t="s">
        <v>41</v>
      </c>
      <c r="I208" s="34"/>
      <c r="J208" s="147"/>
      <c r="K208" s="2233" t="s">
        <v>25</v>
      </c>
      <c r="L208" s="147"/>
      <c r="M208" s="147"/>
      <c r="N208" s="147"/>
      <c r="O208" s="2621" t="s">
        <v>6395</v>
      </c>
      <c r="Q208" s="34"/>
    </row>
    <row r="209" spans="1:17" ht="18.75" customHeight="1" x14ac:dyDescent="0.3">
      <c r="A209" s="112">
        <v>141</v>
      </c>
      <c r="B209" s="105" t="s">
        <v>158</v>
      </c>
      <c r="C209" s="129">
        <v>400</v>
      </c>
      <c r="D209" s="125">
        <v>59</v>
      </c>
      <c r="E209" s="114">
        <v>6119</v>
      </c>
      <c r="F209" s="115">
        <v>21662</v>
      </c>
      <c r="G209" s="116">
        <v>650</v>
      </c>
      <c r="H209" s="1731" t="s">
        <v>41</v>
      </c>
      <c r="I209" s="34"/>
      <c r="J209" s="147"/>
      <c r="K209" s="2233" t="s">
        <v>25</v>
      </c>
      <c r="L209" s="147"/>
      <c r="M209" s="147"/>
      <c r="N209" s="147"/>
      <c r="O209" s="2621" t="s">
        <v>6395</v>
      </c>
      <c r="Q209" s="34"/>
    </row>
    <row r="210" spans="1:17" ht="18.75" customHeight="1" x14ac:dyDescent="0.3">
      <c r="A210" s="112">
        <v>142</v>
      </c>
      <c r="B210" s="105" t="s">
        <v>158</v>
      </c>
      <c r="C210" s="129">
        <v>400</v>
      </c>
      <c r="D210" s="149">
        <v>59</v>
      </c>
      <c r="E210" s="114">
        <v>6120</v>
      </c>
      <c r="F210" s="115">
        <v>21662</v>
      </c>
      <c r="G210" s="116">
        <v>650</v>
      </c>
      <c r="H210" s="1731" t="s">
        <v>41</v>
      </c>
      <c r="I210" s="34"/>
      <c r="J210" s="147"/>
      <c r="K210" s="2233" t="s">
        <v>25</v>
      </c>
      <c r="L210" s="147"/>
      <c r="M210" s="147"/>
      <c r="N210" s="147"/>
      <c r="O210" s="2621" t="s">
        <v>6395</v>
      </c>
      <c r="Q210" s="34"/>
    </row>
    <row r="211" spans="1:17" ht="18.75" customHeight="1" x14ac:dyDescent="0.3">
      <c r="A211" s="112">
        <v>143</v>
      </c>
      <c r="B211" s="105" t="s">
        <v>158</v>
      </c>
      <c r="C211" s="129">
        <v>400</v>
      </c>
      <c r="D211" s="113">
        <v>59</v>
      </c>
      <c r="E211" s="114">
        <v>6121</v>
      </c>
      <c r="F211" s="115">
        <v>21662</v>
      </c>
      <c r="G211" s="116">
        <v>650</v>
      </c>
      <c r="H211" s="1731" t="s">
        <v>41</v>
      </c>
      <c r="I211" s="34"/>
      <c r="J211" s="147"/>
      <c r="K211" s="2233" t="s">
        <v>25</v>
      </c>
      <c r="L211" s="147"/>
      <c r="M211" s="147"/>
      <c r="N211" s="147"/>
      <c r="O211" s="2621" t="s">
        <v>6395</v>
      </c>
      <c r="Q211" s="34"/>
    </row>
    <row r="212" spans="1:17" ht="18.75" customHeight="1" x14ac:dyDescent="0.3">
      <c r="A212" s="112">
        <v>144</v>
      </c>
      <c r="B212" s="105" t="s">
        <v>158</v>
      </c>
      <c r="C212" s="129">
        <v>400</v>
      </c>
      <c r="D212" s="113">
        <v>59</v>
      </c>
      <c r="E212" s="114">
        <v>6122</v>
      </c>
      <c r="F212" s="115">
        <v>21662</v>
      </c>
      <c r="G212" s="116">
        <v>650</v>
      </c>
      <c r="H212" s="1731" t="s">
        <v>41</v>
      </c>
      <c r="I212" s="34"/>
      <c r="J212" s="147"/>
      <c r="K212" s="2233" t="s">
        <v>25</v>
      </c>
      <c r="L212" s="147"/>
      <c r="M212" s="147"/>
      <c r="N212" s="147"/>
      <c r="O212" s="2621" t="s">
        <v>6395</v>
      </c>
      <c r="Q212" s="34"/>
    </row>
    <row r="213" spans="1:17" ht="18.75" customHeight="1" x14ac:dyDescent="0.3">
      <c r="A213" s="112">
        <v>145</v>
      </c>
      <c r="B213" s="105" t="s">
        <v>158</v>
      </c>
      <c r="C213" s="129">
        <v>400</v>
      </c>
      <c r="D213" s="113">
        <v>59</v>
      </c>
      <c r="E213" s="114">
        <v>6123</v>
      </c>
      <c r="F213" s="115">
        <v>21662</v>
      </c>
      <c r="G213" s="116">
        <v>650</v>
      </c>
      <c r="H213" s="1731" t="s">
        <v>41</v>
      </c>
      <c r="I213" s="34"/>
      <c r="J213" s="147"/>
      <c r="K213" s="2233" t="s">
        <v>25</v>
      </c>
      <c r="L213" s="147"/>
      <c r="M213" s="147"/>
      <c r="N213" s="147"/>
      <c r="O213" s="2621" t="s">
        <v>6395</v>
      </c>
      <c r="Q213" s="34"/>
    </row>
    <row r="214" spans="1:17" ht="18.75" customHeight="1" x14ac:dyDescent="0.3">
      <c r="A214" s="112">
        <v>146</v>
      </c>
      <c r="B214" s="105" t="s">
        <v>158</v>
      </c>
      <c r="C214" s="129">
        <v>400</v>
      </c>
      <c r="D214" s="113">
        <v>59</v>
      </c>
      <c r="E214" s="114">
        <v>6124</v>
      </c>
      <c r="F214" s="115">
        <v>21662</v>
      </c>
      <c r="G214" s="116">
        <v>650</v>
      </c>
      <c r="H214" s="1731" t="s">
        <v>41</v>
      </c>
      <c r="I214" s="34"/>
      <c r="J214" s="147"/>
      <c r="K214" s="2233" t="s">
        <v>25</v>
      </c>
      <c r="L214" s="147"/>
      <c r="M214" s="147"/>
      <c r="N214" s="147"/>
      <c r="O214" s="2621" t="s">
        <v>6395</v>
      </c>
      <c r="Q214" s="34"/>
    </row>
    <row r="215" spans="1:17" ht="18.75" customHeight="1" x14ac:dyDescent="0.3">
      <c r="A215" s="112">
        <v>147</v>
      </c>
      <c r="B215" s="105" t="s">
        <v>158</v>
      </c>
      <c r="C215" s="129">
        <v>400</v>
      </c>
      <c r="D215" s="113">
        <v>59</v>
      </c>
      <c r="E215" s="114">
        <v>6125</v>
      </c>
      <c r="F215" s="115">
        <v>21662</v>
      </c>
      <c r="G215" s="116">
        <v>650</v>
      </c>
      <c r="H215" s="1731" t="s">
        <v>41</v>
      </c>
      <c r="I215" s="34"/>
      <c r="J215" s="147"/>
      <c r="K215" s="2233" t="s">
        <v>25</v>
      </c>
      <c r="L215" s="147"/>
      <c r="M215" s="147"/>
      <c r="N215" s="147"/>
      <c r="O215" s="2621" t="s">
        <v>6395</v>
      </c>
      <c r="Q215" s="34"/>
    </row>
    <row r="216" spans="1:17" ht="18.75" customHeight="1" x14ac:dyDescent="0.3">
      <c r="A216" s="112">
        <v>148</v>
      </c>
      <c r="B216" s="105" t="s">
        <v>158</v>
      </c>
      <c r="C216" s="129">
        <v>400</v>
      </c>
      <c r="D216" s="136">
        <v>59</v>
      </c>
      <c r="E216" s="114">
        <v>6126</v>
      </c>
      <c r="F216" s="115">
        <v>21662</v>
      </c>
      <c r="G216" s="116">
        <v>650</v>
      </c>
      <c r="H216" s="1731" t="s">
        <v>41</v>
      </c>
      <c r="I216" s="34"/>
      <c r="J216" s="147"/>
      <c r="K216" s="2233" t="s">
        <v>25</v>
      </c>
      <c r="L216" s="147"/>
      <c r="M216" s="147"/>
      <c r="N216" s="147"/>
      <c r="O216" s="2621" t="s">
        <v>6395</v>
      </c>
      <c r="Q216" s="34"/>
    </row>
    <row r="217" spans="1:17" ht="18.75" customHeight="1" x14ac:dyDescent="0.3">
      <c r="A217" s="112">
        <v>149</v>
      </c>
      <c r="B217" s="105" t="s">
        <v>158</v>
      </c>
      <c r="C217" s="129">
        <v>400</v>
      </c>
      <c r="D217" s="128">
        <v>59</v>
      </c>
      <c r="E217" s="114">
        <v>6127</v>
      </c>
      <c r="F217" s="115">
        <v>21662</v>
      </c>
      <c r="G217" s="116">
        <v>650</v>
      </c>
      <c r="H217" s="1731" t="s">
        <v>41</v>
      </c>
      <c r="I217" s="34"/>
      <c r="J217" s="147"/>
      <c r="K217" s="2233" t="s">
        <v>25</v>
      </c>
      <c r="L217" s="147"/>
      <c r="M217" s="147"/>
      <c r="N217" s="147"/>
      <c r="O217" s="2621" t="s">
        <v>6395</v>
      </c>
      <c r="Q217" s="34"/>
    </row>
    <row r="218" spans="1:17" ht="18.75" customHeight="1" x14ac:dyDescent="0.3">
      <c r="A218" s="112">
        <v>150</v>
      </c>
      <c r="B218" s="105" t="s">
        <v>158</v>
      </c>
      <c r="C218" s="129">
        <v>400</v>
      </c>
      <c r="D218" s="113">
        <v>59</v>
      </c>
      <c r="E218" s="114">
        <v>6128</v>
      </c>
      <c r="F218" s="115">
        <v>21662</v>
      </c>
      <c r="G218" s="116">
        <v>650</v>
      </c>
      <c r="H218" s="1731" t="s">
        <v>41</v>
      </c>
      <c r="I218" s="34"/>
      <c r="J218" s="147"/>
      <c r="K218" s="2233" t="s">
        <v>25</v>
      </c>
      <c r="L218" s="147"/>
      <c r="M218" s="147"/>
      <c r="N218" s="147"/>
      <c r="O218" s="2621" t="s">
        <v>6395</v>
      </c>
      <c r="Q218" s="34"/>
    </row>
    <row r="219" spans="1:17" ht="18.75" customHeight="1" x14ac:dyDescent="0.3">
      <c r="A219" s="112">
        <v>151</v>
      </c>
      <c r="B219" s="105" t="s">
        <v>158</v>
      </c>
      <c r="C219" s="129">
        <v>400</v>
      </c>
      <c r="D219" s="113">
        <v>59</v>
      </c>
      <c r="E219" s="114">
        <v>6129</v>
      </c>
      <c r="F219" s="115">
        <v>21662</v>
      </c>
      <c r="G219" s="116">
        <v>650</v>
      </c>
      <c r="H219" s="1731" t="s">
        <v>41</v>
      </c>
      <c r="I219" s="34"/>
      <c r="J219" s="147"/>
      <c r="K219" s="2233" t="s">
        <v>25</v>
      </c>
      <c r="L219" s="147"/>
      <c r="M219" s="147"/>
      <c r="N219" s="147"/>
      <c r="O219" s="2621" t="s">
        <v>6395</v>
      </c>
      <c r="Q219" s="34"/>
    </row>
    <row r="220" spans="1:17" ht="18.75" customHeight="1" x14ac:dyDescent="0.3">
      <c r="A220" s="112">
        <v>152</v>
      </c>
      <c r="B220" s="105" t="s">
        <v>158</v>
      </c>
      <c r="C220" s="129">
        <v>400</v>
      </c>
      <c r="D220" s="113">
        <v>59</v>
      </c>
      <c r="E220" s="114">
        <v>6130</v>
      </c>
      <c r="F220" s="115">
        <v>21662</v>
      </c>
      <c r="G220" s="116">
        <v>650</v>
      </c>
      <c r="H220" s="1731" t="s">
        <v>41</v>
      </c>
      <c r="I220" s="34"/>
      <c r="J220" s="147"/>
      <c r="K220" s="2233" t="s">
        <v>25</v>
      </c>
      <c r="L220" s="147"/>
      <c r="M220" s="147"/>
      <c r="N220" s="147"/>
      <c r="O220" s="2621" t="s">
        <v>6395</v>
      </c>
      <c r="Q220" s="34"/>
    </row>
    <row r="221" spans="1:17" ht="18.75" customHeight="1" x14ac:dyDescent="0.3">
      <c r="A221" s="112">
        <v>153</v>
      </c>
      <c r="B221" s="105" t="s">
        <v>158</v>
      </c>
      <c r="C221" s="129">
        <v>400</v>
      </c>
      <c r="D221" s="113">
        <v>59</v>
      </c>
      <c r="E221" s="114">
        <v>6131</v>
      </c>
      <c r="F221" s="115">
        <v>21662</v>
      </c>
      <c r="G221" s="116">
        <v>650</v>
      </c>
      <c r="H221" s="1731" t="s">
        <v>41</v>
      </c>
      <c r="I221" s="34"/>
      <c r="J221" s="147"/>
      <c r="K221" s="2233" t="s">
        <v>25</v>
      </c>
      <c r="L221" s="147"/>
      <c r="M221" s="147"/>
      <c r="N221" s="147"/>
      <c r="O221" s="2621" t="s">
        <v>6395</v>
      </c>
      <c r="Q221" s="34"/>
    </row>
    <row r="222" spans="1:17" ht="18.75" customHeight="1" x14ac:dyDescent="0.3">
      <c r="A222" s="112">
        <v>154</v>
      </c>
      <c r="B222" s="105" t="s">
        <v>158</v>
      </c>
      <c r="C222" s="129">
        <v>400</v>
      </c>
      <c r="D222" s="113">
        <v>59</v>
      </c>
      <c r="E222" s="114">
        <v>6132</v>
      </c>
      <c r="F222" s="115">
        <v>21662</v>
      </c>
      <c r="G222" s="116">
        <v>650</v>
      </c>
      <c r="H222" s="1731" t="s">
        <v>41</v>
      </c>
      <c r="I222" s="34"/>
      <c r="J222" s="147"/>
      <c r="K222" s="2233" t="s">
        <v>25</v>
      </c>
      <c r="L222" s="147"/>
      <c r="M222" s="147"/>
      <c r="N222" s="147"/>
      <c r="O222" s="2621" t="s">
        <v>6395</v>
      </c>
      <c r="Q222" s="34"/>
    </row>
    <row r="223" spans="1:17" ht="18.75" customHeight="1" x14ac:dyDescent="0.3">
      <c r="A223" s="112">
        <v>155</v>
      </c>
      <c r="B223" s="105" t="s">
        <v>158</v>
      </c>
      <c r="C223" s="129">
        <v>400</v>
      </c>
      <c r="D223" s="113">
        <v>59</v>
      </c>
      <c r="E223" s="114">
        <v>6133</v>
      </c>
      <c r="F223" s="115">
        <v>21662</v>
      </c>
      <c r="G223" s="116">
        <v>650</v>
      </c>
      <c r="H223" s="1731" t="s">
        <v>41</v>
      </c>
      <c r="I223" s="34"/>
      <c r="J223" s="147"/>
      <c r="K223" s="2233" t="s">
        <v>25</v>
      </c>
      <c r="L223" s="147"/>
      <c r="M223" s="147"/>
      <c r="N223" s="147"/>
      <c r="O223" s="2621" t="s">
        <v>6395</v>
      </c>
      <c r="Q223" s="34"/>
    </row>
    <row r="224" spans="1:17" ht="18.75" customHeight="1" x14ac:dyDescent="0.3">
      <c r="A224" s="112">
        <v>156</v>
      </c>
      <c r="B224" s="105" t="s">
        <v>158</v>
      </c>
      <c r="C224" s="129">
        <v>400</v>
      </c>
      <c r="D224" s="113">
        <v>59</v>
      </c>
      <c r="E224" s="114">
        <v>6134</v>
      </c>
      <c r="F224" s="115">
        <v>21662</v>
      </c>
      <c r="G224" s="116">
        <v>650</v>
      </c>
      <c r="H224" s="1731" t="s">
        <v>41</v>
      </c>
      <c r="I224" s="34"/>
      <c r="J224" s="147"/>
      <c r="K224" s="2233" t="s">
        <v>25</v>
      </c>
      <c r="L224" s="147"/>
      <c r="M224" s="147"/>
      <c r="N224" s="147"/>
      <c r="O224" s="2621" t="s">
        <v>6395</v>
      </c>
      <c r="Q224" s="34"/>
    </row>
    <row r="225" spans="1:17" ht="18.75" customHeight="1" x14ac:dyDescent="0.3">
      <c r="A225" s="112">
        <v>157</v>
      </c>
      <c r="B225" s="105" t="s">
        <v>158</v>
      </c>
      <c r="C225" s="129">
        <v>400</v>
      </c>
      <c r="D225" s="136">
        <v>59</v>
      </c>
      <c r="E225" s="114">
        <v>6135</v>
      </c>
      <c r="F225" s="115">
        <v>21662</v>
      </c>
      <c r="G225" s="116">
        <v>650</v>
      </c>
      <c r="H225" s="1731" t="s">
        <v>41</v>
      </c>
      <c r="I225" s="34"/>
      <c r="J225" s="147"/>
      <c r="K225" s="2233" t="s">
        <v>25</v>
      </c>
      <c r="L225" s="147"/>
      <c r="M225" s="147"/>
      <c r="N225" s="147"/>
      <c r="O225" s="2621" t="s">
        <v>6395</v>
      </c>
      <c r="Q225" s="34"/>
    </row>
    <row r="226" spans="1:17" ht="18.75" customHeight="1" x14ac:dyDescent="0.3">
      <c r="A226" s="112">
        <v>158</v>
      </c>
      <c r="B226" s="105" t="s">
        <v>158</v>
      </c>
      <c r="C226" s="129">
        <v>400</v>
      </c>
      <c r="D226" s="128">
        <v>59</v>
      </c>
      <c r="E226" s="114">
        <v>6136</v>
      </c>
      <c r="F226" s="115">
        <v>21662</v>
      </c>
      <c r="G226" s="116">
        <v>650</v>
      </c>
      <c r="H226" s="1731" t="s">
        <v>41</v>
      </c>
      <c r="I226" s="34"/>
      <c r="J226" s="147"/>
      <c r="K226" s="2233" t="s">
        <v>25</v>
      </c>
      <c r="L226" s="147"/>
      <c r="M226" s="147"/>
      <c r="N226" s="147"/>
      <c r="O226" s="2621" t="s">
        <v>6395</v>
      </c>
      <c r="Q226" s="34"/>
    </row>
    <row r="227" spans="1:17" ht="18.75" customHeight="1" x14ac:dyDescent="0.3">
      <c r="A227" s="112">
        <v>159</v>
      </c>
      <c r="B227" s="105" t="s">
        <v>158</v>
      </c>
      <c r="C227" s="129">
        <v>400</v>
      </c>
      <c r="D227" s="113">
        <v>59</v>
      </c>
      <c r="E227" s="114">
        <v>6137</v>
      </c>
      <c r="F227" s="115">
        <v>21662</v>
      </c>
      <c r="G227" s="116">
        <v>650</v>
      </c>
      <c r="H227" s="1731" t="s">
        <v>41</v>
      </c>
      <c r="I227" s="34"/>
      <c r="J227" s="147"/>
      <c r="K227" s="2233" t="s">
        <v>25</v>
      </c>
      <c r="L227" s="147"/>
      <c r="M227" s="147"/>
      <c r="N227" s="147"/>
      <c r="O227" s="2621" t="s">
        <v>6395</v>
      </c>
      <c r="Q227" s="34"/>
    </row>
    <row r="228" spans="1:17" ht="18.75" customHeight="1" x14ac:dyDescent="0.3">
      <c r="A228" s="112">
        <v>160</v>
      </c>
      <c r="B228" s="105" t="s">
        <v>158</v>
      </c>
      <c r="C228" s="129">
        <v>400</v>
      </c>
      <c r="D228" s="113">
        <v>59</v>
      </c>
      <c r="E228" s="114">
        <v>6138</v>
      </c>
      <c r="F228" s="115">
        <v>21662</v>
      </c>
      <c r="G228" s="116">
        <v>650</v>
      </c>
      <c r="H228" s="1731" t="s">
        <v>41</v>
      </c>
      <c r="I228" s="34"/>
      <c r="J228" s="147"/>
      <c r="K228" s="2233" t="s">
        <v>25</v>
      </c>
      <c r="L228" s="147"/>
      <c r="M228" s="147"/>
      <c r="N228" s="147"/>
      <c r="O228" s="2621" t="s">
        <v>6395</v>
      </c>
      <c r="Q228" s="34"/>
    </row>
    <row r="229" spans="1:17" ht="18.75" customHeight="1" x14ac:dyDescent="0.3">
      <c r="A229" s="112">
        <v>161</v>
      </c>
      <c r="B229" s="105" t="s">
        <v>158</v>
      </c>
      <c r="C229" s="129">
        <v>400</v>
      </c>
      <c r="D229" s="113">
        <v>59</v>
      </c>
      <c r="E229" s="114">
        <v>6139</v>
      </c>
      <c r="F229" s="115">
        <v>21662</v>
      </c>
      <c r="G229" s="116">
        <v>650</v>
      </c>
      <c r="H229" s="1731" t="s">
        <v>41</v>
      </c>
      <c r="I229" s="34"/>
      <c r="J229" s="147"/>
      <c r="K229" s="2233" t="s">
        <v>25</v>
      </c>
      <c r="L229" s="147"/>
      <c r="M229" s="147"/>
      <c r="N229" s="147"/>
      <c r="O229" s="2621" t="s">
        <v>6395</v>
      </c>
      <c r="Q229" s="34"/>
    </row>
    <row r="230" spans="1:17" ht="18.75" customHeight="1" x14ac:dyDescent="0.3">
      <c r="A230" s="112">
        <v>162</v>
      </c>
      <c r="B230" s="105" t="s">
        <v>158</v>
      </c>
      <c r="C230" s="129">
        <v>400</v>
      </c>
      <c r="D230" s="113">
        <v>59</v>
      </c>
      <c r="E230" s="114">
        <v>6140</v>
      </c>
      <c r="F230" s="115">
        <v>21662</v>
      </c>
      <c r="G230" s="116">
        <v>650</v>
      </c>
      <c r="H230" s="1731" t="s">
        <v>41</v>
      </c>
      <c r="I230" s="34"/>
      <c r="J230" s="147"/>
      <c r="K230" s="2233" t="s">
        <v>25</v>
      </c>
      <c r="L230" s="147"/>
      <c r="M230" s="147"/>
      <c r="N230" s="147"/>
      <c r="O230" s="2621" t="s">
        <v>6395</v>
      </c>
      <c r="Q230" s="34"/>
    </row>
    <row r="231" spans="1:17" ht="18.75" customHeight="1" x14ac:dyDescent="0.3">
      <c r="A231" s="112">
        <v>163</v>
      </c>
      <c r="B231" s="105" t="s">
        <v>158</v>
      </c>
      <c r="C231" s="129">
        <v>400</v>
      </c>
      <c r="D231" s="113">
        <v>59</v>
      </c>
      <c r="E231" s="114">
        <v>6141</v>
      </c>
      <c r="F231" s="115">
        <v>21662</v>
      </c>
      <c r="G231" s="116">
        <v>650</v>
      </c>
      <c r="H231" s="1731" t="s">
        <v>41</v>
      </c>
      <c r="I231" s="34"/>
      <c r="J231" s="147"/>
      <c r="K231" s="2233" t="s">
        <v>25</v>
      </c>
      <c r="L231" s="147"/>
      <c r="M231" s="147"/>
      <c r="N231" s="147"/>
      <c r="O231" s="2621" t="s">
        <v>6395</v>
      </c>
      <c r="Q231" s="34"/>
    </row>
    <row r="232" spans="1:17" ht="18.75" customHeight="1" x14ac:dyDescent="0.3">
      <c r="A232" s="112">
        <v>164</v>
      </c>
      <c r="B232" s="105" t="s">
        <v>158</v>
      </c>
      <c r="C232" s="129">
        <v>400</v>
      </c>
      <c r="D232" s="113">
        <v>59</v>
      </c>
      <c r="E232" s="114">
        <v>6142</v>
      </c>
      <c r="F232" s="115">
        <v>21662</v>
      </c>
      <c r="G232" s="116">
        <v>650</v>
      </c>
      <c r="H232" s="1731" t="s">
        <v>41</v>
      </c>
      <c r="I232" s="34"/>
      <c r="J232" s="147"/>
      <c r="K232" s="2233" t="s">
        <v>25</v>
      </c>
      <c r="L232" s="147"/>
      <c r="M232" s="147"/>
      <c r="N232" s="147"/>
      <c r="O232" s="2621" t="s">
        <v>6395</v>
      </c>
      <c r="Q232" s="34"/>
    </row>
    <row r="233" spans="1:17" ht="18.75" customHeight="1" x14ac:dyDescent="0.3">
      <c r="A233" s="112">
        <v>165</v>
      </c>
      <c r="B233" s="105" t="s">
        <v>158</v>
      </c>
      <c r="C233" s="129">
        <v>400</v>
      </c>
      <c r="D233" s="113">
        <v>59</v>
      </c>
      <c r="E233" s="114">
        <v>6143</v>
      </c>
      <c r="F233" s="115">
        <v>21662</v>
      </c>
      <c r="G233" s="116">
        <v>650</v>
      </c>
      <c r="H233" s="1731" t="s">
        <v>41</v>
      </c>
      <c r="I233" s="34"/>
      <c r="J233" s="147"/>
      <c r="K233" s="2233" t="s">
        <v>25</v>
      </c>
      <c r="L233" s="147"/>
      <c r="M233" s="147"/>
      <c r="N233" s="147"/>
      <c r="O233" s="2621" t="s">
        <v>6395</v>
      </c>
      <c r="Q233" s="34"/>
    </row>
    <row r="234" spans="1:17" ht="18.75" customHeight="1" x14ac:dyDescent="0.3">
      <c r="A234" s="112">
        <v>166</v>
      </c>
      <c r="B234" s="105" t="s">
        <v>158</v>
      </c>
      <c r="C234" s="129">
        <v>400</v>
      </c>
      <c r="D234" s="125">
        <v>59</v>
      </c>
      <c r="E234" s="114">
        <v>6144</v>
      </c>
      <c r="F234" s="115">
        <v>21662</v>
      </c>
      <c r="G234" s="116">
        <v>650</v>
      </c>
      <c r="H234" s="1731" t="s">
        <v>41</v>
      </c>
      <c r="I234" s="34"/>
      <c r="J234" s="147"/>
      <c r="K234" s="2233" t="s">
        <v>25</v>
      </c>
      <c r="L234" s="147"/>
      <c r="M234" s="147"/>
      <c r="N234" s="147"/>
      <c r="O234" s="2621" t="s">
        <v>6395</v>
      </c>
      <c r="Q234" s="34"/>
    </row>
    <row r="235" spans="1:17" ht="18.75" customHeight="1" x14ac:dyDescent="0.3">
      <c r="A235" s="112">
        <v>167</v>
      </c>
      <c r="B235" s="105" t="s">
        <v>158</v>
      </c>
      <c r="C235" s="129">
        <v>400</v>
      </c>
      <c r="D235" s="149">
        <v>59</v>
      </c>
      <c r="E235" s="114">
        <v>6145</v>
      </c>
      <c r="F235" s="115">
        <v>21662</v>
      </c>
      <c r="G235" s="116">
        <v>650</v>
      </c>
      <c r="H235" s="1731" t="s">
        <v>41</v>
      </c>
      <c r="I235" s="34"/>
      <c r="J235" s="147"/>
      <c r="K235" s="2233" t="s">
        <v>25</v>
      </c>
      <c r="L235" s="147"/>
      <c r="M235" s="147"/>
      <c r="N235" s="147"/>
      <c r="O235" s="2621" t="s">
        <v>6395</v>
      </c>
      <c r="Q235" s="34"/>
    </row>
    <row r="236" spans="1:17" ht="18.75" customHeight="1" x14ac:dyDescent="0.3">
      <c r="A236" s="112">
        <v>168</v>
      </c>
      <c r="B236" s="105" t="s">
        <v>158</v>
      </c>
      <c r="C236" s="129">
        <v>400</v>
      </c>
      <c r="D236" s="113">
        <v>59</v>
      </c>
      <c r="E236" s="114">
        <v>6146</v>
      </c>
      <c r="F236" s="115">
        <v>21662</v>
      </c>
      <c r="G236" s="116">
        <v>650</v>
      </c>
      <c r="H236" s="1731" t="s">
        <v>41</v>
      </c>
      <c r="I236" s="34"/>
      <c r="J236" s="147"/>
      <c r="K236" s="2233" t="s">
        <v>25</v>
      </c>
      <c r="L236" s="147"/>
      <c r="M236" s="147"/>
      <c r="N236" s="147"/>
      <c r="O236" s="2621" t="s">
        <v>6395</v>
      </c>
      <c r="Q236" s="34"/>
    </row>
    <row r="237" spans="1:17" ht="18.75" customHeight="1" x14ac:dyDescent="0.3">
      <c r="A237" s="112">
        <v>169</v>
      </c>
      <c r="B237" s="105" t="s">
        <v>158</v>
      </c>
      <c r="C237" s="129">
        <v>400</v>
      </c>
      <c r="D237" s="113">
        <v>59</v>
      </c>
      <c r="E237" s="114">
        <v>6147</v>
      </c>
      <c r="F237" s="115">
        <v>21662</v>
      </c>
      <c r="G237" s="116">
        <v>650</v>
      </c>
      <c r="H237" s="1731" t="s">
        <v>41</v>
      </c>
      <c r="I237" s="34"/>
      <c r="J237" s="147"/>
      <c r="K237" s="2233" t="s">
        <v>25</v>
      </c>
      <c r="L237" s="147"/>
      <c r="M237" s="147"/>
      <c r="N237" s="147"/>
      <c r="O237" s="2621" t="s">
        <v>6395</v>
      </c>
      <c r="Q237" s="34"/>
    </row>
    <row r="238" spans="1:17" ht="18.75" customHeight="1" x14ac:dyDescent="0.3">
      <c r="A238" s="112">
        <v>170</v>
      </c>
      <c r="B238" s="105" t="s">
        <v>158</v>
      </c>
      <c r="C238" s="129">
        <v>400</v>
      </c>
      <c r="D238" s="113">
        <v>59</v>
      </c>
      <c r="E238" s="114">
        <v>6148</v>
      </c>
      <c r="F238" s="115">
        <v>21662</v>
      </c>
      <c r="G238" s="116">
        <v>650</v>
      </c>
      <c r="H238" s="1731" t="s">
        <v>41</v>
      </c>
      <c r="I238" s="34"/>
      <c r="J238" s="147"/>
      <c r="K238" s="2233" t="s">
        <v>25</v>
      </c>
      <c r="L238" s="147"/>
      <c r="M238" s="147"/>
      <c r="N238" s="147"/>
      <c r="O238" s="2621" t="s">
        <v>6395</v>
      </c>
      <c r="Q238" s="34"/>
    </row>
    <row r="239" spans="1:17" ht="18.75" customHeight="1" x14ac:dyDescent="0.3">
      <c r="A239" s="112">
        <v>171</v>
      </c>
      <c r="B239" s="105" t="s">
        <v>158</v>
      </c>
      <c r="C239" s="129">
        <v>400</v>
      </c>
      <c r="D239" s="113">
        <v>59</v>
      </c>
      <c r="E239" s="114">
        <v>6149</v>
      </c>
      <c r="F239" s="115">
        <v>21662</v>
      </c>
      <c r="G239" s="116">
        <v>650</v>
      </c>
      <c r="H239" s="1731" t="s">
        <v>41</v>
      </c>
      <c r="I239" s="34"/>
      <c r="J239" s="147"/>
      <c r="K239" s="2233" t="s">
        <v>25</v>
      </c>
      <c r="L239" s="147"/>
      <c r="M239" s="147"/>
      <c r="N239" s="147"/>
      <c r="O239" s="2621" t="s">
        <v>6395</v>
      </c>
      <c r="Q239" s="34"/>
    </row>
    <row r="240" spans="1:17" ht="18.75" customHeight="1" x14ac:dyDescent="0.3">
      <c r="A240" s="112">
        <v>172</v>
      </c>
      <c r="B240" s="105" t="s">
        <v>158</v>
      </c>
      <c r="C240" s="129">
        <v>400</v>
      </c>
      <c r="D240" s="113">
        <v>59</v>
      </c>
      <c r="E240" s="114">
        <v>6150</v>
      </c>
      <c r="F240" s="115">
        <v>21662</v>
      </c>
      <c r="G240" s="116">
        <v>650</v>
      </c>
      <c r="H240" s="1731" t="s">
        <v>41</v>
      </c>
      <c r="I240" s="34"/>
      <c r="J240" s="147"/>
      <c r="K240" s="2233" t="s">
        <v>25</v>
      </c>
      <c r="L240" s="147"/>
      <c r="M240" s="147"/>
      <c r="N240" s="147"/>
      <c r="O240" s="2621" t="s">
        <v>6395</v>
      </c>
      <c r="Q240" s="34"/>
    </row>
    <row r="241" spans="1:17" ht="18.75" customHeight="1" x14ac:dyDescent="0.3">
      <c r="A241" s="112">
        <v>173</v>
      </c>
      <c r="B241" s="105" t="s">
        <v>158</v>
      </c>
      <c r="C241" s="129">
        <v>400</v>
      </c>
      <c r="D241" s="113">
        <v>59</v>
      </c>
      <c r="E241" s="114">
        <v>6151</v>
      </c>
      <c r="F241" s="115">
        <v>21662</v>
      </c>
      <c r="G241" s="116">
        <v>650</v>
      </c>
      <c r="H241" s="1731" t="s">
        <v>41</v>
      </c>
      <c r="I241" s="34"/>
      <c r="J241" s="147"/>
      <c r="K241" s="2233" t="s">
        <v>25</v>
      </c>
      <c r="L241" s="147"/>
      <c r="M241" s="147"/>
      <c r="N241" s="147"/>
      <c r="O241" s="2621" t="s">
        <v>6395</v>
      </c>
      <c r="Q241" s="34"/>
    </row>
    <row r="242" spans="1:17" ht="18.75" customHeight="1" x14ac:dyDescent="0.3">
      <c r="A242" s="112">
        <v>174</v>
      </c>
      <c r="B242" s="105" t="s">
        <v>158</v>
      </c>
      <c r="C242" s="129">
        <v>400</v>
      </c>
      <c r="D242" s="113">
        <v>59</v>
      </c>
      <c r="E242" s="114">
        <v>6152</v>
      </c>
      <c r="F242" s="115">
        <v>21662</v>
      </c>
      <c r="G242" s="116">
        <v>650</v>
      </c>
      <c r="H242" s="1731" t="s">
        <v>41</v>
      </c>
      <c r="I242" s="34"/>
      <c r="J242" s="147"/>
      <c r="K242" s="2233" t="s">
        <v>25</v>
      </c>
      <c r="L242" s="147"/>
      <c r="M242" s="147"/>
      <c r="N242" s="147"/>
      <c r="O242" s="2621" t="s">
        <v>6395</v>
      </c>
      <c r="Q242" s="34"/>
    </row>
    <row r="243" spans="1:17" ht="18.75" customHeight="1" x14ac:dyDescent="0.3">
      <c r="A243" s="112">
        <v>175</v>
      </c>
      <c r="B243" s="105" t="s">
        <v>158</v>
      </c>
      <c r="C243" s="129">
        <v>400</v>
      </c>
      <c r="D243" s="113">
        <v>59</v>
      </c>
      <c r="E243" s="114">
        <v>6153</v>
      </c>
      <c r="F243" s="115">
        <v>21662</v>
      </c>
      <c r="G243" s="116">
        <v>650</v>
      </c>
      <c r="H243" s="1731" t="s">
        <v>41</v>
      </c>
      <c r="I243" s="34"/>
      <c r="J243" s="147"/>
      <c r="K243" s="2233" t="s">
        <v>25</v>
      </c>
      <c r="L243" s="147"/>
      <c r="M243" s="147"/>
      <c r="N243" s="147"/>
      <c r="O243" s="2621" t="s">
        <v>6395</v>
      </c>
      <c r="Q243" s="34"/>
    </row>
    <row r="244" spans="1:17" ht="18.75" customHeight="1" x14ac:dyDescent="0.3">
      <c r="A244" s="112">
        <v>176</v>
      </c>
      <c r="B244" s="105" t="s">
        <v>158</v>
      </c>
      <c r="C244" s="129">
        <v>400</v>
      </c>
      <c r="D244" s="113">
        <v>59</v>
      </c>
      <c r="E244" s="114">
        <v>6154</v>
      </c>
      <c r="F244" s="115">
        <v>21662</v>
      </c>
      <c r="G244" s="116">
        <v>650</v>
      </c>
      <c r="H244" s="1731" t="s">
        <v>41</v>
      </c>
      <c r="I244" s="34"/>
      <c r="J244" s="147"/>
      <c r="K244" s="2233" t="s">
        <v>25</v>
      </c>
      <c r="L244" s="147"/>
      <c r="M244" s="147"/>
      <c r="N244" s="147"/>
      <c r="O244" s="2621" t="s">
        <v>6395</v>
      </c>
      <c r="Q244" s="34"/>
    </row>
    <row r="245" spans="1:17" ht="18.75" customHeight="1" x14ac:dyDescent="0.3">
      <c r="A245" s="112">
        <v>177</v>
      </c>
      <c r="B245" s="105" t="s">
        <v>158</v>
      </c>
      <c r="C245" s="129">
        <v>400</v>
      </c>
      <c r="D245" s="113">
        <v>59</v>
      </c>
      <c r="E245" s="114">
        <v>6155</v>
      </c>
      <c r="F245" s="115">
        <v>21662</v>
      </c>
      <c r="G245" s="116">
        <v>650</v>
      </c>
      <c r="H245" s="1731" t="s">
        <v>41</v>
      </c>
      <c r="I245" s="34"/>
      <c r="J245" s="147"/>
      <c r="K245" s="2233" t="s">
        <v>25</v>
      </c>
      <c r="L245" s="147"/>
      <c r="M245" s="147"/>
      <c r="N245" s="147"/>
      <c r="O245" s="2621" t="s">
        <v>6395</v>
      </c>
      <c r="Q245" s="34"/>
    </row>
    <row r="246" spans="1:17" ht="18.75" customHeight="1" x14ac:dyDescent="0.3">
      <c r="A246" s="112">
        <v>178</v>
      </c>
      <c r="B246" s="105" t="s">
        <v>158</v>
      </c>
      <c r="C246" s="129">
        <v>400</v>
      </c>
      <c r="D246" s="113">
        <v>59</v>
      </c>
      <c r="E246" s="114">
        <v>6156</v>
      </c>
      <c r="F246" s="115">
        <v>21662</v>
      </c>
      <c r="G246" s="116">
        <v>650</v>
      </c>
      <c r="H246" s="1731" t="s">
        <v>41</v>
      </c>
      <c r="I246" s="34"/>
      <c r="J246" s="147"/>
      <c r="K246" s="2233" t="s">
        <v>25</v>
      </c>
      <c r="L246" s="147"/>
      <c r="M246" s="147"/>
      <c r="N246" s="147"/>
      <c r="O246" s="2621" t="s">
        <v>6395</v>
      </c>
      <c r="Q246" s="34"/>
    </row>
    <row r="247" spans="1:17" ht="18.75" customHeight="1" x14ac:dyDescent="0.3">
      <c r="A247" s="112">
        <v>179</v>
      </c>
      <c r="B247" s="105" t="s">
        <v>158</v>
      </c>
      <c r="C247" s="129">
        <v>400</v>
      </c>
      <c r="D247" s="113">
        <v>59</v>
      </c>
      <c r="E247" s="114">
        <v>6157</v>
      </c>
      <c r="F247" s="115">
        <v>21662</v>
      </c>
      <c r="G247" s="116">
        <v>650</v>
      </c>
      <c r="H247" s="1731" t="s">
        <v>41</v>
      </c>
      <c r="I247" s="34"/>
      <c r="J247" s="147"/>
      <c r="K247" s="2233" t="s">
        <v>25</v>
      </c>
      <c r="L247" s="147"/>
      <c r="M247" s="147"/>
      <c r="N247" s="147"/>
      <c r="O247" s="2621" t="s">
        <v>6395</v>
      </c>
      <c r="Q247" s="34"/>
    </row>
    <row r="248" spans="1:17" ht="18.75" customHeight="1" x14ac:dyDescent="0.3">
      <c r="A248" s="112">
        <v>180</v>
      </c>
      <c r="B248" s="105" t="s">
        <v>158</v>
      </c>
      <c r="C248" s="129">
        <v>400</v>
      </c>
      <c r="D248" s="113">
        <v>59</v>
      </c>
      <c r="E248" s="114">
        <v>6158</v>
      </c>
      <c r="F248" s="115">
        <v>21662</v>
      </c>
      <c r="G248" s="116">
        <v>650</v>
      </c>
      <c r="H248" s="1731" t="s">
        <v>41</v>
      </c>
      <c r="I248" s="34"/>
      <c r="J248" s="147"/>
      <c r="K248" s="2233" t="s">
        <v>25</v>
      </c>
      <c r="L248" s="147"/>
      <c r="M248" s="147"/>
      <c r="N248" s="147"/>
      <c r="O248" s="2621" t="s">
        <v>6395</v>
      </c>
      <c r="Q248" s="34"/>
    </row>
    <row r="249" spans="1:17" ht="18.75" customHeight="1" x14ac:dyDescent="0.3">
      <c r="A249" s="112">
        <v>181</v>
      </c>
      <c r="B249" s="105" t="s">
        <v>158</v>
      </c>
      <c r="C249" s="129">
        <v>400</v>
      </c>
      <c r="D249" s="113">
        <v>59</v>
      </c>
      <c r="E249" s="114">
        <v>6159</v>
      </c>
      <c r="F249" s="115">
        <v>21662</v>
      </c>
      <c r="G249" s="116">
        <v>650</v>
      </c>
      <c r="H249" s="1731" t="s">
        <v>41</v>
      </c>
      <c r="I249" s="34"/>
      <c r="J249" s="147"/>
      <c r="K249" s="2233" t="s">
        <v>25</v>
      </c>
      <c r="L249" s="147"/>
      <c r="M249" s="147"/>
      <c r="N249" s="147"/>
      <c r="O249" s="2621" t="s">
        <v>6395</v>
      </c>
      <c r="Q249" s="34"/>
    </row>
    <row r="250" spans="1:17" ht="18.75" customHeight="1" x14ac:dyDescent="0.3">
      <c r="A250" s="112">
        <v>182</v>
      </c>
      <c r="B250" s="105" t="s">
        <v>158</v>
      </c>
      <c r="C250" s="129">
        <v>400</v>
      </c>
      <c r="D250" s="113">
        <v>59</v>
      </c>
      <c r="E250" s="114">
        <v>6160</v>
      </c>
      <c r="F250" s="115">
        <v>21662</v>
      </c>
      <c r="G250" s="116">
        <v>650</v>
      </c>
      <c r="H250" s="1731" t="s">
        <v>41</v>
      </c>
      <c r="I250" s="34"/>
      <c r="J250" s="147"/>
      <c r="K250" s="2233" t="s">
        <v>25</v>
      </c>
      <c r="L250" s="147"/>
      <c r="M250" s="147"/>
      <c r="N250" s="147"/>
      <c r="O250" s="2621" t="s">
        <v>6395</v>
      </c>
      <c r="Q250" s="34"/>
    </row>
    <row r="251" spans="1:17" ht="18.75" customHeight="1" x14ac:dyDescent="0.3">
      <c r="A251" s="112">
        <v>183</v>
      </c>
      <c r="B251" s="105" t="s">
        <v>158</v>
      </c>
      <c r="C251" s="129">
        <v>400</v>
      </c>
      <c r="D251" s="113">
        <v>59</v>
      </c>
      <c r="E251" s="114">
        <v>6161</v>
      </c>
      <c r="F251" s="115">
        <v>21662</v>
      </c>
      <c r="G251" s="116">
        <v>650</v>
      </c>
      <c r="H251" s="1731" t="s">
        <v>41</v>
      </c>
      <c r="I251" s="34"/>
      <c r="J251" s="147"/>
      <c r="K251" s="2233" t="s">
        <v>25</v>
      </c>
      <c r="L251" s="147"/>
      <c r="M251" s="147"/>
      <c r="N251" s="147"/>
      <c r="O251" s="2621" t="s">
        <v>6395</v>
      </c>
      <c r="Q251" s="34"/>
    </row>
    <row r="252" spans="1:17" ht="18.75" customHeight="1" x14ac:dyDescent="0.3">
      <c r="A252" s="112">
        <v>184</v>
      </c>
      <c r="B252" s="105" t="s">
        <v>158</v>
      </c>
      <c r="C252" s="129">
        <v>400</v>
      </c>
      <c r="D252" s="125">
        <v>59</v>
      </c>
      <c r="E252" s="114">
        <v>6162</v>
      </c>
      <c r="F252" s="115">
        <v>21662</v>
      </c>
      <c r="G252" s="116">
        <v>650</v>
      </c>
      <c r="H252" s="1731" t="s">
        <v>41</v>
      </c>
      <c r="I252" s="34"/>
      <c r="J252" s="147"/>
      <c r="K252" s="2233" t="s">
        <v>25</v>
      </c>
      <c r="L252" s="147"/>
      <c r="M252" s="147"/>
      <c r="N252" s="147"/>
      <c r="O252" s="2621" t="s">
        <v>6395</v>
      </c>
      <c r="Q252" s="34"/>
    </row>
    <row r="253" spans="1:17" ht="18.75" customHeight="1" x14ac:dyDescent="0.3">
      <c r="A253" s="112">
        <v>185</v>
      </c>
      <c r="B253" s="105" t="s">
        <v>158</v>
      </c>
      <c r="C253" s="129">
        <v>400</v>
      </c>
      <c r="D253" s="128">
        <v>59</v>
      </c>
      <c r="E253" s="114">
        <v>6163</v>
      </c>
      <c r="F253" s="115">
        <v>21662</v>
      </c>
      <c r="G253" s="116">
        <v>650</v>
      </c>
      <c r="H253" s="1731" t="s">
        <v>41</v>
      </c>
      <c r="I253" s="34"/>
      <c r="J253" s="147"/>
      <c r="K253" s="2233" t="s">
        <v>25</v>
      </c>
      <c r="L253" s="147"/>
      <c r="M253" s="147"/>
      <c r="N253" s="147"/>
      <c r="O253" s="2621" t="s">
        <v>6395</v>
      </c>
      <c r="Q253" s="34"/>
    </row>
    <row r="254" spans="1:17" ht="18.75" customHeight="1" x14ac:dyDescent="0.3">
      <c r="A254" s="112">
        <v>186</v>
      </c>
      <c r="B254" s="105" t="s">
        <v>158</v>
      </c>
      <c r="C254" s="129">
        <v>400</v>
      </c>
      <c r="D254" s="113">
        <v>59</v>
      </c>
      <c r="E254" s="114">
        <v>6164</v>
      </c>
      <c r="F254" s="115">
        <v>21662</v>
      </c>
      <c r="G254" s="116">
        <v>650</v>
      </c>
      <c r="H254" s="1731" t="s">
        <v>41</v>
      </c>
      <c r="I254" s="34"/>
      <c r="J254" s="147"/>
      <c r="K254" s="2233" t="s">
        <v>25</v>
      </c>
      <c r="L254" s="147"/>
      <c r="M254" s="147"/>
      <c r="N254" s="147"/>
      <c r="O254" s="2621" t="s">
        <v>6395</v>
      </c>
      <c r="Q254" s="34"/>
    </row>
    <row r="255" spans="1:17" ht="18.75" customHeight="1" x14ac:dyDescent="0.3">
      <c r="A255" s="112">
        <v>187</v>
      </c>
      <c r="B255" s="105" t="s">
        <v>158</v>
      </c>
      <c r="C255" s="129">
        <v>400</v>
      </c>
      <c r="D255" s="113">
        <v>59</v>
      </c>
      <c r="E255" s="114">
        <v>6165</v>
      </c>
      <c r="F255" s="115">
        <v>21662</v>
      </c>
      <c r="G255" s="116">
        <v>650</v>
      </c>
      <c r="H255" s="1731" t="s">
        <v>41</v>
      </c>
      <c r="I255" s="34"/>
      <c r="J255" s="147"/>
      <c r="K255" s="2233" t="s">
        <v>25</v>
      </c>
      <c r="L255" s="147"/>
      <c r="M255" s="147"/>
      <c r="N255" s="147"/>
      <c r="O255" s="2621" t="s">
        <v>6395</v>
      </c>
      <c r="Q255" s="34"/>
    </row>
    <row r="256" spans="1:17" ht="18.75" customHeight="1" x14ac:dyDescent="0.3">
      <c r="A256" s="112">
        <v>188</v>
      </c>
      <c r="B256" s="105" t="s">
        <v>158</v>
      </c>
      <c r="C256" s="129">
        <v>400</v>
      </c>
      <c r="D256" s="113">
        <v>59</v>
      </c>
      <c r="E256" s="114">
        <v>6166</v>
      </c>
      <c r="F256" s="115">
        <v>21662</v>
      </c>
      <c r="G256" s="116">
        <v>650</v>
      </c>
      <c r="H256" s="1731" t="s">
        <v>41</v>
      </c>
      <c r="I256" s="34"/>
      <c r="J256" s="147"/>
      <c r="K256" s="2233" t="s">
        <v>25</v>
      </c>
      <c r="L256" s="147"/>
      <c r="M256" s="147"/>
      <c r="N256" s="147"/>
      <c r="O256" s="2621" t="s">
        <v>6395</v>
      </c>
      <c r="Q256" s="34"/>
    </row>
    <row r="257" spans="1:17" ht="18.75" customHeight="1" x14ac:dyDescent="0.3">
      <c r="A257" s="112">
        <v>189</v>
      </c>
      <c r="B257" s="105" t="s">
        <v>158</v>
      </c>
      <c r="C257" s="129">
        <v>400</v>
      </c>
      <c r="D257" s="125">
        <v>59</v>
      </c>
      <c r="E257" s="114">
        <v>6167</v>
      </c>
      <c r="F257" s="115">
        <v>21662</v>
      </c>
      <c r="G257" s="116">
        <v>650</v>
      </c>
      <c r="H257" s="1731" t="s">
        <v>41</v>
      </c>
      <c r="I257" s="34"/>
      <c r="J257" s="147"/>
      <c r="K257" s="2233" t="s">
        <v>25</v>
      </c>
      <c r="L257" s="147"/>
      <c r="M257" s="147"/>
      <c r="N257" s="147"/>
      <c r="O257" s="2621" t="s">
        <v>6395</v>
      </c>
      <c r="Q257" s="34"/>
    </row>
    <row r="258" spans="1:17" ht="18.75" customHeight="1" x14ac:dyDescent="0.3">
      <c r="A258" s="112">
        <v>190</v>
      </c>
      <c r="B258" s="105" t="s">
        <v>158</v>
      </c>
      <c r="C258" s="129">
        <v>400</v>
      </c>
      <c r="D258" s="149">
        <v>59</v>
      </c>
      <c r="E258" s="114">
        <v>6168</v>
      </c>
      <c r="F258" s="115">
        <v>21662</v>
      </c>
      <c r="G258" s="116">
        <v>650</v>
      </c>
      <c r="H258" s="1731" t="s">
        <v>41</v>
      </c>
      <c r="I258" s="34"/>
      <c r="J258" s="147"/>
      <c r="K258" s="2233" t="s">
        <v>25</v>
      </c>
      <c r="L258" s="147"/>
      <c r="M258" s="147"/>
      <c r="N258" s="147"/>
      <c r="O258" s="2621" t="s">
        <v>6395</v>
      </c>
      <c r="Q258" s="34"/>
    </row>
    <row r="259" spans="1:17" ht="18.75" customHeight="1" x14ac:dyDescent="0.3">
      <c r="A259" s="112">
        <v>191</v>
      </c>
      <c r="B259" s="105" t="s">
        <v>158</v>
      </c>
      <c r="C259" s="129">
        <v>400</v>
      </c>
      <c r="D259" s="113">
        <v>59</v>
      </c>
      <c r="E259" s="114">
        <v>6169</v>
      </c>
      <c r="F259" s="115">
        <v>21662</v>
      </c>
      <c r="G259" s="116">
        <v>650</v>
      </c>
      <c r="H259" s="1731" t="s">
        <v>41</v>
      </c>
      <c r="I259" s="34"/>
      <c r="J259" s="147"/>
      <c r="K259" s="2233" t="s">
        <v>25</v>
      </c>
      <c r="L259" s="147"/>
      <c r="M259" s="147"/>
      <c r="N259" s="147"/>
      <c r="O259" s="2621" t="s">
        <v>6395</v>
      </c>
      <c r="Q259" s="34"/>
    </row>
    <row r="260" spans="1:17" ht="18.75" customHeight="1" x14ac:dyDescent="0.3">
      <c r="A260" s="112">
        <v>192</v>
      </c>
      <c r="B260" s="105" t="s">
        <v>158</v>
      </c>
      <c r="C260" s="129">
        <v>400</v>
      </c>
      <c r="D260" s="113">
        <v>59</v>
      </c>
      <c r="E260" s="114">
        <v>6170</v>
      </c>
      <c r="F260" s="115">
        <v>21662</v>
      </c>
      <c r="G260" s="116">
        <v>650</v>
      </c>
      <c r="H260" s="1731" t="s">
        <v>41</v>
      </c>
      <c r="I260" s="34"/>
      <c r="J260" s="147"/>
      <c r="K260" s="2233" t="s">
        <v>25</v>
      </c>
      <c r="L260" s="147"/>
      <c r="M260" s="147"/>
      <c r="N260" s="147"/>
      <c r="O260" s="2621" t="s">
        <v>6395</v>
      </c>
      <c r="Q260" s="34"/>
    </row>
    <row r="261" spans="1:17" ht="18.75" customHeight="1" x14ac:dyDescent="0.3">
      <c r="A261" s="112">
        <v>193</v>
      </c>
      <c r="B261" s="105" t="s">
        <v>158</v>
      </c>
      <c r="C261" s="129">
        <v>400</v>
      </c>
      <c r="D261" s="113">
        <v>59</v>
      </c>
      <c r="E261" s="114">
        <v>6171</v>
      </c>
      <c r="F261" s="115">
        <v>21662</v>
      </c>
      <c r="G261" s="116">
        <v>650</v>
      </c>
      <c r="H261" s="1731" t="s">
        <v>41</v>
      </c>
      <c r="I261" s="34"/>
      <c r="J261" s="147"/>
      <c r="K261" s="2233" t="s">
        <v>25</v>
      </c>
      <c r="L261" s="147"/>
      <c r="M261" s="147"/>
      <c r="N261" s="147"/>
      <c r="O261" s="2621" t="s">
        <v>6395</v>
      </c>
      <c r="Q261" s="34"/>
    </row>
    <row r="262" spans="1:17" ht="18.75" customHeight="1" x14ac:dyDescent="0.3">
      <c r="A262" s="112">
        <v>194</v>
      </c>
      <c r="B262" s="105" t="s">
        <v>158</v>
      </c>
      <c r="C262" s="129">
        <v>400</v>
      </c>
      <c r="D262" s="113">
        <v>59</v>
      </c>
      <c r="E262" s="114">
        <v>6172</v>
      </c>
      <c r="F262" s="115">
        <v>21662</v>
      </c>
      <c r="G262" s="116">
        <v>650</v>
      </c>
      <c r="H262" s="1731" t="s">
        <v>41</v>
      </c>
      <c r="I262" s="34"/>
      <c r="J262" s="147"/>
      <c r="K262" s="2233" t="s">
        <v>25</v>
      </c>
      <c r="L262" s="147"/>
      <c r="M262" s="147"/>
      <c r="N262" s="147"/>
      <c r="O262" s="2621" t="s">
        <v>6395</v>
      </c>
      <c r="Q262" s="34"/>
    </row>
    <row r="263" spans="1:17" ht="18.75" customHeight="1" x14ac:dyDescent="0.3">
      <c r="A263" s="112">
        <v>195</v>
      </c>
      <c r="B263" s="105" t="s">
        <v>158</v>
      </c>
      <c r="C263" s="129">
        <v>400</v>
      </c>
      <c r="D263" s="113">
        <v>59</v>
      </c>
      <c r="E263" s="114">
        <v>6173</v>
      </c>
      <c r="F263" s="115">
        <v>21662</v>
      </c>
      <c r="G263" s="116">
        <v>650</v>
      </c>
      <c r="H263" s="1731" t="s">
        <v>41</v>
      </c>
      <c r="I263" s="34"/>
      <c r="J263" s="147"/>
      <c r="K263" s="2233" t="s">
        <v>25</v>
      </c>
      <c r="L263" s="147"/>
      <c r="M263" s="147"/>
      <c r="N263" s="147"/>
      <c r="O263" s="2621" t="s">
        <v>6395</v>
      </c>
      <c r="Q263" s="34"/>
    </row>
    <row r="264" spans="1:17" ht="18.75" customHeight="1" x14ac:dyDescent="0.3">
      <c r="A264" s="112">
        <v>196</v>
      </c>
      <c r="B264" s="105" t="s">
        <v>158</v>
      </c>
      <c r="C264" s="129">
        <v>400</v>
      </c>
      <c r="D264" s="125">
        <v>59</v>
      </c>
      <c r="E264" s="114">
        <v>6174</v>
      </c>
      <c r="F264" s="115">
        <v>21662</v>
      </c>
      <c r="G264" s="116">
        <v>650</v>
      </c>
      <c r="H264" s="1731" t="s">
        <v>41</v>
      </c>
      <c r="I264" s="34"/>
      <c r="J264" s="147"/>
      <c r="K264" s="2233" t="s">
        <v>25</v>
      </c>
      <c r="L264" s="147"/>
      <c r="M264" s="147"/>
      <c r="N264" s="147"/>
      <c r="O264" s="2621" t="s">
        <v>6395</v>
      </c>
      <c r="Q264" s="34"/>
    </row>
    <row r="265" spans="1:17" ht="18.75" customHeight="1" x14ac:dyDescent="0.3">
      <c r="A265" s="112">
        <v>197</v>
      </c>
      <c r="B265" s="105" t="s">
        <v>158</v>
      </c>
      <c r="C265" s="129">
        <v>400</v>
      </c>
      <c r="D265" s="128">
        <v>59</v>
      </c>
      <c r="E265" s="114">
        <v>6175</v>
      </c>
      <c r="F265" s="115">
        <v>21662</v>
      </c>
      <c r="G265" s="116">
        <v>650</v>
      </c>
      <c r="H265" s="1731" t="s">
        <v>41</v>
      </c>
      <c r="I265" s="34"/>
      <c r="J265" s="147"/>
      <c r="K265" s="2233" t="s">
        <v>25</v>
      </c>
      <c r="L265" s="147"/>
      <c r="M265" s="147"/>
      <c r="N265" s="147"/>
      <c r="O265" s="2621" t="s">
        <v>6395</v>
      </c>
      <c r="Q265" s="34"/>
    </row>
    <row r="266" spans="1:17" ht="18.75" customHeight="1" x14ac:dyDescent="0.3">
      <c r="A266" s="112">
        <v>198</v>
      </c>
      <c r="B266" s="105" t="s">
        <v>158</v>
      </c>
      <c r="C266" s="129">
        <v>400</v>
      </c>
      <c r="D266" s="113">
        <v>59</v>
      </c>
      <c r="E266" s="114">
        <v>6176</v>
      </c>
      <c r="F266" s="115">
        <v>21662</v>
      </c>
      <c r="G266" s="116">
        <v>650</v>
      </c>
      <c r="H266" s="1731" t="s">
        <v>41</v>
      </c>
      <c r="I266" s="34"/>
      <c r="J266" s="147"/>
      <c r="K266" s="2233" t="s">
        <v>25</v>
      </c>
      <c r="L266" s="147"/>
      <c r="M266" s="147"/>
      <c r="N266" s="147"/>
      <c r="O266" s="2621" t="s">
        <v>6395</v>
      </c>
      <c r="Q266" s="34"/>
    </row>
    <row r="267" spans="1:17" ht="18.75" customHeight="1" x14ac:dyDescent="0.3">
      <c r="A267" s="112">
        <v>199</v>
      </c>
      <c r="B267" s="105" t="s">
        <v>158</v>
      </c>
      <c r="C267" s="129">
        <v>400</v>
      </c>
      <c r="D267" s="113">
        <v>59</v>
      </c>
      <c r="E267" s="114">
        <v>6177</v>
      </c>
      <c r="F267" s="115">
        <v>21662</v>
      </c>
      <c r="G267" s="116">
        <v>650</v>
      </c>
      <c r="H267" s="1731" t="s">
        <v>41</v>
      </c>
      <c r="I267" s="34"/>
      <c r="J267" s="147"/>
      <c r="K267" s="2233" t="s">
        <v>25</v>
      </c>
      <c r="L267" s="147"/>
      <c r="M267" s="147"/>
      <c r="N267" s="147"/>
      <c r="O267" s="2621" t="s">
        <v>6395</v>
      </c>
      <c r="Q267" s="34"/>
    </row>
    <row r="268" spans="1:17" ht="18.75" customHeight="1" x14ac:dyDescent="0.3">
      <c r="A268" s="112">
        <v>200</v>
      </c>
      <c r="B268" s="105" t="s">
        <v>158</v>
      </c>
      <c r="C268" s="129">
        <v>400</v>
      </c>
      <c r="D268" s="113">
        <v>59</v>
      </c>
      <c r="E268" s="114">
        <v>6178</v>
      </c>
      <c r="F268" s="115">
        <v>21662</v>
      </c>
      <c r="G268" s="116">
        <v>650</v>
      </c>
      <c r="H268" s="1731" t="s">
        <v>41</v>
      </c>
      <c r="I268" s="34"/>
      <c r="J268" s="147"/>
      <c r="K268" s="2233" t="s">
        <v>25</v>
      </c>
      <c r="L268" s="147"/>
      <c r="M268" s="147"/>
      <c r="N268" s="147"/>
      <c r="O268" s="2621" t="s">
        <v>6395</v>
      </c>
      <c r="Q268" s="34"/>
    </row>
    <row r="269" spans="1:17" ht="18.75" customHeight="1" x14ac:dyDescent="0.3">
      <c r="A269" s="112">
        <v>201</v>
      </c>
      <c r="B269" s="105" t="s">
        <v>158</v>
      </c>
      <c r="C269" s="129">
        <v>400</v>
      </c>
      <c r="D269" s="113">
        <v>59</v>
      </c>
      <c r="E269" s="114">
        <v>6179</v>
      </c>
      <c r="F269" s="115">
        <v>21662</v>
      </c>
      <c r="G269" s="116">
        <v>650</v>
      </c>
      <c r="H269" s="1731" t="s">
        <v>41</v>
      </c>
      <c r="I269" s="34"/>
      <c r="J269" s="147"/>
      <c r="K269" s="2233" t="s">
        <v>25</v>
      </c>
      <c r="L269" s="147"/>
      <c r="M269" s="147"/>
      <c r="N269" s="147"/>
      <c r="O269" s="2621" t="s">
        <v>6395</v>
      </c>
      <c r="Q269" s="34"/>
    </row>
    <row r="270" spans="1:17" ht="18.75" customHeight="1" x14ac:dyDescent="0.3">
      <c r="A270" s="112">
        <v>202</v>
      </c>
      <c r="B270" s="105" t="s">
        <v>158</v>
      </c>
      <c r="C270" s="129">
        <v>400</v>
      </c>
      <c r="D270" s="113">
        <v>59</v>
      </c>
      <c r="E270" s="114">
        <v>6180</v>
      </c>
      <c r="F270" s="115">
        <v>21662</v>
      </c>
      <c r="G270" s="116">
        <v>650</v>
      </c>
      <c r="H270" s="1731" t="s">
        <v>41</v>
      </c>
      <c r="I270" s="34"/>
      <c r="J270" s="147"/>
      <c r="K270" s="2233" t="s">
        <v>25</v>
      </c>
      <c r="L270" s="147"/>
      <c r="M270" s="147"/>
      <c r="N270" s="147"/>
      <c r="O270" s="2621" t="s">
        <v>6395</v>
      </c>
      <c r="Q270" s="34"/>
    </row>
    <row r="271" spans="1:17" ht="18.75" customHeight="1" x14ac:dyDescent="0.3">
      <c r="A271" s="112">
        <v>203</v>
      </c>
      <c r="B271" s="105" t="s">
        <v>158</v>
      </c>
      <c r="C271" s="129">
        <v>400</v>
      </c>
      <c r="D271" s="113">
        <v>59</v>
      </c>
      <c r="E271" s="114">
        <v>6181</v>
      </c>
      <c r="F271" s="115">
        <v>21662</v>
      </c>
      <c r="G271" s="116">
        <v>650</v>
      </c>
      <c r="H271" s="1731" t="s">
        <v>41</v>
      </c>
      <c r="I271" s="34"/>
      <c r="J271" s="147"/>
      <c r="K271" s="2233" t="s">
        <v>25</v>
      </c>
      <c r="L271" s="147"/>
      <c r="M271" s="147"/>
      <c r="N271" s="147"/>
      <c r="O271" s="2621" t="s">
        <v>6395</v>
      </c>
      <c r="Q271" s="34"/>
    </row>
    <row r="272" spans="1:17" ht="18.75" customHeight="1" x14ac:dyDescent="0.3">
      <c r="A272" s="112">
        <v>204</v>
      </c>
      <c r="B272" s="105" t="s">
        <v>158</v>
      </c>
      <c r="C272" s="129">
        <v>400</v>
      </c>
      <c r="D272" s="113">
        <v>59</v>
      </c>
      <c r="E272" s="114">
        <v>6182</v>
      </c>
      <c r="F272" s="115">
        <v>21662</v>
      </c>
      <c r="G272" s="116">
        <v>650</v>
      </c>
      <c r="H272" s="1731" t="s">
        <v>41</v>
      </c>
      <c r="I272" s="34"/>
      <c r="J272" s="147"/>
      <c r="K272" s="2233" t="s">
        <v>25</v>
      </c>
      <c r="L272" s="147"/>
      <c r="M272" s="147"/>
      <c r="N272" s="147"/>
      <c r="O272" s="2621" t="s">
        <v>6395</v>
      </c>
      <c r="Q272" s="34"/>
    </row>
    <row r="273" spans="1:17" ht="18.75" customHeight="1" x14ac:dyDescent="0.3">
      <c r="A273" s="112">
        <v>205</v>
      </c>
      <c r="B273" s="105" t="s">
        <v>158</v>
      </c>
      <c r="C273" s="129">
        <v>400</v>
      </c>
      <c r="D273" s="113">
        <v>59</v>
      </c>
      <c r="E273" s="114">
        <v>6183</v>
      </c>
      <c r="F273" s="115">
        <v>21662</v>
      </c>
      <c r="G273" s="116">
        <v>650</v>
      </c>
      <c r="H273" s="1731" t="s">
        <v>41</v>
      </c>
      <c r="I273" s="34"/>
      <c r="J273" s="147"/>
      <c r="K273" s="2233" t="s">
        <v>25</v>
      </c>
      <c r="L273" s="147"/>
      <c r="M273" s="147"/>
      <c r="N273" s="147"/>
      <c r="O273" s="2621" t="s">
        <v>6395</v>
      </c>
      <c r="Q273" s="34"/>
    </row>
    <row r="274" spans="1:17" ht="18.75" customHeight="1" x14ac:dyDescent="0.3">
      <c r="A274" s="112">
        <v>206</v>
      </c>
      <c r="B274" s="105" t="s">
        <v>158</v>
      </c>
      <c r="C274" s="129">
        <v>400</v>
      </c>
      <c r="D274" s="125">
        <v>59</v>
      </c>
      <c r="E274" s="114">
        <v>6184</v>
      </c>
      <c r="F274" s="115">
        <v>21662</v>
      </c>
      <c r="G274" s="116">
        <v>650</v>
      </c>
      <c r="H274" s="1731" t="s">
        <v>41</v>
      </c>
      <c r="I274" s="34"/>
      <c r="J274" s="147"/>
      <c r="K274" s="2233" t="s">
        <v>25</v>
      </c>
      <c r="L274" s="147"/>
      <c r="M274" s="147"/>
      <c r="N274" s="147"/>
      <c r="O274" s="2621" t="s">
        <v>6395</v>
      </c>
      <c r="Q274" s="34"/>
    </row>
    <row r="275" spans="1:17" ht="18.75" customHeight="1" x14ac:dyDescent="0.3">
      <c r="A275" s="112">
        <v>207</v>
      </c>
      <c r="B275" s="105" t="s">
        <v>158</v>
      </c>
      <c r="C275" s="129">
        <v>400</v>
      </c>
      <c r="D275" s="128">
        <v>59</v>
      </c>
      <c r="E275" s="114">
        <v>6185</v>
      </c>
      <c r="F275" s="115">
        <v>21662</v>
      </c>
      <c r="G275" s="116">
        <v>650</v>
      </c>
      <c r="H275" s="1731" t="s">
        <v>41</v>
      </c>
      <c r="I275" s="34"/>
      <c r="J275" s="147"/>
      <c r="K275" s="2233" t="s">
        <v>25</v>
      </c>
      <c r="L275" s="147"/>
      <c r="M275" s="147"/>
      <c r="N275" s="147"/>
      <c r="O275" s="2621" t="s">
        <v>6395</v>
      </c>
      <c r="Q275" s="34"/>
    </row>
    <row r="276" spans="1:17" ht="18.75" customHeight="1" x14ac:dyDescent="0.3">
      <c r="A276" s="112">
        <v>208</v>
      </c>
      <c r="B276" s="105" t="s">
        <v>158</v>
      </c>
      <c r="C276" s="129">
        <v>400</v>
      </c>
      <c r="D276" s="113">
        <v>59</v>
      </c>
      <c r="E276" s="114">
        <v>6186</v>
      </c>
      <c r="F276" s="115">
        <v>21662</v>
      </c>
      <c r="G276" s="116">
        <v>650</v>
      </c>
      <c r="H276" s="1731" t="s">
        <v>41</v>
      </c>
      <c r="I276" s="34"/>
      <c r="J276" s="147"/>
      <c r="K276" s="2233" t="s">
        <v>25</v>
      </c>
      <c r="L276" s="147"/>
      <c r="M276" s="147"/>
      <c r="N276" s="147"/>
      <c r="O276" s="2621" t="s">
        <v>6395</v>
      </c>
      <c r="Q276" s="34"/>
    </row>
    <row r="277" spans="1:17" ht="18.75" customHeight="1" x14ac:dyDescent="0.3">
      <c r="A277" s="112">
        <v>209</v>
      </c>
      <c r="B277" s="105" t="s">
        <v>158</v>
      </c>
      <c r="C277" s="129">
        <v>400</v>
      </c>
      <c r="D277" s="113">
        <v>59</v>
      </c>
      <c r="E277" s="114">
        <v>6187</v>
      </c>
      <c r="F277" s="115">
        <v>21662</v>
      </c>
      <c r="G277" s="116">
        <v>650</v>
      </c>
      <c r="H277" s="1731" t="s">
        <v>41</v>
      </c>
      <c r="I277" s="34"/>
      <c r="J277" s="147"/>
      <c r="K277" s="2233" t="s">
        <v>25</v>
      </c>
      <c r="L277" s="147"/>
      <c r="M277" s="147"/>
      <c r="N277" s="147"/>
      <c r="O277" s="2621" t="s">
        <v>6395</v>
      </c>
      <c r="Q277" s="34"/>
    </row>
    <row r="278" spans="1:17" ht="18.75" customHeight="1" x14ac:dyDescent="0.3">
      <c r="A278" s="112">
        <v>210</v>
      </c>
      <c r="B278" s="105" t="s">
        <v>158</v>
      </c>
      <c r="C278" s="129">
        <v>400</v>
      </c>
      <c r="D278" s="113">
        <v>59</v>
      </c>
      <c r="E278" s="114">
        <v>6188</v>
      </c>
      <c r="F278" s="115">
        <v>21662</v>
      </c>
      <c r="G278" s="116">
        <v>650</v>
      </c>
      <c r="H278" s="1731" t="s">
        <v>41</v>
      </c>
      <c r="I278" s="34"/>
      <c r="J278" s="147"/>
      <c r="K278" s="2233" t="s">
        <v>25</v>
      </c>
      <c r="L278" s="147"/>
      <c r="M278" s="147"/>
      <c r="N278" s="147"/>
      <c r="O278" s="2621" t="s">
        <v>6395</v>
      </c>
      <c r="Q278" s="34"/>
    </row>
    <row r="279" spans="1:17" ht="18.75" customHeight="1" x14ac:dyDescent="0.3">
      <c r="A279" s="112">
        <v>211</v>
      </c>
      <c r="B279" s="105" t="s">
        <v>158</v>
      </c>
      <c r="C279" s="129">
        <v>400</v>
      </c>
      <c r="D279" s="136">
        <v>59</v>
      </c>
      <c r="E279" s="114">
        <v>6189</v>
      </c>
      <c r="F279" s="115">
        <v>21662</v>
      </c>
      <c r="G279" s="116">
        <v>650</v>
      </c>
      <c r="H279" s="1731" t="s">
        <v>41</v>
      </c>
      <c r="I279" s="34"/>
      <c r="J279" s="147"/>
      <c r="K279" s="2233" t="s">
        <v>25</v>
      </c>
      <c r="L279" s="147"/>
      <c r="M279" s="147"/>
      <c r="N279" s="147"/>
      <c r="O279" s="2621" t="s">
        <v>6395</v>
      </c>
      <c r="Q279" s="34"/>
    </row>
    <row r="280" spans="1:17" ht="18.75" customHeight="1" x14ac:dyDescent="0.3">
      <c r="A280" s="112">
        <v>212</v>
      </c>
      <c r="B280" s="105" t="s">
        <v>158</v>
      </c>
      <c r="C280" s="129">
        <v>400</v>
      </c>
      <c r="D280" s="128">
        <v>59</v>
      </c>
      <c r="E280" s="114">
        <v>6190</v>
      </c>
      <c r="F280" s="115">
        <v>21662</v>
      </c>
      <c r="G280" s="116">
        <v>650</v>
      </c>
      <c r="H280" s="1731" t="s">
        <v>41</v>
      </c>
      <c r="I280" s="34"/>
      <c r="J280" s="147"/>
      <c r="K280" s="2233" t="s">
        <v>25</v>
      </c>
      <c r="L280" s="147"/>
      <c r="M280" s="147"/>
      <c r="N280" s="147"/>
      <c r="O280" s="2621" t="s">
        <v>6395</v>
      </c>
      <c r="Q280" s="34"/>
    </row>
    <row r="281" spans="1:17" ht="18.75" customHeight="1" x14ac:dyDescent="0.3">
      <c r="A281" s="112">
        <v>213</v>
      </c>
      <c r="B281" s="105" t="s">
        <v>158</v>
      </c>
      <c r="C281" s="129">
        <v>400</v>
      </c>
      <c r="D281" s="113">
        <v>59</v>
      </c>
      <c r="E281" s="114">
        <v>6191</v>
      </c>
      <c r="F281" s="115">
        <v>21662</v>
      </c>
      <c r="G281" s="116">
        <v>650</v>
      </c>
      <c r="H281" s="1731" t="s">
        <v>41</v>
      </c>
      <c r="I281" s="34"/>
      <c r="J281" s="147"/>
      <c r="K281" s="2233" t="s">
        <v>25</v>
      </c>
      <c r="L281" s="147"/>
      <c r="M281" s="147"/>
      <c r="N281" s="147"/>
      <c r="O281" s="2621" t="s">
        <v>6395</v>
      </c>
      <c r="Q281" s="34"/>
    </row>
    <row r="282" spans="1:17" ht="18.75" customHeight="1" x14ac:dyDescent="0.3">
      <c r="A282" s="112">
        <v>214</v>
      </c>
      <c r="B282" s="105" t="s">
        <v>158</v>
      </c>
      <c r="C282" s="129">
        <v>400</v>
      </c>
      <c r="D282" s="113">
        <v>59</v>
      </c>
      <c r="E282" s="114">
        <v>6192</v>
      </c>
      <c r="F282" s="115">
        <v>21662</v>
      </c>
      <c r="G282" s="116">
        <v>650</v>
      </c>
      <c r="H282" s="1731" t="s">
        <v>41</v>
      </c>
      <c r="I282" s="34"/>
      <c r="J282" s="147"/>
      <c r="K282" s="2233" t="s">
        <v>25</v>
      </c>
      <c r="L282" s="147"/>
      <c r="M282" s="147"/>
      <c r="N282" s="147"/>
      <c r="O282" s="2621" t="s">
        <v>6395</v>
      </c>
      <c r="Q282" s="34"/>
    </row>
    <row r="283" spans="1:17" s="150" customFormat="1" ht="21.75" customHeight="1" x14ac:dyDescent="0.3">
      <c r="A283" s="112">
        <v>215</v>
      </c>
      <c r="B283" s="105" t="s">
        <v>158</v>
      </c>
      <c r="C283" s="129">
        <v>400</v>
      </c>
      <c r="D283" s="113">
        <v>59</v>
      </c>
      <c r="E283" s="114">
        <v>6193</v>
      </c>
      <c r="F283" s="115">
        <v>21662</v>
      </c>
      <c r="G283" s="116">
        <v>650</v>
      </c>
      <c r="H283" s="1731" t="s">
        <v>41</v>
      </c>
      <c r="I283" s="34"/>
      <c r="J283" s="147"/>
      <c r="K283" s="2233" t="s">
        <v>25</v>
      </c>
      <c r="L283" s="147"/>
      <c r="M283" s="147"/>
      <c r="N283" s="147"/>
      <c r="O283" s="2621" t="s">
        <v>6395</v>
      </c>
      <c r="P283" s="150" t="s">
        <v>159</v>
      </c>
      <c r="Q283" s="34"/>
    </row>
    <row r="284" spans="1:17" ht="18.75" customHeight="1" x14ac:dyDescent="0.3">
      <c r="A284" s="112">
        <v>216</v>
      </c>
      <c r="B284" s="105" t="s">
        <v>158</v>
      </c>
      <c r="C284" s="129">
        <v>400</v>
      </c>
      <c r="D284" s="113">
        <v>59</v>
      </c>
      <c r="E284" s="114">
        <v>6194</v>
      </c>
      <c r="F284" s="115">
        <v>21662</v>
      </c>
      <c r="G284" s="116">
        <v>650</v>
      </c>
      <c r="H284" s="1731" t="s">
        <v>41</v>
      </c>
      <c r="I284" s="34"/>
      <c r="J284" s="147"/>
      <c r="K284" s="2233" t="s">
        <v>25</v>
      </c>
      <c r="L284" s="147"/>
      <c r="M284" s="147"/>
      <c r="N284" s="147"/>
      <c r="O284" s="2621" t="s">
        <v>6395</v>
      </c>
      <c r="Q284" s="34"/>
    </row>
    <row r="285" spans="1:17" ht="18.75" customHeight="1" x14ac:dyDescent="0.3">
      <c r="A285" s="112">
        <v>217</v>
      </c>
      <c r="B285" s="105" t="s">
        <v>158</v>
      </c>
      <c r="C285" s="129">
        <v>400</v>
      </c>
      <c r="D285" s="113">
        <v>59</v>
      </c>
      <c r="E285" s="114">
        <v>6195</v>
      </c>
      <c r="F285" s="115">
        <v>21662</v>
      </c>
      <c r="G285" s="116">
        <v>650</v>
      </c>
      <c r="H285" s="1731" t="s">
        <v>41</v>
      </c>
      <c r="I285" s="34"/>
      <c r="J285" s="147"/>
      <c r="K285" s="2233" t="s">
        <v>25</v>
      </c>
      <c r="L285" s="147"/>
      <c r="M285" s="147"/>
      <c r="N285" s="147"/>
      <c r="O285" s="2621" t="s">
        <v>6395</v>
      </c>
      <c r="Q285" s="34"/>
    </row>
    <row r="286" spans="1:17" ht="18.75" customHeight="1" x14ac:dyDescent="0.3">
      <c r="A286" s="112">
        <v>218</v>
      </c>
      <c r="B286" s="105" t="s">
        <v>158</v>
      </c>
      <c r="C286" s="129">
        <v>400</v>
      </c>
      <c r="D286" s="113">
        <v>59</v>
      </c>
      <c r="E286" s="114">
        <v>6196</v>
      </c>
      <c r="F286" s="115">
        <v>21662</v>
      </c>
      <c r="G286" s="116">
        <v>650</v>
      </c>
      <c r="H286" s="1731" t="s">
        <v>41</v>
      </c>
      <c r="I286" s="34"/>
      <c r="J286" s="147"/>
      <c r="K286" s="2233" t="s">
        <v>25</v>
      </c>
      <c r="L286" s="147"/>
      <c r="M286" s="147"/>
      <c r="N286" s="147"/>
      <c r="O286" s="2621" t="s">
        <v>6395</v>
      </c>
      <c r="Q286" s="34"/>
    </row>
    <row r="287" spans="1:17" ht="18.75" customHeight="1" x14ac:dyDescent="0.3">
      <c r="A287" s="112">
        <v>219</v>
      </c>
      <c r="B287" s="105" t="s">
        <v>158</v>
      </c>
      <c r="C287" s="129">
        <v>400</v>
      </c>
      <c r="D287" s="113">
        <v>59</v>
      </c>
      <c r="E287" s="114">
        <v>6197</v>
      </c>
      <c r="F287" s="115">
        <v>21662</v>
      </c>
      <c r="G287" s="116">
        <v>650</v>
      </c>
      <c r="H287" s="1731" t="s">
        <v>41</v>
      </c>
      <c r="I287" s="34"/>
      <c r="J287" s="147"/>
      <c r="K287" s="2233" t="s">
        <v>25</v>
      </c>
      <c r="L287" s="147"/>
      <c r="M287" s="147"/>
      <c r="N287" s="147"/>
      <c r="O287" s="2621" t="s">
        <v>6395</v>
      </c>
      <c r="Q287" s="34"/>
    </row>
    <row r="288" spans="1:17" ht="18.75" customHeight="1" x14ac:dyDescent="0.3">
      <c r="A288" s="112">
        <v>220</v>
      </c>
      <c r="B288" s="105" t="s">
        <v>158</v>
      </c>
      <c r="C288" s="129">
        <v>400</v>
      </c>
      <c r="D288" s="136">
        <v>59</v>
      </c>
      <c r="E288" s="114">
        <v>6198</v>
      </c>
      <c r="F288" s="115">
        <v>21662</v>
      </c>
      <c r="G288" s="116">
        <v>650</v>
      </c>
      <c r="H288" s="1731" t="s">
        <v>41</v>
      </c>
      <c r="I288" s="34"/>
      <c r="J288" s="147"/>
      <c r="K288" s="2233" t="s">
        <v>25</v>
      </c>
      <c r="L288" s="147"/>
      <c r="M288" s="147"/>
      <c r="N288" s="147"/>
      <c r="O288" s="2621" t="s">
        <v>6395</v>
      </c>
      <c r="Q288" s="34"/>
    </row>
    <row r="289" spans="1:17" ht="18.75" customHeight="1" x14ac:dyDescent="0.3">
      <c r="A289" s="112">
        <v>221</v>
      </c>
      <c r="B289" s="105" t="s">
        <v>158</v>
      </c>
      <c r="C289" s="129">
        <v>400</v>
      </c>
      <c r="D289" s="128">
        <v>59</v>
      </c>
      <c r="E289" s="114">
        <v>6199</v>
      </c>
      <c r="F289" s="115">
        <v>21662</v>
      </c>
      <c r="G289" s="116">
        <v>650</v>
      </c>
      <c r="H289" s="1731" t="s">
        <v>41</v>
      </c>
      <c r="I289" s="34"/>
      <c r="J289" s="147"/>
      <c r="K289" s="2233" t="s">
        <v>25</v>
      </c>
      <c r="L289" s="147"/>
      <c r="M289" s="147"/>
      <c r="N289" s="147"/>
      <c r="O289" s="2621" t="s">
        <v>6395</v>
      </c>
      <c r="Q289" s="34"/>
    </row>
    <row r="290" spans="1:17" ht="18.75" customHeight="1" x14ac:dyDescent="0.3">
      <c r="A290" s="112">
        <v>222</v>
      </c>
      <c r="B290" s="105" t="s">
        <v>158</v>
      </c>
      <c r="C290" s="129">
        <v>400</v>
      </c>
      <c r="D290" s="113">
        <v>59</v>
      </c>
      <c r="E290" s="114">
        <v>6200</v>
      </c>
      <c r="F290" s="115">
        <v>21662</v>
      </c>
      <c r="G290" s="116">
        <v>650</v>
      </c>
      <c r="H290" s="1731" t="s">
        <v>41</v>
      </c>
      <c r="I290" s="34"/>
      <c r="J290" s="147"/>
      <c r="K290" s="2233" t="s">
        <v>25</v>
      </c>
      <c r="L290" s="147"/>
      <c r="M290" s="147"/>
      <c r="N290" s="147"/>
      <c r="O290" s="2621" t="s">
        <v>6395</v>
      </c>
      <c r="Q290" s="34"/>
    </row>
    <row r="291" spans="1:17" ht="18.75" customHeight="1" x14ac:dyDescent="0.3">
      <c r="A291" s="112">
        <v>223</v>
      </c>
      <c r="B291" s="105" t="s">
        <v>158</v>
      </c>
      <c r="C291" s="129">
        <v>400</v>
      </c>
      <c r="D291" s="113">
        <v>59</v>
      </c>
      <c r="E291" s="114">
        <v>6201</v>
      </c>
      <c r="F291" s="115">
        <v>21662</v>
      </c>
      <c r="G291" s="116">
        <v>650</v>
      </c>
      <c r="H291" s="1731" t="s">
        <v>41</v>
      </c>
      <c r="I291" s="34"/>
      <c r="J291" s="147"/>
      <c r="K291" s="2233" t="s">
        <v>25</v>
      </c>
      <c r="L291" s="147"/>
      <c r="M291" s="147"/>
      <c r="N291" s="147"/>
      <c r="O291" s="2621" t="s">
        <v>6395</v>
      </c>
      <c r="Q291" s="34"/>
    </row>
    <row r="292" spans="1:17" ht="18.75" customHeight="1" x14ac:dyDescent="0.3">
      <c r="A292" s="112">
        <v>224</v>
      </c>
      <c r="B292" s="105" t="s">
        <v>158</v>
      </c>
      <c r="C292" s="129">
        <v>400</v>
      </c>
      <c r="D292" s="113">
        <v>59</v>
      </c>
      <c r="E292" s="114">
        <v>6202</v>
      </c>
      <c r="F292" s="115">
        <v>21662</v>
      </c>
      <c r="G292" s="116">
        <v>650</v>
      </c>
      <c r="H292" s="1731" t="s">
        <v>41</v>
      </c>
      <c r="I292" s="34"/>
      <c r="J292" s="147"/>
      <c r="K292" s="2233" t="s">
        <v>25</v>
      </c>
      <c r="L292" s="147"/>
      <c r="M292" s="147"/>
      <c r="N292" s="147"/>
      <c r="O292" s="2621" t="s">
        <v>6395</v>
      </c>
      <c r="Q292" s="34"/>
    </row>
    <row r="293" spans="1:17" ht="18.75" customHeight="1" x14ac:dyDescent="0.3">
      <c r="A293" s="112">
        <v>225</v>
      </c>
      <c r="B293" s="105" t="s">
        <v>158</v>
      </c>
      <c r="C293" s="129">
        <v>400</v>
      </c>
      <c r="D293" s="113">
        <v>59</v>
      </c>
      <c r="E293" s="114">
        <v>6203</v>
      </c>
      <c r="F293" s="115">
        <v>21662</v>
      </c>
      <c r="G293" s="116">
        <v>650</v>
      </c>
      <c r="H293" s="1731" t="s">
        <v>41</v>
      </c>
      <c r="I293" s="34"/>
      <c r="J293" s="147"/>
      <c r="K293" s="2233" t="s">
        <v>25</v>
      </c>
      <c r="L293" s="147"/>
      <c r="M293" s="147"/>
      <c r="N293" s="147"/>
      <c r="O293" s="2621" t="s">
        <v>6395</v>
      </c>
      <c r="Q293" s="34"/>
    </row>
    <row r="294" spans="1:17" ht="18.75" customHeight="1" x14ac:dyDescent="0.3">
      <c r="A294" s="112">
        <v>226</v>
      </c>
      <c r="B294" s="105" t="s">
        <v>158</v>
      </c>
      <c r="C294" s="129">
        <v>400</v>
      </c>
      <c r="D294" s="113">
        <v>59</v>
      </c>
      <c r="E294" s="114">
        <v>6204</v>
      </c>
      <c r="F294" s="115">
        <v>21662</v>
      </c>
      <c r="G294" s="116">
        <v>650</v>
      </c>
      <c r="H294" s="1731" t="s">
        <v>41</v>
      </c>
      <c r="I294" s="34"/>
      <c r="J294" s="147"/>
      <c r="K294" s="2233" t="s">
        <v>25</v>
      </c>
      <c r="L294" s="147"/>
      <c r="M294" s="147"/>
      <c r="N294" s="147"/>
      <c r="O294" s="2621" t="s">
        <v>6395</v>
      </c>
      <c r="Q294" s="34"/>
    </row>
    <row r="295" spans="1:17" ht="18.75" customHeight="1" x14ac:dyDescent="0.3">
      <c r="A295" s="112">
        <v>227</v>
      </c>
      <c r="B295" s="105" t="s">
        <v>158</v>
      </c>
      <c r="C295" s="129">
        <v>400</v>
      </c>
      <c r="D295" s="125">
        <v>59</v>
      </c>
      <c r="E295" s="114">
        <v>6205</v>
      </c>
      <c r="F295" s="115">
        <v>21662</v>
      </c>
      <c r="G295" s="116">
        <v>650</v>
      </c>
      <c r="H295" s="1731" t="s">
        <v>41</v>
      </c>
      <c r="I295" s="34"/>
      <c r="J295" s="147"/>
      <c r="K295" s="2233" t="s">
        <v>25</v>
      </c>
      <c r="L295" s="147"/>
      <c r="M295" s="147"/>
      <c r="N295" s="147"/>
      <c r="O295" s="2621" t="s">
        <v>6395</v>
      </c>
      <c r="Q295" s="34"/>
    </row>
    <row r="296" spans="1:17" ht="18.75" customHeight="1" x14ac:dyDescent="0.3">
      <c r="A296" s="112">
        <v>228</v>
      </c>
      <c r="B296" s="105" t="s">
        <v>158</v>
      </c>
      <c r="C296" s="129">
        <v>400</v>
      </c>
      <c r="D296" s="128">
        <v>59</v>
      </c>
      <c r="E296" s="114">
        <v>6206</v>
      </c>
      <c r="F296" s="115">
        <v>21662</v>
      </c>
      <c r="G296" s="116">
        <v>650</v>
      </c>
      <c r="H296" s="1731" t="s">
        <v>41</v>
      </c>
      <c r="I296" s="34"/>
      <c r="J296" s="147"/>
      <c r="K296" s="2233" t="s">
        <v>25</v>
      </c>
      <c r="L296" s="147"/>
      <c r="M296" s="147"/>
      <c r="N296" s="147"/>
      <c r="O296" s="2621" t="s">
        <v>6395</v>
      </c>
      <c r="Q296" s="34"/>
    </row>
    <row r="297" spans="1:17" ht="18.75" customHeight="1" x14ac:dyDescent="0.3">
      <c r="A297" s="112">
        <v>229</v>
      </c>
      <c r="B297" s="105" t="s">
        <v>158</v>
      </c>
      <c r="C297" s="129">
        <v>400</v>
      </c>
      <c r="D297" s="113">
        <v>59</v>
      </c>
      <c r="E297" s="114">
        <v>6207</v>
      </c>
      <c r="F297" s="115">
        <v>21662</v>
      </c>
      <c r="G297" s="116">
        <v>650</v>
      </c>
      <c r="H297" s="1731" t="s">
        <v>41</v>
      </c>
      <c r="I297" s="34"/>
      <c r="J297" s="147"/>
      <c r="K297" s="2233" t="s">
        <v>25</v>
      </c>
      <c r="L297" s="147"/>
      <c r="M297" s="147"/>
      <c r="N297" s="147"/>
      <c r="O297" s="2621" t="s">
        <v>6395</v>
      </c>
      <c r="Q297" s="34"/>
    </row>
    <row r="298" spans="1:17" ht="18.75" customHeight="1" x14ac:dyDescent="0.3">
      <c r="A298" s="112">
        <v>230</v>
      </c>
      <c r="B298" s="105" t="s">
        <v>158</v>
      </c>
      <c r="C298" s="129">
        <v>400</v>
      </c>
      <c r="D298" s="113">
        <v>59</v>
      </c>
      <c r="E298" s="114">
        <v>6208</v>
      </c>
      <c r="F298" s="115">
        <v>21662</v>
      </c>
      <c r="G298" s="116">
        <v>650</v>
      </c>
      <c r="H298" s="1731" t="s">
        <v>41</v>
      </c>
      <c r="I298" s="34"/>
      <c r="J298" s="147"/>
      <c r="K298" s="2233" t="s">
        <v>25</v>
      </c>
      <c r="L298" s="147"/>
      <c r="M298" s="147"/>
      <c r="N298" s="147"/>
      <c r="O298" s="2621" t="s">
        <v>6395</v>
      </c>
      <c r="Q298" s="34"/>
    </row>
    <row r="299" spans="1:17" ht="18.75" customHeight="1" x14ac:dyDescent="0.3">
      <c r="A299" s="112">
        <v>231</v>
      </c>
      <c r="B299" s="105" t="s">
        <v>158</v>
      </c>
      <c r="C299" s="129">
        <v>400</v>
      </c>
      <c r="D299" s="113">
        <v>59</v>
      </c>
      <c r="E299" s="114">
        <v>6209</v>
      </c>
      <c r="F299" s="115">
        <v>21662</v>
      </c>
      <c r="G299" s="116">
        <v>650</v>
      </c>
      <c r="H299" s="1731" t="s">
        <v>41</v>
      </c>
      <c r="I299" s="34"/>
      <c r="J299" s="147"/>
      <c r="K299" s="2233" t="s">
        <v>25</v>
      </c>
      <c r="L299" s="147"/>
      <c r="M299" s="147"/>
      <c r="N299" s="147"/>
      <c r="O299" s="2621" t="s">
        <v>6395</v>
      </c>
      <c r="Q299" s="34"/>
    </row>
    <row r="300" spans="1:17" ht="18.75" customHeight="1" x14ac:dyDescent="0.3">
      <c r="A300" s="112">
        <v>232</v>
      </c>
      <c r="B300" s="105" t="s">
        <v>158</v>
      </c>
      <c r="C300" s="129">
        <v>400</v>
      </c>
      <c r="D300" s="113">
        <v>59</v>
      </c>
      <c r="E300" s="114">
        <v>6210</v>
      </c>
      <c r="F300" s="115">
        <v>21662</v>
      </c>
      <c r="G300" s="116">
        <v>650</v>
      </c>
      <c r="H300" s="1731" t="s">
        <v>41</v>
      </c>
      <c r="I300" s="34"/>
      <c r="J300" s="147"/>
      <c r="K300" s="2233" t="s">
        <v>25</v>
      </c>
      <c r="L300" s="147"/>
      <c r="M300" s="147"/>
      <c r="N300" s="147"/>
      <c r="O300" s="2621" t="s">
        <v>6395</v>
      </c>
      <c r="Q300" s="34"/>
    </row>
    <row r="301" spans="1:17" ht="18.75" customHeight="1" x14ac:dyDescent="0.3">
      <c r="A301" s="112">
        <v>233</v>
      </c>
      <c r="B301" s="105" t="s">
        <v>158</v>
      </c>
      <c r="C301" s="129">
        <v>400</v>
      </c>
      <c r="D301" s="113">
        <v>59</v>
      </c>
      <c r="E301" s="114">
        <v>6211</v>
      </c>
      <c r="F301" s="115">
        <v>21662</v>
      </c>
      <c r="G301" s="116">
        <v>650</v>
      </c>
      <c r="H301" s="1731" t="s">
        <v>41</v>
      </c>
      <c r="I301" s="34"/>
      <c r="J301" s="147"/>
      <c r="K301" s="2233" t="s">
        <v>25</v>
      </c>
      <c r="L301" s="147"/>
      <c r="M301" s="147"/>
      <c r="N301" s="147"/>
      <c r="O301" s="2621" t="s">
        <v>6395</v>
      </c>
      <c r="Q301" s="34"/>
    </row>
    <row r="302" spans="1:17" ht="18.75" customHeight="1" x14ac:dyDescent="0.3">
      <c r="A302" s="112">
        <v>234</v>
      </c>
      <c r="B302" s="105" t="s">
        <v>158</v>
      </c>
      <c r="C302" s="129">
        <v>400</v>
      </c>
      <c r="D302" s="113">
        <v>59</v>
      </c>
      <c r="E302" s="114">
        <v>6212</v>
      </c>
      <c r="F302" s="115">
        <v>21662</v>
      </c>
      <c r="G302" s="116">
        <v>650</v>
      </c>
      <c r="H302" s="1731" t="s">
        <v>41</v>
      </c>
      <c r="I302" s="34"/>
      <c r="J302" s="147"/>
      <c r="K302" s="2233" t="s">
        <v>25</v>
      </c>
      <c r="L302" s="147"/>
      <c r="M302" s="147"/>
      <c r="N302" s="147"/>
      <c r="O302" s="2621" t="s">
        <v>6395</v>
      </c>
      <c r="Q302" s="34"/>
    </row>
    <row r="303" spans="1:17" ht="18.75" customHeight="1" x14ac:dyDescent="0.3">
      <c r="A303" s="112">
        <v>235</v>
      </c>
      <c r="B303" s="105" t="s">
        <v>158</v>
      </c>
      <c r="C303" s="129">
        <v>400</v>
      </c>
      <c r="D303" s="113">
        <v>59</v>
      </c>
      <c r="E303" s="114">
        <v>6213</v>
      </c>
      <c r="F303" s="115">
        <v>21662</v>
      </c>
      <c r="G303" s="116">
        <v>650</v>
      </c>
      <c r="H303" s="1731" t="s">
        <v>41</v>
      </c>
      <c r="I303" s="34"/>
      <c r="J303" s="147"/>
      <c r="K303" s="2233" t="s">
        <v>25</v>
      </c>
      <c r="L303" s="147"/>
      <c r="M303" s="147"/>
      <c r="N303" s="147"/>
      <c r="O303" s="2621" t="s">
        <v>6395</v>
      </c>
      <c r="Q303" s="34"/>
    </row>
    <row r="304" spans="1:17" ht="18.75" customHeight="1" x14ac:dyDescent="0.3">
      <c r="A304" s="112">
        <v>236</v>
      </c>
      <c r="B304" s="105" t="s">
        <v>158</v>
      </c>
      <c r="C304" s="129">
        <v>400</v>
      </c>
      <c r="D304" s="113">
        <v>59</v>
      </c>
      <c r="E304" s="114">
        <v>6214</v>
      </c>
      <c r="F304" s="115">
        <v>21662</v>
      </c>
      <c r="G304" s="116">
        <v>650</v>
      </c>
      <c r="H304" s="1731" t="s">
        <v>41</v>
      </c>
      <c r="I304" s="34"/>
      <c r="J304" s="147"/>
      <c r="K304" s="2233" t="s">
        <v>25</v>
      </c>
      <c r="L304" s="147"/>
      <c r="M304" s="147"/>
      <c r="N304" s="147"/>
      <c r="O304" s="2621" t="s">
        <v>6395</v>
      </c>
      <c r="Q304" s="34"/>
    </row>
    <row r="305" spans="1:17" ht="18.75" customHeight="1" x14ac:dyDescent="0.3">
      <c r="A305" s="112">
        <v>237</v>
      </c>
      <c r="B305" s="105" t="s">
        <v>158</v>
      </c>
      <c r="C305" s="129">
        <v>400</v>
      </c>
      <c r="D305" s="113">
        <v>59</v>
      </c>
      <c r="E305" s="114">
        <v>6215</v>
      </c>
      <c r="F305" s="115">
        <v>21662</v>
      </c>
      <c r="G305" s="116">
        <v>650</v>
      </c>
      <c r="H305" s="1731" t="s">
        <v>41</v>
      </c>
      <c r="I305" s="34"/>
      <c r="J305" s="147"/>
      <c r="K305" s="2233" t="s">
        <v>25</v>
      </c>
      <c r="L305" s="147"/>
      <c r="M305" s="147"/>
      <c r="N305" s="147"/>
      <c r="O305" s="2621" t="s">
        <v>6395</v>
      </c>
      <c r="Q305" s="34"/>
    </row>
    <row r="306" spans="1:17" ht="18.75" customHeight="1" x14ac:dyDescent="0.3">
      <c r="A306" s="112">
        <v>238</v>
      </c>
      <c r="B306" s="105" t="s">
        <v>158</v>
      </c>
      <c r="C306" s="129">
        <v>400</v>
      </c>
      <c r="D306" s="113">
        <v>59</v>
      </c>
      <c r="E306" s="114">
        <v>6216</v>
      </c>
      <c r="F306" s="115">
        <v>21662</v>
      </c>
      <c r="G306" s="116">
        <v>650</v>
      </c>
      <c r="H306" s="1731" t="s">
        <v>41</v>
      </c>
      <c r="I306" s="34"/>
      <c r="J306" s="147"/>
      <c r="K306" s="2233" t="s">
        <v>25</v>
      </c>
      <c r="L306" s="147"/>
      <c r="M306" s="147"/>
      <c r="N306" s="147"/>
      <c r="O306" s="2621" t="s">
        <v>6395</v>
      </c>
      <c r="Q306" s="34"/>
    </row>
    <row r="307" spans="1:17" ht="18.75" customHeight="1" x14ac:dyDescent="0.3">
      <c r="A307" s="112">
        <v>239</v>
      </c>
      <c r="B307" s="105" t="s">
        <v>158</v>
      </c>
      <c r="C307" s="129">
        <v>400</v>
      </c>
      <c r="D307" s="125">
        <v>59</v>
      </c>
      <c r="E307" s="114">
        <v>6217</v>
      </c>
      <c r="F307" s="115">
        <v>21662</v>
      </c>
      <c r="G307" s="116">
        <v>650</v>
      </c>
      <c r="H307" s="1731" t="s">
        <v>41</v>
      </c>
      <c r="I307" s="34"/>
      <c r="J307" s="147"/>
      <c r="K307" s="2233" t="s">
        <v>25</v>
      </c>
      <c r="L307" s="147"/>
      <c r="M307" s="147"/>
      <c r="N307" s="147"/>
      <c r="O307" s="2621" t="s">
        <v>6395</v>
      </c>
      <c r="Q307" s="34"/>
    </row>
    <row r="308" spans="1:17" ht="18.75" customHeight="1" x14ac:dyDescent="0.3">
      <c r="A308" s="112">
        <v>240</v>
      </c>
      <c r="B308" s="105" t="s">
        <v>158</v>
      </c>
      <c r="C308" s="129">
        <v>400</v>
      </c>
      <c r="D308" s="128">
        <v>59</v>
      </c>
      <c r="E308" s="114">
        <v>6218</v>
      </c>
      <c r="F308" s="115">
        <v>21662</v>
      </c>
      <c r="G308" s="116">
        <v>650</v>
      </c>
      <c r="H308" s="1731" t="s">
        <v>41</v>
      </c>
      <c r="I308" s="34"/>
      <c r="J308" s="147"/>
      <c r="K308" s="2233" t="s">
        <v>25</v>
      </c>
      <c r="L308" s="147"/>
      <c r="M308" s="147"/>
      <c r="N308" s="147"/>
      <c r="O308" s="2621" t="s">
        <v>6395</v>
      </c>
      <c r="Q308" s="34"/>
    </row>
    <row r="309" spans="1:17" ht="18.75" customHeight="1" x14ac:dyDescent="0.3">
      <c r="A309" s="112">
        <v>241</v>
      </c>
      <c r="B309" s="105" t="s">
        <v>158</v>
      </c>
      <c r="C309" s="129">
        <v>400</v>
      </c>
      <c r="D309" s="113">
        <v>59</v>
      </c>
      <c r="E309" s="114">
        <v>6219</v>
      </c>
      <c r="F309" s="115">
        <v>21662</v>
      </c>
      <c r="G309" s="116">
        <v>650</v>
      </c>
      <c r="H309" s="1731" t="s">
        <v>41</v>
      </c>
      <c r="I309" s="34"/>
      <c r="J309" s="147"/>
      <c r="K309" s="2233" t="s">
        <v>25</v>
      </c>
      <c r="L309" s="147"/>
      <c r="M309" s="147"/>
      <c r="N309" s="147"/>
      <c r="O309" s="2621" t="s">
        <v>6395</v>
      </c>
      <c r="Q309" s="34"/>
    </row>
    <row r="310" spans="1:17" ht="18.75" customHeight="1" x14ac:dyDescent="0.3">
      <c r="A310" s="112">
        <v>242</v>
      </c>
      <c r="B310" s="105" t="s">
        <v>158</v>
      </c>
      <c r="C310" s="129">
        <v>400</v>
      </c>
      <c r="D310" s="113">
        <v>59</v>
      </c>
      <c r="E310" s="114">
        <v>6220</v>
      </c>
      <c r="F310" s="115">
        <v>21662</v>
      </c>
      <c r="G310" s="116">
        <v>650</v>
      </c>
      <c r="H310" s="1731" t="s">
        <v>41</v>
      </c>
      <c r="I310" s="34"/>
      <c r="J310" s="147"/>
      <c r="K310" s="2233" t="s">
        <v>25</v>
      </c>
      <c r="L310" s="147"/>
      <c r="M310" s="147"/>
      <c r="N310" s="147"/>
      <c r="O310" s="2621" t="s">
        <v>6395</v>
      </c>
      <c r="Q310" s="34"/>
    </row>
    <row r="311" spans="1:17" ht="18.75" customHeight="1" x14ac:dyDescent="0.3">
      <c r="A311" s="112">
        <v>243</v>
      </c>
      <c r="B311" s="105" t="s">
        <v>158</v>
      </c>
      <c r="C311" s="129">
        <v>400</v>
      </c>
      <c r="D311" s="113">
        <v>59</v>
      </c>
      <c r="E311" s="114">
        <v>6221</v>
      </c>
      <c r="F311" s="115">
        <v>21662</v>
      </c>
      <c r="G311" s="116">
        <v>650</v>
      </c>
      <c r="H311" s="1731" t="s">
        <v>41</v>
      </c>
      <c r="I311" s="34"/>
      <c r="J311" s="147"/>
      <c r="K311" s="2233" t="s">
        <v>25</v>
      </c>
      <c r="L311" s="147"/>
      <c r="M311" s="147"/>
      <c r="N311" s="147"/>
      <c r="O311" s="2621" t="s">
        <v>6395</v>
      </c>
      <c r="Q311" s="34"/>
    </row>
    <row r="312" spans="1:17" ht="18.75" customHeight="1" x14ac:dyDescent="0.3">
      <c r="A312" s="112">
        <v>244</v>
      </c>
      <c r="B312" s="105" t="s">
        <v>158</v>
      </c>
      <c r="C312" s="129">
        <v>400</v>
      </c>
      <c r="D312" s="113">
        <v>59</v>
      </c>
      <c r="E312" s="114">
        <v>6222</v>
      </c>
      <c r="F312" s="115">
        <v>21662</v>
      </c>
      <c r="G312" s="116">
        <v>650</v>
      </c>
      <c r="H312" s="1731" t="s">
        <v>41</v>
      </c>
      <c r="I312" s="34"/>
      <c r="J312" s="147"/>
      <c r="K312" s="2233" t="s">
        <v>25</v>
      </c>
      <c r="L312" s="147"/>
      <c r="M312" s="147"/>
      <c r="N312" s="147"/>
      <c r="O312" s="2621" t="s">
        <v>6395</v>
      </c>
      <c r="Q312" s="34"/>
    </row>
    <row r="313" spans="1:17" ht="18.75" customHeight="1" x14ac:dyDescent="0.3">
      <c r="A313" s="112">
        <v>245</v>
      </c>
      <c r="B313" s="105" t="s">
        <v>158</v>
      </c>
      <c r="C313" s="129">
        <v>400</v>
      </c>
      <c r="D313" s="113">
        <v>59</v>
      </c>
      <c r="E313" s="114">
        <v>6223</v>
      </c>
      <c r="F313" s="115">
        <v>21662</v>
      </c>
      <c r="G313" s="116">
        <v>650</v>
      </c>
      <c r="H313" s="1731" t="s">
        <v>41</v>
      </c>
      <c r="I313" s="34"/>
      <c r="J313" s="147"/>
      <c r="K313" s="2233" t="s">
        <v>25</v>
      </c>
      <c r="L313" s="147"/>
      <c r="M313" s="147"/>
      <c r="N313" s="147"/>
      <c r="O313" s="2621" t="s">
        <v>6395</v>
      </c>
      <c r="Q313" s="34"/>
    </row>
    <row r="314" spans="1:17" ht="18.75" customHeight="1" x14ac:dyDescent="0.3">
      <c r="A314" s="112">
        <v>246</v>
      </c>
      <c r="B314" s="105" t="s">
        <v>158</v>
      </c>
      <c r="C314" s="129">
        <v>400</v>
      </c>
      <c r="D314" s="113">
        <v>59</v>
      </c>
      <c r="E314" s="114">
        <v>6224</v>
      </c>
      <c r="F314" s="115">
        <v>21662</v>
      </c>
      <c r="G314" s="116">
        <v>650</v>
      </c>
      <c r="H314" s="1731" t="s">
        <v>41</v>
      </c>
      <c r="I314" s="34"/>
      <c r="J314" s="34"/>
      <c r="K314" s="2233" t="s">
        <v>25</v>
      </c>
      <c r="L314" s="147"/>
      <c r="M314" s="147"/>
      <c r="N314" s="147"/>
      <c r="O314" s="2621" t="s">
        <v>6395</v>
      </c>
      <c r="Q314" s="34"/>
    </row>
    <row r="315" spans="1:17" ht="18.75" customHeight="1" x14ac:dyDescent="0.3">
      <c r="A315" s="112">
        <v>247</v>
      </c>
      <c r="B315" s="105" t="s">
        <v>158</v>
      </c>
      <c r="C315" s="129">
        <v>400</v>
      </c>
      <c r="D315" s="113">
        <v>59</v>
      </c>
      <c r="E315" s="114">
        <v>6225</v>
      </c>
      <c r="F315" s="115">
        <v>21662</v>
      </c>
      <c r="G315" s="116">
        <v>650</v>
      </c>
      <c r="H315" s="1731" t="s">
        <v>41</v>
      </c>
      <c r="I315" s="34"/>
      <c r="J315" s="147"/>
      <c r="K315" s="2233" t="s">
        <v>25</v>
      </c>
      <c r="L315" s="147"/>
      <c r="M315" s="147"/>
      <c r="N315" s="147"/>
      <c r="O315" s="2621" t="s">
        <v>6395</v>
      </c>
      <c r="Q315" s="34"/>
    </row>
    <row r="316" spans="1:17" ht="18.75" customHeight="1" x14ac:dyDescent="0.3">
      <c r="A316" s="112">
        <v>248</v>
      </c>
      <c r="B316" s="105" t="s">
        <v>158</v>
      </c>
      <c r="C316" s="129">
        <v>400</v>
      </c>
      <c r="D316" s="125">
        <v>59</v>
      </c>
      <c r="E316" s="114">
        <v>6226</v>
      </c>
      <c r="F316" s="115">
        <v>21662</v>
      </c>
      <c r="G316" s="116">
        <v>650</v>
      </c>
      <c r="H316" s="1731" t="s">
        <v>41</v>
      </c>
      <c r="I316" s="34"/>
      <c r="J316" s="147"/>
      <c r="K316" s="2233" t="s">
        <v>25</v>
      </c>
      <c r="L316" s="147"/>
      <c r="M316" s="147"/>
      <c r="N316" s="147"/>
      <c r="O316" s="2621" t="s">
        <v>6395</v>
      </c>
      <c r="Q316" s="34"/>
    </row>
    <row r="317" spans="1:17" ht="18.75" customHeight="1" x14ac:dyDescent="0.3">
      <c r="A317" s="112">
        <v>249</v>
      </c>
      <c r="B317" s="105" t="s">
        <v>99</v>
      </c>
      <c r="C317" s="129">
        <v>400</v>
      </c>
      <c r="D317" s="128">
        <v>60</v>
      </c>
      <c r="E317" s="114">
        <v>6494</v>
      </c>
      <c r="F317" s="115">
        <v>22178</v>
      </c>
      <c r="G317" s="116">
        <v>7400</v>
      </c>
      <c r="H317" s="1740" t="s">
        <v>160</v>
      </c>
      <c r="I317" s="34" t="s">
        <v>25</v>
      </c>
      <c r="J317" s="151"/>
      <c r="K317" s="2234"/>
      <c r="L317" s="34"/>
      <c r="M317" s="37"/>
      <c r="N317" s="37"/>
      <c r="O317" s="2360" t="s">
        <v>477</v>
      </c>
      <c r="Q317" s="34" t="s">
        <v>25</v>
      </c>
    </row>
    <row r="318" spans="1:17" ht="18.75" customHeight="1" x14ac:dyDescent="0.3">
      <c r="A318" s="112">
        <v>250</v>
      </c>
      <c r="B318" s="105" t="s">
        <v>99</v>
      </c>
      <c r="C318" s="129">
        <v>400</v>
      </c>
      <c r="D318" s="113">
        <v>60</v>
      </c>
      <c r="E318" s="114">
        <v>6495</v>
      </c>
      <c r="F318" s="115">
        <v>22178</v>
      </c>
      <c r="G318" s="116">
        <v>7400</v>
      </c>
      <c r="H318" s="1740" t="s">
        <v>160</v>
      </c>
      <c r="I318" s="34" t="s">
        <v>25</v>
      </c>
      <c r="J318" s="151"/>
      <c r="K318" s="2234"/>
      <c r="L318" s="34"/>
      <c r="M318" s="37"/>
      <c r="N318" s="37"/>
      <c r="O318" s="2360" t="s">
        <v>477</v>
      </c>
      <c r="Q318" s="34" t="s">
        <v>25</v>
      </c>
    </row>
    <row r="319" spans="1:17" ht="18.75" customHeight="1" x14ac:dyDescent="0.3">
      <c r="A319" s="112">
        <v>251</v>
      </c>
      <c r="B319" s="105" t="s">
        <v>99</v>
      </c>
      <c r="C319" s="129">
        <v>400</v>
      </c>
      <c r="D319" s="113">
        <v>60</v>
      </c>
      <c r="E319" s="114">
        <v>6496</v>
      </c>
      <c r="F319" s="115">
        <v>22178</v>
      </c>
      <c r="G319" s="116">
        <v>7400</v>
      </c>
      <c r="H319" s="1740" t="s">
        <v>160</v>
      </c>
      <c r="I319" s="34" t="s">
        <v>25</v>
      </c>
      <c r="J319" s="151"/>
      <c r="K319" s="2234"/>
      <c r="L319" s="34"/>
      <c r="M319" s="37"/>
      <c r="N319" s="37"/>
      <c r="O319" s="2360" t="s">
        <v>477</v>
      </c>
      <c r="Q319" s="34" t="s">
        <v>25</v>
      </c>
    </row>
    <row r="320" spans="1:17" ht="18.75" customHeight="1" x14ac:dyDescent="0.3">
      <c r="A320" s="112">
        <v>252</v>
      </c>
      <c r="B320" s="105" t="s">
        <v>161</v>
      </c>
      <c r="C320" s="129">
        <v>400</v>
      </c>
      <c r="D320" s="113">
        <v>62</v>
      </c>
      <c r="E320" s="114">
        <v>6594</v>
      </c>
      <c r="F320" s="115">
        <v>22894</v>
      </c>
      <c r="G320" s="116">
        <v>1819</v>
      </c>
      <c r="H320" s="1741" t="s">
        <v>162</v>
      </c>
      <c r="I320" s="34" t="s">
        <v>25</v>
      </c>
      <c r="J320" s="37"/>
      <c r="K320" s="2235"/>
      <c r="L320" s="37"/>
      <c r="M320" s="37"/>
      <c r="N320" s="37"/>
      <c r="O320" s="38"/>
      <c r="Q320" s="34" t="s">
        <v>25</v>
      </c>
    </row>
    <row r="321" spans="1:17" ht="18.75" customHeight="1" x14ac:dyDescent="0.3">
      <c r="A321" s="112">
        <v>253</v>
      </c>
      <c r="B321" s="105" t="s">
        <v>161</v>
      </c>
      <c r="C321" s="129">
        <v>400</v>
      </c>
      <c r="D321" s="113">
        <v>62</v>
      </c>
      <c r="E321" s="114">
        <v>6595</v>
      </c>
      <c r="F321" s="115">
        <v>22894</v>
      </c>
      <c r="G321" s="116">
        <v>1819</v>
      </c>
      <c r="H321" s="1742" t="s">
        <v>163</v>
      </c>
      <c r="I321" s="34" t="s">
        <v>25</v>
      </c>
      <c r="J321" s="37"/>
      <c r="K321" s="2235"/>
      <c r="L321" s="37"/>
      <c r="M321" s="37"/>
      <c r="N321" s="37"/>
      <c r="O321" s="38"/>
      <c r="Q321" s="34" t="s">
        <v>25</v>
      </c>
    </row>
    <row r="322" spans="1:17" ht="18.75" customHeight="1" x14ac:dyDescent="0.3">
      <c r="A322" s="112">
        <v>254</v>
      </c>
      <c r="B322" s="105" t="s">
        <v>161</v>
      </c>
      <c r="C322" s="129">
        <v>400</v>
      </c>
      <c r="D322" s="113">
        <v>62</v>
      </c>
      <c r="E322" s="114">
        <v>6596</v>
      </c>
      <c r="F322" s="115">
        <v>22894</v>
      </c>
      <c r="G322" s="116">
        <v>1819</v>
      </c>
      <c r="H322" s="1742" t="s">
        <v>163</v>
      </c>
      <c r="I322" s="34" t="s">
        <v>25</v>
      </c>
      <c r="J322" s="37"/>
      <c r="K322" s="2235"/>
      <c r="L322" s="37"/>
      <c r="M322" s="37"/>
      <c r="N322" s="37"/>
      <c r="O322" s="38"/>
      <c r="Q322" s="34" t="s">
        <v>25</v>
      </c>
    </row>
    <row r="323" spans="1:17" ht="18.75" customHeight="1" x14ac:dyDescent="0.3">
      <c r="A323" s="112">
        <v>255</v>
      </c>
      <c r="B323" s="105" t="s">
        <v>161</v>
      </c>
      <c r="C323" s="129">
        <v>400</v>
      </c>
      <c r="D323" s="113">
        <v>62</v>
      </c>
      <c r="E323" s="114">
        <v>6597</v>
      </c>
      <c r="F323" s="115">
        <v>22894</v>
      </c>
      <c r="G323" s="116">
        <v>1819</v>
      </c>
      <c r="H323" s="1742" t="s">
        <v>163</v>
      </c>
      <c r="I323" s="34" t="s">
        <v>25</v>
      </c>
      <c r="J323" s="37"/>
      <c r="K323" s="2235"/>
      <c r="L323" s="37"/>
      <c r="M323" s="37"/>
      <c r="N323" s="37"/>
      <c r="O323" s="38"/>
      <c r="Q323" s="34" t="s">
        <v>25</v>
      </c>
    </row>
    <row r="324" spans="1:17" ht="18.75" customHeight="1" x14ac:dyDescent="0.3">
      <c r="A324" s="112">
        <v>256</v>
      </c>
      <c r="B324" s="105" t="s">
        <v>161</v>
      </c>
      <c r="C324" s="129">
        <v>400</v>
      </c>
      <c r="D324" s="113">
        <v>62</v>
      </c>
      <c r="E324" s="114">
        <v>6598</v>
      </c>
      <c r="F324" s="115">
        <v>22894</v>
      </c>
      <c r="G324" s="116">
        <v>1819</v>
      </c>
      <c r="H324" s="1742" t="s">
        <v>163</v>
      </c>
      <c r="I324" s="34" t="s">
        <v>25</v>
      </c>
      <c r="J324" s="37"/>
      <c r="K324" s="2235"/>
      <c r="L324" s="37"/>
      <c r="M324" s="37"/>
      <c r="N324" s="37"/>
      <c r="O324" s="38"/>
      <c r="Q324" s="34" t="s">
        <v>25</v>
      </c>
    </row>
    <row r="325" spans="1:17" ht="18.75" customHeight="1" x14ac:dyDescent="0.3">
      <c r="A325" s="112">
        <v>257</v>
      </c>
      <c r="B325" s="105" t="s">
        <v>161</v>
      </c>
      <c r="C325" s="129">
        <v>400</v>
      </c>
      <c r="D325" s="113">
        <v>62</v>
      </c>
      <c r="E325" s="114">
        <v>6599</v>
      </c>
      <c r="F325" s="115">
        <v>22894</v>
      </c>
      <c r="G325" s="116">
        <v>1819</v>
      </c>
      <c r="H325" s="1837" t="s">
        <v>164</v>
      </c>
      <c r="I325" s="34" t="s">
        <v>25</v>
      </c>
      <c r="J325" s="37"/>
      <c r="K325" s="2235"/>
      <c r="L325" s="37"/>
      <c r="M325" s="37"/>
      <c r="N325" s="37"/>
      <c r="O325" s="38"/>
      <c r="Q325" s="34" t="s">
        <v>25</v>
      </c>
    </row>
    <row r="326" spans="1:17" ht="18.75" customHeight="1" x14ac:dyDescent="0.3">
      <c r="A326" s="112">
        <v>258</v>
      </c>
      <c r="B326" s="105" t="s">
        <v>161</v>
      </c>
      <c r="C326" s="129">
        <v>400</v>
      </c>
      <c r="D326" s="113">
        <v>62</v>
      </c>
      <c r="E326" s="114">
        <v>6600</v>
      </c>
      <c r="F326" s="115">
        <v>22894</v>
      </c>
      <c r="G326" s="116">
        <v>1819</v>
      </c>
      <c r="H326" s="1742" t="s">
        <v>163</v>
      </c>
      <c r="I326" s="34" t="s">
        <v>25</v>
      </c>
      <c r="J326" s="37"/>
      <c r="K326" s="2235"/>
      <c r="L326" s="37"/>
      <c r="M326" s="37"/>
      <c r="N326" s="37"/>
      <c r="O326" s="38"/>
      <c r="Q326" s="34" t="s">
        <v>25</v>
      </c>
    </row>
    <row r="327" spans="1:17" ht="18.75" customHeight="1" x14ac:dyDescent="0.3">
      <c r="A327" s="112">
        <v>259</v>
      </c>
      <c r="B327" s="105" t="s">
        <v>161</v>
      </c>
      <c r="C327" s="129">
        <v>400</v>
      </c>
      <c r="D327" s="113">
        <v>62</v>
      </c>
      <c r="E327" s="114">
        <v>6601</v>
      </c>
      <c r="F327" s="115">
        <v>22894</v>
      </c>
      <c r="G327" s="116">
        <v>1819</v>
      </c>
      <c r="H327" s="1742" t="s">
        <v>163</v>
      </c>
      <c r="I327" s="34" t="s">
        <v>25</v>
      </c>
      <c r="J327" s="37"/>
      <c r="K327" s="2235"/>
      <c r="L327" s="37"/>
      <c r="M327" s="37"/>
      <c r="N327" s="37"/>
      <c r="O327" s="38"/>
      <c r="Q327" s="34" t="s">
        <v>25</v>
      </c>
    </row>
    <row r="328" spans="1:17" ht="18.75" customHeight="1" x14ac:dyDescent="0.3">
      <c r="A328" s="112">
        <v>260</v>
      </c>
      <c r="B328" s="105" t="s">
        <v>165</v>
      </c>
      <c r="C328" s="129">
        <v>400</v>
      </c>
      <c r="D328" s="113">
        <v>63</v>
      </c>
      <c r="E328" s="114">
        <v>6650</v>
      </c>
      <c r="F328" s="115">
        <v>22968</v>
      </c>
      <c r="G328" s="116">
        <v>2990.65</v>
      </c>
      <c r="H328" s="1742" t="s">
        <v>166</v>
      </c>
      <c r="I328" s="34" t="s">
        <v>25</v>
      </c>
      <c r="J328" s="37"/>
      <c r="K328" s="2235"/>
      <c r="L328" s="37"/>
      <c r="M328" s="37"/>
      <c r="N328" s="37"/>
      <c r="O328" s="38"/>
      <c r="Q328" s="34" t="s">
        <v>25</v>
      </c>
    </row>
    <row r="329" spans="1:17" ht="18.75" customHeight="1" x14ac:dyDescent="0.3">
      <c r="A329" s="112">
        <v>261</v>
      </c>
      <c r="B329" s="105" t="s">
        <v>165</v>
      </c>
      <c r="C329" s="129">
        <v>400</v>
      </c>
      <c r="D329" s="113">
        <v>63</v>
      </c>
      <c r="E329" s="114">
        <v>6651</v>
      </c>
      <c r="F329" s="115">
        <v>22968</v>
      </c>
      <c r="G329" s="116">
        <v>2990.65</v>
      </c>
      <c r="H329" s="1741" t="s">
        <v>162</v>
      </c>
      <c r="I329" s="34" t="s">
        <v>25</v>
      </c>
      <c r="J329" s="37"/>
      <c r="K329" s="2235"/>
      <c r="L329" s="37"/>
      <c r="M329" s="37"/>
      <c r="N329" s="37"/>
      <c r="O329" s="38"/>
      <c r="Q329" s="34" t="s">
        <v>25</v>
      </c>
    </row>
    <row r="330" spans="1:17" ht="18.75" customHeight="1" x14ac:dyDescent="0.3">
      <c r="A330" s="112">
        <v>262</v>
      </c>
      <c r="B330" s="105" t="s">
        <v>165</v>
      </c>
      <c r="C330" s="129">
        <v>400</v>
      </c>
      <c r="D330" s="125">
        <v>63</v>
      </c>
      <c r="E330" s="114">
        <v>6652</v>
      </c>
      <c r="F330" s="115">
        <v>22968</v>
      </c>
      <c r="G330" s="116">
        <v>2990.65</v>
      </c>
      <c r="H330" s="1741" t="s">
        <v>162</v>
      </c>
      <c r="I330" s="34" t="s">
        <v>25</v>
      </c>
      <c r="J330" s="37"/>
      <c r="K330" s="2235"/>
      <c r="L330" s="37"/>
      <c r="M330" s="37"/>
      <c r="N330" s="37"/>
      <c r="O330" s="38"/>
      <c r="Q330" s="34" t="s">
        <v>25</v>
      </c>
    </row>
    <row r="331" spans="1:17" ht="18.75" customHeight="1" x14ac:dyDescent="0.3">
      <c r="A331" s="112">
        <v>263</v>
      </c>
      <c r="B331" s="105" t="s">
        <v>165</v>
      </c>
      <c r="C331" s="129">
        <v>400</v>
      </c>
      <c r="D331" s="128">
        <v>63</v>
      </c>
      <c r="E331" s="114">
        <v>6653</v>
      </c>
      <c r="F331" s="115">
        <v>22968</v>
      </c>
      <c r="G331" s="116">
        <v>2990.65</v>
      </c>
      <c r="H331" s="1741" t="s">
        <v>162</v>
      </c>
      <c r="I331" s="34" t="s">
        <v>25</v>
      </c>
      <c r="J331" s="37"/>
      <c r="K331" s="2235"/>
      <c r="L331" s="37"/>
      <c r="M331" s="37"/>
      <c r="N331" s="37"/>
      <c r="O331" s="38"/>
      <c r="Q331" s="34" t="s">
        <v>25</v>
      </c>
    </row>
    <row r="332" spans="1:17" ht="18.75" customHeight="1" x14ac:dyDescent="0.3">
      <c r="A332" s="112">
        <v>264</v>
      </c>
      <c r="B332" s="105" t="s">
        <v>165</v>
      </c>
      <c r="C332" s="152">
        <v>400</v>
      </c>
      <c r="D332" s="113">
        <v>63</v>
      </c>
      <c r="E332" s="114">
        <v>6654</v>
      </c>
      <c r="F332" s="115">
        <v>22968</v>
      </c>
      <c r="G332" s="116">
        <v>2990.65</v>
      </c>
      <c r="H332" s="1742" t="s">
        <v>166</v>
      </c>
      <c r="I332" s="34" t="s">
        <v>25</v>
      </c>
      <c r="J332" s="37"/>
      <c r="K332" s="2235"/>
      <c r="L332" s="37"/>
      <c r="M332" s="37"/>
      <c r="N332" s="37"/>
      <c r="O332" s="38"/>
      <c r="Q332" s="34" t="s">
        <v>25</v>
      </c>
    </row>
    <row r="333" spans="1:17" ht="18.75" customHeight="1" x14ac:dyDescent="0.3">
      <c r="A333" s="112">
        <v>265</v>
      </c>
      <c r="B333" s="105" t="s">
        <v>165</v>
      </c>
      <c r="C333" s="152">
        <v>400</v>
      </c>
      <c r="D333" s="113">
        <v>63</v>
      </c>
      <c r="E333" s="114">
        <v>6655</v>
      </c>
      <c r="F333" s="115">
        <v>22968</v>
      </c>
      <c r="G333" s="116">
        <v>2990.65</v>
      </c>
      <c r="H333" s="1742" t="s">
        <v>166</v>
      </c>
      <c r="I333" s="34" t="s">
        <v>25</v>
      </c>
      <c r="J333" s="37"/>
      <c r="K333" s="2235"/>
      <c r="L333" s="37"/>
      <c r="M333" s="37"/>
      <c r="N333" s="37"/>
      <c r="O333" s="38"/>
      <c r="Q333" s="34" t="s">
        <v>25</v>
      </c>
    </row>
    <row r="334" spans="1:17" ht="18.75" customHeight="1" x14ac:dyDescent="0.3">
      <c r="A334" s="112">
        <v>266</v>
      </c>
      <c r="B334" s="105" t="s">
        <v>165</v>
      </c>
      <c r="C334" s="152">
        <v>400</v>
      </c>
      <c r="D334" s="113">
        <v>63</v>
      </c>
      <c r="E334" s="114">
        <v>6656</v>
      </c>
      <c r="F334" s="115">
        <v>22968</v>
      </c>
      <c r="G334" s="116">
        <v>2990.65</v>
      </c>
      <c r="H334" s="1742" t="s">
        <v>166</v>
      </c>
      <c r="I334" s="34" t="s">
        <v>25</v>
      </c>
      <c r="J334" s="37"/>
      <c r="K334" s="2235"/>
      <c r="L334" s="37"/>
      <c r="M334" s="37"/>
      <c r="N334" s="37"/>
      <c r="O334" s="38"/>
      <c r="Q334" s="34" t="s">
        <v>25</v>
      </c>
    </row>
    <row r="335" spans="1:17" ht="18.75" customHeight="1" x14ac:dyDescent="0.3">
      <c r="A335" s="112">
        <v>267</v>
      </c>
      <c r="B335" s="105" t="s">
        <v>165</v>
      </c>
      <c r="C335" s="152">
        <v>400</v>
      </c>
      <c r="D335" s="113">
        <v>63</v>
      </c>
      <c r="E335" s="114">
        <v>6657</v>
      </c>
      <c r="F335" s="115">
        <v>22968</v>
      </c>
      <c r="G335" s="116">
        <v>2990.65</v>
      </c>
      <c r="H335" s="1741" t="s">
        <v>162</v>
      </c>
      <c r="I335" s="34" t="s">
        <v>25</v>
      </c>
      <c r="J335" s="37"/>
      <c r="K335" s="2235"/>
      <c r="L335" s="37"/>
      <c r="M335" s="37"/>
      <c r="N335" s="37"/>
      <c r="O335" s="38"/>
      <c r="Q335" s="34" t="s">
        <v>25</v>
      </c>
    </row>
    <row r="336" spans="1:17" ht="18.75" customHeight="1" x14ac:dyDescent="0.3">
      <c r="A336" s="112">
        <v>268</v>
      </c>
      <c r="B336" s="105" t="s">
        <v>165</v>
      </c>
      <c r="C336" s="152">
        <v>400</v>
      </c>
      <c r="D336" s="113">
        <v>63</v>
      </c>
      <c r="E336" s="114">
        <v>6658</v>
      </c>
      <c r="F336" s="115">
        <v>22968</v>
      </c>
      <c r="G336" s="116">
        <v>2990.65</v>
      </c>
      <c r="H336" s="1741" t="s">
        <v>162</v>
      </c>
      <c r="I336" s="34" t="s">
        <v>25</v>
      </c>
      <c r="J336" s="37"/>
      <c r="K336" s="2235"/>
      <c r="L336" s="37"/>
      <c r="M336" s="37"/>
      <c r="N336" s="37"/>
      <c r="O336" s="38"/>
      <c r="Q336" s="34" t="s">
        <v>25</v>
      </c>
    </row>
    <row r="337" spans="1:17" ht="18.75" customHeight="1" x14ac:dyDescent="0.3">
      <c r="A337" s="112">
        <v>269</v>
      </c>
      <c r="B337" s="105" t="s">
        <v>165</v>
      </c>
      <c r="C337" s="152">
        <v>400</v>
      </c>
      <c r="D337" s="125">
        <v>63</v>
      </c>
      <c r="E337" s="114">
        <v>6659</v>
      </c>
      <c r="F337" s="115">
        <v>22968</v>
      </c>
      <c r="G337" s="116">
        <v>2990.65</v>
      </c>
      <c r="H337" s="1741" t="s">
        <v>162</v>
      </c>
      <c r="I337" s="34" t="s">
        <v>25</v>
      </c>
      <c r="J337" s="37"/>
      <c r="K337" s="2235"/>
      <c r="L337" s="37"/>
      <c r="M337" s="37"/>
      <c r="N337" s="37"/>
      <c r="O337" s="38"/>
      <c r="Q337" s="34" t="s">
        <v>25</v>
      </c>
    </row>
    <row r="338" spans="1:17" ht="18.75" customHeight="1" x14ac:dyDescent="0.3">
      <c r="A338" s="112">
        <v>270</v>
      </c>
      <c r="B338" s="105" t="s">
        <v>165</v>
      </c>
      <c r="C338" s="152">
        <v>400</v>
      </c>
      <c r="D338" s="149">
        <v>63</v>
      </c>
      <c r="E338" s="114">
        <v>6660</v>
      </c>
      <c r="F338" s="115">
        <v>22968</v>
      </c>
      <c r="G338" s="116">
        <v>2990.65</v>
      </c>
      <c r="H338" s="1741" t="s">
        <v>162</v>
      </c>
      <c r="I338" s="34" t="s">
        <v>25</v>
      </c>
      <c r="J338" s="37"/>
      <c r="K338" s="2235"/>
      <c r="L338" s="37"/>
      <c r="M338" s="37"/>
      <c r="N338" s="37"/>
      <c r="O338" s="38"/>
      <c r="Q338" s="34" t="s">
        <v>25</v>
      </c>
    </row>
    <row r="339" spans="1:17" ht="18.75" customHeight="1" x14ac:dyDescent="0.3">
      <c r="A339" s="112">
        <v>271</v>
      </c>
      <c r="B339" s="105" t="s">
        <v>165</v>
      </c>
      <c r="C339" s="152">
        <v>400</v>
      </c>
      <c r="D339" s="113">
        <v>63</v>
      </c>
      <c r="E339" s="114">
        <v>6661</v>
      </c>
      <c r="F339" s="115">
        <v>22968</v>
      </c>
      <c r="G339" s="116">
        <v>2990.65</v>
      </c>
      <c r="H339" s="1741" t="s">
        <v>162</v>
      </c>
      <c r="I339" s="34" t="s">
        <v>25</v>
      </c>
      <c r="J339" s="37"/>
      <c r="K339" s="2235"/>
      <c r="L339" s="37"/>
      <c r="M339" s="37"/>
      <c r="N339" s="37"/>
      <c r="O339" s="38"/>
      <c r="Q339" s="34" t="s">
        <v>25</v>
      </c>
    </row>
    <row r="340" spans="1:17" ht="18.75" customHeight="1" x14ac:dyDescent="0.3">
      <c r="A340" s="112">
        <v>272</v>
      </c>
      <c r="B340" s="105" t="s">
        <v>165</v>
      </c>
      <c r="C340" s="152">
        <v>400</v>
      </c>
      <c r="D340" s="113">
        <v>63</v>
      </c>
      <c r="E340" s="114">
        <v>6662</v>
      </c>
      <c r="F340" s="115">
        <v>22968</v>
      </c>
      <c r="G340" s="116">
        <v>2990.65</v>
      </c>
      <c r="H340" s="1741" t="s">
        <v>162</v>
      </c>
      <c r="I340" s="34" t="s">
        <v>25</v>
      </c>
      <c r="J340" s="37"/>
      <c r="K340" s="2235"/>
      <c r="L340" s="37"/>
      <c r="M340" s="37"/>
      <c r="N340" s="37"/>
      <c r="O340" s="38"/>
      <c r="Q340" s="34" t="s">
        <v>25</v>
      </c>
    </row>
    <row r="341" spans="1:17" ht="18.75" customHeight="1" x14ac:dyDescent="0.3">
      <c r="A341" s="112">
        <v>273</v>
      </c>
      <c r="B341" s="105" t="s">
        <v>165</v>
      </c>
      <c r="C341" s="152">
        <v>400</v>
      </c>
      <c r="D341" s="113">
        <v>63</v>
      </c>
      <c r="E341" s="114">
        <v>6663</v>
      </c>
      <c r="F341" s="115">
        <v>22968</v>
      </c>
      <c r="G341" s="116">
        <v>2990.65</v>
      </c>
      <c r="H341" s="1741" t="s">
        <v>162</v>
      </c>
      <c r="I341" s="34" t="s">
        <v>25</v>
      </c>
      <c r="J341" s="37"/>
      <c r="K341" s="2235"/>
      <c r="L341" s="37"/>
      <c r="M341" s="37"/>
      <c r="N341" s="37"/>
      <c r="O341" s="38"/>
      <c r="Q341" s="34" t="s">
        <v>25</v>
      </c>
    </row>
    <row r="342" spans="1:17" ht="18.75" customHeight="1" x14ac:dyDescent="0.3">
      <c r="A342" s="112">
        <v>274</v>
      </c>
      <c r="B342" s="105" t="s">
        <v>167</v>
      </c>
      <c r="C342" s="152">
        <v>400</v>
      </c>
      <c r="D342" s="113">
        <v>65</v>
      </c>
      <c r="E342" s="114">
        <v>6898</v>
      </c>
      <c r="F342" s="115">
        <v>23887</v>
      </c>
      <c r="G342" s="153">
        <v>4173</v>
      </c>
      <c r="H342" s="1741" t="s">
        <v>168</v>
      </c>
      <c r="I342" s="34" t="s">
        <v>25</v>
      </c>
      <c r="J342" s="37"/>
      <c r="K342" s="2235"/>
      <c r="L342" s="37"/>
      <c r="M342" s="37"/>
      <c r="N342" s="37"/>
      <c r="O342" s="38"/>
      <c r="Q342" s="34" t="s">
        <v>25</v>
      </c>
    </row>
    <row r="343" spans="1:17" ht="18.75" customHeight="1" x14ac:dyDescent="0.3">
      <c r="A343" s="112">
        <v>275</v>
      </c>
      <c r="B343" s="105" t="s">
        <v>167</v>
      </c>
      <c r="C343" s="152">
        <v>400</v>
      </c>
      <c r="D343" s="113">
        <v>65</v>
      </c>
      <c r="E343" s="114">
        <v>6899</v>
      </c>
      <c r="F343" s="115">
        <v>23887</v>
      </c>
      <c r="G343" s="154">
        <v>4173</v>
      </c>
      <c r="H343" s="1741" t="s">
        <v>168</v>
      </c>
      <c r="I343" s="34" t="s">
        <v>25</v>
      </c>
      <c r="J343" s="37"/>
      <c r="K343" s="2235"/>
      <c r="L343" s="37"/>
      <c r="M343" s="37"/>
      <c r="N343" s="37"/>
      <c r="O343" s="38"/>
      <c r="Q343" s="34" t="s">
        <v>25</v>
      </c>
    </row>
    <row r="344" spans="1:17" ht="18.75" customHeight="1" x14ac:dyDescent="0.3">
      <c r="A344" s="112">
        <v>276</v>
      </c>
      <c r="B344" s="105" t="s">
        <v>167</v>
      </c>
      <c r="C344" s="152">
        <v>400</v>
      </c>
      <c r="D344" s="113">
        <v>65</v>
      </c>
      <c r="E344" s="114">
        <v>6900</v>
      </c>
      <c r="F344" s="115">
        <v>23887</v>
      </c>
      <c r="G344" s="154">
        <v>4173</v>
      </c>
      <c r="H344" s="1741" t="s">
        <v>168</v>
      </c>
      <c r="I344" s="34" t="s">
        <v>25</v>
      </c>
      <c r="J344" s="37"/>
      <c r="K344" s="2235"/>
      <c r="L344" s="37"/>
      <c r="M344" s="37"/>
      <c r="N344" s="37"/>
      <c r="O344" s="38"/>
      <c r="Q344" s="34" t="s">
        <v>25</v>
      </c>
    </row>
    <row r="345" spans="1:17" ht="18.75" customHeight="1" x14ac:dyDescent="0.3">
      <c r="A345" s="112">
        <v>277</v>
      </c>
      <c r="B345" s="105" t="s">
        <v>167</v>
      </c>
      <c r="C345" s="152">
        <v>400</v>
      </c>
      <c r="D345" s="125">
        <v>65</v>
      </c>
      <c r="E345" s="114">
        <v>6901</v>
      </c>
      <c r="F345" s="115">
        <v>23887</v>
      </c>
      <c r="G345" s="154">
        <v>4173</v>
      </c>
      <c r="H345" s="1741" t="s">
        <v>169</v>
      </c>
      <c r="I345" s="34" t="s">
        <v>25</v>
      </c>
      <c r="J345" s="37"/>
      <c r="K345" s="2235"/>
      <c r="L345" s="37"/>
      <c r="M345" s="37"/>
      <c r="N345" s="37"/>
      <c r="O345" s="38"/>
      <c r="Q345" s="34" t="s">
        <v>25</v>
      </c>
    </row>
    <row r="346" spans="1:17" ht="18.75" customHeight="1" x14ac:dyDescent="0.3">
      <c r="A346" s="112">
        <v>278</v>
      </c>
      <c r="B346" s="105" t="s">
        <v>167</v>
      </c>
      <c r="C346" s="152">
        <v>400</v>
      </c>
      <c r="D346" s="149">
        <v>65</v>
      </c>
      <c r="E346" s="114">
        <v>6902</v>
      </c>
      <c r="F346" s="115">
        <v>23887</v>
      </c>
      <c r="G346" s="154">
        <v>4173</v>
      </c>
      <c r="H346" s="1741" t="s">
        <v>169</v>
      </c>
      <c r="I346" s="34" t="s">
        <v>25</v>
      </c>
      <c r="J346" s="37"/>
      <c r="K346" s="2235"/>
      <c r="L346" s="37"/>
      <c r="M346" s="37"/>
      <c r="N346" s="37"/>
      <c r="O346" s="38"/>
      <c r="Q346" s="34" t="s">
        <v>25</v>
      </c>
    </row>
    <row r="347" spans="1:17" ht="18.75" customHeight="1" x14ac:dyDescent="0.3">
      <c r="A347" s="112">
        <v>279</v>
      </c>
      <c r="B347" s="105" t="s">
        <v>167</v>
      </c>
      <c r="C347" s="152">
        <v>400</v>
      </c>
      <c r="D347" s="113">
        <v>65</v>
      </c>
      <c r="E347" s="114">
        <v>6903</v>
      </c>
      <c r="F347" s="115">
        <v>23887</v>
      </c>
      <c r="G347" s="154">
        <v>4173</v>
      </c>
      <c r="H347" s="1741" t="s">
        <v>169</v>
      </c>
      <c r="I347" s="34" t="s">
        <v>25</v>
      </c>
      <c r="J347" s="37"/>
      <c r="K347" s="2235"/>
      <c r="L347" s="37"/>
      <c r="M347" s="37"/>
      <c r="N347" s="37"/>
      <c r="O347" s="38"/>
      <c r="Q347" s="34" t="s">
        <v>25</v>
      </c>
    </row>
    <row r="348" spans="1:17" ht="18.75" customHeight="1" x14ac:dyDescent="0.3">
      <c r="A348" s="112">
        <v>280</v>
      </c>
      <c r="B348" s="105" t="s">
        <v>167</v>
      </c>
      <c r="C348" s="152">
        <v>400</v>
      </c>
      <c r="D348" s="113">
        <v>65</v>
      </c>
      <c r="E348" s="114">
        <v>6904</v>
      </c>
      <c r="F348" s="115">
        <v>23887</v>
      </c>
      <c r="G348" s="154">
        <v>4173</v>
      </c>
      <c r="H348" s="1741" t="s">
        <v>162</v>
      </c>
      <c r="I348" s="34" t="s">
        <v>25</v>
      </c>
      <c r="J348" s="37"/>
      <c r="K348" s="2235"/>
      <c r="L348" s="37"/>
      <c r="M348" s="37"/>
      <c r="N348" s="37"/>
      <c r="O348" s="38"/>
      <c r="Q348" s="34" t="s">
        <v>25</v>
      </c>
    </row>
    <row r="349" spans="1:17" ht="18.75" customHeight="1" x14ac:dyDescent="0.3">
      <c r="A349" s="112">
        <v>281</v>
      </c>
      <c r="B349" s="105" t="s">
        <v>167</v>
      </c>
      <c r="C349" s="152">
        <v>400</v>
      </c>
      <c r="D349" s="113">
        <v>65</v>
      </c>
      <c r="E349" s="114">
        <v>6905</v>
      </c>
      <c r="F349" s="115">
        <v>23887</v>
      </c>
      <c r="G349" s="154">
        <v>4173</v>
      </c>
      <c r="H349" s="1741" t="s">
        <v>162</v>
      </c>
      <c r="I349" s="34" t="s">
        <v>25</v>
      </c>
      <c r="J349" s="37"/>
      <c r="K349" s="2235"/>
      <c r="L349" s="37"/>
      <c r="M349" s="37"/>
      <c r="N349" s="37"/>
      <c r="O349" s="38"/>
      <c r="Q349" s="34" t="s">
        <v>25</v>
      </c>
    </row>
    <row r="350" spans="1:17" ht="22.2" customHeight="1" x14ac:dyDescent="0.3">
      <c r="A350" s="2822">
        <v>282</v>
      </c>
      <c r="B350" s="2284" t="s">
        <v>135</v>
      </c>
      <c r="C350" s="156">
        <v>400</v>
      </c>
      <c r="D350" s="157">
        <v>44</v>
      </c>
      <c r="E350" s="158">
        <v>3969</v>
      </c>
      <c r="F350" s="159">
        <v>16157</v>
      </c>
      <c r="G350" s="160">
        <v>2600</v>
      </c>
      <c r="H350" s="1743" t="s">
        <v>101</v>
      </c>
      <c r="I350" s="84" t="s">
        <v>25</v>
      </c>
      <c r="J350" s="161"/>
      <c r="K350" s="2236"/>
      <c r="L350" s="161"/>
      <c r="M350" s="161"/>
      <c r="N350" s="161"/>
      <c r="O350" s="162" t="s">
        <v>170</v>
      </c>
      <c r="Q350" s="84" t="s">
        <v>25</v>
      </c>
    </row>
    <row r="351" spans="1:17" ht="22.2" customHeight="1" x14ac:dyDescent="0.4">
      <c r="A351" s="400">
        <v>283</v>
      </c>
      <c r="B351" s="2286" t="s">
        <v>135</v>
      </c>
      <c r="C351" s="169" t="s">
        <v>171</v>
      </c>
      <c r="D351" s="164" t="s">
        <v>172</v>
      </c>
      <c r="E351" s="165" t="s">
        <v>173</v>
      </c>
      <c r="F351" s="166"/>
      <c r="G351" s="167">
        <v>0</v>
      </c>
      <c r="H351" s="168" t="s">
        <v>174</v>
      </c>
      <c r="I351" s="2287" t="s">
        <v>25</v>
      </c>
      <c r="J351" s="161"/>
      <c r="K351" s="2236"/>
      <c r="L351" s="161"/>
      <c r="M351" s="161"/>
      <c r="N351" s="161"/>
      <c r="O351" s="2288" t="s">
        <v>5862</v>
      </c>
      <c r="Q351" s="2287" t="s">
        <v>25</v>
      </c>
    </row>
    <row r="352" spans="1:17" ht="22.2" customHeight="1" x14ac:dyDescent="0.4">
      <c r="A352" s="363">
        <v>284</v>
      </c>
      <c r="B352" s="2286" t="s">
        <v>135</v>
      </c>
      <c r="C352" s="169" t="s">
        <v>171</v>
      </c>
      <c r="D352" s="164" t="s">
        <v>172</v>
      </c>
      <c r="E352" s="165" t="s">
        <v>175</v>
      </c>
      <c r="F352" s="166"/>
      <c r="G352" s="167">
        <v>0</v>
      </c>
      <c r="H352" s="168" t="s">
        <v>174</v>
      </c>
      <c r="I352" s="2287" t="s">
        <v>25</v>
      </c>
      <c r="J352" s="161"/>
      <c r="K352" s="2236"/>
      <c r="L352" s="161"/>
      <c r="M352" s="161"/>
      <c r="N352" s="161"/>
      <c r="O352" s="2288" t="s">
        <v>5862</v>
      </c>
      <c r="Q352" s="2287" t="s">
        <v>25</v>
      </c>
    </row>
    <row r="353" spans="1:17" ht="22.2" customHeight="1" x14ac:dyDescent="0.4">
      <c r="A353" s="363">
        <v>285</v>
      </c>
      <c r="B353" s="2286" t="s">
        <v>176</v>
      </c>
      <c r="C353" s="169" t="s">
        <v>171</v>
      </c>
      <c r="D353" s="164" t="s">
        <v>172</v>
      </c>
      <c r="E353" s="165" t="s">
        <v>177</v>
      </c>
      <c r="F353" s="170"/>
      <c r="G353" s="171">
        <v>85000</v>
      </c>
      <c r="H353" s="168" t="s">
        <v>174</v>
      </c>
      <c r="I353" s="2287" t="s">
        <v>25</v>
      </c>
      <c r="J353" s="161"/>
      <c r="K353" s="2236"/>
      <c r="L353" s="161"/>
      <c r="M353" s="161"/>
      <c r="N353" s="161"/>
      <c r="O353" s="2288" t="s">
        <v>5862</v>
      </c>
      <c r="Q353" s="2287" t="s">
        <v>25</v>
      </c>
    </row>
    <row r="354" spans="1:17" ht="18.75" customHeight="1" x14ac:dyDescent="0.4">
      <c r="A354" s="112">
        <v>286</v>
      </c>
      <c r="B354" s="2285" t="s">
        <v>158</v>
      </c>
      <c r="C354" s="1748">
        <v>400</v>
      </c>
      <c r="D354" s="1179">
        <v>67</v>
      </c>
      <c r="E354" s="1749" t="s">
        <v>4812</v>
      </c>
      <c r="F354" s="1751">
        <v>243702</v>
      </c>
      <c r="G354" s="1750">
        <v>680</v>
      </c>
      <c r="H354" s="1731" t="s">
        <v>41</v>
      </c>
      <c r="I354" s="2287" t="s">
        <v>25</v>
      </c>
      <c r="J354" s="37"/>
      <c r="K354" s="2235"/>
      <c r="L354" s="37"/>
      <c r="M354" s="37"/>
      <c r="N354" s="37"/>
      <c r="O354" s="2360" t="s">
        <v>5885</v>
      </c>
      <c r="Q354" s="2287" t="s">
        <v>25</v>
      </c>
    </row>
    <row r="355" spans="1:17" ht="18.75" customHeight="1" x14ac:dyDescent="0.4">
      <c r="A355" s="112">
        <v>287</v>
      </c>
      <c r="B355" s="1747" t="s">
        <v>158</v>
      </c>
      <c r="C355" s="1748">
        <v>400</v>
      </c>
      <c r="D355" s="1179">
        <v>67</v>
      </c>
      <c r="E355" s="1749" t="s">
        <v>4813</v>
      </c>
      <c r="F355" s="1751">
        <v>243702</v>
      </c>
      <c r="G355" s="1750">
        <v>680</v>
      </c>
      <c r="H355" s="1731" t="s">
        <v>41</v>
      </c>
      <c r="I355" s="2287" t="s">
        <v>25</v>
      </c>
      <c r="J355" s="37"/>
      <c r="K355" s="2235"/>
      <c r="L355" s="37"/>
      <c r="M355" s="37"/>
      <c r="N355" s="37"/>
      <c r="O355" s="2360" t="s">
        <v>5885</v>
      </c>
      <c r="Q355" s="2287" t="s">
        <v>25</v>
      </c>
    </row>
    <row r="356" spans="1:17" ht="18.75" customHeight="1" x14ac:dyDescent="0.4">
      <c r="A356" s="112">
        <v>288</v>
      </c>
      <c r="B356" s="1747" t="s">
        <v>158</v>
      </c>
      <c r="C356" s="1748">
        <v>400</v>
      </c>
      <c r="D356" s="1179">
        <v>67</v>
      </c>
      <c r="E356" s="1749" t="s">
        <v>4814</v>
      </c>
      <c r="F356" s="1751">
        <v>243702</v>
      </c>
      <c r="G356" s="1750">
        <v>680</v>
      </c>
      <c r="H356" s="1731" t="s">
        <v>41</v>
      </c>
      <c r="I356" s="2287" t="s">
        <v>25</v>
      </c>
      <c r="J356" s="37"/>
      <c r="K356" s="2235"/>
      <c r="L356" s="37"/>
      <c r="M356" s="37"/>
      <c r="N356" s="37"/>
      <c r="O356" s="2360" t="s">
        <v>5885</v>
      </c>
      <c r="Q356" s="2287" t="s">
        <v>25</v>
      </c>
    </row>
    <row r="357" spans="1:17" ht="18.75" customHeight="1" x14ac:dyDescent="0.4">
      <c r="A357" s="112">
        <v>289</v>
      </c>
      <c r="B357" s="1747" t="s">
        <v>158</v>
      </c>
      <c r="C357" s="1748">
        <v>400</v>
      </c>
      <c r="D357" s="1179">
        <v>67</v>
      </c>
      <c r="E357" s="1749" t="s">
        <v>4815</v>
      </c>
      <c r="F357" s="1751">
        <v>243702</v>
      </c>
      <c r="G357" s="1750">
        <v>680</v>
      </c>
      <c r="H357" s="1731" t="s">
        <v>41</v>
      </c>
      <c r="I357" s="2287" t="s">
        <v>25</v>
      </c>
      <c r="J357" s="37"/>
      <c r="K357" s="2235"/>
      <c r="L357" s="37"/>
      <c r="M357" s="37"/>
      <c r="N357" s="37"/>
      <c r="O357" s="2360" t="s">
        <v>5885</v>
      </c>
      <c r="Q357" s="2287" t="s">
        <v>25</v>
      </c>
    </row>
    <row r="358" spans="1:17" ht="18.75" customHeight="1" x14ac:dyDescent="0.4">
      <c r="A358" s="112">
        <v>290</v>
      </c>
      <c r="B358" s="1747" t="s">
        <v>158</v>
      </c>
      <c r="C358" s="1748">
        <v>400</v>
      </c>
      <c r="D358" s="1179">
        <v>67</v>
      </c>
      <c r="E358" s="1749" t="s">
        <v>4816</v>
      </c>
      <c r="F358" s="1751">
        <v>243702</v>
      </c>
      <c r="G358" s="1750">
        <v>680</v>
      </c>
      <c r="H358" s="1731" t="s">
        <v>41</v>
      </c>
      <c r="I358" s="2287" t="s">
        <v>25</v>
      </c>
      <c r="J358" s="37"/>
      <c r="K358" s="2235"/>
      <c r="L358" s="37"/>
      <c r="M358" s="37"/>
      <c r="N358" s="37"/>
      <c r="O358" s="2360" t="s">
        <v>5885</v>
      </c>
      <c r="Q358" s="2287" t="s">
        <v>25</v>
      </c>
    </row>
    <row r="359" spans="1:17" ht="18.75" customHeight="1" x14ac:dyDescent="0.4">
      <c r="A359" s="2822">
        <v>291</v>
      </c>
      <c r="B359" s="1747" t="s">
        <v>158</v>
      </c>
      <c r="C359" s="1748">
        <v>400</v>
      </c>
      <c r="D359" s="1179">
        <v>67</v>
      </c>
      <c r="E359" s="1749" t="s">
        <v>4817</v>
      </c>
      <c r="F359" s="1751">
        <v>243702</v>
      </c>
      <c r="G359" s="1750">
        <v>680</v>
      </c>
      <c r="H359" s="1731" t="s">
        <v>41</v>
      </c>
      <c r="I359" s="2287" t="s">
        <v>25</v>
      </c>
      <c r="J359" s="37"/>
      <c r="K359" s="2235"/>
      <c r="L359" s="37"/>
      <c r="M359" s="37"/>
      <c r="N359" s="37"/>
      <c r="O359" s="2360" t="s">
        <v>5885</v>
      </c>
      <c r="Q359" s="2287" t="s">
        <v>25</v>
      </c>
    </row>
    <row r="360" spans="1:17" ht="18.75" customHeight="1" x14ac:dyDescent="0.4">
      <c r="A360" s="2822">
        <v>292</v>
      </c>
      <c r="B360" s="1747" t="s">
        <v>158</v>
      </c>
      <c r="C360" s="1748">
        <v>400</v>
      </c>
      <c r="D360" s="1179">
        <v>67</v>
      </c>
      <c r="E360" s="1749" t="s">
        <v>4818</v>
      </c>
      <c r="F360" s="1751">
        <v>243702</v>
      </c>
      <c r="G360" s="1750">
        <v>680</v>
      </c>
      <c r="H360" s="1731" t="s">
        <v>41</v>
      </c>
      <c r="I360" s="2287" t="s">
        <v>25</v>
      </c>
      <c r="J360" s="37"/>
      <c r="K360" s="2235"/>
      <c r="L360" s="37"/>
      <c r="M360" s="37"/>
      <c r="N360" s="37"/>
      <c r="O360" s="2360" t="s">
        <v>5885</v>
      </c>
      <c r="Q360" s="2287" t="s">
        <v>25</v>
      </c>
    </row>
    <row r="361" spans="1:17" ht="18.75" customHeight="1" x14ac:dyDescent="0.4">
      <c r="A361" s="112">
        <v>293</v>
      </c>
      <c r="B361" s="1747" t="s">
        <v>158</v>
      </c>
      <c r="C361" s="1748">
        <v>400</v>
      </c>
      <c r="D361" s="1179">
        <v>67</v>
      </c>
      <c r="E361" s="1749" t="s">
        <v>4819</v>
      </c>
      <c r="F361" s="1751">
        <v>243702</v>
      </c>
      <c r="G361" s="1750">
        <v>680</v>
      </c>
      <c r="H361" s="1731" t="s">
        <v>41</v>
      </c>
      <c r="I361" s="2287" t="s">
        <v>25</v>
      </c>
      <c r="J361" s="37"/>
      <c r="K361" s="2235"/>
      <c r="L361" s="37"/>
      <c r="M361" s="37"/>
      <c r="N361" s="37"/>
      <c r="O361" s="2360" t="s">
        <v>5885</v>
      </c>
      <c r="Q361" s="2287" t="s">
        <v>25</v>
      </c>
    </row>
    <row r="362" spans="1:17" ht="18.75" customHeight="1" x14ac:dyDescent="0.4">
      <c r="A362" s="112">
        <v>294</v>
      </c>
      <c r="B362" s="1747" t="s">
        <v>158</v>
      </c>
      <c r="C362" s="1748">
        <v>400</v>
      </c>
      <c r="D362" s="1179">
        <v>67</v>
      </c>
      <c r="E362" s="1749" t="s">
        <v>4820</v>
      </c>
      <c r="F362" s="1751">
        <v>243702</v>
      </c>
      <c r="G362" s="1750">
        <v>680</v>
      </c>
      <c r="H362" s="1731" t="s">
        <v>41</v>
      </c>
      <c r="I362" s="2287" t="s">
        <v>25</v>
      </c>
      <c r="J362" s="37"/>
      <c r="K362" s="2235"/>
      <c r="L362" s="37"/>
      <c r="M362" s="37"/>
      <c r="N362" s="37"/>
      <c r="O362" s="2360" t="s">
        <v>5885</v>
      </c>
      <c r="Q362" s="2287" t="s">
        <v>25</v>
      </c>
    </row>
    <row r="363" spans="1:17" ht="18.75" customHeight="1" x14ac:dyDescent="0.4">
      <c r="A363" s="112">
        <v>295</v>
      </c>
      <c r="B363" s="1747" t="s">
        <v>158</v>
      </c>
      <c r="C363" s="1748">
        <v>400</v>
      </c>
      <c r="D363" s="1179">
        <v>67</v>
      </c>
      <c r="E363" s="1749" t="s">
        <v>4821</v>
      </c>
      <c r="F363" s="1751">
        <v>243702</v>
      </c>
      <c r="G363" s="1750">
        <v>680</v>
      </c>
      <c r="H363" s="1731" t="s">
        <v>41</v>
      </c>
      <c r="I363" s="2287" t="s">
        <v>25</v>
      </c>
      <c r="J363" s="37"/>
      <c r="K363" s="2235"/>
      <c r="L363" s="37"/>
      <c r="M363" s="37"/>
      <c r="N363" s="37"/>
      <c r="O363" s="2360" t="s">
        <v>5885</v>
      </c>
      <c r="Q363" s="2287" t="s">
        <v>25</v>
      </c>
    </row>
    <row r="364" spans="1:17" ht="18.75" customHeight="1" x14ac:dyDescent="0.4">
      <c r="A364" s="112">
        <v>296</v>
      </c>
      <c r="B364" s="1747" t="s">
        <v>158</v>
      </c>
      <c r="C364" s="1748">
        <v>400</v>
      </c>
      <c r="D364" s="1179">
        <v>67</v>
      </c>
      <c r="E364" s="1749" t="s">
        <v>4822</v>
      </c>
      <c r="F364" s="1751">
        <v>243702</v>
      </c>
      <c r="G364" s="1750">
        <v>680</v>
      </c>
      <c r="H364" s="1731" t="s">
        <v>41</v>
      </c>
      <c r="I364" s="2287" t="s">
        <v>25</v>
      </c>
      <c r="J364" s="37"/>
      <c r="K364" s="2235"/>
      <c r="L364" s="37"/>
      <c r="M364" s="37"/>
      <c r="N364" s="37"/>
      <c r="O364" s="2360" t="s">
        <v>5885</v>
      </c>
      <c r="Q364" s="2287" t="s">
        <v>25</v>
      </c>
    </row>
    <row r="365" spans="1:17" ht="18.75" customHeight="1" x14ac:dyDescent="0.4">
      <c r="A365" s="112">
        <v>297</v>
      </c>
      <c r="B365" s="1747" t="s">
        <v>158</v>
      </c>
      <c r="C365" s="1748">
        <v>400</v>
      </c>
      <c r="D365" s="1179">
        <v>67</v>
      </c>
      <c r="E365" s="1749" t="s">
        <v>4823</v>
      </c>
      <c r="F365" s="1751">
        <v>243702</v>
      </c>
      <c r="G365" s="1750">
        <v>680</v>
      </c>
      <c r="H365" s="1731" t="s">
        <v>41</v>
      </c>
      <c r="I365" s="2287" t="s">
        <v>25</v>
      </c>
      <c r="J365" s="37"/>
      <c r="K365" s="2235"/>
      <c r="L365" s="37"/>
      <c r="M365" s="37"/>
      <c r="N365" s="37"/>
      <c r="O365" s="2360" t="s">
        <v>5885</v>
      </c>
      <c r="Q365" s="2287" t="s">
        <v>25</v>
      </c>
    </row>
    <row r="366" spans="1:17" ht="18.75" customHeight="1" x14ac:dyDescent="0.4">
      <c r="A366" s="112">
        <v>298</v>
      </c>
      <c r="B366" s="1747" t="s">
        <v>158</v>
      </c>
      <c r="C366" s="1748">
        <v>400</v>
      </c>
      <c r="D366" s="1179">
        <v>67</v>
      </c>
      <c r="E366" s="1749" t="s">
        <v>4824</v>
      </c>
      <c r="F366" s="1751">
        <v>243702</v>
      </c>
      <c r="G366" s="1750">
        <v>680</v>
      </c>
      <c r="H366" s="1731" t="s">
        <v>41</v>
      </c>
      <c r="I366" s="2287" t="s">
        <v>25</v>
      </c>
      <c r="J366" s="37"/>
      <c r="K366" s="2235"/>
      <c r="L366" s="37"/>
      <c r="M366" s="37"/>
      <c r="N366" s="37"/>
      <c r="O366" s="2360" t="s">
        <v>5885</v>
      </c>
      <c r="Q366" s="2287" t="s">
        <v>25</v>
      </c>
    </row>
    <row r="367" spans="1:17" ht="18.75" customHeight="1" x14ac:dyDescent="0.4">
      <c r="A367" s="112">
        <v>299</v>
      </c>
      <c r="B367" s="1747" t="s">
        <v>158</v>
      </c>
      <c r="C367" s="1748">
        <v>400</v>
      </c>
      <c r="D367" s="1179">
        <v>67</v>
      </c>
      <c r="E367" s="1749" t="s">
        <v>4825</v>
      </c>
      <c r="F367" s="1751">
        <v>243702</v>
      </c>
      <c r="G367" s="1750">
        <v>680</v>
      </c>
      <c r="H367" s="1731" t="s">
        <v>41</v>
      </c>
      <c r="I367" s="2287" t="s">
        <v>25</v>
      </c>
      <c r="J367" s="37"/>
      <c r="K367" s="2235"/>
      <c r="L367" s="37"/>
      <c r="M367" s="37"/>
      <c r="N367" s="37"/>
      <c r="O367" s="2360" t="s">
        <v>5885</v>
      </c>
      <c r="Q367" s="2287" t="s">
        <v>25</v>
      </c>
    </row>
    <row r="368" spans="1:17" ht="18.75" customHeight="1" x14ac:dyDescent="0.4">
      <c r="A368" s="2822">
        <v>300</v>
      </c>
      <c r="B368" s="1747" t="s">
        <v>158</v>
      </c>
      <c r="C368" s="1748">
        <v>400</v>
      </c>
      <c r="D368" s="1179">
        <v>67</v>
      </c>
      <c r="E368" s="1749" t="s">
        <v>4826</v>
      </c>
      <c r="F368" s="1751">
        <v>243702</v>
      </c>
      <c r="G368" s="1750">
        <v>680</v>
      </c>
      <c r="H368" s="1731" t="s">
        <v>41</v>
      </c>
      <c r="I368" s="2287" t="s">
        <v>25</v>
      </c>
      <c r="J368" s="37"/>
      <c r="K368" s="2235"/>
      <c r="L368" s="37"/>
      <c r="M368" s="37"/>
      <c r="N368" s="37"/>
      <c r="O368" s="2360" t="s">
        <v>5885</v>
      </c>
      <c r="Q368" s="2287" t="s">
        <v>25</v>
      </c>
    </row>
    <row r="369" spans="1:17" ht="18.75" customHeight="1" x14ac:dyDescent="0.4">
      <c r="A369" s="2822">
        <v>301</v>
      </c>
      <c r="B369" s="1747" t="s">
        <v>158</v>
      </c>
      <c r="C369" s="1748">
        <v>400</v>
      </c>
      <c r="D369" s="1179">
        <v>67</v>
      </c>
      <c r="E369" s="1749" t="s">
        <v>4827</v>
      </c>
      <c r="F369" s="1751">
        <v>243702</v>
      </c>
      <c r="G369" s="1750">
        <v>680</v>
      </c>
      <c r="H369" s="1731" t="s">
        <v>41</v>
      </c>
      <c r="I369" s="2287" t="s">
        <v>25</v>
      </c>
      <c r="J369" s="37"/>
      <c r="K369" s="2235"/>
      <c r="L369" s="37"/>
      <c r="M369" s="37"/>
      <c r="N369" s="37"/>
      <c r="O369" s="2360" t="s">
        <v>5885</v>
      </c>
      <c r="Q369" s="2287" t="s">
        <v>25</v>
      </c>
    </row>
    <row r="370" spans="1:17" ht="18.75" customHeight="1" x14ac:dyDescent="0.4">
      <c r="A370" s="112">
        <v>302</v>
      </c>
      <c r="B370" s="1747" t="s">
        <v>158</v>
      </c>
      <c r="C370" s="1748">
        <v>400</v>
      </c>
      <c r="D370" s="1179">
        <v>67</v>
      </c>
      <c r="E370" s="1749" t="s">
        <v>4828</v>
      </c>
      <c r="F370" s="1751">
        <v>243702</v>
      </c>
      <c r="G370" s="1750">
        <v>680</v>
      </c>
      <c r="H370" s="1731" t="s">
        <v>41</v>
      </c>
      <c r="I370" s="2287" t="s">
        <v>25</v>
      </c>
      <c r="J370" s="37"/>
      <c r="K370" s="2235"/>
      <c r="L370" s="37"/>
      <c r="M370" s="37"/>
      <c r="N370" s="37"/>
      <c r="O370" s="2360" t="s">
        <v>5885</v>
      </c>
      <c r="Q370" s="2287" t="s">
        <v>25</v>
      </c>
    </row>
    <row r="371" spans="1:17" ht="18.75" customHeight="1" x14ac:dyDescent="0.4">
      <c r="A371" s="112">
        <v>303</v>
      </c>
      <c r="B371" s="1747" t="s">
        <v>158</v>
      </c>
      <c r="C371" s="1748">
        <v>400</v>
      </c>
      <c r="D371" s="1179">
        <v>67</v>
      </c>
      <c r="E371" s="1749" t="s">
        <v>4829</v>
      </c>
      <c r="F371" s="1751">
        <v>243702</v>
      </c>
      <c r="G371" s="1750">
        <v>680</v>
      </c>
      <c r="H371" s="1731" t="s">
        <v>41</v>
      </c>
      <c r="I371" s="2287" t="s">
        <v>25</v>
      </c>
      <c r="J371" s="37"/>
      <c r="K371" s="2235"/>
      <c r="L371" s="37"/>
      <c r="M371" s="37"/>
      <c r="N371" s="37"/>
      <c r="O371" s="2360" t="s">
        <v>5885</v>
      </c>
      <c r="Q371" s="2287" t="s">
        <v>25</v>
      </c>
    </row>
    <row r="372" spans="1:17" ht="18.75" customHeight="1" x14ac:dyDescent="0.4">
      <c r="A372" s="112">
        <v>304</v>
      </c>
      <c r="B372" s="1747" t="s">
        <v>158</v>
      </c>
      <c r="C372" s="1748">
        <v>400</v>
      </c>
      <c r="D372" s="1179">
        <v>67</v>
      </c>
      <c r="E372" s="1749" t="s">
        <v>4830</v>
      </c>
      <c r="F372" s="1751">
        <v>243702</v>
      </c>
      <c r="G372" s="1750">
        <v>680</v>
      </c>
      <c r="H372" s="1731" t="s">
        <v>41</v>
      </c>
      <c r="I372" s="2287" t="s">
        <v>25</v>
      </c>
      <c r="J372" s="37"/>
      <c r="K372" s="2235"/>
      <c r="L372" s="37"/>
      <c r="M372" s="37"/>
      <c r="N372" s="37"/>
      <c r="O372" s="2360" t="s">
        <v>5885</v>
      </c>
      <c r="Q372" s="2287" t="s">
        <v>25</v>
      </c>
    </row>
    <row r="373" spans="1:17" ht="18.75" customHeight="1" x14ac:dyDescent="0.4">
      <c r="A373" s="112">
        <v>305</v>
      </c>
      <c r="B373" s="1747" t="s">
        <v>158</v>
      </c>
      <c r="C373" s="1748">
        <v>400</v>
      </c>
      <c r="D373" s="1179">
        <v>67</v>
      </c>
      <c r="E373" s="1749" t="s">
        <v>4831</v>
      </c>
      <c r="F373" s="1751">
        <v>243702</v>
      </c>
      <c r="G373" s="1750">
        <v>680</v>
      </c>
      <c r="H373" s="1731" t="s">
        <v>41</v>
      </c>
      <c r="I373" s="2287" t="s">
        <v>25</v>
      </c>
      <c r="J373" s="37"/>
      <c r="K373" s="2235"/>
      <c r="L373" s="37"/>
      <c r="M373" s="37"/>
      <c r="N373" s="37"/>
      <c r="O373" s="2360" t="s">
        <v>5885</v>
      </c>
      <c r="Q373" s="2287" t="s">
        <v>25</v>
      </c>
    </row>
    <row r="374" spans="1:17" ht="18.75" customHeight="1" x14ac:dyDescent="0.4">
      <c r="A374" s="112">
        <v>306</v>
      </c>
      <c r="B374" s="1747" t="s">
        <v>158</v>
      </c>
      <c r="C374" s="1748">
        <v>400</v>
      </c>
      <c r="D374" s="1179">
        <v>67</v>
      </c>
      <c r="E374" s="1749" t="s">
        <v>4832</v>
      </c>
      <c r="F374" s="1751">
        <v>243702</v>
      </c>
      <c r="G374" s="1750">
        <v>680</v>
      </c>
      <c r="H374" s="1731" t="s">
        <v>41</v>
      </c>
      <c r="I374" s="2287" t="s">
        <v>25</v>
      </c>
      <c r="J374" s="37"/>
      <c r="K374" s="2235"/>
      <c r="L374" s="37"/>
      <c r="M374" s="37"/>
      <c r="N374" s="37"/>
      <c r="O374" s="2360" t="s">
        <v>5885</v>
      </c>
      <c r="Q374" s="2287" t="s">
        <v>25</v>
      </c>
    </row>
    <row r="375" spans="1:17" ht="18.75" customHeight="1" x14ac:dyDescent="0.4">
      <c r="A375" s="112">
        <v>307</v>
      </c>
      <c r="B375" s="1747" t="s">
        <v>158</v>
      </c>
      <c r="C375" s="1748">
        <v>400</v>
      </c>
      <c r="D375" s="1179">
        <v>67</v>
      </c>
      <c r="E375" s="1749" t="s">
        <v>4833</v>
      </c>
      <c r="F375" s="1751">
        <v>243702</v>
      </c>
      <c r="G375" s="1750">
        <v>680</v>
      </c>
      <c r="H375" s="1731" t="s">
        <v>41</v>
      </c>
      <c r="I375" s="2287" t="s">
        <v>25</v>
      </c>
      <c r="J375" s="37"/>
      <c r="K375" s="2235"/>
      <c r="L375" s="37"/>
      <c r="M375" s="37"/>
      <c r="N375" s="37"/>
      <c r="O375" s="2360" t="s">
        <v>5885</v>
      </c>
      <c r="Q375" s="2287" t="s">
        <v>25</v>
      </c>
    </row>
    <row r="376" spans="1:17" ht="18.75" customHeight="1" x14ac:dyDescent="0.4">
      <c r="A376" s="112">
        <v>308</v>
      </c>
      <c r="B376" s="1747" t="s">
        <v>158</v>
      </c>
      <c r="C376" s="1748">
        <v>400</v>
      </c>
      <c r="D376" s="1179">
        <v>67</v>
      </c>
      <c r="E376" s="1749" t="s">
        <v>4834</v>
      </c>
      <c r="F376" s="1751">
        <v>243702</v>
      </c>
      <c r="G376" s="1750">
        <v>680</v>
      </c>
      <c r="H376" s="1731" t="s">
        <v>41</v>
      </c>
      <c r="I376" s="2287" t="s">
        <v>25</v>
      </c>
      <c r="J376" s="37"/>
      <c r="K376" s="2235"/>
      <c r="L376" s="37"/>
      <c r="M376" s="37"/>
      <c r="N376" s="37"/>
      <c r="O376" s="2360" t="s">
        <v>5885</v>
      </c>
      <c r="Q376" s="2287" t="s">
        <v>25</v>
      </c>
    </row>
    <row r="377" spans="1:17" ht="18.75" customHeight="1" x14ac:dyDescent="0.4">
      <c r="A377" s="2822">
        <v>309</v>
      </c>
      <c r="B377" s="1747" t="s">
        <v>158</v>
      </c>
      <c r="C377" s="1748">
        <v>400</v>
      </c>
      <c r="D377" s="1179">
        <v>67</v>
      </c>
      <c r="E377" s="1749" t="s">
        <v>4835</v>
      </c>
      <c r="F377" s="1751">
        <v>243702</v>
      </c>
      <c r="G377" s="1750">
        <v>680</v>
      </c>
      <c r="H377" s="1731" t="s">
        <v>41</v>
      </c>
      <c r="I377" s="2287" t="s">
        <v>25</v>
      </c>
      <c r="J377" s="37"/>
      <c r="K377" s="2235"/>
      <c r="L377" s="37"/>
      <c r="M377" s="37"/>
      <c r="N377" s="37"/>
      <c r="O377" s="2360" t="s">
        <v>5885</v>
      </c>
      <c r="Q377" s="2287" t="s">
        <v>25</v>
      </c>
    </row>
    <row r="378" spans="1:17" ht="18.75" customHeight="1" x14ac:dyDescent="0.4">
      <c r="A378" s="2822">
        <v>310</v>
      </c>
      <c r="B378" s="1747" t="s">
        <v>158</v>
      </c>
      <c r="C378" s="1748">
        <v>400</v>
      </c>
      <c r="D378" s="1179">
        <v>67</v>
      </c>
      <c r="E378" s="1749" t="s">
        <v>4836</v>
      </c>
      <c r="F378" s="1751">
        <v>243702</v>
      </c>
      <c r="G378" s="1750">
        <v>680</v>
      </c>
      <c r="H378" s="1731" t="s">
        <v>41</v>
      </c>
      <c r="I378" s="2287" t="s">
        <v>25</v>
      </c>
      <c r="J378" s="37"/>
      <c r="K378" s="2235"/>
      <c r="L378" s="37"/>
      <c r="M378" s="37"/>
      <c r="N378" s="37"/>
      <c r="O378" s="2360" t="s">
        <v>5885</v>
      </c>
      <c r="Q378" s="2287" t="s">
        <v>25</v>
      </c>
    </row>
    <row r="379" spans="1:17" ht="18.75" customHeight="1" x14ac:dyDescent="0.4">
      <c r="A379" s="112">
        <v>311</v>
      </c>
      <c r="B379" s="1747" t="s">
        <v>158</v>
      </c>
      <c r="C379" s="1748">
        <v>400</v>
      </c>
      <c r="D379" s="1179">
        <v>67</v>
      </c>
      <c r="E379" s="1749" t="s">
        <v>4837</v>
      </c>
      <c r="F379" s="1751">
        <v>243702</v>
      </c>
      <c r="G379" s="1750">
        <v>680</v>
      </c>
      <c r="H379" s="1731" t="s">
        <v>41</v>
      </c>
      <c r="I379" s="2287" t="s">
        <v>25</v>
      </c>
      <c r="J379" s="37"/>
      <c r="K379" s="2235"/>
      <c r="L379" s="37"/>
      <c r="M379" s="37"/>
      <c r="N379" s="37"/>
      <c r="O379" s="2360" t="s">
        <v>5885</v>
      </c>
      <c r="Q379" s="2287" t="s">
        <v>25</v>
      </c>
    </row>
    <row r="380" spans="1:17" ht="18.75" customHeight="1" x14ac:dyDescent="0.4">
      <c r="A380" s="112">
        <v>312</v>
      </c>
      <c r="B380" s="1747" t="s">
        <v>158</v>
      </c>
      <c r="C380" s="1748">
        <v>400</v>
      </c>
      <c r="D380" s="1179">
        <v>67</v>
      </c>
      <c r="E380" s="1749" t="s">
        <v>4838</v>
      </c>
      <c r="F380" s="1751">
        <v>243702</v>
      </c>
      <c r="G380" s="1750">
        <v>680</v>
      </c>
      <c r="H380" s="1731" t="s">
        <v>41</v>
      </c>
      <c r="I380" s="2287" t="s">
        <v>25</v>
      </c>
      <c r="J380" s="37"/>
      <c r="K380" s="2235"/>
      <c r="L380" s="37"/>
      <c r="M380" s="37"/>
      <c r="N380" s="37"/>
      <c r="O380" s="2360" t="s">
        <v>5885</v>
      </c>
      <c r="Q380" s="2287" t="s">
        <v>25</v>
      </c>
    </row>
    <row r="381" spans="1:17" ht="18.75" customHeight="1" x14ac:dyDescent="0.4">
      <c r="A381" s="112">
        <v>313</v>
      </c>
      <c r="B381" s="1747" t="s">
        <v>158</v>
      </c>
      <c r="C381" s="1748">
        <v>400</v>
      </c>
      <c r="D381" s="1179">
        <v>67</v>
      </c>
      <c r="E381" s="1749" t="s">
        <v>4839</v>
      </c>
      <c r="F381" s="1751">
        <v>243702</v>
      </c>
      <c r="G381" s="1750">
        <v>680</v>
      </c>
      <c r="H381" s="1731" t="s">
        <v>41</v>
      </c>
      <c r="I381" s="2287" t="s">
        <v>25</v>
      </c>
      <c r="J381" s="37"/>
      <c r="K381" s="2235"/>
      <c r="L381" s="37"/>
      <c r="M381" s="37"/>
      <c r="N381" s="37"/>
      <c r="O381" s="2360" t="s">
        <v>5885</v>
      </c>
      <c r="Q381" s="2287" t="s">
        <v>25</v>
      </c>
    </row>
    <row r="382" spans="1:17" ht="18.75" customHeight="1" x14ac:dyDescent="0.4">
      <c r="A382" s="112">
        <v>314</v>
      </c>
      <c r="B382" s="1747" t="s">
        <v>158</v>
      </c>
      <c r="C382" s="1748">
        <v>400</v>
      </c>
      <c r="D382" s="1179">
        <v>67</v>
      </c>
      <c r="E382" s="1749" t="s">
        <v>4840</v>
      </c>
      <c r="F382" s="1751">
        <v>243702</v>
      </c>
      <c r="G382" s="1750">
        <v>680</v>
      </c>
      <c r="H382" s="1731" t="s">
        <v>41</v>
      </c>
      <c r="I382" s="2287" t="s">
        <v>25</v>
      </c>
      <c r="J382" s="37"/>
      <c r="K382" s="2235"/>
      <c r="L382" s="37"/>
      <c r="M382" s="37"/>
      <c r="N382" s="37"/>
      <c r="O382" s="2360" t="s">
        <v>5885</v>
      </c>
      <c r="Q382" s="2287" t="s">
        <v>25</v>
      </c>
    </row>
    <row r="383" spans="1:17" ht="18.75" customHeight="1" x14ac:dyDescent="0.4">
      <c r="A383" s="112">
        <v>315</v>
      </c>
      <c r="B383" s="1747" t="s">
        <v>158</v>
      </c>
      <c r="C383" s="1748">
        <v>400</v>
      </c>
      <c r="D383" s="1179">
        <v>67</v>
      </c>
      <c r="E383" s="1749" t="s">
        <v>4841</v>
      </c>
      <c r="F383" s="1751">
        <v>243702</v>
      </c>
      <c r="G383" s="1750">
        <v>680</v>
      </c>
      <c r="H383" s="1731" t="s">
        <v>41</v>
      </c>
      <c r="I383" s="2287" t="s">
        <v>25</v>
      </c>
      <c r="J383" s="37"/>
      <c r="K383" s="2235"/>
      <c r="L383" s="37"/>
      <c r="M383" s="37"/>
      <c r="N383" s="37"/>
      <c r="O383" s="2360" t="s">
        <v>5885</v>
      </c>
      <c r="Q383" s="2287" t="s">
        <v>25</v>
      </c>
    </row>
    <row r="384" spans="1:17" ht="18.75" customHeight="1" x14ac:dyDescent="0.4">
      <c r="A384" s="112">
        <v>316</v>
      </c>
      <c r="B384" s="1747" t="s">
        <v>158</v>
      </c>
      <c r="C384" s="1748">
        <v>400</v>
      </c>
      <c r="D384" s="1179">
        <v>67</v>
      </c>
      <c r="E384" s="1749" t="s">
        <v>4842</v>
      </c>
      <c r="F384" s="1751">
        <v>243702</v>
      </c>
      <c r="G384" s="1750">
        <v>680</v>
      </c>
      <c r="H384" s="1731" t="s">
        <v>41</v>
      </c>
      <c r="I384" s="2287" t="s">
        <v>25</v>
      </c>
      <c r="J384" s="37"/>
      <c r="K384" s="2235"/>
      <c r="L384" s="37"/>
      <c r="M384" s="37"/>
      <c r="N384" s="37"/>
      <c r="O384" s="2360" t="s">
        <v>5885</v>
      </c>
      <c r="Q384" s="2287" t="s">
        <v>25</v>
      </c>
    </row>
    <row r="385" spans="1:17" ht="18.75" customHeight="1" x14ac:dyDescent="0.4">
      <c r="A385" s="112">
        <v>317</v>
      </c>
      <c r="B385" s="1747" t="s">
        <v>158</v>
      </c>
      <c r="C385" s="1748">
        <v>400</v>
      </c>
      <c r="D385" s="1179">
        <v>67</v>
      </c>
      <c r="E385" s="1749" t="s">
        <v>4843</v>
      </c>
      <c r="F385" s="1751">
        <v>243702</v>
      </c>
      <c r="G385" s="1750">
        <v>680</v>
      </c>
      <c r="H385" s="1731" t="s">
        <v>41</v>
      </c>
      <c r="I385" s="2287" t="s">
        <v>25</v>
      </c>
      <c r="J385" s="37"/>
      <c r="K385" s="2235"/>
      <c r="L385" s="37"/>
      <c r="M385" s="37"/>
      <c r="N385" s="37"/>
      <c r="O385" s="2360" t="s">
        <v>5885</v>
      </c>
      <c r="Q385" s="2287" t="s">
        <v>25</v>
      </c>
    </row>
    <row r="386" spans="1:17" ht="18.75" customHeight="1" x14ac:dyDescent="0.4">
      <c r="A386" s="2822">
        <v>318</v>
      </c>
      <c r="B386" s="1747" t="s">
        <v>158</v>
      </c>
      <c r="C386" s="1748">
        <v>400</v>
      </c>
      <c r="D386" s="1179">
        <v>67</v>
      </c>
      <c r="E386" s="1749" t="s">
        <v>4844</v>
      </c>
      <c r="F386" s="1751">
        <v>243702</v>
      </c>
      <c r="G386" s="1750">
        <v>680</v>
      </c>
      <c r="H386" s="1731" t="s">
        <v>41</v>
      </c>
      <c r="I386" s="2287" t="s">
        <v>25</v>
      </c>
      <c r="J386" s="37"/>
      <c r="K386" s="2235"/>
      <c r="L386" s="37"/>
      <c r="M386" s="37"/>
      <c r="N386" s="37"/>
      <c r="O386" s="2360" t="s">
        <v>5885</v>
      </c>
      <c r="Q386" s="2287" t="s">
        <v>25</v>
      </c>
    </row>
    <row r="387" spans="1:17" ht="18.75" customHeight="1" x14ac:dyDescent="0.4">
      <c r="A387" s="2822">
        <v>319</v>
      </c>
      <c r="B387" s="1747" t="s">
        <v>158</v>
      </c>
      <c r="C387" s="1748">
        <v>400</v>
      </c>
      <c r="D387" s="1179">
        <v>67</v>
      </c>
      <c r="E387" s="1749" t="s">
        <v>4845</v>
      </c>
      <c r="F387" s="1751">
        <v>243702</v>
      </c>
      <c r="G387" s="1750">
        <v>680</v>
      </c>
      <c r="H387" s="1731" t="s">
        <v>41</v>
      </c>
      <c r="I387" s="2287" t="s">
        <v>25</v>
      </c>
      <c r="J387" s="37"/>
      <c r="K387" s="2235"/>
      <c r="L387" s="37"/>
      <c r="M387" s="37"/>
      <c r="N387" s="37"/>
      <c r="O387" s="2360" t="s">
        <v>5885</v>
      </c>
      <c r="Q387" s="2287" t="s">
        <v>25</v>
      </c>
    </row>
    <row r="388" spans="1:17" ht="18.75" customHeight="1" x14ac:dyDescent="0.4">
      <c r="A388" s="112">
        <v>320</v>
      </c>
      <c r="B388" s="1747" t="s">
        <v>158</v>
      </c>
      <c r="C388" s="1748">
        <v>400</v>
      </c>
      <c r="D388" s="1179">
        <v>67</v>
      </c>
      <c r="E388" s="1749" t="s">
        <v>4846</v>
      </c>
      <c r="F388" s="1751">
        <v>243702</v>
      </c>
      <c r="G388" s="1750">
        <v>680</v>
      </c>
      <c r="H388" s="1731" t="s">
        <v>41</v>
      </c>
      <c r="I388" s="2287" t="s">
        <v>25</v>
      </c>
      <c r="J388" s="37"/>
      <c r="K388" s="2235"/>
      <c r="L388" s="37"/>
      <c r="M388" s="37"/>
      <c r="N388" s="37"/>
      <c r="O388" s="2360" t="s">
        <v>5885</v>
      </c>
      <c r="Q388" s="2287" t="s">
        <v>25</v>
      </c>
    </row>
    <row r="389" spans="1:17" ht="18.75" customHeight="1" x14ac:dyDescent="0.4">
      <c r="A389" s="112">
        <v>321</v>
      </c>
      <c r="B389" s="1747" t="s">
        <v>158</v>
      </c>
      <c r="C389" s="1748">
        <v>400</v>
      </c>
      <c r="D389" s="1179">
        <v>67</v>
      </c>
      <c r="E389" s="1749" t="s">
        <v>4847</v>
      </c>
      <c r="F389" s="1751">
        <v>243702</v>
      </c>
      <c r="G389" s="1750">
        <v>680</v>
      </c>
      <c r="H389" s="1731" t="s">
        <v>41</v>
      </c>
      <c r="I389" s="2287" t="s">
        <v>25</v>
      </c>
      <c r="J389" s="37"/>
      <c r="K389" s="2235"/>
      <c r="L389" s="37"/>
      <c r="M389" s="37"/>
      <c r="N389" s="37"/>
      <c r="O389" s="2360" t="s">
        <v>5885</v>
      </c>
      <c r="Q389" s="2287" t="s">
        <v>25</v>
      </c>
    </row>
    <row r="390" spans="1:17" ht="18.75" customHeight="1" x14ac:dyDescent="0.4">
      <c r="A390" s="112">
        <v>322</v>
      </c>
      <c r="B390" s="1747" t="s">
        <v>158</v>
      </c>
      <c r="C390" s="1748">
        <v>400</v>
      </c>
      <c r="D390" s="1179">
        <v>67</v>
      </c>
      <c r="E390" s="1749" t="s">
        <v>4848</v>
      </c>
      <c r="F390" s="1751">
        <v>243702</v>
      </c>
      <c r="G390" s="1750">
        <v>680</v>
      </c>
      <c r="H390" s="1731" t="s">
        <v>41</v>
      </c>
      <c r="I390" s="2287" t="s">
        <v>25</v>
      </c>
      <c r="J390" s="37"/>
      <c r="K390" s="2235"/>
      <c r="L390" s="37"/>
      <c r="M390" s="37"/>
      <c r="N390" s="37"/>
      <c r="O390" s="2360" t="s">
        <v>5885</v>
      </c>
      <c r="Q390" s="2287" t="s">
        <v>25</v>
      </c>
    </row>
    <row r="391" spans="1:17" ht="18.75" customHeight="1" x14ac:dyDescent="0.4">
      <c r="A391" s="112">
        <v>323</v>
      </c>
      <c r="B391" s="1747" t="s">
        <v>158</v>
      </c>
      <c r="C391" s="1748">
        <v>400</v>
      </c>
      <c r="D391" s="1179">
        <v>67</v>
      </c>
      <c r="E391" s="1749" t="s">
        <v>4849</v>
      </c>
      <c r="F391" s="1751">
        <v>243702</v>
      </c>
      <c r="G391" s="1750">
        <v>680</v>
      </c>
      <c r="H391" s="1731" t="s">
        <v>41</v>
      </c>
      <c r="I391" s="2287" t="s">
        <v>25</v>
      </c>
      <c r="J391" s="37"/>
      <c r="K391" s="2235"/>
      <c r="L391" s="37"/>
      <c r="M391" s="37"/>
      <c r="N391" s="37"/>
      <c r="O391" s="2360" t="s">
        <v>5885</v>
      </c>
      <c r="Q391" s="2287" t="s">
        <v>25</v>
      </c>
    </row>
    <row r="392" spans="1:17" ht="18.75" customHeight="1" x14ac:dyDescent="0.4">
      <c r="A392" s="112">
        <v>324</v>
      </c>
      <c r="B392" s="1747" t="s">
        <v>158</v>
      </c>
      <c r="C392" s="1748">
        <v>400</v>
      </c>
      <c r="D392" s="1179">
        <v>67</v>
      </c>
      <c r="E392" s="1749" t="s">
        <v>4850</v>
      </c>
      <c r="F392" s="1751">
        <v>243702</v>
      </c>
      <c r="G392" s="1750">
        <v>680</v>
      </c>
      <c r="H392" s="1731" t="s">
        <v>41</v>
      </c>
      <c r="I392" s="2287" t="s">
        <v>25</v>
      </c>
      <c r="J392" s="37"/>
      <c r="K392" s="2235"/>
      <c r="L392" s="37"/>
      <c r="M392" s="37"/>
      <c r="N392" s="37"/>
      <c r="O392" s="2360" t="s">
        <v>5885</v>
      </c>
      <c r="Q392" s="2287" t="s">
        <v>25</v>
      </c>
    </row>
    <row r="393" spans="1:17" ht="18.75" customHeight="1" x14ac:dyDescent="0.4">
      <c r="A393" s="112">
        <v>325</v>
      </c>
      <c r="B393" s="1747" t="s">
        <v>158</v>
      </c>
      <c r="C393" s="1748">
        <v>400</v>
      </c>
      <c r="D393" s="1179">
        <v>67</v>
      </c>
      <c r="E393" s="1749" t="s">
        <v>4851</v>
      </c>
      <c r="F393" s="1751">
        <v>243702</v>
      </c>
      <c r="G393" s="1750">
        <v>680</v>
      </c>
      <c r="H393" s="1731" t="s">
        <v>41</v>
      </c>
      <c r="I393" s="2287" t="s">
        <v>25</v>
      </c>
      <c r="J393" s="37"/>
      <c r="K393" s="2235"/>
      <c r="L393" s="37"/>
      <c r="M393" s="37"/>
      <c r="N393" s="37"/>
      <c r="O393" s="2360" t="s">
        <v>5885</v>
      </c>
      <c r="Q393" s="2287" t="s">
        <v>25</v>
      </c>
    </row>
    <row r="394" spans="1:17" ht="18.75" customHeight="1" x14ac:dyDescent="0.4">
      <c r="A394" s="112">
        <v>326</v>
      </c>
      <c r="B394" s="1747" t="s">
        <v>158</v>
      </c>
      <c r="C394" s="1748">
        <v>400</v>
      </c>
      <c r="D394" s="1179">
        <v>67</v>
      </c>
      <c r="E394" s="1749" t="s">
        <v>4852</v>
      </c>
      <c r="F394" s="1751">
        <v>243702</v>
      </c>
      <c r="G394" s="1750">
        <v>680</v>
      </c>
      <c r="H394" s="1731" t="s">
        <v>41</v>
      </c>
      <c r="I394" s="2287" t="s">
        <v>25</v>
      </c>
      <c r="J394" s="37"/>
      <c r="K394" s="2235"/>
      <c r="L394" s="37"/>
      <c r="M394" s="37"/>
      <c r="N394" s="37"/>
      <c r="O394" s="2360" t="s">
        <v>5885</v>
      </c>
      <c r="Q394" s="2287" t="s">
        <v>25</v>
      </c>
    </row>
    <row r="395" spans="1:17" ht="18.75" customHeight="1" x14ac:dyDescent="0.4">
      <c r="A395" s="2822">
        <v>327</v>
      </c>
      <c r="B395" s="1747" t="s">
        <v>158</v>
      </c>
      <c r="C395" s="1748">
        <v>400</v>
      </c>
      <c r="D395" s="1179">
        <v>67</v>
      </c>
      <c r="E395" s="1749" t="s">
        <v>4853</v>
      </c>
      <c r="F395" s="1751">
        <v>243702</v>
      </c>
      <c r="G395" s="1750">
        <v>680</v>
      </c>
      <c r="H395" s="1731" t="s">
        <v>41</v>
      </c>
      <c r="I395" s="2287" t="s">
        <v>25</v>
      </c>
      <c r="J395" s="37"/>
      <c r="K395" s="2235"/>
      <c r="L395" s="37"/>
      <c r="M395" s="37"/>
      <c r="N395" s="37"/>
      <c r="O395" s="2360" t="s">
        <v>5885</v>
      </c>
      <c r="Q395" s="2287" t="s">
        <v>25</v>
      </c>
    </row>
    <row r="396" spans="1:17" ht="18.75" customHeight="1" x14ac:dyDescent="0.4">
      <c r="A396" s="2822">
        <v>328</v>
      </c>
      <c r="B396" s="1747" t="s">
        <v>158</v>
      </c>
      <c r="C396" s="1748">
        <v>400</v>
      </c>
      <c r="D396" s="1179">
        <v>67</v>
      </c>
      <c r="E396" s="1749" t="s">
        <v>4854</v>
      </c>
      <c r="F396" s="1751">
        <v>243702</v>
      </c>
      <c r="G396" s="1750">
        <v>680</v>
      </c>
      <c r="H396" s="1731" t="s">
        <v>41</v>
      </c>
      <c r="I396" s="2287" t="s">
        <v>25</v>
      </c>
      <c r="J396" s="37"/>
      <c r="K396" s="2235"/>
      <c r="L396" s="37"/>
      <c r="M396" s="37"/>
      <c r="N396" s="37"/>
      <c r="O396" s="2360" t="s">
        <v>5885</v>
      </c>
      <c r="Q396" s="2287" t="s">
        <v>25</v>
      </c>
    </row>
    <row r="397" spans="1:17" ht="18.75" customHeight="1" x14ac:dyDescent="0.4">
      <c r="A397" s="112">
        <v>329</v>
      </c>
      <c r="B397" s="1747" t="s">
        <v>158</v>
      </c>
      <c r="C397" s="1748">
        <v>400</v>
      </c>
      <c r="D397" s="1179">
        <v>67</v>
      </c>
      <c r="E397" s="1749" t="s">
        <v>4855</v>
      </c>
      <c r="F397" s="1751">
        <v>243702</v>
      </c>
      <c r="G397" s="1750">
        <v>680</v>
      </c>
      <c r="H397" s="1731" t="s">
        <v>41</v>
      </c>
      <c r="I397" s="2287" t="s">
        <v>25</v>
      </c>
      <c r="J397" s="37"/>
      <c r="K397" s="2235"/>
      <c r="L397" s="37"/>
      <c r="M397" s="37"/>
      <c r="N397" s="37"/>
      <c r="O397" s="2360" t="s">
        <v>5885</v>
      </c>
      <c r="Q397" s="2287" t="s">
        <v>25</v>
      </c>
    </row>
    <row r="398" spans="1:17" ht="18.75" customHeight="1" x14ac:dyDescent="0.4">
      <c r="A398" s="112">
        <v>330</v>
      </c>
      <c r="B398" s="1747" t="s">
        <v>158</v>
      </c>
      <c r="C398" s="1748">
        <v>400</v>
      </c>
      <c r="D398" s="1179">
        <v>67</v>
      </c>
      <c r="E398" s="1749" t="s">
        <v>4856</v>
      </c>
      <c r="F398" s="1751">
        <v>243702</v>
      </c>
      <c r="G398" s="1750">
        <v>680</v>
      </c>
      <c r="H398" s="1731" t="s">
        <v>41</v>
      </c>
      <c r="I398" s="2287" t="s">
        <v>25</v>
      </c>
      <c r="J398" s="37"/>
      <c r="K398" s="2235"/>
      <c r="L398" s="37"/>
      <c r="M398" s="37"/>
      <c r="N398" s="37"/>
      <c r="O398" s="2360" t="s">
        <v>5885</v>
      </c>
      <c r="Q398" s="2287" t="s">
        <v>25</v>
      </c>
    </row>
    <row r="399" spans="1:17" ht="18.75" customHeight="1" x14ac:dyDescent="0.4">
      <c r="A399" s="112">
        <v>331</v>
      </c>
      <c r="B399" s="1747" t="s">
        <v>158</v>
      </c>
      <c r="C399" s="1748">
        <v>400</v>
      </c>
      <c r="D399" s="1179">
        <v>67</v>
      </c>
      <c r="E399" s="1749" t="s">
        <v>4857</v>
      </c>
      <c r="F399" s="1751">
        <v>243702</v>
      </c>
      <c r="G399" s="1750">
        <v>680</v>
      </c>
      <c r="H399" s="1731" t="s">
        <v>41</v>
      </c>
      <c r="I399" s="2287" t="s">
        <v>25</v>
      </c>
      <c r="J399" s="37"/>
      <c r="K399" s="2235"/>
      <c r="L399" s="37"/>
      <c r="M399" s="37"/>
      <c r="N399" s="37"/>
      <c r="O399" s="2360" t="s">
        <v>5885</v>
      </c>
      <c r="Q399" s="2287" t="s">
        <v>25</v>
      </c>
    </row>
    <row r="400" spans="1:17" ht="18.75" customHeight="1" x14ac:dyDescent="0.4">
      <c r="A400" s="112">
        <v>332</v>
      </c>
      <c r="B400" s="1747" t="s">
        <v>158</v>
      </c>
      <c r="C400" s="1748">
        <v>400</v>
      </c>
      <c r="D400" s="1179">
        <v>67</v>
      </c>
      <c r="E400" s="1749" t="s">
        <v>4858</v>
      </c>
      <c r="F400" s="1751">
        <v>243702</v>
      </c>
      <c r="G400" s="1750">
        <v>680</v>
      </c>
      <c r="H400" s="1731" t="s">
        <v>41</v>
      </c>
      <c r="I400" s="2287" t="s">
        <v>25</v>
      </c>
      <c r="J400" s="37"/>
      <c r="K400" s="2235"/>
      <c r="L400" s="37"/>
      <c r="M400" s="37"/>
      <c r="N400" s="37"/>
      <c r="O400" s="2360" t="s">
        <v>5885</v>
      </c>
      <c r="Q400" s="2287" t="s">
        <v>25</v>
      </c>
    </row>
    <row r="401" spans="1:17" ht="18.75" customHeight="1" x14ac:dyDescent="0.4">
      <c r="A401" s="112">
        <v>333</v>
      </c>
      <c r="B401" s="1747" t="s">
        <v>158</v>
      </c>
      <c r="C401" s="1748">
        <v>400</v>
      </c>
      <c r="D401" s="1179">
        <v>67</v>
      </c>
      <c r="E401" s="1749" t="s">
        <v>4859</v>
      </c>
      <c r="F401" s="1751">
        <v>243702</v>
      </c>
      <c r="G401" s="1750">
        <v>680</v>
      </c>
      <c r="H401" s="1731" t="s">
        <v>41</v>
      </c>
      <c r="I401" s="2287" t="s">
        <v>25</v>
      </c>
      <c r="J401" s="37"/>
      <c r="K401" s="2235"/>
      <c r="L401" s="37"/>
      <c r="M401" s="37"/>
      <c r="N401" s="37"/>
      <c r="O401" s="2360" t="s">
        <v>5885</v>
      </c>
      <c r="Q401" s="2287" t="s">
        <v>25</v>
      </c>
    </row>
    <row r="402" spans="1:17" ht="18.75" customHeight="1" x14ac:dyDescent="0.4">
      <c r="A402" s="112">
        <v>334</v>
      </c>
      <c r="B402" s="1747" t="s">
        <v>158</v>
      </c>
      <c r="C402" s="1748">
        <v>400</v>
      </c>
      <c r="D402" s="1179">
        <v>67</v>
      </c>
      <c r="E402" s="1749" t="s">
        <v>4860</v>
      </c>
      <c r="F402" s="1751">
        <v>243702</v>
      </c>
      <c r="G402" s="1750">
        <v>680</v>
      </c>
      <c r="H402" s="1731" t="s">
        <v>41</v>
      </c>
      <c r="I402" s="2287" t="s">
        <v>25</v>
      </c>
      <c r="J402" s="37"/>
      <c r="K402" s="2235"/>
      <c r="L402" s="37"/>
      <c r="M402" s="37"/>
      <c r="N402" s="37"/>
      <c r="O402" s="2360" t="s">
        <v>5885</v>
      </c>
      <c r="Q402" s="2287" t="s">
        <v>25</v>
      </c>
    </row>
    <row r="403" spans="1:17" ht="18.75" customHeight="1" x14ac:dyDescent="0.4">
      <c r="A403" s="112">
        <v>335</v>
      </c>
      <c r="B403" s="1747" t="s">
        <v>158</v>
      </c>
      <c r="C403" s="1748">
        <v>400</v>
      </c>
      <c r="D403" s="1179">
        <v>67</v>
      </c>
      <c r="E403" s="1749" t="s">
        <v>4861</v>
      </c>
      <c r="F403" s="1751">
        <v>243702</v>
      </c>
      <c r="G403" s="1750">
        <v>680</v>
      </c>
      <c r="H403" s="1731" t="s">
        <v>41</v>
      </c>
      <c r="I403" s="2287" t="s">
        <v>25</v>
      </c>
      <c r="J403" s="37"/>
      <c r="K403" s="2235"/>
      <c r="L403" s="37"/>
      <c r="M403" s="37"/>
      <c r="N403" s="37"/>
      <c r="O403" s="2360" t="s">
        <v>5885</v>
      </c>
      <c r="Q403" s="2287" t="s">
        <v>25</v>
      </c>
    </row>
    <row r="404" spans="1:17" ht="18.75" customHeight="1" x14ac:dyDescent="0.4">
      <c r="A404" s="2822">
        <v>336</v>
      </c>
      <c r="B404" s="1747" t="s">
        <v>158</v>
      </c>
      <c r="C404" s="1748">
        <v>400</v>
      </c>
      <c r="D404" s="1179">
        <v>67</v>
      </c>
      <c r="E404" s="1749" t="s">
        <v>4862</v>
      </c>
      <c r="F404" s="1751">
        <v>243702</v>
      </c>
      <c r="G404" s="1750">
        <v>680</v>
      </c>
      <c r="H404" s="1731" t="s">
        <v>41</v>
      </c>
      <c r="I404" s="2287" t="s">
        <v>25</v>
      </c>
      <c r="J404" s="37"/>
      <c r="K404" s="2235"/>
      <c r="L404" s="37"/>
      <c r="M404" s="37"/>
      <c r="N404" s="37"/>
      <c r="O404" s="2360" t="s">
        <v>5885</v>
      </c>
      <c r="Q404" s="2287" t="s">
        <v>25</v>
      </c>
    </row>
    <row r="405" spans="1:17" ht="18.75" customHeight="1" x14ac:dyDescent="0.4">
      <c r="A405" s="2822">
        <v>337</v>
      </c>
      <c r="B405" s="1747" t="s">
        <v>158</v>
      </c>
      <c r="C405" s="1748">
        <v>400</v>
      </c>
      <c r="D405" s="1179">
        <v>67</v>
      </c>
      <c r="E405" s="1749" t="s">
        <v>4863</v>
      </c>
      <c r="F405" s="1751">
        <v>243702</v>
      </c>
      <c r="G405" s="1750">
        <v>680</v>
      </c>
      <c r="H405" s="1731" t="s">
        <v>41</v>
      </c>
      <c r="I405" s="2287" t="s">
        <v>25</v>
      </c>
      <c r="J405" s="37"/>
      <c r="K405" s="2235"/>
      <c r="L405" s="37"/>
      <c r="M405" s="37"/>
      <c r="N405" s="37"/>
      <c r="O405" s="2360" t="s">
        <v>5885</v>
      </c>
      <c r="Q405" s="2287" t="s">
        <v>25</v>
      </c>
    </row>
    <row r="406" spans="1:17" ht="18.75" customHeight="1" x14ac:dyDescent="0.4">
      <c r="A406" s="112">
        <v>338</v>
      </c>
      <c r="B406" s="1747" t="s">
        <v>158</v>
      </c>
      <c r="C406" s="1748">
        <v>400</v>
      </c>
      <c r="D406" s="1179">
        <v>67</v>
      </c>
      <c r="E406" s="1749" t="s">
        <v>4864</v>
      </c>
      <c r="F406" s="1751">
        <v>243702</v>
      </c>
      <c r="G406" s="1750">
        <v>680</v>
      </c>
      <c r="H406" s="1731" t="s">
        <v>41</v>
      </c>
      <c r="I406" s="2287" t="s">
        <v>25</v>
      </c>
      <c r="J406" s="37"/>
      <c r="K406" s="2235"/>
      <c r="L406" s="37"/>
      <c r="M406" s="37"/>
      <c r="N406" s="37"/>
      <c r="O406" s="2360" t="s">
        <v>5885</v>
      </c>
      <c r="Q406" s="2287" t="s">
        <v>25</v>
      </c>
    </row>
    <row r="407" spans="1:17" ht="18.75" customHeight="1" x14ac:dyDescent="0.4">
      <c r="A407" s="112">
        <v>339</v>
      </c>
      <c r="B407" s="1747" t="s">
        <v>158</v>
      </c>
      <c r="C407" s="1748">
        <v>400</v>
      </c>
      <c r="D407" s="1179">
        <v>67</v>
      </c>
      <c r="E407" s="1749" t="s">
        <v>4865</v>
      </c>
      <c r="F407" s="1751">
        <v>243702</v>
      </c>
      <c r="G407" s="1750">
        <v>680</v>
      </c>
      <c r="H407" s="1731" t="s">
        <v>41</v>
      </c>
      <c r="I407" s="2287" t="s">
        <v>25</v>
      </c>
      <c r="J407" s="37"/>
      <c r="K407" s="2235"/>
      <c r="L407" s="37"/>
      <c r="M407" s="37"/>
      <c r="N407" s="37"/>
      <c r="O407" s="2360" t="s">
        <v>5885</v>
      </c>
      <c r="Q407" s="2287" t="s">
        <v>25</v>
      </c>
    </row>
    <row r="408" spans="1:17" ht="18.75" customHeight="1" x14ac:dyDescent="0.4">
      <c r="A408" s="112">
        <v>340</v>
      </c>
      <c r="B408" s="1747" t="s">
        <v>158</v>
      </c>
      <c r="C408" s="1748">
        <v>400</v>
      </c>
      <c r="D408" s="1179">
        <v>67</v>
      </c>
      <c r="E408" s="1749" t="s">
        <v>4866</v>
      </c>
      <c r="F408" s="1751">
        <v>243702</v>
      </c>
      <c r="G408" s="1750">
        <v>680</v>
      </c>
      <c r="H408" s="1731" t="s">
        <v>41</v>
      </c>
      <c r="I408" s="2287" t="s">
        <v>25</v>
      </c>
      <c r="J408" s="37"/>
      <c r="K408" s="2235"/>
      <c r="L408" s="37"/>
      <c r="M408" s="37"/>
      <c r="N408" s="37"/>
      <c r="O408" s="2360" t="s">
        <v>5885</v>
      </c>
      <c r="Q408" s="2287" t="s">
        <v>25</v>
      </c>
    </row>
    <row r="409" spans="1:17" ht="18.75" customHeight="1" x14ac:dyDescent="0.4">
      <c r="A409" s="112">
        <v>341</v>
      </c>
      <c r="B409" s="1747" t="s">
        <v>158</v>
      </c>
      <c r="C409" s="1748">
        <v>400</v>
      </c>
      <c r="D409" s="1179">
        <v>67</v>
      </c>
      <c r="E409" s="1749" t="s">
        <v>4867</v>
      </c>
      <c r="F409" s="1751">
        <v>243702</v>
      </c>
      <c r="G409" s="1750">
        <v>680</v>
      </c>
      <c r="H409" s="1731" t="s">
        <v>41</v>
      </c>
      <c r="I409" s="2287" t="s">
        <v>25</v>
      </c>
      <c r="J409" s="37"/>
      <c r="K409" s="2235"/>
      <c r="L409" s="37"/>
      <c r="M409" s="37"/>
      <c r="N409" s="37"/>
      <c r="O409" s="2360" t="s">
        <v>5885</v>
      </c>
      <c r="Q409" s="2287" t="s">
        <v>25</v>
      </c>
    </row>
    <row r="410" spans="1:17" ht="18.75" customHeight="1" x14ac:dyDescent="0.4">
      <c r="A410" s="112">
        <v>342</v>
      </c>
      <c r="B410" s="1747" t="s">
        <v>158</v>
      </c>
      <c r="C410" s="1748">
        <v>400</v>
      </c>
      <c r="D410" s="1179">
        <v>67</v>
      </c>
      <c r="E410" s="1749" t="s">
        <v>4868</v>
      </c>
      <c r="F410" s="1751">
        <v>243702</v>
      </c>
      <c r="G410" s="1750">
        <v>680</v>
      </c>
      <c r="H410" s="1731" t="s">
        <v>41</v>
      </c>
      <c r="I410" s="2287" t="s">
        <v>25</v>
      </c>
      <c r="J410" s="37"/>
      <c r="K410" s="2235"/>
      <c r="L410" s="37"/>
      <c r="M410" s="37"/>
      <c r="N410" s="37"/>
      <c r="O410" s="2360" t="s">
        <v>5885</v>
      </c>
      <c r="Q410" s="2287" t="s">
        <v>25</v>
      </c>
    </row>
    <row r="411" spans="1:17" ht="18.75" customHeight="1" x14ac:dyDescent="0.4">
      <c r="A411" s="112">
        <v>343</v>
      </c>
      <c r="B411" s="1747" t="s">
        <v>158</v>
      </c>
      <c r="C411" s="1748">
        <v>400</v>
      </c>
      <c r="D411" s="1179">
        <v>67</v>
      </c>
      <c r="E411" s="1749" t="s">
        <v>4869</v>
      </c>
      <c r="F411" s="1751">
        <v>243702</v>
      </c>
      <c r="G411" s="1750">
        <v>680</v>
      </c>
      <c r="H411" s="1731" t="s">
        <v>41</v>
      </c>
      <c r="I411" s="2287" t="s">
        <v>25</v>
      </c>
      <c r="J411" s="37"/>
      <c r="K411" s="2235"/>
      <c r="L411" s="37"/>
      <c r="M411" s="37"/>
      <c r="N411" s="37"/>
      <c r="O411" s="2360" t="s">
        <v>5885</v>
      </c>
      <c r="Q411" s="2287" t="s">
        <v>25</v>
      </c>
    </row>
    <row r="412" spans="1:17" ht="18.75" customHeight="1" x14ac:dyDescent="0.4">
      <c r="A412" s="112">
        <v>344</v>
      </c>
      <c r="B412" s="1747" t="s">
        <v>158</v>
      </c>
      <c r="C412" s="1748">
        <v>400</v>
      </c>
      <c r="D412" s="1179">
        <v>67</v>
      </c>
      <c r="E412" s="1749" t="s">
        <v>4870</v>
      </c>
      <c r="F412" s="1751">
        <v>243702</v>
      </c>
      <c r="G412" s="1750">
        <v>680</v>
      </c>
      <c r="H412" s="1731" t="s">
        <v>41</v>
      </c>
      <c r="I412" s="2287" t="s">
        <v>25</v>
      </c>
      <c r="J412" s="37"/>
      <c r="K412" s="2235"/>
      <c r="L412" s="37"/>
      <c r="M412" s="37"/>
      <c r="N412" s="37"/>
      <c r="O412" s="2360" t="s">
        <v>5885</v>
      </c>
      <c r="Q412" s="2287" t="s">
        <v>25</v>
      </c>
    </row>
    <row r="413" spans="1:17" ht="18.75" customHeight="1" x14ac:dyDescent="0.4">
      <c r="A413" s="2822">
        <v>345</v>
      </c>
      <c r="B413" s="1747" t="s">
        <v>158</v>
      </c>
      <c r="C413" s="1748">
        <v>400</v>
      </c>
      <c r="D413" s="1179">
        <v>67</v>
      </c>
      <c r="E413" s="1749" t="s">
        <v>4871</v>
      </c>
      <c r="F413" s="1751">
        <v>243702</v>
      </c>
      <c r="G413" s="1750">
        <v>680</v>
      </c>
      <c r="H413" s="1731" t="s">
        <v>41</v>
      </c>
      <c r="I413" s="2287" t="s">
        <v>25</v>
      </c>
      <c r="J413" s="37"/>
      <c r="K413" s="2235"/>
      <c r="L413" s="37"/>
      <c r="M413" s="37"/>
      <c r="N413" s="37"/>
      <c r="O413" s="2360" t="s">
        <v>5885</v>
      </c>
      <c r="Q413" s="2287" t="s">
        <v>25</v>
      </c>
    </row>
    <row r="414" spans="1:17" ht="18.75" customHeight="1" x14ac:dyDescent="0.4">
      <c r="A414" s="2822">
        <v>346</v>
      </c>
      <c r="B414" s="1747" t="s">
        <v>158</v>
      </c>
      <c r="C414" s="1748">
        <v>400</v>
      </c>
      <c r="D414" s="1179">
        <v>67</v>
      </c>
      <c r="E414" s="1749" t="s">
        <v>4872</v>
      </c>
      <c r="F414" s="1751">
        <v>243702</v>
      </c>
      <c r="G414" s="1750">
        <v>680</v>
      </c>
      <c r="H414" s="1731" t="s">
        <v>41</v>
      </c>
      <c r="I414" s="2287" t="s">
        <v>25</v>
      </c>
      <c r="J414" s="37"/>
      <c r="K414" s="2235"/>
      <c r="L414" s="37"/>
      <c r="M414" s="37"/>
      <c r="N414" s="37"/>
      <c r="O414" s="2360" t="s">
        <v>5885</v>
      </c>
      <c r="Q414" s="2287" t="s">
        <v>25</v>
      </c>
    </row>
    <row r="415" spans="1:17" ht="18.75" customHeight="1" x14ac:dyDescent="0.4">
      <c r="A415" s="112">
        <v>347</v>
      </c>
      <c r="B415" s="1747" t="s">
        <v>158</v>
      </c>
      <c r="C415" s="1748">
        <v>400</v>
      </c>
      <c r="D415" s="1179">
        <v>67</v>
      </c>
      <c r="E415" s="1749" t="s">
        <v>4873</v>
      </c>
      <c r="F415" s="1751">
        <v>243702</v>
      </c>
      <c r="G415" s="1750">
        <v>680</v>
      </c>
      <c r="H415" s="1731" t="s">
        <v>41</v>
      </c>
      <c r="I415" s="2287" t="s">
        <v>25</v>
      </c>
      <c r="J415" s="37"/>
      <c r="K415" s="2235"/>
      <c r="L415" s="37"/>
      <c r="M415" s="37"/>
      <c r="N415" s="37"/>
      <c r="O415" s="2360" t="s">
        <v>5885</v>
      </c>
      <c r="Q415" s="2287" t="s">
        <v>25</v>
      </c>
    </row>
    <row r="416" spans="1:17" ht="18.75" customHeight="1" x14ac:dyDescent="0.4">
      <c r="A416" s="112">
        <v>348</v>
      </c>
      <c r="B416" s="1747" t="s">
        <v>158</v>
      </c>
      <c r="C416" s="1748">
        <v>400</v>
      </c>
      <c r="D416" s="1179">
        <v>67</v>
      </c>
      <c r="E416" s="1749" t="s">
        <v>4874</v>
      </c>
      <c r="F416" s="1751">
        <v>243702</v>
      </c>
      <c r="G416" s="1750">
        <v>680</v>
      </c>
      <c r="H416" s="1731" t="s">
        <v>41</v>
      </c>
      <c r="I416" s="2287" t="s">
        <v>25</v>
      </c>
      <c r="J416" s="37"/>
      <c r="K416" s="2235"/>
      <c r="L416" s="37"/>
      <c r="M416" s="37"/>
      <c r="N416" s="37"/>
      <c r="O416" s="2360" t="s">
        <v>5885</v>
      </c>
      <c r="Q416" s="2287" t="s">
        <v>25</v>
      </c>
    </row>
    <row r="417" spans="1:17" ht="18.75" customHeight="1" x14ac:dyDescent="0.4">
      <c r="A417" s="112">
        <v>349</v>
      </c>
      <c r="B417" s="1747" t="s">
        <v>158</v>
      </c>
      <c r="C417" s="1748">
        <v>400</v>
      </c>
      <c r="D417" s="1179">
        <v>67</v>
      </c>
      <c r="E417" s="1749" t="s">
        <v>4875</v>
      </c>
      <c r="F417" s="1751">
        <v>243702</v>
      </c>
      <c r="G417" s="1750">
        <v>680</v>
      </c>
      <c r="H417" s="1731" t="s">
        <v>41</v>
      </c>
      <c r="I417" s="2287" t="s">
        <v>25</v>
      </c>
      <c r="J417" s="37"/>
      <c r="K417" s="2235"/>
      <c r="L417" s="37"/>
      <c r="M417" s="37"/>
      <c r="N417" s="37"/>
      <c r="O417" s="2360" t="s">
        <v>5885</v>
      </c>
      <c r="Q417" s="2287" t="s">
        <v>25</v>
      </c>
    </row>
    <row r="418" spans="1:17" ht="18.75" customHeight="1" x14ac:dyDescent="0.4">
      <c r="A418" s="112">
        <v>350</v>
      </c>
      <c r="B418" s="1747" t="s">
        <v>158</v>
      </c>
      <c r="C418" s="1748">
        <v>400</v>
      </c>
      <c r="D418" s="1179">
        <v>67</v>
      </c>
      <c r="E418" s="1749" t="s">
        <v>4876</v>
      </c>
      <c r="F418" s="1751">
        <v>243702</v>
      </c>
      <c r="G418" s="1750">
        <v>680</v>
      </c>
      <c r="H418" s="1731" t="s">
        <v>41</v>
      </c>
      <c r="I418" s="2287" t="s">
        <v>25</v>
      </c>
      <c r="J418" s="37"/>
      <c r="K418" s="2235"/>
      <c r="L418" s="37"/>
      <c r="M418" s="37"/>
      <c r="N418" s="37"/>
      <c r="O418" s="2360" t="s">
        <v>5885</v>
      </c>
      <c r="Q418" s="2287" t="s">
        <v>25</v>
      </c>
    </row>
    <row r="419" spans="1:17" ht="18.75" customHeight="1" x14ac:dyDescent="0.4">
      <c r="A419" s="112">
        <v>351</v>
      </c>
      <c r="B419" s="1747" t="s">
        <v>158</v>
      </c>
      <c r="C419" s="1748">
        <v>400</v>
      </c>
      <c r="D419" s="1179">
        <v>67</v>
      </c>
      <c r="E419" s="1749" t="s">
        <v>4877</v>
      </c>
      <c r="F419" s="1751">
        <v>243702</v>
      </c>
      <c r="G419" s="1750">
        <v>680</v>
      </c>
      <c r="H419" s="1731" t="s">
        <v>41</v>
      </c>
      <c r="I419" s="2287" t="s">
        <v>25</v>
      </c>
      <c r="J419" s="37"/>
      <c r="K419" s="2235"/>
      <c r="L419" s="37"/>
      <c r="M419" s="37"/>
      <c r="N419" s="37"/>
      <c r="O419" s="2360" t="s">
        <v>5885</v>
      </c>
      <c r="Q419" s="2287" t="s">
        <v>25</v>
      </c>
    </row>
    <row r="420" spans="1:17" ht="18.75" customHeight="1" x14ac:dyDescent="0.4">
      <c r="A420" s="112">
        <v>352</v>
      </c>
      <c r="B420" s="1747" t="s">
        <v>158</v>
      </c>
      <c r="C420" s="1748">
        <v>400</v>
      </c>
      <c r="D420" s="1179">
        <v>67</v>
      </c>
      <c r="E420" s="1749" t="s">
        <v>4878</v>
      </c>
      <c r="F420" s="1751">
        <v>243702</v>
      </c>
      <c r="G420" s="1750">
        <v>680</v>
      </c>
      <c r="H420" s="1731" t="s">
        <v>41</v>
      </c>
      <c r="I420" s="2287" t="s">
        <v>25</v>
      </c>
      <c r="J420" s="37"/>
      <c r="K420" s="2235"/>
      <c r="L420" s="37"/>
      <c r="M420" s="37"/>
      <c r="N420" s="37"/>
      <c r="O420" s="2360" t="s">
        <v>5885</v>
      </c>
      <c r="Q420" s="2287" t="s">
        <v>25</v>
      </c>
    </row>
    <row r="421" spans="1:17" ht="18.75" customHeight="1" x14ac:dyDescent="0.4">
      <c r="A421" s="112">
        <v>353</v>
      </c>
      <c r="B421" s="1747" t="s">
        <v>158</v>
      </c>
      <c r="C421" s="1748">
        <v>400</v>
      </c>
      <c r="D421" s="1179">
        <v>67</v>
      </c>
      <c r="E421" s="1749" t="s">
        <v>4879</v>
      </c>
      <c r="F421" s="1751">
        <v>243702</v>
      </c>
      <c r="G421" s="1750">
        <v>680</v>
      </c>
      <c r="H421" s="1731" t="s">
        <v>41</v>
      </c>
      <c r="I421" s="2287" t="s">
        <v>25</v>
      </c>
      <c r="J421" s="37"/>
      <c r="K421" s="2235"/>
      <c r="L421" s="37"/>
      <c r="M421" s="37"/>
      <c r="N421" s="37"/>
      <c r="O421" s="2360" t="s">
        <v>5885</v>
      </c>
      <c r="Q421" s="2287" t="s">
        <v>25</v>
      </c>
    </row>
    <row r="422" spans="1:17" ht="18.75" customHeight="1" x14ac:dyDescent="0.4">
      <c r="A422" s="2822">
        <v>354</v>
      </c>
      <c r="B422" s="1747" t="s">
        <v>158</v>
      </c>
      <c r="C422" s="1748">
        <v>400</v>
      </c>
      <c r="D422" s="1179">
        <v>67</v>
      </c>
      <c r="E422" s="1749" t="s">
        <v>4880</v>
      </c>
      <c r="F422" s="1751">
        <v>243702</v>
      </c>
      <c r="G422" s="1750">
        <v>680</v>
      </c>
      <c r="H422" s="1731" t="s">
        <v>41</v>
      </c>
      <c r="I422" s="2287" t="s">
        <v>25</v>
      </c>
      <c r="J422" s="37"/>
      <c r="K422" s="2235"/>
      <c r="L422" s="37"/>
      <c r="M422" s="37"/>
      <c r="N422" s="37"/>
      <c r="O422" s="2360" t="s">
        <v>5885</v>
      </c>
      <c r="Q422" s="2287" t="s">
        <v>25</v>
      </c>
    </row>
    <row r="423" spans="1:17" ht="18.75" customHeight="1" x14ac:dyDescent="0.4">
      <c r="A423" s="2822">
        <v>355</v>
      </c>
      <c r="B423" s="1747" t="s">
        <v>158</v>
      </c>
      <c r="C423" s="1748">
        <v>400</v>
      </c>
      <c r="D423" s="1179">
        <v>67</v>
      </c>
      <c r="E423" s="1749" t="s">
        <v>4881</v>
      </c>
      <c r="F423" s="1751">
        <v>243702</v>
      </c>
      <c r="G423" s="1750">
        <v>680</v>
      </c>
      <c r="H423" s="1731" t="s">
        <v>41</v>
      </c>
      <c r="I423" s="2287" t="s">
        <v>25</v>
      </c>
      <c r="J423" s="37"/>
      <c r="K423" s="2235"/>
      <c r="L423" s="37"/>
      <c r="M423" s="37"/>
      <c r="N423" s="37"/>
      <c r="O423" s="2360" t="s">
        <v>5885</v>
      </c>
      <c r="Q423" s="2287" t="s">
        <v>25</v>
      </c>
    </row>
    <row r="424" spans="1:17" ht="18.75" customHeight="1" x14ac:dyDescent="0.4">
      <c r="A424" s="112">
        <v>356</v>
      </c>
      <c r="B424" s="1747" t="s">
        <v>158</v>
      </c>
      <c r="C424" s="1748">
        <v>400</v>
      </c>
      <c r="D424" s="1179">
        <v>67</v>
      </c>
      <c r="E424" s="1749" t="s">
        <v>4882</v>
      </c>
      <c r="F424" s="1751">
        <v>243702</v>
      </c>
      <c r="G424" s="1750">
        <v>680</v>
      </c>
      <c r="H424" s="1731" t="s">
        <v>41</v>
      </c>
      <c r="I424" s="2287" t="s">
        <v>25</v>
      </c>
      <c r="J424" s="37"/>
      <c r="K424" s="2235"/>
      <c r="L424" s="37"/>
      <c r="M424" s="37"/>
      <c r="N424" s="37"/>
      <c r="O424" s="2360" t="s">
        <v>5885</v>
      </c>
      <c r="Q424" s="2287" t="s">
        <v>25</v>
      </c>
    </row>
    <row r="425" spans="1:17" ht="18.75" customHeight="1" x14ac:dyDescent="0.4">
      <c r="A425" s="112">
        <v>357</v>
      </c>
      <c r="B425" s="1747" t="s">
        <v>158</v>
      </c>
      <c r="C425" s="1748">
        <v>400</v>
      </c>
      <c r="D425" s="1179">
        <v>67</v>
      </c>
      <c r="E425" s="1749" t="s">
        <v>4883</v>
      </c>
      <c r="F425" s="1751">
        <v>243702</v>
      </c>
      <c r="G425" s="1750">
        <v>680</v>
      </c>
      <c r="H425" s="1731" t="s">
        <v>41</v>
      </c>
      <c r="I425" s="2287" t="s">
        <v>25</v>
      </c>
      <c r="J425" s="37"/>
      <c r="K425" s="2235"/>
      <c r="L425" s="37"/>
      <c r="M425" s="37"/>
      <c r="N425" s="37"/>
      <c r="O425" s="2360" t="s">
        <v>5885</v>
      </c>
      <c r="Q425" s="2287" t="s">
        <v>25</v>
      </c>
    </row>
    <row r="426" spans="1:17" ht="18.75" customHeight="1" x14ac:dyDescent="0.4">
      <c r="A426" s="112">
        <v>358</v>
      </c>
      <c r="B426" s="1747" t="s">
        <v>158</v>
      </c>
      <c r="C426" s="1748">
        <v>400</v>
      </c>
      <c r="D426" s="1179">
        <v>67</v>
      </c>
      <c r="E426" s="1749" t="s">
        <v>4884</v>
      </c>
      <c r="F426" s="1751">
        <v>243702</v>
      </c>
      <c r="G426" s="1750">
        <v>680</v>
      </c>
      <c r="H426" s="1731" t="s">
        <v>41</v>
      </c>
      <c r="I426" s="2287" t="s">
        <v>25</v>
      </c>
      <c r="J426" s="37"/>
      <c r="K426" s="2235"/>
      <c r="L426" s="37"/>
      <c r="M426" s="37"/>
      <c r="N426" s="37"/>
      <c r="O426" s="2360" t="s">
        <v>5885</v>
      </c>
      <c r="Q426" s="2287" t="s">
        <v>25</v>
      </c>
    </row>
    <row r="427" spans="1:17" ht="18.75" customHeight="1" x14ac:dyDescent="0.4">
      <c r="A427" s="112">
        <v>359</v>
      </c>
      <c r="B427" s="1747" t="s">
        <v>158</v>
      </c>
      <c r="C427" s="1748">
        <v>400</v>
      </c>
      <c r="D427" s="1179">
        <v>67</v>
      </c>
      <c r="E427" s="1749" t="s">
        <v>4885</v>
      </c>
      <c r="F427" s="1751">
        <v>243702</v>
      </c>
      <c r="G427" s="1750">
        <v>680</v>
      </c>
      <c r="H427" s="1731" t="s">
        <v>41</v>
      </c>
      <c r="I427" s="2287" t="s">
        <v>25</v>
      </c>
      <c r="J427" s="37"/>
      <c r="K427" s="2235"/>
      <c r="L427" s="37"/>
      <c r="M427" s="37"/>
      <c r="N427" s="37"/>
      <c r="O427" s="2360" t="s">
        <v>5885</v>
      </c>
      <c r="Q427" s="2287" t="s">
        <v>25</v>
      </c>
    </row>
    <row r="428" spans="1:17" ht="18.75" customHeight="1" x14ac:dyDescent="0.4">
      <c r="A428" s="112">
        <v>360</v>
      </c>
      <c r="B428" s="1747" t="s">
        <v>158</v>
      </c>
      <c r="C428" s="1748">
        <v>400</v>
      </c>
      <c r="D428" s="1179">
        <v>67</v>
      </c>
      <c r="E428" s="1749" t="s">
        <v>4886</v>
      </c>
      <c r="F428" s="1751">
        <v>243702</v>
      </c>
      <c r="G428" s="1750">
        <v>680</v>
      </c>
      <c r="H428" s="1731" t="s">
        <v>41</v>
      </c>
      <c r="I428" s="2287" t="s">
        <v>25</v>
      </c>
      <c r="J428" s="37"/>
      <c r="K428" s="2235"/>
      <c r="L428" s="37"/>
      <c r="M428" s="37"/>
      <c r="N428" s="37"/>
      <c r="O428" s="2360" t="s">
        <v>5885</v>
      </c>
      <c r="Q428" s="2287" t="s">
        <v>25</v>
      </c>
    </row>
    <row r="429" spans="1:17" ht="18.75" customHeight="1" x14ac:dyDescent="0.4">
      <c r="A429" s="112">
        <v>361</v>
      </c>
      <c r="B429" s="1747" t="s">
        <v>158</v>
      </c>
      <c r="C429" s="1748">
        <v>400</v>
      </c>
      <c r="D429" s="1179">
        <v>67</v>
      </c>
      <c r="E429" s="1749" t="s">
        <v>4887</v>
      </c>
      <c r="F429" s="1751">
        <v>243702</v>
      </c>
      <c r="G429" s="1750">
        <v>680</v>
      </c>
      <c r="H429" s="1731" t="s">
        <v>41</v>
      </c>
      <c r="I429" s="2287" t="s">
        <v>25</v>
      </c>
      <c r="J429" s="37"/>
      <c r="K429" s="2235"/>
      <c r="L429" s="37"/>
      <c r="M429" s="37"/>
      <c r="N429" s="37"/>
      <c r="O429" s="2360" t="s">
        <v>5885</v>
      </c>
      <c r="Q429" s="2287" t="s">
        <v>25</v>
      </c>
    </row>
    <row r="430" spans="1:17" ht="18.75" customHeight="1" x14ac:dyDescent="0.4">
      <c r="A430" s="112">
        <v>362</v>
      </c>
      <c r="B430" s="1747" t="s">
        <v>158</v>
      </c>
      <c r="C430" s="1748">
        <v>400</v>
      </c>
      <c r="D430" s="1179">
        <v>67</v>
      </c>
      <c r="E430" s="1749" t="s">
        <v>4888</v>
      </c>
      <c r="F430" s="1751">
        <v>243702</v>
      </c>
      <c r="G430" s="1750">
        <v>680</v>
      </c>
      <c r="H430" s="1731" t="s">
        <v>41</v>
      </c>
      <c r="I430" s="2287" t="s">
        <v>25</v>
      </c>
      <c r="J430" s="37"/>
      <c r="K430" s="2235"/>
      <c r="L430" s="37"/>
      <c r="M430" s="37"/>
      <c r="N430" s="37"/>
      <c r="O430" s="2360" t="s">
        <v>5885</v>
      </c>
      <c r="Q430" s="2287" t="s">
        <v>25</v>
      </c>
    </row>
    <row r="431" spans="1:17" ht="18.75" customHeight="1" x14ac:dyDescent="0.4">
      <c r="A431" s="2822">
        <v>363</v>
      </c>
      <c r="B431" s="1747" t="s">
        <v>158</v>
      </c>
      <c r="C431" s="1748">
        <v>400</v>
      </c>
      <c r="D431" s="1179">
        <v>67</v>
      </c>
      <c r="E431" s="1749" t="s">
        <v>4889</v>
      </c>
      <c r="F431" s="1751">
        <v>243702</v>
      </c>
      <c r="G431" s="1750">
        <v>680</v>
      </c>
      <c r="H431" s="1731" t="s">
        <v>41</v>
      </c>
      <c r="I431" s="2287" t="s">
        <v>25</v>
      </c>
      <c r="J431" s="37"/>
      <c r="K431" s="2235"/>
      <c r="L431" s="37"/>
      <c r="M431" s="37"/>
      <c r="N431" s="37"/>
      <c r="O431" s="2360" t="s">
        <v>5885</v>
      </c>
      <c r="Q431" s="2287" t="s">
        <v>25</v>
      </c>
    </row>
    <row r="432" spans="1:17" ht="18.75" customHeight="1" x14ac:dyDescent="0.4">
      <c r="A432" s="2822">
        <v>364</v>
      </c>
      <c r="B432" s="1747" t="s">
        <v>158</v>
      </c>
      <c r="C432" s="1748">
        <v>400</v>
      </c>
      <c r="D432" s="1179">
        <v>67</v>
      </c>
      <c r="E432" s="1749" t="s">
        <v>4890</v>
      </c>
      <c r="F432" s="1751">
        <v>243702</v>
      </c>
      <c r="G432" s="1750">
        <v>680</v>
      </c>
      <c r="H432" s="1731" t="s">
        <v>41</v>
      </c>
      <c r="I432" s="2287" t="s">
        <v>25</v>
      </c>
      <c r="J432" s="37"/>
      <c r="K432" s="2235"/>
      <c r="L432" s="37"/>
      <c r="M432" s="37"/>
      <c r="N432" s="37"/>
      <c r="O432" s="2360" t="s">
        <v>5885</v>
      </c>
      <c r="Q432" s="2287" t="s">
        <v>25</v>
      </c>
    </row>
    <row r="433" spans="1:17" ht="18.75" customHeight="1" x14ac:dyDescent="0.4">
      <c r="A433" s="112">
        <v>365</v>
      </c>
      <c r="B433" s="1747" t="s">
        <v>158</v>
      </c>
      <c r="C433" s="1748">
        <v>400</v>
      </c>
      <c r="D433" s="1179">
        <v>67</v>
      </c>
      <c r="E433" s="1749" t="s">
        <v>4891</v>
      </c>
      <c r="F433" s="1751">
        <v>243702</v>
      </c>
      <c r="G433" s="1750">
        <v>680</v>
      </c>
      <c r="H433" s="1731" t="s">
        <v>41</v>
      </c>
      <c r="I433" s="2287" t="s">
        <v>25</v>
      </c>
      <c r="J433" s="37"/>
      <c r="K433" s="2235"/>
      <c r="L433" s="37"/>
      <c r="M433" s="37"/>
      <c r="N433" s="37"/>
      <c r="O433" s="2360" t="s">
        <v>5885</v>
      </c>
      <c r="Q433" s="2287" t="s">
        <v>25</v>
      </c>
    </row>
    <row r="434" spans="1:17" ht="18.75" customHeight="1" x14ac:dyDescent="0.4">
      <c r="A434" s="112">
        <v>366</v>
      </c>
      <c r="B434" s="1747" t="s">
        <v>158</v>
      </c>
      <c r="C434" s="1748">
        <v>400</v>
      </c>
      <c r="D434" s="1179">
        <v>67</v>
      </c>
      <c r="E434" s="1749" t="s">
        <v>4892</v>
      </c>
      <c r="F434" s="1751">
        <v>243702</v>
      </c>
      <c r="G434" s="1750">
        <v>680</v>
      </c>
      <c r="H434" s="1731" t="s">
        <v>41</v>
      </c>
      <c r="I434" s="2287" t="s">
        <v>25</v>
      </c>
      <c r="J434" s="37"/>
      <c r="K434" s="2235"/>
      <c r="L434" s="37"/>
      <c r="M434" s="37"/>
      <c r="N434" s="37"/>
      <c r="O434" s="2360" t="s">
        <v>5885</v>
      </c>
      <c r="Q434" s="2287" t="s">
        <v>25</v>
      </c>
    </row>
    <row r="435" spans="1:17" ht="18.75" customHeight="1" x14ac:dyDescent="0.4">
      <c r="A435" s="112">
        <v>367</v>
      </c>
      <c r="B435" s="1747" t="s">
        <v>158</v>
      </c>
      <c r="C435" s="1748">
        <v>400</v>
      </c>
      <c r="D435" s="1179">
        <v>67</v>
      </c>
      <c r="E435" s="1749" t="s">
        <v>4893</v>
      </c>
      <c r="F435" s="1751">
        <v>243702</v>
      </c>
      <c r="G435" s="1750">
        <v>680</v>
      </c>
      <c r="H435" s="1731" t="s">
        <v>41</v>
      </c>
      <c r="I435" s="2287" t="s">
        <v>25</v>
      </c>
      <c r="J435" s="37"/>
      <c r="K435" s="2235"/>
      <c r="L435" s="37"/>
      <c r="M435" s="37"/>
      <c r="N435" s="37"/>
      <c r="O435" s="2360" t="s">
        <v>5885</v>
      </c>
      <c r="Q435" s="2287" t="s">
        <v>25</v>
      </c>
    </row>
    <row r="436" spans="1:17" ht="18.75" customHeight="1" x14ac:dyDescent="0.4">
      <c r="A436" s="112">
        <v>368</v>
      </c>
      <c r="B436" s="1747" t="s">
        <v>158</v>
      </c>
      <c r="C436" s="1748">
        <v>400</v>
      </c>
      <c r="D436" s="1179">
        <v>67</v>
      </c>
      <c r="E436" s="1749" t="s">
        <v>4894</v>
      </c>
      <c r="F436" s="1751">
        <v>243702</v>
      </c>
      <c r="G436" s="1750">
        <v>680</v>
      </c>
      <c r="H436" s="1731" t="s">
        <v>41</v>
      </c>
      <c r="I436" s="2287" t="s">
        <v>25</v>
      </c>
      <c r="J436" s="37"/>
      <c r="K436" s="2235"/>
      <c r="L436" s="37"/>
      <c r="M436" s="37"/>
      <c r="N436" s="37"/>
      <c r="O436" s="2360" t="s">
        <v>5885</v>
      </c>
      <c r="Q436" s="2287" t="s">
        <v>25</v>
      </c>
    </row>
    <row r="437" spans="1:17" ht="18.75" customHeight="1" x14ac:dyDescent="0.4">
      <c r="A437" s="112">
        <v>369</v>
      </c>
      <c r="B437" s="1747" t="s">
        <v>158</v>
      </c>
      <c r="C437" s="1748">
        <v>400</v>
      </c>
      <c r="D437" s="1179">
        <v>67</v>
      </c>
      <c r="E437" s="1749" t="s">
        <v>4895</v>
      </c>
      <c r="F437" s="1751">
        <v>243702</v>
      </c>
      <c r="G437" s="1750">
        <v>680</v>
      </c>
      <c r="H437" s="1731" t="s">
        <v>41</v>
      </c>
      <c r="I437" s="2287" t="s">
        <v>25</v>
      </c>
      <c r="J437" s="37"/>
      <c r="K437" s="2235"/>
      <c r="L437" s="37"/>
      <c r="M437" s="37"/>
      <c r="N437" s="37"/>
      <c r="O437" s="2360" t="s">
        <v>5885</v>
      </c>
      <c r="Q437" s="2287" t="s">
        <v>25</v>
      </c>
    </row>
    <row r="438" spans="1:17" ht="18.75" customHeight="1" x14ac:dyDescent="0.4">
      <c r="A438" s="112">
        <v>370</v>
      </c>
      <c r="B438" s="1747" t="s">
        <v>158</v>
      </c>
      <c r="C438" s="1748">
        <v>400</v>
      </c>
      <c r="D438" s="1179">
        <v>67</v>
      </c>
      <c r="E438" s="1749" t="s">
        <v>4896</v>
      </c>
      <c r="F438" s="1751">
        <v>243702</v>
      </c>
      <c r="G438" s="1750">
        <v>680</v>
      </c>
      <c r="H438" s="1731" t="s">
        <v>41</v>
      </c>
      <c r="I438" s="2287" t="s">
        <v>25</v>
      </c>
      <c r="J438" s="37"/>
      <c r="K438" s="2235"/>
      <c r="L438" s="37"/>
      <c r="M438" s="37"/>
      <c r="N438" s="37"/>
      <c r="O438" s="2360" t="s">
        <v>5885</v>
      </c>
      <c r="Q438" s="2287" t="s">
        <v>25</v>
      </c>
    </row>
    <row r="439" spans="1:17" ht="18.75" customHeight="1" x14ac:dyDescent="0.4">
      <c r="A439" s="112">
        <v>371</v>
      </c>
      <c r="B439" s="1747" t="s">
        <v>158</v>
      </c>
      <c r="C439" s="1748">
        <v>400</v>
      </c>
      <c r="D439" s="1179">
        <v>67</v>
      </c>
      <c r="E439" s="1749" t="s">
        <v>4897</v>
      </c>
      <c r="F439" s="1751">
        <v>243702</v>
      </c>
      <c r="G439" s="1750">
        <v>680</v>
      </c>
      <c r="H439" s="1731" t="s">
        <v>41</v>
      </c>
      <c r="I439" s="2287" t="s">
        <v>25</v>
      </c>
      <c r="J439" s="37"/>
      <c r="K439" s="2235"/>
      <c r="L439" s="37"/>
      <c r="M439" s="37"/>
      <c r="N439" s="37"/>
      <c r="O439" s="2360" t="s">
        <v>5885</v>
      </c>
      <c r="Q439" s="2287" t="s">
        <v>25</v>
      </c>
    </row>
    <row r="440" spans="1:17" ht="18.75" customHeight="1" x14ac:dyDescent="0.4">
      <c r="A440" s="2822">
        <v>372</v>
      </c>
      <c r="B440" s="1747" t="s">
        <v>158</v>
      </c>
      <c r="C440" s="1748">
        <v>400</v>
      </c>
      <c r="D440" s="1179">
        <v>67</v>
      </c>
      <c r="E440" s="1749" t="s">
        <v>4898</v>
      </c>
      <c r="F440" s="1751">
        <v>243702</v>
      </c>
      <c r="G440" s="1750">
        <v>680</v>
      </c>
      <c r="H440" s="1731" t="s">
        <v>41</v>
      </c>
      <c r="I440" s="2287" t="s">
        <v>25</v>
      </c>
      <c r="J440" s="37"/>
      <c r="K440" s="2235"/>
      <c r="L440" s="37"/>
      <c r="M440" s="37"/>
      <c r="N440" s="37"/>
      <c r="O440" s="2360" t="s">
        <v>5885</v>
      </c>
      <c r="Q440" s="2287" t="s">
        <v>25</v>
      </c>
    </row>
    <row r="441" spans="1:17" ht="18.75" customHeight="1" x14ac:dyDescent="0.4">
      <c r="A441" s="2822">
        <v>373</v>
      </c>
      <c r="B441" s="1747" t="s">
        <v>158</v>
      </c>
      <c r="C441" s="1748">
        <v>400</v>
      </c>
      <c r="D441" s="1179">
        <v>67</v>
      </c>
      <c r="E441" s="1749" t="s">
        <v>4899</v>
      </c>
      <c r="F441" s="1751">
        <v>243702</v>
      </c>
      <c r="G441" s="1750">
        <v>680</v>
      </c>
      <c r="H441" s="1731" t="s">
        <v>41</v>
      </c>
      <c r="I441" s="2287" t="s">
        <v>25</v>
      </c>
      <c r="J441" s="37"/>
      <c r="K441" s="2235"/>
      <c r="L441" s="37"/>
      <c r="M441" s="37"/>
      <c r="N441" s="37"/>
      <c r="O441" s="2360" t="s">
        <v>5885</v>
      </c>
      <c r="Q441" s="2287" t="s">
        <v>25</v>
      </c>
    </row>
    <row r="442" spans="1:17" ht="18.75" customHeight="1" x14ac:dyDescent="0.4">
      <c r="A442" s="112">
        <v>374</v>
      </c>
      <c r="B442" s="1747" t="s">
        <v>158</v>
      </c>
      <c r="C442" s="1748">
        <v>400</v>
      </c>
      <c r="D442" s="1179">
        <v>67</v>
      </c>
      <c r="E442" s="1749" t="s">
        <v>4900</v>
      </c>
      <c r="F442" s="1751">
        <v>243702</v>
      </c>
      <c r="G442" s="1750">
        <v>680</v>
      </c>
      <c r="H442" s="1731" t="s">
        <v>41</v>
      </c>
      <c r="I442" s="2287" t="s">
        <v>25</v>
      </c>
      <c r="J442" s="37"/>
      <c r="K442" s="2235"/>
      <c r="L442" s="37"/>
      <c r="M442" s="37"/>
      <c r="N442" s="37"/>
      <c r="O442" s="2360" t="s">
        <v>5885</v>
      </c>
      <c r="Q442" s="2287" t="s">
        <v>25</v>
      </c>
    </row>
    <row r="443" spans="1:17" ht="18.75" customHeight="1" x14ac:dyDescent="0.4">
      <c r="A443" s="112">
        <v>375</v>
      </c>
      <c r="B443" s="1747" t="s">
        <v>158</v>
      </c>
      <c r="C443" s="1748">
        <v>400</v>
      </c>
      <c r="D443" s="1179">
        <v>67</v>
      </c>
      <c r="E443" s="1749" t="s">
        <v>4901</v>
      </c>
      <c r="F443" s="1751">
        <v>243702</v>
      </c>
      <c r="G443" s="1750">
        <v>680</v>
      </c>
      <c r="H443" s="1731" t="s">
        <v>41</v>
      </c>
      <c r="I443" s="2287" t="s">
        <v>25</v>
      </c>
      <c r="J443" s="37"/>
      <c r="K443" s="2235"/>
      <c r="L443" s="37"/>
      <c r="M443" s="37"/>
      <c r="N443" s="37"/>
      <c r="O443" s="2360" t="s">
        <v>5885</v>
      </c>
      <c r="Q443" s="2287" t="s">
        <v>25</v>
      </c>
    </row>
    <row r="444" spans="1:17" ht="18.75" customHeight="1" x14ac:dyDescent="0.4">
      <c r="A444" s="112">
        <v>376</v>
      </c>
      <c r="B444" s="1747" t="s">
        <v>158</v>
      </c>
      <c r="C444" s="1748">
        <v>400</v>
      </c>
      <c r="D444" s="1179">
        <v>67</v>
      </c>
      <c r="E444" s="1749" t="s">
        <v>4902</v>
      </c>
      <c r="F444" s="1751">
        <v>243702</v>
      </c>
      <c r="G444" s="1750">
        <v>680</v>
      </c>
      <c r="H444" s="1731" t="s">
        <v>41</v>
      </c>
      <c r="I444" s="2287" t="s">
        <v>25</v>
      </c>
      <c r="J444" s="37"/>
      <c r="K444" s="2235"/>
      <c r="L444" s="37"/>
      <c r="M444" s="37"/>
      <c r="N444" s="37"/>
      <c r="O444" s="2360" t="s">
        <v>5885</v>
      </c>
      <c r="Q444" s="2287" t="s">
        <v>25</v>
      </c>
    </row>
    <row r="445" spans="1:17" ht="18.75" customHeight="1" x14ac:dyDescent="0.4">
      <c r="A445" s="112">
        <v>377</v>
      </c>
      <c r="B445" s="1747" t="s">
        <v>158</v>
      </c>
      <c r="C445" s="1748">
        <v>400</v>
      </c>
      <c r="D445" s="1179">
        <v>67</v>
      </c>
      <c r="E445" s="1749" t="s">
        <v>4903</v>
      </c>
      <c r="F445" s="1751">
        <v>243702</v>
      </c>
      <c r="G445" s="1750">
        <v>680</v>
      </c>
      <c r="H445" s="1731" t="s">
        <v>41</v>
      </c>
      <c r="I445" s="2287" t="s">
        <v>25</v>
      </c>
      <c r="J445" s="37"/>
      <c r="K445" s="2235"/>
      <c r="L445" s="37"/>
      <c r="M445" s="37"/>
      <c r="N445" s="37"/>
      <c r="O445" s="2360" t="s">
        <v>5885</v>
      </c>
      <c r="Q445" s="2287" t="s">
        <v>25</v>
      </c>
    </row>
    <row r="446" spans="1:17" ht="18.75" customHeight="1" x14ac:dyDescent="0.4">
      <c r="A446" s="112">
        <v>378</v>
      </c>
      <c r="B446" s="1747" t="s">
        <v>158</v>
      </c>
      <c r="C446" s="1748">
        <v>400</v>
      </c>
      <c r="D446" s="1179">
        <v>67</v>
      </c>
      <c r="E446" s="1749" t="s">
        <v>4904</v>
      </c>
      <c r="F446" s="1751">
        <v>243702</v>
      </c>
      <c r="G446" s="1750">
        <v>680</v>
      </c>
      <c r="H446" s="1731" t="s">
        <v>41</v>
      </c>
      <c r="I446" s="2287" t="s">
        <v>25</v>
      </c>
      <c r="J446" s="37"/>
      <c r="K446" s="2235"/>
      <c r="L446" s="37"/>
      <c r="M446" s="37"/>
      <c r="N446" s="37"/>
      <c r="O446" s="2360" t="s">
        <v>5885</v>
      </c>
      <c r="Q446" s="2287" t="s">
        <v>25</v>
      </c>
    </row>
    <row r="447" spans="1:17" ht="18.75" customHeight="1" x14ac:dyDescent="0.4">
      <c r="A447" s="112">
        <v>379</v>
      </c>
      <c r="B447" s="1747" t="s">
        <v>158</v>
      </c>
      <c r="C447" s="1748">
        <v>400</v>
      </c>
      <c r="D447" s="1179">
        <v>67</v>
      </c>
      <c r="E447" s="1749" t="s">
        <v>4905</v>
      </c>
      <c r="F447" s="1751">
        <v>243702</v>
      </c>
      <c r="G447" s="1750">
        <v>680</v>
      </c>
      <c r="H447" s="1731" t="s">
        <v>41</v>
      </c>
      <c r="I447" s="2287" t="s">
        <v>25</v>
      </c>
      <c r="J447" s="37"/>
      <c r="K447" s="2235"/>
      <c r="L447" s="37"/>
      <c r="M447" s="37"/>
      <c r="N447" s="37"/>
      <c r="O447" s="2360" t="s">
        <v>5885</v>
      </c>
      <c r="Q447" s="2287" t="s">
        <v>25</v>
      </c>
    </row>
    <row r="448" spans="1:17" ht="18.75" customHeight="1" x14ac:dyDescent="0.4">
      <c r="A448" s="112">
        <v>380</v>
      </c>
      <c r="B448" s="1747" t="s">
        <v>158</v>
      </c>
      <c r="C448" s="1748">
        <v>400</v>
      </c>
      <c r="D448" s="1179">
        <v>67</v>
      </c>
      <c r="E448" s="1749" t="s">
        <v>4906</v>
      </c>
      <c r="F448" s="1751">
        <v>243702</v>
      </c>
      <c r="G448" s="1750">
        <v>680</v>
      </c>
      <c r="H448" s="1731" t="s">
        <v>41</v>
      </c>
      <c r="I448" s="2287" t="s">
        <v>25</v>
      </c>
      <c r="J448" s="37"/>
      <c r="K448" s="2235"/>
      <c r="L448" s="37"/>
      <c r="M448" s="37"/>
      <c r="N448" s="37"/>
      <c r="O448" s="2360" t="s">
        <v>5885</v>
      </c>
      <c r="Q448" s="2287" t="s">
        <v>25</v>
      </c>
    </row>
    <row r="449" spans="1:17" ht="18.75" customHeight="1" x14ac:dyDescent="0.4">
      <c r="A449" s="2822">
        <v>381</v>
      </c>
      <c r="B449" s="1747" t="s">
        <v>158</v>
      </c>
      <c r="C449" s="1748">
        <v>400</v>
      </c>
      <c r="D449" s="1179">
        <v>67</v>
      </c>
      <c r="E449" s="1749" t="s">
        <v>4907</v>
      </c>
      <c r="F449" s="1751">
        <v>243702</v>
      </c>
      <c r="G449" s="1750">
        <v>680</v>
      </c>
      <c r="H449" s="1731" t="s">
        <v>41</v>
      </c>
      <c r="I449" s="2287" t="s">
        <v>25</v>
      </c>
      <c r="J449" s="37"/>
      <c r="K449" s="2235"/>
      <c r="L449" s="37"/>
      <c r="M449" s="37"/>
      <c r="N449" s="37"/>
      <c r="O449" s="2360" t="s">
        <v>5885</v>
      </c>
      <c r="Q449" s="2287" t="s">
        <v>25</v>
      </c>
    </row>
    <row r="450" spans="1:17" ht="18.75" customHeight="1" x14ac:dyDescent="0.4">
      <c r="A450" s="2822">
        <v>382</v>
      </c>
      <c r="B450" s="1747" t="s">
        <v>158</v>
      </c>
      <c r="C450" s="1748">
        <v>400</v>
      </c>
      <c r="D450" s="1179">
        <v>67</v>
      </c>
      <c r="E450" s="1749" t="s">
        <v>4908</v>
      </c>
      <c r="F450" s="1751">
        <v>243702</v>
      </c>
      <c r="G450" s="1750">
        <v>680</v>
      </c>
      <c r="H450" s="1731" t="s">
        <v>41</v>
      </c>
      <c r="I450" s="2287" t="s">
        <v>25</v>
      </c>
      <c r="J450" s="37"/>
      <c r="K450" s="2235"/>
      <c r="L450" s="37"/>
      <c r="M450" s="37"/>
      <c r="N450" s="37"/>
      <c r="O450" s="2360" t="s">
        <v>5885</v>
      </c>
      <c r="Q450" s="2287" t="s">
        <v>25</v>
      </c>
    </row>
    <row r="451" spans="1:17" ht="18.75" customHeight="1" x14ac:dyDescent="0.4">
      <c r="A451" s="112">
        <v>383</v>
      </c>
      <c r="B451" s="1747" t="s">
        <v>158</v>
      </c>
      <c r="C451" s="1748">
        <v>400</v>
      </c>
      <c r="D451" s="1179">
        <v>67</v>
      </c>
      <c r="E451" s="1749" t="s">
        <v>4909</v>
      </c>
      <c r="F451" s="1751">
        <v>243702</v>
      </c>
      <c r="G451" s="1750">
        <v>680</v>
      </c>
      <c r="H451" s="1731" t="s">
        <v>41</v>
      </c>
      <c r="I451" s="2287" t="s">
        <v>25</v>
      </c>
      <c r="J451" s="37"/>
      <c r="K451" s="2235"/>
      <c r="L451" s="37"/>
      <c r="M451" s="37"/>
      <c r="N451" s="37"/>
      <c r="O451" s="2360" t="s">
        <v>5885</v>
      </c>
      <c r="Q451" s="2287" t="s">
        <v>25</v>
      </c>
    </row>
    <row r="452" spans="1:17" ht="18.75" customHeight="1" x14ac:dyDescent="0.4">
      <c r="A452" s="112">
        <v>384</v>
      </c>
      <c r="B452" s="1747" t="s">
        <v>158</v>
      </c>
      <c r="C452" s="1748">
        <v>400</v>
      </c>
      <c r="D452" s="1179">
        <v>67</v>
      </c>
      <c r="E452" s="1749" t="s">
        <v>4910</v>
      </c>
      <c r="F452" s="1751">
        <v>243702</v>
      </c>
      <c r="G452" s="1750">
        <v>680</v>
      </c>
      <c r="H452" s="1731" t="s">
        <v>41</v>
      </c>
      <c r="I452" s="2287" t="s">
        <v>25</v>
      </c>
      <c r="J452" s="37"/>
      <c r="K452" s="2235"/>
      <c r="L452" s="37"/>
      <c r="M452" s="37"/>
      <c r="N452" s="37"/>
      <c r="O452" s="2360" t="s">
        <v>5885</v>
      </c>
      <c r="Q452" s="2287" t="s">
        <v>25</v>
      </c>
    </row>
    <row r="453" spans="1:17" ht="18.75" customHeight="1" x14ac:dyDescent="0.4">
      <c r="A453" s="112">
        <v>385</v>
      </c>
      <c r="B453" s="1747" t="s">
        <v>158</v>
      </c>
      <c r="C453" s="1748">
        <v>400</v>
      </c>
      <c r="D453" s="1179">
        <v>67</v>
      </c>
      <c r="E453" s="1749" t="s">
        <v>4911</v>
      </c>
      <c r="F453" s="1751">
        <v>243702</v>
      </c>
      <c r="G453" s="1750">
        <v>680</v>
      </c>
      <c r="H453" s="1731" t="s">
        <v>41</v>
      </c>
      <c r="I453" s="2287" t="s">
        <v>25</v>
      </c>
      <c r="J453" s="37"/>
      <c r="K453" s="2235"/>
      <c r="L453" s="37"/>
      <c r="M453" s="37"/>
      <c r="N453" s="37"/>
      <c r="O453" s="2360" t="s">
        <v>5885</v>
      </c>
      <c r="Q453" s="2287" t="s">
        <v>25</v>
      </c>
    </row>
    <row r="454" spans="1:17" ht="18.75" customHeight="1" x14ac:dyDescent="0.4">
      <c r="A454" s="112">
        <v>386</v>
      </c>
      <c r="B454" s="1747" t="s">
        <v>158</v>
      </c>
      <c r="C454" s="1748">
        <v>400</v>
      </c>
      <c r="D454" s="1179">
        <v>67</v>
      </c>
      <c r="E454" s="1749" t="s">
        <v>4912</v>
      </c>
      <c r="F454" s="1751">
        <v>243702</v>
      </c>
      <c r="G454" s="1750">
        <v>680</v>
      </c>
      <c r="H454" s="1731" t="s">
        <v>41</v>
      </c>
      <c r="I454" s="2287" t="s">
        <v>25</v>
      </c>
      <c r="J454" s="37"/>
      <c r="K454" s="2235"/>
      <c r="L454" s="37"/>
      <c r="M454" s="37"/>
      <c r="N454" s="37"/>
      <c r="O454" s="2360" t="s">
        <v>5885</v>
      </c>
      <c r="Q454" s="2287" t="s">
        <v>25</v>
      </c>
    </row>
    <row r="455" spans="1:17" ht="18.75" customHeight="1" x14ac:dyDescent="0.4">
      <c r="A455" s="112">
        <v>387</v>
      </c>
      <c r="B455" s="1747" t="s">
        <v>158</v>
      </c>
      <c r="C455" s="1748">
        <v>400</v>
      </c>
      <c r="D455" s="1179">
        <v>67</v>
      </c>
      <c r="E455" s="1749" t="s">
        <v>4913</v>
      </c>
      <c r="F455" s="1751">
        <v>243702</v>
      </c>
      <c r="G455" s="1750">
        <v>680</v>
      </c>
      <c r="H455" s="1731" t="s">
        <v>41</v>
      </c>
      <c r="I455" s="2287" t="s">
        <v>25</v>
      </c>
      <c r="J455" s="37"/>
      <c r="K455" s="2235"/>
      <c r="L455" s="37"/>
      <c r="M455" s="37"/>
      <c r="N455" s="37"/>
      <c r="O455" s="2360" t="s">
        <v>5885</v>
      </c>
      <c r="Q455" s="2287" t="s">
        <v>25</v>
      </c>
    </row>
    <row r="456" spans="1:17" ht="18.75" customHeight="1" x14ac:dyDescent="0.4">
      <c r="A456" s="112">
        <v>388</v>
      </c>
      <c r="B456" s="1747" t="s">
        <v>158</v>
      </c>
      <c r="C456" s="1748">
        <v>400</v>
      </c>
      <c r="D456" s="1179">
        <v>67</v>
      </c>
      <c r="E456" s="1749" t="s">
        <v>4914</v>
      </c>
      <c r="F456" s="1751">
        <v>243702</v>
      </c>
      <c r="G456" s="1750">
        <v>680</v>
      </c>
      <c r="H456" s="1731" t="s">
        <v>41</v>
      </c>
      <c r="I456" s="2287" t="s">
        <v>25</v>
      </c>
      <c r="J456" s="37"/>
      <c r="K456" s="2235"/>
      <c r="L456" s="37"/>
      <c r="M456" s="37"/>
      <c r="N456" s="37"/>
      <c r="O456" s="2360" t="s">
        <v>5885</v>
      </c>
      <c r="Q456" s="2287" t="s">
        <v>25</v>
      </c>
    </row>
    <row r="457" spans="1:17" ht="18.75" customHeight="1" x14ac:dyDescent="0.4">
      <c r="A457" s="112">
        <v>389</v>
      </c>
      <c r="B457" s="1747" t="s">
        <v>158</v>
      </c>
      <c r="C457" s="1748">
        <v>400</v>
      </c>
      <c r="D457" s="1179">
        <v>67</v>
      </c>
      <c r="E457" s="1749" t="s">
        <v>4915</v>
      </c>
      <c r="F457" s="1751">
        <v>243702</v>
      </c>
      <c r="G457" s="1750">
        <v>680</v>
      </c>
      <c r="H457" s="1731" t="s">
        <v>41</v>
      </c>
      <c r="I457" s="2287" t="s">
        <v>25</v>
      </c>
      <c r="J457" s="37"/>
      <c r="K457" s="2235"/>
      <c r="L457" s="37"/>
      <c r="M457" s="37"/>
      <c r="N457" s="37"/>
      <c r="O457" s="2360" t="s">
        <v>5885</v>
      </c>
      <c r="Q457" s="2287" t="s">
        <v>25</v>
      </c>
    </row>
    <row r="458" spans="1:17" ht="18.75" customHeight="1" x14ac:dyDescent="0.4">
      <c r="A458" s="2822">
        <v>390</v>
      </c>
      <c r="B458" s="1747" t="s">
        <v>158</v>
      </c>
      <c r="C458" s="1748">
        <v>400</v>
      </c>
      <c r="D458" s="1179">
        <v>67</v>
      </c>
      <c r="E458" s="1749" t="s">
        <v>4916</v>
      </c>
      <c r="F458" s="1751">
        <v>243702</v>
      </c>
      <c r="G458" s="1750">
        <v>680</v>
      </c>
      <c r="H458" s="1731" t="s">
        <v>41</v>
      </c>
      <c r="I458" s="2287" t="s">
        <v>25</v>
      </c>
      <c r="J458" s="37"/>
      <c r="K458" s="2235"/>
      <c r="L458" s="37"/>
      <c r="M458" s="37"/>
      <c r="N458" s="37"/>
      <c r="O458" s="2360" t="s">
        <v>5885</v>
      </c>
      <c r="Q458" s="2287" t="s">
        <v>25</v>
      </c>
    </row>
    <row r="459" spans="1:17" ht="18.75" customHeight="1" x14ac:dyDescent="0.4">
      <c r="A459" s="2822">
        <v>391</v>
      </c>
      <c r="B459" s="1747" t="s">
        <v>158</v>
      </c>
      <c r="C459" s="1748">
        <v>400</v>
      </c>
      <c r="D459" s="1179">
        <v>67</v>
      </c>
      <c r="E459" s="1749" t="s">
        <v>4917</v>
      </c>
      <c r="F459" s="1751">
        <v>243702</v>
      </c>
      <c r="G459" s="1750">
        <v>680</v>
      </c>
      <c r="H459" s="1731" t="s">
        <v>41</v>
      </c>
      <c r="I459" s="2287" t="s">
        <v>25</v>
      </c>
      <c r="J459" s="37"/>
      <c r="K459" s="2235"/>
      <c r="L459" s="37"/>
      <c r="M459" s="37"/>
      <c r="N459" s="37"/>
      <c r="O459" s="2360" t="s">
        <v>5885</v>
      </c>
      <c r="Q459" s="2287" t="s">
        <v>25</v>
      </c>
    </row>
    <row r="460" spans="1:17" ht="18.75" customHeight="1" x14ac:dyDescent="0.4">
      <c r="A460" s="112">
        <v>392</v>
      </c>
      <c r="B460" s="1747" t="s">
        <v>158</v>
      </c>
      <c r="C460" s="1748">
        <v>400</v>
      </c>
      <c r="D460" s="1179">
        <v>67</v>
      </c>
      <c r="E460" s="1749" t="s">
        <v>4918</v>
      </c>
      <c r="F460" s="1751">
        <v>243702</v>
      </c>
      <c r="G460" s="1750">
        <v>680</v>
      </c>
      <c r="H460" s="1731" t="s">
        <v>41</v>
      </c>
      <c r="I460" s="2287" t="s">
        <v>25</v>
      </c>
      <c r="J460" s="37"/>
      <c r="K460" s="2235"/>
      <c r="L460" s="37"/>
      <c r="M460" s="37"/>
      <c r="N460" s="37"/>
      <c r="O460" s="2360" t="s">
        <v>5885</v>
      </c>
      <c r="Q460" s="2287" t="s">
        <v>25</v>
      </c>
    </row>
    <row r="461" spans="1:17" ht="18.75" customHeight="1" x14ac:dyDescent="0.4">
      <c r="A461" s="112">
        <v>393</v>
      </c>
      <c r="B461" s="1747" t="s">
        <v>158</v>
      </c>
      <c r="C461" s="1748">
        <v>400</v>
      </c>
      <c r="D461" s="1179">
        <v>67</v>
      </c>
      <c r="E461" s="1749" t="s">
        <v>4919</v>
      </c>
      <c r="F461" s="1751">
        <v>243702</v>
      </c>
      <c r="G461" s="1750">
        <v>680</v>
      </c>
      <c r="H461" s="1731" t="s">
        <v>41</v>
      </c>
      <c r="I461" s="2287" t="s">
        <v>25</v>
      </c>
      <c r="J461" s="37"/>
      <c r="K461" s="2235"/>
      <c r="L461" s="37"/>
      <c r="M461" s="37"/>
      <c r="N461" s="37"/>
      <c r="O461" s="2360" t="s">
        <v>5885</v>
      </c>
      <c r="Q461" s="2287" t="s">
        <v>25</v>
      </c>
    </row>
    <row r="462" spans="1:17" ht="18.75" customHeight="1" x14ac:dyDescent="0.4">
      <c r="A462" s="112">
        <v>394</v>
      </c>
      <c r="B462" s="1747" t="s">
        <v>158</v>
      </c>
      <c r="C462" s="1748">
        <v>400</v>
      </c>
      <c r="D462" s="1179">
        <v>67</v>
      </c>
      <c r="E462" s="1749" t="s">
        <v>4920</v>
      </c>
      <c r="F462" s="1751">
        <v>243702</v>
      </c>
      <c r="G462" s="1750">
        <v>680</v>
      </c>
      <c r="H462" s="1731" t="s">
        <v>41</v>
      </c>
      <c r="I462" s="2287" t="s">
        <v>25</v>
      </c>
      <c r="J462" s="37"/>
      <c r="K462" s="2235"/>
      <c r="L462" s="37"/>
      <c r="M462" s="37"/>
      <c r="N462" s="37"/>
      <c r="O462" s="2360" t="s">
        <v>5885</v>
      </c>
      <c r="Q462" s="2287" t="s">
        <v>25</v>
      </c>
    </row>
    <row r="463" spans="1:17" ht="18.75" customHeight="1" x14ac:dyDescent="0.4">
      <c r="A463" s="112">
        <v>395</v>
      </c>
      <c r="B463" s="1747" t="s">
        <v>158</v>
      </c>
      <c r="C463" s="1748">
        <v>400</v>
      </c>
      <c r="D463" s="1179">
        <v>67</v>
      </c>
      <c r="E463" s="1749" t="s">
        <v>4921</v>
      </c>
      <c r="F463" s="1751">
        <v>243702</v>
      </c>
      <c r="G463" s="1750">
        <v>680</v>
      </c>
      <c r="H463" s="1731" t="s">
        <v>41</v>
      </c>
      <c r="I463" s="2287" t="s">
        <v>25</v>
      </c>
      <c r="J463" s="37"/>
      <c r="K463" s="2235"/>
      <c r="L463" s="37"/>
      <c r="M463" s="37"/>
      <c r="N463" s="37"/>
      <c r="O463" s="2360" t="s">
        <v>5885</v>
      </c>
      <c r="Q463" s="2287" t="s">
        <v>25</v>
      </c>
    </row>
    <row r="464" spans="1:17" ht="18.75" customHeight="1" x14ac:dyDescent="0.4">
      <c r="A464" s="112">
        <v>396</v>
      </c>
      <c r="B464" s="1747" t="s">
        <v>158</v>
      </c>
      <c r="C464" s="1748">
        <v>400</v>
      </c>
      <c r="D464" s="1179">
        <v>67</v>
      </c>
      <c r="E464" s="1749" t="s">
        <v>4922</v>
      </c>
      <c r="F464" s="1751">
        <v>243702</v>
      </c>
      <c r="G464" s="1750">
        <v>680</v>
      </c>
      <c r="H464" s="1731" t="s">
        <v>41</v>
      </c>
      <c r="I464" s="2287" t="s">
        <v>25</v>
      </c>
      <c r="J464" s="37"/>
      <c r="K464" s="2235"/>
      <c r="L464" s="37"/>
      <c r="M464" s="37"/>
      <c r="N464" s="37"/>
      <c r="O464" s="2360" t="s">
        <v>5885</v>
      </c>
      <c r="Q464" s="2287" t="s">
        <v>25</v>
      </c>
    </row>
    <row r="465" spans="1:17" ht="18.75" customHeight="1" x14ac:dyDescent="0.4">
      <c r="A465" s="112">
        <v>397</v>
      </c>
      <c r="B465" s="1747" t="s">
        <v>158</v>
      </c>
      <c r="C465" s="1748">
        <v>400</v>
      </c>
      <c r="D465" s="1179">
        <v>67</v>
      </c>
      <c r="E465" s="1749" t="s">
        <v>4923</v>
      </c>
      <c r="F465" s="1751">
        <v>243702</v>
      </c>
      <c r="G465" s="1750">
        <v>680</v>
      </c>
      <c r="H465" s="1731" t="s">
        <v>41</v>
      </c>
      <c r="I465" s="2287" t="s">
        <v>25</v>
      </c>
      <c r="J465" s="37"/>
      <c r="K465" s="2235"/>
      <c r="L465" s="37"/>
      <c r="M465" s="37"/>
      <c r="N465" s="37"/>
      <c r="O465" s="2360" t="s">
        <v>5885</v>
      </c>
      <c r="Q465" s="2287" t="s">
        <v>25</v>
      </c>
    </row>
    <row r="466" spans="1:17" ht="18.75" customHeight="1" x14ac:dyDescent="0.4">
      <c r="A466" s="112">
        <v>398</v>
      </c>
      <c r="B466" s="1747" t="s">
        <v>158</v>
      </c>
      <c r="C466" s="1748">
        <v>400</v>
      </c>
      <c r="D466" s="1179">
        <v>67</v>
      </c>
      <c r="E466" s="1749" t="s">
        <v>4924</v>
      </c>
      <c r="F466" s="1751">
        <v>243702</v>
      </c>
      <c r="G466" s="1750">
        <v>680</v>
      </c>
      <c r="H466" s="1731" t="s">
        <v>41</v>
      </c>
      <c r="I466" s="2287" t="s">
        <v>25</v>
      </c>
      <c r="J466" s="37"/>
      <c r="K466" s="2235"/>
      <c r="L466" s="37"/>
      <c r="M466" s="37"/>
      <c r="N466" s="37"/>
      <c r="O466" s="2360" t="s">
        <v>5885</v>
      </c>
      <c r="Q466" s="2287" t="s">
        <v>25</v>
      </c>
    </row>
    <row r="467" spans="1:17" ht="18.75" customHeight="1" x14ac:dyDescent="0.4">
      <c r="A467" s="2822">
        <v>399</v>
      </c>
      <c r="B467" s="1747" t="s">
        <v>158</v>
      </c>
      <c r="C467" s="1748">
        <v>400</v>
      </c>
      <c r="D467" s="1179">
        <v>67</v>
      </c>
      <c r="E467" s="1749" t="s">
        <v>4925</v>
      </c>
      <c r="F467" s="1751">
        <v>243702</v>
      </c>
      <c r="G467" s="1750">
        <v>680</v>
      </c>
      <c r="H467" s="1731" t="s">
        <v>41</v>
      </c>
      <c r="I467" s="2287" t="s">
        <v>25</v>
      </c>
      <c r="J467" s="37"/>
      <c r="K467" s="2235"/>
      <c r="L467" s="37"/>
      <c r="M467" s="37"/>
      <c r="N467" s="37"/>
      <c r="O467" s="2360" t="s">
        <v>5885</v>
      </c>
      <c r="Q467" s="2287" t="s">
        <v>25</v>
      </c>
    </row>
    <row r="468" spans="1:17" ht="18.75" customHeight="1" x14ac:dyDescent="0.4">
      <c r="A468" s="2822">
        <v>400</v>
      </c>
      <c r="B468" s="1747" t="s">
        <v>158</v>
      </c>
      <c r="C468" s="1748">
        <v>400</v>
      </c>
      <c r="D468" s="1179">
        <v>67</v>
      </c>
      <c r="E468" s="1749" t="s">
        <v>4926</v>
      </c>
      <c r="F468" s="1751">
        <v>243702</v>
      </c>
      <c r="G468" s="1750">
        <v>680</v>
      </c>
      <c r="H468" s="1731" t="s">
        <v>41</v>
      </c>
      <c r="I468" s="2287" t="s">
        <v>25</v>
      </c>
      <c r="J468" s="37"/>
      <c r="K468" s="2235"/>
      <c r="L468" s="37"/>
      <c r="M468" s="37"/>
      <c r="N468" s="37"/>
      <c r="O468" s="2360" t="s">
        <v>5885</v>
      </c>
      <c r="Q468" s="2287" t="s">
        <v>25</v>
      </c>
    </row>
    <row r="469" spans="1:17" ht="18.75" customHeight="1" x14ac:dyDescent="0.4">
      <c r="A469" s="112">
        <v>401</v>
      </c>
      <c r="B469" s="1747" t="s">
        <v>158</v>
      </c>
      <c r="C469" s="1748">
        <v>400</v>
      </c>
      <c r="D469" s="1179">
        <v>67</v>
      </c>
      <c r="E469" s="1749" t="s">
        <v>4927</v>
      </c>
      <c r="F469" s="1751">
        <v>243702</v>
      </c>
      <c r="G469" s="1750">
        <v>680</v>
      </c>
      <c r="H469" s="1731" t="s">
        <v>41</v>
      </c>
      <c r="I469" s="2287" t="s">
        <v>25</v>
      </c>
      <c r="J469" s="37"/>
      <c r="K469" s="2235"/>
      <c r="L469" s="37"/>
      <c r="M469" s="37"/>
      <c r="N469" s="37"/>
      <c r="O469" s="2360" t="s">
        <v>5885</v>
      </c>
      <c r="Q469" s="2287" t="s">
        <v>25</v>
      </c>
    </row>
    <row r="470" spans="1:17" ht="18.75" customHeight="1" x14ac:dyDescent="0.4">
      <c r="A470" s="112">
        <v>402</v>
      </c>
      <c r="B470" s="1747" t="s">
        <v>158</v>
      </c>
      <c r="C470" s="1748">
        <v>400</v>
      </c>
      <c r="D470" s="1179">
        <v>67</v>
      </c>
      <c r="E470" s="1749" t="s">
        <v>4928</v>
      </c>
      <c r="F470" s="1751">
        <v>243702</v>
      </c>
      <c r="G470" s="1750">
        <v>680</v>
      </c>
      <c r="H470" s="1731" t="s">
        <v>41</v>
      </c>
      <c r="I470" s="2287" t="s">
        <v>25</v>
      </c>
      <c r="J470" s="37"/>
      <c r="K470" s="2235"/>
      <c r="L470" s="37"/>
      <c r="M470" s="37"/>
      <c r="N470" s="37"/>
      <c r="O470" s="2360" t="s">
        <v>5885</v>
      </c>
      <c r="Q470" s="2287" t="s">
        <v>25</v>
      </c>
    </row>
    <row r="471" spans="1:17" ht="18.75" customHeight="1" x14ac:dyDescent="0.4">
      <c r="A471" s="112">
        <v>403</v>
      </c>
      <c r="B471" s="1747" t="s">
        <v>158</v>
      </c>
      <c r="C471" s="1748">
        <v>400</v>
      </c>
      <c r="D471" s="1179">
        <v>67</v>
      </c>
      <c r="E471" s="1749" t="s">
        <v>4929</v>
      </c>
      <c r="F471" s="1751">
        <v>243702</v>
      </c>
      <c r="G471" s="1750">
        <v>680</v>
      </c>
      <c r="H471" s="1731" t="s">
        <v>41</v>
      </c>
      <c r="I471" s="2287" t="s">
        <v>25</v>
      </c>
      <c r="J471" s="37"/>
      <c r="K471" s="2235"/>
      <c r="L471" s="37"/>
      <c r="M471" s="37"/>
      <c r="N471" s="37"/>
      <c r="O471" s="2360" t="s">
        <v>5885</v>
      </c>
      <c r="Q471" s="2287" t="s">
        <v>25</v>
      </c>
    </row>
    <row r="472" spans="1:17" ht="18.75" customHeight="1" x14ac:dyDescent="0.4">
      <c r="A472" s="112">
        <v>404</v>
      </c>
      <c r="B472" s="1747" t="s">
        <v>158</v>
      </c>
      <c r="C472" s="1748">
        <v>400</v>
      </c>
      <c r="D472" s="1179">
        <v>67</v>
      </c>
      <c r="E472" s="1749" t="s">
        <v>4930</v>
      </c>
      <c r="F472" s="1751">
        <v>243702</v>
      </c>
      <c r="G472" s="1750">
        <v>680</v>
      </c>
      <c r="H472" s="1731" t="s">
        <v>41</v>
      </c>
      <c r="I472" s="2287" t="s">
        <v>25</v>
      </c>
      <c r="J472" s="37"/>
      <c r="K472" s="2235"/>
      <c r="L472" s="37"/>
      <c r="M472" s="37"/>
      <c r="N472" s="37"/>
      <c r="O472" s="2360" t="s">
        <v>5885</v>
      </c>
      <c r="Q472" s="2287" t="s">
        <v>25</v>
      </c>
    </row>
    <row r="473" spans="1:17" ht="18.75" customHeight="1" x14ac:dyDescent="0.4">
      <c r="A473" s="112">
        <v>405</v>
      </c>
      <c r="B473" s="1747" t="s">
        <v>158</v>
      </c>
      <c r="C473" s="1748">
        <v>400</v>
      </c>
      <c r="D473" s="1179">
        <v>67</v>
      </c>
      <c r="E473" s="1749" t="s">
        <v>4931</v>
      </c>
      <c r="F473" s="1751">
        <v>243702</v>
      </c>
      <c r="G473" s="1750">
        <v>680</v>
      </c>
      <c r="H473" s="1731" t="s">
        <v>41</v>
      </c>
      <c r="I473" s="2287" t="s">
        <v>25</v>
      </c>
      <c r="J473" s="37"/>
      <c r="K473" s="2235"/>
      <c r="L473" s="37"/>
      <c r="M473" s="37"/>
      <c r="N473" s="37"/>
      <c r="O473" s="2360" t="s">
        <v>5885</v>
      </c>
      <c r="Q473" s="2287" t="s">
        <v>25</v>
      </c>
    </row>
    <row r="474" spans="1:17" ht="18.75" customHeight="1" x14ac:dyDescent="0.4">
      <c r="A474" s="112">
        <v>406</v>
      </c>
      <c r="B474" s="1747" t="s">
        <v>158</v>
      </c>
      <c r="C474" s="1748">
        <v>400</v>
      </c>
      <c r="D474" s="1179">
        <v>67</v>
      </c>
      <c r="E474" s="1749" t="s">
        <v>4932</v>
      </c>
      <c r="F474" s="1751">
        <v>243702</v>
      </c>
      <c r="G474" s="1750">
        <v>680</v>
      </c>
      <c r="H474" s="1731" t="s">
        <v>41</v>
      </c>
      <c r="I474" s="2287" t="s">
        <v>25</v>
      </c>
      <c r="J474" s="37"/>
      <c r="K474" s="2235"/>
      <c r="L474" s="37"/>
      <c r="M474" s="37"/>
      <c r="N474" s="37"/>
      <c r="O474" s="2360" t="s">
        <v>5885</v>
      </c>
      <c r="Q474" s="2287" t="s">
        <v>25</v>
      </c>
    </row>
    <row r="475" spans="1:17" ht="18.75" customHeight="1" x14ac:dyDescent="0.4">
      <c r="A475" s="112">
        <v>407</v>
      </c>
      <c r="B475" s="1747" t="s">
        <v>158</v>
      </c>
      <c r="C475" s="1748">
        <v>400</v>
      </c>
      <c r="D475" s="1179">
        <v>67</v>
      </c>
      <c r="E475" s="1749" t="s">
        <v>4933</v>
      </c>
      <c r="F475" s="1751">
        <v>243702</v>
      </c>
      <c r="G475" s="1750">
        <v>680</v>
      </c>
      <c r="H475" s="1731" t="s">
        <v>41</v>
      </c>
      <c r="I475" s="2287" t="s">
        <v>25</v>
      </c>
      <c r="J475" s="37"/>
      <c r="K475" s="2235"/>
      <c r="L475" s="37"/>
      <c r="M475" s="37"/>
      <c r="N475" s="37"/>
      <c r="O475" s="2360" t="s">
        <v>5885</v>
      </c>
      <c r="Q475" s="2287" t="s">
        <v>25</v>
      </c>
    </row>
    <row r="476" spans="1:17" ht="18.75" customHeight="1" x14ac:dyDescent="0.4">
      <c r="A476" s="2822">
        <v>408</v>
      </c>
      <c r="B476" s="1747" t="s">
        <v>158</v>
      </c>
      <c r="C476" s="1748">
        <v>400</v>
      </c>
      <c r="D476" s="1179">
        <v>67</v>
      </c>
      <c r="E476" s="1749" t="s">
        <v>4934</v>
      </c>
      <c r="F476" s="1751">
        <v>243702</v>
      </c>
      <c r="G476" s="1750">
        <v>680</v>
      </c>
      <c r="H476" s="1731" t="s">
        <v>41</v>
      </c>
      <c r="I476" s="2287" t="s">
        <v>25</v>
      </c>
      <c r="J476" s="37"/>
      <c r="K476" s="2235"/>
      <c r="L476" s="37"/>
      <c r="M476" s="37"/>
      <c r="N476" s="37"/>
      <c r="O476" s="2360" t="s">
        <v>5885</v>
      </c>
      <c r="Q476" s="2287" t="s">
        <v>25</v>
      </c>
    </row>
    <row r="477" spans="1:17" ht="18.75" customHeight="1" x14ac:dyDescent="0.4">
      <c r="A477" s="2822">
        <v>409</v>
      </c>
      <c r="B477" s="1747" t="s">
        <v>158</v>
      </c>
      <c r="C477" s="1748">
        <v>400</v>
      </c>
      <c r="D477" s="1179">
        <v>67</v>
      </c>
      <c r="E477" s="1749" t="s">
        <v>4935</v>
      </c>
      <c r="F477" s="1751">
        <v>243702</v>
      </c>
      <c r="G477" s="1750">
        <v>680</v>
      </c>
      <c r="H477" s="1731" t="s">
        <v>41</v>
      </c>
      <c r="I477" s="2287" t="s">
        <v>25</v>
      </c>
      <c r="J477" s="37"/>
      <c r="K477" s="2235"/>
      <c r="L477" s="37"/>
      <c r="M477" s="37"/>
      <c r="N477" s="37"/>
      <c r="O477" s="2360" t="s">
        <v>5885</v>
      </c>
      <c r="Q477" s="2287" t="s">
        <v>25</v>
      </c>
    </row>
    <row r="478" spans="1:17" ht="18.75" customHeight="1" x14ac:dyDescent="0.4">
      <c r="A478" s="112">
        <v>410</v>
      </c>
      <c r="B478" s="1747" t="s">
        <v>158</v>
      </c>
      <c r="C478" s="1748">
        <v>400</v>
      </c>
      <c r="D478" s="1179">
        <v>67</v>
      </c>
      <c r="E478" s="1749" t="s">
        <v>4936</v>
      </c>
      <c r="F478" s="1751">
        <v>243702</v>
      </c>
      <c r="G478" s="1750">
        <v>680</v>
      </c>
      <c r="H478" s="1731" t="s">
        <v>41</v>
      </c>
      <c r="I478" s="2287" t="s">
        <v>25</v>
      </c>
      <c r="J478" s="37"/>
      <c r="K478" s="2235"/>
      <c r="L478" s="37"/>
      <c r="M478" s="37"/>
      <c r="N478" s="37"/>
      <c r="O478" s="2360" t="s">
        <v>5885</v>
      </c>
      <c r="Q478" s="2287" t="s">
        <v>25</v>
      </c>
    </row>
    <row r="479" spans="1:17" ht="18.75" customHeight="1" x14ac:dyDescent="0.4">
      <c r="A479" s="112">
        <v>411</v>
      </c>
      <c r="B479" s="1747" t="s">
        <v>158</v>
      </c>
      <c r="C479" s="1748">
        <v>400</v>
      </c>
      <c r="D479" s="1179">
        <v>67</v>
      </c>
      <c r="E479" s="1749" t="s">
        <v>4937</v>
      </c>
      <c r="F479" s="1751">
        <v>243702</v>
      </c>
      <c r="G479" s="1750">
        <v>680</v>
      </c>
      <c r="H479" s="1731" t="s">
        <v>41</v>
      </c>
      <c r="I479" s="2287" t="s">
        <v>25</v>
      </c>
      <c r="J479" s="37"/>
      <c r="K479" s="2235"/>
      <c r="L479" s="37"/>
      <c r="M479" s="37"/>
      <c r="N479" s="37"/>
      <c r="O479" s="2360" t="s">
        <v>5885</v>
      </c>
      <c r="Q479" s="2287" t="s">
        <v>25</v>
      </c>
    </row>
    <row r="480" spans="1:17" ht="18.75" customHeight="1" x14ac:dyDescent="0.4">
      <c r="A480" s="112">
        <v>412</v>
      </c>
      <c r="B480" s="1747" t="s">
        <v>158</v>
      </c>
      <c r="C480" s="1748">
        <v>400</v>
      </c>
      <c r="D480" s="1179">
        <v>67</v>
      </c>
      <c r="E480" s="1749" t="s">
        <v>4938</v>
      </c>
      <c r="F480" s="1751">
        <v>243702</v>
      </c>
      <c r="G480" s="1750">
        <v>680</v>
      </c>
      <c r="H480" s="1731" t="s">
        <v>41</v>
      </c>
      <c r="I480" s="2287" t="s">
        <v>25</v>
      </c>
      <c r="J480" s="37"/>
      <c r="K480" s="2235"/>
      <c r="L480" s="37"/>
      <c r="M480" s="37"/>
      <c r="N480" s="37"/>
      <c r="O480" s="2360" t="s">
        <v>5885</v>
      </c>
      <c r="Q480" s="2287" t="s">
        <v>25</v>
      </c>
    </row>
    <row r="481" spans="1:17" ht="18.75" customHeight="1" x14ac:dyDescent="0.4">
      <c r="A481" s="112">
        <v>413</v>
      </c>
      <c r="B481" s="1747" t="s">
        <v>158</v>
      </c>
      <c r="C481" s="1748">
        <v>400</v>
      </c>
      <c r="D481" s="1179">
        <v>67</v>
      </c>
      <c r="E481" s="1749" t="s">
        <v>4939</v>
      </c>
      <c r="F481" s="1751">
        <v>243702</v>
      </c>
      <c r="G481" s="1750">
        <v>680</v>
      </c>
      <c r="H481" s="1731" t="s">
        <v>41</v>
      </c>
      <c r="I481" s="2287" t="s">
        <v>25</v>
      </c>
      <c r="J481" s="37"/>
      <c r="K481" s="2235"/>
      <c r="L481" s="37"/>
      <c r="M481" s="37"/>
      <c r="N481" s="37"/>
      <c r="O481" s="2360" t="s">
        <v>5885</v>
      </c>
      <c r="Q481" s="2287" t="s">
        <v>25</v>
      </c>
    </row>
    <row r="482" spans="1:17" ht="18.75" customHeight="1" x14ac:dyDescent="0.4">
      <c r="A482" s="112">
        <v>414</v>
      </c>
      <c r="B482" s="1747" t="s">
        <v>158</v>
      </c>
      <c r="C482" s="1748">
        <v>400</v>
      </c>
      <c r="D482" s="1179">
        <v>67</v>
      </c>
      <c r="E482" s="1749" t="s">
        <v>4940</v>
      </c>
      <c r="F482" s="1751">
        <v>243702</v>
      </c>
      <c r="G482" s="1750">
        <v>680</v>
      </c>
      <c r="H482" s="1731" t="s">
        <v>41</v>
      </c>
      <c r="I482" s="2287" t="s">
        <v>25</v>
      </c>
      <c r="J482" s="37"/>
      <c r="K482" s="2235"/>
      <c r="L482" s="37"/>
      <c r="M482" s="37"/>
      <c r="N482" s="37"/>
      <c r="O482" s="2360" t="s">
        <v>5885</v>
      </c>
      <c r="Q482" s="2287" t="s">
        <v>25</v>
      </c>
    </row>
    <row r="483" spans="1:17" ht="18.75" customHeight="1" x14ac:dyDescent="0.4">
      <c r="A483" s="112">
        <v>415</v>
      </c>
      <c r="B483" s="1747" t="s">
        <v>158</v>
      </c>
      <c r="C483" s="1748">
        <v>400</v>
      </c>
      <c r="D483" s="1179">
        <v>67</v>
      </c>
      <c r="E483" s="1749" t="s">
        <v>4941</v>
      </c>
      <c r="F483" s="1751">
        <v>243702</v>
      </c>
      <c r="G483" s="1750">
        <v>680</v>
      </c>
      <c r="H483" s="1731" t="s">
        <v>41</v>
      </c>
      <c r="I483" s="2287" t="s">
        <v>25</v>
      </c>
      <c r="J483" s="37"/>
      <c r="K483" s="2235"/>
      <c r="L483" s="37"/>
      <c r="M483" s="37"/>
      <c r="N483" s="37"/>
      <c r="O483" s="2360" t="s">
        <v>5885</v>
      </c>
      <c r="Q483" s="2287" t="s">
        <v>25</v>
      </c>
    </row>
    <row r="484" spans="1:17" ht="18.75" customHeight="1" x14ac:dyDescent="0.4">
      <c r="A484" s="112">
        <v>416</v>
      </c>
      <c r="B484" s="1747" t="s">
        <v>158</v>
      </c>
      <c r="C484" s="1748">
        <v>400</v>
      </c>
      <c r="D484" s="1179">
        <v>67</v>
      </c>
      <c r="E484" s="1749" t="s">
        <v>4942</v>
      </c>
      <c r="F484" s="1751">
        <v>243702</v>
      </c>
      <c r="G484" s="1750">
        <v>680</v>
      </c>
      <c r="H484" s="1731" t="s">
        <v>41</v>
      </c>
      <c r="I484" s="2287" t="s">
        <v>25</v>
      </c>
      <c r="J484" s="37"/>
      <c r="K484" s="2235"/>
      <c r="L484" s="37"/>
      <c r="M484" s="37"/>
      <c r="N484" s="37"/>
      <c r="O484" s="2360" t="s">
        <v>5885</v>
      </c>
      <c r="Q484" s="2287" t="s">
        <v>25</v>
      </c>
    </row>
    <row r="485" spans="1:17" ht="18.75" customHeight="1" x14ac:dyDescent="0.4">
      <c r="A485" s="2822">
        <v>417</v>
      </c>
      <c r="B485" s="1747" t="s">
        <v>158</v>
      </c>
      <c r="C485" s="1748">
        <v>400</v>
      </c>
      <c r="D485" s="1179">
        <v>67</v>
      </c>
      <c r="E485" s="1749" t="s">
        <v>4943</v>
      </c>
      <c r="F485" s="1751">
        <v>243702</v>
      </c>
      <c r="G485" s="1750">
        <v>680</v>
      </c>
      <c r="H485" s="1731" t="s">
        <v>41</v>
      </c>
      <c r="I485" s="2287" t="s">
        <v>25</v>
      </c>
      <c r="J485" s="37"/>
      <c r="K485" s="2235"/>
      <c r="L485" s="37"/>
      <c r="M485" s="37"/>
      <c r="N485" s="37"/>
      <c r="O485" s="2360" t="s">
        <v>5885</v>
      </c>
      <c r="Q485" s="2287" t="s">
        <v>25</v>
      </c>
    </row>
    <row r="486" spans="1:17" ht="18.75" customHeight="1" x14ac:dyDescent="0.4">
      <c r="A486" s="2822">
        <v>418</v>
      </c>
      <c r="B486" s="1747" t="s">
        <v>158</v>
      </c>
      <c r="C486" s="1748">
        <v>400</v>
      </c>
      <c r="D486" s="1179">
        <v>67</v>
      </c>
      <c r="E486" s="1749" t="s">
        <v>4944</v>
      </c>
      <c r="F486" s="1751">
        <v>243702</v>
      </c>
      <c r="G486" s="1750">
        <v>680</v>
      </c>
      <c r="H486" s="1731" t="s">
        <v>41</v>
      </c>
      <c r="I486" s="2287" t="s">
        <v>25</v>
      </c>
      <c r="J486" s="37"/>
      <c r="K486" s="2235"/>
      <c r="L486" s="37"/>
      <c r="M486" s="37"/>
      <c r="N486" s="37"/>
      <c r="O486" s="2360" t="s">
        <v>5885</v>
      </c>
      <c r="Q486" s="2287" t="s">
        <v>25</v>
      </c>
    </row>
    <row r="487" spans="1:17" ht="18.75" customHeight="1" x14ac:dyDescent="0.4">
      <c r="A487" s="112">
        <v>419</v>
      </c>
      <c r="B487" s="1747" t="s">
        <v>158</v>
      </c>
      <c r="C487" s="1748">
        <v>400</v>
      </c>
      <c r="D487" s="1179">
        <v>67</v>
      </c>
      <c r="E487" s="1749" t="s">
        <v>4945</v>
      </c>
      <c r="F487" s="1751">
        <v>243702</v>
      </c>
      <c r="G487" s="1750">
        <v>680</v>
      </c>
      <c r="H487" s="1731" t="s">
        <v>41</v>
      </c>
      <c r="I487" s="2287" t="s">
        <v>25</v>
      </c>
      <c r="J487" s="37"/>
      <c r="K487" s="2235"/>
      <c r="L487" s="37"/>
      <c r="M487" s="37"/>
      <c r="N487" s="37"/>
      <c r="O487" s="2360" t="s">
        <v>5885</v>
      </c>
      <c r="Q487" s="2287" t="s">
        <v>25</v>
      </c>
    </row>
    <row r="488" spans="1:17" ht="18.75" customHeight="1" x14ac:dyDescent="0.4">
      <c r="A488" s="112">
        <v>420</v>
      </c>
      <c r="B488" s="1747" t="s">
        <v>158</v>
      </c>
      <c r="C488" s="1748">
        <v>400</v>
      </c>
      <c r="D488" s="1179">
        <v>67</v>
      </c>
      <c r="E488" s="1749" t="s">
        <v>4946</v>
      </c>
      <c r="F488" s="1751">
        <v>243702</v>
      </c>
      <c r="G488" s="1750">
        <v>680</v>
      </c>
      <c r="H488" s="1731" t="s">
        <v>41</v>
      </c>
      <c r="I488" s="2287" t="s">
        <v>25</v>
      </c>
      <c r="J488" s="37"/>
      <c r="K488" s="2235"/>
      <c r="L488" s="37"/>
      <c r="M488" s="37"/>
      <c r="N488" s="37"/>
      <c r="O488" s="2360" t="s">
        <v>5885</v>
      </c>
      <c r="Q488" s="2287" t="s">
        <v>25</v>
      </c>
    </row>
    <row r="489" spans="1:17" ht="18.75" customHeight="1" x14ac:dyDescent="0.4">
      <c r="A489" s="112">
        <v>421</v>
      </c>
      <c r="B489" s="1747" t="s">
        <v>158</v>
      </c>
      <c r="C489" s="1748">
        <v>400</v>
      </c>
      <c r="D489" s="1179">
        <v>67</v>
      </c>
      <c r="E489" s="1749" t="s">
        <v>4947</v>
      </c>
      <c r="F489" s="1751">
        <v>243702</v>
      </c>
      <c r="G489" s="1750">
        <v>680</v>
      </c>
      <c r="H489" s="1731" t="s">
        <v>41</v>
      </c>
      <c r="I489" s="2287" t="s">
        <v>25</v>
      </c>
      <c r="J489" s="37"/>
      <c r="K489" s="2235"/>
      <c r="L489" s="37"/>
      <c r="M489" s="37"/>
      <c r="N489" s="37"/>
      <c r="O489" s="2360" t="s">
        <v>5885</v>
      </c>
      <c r="Q489" s="2287" t="s">
        <v>25</v>
      </c>
    </row>
    <row r="490" spans="1:17" ht="18.75" customHeight="1" x14ac:dyDescent="0.4">
      <c r="A490" s="112">
        <v>422</v>
      </c>
      <c r="B490" s="1747" t="s">
        <v>158</v>
      </c>
      <c r="C490" s="1748">
        <v>400</v>
      </c>
      <c r="D490" s="1179">
        <v>67</v>
      </c>
      <c r="E490" s="1749" t="s">
        <v>4948</v>
      </c>
      <c r="F490" s="1751">
        <v>243702</v>
      </c>
      <c r="G490" s="1750">
        <v>680</v>
      </c>
      <c r="H490" s="1731" t="s">
        <v>41</v>
      </c>
      <c r="I490" s="2287" t="s">
        <v>25</v>
      </c>
      <c r="J490" s="37"/>
      <c r="K490" s="2235"/>
      <c r="L490" s="37"/>
      <c r="M490" s="37"/>
      <c r="N490" s="37"/>
      <c r="O490" s="2360" t="s">
        <v>5885</v>
      </c>
      <c r="Q490" s="2287" t="s">
        <v>25</v>
      </c>
    </row>
    <row r="491" spans="1:17" ht="18.75" customHeight="1" x14ac:dyDescent="0.4">
      <c r="A491" s="112">
        <v>423</v>
      </c>
      <c r="B491" s="1747" t="s">
        <v>158</v>
      </c>
      <c r="C491" s="1748">
        <v>400</v>
      </c>
      <c r="D491" s="1179">
        <v>67</v>
      </c>
      <c r="E491" s="1749" t="s">
        <v>4949</v>
      </c>
      <c r="F491" s="1751">
        <v>243702</v>
      </c>
      <c r="G491" s="1750">
        <v>680</v>
      </c>
      <c r="H491" s="1731" t="s">
        <v>41</v>
      </c>
      <c r="I491" s="2287" t="s">
        <v>25</v>
      </c>
      <c r="J491" s="37"/>
      <c r="K491" s="2235"/>
      <c r="L491" s="37"/>
      <c r="M491" s="37"/>
      <c r="N491" s="37"/>
      <c r="O491" s="2360" t="s">
        <v>5885</v>
      </c>
      <c r="Q491" s="2287" t="s">
        <v>25</v>
      </c>
    </row>
    <row r="492" spans="1:17" ht="18.75" customHeight="1" x14ac:dyDescent="0.4">
      <c r="A492" s="112">
        <v>424</v>
      </c>
      <c r="B492" s="1747" t="s">
        <v>158</v>
      </c>
      <c r="C492" s="1748">
        <v>400</v>
      </c>
      <c r="D492" s="1179">
        <v>67</v>
      </c>
      <c r="E492" s="1749" t="s">
        <v>4950</v>
      </c>
      <c r="F492" s="1751">
        <v>243702</v>
      </c>
      <c r="G492" s="1750">
        <v>680</v>
      </c>
      <c r="H492" s="1731" t="s">
        <v>41</v>
      </c>
      <c r="I492" s="2287" t="s">
        <v>25</v>
      </c>
      <c r="J492" s="37"/>
      <c r="K492" s="2235"/>
      <c r="L492" s="37"/>
      <c r="M492" s="37"/>
      <c r="N492" s="37"/>
      <c r="O492" s="2360" t="s">
        <v>5885</v>
      </c>
      <c r="Q492" s="2287" t="s">
        <v>25</v>
      </c>
    </row>
    <row r="493" spans="1:17" ht="18.75" customHeight="1" x14ac:dyDescent="0.4">
      <c r="A493" s="112">
        <v>425</v>
      </c>
      <c r="B493" s="1747" t="s">
        <v>158</v>
      </c>
      <c r="C493" s="1748">
        <v>400</v>
      </c>
      <c r="D493" s="1179">
        <v>67</v>
      </c>
      <c r="E493" s="1749" t="s">
        <v>4951</v>
      </c>
      <c r="F493" s="1751">
        <v>243702</v>
      </c>
      <c r="G493" s="1750">
        <v>680</v>
      </c>
      <c r="H493" s="1731" t="s">
        <v>41</v>
      </c>
      <c r="I493" s="2287" t="s">
        <v>25</v>
      </c>
      <c r="J493" s="37"/>
      <c r="K493" s="2235"/>
      <c r="L493" s="37"/>
      <c r="M493" s="37"/>
      <c r="N493" s="37"/>
      <c r="O493" s="2360" t="s">
        <v>5885</v>
      </c>
      <c r="Q493" s="2287" t="s">
        <v>25</v>
      </c>
    </row>
    <row r="494" spans="1:17" ht="18.75" customHeight="1" x14ac:dyDescent="0.4">
      <c r="A494" s="2822">
        <v>426</v>
      </c>
      <c r="B494" s="1747" t="s">
        <v>158</v>
      </c>
      <c r="C494" s="1748">
        <v>400</v>
      </c>
      <c r="D494" s="1179">
        <v>67</v>
      </c>
      <c r="E494" s="1749" t="s">
        <v>4952</v>
      </c>
      <c r="F494" s="1751">
        <v>243702</v>
      </c>
      <c r="G494" s="1750">
        <v>680</v>
      </c>
      <c r="H494" s="1731" t="s">
        <v>41</v>
      </c>
      <c r="I494" s="2287" t="s">
        <v>25</v>
      </c>
      <c r="J494" s="37"/>
      <c r="K494" s="2235"/>
      <c r="L494" s="37"/>
      <c r="M494" s="37"/>
      <c r="N494" s="37"/>
      <c r="O494" s="2360" t="s">
        <v>5885</v>
      </c>
      <c r="Q494" s="2287" t="s">
        <v>25</v>
      </c>
    </row>
    <row r="495" spans="1:17" ht="18.75" customHeight="1" x14ac:dyDescent="0.4">
      <c r="A495" s="2822">
        <v>427</v>
      </c>
      <c r="B495" s="1747" t="s">
        <v>158</v>
      </c>
      <c r="C495" s="1748">
        <v>400</v>
      </c>
      <c r="D495" s="1179">
        <v>67</v>
      </c>
      <c r="E495" s="1749" t="s">
        <v>4953</v>
      </c>
      <c r="F495" s="1751">
        <v>243702</v>
      </c>
      <c r="G495" s="1750">
        <v>680</v>
      </c>
      <c r="H495" s="1731" t="s">
        <v>41</v>
      </c>
      <c r="I495" s="2287" t="s">
        <v>25</v>
      </c>
      <c r="J495" s="37"/>
      <c r="K495" s="2235"/>
      <c r="L495" s="37"/>
      <c r="M495" s="37"/>
      <c r="N495" s="37"/>
      <c r="O495" s="2360" t="s">
        <v>5885</v>
      </c>
      <c r="Q495" s="2287" t="s">
        <v>25</v>
      </c>
    </row>
    <row r="496" spans="1:17" ht="18.75" customHeight="1" x14ac:dyDescent="0.4">
      <c r="A496" s="112">
        <v>428</v>
      </c>
      <c r="B496" s="1747" t="s">
        <v>158</v>
      </c>
      <c r="C496" s="1748">
        <v>400</v>
      </c>
      <c r="D496" s="1179">
        <v>67</v>
      </c>
      <c r="E496" s="1749" t="s">
        <v>4954</v>
      </c>
      <c r="F496" s="1751">
        <v>243702</v>
      </c>
      <c r="G496" s="1750">
        <v>680</v>
      </c>
      <c r="H496" s="1731" t="s">
        <v>41</v>
      </c>
      <c r="I496" s="2287" t="s">
        <v>25</v>
      </c>
      <c r="J496" s="37"/>
      <c r="K496" s="2235"/>
      <c r="L496" s="37"/>
      <c r="M496" s="37"/>
      <c r="N496" s="37"/>
      <c r="O496" s="2360" t="s">
        <v>5885</v>
      </c>
      <c r="Q496" s="2287" t="s">
        <v>25</v>
      </c>
    </row>
    <row r="497" spans="1:17" ht="18.75" customHeight="1" x14ac:dyDescent="0.4">
      <c r="A497" s="112">
        <v>429</v>
      </c>
      <c r="B497" s="1747" t="s">
        <v>158</v>
      </c>
      <c r="C497" s="1748">
        <v>400</v>
      </c>
      <c r="D497" s="1179">
        <v>67</v>
      </c>
      <c r="E497" s="1749" t="s">
        <v>4955</v>
      </c>
      <c r="F497" s="1751">
        <v>243702</v>
      </c>
      <c r="G497" s="1750">
        <v>680</v>
      </c>
      <c r="H497" s="1731" t="s">
        <v>41</v>
      </c>
      <c r="I497" s="2287" t="s">
        <v>25</v>
      </c>
      <c r="J497" s="37"/>
      <c r="K497" s="2235"/>
      <c r="L497" s="37"/>
      <c r="M497" s="37"/>
      <c r="N497" s="37"/>
      <c r="O497" s="2360" t="s">
        <v>5885</v>
      </c>
      <c r="Q497" s="2287" t="s">
        <v>25</v>
      </c>
    </row>
    <row r="498" spans="1:17" ht="18.75" customHeight="1" x14ac:dyDescent="0.4">
      <c r="A498" s="112">
        <v>430</v>
      </c>
      <c r="B498" s="1747" t="s">
        <v>158</v>
      </c>
      <c r="C498" s="1748">
        <v>400</v>
      </c>
      <c r="D498" s="1179">
        <v>67</v>
      </c>
      <c r="E498" s="1749" t="s">
        <v>4956</v>
      </c>
      <c r="F498" s="1751">
        <v>243702</v>
      </c>
      <c r="G498" s="1750">
        <v>680</v>
      </c>
      <c r="H498" s="1731" t="s">
        <v>41</v>
      </c>
      <c r="I498" s="2287" t="s">
        <v>25</v>
      </c>
      <c r="J498" s="37"/>
      <c r="K498" s="2235"/>
      <c r="L498" s="37"/>
      <c r="M498" s="37"/>
      <c r="N498" s="37"/>
      <c r="O498" s="2360" t="s">
        <v>5885</v>
      </c>
      <c r="Q498" s="2287" t="s">
        <v>25</v>
      </c>
    </row>
    <row r="499" spans="1:17" ht="18.75" customHeight="1" x14ac:dyDescent="0.4">
      <c r="A499" s="112">
        <v>431</v>
      </c>
      <c r="B499" s="1747" t="s">
        <v>158</v>
      </c>
      <c r="C499" s="1748">
        <v>400</v>
      </c>
      <c r="D499" s="1179">
        <v>67</v>
      </c>
      <c r="E499" s="1749" t="s">
        <v>4957</v>
      </c>
      <c r="F499" s="1751">
        <v>243702</v>
      </c>
      <c r="G499" s="1750">
        <v>680</v>
      </c>
      <c r="H499" s="1731" t="s">
        <v>41</v>
      </c>
      <c r="I499" s="2287" t="s">
        <v>25</v>
      </c>
      <c r="J499" s="37"/>
      <c r="K499" s="2235"/>
      <c r="L499" s="37"/>
      <c r="M499" s="37"/>
      <c r="N499" s="37"/>
      <c r="O499" s="2360" t="s">
        <v>5885</v>
      </c>
      <c r="Q499" s="2287" t="s">
        <v>25</v>
      </c>
    </row>
    <row r="500" spans="1:17" ht="18.75" customHeight="1" x14ac:dyDescent="0.4">
      <c r="A500" s="112">
        <v>432</v>
      </c>
      <c r="B500" s="1747" t="s">
        <v>158</v>
      </c>
      <c r="C500" s="1748">
        <v>400</v>
      </c>
      <c r="D500" s="1179">
        <v>67</v>
      </c>
      <c r="E500" s="1749" t="s">
        <v>4958</v>
      </c>
      <c r="F500" s="1751">
        <v>243702</v>
      </c>
      <c r="G500" s="1750">
        <v>680</v>
      </c>
      <c r="H500" s="1731" t="s">
        <v>41</v>
      </c>
      <c r="I500" s="2287" t="s">
        <v>25</v>
      </c>
      <c r="J500" s="37"/>
      <c r="K500" s="2235"/>
      <c r="L500" s="37"/>
      <c r="M500" s="37"/>
      <c r="N500" s="37"/>
      <c r="O500" s="2360" t="s">
        <v>5885</v>
      </c>
      <c r="Q500" s="2287" t="s">
        <v>25</v>
      </c>
    </row>
    <row r="501" spans="1:17" ht="18.75" customHeight="1" x14ac:dyDescent="0.4">
      <c r="A501" s="112">
        <v>433</v>
      </c>
      <c r="B501" s="1747" t="s">
        <v>158</v>
      </c>
      <c r="C501" s="1748">
        <v>400</v>
      </c>
      <c r="D501" s="1179">
        <v>67</v>
      </c>
      <c r="E501" s="1749" t="s">
        <v>4959</v>
      </c>
      <c r="F501" s="1751">
        <v>243702</v>
      </c>
      <c r="G501" s="1750">
        <v>680</v>
      </c>
      <c r="H501" s="1731" t="s">
        <v>41</v>
      </c>
      <c r="I501" s="2287" t="s">
        <v>25</v>
      </c>
      <c r="J501" s="37"/>
      <c r="K501" s="2235"/>
      <c r="L501" s="37"/>
      <c r="M501" s="37"/>
      <c r="N501" s="37"/>
      <c r="O501" s="2360" t="s">
        <v>5885</v>
      </c>
      <c r="Q501" s="2287" t="s">
        <v>25</v>
      </c>
    </row>
    <row r="502" spans="1:17" ht="18.75" customHeight="1" x14ac:dyDescent="0.4">
      <c r="A502" s="112">
        <v>434</v>
      </c>
      <c r="B502" s="1747" t="s">
        <v>158</v>
      </c>
      <c r="C502" s="1748">
        <v>400</v>
      </c>
      <c r="D502" s="1179">
        <v>67</v>
      </c>
      <c r="E502" s="1749" t="s">
        <v>4960</v>
      </c>
      <c r="F502" s="1751">
        <v>243702</v>
      </c>
      <c r="G502" s="1750">
        <v>680</v>
      </c>
      <c r="H502" s="1731" t="s">
        <v>41</v>
      </c>
      <c r="I502" s="2287" t="s">
        <v>25</v>
      </c>
      <c r="J502" s="37"/>
      <c r="K502" s="2235"/>
      <c r="L502" s="37"/>
      <c r="M502" s="37"/>
      <c r="N502" s="37"/>
      <c r="O502" s="2360" t="s">
        <v>5885</v>
      </c>
      <c r="Q502" s="2287" t="s">
        <v>25</v>
      </c>
    </row>
    <row r="503" spans="1:17" ht="18.75" customHeight="1" x14ac:dyDescent="0.4">
      <c r="A503" s="2822">
        <v>435</v>
      </c>
      <c r="B503" s="1747" t="s">
        <v>158</v>
      </c>
      <c r="C503" s="1748">
        <v>400</v>
      </c>
      <c r="D503" s="1179">
        <v>67</v>
      </c>
      <c r="E503" s="1749" t="s">
        <v>4961</v>
      </c>
      <c r="F503" s="1751">
        <v>243702</v>
      </c>
      <c r="G503" s="1750">
        <v>680</v>
      </c>
      <c r="H503" s="1731" t="s">
        <v>41</v>
      </c>
      <c r="I503" s="2287" t="s">
        <v>25</v>
      </c>
      <c r="J503" s="37"/>
      <c r="K503" s="2235"/>
      <c r="L503" s="37"/>
      <c r="M503" s="37"/>
      <c r="N503" s="37"/>
      <c r="O503" s="2360" t="s">
        <v>5885</v>
      </c>
      <c r="Q503" s="2287" t="s">
        <v>25</v>
      </c>
    </row>
    <row r="504" spans="1:17" ht="18.75" customHeight="1" x14ac:dyDescent="0.4">
      <c r="A504" s="2822">
        <v>436</v>
      </c>
      <c r="B504" s="1747" t="s">
        <v>158</v>
      </c>
      <c r="C504" s="1748">
        <v>400</v>
      </c>
      <c r="D504" s="1179">
        <v>67</v>
      </c>
      <c r="E504" s="1749" t="s">
        <v>4962</v>
      </c>
      <c r="F504" s="1751">
        <v>243702</v>
      </c>
      <c r="G504" s="1750">
        <v>680</v>
      </c>
      <c r="H504" s="1731" t="s">
        <v>41</v>
      </c>
      <c r="I504" s="2287" t="s">
        <v>25</v>
      </c>
      <c r="J504" s="37"/>
      <c r="K504" s="2235"/>
      <c r="L504" s="37"/>
      <c r="M504" s="37"/>
      <c r="N504" s="37"/>
      <c r="O504" s="2360" t="s">
        <v>5885</v>
      </c>
      <c r="Q504" s="2287" t="s">
        <v>25</v>
      </c>
    </row>
    <row r="505" spans="1:17" ht="18.75" customHeight="1" x14ac:dyDescent="0.4">
      <c r="A505" s="112">
        <v>437</v>
      </c>
      <c r="B505" s="1747" t="s">
        <v>158</v>
      </c>
      <c r="C505" s="1748">
        <v>400</v>
      </c>
      <c r="D505" s="1179">
        <v>67</v>
      </c>
      <c r="E505" s="1749" t="s">
        <v>4963</v>
      </c>
      <c r="F505" s="1751">
        <v>243702</v>
      </c>
      <c r="G505" s="1750">
        <v>680</v>
      </c>
      <c r="H505" s="1731" t="s">
        <v>41</v>
      </c>
      <c r="I505" s="2287" t="s">
        <v>25</v>
      </c>
      <c r="J505" s="37"/>
      <c r="K505" s="2235"/>
      <c r="L505" s="37"/>
      <c r="M505" s="37"/>
      <c r="N505" s="37"/>
      <c r="O505" s="2360" t="s">
        <v>5885</v>
      </c>
      <c r="Q505" s="2287" t="s">
        <v>25</v>
      </c>
    </row>
    <row r="506" spans="1:17" ht="18.75" customHeight="1" x14ac:dyDescent="0.4">
      <c r="A506" s="112">
        <v>438</v>
      </c>
      <c r="B506" s="1747" t="s">
        <v>158</v>
      </c>
      <c r="C506" s="1748">
        <v>400</v>
      </c>
      <c r="D506" s="1179">
        <v>67</v>
      </c>
      <c r="E506" s="1749" t="s">
        <v>4964</v>
      </c>
      <c r="F506" s="1751">
        <v>243702</v>
      </c>
      <c r="G506" s="1750">
        <v>680</v>
      </c>
      <c r="H506" s="1731" t="s">
        <v>41</v>
      </c>
      <c r="I506" s="2287" t="s">
        <v>25</v>
      </c>
      <c r="J506" s="37"/>
      <c r="K506" s="2235"/>
      <c r="L506" s="37"/>
      <c r="M506" s="37"/>
      <c r="N506" s="37"/>
      <c r="O506" s="2360" t="s">
        <v>5885</v>
      </c>
      <c r="Q506" s="2287" t="s">
        <v>25</v>
      </c>
    </row>
    <row r="507" spans="1:17" ht="18.75" customHeight="1" x14ac:dyDescent="0.4">
      <c r="A507" s="112">
        <v>439</v>
      </c>
      <c r="B507" s="1747" t="s">
        <v>158</v>
      </c>
      <c r="C507" s="1748">
        <v>400</v>
      </c>
      <c r="D507" s="1179">
        <v>67</v>
      </c>
      <c r="E507" s="1749" t="s">
        <v>4965</v>
      </c>
      <c r="F507" s="1751">
        <v>243702</v>
      </c>
      <c r="G507" s="1750">
        <v>680</v>
      </c>
      <c r="H507" s="1731" t="s">
        <v>41</v>
      </c>
      <c r="I507" s="2287" t="s">
        <v>25</v>
      </c>
      <c r="J507" s="37"/>
      <c r="K507" s="2235"/>
      <c r="L507" s="37"/>
      <c r="M507" s="37"/>
      <c r="N507" s="37"/>
      <c r="O507" s="2360" t="s">
        <v>5885</v>
      </c>
      <c r="Q507" s="2287" t="s">
        <v>25</v>
      </c>
    </row>
    <row r="508" spans="1:17" ht="18.75" customHeight="1" x14ac:dyDescent="0.4">
      <c r="A508" s="112">
        <v>440</v>
      </c>
      <c r="B508" s="1747" t="s">
        <v>158</v>
      </c>
      <c r="C508" s="1748">
        <v>400</v>
      </c>
      <c r="D508" s="1179">
        <v>67</v>
      </c>
      <c r="E508" s="1749" t="s">
        <v>4966</v>
      </c>
      <c r="F508" s="1751">
        <v>243702</v>
      </c>
      <c r="G508" s="1750">
        <v>680</v>
      </c>
      <c r="H508" s="1731" t="s">
        <v>41</v>
      </c>
      <c r="I508" s="2287" t="s">
        <v>25</v>
      </c>
      <c r="J508" s="37"/>
      <c r="K508" s="2235"/>
      <c r="L508" s="37"/>
      <c r="M508" s="37"/>
      <c r="N508" s="37"/>
      <c r="O508" s="2360" t="s">
        <v>5885</v>
      </c>
      <c r="Q508" s="2287" t="s">
        <v>25</v>
      </c>
    </row>
    <row r="509" spans="1:17" ht="18.75" customHeight="1" x14ac:dyDescent="0.4">
      <c r="A509" s="112">
        <v>441</v>
      </c>
      <c r="B509" s="1747" t="s">
        <v>158</v>
      </c>
      <c r="C509" s="1748">
        <v>400</v>
      </c>
      <c r="D509" s="1179">
        <v>67</v>
      </c>
      <c r="E509" s="1749" t="s">
        <v>4967</v>
      </c>
      <c r="F509" s="1751">
        <v>243702</v>
      </c>
      <c r="G509" s="1750">
        <v>680</v>
      </c>
      <c r="H509" s="1731" t="s">
        <v>41</v>
      </c>
      <c r="I509" s="2287" t="s">
        <v>25</v>
      </c>
      <c r="J509" s="37"/>
      <c r="K509" s="2235"/>
      <c r="L509" s="37"/>
      <c r="M509" s="37"/>
      <c r="N509" s="37"/>
      <c r="O509" s="2360" t="s">
        <v>5885</v>
      </c>
      <c r="Q509" s="2287" t="s">
        <v>25</v>
      </c>
    </row>
    <row r="510" spans="1:17" ht="18.75" customHeight="1" x14ac:dyDescent="0.4">
      <c r="A510" s="112">
        <v>442</v>
      </c>
      <c r="B510" s="1747" t="s">
        <v>158</v>
      </c>
      <c r="C510" s="1748">
        <v>400</v>
      </c>
      <c r="D510" s="1179">
        <v>67</v>
      </c>
      <c r="E510" s="1749" t="s">
        <v>4968</v>
      </c>
      <c r="F510" s="1751">
        <v>243702</v>
      </c>
      <c r="G510" s="1750">
        <v>680</v>
      </c>
      <c r="H510" s="1731" t="s">
        <v>41</v>
      </c>
      <c r="I510" s="2287" t="s">
        <v>25</v>
      </c>
      <c r="J510" s="37"/>
      <c r="K510" s="2235"/>
      <c r="L510" s="37"/>
      <c r="M510" s="37"/>
      <c r="N510" s="37"/>
      <c r="O510" s="2360" t="s">
        <v>5885</v>
      </c>
      <c r="Q510" s="2287" t="s">
        <v>25</v>
      </c>
    </row>
    <row r="511" spans="1:17" ht="18.75" customHeight="1" x14ac:dyDescent="0.4">
      <c r="A511" s="112">
        <v>443</v>
      </c>
      <c r="B511" s="1747" t="s">
        <v>158</v>
      </c>
      <c r="C511" s="1748">
        <v>400</v>
      </c>
      <c r="D511" s="1179">
        <v>67</v>
      </c>
      <c r="E511" s="1749" t="s">
        <v>4969</v>
      </c>
      <c r="F511" s="1751">
        <v>243702</v>
      </c>
      <c r="G511" s="1750">
        <v>680</v>
      </c>
      <c r="H511" s="1731" t="s">
        <v>41</v>
      </c>
      <c r="I511" s="2287" t="s">
        <v>25</v>
      </c>
      <c r="J511" s="37"/>
      <c r="K511" s="2235"/>
      <c r="L511" s="37"/>
      <c r="M511" s="37"/>
      <c r="N511" s="37"/>
      <c r="O511" s="2360" t="s">
        <v>5885</v>
      </c>
      <c r="Q511" s="2287" t="s">
        <v>25</v>
      </c>
    </row>
    <row r="512" spans="1:17" ht="18.75" customHeight="1" x14ac:dyDescent="0.4">
      <c r="A512" s="2822">
        <v>444</v>
      </c>
      <c r="B512" s="1747" t="s">
        <v>158</v>
      </c>
      <c r="C512" s="1748">
        <v>400</v>
      </c>
      <c r="D512" s="1179">
        <v>67</v>
      </c>
      <c r="E512" s="1749" t="s">
        <v>4970</v>
      </c>
      <c r="F512" s="1751">
        <v>243702</v>
      </c>
      <c r="G512" s="1750">
        <v>680</v>
      </c>
      <c r="H512" s="1731" t="s">
        <v>41</v>
      </c>
      <c r="I512" s="2287" t="s">
        <v>25</v>
      </c>
      <c r="J512" s="37"/>
      <c r="K512" s="2235"/>
      <c r="L512" s="37"/>
      <c r="M512" s="37"/>
      <c r="N512" s="37"/>
      <c r="O512" s="2360" t="s">
        <v>5885</v>
      </c>
      <c r="Q512" s="2287" t="s">
        <v>25</v>
      </c>
    </row>
    <row r="513" spans="1:17" ht="18.75" customHeight="1" x14ac:dyDescent="0.4">
      <c r="A513" s="2822">
        <v>445</v>
      </c>
      <c r="B513" s="1747" t="s">
        <v>158</v>
      </c>
      <c r="C513" s="1748">
        <v>400</v>
      </c>
      <c r="D513" s="1179">
        <v>67</v>
      </c>
      <c r="E513" s="1749" t="s">
        <v>4971</v>
      </c>
      <c r="F513" s="1751">
        <v>243702</v>
      </c>
      <c r="G513" s="1750">
        <v>680</v>
      </c>
      <c r="H513" s="1731" t="s">
        <v>41</v>
      </c>
      <c r="I513" s="2287" t="s">
        <v>25</v>
      </c>
      <c r="J513" s="37"/>
      <c r="K513" s="2235"/>
      <c r="L513" s="37"/>
      <c r="M513" s="37"/>
      <c r="N513" s="37"/>
      <c r="O513" s="2360" t="s">
        <v>5885</v>
      </c>
      <c r="Q513" s="2287" t="s">
        <v>25</v>
      </c>
    </row>
    <row r="514" spans="1:17" ht="18.75" customHeight="1" x14ac:dyDescent="0.4">
      <c r="A514" s="112">
        <v>446</v>
      </c>
      <c r="B514" s="1747" t="s">
        <v>158</v>
      </c>
      <c r="C514" s="1748">
        <v>400</v>
      </c>
      <c r="D514" s="1179">
        <v>67</v>
      </c>
      <c r="E514" s="1749" t="s">
        <v>4972</v>
      </c>
      <c r="F514" s="1751">
        <v>243702</v>
      </c>
      <c r="G514" s="1750">
        <v>680</v>
      </c>
      <c r="H514" s="1731" t="s">
        <v>41</v>
      </c>
      <c r="I514" s="2287" t="s">
        <v>25</v>
      </c>
      <c r="J514" s="37"/>
      <c r="K514" s="2235"/>
      <c r="L514" s="37"/>
      <c r="M514" s="37"/>
      <c r="N514" s="37"/>
      <c r="O514" s="2360" t="s">
        <v>5885</v>
      </c>
      <c r="Q514" s="2287" t="s">
        <v>25</v>
      </c>
    </row>
    <row r="515" spans="1:17" ht="18.75" customHeight="1" x14ac:dyDescent="0.4">
      <c r="A515" s="112">
        <v>447</v>
      </c>
      <c r="B515" s="1747" t="s">
        <v>158</v>
      </c>
      <c r="C515" s="1748">
        <v>400</v>
      </c>
      <c r="D515" s="1179">
        <v>67</v>
      </c>
      <c r="E515" s="1749" t="s">
        <v>4973</v>
      </c>
      <c r="F515" s="1751">
        <v>243702</v>
      </c>
      <c r="G515" s="1750">
        <v>680</v>
      </c>
      <c r="H515" s="1731" t="s">
        <v>41</v>
      </c>
      <c r="I515" s="2287" t="s">
        <v>25</v>
      </c>
      <c r="J515" s="37"/>
      <c r="K515" s="2235"/>
      <c r="L515" s="37"/>
      <c r="M515" s="37"/>
      <c r="N515" s="37"/>
      <c r="O515" s="2360" t="s">
        <v>5885</v>
      </c>
      <c r="Q515" s="2287" t="s">
        <v>25</v>
      </c>
    </row>
    <row r="516" spans="1:17" ht="18.75" customHeight="1" x14ac:dyDescent="0.4">
      <c r="A516" s="112">
        <v>448</v>
      </c>
      <c r="B516" s="1747" t="s">
        <v>158</v>
      </c>
      <c r="C516" s="1748">
        <v>400</v>
      </c>
      <c r="D516" s="1179">
        <v>67</v>
      </c>
      <c r="E516" s="1749" t="s">
        <v>4974</v>
      </c>
      <c r="F516" s="1751">
        <v>243702</v>
      </c>
      <c r="G516" s="1750">
        <v>680</v>
      </c>
      <c r="H516" s="1731" t="s">
        <v>41</v>
      </c>
      <c r="I516" s="2287" t="s">
        <v>25</v>
      </c>
      <c r="J516" s="37"/>
      <c r="K516" s="2235"/>
      <c r="L516" s="37"/>
      <c r="M516" s="37"/>
      <c r="N516" s="37"/>
      <c r="O516" s="2360" t="s">
        <v>5885</v>
      </c>
      <c r="Q516" s="2287" t="s">
        <v>25</v>
      </c>
    </row>
    <row r="517" spans="1:17" ht="18.75" customHeight="1" x14ac:dyDescent="0.4">
      <c r="A517" s="112">
        <v>449</v>
      </c>
      <c r="B517" s="1747" t="s">
        <v>158</v>
      </c>
      <c r="C517" s="1748">
        <v>400</v>
      </c>
      <c r="D517" s="1179">
        <v>67</v>
      </c>
      <c r="E517" s="1749" t="s">
        <v>4975</v>
      </c>
      <c r="F517" s="1751">
        <v>243702</v>
      </c>
      <c r="G517" s="1750">
        <v>680</v>
      </c>
      <c r="H517" s="1731" t="s">
        <v>41</v>
      </c>
      <c r="I517" s="2287" t="s">
        <v>25</v>
      </c>
      <c r="J517" s="37"/>
      <c r="K517" s="2235"/>
      <c r="L517" s="37"/>
      <c r="M517" s="37"/>
      <c r="N517" s="37"/>
      <c r="O517" s="2360" t="s">
        <v>5885</v>
      </c>
      <c r="Q517" s="2287" t="s">
        <v>25</v>
      </c>
    </row>
    <row r="518" spans="1:17" ht="18.75" customHeight="1" x14ac:dyDescent="0.4">
      <c r="A518" s="112">
        <v>450</v>
      </c>
      <c r="B518" s="1747" t="s">
        <v>158</v>
      </c>
      <c r="C518" s="1748">
        <v>400</v>
      </c>
      <c r="D518" s="1179">
        <v>67</v>
      </c>
      <c r="E518" s="1749" t="s">
        <v>4976</v>
      </c>
      <c r="F518" s="1751">
        <v>243702</v>
      </c>
      <c r="G518" s="1750">
        <v>680</v>
      </c>
      <c r="H518" s="1731" t="s">
        <v>41</v>
      </c>
      <c r="I518" s="2287" t="s">
        <v>25</v>
      </c>
      <c r="J518" s="37"/>
      <c r="K518" s="2235"/>
      <c r="L518" s="37"/>
      <c r="M518" s="37"/>
      <c r="N518" s="37"/>
      <c r="O518" s="2360" t="s">
        <v>5885</v>
      </c>
      <c r="Q518" s="2287" t="s">
        <v>25</v>
      </c>
    </row>
    <row r="519" spans="1:17" ht="18.75" customHeight="1" x14ac:dyDescent="0.4">
      <c r="A519" s="112">
        <v>451</v>
      </c>
      <c r="B519" s="1747" t="s">
        <v>158</v>
      </c>
      <c r="C519" s="1748">
        <v>400</v>
      </c>
      <c r="D519" s="1179">
        <v>67</v>
      </c>
      <c r="E519" s="1749" t="s">
        <v>4977</v>
      </c>
      <c r="F519" s="1751">
        <v>243702</v>
      </c>
      <c r="G519" s="1750">
        <v>680</v>
      </c>
      <c r="H519" s="1731" t="s">
        <v>41</v>
      </c>
      <c r="I519" s="2287" t="s">
        <v>25</v>
      </c>
      <c r="J519" s="37"/>
      <c r="K519" s="2235"/>
      <c r="L519" s="37"/>
      <c r="M519" s="37"/>
      <c r="N519" s="37"/>
      <c r="O519" s="2360" t="s">
        <v>5885</v>
      </c>
      <c r="Q519" s="2287" t="s">
        <v>25</v>
      </c>
    </row>
    <row r="520" spans="1:17" ht="18.75" customHeight="1" x14ac:dyDescent="0.4">
      <c r="A520" s="112">
        <v>452</v>
      </c>
      <c r="B520" s="1747" t="s">
        <v>158</v>
      </c>
      <c r="C520" s="1748">
        <v>400</v>
      </c>
      <c r="D520" s="1179">
        <v>67</v>
      </c>
      <c r="E520" s="1749" t="s">
        <v>4978</v>
      </c>
      <c r="F520" s="1751">
        <v>243702</v>
      </c>
      <c r="G520" s="1750">
        <v>680</v>
      </c>
      <c r="H520" s="1731" t="s">
        <v>41</v>
      </c>
      <c r="I520" s="2287" t="s">
        <v>25</v>
      </c>
      <c r="J520" s="37"/>
      <c r="K520" s="2235"/>
      <c r="L520" s="37"/>
      <c r="M520" s="37"/>
      <c r="N520" s="37"/>
      <c r="O520" s="2360" t="s">
        <v>5885</v>
      </c>
      <c r="Q520" s="2287" t="s">
        <v>25</v>
      </c>
    </row>
    <row r="521" spans="1:17" ht="18.75" customHeight="1" x14ac:dyDescent="0.4">
      <c r="A521" s="2822">
        <v>453</v>
      </c>
      <c r="B521" s="1747" t="s">
        <v>158</v>
      </c>
      <c r="C521" s="1748">
        <v>400</v>
      </c>
      <c r="D521" s="1179">
        <v>67</v>
      </c>
      <c r="E521" s="1749" t="s">
        <v>4979</v>
      </c>
      <c r="F521" s="1751">
        <v>243702</v>
      </c>
      <c r="G521" s="1750">
        <v>680</v>
      </c>
      <c r="H521" s="1731" t="s">
        <v>41</v>
      </c>
      <c r="I521" s="2287" t="s">
        <v>25</v>
      </c>
      <c r="J521" s="37"/>
      <c r="K521" s="2235"/>
      <c r="L521" s="37"/>
      <c r="M521" s="37"/>
      <c r="N521" s="37"/>
      <c r="O521" s="2360" t="s">
        <v>5885</v>
      </c>
      <c r="Q521" s="2287" t="s">
        <v>25</v>
      </c>
    </row>
    <row r="522" spans="1:17" ht="18.75" customHeight="1" x14ac:dyDescent="0.4">
      <c r="A522" s="2822">
        <v>454</v>
      </c>
      <c r="B522" s="1747" t="s">
        <v>158</v>
      </c>
      <c r="C522" s="1748">
        <v>400</v>
      </c>
      <c r="D522" s="1179">
        <v>67</v>
      </c>
      <c r="E522" s="1749" t="s">
        <v>4980</v>
      </c>
      <c r="F522" s="1751">
        <v>243702</v>
      </c>
      <c r="G522" s="1750">
        <v>680</v>
      </c>
      <c r="H522" s="1731" t="s">
        <v>41</v>
      </c>
      <c r="I522" s="2287" t="s">
        <v>25</v>
      </c>
      <c r="J522" s="37"/>
      <c r="K522" s="2235"/>
      <c r="L522" s="37"/>
      <c r="M522" s="37"/>
      <c r="N522" s="37"/>
      <c r="O522" s="2360" t="s">
        <v>5885</v>
      </c>
      <c r="Q522" s="2287" t="s">
        <v>25</v>
      </c>
    </row>
    <row r="523" spans="1:17" ht="18.75" customHeight="1" x14ac:dyDescent="0.4">
      <c r="A523" s="112">
        <v>455</v>
      </c>
      <c r="B523" s="1747" t="s">
        <v>158</v>
      </c>
      <c r="C523" s="1748">
        <v>400</v>
      </c>
      <c r="D523" s="1179">
        <v>67</v>
      </c>
      <c r="E523" s="1749" t="s">
        <v>4981</v>
      </c>
      <c r="F523" s="1751">
        <v>243702</v>
      </c>
      <c r="G523" s="1750">
        <v>680</v>
      </c>
      <c r="H523" s="1731" t="s">
        <v>41</v>
      </c>
      <c r="I523" s="2287" t="s">
        <v>25</v>
      </c>
      <c r="J523" s="37"/>
      <c r="K523" s="2235"/>
      <c r="L523" s="37"/>
      <c r="M523" s="37"/>
      <c r="N523" s="37"/>
      <c r="O523" s="2360" t="s">
        <v>5885</v>
      </c>
      <c r="Q523" s="2287" t="s">
        <v>25</v>
      </c>
    </row>
    <row r="524" spans="1:17" ht="18.75" customHeight="1" x14ac:dyDescent="0.4">
      <c r="A524" s="112">
        <v>456</v>
      </c>
      <c r="B524" s="1747" t="s">
        <v>158</v>
      </c>
      <c r="C524" s="1748">
        <v>400</v>
      </c>
      <c r="D524" s="1179">
        <v>67</v>
      </c>
      <c r="E524" s="1749" t="s">
        <v>4982</v>
      </c>
      <c r="F524" s="1751">
        <v>243702</v>
      </c>
      <c r="G524" s="1750">
        <v>680</v>
      </c>
      <c r="H524" s="1731" t="s">
        <v>41</v>
      </c>
      <c r="I524" s="2287" t="s">
        <v>25</v>
      </c>
      <c r="J524" s="37"/>
      <c r="K524" s="2235"/>
      <c r="L524" s="37"/>
      <c r="M524" s="37"/>
      <c r="N524" s="37"/>
      <c r="O524" s="2360" t="s">
        <v>5885</v>
      </c>
      <c r="Q524" s="2287" t="s">
        <v>25</v>
      </c>
    </row>
    <row r="525" spans="1:17" ht="18.75" customHeight="1" x14ac:dyDescent="0.4">
      <c r="A525" s="112">
        <v>457</v>
      </c>
      <c r="B525" s="1747" t="s">
        <v>158</v>
      </c>
      <c r="C525" s="1748">
        <v>400</v>
      </c>
      <c r="D525" s="1179">
        <v>67</v>
      </c>
      <c r="E525" s="1749" t="s">
        <v>4983</v>
      </c>
      <c r="F525" s="1751">
        <v>243702</v>
      </c>
      <c r="G525" s="1750">
        <v>680</v>
      </c>
      <c r="H525" s="1731" t="s">
        <v>41</v>
      </c>
      <c r="I525" s="2287" t="s">
        <v>25</v>
      </c>
      <c r="J525" s="37"/>
      <c r="K525" s="2235"/>
      <c r="L525" s="37"/>
      <c r="M525" s="37"/>
      <c r="N525" s="37"/>
      <c r="O525" s="2360" t="s">
        <v>5885</v>
      </c>
      <c r="Q525" s="2287" t="s">
        <v>25</v>
      </c>
    </row>
    <row r="526" spans="1:17" ht="18.75" customHeight="1" x14ac:dyDescent="0.4">
      <c r="A526" s="112">
        <v>458</v>
      </c>
      <c r="B526" s="1747" t="s">
        <v>158</v>
      </c>
      <c r="C526" s="1748">
        <v>400</v>
      </c>
      <c r="D526" s="1179">
        <v>67</v>
      </c>
      <c r="E526" s="1749" t="s">
        <v>4984</v>
      </c>
      <c r="F526" s="1751">
        <v>243702</v>
      </c>
      <c r="G526" s="1750">
        <v>680</v>
      </c>
      <c r="H526" s="1731" t="s">
        <v>41</v>
      </c>
      <c r="I526" s="2287" t="s">
        <v>25</v>
      </c>
      <c r="J526" s="37"/>
      <c r="K526" s="2235"/>
      <c r="L526" s="37"/>
      <c r="M526" s="37"/>
      <c r="N526" s="37"/>
      <c r="O526" s="2360" t="s">
        <v>5885</v>
      </c>
      <c r="Q526" s="2287" t="s">
        <v>25</v>
      </c>
    </row>
    <row r="527" spans="1:17" ht="18.75" customHeight="1" x14ac:dyDescent="0.4">
      <c r="A527" s="112">
        <v>459</v>
      </c>
      <c r="B527" s="1747" t="s">
        <v>158</v>
      </c>
      <c r="C527" s="1748">
        <v>400</v>
      </c>
      <c r="D527" s="1179">
        <v>67</v>
      </c>
      <c r="E527" s="1749" t="s">
        <v>4985</v>
      </c>
      <c r="F527" s="1751">
        <v>243702</v>
      </c>
      <c r="G527" s="1750">
        <v>680</v>
      </c>
      <c r="H527" s="1731" t="s">
        <v>41</v>
      </c>
      <c r="I527" s="2287" t="s">
        <v>25</v>
      </c>
      <c r="J527" s="37"/>
      <c r="K527" s="2235"/>
      <c r="L527" s="37"/>
      <c r="M527" s="37"/>
      <c r="N527" s="37"/>
      <c r="O527" s="2360" t="s">
        <v>5885</v>
      </c>
      <c r="Q527" s="2287" t="s">
        <v>25</v>
      </c>
    </row>
    <row r="528" spans="1:17" ht="18.75" customHeight="1" x14ac:dyDescent="0.4">
      <c r="A528" s="112">
        <v>460</v>
      </c>
      <c r="B528" s="1747" t="s">
        <v>158</v>
      </c>
      <c r="C528" s="1748">
        <v>400</v>
      </c>
      <c r="D528" s="1179">
        <v>67</v>
      </c>
      <c r="E528" s="1749" t="s">
        <v>4986</v>
      </c>
      <c r="F528" s="1751">
        <v>243702</v>
      </c>
      <c r="G528" s="1750">
        <v>680</v>
      </c>
      <c r="H528" s="1731" t="s">
        <v>41</v>
      </c>
      <c r="I528" s="2287" t="s">
        <v>25</v>
      </c>
      <c r="J528" s="37"/>
      <c r="K528" s="2235"/>
      <c r="L528" s="37"/>
      <c r="M528" s="37"/>
      <c r="N528" s="37"/>
      <c r="O528" s="2360" t="s">
        <v>5885</v>
      </c>
      <c r="Q528" s="2287" t="s">
        <v>25</v>
      </c>
    </row>
    <row r="529" spans="1:17" ht="18.75" customHeight="1" x14ac:dyDescent="0.4">
      <c r="A529" s="112">
        <v>461</v>
      </c>
      <c r="B529" s="1747" t="s">
        <v>158</v>
      </c>
      <c r="C529" s="1748">
        <v>400</v>
      </c>
      <c r="D529" s="1179">
        <v>67</v>
      </c>
      <c r="E529" s="1749" t="s">
        <v>4987</v>
      </c>
      <c r="F529" s="1751">
        <v>243702</v>
      </c>
      <c r="G529" s="1750">
        <v>680</v>
      </c>
      <c r="H529" s="1731" t="s">
        <v>41</v>
      </c>
      <c r="I529" s="2287" t="s">
        <v>25</v>
      </c>
      <c r="J529" s="37"/>
      <c r="K529" s="2235"/>
      <c r="L529" s="37"/>
      <c r="M529" s="37"/>
      <c r="N529" s="37"/>
      <c r="O529" s="2360" t="s">
        <v>5885</v>
      </c>
      <c r="Q529" s="2287" t="s">
        <v>25</v>
      </c>
    </row>
    <row r="530" spans="1:17" ht="18.75" customHeight="1" x14ac:dyDescent="0.4">
      <c r="A530" s="2822">
        <v>462</v>
      </c>
      <c r="B530" s="1747" t="s">
        <v>158</v>
      </c>
      <c r="C530" s="1748">
        <v>400</v>
      </c>
      <c r="D530" s="1179">
        <v>67</v>
      </c>
      <c r="E530" s="1749" t="s">
        <v>4988</v>
      </c>
      <c r="F530" s="1751">
        <v>243702</v>
      </c>
      <c r="G530" s="1750">
        <v>680</v>
      </c>
      <c r="H530" s="1731" t="s">
        <v>41</v>
      </c>
      <c r="I530" s="2287" t="s">
        <v>25</v>
      </c>
      <c r="J530" s="37"/>
      <c r="K530" s="2235"/>
      <c r="L530" s="37"/>
      <c r="M530" s="37"/>
      <c r="N530" s="37"/>
      <c r="O530" s="2360" t="s">
        <v>5885</v>
      </c>
      <c r="Q530" s="2287" t="s">
        <v>25</v>
      </c>
    </row>
    <row r="531" spans="1:17" ht="18.75" customHeight="1" x14ac:dyDescent="0.4">
      <c r="A531" s="2822">
        <v>463</v>
      </c>
      <c r="B531" s="1747" t="s">
        <v>158</v>
      </c>
      <c r="C531" s="1748">
        <v>400</v>
      </c>
      <c r="D531" s="1179">
        <v>67</v>
      </c>
      <c r="E531" s="1749" t="s">
        <v>4989</v>
      </c>
      <c r="F531" s="1751">
        <v>243702</v>
      </c>
      <c r="G531" s="1750">
        <v>680</v>
      </c>
      <c r="H531" s="1731" t="s">
        <v>41</v>
      </c>
      <c r="I531" s="2287" t="s">
        <v>25</v>
      </c>
      <c r="J531" s="37"/>
      <c r="K531" s="2235"/>
      <c r="L531" s="37"/>
      <c r="M531" s="37"/>
      <c r="N531" s="37"/>
      <c r="O531" s="2360" t="s">
        <v>5885</v>
      </c>
      <c r="Q531" s="2287" t="s">
        <v>25</v>
      </c>
    </row>
    <row r="532" spans="1:17" ht="18.75" customHeight="1" x14ac:dyDescent="0.4">
      <c r="A532" s="112">
        <v>464</v>
      </c>
      <c r="B532" s="1747" t="s">
        <v>158</v>
      </c>
      <c r="C532" s="1748">
        <v>400</v>
      </c>
      <c r="D532" s="1179">
        <v>67</v>
      </c>
      <c r="E532" s="1749" t="s">
        <v>4990</v>
      </c>
      <c r="F532" s="1751">
        <v>243702</v>
      </c>
      <c r="G532" s="1750">
        <v>680</v>
      </c>
      <c r="H532" s="1731" t="s">
        <v>41</v>
      </c>
      <c r="I532" s="2287" t="s">
        <v>25</v>
      </c>
      <c r="J532" s="37"/>
      <c r="K532" s="2235"/>
      <c r="L532" s="37"/>
      <c r="M532" s="37"/>
      <c r="N532" s="37"/>
      <c r="O532" s="2360" t="s">
        <v>5885</v>
      </c>
      <c r="Q532" s="2287" t="s">
        <v>25</v>
      </c>
    </row>
    <row r="533" spans="1:17" ht="18.75" customHeight="1" x14ac:dyDescent="0.4">
      <c r="A533" s="112">
        <v>465</v>
      </c>
      <c r="B533" s="1747" t="s">
        <v>158</v>
      </c>
      <c r="C533" s="1748">
        <v>400</v>
      </c>
      <c r="D533" s="1179">
        <v>67</v>
      </c>
      <c r="E533" s="1749" t="s">
        <v>4991</v>
      </c>
      <c r="F533" s="1751">
        <v>243702</v>
      </c>
      <c r="G533" s="1750">
        <v>680</v>
      </c>
      <c r="H533" s="1731" t="s">
        <v>41</v>
      </c>
      <c r="I533" s="2287" t="s">
        <v>25</v>
      </c>
      <c r="J533" s="37"/>
      <c r="K533" s="2235"/>
      <c r="L533" s="37"/>
      <c r="M533" s="37"/>
      <c r="N533" s="37"/>
      <c r="O533" s="2360" t="s">
        <v>5885</v>
      </c>
      <c r="Q533" s="2287" t="s">
        <v>25</v>
      </c>
    </row>
    <row r="534" spans="1:17" ht="18.75" customHeight="1" x14ac:dyDescent="0.4">
      <c r="A534" s="112">
        <v>466</v>
      </c>
      <c r="B534" s="1747" t="s">
        <v>158</v>
      </c>
      <c r="C534" s="1748">
        <v>400</v>
      </c>
      <c r="D534" s="1179">
        <v>67</v>
      </c>
      <c r="E534" s="1749" t="s">
        <v>4992</v>
      </c>
      <c r="F534" s="1751">
        <v>243702</v>
      </c>
      <c r="G534" s="1750">
        <v>680</v>
      </c>
      <c r="H534" s="1731" t="s">
        <v>41</v>
      </c>
      <c r="I534" s="2287" t="s">
        <v>25</v>
      </c>
      <c r="J534" s="37"/>
      <c r="K534" s="2235"/>
      <c r="L534" s="37"/>
      <c r="M534" s="37"/>
      <c r="N534" s="37"/>
      <c r="O534" s="2360" t="s">
        <v>5885</v>
      </c>
      <c r="Q534" s="2287" t="s">
        <v>25</v>
      </c>
    </row>
    <row r="535" spans="1:17" ht="18.75" customHeight="1" x14ac:dyDescent="0.4">
      <c r="A535" s="112">
        <v>467</v>
      </c>
      <c r="B535" s="1747" t="s">
        <v>158</v>
      </c>
      <c r="C535" s="1748">
        <v>400</v>
      </c>
      <c r="D535" s="1179">
        <v>67</v>
      </c>
      <c r="E535" s="1749" t="s">
        <v>4993</v>
      </c>
      <c r="F535" s="1751">
        <v>243702</v>
      </c>
      <c r="G535" s="1750">
        <v>680</v>
      </c>
      <c r="H535" s="1731" t="s">
        <v>41</v>
      </c>
      <c r="I535" s="2287" t="s">
        <v>25</v>
      </c>
      <c r="J535" s="37"/>
      <c r="K535" s="2235"/>
      <c r="L535" s="37"/>
      <c r="M535" s="37"/>
      <c r="N535" s="37"/>
      <c r="O535" s="2360" t="s">
        <v>5885</v>
      </c>
      <c r="Q535" s="2287" t="s">
        <v>25</v>
      </c>
    </row>
    <row r="536" spans="1:17" ht="18.75" customHeight="1" x14ac:dyDescent="0.4">
      <c r="A536" s="112">
        <v>468</v>
      </c>
      <c r="B536" s="1747" t="s">
        <v>158</v>
      </c>
      <c r="C536" s="1748">
        <v>400</v>
      </c>
      <c r="D536" s="1179">
        <v>67</v>
      </c>
      <c r="E536" s="1749" t="s">
        <v>4994</v>
      </c>
      <c r="F536" s="1751">
        <v>243702</v>
      </c>
      <c r="G536" s="1750">
        <v>680</v>
      </c>
      <c r="H536" s="1731" t="s">
        <v>41</v>
      </c>
      <c r="I536" s="2287" t="s">
        <v>25</v>
      </c>
      <c r="J536" s="37"/>
      <c r="K536" s="2235"/>
      <c r="L536" s="37"/>
      <c r="M536" s="37"/>
      <c r="N536" s="37"/>
      <c r="O536" s="2360" t="s">
        <v>5885</v>
      </c>
      <c r="Q536" s="2287" t="s">
        <v>25</v>
      </c>
    </row>
    <row r="537" spans="1:17" ht="18.75" customHeight="1" x14ac:dyDescent="0.4">
      <c r="A537" s="112">
        <v>469</v>
      </c>
      <c r="B537" s="1747" t="s">
        <v>158</v>
      </c>
      <c r="C537" s="1748">
        <v>400</v>
      </c>
      <c r="D537" s="1179">
        <v>67</v>
      </c>
      <c r="E537" s="1749" t="s">
        <v>4995</v>
      </c>
      <c r="F537" s="1751">
        <v>243702</v>
      </c>
      <c r="G537" s="1750">
        <v>680</v>
      </c>
      <c r="H537" s="1731" t="s">
        <v>41</v>
      </c>
      <c r="I537" s="2287" t="s">
        <v>25</v>
      </c>
      <c r="J537" s="37"/>
      <c r="K537" s="2235"/>
      <c r="L537" s="37"/>
      <c r="M537" s="37"/>
      <c r="N537" s="37"/>
      <c r="O537" s="2360" t="s">
        <v>5885</v>
      </c>
      <c r="Q537" s="2287" t="s">
        <v>25</v>
      </c>
    </row>
    <row r="538" spans="1:17" ht="18.75" customHeight="1" x14ac:dyDescent="0.4">
      <c r="A538" s="112">
        <v>470</v>
      </c>
      <c r="B538" s="1747" t="s">
        <v>158</v>
      </c>
      <c r="C538" s="1748">
        <v>400</v>
      </c>
      <c r="D538" s="1179">
        <v>67</v>
      </c>
      <c r="E538" s="1749" t="s">
        <v>4996</v>
      </c>
      <c r="F538" s="1751">
        <v>243702</v>
      </c>
      <c r="G538" s="1750">
        <v>680</v>
      </c>
      <c r="H538" s="1731" t="s">
        <v>41</v>
      </c>
      <c r="I538" s="2287" t="s">
        <v>25</v>
      </c>
      <c r="J538" s="37"/>
      <c r="K538" s="2235"/>
      <c r="L538" s="37"/>
      <c r="M538" s="37"/>
      <c r="N538" s="37"/>
      <c r="O538" s="2360" t="s">
        <v>5885</v>
      </c>
      <c r="Q538" s="2287" t="s">
        <v>25</v>
      </c>
    </row>
    <row r="539" spans="1:17" ht="18.75" customHeight="1" x14ac:dyDescent="0.4">
      <c r="A539" s="2822">
        <v>471</v>
      </c>
      <c r="B539" s="1747" t="s">
        <v>158</v>
      </c>
      <c r="C539" s="1748">
        <v>400</v>
      </c>
      <c r="D539" s="1179">
        <v>67</v>
      </c>
      <c r="E539" s="1749" t="s">
        <v>4997</v>
      </c>
      <c r="F539" s="1751">
        <v>243702</v>
      </c>
      <c r="G539" s="1750">
        <v>680</v>
      </c>
      <c r="H539" s="1731" t="s">
        <v>41</v>
      </c>
      <c r="I539" s="2287" t="s">
        <v>25</v>
      </c>
      <c r="J539" s="37"/>
      <c r="K539" s="2235"/>
      <c r="L539" s="37"/>
      <c r="M539" s="37"/>
      <c r="N539" s="37"/>
      <c r="O539" s="2360" t="s">
        <v>5885</v>
      </c>
      <c r="Q539" s="2287" t="s">
        <v>25</v>
      </c>
    </row>
    <row r="540" spans="1:17" ht="18.75" customHeight="1" x14ac:dyDescent="0.4">
      <c r="A540" s="2822">
        <v>472</v>
      </c>
      <c r="B540" s="1747" t="s">
        <v>158</v>
      </c>
      <c r="C540" s="1748">
        <v>400</v>
      </c>
      <c r="D540" s="1179">
        <v>67</v>
      </c>
      <c r="E540" s="1749" t="s">
        <v>4998</v>
      </c>
      <c r="F540" s="1751">
        <v>243702</v>
      </c>
      <c r="G540" s="1750">
        <v>680</v>
      </c>
      <c r="H540" s="1731" t="s">
        <v>41</v>
      </c>
      <c r="I540" s="2287" t="s">
        <v>25</v>
      </c>
      <c r="J540" s="37"/>
      <c r="K540" s="2235"/>
      <c r="L540" s="37"/>
      <c r="M540" s="37"/>
      <c r="N540" s="37"/>
      <c r="O540" s="2360" t="s">
        <v>5885</v>
      </c>
      <c r="Q540" s="2287" t="s">
        <v>25</v>
      </c>
    </row>
    <row r="541" spans="1:17" ht="18.75" customHeight="1" x14ac:dyDescent="0.4">
      <c r="A541" s="112">
        <v>473</v>
      </c>
      <c r="B541" s="1747" t="s">
        <v>158</v>
      </c>
      <c r="C541" s="1748">
        <v>400</v>
      </c>
      <c r="D541" s="1179">
        <v>67</v>
      </c>
      <c r="E541" s="1749" t="s">
        <v>4999</v>
      </c>
      <c r="F541" s="1751">
        <v>243702</v>
      </c>
      <c r="G541" s="1750">
        <v>680</v>
      </c>
      <c r="H541" s="1731" t="s">
        <v>41</v>
      </c>
      <c r="I541" s="2287" t="s">
        <v>25</v>
      </c>
      <c r="J541" s="37"/>
      <c r="K541" s="2235"/>
      <c r="L541" s="37"/>
      <c r="M541" s="37"/>
      <c r="N541" s="37"/>
      <c r="O541" s="2360" t="s">
        <v>5885</v>
      </c>
      <c r="Q541" s="2287" t="s">
        <v>25</v>
      </c>
    </row>
    <row r="542" spans="1:17" ht="18.75" customHeight="1" x14ac:dyDescent="0.4">
      <c r="A542" s="112">
        <v>474</v>
      </c>
      <c r="B542" s="1747" t="s">
        <v>158</v>
      </c>
      <c r="C542" s="1748">
        <v>400</v>
      </c>
      <c r="D542" s="1179">
        <v>67</v>
      </c>
      <c r="E542" s="1749" t="s">
        <v>5000</v>
      </c>
      <c r="F542" s="1751">
        <v>243702</v>
      </c>
      <c r="G542" s="1750">
        <v>680</v>
      </c>
      <c r="H542" s="1731" t="s">
        <v>41</v>
      </c>
      <c r="I542" s="2287" t="s">
        <v>25</v>
      </c>
      <c r="J542" s="37"/>
      <c r="K542" s="2235"/>
      <c r="L542" s="37"/>
      <c r="M542" s="37"/>
      <c r="N542" s="37"/>
      <c r="O542" s="2360" t="s">
        <v>5885</v>
      </c>
      <c r="Q542" s="2287" t="s">
        <v>25</v>
      </c>
    </row>
    <row r="543" spans="1:17" ht="18.75" customHeight="1" x14ac:dyDescent="0.4">
      <c r="A543" s="112">
        <v>475</v>
      </c>
      <c r="B543" s="1747" t="s">
        <v>158</v>
      </c>
      <c r="C543" s="1748">
        <v>400</v>
      </c>
      <c r="D543" s="1179">
        <v>67</v>
      </c>
      <c r="E543" s="1749" t="s">
        <v>5001</v>
      </c>
      <c r="F543" s="1751">
        <v>243702</v>
      </c>
      <c r="G543" s="1750">
        <v>680</v>
      </c>
      <c r="H543" s="1731" t="s">
        <v>41</v>
      </c>
      <c r="I543" s="2287" t="s">
        <v>25</v>
      </c>
      <c r="J543" s="37"/>
      <c r="K543" s="2235"/>
      <c r="L543" s="37"/>
      <c r="M543" s="37"/>
      <c r="N543" s="37"/>
      <c r="O543" s="2360" t="s">
        <v>5885</v>
      </c>
      <c r="Q543" s="2287" t="s">
        <v>25</v>
      </c>
    </row>
    <row r="544" spans="1:17" ht="18.75" customHeight="1" x14ac:dyDescent="0.4">
      <c r="A544" s="112">
        <v>476</v>
      </c>
      <c r="B544" s="1747" t="s">
        <v>158</v>
      </c>
      <c r="C544" s="1748">
        <v>400</v>
      </c>
      <c r="D544" s="1179">
        <v>67</v>
      </c>
      <c r="E544" s="1749" t="s">
        <v>5002</v>
      </c>
      <c r="F544" s="1751">
        <v>243702</v>
      </c>
      <c r="G544" s="1750">
        <v>680</v>
      </c>
      <c r="H544" s="1731" t="s">
        <v>41</v>
      </c>
      <c r="I544" s="2287" t="s">
        <v>25</v>
      </c>
      <c r="J544" s="37"/>
      <c r="K544" s="2235"/>
      <c r="L544" s="37"/>
      <c r="M544" s="37"/>
      <c r="N544" s="37"/>
      <c r="O544" s="2360" t="s">
        <v>5885</v>
      </c>
      <c r="Q544" s="2287" t="s">
        <v>25</v>
      </c>
    </row>
    <row r="545" spans="1:17" ht="18.75" customHeight="1" x14ac:dyDescent="0.4">
      <c r="A545" s="112">
        <v>477</v>
      </c>
      <c r="B545" s="1747" t="s">
        <v>158</v>
      </c>
      <c r="C545" s="1748">
        <v>400</v>
      </c>
      <c r="D545" s="1179">
        <v>67</v>
      </c>
      <c r="E545" s="1749" t="s">
        <v>5003</v>
      </c>
      <c r="F545" s="1751">
        <v>243702</v>
      </c>
      <c r="G545" s="1750">
        <v>680</v>
      </c>
      <c r="H545" s="1731" t="s">
        <v>41</v>
      </c>
      <c r="I545" s="2287" t="s">
        <v>25</v>
      </c>
      <c r="J545" s="37"/>
      <c r="K545" s="2235"/>
      <c r="L545" s="37"/>
      <c r="M545" s="37"/>
      <c r="N545" s="37"/>
      <c r="O545" s="2360" t="s">
        <v>5885</v>
      </c>
      <c r="Q545" s="2287" t="s">
        <v>25</v>
      </c>
    </row>
    <row r="546" spans="1:17" ht="18.75" customHeight="1" x14ac:dyDescent="0.4">
      <c r="A546" s="112">
        <v>478</v>
      </c>
      <c r="B546" s="1747" t="s">
        <v>158</v>
      </c>
      <c r="C546" s="1748">
        <v>400</v>
      </c>
      <c r="D546" s="1179">
        <v>67</v>
      </c>
      <c r="E546" s="1749" t="s">
        <v>5004</v>
      </c>
      <c r="F546" s="1751">
        <v>243702</v>
      </c>
      <c r="G546" s="1750">
        <v>680</v>
      </c>
      <c r="H546" s="1731" t="s">
        <v>41</v>
      </c>
      <c r="I546" s="2287" t="s">
        <v>25</v>
      </c>
      <c r="J546" s="37"/>
      <c r="K546" s="2235"/>
      <c r="L546" s="37"/>
      <c r="M546" s="37"/>
      <c r="N546" s="37"/>
      <c r="O546" s="2360" t="s">
        <v>5885</v>
      </c>
      <c r="Q546" s="2287" t="s">
        <v>25</v>
      </c>
    </row>
    <row r="547" spans="1:17" ht="18.75" customHeight="1" x14ac:dyDescent="0.4">
      <c r="A547" s="112">
        <v>479</v>
      </c>
      <c r="B547" s="1747" t="s">
        <v>158</v>
      </c>
      <c r="C547" s="1748">
        <v>400</v>
      </c>
      <c r="D547" s="1179">
        <v>67</v>
      </c>
      <c r="E547" s="1749" t="s">
        <v>5005</v>
      </c>
      <c r="F547" s="1751">
        <v>243702</v>
      </c>
      <c r="G547" s="1750">
        <v>680</v>
      </c>
      <c r="H547" s="1731" t="s">
        <v>41</v>
      </c>
      <c r="I547" s="2287" t="s">
        <v>25</v>
      </c>
      <c r="J547" s="37"/>
      <c r="K547" s="2235"/>
      <c r="L547" s="37"/>
      <c r="M547" s="37"/>
      <c r="N547" s="37"/>
      <c r="O547" s="2360" t="s">
        <v>5885</v>
      </c>
      <c r="Q547" s="2287" t="s">
        <v>25</v>
      </c>
    </row>
    <row r="548" spans="1:17" ht="18.75" customHeight="1" x14ac:dyDescent="0.4">
      <c r="A548" s="2822">
        <v>480</v>
      </c>
      <c r="B548" s="1747" t="s">
        <v>158</v>
      </c>
      <c r="C548" s="1748">
        <v>400</v>
      </c>
      <c r="D548" s="1179">
        <v>67</v>
      </c>
      <c r="E548" s="1749" t="s">
        <v>5006</v>
      </c>
      <c r="F548" s="1751">
        <v>243702</v>
      </c>
      <c r="G548" s="1750">
        <v>680</v>
      </c>
      <c r="H548" s="1731" t="s">
        <v>41</v>
      </c>
      <c r="I548" s="2287" t="s">
        <v>25</v>
      </c>
      <c r="J548" s="37"/>
      <c r="K548" s="2235"/>
      <c r="L548" s="37"/>
      <c r="M548" s="37"/>
      <c r="N548" s="37"/>
      <c r="O548" s="2360" t="s">
        <v>5885</v>
      </c>
      <c r="Q548" s="2287" t="s">
        <v>25</v>
      </c>
    </row>
    <row r="549" spans="1:17" ht="18.75" customHeight="1" x14ac:dyDescent="0.4">
      <c r="A549" s="2822">
        <v>481</v>
      </c>
      <c r="B549" s="1747" t="s">
        <v>158</v>
      </c>
      <c r="C549" s="1748">
        <v>400</v>
      </c>
      <c r="D549" s="1179">
        <v>67</v>
      </c>
      <c r="E549" s="1749" t="s">
        <v>5007</v>
      </c>
      <c r="F549" s="1751">
        <v>243702</v>
      </c>
      <c r="G549" s="1750">
        <v>680</v>
      </c>
      <c r="H549" s="1731" t="s">
        <v>41</v>
      </c>
      <c r="I549" s="2287" t="s">
        <v>25</v>
      </c>
      <c r="J549" s="37"/>
      <c r="K549" s="2235"/>
      <c r="L549" s="37"/>
      <c r="M549" s="37"/>
      <c r="N549" s="37"/>
      <c r="O549" s="2360" t="s">
        <v>5885</v>
      </c>
      <c r="Q549" s="2287" t="s">
        <v>25</v>
      </c>
    </row>
    <row r="550" spans="1:17" ht="18.75" customHeight="1" x14ac:dyDescent="0.4">
      <c r="A550" s="112">
        <v>482</v>
      </c>
      <c r="B550" s="1747" t="s">
        <v>158</v>
      </c>
      <c r="C550" s="1748">
        <v>400</v>
      </c>
      <c r="D550" s="1179">
        <v>67</v>
      </c>
      <c r="E550" s="1749" t="s">
        <v>5008</v>
      </c>
      <c r="F550" s="1751">
        <v>243702</v>
      </c>
      <c r="G550" s="1750">
        <v>680</v>
      </c>
      <c r="H550" s="1731" t="s">
        <v>41</v>
      </c>
      <c r="I550" s="2287" t="s">
        <v>25</v>
      </c>
      <c r="J550" s="37"/>
      <c r="K550" s="2235"/>
      <c r="L550" s="37"/>
      <c r="M550" s="37"/>
      <c r="N550" s="37"/>
      <c r="O550" s="2360" t="s">
        <v>5885</v>
      </c>
      <c r="Q550" s="2287" t="s">
        <v>25</v>
      </c>
    </row>
    <row r="551" spans="1:17" ht="18.75" customHeight="1" x14ac:dyDescent="0.4">
      <c r="A551" s="112">
        <v>483</v>
      </c>
      <c r="B551" s="1747" t="s">
        <v>158</v>
      </c>
      <c r="C551" s="1748">
        <v>400</v>
      </c>
      <c r="D551" s="1179">
        <v>67</v>
      </c>
      <c r="E551" s="1749" t="s">
        <v>5009</v>
      </c>
      <c r="F551" s="1751">
        <v>243702</v>
      </c>
      <c r="G551" s="1750">
        <v>680</v>
      </c>
      <c r="H551" s="1731" t="s">
        <v>41</v>
      </c>
      <c r="I551" s="2287" t="s">
        <v>25</v>
      </c>
      <c r="J551" s="37"/>
      <c r="K551" s="2235"/>
      <c r="L551" s="37"/>
      <c r="M551" s="37"/>
      <c r="N551" s="37"/>
      <c r="O551" s="2360" t="s">
        <v>5885</v>
      </c>
      <c r="Q551" s="2287" t="s">
        <v>25</v>
      </c>
    </row>
    <row r="552" spans="1:17" ht="18.75" customHeight="1" x14ac:dyDescent="0.4">
      <c r="A552" s="112">
        <v>484</v>
      </c>
      <c r="B552" s="1747" t="s">
        <v>158</v>
      </c>
      <c r="C552" s="1748">
        <v>400</v>
      </c>
      <c r="D552" s="1179">
        <v>67</v>
      </c>
      <c r="E552" s="1749" t="s">
        <v>5010</v>
      </c>
      <c r="F552" s="1751">
        <v>243702</v>
      </c>
      <c r="G552" s="1750">
        <v>680</v>
      </c>
      <c r="H552" s="1731" t="s">
        <v>41</v>
      </c>
      <c r="I552" s="2287" t="s">
        <v>25</v>
      </c>
      <c r="J552" s="37"/>
      <c r="K552" s="2235"/>
      <c r="L552" s="37"/>
      <c r="M552" s="37"/>
      <c r="N552" s="37"/>
      <c r="O552" s="2360" t="s">
        <v>5885</v>
      </c>
      <c r="Q552" s="2287" t="s">
        <v>25</v>
      </c>
    </row>
    <row r="553" spans="1:17" ht="18.75" customHeight="1" x14ac:dyDescent="0.4">
      <c r="A553" s="112">
        <v>485</v>
      </c>
      <c r="B553" s="1747" t="s">
        <v>158</v>
      </c>
      <c r="C553" s="1748">
        <v>400</v>
      </c>
      <c r="D553" s="1179">
        <v>67</v>
      </c>
      <c r="E553" s="1749" t="s">
        <v>5011</v>
      </c>
      <c r="F553" s="1751">
        <v>243702</v>
      </c>
      <c r="G553" s="1750">
        <v>680</v>
      </c>
      <c r="H553" s="1731" t="s">
        <v>41</v>
      </c>
      <c r="I553" s="2287" t="s">
        <v>25</v>
      </c>
      <c r="J553" s="37"/>
      <c r="K553" s="2235"/>
      <c r="L553" s="37"/>
      <c r="M553" s="37"/>
      <c r="N553" s="37"/>
      <c r="O553" s="2360" t="s">
        <v>5885</v>
      </c>
      <c r="Q553" s="2287" t="s">
        <v>25</v>
      </c>
    </row>
    <row r="554" spans="1:17" ht="18.75" customHeight="1" x14ac:dyDescent="0.4">
      <c r="A554" s="112">
        <v>486</v>
      </c>
      <c r="B554" s="1747" t="s">
        <v>158</v>
      </c>
      <c r="C554" s="1748">
        <v>400</v>
      </c>
      <c r="D554" s="1179">
        <v>67</v>
      </c>
      <c r="E554" s="1749" t="s">
        <v>5012</v>
      </c>
      <c r="F554" s="1751">
        <v>243702</v>
      </c>
      <c r="G554" s="1750">
        <v>680</v>
      </c>
      <c r="H554" s="1731" t="s">
        <v>41</v>
      </c>
      <c r="I554" s="2287" t="s">
        <v>25</v>
      </c>
      <c r="J554" s="37"/>
      <c r="K554" s="2235"/>
      <c r="L554" s="37"/>
      <c r="M554" s="37"/>
      <c r="N554" s="37"/>
      <c r="O554" s="2360" t="s">
        <v>5885</v>
      </c>
      <c r="Q554" s="2287" t="s">
        <v>25</v>
      </c>
    </row>
    <row r="555" spans="1:17" ht="18.75" customHeight="1" x14ac:dyDescent="0.4">
      <c r="A555" s="112">
        <v>487</v>
      </c>
      <c r="B555" s="1747" t="s">
        <v>158</v>
      </c>
      <c r="C555" s="1748">
        <v>400</v>
      </c>
      <c r="D555" s="1179">
        <v>67</v>
      </c>
      <c r="E555" s="1749" t="s">
        <v>5013</v>
      </c>
      <c r="F555" s="1751">
        <v>243702</v>
      </c>
      <c r="G555" s="1750">
        <v>680</v>
      </c>
      <c r="H555" s="1731" t="s">
        <v>41</v>
      </c>
      <c r="I555" s="2287" t="s">
        <v>25</v>
      </c>
      <c r="J555" s="37"/>
      <c r="K555" s="2235"/>
      <c r="L555" s="37"/>
      <c r="M555" s="37"/>
      <c r="N555" s="37"/>
      <c r="O555" s="2360" t="s">
        <v>5885</v>
      </c>
      <c r="Q555" s="2287" t="s">
        <v>25</v>
      </c>
    </row>
    <row r="556" spans="1:17" ht="18.75" customHeight="1" x14ac:dyDescent="0.4">
      <c r="A556" s="112">
        <v>488</v>
      </c>
      <c r="B556" s="1747" t="s">
        <v>158</v>
      </c>
      <c r="C556" s="1748">
        <v>400</v>
      </c>
      <c r="D556" s="1179">
        <v>67</v>
      </c>
      <c r="E556" s="1749" t="s">
        <v>5014</v>
      </c>
      <c r="F556" s="1751">
        <v>243702</v>
      </c>
      <c r="G556" s="1750">
        <v>680</v>
      </c>
      <c r="H556" s="1731" t="s">
        <v>41</v>
      </c>
      <c r="I556" s="2287" t="s">
        <v>25</v>
      </c>
      <c r="J556" s="37"/>
      <c r="K556" s="2235"/>
      <c r="L556" s="37"/>
      <c r="M556" s="37"/>
      <c r="N556" s="37"/>
      <c r="O556" s="2360" t="s">
        <v>5885</v>
      </c>
      <c r="Q556" s="2287" t="s">
        <v>25</v>
      </c>
    </row>
    <row r="557" spans="1:17" ht="18.75" customHeight="1" x14ac:dyDescent="0.4">
      <c r="A557" s="2822">
        <v>489</v>
      </c>
      <c r="B557" s="1747" t="s">
        <v>158</v>
      </c>
      <c r="C557" s="1748">
        <v>400</v>
      </c>
      <c r="D557" s="1179">
        <v>67</v>
      </c>
      <c r="E557" s="1749" t="s">
        <v>5015</v>
      </c>
      <c r="F557" s="1751">
        <v>243702</v>
      </c>
      <c r="G557" s="1750">
        <v>680</v>
      </c>
      <c r="H557" s="1731" t="s">
        <v>41</v>
      </c>
      <c r="I557" s="2287" t="s">
        <v>25</v>
      </c>
      <c r="J557" s="37"/>
      <c r="K557" s="2235"/>
      <c r="L557" s="37"/>
      <c r="M557" s="37"/>
      <c r="N557" s="37"/>
      <c r="O557" s="2360" t="s">
        <v>5885</v>
      </c>
      <c r="Q557" s="2287" t="s">
        <v>25</v>
      </c>
    </row>
    <row r="558" spans="1:17" ht="18.75" customHeight="1" x14ac:dyDescent="0.4">
      <c r="A558" s="2822">
        <v>490</v>
      </c>
      <c r="B558" s="1747" t="s">
        <v>158</v>
      </c>
      <c r="C558" s="1748">
        <v>400</v>
      </c>
      <c r="D558" s="1179">
        <v>67</v>
      </c>
      <c r="E558" s="1749" t="s">
        <v>5016</v>
      </c>
      <c r="F558" s="1751">
        <v>243702</v>
      </c>
      <c r="G558" s="1750">
        <v>680</v>
      </c>
      <c r="H558" s="1731" t="s">
        <v>41</v>
      </c>
      <c r="I558" s="2287" t="s">
        <v>25</v>
      </c>
      <c r="J558" s="37"/>
      <c r="K558" s="2235"/>
      <c r="L558" s="37"/>
      <c r="M558" s="37"/>
      <c r="N558" s="37"/>
      <c r="O558" s="2360" t="s">
        <v>5885</v>
      </c>
      <c r="Q558" s="2287" t="s">
        <v>25</v>
      </c>
    </row>
    <row r="559" spans="1:17" ht="18.75" customHeight="1" x14ac:dyDescent="0.4">
      <c r="A559" s="112">
        <v>491</v>
      </c>
      <c r="B559" s="1747" t="s">
        <v>158</v>
      </c>
      <c r="C559" s="1748">
        <v>400</v>
      </c>
      <c r="D559" s="1179">
        <v>67</v>
      </c>
      <c r="E559" s="1749" t="s">
        <v>5017</v>
      </c>
      <c r="F559" s="1751">
        <v>243702</v>
      </c>
      <c r="G559" s="1750">
        <v>680</v>
      </c>
      <c r="H559" s="1731" t="s">
        <v>41</v>
      </c>
      <c r="I559" s="2287" t="s">
        <v>25</v>
      </c>
      <c r="J559" s="37"/>
      <c r="K559" s="2235"/>
      <c r="L559" s="37"/>
      <c r="M559" s="37"/>
      <c r="N559" s="37"/>
      <c r="O559" s="2360" t="s">
        <v>5885</v>
      </c>
      <c r="Q559" s="2287" t="s">
        <v>25</v>
      </c>
    </row>
    <row r="560" spans="1:17" ht="18.75" customHeight="1" x14ac:dyDescent="0.4">
      <c r="A560" s="112">
        <v>492</v>
      </c>
      <c r="B560" s="1747" t="s">
        <v>158</v>
      </c>
      <c r="C560" s="1748">
        <v>400</v>
      </c>
      <c r="D560" s="1179">
        <v>67</v>
      </c>
      <c r="E560" s="1749" t="s">
        <v>5018</v>
      </c>
      <c r="F560" s="1751">
        <v>243702</v>
      </c>
      <c r="G560" s="1750">
        <v>680</v>
      </c>
      <c r="H560" s="1731" t="s">
        <v>41</v>
      </c>
      <c r="I560" s="2287" t="s">
        <v>25</v>
      </c>
      <c r="J560" s="37"/>
      <c r="K560" s="2235"/>
      <c r="L560" s="37"/>
      <c r="M560" s="37"/>
      <c r="N560" s="37"/>
      <c r="O560" s="2360" t="s">
        <v>5885</v>
      </c>
      <c r="Q560" s="2287" t="s">
        <v>25</v>
      </c>
    </row>
    <row r="561" spans="1:17" ht="18.75" customHeight="1" x14ac:dyDescent="0.4">
      <c r="A561" s="112">
        <v>493</v>
      </c>
      <c r="B561" s="1747" t="s">
        <v>158</v>
      </c>
      <c r="C561" s="1748">
        <v>400</v>
      </c>
      <c r="D561" s="1179">
        <v>67</v>
      </c>
      <c r="E561" s="1749" t="s">
        <v>5019</v>
      </c>
      <c r="F561" s="1751">
        <v>243702</v>
      </c>
      <c r="G561" s="1750">
        <v>680</v>
      </c>
      <c r="H561" s="1731" t="s">
        <v>41</v>
      </c>
      <c r="I561" s="2287" t="s">
        <v>25</v>
      </c>
      <c r="J561" s="37"/>
      <c r="K561" s="2235"/>
      <c r="L561" s="37"/>
      <c r="M561" s="37"/>
      <c r="N561" s="37"/>
      <c r="O561" s="2360" t="s">
        <v>5885</v>
      </c>
      <c r="Q561" s="2287" t="s">
        <v>25</v>
      </c>
    </row>
    <row r="562" spans="1:17" ht="18.75" customHeight="1" x14ac:dyDescent="0.4">
      <c r="A562" s="112">
        <v>494</v>
      </c>
      <c r="B562" s="1747" t="s">
        <v>158</v>
      </c>
      <c r="C562" s="1748">
        <v>400</v>
      </c>
      <c r="D562" s="1179">
        <v>67</v>
      </c>
      <c r="E562" s="1749" t="s">
        <v>5020</v>
      </c>
      <c r="F562" s="1751">
        <v>243702</v>
      </c>
      <c r="G562" s="1750">
        <v>680</v>
      </c>
      <c r="H562" s="1731" t="s">
        <v>41</v>
      </c>
      <c r="I562" s="2287" t="s">
        <v>25</v>
      </c>
      <c r="J562" s="37"/>
      <c r="K562" s="2235"/>
      <c r="L562" s="37"/>
      <c r="M562" s="37"/>
      <c r="N562" s="37"/>
      <c r="O562" s="2360" t="s">
        <v>5885</v>
      </c>
      <c r="Q562" s="2287" t="s">
        <v>25</v>
      </c>
    </row>
    <row r="563" spans="1:17" ht="18.75" customHeight="1" x14ac:dyDescent="0.4">
      <c r="A563" s="112">
        <v>495</v>
      </c>
      <c r="B563" s="1747" t="s">
        <v>158</v>
      </c>
      <c r="C563" s="1748">
        <v>400</v>
      </c>
      <c r="D563" s="1179">
        <v>67</v>
      </c>
      <c r="E563" s="1749" t="s">
        <v>5021</v>
      </c>
      <c r="F563" s="1751">
        <v>243702</v>
      </c>
      <c r="G563" s="1750">
        <v>680</v>
      </c>
      <c r="H563" s="1731" t="s">
        <v>41</v>
      </c>
      <c r="I563" s="2287" t="s">
        <v>25</v>
      </c>
      <c r="J563" s="37"/>
      <c r="K563" s="2235"/>
      <c r="L563" s="37"/>
      <c r="M563" s="37"/>
      <c r="N563" s="37"/>
      <c r="O563" s="2360" t="s">
        <v>5885</v>
      </c>
      <c r="Q563" s="2287" t="s">
        <v>25</v>
      </c>
    </row>
    <row r="564" spans="1:17" ht="18.75" customHeight="1" x14ac:dyDescent="0.4">
      <c r="A564" s="112">
        <v>496</v>
      </c>
      <c r="B564" s="1747" t="s">
        <v>158</v>
      </c>
      <c r="C564" s="1748">
        <v>400</v>
      </c>
      <c r="D564" s="1179">
        <v>67</v>
      </c>
      <c r="E564" s="1749" t="s">
        <v>5022</v>
      </c>
      <c r="F564" s="1751">
        <v>243702</v>
      </c>
      <c r="G564" s="1750">
        <v>680</v>
      </c>
      <c r="H564" s="1731" t="s">
        <v>41</v>
      </c>
      <c r="I564" s="2287" t="s">
        <v>25</v>
      </c>
      <c r="J564" s="37"/>
      <c r="K564" s="2235"/>
      <c r="L564" s="37"/>
      <c r="M564" s="37"/>
      <c r="N564" s="37"/>
      <c r="O564" s="2360" t="s">
        <v>5885</v>
      </c>
      <c r="Q564" s="2287" t="s">
        <v>25</v>
      </c>
    </row>
    <row r="565" spans="1:17" ht="18.75" customHeight="1" x14ac:dyDescent="0.4">
      <c r="A565" s="112">
        <v>497</v>
      </c>
      <c r="B565" s="1747" t="s">
        <v>158</v>
      </c>
      <c r="C565" s="1748">
        <v>400</v>
      </c>
      <c r="D565" s="1179">
        <v>67</v>
      </c>
      <c r="E565" s="1749" t="s">
        <v>5023</v>
      </c>
      <c r="F565" s="1751">
        <v>243702</v>
      </c>
      <c r="G565" s="1750">
        <v>680</v>
      </c>
      <c r="H565" s="1731" t="s">
        <v>41</v>
      </c>
      <c r="I565" s="2287" t="s">
        <v>25</v>
      </c>
      <c r="J565" s="37"/>
      <c r="K565" s="2235"/>
      <c r="L565" s="37"/>
      <c r="M565" s="37"/>
      <c r="N565" s="37"/>
      <c r="O565" s="2360" t="s">
        <v>5885</v>
      </c>
      <c r="Q565" s="2287" t="s">
        <v>25</v>
      </c>
    </row>
    <row r="566" spans="1:17" ht="18.75" customHeight="1" x14ac:dyDescent="0.4">
      <c r="A566" s="2822">
        <v>498</v>
      </c>
      <c r="B566" s="1747" t="s">
        <v>158</v>
      </c>
      <c r="C566" s="1748">
        <v>400</v>
      </c>
      <c r="D566" s="1179">
        <v>67</v>
      </c>
      <c r="E566" s="1749" t="s">
        <v>5024</v>
      </c>
      <c r="F566" s="1751">
        <v>243702</v>
      </c>
      <c r="G566" s="1750">
        <v>680</v>
      </c>
      <c r="H566" s="1731" t="s">
        <v>41</v>
      </c>
      <c r="I566" s="2287" t="s">
        <v>25</v>
      </c>
      <c r="J566" s="37"/>
      <c r="K566" s="2235"/>
      <c r="L566" s="37"/>
      <c r="M566" s="37"/>
      <c r="N566" s="37"/>
      <c r="O566" s="2360" t="s">
        <v>5885</v>
      </c>
      <c r="Q566" s="2287" t="s">
        <v>25</v>
      </c>
    </row>
    <row r="567" spans="1:17" ht="18.75" customHeight="1" x14ac:dyDescent="0.4">
      <c r="A567" s="2822">
        <v>499</v>
      </c>
      <c r="B567" s="1747" t="s">
        <v>158</v>
      </c>
      <c r="C567" s="1748">
        <v>400</v>
      </c>
      <c r="D567" s="1179">
        <v>67</v>
      </c>
      <c r="E567" s="1749" t="s">
        <v>5025</v>
      </c>
      <c r="F567" s="1751">
        <v>243702</v>
      </c>
      <c r="G567" s="1750">
        <v>680</v>
      </c>
      <c r="H567" s="1731" t="s">
        <v>41</v>
      </c>
      <c r="I567" s="2287" t="s">
        <v>25</v>
      </c>
      <c r="J567" s="37"/>
      <c r="K567" s="2235"/>
      <c r="L567" s="37"/>
      <c r="M567" s="37"/>
      <c r="N567" s="37"/>
      <c r="O567" s="2360" t="s">
        <v>5885</v>
      </c>
      <c r="Q567" s="2287" t="s">
        <v>25</v>
      </c>
    </row>
    <row r="568" spans="1:17" ht="18.75" customHeight="1" x14ac:dyDescent="0.4">
      <c r="A568" s="112">
        <v>500</v>
      </c>
      <c r="B568" s="1747" t="s">
        <v>158</v>
      </c>
      <c r="C568" s="1748">
        <v>400</v>
      </c>
      <c r="D568" s="1179">
        <v>67</v>
      </c>
      <c r="E568" s="1749" t="s">
        <v>5026</v>
      </c>
      <c r="F568" s="1751">
        <v>243702</v>
      </c>
      <c r="G568" s="1750">
        <v>680</v>
      </c>
      <c r="H568" s="1731" t="s">
        <v>41</v>
      </c>
      <c r="I568" s="2287" t="s">
        <v>25</v>
      </c>
      <c r="J568" s="37"/>
      <c r="K568" s="2235"/>
      <c r="L568" s="37"/>
      <c r="M568" s="37"/>
      <c r="N568" s="37"/>
      <c r="O568" s="2360" t="s">
        <v>5885</v>
      </c>
      <c r="Q568" s="2287" t="s">
        <v>25</v>
      </c>
    </row>
    <row r="569" spans="1:17" ht="18.75" customHeight="1" x14ac:dyDescent="0.4">
      <c r="A569" s="112">
        <v>501</v>
      </c>
      <c r="B569" s="1747" t="s">
        <v>158</v>
      </c>
      <c r="C569" s="1748">
        <v>400</v>
      </c>
      <c r="D569" s="1179">
        <v>67</v>
      </c>
      <c r="E569" s="1749" t="s">
        <v>5027</v>
      </c>
      <c r="F569" s="1751">
        <v>243702</v>
      </c>
      <c r="G569" s="1750">
        <v>680</v>
      </c>
      <c r="H569" s="1731" t="s">
        <v>41</v>
      </c>
      <c r="I569" s="2287" t="s">
        <v>25</v>
      </c>
      <c r="J569" s="37"/>
      <c r="K569" s="2235"/>
      <c r="L569" s="37"/>
      <c r="M569" s="37"/>
      <c r="N569" s="37"/>
      <c r="O569" s="2360" t="s">
        <v>5885</v>
      </c>
      <c r="Q569" s="2287" t="s">
        <v>25</v>
      </c>
    </row>
    <row r="570" spans="1:17" ht="18.75" customHeight="1" x14ac:dyDescent="0.4">
      <c r="A570" s="112">
        <v>502</v>
      </c>
      <c r="B570" s="1747" t="s">
        <v>158</v>
      </c>
      <c r="C570" s="1748">
        <v>400</v>
      </c>
      <c r="D570" s="1179">
        <v>67</v>
      </c>
      <c r="E570" s="1749" t="s">
        <v>5028</v>
      </c>
      <c r="F570" s="1751">
        <v>243702</v>
      </c>
      <c r="G570" s="1750">
        <v>680</v>
      </c>
      <c r="H570" s="1731" t="s">
        <v>41</v>
      </c>
      <c r="I570" s="2287" t="s">
        <v>25</v>
      </c>
      <c r="J570" s="37"/>
      <c r="K570" s="2235"/>
      <c r="L570" s="37"/>
      <c r="M570" s="37"/>
      <c r="N570" s="37"/>
      <c r="O570" s="2360" t="s">
        <v>5885</v>
      </c>
      <c r="Q570" s="2287" t="s">
        <v>25</v>
      </c>
    </row>
    <row r="571" spans="1:17" ht="18.75" customHeight="1" x14ac:dyDescent="0.4">
      <c r="A571" s="112">
        <v>503</v>
      </c>
      <c r="B571" s="1747" t="s">
        <v>158</v>
      </c>
      <c r="C571" s="1748">
        <v>400</v>
      </c>
      <c r="D571" s="1179">
        <v>67</v>
      </c>
      <c r="E571" s="1749" t="s">
        <v>5029</v>
      </c>
      <c r="F571" s="1751">
        <v>243702</v>
      </c>
      <c r="G571" s="1750">
        <v>680</v>
      </c>
      <c r="H571" s="1731" t="s">
        <v>41</v>
      </c>
      <c r="I571" s="2287" t="s">
        <v>25</v>
      </c>
      <c r="J571" s="37"/>
      <c r="K571" s="2235"/>
      <c r="L571" s="37"/>
      <c r="M571" s="37"/>
      <c r="N571" s="37"/>
      <c r="O571" s="2360" t="s">
        <v>5885</v>
      </c>
      <c r="Q571" s="2287" t="s">
        <v>25</v>
      </c>
    </row>
    <row r="572" spans="1:17" ht="18.75" customHeight="1" x14ac:dyDescent="0.4">
      <c r="A572" s="112">
        <v>504</v>
      </c>
      <c r="B572" s="1747" t="s">
        <v>158</v>
      </c>
      <c r="C572" s="1748">
        <v>400</v>
      </c>
      <c r="D572" s="1179">
        <v>67</v>
      </c>
      <c r="E572" s="1749" t="s">
        <v>5030</v>
      </c>
      <c r="F572" s="1751">
        <v>243702</v>
      </c>
      <c r="G572" s="1750">
        <v>680</v>
      </c>
      <c r="H572" s="1731" t="s">
        <v>41</v>
      </c>
      <c r="I572" s="2287" t="s">
        <v>25</v>
      </c>
      <c r="J572" s="37"/>
      <c r="K572" s="2235"/>
      <c r="L572" s="37"/>
      <c r="M572" s="37"/>
      <c r="N572" s="37"/>
      <c r="O572" s="2360" t="s">
        <v>5885</v>
      </c>
      <c r="Q572" s="2287" t="s">
        <v>25</v>
      </c>
    </row>
    <row r="573" spans="1:17" ht="18.75" customHeight="1" x14ac:dyDescent="0.4">
      <c r="A573" s="112">
        <v>505</v>
      </c>
      <c r="B573" s="1747" t="s">
        <v>158</v>
      </c>
      <c r="C573" s="1748">
        <v>400</v>
      </c>
      <c r="D573" s="1179">
        <v>67</v>
      </c>
      <c r="E573" s="1749" t="s">
        <v>5031</v>
      </c>
      <c r="F573" s="1751">
        <v>243702</v>
      </c>
      <c r="G573" s="1750">
        <v>680</v>
      </c>
      <c r="H573" s="1731" t="s">
        <v>41</v>
      </c>
      <c r="I573" s="2287" t="s">
        <v>25</v>
      </c>
      <c r="J573" s="37"/>
      <c r="K573" s="2235"/>
      <c r="L573" s="37"/>
      <c r="M573" s="37"/>
      <c r="N573" s="37"/>
      <c r="O573" s="2360" t="s">
        <v>5885</v>
      </c>
      <c r="Q573" s="2287" t="s">
        <v>25</v>
      </c>
    </row>
    <row r="574" spans="1:17" ht="18.75" customHeight="1" x14ac:dyDescent="0.4">
      <c r="A574" s="112">
        <v>506</v>
      </c>
      <c r="B574" s="1747" t="s">
        <v>158</v>
      </c>
      <c r="C574" s="1748">
        <v>400</v>
      </c>
      <c r="D574" s="1179">
        <v>67</v>
      </c>
      <c r="E574" s="1749" t="s">
        <v>5032</v>
      </c>
      <c r="F574" s="1751">
        <v>243702</v>
      </c>
      <c r="G574" s="1750">
        <v>680</v>
      </c>
      <c r="H574" s="1731" t="s">
        <v>41</v>
      </c>
      <c r="I574" s="2287" t="s">
        <v>25</v>
      </c>
      <c r="J574" s="37"/>
      <c r="K574" s="2235"/>
      <c r="L574" s="37"/>
      <c r="M574" s="37"/>
      <c r="N574" s="37"/>
      <c r="O574" s="2360" t="s">
        <v>5885</v>
      </c>
      <c r="Q574" s="2287" t="s">
        <v>25</v>
      </c>
    </row>
    <row r="575" spans="1:17" ht="18.75" customHeight="1" x14ac:dyDescent="0.4">
      <c r="A575" s="2822">
        <v>507</v>
      </c>
      <c r="B575" s="1747" t="s">
        <v>158</v>
      </c>
      <c r="C575" s="1748">
        <v>400</v>
      </c>
      <c r="D575" s="1179">
        <v>67</v>
      </c>
      <c r="E575" s="1749" t="s">
        <v>5033</v>
      </c>
      <c r="F575" s="1751">
        <v>243702</v>
      </c>
      <c r="G575" s="1750">
        <v>680</v>
      </c>
      <c r="H575" s="1731" t="s">
        <v>41</v>
      </c>
      <c r="I575" s="2287" t="s">
        <v>25</v>
      </c>
      <c r="J575" s="37"/>
      <c r="K575" s="2235"/>
      <c r="L575" s="37"/>
      <c r="M575" s="37"/>
      <c r="N575" s="37"/>
      <c r="O575" s="2360" t="s">
        <v>5885</v>
      </c>
      <c r="Q575" s="2287" t="s">
        <v>25</v>
      </c>
    </row>
    <row r="576" spans="1:17" ht="18.75" customHeight="1" x14ac:dyDescent="0.4">
      <c r="A576" s="2822">
        <v>508</v>
      </c>
      <c r="B576" s="1747" t="s">
        <v>158</v>
      </c>
      <c r="C576" s="1748">
        <v>400</v>
      </c>
      <c r="D576" s="1179">
        <v>67</v>
      </c>
      <c r="E576" s="1749" t="s">
        <v>5034</v>
      </c>
      <c r="F576" s="1751">
        <v>243702</v>
      </c>
      <c r="G576" s="1750">
        <v>680</v>
      </c>
      <c r="H576" s="1731" t="s">
        <v>41</v>
      </c>
      <c r="I576" s="2287" t="s">
        <v>25</v>
      </c>
      <c r="J576" s="37"/>
      <c r="K576" s="2235"/>
      <c r="L576" s="37"/>
      <c r="M576" s="37"/>
      <c r="N576" s="37"/>
      <c r="O576" s="2360" t="s">
        <v>5885</v>
      </c>
      <c r="Q576" s="2287" t="s">
        <v>25</v>
      </c>
    </row>
    <row r="577" spans="1:17" ht="18.75" customHeight="1" x14ac:dyDescent="0.4">
      <c r="A577" s="112">
        <v>509</v>
      </c>
      <c r="B577" s="1747" t="s">
        <v>158</v>
      </c>
      <c r="C577" s="1748">
        <v>400</v>
      </c>
      <c r="D577" s="1179">
        <v>67</v>
      </c>
      <c r="E577" s="1749" t="s">
        <v>5035</v>
      </c>
      <c r="F577" s="1751">
        <v>243702</v>
      </c>
      <c r="G577" s="1750">
        <v>680</v>
      </c>
      <c r="H577" s="1731" t="s">
        <v>41</v>
      </c>
      <c r="I577" s="2287" t="s">
        <v>25</v>
      </c>
      <c r="J577" s="37"/>
      <c r="K577" s="2235"/>
      <c r="L577" s="37"/>
      <c r="M577" s="37"/>
      <c r="N577" s="37"/>
      <c r="O577" s="2360" t="s">
        <v>5885</v>
      </c>
      <c r="Q577" s="2287" t="s">
        <v>25</v>
      </c>
    </row>
    <row r="578" spans="1:17" ht="18.75" customHeight="1" x14ac:dyDescent="0.4">
      <c r="A578" s="112">
        <v>510</v>
      </c>
      <c r="B578" s="1747" t="s">
        <v>158</v>
      </c>
      <c r="C578" s="1748">
        <v>400</v>
      </c>
      <c r="D578" s="1179">
        <v>67</v>
      </c>
      <c r="E578" s="1749" t="s">
        <v>5036</v>
      </c>
      <c r="F578" s="1751">
        <v>243702</v>
      </c>
      <c r="G578" s="1750">
        <v>680</v>
      </c>
      <c r="H578" s="1731" t="s">
        <v>41</v>
      </c>
      <c r="I578" s="2287" t="s">
        <v>25</v>
      </c>
      <c r="J578" s="37"/>
      <c r="K578" s="2235"/>
      <c r="L578" s="37"/>
      <c r="M578" s="37"/>
      <c r="N578" s="37"/>
      <c r="O578" s="2360" t="s">
        <v>5885</v>
      </c>
      <c r="Q578" s="2287" t="s">
        <v>25</v>
      </c>
    </row>
    <row r="579" spans="1:17" ht="18.75" customHeight="1" x14ac:dyDescent="0.4">
      <c r="A579" s="112">
        <v>511</v>
      </c>
      <c r="B579" s="1747" t="s">
        <v>158</v>
      </c>
      <c r="C579" s="1748">
        <v>400</v>
      </c>
      <c r="D579" s="1179">
        <v>67</v>
      </c>
      <c r="E579" s="1749" t="s">
        <v>5037</v>
      </c>
      <c r="F579" s="1751">
        <v>243702</v>
      </c>
      <c r="G579" s="1750">
        <v>680</v>
      </c>
      <c r="H579" s="1731" t="s">
        <v>41</v>
      </c>
      <c r="I579" s="2287" t="s">
        <v>25</v>
      </c>
      <c r="J579" s="37"/>
      <c r="K579" s="2235"/>
      <c r="L579" s="37"/>
      <c r="M579" s="37"/>
      <c r="N579" s="37"/>
      <c r="O579" s="2360" t="s">
        <v>5885</v>
      </c>
      <c r="Q579" s="2287" t="s">
        <v>25</v>
      </c>
    </row>
    <row r="580" spans="1:17" ht="18.75" customHeight="1" x14ac:dyDescent="0.4">
      <c r="A580" s="112">
        <v>512</v>
      </c>
      <c r="B580" s="1747" t="s">
        <v>158</v>
      </c>
      <c r="C580" s="1748">
        <v>400</v>
      </c>
      <c r="D580" s="1179">
        <v>67</v>
      </c>
      <c r="E580" s="1749" t="s">
        <v>5038</v>
      </c>
      <c r="F580" s="1751">
        <v>243702</v>
      </c>
      <c r="G580" s="1750">
        <v>680</v>
      </c>
      <c r="H580" s="1731" t="s">
        <v>41</v>
      </c>
      <c r="I580" s="2287" t="s">
        <v>25</v>
      </c>
      <c r="J580" s="37"/>
      <c r="K580" s="2235"/>
      <c r="L580" s="37"/>
      <c r="M580" s="37"/>
      <c r="N580" s="37"/>
      <c r="O580" s="2360" t="s">
        <v>5885</v>
      </c>
      <c r="Q580" s="2287" t="s">
        <v>25</v>
      </c>
    </row>
    <row r="581" spans="1:17" ht="18.75" customHeight="1" x14ac:dyDescent="0.4">
      <c r="A581" s="112">
        <v>513</v>
      </c>
      <c r="B581" s="1747" t="s">
        <v>158</v>
      </c>
      <c r="C581" s="1748">
        <v>400</v>
      </c>
      <c r="D581" s="1179">
        <v>67</v>
      </c>
      <c r="E581" s="1749" t="s">
        <v>5039</v>
      </c>
      <c r="F581" s="1751">
        <v>243702</v>
      </c>
      <c r="G581" s="1750">
        <v>680</v>
      </c>
      <c r="H581" s="1731" t="s">
        <v>41</v>
      </c>
      <c r="I581" s="2287" t="s">
        <v>25</v>
      </c>
      <c r="J581" s="37"/>
      <c r="K581" s="2235"/>
      <c r="L581" s="37"/>
      <c r="M581" s="37"/>
      <c r="N581" s="37"/>
      <c r="O581" s="2360" t="s">
        <v>5885</v>
      </c>
      <c r="Q581" s="2287" t="s">
        <v>25</v>
      </c>
    </row>
    <row r="582" spans="1:17" ht="18.75" customHeight="1" x14ac:dyDescent="0.4">
      <c r="A582" s="112">
        <v>514</v>
      </c>
      <c r="B582" s="1747" t="s">
        <v>158</v>
      </c>
      <c r="C582" s="1748">
        <v>400</v>
      </c>
      <c r="D582" s="1179">
        <v>67</v>
      </c>
      <c r="E582" s="1749" t="s">
        <v>5040</v>
      </c>
      <c r="F582" s="1751">
        <v>243702</v>
      </c>
      <c r="G582" s="1750">
        <v>680</v>
      </c>
      <c r="H582" s="1731" t="s">
        <v>41</v>
      </c>
      <c r="I582" s="2287" t="s">
        <v>25</v>
      </c>
      <c r="J582" s="37"/>
      <c r="K582" s="2235"/>
      <c r="L582" s="37"/>
      <c r="M582" s="37"/>
      <c r="N582" s="37"/>
      <c r="O582" s="2360" t="s">
        <v>5885</v>
      </c>
      <c r="Q582" s="2287" t="s">
        <v>25</v>
      </c>
    </row>
    <row r="583" spans="1:17" ht="18.75" customHeight="1" x14ac:dyDescent="0.4">
      <c r="A583" s="112">
        <v>515</v>
      </c>
      <c r="B583" s="1747" t="s">
        <v>158</v>
      </c>
      <c r="C583" s="1748">
        <v>400</v>
      </c>
      <c r="D583" s="1179">
        <v>67</v>
      </c>
      <c r="E583" s="1749" t="s">
        <v>5041</v>
      </c>
      <c r="F583" s="1751">
        <v>243702</v>
      </c>
      <c r="G583" s="1750">
        <v>680</v>
      </c>
      <c r="H583" s="1731" t="s">
        <v>41</v>
      </c>
      <c r="I583" s="2287" t="s">
        <v>25</v>
      </c>
      <c r="J583" s="37"/>
      <c r="K583" s="2235"/>
      <c r="L583" s="37"/>
      <c r="M583" s="37"/>
      <c r="N583" s="37"/>
      <c r="O583" s="2360" t="s">
        <v>5885</v>
      </c>
      <c r="Q583" s="2287" t="s">
        <v>25</v>
      </c>
    </row>
    <row r="584" spans="1:17" ht="18.75" customHeight="1" x14ac:dyDescent="0.4">
      <c r="A584" s="2822">
        <v>516</v>
      </c>
      <c r="B584" s="1747" t="s">
        <v>158</v>
      </c>
      <c r="C584" s="1748">
        <v>400</v>
      </c>
      <c r="D584" s="1179">
        <v>67</v>
      </c>
      <c r="E584" s="1749" t="s">
        <v>5042</v>
      </c>
      <c r="F584" s="1751">
        <v>243702</v>
      </c>
      <c r="G584" s="1750">
        <v>680</v>
      </c>
      <c r="H584" s="1731" t="s">
        <v>41</v>
      </c>
      <c r="I584" s="2287" t="s">
        <v>25</v>
      </c>
      <c r="J584" s="37"/>
      <c r="K584" s="2235"/>
      <c r="L584" s="37"/>
      <c r="M584" s="37"/>
      <c r="N584" s="37"/>
      <c r="O584" s="2360" t="s">
        <v>5885</v>
      </c>
      <c r="Q584" s="2287" t="s">
        <v>25</v>
      </c>
    </row>
    <row r="585" spans="1:17" ht="18.75" customHeight="1" x14ac:dyDescent="0.4">
      <c r="A585" s="2822">
        <v>517</v>
      </c>
      <c r="B585" s="1747" t="s">
        <v>158</v>
      </c>
      <c r="C585" s="1748">
        <v>400</v>
      </c>
      <c r="D585" s="1179">
        <v>67</v>
      </c>
      <c r="E585" s="1749" t="s">
        <v>5043</v>
      </c>
      <c r="F585" s="1751">
        <v>243702</v>
      </c>
      <c r="G585" s="1750">
        <v>680</v>
      </c>
      <c r="H585" s="1731" t="s">
        <v>41</v>
      </c>
      <c r="I585" s="2287" t="s">
        <v>25</v>
      </c>
      <c r="J585" s="37"/>
      <c r="K585" s="2235"/>
      <c r="L585" s="37"/>
      <c r="M585" s="37"/>
      <c r="N585" s="37"/>
      <c r="O585" s="2360" t="s">
        <v>5885</v>
      </c>
      <c r="Q585" s="2287" t="s">
        <v>25</v>
      </c>
    </row>
    <row r="586" spans="1:17" ht="18.75" customHeight="1" x14ac:dyDescent="0.4">
      <c r="A586" s="112">
        <v>518</v>
      </c>
      <c r="B586" s="1747" t="s">
        <v>158</v>
      </c>
      <c r="C586" s="1748">
        <v>400</v>
      </c>
      <c r="D586" s="1179">
        <v>67</v>
      </c>
      <c r="E586" s="1749" t="s">
        <v>5044</v>
      </c>
      <c r="F586" s="1751">
        <v>243702</v>
      </c>
      <c r="G586" s="1750">
        <v>680</v>
      </c>
      <c r="H586" s="1731" t="s">
        <v>41</v>
      </c>
      <c r="I586" s="2287" t="s">
        <v>25</v>
      </c>
      <c r="J586" s="37"/>
      <c r="K586" s="2235"/>
      <c r="L586" s="37"/>
      <c r="M586" s="37"/>
      <c r="N586" s="37"/>
      <c r="O586" s="2360" t="s">
        <v>5885</v>
      </c>
      <c r="Q586" s="2287" t="s">
        <v>25</v>
      </c>
    </row>
    <row r="587" spans="1:17" ht="18.75" customHeight="1" x14ac:dyDescent="0.4">
      <c r="A587" s="112">
        <v>519</v>
      </c>
      <c r="B587" s="1747" t="s">
        <v>158</v>
      </c>
      <c r="C587" s="1748">
        <v>400</v>
      </c>
      <c r="D587" s="1179">
        <v>67</v>
      </c>
      <c r="E587" s="1749" t="s">
        <v>5045</v>
      </c>
      <c r="F587" s="1751">
        <v>243702</v>
      </c>
      <c r="G587" s="1750">
        <v>680</v>
      </c>
      <c r="H587" s="1731" t="s">
        <v>41</v>
      </c>
      <c r="I587" s="2287" t="s">
        <v>25</v>
      </c>
      <c r="J587" s="37"/>
      <c r="K587" s="2235"/>
      <c r="L587" s="37"/>
      <c r="M587" s="37"/>
      <c r="N587" s="37"/>
      <c r="O587" s="2360" t="s">
        <v>5885</v>
      </c>
      <c r="Q587" s="2287" t="s">
        <v>25</v>
      </c>
    </row>
    <row r="588" spans="1:17" ht="18.75" customHeight="1" x14ac:dyDescent="0.4">
      <c r="A588" s="112">
        <v>520</v>
      </c>
      <c r="B588" s="1747" t="s">
        <v>158</v>
      </c>
      <c r="C588" s="1748">
        <v>400</v>
      </c>
      <c r="D588" s="1179">
        <v>67</v>
      </c>
      <c r="E588" s="1749" t="s">
        <v>5046</v>
      </c>
      <c r="F588" s="1751">
        <v>243702</v>
      </c>
      <c r="G588" s="1750">
        <v>680</v>
      </c>
      <c r="H588" s="1731" t="s">
        <v>41</v>
      </c>
      <c r="I588" s="2287" t="s">
        <v>25</v>
      </c>
      <c r="J588" s="37"/>
      <c r="K588" s="2235"/>
      <c r="L588" s="37"/>
      <c r="M588" s="37"/>
      <c r="N588" s="37"/>
      <c r="O588" s="2360" t="s">
        <v>5885</v>
      </c>
      <c r="Q588" s="2287" t="s">
        <v>25</v>
      </c>
    </row>
    <row r="589" spans="1:17" ht="18.75" customHeight="1" x14ac:dyDescent="0.4">
      <c r="A589" s="112">
        <v>521</v>
      </c>
      <c r="B589" s="1747" t="s">
        <v>158</v>
      </c>
      <c r="C589" s="1748">
        <v>400</v>
      </c>
      <c r="D589" s="1179">
        <v>67</v>
      </c>
      <c r="E589" s="1749" t="s">
        <v>5047</v>
      </c>
      <c r="F589" s="1751">
        <v>243702</v>
      </c>
      <c r="G589" s="1750">
        <v>680</v>
      </c>
      <c r="H589" s="1731" t="s">
        <v>41</v>
      </c>
      <c r="I589" s="2287" t="s">
        <v>25</v>
      </c>
      <c r="J589" s="37"/>
      <c r="K589" s="2235"/>
      <c r="L589" s="37"/>
      <c r="M589" s="37"/>
      <c r="N589" s="37"/>
      <c r="O589" s="2360" t="s">
        <v>5885</v>
      </c>
      <c r="Q589" s="2287" t="s">
        <v>25</v>
      </c>
    </row>
    <row r="590" spans="1:17" ht="18.75" customHeight="1" x14ac:dyDescent="0.4">
      <c r="A590" s="112">
        <v>522</v>
      </c>
      <c r="B590" s="1747" t="s">
        <v>158</v>
      </c>
      <c r="C590" s="1748">
        <v>400</v>
      </c>
      <c r="D590" s="1179">
        <v>67</v>
      </c>
      <c r="E590" s="1749" t="s">
        <v>5048</v>
      </c>
      <c r="F590" s="1751">
        <v>243702</v>
      </c>
      <c r="G590" s="1750">
        <v>680</v>
      </c>
      <c r="H590" s="1731" t="s">
        <v>41</v>
      </c>
      <c r="I590" s="2287" t="s">
        <v>25</v>
      </c>
      <c r="J590" s="37"/>
      <c r="K590" s="2235"/>
      <c r="L590" s="37"/>
      <c r="M590" s="37"/>
      <c r="N590" s="37"/>
      <c r="O590" s="2360" t="s">
        <v>5885</v>
      </c>
      <c r="Q590" s="2287" t="s">
        <v>25</v>
      </c>
    </row>
    <row r="591" spans="1:17" ht="18.75" customHeight="1" x14ac:dyDescent="0.4">
      <c r="A591" s="112">
        <v>523</v>
      </c>
      <c r="B591" s="1747" t="s">
        <v>158</v>
      </c>
      <c r="C591" s="1748">
        <v>400</v>
      </c>
      <c r="D591" s="1179">
        <v>67</v>
      </c>
      <c r="E591" s="1749" t="s">
        <v>5049</v>
      </c>
      <c r="F591" s="1751">
        <v>243702</v>
      </c>
      <c r="G591" s="1750">
        <v>680</v>
      </c>
      <c r="H591" s="1731" t="s">
        <v>41</v>
      </c>
      <c r="I591" s="2287" t="s">
        <v>25</v>
      </c>
      <c r="J591" s="37"/>
      <c r="K591" s="2235"/>
      <c r="L591" s="37"/>
      <c r="M591" s="37"/>
      <c r="N591" s="37"/>
      <c r="O591" s="2360" t="s">
        <v>5885</v>
      </c>
      <c r="Q591" s="2287" t="s">
        <v>25</v>
      </c>
    </row>
    <row r="592" spans="1:17" ht="18.75" customHeight="1" x14ac:dyDescent="0.4">
      <c r="A592" s="112">
        <v>524</v>
      </c>
      <c r="B592" s="1747" t="s">
        <v>158</v>
      </c>
      <c r="C592" s="1748">
        <v>400</v>
      </c>
      <c r="D592" s="1179">
        <v>67</v>
      </c>
      <c r="E592" s="1749" t="s">
        <v>5050</v>
      </c>
      <c r="F592" s="1751">
        <v>243702</v>
      </c>
      <c r="G592" s="1750">
        <v>680</v>
      </c>
      <c r="H592" s="1731" t="s">
        <v>41</v>
      </c>
      <c r="I592" s="2287" t="s">
        <v>25</v>
      </c>
      <c r="J592" s="37"/>
      <c r="K592" s="2235"/>
      <c r="L592" s="37"/>
      <c r="M592" s="37"/>
      <c r="N592" s="37"/>
      <c r="O592" s="2360" t="s">
        <v>5885</v>
      </c>
      <c r="Q592" s="2287" t="s">
        <v>25</v>
      </c>
    </row>
    <row r="593" spans="1:17" ht="18.75" customHeight="1" x14ac:dyDescent="0.4">
      <c r="A593" s="2822">
        <v>525</v>
      </c>
      <c r="B593" s="1747" t="s">
        <v>158</v>
      </c>
      <c r="C593" s="1748">
        <v>400</v>
      </c>
      <c r="D593" s="1179">
        <v>67</v>
      </c>
      <c r="E593" s="1749" t="s">
        <v>5051</v>
      </c>
      <c r="F593" s="1751">
        <v>243702</v>
      </c>
      <c r="G593" s="1750">
        <v>680</v>
      </c>
      <c r="H593" s="1731" t="s">
        <v>41</v>
      </c>
      <c r="I593" s="2287" t="s">
        <v>25</v>
      </c>
      <c r="J593" s="37"/>
      <c r="K593" s="2235"/>
      <c r="L593" s="37"/>
      <c r="M593" s="37"/>
      <c r="N593" s="37"/>
      <c r="O593" s="2360" t="s">
        <v>5885</v>
      </c>
      <c r="Q593" s="2287" t="s">
        <v>25</v>
      </c>
    </row>
    <row r="594" spans="1:17" ht="18.75" customHeight="1" x14ac:dyDescent="0.4">
      <c r="A594" s="2822">
        <v>526</v>
      </c>
      <c r="B594" s="1747" t="s">
        <v>158</v>
      </c>
      <c r="C594" s="1748">
        <v>400</v>
      </c>
      <c r="D594" s="1179">
        <v>67</v>
      </c>
      <c r="E594" s="1749" t="s">
        <v>5052</v>
      </c>
      <c r="F594" s="1751">
        <v>243702</v>
      </c>
      <c r="G594" s="1750">
        <v>680</v>
      </c>
      <c r="H594" s="1731" t="s">
        <v>41</v>
      </c>
      <c r="I594" s="2287" t="s">
        <v>25</v>
      </c>
      <c r="J594" s="37"/>
      <c r="K594" s="2235"/>
      <c r="L594" s="37"/>
      <c r="M594" s="37"/>
      <c r="N594" s="37"/>
      <c r="O594" s="2360" t="s">
        <v>5885</v>
      </c>
      <c r="Q594" s="2287" t="s">
        <v>25</v>
      </c>
    </row>
    <row r="595" spans="1:17" ht="18.75" customHeight="1" x14ac:dyDescent="0.4">
      <c r="A595" s="112">
        <v>527</v>
      </c>
      <c r="B595" s="1747" t="s">
        <v>158</v>
      </c>
      <c r="C595" s="1748">
        <v>400</v>
      </c>
      <c r="D595" s="1179">
        <v>67</v>
      </c>
      <c r="E595" s="1749" t="s">
        <v>5053</v>
      </c>
      <c r="F595" s="1751">
        <v>243702</v>
      </c>
      <c r="G595" s="1750">
        <v>680</v>
      </c>
      <c r="H595" s="1731" t="s">
        <v>41</v>
      </c>
      <c r="I595" s="2287" t="s">
        <v>25</v>
      </c>
      <c r="J595" s="37"/>
      <c r="K595" s="2235"/>
      <c r="L595" s="37"/>
      <c r="M595" s="37"/>
      <c r="N595" s="37"/>
      <c r="O595" s="2360" t="s">
        <v>5885</v>
      </c>
      <c r="Q595" s="2287" t="s">
        <v>25</v>
      </c>
    </row>
    <row r="596" spans="1:17" ht="18.75" customHeight="1" x14ac:dyDescent="0.4">
      <c r="A596" s="112">
        <v>528</v>
      </c>
      <c r="B596" s="1747" t="s">
        <v>158</v>
      </c>
      <c r="C596" s="1748">
        <v>400</v>
      </c>
      <c r="D596" s="1179">
        <v>67</v>
      </c>
      <c r="E596" s="1749" t="s">
        <v>5054</v>
      </c>
      <c r="F596" s="1751">
        <v>243702</v>
      </c>
      <c r="G596" s="1750">
        <v>680</v>
      </c>
      <c r="H596" s="1731" t="s">
        <v>41</v>
      </c>
      <c r="I596" s="2287" t="s">
        <v>25</v>
      </c>
      <c r="J596" s="37"/>
      <c r="K596" s="2235"/>
      <c r="L596" s="37"/>
      <c r="M596" s="37"/>
      <c r="N596" s="37"/>
      <c r="O596" s="2360" t="s">
        <v>5885</v>
      </c>
      <c r="Q596" s="2287" t="s">
        <v>25</v>
      </c>
    </row>
    <row r="597" spans="1:17" ht="18.75" customHeight="1" x14ac:dyDescent="0.4">
      <c r="A597" s="112">
        <v>529</v>
      </c>
      <c r="B597" s="1747" t="s">
        <v>158</v>
      </c>
      <c r="C597" s="1748">
        <v>400</v>
      </c>
      <c r="D597" s="1179">
        <v>67</v>
      </c>
      <c r="E597" s="1749" t="s">
        <v>5055</v>
      </c>
      <c r="F597" s="1751">
        <v>243702</v>
      </c>
      <c r="G597" s="1750">
        <v>680</v>
      </c>
      <c r="H597" s="1731" t="s">
        <v>41</v>
      </c>
      <c r="I597" s="2287" t="s">
        <v>25</v>
      </c>
      <c r="J597" s="37"/>
      <c r="K597" s="2235"/>
      <c r="L597" s="37"/>
      <c r="M597" s="37"/>
      <c r="N597" s="37"/>
      <c r="O597" s="2360" t="s">
        <v>5885</v>
      </c>
      <c r="Q597" s="2287" t="s">
        <v>25</v>
      </c>
    </row>
    <row r="598" spans="1:17" ht="18.75" customHeight="1" x14ac:dyDescent="0.4">
      <c r="A598" s="112">
        <v>530</v>
      </c>
      <c r="B598" s="1747" t="s">
        <v>158</v>
      </c>
      <c r="C598" s="1748">
        <v>400</v>
      </c>
      <c r="D598" s="1179">
        <v>67</v>
      </c>
      <c r="E598" s="1749" t="s">
        <v>5056</v>
      </c>
      <c r="F598" s="1751">
        <v>243702</v>
      </c>
      <c r="G598" s="1750">
        <v>680</v>
      </c>
      <c r="H598" s="1731" t="s">
        <v>41</v>
      </c>
      <c r="I598" s="2287" t="s">
        <v>25</v>
      </c>
      <c r="J598" s="37"/>
      <c r="K598" s="2235"/>
      <c r="L598" s="37"/>
      <c r="M598" s="37"/>
      <c r="N598" s="37"/>
      <c r="O598" s="2360" t="s">
        <v>5885</v>
      </c>
      <c r="Q598" s="2287" t="s">
        <v>25</v>
      </c>
    </row>
    <row r="599" spans="1:17" ht="18.75" customHeight="1" x14ac:dyDescent="0.4">
      <c r="A599" s="112">
        <v>531</v>
      </c>
      <c r="B599" s="1747" t="s">
        <v>158</v>
      </c>
      <c r="C599" s="1748">
        <v>400</v>
      </c>
      <c r="D599" s="1179">
        <v>67</v>
      </c>
      <c r="E599" s="1749" t="s">
        <v>5057</v>
      </c>
      <c r="F599" s="1751">
        <v>243702</v>
      </c>
      <c r="G599" s="1750">
        <v>680</v>
      </c>
      <c r="H599" s="1731" t="s">
        <v>41</v>
      </c>
      <c r="I599" s="2287" t="s">
        <v>25</v>
      </c>
      <c r="J599" s="37"/>
      <c r="K599" s="2235"/>
      <c r="L599" s="37"/>
      <c r="M599" s="37"/>
      <c r="N599" s="37"/>
      <c r="O599" s="2360" t="s">
        <v>5885</v>
      </c>
      <c r="Q599" s="2287" t="s">
        <v>25</v>
      </c>
    </row>
    <row r="600" spans="1:17" ht="18.75" customHeight="1" x14ac:dyDescent="0.4">
      <c r="A600" s="112">
        <v>532</v>
      </c>
      <c r="B600" s="1747" t="s">
        <v>158</v>
      </c>
      <c r="C600" s="1748">
        <v>400</v>
      </c>
      <c r="D600" s="1179">
        <v>67</v>
      </c>
      <c r="E600" s="1749" t="s">
        <v>5058</v>
      </c>
      <c r="F600" s="1751">
        <v>243702</v>
      </c>
      <c r="G600" s="1750">
        <v>680</v>
      </c>
      <c r="H600" s="1731" t="s">
        <v>41</v>
      </c>
      <c r="I600" s="2287" t="s">
        <v>25</v>
      </c>
      <c r="J600" s="37"/>
      <c r="K600" s="2235"/>
      <c r="L600" s="37"/>
      <c r="M600" s="37"/>
      <c r="N600" s="37"/>
      <c r="O600" s="2360" t="s">
        <v>5885</v>
      </c>
      <c r="Q600" s="2287" t="s">
        <v>25</v>
      </c>
    </row>
    <row r="601" spans="1:17" ht="18.75" customHeight="1" x14ac:dyDescent="0.4">
      <c r="A601" s="112">
        <v>533</v>
      </c>
      <c r="B601" s="1747" t="s">
        <v>158</v>
      </c>
      <c r="C601" s="1748">
        <v>400</v>
      </c>
      <c r="D601" s="1179">
        <v>67</v>
      </c>
      <c r="E601" s="1749" t="s">
        <v>5059</v>
      </c>
      <c r="F601" s="1751">
        <v>243702</v>
      </c>
      <c r="G601" s="1750">
        <v>680</v>
      </c>
      <c r="H601" s="1731" t="s">
        <v>41</v>
      </c>
      <c r="I601" s="2287" t="s">
        <v>25</v>
      </c>
      <c r="J601" s="37"/>
      <c r="K601" s="2235"/>
      <c r="L601" s="37"/>
      <c r="M601" s="37"/>
      <c r="N601" s="37"/>
      <c r="O601" s="2360" t="s">
        <v>5885</v>
      </c>
      <c r="Q601" s="2287" t="s">
        <v>25</v>
      </c>
    </row>
    <row r="602" spans="1:17" ht="18.75" customHeight="1" x14ac:dyDescent="0.4">
      <c r="A602" s="2822">
        <v>534</v>
      </c>
      <c r="B602" s="1747" t="s">
        <v>158</v>
      </c>
      <c r="C602" s="1748">
        <v>400</v>
      </c>
      <c r="D602" s="1179">
        <v>67</v>
      </c>
      <c r="E602" s="1749" t="s">
        <v>5060</v>
      </c>
      <c r="F602" s="1751">
        <v>243702</v>
      </c>
      <c r="G602" s="1750">
        <v>680</v>
      </c>
      <c r="H602" s="1731" t="s">
        <v>41</v>
      </c>
      <c r="I602" s="2287" t="s">
        <v>25</v>
      </c>
      <c r="J602" s="37"/>
      <c r="K602" s="2235"/>
      <c r="L602" s="37"/>
      <c r="M602" s="37"/>
      <c r="N602" s="37"/>
      <c r="O602" s="2360" t="s">
        <v>5885</v>
      </c>
      <c r="Q602" s="2287" t="s">
        <v>25</v>
      </c>
    </row>
    <row r="603" spans="1:17" ht="18.75" customHeight="1" x14ac:dyDescent="0.4">
      <c r="A603" s="2822">
        <v>535</v>
      </c>
      <c r="B603" s="1747" t="s">
        <v>158</v>
      </c>
      <c r="C603" s="1748">
        <v>400</v>
      </c>
      <c r="D603" s="1179">
        <v>67</v>
      </c>
      <c r="E603" s="1749" t="s">
        <v>5061</v>
      </c>
      <c r="F603" s="1751">
        <v>243702</v>
      </c>
      <c r="G603" s="1750">
        <v>680</v>
      </c>
      <c r="H603" s="1731" t="s">
        <v>41</v>
      </c>
      <c r="I603" s="2287" t="s">
        <v>25</v>
      </c>
      <c r="J603" s="37"/>
      <c r="K603" s="2235"/>
      <c r="L603" s="37"/>
      <c r="M603" s="37"/>
      <c r="N603" s="37"/>
      <c r="O603" s="2360" t="s">
        <v>5885</v>
      </c>
      <c r="Q603" s="2287" t="s">
        <v>25</v>
      </c>
    </row>
    <row r="604" spans="1:17" ht="18.75" customHeight="1" x14ac:dyDescent="0.4">
      <c r="A604" s="112">
        <v>536</v>
      </c>
      <c r="B604" s="1747" t="s">
        <v>158</v>
      </c>
      <c r="C604" s="1748">
        <v>400</v>
      </c>
      <c r="D604" s="1179">
        <v>67</v>
      </c>
      <c r="E604" s="1749" t="s">
        <v>5062</v>
      </c>
      <c r="F604" s="1751">
        <v>243702</v>
      </c>
      <c r="G604" s="1750">
        <v>680</v>
      </c>
      <c r="H604" s="1731" t="s">
        <v>41</v>
      </c>
      <c r="I604" s="2287" t="s">
        <v>25</v>
      </c>
      <c r="J604" s="37"/>
      <c r="K604" s="2235"/>
      <c r="L604" s="37"/>
      <c r="M604" s="37"/>
      <c r="N604" s="37"/>
      <c r="O604" s="2360" t="s">
        <v>5885</v>
      </c>
      <c r="Q604" s="2287" t="s">
        <v>25</v>
      </c>
    </row>
    <row r="605" spans="1:17" ht="18.75" customHeight="1" x14ac:dyDescent="0.4">
      <c r="A605" s="112">
        <v>537</v>
      </c>
      <c r="B605" s="1747" t="s">
        <v>158</v>
      </c>
      <c r="C605" s="1748">
        <v>400</v>
      </c>
      <c r="D605" s="1179">
        <v>67</v>
      </c>
      <c r="E605" s="1749" t="s">
        <v>5063</v>
      </c>
      <c r="F605" s="1751">
        <v>243702</v>
      </c>
      <c r="G605" s="1750">
        <v>680</v>
      </c>
      <c r="H605" s="1731" t="s">
        <v>41</v>
      </c>
      <c r="I605" s="2287" t="s">
        <v>25</v>
      </c>
      <c r="J605" s="37"/>
      <c r="K605" s="2235"/>
      <c r="L605" s="37"/>
      <c r="M605" s="37"/>
      <c r="N605" s="37"/>
      <c r="O605" s="2360" t="s">
        <v>5885</v>
      </c>
      <c r="Q605" s="2287" t="s">
        <v>25</v>
      </c>
    </row>
    <row r="606" spans="1:17" ht="18.75" customHeight="1" x14ac:dyDescent="0.4">
      <c r="A606" s="112">
        <v>538</v>
      </c>
      <c r="B606" s="1747" t="s">
        <v>158</v>
      </c>
      <c r="C606" s="1748">
        <v>400</v>
      </c>
      <c r="D606" s="1179">
        <v>67</v>
      </c>
      <c r="E606" s="1749" t="s">
        <v>5064</v>
      </c>
      <c r="F606" s="1751">
        <v>243702</v>
      </c>
      <c r="G606" s="1750">
        <v>680</v>
      </c>
      <c r="H606" s="1731" t="s">
        <v>41</v>
      </c>
      <c r="I606" s="2287" t="s">
        <v>25</v>
      </c>
      <c r="J606" s="37"/>
      <c r="K606" s="2235"/>
      <c r="L606" s="37"/>
      <c r="M606" s="37"/>
      <c r="N606" s="37"/>
      <c r="O606" s="2360" t="s">
        <v>5885</v>
      </c>
      <c r="Q606" s="2287" t="s">
        <v>25</v>
      </c>
    </row>
    <row r="607" spans="1:17" ht="18.75" customHeight="1" x14ac:dyDescent="0.4">
      <c r="A607" s="112">
        <v>539</v>
      </c>
      <c r="B607" s="1747" t="s">
        <v>158</v>
      </c>
      <c r="C607" s="1748">
        <v>400</v>
      </c>
      <c r="D607" s="1179">
        <v>67</v>
      </c>
      <c r="E607" s="1749" t="s">
        <v>5065</v>
      </c>
      <c r="F607" s="1751">
        <v>243702</v>
      </c>
      <c r="G607" s="1750">
        <v>680</v>
      </c>
      <c r="H607" s="1731" t="s">
        <v>41</v>
      </c>
      <c r="I607" s="2287" t="s">
        <v>25</v>
      </c>
      <c r="J607" s="37"/>
      <c r="K607" s="2235"/>
      <c r="L607" s="37"/>
      <c r="M607" s="37"/>
      <c r="N607" s="37"/>
      <c r="O607" s="2360" t="s">
        <v>5885</v>
      </c>
      <c r="Q607" s="2287" t="s">
        <v>25</v>
      </c>
    </row>
    <row r="608" spans="1:17" ht="18.75" customHeight="1" x14ac:dyDescent="0.4">
      <c r="A608" s="112">
        <v>540</v>
      </c>
      <c r="B608" s="1747" t="s">
        <v>158</v>
      </c>
      <c r="C608" s="1748">
        <v>400</v>
      </c>
      <c r="D608" s="1179">
        <v>67</v>
      </c>
      <c r="E608" s="1749" t="s">
        <v>5066</v>
      </c>
      <c r="F608" s="1751">
        <v>243702</v>
      </c>
      <c r="G608" s="1750">
        <v>680</v>
      </c>
      <c r="H608" s="1731" t="s">
        <v>41</v>
      </c>
      <c r="I608" s="2287" t="s">
        <v>25</v>
      </c>
      <c r="J608" s="37"/>
      <c r="K608" s="2235"/>
      <c r="L608" s="37"/>
      <c r="M608" s="37"/>
      <c r="N608" s="37"/>
      <c r="O608" s="2360" t="s">
        <v>5885</v>
      </c>
      <c r="Q608" s="2287" t="s">
        <v>25</v>
      </c>
    </row>
    <row r="609" spans="1:17" ht="18.75" customHeight="1" x14ac:dyDescent="0.4">
      <c r="A609" s="112">
        <v>541</v>
      </c>
      <c r="B609" s="1747" t="s">
        <v>158</v>
      </c>
      <c r="C609" s="1748">
        <v>400</v>
      </c>
      <c r="D609" s="1179">
        <v>67</v>
      </c>
      <c r="E609" s="1749" t="s">
        <v>5067</v>
      </c>
      <c r="F609" s="1751">
        <v>243702</v>
      </c>
      <c r="G609" s="1750">
        <v>680</v>
      </c>
      <c r="H609" s="1731" t="s">
        <v>41</v>
      </c>
      <c r="I609" s="2287" t="s">
        <v>25</v>
      </c>
      <c r="J609" s="37"/>
      <c r="K609" s="2235"/>
      <c r="L609" s="37"/>
      <c r="M609" s="37"/>
      <c r="N609" s="37"/>
      <c r="O609" s="2360" t="s">
        <v>5885</v>
      </c>
      <c r="Q609" s="2287" t="s">
        <v>25</v>
      </c>
    </row>
    <row r="610" spans="1:17" ht="18.75" customHeight="1" x14ac:dyDescent="0.4">
      <c r="A610" s="112">
        <v>542</v>
      </c>
      <c r="B610" s="1747" t="s">
        <v>158</v>
      </c>
      <c r="C610" s="1748">
        <v>400</v>
      </c>
      <c r="D610" s="1179">
        <v>67</v>
      </c>
      <c r="E610" s="1749" t="s">
        <v>5068</v>
      </c>
      <c r="F610" s="1751">
        <v>243702</v>
      </c>
      <c r="G610" s="1750">
        <v>680</v>
      </c>
      <c r="H610" s="1731" t="s">
        <v>41</v>
      </c>
      <c r="I610" s="2287" t="s">
        <v>25</v>
      </c>
      <c r="J610" s="37"/>
      <c r="K610" s="2235"/>
      <c r="L610" s="37"/>
      <c r="M610" s="37"/>
      <c r="N610" s="37"/>
      <c r="O610" s="2360" t="s">
        <v>5885</v>
      </c>
      <c r="Q610" s="2287" t="s">
        <v>25</v>
      </c>
    </row>
    <row r="611" spans="1:17" ht="18.75" customHeight="1" x14ac:dyDescent="0.4">
      <c r="A611" s="2822">
        <v>543</v>
      </c>
      <c r="B611" s="1747" t="s">
        <v>158</v>
      </c>
      <c r="C611" s="1748">
        <v>400</v>
      </c>
      <c r="D611" s="1179">
        <v>67</v>
      </c>
      <c r="E611" s="1749" t="s">
        <v>5069</v>
      </c>
      <c r="F611" s="1751">
        <v>243702</v>
      </c>
      <c r="G611" s="1750">
        <v>680</v>
      </c>
      <c r="H611" s="1731" t="s">
        <v>41</v>
      </c>
      <c r="I611" s="2287" t="s">
        <v>25</v>
      </c>
      <c r="J611" s="37"/>
      <c r="K611" s="2235"/>
      <c r="L611" s="37"/>
      <c r="M611" s="37"/>
      <c r="N611" s="37"/>
      <c r="O611" s="2360" t="s">
        <v>5885</v>
      </c>
      <c r="Q611" s="2287" t="s">
        <v>25</v>
      </c>
    </row>
    <row r="612" spans="1:17" ht="18.75" customHeight="1" x14ac:dyDescent="0.4">
      <c r="A612" s="2822">
        <v>544</v>
      </c>
      <c r="B612" s="1747" t="s">
        <v>158</v>
      </c>
      <c r="C612" s="1748">
        <v>400</v>
      </c>
      <c r="D612" s="1179">
        <v>67</v>
      </c>
      <c r="E612" s="1749" t="s">
        <v>5070</v>
      </c>
      <c r="F612" s="1751">
        <v>243702</v>
      </c>
      <c r="G612" s="1750">
        <v>680</v>
      </c>
      <c r="H612" s="1731" t="s">
        <v>41</v>
      </c>
      <c r="I612" s="2287" t="s">
        <v>25</v>
      </c>
      <c r="J612" s="37"/>
      <c r="K612" s="2235"/>
      <c r="L612" s="37"/>
      <c r="M612" s="37"/>
      <c r="N612" s="37"/>
      <c r="O612" s="2360" t="s">
        <v>5885</v>
      </c>
      <c r="Q612" s="2287" t="s">
        <v>25</v>
      </c>
    </row>
    <row r="613" spans="1:17" ht="18.75" customHeight="1" x14ac:dyDescent="0.4">
      <c r="A613" s="112">
        <v>545</v>
      </c>
      <c r="B613" s="1747" t="s">
        <v>158</v>
      </c>
      <c r="C613" s="1748">
        <v>400</v>
      </c>
      <c r="D613" s="1179">
        <v>67</v>
      </c>
      <c r="E613" s="1749" t="s">
        <v>5071</v>
      </c>
      <c r="F613" s="1751">
        <v>243702</v>
      </c>
      <c r="G613" s="1750">
        <v>680</v>
      </c>
      <c r="H613" s="1731" t="s">
        <v>41</v>
      </c>
      <c r="I613" s="2287" t="s">
        <v>25</v>
      </c>
      <c r="J613" s="37"/>
      <c r="K613" s="2235"/>
      <c r="L613" s="37"/>
      <c r="M613" s="37"/>
      <c r="N613" s="37"/>
      <c r="O613" s="2360" t="s">
        <v>5885</v>
      </c>
      <c r="Q613" s="2287" t="s">
        <v>25</v>
      </c>
    </row>
    <row r="614" spans="1:17" ht="18.75" customHeight="1" x14ac:dyDescent="0.4">
      <c r="A614" s="112">
        <v>546</v>
      </c>
      <c r="B614" s="1747" t="s">
        <v>158</v>
      </c>
      <c r="C614" s="1748">
        <v>400</v>
      </c>
      <c r="D614" s="1179">
        <v>67</v>
      </c>
      <c r="E614" s="1749" t="s">
        <v>5072</v>
      </c>
      <c r="F614" s="1751">
        <v>243702</v>
      </c>
      <c r="G614" s="1750">
        <v>680</v>
      </c>
      <c r="H614" s="1731" t="s">
        <v>41</v>
      </c>
      <c r="I614" s="2287" t="s">
        <v>25</v>
      </c>
      <c r="J614" s="37"/>
      <c r="K614" s="2235"/>
      <c r="L614" s="37"/>
      <c r="M614" s="37"/>
      <c r="N614" s="37"/>
      <c r="O614" s="2360" t="s">
        <v>5885</v>
      </c>
      <c r="Q614" s="2287" t="s">
        <v>25</v>
      </c>
    </row>
    <row r="615" spans="1:17" ht="18.75" customHeight="1" x14ac:dyDescent="0.4">
      <c r="A615" s="112">
        <v>547</v>
      </c>
      <c r="B615" s="1747" t="s">
        <v>158</v>
      </c>
      <c r="C615" s="1748">
        <v>400</v>
      </c>
      <c r="D615" s="1179">
        <v>67</v>
      </c>
      <c r="E615" s="1749" t="s">
        <v>5073</v>
      </c>
      <c r="F615" s="1751">
        <v>243702</v>
      </c>
      <c r="G615" s="1750">
        <v>680</v>
      </c>
      <c r="H615" s="1731" t="s">
        <v>41</v>
      </c>
      <c r="I615" s="2287" t="s">
        <v>25</v>
      </c>
      <c r="J615" s="37"/>
      <c r="K615" s="2235"/>
      <c r="L615" s="37"/>
      <c r="M615" s="37"/>
      <c r="N615" s="37"/>
      <c r="O615" s="2360" t="s">
        <v>5885</v>
      </c>
      <c r="Q615" s="2287" t="s">
        <v>25</v>
      </c>
    </row>
    <row r="616" spans="1:17" ht="18.75" customHeight="1" x14ac:dyDescent="0.4">
      <c r="A616" s="112">
        <v>548</v>
      </c>
      <c r="B616" s="1747" t="s">
        <v>158</v>
      </c>
      <c r="C616" s="1748">
        <v>400</v>
      </c>
      <c r="D616" s="1179">
        <v>67</v>
      </c>
      <c r="E616" s="1749" t="s">
        <v>5074</v>
      </c>
      <c r="F616" s="1751">
        <v>243702</v>
      </c>
      <c r="G616" s="1750">
        <v>680</v>
      </c>
      <c r="H616" s="1731" t="s">
        <v>41</v>
      </c>
      <c r="I616" s="2287" t="s">
        <v>25</v>
      </c>
      <c r="J616" s="37"/>
      <c r="K616" s="2235"/>
      <c r="L616" s="37"/>
      <c r="M616" s="37"/>
      <c r="N616" s="37"/>
      <c r="O616" s="2360" t="s">
        <v>5885</v>
      </c>
      <c r="Q616" s="2287" t="s">
        <v>25</v>
      </c>
    </row>
    <row r="617" spans="1:17" ht="18.75" customHeight="1" x14ac:dyDescent="0.4">
      <c r="A617" s="112">
        <v>549</v>
      </c>
      <c r="B617" s="1747" t="s">
        <v>158</v>
      </c>
      <c r="C617" s="1748">
        <v>400</v>
      </c>
      <c r="D617" s="1179">
        <v>67</v>
      </c>
      <c r="E617" s="1749" t="s">
        <v>5075</v>
      </c>
      <c r="F617" s="1751">
        <v>243702</v>
      </c>
      <c r="G617" s="1750">
        <v>680</v>
      </c>
      <c r="H617" s="1731" t="s">
        <v>41</v>
      </c>
      <c r="I617" s="2287" t="s">
        <v>25</v>
      </c>
      <c r="J617" s="37"/>
      <c r="K617" s="2235"/>
      <c r="L617" s="37"/>
      <c r="M617" s="37"/>
      <c r="N617" s="37"/>
      <c r="O617" s="2360" t="s">
        <v>5885</v>
      </c>
      <c r="Q617" s="2287" t="s">
        <v>25</v>
      </c>
    </row>
    <row r="618" spans="1:17" ht="18.75" customHeight="1" x14ac:dyDescent="0.4">
      <c r="A618" s="112">
        <v>550</v>
      </c>
      <c r="B618" s="1747" t="s">
        <v>158</v>
      </c>
      <c r="C618" s="1748">
        <v>400</v>
      </c>
      <c r="D618" s="1179">
        <v>67</v>
      </c>
      <c r="E618" s="1749" t="s">
        <v>5076</v>
      </c>
      <c r="F618" s="1751">
        <v>243702</v>
      </c>
      <c r="G618" s="1750">
        <v>680</v>
      </c>
      <c r="H618" s="1731" t="s">
        <v>41</v>
      </c>
      <c r="I618" s="2287" t="s">
        <v>25</v>
      </c>
      <c r="J618" s="37"/>
      <c r="K618" s="2235"/>
      <c r="L618" s="37"/>
      <c r="M618" s="37"/>
      <c r="N618" s="37"/>
      <c r="O618" s="2360" t="s">
        <v>5885</v>
      </c>
      <c r="Q618" s="2287" t="s">
        <v>25</v>
      </c>
    </row>
    <row r="619" spans="1:17" ht="18.75" customHeight="1" x14ac:dyDescent="0.4">
      <c r="A619" s="112">
        <v>551</v>
      </c>
      <c r="B619" s="1747" t="s">
        <v>158</v>
      </c>
      <c r="C619" s="1748">
        <v>400</v>
      </c>
      <c r="D619" s="1179">
        <v>67</v>
      </c>
      <c r="E619" s="1749" t="s">
        <v>5077</v>
      </c>
      <c r="F619" s="1751">
        <v>243702</v>
      </c>
      <c r="G619" s="1750">
        <v>680</v>
      </c>
      <c r="H619" s="1731" t="s">
        <v>41</v>
      </c>
      <c r="I619" s="2287" t="s">
        <v>25</v>
      </c>
      <c r="J619" s="37"/>
      <c r="K619" s="2235"/>
      <c r="L619" s="37"/>
      <c r="M619" s="37"/>
      <c r="N619" s="37"/>
      <c r="O619" s="2360" t="s">
        <v>5885</v>
      </c>
      <c r="Q619" s="2287" t="s">
        <v>25</v>
      </c>
    </row>
    <row r="620" spans="1:17" ht="18.75" customHeight="1" x14ac:dyDescent="0.4">
      <c r="A620" s="2822">
        <v>552</v>
      </c>
      <c r="B620" s="1747" t="s">
        <v>158</v>
      </c>
      <c r="C620" s="1748">
        <v>400</v>
      </c>
      <c r="D620" s="1179">
        <v>67</v>
      </c>
      <c r="E620" s="1749" t="s">
        <v>5078</v>
      </c>
      <c r="F620" s="1751">
        <v>243702</v>
      </c>
      <c r="G620" s="1750">
        <v>680</v>
      </c>
      <c r="H620" s="1731" t="s">
        <v>41</v>
      </c>
      <c r="I620" s="2287" t="s">
        <v>25</v>
      </c>
      <c r="J620" s="37"/>
      <c r="K620" s="2235"/>
      <c r="L620" s="37"/>
      <c r="M620" s="37"/>
      <c r="N620" s="37"/>
      <c r="O620" s="2360" t="s">
        <v>5885</v>
      </c>
      <c r="Q620" s="2287" t="s">
        <v>25</v>
      </c>
    </row>
    <row r="621" spans="1:17" ht="18.75" customHeight="1" x14ac:dyDescent="0.4">
      <c r="A621" s="2822">
        <v>553</v>
      </c>
      <c r="B621" s="1747" t="s">
        <v>158</v>
      </c>
      <c r="C621" s="1748">
        <v>400</v>
      </c>
      <c r="D621" s="1179">
        <v>67</v>
      </c>
      <c r="E621" s="1749" t="s">
        <v>5079</v>
      </c>
      <c r="F621" s="1751">
        <v>243702</v>
      </c>
      <c r="G621" s="1750">
        <v>680</v>
      </c>
      <c r="H621" s="1731" t="s">
        <v>41</v>
      </c>
      <c r="I621" s="2287" t="s">
        <v>25</v>
      </c>
      <c r="J621" s="37"/>
      <c r="K621" s="2235"/>
      <c r="L621" s="37"/>
      <c r="M621" s="37"/>
      <c r="N621" s="37"/>
      <c r="O621" s="2360" t="s">
        <v>5885</v>
      </c>
      <c r="Q621" s="2287" t="s">
        <v>25</v>
      </c>
    </row>
    <row r="622" spans="1:17" ht="18.75" customHeight="1" x14ac:dyDescent="0.4">
      <c r="A622" s="112">
        <v>554</v>
      </c>
      <c r="B622" s="1747" t="s">
        <v>158</v>
      </c>
      <c r="C622" s="1748">
        <v>400</v>
      </c>
      <c r="D622" s="1179">
        <v>67</v>
      </c>
      <c r="E622" s="1749" t="s">
        <v>5080</v>
      </c>
      <c r="F622" s="1751">
        <v>243702</v>
      </c>
      <c r="G622" s="1750">
        <v>680</v>
      </c>
      <c r="H622" s="1731" t="s">
        <v>41</v>
      </c>
      <c r="I622" s="2287" t="s">
        <v>25</v>
      </c>
      <c r="J622" s="37"/>
      <c r="K622" s="2235"/>
      <c r="L622" s="37"/>
      <c r="M622" s="37"/>
      <c r="N622" s="37"/>
      <c r="O622" s="2360" t="s">
        <v>5885</v>
      </c>
      <c r="Q622" s="2287" t="s">
        <v>25</v>
      </c>
    </row>
    <row r="623" spans="1:17" ht="18.75" customHeight="1" x14ac:dyDescent="0.4">
      <c r="A623" s="112">
        <v>555</v>
      </c>
      <c r="B623" s="1747" t="s">
        <v>158</v>
      </c>
      <c r="C623" s="1748">
        <v>400</v>
      </c>
      <c r="D623" s="1179">
        <v>67</v>
      </c>
      <c r="E623" s="1749" t="s">
        <v>5081</v>
      </c>
      <c r="F623" s="1751">
        <v>243702</v>
      </c>
      <c r="G623" s="1750">
        <v>680</v>
      </c>
      <c r="H623" s="1731" t="s">
        <v>41</v>
      </c>
      <c r="I623" s="2287" t="s">
        <v>25</v>
      </c>
      <c r="J623" s="37"/>
      <c r="K623" s="2235"/>
      <c r="L623" s="37"/>
      <c r="M623" s="37"/>
      <c r="N623" s="37"/>
      <c r="O623" s="2360" t="s">
        <v>5885</v>
      </c>
      <c r="Q623" s="2287" t="s">
        <v>25</v>
      </c>
    </row>
    <row r="624" spans="1:17" ht="18.75" customHeight="1" x14ac:dyDescent="0.4">
      <c r="A624" s="112">
        <v>556</v>
      </c>
      <c r="B624" s="1747" t="s">
        <v>158</v>
      </c>
      <c r="C624" s="1748">
        <v>400</v>
      </c>
      <c r="D624" s="1179">
        <v>67</v>
      </c>
      <c r="E624" s="1749" t="s">
        <v>5082</v>
      </c>
      <c r="F624" s="1751">
        <v>243702</v>
      </c>
      <c r="G624" s="1750">
        <v>680</v>
      </c>
      <c r="H624" s="1731" t="s">
        <v>41</v>
      </c>
      <c r="I624" s="2287" t="s">
        <v>25</v>
      </c>
      <c r="J624" s="37"/>
      <c r="K624" s="2235"/>
      <c r="L624" s="37"/>
      <c r="M624" s="37"/>
      <c r="N624" s="37"/>
      <c r="O624" s="2360" t="s">
        <v>5885</v>
      </c>
      <c r="Q624" s="2287" t="s">
        <v>25</v>
      </c>
    </row>
    <row r="625" spans="1:17" ht="18.75" customHeight="1" x14ac:dyDescent="0.4">
      <c r="A625" s="112">
        <v>557</v>
      </c>
      <c r="B625" s="1747" t="s">
        <v>158</v>
      </c>
      <c r="C625" s="1748">
        <v>400</v>
      </c>
      <c r="D625" s="1179">
        <v>67</v>
      </c>
      <c r="E625" s="1749" t="s">
        <v>5083</v>
      </c>
      <c r="F625" s="1751">
        <v>243702</v>
      </c>
      <c r="G625" s="1750">
        <v>680</v>
      </c>
      <c r="H625" s="1731" t="s">
        <v>41</v>
      </c>
      <c r="I625" s="2287" t="s">
        <v>25</v>
      </c>
      <c r="J625" s="37"/>
      <c r="K625" s="2235"/>
      <c r="L625" s="37"/>
      <c r="M625" s="37"/>
      <c r="N625" s="37"/>
      <c r="O625" s="2360" t="s">
        <v>5885</v>
      </c>
      <c r="Q625" s="2287" t="s">
        <v>25</v>
      </c>
    </row>
    <row r="626" spans="1:17" ht="18.75" customHeight="1" x14ac:dyDescent="0.4">
      <c r="A626" s="112">
        <v>558</v>
      </c>
      <c r="B626" s="1747" t="s">
        <v>158</v>
      </c>
      <c r="C626" s="1748">
        <v>400</v>
      </c>
      <c r="D626" s="1179">
        <v>67</v>
      </c>
      <c r="E626" s="1749" t="s">
        <v>5084</v>
      </c>
      <c r="F626" s="1751">
        <v>243702</v>
      </c>
      <c r="G626" s="1750">
        <v>680</v>
      </c>
      <c r="H626" s="1731" t="s">
        <v>41</v>
      </c>
      <c r="I626" s="2287" t="s">
        <v>25</v>
      </c>
      <c r="J626" s="37"/>
      <c r="K626" s="2235"/>
      <c r="L626" s="37"/>
      <c r="M626" s="37"/>
      <c r="N626" s="37"/>
      <c r="O626" s="2360" t="s">
        <v>5885</v>
      </c>
      <c r="Q626" s="2287" t="s">
        <v>25</v>
      </c>
    </row>
    <row r="627" spans="1:17" ht="18.75" customHeight="1" x14ac:dyDescent="0.4">
      <c r="A627" s="112">
        <v>559</v>
      </c>
      <c r="B627" s="1747" t="s">
        <v>158</v>
      </c>
      <c r="C627" s="1748">
        <v>400</v>
      </c>
      <c r="D627" s="1179">
        <v>67</v>
      </c>
      <c r="E627" s="1749" t="s">
        <v>5085</v>
      </c>
      <c r="F627" s="1751">
        <v>243702</v>
      </c>
      <c r="G627" s="1750">
        <v>680</v>
      </c>
      <c r="H627" s="1731" t="s">
        <v>41</v>
      </c>
      <c r="I627" s="2287" t="s">
        <v>25</v>
      </c>
      <c r="J627" s="37"/>
      <c r="K627" s="2235"/>
      <c r="L627" s="37"/>
      <c r="M627" s="37"/>
      <c r="N627" s="37"/>
      <c r="O627" s="2360" t="s">
        <v>5885</v>
      </c>
      <c r="Q627" s="2287" t="s">
        <v>25</v>
      </c>
    </row>
    <row r="628" spans="1:17" ht="18.75" customHeight="1" x14ac:dyDescent="0.4">
      <c r="A628" s="112">
        <v>560</v>
      </c>
      <c r="B628" s="1747" t="s">
        <v>158</v>
      </c>
      <c r="C628" s="1748">
        <v>400</v>
      </c>
      <c r="D628" s="1179">
        <v>67</v>
      </c>
      <c r="E628" s="1749" t="s">
        <v>5086</v>
      </c>
      <c r="F628" s="1751">
        <v>243702</v>
      </c>
      <c r="G628" s="1750">
        <v>680</v>
      </c>
      <c r="H628" s="1731" t="s">
        <v>41</v>
      </c>
      <c r="I628" s="2287" t="s">
        <v>25</v>
      </c>
      <c r="J628" s="37"/>
      <c r="K628" s="2235"/>
      <c r="L628" s="37"/>
      <c r="M628" s="37"/>
      <c r="N628" s="37"/>
      <c r="O628" s="2360" t="s">
        <v>5885</v>
      </c>
      <c r="Q628" s="2287" t="s">
        <v>25</v>
      </c>
    </row>
    <row r="629" spans="1:17" ht="18.75" customHeight="1" x14ac:dyDescent="0.4">
      <c r="A629" s="2822">
        <v>561</v>
      </c>
      <c r="B629" s="1747" t="s">
        <v>158</v>
      </c>
      <c r="C629" s="1748">
        <v>400</v>
      </c>
      <c r="D629" s="1179">
        <v>67</v>
      </c>
      <c r="E629" s="1749" t="s">
        <v>5087</v>
      </c>
      <c r="F629" s="1751">
        <v>243702</v>
      </c>
      <c r="G629" s="1750">
        <v>680</v>
      </c>
      <c r="H629" s="1731" t="s">
        <v>41</v>
      </c>
      <c r="I629" s="2287" t="s">
        <v>25</v>
      </c>
      <c r="J629" s="37"/>
      <c r="K629" s="2235"/>
      <c r="L629" s="37"/>
      <c r="M629" s="37"/>
      <c r="N629" s="37"/>
      <c r="O629" s="2360" t="s">
        <v>5885</v>
      </c>
      <c r="Q629" s="2287" t="s">
        <v>25</v>
      </c>
    </row>
    <row r="630" spans="1:17" ht="18.75" customHeight="1" x14ac:dyDescent="0.4">
      <c r="A630" s="2822">
        <v>562</v>
      </c>
      <c r="B630" s="1747" t="s">
        <v>158</v>
      </c>
      <c r="C630" s="1748">
        <v>400</v>
      </c>
      <c r="D630" s="1179">
        <v>67</v>
      </c>
      <c r="E630" s="1749" t="s">
        <v>5088</v>
      </c>
      <c r="F630" s="1751">
        <v>243702</v>
      </c>
      <c r="G630" s="1750">
        <v>680</v>
      </c>
      <c r="H630" s="1731" t="s">
        <v>41</v>
      </c>
      <c r="I630" s="2287" t="s">
        <v>25</v>
      </c>
      <c r="J630" s="37"/>
      <c r="K630" s="2235"/>
      <c r="L630" s="37"/>
      <c r="M630" s="37"/>
      <c r="N630" s="37"/>
      <c r="O630" s="2360" t="s">
        <v>5885</v>
      </c>
      <c r="Q630" s="2287" t="s">
        <v>25</v>
      </c>
    </row>
    <row r="631" spans="1:17" ht="18.75" customHeight="1" x14ac:dyDescent="0.4">
      <c r="A631" s="112">
        <v>563</v>
      </c>
      <c r="B631" s="1747" t="s">
        <v>158</v>
      </c>
      <c r="C631" s="1748">
        <v>400</v>
      </c>
      <c r="D631" s="1179">
        <v>67</v>
      </c>
      <c r="E631" s="1749" t="s">
        <v>5089</v>
      </c>
      <c r="F631" s="1751">
        <v>243702</v>
      </c>
      <c r="G631" s="1750">
        <v>680</v>
      </c>
      <c r="H631" s="1731" t="s">
        <v>41</v>
      </c>
      <c r="I631" s="2287" t="s">
        <v>25</v>
      </c>
      <c r="J631" s="37"/>
      <c r="K631" s="2235"/>
      <c r="L631" s="37"/>
      <c r="M631" s="37"/>
      <c r="N631" s="37"/>
      <c r="O631" s="2360" t="s">
        <v>5885</v>
      </c>
      <c r="Q631" s="2287" t="s">
        <v>25</v>
      </c>
    </row>
    <row r="632" spans="1:17" ht="18.75" customHeight="1" x14ac:dyDescent="0.4">
      <c r="A632" s="112">
        <v>564</v>
      </c>
      <c r="B632" s="1747" t="s">
        <v>158</v>
      </c>
      <c r="C632" s="1748">
        <v>400</v>
      </c>
      <c r="D632" s="1179">
        <v>67</v>
      </c>
      <c r="E632" s="1749" t="s">
        <v>5090</v>
      </c>
      <c r="F632" s="1751">
        <v>243702</v>
      </c>
      <c r="G632" s="1750">
        <v>680</v>
      </c>
      <c r="H632" s="1731" t="s">
        <v>41</v>
      </c>
      <c r="I632" s="2287" t="s">
        <v>25</v>
      </c>
      <c r="J632" s="37"/>
      <c r="K632" s="2235"/>
      <c r="L632" s="37"/>
      <c r="M632" s="37"/>
      <c r="N632" s="37"/>
      <c r="O632" s="2360" t="s">
        <v>5885</v>
      </c>
      <c r="Q632" s="2287" t="s">
        <v>25</v>
      </c>
    </row>
    <row r="633" spans="1:17" ht="18.75" customHeight="1" x14ac:dyDescent="0.4">
      <c r="A633" s="112">
        <v>565</v>
      </c>
      <c r="B633" s="1747" t="s">
        <v>158</v>
      </c>
      <c r="C633" s="1748">
        <v>400</v>
      </c>
      <c r="D633" s="1179">
        <v>67</v>
      </c>
      <c r="E633" s="1749" t="s">
        <v>5091</v>
      </c>
      <c r="F633" s="1751">
        <v>243702</v>
      </c>
      <c r="G633" s="1750">
        <v>680</v>
      </c>
      <c r="H633" s="1731" t="s">
        <v>41</v>
      </c>
      <c r="I633" s="2287" t="s">
        <v>25</v>
      </c>
      <c r="J633" s="37"/>
      <c r="K633" s="2235"/>
      <c r="L633" s="37"/>
      <c r="M633" s="37"/>
      <c r="N633" s="37"/>
      <c r="O633" s="2360" t="s">
        <v>5885</v>
      </c>
      <c r="Q633" s="2287" t="s">
        <v>25</v>
      </c>
    </row>
    <row r="634" spans="1:17" ht="18.75" customHeight="1" x14ac:dyDescent="0.4">
      <c r="A634" s="112">
        <v>566</v>
      </c>
      <c r="B634" s="1747" t="s">
        <v>158</v>
      </c>
      <c r="C634" s="1748">
        <v>400</v>
      </c>
      <c r="D634" s="1179">
        <v>67</v>
      </c>
      <c r="E634" s="1749" t="s">
        <v>5092</v>
      </c>
      <c r="F634" s="1751">
        <v>243702</v>
      </c>
      <c r="G634" s="1750">
        <v>680</v>
      </c>
      <c r="H634" s="1731" t="s">
        <v>41</v>
      </c>
      <c r="I634" s="2287" t="s">
        <v>25</v>
      </c>
      <c r="J634" s="37"/>
      <c r="K634" s="2235"/>
      <c r="L634" s="37"/>
      <c r="M634" s="37"/>
      <c r="N634" s="37"/>
      <c r="O634" s="2360" t="s">
        <v>5885</v>
      </c>
      <c r="Q634" s="2287" t="s">
        <v>25</v>
      </c>
    </row>
    <row r="635" spans="1:17" ht="18.75" customHeight="1" x14ac:dyDescent="0.4">
      <c r="A635" s="112">
        <v>567</v>
      </c>
      <c r="B635" s="1747" t="s">
        <v>158</v>
      </c>
      <c r="C635" s="1748">
        <v>400</v>
      </c>
      <c r="D635" s="1179">
        <v>67</v>
      </c>
      <c r="E635" s="1749" t="s">
        <v>5093</v>
      </c>
      <c r="F635" s="1751">
        <v>243702</v>
      </c>
      <c r="G635" s="1750">
        <v>680</v>
      </c>
      <c r="H635" s="1731" t="s">
        <v>41</v>
      </c>
      <c r="I635" s="2287" t="s">
        <v>25</v>
      </c>
      <c r="J635" s="37"/>
      <c r="K635" s="2235"/>
      <c r="L635" s="37"/>
      <c r="M635" s="37"/>
      <c r="N635" s="37"/>
      <c r="O635" s="2360" t="s">
        <v>5885</v>
      </c>
      <c r="Q635" s="2287" t="s">
        <v>25</v>
      </c>
    </row>
    <row r="636" spans="1:17" ht="18.75" customHeight="1" x14ac:dyDescent="0.4">
      <c r="A636" s="112">
        <v>568</v>
      </c>
      <c r="B636" s="1747" t="s">
        <v>158</v>
      </c>
      <c r="C636" s="1748">
        <v>400</v>
      </c>
      <c r="D636" s="1179">
        <v>67</v>
      </c>
      <c r="E636" s="1749" t="s">
        <v>5094</v>
      </c>
      <c r="F636" s="1751">
        <v>243702</v>
      </c>
      <c r="G636" s="1750">
        <v>680</v>
      </c>
      <c r="H636" s="1731" t="s">
        <v>41</v>
      </c>
      <c r="I636" s="2287" t="s">
        <v>25</v>
      </c>
      <c r="J636" s="37"/>
      <c r="K636" s="2235"/>
      <c r="L636" s="37"/>
      <c r="M636" s="37"/>
      <c r="N636" s="37"/>
      <c r="O636" s="2360" t="s">
        <v>5885</v>
      </c>
      <c r="Q636" s="2287" t="s">
        <v>25</v>
      </c>
    </row>
    <row r="637" spans="1:17" ht="18.75" customHeight="1" x14ac:dyDescent="0.4">
      <c r="A637" s="112">
        <v>569</v>
      </c>
      <c r="B637" s="1747" t="s">
        <v>158</v>
      </c>
      <c r="C637" s="1748">
        <v>400</v>
      </c>
      <c r="D637" s="1179">
        <v>67</v>
      </c>
      <c r="E637" s="1749" t="s">
        <v>5095</v>
      </c>
      <c r="F637" s="1751">
        <v>243702</v>
      </c>
      <c r="G637" s="1750">
        <v>680</v>
      </c>
      <c r="H637" s="1731" t="s">
        <v>41</v>
      </c>
      <c r="I637" s="2287" t="s">
        <v>25</v>
      </c>
      <c r="J637" s="37"/>
      <c r="K637" s="2235"/>
      <c r="L637" s="37"/>
      <c r="M637" s="37"/>
      <c r="N637" s="37"/>
      <c r="O637" s="2360" t="s">
        <v>5885</v>
      </c>
      <c r="Q637" s="2287" t="s">
        <v>25</v>
      </c>
    </row>
    <row r="638" spans="1:17" ht="18.75" customHeight="1" x14ac:dyDescent="0.4">
      <c r="A638" s="2822">
        <v>570</v>
      </c>
      <c r="B638" s="1747" t="s">
        <v>158</v>
      </c>
      <c r="C638" s="1748">
        <v>400</v>
      </c>
      <c r="D638" s="1179">
        <v>67</v>
      </c>
      <c r="E638" s="1749" t="s">
        <v>5096</v>
      </c>
      <c r="F638" s="1751">
        <v>243702</v>
      </c>
      <c r="G638" s="1750">
        <v>680</v>
      </c>
      <c r="H638" s="1731" t="s">
        <v>41</v>
      </c>
      <c r="I638" s="2287" t="s">
        <v>25</v>
      </c>
      <c r="J638" s="37"/>
      <c r="K638" s="2235"/>
      <c r="L638" s="37"/>
      <c r="M638" s="37"/>
      <c r="N638" s="37"/>
      <c r="O638" s="2360" t="s">
        <v>5885</v>
      </c>
      <c r="Q638" s="2287" t="s">
        <v>25</v>
      </c>
    </row>
    <row r="639" spans="1:17" ht="18.75" customHeight="1" x14ac:dyDescent="0.4">
      <c r="A639" s="2822">
        <v>571</v>
      </c>
      <c r="B639" s="1747" t="s">
        <v>158</v>
      </c>
      <c r="C639" s="1748">
        <v>400</v>
      </c>
      <c r="D639" s="1179">
        <v>67</v>
      </c>
      <c r="E639" s="1749" t="s">
        <v>5097</v>
      </c>
      <c r="F639" s="1751">
        <v>243702</v>
      </c>
      <c r="G639" s="1750">
        <v>680</v>
      </c>
      <c r="H639" s="1731" t="s">
        <v>41</v>
      </c>
      <c r="I639" s="2287" t="s">
        <v>25</v>
      </c>
      <c r="J639" s="37"/>
      <c r="K639" s="2235"/>
      <c r="L639" s="37"/>
      <c r="M639" s="37"/>
      <c r="N639" s="37"/>
      <c r="O639" s="2360" t="s">
        <v>5885</v>
      </c>
      <c r="Q639" s="2287" t="s">
        <v>25</v>
      </c>
    </row>
    <row r="640" spans="1:17" ht="18.75" customHeight="1" x14ac:dyDescent="0.4">
      <c r="A640" s="112">
        <v>572</v>
      </c>
      <c r="B640" s="1747" t="s">
        <v>158</v>
      </c>
      <c r="C640" s="1748">
        <v>400</v>
      </c>
      <c r="D640" s="1179">
        <v>67</v>
      </c>
      <c r="E640" s="1749" t="s">
        <v>5098</v>
      </c>
      <c r="F640" s="1751">
        <v>243702</v>
      </c>
      <c r="G640" s="1750">
        <v>680</v>
      </c>
      <c r="H640" s="1731" t="s">
        <v>41</v>
      </c>
      <c r="I640" s="2287" t="s">
        <v>25</v>
      </c>
      <c r="J640" s="37"/>
      <c r="K640" s="2235"/>
      <c r="L640" s="37"/>
      <c r="M640" s="37"/>
      <c r="N640" s="37"/>
      <c r="O640" s="2360" t="s">
        <v>5885</v>
      </c>
      <c r="Q640" s="2287" t="s">
        <v>25</v>
      </c>
    </row>
    <row r="641" spans="1:17" ht="18.75" customHeight="1" x14ac:dyDescent="0.4">
      <c r="A641" s="112">
        <v>573</v>
      </c>
      <c r="B641" s="1747" t="s">
        <v>158</v>
      </c>
      <c r="C641" s="1748">
        <v>400</v>
      </c>
      <c r="D641" s="1179">
        <v>67</v>
      </c>
      <c r="E641" s="1749" t="s">
        <v>5099</v>
      </c>
      <c r="F641" s="1751">
        <v>243702</v>
      </c>
      <c r="G641" s="1750">
        <v>680</v>
      </c>
      <c r="H641" s="1731" t="s">
        <v>41</v>
      </c>
      <c r="I641" s="2287" t="s">
        <v>25</v>
      </c>
      <c r="J641" s="37"/>
      <c r="K641" s="2235"/>
      <c r="L641" s="37"/>
      <c r="M641" s="37"/>
      <c r="N641" s="37"/>
      <c r="O641" s="2360" t="s">
        <v>5885</v>
      </c>
      <c r="Q641" s="2287" t="s">
        <v>25</v>
      </c>
    </row>
    <row r="642" spans="1:17" ht="18.75" customHeight="1" x14ac:dyDescent="0.4">
      <c r="A642" s="112">
        <v>574</v>
      </c>
      <c r="B642" s="1747" t="s">
        <v>158</v>
      </c>
      <c r="C642" s="1748">
        <v>400</v>
      </c>
      <c r="D642" s="1179">
        <v>67</v>
      </c>
      <c r="E642" s="1749" t="s">
        <v>5100</v>
      </c>
      <c r="F642" s="1751">
        <v>243702</v>
      </c>
      <c r="G642" s="1750">
        <v>680</v>
      </c>
      <c r="H642" s="1731" t="s">
        <v>41</v>
      </c>
      <c r="I642" s="2287" t="s">
        <v>25</v>
      </c>
      <c r="J642" s="37"/>
      <c r="K642" s="2235"/>
      <c r="L642" s="37"/>
      <c r="M642" s="37"/>
      <c r="N642" s="37"/>
      <c r="O642" s="2360" t="s">
        <v>5885</v>
      </c>
      <c r="Q642" s="2287" t="s">
        <v>25</v>
      </c>
    </row>
    <row r="643" spans="1:17" ht="18.75" customHeight="1" x14ac:dyDescent="0.4">
      <c r="A643" s="112">
        <v>575</v>
      </c>
      <c r="B643" s="1747" t="s">
        <v>158</v>
      </c>
      <c r="C643" s="1748">
        <v>400</v>
      </c>
      <c r="D643" s="1179">
        <v>67</v>
      </c>
      <c r="E643" s="1749" t="s">
        <v>5101</v>
      </c>
      <c r="F643" s="1751">
        <v>243702</v>
      </c>
      <c r="G643" s="1750">
        <v>680</v>
      </c>
      <c r="H643" s="1731" t="s">
        <v>41</v>
      </c>
      <c r="I643" s="2287" t="s">
        <v>25</v>
      </c>
      <c r="J643" s="37"/>
      <c r="K643" s="2235"/>
      <c r="L643" s="37"/>
      <c r="M643" s="37"/>
      <c r="N643" s="37"/>
      <c r="O643" s="2360" t="s">
        <v>5885</v>
      </c>
      <c r="Q643" s="2287" t="s">
        <v>25</v>
      </c>
    </row>
    <row r="644" spans="1:17" ht="18.75" customHeight="1" x14ac:dyDescent="0.4">
      <c r="A644" s="112">
        <v>576</v>
      </c>
      <c r="B644" s="1747" t="s">
        <v>158</v>
      </c>
      <c r="C644" s="1748">
        <v>400</v>
      </c>
      <c r="D644" s="1179">
        <v>67</v>
      </c>
      <c r="E644" s="1749" t="s">
        <v>5102</v>
      </c>
      <c r="F644" s="1751">
        <v>243702</v>
      </c>
      <c r="G644" s="1750">
        <v>680</v>
      </c>
      <c r="H644" s="1731" t="s">
        <v>41</v>
      </c>
      <c r="I644" s="2287" t="s">
        <v>25</v>
      </c>
      <c r="J644" s="37"/>
      <c r="K644" s="2235"/>
      <c r="L644" s="37"/>
      <c r="M644" s="37"/>
      <c r="N644" s="37"/>
      <c r="O644" s="2360" t="s">
        <v>5885</v>
      </c>
      <c r="Q644" s="2287" t="s">
        <v>25</v>
      </c>
    </row>
    <row r="645" spans="1:17" ht="18.75" customHeight="1" x14ac:dyDescent="0.4">
      <c r="A645" s="112">
        <v>577</v>
      </c>
      <c r="B645" s="1747" t="s">
        <v>158</v>
      </c>
      <c r="C645" s="1748">
        <v>400</v>
      </c>
      <c r="D645" s="1179">
        <v>67</v>
      </c>
      <c r="E645" s="1749" t="s">
        <v>5103</v>
      </c>
      <c r="F645" s="1751">
        <v>243702</v>
      </c>
      <c r="G645" s="1750">
        <v>680</v>
      </c>
      <c r="H645" s="1731" t="s">
        <v>41</v>
      </c>
      <c r="I645" s="2287" t="s">
        <v>25</v>
      </c>
      <c r="J645" s="37"/>
      <c r="K645" s="2235"/>
      <c r="L645" s="37"/>
      <c r="M645" s="37"/>
      <c r="N645" s="37"/>
      <c r="O645" s="2360" t="s">
        <v>5885</v>
      </c>
      <c r="Q645" s="2287" t="s">
        <v>25</v>
      </c>
    </row>
    <row r="646" spans="1:17" ht="18.75" customHeight="1" x14ac:dyDescent="0.4">
      <c r="A646" s="112">
        <v>578</v>
      </c>
      <c r="B646" s="1747" t="s">
        <v>158</v>
      </c>
      <c r="C646" s="1748">
        <v>400</v>
      </c>
      <c r="D646" s="1179">
        <v>67</v>
      </c>
      <c r="E646" s="1749" t="s">
        <v>5104</v>
      </c>
      <c r="F646" s="1751">
        <v>243702</v>
      </c>
      <c r="G646" s="1750">
        <v>680</v>
      </c>
      <c r="H646" s="1731" t="s">
        <v>41</v>
      </c>
      <c r="I646" s="2287" t="s">
        <v>25</v>
      </c>
      <c r="J646" s="37"/>
      <c r="K646" s="2235"/>
      <c r="L646" s="37"/>
      <c r="M646" s="37"/>
      <c r="N646" s="37"/>
      <c r="O646" s="2360" t="s">
        <v>5885</v>
      </c>
      <c r="Q646" s="2287" t="s">
        <v>25</v>
      </c>
    </row>
    <row r="647" spans="1:17" ht="18.75" customHeight="1" x14ac:dyDescent="0.4">
      <c r="A647" s="2822">
        <v>579</v>
      </c>
      <c r="B647" s="1747" t="s">
        <v>158</v>
      </c>
      <c r="C647" s="1748">
        <v>400</v>
      </c>
      <c r="D647" s="1179">
        <v>67</v>
      </c>
      <c r="E647" s="1749" t="s">
        <v>5105</v>
      </c>
      <c r="F647" s="1751">
        <v>243702</v>
      </c>
      <c r="G647" s="1750">
        <v>680</v>
      </c>
      <c r="H647" s="1731" t="s">
        <v>41</v>
      </c>
      <c r="I647" s="2287" t="s">
        <v>25</v>
      </c>
      <c r="J647" s="37"/>
      <c r="K647" s="2235"/>
      <c r="L647" s="37"/>
      <c r="M647" s="37"/>
      <c r="N647" s="37"/>
      <c r="O647" s="2360" t="s">
        <v>5885</v>
      </c>
      <c r="Q647" s="2287" t="s">
        <v>25</v>
      </c>
    </row>
    <row r="648" spans="1:17" ht="18.75" customHeight="1" x14ac:dyDescent="0.4">
      <c r="A648" s="2822">
        <v>580</v>
      </c>
      <c r="B648" s="1747" t="s">
        <v>158</v>
      </c>
      <c r="C648" s="1748">
        <v>400</v>
      </c>
      <c r="D648" s="1179">
        <v>67</v>
      </c>
      <c r="E648" s="1749" t="s">
        <v>5106</v>
      </c>
      <c r="F648" s="1751">
        <v>243702</v>
      </c>
      <c r="G648" s="1750">
        <v>680</v>
      </c>
      <c r="H648" s="1731" t="s">
        <v>41</v>
      </c>
      <c r="I648" s="2287" t="s">
        <v>25</v>
      </c>
      <c r="J648" s="37"/>
      <c r="K648" s="2235"/>
      <c r="L648" s="37"/>
      <c r="M648" s="37"/>
      <c r="N648" s="37"/>
      <c r="O648" s="2360" t="s">
        <v>5885</v>
      </c>
      <c r="Q648" s="2287" t="s">
        <v>25</v>
      </c>
    </row>
    <row r="649" spans="1:17" ht="18.75" customHeight="1" x14ac:dyDescent="0.4">
      <c r="A649" s="112">
        <v>581</v>
      </c>
      <c r="B649" s="1747" t="s">
        <v>158</v>
      </c>
      <c r="C649" s="1748">
        <v>400</v>
      </c>
      <c r="D649" s="1179">
        <v>67</v>
      </c>
      <c r="E649" s="1749" t="s">
        <v>5107</v>
      </c>
      <c r="F649" s="1751">
        <v>243702</v>
      </c>
      <c r="G649" s="1750">
        <v>680</v>
      </c>
      <c r="H649" s="1731" t="s">
        <v>41</v>
      </c>
      <c r="I649" s="2287" t="s">
        <v>25</v>
      </c>
      <c r="J649" s="37"/>
      <c r="K649" s="2235"/>
      <c r="L649" s="37"/>
      <c r="M649" s="37"/>
      <c r="N649" s="37"/>
      <c r="O649" s="2360" t="s">
        <v>5885</v>
      </c>
      <c r="Q649" s="2287" t="s">
        <v>25</v>
      </c>
    </row>
    <row r="650" spans="1:17" ht="18.75" customHeight="1" x14ac:dyDescent="0.4">
      <c r="A650" s="112">
        <v>582</v>
      </c>
      <c r="B650" s="1747" t="s">
        <v>158</v>
      </c>
      <c r="C650" s="1748">
        <v>400</v>
      </c>
      <c r="D650" s="1179">
        <v>67</v>
      </c>
      <c r="E650" s="1749" t="s">
        <v>5108</v>
      </c>
      <c r="F650" s="1751">
        <v>243702</v>
      </c>
      <c r="G650" s="1750">
        <v>680</v>
      </c>
      <c r="H650" s="1731" t="s">
        <v>41</v>
      </c>
      <c r="I650" s="2287" t="s">
        <v>25</v>
      </c>
      <c r="J650" s="37"/>
      <c r="K650" s="2235"/>
      <c r="L650" s="37"/>
      <c r="M650" s="37"/>
      <c r="N650" s="37"/>
      <c r="O650" s="2360" t="s">
        <v>5885</v>
      </c>
      <c r="Q650" s="2287" t="s">
        <v>25</v>
      </c>
    </row>
    <row r="651" spans="1:17" ht="18.75" customHeight="1" x14ac:dyDescent="0.4">
      <c r="A651" s="112">
        <v>583</v>
      </c>
      <c r="B651" s="1747" t="s">
        <v>158</v>
      </c>
      <c r="C651" s="1748">
        <v>400</v>
      </c>
      <c r="D651" s="1179">
        <v>67</v>
      </c>
      <c r="E651" s="1749" t="s">
        <v>5109</v>
      </c>
      <c r="F651" s="1751">
        <v>243702</v>
      </c>
      <c r="G651" s="1750">
        <v>680</v>
      </c>
      <c r="H651" s="1731" t="s">
        <v>41</v>
      </c>
      <c r="I651" s="2287" t="s">
        <v>25</v>
      </c>
      <c r="J651" s="37"/>
      <c r="K651" s="2235"/>
      <c r="L651" s="37"/>
      <c r="M651" s="37"/>
      <c r="N651" s="37"/>
      <c r="O651" s="2360" t="s">
        <v>5885</v>
      </c>
      <c r="Q651" s="2287" t="s">
        <v>25</v>
      </c>
    </row>
    <row r="652" spans="1:17" ht="18.75" customHeight="1" x14ac:dyDescent="0.4">
      <c r="A652" s="112">
        <v>584</v>
      </c>
      <c r="B652" s="1747" t="s">
        <v>158</v>
      </c>
      <c r="C652" s="1748">
        <v>400</v>
      </c>
      <c r="D652" s="1179">
        <v>67</v>
      </c>
      <c r="E652" s="1749" t="s">
        <v>5110</v>
      </c>
      <c r="F652" s="1751">
        <v>243702</v>
      </c>
      <c r="G652" s="1750">
        <v>680</v>
      </c>
      <c r="H652" s="1731" t="s">
        <v>41</v>
      </c>
      <c r="I652" s="2287" t="s">
        <v>25</v>
      </c>
      <c r="J652" s="37"/>
      <c r="K652" s="2235"/>
      <c r="L652" s="37"/>
      <c r="M652" s="37"/>
      <c r="N652" s="37"/>
      <c r="O652" s="2360" t="s">
        <v>5885</v>
      </c>
      <c r="Q652" s="2287" t="s">
        <v>25</v>
      </c>
    </row>
    <row r="653" spans="1:17" ht="18.75" customHeight="1" x14ac:dyDescent="0.4">
      <c r="A653" s="112">
        <v>585</v>
      </c>
      <c r="B653" s="1747" t="s">
        <v>158</v>
      </c>
      <c r="C653" s="1748">
        <v>400</v>
      </c>
      <c r="D653" s="1179">
        <v>67</v>
      </c>
      <c r="E653" s="1749" t="s">
        <v>5111</v>
      </c>
      <c r="F653" s="1751">
        <v>243702</v>
      </c>
      <c r="G653" s="1750">
        <v>680</v>
      </c>
      <c r="H653" s="1731" t="s">
        <v>41</v>
      </c>
      <c r="I653" s="2287" t="s">
        <v>25</v>
      </c>
      <c r="J653" s="37"/>
      <c r="K653" s="2235"/>
      <c r="L653" s="37"/>
      <c r="M653" s="37"/>
      <c r="N653" s="37"/>
      <c r="O653" s="2360" t="s">
        <v>5885</v>
      </c>
      <c r="Q653" s="2287" t="s">
        <v>25</v>
      </c>
    </row>
    <row r="654" spans="1:17" ht="18.75" customHeight="1" x14ac:dyDescent="0.4">
      <c r="A654" s="112">
        <v>586</v>
      </c>
      <c r="B654" s="1747" t="s">
        <v>158</v>
      </c>
      <c r="C654" s="1748">
        <v>400</v>
      </c>
      <c r="D654" s="1179">
        <v>67</v>
      </c>
      <c r="E654" s="1749" t="s">
        <v>5112</v>
      </c>
      <c r="F654" s="1751">
        <v>243702</v>
      </c>
      <c r="G654" s="1750">
        <v>680</v>
      </c>
      <c r="H654" s="1731" t="s">
        <v>41</v>
      </c>
      <c r="I654" s="2287" t="s">
        <v>25</v>
      </c>
      <c r="J654" s="37"/>
      <c r="K654" s="2235"/>
      <c r="L654" s="37"/>
      <c r="M654" s="37"/>
      <c r="N654" s="37"/>
      <c r="O654" s="2360" t="s">
        <v>5885</v>
      </c>
      <c r="Q654" s="2287" t="s">
        <v>25</v>
      </c>
    </row>
    <row r="655" spans="1:17" ht="18.75" customHeight="1" x14ac:dyDescent="0.4">
      <c r="A655" s="112">
        <v>587</v>
      </c>
      <c r="B655" s="1747" t="s">
        <v>158</v>
      </c>
      <c r="C655" s="1748">
        <v>400</v>
      </c>
      <c r="D655" s="1179">
        <v>67</v>
      </c>
      <c r="E655" s="1749" t="s">
        <v>5113</v>
      </c>
      <c r="F655" s="1751">
        <v>243702</v>
      </c>
      <c r="G655" s="1750">
        <v>680</v>
      </c>
      <c r="H655" s="1731" t="s">
        <v>41</v>
      </c>
      <c r="I655" s="2287" t="s">
        <v>25</v>
      </c>
      <c r="J655" s="37"/>
      <c r="K655" s="2235"/>
      <c r="L655" s="37"/>
      <c r="M655" s="37"/>
      <c r="N655" s="37"/>
      <c r="O655" s="2360" t="s">
        <v>5885</v>
      </c>
      <c r="Q655" s="2287" t="s">
        <v>25</v>
      </c>
    </row>
    <row r="656" spans="1:17" ht="18.75" customHeight="1" x14ac:dyDescent="0.4">
      <c r="A656" s="2822">
        <v>588</v>
      </c>
      <c r="B656" s="1747" t="s">
        <v>158</v>
      </c>
      <c r="C656" s="1748">
        <v>400</v>
      </c>
      <c r="D656" s="1179">
        <v>67</v>
      </c>
      <c r="E656" s="1749" t="s">
        <v>5114</v>
      </c>
      <c r="F656" s="1751">
        <v>243702</v>
      </c>
      <c r="G656" s="1750">
        <v>680</v>
      </c>
      <c r="H656" s="1731" t="s">
        <v>41</v>
      </c>
      <c r="I656" s="2287" t="s">
        <v>25</v>
      </c>
      <c r="J656" s="37"/>
      <c r="K656" s="2235"/>
      <c r="L656" s="37"/>
      <c r="M656" s="37"/>
      <c r="N656" s="37"/>
      <c r="O656" s="2360" t="s">
        <v>5885</v>
      </c>
      <c r="Q656" s="2287" t="s">
        <v>25</v>
      </c>
    </row>
    <row r="657" spans="1:17" ht="18.75" customHeight="1" x14ac:dyDescent="0.4">
      <c r="A657" s="2822">
        <v>589</v>
      </c>
      <c r="B657" s="1747" t="s">
        <v>158</v>
      </c>
      <c r="C657" s="1748">
        <v>400</v>
      </c>
      <c r="D657" s="1179">
        <v>67</v>
      </c>
      <c r="E657" s="1749" t="s">
        <v>5115</v>
      </c>
      <c r="F657" s="1751">
        <v>243702</v>
      </c>
      <c r="G657" s="1750">
        <v>680</v>
      </c>
      <c r="H657" s="1731" t="s">
        <v>41</v>
      </c>
      <c r="I657" s="2287" t="s">
        <v>25</v>
      </c>
      <c r="J657" s="37"/>
      <c r="K657" s="2235"/>
      <c r="L657" s="37"/>
      <c r="M657" s="37"/>
      <c r="N657" s="37"/>
      <c r="O657" s="2360" t="s">
        <v>5885</v>
      </c>
      <c r="Q657" s="2287" t="s">
        <v>25</v>
      </c>
    </row>
    <row r="658" spans="1:17" ht="18.75" customHeight="1" x14ac:dyDescent="0.4">
      <c r="A658" s="112">
        <v>590</v>
      </c>
      <c r="B658" s="1747" t="s">
        <v>158</v>
      </c>
      <c r="C658" s="1748">
        <v>400</v>
      </c>
      <c r="D658" s="1179">
        <v>67</v>
      </c>
      <c r="E658" s="1749" t="s">
        <v>5116</v>
      </c>
      <c r="F658" s="1751">
        <v>243702</v>
      </c>
      <c r="G658" s="1750">
        <v>680</v>
      </c>
      <c r="H658" s="1731" t="s">
        <v>41</v>
      </c>
      <c r="I658" s="2287" t="s">
        <v>25</v>
      </c>
      <c r="J658" s="37"/>
      <c r="K658" s="2235"/>
      <c r="L658" s="37"/>
      <c r="M658" s="37"/>
      <c r="N658" s="37"/>
      <c r="O658" s="2360" t="s">
        <v>5885</v>
      </c>
      <c r="Q658" s="2287" t="s">
        <v>25</v>
      </c>
    </row>
    <row r="659" spans="1:17" ht="18.75" customHeight="1" x14ac:dyDescent="0.4">
      <c r="A659" s="112">
        <v>591</v>
      </c>
      <c r="B659" s="1747" t="s">
        <v>158</v>
      </c>
      <c r="C659" s="1748">
        <v>400</v>
      </c>
      <c r="D659" s="1179">
        <v>67</v>
      </c>
      <c r="E659" s="1749" t="s">
        <v>5117</v>
      </c>
      <c r="F659" s="1751">
        <v>243702</v>
      </c>
      <c r="G659" s="1750">
        <v>680</v>
      </c>
      <c r="H659" s="1731" t="s">
        <v>41</v>
      </c>
      <c r="I659" s="2287" t="s">
        <v>25</v>
      </c>
      <c r="J659" s="37"/>
      <c r="K659" s="2235"/>
      <c r="L659" s="37"/>
      <c r="M659" s="37"/>
      <c r="N659" s="37"/>
      <c r="O659" s="2360" t="s">
        <v>5885</v>
      </c>
      <c r="Q659" s="2287" t="s">
        <v>25</v>
      </c>
    </row>
    <row r="660" spans="1:17" ht="18.75" customHeight="1" x14ac:dyDescent="0.4">
      <c r="A660" s="112">
        <v>592</v>
      </c>
      <c r="B660" s="1747" t="s">
        <v>158</v>
      </c>
      <c r="C660" s="1748">
        <v>400</v>
      </c>
      <c r="D660" s="1179">
        <v>67</v>
      </c>
      <c r="E660" s="1749" t="s">
        <v>5118</v>
      </c>
      <c r="F660" s="1751">
        <v>243702</v>
      </c>
      <c r="G660" s="1750">
        <v>680</v>
      </c>
      <c r="H660" s="1731" t="s">
        <v>41</v>
      </c>
      <c r="I660" s="2287" t="s">
        <v>25</v>
      </c>
      <c r="J660" s="37"/>
      <c r="K660" s="2235"/>
      <c r="L660" s="37"/>
      <c r="M660" s="37"/>
      <c r="N660" s="37"/>
      <c r="O660" s="2360" t="s">
        <v>5885</v>
      </c>
      <c r="Q660" s="2287" t="s">
        <v>25</v>
      </c>
    </row>
    <row r="661" spans="1:17" ht="18.75" customHeight="1" x14ac:dyDescent="0.4">
      <c r="A661" s="112">
        <v>593</v>
      </c>
      <c r="B661" s="1747" t="s">
        <v>158</v>
      </c>
      <c r="C661" s="1748">
        <v>400</v>
      </c>
      <c r="D661" s="1179">
        <v>67</v>
      </c>
      <c r="E661" s="1749" t="s">
        <v>5119</v>
      </c>
      <c r="F661" s="1751">
        <v>243702</v>
      </c>
      <c r="G661" s="1750">
        <v>680</v>
      </c>
      <c r="H661" s="1731" t="s">
        <v>41</v>
      </c>
      <c r="I661" s="2287" t="s">
        <v>25</v>
      </c>
      <c r="J661" s="37"/>
      <c r="K661" s="2235"/>
      <c r="L661" s="37"/>
      <c r="M661" s="37"/>
      <c r="N661" s="37"/>
      <c r="O661" s="2360" t="s">
        <v>5885</v>
      </c>
      <c r="Q661" s="2287" t="s">
        <v>25</v>
      </c>
    </row>
    <row r="662" spans="1:17" ht="18.75" customHeight="1" x14ac:dyDescent="0.4">
      <c r="A662" s="112">
        <v>594</v>
      </c>
      <c r="B662" s="1747" t="s">
        <v>158</v>
      </c>
      <c r="C662" s="1748">
        <v>400</v>
      </c>
      <c r="D662" s="1179">
        <v>67</v>
      </c>
      <c r="E662" s="1749" t="s">
        <v>5120</v>
      </c>
      <c r="F662" s="1751">
        <v>243702</v>
      </c>
      <c r="G662" s="1750">
        <v>680</v>
      </c>
      <c r="H662" s="1731" t="s">
        <v>41</v>
      </c>
      <c r="I662" s="2287" t="s">
        <v>25</v>
      </c>
      <c r="J662" s="37"/>
      <c r="K662" s="2235"/>
      <c r="L662" s="37"/>
      <c r="M662" s="37"/>
      <c r="N662" s="37"/>
      <c r="O662" s="2360" t="s">
        <v>5885</v>
      </c>
      <c r="Q662" s="2287" t="s">
        <v>25</v>
      </c>
    </row>
    <row r="663" spans="1:17" ht="18.75" customHeight="1" x14ac:dyDescent="0.4">
      <c r="A663" s="112">
        <v>595</v>
      </c>
      <c r="B663" s="1747" t="s">
        <v>158</v>
      </c>
      <c r="C663" s="1748">
        <v>400</v>
      </c>
      <c r="D663" s="1179">
        <v>67</v>
      </c>
      <c r="E663" s="1749" t="s">
        <v>5121</v>
      </c>
      <c r="F663" s="1751">
        <v>243702</v>
      </c>
      <c r="G663" s="1750">
        <v>680</v>
      </c>
      <c r="H663" s="1731" t="s">
        <v>41</v>
      </c>
      <c r="I663" s="2287" t="s">
        <v>25</v>
      </c>
      <c r="J663" s="37"/>
      <c r="K663" s="2235"/>
      <c r="L663" s="37"/>
      <c r="M663" s="37"/>
      <c r="N663" s="37"/>
      <c r="O663" s="2360" t="s">
        <v>5885</v>
      </c>
      <c r="Q663" s="2287" t="s">
        <v>25</v>
      </c>
    </row>
    <row r="664" spans="1:17" ht="18.75" customHeight="1" x14ac:dyDescent="0.4">
      <c r="A664" s="112">
        <v>596</v>
      </c>
      <c r="B664" s="1747" t="s">
        <v>158</v>
      </c>
      <c r="C664" s="1748">
        <v>400</v>
      </c>
      <c r="D664" s="1179">
        <v>67</v>
      </c>
      <c r="E664" s="1749" t="s">
        <v>5122</v>
      </c>
      <c r="F664" s="1751">
        <v>243702</v>
      </c>
      <c r="G664" s="1750">
        <v>680</v>
      </c>
      <c r="H664" s="1731" t="s">
        <v>41</v>
      </c>
      <c r="I664" s="2287" t="s">
        <v>25</v>
      </c>
      <c r="J664" s="37"/>
      <c r="K664" s="2235"/>
      <c r="L664" s="37"/>
      <c r="M664" s="37"/>
      <c r="N664" s="37"/>
      <c r="O664" s="2360" t="s">
        <v>5885</v>
      </c>
      <c r="Q664" s="2287" t="s">
        <v>25</v>
      </c>
    </row>
    <row r="665" spans="1:17" ht="18.75" customHeight="1" x14ac:dyDescent="0.4">
      <c r="A665" s="2822">
        <v>597</v>
      </c>
      <c r="B665" s="1747" t="s">
        <v>158</v>
      </c>
      <c r="C665" s="1748">
        <v>400</v>
      </c>
      <c r="D665" s="1179">
        <v>67</v>
      </c>
      <c r="E665" s="1749" t="s">
        <v>5123</v>
      </c>
      <c r="F665" s="1751">
        <v>243702</v>
      </c>
      <c r="G665" s="1750">
        <v>680</v>
      </c>
      <c r="H665" s="1731" t="s">
        <v>41</v>
      </c>
      <c r="I665" s="2287" t="s">
        <v>25</v>
      </c>
      <c r="J665" s="37"/>
      <c r="K665" s="2235"/>
      <c r="L665" s="37"/>
      <c r="M665" s="37"/>
      <c r="N665" s="37"/>
      <c r="O665" s="2360" t="s">
        <v>5885</v>
      </c>
      <c r="Q665" s="2287" t="s">
        <v>25</v>
      </c>
    </row>
    <row r="666" spans="1:17" ht="18.75" customHeight="1" x14ac:dyDescent="0.4">
      <c r="A666" s="2822">
        <v>598</v>
      </c>
      <c r="B666" s="1747" t="s">
        <v>158</v>
      </c>
      <c r="C666" s="1748">
        <v>400</v>
      </c>
      <c r="D666" s="1179">
        <v>67</v>
      </c>
      <c r="E666" s="1749" t="s">
        <v>5124</v>
      </c>
      <c r="F666" s="1751">
        <v>243702</v>
      </c>
      <c r="G666" s="1750">
        <v>680</v>
      </c>
      <c r="H666" s="1731" t="s">
        <v>41</v>
      </c>
      <c r="I666" s="2287" t="s">
        <v>25</v>
      </c>
      <c r="J666" s="37"/>
      <c r="K666" s="2235"/>
      <c r="L666" s="37"/>
      <c r="M666" s="37"/>
      <c r="N666" s="37"/>
      <c r="O666" s="2360" t="s">
        <v>5885</v>
      </c>
      <c r="Q666" s="2287" t="s">
        <v>25</v>
      </c>
    </row>
    <row r="667" spans="1:17" ht="18.75" customHeight="1" x14ac:dyDescent="0.4">
      <c r="A667" s="112">
        <v>599</v>
      </c>
      <c r="B667" s="1747" t="s">
        <v>158</v>
      </c>
      <c r="C667" s="1748">
        <v>400</v>
      </c>
      <c r="D667" s="1179">
        <v>67</v>
      </c>
      <c r="E667" s="1749" t="s">
        <v>5125</v>
      </c>
      <c r="F667" s="1751">
        <v>243702</v>
      </c>
      <c r="G667" s="1750">
        <v>680</v>
      </c>
      <c r="H667" s="1731" t="s">
        <v>41</v>
      </c>
      <c r="I667" s="2287" t="s">
        <v>25</v>
      </c>
      <c r="J667" s="37"/>
      <c r="K667" s="2235"/>
      <c r="L667" s="37"/>
      <c r="M667" s="37"/>
      <c r="N667" s="37"/>
      <c r="O667" s="2360" t="s">
        <v>5885</v>
      </c>
      <c r="Q667" s="2287" t="s">
        <v>25</v>
      </c>
    </row>
    <row r="668" spans="1:17" ht="18.75" customHeight="1" x14ac:dyDescent="0.4">
      <c r="A668" s="112">
        <v>600</v>
      </c>
      <c r="B668" s="1747" t="s">
        <v>158</v>
      </c>
      <c r="C668" s="1748">
        <v>400</v>
      </c>
      <c r="D668" s="1179">
        <v>67</v>
      </c>
      <c r="E668" s="1749" t="s">
        <v>5126</v>
      </c>
      <c r="F668" s="1751">
        <v>243702</v>
      </c>
      <c r="G668" s="1750">
        <v>680</v>
      </c>
      <c r="H668" s="1731" t="s">
        <v>41</v>
      </c>
      <c r="I668" s="2287" t="s">
        <v>25</v>
      </c>
      <c r="J668" s="37"/>
      <c r="K668" s="2235"/>
      <c r="L668" s="37"/>
      <c r="M668" s="37"/>
      <c r="N668" s="37"/>
      <c r="O668" s="2360" t="s">
        <v>5885</v>
      </c>
      <c r="Q668" s="2287" t="s">
        <v>25</v>
      </c>
    </row>
    <row r="669" spans="1:17" ht="18.75" customHeight="1" x14ac:dyDescent="0.4">
      <c r="A669" s="112">
        <v>601</v>
      </c>
      <c r="B669" s="1747" t="s">
        <v>158</v>
      </c>
      <c r="C669" s="1748">
        <v>400</v>
      </c>
      <c r="D669" s="1179">
        <v>67</v>
      </c>
      <c r="E669" s="1749" t="s">
        <v>5127</v>
      </c>
      <c r="F669" s="1751">
        <v>243702</v>
      </c>
      <c r="G669" s="1750">
        <v>680</v>
      </c>
      <c r="H669" s="1731" t="s">
        <v>41</v>
      </c>
      <c r="I669" s="2287" t="s">
        <v>25</v>
      </c>
      <c r="J669" s="37"/>
      <c r="K669" s="2235"/>
      <c r="L669" s="37"/>
      <c r="M669" s="37"/>
      <c r="N669" s="37"/>
      <c r="O669" s="2360" t="s">
        <v>5885</v>
      </c>
      <c r="Q669" s="2287" t="s">
        <v>25</v>
      </c>
    </row>
    <row r="670" spans="1:17" ht="18.75" customHeight="1" x14ac:dyDescent="0.4">
      <c r="A670" s="112">
        <v>602</v>
      </c>
      <c r="B670" s="1747" t="s">
        <v>158</v>
      </c>
      <c r="C670" s="1748">
        <v>400</v>
      </c>
      <c r="D670" s="1179">
        <v>67</v>
      </c>
      <c r="E670" s="1749" t="s">
        <v>5128</v>
      </c>
      <c r="F670" s="1751">
        <v>243702</v>
      </c>
      <c r="G670" s="1750">
        <v>680</v>
      </c>
      <c r="H670" s="1731" t="s">
        <v>41</v>
      </c>
      <c r="I670" s="2287" t="s">
        <v>25</v>
      </c>
      <c r="J670" s="37"/>
      <c r="K670" s="2235"/>
      <c r="L670" s="37"/>
      <c r="M670" s="37"/>
      <c r="N670" s="37"/>
      <c r="O670" s="2360" t="s">
        <v>5885</v>
      </c>
      <c r="Q670" s="2287" t="s">
        <v>25</v>
      </c>
    </row>
    <row r="671" spans="1:17" ht="18.75" customHeight="1" x14ac:dyDescent="0.4">
      <c r="A671" s="112">
        <v>603</v>
      </c>
      <c r="B671" s="1747" t="s">
        <v>158</v>
      </c>
      <c r="C671" s="1748">
        <v>400</v>
      </c>
      <c r="D671" s="1179">
        <v>67</v>
      </c>
      <c r="E671" s="1749" t="s">
        <v>5129</v>
      </c>
      <c r="F671" s="1751">
        <v>243702</v>
      </c>
      <c r="G671" s="1750">
        <v>680</v>
      </c>
      <c r="H671" s="1731" t="s">
        <v>41</v>
      </c>
      <c r="I671" s="2287" t="s">
        <v>25</v>
      </c>
      <c r="J671" s="37"/>
      <c r="K671" s="2235"/>
      <c r="L671" s="37"/>
      <c r="M671" s="37"/>
      <c r="N671" s="37"/>
      <c r="O671" s="2360" t="s">
        <v>5885</v>
      </c>
      <c r="Q671" s="2287" t="s">
        <v>25</v>
      </c>
    </row>
    <row r="672" spans="1:17" ht="18.75" customHeight="1" x14ac:dyDescent="0.4">
      <c r="A672" s="112">
        <v>604</v>
      </c>
      <c r="B672" s="1747" t="s">
        <v>158</v>
      </c>
      <c r="C672" s="1748">
        <v>400</v>
      </c>
      <c r="D672" s="1179">
        <v>67</v>
      </c>
      <c r="E672" s="1749" t="s">
        <v>5130</v>
      </c>
      <c r="F672" s="1751">
        <v>243702</v>
      </c>
      <c r="G672" s="1750">
        <v>680</v>
      </c>
      <c r="H672" s="1731" t="s">
        <v>41</v>
      </c>
      <c r="I672" s="2287" t="s">
        <v>25</v>
      </c>
      <c r="J672" s="37"/>
      <c r="K672" s="2235"/>
      <c r="L672" s="37"/>
      <c r="M672" s="37"/>
      <c r="N672" s="37"/>
      <c r="O672" s="2360" t="s">
        <v>5885</v>
      </c>
      <c r="Q672" s="2287" t="s">
        <v>25</v>
      </c>
    </row>
    <row r="673" spans="1:17" ht="18.75" customHeight="1" x14ac:dyDescent="0.4">
      <c r="A673" s="112">
        <v>605</v>
      </c>
      <c r="B673" s="1747" t="s">
        <v>158</v>
      </c>
      <c r="C673" s="1748">
        <v>400</v>
      </c>
      <c r="D673" s="1179">
        <v>67</v>
      </c>
      <c r="E673" s="1749" t="s">
        <v>5131</v>
      </c>
      <c r="F673" s="1751">
        <v>243702</v>
      </c>
      <c r="G673" s="1750">
        <v>680</v>
      </c>
      <c r="H673" s="1731" t="s">
        <v>41</v>
      </c>
      <c r="I673" s="2287" t="s">
        <v>25</v>
      </c>
      <c r="J673" s="37"/>
      <c r="K673" s="2235"/>
      <c r="L673" s="37"/>
      <c r="M673" s="37"/>
      <c r="N673" s="37"/>
      <c r="O673" s="2360" t="s">
        <v>5885</v>
      </c>
      <c r="Q673" s="2287" t="s">
        <v>25</v>
      </c>
    </row>
    <row r="674" spans="1:17" ht="18.75" customHeight="1" x14ac:dyDescent="0.4">
      <c r="A674" s="2822">
        <v>606</v>
      </c>
      <c r="B674" s="1747" t="s">
        <v>158</v>
      </c>
      <c r="C674" s="1748">
        <v>400</v>
      </c>
      <c r="D674" s="1179">
        <v>67</v>
      </c>
      <c r="E674" s="1749" t="s">
        <v>5132</v>
      </c>
      <c r="F674" s="1751">
        <v>243702</v>
      </c>
      <c r="G674" s="1750">
        <v>680</v>
      </c>
      <c r="H674" s="1731" t="s">
        <v>41</v>
      </c>
      <c r="I674" s="2287" t="s">
        <v>25</v>
      </c>
      <c r="J674" s="37"/>
      <c r="K674" s="2235"/>
      <c r="L674" s="37"/>
      <c r="M674" s="37"/>
      <c r="N674" s="37"/>
      <c r="O674" s="2360" t="s">
        <v>5885</v>
      </c>
      <c r="Q674" s="2287" t="s">
        <v>25</v>
      </c>
    </row>
    <row r="675" spans="1:17" ht="18.75" customHeight="1" x14ac:dyDescent="0.4">
      <c r="A675" s="2822">
        <v>607</v>
      </c>
      <c r="B675" s="1747" t="s">
        <v>158</v>
      </c>
      <c r="C675" s="1748">
        <v>400</v>
      </c>
      <c r="D675" s="1179">
        <v>67</v>
      </c>
      <c r="E675" s="1749" t="s">
        <v>5133</v>
      </c>
      <c r="F675" s="1751">
        <v>243702</v>
      </c>
      <c r="G675" s="1750">
        <v>680</v>
      </c>
      <c r="H675" s="1731" t="s">
        <v>41</v>
      </c>
      <c r="I675" s="2287" t="s">
        <v>25</v>
      </c>
      <c r="J675" s="37"/>
      <c r="K675" s="2235"/>
      <c r="L675" s="37"/>
      <c r="M675" s="37"/>
      <c r="N675" s="37"/>
      <c r="O675" s="2360" t="s">
        <v>5885</v>
      </c>
      <c r="Q675" s="2287" t="s">
        <v>25</v>
      </c>
    </row>
    <row r="676" spans="1:17" ht="18.75" customHeight="1" x14ac:dyDescent="0.4">
      <c r="A676" s="112">
        <v>608</v>
      </c>
      <c r="B676" s="1747" t="s">
        <v>158</v>
      </c>
      <c r="C676" s="1748">
        <v>400</v>
      </c>
      <c r="D676" s="1179">
        <v>67</v>
      </c>
      <c r="E676" s="1749" t="s">
        <v>5134</v>
      </c>
      <c r="F676" s="1751">
        <v>243702</v>
      </c>
      <c r="G676" s="1750">
        <v>680</v>
      </c>
      <c r="H676" s="1731" t="s">
        <v>41</v>
      </c>
      <c r="I676" s="2287" t="s">
        <v>25</v>
      </c>
      <c r="J676" s="37"/>
      <c r="K676" s="2235"/>
      <c r="L676" s="37"/>
      <c r="M676" s="37"/>
      <c r="N676" s="37"/>
      <c r="O676" s="2360" t="s">
        <v>5885</v>
      </c>
      <c r="Q676" s="2287" t="s">
        <v>25</v>
      </c>
    </row>
    <row r="677" spans="1:17" ht="18.75" customHeight="1" x14ac:dyDescent="0.4">
      <c r="A677" s="112">
        <v>609</v>
      </c>
      <c r="B677" s="1747" t="s">
        <v>158</v>
      </c>
      <c r="C677" s="1748">
        <v>400</v>
      </c>
      <c r="D677" s="1179">
        <v>67</v>
      </c>
      <c r="E677" s="1749" t="s">
        <v>5135</v>
      </c>
      <c r="F677" s="1751">
        <v>243702</v>
      </c>
      <c r="G677" s="1750">
        <v>680</v>
      </c>
      <c r="H677" s="1731" t="s">
        <v>41</v>
      </c>
      <c r="I677" s="2287" t="s">
        <v>25</v>
      </c>
      <c r="J677" s="37"/>
      <c r="K677" s="2235"/>
      <c r="L677" s="37"/>
      <c r="M677" s="37"/>
      <c r="N677" s="37"/>
      <c r="O677" s="2360" t="s">
        <v>5885</v>
      </c>
      <c r="Q677" s="2287" t="s">
        <v>25</v>
      </c>
    </row>
    <row r="678" spans="1:17" ht="18.75" customHeight="1" x14ac:dyDescent="0.4">
      <c r="A678" s="112">
        <v>610</v>
      </c>
      <c r="B678" s="1747" t="s">
        <v>158</v>
      </c>
      <c r="C678" s="1748">
        <v>400</v>
      </c>
      <c r="D678" s="1179">
        <v>67</v>
      </c>
      <c r="E678" s="1749" t="s">
        <v>5136</v>
      </c>
      <c r="F678" s="1751">
        <v>243702</v>
      </c>
      <c r="G678" s="1750">
        <v>680</v>
      </c>
      <c r="H678" s="1731" t="s">
        <v>41</v>
      </c>
      <c r="I678" s="2287" t="s">
        <v>25</v>
      </c>
      <c r="J678" s="37"/>
      <c r="K678" s="2235"/>
      <c r="L678" s="37"/>
      <c r="M678" s="37"/>
      <c r="N678" s="37"/>
      <c r="O678" s="2360" t="s">
        <v>5885</v>
      </c>
      <c r="Q678" s="2287" t="s">
        <v>25</v>
      </c>
    </row>
    <row r="679" spans="1:17" ht="18.75" customHeight="1" x14ac:dyDescent="0.4">
      <c r="A679" s="112">
        <v>611</v>
      </c>
      <c r="B679" s="1747" t="s">
        <v>158</v>
      </c>
      <c r="C679" s="1748">
        <v>400</v>
      </c>
      <c r="D679" s="1179">
        <v>67</v>
      </c>
      <c r="E679" s="1749" t="s">
        <v>5137</v>
      </c>
      <c r="F679" s="1751">
        <v>243702</v>
      </c>
      <c r="G679" s="1750">
        <v>680</v>
      </c>
      <c r="H679" s="1731" t="s">
        <v>41</v>
      </c>
      <c r="I679" s="2287" t="s">
        <v>25</v>
      </c>
      <c r="J679" s="37"/>
      <c r="K679" s="2235"/>
      <c r="L679" s="37"/>
      <c r="M679" s="37"/>
      <c r="N679" s="37"/>
      <c r="O679" s="2360" t="s">
        <v>5885</v>
      </c>
      <c r="Q679" s="2287" t="s">
        <v>25</v>
      </c>
    </row>
    <row r="680" spans="1:17" ht="18.75" customHeight="1" x14ac:dyDescent="0.4">
      <c r="A680" s="112">
        <v>612</v>
      </c>
      <c r="B680" s="1747" t="s">
        <v>158</v>
      </c>
      <c r="C680" s="1748">
        <v>400</v>
      </c>
      <c r="D680" s="1179">
        <v>67</v>
      </c>
      <c r="E680" s="1749" t="s">
        <v>5138</v>
      </c>
      <c r="F680" s="1751">
        <v>243702</v>
      </c>
      <c r="G680" s="1750">
        <v>680</v>
      </c>
      <c r="H680" s="1731" t="s">
        <v>41</v>
      </c>
      <c r="I680" s="2287" t="s">
        <v>25</v>
      </c>
      <c r="J680" s="37"/>
      <c r="K680" s="2235"/>
      <c r="L680" s="37"/>
      <c r="M680" s="37"/>
      <c r="N680" s="37"/>
      <c r="O680" s="2360" t="s">
        <v>5885</v>
      </c>
      <c r="Q680" s="2287" t="s">
        <v>25</v>
      </c>
    </row>
    <row r="681" spans="1:17" ht="18.75" customHeight="1" x14ac:dyDescent="0.4">
      <c r="A681" s="112">
        <v>613</v>
      </c>
      <c r="B681" s="1747" t="s">
        <v>158</v>
      </c>
      <c r="C681" s="1748">
        <v>400</v>
      </c>
      <c r="D681" s="1179">
        <v>67</v>
      </c>
      <c r="E681" s="1749" t="s">
        <v>5139</v>
      </c>
      <c r="F681" s="1751">
        <v>243702</v>
      </c>
      <c r="G681" s="1750">
        <v>680</v>
      </c>
      <c r="H681" s="1731" t="s">
        <v>41</v>
      </c>
      <c r="I681" s="2287" t="s">
        <v>25</v>
      </c>
      <c r="J681" s="37"/>
      <c r="K681" s="2235"/>
      <c r="L681" s="37"/>
      <c r="M681" s="37"/>
      <c r="N681" s="37"/>
      <c r="O681" s="2360" t="s">
        <v>5885</v>
      </c>
      <c r="Q681" s="2287" t="s">
        <v>25</v>
      </c>
    </row>
    <row r="682" spans="1:17" ht="18.75" customHeight="1" x14ac:dyDescent="0.4">
      <c r="A682" s="112">
        <v>614</v>
      </c>
      <c r="B682" s="1747" t="s">
        <v>158</v>
      </c>
      <c r="C682" s="1748">
        <v>400</v>
      </c>
      <c r="D682" s="1179">
        <v>67</v>
      </c>
      <c r="E682" s="1749" t="s">
        <v>5140</v>
      </c>
      <c r="F682" s="1751">
        <v>243702</v>
      </c>
      <c r="G682" s="1750">
        <v>680</v>
      </c>
      <c r="H682" s="1731" t="s">
        <v>41</v>
      </c>
      <c r="I682" s="2287" t="s">
        <v>25</v>
      </c>
      <c r="J682" s="37"/>
      <c r="K682" s="2235"/>
      <c r="L682" s="37"/>
      <c r="M682" s="37"/>
      <c r="N682" s="37"/>
      <c r="O682" s="2360" t="s">
        <v>5885</v>
      </c>
      <c r="Q682" s="2287" t="s">
        <v>25</v>
      </c>
    </row>
    <row r="683" spans="1:17" ht="18.75" customHeight="1" x14ac:dyDescent="0.4">
      <c r="A683" s="2822">
        <v>615</v>
      </c>
      <c r="B683" s="1747" t="s">
        <v>158</v>
      </c>
      <c r="C683" s="1748">
        <v>400</v>
      </c>
      <c r="D683" s="1179">
        <v>67</v>
      </c>
      <c r="E683" s="1749" t="s">
        <v>5141</v>
      </c>
      <c r="F683" s="1751">
        <v>243702</v>
      </c>
      <c r="G683" s="1750">
        <v>680</v>
      </c>
      <c r="H683" s="1731" t="s">
        <v>41</v>
      </c>
      <c r="I683" s="2287" t="s">
        <v>25</v>
      </c>
      <c r="J683" s="37"/>
      <c r="K683" s="2235"/>
      <c r="L683" s="37"/>
      <c r="M683" s="37"/>
      <c r="N683" s="37"/>
      <c r="O683" s="2360" t="s">
        <v>5885</v>
      </c>
      <c r="Q683" s="2287" t="s">
        <v>25</v>
      </c>
    </row>
    <row r="684" spans="1:17" ht="18.75" customHeight="1" x14ac:dyDescent="0.4">
      <c r="A684" s="2822">
        <v>616</v>
      </c>
      <c r="B684" s="1747" t="s">
        <v>158</v>
      </c>
      <c r="C684" s="1748">
        <v>400</v>
      </c>
      <c r="D684" s="1179">
        <v>67</v>
      </c>
      <c r="E684" s="1749" t="s">
        <v>5142</v>
      </c>
      <c r="F684" s="1751">
        <v>243702</v>
      </c>
      <c r="G684" s="1750">
        <v>680</v>
      </c>
      <c r="H684" s="1731" t="s">
        <v>41</v>
      </c>
      <c r="I684" s="2287" t="s">
        <v>25</v>
      </c>
      <c r="J684" s="37"/>
      <c r="K684" s="2235"/>
      <c r="L684" s="37"/>
      <c r="M684" s="37"/>
      <c r="N684" s="37"/>
      <c r="O684" s="2360" t="s">
        <v>5885</v>
      </c>
      <c r="Q684" s="2287" t="s">
        <v>25</v>
      </c>
    </row>
    <row r="685" spans="1:17" ht="18.75" customHeight="1" x14ac:dyDescent="0.4">
      <c r="A685" s="112">
        <v>617</v>
      </c>
      <c r="B685" s="1747" t="s">
        <v>158</v>
      </c>
      <c r="C685" s="1748">
        <v>400</v>
      </c>
      <c r="D685" s="1179">
        <v>67</v>
      </c>
      <c r="E685" s="1749" t="s">
        <v>5143</v>
      </c>
      <c r="F685" s="1751">
        <v>243702</v>
      </c>
      <c r="G685" s="1750">
        <v>680</v>
      </c>
      <c r="H685" s="1731" t="s">
        <v>41</v>
      </c>
      <c r="I685" s="2287" t="s">
        <v>25</v>
      </c>
      <c r="J685" s="37"/>
      <c r="K685" s="2235"/>
      <c r="L685" s="37"/>
      <c r="M685" s="37"/>
      <c r="N685" s="37"/>
      <c r="O685" s="2360" t="s">
        <v>5885</v>
      </c>
      <c r="Q685" s="2287" t="s">
        <v>25</v>
      </c>
    </row>
    <row r="686" spans="1:17" ht="18.75" customHeight="1" x14ac:dyDescent="0.4">
      <c r="A686" s="112">
        <v>618</v>
      </c>
      <c r="B686" s="1747" t="s">
        <v>158</v>
      </c>
      <c r="C686" s="1748">
        <v>400</v>
      </c>
      <c r="D686" s="1179">
        <v>67</v>
      </c>
      <c r="E686" s="1749" t="s">
        <v>5144</v>
      </c>
      <c r="F686" s="1751">
        <v>243702</v>
      </c>
      <c r="G686" s="1750">
        <v>680</v>
      </c>
      <c r="H686" s="1731" t="s">
        <v>41</v>
      </c>
      <c r="I686" s="2287" t="s">
        <v>25</v>
      </c>
      <c r="J686" s="37"/>
      <c r="K686" s="2235"/>
      <c r="L686" s="37"/>
      <c r="M686" s="37"/>
      <c r="N686" s="37"/>
      <c r="O686" s="2360" t="s">
        <v>5885</v>
      </c>
      <c r="Q686" s="2287" t="s">
        <v>25</v>
      </c>
    </row>
    <row r="687" spans="1:17" ht="18.75" customHeight="1" x14ac:dyDescent="0.4">
      <c r="A687" s="112">
        <v>619</v>
      </c>
      <c r="B687" s="1747" t="s">
        <v>158</v>
      </c>
      <c r="C687" s="1748">
        <v>400</v>
      </c>
      <c r="D687" s="1179">
        <v>67</v>
      </c>
      <c r="E687" s="1749" t="s">
        <v>5145</v>
      </c>
      <c r="F687" s="1751">
        <v>243702</v>
      </c>
      <c r="G687" s="1750">
        <v>680</v>
      </c>
      <c r="H687" s="1731" t="s">
        <v>41</v>
      </c>
      <c r="I687" s="2287" t="s">
        <v>25</v>
      </c>
      <c r="J687" s="37"/>
      <c r="K687" s="2235"/>
      <c r="L687" s="37"/>
      <c r="M687" s="37"/>
      <c r="N687" s="37"/>
      <c r="O687" s="2360" t="s">
        <v>5885</v>
      </c>
      <c r="Q687" s="2287" t="s">
        <v>25</v>
      </c>
    </row>
    <row r="688" spans="1:17" ht="18.75" customHeight="1" x14ac:dyDescent="0.4">
      <c r="A688" s="112">
        <v>620</v>
      </c>
      <c r="B688" s="1747" t="s">
        <v>158</v>
      </c>
      <c r="C688" s="1748">
        <v>400</v>
      </c>
      <c r="D688" s="1179">
        <v>67</v>
      </c>
      <c r="E688" s="1749" t="s">
        <v>5146</v>
      </c>
      <c r="F688" s="1751">
        <v>243702</v>
      </c>
      <c r="G688" s="1750">
        <v>680</v>
      </c>
      <c r="H688" s="1731" t="s">
        <v>41</v>
      </c>
      <c r="I688" s="2287" t="s">
        <v>25</v>
      </c>
      <c r="J688" s="37"/>
      <c r="K688" s="2235"/>
      <c r="L688" s="37"/>
      <c r="M688" s="37"/>
      <c r="N688" s="37"/>
      <c r="O688" s="2360" t="s">
        <v>5885</v>
      </c>
      <c r="Q688" s="2287" t="s">
        <v>25</v>
      </c>
    </row>
    <row r="689" spans="1:17" ht="18.75" customHeight="1" x14ac:dyDescent="0.4">
      <c r="A689" s="112">
        <v>621</v>
      </c>
      <c r="B689" s="1747" t="s">
        <v>158</v>
      </c>
      <c r="C689" s="1748">
        <v>400</v>
      </c>
      <c r="D689" s="1179">
        <v>67</v>
      </c>
      <c r="E689" s="1749" t="s">
        <v>5147</v>
      </c>
      <c r="F689" s="1751">
        <v>243702</v>
      </c>
      <c r="G689" s="1750">
        <v>680</v>
      </c>
      <c r="H689" s="1731" t="s">
        <v>41</v>
      </c>
      <c r="I689" s="2287" t="s">
        <v>25</v>
      </c>
      <c r="J689" s="37"/>
      <c r="K689" s="2235"/>
      <c r="L689" s="37"/>
      <c r="M689" s="37"/>
      <c r="N689" s="37"/>
      <c r="O689" s="2360" t="s">
        <v>5885</v>
      </c>
      <c r="Q689" s="2287" t="s">
        <v>25</v>
      </c>
    </row>
    <row r="690" spans="1:17" ht="18.75" customHeight="1" x14ac:dyDescent="0.4">
      <c r="A690" s="112">
        <v>622</v>
      </c>
      <c r="B690" s="1747" t="s">
        <v>158</v>
      </c>
      <c r="C690" s="1748">
        <v>400</v>
      </c>
      <c r="D690" s="1179">
        <v>67</v>
      </c>
      <c r="E690" s="1749" t="s">
        <v>5148</v>
      </c>
      <c r="F690" s="1751">
        <v>243702</v>
      </c>
      <c r="G690" s="1750">
        <v>680</v>
      </c>
      <c r="H690" s="1731" t="s">
        <v>41</v>
      </c>
      <c r="I690" s="2287" t="s">
        <v>25</v>
      </c>
      <c r="J690" s="37"/>
      <c r="K690" s="2235"/>
      <c r="L690" s="37"/>
      <c r="M690" s="37"/>
      <c r="N690" s="37"/>
      <c r="O690" s="2360" t="s">
        <v>5885</v>
      </c>
      <c r="Q690" s="2287" t="s">
        <v>25</v>
      </c>
    </row>
    <row r="691" spans="1:17" ht="18.75" customHeight="1" x14ac:dyDescent="0.4">
      <c r="A691" s="112">
        <v>623</v>
      </c>
      <c r="B691" s="1747" t="s">
        <v>158</v>
      </c>
      <c r="C691" s="1748">
        <v>400</v>
      </c>
      <c r="D691" s="1179">
        <v>67</v>
      </c>
      <c r="E691" s="1749" t="s">
        <v>5149</v>
      </c>
      <c r="F691" s="1751">
        <v>243702</v>
      </c>
      <c r="G691" s="1750">
        <v>680</v>
      </c>
      <c r="H691" s="1731" t="s">
        <v>41</v>
      </c>
      <c r="I691" s="2287" t="s">
        <v>25</v>
      </c>
      <c r="J691" s="37"/>
      <c r="K691" s="2235"/>
      <c r="L691" s="37"/>
      <c r="M691" s="37"/>
      <c r="N691" s="37"/>
      <c r="O691" s="2360" t="s">
        <v>5885</v>
      </c>
      <c r="Q691" s="2287" t="s">
        <v>25</v>
      </c>
    </row>
    <row r="692" spans="1:17" ht="18.75" customHeight="1" x14ac:dyDescent="0.4">
      <c r="A692" s="2822">
        <v>624</v>
      </c>
      <c r="B692" s="1747" t="s">
        <v>158</v>
      </c>
      <c r="C692" s="1748">
        <v>400</v>
      </c>
      <c r="D692" s="1179">
        <v>67</v>
      </c>
      <c r="E692" s="1749" t="s">
        <v>5150</v>
      </c>
      <c r="F692" s="1751">
        <v>243702</v>
      </c>
      <c r="G692" s="1750">
        <v>680</v>
      </c>
      <c r="H692" s="1731" t="s">
        <v>41</v>
      </c>
      <c r="I692" s="2287" t="s">
        <v>25</v>
      </c>
      <c r="J692" s="37"/>
      <c r="K692" s="2235"/>
      <c r="L692" s="37"/>
      <c r="M692" s="37"/>
      <c r="N692" s="37"/>
      <c r="O692" s="2360" t="s">
        <v>5885</v>
      </c>
      <c r="Q692" s="2287" t="s">
        <v>25</v>
      </c>
    </row>
    <row r="693" spans="1:17" ht="18.75" customHeight="1" x14ac:dyDescent="0.4">
      <c r="A693" s="2822">
        <v>625</v>
      </c>
      <c r="B693" s="1747" t="s">
        <v>158</v>
      </c>
      <c r="C693" s="1748">
        <v>400</v>
      </c>
      <c r="D693" s="1179">
        <v>67</v>
      </c>
      <c r="E693" s="1749" t="s">
        <v>5151</v>
      </c>
      <c r="F693" s="1751">
        <v>243702</v>
      </c>
      <c r="G693" s="1750">
        <v>680</v>
      </c>
      <c r="H693" s="1731" t="s">
        <v>41</v>
      </c>
      <c r="I693" s="2287" t="s">
        <v>25</v>
      </c>
      <c r="J693" s="37"/>
      <c r="K693" s="2235"/>
      <c r="L693" s="37"/>
      <c r="M693" s="37"/>
      <c r="N693" s="37"/>
      <c r="O693" s="2360" t="s">
        <v>5885</v>
      </c>
      <c r="Q693" s="2287" t="s">
        <v>25</v>
      </c>
    </row>
    <row r="694" spans="1:17" ht="18.75" customHeight="1" x14ac:dyDescent="0.4">
      <c r="A694" s="112">
        <v>626</v>
      </c>
      <c r="B694" s="1747" t="s">
        <v>158</v>
      </c>
      <c r="C694" s="1748">
        <v>400</v>
      </c>
      <c r="D694" s="1179">
        <v>67</v>
      </c>
      <c r="E694" s="1749" t="s">
        <v>5152</v>
      </c>
      <c r="F694" s="1751">
        <v>243702</v>
      </c>
      <c r="G694" s="1750">
        <v>680</v>
      </c>
      <c r="H694" s="1731" t="s">
        <v>41</v>
      </c>
      <c r="I694" s="2287" t="s">
        <v>25</v>
      </c>
      <c r="J694" s="37"/>
      <c r="K694" s="2235"/>
      <c r="L694" s="37"/>
      <c r="M694" s="37"/>
      <c r="N694" s="37"/>
      <c r="O694" s="2360" t="s">
        <v>5885</v>
      </c>
      <c r="Q694" s="2287" t="s">
        <v>25</v>
      </c>
    </row>
    <row r="695" spans="1:17" ht="18.75" customHeight="1" x14ac:dyDescent="0.4">
      <c r="A695" s="112">
        <v>627</v>
      </c>
      <c r="B695" s="1747" t="s">
        <v>158</v>
      </c>
      <c r="C695" s="1748">
        <v>400</v>
      </c>
      <c r="D695" s="1179">
        <v>67</v>
      </c>
      <c r="E695" s="1749" t="s">
        <v>5153</v>
      </c>
      <c r="F695" s="1751">
        <v>243702</v>
      </c>
      <c r="G695" s="1750">
        <v>680</v>
      </c>
      <c r="H695" s="1731" t="s">
        <v>41</v>
      </c>
      <c r="I695" s="2287" t="s">
        <v>25</v>
      </c>
      <c r="J695" s="37"/>
      <c r="K695" s="2235"/>
      <c r="L695" s="37"/>
      <c r="M695" s="37"/>
      <c r="N695" s="37"/>
      <c r="O695" s="2360" t="s">
        <v>5885</v>
      </c>
      <c r="Q695" s="2287" t="s">
        <v>25</v>
      </c>
    </row>
    <row r="696" spans="1:17" ht="18.75" customHeight="1" x14ac:dyDescent="0.4">
      <c r="A696" s="112">
        <v>628</v>
      </c>
      <c r="B696" s="1747" t="s">
        <v>158</v>
      </c>
      <c r="C696" s="1748">
        <v>400</v>
      </c>
      <c r="D696" s="1179">
        <v>67</v>
      </c>
      <c r="E696" s="1749" t="s">
        <v>5154</v>
      </c>
      <c r="F696" s="1751">
        <v>243702</v>
      </c>
      <c r="G696" s="1750">
        <v>680</v>
      </c>
      <c r="H696" s="1731" t="s">
        <v>41</v>
      </c>
      <c r="I696" s="2287" t="s">
        <v>25</v>
      </c>
      <c r="J696" s="37"/>
      <c r="K696" s="2235"/>
      <c r="L696" s="37"/>
      <c r="M696" s="37"/>
      <c r="N696" s="37"/>
      <c r="O696" s="2360" t="s">
        <v>5885</v>
      </c>
      <c r="Q696" s="2287" t="s">
        <v>25</v>
      </c>
    </row>
    <row r="697" spans="1:17" ht="18.75" customHeight="1" x14ac:dyDescent="0.4">
      <c r="A697" s="112">
        <v>629</v>
      </c>
      <c r="B697" s="1747" t="s">
        <v>158</v>
      </c>
      <c r="C697" s="1748">
        <v>400</v>
      </c>
      <c r="D697" s="1179">
        <v>67</v>
      </c>
      <c r="E697" s="1749" t="s">
        <v>5155</v>
      </c>
      <c r="F697" s="1751">
        <v>243702</v>
      </c>
      <c r="G697" s="1750">
        <v>680</v>
      </c>
      <c r="H697" s="1731" t="s">
        <v>41</v>
      </c>
      <c r="I697" s="2287" t="s">
        <v>25</v>
      </c>
      <c r="J697" s="37"/>
      <c r="K697" s="2235"/>
      <c r="L697" s="37"/>
      <c r="M697" s="37"/>
      <c r="N697" s="37"/>
      <c r="O697" s="2360" t="s">
        <v>5885</v>
      </c>
      <c r="Q697" s="2287" t="s">
        <v>25</v>
      </c>
    </row>
    <row r="698" spans="1:17" ht="18.75" customHeight="1" x14ac:dyDescent="0.4">
      <c r="A698" s="112">
        <v>630</v>
      </c>
      <c r="B698" s="1747" t="s">
        <v>158</v>
      </c>
      <c r="C698" s="1748">
        <v>400</v>
      </c>
      <c r="D698" s="1179">
        <v>67</v>
      </c>
      <c r="E698" s="1749" t="s">
        <v>5156</v>
      </c>
      <c r="F698" s="1751">
        <v>243702</v>
      </c>
      <c r="G698" s="1750">
        <v>680</v>
      </c>
      <c r="H698" s="1731" t="s">
        <v>41</v>
      </c>
      <c r="I698" s="2287" t="s">
        <v>25</v>
      </c>
      <c r="J698" s="37"/>
      <c r="K698" s="2235"/>
      <c r="L698" s="37"/>
      <c r="M698" s="37"/>
      <c r="N698" s="37"/>
      <c r="O698" s="2360" t="s">
        <v>5885</v>
      </c>
      <c r="Q698" s="2287" t="s">
        <v>25</v>
      </c>
    </row>
    <row r="699" spans="1:17" ht="18.75" customHeight="1" x14ac:dyDescent="0.4">
      <c r="A699" s="112">
        <v>631</v>
      </c>
      <c r="B699" s="1747" t="s">
        <v>158</v>
      </c>
      <c r="C699" s="1748">
        <v>400</v>
      </c>
      <c r="D699" s="1179">
        <v>67</v>
      </c>
      <c r="E699" s="1749" t="s">
        <v>5157</v>
      </c>
      <c r="F699" s="1751">
        <v>243702</v>
      </c>
      <c r="G699" s="1750">
        <v>680</v>
      </c>
      <c r="H699" s="1731" t="s">
        <v>41</v>
      </c>
      <c r="I699" s="2287" t="s">
        <v>25</v>
      </c>
      <c r="J699" s="37"/>
      <c r="K699" s="2235"/>
      <c r="L699" s="37"/>
      <c r="M699" s="37"/>
      <c r="N699" s="37"/>
      <c r="O699" s="2360" t="s">
        <v>5885</v>
      </c>
      <c r="Q699" s="2287" t="s">
        <v>25</v>
      </c>
    </row>
    <row r="700" spans="1:17" ht="18.75" customHeight="1" x14ac:dyDescent="0.4">
      <c r="A700" s="112">
        <v>632</v>
      </c>
      <c r="B700" s="1747" t="s">
        <v>158</v>
      </c>
      <c r="C700" s="1748">
        <v>400</v>
      </c>
      <c r="D700" s="1179">
        <v>67</v>
      </c>
      <c r="E700" s="1749" t="s">
        <v>5158</v>
      </c>
      <c r="F700" s="1751">
        <v>243702</v>
      </c>
      <c r="G700" s="1750">
        <v>680</v>
      </c>
      <c r="H700" s="1731" t="s">
        <v>41</v>
      </c>
      <c r="I700" s="2287" t="s">
        <v>25</v>
      </c>
      <c r="J700" s="37"/>
      <c r="K700" s="2235"/>
      <c r="L700" s="37"/>
      <c r="M700" s="37"/>
      <c r="N700" s="37"/>
      <c r="O700" s="2360" t="s">
        <v>5885</v>
      </c>
      <c r="Q700" s="2287" t="s">
        <v>25</v>
      </c>
    </row>
    <row r="701" spans="1:17" ht="18.75" customHeight="1" x14ac:dyDescent="0.4">
      <c r="A701" s="2822">
        <v>633</v>
      </c>
      <c r="B701" s="1747" t="s">
        <v>158</v>
      </c>
      <c r="C701" s="1748">
        <v>400</v>
      </c>
      <c r="D701" s="1179">
        <v>67</v>
      </c>
      <c r="E701" s="1749" t="s">
        <v>5159</v>
      </c>
      <c r="F701" s="1751">
        <v>243702</v>
      </c>
      <c r="G701" s="1750">
        <v>680</v>
      </c>
      <c r="H701" s="1731" t="s">
        <v>41</v>
      </c>
      <c r="I701" s="2287" t="s">
        <v>25</v>
      </c>
      <c r="J701" s="37"/>
      <c r="K701" s="2235"/>
      <c r="L701" s="37"/>
      <c r="M701" s="37"/>
      <c r="N701" s="37"/>
      <c r="O701" s="2360" t="s">
        <v>5885</v>
      </c>
      <c r="Q701" s="2287" t="s">
        <v>25</v>
      </c>
    </row>
    <row r="702" spans="1:17" ht="18.75" customHeight="1" x14ac:dyDescent="0.4">
      <c r="A702" s="2822">
        <v>634</v>
      </c>
      <c r="B702" s="1747" t="s">
        <v>158</v>
      </c>
      <c r="C702" s="1748">
        <v>400</v>
      </c>
      <c r="D702" s="1179">
        <v>67</v>
      </c>
      <c r="E702" s="1749" t="s">
        <v>5160</v>
      </c>
      <c r="F702" s="1751">
        <v>243702</v>
      </c>
      <c r="G702" s="1750">
        <v>680</v>
      </c>
      <c r="H702" s="1731" t="s">
        <v>41</v>
      </c>
      <c r="I702" s="2287" t="s">
        <v>25</v>
      </c>
      <c r="J702" s="37"/>
      <c r="K702" s="2235"/>
      <c r="L702" s="37"/>
      <c r="M702" s="37"/>
      <c r="N702" s="37"/>
      <c r="O702" s="2360" t="s">
        <v>5885</v>
      </c>
      <c r="Q702" s="2287" t="s">
        <v>25</v>
      </c>
    </row>
    <row r="703" spans="1:17" ht="18.75" customHeight="1" x14ac:dyDescent="0.4">
      <c r="A703" s="112">
        <v>635</v>
      </c>
      <c r="B703" s="1747" t="s">
        <v>158</v>
      </c>
      <c r="C703" s="1748">
        <v>400</v>
      </c>
      <c r="D703" s="1179">
        <v>67</v>
      </c>
      <c r="E703" s="1749" t="s">
        <v>5161</v>
      </c>
      <c r="F703" s="1751">
        <v>243702</v>
      </c>
      <c r="G703" s="1750">
        <v>680</v>
      </c>
      <c r="H703" s="1731" t="s">
        <v>41</v>
      </c>
      <c r="I703" s="2287" t="s">
        <v>25</v>
      </c>
      <c r="J703" s="37"/>
      <c r="K703" s="2235"/>
      <c r="L703" s="37"/>
      <c r="M703" s="37"/>
      <c r="N703" s="37"/>
      <c r="O703" s="2360" t="s">
        <v>5885</v>
      </c>
      <c r="Q703" s="2287" t="s">
        <v>25</v>
      </c>
    </row>
    <row r="704" spans="1:17" ht="18.75" customHeight="1" x14ac:dyDescent="0.4">
      <c r="A704" s="112">
        <v>636</v>
      </c>
      <c r="B704" s="1747" t="s">
        <v>158</v>
      </c>
      <c r="C704" s="1748">
        <v>400</v>
      </c>
      <c r="D704" s="1179">
        <v>67</v>
      </c>
      <c r="E704" s="1749" t="s">
        <v>5162</v>
      </c>
      <c r="F704" s="1751">
        <v>243702</v>
      </c>
      <c r="G704" s="1750">
        <v>680</v>
      </c>
      <c r="H704" s="1731" t="s">
        <v>41</v>
      </c>
      <c r="I704" s="2287" t="s">
        <v>25</v>
      </c>
      <c r="J704" s="37"/>
      <c r="K704" s="2235"/>
      <c r="L704" s="37"/>
      <c r="M704" s="37"/>
      <c r="N704" s="37"/>
      <c r="O704" s="2360" t="s">
        <v>5885</v>
      </c>
      <c r="Q704" s="2287" t="s">
        <v>25</v>
      </c>
    </row>
    <row r="705" spans="1:17" ht="18.75" customHeight="1" x14ac:dyDescent="0.4">
      <c r="A705" s="112">
        <v>637</v>
      </c>
      <c r="B705" s="1747" t="s">
        <v>158</v>
      </c>
      <c r="C705" s="1748">
        <v>400</v>
      </c>
      <c r="D705" s="1179">
        <v>67</v>
      </c>
      <c r="E705" s="1749" t="s">
        <v>5163</v>
      </c>
      <c r="F705" s="1751">
        <v>243702</v>
      </c>
      <c r="G705" s="1750">
        <v>680</v>
      </c>
      <c r="H705" s="1731" t="s">
        <v>41</v>
      </c>
      <c r="I705" s="2287" t="s">
        <v>25</v>
      </c>
      <c r="J705" s="37"/>
      <c r="K705" s="2235"/>
      <c r="L705" s="37"/>
      <c r="M705" s="37"/>
      <c r="N705" s="37"/>
      <c r="O705" s="2360" t="s">
        <v>5885</v>
      </c>
      <c r="Q705" s="2287" t="s">
        <v>25</v>
      </c>
    </row>
    <row r="706" spans="1:17" ht="18.75" customHeight="1" x14ac:dyDescent="0.4">
      <c r="A706" s="112">
        <v>638</v>
      </c>
      <c r="B706" s="1747" t="s">
        <v>158</v>
      </c>
      <c r="C706" s="1748">
        <v>400</v>
      </c>
      <c r="D706" s="1179">
        <v>67</v>
      </c>
      <c r="E706" s="1749" t="s">
        <v>5164</v>
      </c>
      <c r="F706" s="1751">
        <v>243702</v>
      </c>
      <c r="G706" s="1750">
        <v>680</v>
      </c>
      <c r="H706" s="1731" t="s">
        <v>41</v>
      </c>
      <c r="I706" s="2287" t="s">
        <v>25</v>
      </c>
      <c r="J706" s="37"/>
      <c r="K706" s="2235"/>
      <c r="L706" s="37"/>
      <c r="M706" s="37"/>
      <c r="N706" s="37"/>
      <c r="O706" s="2360" t="s">
        <v>5885</v>
      </c>
      <c r="Q706" s="2287" t="s">
        <v>25</v>
      </c>
    </row>
    <row r="707" spans="1:17" ht="18.75" customHeight="1" x14ac:dyDescent="0.4">
      <c r="A707" s="112">
        <v>639</v>
      </c>
      <c r="B707" s="1747" t="s">
        <v>158</v>
      </c>
      <c r="C707" s="1748">
        <v>400</v>
      </c>
      <c r="D707" s="1179">
        <v>67</v>
      </c>
      <c r="E707" s="1749" t="s">
        <v>5165</v>
      </c>
      <c r="F707" s="1751">
        <v>243702</v>
      </c>
      <c r="G707" s="1750">
        <v>680</v>
      </c>
      <c r="H707" s="1731" t="s">
        <v>41</v>
      </c>
      <c r="I707" s="2287" t="s">
        <v>25</v>
      </c>
      <c r="J707" s="37"/>
      <c r="K707" s="2235"/>
      <c r="L707" s="37"/>
      <c r="M707" s="37"/>
      <c r="N707" s="37"/>
      <c r="O707" s="2360" t="s">
        <v>5885</v>
      </c>
      <c r="Q707" s="2287" t="s">
        <v>25</v>
      </c>
    </row>
    <row r="708" spans="1:17" ht="18.75" customHeight="1" x14ac:dyDescent="0.4">
      <c r="A708" s="112">
        <v>640</v>
      </c>
      <c r="B708" s="1747" t="s">
        <v>158</v>
      </c>
      <c r="C708" s="1748">
        <v>400</v>
      </c>
      <c r="D708" s="1179">
        <v>67</v>
      </c>
      <c r="E708" s="1749" t="s">
        <v>5166</v>
      </c>
      <c r="F708" s="1751">
        <v>243702</v>
      </c>
      <c r="G708" s="1750">
        <v>680</v>
      </c>
      <c r="H708" s="1731" t="s">
        <v>41</v>
      </c>
      <c r="I708" s="2287" t="s">
        <v>25</v>
      </c>
      <c r="J708" s="37"/>
      <c r="K708" s="2235"/>
      <c r="L708" s="37"/>
      <c r="M708" s="37"/>
      <c r="N708" s="37"/>
      <c r="O708" s="2360" t="s">
        <v>5885</v>
      </c>
      <c r="Q708" s="2287" t="s">
        <v>25</v>
      </c>
    </row>
    <row r="709" spans="1:17" ht="18.75" customHeight="1" x14ac:dyDescent="0.4">
      <c r="A709" s="112">
        <v>641</v>
      </c>
      <c r="B709" s="1747" t="s">
        <v>158</v>
      </c>
      <c r="C709" s="1748">
        <v>400</v>
      </c>
      <c r="D709" s="1179">
        <v>67</v>
      </c>
      <c r="E709" s="1749" t="s">
        <v>5167</v>
      </c>
      <c r="F709" s="1751">
        <v>243702</v>
      </c>
      <c r="G709" s="1750">
        <v>680</v>
      </c>
      <c r="H709" s="1731" t="s">
        <v>41</v>
      </c>
      <c r="I709" s="2287" t="s">
        <v>25</v>
      </c>
      <c r="J709" s="37"/>
      <c r="K709" s="2235"/>
      <c r="L709" s="37"/>
      <c r="M709" s="37"/>
      <c r="N709" s="37"/>
      <c r="O709" s="2360" t="s">
        <v>5885</v>
      </c>
      <c r="Q709" s="2287" t="s">
        <v>25</v>
      </c>
    </row>
    <row r="710" spans="1:17" ht="18.75" customHeight="1" x14ac:dyDescent="0.4">
      <c r="A710" s="2822">
        <v>642</v>
      </c>
      <c r="B710" s="1747" t="s">
        <v>158</v>
      </c>
      <c r="C710" s="1748">
        <v>400</v>
      </c>
      <c r="D710" s="1179">
        <v>67</v>
      </c>
      <c r="E710" s="1749" t="s">
        <v>5168</v>
      </c>
      <c r="F710" s="1751">
        <v>243702</v>
      </c>
      <c r="G710" s="1750">
        <v>680</v>
      </c>
      <c r="H710" s="1731" t="s">
        <v>41</v>
      </c>
      <c r="I710" s="2287" t="s">
        <v>25</v>
      </c>
      <c r="J710" s="37"/>
      <c r="K710" s="2235"/>
      <c r="L710" s="37"/>
      <c r="M710" s="37"/>
      <c r="N710" s="37"/>
      <c r="O710" s="2360" t="s">
        <v>5885</v>
      </c>
      <c r="Q710" s="2287" t="s">
        <v>25</v>
      </c>
    </row>
    <row r="711" spans="1:17" ht="18.75" customHeight="1" x14ac:dyDescent="0.4">
      <c r="A711" s="2822">
        <v>643</v>
      </c>
      <c r="B711" s="1747" t="s">
        <v>158</v>
      </c>
      <c r="C711" s="1748">
        <v>400</v>
      </c>
      <c r="D711" s="1179">
        <v>67</v>
      </c>
      <c r="E711" s="1749" t="s">
        <v>5169</v>
      </c>
      <c r="F711" s="1751">
        <v>243702</v>
      </c>
      <c r="G711" s="1750">
        <v>680</v>
      </c>
      <c r="H711" s="1731" t="s">
        <v>41</v>
      </c>
      <c r="I711" s="2287" t="s">
        <v>25</v>
      </c>
      <c r="J711" s="37"/>
      <c r="K711" s="2235"/>
      <c r="L711" s="37"/>
      <c r="M711" s="37"/>
      <c r="N711" s="37"/>
      <c r="O711" s="2360" t="s">
        <v>5885</v>
      </c>
      <c r="Q711" s="2287" t="s">
        <v>25</v>
      </c>
    </row>
    <row r="712" spans="1:17" ht="18.75" customHeight="1" x14ac:dyDescent="0.4">
      <c r="A712" s="112">
        <v>644</v>
      </c>
      <c r="B712" s="1747" t="s">
        <v>158</v>
      </c>
      <c r="C712" s="1748">
        <v>400</v>
      </c>
      <c r="D712" s="1179">
        <v>67</v>
      </c>
      <c r="E712" s="1749" t="s">
        <v>5170</v>
      </c>
      <c r="F712" s="1751">
        <v>243702</v>
      </c>
      <c r="G712" s="1750">
        <v>680</v>
      </c>
      <c r="H712" s="1731" t="s">
        <v>41</v>
      </c>
      <c r="I712" s="2287" t="s">
        <v>25</v>
      </c>
      <c r="J712" s="37"/>
      <c r="K712" s="2235"/>
      <c r="L712" s="37"/>
      <c r="M712" s="37"/>
      <c r="N712" s="37"/>
      <c r="O712" s="2360" t="s">
        <v>5885</v>
      </c>
      <c r="Q712" s="2287" t="s">
        <v>25</v>
      </c>
    </row>
    <row r="713" spans="1:17" ht="18.75" customHeight="1" x14ac:dyDescent="0.4">
      <c r="A713" s="112">
        <v>645</v>
      </c>
      <c r="B713" s="1747" t="s">
        <v>158</v>
      </c>
      <c r="C713" s="1748">
        <v>400</v>
      </c>
      <c r="D713" s="1179">
        <v>67</v>
      </c>
      <c r="E713" s="1749" t="s">
        <v>5171</v>
      </c>
      <c r="F713" s="1751">
        <v>243702</v>
      </c>
      <c r="G713" s="1750">
        <v>680</v>
      </c>
      <c r="H713" s="1731" t="s">
        <v>41</v>
      </c>
      <c r="I713" s="2287" t="s">
        <v>25</v>
      </c>
      <c r="J713" s="37"/>
      <c r="K713" s="2235"/>
      <c r="L713" s="37"/>
      <c r="M713" s="37"/>
      <c r="N713" s="37"/>
      <c r="O713" s="2360" t="s">
        <v>5885</v>
      </c>
      <c r="Q713" s="2287" t="s">
        <v>25</v>
      </c>
    </row>
    <row r="714" spans="1:17" ht="18.75" customHeight="1" x14ac:dyDescent="0.4">
      <c r="A714" s="112">
        <v>646</v>
      </c>
      <c r="B714" s="1747" t="s">
        <v>158</v>
      </c>
      <c r="C714" s="1748">
        <v>400</v>
      </c>
      <c r="D714" s="1179">
        <v>67</v>
      </c>
      <c r="E714" s="1749" t="s">
        <v>5172</v>
      </c>
      <c r="F714" s="1751">
        <v>243702</v>
      </c>
      <c r="G714" s="1750">
        <v>680</v>
      </c>
      <c r="H714" s="1731" t="s">
        <v>41</v>
      </c>
      <c r="I714" s="2287" t="s">
        <v>25</v>
      </c>
      <c r="J714" s="37"/>
      <c r="K714" s="2235"/>
      <c r="L714" s="37"/>
      <c r="M714" s="37"/>
      <c r="N714" s="37"/>
      <c r="O714" s="2360" t="s">
        <v>5885</v>
      </c>
      <c r="Q714" s="2287" t="s">
        <v>25</v>
      </c>
    </row>
    <row r="715" spans="1:17" ht="18.75" customHeight="1" x14ac:dyDescent="0.4">
      <c r="A715" s="112">
        <v>647</v>
      </c>
      <c r="B715" s="1747" t="s">
        <v>158</v>
      </c>
      <c r="C715" s="1748">
        <v>400</v>
      </c>
      <c r="D715" s="1179">
        <v>67</v>
      </c>
      <c r="E715" s="1749" t="s">
        <v>5173</v>
      </c>
      <c r="F715" s="1751">
        <v>243702</v>
      </c>
      <c r="G715" s="1750">
        <v>680</v>
      </c>
      <c r="H715" s="1731" t="s">
        <v>41</v>
      </c>
      <c r="I715" s="2287" t="s">
        <v>25</v>
      </c>
      <c r="J715" s="37"/>
      <c r="K715" s="2235"/>
      <c r="L715" s="37"/>
      <c r="M715" s="37"/>
      <c r="N715" s="37"/>
      <c r="O715" s="2360" t="s">
        <v>5885</v>
      </c>
      <c r="Q715" s="2287" t="s">
        <v>25</v>
      </c>
    </row>
    <row r="716" spans="1:17" ht="18.75" customHeight="1" x14ac:dyDescent="0.4">
      <c r="A716" s="112">
        <v>648</v>
      </c>
      <c r="B716" s="1747" t="s">
        <v>158</v>
      </c>
      <c r="C716" s="1748">
        <v>400</v>
      </c>
      <c r="D716" s="1179">
        <v>67</v>
      </c>
      <c r="E716" s="1749" t="s">
        <v>5174</v>
      </c>
      <c r="F716" s="1751">
        <v>243702</v>
      </c>
      <c r="G716" s="1750">
        <v>680</v>
      </c>
      <c r="H716" s="1731" t="s">
        <v>41</v>
      </c>
      <c r="I716" s="2287" t="s">
        <v>25</v>
      </c>
      <c r="J716" s="37"/>
      <c r="K716" s="2235"/>
      <c r="L716" s="37"/>
      <c r="M716" s="37"/>
      <c r="N716" s="37"/>
      <c r="O716" s="2360" t="s">
        <v>5885</v>
      </c>
      <c r="Q716" s="2287" t="s">
        <v>25</v>
      </c>
    </row>
    <row r="717" spans="1:17" ht="18.75" customHeight="1" x14ac:dyDescent="0.4">
      <c r="A717" s="112">
        <v>649</v>
      </c>
      <c r="B717" s="1747" t="s">
        <v>158</v>
      </c>
      <c r="C717" s="1748">
        <v>400</v>
      </c>
      <c r="D717" s="1179">
        <v>67</v>
      </c>
      <c r="E717" s="1749" t="s">
        <v>5175</v>
      </c>
      <c r="F717" s="1751">
        <v>243702</v>
      </c>
      <c r="G717" s="1750">
        <v>680</v>
      </c>
      <c r="H717" s="1731" t="s">
        <v>41</v>
      </c>
      <c r="I717" s="2287" t="s">
        <v>25</v>
      </c>
      <c r="J717" s="37"/>
      <c r="K717" s="2235"/>
      <c r="L717" s="37"/>
      <c r="M717" s="37"/>
      <c r="N717" s="37"/>
      <c r="O717" s="2360" t="s">
        <v>5885</v>
      </c>
      <c r="Q717" s="2287" t="s">
        <v>25</v>
      </c>
    </row>
    <row r="718" spans="1:17" ht="18.75" customHeight="1" x14ac:dyDescent="0.4">
      <c r="A718" s="112">
        <v>650</v>
      </c>
      <c r="B718" s="1747" t="s">
        <v>158</v>
      </c>
      <c r="C718" s="1748">
        <v>400</v>
      </c>
      <c r="D718" s="1179">
        <v>67</v>
      </c>
      <c r="E718" s="1749" t="s">
        <v>5176</v>
      </c>
      <c r="F718" s="1751">
        <v>243702</v>
      </c>
      <c r="G718" s="1750">
        <v>680</v>
      </c>
      <c r="H718" s="1731" t="s">
        <v>41</v>
      </c>
      <c r="I718" s="2287" t="s">
        <v>25</v>
      </c>
      <c r="J718" s="37"/>
      <c r="K718" s="2235"/>
      <c r="L718" s="37"/>
      <c r="M718" s="37"/>
      <c r="N718" s="37"/>
      <c r="O718" s="2360" t="s">
        <v>5885</v>
      </c>
      <c r="Q718" s="2287" t="s">
        <v>25</v>
      </c>
    </row>
    <row r="719" spans="1:17" ht="18.75" customHeight="1" x14ac:dyDescent="0.4">
      <c r="A719" s="2822">
        <v>651</v>
      </c>
      <c r="B719" s="1747" t="s">
        <v>158</v>
      </c>
      <c r="C719" s="1748">
        <v>400</v>
      </c>
      <c r="D719" s="1179">
        <v>67</v>
      </c>
      <c r="E719" s="1749" t="s">
        <v>5177</v>
      </c>
      <c r="F719" s="1751">
        <v>243702</v>
      </c>
      <c r="G719" s="1750">
        <v>680</v>
      </c>
      <c r="H719" s="1731" t="s">
        <v>41</v>
      </c>
      <c r="I719" s="2287" t="s">
        <v>25</v>
      </c>
      <c r="J719" s="37"/>
      <c r="K719" s="2235"/>
      <c r="L719" s="37"/>
      <c r="M719" s="37"/>
      <c r="N719" s="37"/>
      <c r="O719" s="2360" t="s">
        <v>5885</v>
      </c>
      <c r="Q719" s="2287" t="s">
        <v>25</v>
      </c>
    </row>
    <row r="720" spans="1:17" ht="18.75" customHeight="1" x14ac:dyDescent="0.4">
      <c r="A720" s="2822">
        <v>652</v>
      </c>
      <c r="B720" s="1747" t="s">
        <v>158</v>
      </c>
      <c r="C720" s="1748">
        <v>400</v>
      </c>
      <c r="D720" s="1179">
        <v>67</v>
      </c>
      <c r="E720" s="1749" t="s">
        <v>5178</v>
      </c>
      <c r="F720" s="1751">
        <v>243702</v>
      </c>
      <c r="G720" s="1750">
        <v>680</v>
      </c>
      <c r="H720" s="1731" t="s">
        <v>41</v>
      </c>
      <c r="I720" s="2287" t="s">
        <v>25</v>
      </c>
      <c r="J720" s="37"/>
      <c r="K720" s="2235"/>
      <c r="L720" s="37"/>
      <c r="M720" s="37"/>
      <c r="N720" s="37"/>
      <c r="O720" s="2360" t="s">
        <v>5885</v>
      </c>
      <c r="Q720" s="2287" t="s">
        <v>25</v>
      </c>
    </row>
    <row r="721" spans="1:17" ht="18.75" customHeight="1" x14ac:dyDescent="0.4">
      <c r="A721" s="112">
        <v>653</v>
      </c>
      <c r="B721" s="1747" t="s">
        <v>158</v>
      </c>
      <c r="C721" s="1748">
        <v>400</v>
      </c>
      <c r="D721" s="1179">
        <v>67</v>
      </c>
      <c r="E721" s="1749" t="s">
        <v>5179</v>
      </c>
      <c r="F721" s="1751">
        <v>243702</v>
      </c>
      <c r="G721" s="1750">
        <v>680</v>
      </c>
      <c r="H721" s="1731" t="s">
        <v>41</v>
      </c>
      <c r="I721" s="2287" t="s">
        <v>25</v>
      </c>
      <c r="J721" s="37"/>
      <c r="K721" s="2235"/>
      <c r="L721" s="37"/>
      <c r="M721" s="37"/>
      <c r="N721" s="37"/>
      <c r="O721" s="2360" t="s">
        <v>5885</v>
      </c>
      <c r="Q721" s="2287" t="s">
        <v>25</v>
      </c>
    </row>
    <row r="722" spans="1:17" ht="18.75" customHeight="1" x14ac:dyDescent="0.4">
      <c r="A722" s="112">
        <v>654</v>
      </c>
      <c r="B722" s="1747" t="s">
        <v>158</v>
      </c>
      <c r="C722" s="1748">
        <v>400</v>
      </c>
      <c r="D722" s="1179">
        <v>67</v>
      </c>
      <c r="E722" s="1749" t="s">
        <v>5180</v>
      </c>
      <c r="F722" s="1751">
        <v>243702</v>
      </c>
      <c r="G722" s="1750">
        <v>680</v>
      </c>
      <c r="H722" s="1731" t="s">
        <v>41</v>
      </c>
      <c r="I722" s="2287" t="s">
        <v>25</v>
      </c>
      <c r="J722" s="37"/>
      <c r="K722" s="2235"/>
      <c r="L722" s="37"/>
      <c r="M722" s="37"/>
      <c r="N722" s="37"/>
      <c r="O722" s="2360" t="s">
        <v>5885</v>
      </c>
      <c r="Q722" s="2287" t="s">
        <v>25</v>
      </c>
    </row>
    <row r="723" spans="1:17" ht="18.75" customHeight="1" x14ac:dyDescent="0.4">
      <c r="A723" s="112">
        <v>655</v>
      </c>
      <c r="B723" s="1747" t="s">
        <v>158</v>
      </c>
      <c r="C723" s="1748">
        <v>400</v>
      </c>
      <c r="D723" s="1179">
        <v>67</v>
      </c>
      <c r="E723" s="1749" t="s">
        <v>5181</v>
      </c>
      <c r="F723" s="1751">
        <v>243702</v>
      </c>
      <c r="G723" s="1750">
        <v>680</v>
      </c>
      <c r="H723" s="1731" t="s">
        <v>41</v>
      </c>
      <c r="I723" s="2287" t="s">
        <v>25</v>
      </c>
      <c r="J723" s="37"/>
      <c r="K723" s="2235"/>
      <c r="L723" s="37"/>
      <c r="M723" s="37"/>
      <c r="N723" s="37"/>
      <c r="O723" s="2360" t="s">
        <v>5885</v>
      </c>
      <c r="Q723" s="2287" t="s">
        <v>25</v>
      </c>
    </row>
    <row r="724" spans="1:17" ht="18.75" customHeight="1" x14ac:dyDescent="0.4">
      <c r="A724" s="112">
        <v>656</v>
      </c>
      <c r="B724" s="1747" t="s">
        <v>158</v>
      </c>
      <c r="C724" s="1748">
        <v>400</v>
      </c>
      <c r="D724" s="1179">
        <v>67</v>
      </c>
      <c r="E724" s="1749" t="s">
        <v>5182</v>
      </c>
      <c r="F724" s="1751">
        <v>243702</v>
      </c>
      <c r="G724" s="1750">
        <v>680</v>
      </c>
      <c r="H724" s="1731" t="s">
        <v>41</v>
      </c>
      <c r="I724" s="2287" t="s">
        <v>25</v>
      </c>
      <c r="J724" s="37"/>
      <c r="K724" s="2235"/>
      <c r="L724" s="37"/>
      <c r="M724" s="37"/>
      <c r="N724" s="37"/>
      <c r="O724" s="2360" t="s">
        <v>5885</v>
      </c>
      <c r="Q724" s="2287" t="s">
        <v>25</v>
      </c>
    </row>
    <row r="725" spans="1:17" ht="18.75" customHeight="1" x14ac:dyDescent="0.4">
      <c r="A725" s="112">
        <v>657</v>
      </c>
      <c r="B725" s="1747" t="s">
        <v>158</v>
      </c>
      <c r="C725" s="1748">
        <v>400</v>
      </c>
      <c r="D725" s="1179">
        <v>67</v>
      </c>
      <c r="E725" s="1749" t="s">
        <v>5183</v>
      </c>
      <c r="F725" s="1751">
        <v>243702</v>
      </c>
      <c r="G725" s="1750">
        <v>680</v>
      </c>
      <c r="H725" s="1731" t="s">
        <v>41</v>
      </c>
      <c r="I725" s="2287" t="s">
        <v>25</v>
      </c>
      <c r="J725" s="37"/>
      <c r="K725" s="2235"/>
      <c r="L725" s="37"/>
      <c r="M725" s="37"/>
      <c r="N725" s="37"/>
      <c r="O725" s="2360" t="s">
        <v>5885</v>
      </c>
      <c r="Q725" s="2287" t="s">
        <v>25</v>
      </c>
    </row>
    <row r="726" spans="1:17" ht="18.75" customHeight="1" x14ac:dyDescent="0.4">
      <c r="A726" s="112">
        <v>658</v>
      </c>
      <c r="B726" s="1747" t="s">
        <v>158</v>
      </c>
      <c r="C726" s="1748">
        <v>400</v>
      </c>
      <c r="D726" s="1179">
        <v>67</v>
      </c>
      <c r="E726" s="1749" t="s">
        <v>5184</v>
      </c>
      <c r="F726" s="1751">
        <v>243702</v>
      </c>
      <c r="G726" s="1750">
        <v>680</v>
      </c>
      <c r="H726" s="1731" t="s">
        <v>41</v>
      </c>
      <c r="I726" s="2287" t="s">
        <v>25</v>
      </c>
      <c r="J726" s="37"/>
      <c r="K726" s="2235"/>
      <c r="L726" s="37"/>
      <c r="M726" s="37"/>
      <c r="N726" s="37"/>
      <c r="O726" s="2360" t="s">
        <v>5885</v>
      </c>
      <c r="Q726" s="2287" t="s">
        <v>25</v>
      </c>
    </row>
    <row r="727" spans="1:17" ht="18.75" customHeight="1" x14ac:dyDescent="0.4">
      <c r="A727" s="112">
        <v>659</v>
      </c>
      <c r="B727" s="1747" t="s">
        <v>158</v>
      </c>
      <c r="C727" s="1748">
        <v>400</v>
      </c>
      <c r="D727" s="1179">
        <v>67</v>
      </c>
      <c r="E727" s="1749" t="s">
        <v>5185</v>
      </c>
      <c r="F727" s="1751">
        <v>243702</v>
      </c>
      <c r="G727" s="1750">
        <v>680</v>
      </c>
      <c r="H727" s="1731" t="s">
        <v>41</v>
      </c>
      <c r="I727" s="2287" t="s">
        <v>25</v>
      </c>
      <c r="J727" s="37"/>
      <c r="K727" s="2235"/>
      <c r="L727" s="37"/>
      <c r="M727" s="37"/>
      <c r="N727" s="37"/>
      <c r="O727" s="2360" t="s">
        <v>5885</v>
      </c>
      <c r="Q727" s="2287" t="s">
        <v>25</v>
      </c>
    </row>
    <row r="728" spans="1:17" ht="18.75" customHeight="1" x14ac:dyDescent="0.4">
      <c r="A728" s="2822">
        <v>660</v>
      </c>
      <c r="B728" s="1747" t="s">
        <v>158</v>
      </c>
      <c r="C728" s="1748">
        <v>400</v>
      </c>
      <c r="D728" s="1179">
        <v>67</v>
      </c>
      <c r="E728" s="1749" t="s">
        <v>5186</v>
      </c>
      <c r="F728" s="1751">
        <v>243702</v>
      </c>
      <c r="G728" s="1750">
        <v>680</v>
      </c>
      <c r="H728" s="1731" t="s">
        <v>41</v>
      </c>
      <c r="I728" s="2287" t="s">
        <v>25</v>
      </c>
      <c r="J728" s="37"/>
      <c r="K728" s="2235"/>
      <c r="L728" s="37"/>
      <c r="M728" s="37"/>
      <c r="N728" s="37"/>
      <c r="O728" s="2360" t="s">
        <v>5885</v>
      </c>
      <c r="Q728" s="2287" t="s">
        <v>25</v>
      </c>
    </row>
    <row r="729" spans="1:17" ht="18.75" customHeight="1" x14ac:dyDescent="0.4">
      <c r="A729" s="2822">
        <v>661</v>
      </c>
      <c r="B729" s="1747" t="s">
        <v>158</v>
      </c>
      <c r="C729" s="1748">
        <v>400</v>
      </c>
      <c r="D729" s="1179">
        <v>67</v>
      </c>
      <c r="E729" s="1749" t="s">
        <v>5187</v>
      </c>
      <c r="F729" s="1751">
        <v>243702</v>
      </c>
      <c r="G729" s="1750">
        <v>680</v>
      </c>
      <c r="H729" s="1731" t="s">
        <v>41</v>
      </c>
      <c r="I729" s="2287" t="s">
        <v>25</v>
      </c>
      <c r="J729" s="37"/>
      <c r="K729" s="2235"/>
      <c r="L729" s="37"/>
      <c r="M729" s="37"/>
      <c r="N729" s="37"/>
      <c r="O729" s="2360" t="s">
        <v>5885</v>
      </c>
      <c r="Q729" s="2287" t="s">
        <v>25</v>
      </c>
    </row>
    <row r="730" spans="1:17" ht="18.75" customHeight="1" x14ac:dyDescent="0.4">
      <c r="A730" s="112">
        <v>662</v>
      </c>
      <c r="B730" s="1747" t="s">
        <v>158</v>
      </c>
      <c r="C730" s="1748">
        <v>400</v>
      </c>
      <c r="D730" s="1179">
        <v>67</v>
      </c>
      <c r="E730" s="1749" t="s">
        <v>5188</v>
      </c>
      <c r="F730" s="1751">
        <v>243702</v>
      </c>
      <c r="G730" s="1750">
        <v>680</v>
      </c>
      <c r="H730" s="1731" t="s">
        <v>41</v>
      </c>
      <c r="I730" s="2287" t="s">
        <v>25</v>
      </c>
      <c r="J730" s="37"/>
      <c r="K730" s="2235"/>
      <c r="L730" s="37"/>
      <c r="M730" s="37"/>
      <c r="N730" s="37"/>
      <c r="O730" s="2360" t="s">
        <v>5885</v>
      </c>
      <c r="Q730" s="2287" t="s">
        <v>25</v>
      </c>
    </row>
    <row r="731" spans="1:17" ht="18.75" customHeight="1" x14ac:dyDescent="0.4">
      <c r="A731" s="112">
        <v>663</v>
      </c>
      <c r="B731" s="1747" t="s">
        <v>158</v>
      </c>
      <c r="C731" s="1748">
        <v>400</v>
      </c>
      <c r="D731" s="1179">
        <v>67</v>
      </c>
      <c r="E731" s="1749" t="s">
        <v>5189</v>
      </c>
      <c r="F731" s="1751">
        <v>243702</v>
      </c>
      <c r="G731" s="1750">
        <v>680</v>
      </c>
      <c r="H731" s="1731" t="s">
        <v>41</v>
      </c>
      <c r="I731" s="2287" t="s">
        <v>25</v>
      </c>
      <c r="J731" s="37"/>
      <c r="K731" s="2235"/>
      <c r="L731" s="37"/>
      <c r="M731" s="37"/>
      <c r="N731" s="37"/>
      <c r="O731" s="2360" t="s">
        <v>5885</v>
      </c>
      <c r="Q731" s="2287" t="s">
        <v>25</v>
      </c>
    </row>
    <row r="732" spans="1:17" ht="18.75" customHeight="1" x14ac:dyDescent="0.4">
      <c r="A732" s="112">
        <v>664</v>
      </c>
      <c r="B732" s="1747" t="s">
        <v>158</v>
      </c>
      <c r="C732" s="1748">
        <v>400</v>
      </c>
      <c r="D732" s="1179">
        <v>67</v>
      </c>
      <c r="E732" s="1749" t="s">
        <v>5190</v>
      </c>
      <c r="F732" s="1751">
        <v>243702</v>
      </c>
      <c r="G732" s="1750">
        <v>680</v>
      </c>
      <c r="H732" s="1731" t="s">
        <v>41</v>
      </c>
      <c r="I732" s="2287" t="s">
        <v>25</v>
      </c>
      <c r="J732" s="37"/>
      <c r="K732" s="2235"/>
      <c r="L732" s="37"/>
      <c r="M732" s="37"/>
      <c r="N732" s="37"/>
      <c r="O732" s="2360" t="s">
        <v>5885</v>
      </c>
      <c r="Q732" s="2287" t="s">
        <v>25</v>
      </c>
    </row>
    <row r="733" spans="1:17" ht="18.75" customHeight="1" x14ac:dyDescent="0.4">
      <c r="A733" s="112">
        <v>665</v>
      </c>
      <c r="B733" s="1747" t="s">
        <v>158</v>
      </c>
      <c r="C733" s="1748">
        <v>400</v>
      </c>
      <c r="D733" s="1179">
        <v>67</v>
      </c>
      <c r="E733" s="1749" t="s">
        <v>5191</v>
      </c>
      <c r="F733" s="1751">
        <v>243702</v>
      </c>
      <c r="G733" s="1750">
        <v>680</v>
      </c>
      <c r="H733" s="1731" t="s">
        <v>41</v>
      </c>
      <c r="I733" s="2287" t="s">
        <v>25</v>
      </c>
      <c r="J733" s="37"/>
      <c r="K733" s="2235"/>
      <c r="L733" s="37"/>
      <c r="M733" s="37"/>
      <c r="N733" s="37"/>
      <c r="O733" s="2360" t="s">
        <v>5885</v>
      </c>
      <c r="Q733" s="2287" t="s">
        <v>25</v>
      </c>
    </row>
    <row r="734" spans="1:17" ht="18.75" customHeight="1" x14ac:dyDescent="0.4">
      <c r="A734" s="112">
        <v>666</v>
      </c>
      <c r="B734" s="1747" t="s">
        <v>158</v>
      </c>
      <c r="C734" s="1748">
        <v>400</v>
      </c>
      <c r="D734" s="1179">
        <v>67</v>
      </c>
      <c r="E734" s="1749" t="s">
        <v>5192</v>
      </c>
      <c r="F734" s="1751">
        <v>243702</v>
      </c>
      <c r="G734" s="1750">
        <v>680</v>
      </c>
      <c r="H734" s="1731" t="s">
        <v>41</v>
      </c>
      <c r="I734" s="2287" t="s">
        <v>25</v>
      </c>
      <c r="J734" s="37"/>
      <c r="K734" s="2235"/>
      <c r="L734" s="37"/>
      <c r="M734" s="37"/>
      <c r="N734" s="37"/>
      <c r="O734" s="2360" t="s">
        <v>5885</v>
      </c>
      <c r="Q734" s="2287" t="s">
        <v>25</v>
      </c>
    </row>
    <row r="735" spans="1:17" ht="18.75" customHeight="1" x14ac:dyDescent="0.4">
      <c r="A735" s="112">
        <v>667</v>
      </c>
      <c r="B735" s="1747" t="s">
        <v>158</v>
      </c>
      <c r="C735" s="1748">
        <v>400</v>
      </c>
      <c r="D735" s="1179">
        <v>67</v>
      </c>
      <c r="E735" s="1749" t="s">
        <v>5193</v>
      </c>
      <c r="F735" s="1751">
        <v>243702</v>
      </c>
      <c r="G735" s="1750">
        <v>680</v>
      </c>
      <c r="H735" s="1731" t="s">
        <v>41</v>
      </c>
      <c r="I735" s="2287" t="s">
        <v>25</v>
      </c>
      <c r="J735" s="37"/>
      <c r="K735" s="2235"/>
      <c r="L735" s="37"/>
      <c r="M735" s="37"/>
      <c r="N735" s="37"/>
      <c r="O735" s="2360" t="s">
        <v>5885</v>
      </c>
      <c r="Q735" s="2287" t="s">
        <v>25</v>
      </c>
    </row>
    <row r="736" spans="1:17" ht="18.75" customHeight="1" x14ac:dyDescent="0.4">
      <c r="A736" s="112">
        <v>668</v>
      </c>
      <c r="B736" s="1747" t="s">
        <v>158</v>
      </c>
      <c r="C736" s="1748">
        <v>400</v>
      </c>
      <c r="D736" s="1179">
        <v>67</v>
      </c>
      <c r="E736" s="1749" t="s">
        <v>5194</v>
      </c>
      <c r="F736" s="1751">
        <v>243702</v>
      </c>
      <c r="G736" s="1750">
        <v>680</v>
      </c>
      <c r="H736" s="1731" t="s">
        <v>41</v>
      </c>
      <c r="I736" s="2287" t="s">
        <v>25</v>
      </c>
      <c r="J736" s="37"/>
      <c r="K736" s="2235"/>
      <c r="L736" s="37"/>
      <c r="M736" s="37"/>
      <c r="N736" s="37"/>
      <c r="O736" s="2360" t="s">
        <v>5885</v>
      </c>
      <c r="Q736" s="2287" t="s">
        <v>25</v>
      </c>
    </row>
    <row r="737" spans="1:17" ht="18.75" customHeight="1" x14ac:dyDescent="0.4">
      <c r="A737" s="2822">
        <v>669</v>
      </c>
      <c r="B737" s="1747" t="s">
        <v>158</v>
      </c>
      <c r="C737" s="1748">
        <v>400</v>
      </c>
      <c r="D737" s="1179">
        <v>67</v>
      </c>
      <c r="E737" s="1749" t="s">
        <v>5195</v>
      </c>
      <c r="F737" s="1751">
        <v>243702</v>
      </c>
      <c r="G737" s="1750">
        <v>680</v>
      </c>
      <c r="H737" s="1731" t="s">
        <v>41</v>
      </c>
      <c r="I737" s="2287" t="s">
        <v>25</v>
      </c>
      <c r="J737" s="37"/>
      <c r="K737" s="2235"/>
      <c r="L737" s="37"/>
      <c r="M737" s="37"/>
      <c r="N737" s="37"/>
      <c r="O737" s="2360" t="s">
        <v>5885</v>
      </c>
      <c r="Q737" s="2287" t="s">
        <v>25</v>
      </c>
    </row>
    <row r="738" spans="1:17" ht="18.75" customHeight="1" x14ac:dyDescent="0.4">
      <c r="A738" s="2822">
        <v>670</v>
      </c>
      <c r="B738" s="1747" t="s">
        <v>158</v>
      </c>
      <c r="C738" s="1748">
        <v>400</v>
      </c>
      <c r="D738" s="1179">
        <v>67</v>
      </c>
      <c r="E738" s="1749" t="s">
        <v>5196</v>
      </c>
      <c r="F738" s="1751">
        <v>243702</v>
      </c>
      <c r="G738" s="1750">
        <v>680</v>
      </c>
      <c r="H738" s="1731" t="s">
        <v>41</v>
      </c>
      <c r="I738" s="2287" t="s">
        <v>25</v>
      </c>
      <c r="J738" s="37"/>
      <c r="K738" s="2235"/>
      <c r="L738" s="37"/>
      <c r="M738" s="37"/>
      <c r="N738" s="37"/>
      <c r="O738" s="2360" t="s">
        <v>5885</v>
      </c>
      <c r="Q738" s="2287" t="s">
        <v>25</v>
      </c>
    </row>
    <row r="739" spans="1:17" ht="18.75" customHeight="1" x14ac:dyDescent="0.4">
      <c r="A739" s="112">
        <v>671</v>
      </c>
      <c r="B739" s="1747" t="s">
        <v>158</v>
      </c>
      <c r="C739" s="1748">
        <v>400</v>
      </c>
      <c r="D739" s="1179">
        <v>67</v>
      </c>
      <c r="E739" s="1749" t="s">
        <v>5197</v>
      </c>
      <c r="F739" s="1751">
        <v>243702</v>
      </c>
      <c r="G739" s="1750">
        <v>680</v>
      </c>
      <c r="H739" s="1731" t="s">
        <v>41</v>
      </c>
      <c r="I739" s="2287" t="s">
        <v>25</v>
      </c>
      <c r="J739" s="37"/>
      <c r="K739" s="2235"/>
      <c r="L739" s="37"/>
      <c r="M739" s="37"/>
      <c r="N739" s="37"/>
      <c r="O739" s="2360" t="s">
        <v>5885</v>
      </c>
      <c r="Q739" s="2287" t="s">
        <v>25</v>
      </c>
    </row>
    <row r="740" spans="1:17" ht="18.75" customHeight="1" x14ac:dyDescent="0.4">
      <c r="A740" s="112">
        <v>672</v>
      </c>
      <c r="B740" s="1747" t="s">
        <v>158</v>
      </c>
      <c r="C740" s="1748">
        <v>400</v>
      </c>
      <c r="D740" s="1179">
        <v>67</v>
      </c>
      <c r="E740" s="1749" t="s">
        <v>5198</v>
      </c>
      <c r="F740" s="1751">
        <v>243702</v>
      </c>
      <c r="G740" s="1750">
        <v>680</v>
      </c>
      <c r="H740" s="1731" t="s">
        <v>41</v>
      </c>
      <c r="I740" s="2287" t="s">
        <v>25</v>
      </c>
      <c r="J740" s="37"/>
      <c r="K740" s="2235"/>
      <c r="L740" s="37"/>
      <c r="M740" s="37"/>
      <c r="N740" s="37"/>
      <c r="O740" s="2360" t="s">
        <v>5885</v>
      </c>
      <c r="Q740" s="2287" t="s">
        <v>25</v>
      </c>
    </row>
    <row r="741" spans="1:17" ht="18.75" customHeight="1" x14ac:dyDescent="0.4">
      <c r="A741" s="112">
        <v>673</v>
      </c>
      <c r="B741" s="1747" t="s">
        <v>158</v>
      </c>
      <c r="C741" s="1748">
        <v>400</v>
      </c>
      <c r="D741" s="1179">
        <v>67</v>
      </c>
      <c r="E741" s="1749" t="s">
        <v>5199</v>
      </c>
      <c r="F741" s="1751">
        <v>243702</v>
      </c>
      <c r="G741" s="1750">
        <v>680</v>
      </c>
      <c r="H741" s="1731" t="s">
        <v>41</v>
      </c>
      <c r="I741" s="2287" t="s">
        <v>25</v>
      </c>
      <c r="J741" s="37"/>
      <c r="K741" s="2235"/>
      <c r="L741" s="37"/>
      <c r="M741" s="37"/>
      <c r="N741" s="37"/>
      <c r="O741" s="2360" t="s">
        <v>5885</v>
      </c>
      <c r="Q741" s="2287" t="s">
        <v>25</v>
      </c>
    </row>
    <row r="742" spans="1:17" ht="18.75" customHeight="1" x14ac:dyDescent="0.4">
      <c r="A742" s="112">
        <v>674</v>
      </c>
      <c r="B742" s="1747" t="s">
        <v>158</v>
      </c>
      <c r="C742" s="1748">
        <v>400</v>
      </c>
      <c r="D742" s="1179">
        <v>67</v>
      </c>
      <c r="E742" s="1749" t="s">
        <v>5200</v>
      </c>
      <c r="F742" s="1751">
        <v>243702</v>
      </c>
      <c r="G742" s="1750">
        <v>680</v>
      </c>
      <c r="H742" s="1731" t="s">
        <v>41</v>
      </c>
      <c r="I742" s="2287" t="s">
        <v>25</v>
      </c>
      <c r="J742" s="37"/>
      <c r="K742" s="2235"/>
      <c r="L742" s="37"/>
      <c r="M742" s="37"/>
      <c r="N742" s="37"/>
      <c r="O742" s="2360" t="s">
        <v>5885</v>
      </c>
      <c r="Q742" s="2287" t="s">
        <v>25</v>
      </c>
    </row>
    <row r="743" spans="1:17" ht="18.75" customHeight="1" x14ac:dyDescent="0.4">
      <c r="A743" s="112">
        <v>675</v>
      </c>
      <c r="B743" s="1747" t="s">
        <v>158</v>
      </c>
      <c r="C743" s="1748">
        <v>400</v>
      </c>
      <c r="D743" s="1179">
        <v>67</v>
      </c>
      <c r="E743" s="1749" t="s">
        <v>5201</v>
      </c>
      <c r="F743" s="1751">
        <v>243702</v>
      </c>
      <c r="G743" s="1750">
        <v>680</v>
      </c>
      <c r="H743" s="1731" t="s">
        <v>41</v>
      </c>
      <c r="I743" s="2287" t="s">
        <v>25</v>
      </c>
      <c r="J743" s="37"/>
      <c r="K743" s="2235"/>
      <c r="L743" s="37"/>
      <c r="M743" s="37"/>
      <c r="N743" s="37"/>
      <c r="O743" s="2360" t="s">
        <v>5885</v>
      </c>
      <c r="Q743" s="2287" t="s">
        <v>25</v>
      </c>
    </row>
    <row r="744" spans="1:17" ht="18.75" customHeight="1" x14ac:dyDescent="0.4">
      <c r="A744" s="112">
        <v>676</v>
      </c>
      <c r="B744" s="1747" t="s">
        <v>158</v>
      </c>
      <c r="C744" s="1748">
        <v>400</v>
      </c>
      <c r="D744" s="1179">
        <v>67</v>
      </c>
      <c r="E744" s="1749" t="s">
        <v>5202</v>
      </c>
      <c r="F744" s="1751">
        <v>243702</v>
      </c>
      <c r="G744" s="1750">
        <v>680</v>
      </c>
      <c r="H744" s="1731" t="s">
        <v>41</v>
      </c>
      <c r="I744" s="2287" t="s">
        <v>25</v>
      </c>
      <c r="J744" s="37"/>
      <c r="K744" s="2235"/>
      <c r="L744" s="37"/>
      <c r="M744" s="37"/>
      <c r="N744" s="37"/>
      <c r="O744" s="2360" t="s">
        <v>5885</v>
      </c>
      <c r="Q744" s="2287" t="s">
        <v>25</v>
      </c>
    </row>
    <row r="745" spans="1:17" ht="18.75" customHeight="1" x14ac:dyDescent="0.4">
      <c r="A745" s="112">
        <v>677</v>
      </c>
      <c r="B745" s="1747" t="s">
        <v>158</v>
      </c>
      <c r="C745" s="1748">
        <v>400</v>
      </c>
      <c r="D745" s="1179">
        <v>67</v>
      </c>
      <c r="E745" s="1749" t="s">
        <v>5203</v>
      </c>
      <c r="F745" s="1751">
        <v>243702</v>
      </c>
      <c r="G745" s="1750">
        <v>680</v>
      </c>
      <c r="H745" s="1731" t="s">
        <v>41</v>
      </c>
      <c r="I745" s="2287" t="s">
        <v>25</v>
      </c>
      <c r="J745" s="37"/>
      <c r="K745" s="2235"/>
      <c r="L745" s="37"/>
      <c r="M745" s="37"/>
      <c r="N745" s="37"/>
      <c r="O745" s="2360" t="s">
        <v>5885</v>
      </c>
      <c r="Q745" s="2287" t="s">
        <v>25</v>
      </c>
    </row>
    <row r="746" spans="1:17" ht="18.75" customHeight="1" x14ac:dyDescent="0.4">
      <c r="A746" s="2822">
        <v>678</v>
      </c>
      <c r="B746" s="1747" t="s">
        <v>158</v>
      </c>
      <c r="C746" s="1748">
        <v>400</v>
      </c>
      <c r="D746" s="1179">
        <v>67</v>
      </c>
      <c r="E746" s="1749" t="s">
        <v>5204</v>
      </c>
      <c r="F746" s="1751">
        <v>243702</v>
      </c>
      <c r="G746" s="1750">
        <v>680</v>
      </c>
      <c r="H746" s="1731" t="s">
        <v>41</v>
      </c>
      <c r="I746" s="2287" t="s">
        <v>25</v>
      </c>
      <c r="J746" s="37"/>
      <c r="K746" s="2235"/>
      <c r="L746" s="37"/>
      <c r="M746" s="37"/>
      <c r="N746" s="37"/>
      <c r="O746" s="2360" t="s">
        <v>5885</v>
      </c>
      <c r="Q746" s="2287" t="s">
        <v>25</v>
      </c>
    </row>
    <row r="747" spans="1:17" ht="18.75" customHeight="1" x14ac:dyDescent="0.4">
      <c r="A747" s="2822">
        <v>679</v>
      </c>
      <c r="B747" s="1747" t="s">
        <v>158</v>
      </c>
      <c r="C747" s="1748">
        <v>400</v>
      </c>
      <c r="D747" s="1179">
        <v>67</v>
      </c>
      <c r="E747" s="1749" t="s">
        <v>5205</v>
      </c>
      <c r="F747" s="1751">
        <v>243702</v>
      </c>
      <c r="G747" s="1750">
        <v>680</v>
      </c>
      <c r="H747" s="1731" t="s">
        <v>41</v>
      </c>
      <c r="I747" s="2287" t="s">
        <v>25</v>
      </c>
      <c r="J747" s="37"/>
      <c r="K747" s="2235"/>
      <c r="L747" s="37"/>
      <c r="M747" s="37"/>
      <c r="N747" s="37"/>
      <c r="O747" s="2360" t="s">
        <v>5885</v>
      </c>
      <c r="Q747" s="2287" t="s">
        <v>25</v>
      </c>
    </row>
    <row r="748" spans="1:17" ht="18.75" customHeight="1" x14ac:dyDescent="0.4">
      <c r="A748" s="112">
        <v>680</v>
      </c>
      <c r="B748" s="1747" t="s">
        <v>158</v>
      </c>
      <c r="C748" s="1748">
        <v>400</v>
      </c>
      <c r="D748" s="1179">
        <v>67</v>
      </c>
      <c r="E748" s="1749" t="s">
        <v>5206</v>
      </c>
      <c r="F748" s="1751">
        <v>243702</v>
      </c>
      <c r="G748" s="1750">
        <v>680</v>
      </c>
      <c r="H748" s="1731" t="s">
        <v>41</v>
      </c>
      <c r="I748" s="2287" t="s">
        <v>25</v>
      </c>
      <c r="J748" s="37"/>
      <c r="K748" s="2235"/>
      <c r="L748" s="37"/>
      <c r="M748" s="37"/>
      <c r="N748" s="37"/>
      <c r="O748" s="2360" t="s">
        <v>5885</v>
      </c>
      <c r="Q748" s="2287" t="s">
        <v>25</v>
      </c>
    </row>
    <row r="749" spans="1:17" ht="18.75" customHeight="1" x14ac:dyDescent="0.4">
      <c r="A749" s="112">
        <v>681</v>
      </c>
      <c r="B749" s="1747" t="s">
        <v>158</v>
      </c>
      <c r="C749" s="1748">
        <v>400</v>
      </c>
      <c r="D749" s="1179">
        <v>67</v>
      </c>
      <c r="E749" s="1749" t="s">
        <v>5207</v>
      </c>
      <c r="F749" s="1751">
        <v>243702</v>
      </c>
      <c r="G749" s="1750">
        <v>680</v>
      </c>
      <c r="H749" s="1731" t="s">
        <v>41</v>
      </c>
      <c r="I749" s="2287" t="s">
        <v>25</v>
      </c>
      <c r="J749" s="37"/>
      <c r="K749" s="2235"/>
      <c r="L749" s="37"/>
      <c r="M749" s="37"/>
      <c r="N749" s="37"/>
      <c r="O749" s="2360" t="s">
        <v>5885</v>
      </c>
      <c r="Q749" s="2287" t="s">
        <v>25</v>
      </c>
    </row>
    <row r="750" spans="1:17" ht="18.75" customHeight="1" x14ac:dyDescent="0.4">
      <c r="A750" s="112">
        <v>682</v>
      </c>
      <c r="B750" s="1747" t="s">
        <v>158</v>
      </c>
      <c r="C750" s="1748">
        <v>400</v>
      </c>
      <c r="D750" s="1179">
        <v>67</v>
      </c>
      <c r="E750" s="1749" t="s">
        <v>5208</v>
      </c>
      <c r="F750" s="1751">
        <v>243702</v>
      </c>
      <c r="G750" s="1750">
        <v>680</v>
      </c>
      <c r="H750" s="1731" t="s">
        <v>41</v>
      </c>
      <c r="I750" s="2287" t="s">
        <v>25</v>
      </c>
      <c r="J750" s="37"/>
      <c r="K750" s="2235"/>
      <c r="L750" s="37"/>
      <c r="M750" s="37"/>
      <c r="N750" s="37"/>
      <c r="O750" s="2360" t="s">
        <v>5885</v>
      </c>
      <c r="Q750" s="2287" t="s">
        <v>25</v>
      </c>
    </row>
    <row r="751" spans="1:17" ht="18.75" customHeight="1" x14ac:dyDescent="0.4">
      <c r="A751" s="112">
        <v>683</v>
      </c>
      <c r="B751" s="1747" t="s">
        <v>158</v>
      </c>
      <c r="C751" s="1748">
        <v>400</v>
      </c>
      <c r="D751" s="1179">
        <v>67</v>
      </c>
      <c r="E751" s="1749" t="s">
        <v>5209</v>
      </c>
      <c r="F751" s="1751">
        <v>243702</v>
      </c>
      <c r="G751" s="1750">
        <v>680</v>
      </c>
      <c r="H751" s="1731" t="s">
        <v>41</v>
      </c>
      <c r="I751" s="2287" t="s">
        <v>25</v>
      </c>
      <c r="J751" s="37"/>
      <c r="K751" s="2235"/>
      <c r="L751" s="37"/>
      <c r="M751" s="37"/>
      <c r="N751" s="37"/>
      <c r="O751" s="2360" t="s">
        <v>5885</v>
      </c>
      <c r="Q751" s="2287" t="s">
        <v>25</v>
      </c>
    </row>
    <row r="752" spans="1:17" ht="18.75" customHeight="1" x14ac:dyDescent="0.4">
      <c r="A752" s="112">
        <v>684</v>
      </c>
      <c r="B752" s="1747" t="s">
        <v>158</v>
      </c>
      <c r="C752" s="1748">
        <v>400</v>
      </c>
      <c r="D752" s="1179">
        <v>67</v>
      </c>
      <c r="E752" s="1749" t="s">
        <v>5210</v>
      </c>
      <c r="F752" s="1751">
        <v>243702</v>
      </c>
      <c r="G752" s="1750">
        <v>680</v>
      </c>
      <c r="H752" s="1731" t="s">
        <v>41</v>
      </c>
      <c r="I752" s="2287" t="s">
        <v>25</v>
      </c>
      <c r="J752" s="37"/>
      <c r="K752" s="2235"/>
      <c r="L752" s="37"/>
      <c r="M752" s="37"/>
      <c r="N752" s="37"/>
      <c r="O752" s="2360" t="s">
        <v>5885</v>
      </c>
      <c r="Q752" s="2287" t="s">
        <v>25</v>
      </c>
    </row>
    <row r="753" spans="1:17" ht="18.75" customHeight="1" x14ac:dyDescent="0.4">
      <c r="A753" s="112">
        <v>685</v>
      </c>
      <c r="B753" s="1747" t="s">
        <v>158</v>
      </c>
      <c r="C753" s="1748">
        <v>400</v>
      </c>
      <c r="D753" s="1179">
        <v>67</v>
      </c>
      <c r="E753" s="1749" t="s">
        <v>5211</v>
      </c>
      <c r="F753" s="1751">
        <v>243702</v>
      </c>
      <c r="G753" s="1750">
        <v>680</v>
      </c>
      <c r="H753" s="1731" t="s">
        <v>41</v>
      </c>
      <c r="I753" s="2287" t="s">
        <v>25</v>
      </c>
      <c r="J753" s="37"/>
      <c r="K753" s="2235"/>
      <c r="L753" s="37"/>
      <c r="M753" s="37"/>
      <c r="N753" s="37"/>
      <c r="O753" s="2360" t="s">
        <v>5885</v>
      </c>
      <c r="Q753" s="2287" t="s">
        <v>25</v>
      </c>
    </row>
    <row r="754" spans="1:17" ht="18.75" customHeight="1" x14ac:dyDescent="0.4">
      <c r="A754" s="112">
        <v>686</v>
      </c>
      <c r="B754" s="1747" t="s">
        <v>158</v>
      </c>
      <c r="C754" s="1748">
        <v>400</v>
      </c>
      <c r="D754" s="1179">
        <v>67</v>
      </c>
      <c r="E754" s="1749" t="s">
        <v>5212</v>
      </c>
      <c r="F754" s="1751">
        <v>243702</v>
      </c>
      <c r="G754" s="1750">
        <v>680</v>
      </c>
      <c r="H754" s="1731" t="s">
        <v>41</v>
      </c>
      <c r="I754" s="2287" t="s">
        <v>25</v>
      </c>
      <c r="J754" s="37"/>
      <c r="K754" s="2235"/>
      <c r="L754" s="37"/>
      <c r="M754" s="37"/>
      <c r="N754" s="37"/>
      <c r="O754" s="2360" t="s">
        <v>5885</v>
      </c>
      <c r="Q754" s="2287" t="s">
        <v>25</v>
      </c>
    </row>
    <row r="755" spans="1:17" ht="18.75" customHeight="1" x14ac:dyDescent="0.4">
      <c r="A755" s="2822">
        <v>687</v>
      </c>
      <c r="B755" s="1747" t="s">
        <v>158</v>
      </c>
      <c r="C755" s="1748">
        <v>400</v>
      </c>
      <c r="D755" s="1179">
        <v>67</v>
      </c>
      <c r="E755" s="1749" t="s">
        <v>5213</v>
      </c>
      <c r="F755" s="1751">
        <v>243702</v>
      </c>
      <c r="G755" s="1750">
        <v>680</v>
      </c>
      <c r="H755" s="1731" t="s">
        <v>41</v>
      </c>
      <c r="I755" s="2287" t="s">
        <v>25</v>
      </c>
      <c r="J755" s="37"/>
      <c r="K755" s="2235"/>
      <c r="L755" s="37"/>
      <c r="M755" s="37"/>
      <c r="N755" s="37"/>
      <c r="O755" s="2360" t="s">
        <v>5885</v>
      </c>
      <c r="Q755" s="2287" t="s">
        <v>25</v>
      </c>
    </row>
    <row r="756" spans="1:17" ht="18.75" customHeight="1" x14ac:dyDescent="0.4">
      <c r="A756" s="2822">
        <v>688</v>
      </c>
      <c r="B756" s="1747" t="s">
        <v>158</v>
      </c>
      <c r="C756" s="1748">
        <v>400</v>
      </c>
      <c r="D756" s="1179">
        <v>67</v>
      </c>
      <c r="E756" s="1749" t="s">
        <v>5214</v>
      </c>
      <c r="F756" s="1751">
        <v>243702</v>
      </c>
      <c r="G756" s="1750">
        <v>680</v>
      </c>
      <c r="H756" s="1731" t="s">
        <v>41</v>
      </c>
      <c r="I756" s="2287" t="s">
        <v>25</v>
      </c>
      <c r="J756" s="37"/>
      <c r="K756" s="2235"/>
      <c r="L756" s="37"/>
      <c r="M756" s="37"/>
      <c r="N756" s="37"/>
      <c r="O756" s="2360" t="s">
        <v>5885</v>
      </c>
      <c r="Q756" s="2287" t="s">
        <v>25</v>
      </c>
    </row>
    <row r="757" spans="1:17" ht="18.75" customHeight="1" x14ac:dyDescent="0.4">
      <c r="A757" s="112">
        <v>689</v>
      </c>
      <c r="B757" s="1747" t="s">
        <v>158</v>
      </c>
      <c r="C757" s="1748">
        <v>400</v>
      </c>
      <c r="D757" s="1179">
        <v>67</v>
      </c>
      <c r="E757" s="1749" t="s">
        <v>5215</v>
      </c>
      <c r="F757" s="1751">
        <v>243702</v>
      </c>
      <c r="G757" s="1750">
        <v>680</v>
      </c>
      <c r="H757" s="1731" t="s">
        <v>41</v>
      </c>
      <c r="I757" s="2287" t="s">
        <v>25</v>
      </c>
      <c r="J757" s="37"/>
      <c r="K757" s="2235"/>
      <c r="L757" s="37"/>
      <c r="M757" s="37"/>
      <c r="N757" s="37"/>
      <c r="O757" s="2360" t="s">
        <v>5885</v>
      </c>
      <c r="Q757" s="2287" t="s">
        <v>25</v>
      </c>
    </row>
    <row r="758" spans="1:17" ht="18.75" customHeight="1" x14ac:dyDescent="0.4">
      <c r="A758" s="112">
        <v>690</v>
      </c>
      <c r="B758" s="1747" t="s">
        <v>158</v>
      </c>
      <c r="C758" s="1748">
        <v>400</v>
      </c>
      <c r="D758" s="1179">
        <v>67</v>
      </c>
      <c r="E758" s="1749" t="s">
        <v>5216</v>
      </c>
      <c r="F758" s="1751">
        <v>243702</v>
      </c>
      <c r="G758" s="1750">
        <v>680</v>
      </c>
      <c r="H758" s="1731" t="s">
        <v>41</v>
      </c>
      <c r="I758" s="2287" t="s">
        <v>25</v>
      </c>
      <c r="J758" s="37"/>
      <c r="K758" s="2235"/>
      <c r="L758" s="37"/>
      <c r="M758" s="37"/>
      <c r="N758" s="37"/>
      <c r="O758" s="2360" t="s">
        <v>5885</v>
      </c>
      <c r="Q758" s="2287" t="s">
        <v>25</v>
      </c>
    </row>
    <row r="759" spans="1:17" ht="18.75" customHeight="1" x14ac:dyDescent="0.4">
      <c r="A759" s="112">
        <v>691</v>
      </c>
      <c r="B759" s="1747" t="s">
        <v>158</v>
      </c>
      <c r="C759" s="1748">
        <v>400</v>
      </c>
      <c r="D759" s="1179">
        <v>67</v>
      </c>
      <c r="E759" s="1749" t="s">
        <v>5217</v>
      </c>
      <c r="F759" s="1751">
        <v>243702</v>
      </c>
      <c r="G759" s="1750">
        <v>680</v>
      </c>
      <c r="H759" s="1731" t="s">
        <v>41</v>
      </c>
      <c r="I759" s="2287" t="s">
        <v>25</v>
      </c>
      <c r="J759" s="37"/>
      <c r="K759" s="2235"/>
      <c r="L759" s="37"/>
      <c r="M759" s="37"/>
      <c r="N759" s="37"/>
      <c r="O759" s="2360" t="s">
        <v>5885</v>
      </c>
      <c r="Q759" s="2287" t="s">
        <v>25</v>
      </c>
    </row>
    <row r="760" spans="1:17" ht="18.75" customHeight="1" x14ac:dyDescent="0.4">
      <c r="A760" s="112">
        <v>692</v>
      </c>
      <c r="B760" s="1747" t="s">
        <v>158</v>
      </c>
      <c r="C760" s="1748">
        <v>400</v>
      </c>
      <c r="D760" s="1179">
        <v>67</v>
      </c>
      <c r="E760" s="1749" t="s">
        <v>5218</v>
      </c>
      <c r="F760" s="1751">
        <v>243702</v>
      </c>
      <c r="G760" s="1750">
        <v>680</v>
      </c>
      <c r="H760" s="1731" t="s">
        <v>41</v>
      </c>
      <c r="I760" s="2287" t="s">
        <v>25</v>
      </c>
      <c r="J760" s="37"/>
      <c r="K760" s="2235"/>
      <c r="L760" s="37"/>
      <c r="M760" s="37"/>
      <c r="N760" s="37"/>
      <c r="O760" s="2360" t="s">
        <v>5885</v>
      </c>
      <c r="Q760" s="2287" t="s">
        <v>25</v>
      </c>
    </row>
    <row r="761" spans="1:17" ht="18.75" customHeight="1" x14ac:dyDescent="0.4">
      <c r="A761" s="112">
        <v>693</v>
      </c>
      <c r="B761" s="1747" t="s">
        <v>158</v>
      </c>
      <c r="C761" s="1748">
        <v>400</v>
      </c>
      <c r="D761" s="1179">
        <v>67</v>
      </c>
      <c r="E761" s="1749" t="s">
        <v>5219</v>
      </c>
      <c r="F761" s="1751">
        <v>243702</v>
      </c>
      <c r="G761" s="1750">
        <v>680</v>
      </c>
      <c r="H761" s="1731" t="s">
        <v>41</v>
      </c>
      <c r="I761" s="2287" t="s">
        <v>25</v>
      </c>
      <c r="J761" s="37"/>
      <c r="K761" s="2235"/>
      <c r="L761" s="37"/>
      <c r="M761" s="37"/>
      <c r="N761" s="37"/>
      <c r="O761" s="2360" t="s">
        <v>5885</v>
      </c>
      <c r="Q761" s="2287" t="s">
        <v>25</v>
      </c>
    </row>
    <row r="762" spans="1:17" ht="18.75" customHeight="1" x14ac:dyDescent="0.4">
      <c r="A762" s="112">
        <v>694</v>
      </c>
      <c r="B762" s="1747" t="s">
        <v>158</v>
      </c>
      <c r="C762" s="1748">
        <v>400</v>
      </c>
      <c r="D762" s="1179">
        <v>67</v>
      </c>
      <c r="E762" s="1749" t="s">
        <v>5220</v>
      </c>
      <c r="F762" s="1751">
        <v>243702</v>
      </c>
      <c r="G762" s="1750">
        <v>680</v>
      </c>
      <c r="H762" s="1731" t="s">
        <v>41</v>
      </c>
      <c r="I762" s="2287" t="s">
        <v>25</v>
      </c>
      <c r="J762" s="37"/>
      <c r="K762" s="2235"/>
      <c r="L762" s="37"/>
      <c r="M762" s="37"/>
      <c r="N762" s="37"/>
      <c r="O762" s="2360" t="s">
        <v>5885</v>
      </c>
      <c r="Q762" s="2287" t="s">
        <v>25</v>
      </c>
    </row>
    <row r="763" spans="1:17" ht="18.75" customHeight="1" x14ac:dyDescent="0.4">
      <c r="A763" s="112">
        <v>695</v>
      </c>
      <c r="B763" s="1747" t="s">
        <v>158</v>
      </c>
      <c r="C763" s="1748">
        <v>400</v>
      </c>
      <c r="D763" s="1179">
        <v>67</v>
      </c>
      <c r="E763" s="1749" t="s">
        <v>5221</v>
      </c>
      <c r="F763" s="1751">
        <v>243702</v>
      </c>
      <c r="G763" s="1750">
        <v>680</v>
      </c>
      <c r="H763" s="1731" t="s">
        <v>41</v>
      </c>
      <c r="I763" s="2287" t="s">
        <v>25</v>
      </c>
      <c r="J763" s="37"/>
      <c r="K763" s="2235"/>
      <c r="L763" s="37"/>
      <c r="M763" s="37"/>
      <c r="N763" s="37"/>
      <c r="O763" s="2360" t="s">
        <v>5885</v>
      </c>
      <c r="Q763" s="2287" t="s">
        <v>25</v>
      </c>
    </row>
    <row r="764" spans="1:17" ht="18.75" customHeight="1" x14ac:dyDescent="0.4">
      <c r="A764" s="2822">
        <v>696</v>
      </c>
      <c r="B764" s="1747" t="s">
        <v>158</v>
      </c>
      <c r="C764" s="1748">
        <v>400</v>
      </c>
      <c r="D764" s="1179">
        <v>67</v>
      </c>
      <c r="E764" s="1749" t="s">
        <v>5222</v>
      </c>
      <c r="F764" s="1751">
        <v>243702</v>
      </c>
      <c r="G764" s="1750">
        <v>680</v>
      </c>
      <c r="H764" s="1731" t="s">
        <v>41</v>
      </c>
      <c r="I764" s="2287" t="s">
        <v>25</v>
      </c>
      <c r="J764" s="37"/>
      <c r="K764" s="2235"/>
      <c r="L764" s="37"/>
      <c r="M764" s="37"/>
      <c r="N764" s="37"/>
      <c r="O764" s="2360" t="s">
        <v>5885</v>
      </c>
      <c r="Q764" s="2287" t="s">
        <v>25</v>
      </c>
    </row>
    <row r="765" spans="1:17" ht="18.75" customHeight="1" x14ac:dyDescent="0.4">
      <c r="A765" s="2822">
        <v>697</v>
      </c>
      <c r="B765" s="1747" t="s">
        <v>158</v>
      </c>
      <c r="C765" s="1748">
        <v>400</v>
      </c>
      <c r="D765" s="1179">
        <v>67</v>
      </c>
      <c r="E765" s="1749" t="s">
        <v>5223</v>
      </c>
      <c r="F765" s="1751">
        <v>243702</v>
      </c>
      <c r="G765" s="1750">
        <v>680</v>
      </c>
      <c r="H765" s="1731" t="s">
        <v>41</v>
      </c>
      <c r="I765" s="2287" t="s">
        <v>25</v>
      </c>
      <c r="J765" s="37"/>
      <c r="K765" s="2235"/>
      <c r="L765" s="37"/>
      <c r="M765" s="37"/>
      <c r="N765" s="37"/>
      <c r="O765" s="2360" t="s">
        <v>5885</v>
      </c>
      <c r="Q765" s="2287" t="s">
        <v>25</v>
      </c>
    </row>
    <row r="766" spans="1:17" ht="18.75" customHeight="1" x14ac:dyDescent="0.4">
      <c r="A766" s="112">
        <v>698</v>
      </c>
      <c r="B766" s="1747" t="s">
        <v>158</v>
      </c>
      <c r="C766" s="1748">
        <v>400</v>
      </c>
      <c r="D766" s="1179">
        <v>67</v>
      </c>
      <c r="E766" s="1749" t="s">
        <v>5224</v>
      </c>
      <c r="F766" s="1751">
        <v>243702</v>
      </c>
      <c r="G766" s="1750">
        <v>680</v>
      </c>
      <c r="H766" s="1731" t="s">
        <v>41</v>
      </c>
      <c r="I766" s="2287" t="s">
        <v>25</v>
      </c>
      <c r="J766" s="37"/>
      <c r="K766" s="2235"/>
      <c r="L766" s="37"/>
      <c r="M766" s="37"/>
      <c r="N766" s="37"/>
      <c r="O766" s="2360" t="s">
        <v>5885</v>
      </c>
      <c r="Q766" s="2287" t="s">
        <v>25</v>
      </c>
    </row>
    <row r="767" spans="1:17" ht="18.75" customHeight="1" x14ac:dyDescent="0.4">
      <c r="A767" s="112">
        <v>699</v>
      </c>
      <c r="B767" s="1747" t="s">
        <v>158</v>
      </c>
      <c r="C767" s="1748">
        <v>400</v>
      </c>
      <c r="D767" s="1179">
        <v>67</v>
      </c>
      <c r="E767" s="1749" t="s">
        <v>5225</v>
      </c>
      <c r="F767" s="1751">
        <v>243702</v>
      </c>
      <c r="G767" s="1750">
        <v>680</v>
      </c>
      <c r="H767" s="1731" t="s">
        <v>41</v>
      </c>
      <c r="I767" s="2287" t="s">
        <v>25</v>
      </c>
      <c r="J767" s="37"/>
      <c r="K767" s="2235"/>
      <c r="L767" s="37"/>
      <c r="M767" s="37"/>
      <c r="N767" s="37"/>
      <c r="O767" s="2360" t="s">
        <v>5885</v>
      </c>
      <c r="Q767" s="2287" t="s">
        <v>25</v>
      </c>
    </row>
    <row r="768" spans="1:17" ht="18.75" customHeight="1" x14ac:dyDescent="0.4">
      <c r="A768" s="112">
        <v>700</v>
      </c>
      <c r="B768" s="1747" t="s">
        <v>158</v>
      </c>
      <c r="C768" s="1748">
        <v>400</v>
      </c>
      <c r="D768" s="1179">
        <v>67</v>
      </c>
      <c r="E768" s="1749" t="s">
        <v>5226</v>
      </c>
      <c r="F768" s="1751">
        <v>243702</v>
      </c>
      <c r="G768" s="1750">
        <v>680</v>
      </c>
      <c r="H768" s="1731" t="s">
        <v>41</v>
      </c>
      <c r="I768" s="2287" t="s">
        <v>25</v>
      </c>
      <c r="J768" s="37"/>
      <c r="K768" s="2235"/>
      <c r="L768" s="37"/>
      <c r="M768" s="37"/>
      <c r="N768" s="37"/>
      <c r="O768" s="2360" t="s">
        <v>5885</v>
      </c>
      <c r="Q768" s="2287" t="s">
        <v>25</v>
      </c>
    </row>
    <row r="769" spans="1:17" ht="18.75" customHeight="1" x14ac:dyDescent="0.4">
      <c r="A769" s="112">
        <v>701</v>
      </c>
      <c r="B769" s="1747" t="s">
        <v>158</v>
      </c>
      <c r="C769" s="1748">
        <v>400</v>
      </c>
      <c r="D769" s="1179">
        <v>67</v>
      </c>
      <c r="E769" s="1749" t="s">
        <v>5227</v>
      </c>
      <c r="F769" s="1751">
        <v>243702</v>
      </c>
      <c r="G769" s="1750">
        <v>680</v>
      </c>
      <c r="H769" s="1731" t="s">
        <v>41</v>
      </c>
      <c r="I769" s="2287" t="s">
        <v>25</v>
      </c>
      <c r="J769" s="37"/>
      <c r="K769" s="2235"/>
      <c r="L769" s="37"/>
      <c r="M769" s="37"/>
      <c r="N769" s="37"/>
      <c r="O769" s="2360" t="s">
        <v>5885</v>
      </c>
      <c r="Q769" s="2287" t="s">
        <v>25</v>
      </c>
    </row>
    <row r="770" spans="1:17" ht="18.75" customHeight="1" x14ac:dyDescent="0.4">
      <c r="A770" s="112">
        <v>702</v>
      </c>
      <c r="B770" s="1747" t="s">
        <v>158</v>
      </c>
      <c r="C770" s="1748">
        <v>400</v>
      </c>
      <c r="D770" s="1179">
        <v>67</v>
      </c>
      <c r="E770" s="1749" t="s">
        <v>5228</v>
      </c>
      <c r="F770" s="1751">
        <v>243702</v>
      </c>
      <c r="G770" s="1750">
        <v>680</v>
      </c>
      <c r="H770" s="1731" t="s">
        <v>41</v>
      </c>
      <c r="I770" s="2287" t="s">
        <v>25</v>
      </c>
      <c r="J770" s="37"/>
      <c r="K770" s="2235"/>
      <c r="L770" s="37"/>
      <c r="M770" s="37"/>
      <c r="N770" s="37"/>
      <c r="O770" s="2360" t="s">
        <v>5885</v>
      </c>
      <c r="Q770" s="2287" t="s">
        <v>25</v>
      </c>
    </row>
    <row r="771" spans="1:17" ht="18.75" customHeight="1" x14ac:dyDescent="0.4">
      <c r="A771" s="112">
        <v>703</v>
      </c>
      <c r="B771" s="1747" t="s">
        <v>158</v>
      </c>
      <c r="C771" s="1748">
        <v>400</v>
      </c>
      <c r="D771" s="1179">
        <v>67</v>
      </c>
      <c r="E771" s="1749" t="s">
        <v>5229</v>
      </c>
      <c r="F771" s="1751">
        <v>243702</v>
      </c>
      <c r="G771" s="1750">
        <v>680</v>
      </c>
      <c r="H771" s="1731" t="s">
        <v>41</v>
      </c>
      <c r="I771" s="2287" t="s">
        <v>25</v>
      </c>
      <c r="J771" s="37"/>
      <c r="K771" s="2235"/>
      <c r="L771" s="37"/>
      <c r="M771" s="37"/>
      <c r="N771" s="37"/>
      <c r="O771" s="2360" t="s">
        <v>5885</v>
      </c>
      <c r="Q771" s="2287" t="s">
        <v>25</v>
      </c>
    </row>
    <row r="772" spans="1:17" ht="18.75" customHeight="1" x14ac:dyDescent="0.4">
      <c r="A772" s="112">
        <v>704</v>
      </c>
      <c r="B772" s="1747" t="s">
        <v>158</v>
      </c>
      <c r="C772" s="1748">
        <v>400</v>
      </c>
      <c r="D772" s="1179">
        <v>67</v>
      </c>
      <c r="E772" s="1749" t="s">
        <v>5230</v>
      </c>
      <c r="F772" s="1751">
        <v>243702</v>
      </c>
      <c r="G772" s="1750">
        <v>680</v>
      </c>
      <c r="H772" s="1731" t="s">
        <v>41</v>
      </c>
      <c r="I772" s="2287" t="s">
        <v>25</v>
      </c>
      <c r="J772" s="37"/>
      <c r="K772" s="2235"/>
      <c r="L772" s="37"/>
      <c r="M772" s="37"/>
      <c r="N772" s="37"/>
      <c r="O772" s="2360" t="s">
        <v>5885</v>
      </c>
      <c r="Q772" s="2287" t="s">
        <v>25</v>
      </c>
    </row>
    <row r="773" spans="1:17" ht="18.75" customHeight="1" x14ac:dyDescent="0.4">
      <c r="A773" s="2822">
        <v>705</v>
      </c>
      <c r="B773" s="1747" t="s">
        <v>158</v>
      </c>
      <c r="C773" s="1748">
        <v>400</v>
      </c>
      <c r="D773" s="1179">
        <v>67</v>
      </c>
      <c r="E773" s="1749" t="s">
        <v>5231</v>
      </c>
      <c r="F773" s="1751">
        <v>243702</v>
      </c>
      <c r="G773" s="1750">
        <v>680</v>
      </c>
      <c r="H773" s="1731" t="s">
        <v>41</v>
      </c>
      <c r="I773" s="2287" t="s">
        <v>25</v>
      </c>
      <c r="J773" s="37"/>
      <c r="K773" s="2235"/>
      <c r="L773" s="37"/>
      <c r="M773" s="37"/>
      <c r="N773" s="37"/>
      <c r="O773" s="2360" t="s">
        <v>5885</v>
      </c>
      <c r="Q773" s="2287" t="s">
        <v>25</v>
      </c>
    </row>
    <row r="774" spans="1:17" ht="18.75" customHeight="1" x14ac:dyDescent="0.4">
      <c r="A774" s="2822">
        <v>706</v>
      </c>
      <c r="B774" s="1747" t="s">
        <v>158</v>
      </c>
      <c r="C774" s="1748">
        <v>400</v>
      </c>
      <c r="D774" s="1179">
        <v>67</v>
      </c>
      <c r="E774" s="1749" t="s">
        <v>5232</v>
      </c>
      <c r="F774" s="1751">
        <v>243702</v>
      </c>
      <c r="G774" s="1750">
        <v>680</v>
      </c>
      <c r="H774" s="1731" t="s">
        <v>41</v>
      </c>
      <c r="I774" s="2287" t="s">
        <v>25</v>
      </c>
      <c r="J774" s="37"/>
      <c r="K774" s="2235"/>
      <c r="L774" s="37"/>
      <c r="M774" s="37"/>
      <c r="N774" s="37"/>
      <c r="O774" s="2360" t="s">
        <v>5885</v>
      </c>
      <c r="Q774" s="2287" t="s">
        <v>25</v>
      </c>
    </row>
    <row r="775" spans="1:17" ht="18.75" customHeight="1" x14ac:dyDescent="0.4">
      <c r="A775" s="112">
        <v>707</v>
      </c>
      <c r="B775" s="1747" t="s">
        <v>158</v>
      </c>
      <c r="C775" s="1748">
        <v>400</v>
      </c>
      <c r="D775" s="1179">
        <v>67</v>
      </c>
      <c r="E775" s="1749" t="s">
        <v>5233</v>
      </c>
      <c r="F775" s="1751">
        <v>243702</v>
      </c>
      <c r="G775" s="1750">
        <v>680</v>
      </c>
      <c r="H775" s="1731" t="s">
        <v>41</v>
      </c>
      <c r="I775" s="2287" t="s">
        <v>25</v>
      </c>
      <c r="J775" s="37"/>
      <c r="K775" s="2235"/>
      <c r="L775" s="37"/>
      <c r="M775" s="37"/>
      <c r="N775" s="37"/>
      <c r="O775" s="2360" t="s">
        <v>5885</v>
      </c>
      <c r="Q775" s="2287" t="s">
        <v>25</v>
      </c>
    </row>
    <row r="776" spans="1:17" ht="18.75" customHeight="1" x14ac:dyDescent="0.4">
      <c r="A776" s="112">
        <v>708</v>
      </c>
      <c r="B776" s="1747" t="s">
        <v>158</v>
      </c>
      <c r="C776" s="1748">
        <v>400</v>
      </c>
      <c r="D776" s="1179">
        <v>67</v>
      </c>
      <c r="E776" s="1749" t="s">
        <v>5234</v>
      </c>
      <c r="F776" s="1751">
        <v>243702</v>
      </c>
      <c r="G776" s="1750">
        <v>680</v>
      </c>
      <c r="H776" s="1731" t="s">
        <v>41</v>
      </c>
      <c r="I776" s="2287" t="s">
        <v>25</v>
      </c>
      <c r="J776" s="37"/>
      <c r="K776" s="2235"/>
      <c r="L776" s="37"/>
      <c r="M776" s="37"/>
      <c r="N776" s="37"/>
      <c r="O776" s="2360" t="s">
        <v>5885</v>
      </c>
      <c r="Q776" s="2287" t="s">
        <v>25</v>
      </c>
    </row>
    <row r="777" spans="1:17" ht="18.75" customHeight="1" x14ac:dyDescent="0.4">
      <c r="A777" s="112">
        <v>709</v>
      </c>
      <c r="B777" s="1747" t="s">
        <v>158</v>
      </c>
      <c r="C777" s="1748">
        <v>400</v>
      </c>
      <c r="D777" s="1179">
        <v>67</v>
      </c>
      <c r="E777" s="1749" t="s">
        <v>5235</v>
      </c>
      <c r="F777" s="1751">
        <v>243702</v>
      </c>
      <c r="G777" s="1750">
        <v>680</v>
      </c>
      <c r="H777" s="1731" t="s">
        <v>41</v>
      </c>
      <c r="I777" s="2287" t="s">
        <v>25</v>
      </c>
      <c r="J777" s="37"/>
      <c r="K777" s="2235"/>
      <c r="L777" s="37"/>
      <c r="M777" s="37"/>
      <c r="N777" s="37"/>
      <c r="O777" s="2360" t="s">
        <v>5885</v>
      </c>
      <c r="Q777" s="2287" t="s">
        <v>25</v>
      </c>
    </row>
    <row r="778" spans="1:17" ht="18.75" customHeight="1" x14ac:dyDescent="0.4">
      <c r="A778" s="112">
        <v>710</v>
      </c>
      <c r="B778" s="1747" t="s">
        <v>158</v>
      </c>
      <c r="C778" s="1748">
        <v>400</v>
      </c>
      <c r="D778" s="1179">
        <v>67</v>
      </c>
      <c r="E778" s="1749" t="s">
        <v>5236</v>
      </c>
      <c r="F778" s="1751">
        <v>243702</v>
      </c>
      <c r="G778" s="1750">
        <v>680</v>
      </c>
      <c r="H778" s="1731" t="s">
        <v>41</v>
      </c>
      <c r="I778" s="2287" t="s">
        <v>25</v>
      </c>
      <c r="J778" s="37"/>
      <c r="K778" s="2235"/>
      <c r="L778" s="37"/>
      <c r="M778" s="37"/>
      <c r="N778" s="37"/>
      <c r="O778" s="2360" t="s">
        <v>5885</v>
      </c>
      <c r="Q778" s="2287" t="s">
        <v>25</v>
      </c>
    </row>
    <row r="779" spans="1:17" ht="18.75" customHeight="1" x14ac:dyDescent="0.4">
      <c r="A779" s="112">
        <v>711</v>
      </c>
      <c r="B779" s="1747" t="s">
        <v>158</v>
      </c>
      <c r="C779" s="1748">
        <v>400</v>
      </c>
      <c r="D779" s="1179">
        <v>67</v>
      </c>
      <c r="E779" s="1749" t="s">
        <v>5237</v>
      </c>
      <c r="F779" s="1751">
        <v>243702</v>
      </c>
      <c r="G779" s="1750">
        <v>680</v>
      </c>
      <c r="H779" s="1731" t="s">
        <v>41</v>
      </c>
      <c r="I779" s="2287" t="s">
        <v>25</v>
      </c>
      <c r="J779" s="37"/>
      <c r="K779" s="2235"/>
      <c r="L779" s="37"/>
      <c r="M779" s="37"/>
      <c r="N779" s="37"/>
      <c r="O779" s="2360" t="s">
        <v>5885</v>
      </c>
      <c r="Q779" s="2287" t="s">
        <v>25</v>
      </c>
    </row>
    <row r="780" spans="1:17" ht="18.75" customHeight="1" x14ac:dyDescent="0.4">
      <c r="A780" s="112">
        <v>712</v>
      </c>
      <c r="B780" s="1747" t="s">
        <v>158</v>
      </c>
      <c r="C780" s="1748">
        <v>400</v>
      </c>
      <c r="D780" s="1179">
        <v>67</v>
      </c>
      <c r="E780" s="1749" t="s">
        <v>5238</v>
      </c>
      <c r="F780" s="1751">
        <v>243702</v>
      </c>
      <c r="G780" s="1750">
        <v>680</v>
      </c>
      <c r="H780" s="1731" t="s">
        <v>41</v>
      </c>
      <c r="I780" s="2287" t="s">
        <v>25</v>
      </c>
      <c r="J780" s="37"/>
      <c r="K780" s="2235"/>
      <c r="L780" s="37"/>
      <c r="M780" s="37"/>
      <c r="N780" s="37"/>
      <c r="O780" s="2360" t="s">
        <v>5885</v>
      </c>
      <c r="Q780" s="2287" t="s">
        <v>25</v>
      </c>
    </row>
    <row r="781" spans="1:17" ht="18.75" customHeight="1" x14ac:dyDescent="0.4">
      <c r="A781" s="112">
        <v>713</v>
      </c>
      <c r="B781" s="1747" t="s">
        <v>158</v>
      </c>
      <c r="C781" s="1748">
        <v>400</v>
      </c>
      <c r="D781" s="1179">
        <v>67</v>
      </c>
      <c r="E781" s="1749" t="s">
        <v>5239</v>
      </c>
      <c r="F781" s="1751">
        <v>243702</v>
      </c>
      <c r="G781" s="1750">
        <v>680</v>
      </c>
      <c r="H781" s="1731" t="s">
        <v>41</v>
      </c>
      <c r="I781" s="2287" t="s">
        <v>25</v>
      </c>
      <c r="J781" s="37"/>
      <c r="K781" s="2235"/>
      <c r="L781" s="37"/>
      <c r="M781" s="37"/>
      <c r="N781" s="37"/>
      <c r="O781" s="2360" t="s">
        <v>5885</v>
      </c>
      <c r="Q781" s="2287" t="s">
        <v>25</v>
      </c>
    </row>
    <row r="782" spans="1:17" ht="18.75" customHeight="1" x14ac:dyDescent="0.4">
      <c r="A782" s="2822">
        <v>714</v>
      </c>
      <c r="B782" s="1747" t="s">
        <v>158</v>
      </c>
      <c r="C782" s="1748">
        <v>400</v>
      </c>
      <c r="D782" s="1179">
        <v>67</v>
      </c>
      <c r="E782" s="1749" t="s">
        <v>5240</v>
      </c>
      <c r="F782" s="1751">
        <v>243702</v>
      </c>
      <c r="G782" s="1750">
        <v>680</v>
      </c>
      <c r="H782" s="1731" t="s">
        <v>41</v>
      </c>
      <c r="I782" s="2287" t="s">
        <v>25</v>
      </c>
      <c r="J782" s="37"/>
      <c r="K782" s="2235"/>
      <c r="L782" s="37"/>
      <c r="M782" s="37"/>
      <c r="N782" s="37"/>
      <c r="O782" s="2360" t="s">
        <v>5885</v>
      </c>
      <c r="Q782" s="2287" t="s">
        <v>25</v>
      </c>
    </row>
    <row r="783" spans="1:17" ht="18.75" customHeight="1" x14ac:dyDescent="0.4">
      <c r="A783" s="2822">
        <v>715</v>
      </c>
      <c r="B783" s="1747" t="s">
        <v>158</v>
      </c>
      <c r="C783" s="1748">
        <v>400</v>
      </c>
      <c r="D783" s="1179">
        <v>67</v>
      </c>
      <c r="E783" s="1749" t="s">
        <v>5241</v>
      </c>
      <c r="F783" s="1751">
        <v>243702</v>
      </c>
      <c r="G783" s="1750">
        <v>680</v>
      </c>
      <c r="H783" s="1731" t="s">
        <v>41</v>
      </c>
      <c r="I783" s="2287" t="s">
        <v>25</v>
      </c>
      <c r="J783" s="37"/>
      <c r="K783" s="2235"/>
      <c r="L783" s="37"/>
      <c r="M783" s="37"/>
      <c r="N783" s="37"/>
      <c r="O783" s="2360" t="s">
        <v>5885</v>
      </c>
      <c r="Q783" s="2287" t="s">
        <v>25</v>
      </c>
    </row>
    <row r="784" spans="1:17" ht="18.75" customHeight="1" x14ac:dyDescent="0.4">
      <c r="A784" s="112">
        <v>716</v>
      </c>
      <c r="B784" s="1747" t="s">
        <v>158</v>
      </c>
      <c r="C784" s="1748">
        <v>400</v>
      </c>
      <c r="D784" s="1179">
        <v>67</v>
      </c>
      <c r="E784" s="1749" t="s">
        <v>5242</v>
      </c>
      <c r="F784" s="1751">
        <v>243702</v>
      </c>
      <c r="G784" s="1750">
        <v>680</v>
      </c>
      <c r="H784" s="1731" t="s">
        <v>41</v>
      </c>
      <c r="I784" s="2287" t="s">
        <v>25</v>
      </c>
      <c r="J784" s="37"/>
      <c r="K784" s="2235"/>
      <c r="L784" s="37"/>
      <c r="M784" s="37"/>
      <c r="N784" s="37"/>
      <c r="O784" s="2360" t="s">
        <v>5885</v>
      </c>
      <c r="Q784" s="2287" t="s">
        <v>25</v>
      </c>
    </row>
    <row r="785" spans="1:17" ht="18.75" customHeight="1" x14ac:dyDescent="0.4">
      <c r="A785" s="112">
        <v>717</v>
      </c>
      <c r="B785" s="1747" t="s">
        <v>158</v>
      </c>
      <c r="C785" s="1748">
        <v>400</v>
      </c>
      <c r="D785" s="1179">
        <v>67</v>
      </c>
      <c r="E785" s="1749" t="s">
        <v>5243</v>
      </c>
      <c r="F785" s="1751">
        <v>243702</v>
      </c>
      <c r="G785" s="1750">
        <v>680</v>
      </c>
      <c r="H785" s="1731" t="s">
        <v>41</v>
      </c>
      <c r="I785" s="2287" t="s">
        <v>25</v>
      </c>
      <c r="J785" s="37"/>
      <c r="K785" s="2235"/>
      <c r="L785" s="37"/>
      <c r="M785" s="37"/>
      <c r="N785" s="37"/>
      <c r="O785" s="2360" t="s">
        <v>5885</v>
      </c>
      <c r="Q785" s="2287" t="s">
        <v>25</v>
      </c>
    </row>
    <row r="786" spans="1:17" ht="18.75" customHeight="1" x14ac:dyDescent="0.4">
      <c r="A786" s="112">
        <v>718</v>
      </c>
      <c r="B786" s="1747" t="s">
        <v>158</v>
      </c>
      <c r="C786" s="1748">
        <v>400</v>
      </c>
      <c r="D786" s="1179">
        <v>67</v>
      </c>
      <c r="E786" s="1749" t="s">
        <v>5244</v>
      </c>
      <c r="F786" s="1751">
        <v>243702</v>
      </c>
      <c r="G786" s="1750">
        <v>680</v>
      </c>
      <c r="H786" s="1731" t="s">
        <v>41</v>
      </c>
      <c r="I786" s="2287" t="s">
        <v>25</v>
      </c>
      <c r="J786" s="37"/>
      <c r="K786" s="2235"/>
      <c r="L786" s="37"/>
      <c r="M786" s="37"/>
      <c r="N786" s="37"/>
      <c r="O786" s="2360" t="s">
        <v>5885</v>
      </c>
      <c r="Q786" s="2287" t="s">
        <v>25</v>
      </c>
    </row>
    <row r="787" spans="1:17" ht="18.75" customHeight="1" x14ac:dyDescent="0.4">
      <c r="A787" s="112">
        <v>719</v>
      </c>
      <c r="B787" s="1747" t="s">
        <v>158</v>
      </c>
      <c r="C787" s="1748">
        <v>400</v>
      </c>
      <c r="D787" s="1179">
        <v>67</v>
      </c>
      <c r="E787" s="1749" t="s">
        <v>5245</v>
      </c>
      <c r="F787" s="1751">
        <v>243702</v>
      </c>
      <c r="G787" s="1750">
        <v>680</v>
      </c>
      <c r="H787" s="1731" t="s">
        <v>41</v>
      </c>
      <c r="I787" s="2287" t="s">
        <v>25</v>
      </c>
      <c r="J787" s="37"/>
      <c r="K787" s="2235"/>
      <c r="L787" s="37"/>
      <c r="M787" s="37"/>
      <c r="N787" s="37"/>
      <c r="O787" s="2360" t="s">
        <v>5885</v>
      </c>
      <c r="Q787" s="2287" t="s">
        <v>25</v>
      </c>
    </row>
    <row r="788" spans="1:17" ht="18.75" customHeight="1" x14ac:dyDescent="0.4">
      <c r="A788" s="112">
        <v>720</v>
      </c>
      <c r="B788" s="1747" t="s">
        <v>158</v>
      </c>
      <c r="C788" s="1748">
        <v>400</v>
      </c>
      <c r="D788" s="1179">
        <v>67</v>
      </c>
      <c r="E788" s="1749" t="s">
        <v>5246</v>
      </c>
      <c r="F788" s="1751">
        <v>243702</v>
      </c>
      <c r="G788" s="1750">
        <v>680</v>
      </c>
      <c r="H788" s="1731" t="s">
        <v>41</v>
      </c>
      <c r="I788" s="2287" t="s">
        <v>25</v>
      </c>
      <c r="J788" s="37"/>
      <c r="K788" s="2235"/>
      <c r="L788" s="37"/>
      <c r="M788" s="37"/>
      <c r="N788" s="37"/>
      <c r="O788" s="2360" t="s">
        <v>5885</v>
      </c>
      <c r="Q788" s="2287" t="s">
        <v>25</v>
      </c>
    </row>
    <row r="789" spans="1:17" ht="18.75" customHeight="1" x14ac:dyDescent="0.4">
      <c r="A789" s="112">
        <v>721</v>
      </c>
      <c r="B789" s="1747" t="s">
        <v>158</v>
      </c>
      <c r="C789" s="1748">
        <v>400</v>
      </c>
      <c r="D789" s="1179">
        <v>67</v>
      </c>
      <c r="E789" s="1749" t="s">
        <v>5247</v>
      </c>
      <c r="F789" s="1751">
        <v>243702</v>
      </c>
      <c r="G789" s="1750">
        <v>680</v>
      </c>
      <c r="H789" s="1731" t="s">
        <v>41</v>
      </c>
      <c r="I789" s="2287" t="s">
        <v>25</v>
      </c>
      <c r="J789" s="37"/>
      <c r="K789" s="2235"/>
      <c r="L789" s="37"/>
      <c r="M789" s="37"/>
      <c r="N789" s="37"/>
      <c r="O789" s="2360" t="s">
        <v>5885</v>
      </c>
      <c r="Q789" s="2287" t="s">
        <v>25</v>
      </c>
    </row>
    <row r="790" spans="1:17" ht="18.75" customHeight="1" x14ac:dyDescent="0.4">
      <c r="A790" s="112">
        <v>722</v>
      </c>
      <c r="B790" s="1747" t="s">
        <v>158</v>
      </c>
      <c r="C790" s="1748">
        <v>400</v>
      </c>
      <c r="D790" s="1179">
        <v>67</v>
      </c>
      <c r="E790" s="1749" t="s">
        <v>5248</v>
      </c>
      <c r="F790" s="1751">
        <v>243702</v>
      </c>
      <c r="G790" s="1750">
        <v>680</v>
      </c>
      <c r="H790" s="1731" t="s">
        <v>41</v>
      </c>
      <c r="I790" s="2287" t="s">
        <v>25</v>
      </c>
      <c r="J790" s="37"/>
      <c r="K790" s="2235"/>
      <c r="L790" s="37"/>
      <c r="M790" s="37"/>
      <c r="N790" s="37"/>
      <c r="O790" s="2360" t="s">
        <v>5885</v>
      </c>
      <c r="Q790" s="2287" t="s">
        <v>25</v>
      </c>
    </row>
    <row r="791" spans="1:17" ht="18.75" customHeight="1" x14ac:dyDescent="0.4">
      <c r="A791" s="2822">
        <v>723</v>
      </c>
      <c r="B791" s="1747" t="s">
        <v>158</v>
      </c>
      <c r="C791" s="1748">
        <v>400</v>
      </c>
      <c r="D791" s="1179">
        <v>67</v>
      </c>
      <c r="E791" s="1749" t="s">
        <v>5249</v>
      </c>
      <c r="F791" s="1751">
        <v>243702</v>
      </c>
      <c r="G791" s="1750">
        <v>680</v>
      </c>
      <c r="H791" s="1731" t="s">
        <v>41</v>
      </c>
      <c r="I791" s="2287" t="s">
        <v>25</v>
      </c>
      <c r="J791" s="37"/>
      <c r="K791" s="2235"/>
      <c r="L791" s="37"/>
      <c r="M791" s="37"/>
      <c r="N791" s="37"/>
      <c r="O791" s="2360" t="s">
        <v>5885</v>
      </c>
      <c r="Q791" s="2287" t="s">
        <v>25</v>
      </c>
    </row>
    <row r="792" spans="1:17" ht="18.75" customHeight="1" x14ac:dyDescent="0.4">
      <c r="A792" s="2822">
        <v>724</v>
      </c>
      <c r="B792" s="1747" t="s">
        <v>158</v>
      </c>
      <c r="C792" s="1748">
        <v>400</v>
      </c>
      <c r="D792" s="1179">
        <v>67</v>
      </c>
      <c r="E792" s="1749" t="s">
        <v>5250</v>
      </c>
      <c r="F792" s="1751">
        <v>243702</v>
      </c>
      <c r="G792" s="1750">
        <v>680</v>
      </c>
      <c r="H792" s="1731" t="s">
        <v>41</v>
      </c>
      <c r="I792" s="2287" t="s">
        <v>25</v>
      </c>
      <c r="J792" s="37"/>
      <c r="K792" s="2235"/>
      <c r="L792" s="37"/>
      <c r="M792" s="37"/>
      <c r="N792" s="37"/>
      <c r="O792" s="2360" t="s">
        <v>5885</v>
      </c>
      <c r="Q792" s="2287" t="s">
        <v>25</v>
      </c>
    </row>
    <row r="793" spans="1:17" ht="18.75" customHeight="1" x14ac:dyDescent="0.4">
      <c r="A793" s="112">
        <v>725</v>
      </c>
      <c r="B793" s="1747" t="s">
        <v>158</v>
      </c>
      <c r="C793" s="1748">
        <v>400</v>
      </c>
      <c r="D793" s="1179">
        <v>67</v>
      </c>
      <c r="E793" s="1749" t="s">
        <v>5251</v>
      </c>
      <c r="F793" s="1751">
        <v>243702</v>
      </c>
      <c r="G793" s="1750">
        <v>680</v>
      </c>
      <c r="H793" s="1731" t="s">
        <v>41</v>
      </c>
      <c r="I793" s="2287" t="s">
        <v>25</v>
      </c>
      <c r="J793" s="37"/>
      <c r="K793" s="2235"/>
      <c r="L793" s="37"/>
      <c r="M793" s="37"/>
      <c r="N793" s="37"/>
      <c r="O793" s="2360" t="s">
        <v>5885</v>
      </c>
      <c r="Q793" s="2287" t="s">
        <v>25</v>
      </c>
    </row>
    <row r="794" spans="1:17" ht="18.75" customHeight="1" x14ac:dyDescent="0.4">
      <c r="A794" s="112">
        <v>726</v>
      </c>
      <c r="B794" s="1747" t="s">
        <v>158</v>
      </c>
      <c r="C794" s="1748">
        <v>400</v>
      </c>
      <c r="D794" s="1179">
        <v>67</v>
      </c>
      <c r="E794" s="1749" t="s">
        <v>5252</v>
      </c>
      <c r="F794" s="1751">
        <v>243702</v>
      </c>
      <c r="G794" s="1750">
        <v>680</v>
      </c>
      <c r="H794" s="1731" t="s">
        <v>41</v>
      </c>
      <c r="I794" s="2287" t="s">
        <v>25</v>
      </c>
      <c r="J794" s="37"/>
      <c r="K794" s="2235"/>
      <c r="L794" s="37"/>
      <c r="M794" s="37"/>
      <c r="N794" s="37"/>
      <c r="O794" s="2360" t="s">
        <v>5885</v>
      </c>
      <c r="Q794" s="2287" t="s">
        <v>25</v>
      </c>
    </row>
    <row r="795" spans="1:17" ht="18.75" customHeight="1" x14ac:dyDescent="0.4">
      <c r="A795" s="112">
        <v>727</v>
      </c>
      <c r="B795" s="1747" t="s">
        <v>158</v>
      </c>
      <c r="C795" s="1748">
        <v>400</v>
      </c>
      <c r="D795" s="1179">
        <v>67</v>
      </c>
      <c r="E795" s="1749" t="s">
        <v>5253</v>
      </c>
      <c r="F795" s="1751">
        <v>243702</v>
      </c>
      <c r="G795" s="1750">
        <v>680</v>
      </c>
      <c r="H795" s="1731" t="s">
        <v>41</v>
      </c>
      <c r="I795" s="2287" t="s">
        <v>25</v>
      </c>
      <c r="J795" s="37"/>
      <c r="K795" s="2235"/>
      <c r="L795" s="37"/>
      <c r="M795" s="37"/>
      <c r="N795" s="37"/>
      <c r="O795" s="2360" t="s">
        <v>5885</v>
      </c>
      <c r="Q795" s="2287" t="s">
        <v>25</v>
      </c>
    </row>
    <row r="796" spans="1:17" ht="18.75" customHeight="1" x14ac:dyDescent="0.4">
      <c r="A796" s="112">
        <v>728</v>
      </c>
      <c r="B796" s="1747" t="s">
        <v>158</v>
      </c>
      <c r="C796" s="1748">
        <v>400</v>
      </c>
      <c r="D796" s="1179">
        <v>67</v>
      </c>
      <c r="E796" s="1749" t="s">
        <v>5254</v>
      </c>
      <c r="F796" s="1751">
        <v>243702</v>
      </c>
      <c r="G796" s="1750">
        <v>680</v>
      </c>
      <c r="H796" s="1731" t="s">
        <v>41</v>
      </c>
      <c r="I796" s="2287" t="s">
        <v>25</v>
      </c>
      <c r="J796" s="37"/>
      <c r="K796" s="2235"/>
      <c r="L796" s="37"/>
      <c r="M796" s="37"/>
      <c r="N796" s="37"/>
      <c r="O796" s="2360" t="s">
        <v>5885</v>
      </c>
      <c r="Q796" s="2287" t="s">
        <v>25</v>
      </c>
    </row>
    <row r="797" spans="1:17" ht="18.75" customHeight="1" x14ac:dyDescent="0.4">
      <c r="A797" s="112">
        <v>729</v>
      </c>
      <c r="B797" s="1747" t="s">
        <v>158</v>
      </c>
      <c r="C797" s="1748">
        <v>400</v>
      </c>
      <c r="D797" s="1179">
        <v>67</v>
      </c>
      <c r="E797" s="1749" t="s">
        <v>5255</v>
      </c>
      <c r="F797" s="1751">
        <v>243702</v>
      </c>
      <c r="G797" s="1750">
        <v>680</v>
      </c>
      <c r="H797" s="1731" t="s">
        <v>41</v>
      </c>
      <c r="I797" s="2287" t="s">
        <v>25</v>
      </c>
      <c r="J797" s="37"/>
      <c r="K797" s="2235"/>
      <c r="L797" s="37"/>
      <c r="M797" s="37"/>
      <c r="N797" s="37"/>
      <c r="O797" s="2360" t="s">
        <v>5885</v>
      </c>
      <c r="Q797" s="2287" t="s">
        <v>25</v>
      </c>
    </row>
    <row r="798" spans="1:17" ht="18.75" customHeight="1" x14ac:dyDescent="0.4">
      <c r="A798" s="112">
        <v>730</v>
      </c>
      <c r="B798" s="1747" t="s">
        <v>158</v>
      </c>
      <c r="C798" s="1748">
        <v>400</v>
      </c>
      <c r="D798" s="1179">
        <v>67</v>
      </c>
      <c r="E798" s="1749" t="s">
        <v>5256</v>
      </c>
      <c r="F798" s="1751">
        <v>243702</v>
      </c>
      <c r="G798" s="1750">
        <v>680</v>
      </c>
      <c r="H798" s="1731" t="s">
        <v>41</v>
      </c>
      <c r="I798" s="2287" t="s">
        <v>25</v>
      </c>
      <c r="J798" s="37"/>
      <c r="K798" s="2235"/>
      <c r="L798" s="37"/>
      <c r="M798" s="37"/>
      <c r="N798" s="37"/>
      <c r="O798" s="2360" t="s">
        <v>5885</v>
      </c>
      <c r="Q798" s="2287" t="s">
        <v>25</v>
      </c>
    </row>
    <row r="799" spans="1:17" ht="18.75" customHeight="1" x14ac:dyDescent="0.4">
      <c r="A799" s="112">
        <v>731</v>
      </c>
      <c r="B799" s="1747" t="s">
        <v>158</v>
      </c>
      <c r="C799" s="1748">
        <v>400</v>
      </c>
      <c r="D799" s="1179">
        <v>67</v>
      </c>
      <c r="E799" s="1749" t="s">
        <v>5257</v>
      </c>
      <c r="F799" s="1751">
        <v>243702</v>
      </c>
      <c r="G799" s="1750">
        <v>680</v>
      </c>
      <c r="H799" s="1731" t="s">
        <v>41</v>
      </c>
      <c r="I799" s="2287" t="s">
        <v>25</v>
      </c>
      <c r="J799" s="37"/>
      <c r="K799" s="2235"/>
      <c r="L799" s="37"/>
      <c r="M799" s="37"/>
      <c r="N799" s="37"/>
      <c r="O799" s="2360" t="s">
        <v>5885</v>
      </c>
      <c r="Q799" s="2287" t="s">
        <v>25</v>
      </c>
    </row>
    <row r="800" spans="1:17" ht="18.75" customHeight="1" x14ac:dyDescent="0.4">
      <c r="A800" s="2822">
        <v>732</v>
      </c>
      <c r="B800" s="1747" t="s">
        <v>158</v>
      </c>
      <c r="C800" s="1748">
        <v>400</v>
      </c>
      <c r="D800" s="1179">
        <v>67</v>
      </c>
      <c r="E800" s="1749" t="s">
        <v>5258</v>
      </c>
      <c r="F800" s="1751">
        <v>243702</v>
      </c>
      <c r="G800" s="1750">
        <v>680</v>
      </c>
      <c r="H800" s="1731" t="s">
        <v>41</v>
      </c>
      <c r="I800" s="2287" t="s">
        <v>25</v>
      </c>
      <c r="J800" s="37"/>
      <c r="K800" s="2235"/>
      <c r="L800" s="37"/>
      <c r="M800" s="37"/>
      <c r="N800" s="37"/>
      <c r="O800" s="2360" t="s">
        <v>5885</v>
      </c>
      <c r="Q800" s="2287" t="s">
        <v>25</v>
      </c>
    </row>
    <row r="801" spans="1:17" ht="18.75" customHeight="1" x14ac:dyDescent="0.4">
      <c r="A801" s="2822">
        <v>733</v>
      </c>
      <c r="B801" s="1747" t="s">
        <v>158</v>
      </c>
      <c r="C801" s="1748">
        <v>400</v>
      </c>
      <c r="D801" s="1179">
        <v>67</v>
      </c>
      <c r="E801" s="1749" t="s">
        <v>5259</v>
      </c>
      <c r="F801" s="1751">
        <v>243702</v>
      </c>
      <c r="G801" s="1750">
        <v>680</v>
      </c>
      <c r="H801" s="1731" t="s">
        <v>41</v>
      </c>
      <c r="I801" s="2287" t="s">
        <v>25</v>
      </c>
      <c r="J801" s="37"/>
      <c r="K801" s="2235"/>
      <c r="L801" s="37"/>
      <c r="M801" s="37"/>
      <c r="N801" s="37"/>
      <c r="O801" s="2360" t="s">
        <v>5885</v>
      </c>
      <c r="Q801" s="2287" t="s">
        <v>25</v>
      </c>
    </row>
    <row r="802" spans="1:17" ht="18.75" customHeight="1" x14ac:dyDescent="0.4">
      <c r="A802" s="112">
        <v>734</v>
      </c>
      <c r="B802" s="1747" t="s">
        <v>158</v>
      </c>
      <c r="C802" s="1748">
        <v>400</v>
      </c>
      <c r="D802" s="1179">
        <v>67</v>
      </c>
      <c r="E802" s="1749" t="s">
        <v>5260</v>
      </c>
      <c r="F802" s="1751">
        <v>243702</v>
      </c>
      <c r="G802" s="1750">
        <v>680</v>
      </c>
      <c r="H802" s="1731" t="s">
        <v>41</v>
      </c>
      <c r="I802" s="2287" t="s">
        <v>25</v>
      </c>
      <c r="J802" s="37"/>
      <c r="K802" s="2235"/>
      <c r="L802" s="37"/>
      <c r="M802" s="37"/>
      <c r="N802" s="37"/>
      <c r="O802" s="2360" t="s">
        <v>5885</v>
      </c>
      <c r="Q802" s="2287" t="s">
        <v>25</v>
      </c>
    </row>
    <row r="803" spans="1:17" ht="18.75" customHeight="1" x14ac:dyDescent="0.4">
      <c r="A803" s="112">
        <v>735</v>
      </c>
      <c r="B803" s="1747" t="s">
        <v>158</v>
      </c>
      <c r="C803" s="1748">
        <v>400</v>
      </c>
      <c r="D803" s="1179">
        <v>67</v>
      </c>
      <c r="E803" s="1749" t="s">
        <v>5261</v>
      </c>
      <c r="F803" s="1751">
        <v>243702</v>
      </c>
      <c r="G803" s="1750">
        <v>680</v>
      </c>
      <c r="H803" s="1731" t="s">
        <v>41</v>
      </c>
      <c r="I803" s="2287" t="s">
        <v>25</v>
      </c>
      <c r="J803" s="37"/>
      <c r="K803" s="2235"/>
      <c r="L803" s="37"/>
      <c r="M803" s="37"/>
      <c r="N803" s="37"/>
      <c r="O803" s="2360" t="s">
        <v>5885</v>
      </c>
      <c r="Q803" s="2287" t="s">
        <v>25</v>
      </c>
    </row>
    <row r="804" spans="1:17" ht="18.75" customHeight="1" x14ac:dyDescent="0.4">
      <c r="A804" s="112">
        <v>736</v>
      </c>
      <c r="B804" s="1747" t="s">
        <v>158</v>
      </c>
      <c r="C804" s="1748">
        <v>400</v>
      </c>
      <c r="D804" s="1179">
        <v>67</v>
      </c>
      <c r="E804" s="1749" t="s">
        <v>5262</v>
      </c>
      <c r="F804" s="1751">
        <v>243702</v>
      </c>
      <c r="G804" s="1750">
        <v>680</v>
      </c>
      <c r="H804" s="1731" t="s">
        <v>41</v>
      </c>
      <c r="I804" s="2287" t="s">
        <v>25</v>
      </c>
      <c r="J804" s="37"/>
      <c r="K804" s="2235"/>
      <c r="L804" s="37"/>
      <c r="M804" s="37"/>
      <c r="N804" s="37"/>
      <c r="O804" s="2360" t="s">
        <v>5885</v>
      </c>
      <c r="Q804" s="2287" t="s">
        <v>25</v>
      </c>
    </row>
    <row r="805" spans="1:17" ht="18.75" customHeight="1" x14ac:dyDescent="0.4">
      <c r="A805" s="112">
        <v>737</v>
      </c>
      <c r="B805" s="1747" t="s">
        <v>158</v>
      </c>
      <c r="C805" s="1748">
        <v>400</v>
      </c>
      <c r="D805" s="1179">
        <v>67</v>
      </c>
      <c r="E805" s="1749" t="s">
        <v>5263</v>
      </c>
      <c r="F805" s="1751">
        <v>243702</v>
      </c>
      <c r="G805" s="1750">
        <v>680</v>
      </c>
      <c r="H805" s="1731" t="s">
        <v>41</v>
      </c>
      <c r="I805" s="2287" t="s">
        <v>25</v>
      </c>
      <c r="J805" s="37"/>
      <c r="K805" s="2235"/>
      <c r="L805" s="37"/>
      <c r="M805" s="37"/>
      <c r="N805" s="37"/>
      <c r="O805" s="2360" t="s">
        <v>5885</v>
      </c>
      <c r="Q805" s="2287" t="s">
        <v>25</v>
      </c>
    </row>
    <row r="806" spans="1:17" ht="18.75" customHeight="1" x14ac:dyDescent="0.4">
      <c r="A806" s="112">
        <v>738</v>
      </c>
      <c r="B806" s="1747" t="s">
        <v>158</v>
      </c>
      <c r="C806" s="1748">
        <v>400</v>
      </c>
      <c r="D806" s="1179">
        <v>67</v>
      </c>
      <c r="E806" s="1749" t="s">
        <v>5264</v>
      </c>
      <c r="F806" s="1751">
        <v>243702</v>
      </c>
      <c r="G806" s="1750">
        <v>680</v>
      </c>
      <c r="H806" s="1731" t="s">
        <v>41</v>
      </c>
      <c r="I806" s="2287" t="s">
        <v>25</v>
      </c>
      <c r="J806" s="37"/>
      <c r="K806" s="2235"/>
      <c r="L806" s="37"/>
      <c r="M806" s="37"/>
      <c r="N806" s="37"/>
      <c r="O806" s="2360" t="s">
        <v>5885</v>
      </c>
      <c r="Q806" s="2287" t="s">
        <v>25</v>
      </c>
    </row>
    <row r="807" spans="1:17" ht="18.75" customHeight="1" x14ac:dyDescent="0.4">
      <c r="A807" s="112">
        <v>739</v>
      </c>
      <c r="B807" s="1747" t="s">
        <v>158</v>
      </c>
      <c r="C807" s="1748">
        <v>400</v>
      </c>
      <c r="D807" s="1179">
        <v>67</v>
      </c>
      <c r="E807" s="1749" t="s">
        <v>5265</v>
      </c>
      <c r="F807" s="1751">
        <v>243702</v>
      </c>
      <c r="G807" s="1750">
        <v>680</v>
      </c>
      <c r="H807" s="1731" t="s">
        <v>41</v>
      </c>
      <c r="I807" s="2287" t="s">
        <v>25</v>
      </c>
      <c r="J807" s="37"/>
      <c r="K807" s="2235"/>
      <c r="L807" s="37"/>
      <c r="M807" s="37"/>
      <c r="N807" s="37"/>
      <c r="O807" s="2360" t="s">
        <v>5885</v>
      </c>
      <c r="Q807" s="2287" t="s">
        <v>25</v>
      </c>
    </row>
    <row r="808" spans="1:17" ht="18.75" customHeight="1" x14ac:dyDescent="0.4">
      <c r="A808" s="112">
        <v>740</v>
      </c>
      <c r="B808" s="1747" t="s">
        <v>158</v>
      </c>
      <c r="C808" s="1748">
        <v>400</v>
      </c>
      <c r="D808" s="1179">
        <v>67</v>
      </c>
      <c r="E808" s="1749" t="s">
        <v>5266</v>
      </c>
      <c r="F808" s="1751">
        <v>243702</v>
      </c>
      <c r="G808" s="1750">
        <v>680</v>
      </c>
      <c r="H808" s="1731" t="s">
        <v>41</v>
      </c>
      <c r="I808" s="2287" t="s">
        <v>25</v>
      </c>
      <c r="J808" s="37"/>
      <c r="K808" s="2235"/>
      <c r="L808" s="37"/>
      <c r="M808" s="37"/>
      <c r="N808" s="37"/>
      <c r="O808" s="2360" t="s">
        <v>5885</v>
      </c>
      <c r="Q808" s="2287" t="s">
        <v>25</v>
      </c>
    </row>
    <row r="809" spans="1:17" ht="18.75" customHeight="1" x14ac:dyDescent="0.4">
      <c r="A809" s="2822">
        <v>741</v>
      </c>
      <c r="B809" s="1747" t="s">
        <v>158</v>
      </c>
      <c r="C809" s="1748">
        <v>400</v>
      </c>
      <c r="D809" s="1179">
        <v>67</v>
      </c>
      <c r="E809" s="1749" t="s">
        <v>5267</v>
      </c>
      <c r="F809" s="1751">
        <v>243702</v>
      </c>
      <c r="G809" s="1750">
        <v>680</v>
      </c>
      <c r="H809" s="1731" t="s">
        <v>41</v>
      </c>
      <c r="I809" s="2287" t="s">
        <v>25</v>
      </c>
      <c r="J809" s="37"/>
      <c r="K809" s="2235"/>
      <c r="L809" s="37"/>
      <c r="M809" s="37"/>
      <c r="N809" s="37"/>
      <c r="O809" s="2360" t="s">
        <v>5885</v>
      </c>
      <c r="Q809" s="2287" t="s">
        <v>25</v>
      </c>
    </row>
    <row r="810" spans="1:17" ht="18.75" customHeight="1" x14ac:dyDescent="0.4">
      <c r="A810" s="2822">
        <v>742</v>
      </c>
      <c r="B810" s="1747" t="s">
        <v>158</v>
      </c>
      <c r="C810" s="1748">
        <v>400</v>
      </c>
      <c r="D810" s="1179">
        <v>67</v>
      </c>
      <c r="E810" s="1749" t="s">
        <v>5268</v>
      </c>
      <c r="F810" s="1751">
        <v>243702</v>
      </c>
      <c r="G810" s="1750">
        <v>680</v>
      </c>
      <c r="H810" s="1731" t="s">
        <v>41</v>
      </c>
      <c r="I810" s="2287" t="s">
        <v>25</v>
      </c>
      <c r="J810" s="37"/>
      <c r="K810" s="2235"/>
      <c r="L810" s="37"/>
      <c r="M810" s="37"/>
      <c r="N810" s="37"/>
      <c r="O810" s="2360" t="s">
        <v>5885</v>
      </c>
      <c r="Q810" s="2287" t="s">
        <v>25</v>
      </c>
    </row>
    <row r="811" spans="1:17" ht="18.75" customHeight="1" x14ac:dyDescent="0.4">
      <c r="A811" s="112">
        <v>743</v>
      </c>
      <c r="B811" s="1747" t="s">
        <v>158</v>
      </c>
      <c r="C811" s="1748">
        <v>400</v>
      </c>
      <c r="D811" s="1179">
        <v>67</v>
      </c>
      <c r="E811" s="1749" t="s">
        <v>5269</v>
      </c>
      <c r="F811" s="1751">
        <v>243702</v>
      </c>
      <c r="G811" s="1750">
        <v>680</v>
      </c>
      <c r="H811" s="1731" t="s">
        <v>41</v>
      </c>
      <c r="I811" s="2287" t="s">
        <v>25</v>
      </c>
      <c r="J811" s="37"/>
      <c r="K811" s="2235"/>
      <c r="L811" s="37"/>
      <c r="M811" s="37"/>
      <c r="N811" s="37"/>
      <c r="O811" s="2360" t="s">
        <v>5885</v>
      </c>
      <c r="Q811" s="2287" t="s">
        <v>25</v>
      </c>
    </row>
    <row r="812" spans="1:17" ht="18.75" customHeight="1" x14ac:dyDescent="0.4">
      <c r="A812" s="112">
        <v>744</v>
      </c>
      <c r="B812" s="1747" t="s">
        <v>158</v>
      </c>
      <c r="C812" s="1748">
        <v>400</v>
      </c>
      <c r="D812" s="1179">
        <v>67</v>
      </c>
      <c r="E812" s="1749" t="s">
        <v>5270</v>
      </c>
      <c r="F812" s="1751">
        <v>243702</v>
      </c>
      <c r="G812" s="1750">
        <v>680</v>
      </c>
      <c r="H812" s="1731" t="s">
        <v>41</v>
      </c>
      <c r="I812" s="2287" t="s">
        <v>25</v>
      </c>
      <c r="J812" s="37"/>
      <c r="K812" s="2235"/>
      <c r="L812" s="37"/>
      <c r="M812" s="37"/>
      <c r="N812" s="37"/>
      <c r="O812" s="2360" t="s">
        <v>5885</v>
      </c>
      <c r="Q812" s="2287" t="s">
        <v>25</v>
      </c>
    </row>
    <row r="813" spans="1:17" ht="18.75" customHeight="1" x14ac:dyDescent="0.4">
      <c r="A813" s="112">
        <v>745</v>
      </c>
      <c r="B813" s="1747" t="s">
        <v>158</v>
      </c>
      <c r="C813" s="1748">
        <v>400</v>
      </c>
      <c r="D813" s="1179">
        <v>67</v>
      </c>
      <c r="E813" s="1749" t="s">
        <v>5271</v>
      </c>
      <c r="F813" s="1751">
        <v>243702</v>
      </c>
      <c r="G813" s="1750">
        <v>680</v>
      </c>
      <c r="H813" s="1731" t="s">
        <v>41</v>
      </c>
      <c r="I813" s="2287" t="s">
        <v>25</v>
      </c>
      <c r="J813" s="37"/>
      <c r="K813" s="2235"/>
      <c r="L813" s="37"/>
      <c r="M813" s="37"/>
      <c r="N813" s="37"/>
      <c r="O813" s="2360" t="s">
        <v>5885</v>
      </c>
      <c r="Q813" s="2287" t="s">
        <v>25</v>
      </c>
    </row>
    <row r="814" spans="1:17" ht="18.75" customHeight="1" x14ac:dyDescent="0.4">
      <c r="A814" s="112">
        <v>746</v>
      </c>
      <c r="B814" s="1747" t="s">
        <v>158</v>
      </c>
      <c r="C814" s="1748">
        <v>400</v>
      </c>
      <c r="D814" s="1179">
        <v>67</v>
      </c>
      <c r="E814" s="1749" t="s">
        <v>5272</v>
      </c>
      <c r="F814" s="1751">
        <v>243702</v>
      </c>
      <c r="G814" s="1750">
        <v>680</v>
      </c>
      <c r="H814" s="1731" t="s">
        <v>41</v>
      </c>
      <c r="I814" s="2287" t="s">
        <v>25</v>
      </c>
      <c r="J814" s="37"/>
      <c r="K814" s="2235"/>
      <c r="L814" s="37"/>
      <c r="M814" s="37"/>
      <c r="N814" s="37"/>
      <c r="O814" s="2360" t="s">
        <v>5885</v>
      </c>
      <c r="Q814" s="2287" t="s">
        <v>25</v>
      </c>
    </row>
    <row r="815" spans="1:17" ht="18.75" customHeight="1" x14ac:dyDescent="0.4">
      <c r="A815" s="112">
        <v>747</v>
      </c>
      <c r="B815" s="1747" t="s">
        <v>158</v>
      </c>
      <c r="C815" s="1748">
        <v>400</v>
      </c>
      <c r="D815" s="1179">
        <v>67</v>
      </c>
      <c r="E815" s="1749" t="s">
        <v>5273</v>
      </c>
      <c r="F815" s="1751">
        <v>243702</v>
      </c>
      <c r="G815" s="1750">
        <v>680</v>
      </c>
      <c r="H815" s="1731" t="s">
        <v>41</v>
      </c>
      <c r="I815" s="2287" t="s">
        <v>25</v>
      </c>
      <c r="J815" s="37"/>
      <c r="K815" s="2235"/>
      <c r="L815" s="37"/>
      <c r="M815" s="37"/>
      <c r="N815" s="37"/>
      <c r="O815" s="2360" t="s">
        <v>5885</v>
      </c>
      <c r="Q815" s="2287" t="s">
        <v>25</v>
      </c>
    </row>
    <row r="816" spans="1:17" ht="18.75" customHeight="1" x14ac:dyDescent="0.4">
      <c r="A816" s="112">
        <v>748</v>
      </c>
      <c r="B816" s="1747" t="s">
        <v>158</v>
      </c>
      <c r="C816" s="1748">
        <v>400</v>
      </c>
      <c r="D816" s="1179">
        <v>67</v>
      </c>
      <c r="E816" s="1749" t="s">
        <v>5274</v>
      </c>
      <c r="F816" s="1751">
        <v>243702</v>
      </c>
      <c r="G816" s="1750">
        <v>680</v>
      </c>
      <c r="H816" s="1731" t="s">
        <v>41</v>
      </c>
      <c r="I816" s="2287" t="s">
        <v>25</v>
      </c>
      <c r="J816" s="37"/>
      <c r="K816" s="2235"/>
      <c r="L816" s="37"/>
      <c r="M816" s="37"/>
      <c r="N816" s="37"/>
      <c r="O816" s="2360" t="s">
        <v>5885</v>
      </c>
      <c r="Q816" s="2287" t="s">
        <v>25</v>
      </c>
    </row>
    <row r="817" spans="1:17" ht="18.75" customHeight="1" x14ac:dyDescent="0.4">
      <c r="A817" s="112">
        <v>749</v>
      </c>
      <c r="B817" s="1747" t="s">
        <v>158</v>
      </c>
      <c r="C817" s="1748">
        <v>400</v>
      </c>
      <c r="D817" s="1179">
        <v>67</v>
      </c>
      <c r="E817" s="1749" t="s">
        <v>5275</v>
      </c>
      <c r="F817" s="1751">
        <v>243702</v>
      </c>
      <c r="G817" s="1750">
        <v>680</v>
      </c>
      <c r="H817" s="1731" t="s">
        <v>41</v>
      </c>
      <c r="I817" s="2287" t="s">
        <v>25</v>
      </c>
      <c r="J817" s="37"/>
      <c r="K817" s="2235"/>
      <c r="L817" s="37"/>
      <c r="M817" s="37"/>
      <c r="N817" s="37"/>
      <c r="O817" s="2360" t="s">
        <v>5885</v>
      </c>
      <c r="Q817" s="2287" t="s">
        <v>25</v>
      </c>
    </row>
    <row r="818" spans="1:17" ht="18.75" customHeight="1" x14ac:dyDescent="0.4">
      <c r="A818" s="2822">
        <v>750</v>
      </c>
      <c r="B818" s="1747" t="s">
        <v>158</v>
      </c>
      <c r="C818" s="1748">
        <v>400</v>
      </c>
      <c r="D818" s="1179">
        <v>67</v>
      </c>
      <c r="E818" s="1749" t="s">
        <v>5276</v>
      </c>
      <c r="F818" s="1751">
        <v>243702</v>
      </c>
      <c r="G818" s="1750">
        <v>680</v>
      </c>
      <c r="H818" s="1731" t="s">
        <v>41</v>
      </c>
      <c r="I818" s="2287" t="s">
        <v>25</v>
      </c>
      <c r="J818" s="37"/>
      <c r="K818" s="2235"/>
      <c r="L818" s="37"/>
      <c r="M818" s="37"/>
      <c r="N818" s="37"/>
      <c r="O818" s="2360" t="s">
        <v>5885</v>
      </c>
      <c r="Q818" s="2287" t="s">
        <v>25</v>
      </c>
    </row>
    <row r="819" spans="1:17" ht="18.75" customHeight="1" x14ac:dyDescent="0.4">
      <c r="A819" s="2822">
        <v>751</v>
      </c>
      <c r="B819" s="1747" t="s">
        <v>158</v>
      </c>
      <c r="C819" s="1748">
        <v>400</v>
      </c>
      <c r="D819" s="1179">
        <v>67</v>
      </c>
      <c r="E819" s="1749" t="s">
        <v>5277</v>
      </c>
      <c r="F819" s="1751">
        <v>243702</v>
      </c>
      <c r="G819" s="1750">
        <v>680</v>
      </c>
      <c r="H819" s="1731" t="s">
        <v>41</v>
      </c>
      <c r="I819" s="2287" t="s">
        <v>25</v>
      </c>
      <c r="J819" s="37"/>
      <c r="K819" s="2235"/>
      <c r="L819" s="37"/>
      <c r="M819" s="37"/>
      <c r="N819" s="37"/>
      <c r="O819" s="2360" t="s">
        <v>5885</v>
      </c>
      <c r="Q819" s="2287" t="s">
        <v>25</v>
      </c>
    </row>
    <row r="820" spans="1:17" ht="18.75" customHeight="1" x14ac:dyDescent="0.4">
      <c r="A820" s="112">
        <v>752</v>
      </c>
      <c r="B820" s="1747" t="s">
        <v>158</v>
      </c>
      <c r="C820" s="1748">
        <v>400</v>
      </c>
      <c r="D820" s="1179">
        <v>67</v>
      </c>
      <c r="E820" s="1749" t="s">
        <v>5278</v>
      </c>
      <c r="F820" s="1751">
        <v>243702</v>
      </c>
      <c r="G820" s="1750">
        <v>680</v>
      </c>
      <c r="H820" s="1731" t="s">
        <v>41</v>
      </c>
      <c r="I820" s="2287" t="s">
        <v>25</v>
      </c>
      <c r="J820" s="37"/>
      <c r="K820" s="2235"/>
      <c r="L820" s="37"/>
      <c r="M820" s="37"/>
      <c r="N820" s="37"/>
      <c r="O820" s="2360" t="s">
        <v>5885</v>
      </c>
      <c r="Q820" s="2287" t="s">
        <v>25</v>
      </c>
    </row>
    <row r="821" spans="1:17" ht="18.75" customHeight="1" x14ac:dyDescent="0.4">
      <c r="A821" s="112">
        <v>753</v>
      </c>
      <c r="B821" s="1747" t="s">
        <v>158</v>
      </c>
      <c r="C821" s="1748">
        <v>400</v>
      </c>
      <c r="D821" s="1179">
        <v>67</v>
      </c>
      <c r="E821" s="1749" t="s">
        <v>5279</v>
      </c>
      <c r="F821" s="1751">
        <v>243702</v>
      </c>
      <c r="G821" s="1750">
        <v>680</v>
      </c>
      <c r="H821" s="1731" t="s">
        <v>41</v>
      </c>
      <c r="I821" s="2287" t="s">
        <v>25</v>
      </c>
      <c r="J821" s="37"/>
      <c r="K821" s="2235"/>
      <c r="L821" s="37"/>
      <c r="M821" s="37"/>
      <c r="N821" s="37"/>
      <c r="O821" s="2360" t="s">
        <v>5885</v>
      </c>
      <c r="Q821" s="2287" t="s">
        <v>25</v>
      </c>
    </row>
    <row r="822" spans="1:17" ht="18.75" customHeight="1" x14ac:dyDescent="0.4">
      <c r="A822" s="112">
        <v>754</v>
      </c>
      <c r="B822" s="1747" t="s">
        <v>158</v>
      </c>
      <c r="C822" s="1748">
        <v>400</v>
      </c>
      <c r="D822" s="1179">
        <v>67</v>
      </c>
      <c r="E822" s="1749" t="s">
        <v>5280</v>
      </c>
      <c r="F822" s="1751">
        <v>243702</v>
      </c>
      <c r="G822" s="1750">
        <v>680</v>
      </c>
      <c r="H822" s="1731" t="s">
        <v>41</v>
      </c>
      <c r="I822" s="2287" t="s">
        <v>25</v>
      </c>
      <c r="J822" s="37"/>
      <c r="K822" s="2235"/>
      <c r="L822" s="37"/>
      <c r="M822" s="37"/>
      <c r="N822" s="37"/>
      <c r="O822" s="2360" t="s">
        <v>5885</v>
      </c>
      <c r="Q822" s="2287" t="s">
        <v>25</v>
      </c>
    </row>
    <row r="823" spans="1:17" ht="18.75" customHeight="1" x14ac:dyDescent="0.4">
      <c r="A823" s="112">
        <v>755</v>
      </c>
      <c r="B823" s="1747" t="s">
        <v>158</v>
      </c>
      <c r="C823" s="1748">
        <v>400</v>
      </c>
      <c r="D823" s="1179">
        <v>67</v>
      </c>
      <c r="E823" s="1749" t="s">
        <v>5281</v>
      </c>
      <c r="F823" s="1751">
        <v>243702</v>
      </c>
      <c r="G823" s="1750">
        <v>680</v>
      </c>
      <c r="H823" s="1731" t="s">
        <v>41</v>
      </c>
      <c r="I823" s="2287" t="s">
        <v>25</v>
      </c>
      <c r="J823" s="37"/>
      <c r="K823" s="2235"/>
      <c r="L823" s="37"/>
      <c r="M823" s="37"/>
      <c r="N823" s="37"/>
      <c r="O823" s="2360" t="s">
        <v>5885</v>
      </c>
      <c r="Q823" s="2287" t="s">
        <v>25</v>
      </c>
    </row>
    <row r="824" spans="1:17" ht="18.75" customHeight="1" x14ac:dyDescent="0.4">
      <c r="A824" s="112">
        <v>756</v>
      </c>
      <c r="B824" s="1747" t="s">
        <v>158</v>
      </c>
      <c r="C824" s="1748">
        <v>400</v>
      </c>
      <c r="D824" s="1179">
        <v>67</v>
      </c>
      <c r="E824" s="1749" t="s">
        <v>5282</v>
      </c>
      <c r="F824" s="1751">
        <v>243702</v>
      </c>
      <c r="G824" s="1750">
        <v>680</v>
      </c>
      <c r="H824" s="1731" t="s">
        <v>41</v>
      </c>
      <c r="I824" s="2287" t="s">
        <v>25</v>
      </c>
      <c r="J824" s="37"/>
      <c r="K824" s="2235"/>
      <c r="L824" s="37"/>
      <c r="M824" s="37"/>
      <c r="N824" s="37"/>
      <c r="O824" s="2360" t="s">
        <v>5885</v>
      </c>
      <c r="Q824" s="2287" t="s">
        <v>25</v>
      </c>
    </row>
    <row r="825" spans="1:17" ht="18.75" customHeight="1" x14ac:dyDescent="0.4">
      <c r="A825" s="112">
        <v>757</v>
      </c>
      <c r="B825" s="1747" t="s">
        <v>158</v>
      </c>
      <c r="C825" s="1748">
        <v>400</v>
      </c>
      <c r="D825" s="1179">
        <v>67</v>
      </c>
      <c r="E825" s="1749" t="s">
        <v>5283</v>
      </c>
      <c r="F825" s="1751">
        <v>243702</v>
      </c>
      <c r="G825" s="1750">
        <v>680</v>
      </c>
      <c r="H825" s="1731" t="s">
        <v>41</v>
      </c>
      <c r="I825" s="2287" t="s">
        <v>25</v>
      </c>
      <c r="J825" s="37"/>
      <c r="K825" s="2235"/>
      <c r="L825" s="37"/>
      <c r="M825" s="37"/>
      <c r="N825" s="37"/>
      <c r="O825" s="2360" t="s">
        <v>5885</v>
      </c>
      <c r="Q825" s="2287" t="s">
        <v>25</v>
      </c>
    </row>
    <row r="826" spans="1:17" ht="18.75" customHeight="1" x14ac:dyDescent="0.4">
      <c r="A826" s="112">
        <v>758</v>
      </c>
      <c r="B826" s="1747" t="s">
        <v>158</v>
      </c>
      <c r="C826" s="1748">
        <v>400</v>
      </c>
      <c r="D826" s="1179">
        <v>67</v>
      </c>
      <c r="E826" s="1749" t="s">
        <v>5284</v>
      </c>
      <c r="F826" s="1751">
        <v>243702</v>
      </c>
      <c r="G826" s="1750">
        <v>680</v>
      </c>
      <c r="H826" s="1731" t="s">
        <v>41</v>
      </c>
      <c r="I826" s="2287" t="s">
        <v>25</v>
      </c>
      <c r="J826" s="37"/>
      <c r="K826" s="2235"/>
      <c r="L826" s="37"/>
      <c r="M826" s="37"/>
      <c r="N826" s="37"/>
      <c r="O826" s="2360" t="s">
        <v>5885</v>
      </c>
      <c r="Q826" s="2287" t="s">
        <v>25</v>
      </c>
    </row>
    <row r="827" spans="1:17" ht="18.75" customHeight="1" x14ac:dyDescent="0.4">
      <c r="A827" s="2822">
        <v>759</v>
      </c>
      <c r="B827" s="1747" t="s">
        <v>158</v>
      </c>
      <c r="C827" s="1748">
        <v>400</v>
      </c>
      <c r="D827" s="1179">
        <v>67</v>
      </c>
      <c r="E827" s="1749" t="s">
        <v>5285</v>
      </c>
      <c r="F827" s="1751">
        <v>243702</v>
      </c>
      <c r="G827" s="1750">
        <v>680</v>
      </c>
      <c r="H827" s="1731" t="s">
        <v>41</v>
      </c>
      <c r="I827" s="2287" t="s">
        <v>25</v>
      </c>
      <c r="J827" s="37"/>
      <c r="K827" s="2235"/>
      <c r="L827" s="37"/>
      <c r="M827" s="37"/>
      <c r="N827" s="37"/>
      <c r="O827" s="2360" t="s">
        <v>5885</v>
      </c>
      <c r="Q827" s="2287" t="s">
        <v>25</v>
      </c>
    </row>
    <row r="828" spans="1:17" ht="18.75" customHeight="1" x14ac:dyDescent="0.4">
      <c r="A828" s="2822">
        <v>760</v>
      </c>
      <c r="B828" s="1747" t="s">
        <v>158</v>
      </c>
      <c r="C828" s="1748">
        <v>400</v>
      </c>
      <c r="D828" s="1179">
        <v>67</v>
      </c>
      <c r="E828" s="1749" t="s">
        <v>5286</v>
      </c>
      <c r="F828" s="1751">
        <v>243702</v>
      </c>
      <c r="G828" s="1750">
        <v>680</v>
      </c>
      <c r="H828" s="1731" t="s">
        <v>41</v>
      </c>
      <c r="I828" s="2287" t="s">
        <v>25</v>
      </c>
      <c r="J828" s="37"/>
      <c r="K828" s="2235"/>
      <c r="L828" s="37"/>
      <c r="M828" s="37"/>
      <c r="N828" s="37"/>
      <c r="O828" s="2360" t="s">
        <v>5885</v>
      </c>
      <c r="Q828" s="2287" t="s">
        <v>25</v>
      </c>
    </row>
    <row r="829" spans="1:17" ht="18.75" customHeight="1" x14ac:dyDescent="0.4">
      <c r="A829" s="112">
        <v>761</v>
      </c>
      <c r="B829" s="1747" t="s">
        <v>158</v>
      </c>
      <c r="C829" s="1748">
        <v>400</v>
      </c>
      <c r="D829" s="1179">
        <v>67</v>
      </c>
      <c r="E829" s="1749" t="s">
        <v>5287</v>
      </c>
      <c r="F829" s="1751">
        <v>243702</v>
      </c>
      <c r="G829" s="1750">
        <v>680</v>
      </c>
      <c r="H829" s="1731" t="s">
        <v>41</v>
      </c>
      <c r="I829" s="2287" t="s">
        <v>25</v>
      </c>
      <c r="J829" s="37"/>
      <c r="K829" s="2235"/>
      <c r="L829" s="37"/>
      <c r="M829" s="37"/>
      <c r="N829" s="37"/>
      <c r="O829" s="2360" t="s">
        <v>5885</v>
      </c>
      <c r="Q829" s="2287" t="s">
        <v>25</v>
      </c>
    </row>
    <row r="830" spans="1:17" ht="18.75" customHeight="1" x14ac:dyDescent="0.4">
      <c r="A830" s="112">
        <v>762</v>
      </c>
      <c r="B830" s="1747" t="s">
        <v>158</v>
      </c>
      <c r="C830" s="1748">
        <v>400</v>
      </c>
      <c r="D830" s="1179">
        <v>67</v>
      </c>
      <c r="E830" s="1749" t="s">
        <v>5288</v>
      </c>
      <c r="F830" s="1751">
        <v>243702</v>
      </c>
      <c r="G830" s="1750">
        <v>680</v>
      </c>
      <c r="H830" s="1731" t="s">
        <v>41</v>
      </c>
      <c r="I830" s="2287" t="s">
        <v>25</v>
      </c>
      <c r="J830" s="37"/>
      <c r="K830" s="2235"/>
      <c r="L830" s="37"/>
      <c r="M830" s="37"/>
      <c r="N830" s="37"/>
      <c r="O830" s="2360" t="s">
        <v>5885</v>
      </c>
      <c r="Q830" s="2287" t="s">
        <v>25</v>
      </c>
    </row>
    <row r="831" spans="1:17" ht="18.75" customHeight="1" x14ac:dyDescent="0.4">
      <c r="A831" s="112">
        <v>763</v>
      </c>
      <c r="B831" s="1747" t="s">
        <v>158</v>
      </c>
      <c r="C831" s="1748">
        <v>400</v>
      </c>
      <c r="D831" s="1179">
        <v>67</v>
      </c>
      <c r="E831" s="1749" t="s">
        <v>5289</v>
      </c>
      <c r="F831" s="1751">
        <v>243702</v>
      </c>
      <c r="G831" s="1750">
        <v>680</v>
      </c>
      <c r="H831" s="1731" t="s">
        <v>41</v>
      </c>
      <c r="I831" s="2287" t="s">
        <v>25</v>
      </c>
      <c r="J831" s="37"/>
      <c r="K831" s="2235"/>
      <c r="L831" s="37"/>
      <c r="M831" s="37"/>
      <c r="N831" s="37"/>
      <c r="O831" s="2360" t="s">
        <v>5885</v>
      </c>
      <c r="Q831" s="2287" t="s">
        <v>25</v>
      </c>
    </row>
    <row r="832" spans="1:17" ht="18.75" customHeight="1" x14ac:dyDescent="0.4">
      <c r="A832" s="112">
        <v>764</v>
      </c>
      <c r="B832" s="1747" t="s">
        <v>158</v>
      </c>
      <c r="C832" s="1748">
        <v>400</v>
      </c>
      <c r="D832" s="1179">
        <v>67</v>
      </c>
      <c r="E832" s="1749" t="s">
        <v>5290</v>
      </c>
      <c r="F832" s="1751">
        <v>243702</v>
      </c>
      <c r="G832" s="1750">
        <v>680</v>
      </c>
      <c r="H832" s="1731" t="s">
        <v>41</v>
      </c>
      <c r="I832" s="2287" t="s">
        <v>25</v>
      </c>
      <c r="J832" s="37"/>
      <c r="K832" s="2235"/>
      <c r="L832" s="37"/>
      <c r="M832" s="37"/>
      <c r="N832" s="37"/>
      <c r="O832" s="2360" t="s">
        <v>5885</v>
      </c>
      <c r="Q832" s="2287" t="s">
        <v>25</v>
      </c>
    </row>
    <row r="833" spans="1:17" ht="18.75" customHeight="1" x14ac:dyDescent="0.4">
      <c r="A833" s="112">
        <v>765</v>
      </c>
      <c r="B833" s="1747" t="s">
        <v>158</v>
      </c>
      <c r="C833" s="1748">
        <v>400</v>
      </c>
      <c r="D833" s="1179">
        <v>67</v>
      </c>
      <c r="E833" s="1749" t="s">
        <v>5291</v>
      </c>
      <c r="F833" s="1751">
        <v>243702</v>
      </c>
      <c r="G833" s="1750">
        <v>680</v>
      </c>
      <c r="H833" s="1731" t="s">
        <v>41</v>
      </c>
      <c r="I833" s="2287" t="s">
        <v>25</v>
      </c>
      <c r="J833" s="37"/>
      <c r="K833" s="2235"/>
      <c r="L833" s="37"/>
      <c r="M833" s="37"/>
      <c r="N833" s="37"/>
      <c r="O833" s="2360" t="s">
        <v>5885</v>
      </c>
      <c r="Q833" s="2287" t="s">
        <v>25</v>
      </c>
    </row>
    <row r="834" spans="1:17" ht="18.75" customHeight="1" x14ac:dyDescent="0.4">
      <c r="A834" s="112">
        <v>766</v>
      </c>
      <c r="B834" s="1747" t="s">
        <v>158</v>
      </c>
      <c r="C834" s="1748">
        <v>400</v>
      </c>
      <c r="D834" s="1179">
        <v>67</v>
      </c>
      <c r="E834" s="1749" t="s">
        <v>5292</v>
      </c>
      <c r="F834" s="1751">
        <v>243702</v>
      </c>
      <c r="G834" s="1750">
        <v>680</v>
      </c>
      <c r="H834" s="1731" t="s">
        <v>41</v>
      </c>
      <c r="I834" s="2287" t="s">
        <v>25</v>
      </c>
      <c r="J834" s="37"/>
      <c r="K834" s="2235"/>
      <c r="L834" s="37"/>
      <c r="M834" s="37"/>
      <c r="N834" s="37"/>
      <c r="O834" s="2360" t="s">
        <v>5885</v>
      </c>
      <c r="Q834" s="2287" t="s">
        <v>25</v>
      </c>
    </row>
    <row r="835" spans="1:17" ht="18.75" customHeight="1" x14ac:dyDescent="0.4">
      <c r="A835" s="112">
        <v>767</v>
      </c>
      <c r="B835" s="1747" t="s">
        <v>158</v>
      </c>
      <c r="C835" s="1748">
        <v>400</v>
      </c>
      <c r="D835" s="1179">
        <v>67</v>
      </c>
      <c r="E835" s="1749" t="s">
        <v>5293</v>
      </c>
      <c r="F835" s="1751">
        <v>243702</v>
      </c>
      <c r="G835" s="1750">
        <v>680</v>
      </c>
      <c r="H835" s="1731" t="s">
        <v>41</v>
      </c>
      <c r="I835" s="2287" t="s">
        <v>25</v>
      </c>
      <c r="J835" s="37"/>
      <c r="K835" s="2235"/>
      <c r="L835" s="37"/>
      <c r="M835" s="37"/>
      <c r="N835" s="37"/>
      <c r="O835" s="2360" t="s">
        <v>5885</v>
      </c>
      <c r="Q835" s="2287" t="s">
        <v>25</v>
      </c>
    </row>
    <row r="836" spans="1:17" ht="18.75" customHeight="1" x14ac:dyDescent="0.4">
      <c r="A836" s="2822">
        <v>768</v>
      </c>
      <c r="B836" s="1747" t="s">
        <v>158</v>
      </c>
      <c r="C836" s="1748">
        <v>400</v>
      </c>
      <c r="D836" s="1179">
        <v>67</v>
      </c>
      <c r="E836" s="1749" t="s">
        <v>5294</v>
      </c>
      <c r="F836" s="1751">
        <v>243702</v>
      </c>
      <c r="G836" s="1750">
        <v>680</v>
      </c>
      <c r="H836" s="1731" t="s">
        <v>41</v>
      </c>
      <c r="I836" s="2287" t="s">
        <v>25</v>
      </c>
      <c r="J836" s="37"/>
      <c r="K836" s="2235"/>
      <c r="L836" s="37"/>
      <c r="M836" s="37"/>
      <c r="N836" s="37"/>
      <c r="O836" s="2360" t="s">
        <v>5885</v>
      </c>
      <c r="Q836" s="2287" t="s">
        <v>25</v>
      </c>
    </row>
    <row r="837" spans="1:17" ht="18.75" customHeight="1" x14ac:dyDescent="0.4">
      <c r="A837" s="2822">
        <v>769</v>
      </c>
      <c r="B837" s="1747" t="s">
        <v>158</v>
      </c>
      <c r="C837" s="1748">
        <v>400</v>
      </c>
      <c r="D837" s="1179">
        <v>67</v>
      </c>
      <c r="E837" s="1749" t="s">
        <v>5295</v>
      </c>
      <c r="F837" s="1751">
        <v>243702</v>
      </c>
      <c r="G837" s="1750">
        <v>680</v>
      </c>
      <c r="H837" s="1731" t="s">
        <v>41</v>
      </c>
      <c r="I837" s="2287" t="s">
        <v>25</v>
      </c>
      <c r="J837" s="37"/>
      <c r="K837" s="2235"/>
      <c r="L837" s="37"/>
      <c r="M837" s="37"/>
      <c r="N837" s="37"/>
      <c r="O837" s="2360" t="s">
        <v>5885</v>
      </c>
      <c r="Q837" s="2287" t="s">
        <v>25</v>
      </c>
    </row>
    <row r="838" spans="1:17" ht="18.75" customHeight="1" x14ac:dyDescent="0.4">
      <c r="A838" s="112">
        <v>770</v>
      </c>
      <c r="B838" s="1747" t="s">
        <v>158</v>
      </c>
      <c r="C838" s="1748">
        <v>400</v>
      </c>
      <c r="D838" s="1179">
        <v>67</v>
      </c>
      <c r="E838" s="1749" t="s">
        <v>5296</v>
      </c>
      <c r="F838" s="1751">
        <v>243702</v>
      </c>
      <c r="G838" s="1750">
        <v>680</v>
      </c>
      <c r="H838" s="1731" t="s">
        <v>41</v>
      </c>
      <c r="I838" s="2287" t="s">
        <v>25</v>
      </c>
      <c r="J838" s="37"/>
      <c r="K838" s="2235"/>
      <c r="L838" s="37"/>
      <c r="M838" s="37"/>
      <c r="N838" s="37"/>
      <c r="O838" s="2360" t="s">
        <v>5885</v>
      </c>
      <c r="Q838" s="2287" t="s">
        <v>25</v>
      </c>
    </row>
    <row r="839" spans="1:17" ht="18.75" customHeight="1" x14ac:dyDescent="0.4">
      <c r="A839" s="112">
        <v>771</v>
      </c>
      <c r="B839" s="1747" t="s">
        <v>158</v>
      </c>
      <c r="C839" s="1748">
        <v>400</v>
      </c>
      <c r="D839" s="1179">
        <v>67</v>
      </c>
      <c r="E839" s="1749" t="s">
        <v>5297</v>
      </c>
      <c r="F839" s="1751">
        <v>243702</v>
      </c>
      <c r="G839" s="1750">
        <v>680</v>
      </c>
      <c r="H839" s="1731" t="s">
        <v>41</v>
      </c>
      <c r="I839" s="2287" t="s">
        <v>25</v>
      </c>
      <c r="J839" s="37"/>
      <c r="K839" s="2235"/>
      <c r="L839" s="37"/>
      <c r="M839" s="37"/>
      <c r="N839" s="37"/>
      <c r="O839" s="2360" t="s">
        <v>5885</v>
      </c>
      <c r="Q839" s="2287" t="s">
        <v>25</v>
      </c>
    </row>
    <row r="840" spans="1:17" ht="18.75" customHeight="1" x14ac:dyDescent="0.4">
      <c r="A840" s="112">
        <v>772</v>
      </c>
      <c r="B840" s="1747" t="s">
        <v>158</v>
      </c>
      <c r="C840" s="1748">
        <v>400</v>
      </c>
      <c r="D840" s="1179">
        <v>67</v>
      </c>
      <c r="E840" s="1749" t="s">
        <v>5298</v>
      </c>
      <c r="F840" s="1751">
        <v>243702</v>
      </c>
      <c r="G840" s="1750">
        <v>680</v>
      </c>
      <c r="H840" s="1731" t="s">
        <v>41</v>
      </c>
      <c r="I840" s="2287" t="s">
        <v>25</v>
      </c>
      <c r="J840" s="37"/>
      <c r="K840" s="2235"/>
      <c r="L840" s="37"/>
      <c r="M840" s="37"/>
      <c r="N840" s="37"/>
      <c r="O840" s="2360" t="s">
        <v>5885</v>
      </c>
      <c r="Q840" s="2287" t="s">
        <v>25</v>
      </c>
    </row>
    <row r="841" spans="1:17" ht="18.75" customHeight="1" x14ac:dyDescent="0.4">
      <c r="A841" s="112">
        <v>773</v>
      </c>
      <c r="B841" s="1747" t="s">
        <v>158</v>
      </c>
      <c r="C841" s="1748">
        <v>400</v>
      </c>
      <c r="D841" s="1179">
        <v>67</v>
      </c>
      <c r="E841" s="1749" t="s">
        <v>5299</v>
      </c>
      <c r="F841" s="1751">
        <v>243702</v>
      </c>
      <c r="G841" s="1750">
        <v>680</v>
      </c>
      <c r="H841" s="1731" t="s">
        <v>41</v>
      </c>
      <c r="I841" s="2287" t="s">
        <v>25</v>
      </c>
      <c r="J841" s="37"/>
      <c r="K841" s="2235"/>
      <c r="L841" s="37"/>
      <c r="M841" s="37"/>
      <c r="N841" s="37"/>
      <c r="O841" s="2360" t="s">
        <v>5885</v>
      </c>
      <c r="Q841" s="2287" t="s">
        <v>25</v>
      </c>
    </row>
    <row r="842" spans="1:17" ht="18.75" customHeight="1" x14ac:dyDescent="0.4">
      <c r="A842" s="112">
        <v>774</v>
      </c>
      <c r="B842" s="1747" t="s">
        <v>158</v>
      </c>
      <c r="C842" s="1748">
        <v>400</v>
      </c>
      <c r="D842" s="1179">
        <v>67</v>
      </c>
      <c r="E842" s="1749" t="s">
        <v>5300</v>
      </c>
      <c r="F842" s="1751">
        <v>243702</v>
      </c>
      <c r="G842" s="1750">
        <v>680</v>
      </c>
      <c r="H842" s="1731" t="s">
        <v>41</v>
      </c>
      <c r="I842" s="2287" t="s">
        <v>25</v>
      </c>
      <c r="J842" s="37"/>
      <c r="K842" s="2235"/>
      <c r="L842" s="37"/>
      <c r="M842" s="37"/>
      <c r="N842" s="37"/>
      <c r="O842" s="2360" t="s">
        <v>5885</v>
      </c>
      <c r="Q842" s="2287" t="s">
        <v>25</v>
      </c>
    </row>
    <row r="843" spans="1:17" ht="18.75" customHeight="1" x14ac:dyDescent="0.4">
      <c r="A843" s="112">
        <v>775</v>
      </c>
      <c r="B843" s="1747" t="s">
        <v>158</v>
      </c>
      <c r="C843" s="1748">
        <v>400</v>
      </c>
      <c r="D843" s="1179">
        <v>67</v>
      </c>
      <c r="E843" s="1749" t="s">
        <v>5301</v>
      </c>
      <c r="F843" s="1751">
        <v>243702</v>
      </c>
      <c r="G843" s="1750">
        <v>680</v>
      </c>
      <c r="H843" s="1731" t="s">
        <v>41</v>
      </c>
      <c r="I843" s="2287" t="s">
        <v>25</v>
      </c>
      <c r="J843" s="37"/>
      <c r="K843" s="2235"/>
      <c r="L843" s="37"/>
      <c r="M843" s="37"/>
      <c r="N843" s="37"/>
      <c r="O843" s="2360" t="s">
        <v>5885</v>
      </c>
      <c r="Q843" s="2287" t="s">
        <v>25</v>
      </c>
    </row>
    <row r="844" spans="1:17" ht="18.75" customHeight="1" x14ac:dyDescent="0.4">
      <c r="A844" s="112">
        <v>776</v>
      </c>
      <c r="B844" s="1747" t="s">
        <v>158</v>
      </c>
      <c r="C844" s="1748">
        <v>400</v>
      </c>
      <c r="D844" s="1179">
        <v>67</v>
      </c>
      <c r="E844" s="1749" t="s">
        <v>5302</v>
      </c>
      <c r="F844" s="1751">
        <v>243702</v>
      </c>
      <c r="G844" s="1750">
        <v>680</v>
      </c>
      <c r="H844" s="1731" t="s">
        <v>41</v>
      </c>
      <c r="I844" s="2287" t="s">
        <v>25</v>
      </c>
      <c r="J844" s="37"/>
      <c r="K844" s="2235"/>
      <c r="L844" s="37"/>
      <c r="M844" s="37"/>
      <c r="N844" s="37"/>
      <c r="O844" s="2360" t="s">
        <v>5885</v>
      </c>
      <c r="Q844" s="2287" t="s">
        <v>25</v>
      </c>
    </row>
    <row r="845" spans="1:17" ht="18.75" customHeight="1" x14ac:dyDescent="0.4">
      <c r="A845" s="2822">
        <v>777</v>
      </c>
      <c r="B845" s="1747" t="s">
        <v>158</v>
      </c>
      <c r="C845" s="1748">
        <v>400</v>
      </c>
      <c r="D845" s="1179">
        <v>67</v>
      </c>
      <c r="E845" s="1749" t="s">
        <v>5303</v>
      </c>
      <c r="F845" s="1751">
        <v>243702</v>
      </c>
      <c r="G845" s="1750">
        <v>680</v>
      </c>
      <c r="H845" s="1731" t="s">
        <v>41</v>
      </c>
      <c r="I845" s="2287" t="s">
        <v>25</v>
      </c>
      <c r="J845" s="37"/>
      <c r="K845" s="2235"/>
      <c r="L845" s="37"/>
      <c r="M845" s="37"/>
      <c r="N845" s="37"/>
      <c r="O845" s="2360" t="s">
        <v>5885</v>
      </c>
      <c r="Q845" s="2287" t="s">
        <v>25</v>
      </c>
    </row>
    <row r="846" spans="1:17" ht="18.75" customHeight="1" x14ac:dyDescent="0.4">
      <c r="A846" s="2822">
        <v>778</v>
      </c>
      <c r="B846" s="1747" t="s">
        <v>158</v>
      </c>
      <c r="C846" s="1748">
        <v>400</v>
      </c>
      <c r="D846" s="1179">
        <v>67</v>
      </c>
      <c r="E846" s="1749" t="s">
        <v>5304</v>
      </c>
      <c r="F846" s="1751">
        <v>243702</v>
      </c>
      <c r="G846" s="1750">
        <v>680</v>
      </c>
      <c r="H846" s="1731" t="s">
        <v>41</v>
      </c>
      <c r="I846" s="2287" t="s">
        <v>25</v>
      </c>
      <c r="J846" s="37"/>
      <c r="K846" s="2235"/>
      <c r="L846" s="37"/>
      <c r="M846" s="37"/>
      <c r="N846" s="37"/>
      <c r="O846" s="2360" t="s">
        <v>5885</v>
      </c>
      <c r="Q846" s="2287" t="s">
        <v>25</v>
      </c>
    </row>
    <row r="847" spans="1:17" ht="18.75" customHeight="1" x14ac:dyDescent="0.4">
      <c r="A847" s="112">
        <v>779</v>
      </c>
      <c r="B847" s="1747" t="s">
        <v>158</v>
      </c>
      <c r="C847" s="1748">
        <v>400</v>
      </c>
      <c r="D847" s="1179">
        <v>67</v>
      </c>
      <c r="E847" s="1749" t="s">
        <v>5305</v>
      </c>
      <c r="F847" s="1751">
        <v>243702</v>
      </c>
      <c r="G847" s="1750">
        <v>680</v>
      </c>
      <c r="H847" s="1731" t="s">
        <v>41</v>
      </c>
      <c r="I847" s="2287" t="s">
        <v>25</v>
      </c>
      <c r="J847" s="37"/>
      <c r="K847" s="2235"/>
      <c r="L847" s="37"/>
      <c r="M847" s="37"/>
      <c r="N847" s="37"/>
      <c r="O847" s="2360" t="s">
        <v>5885</v>
      </c>
      <c r="Q847" s="2287" t="s">
        <v>25</v>
      </c>
    </row>
    <row r="848" spans="1:17" ht="18.75" customHeight="1" x14ac:dyDescent="0.4">
      <c r="A848" s="112">
        <v>780</v>
      </c>
      <c r="B848" s="1747" t="s">
        <v>158</v>
      </c>
      <c r="C848" s="1748">
        <v>400</v>
      </c>
      <c r="D848" s="1179">
        <v>67</v>
      </c>
      <c r="E848" s="1749" t="s">
        <v>5306</v>
      </c>
      <c r="F848" s="1751">
        <v>243702</v>
      </c>
      <c r="G848" s="1750">
        <v>680</v>
      </c>
      <c r="H848" s="1731" t="s">
        <v>41</v>
      </c>
      <c r="I848" s="2287" t="s">
        <v>25</v>
      </c>
      <c r="J848" s="37"/>
      <c r="K848" s="2235"/>
      <c r="L848" s="37"/>
      <c r="M848" s="37"/>
      <c r="N848" s="37"/>
      <c r="O848" s="2360" t="s">
        <v>5885</v>
      </c>
      <c r="Q848" s="2287" t="s">
        <v>25</v>
      </c>
    </row>
    <row r="849" spans="1:17" ht="18.75" customHeight="1" x14ac:dyDescent="0.4">
      <c r="A849" s="112">
        <v>781</v>
      </c>
      <c r="B849" s="1747" t="s">
        <v>158</v>
      </c>
      <c r="C849" s="1748">
        <v>400</v>
      </c>
      <c r="D849" s="1179">
        <v>67</v>
      </c>
      <c r="E849" s="1749" t="s">
        <v>5307</v>
      </c>
      <c r="F849" s="1751">
        <v>243702</v>
      </c>
      <c r="G849" s="1750">
        <v>680</v>
      </c>
      <c r="H849" s="1731" t="s">
        <v>41</v>
      </c>
      <c r="I849" s="2287" t="s">
        <v>25</v>
      </c>
      <c r="J849" s="37"/>
      <c r="K849" s="2235"/>
      <c r="L849" s="37"/>
      <c r="M849" s="37"/>
      <c r="N849" s="37"/>
      <c r="O849" s="2360" t="s">
        <v>5885</v>
      </c>
      <c r="Q849" s="2287" t="s">
        <v>25</v>
      </c>
    </row>
    <row r="850" spans="1:17" ht="18.75" customHeight="1" x14ac:dyDescent="0.4">
      <c r="A850" s="112">
        <v>782</v>
      </c>
      <c r="B850" s="1747" t="s">
        <v>158</v>
      </c>
      <c r="C850" s="1748">
        <v>400</v>
      </c>
      <c r="D850" s="1179">
        <v>67</v>
      </c>
      <c r="E850" s="1749" t="s">
        <v>5308</v>
      </c>
      <c r="F850" s="1751">
        <v>243702</v>
      </c>
      <c r="G850" s="1750">
        <v>680</v>
      </c>
      <c r="H850" s="1731" t="s">
        <v>41</v>
      </c>
      <c r="I850" s="2287" t="s">
        <v>25</v>
      </c>
      <c r="J850" s="37"/>
      <c r="K850" s="2235"/>
      <c r="L850" s="37"/>
      <c r="M850" s="37"/>
      <c r="N850" s="37"/>
      <c r="O850" s="2360" t="s">
        <v>5885</v>
      </c>
      <c r="Q850" s="2287" t="s">
        <v>25</v>
      </c>
    </row>
    <row r="851" spans="1:17" ht="18.75" customHeight="1" x14ac:dyDescent="0.4">
      <c r="A851" s="112">
        <v>783</v>
      </c>
      <c r="B851" s="1747" t="s">
        <v>158</v>
      </c>
      <c r="C851" s="1748">
        <v>400</v>
      </c>
      <c r="D851" s="1179">
        <v>67</v>
      </c>
      <c r="E851" s="1749" t="s">
        <v>5309</v>
      </c>
      <c r="F851" s="1751">
        <v>243702</v>
      </c>
      <c r="G851" s="1750">
        <v>680</v>
      </c>
      <c r="H851" s="1731" t="s">
        <v>41</v>
      </c>
      <c r="I851" s="2287" t="s">
        <v>25</v>
      </c>
      <c r="J851" s="37"/>
      <c r="K851" s="2235"/>
      <c r="L851" s="37"/>
      <c r="M851" s="37"/>
      <c r="N851" s="37"/>
      <c r="O851" s="2360" t="s">
        <v>5885</v>
      </c>
      <c r="Q851" s="2287" t="s">
        <v>25</v>
      </c>
    </row>
    <row r="852" spans="1:17" ht="18.75" customHeight="1" x14ac:dyDescent="0.4">
      <c r="A852" s="112">
        <v>784</v>
      </c>
      <c r="B852" s="1747" t="s">
        <v>158</v>
      </c>
      <c r="C852" s="1748">
        <v>400</v>
      </c>
      <c r="D852" s="1179">
        <v>67</v>
      </c>
      <c r="E852" s="1749" t="s">
        <v>5310</v>
      </c>
      <c r="F852" s="1751">
        <v>243702</v>
      </c>
      <c r="G852" s="1750">
        <v>680</v>
      </c>
      <c r="H852" s="1731" t="s">
        <v>41</v>
      </c>
      <c r="I852" s="2287" t="s">
        <v>25</v>
      </c>
      <c r="J852" s="37"/>
      <c r="K852" s="2235"/>
      <c r="L852" s="37"/>
      <c r="M852" s="37"/>
      <c r="N852" s="37"/>
      <c r="O852" s="2360" t="s">
        <v>5885</v>
      </c>
      <c r="Q852" s="2287" t="s">
        <v>25</v>
      </c>
    </row>
    <row r="853" spans="1:17" ht="18.75" customHeight="1" x14ac:dyDescent="0.4">
      <c r="A853" s="112">
        <v>785</v>
      </c>
      <c r="B853" s="1747" t="s">
        <v>158</v>
      </c>
      <c r="C853" s="1748">
        <v>400</v>
      </c>
      <c r="D853" s="1179">
        <v>67</v>
      </c>
      <c r="E853" s="1749" t="s">
        <v>5311</v>
      </c>
      <c r="F853" s="1751">
        <v>243702</v>
      </c>
      <c r="G853" s="1750">
        <v>680</v>
      </c>
      <c r="H853" s="1731" t="s">
        <v>41</v>
      </c>
      <c r="I853" s="2287" t="s">
        <v>25</v>
      </c>
      <c r="J853" s="37"/>
      <c r="K853" s="2235"/>
      <c r="L853" s="37"/>
      <c r="M853" s="37"/>
      <c r="N853" s="37"/>
      <c r="O853" s="2360" t="s">
        <v>5885</v>
      </c>
      <c r="Q853" s="2287" t="s">
        <v>25</v>
      </c>
    </row>
    <row r="854" spans="1:17" ht="18.75" customHeight="1" x14ac:dyDescent="0.45">
      <c r="A854" s="112"/>
      <c r="B854" s="172"/>
      <c r="C854" s="173"/>
      <c r="D854" s="174"/>
      <c r="E854" s="175"/>
      <c r="F854" s="1751"/>
      <c r="G854" s="177">
        <f>SUM(G69:G853)</f>
        <v>857760.10000000033</v>
      </c>
      <c r="H854" s="178"/>
      <c r="I854" s="46"/>
      <c r="J854" s="49"/>
      <c r="K854" s="2237"/>
      <c r="L854" s="49"/>
      <c r="M854" s="49"/>
      <c r="N854" s="49"/>
      <c r="O854" s="50"/>
      <c r="Q854" s="46"/>
    </row>
    <row r="855" spans="1:17" ht="18.75" customHeight="1" x14ac:dyDescent="0.3">
      <c r="A855" s="179">
        <v>401</v>
      </c>
      <c r="B855" s="180" t="s">
        <v>178</v>
      </c>
      <c r="C855" s="181"/>
      <c r="D855" s="182"/>
      <c r="E855" s="183"/>
      <c r="F855" s="1751"/>
      <c r="G855" s="184"/>
      <c r="H855" s="185"/>
      <c r="I855" s="186"/>
      <c r="J855" s="186"/>
      <c r="K855" s="186"/>
      <c r="L855" s="186"/>
      <c r="M855" s="186"/>
      <c r="N855" s="186"/>
      <c r="O855" s="187"/>
    </row>
    <row r="856" spans="1:17" ht="18.75" customHeight="1" x14ac:dyDescent="0.3">
      <c r="A856" s="104">
        <v>1</v>
      </c>
      <c r="B856" s="105" t="s">
        <v>179</v>
      </c>
      <c r="C856" s="188">
        <v>401</v>
      </c>
      <c r="D856" s="149">
        <v>43</v>
      </c>
      <c r="E856" s="108">
        <v>3874</v>
      </c>
      <c r="F856" s="109">
        <v>15751</v>
      </c>
      <c r="G856" s="110">
        <v>1300</v>
      </c>
      <c r="H856" s="1744" t="s">
        <v>180</v>
      </c>
      <c r="I856" s="104"/>
      <c r="J856" s="104" t="s">
        <v>25</v>
      </c>
      <c r="K856" s="104"/>
      <c r="L856" s="104"/>
      <c r="M856" s="104"/>
      <c r="N856" s="104"/>
      <c r="O856" s="126"/>
      <c r="Q856" s="104"/>
    </row>
    <row r="857" spans="1:17" ht="18.75" customHeight="1" x14ac:dyDescent="0.3">
      <c r="A857" s="189">
        <v>2</v>
      </c>
      <c r="B857" s="105" t="s">
        <v>179</v>
      </c>
      <c r="C857" s="129">
        <v>401</v>
      </c>
      <c r="D857" s="113">
        <v>43</v>
      </c>
      <c r="E857" s="108">
        <v>3875</v>
      </c>
      <c r="F857" s="109">
        <v>15751</v>
      </c>
      <c r="G857" s="116">
        <v>1300</v>
      </c>
      <c r="H857" s="1745" t="s">
        <v>180</v>
      </c>
      <c r="I857" s="104" t="s">
        <v>25</v>
      </c>
      <c r="J857" s="104"/>
      <c r="K857" s="104"/>
      <c r="L857" s="104"/>
      <c r="M857" s="104"/>
      <c r="N857" s="104"/>
      <c r="O857" s="126" t="s">
        <v>131</v>
      </c>
      <c r="Q857" s="104" t="s">
        <v>25</v>
      </c>
    </row>
    <row r="858" spans="1:17" ht="18.75" customHeight="1" x14ac:dyDescent="0.3">
      <c r="A858" s="104">
        <v>3</v>
      </c>
      <c r="B858" s="105" t="s">
        <v>179</v>
      </c>
      <c r="C858" s="129">
        <v>401</v>
      </c>
      <c r="D858" s="113">
        <v>43</v>
      </c>
      <c r="E858" s="108">
        <v>3876</v>
      </c>
      <c r="F858" s="109">
        <v>15751</v>
      </c>
      <c r="G858" s="116">
        <v>580</v>
      </c>
      <c r="H858" s="1745" t="s">
        <v>180</v>
      </c>
      <c r="I858" s="104"/>
      <c r="J858" s="104"/>
      <c r="K858" s="104"/>
      <c r="L858" s="104"/>
      <c r="M858" s="104"/>
      <c r="N858" s="104"/>
      <c r="O858" s="111"/>
      <c r="Q858" s="104"/>
    </row>
    <row r="859" spans="1:17" ht="18.75" customHeight="1" x14ac:dyDescent="0.3">
      <c r="A859" s="189">
        <v>4</v>
      </c>
      <c r="B859" s="105" t="s">
        <v>179</v>
      </c>
      <c r="C859" s="129">
        <v>401</v>
      </c>
      <c r="D859" s="113">
        <v>43</v>
      </c>
      <c r="E859" s="108">
        <v>3878</v>
      </c>
      <c r="F859" s="109">
        <v>15751</v>
      </c>
      <c r="G859" s="116">
        <v>580</v>
      </c>
      <c r="H859" s="1745" t="s">
        <v>180</v>
      </c>
      <c r="I859" s="104"/>
      <c r="J859" s="104"/>
      <c r="K859" s="104"/>
      <c r="L859" s="104"/>
      <c r="M859" s="104"/>
      <c r="N859" s="104"/>
      <c r="O859" s="111" t="s">
        <v>181</v>
      </c>
      <c r="Q859" s="104"/>
    </row>
    <row r="860" spans="1:17" ht="18.75" customHeight="1" x14ac:dyDescent="0.3">
      <c r="A860" s="104">
        <v>5</v>
      </c>
      <c r="B860" s="105" t="s">
        <v>182</v>
      </c>
      <c r="C860" s="129">
        <v>401</v>
      </c>
      <c r="D860" s="113">
        <v>43</v>
      </c>
      <c r="E860" s="114">
        <v>3921</v>
      </c>
      <c r="F860" s="115">
        <v>15925</v>
      </c>
      <c r="G860" s="116">
        <v>5460</v>
      </c>
      <c r="H860" s="1741" t="s">
        <v>183</v>
      </c>
      <c r="I860" s="118"/>
      <c r="J860" s="118" t="s">
        <v>25</v>
      </c>
      <c r="K860" s="1270"/>
      <c r="L860" s="119"/>
      <c r="M860" s="119"/>
      <c r="N860" s="119"/>
      <c r="O860" s="2819" t="s">
        <v>6395</v>
      </c>
      <c r="Q860" s="118"/>
    </row>
    <row r="861" spans="1:17" ht="18.75" customHeight="1" x14ac:dyDescent="0.3">
      <c r="A861" s="189">
        <v>6</v>
      </c>
      <c r="B861" s="105" t="s">
        <v>182</v>
      </c>
      <c r="C861" s="129">
        <v>401</v>
      </c>
      <c r="D861" s="113">
        <v>43</v>
      </c>
      <c r="E861" s="114">
        <v>3922</v>
      </c>
      <c r="F861" s="115">
        <v>15925</v>
      </c>
      <c r="G861" s="116">
        <v>5460</v>
      </c>
      <c r="H861" s="1741" t="s">
        <v>183</v>
      </c>
      <c r="I861" s="118"/>
      <c r="J861" s="118" t="s">
        <v>25</v>
      </c>
      <c r="K861" s="1270"/>
      <c r="L861" s="119"/>
      <c r="M861" s="119"/>
      <c r="N861" s="119"/>
      <c r="O861" s="2819" t="s">
        <v>6395</v>
      </c>
      <c r="Q861" s="118"/>
    </row>
    <row r="862" spans="1:17" ht="18.75" customHeight="1" x14ac:dyDescent="0.3">
      <c r="A862" s="104">
        <v>7</v>
      </c>
      <c r="B862" s="105" t="s">
        <v>182</v>
      </c>
      <c r="C862" s="129">
        <v>401</v>
      </c>
      <c r="D862" s="113">
        <v>43</v>
      </c>
      <c r="E862" s="114">
        <v>3923</v>
      </c>
      <c r="F862" s="115">
        <v>15925</v>
      </c>
      <c r="G862" s="116">
        <v>5460</v>
      </c>
      <c r="H862" s="1741" t="s">
        <v>183</v>
      </c>
      <c r="I862" s="118"/>
      <c r="J862" s="118" t="s">
        <v>25</v>
      </c>
      <c r="K862" s="1270"/>
      <c r="L862" s="119"/>
      <c r="M862" s="119"/>
      <c r="N862" s="119"/>
      <c r="O862" s="2819" t="s">
        <v>6395</v>
      </c>
      <c r="Q862" s="118"/>
    </row>
    <row r="863" spans="1:17" ht="18.75" customHeight="1" x14ac:dyDescent="0.3">
      <c r="A863" s="189">
        <v>8</v>
      </c>
      <c r="B863" s="105" t="s">
        <v>182</v>
      </c>
      <c r="C863" s="129">
        <v>401</v>
      </c>
      <c r="D863" s="113">
        <v>43</v>
      </c>
      <c r="E863" s="114">
        <v>3924</v>
      </c>
      <c r="F863" s="115">
        <v>15925</v>
      </c>
      <c r="G863" s="116">
        <v>5460</v>
      </c>
      <c r="H863" s="1741" t="s">
        <v>184</v>
      </c>
      <c r="I863" s="118" t="s">
        <v>25</v>
      </c>
      <c r="J863" s="118"/>
      <c r="K863" s="1270"/>
      <c r="L863" s="119"/>
      <c r="M863" s="119"/>
      <c r="N863" s="119"/>
      <c r="O863" s="190"/>
      <c r="Q863" s="118" t="s">
        <v>25</v>
      </c>
    </row>
    <row r="864" spans="1:17" ht="18.75" customHeight="1" x14ac:dyDescent="0.3">
      <c r="A864" s="104">
        <v>9</v>
      </c>
      <c r="B864" s="105" t="s">
        <v>182</v>
      </c>
      <c r="C864" s="129">
        <v>401</v>
      </c>
      <c r="D864" s="113">
        <v>43</v>
      </c>
      <c r="E864" s="114">
        <v>3925</v>
      </c>
      <c r="F864" s="115">
        <v>15925</v>
      </c>
      <c r="G864" s="116">
        <v>5460</v>
      </c>
      <c r="H864" s="1741" t="s">
        <v>184</v>
      </c>
      <c r="I864" s="118" t="s">
        <v>25</v>
      </c>
      <c r="J864" s="118"/>
      <c r="K864" s="1270"/>
      <c r="L864" s="119"/>
      <c r="M864" s="119"/>
      <c r="N864" s="119"/>
      <c r="O864" s="190"/>
      <c r="Q864" s="118" t="s">
        <v>25</v>
      </c>
    </row>
    <row r="865" spans="1:17" ht="18.75" customHeight="1" x14ac:dyDescent="0.3">
      <c r="A865" s="189">
        <v>10</v>
      </c>
      <c r="B865" s="105" t="s">
        <v>182</v>
      </c>
      <c r="C865" s="129">
        <v>401</v>
      </c>
      <c r="D865" s="113">
        <v>43</v>
      </c>
      <c r="E865" s="114">
        <v>3926</v>
      </c>
      <c r="F865" s="115">
        <v>15925</v>
      </c>
      <c r="G865" s="116">
        <v>5460</v>
      </c>
      <c r="H865" s="1741" t="s">
        <v>162</v>
      </c>
      <c r="I865" s="118" t="s">
        <v>25</v>
      </c>
      <c r="J865" s="118"/>
      <c r="K865" s="1270"/>
      <c r="L865" s="119"/>
      <c r="M865" s="119"/>
      <c r="N865" s="119"/>
      <c r="O865" s="190"/>
      <c r="Q865" s="118" t="s">
        <v>25</v>
      </c>
    </row>
    <row r="866" spans="1:17" ht="18.75" customHeight="1" x14ac:dyDescent="0.3">
      <c r="A866" s="104">
        <v>11</v>
      </c>
      <c r="B866" s="105" t="s">
        <v>182</v>
      </c>
      <c r="C866" s="129">
        <v>401</v>
      </c>
      <c r="D866" s="113">
        <v>43</v>
      </c>
      <c r="E866" s="114">
        <v>3927</v>
      </c>
      <c r="F866" s="115">
        <v>15925</v>
      </c>
      <c r="G866" s="116">
        <v>5460</v>
      </c>
      <c r="H866" s="1741" t="s">
        <v>162</v>
      </c>
      <c r="I866" s="118" t="s">
        <v>25</v>
      </c>
      <c r="J866" s="118"/>
      <c r="K866" s="1270"/>
      <c r="L866" s="119"/>
      <c r="M866" s="119"/>
      <c r="N866" s="119"/>
      <c r="O866" s="191"/>
      <c r="Q866" s="118" t="s">
        <v>25</v>
      </c>
    </row>
    <row r="867" spans="1:17" ht="18.75" customHeight="1" x14ac:dyDescent="0.3">
      <c r="A867" s="189">
        <v>12</v>
      </c>
      <c r="B867" s="105" t="s">
        <v>182</v>
      </c>
      <c r="C867" s="129">
        <v>401</v>
      </c>
      <c r="D867" s="113">
        <v>43</v>
      </c>
      <c r="E867" s="114">
        <v>3928</v>
      </c>
      <c r="F867" s="115">
        <v>15925</v>
      </c>
      <c r="G867" s="116">
        <v>5460</v>
      </c>
      <c r="H867" s="1741" t="s">
        <v>168</v>
      </c>
      <c r="I867" s="118" t="s">
        <v>25</v>
      </c>
      <c r="J867" s="118"/>
      <c r="K867" s="1270"/>
      <c r="L867" s="119"/>
      <c r="M867" s="119"/>
      <c r="N867" s="119"/>
      <c r="O867" s="190"/>
      <c r="Q867" s="118" t="s">
        <v>25</v>
      </c>
    </row>
    <row r="868" spans="1:17" ht="18.75" customHeight="1" x14ac:dyDescent="0.3">
      <c r="A868" s="104">
        <v>13</v>
      </c>
      <c r="B868" s="105" t="s">
        <v>182</v>
      </c>
      <c r="C868" s="129">
        <v>401</v>
      </c>
      <c r="D868" s="113">
        <v>43</v>
      </c>
      <c r="E868" s="114">
        <v>3929</v>
      </c>
      <c r="F868" s="115">
        <v>15925</v>
      </c>
      <c r="G868" s="116">
        <v>5460</v>
      </c>
      <c r="H868" s="1741" t="s">
        <v>168</v>
      </c>
      <c r="I868" s="118" t="s">
        <v>25</v>
      </c>
      <c r="J868" s="118"/>
      <c r="K868" s="1270"/>
      <c r="L868" s="119"/>
      <c r="M868" s="119"/>
      <c r="N868" s="119"/>
      <c r="O868" s="190"/>
      <c r="Q868" s="118" t="s">
        <v>25</v>
      </c>
    </row>
    <row r="869" spans="1:17" ht="18.75" customHeight="1" x14ac:dyDescent="0.3">
      <c r="A869" s="189">
        <v>14</v>
      </c>
      <c r="B869" s="105" t="s">
        <v>182</v>
      </c>
      <c r="C869" s="129">
        <v>401</v>
      </c>
      <c r="D869" s="113">
        <v>43</v>
      </c>
      <c r="E869" s="114">
        <v>3930</v>
      </c>
      <c r="F869" s="115">
        <v>15925</v>
      </c>
      <c r="G869" s="116">
        <v>5460</v>
      </c>
      <c r="H869" s="1741" t="s">
        <v>168</v>
      </c>
      <c r="I869" s="118" t="s">
        <v>25</v>
      </c>
      <c r="J869" s="118"/>
      <c r="K869" s="1270"/>
      <c r="L869" s="119"/>
      <c r="M869" s="119"/>
      <c r="N869" s="119"/>
      <c r="O869" s="190"/>
      <c r="Q869" s="118" t="s">
        <v>25</v>
      </c>
    </row>
    <row r="870" spans="1:17" ht="18.75" customHeight="1" x14ac:dyDescent="0.3">
      <c r="A870" s="104">
        <v>15</v>
      </c>
      <c r="B870" s="105" t="s">
        <v>182</v>
      </c>
      <c r="C870" s="129">
        <v>401</v>
      </c>
      <c r="D870" s="113">
        <v>43</v>
      </c>
      <c r="E870" s="114">
        <v>3931</v>
      </c>
      <c r="F870" s="115">
        <v>15925</v>
      </c>
      <c r="G870" s="116">
        <v>5460</v>
      </c>
      <c r="H870" s="1741" t="s">
        <v>168</v>
      </c>
      <c r="I870" s="118" t="s">
        <v>25</v>
      </c>
      <c r="J870" s="118"/>
      <c r="K870" s="1270"/>
      <c r="L870" s="119"/>
      <c r="M870" s="119"/>
      <c r="N870" s="119"/>
      <c r="O870" s="190"/>
      <c r="Q870" s="118" t="s">
        <v>25</v>
      </c>
    </row>
    <row r="871" spans="1:17" ht="18.75" customHeight="1" x14ac:dyDescent="0.3">
      <c r="A871" s="189">
        <v>16</v>
      </c>
      <c r="B871" s="105" t="s">
        <v>182</v>
      </c>
      <c r="C871" s="129">
        <v>401</v>
      </c>
      <c r="D871" s="113">
        <v>43</v>
      </c>
      <c r="E871" s="114">
        <v>3932</v>
      </c>
      <c r="F871" s="115">
        <v>15925</v>
      </c>
      <c r="G871" s="116">
        <v>5460</v>
      </c>
      <c r="H871" s="1741" t="s">
        <v>168</v>
      </c>
      <c r="I871" s="118" t="s">
        <v>25</v>
      </c>
      <c r="J871" s="118"/>
      <c r="K871" s="1270"/>
      <c r="L871" s="119"/>
      <c r="M871" s="119"/>
      <c r="N871" s="119"/>
      <c r="O871" s="190"/>
      <c r="Q871" s="118" t="s">
        <v>25</v>
      </c>
    </row>
    <row r="872" spans="1:17" ht="18.75" customHeight="1" x14ac:dyDescent="0.3">
      <c r="A872" s="104">
        <v>17</v>
      </c>
      <c r="B872" s="105" t="s">
        <v>182</v>
      </c>
      <c r="C872" s="129">
        <v>401</v>
      </c>
      <c r="D872" s="113">
        <v>43</v>
      </c>
      <c r="E872" s="114">
        <v>3933</v>
      </c>
      <c r="F872" s="115">
        <v>15925</v>
      </c>
      <c r="G872" s="116">
        <v>5460</v>
      </c>
      <c r="H872" s="1741" t="s">
        <v>168</v>
      </c>
      <c r="I872" s="118" t="s">
        <v>25</v>
      </c>
      <c r="J872" s="118"/>
      <c r="K872" s="1270"/>
      <c r="L872" s="119"/>
      <c r="M872" s="119"/>
      <c r="N872" s="119"/>
      <c r="O872" s="190"/>
      <c r="Q872" s="118" t="s">
        <v>25</v>
      </c>
    </row>
    <row r="873" spans="1:17" ht="18.75" customHeight="1" x14ac:dyDescent="0.3">
      <c r="A873" s="189">
        <v>18</v>
      </c>
      <c r="B873" s="105" t="s">
        <v>182</v>
      </c>
      <c r="C873" s="129">
        <v>401</v>
      </c>
      <c r="D873" s="113">
        <v>43</v>
      </c>
      <c r="E873" s="114">
        <v>3934</v>
      </c>
      <c r="F873" s="115">
        <v>15925</v>
      </c>
      <c r="G873" s="116">
        <v>5460</v>
      </c>
      <c r="H873" s="1741" t="s">
        <v>168</v>
      </c>
      <c r="I873" s="118" t="s">
        <v>25</v>
      </c>
      <c r="J873" s="118"/>
      <c r="K873" s="1270"/>
      <c r="L873" s="119"/>
      <c r="M873" s="119"/>
      <c r="N873" s="119"/>
      <c r="O873" s="190"/>
      <c r="Q873" s="118" t="s">
        <v>25</v>
      </c>
    </row>
    <row r="874" spans="1:17" ht="18.75" customHeight="1" x14ac:dyDescent="0.3">
      <c r="A874" s="104">
        <v>19</v>
      </c>
      <c r="B874" s="105" t="s">
        <v>182</v>
      </c>
      <c r="C874" s="129">
        <v>401</v>
      </c>
      <c r="D874" s="113">
        <v>43</v>
      </c>
      <c r="E874" s="114">
        <v>3935</v>
      </c>
      <c r="F874" s="115">
        <v>15925</v>
      </c>
      <c r="G874" s="116">
        <v>5460</v>
      </c>
      <c r="H874" s="1741" t="s">
        <v>168</v>
      </c>
      <c r="I874" s="118" t="s">
        <v>25</v>
      </c>
      <c r="J874" s="118"/>
      <c r="K874" s="1270"/>
      <c r="L874" s="119"/>
      <c r="M874" s="119"/>
      <c r="N874" s="119"/>
      <c r="O874" s="190"/>
      <c r="Q874" s="118" t="s">
        <v>25</v>
      </c>
    </row>
    <row r="875" spans="1:17" ht="18.75" customHeight="1" x14ac:dyDescent="0.3">
      <c r="A875" s="189">
        <v>20</v>
      </c>
      <c r="B875" s="105" t="s">
        <v>182</v>
      </c>
      <c r="C875" s="129">
        <v>401</v>
      </c>
      <c r="D875" s="113">
        <v>43</v>
      </c>
      <c r="E875" s="114">
        <v>3936</v>
      </c>
      <c r="F875" s="115">
        <v>15925</v>
      </c>
      <c r="G875" s="116">
        <v>5460</v>
      </c>
      <c r="H875" s="1741" t="s">
        <v>168</v>
      </c>
      <c r="I875" s="118" t="s">
        <v>25</v>
      </c>
      <c r="J875" s="118"/>
      <c r="K875" s="1270"/>
      <c r="L875" s="119"/>
      <c r="M875" s="119"/>
      <c r="N875" s="119"/>
      <c r="O875" s="190"/>
      <c r="Q875" s="118" t="s">
        <v>25</v>
      </c>
    </row>
    <row r="876" spans="1:17" ht="18.75" customHeight="1" x14ac:dyDescent="0.3">
      <c r="A876" s="104">
        <v>21</v>
      </c>
      <c r="B876" s="105" t="s">
        <v>182</v>
      </c>
      <c r="C876" s="129">
        <v>401</v>
      </c>
      <c r="D876" s="113">
        <v>43</v>
      </c>
      <c r="E876" s="114">
        <v>3937</v>
      </c>
      <c r="F876" s="115">
        <v>15925</v>
      </c>
      <c r="G876" s="116">
        <v>5460</v>
      </c>
      <c r="H876" s="1741" t="s">
        <v>168</v>
      </c>
      <c r="I876" s="118" t="s">
        <v>25</v>
      </c>
      <c r="J876" s="118"/>
      <c r="K876" s="1270"/>
      <c r="L876" s="119"/>
      <c r="M876" s="119"/>
      <c r="N876" s="119"/>
      <c r="O876" s="190"/>
      <c r="Q876" s="118" t="s">
        <v>25</v>
      </c>
    </row>
    <row r="877" spans="1:17" ht="18.75" customHeight="1" x14ac:dyDescent="0.3">
      <c r="A877" s="189">
        <v>22</v>
      </c>
      <c r="B877" s="105" t="s">
        <v>182</v>
      </c>
      <c r="C877" s="129">
        <v>401</v>
      </c>
      <c r="D877" s="113">
        <v>43</v>
      </c>
      <c r="E877" s="114">
        <v>3938</v>
      </c>
      <c r="F877" s="115">
        <v>15925</v>
      </c>
      <c r="G877" s="116">
        <v>5460</v>
      </c>
      <c r="H877" s="1741" t="s">
        <v>168</v>
      </c>
      <c r="I877" s="118" t="s">
        <v>25</v>
      </c>
      <c r="J877" s="118"/>
      <c r="K877" s="1270"/>
      <c r="L877" s="119"/>
      <c r="M877" s="119"/>
      <c r="N877" s="119"/>
      <c r="O877" s="190"/>
      <c r="Q877" s="118" t="s">
        <v>25</v>
      </c>
    </row>
    <row r="878" spans="1:17" ht="18.75" customHeight="1" x14ac:dyDescent="0.3">
      <c r="A878" s="104">
        <v>23</v>
      </c>
      <c r="B878" s="105" t="s">
        <v>182</v>
      </c>
      <c r="C878" s="129">
        <v>401</v>
      </c>
      <c r="D878" s="113">
        <v>43</v>
      </c>
      <c r="E878" s="114">
        <v>3939</v>
      </c>
      <c r="F878" s="115">
        <v>15925</v>
      </c>
      <c r="G878" s="116">
        <v>5460</v>
      </c>
      <c r="H878" s="1741" t="s">
        <v>168</v>
      </c>
      <c r="I878" s="118" t="s">
        <v>25</v>
      </c>
      <c r="J878" s="118"/>
      <c r="K878" s="1270"/>
      <c r="L878" s="119"/>
      <c r="M878" s="119"/>
      <c r="N878" s="119"/>
      <c r="O878" s="190"/>
      <c r="Q878" s="118" t="s">
        <v>25</v>
      </c>
    </row>
    <row r="879" spans="1:17" ht="18.75" customHeight="1" x14ac:dyDescent="0.3">
      <c r="A879" s="189">
        <v>24</v>
      </c>
      <c r="B879" s="105" t="s">
        <v>182</v>
      </c>
      <c r="C879" s="129">
        <v>401</v>
      </c>
      <c r="D879" s="113">
        <v>43</v>
      </c>
      <c r="E879" s="114">
        <v>3940</v>
      </c>
      <c r="F879" s="115">
        <v>15925</v>
      </c>
      <c r="G879" s="116">
        <v>5460</v>
      </c>
      <c r="H879" s="1741" t="s">
        <v>168</v>
      </c>
      <c r="I879" s="118" t="s">
        <v>25</v>
      </c>
      <c r="J879" s="118"/>
      <c r="K879" s="1270"/>
      <c r="L879" s="119"/>
      <c r="M879" s="119"/>
      <c r="N879" s="119"/>
      <c r="O879" s="190"/>
      <c r="Q879" s="118" t="s">
        <v>25</v>
      </c>
    </row>
    <row r="880" spans="1:17" ht="18.75" customHeight="1" x14ac:dyDescent="0.3">
      <c r="A880" s="104">
        <v>25</v>
      </c>
      <c r="B880" s="105" t="s">
        <v>182</v>
      </c>
      <c r="C880" s="129">
        <v>401</v>
      </c>
      <c r="D880" s="113">
        <v>43</v>
      </c>
      <c r="E880" s="114">
        <v>3941</v>
      </c>
      <c r="F880" s="115">
        <v>15925</v>
      </c>
      <c r="G880" s="116">
        <v>5460</v>
      </c>
      <c r="H880" s="1741" t="s">
        <v>168</v>
      </c>
      <c r="I880" s="118" t="s">
        <v>25</v>
      </c>
      <c r="J880" s="118"/>
      <c r="K880" s="1270"/>
      <c r="L880" s="119"/>
      <c r="M880" s="119"/>
      <c r="N880" s="119"/>
      <c r="O880" s="190"/>
      <c r="Q880" s="118" t="s">
        <v>25</v>
      </c>
    </row>
    <row r="881" spans="1:17" ht="18.75" customHeight="1" x14ac:dyDescent="0.3">
      <c r="A881" s="189">
        <v>26</v>
      </c>
      <c r="B881" s="105" t="s">
        <v>182</v>
      </c>
      <c r="C881" s="129">
        <v>401</v>
      </c>
      <c r="D881" s="113">
        <v>43</v>
      </c>
      <c r="E881" s="114">
        <v>3942</v>
      </c>
      <c r="F881" s="115">
        <v>235071</v>
      </c>
      <c r="G881" s="116">
        <v>5460</v>
      </c>
      <c r="H881" s="1741" t="s">
        <v>168</v>
      </c>
      <c r="I881" s="118" t="s">
        <v>25</v>
      </c>
      <c r="J881" s="118"/>
      <c r="K881" s="1270"/>
      <c r="L881" s="119"/>
      <c r="M881" s="119"/>
      <c r="N881" s="119"/>
      <c r="O881" s="190"/>
      <c r="Q881" s="118" t="s">
        <v>25</v>
      </c>
    </row>
    <row r="882" spans="1:17" ht="18.75" customHeight="1" x14ac:dyDescent="0.3">
      <c r="A882" s="104">
        <v>27</v>
      </c>
      <c r="B882" s="105" t="s">
        <v>182</v>
      </c>
      <c r="C882" s="129">
        <v>401</v>
      </c>
      <c r="D882" s="113">
        <v>43</v>
      </c>
      <c r="E882" s="114">
        <v>3943</v>
      </c>
      <c r="F882" s="115">
        <v>235071</v>
      </c>
      <c r="G882" s="116">
        <v>5460</v>
      </c>
      <c r="H882" s="1741" t="s">
        <v>168</v>
      </c>
      <c r="I882" s="118" t="s">
        <v>25</v>
      </c>
      <c r="J882" s="118"/>
      <c r="K882" s="1270"/>
      <c r="L882" s="119"/>
      <c r="M882" s="119"/>
      <c r="N882" s="119"/>
      <c r="O882" s="190"/>
      <c r="Q882" s="118" t="s">
        <v>25</v>
      </c>
    </row>
    <row r="883" spans="1:17" ht="18.75" customHeight="1" x14ac:dyDescent="0.3">
      <c r="A883" s="189">
        <v>28</v>
      </c>
      <c r="B883" s="105" t="s">
        <v>185</v>
      </c>
      <c r="C883" s="129">
        <v>401</v>
      </c>
      <c r="D883" s="113">
        <v>44</v>
      </c>
      <c r="E883" s="114">
        <v>5165</v>
      </c>
      <c r="F883" s="115">
        <v>16345</v>
      </c>
      <c r="G883" s="116">
        <v>700</v>
      </c>
      <c r="H883" s="1746" t="s">
        <v>186</v>
      </c>
      <c r="I883" s="104" t="s">
        <v>25</v>
      </c>
      <c r="J883" s="104"/>
      <c r="K883" s="104"/>
      <c r="L883" s="104"/>
      <c r="M883" s="104"/>
      <c r="N883" s="104"/>
      <c r="O883" s="2393" t="s">
        <v>5859</v>
      </c>
      <c r="Q883" s="104" t="s">
        <v>25</v>
      </c>
    </row>
    <row r="884" spans="1:17" ht="18.75" customHeight="1" x14ac:dyDescent="0.3">
      <c r="A884" s="104">
        <v>29</v>
      </c>
      <c r="B884" s="105" t="s">
        <v>179</v>
      </c>
      <c r="C884" s="129">
        <v>401</v>
      </c>
      <c r="D884" s="113">
        <v>46</v>
      </c>
      <c r="E884" s="114">
        <v>6084</v>
      </c>
      <c r="F884" s="115">
        <v>235989</v>
      </c>
      <c r="G884" s="116">
        <v>580</v>
      </c>
      <c r="H884" s="1746" t="s">
        <v>101</v>
      </c>
      <c r="I884" s="104"/>
      <c r="J884" s="104" t="s">
        <v>25</v>
      </c>
      <c r="K884" s="104"/>
      <c r="L884" s="104"/>
      <c r="M884" s="104"/>
      <c r="N884" s="104"/>
      <c r="O884" s="130"/>
      <c r="Q884" s="104"/>
    </row>
    <row r="885" spans="1:17" ht="18.75" customHeight="1" x14ac:dyDescent="0.3">
      <c r="A885" s="189">
        <v>30</v>
      </c>
      <c r="B885" s="105" t="s">
        <v>187</v>
      </c>
      <c r="C885" s="129">
        <v>401</v>
      </c>
      <c r="D885" s="113">
        <v>46</v>
      </c>
      <c r="E885" s="114">
        <v>6123</v>
      </c>
      <c r="F885" s="115">
        <v>16917</v>
      </c>
      <c r="G885" s="116">
        <v>390</v>
      </c>
      <c r="H885" s="1746" t="s">
        <v>101</v>
      </c>
      <c r="I885" s="104"/>
      <c r="J885" s="104" t="s">
        <v>25</v>
      </c>
      <c r="K885" s="104"/>
      <c r="L885" s="104"/>
      <c r="M885" s="104"/>
      <c r="N885" s="104"/>
      <c r="O885" s="130"/>
      <c r="Q885" s="104"/>
    </row>
    <row r="886" spans="1:17" ht="18.75" customHeight="1" x14ac:dyDescent="0.3">
      <c r="A886" s="104">
        <v>31</v>
      </c>
      <c r="B886" s="105" t="s">
        <v>187</v>
      </c>
      <c r="C886" s="129">
        <v>401</v>
      </c>
      <c r="D886" s="113">
        <v>46</v>
      </c>
      <c r="E886" s="114">
        <v>6124</v>
      </c>
      <c r="F886" s="115">
        <v>16917</v>
      </c>
      <c r="G886" s="116">
        <v>390</v>
      </c>
      <c r="H886" s="1746" t="s">
        <v>101</v>
      </c>
      <c r="I886" s="104"/>
      <c r="J886" s="104" t="s">
        <v>25</v>
      </c>
      <c r="K886" s="104"/>
      <c r="L886" s="104"/>
      <c r="M886" s="104"/>
      <c r="N886" s="104"/>
      <c r="O886" s="130"/>
      <c r="Q886" s="104"/>
    </row>
    <row r="887" spans="1:17" ht="18.75" customHeight="1" x14ac:dyDescent="0.3">
      <c r="A887" s="189">
        <v>32</v>
      </c>
      <c r="B887" s="105" t="s">
        <v>187</v>
      </c>
      <c r="C887" s="129">
        <v>401</v>
      </c>
      <c r="D887" s="113">
        <v>46</v>
      </c>
      <c r="E887" s="114">
        <v>6125</v>
      </c>
      <c r="F887" s="115">
        <v>16917</v>
      </c>
      <c r="G887" s="116">
        <v>390</v>
      </c>
      <c r="H887" s="1746" t="s">
        <v>101</v>
      </c>
      <c r="I887" s="104"/>
      <c r="J887" s="104" t="s">
        <v>25</v>
      </c>
      <c r="K887" s="104"/>
      <c r="L887" s="104"/>
      <c r="M887" s="104"/>
      <c r="N887" s="104"/>
      <c r="O887" s="130"/>
      <c r="Q887" s="104"/>
    </row>
    <row r="888" spans="1:17" ht="18.75" customHeight="1" x14ac:dyDescent="0.3">
      <c r="A888" s="104">
        <v>33</v>
      </c>
      <c r="B888" s="105" t="s">
        <v>187</v>
      </c>
      <c r="C888" s="129">
        <v>401</v>
      </c>
      <c r="D888" s="113">
        <v>46</v>
      </c>
      <c r="E888" s="114">
        <v>6126</v>
      </c>
      <c r="F888" s="115">
        <v>16917</v>
      </c>
      <c r="G888" s="116">
        <v>390</v>
      </c>
      <c r="H888" s="1746" t="s">
        <v>101</v>
      </c>
      <c r="I888" s="104"/>
      <c r="J888" s="104" t="s">
        <v>25</v>
      </c>
      <c r="K888" s="104"/>
      <c r="L888" s="104"/>
      <c r="M888" s="104"/>
      <c r="N888" s="104"/>
      <c r="O888" s="130"/>
      <c r="Q888" s="104"/>
    </row>
    <row r="889" spans="1:17" ht="18.75" customHeight="1" x14ac:dyDescent="0.3">
      <c r="A889" s="189">
        <v>34</v>
      </c>
      <c r="B889" s="105" t="s">
        <v>187</v>
      </c>
      <c r="C889" s="129">
        <v>401</v>
      </c>
      <c r="D889" s="113">
        <v>46</v>
      </c>
      <c r="E889" s="114">
        <v>6128</v>
      </c>
      <c r="F889" s="115">
        <v>16917</v>
      </c>
      <c r="G889" s="116">
        <v>390</v>
      </c>
      <c r="H889" s="1746" t="s">
        <v>101</v>
      </c>
      <c r="I889" s="104"/>
      <c r="J889" s="104" t="s">
        <v>25</v>
      </c>
      <c r="K889" s="104"/>
      <c r="L889" s="104"/>
      <c r="M889" s="104"/>
      <c r="N889" s="104"/>
      <c r="O889" s="111"/>
      <c r="Q889" s="104"/>
    </row>
    <row r="890" spans="1:17" ht="18.75" customHeight="1" x14ac:dyDescent="0.3">
      <c r="A890" s="104">
        <v>35</v>
      </c>
      <c r="B890" s="105" t="s">
        <v>187</v>
      </c>
      <c r="C890" s="129">
        <v>401</v>
      </c>
      <c r="D890" s="113">
        <v>46</v>
      </c>
      <c r="E890" s="114">
        <v>6129</v>
      </c>
      <c r="F890" s="115">
        <v>16917</v>
      </c>
      <c r="G890" s="116">
        <v>390</v>
      </c>
      <c r="H890" s="1746" t="s">
        <v>101</v>
      </c>
      <c r="I890" s="104"/>
      <c r="J890" s="104" t="s">
        <v>25</v>
      </c>
      <c r="K890" s="104"/>
      <c r="L890" s="104"/>
      <c r="M890" s="104"/>
      <c r="N890" s="104"/>
      <c r="O890" s="111" t="s">
        <v>188</v>
      </c>
      <c r="Q890" s="104"/>
    </row>
    <row r="891" spans="1:17" ht="18.75" customHeight="1" x14ac:dyDescent="0.3">
      <c r="A891" s="189">
        <v>36</v>
      </c>
      <c r="B891" s="105" t="s">
        <v>189</v>
      </c>
      <c r="C891" s="129">
        <v>401</v>
      </c>
      <c r="D891" s="113">
        <v>48</v>
      </c>
      <c r="E891" s="114">
        <v>7023</v>
      </c>
      <c r="F891" s="115">
        <v>17818</v>
      </c>
      <c r="G891" s="116">
        <v>1250</v>
      </c>
      <c r="H891" s="1746" t="s">
        <v>101</v>
      </c>
      <c r="I891" s="104"/>
      <c r="J891" s="104" t="s">
        <v>25</v>
      </c>
      <c r="K891" s="104"/>
      <c r="L891" s="104"/>
      <c r="M891" s="104"/>
      <c r="N891" s="104"/>
      <c r="O891" s="111" t="s">
        <v>115</v>
      </c>
      <c r="Q891" s="104"/>
    </row>
    <row r="892" spans="1:17" ht="18.75" customHeight="1" x14ac:dyDescent="0.3">
      <c r="A892" s="104">
        <v>37</v>
      </c>
      <c r="B892" s="105" t="s">
        <v>190</v>
      </c>
      <c r="C892" s="129">
        <v>401</v>
      </c>
      <c r="D892" s="113">
        <v>49</v>
      </c>
      <c r="E892" s="114">
        <v>9332</v>
      </c>
      <c r="F892" s="115">
        <v>18196</v>
      </c>
      <c r="G892" s="116">
        <v>800</v>
      </c>
      <c r="H892" s="142" t="s">
        <v>191</v>
      </c>
      <c r="I892" s="104" t="s">
        <v>25</v>
      </c>
      <c r="J892" s="104"/>
      <c r="K892" s="104"/>
      <c r="L892" s="104"/>
      <c r="M892" s="104"/>
      <c r="N892" s="104"/>
      <c r="O892" s="2303" t="s">
        <v>5911</v>
      </c>
      <c r="Q892" s="104" t="s">
        <v>25</v>
      </c>
    </row>
    <row r="893" spans="1:17" ht="18.75" customHeight="1" x14ac:dyDescent="0.3">
      <c r="A893" s="189">
        <v>38</v>
      </c>
      <c r="B893" s="105" t="s">
        <v>190</v>
      </c>
      <c r="C893" s="129">
        <v>401</v>
      </c>
      <c r="D893" s="113">
        <v>49</v>
      </c>
      <c r="E893" s="114">
        <v>9333</v>
      </c>
      <c r="F893" s="115">
        <v>18196</v>
      </c>
      <c r="G893" s="116">
        <v>800</v>
      </c>
      <c r="H893" s="142" t="s">
        <v>191</v>
      </c>
      <c r="I893" s="104" t="s">
        <v>25</v>
      </c>
      <c r="J893" s="104"/>
      <c r="K893" s="104"/>
      <c r="L893" s="104"/>
      <c r="M893" s="104"/>
      <c r="N893" s="104"/>
      <c r="O893" s="2303" t="s">
        <v>5909</v>
      </c>
      <c r="Q893" s="104" t="s">
        <v>25</v>
      </c>
    </row>
    <row r="894" spans="1:17" ht="18.75" customHeight="1" x14ac:dyDescent="0.3">
      <c r="A894" s="104">
        <v>39</v>
      </c>
      <c r="B894" s="105" t="s">
        <v>190</v>
      </c>
      <c r="C894" s="129">
        <v>401</v>
      </c>
      <c r="D894" s="113">
        <v>49</v>
      </c>
      <c r="E894" s="114">
        <v>9334</v>
      </c>
      <c r="F894" s="115">
        <v>18196</v>
      </c>
      <c r="G894" s="116">
        <v>800</v>
      </c>
      <c r="H894" s="142" t="s">
        <v>191</v>
      </c>
      <c r="I894" s="104" t="s">
        <v>25</v>
      </c>
      <c r="J894" s="104"/>
      <c r="K894" s="104"/>
      <c r="L894" s="104"/>
      <c r="M894" s="104"/>
      <c r="N894" s="104"/>
      <c r="O894" s="2303" t="s">
        <v>5909</v>
      </c>
      <c r="Q894" s="104" t="s">
        <v>25</v>
      </c>
    </row>
    <row r="895" spans="1:17" ht="18.75" customHeight="1" x14ac:dyDescent="0.3">
      <c r="A895" s="189">
        <v>40</v>
      </c>
      <c r="B895" s="105" t="s">
        <v>190</v>
      </c>
      <c r="C895" s="129">
        <v>401</v>
      </c>
      <c r="D895" s="113">
        <v>49</v>
      </c>
      <c r="E895" s="114">
        <v>9335</v>
      </c>
      <c r="F895" s="115">
        <v>18196</v>
      </c>
      <c r="G895" s="116">
        <v>800</v>
      </c>
      <c r="H895" s="142" t="s">
        <v>191</v>
      </c>
      <c r="I895" s="104" t="s">
        <v>25</v>
      </c>
      <c r="J895" s="104"/>
      <c r="K895" s="104"/>
      <c r="L895" s="104"/>
      <c r="M895" s="104"/>
      <c r="N895" s="104"/>
      <c r="O895" s="2303" t="s">
        <v>5909</v>
      </c>
      <c r="Q895" s="104" t="s">
        <v>25</v>
      </c>
    </row>
    <row r="896" spans="1:17" ht="18.75" customHeight="1" x14ac:dyDescent="0.3">
      <c r="A896" s="104">
        <v>41</v>
      </c>
      <c r="B896" s="105" t="s">
        <v>190</v>
      </c>
      <c r="C896" s="129">
        <v>401</v>
      </c>
      <c r="D896" s="113">
        <v>49</v>
      </c>
      <c r="E896" s="114">
        <v>9336</v>
      </c>
      <c r="F896" s="115">
        <v>18196</v>
      </c>
      <c r="G896" s="116">
        <v>800</v>
      </c>
      <c r="H896" s="142" t="s">
        <v>191</v>
      </c>
      <c r="I896" s="104" t="s">
        <v>25</v>
      </c>
      <c r="J896" s="104"/>
      <c r="K896" s="104"/>
      <c r="L896" s="104"/>
      <c r="M896" s="104"/>
      <c r="N896" s="104"/>
      <c r="O896" s="2303" t="s">
        <v>5909</v>
      </c>
      <c r="Q896" s="104" t="s">
        <v>25</v>
      </c>
    </row>
    <row r="897" spans="1:17" ht="18.75" customHeight="1" x14ac:dyDescent="0.3">
      <c r="A897" s="189">
        <v>42</v>
      </c>
      <c r="B897" s="105" t="s">
        <v>190</v>
      </c>
      <c r="C897" s="129">
        <v>401</v>
      </c>
      <c r="D897" s="113">
        <v>49</v>
      </c>
      <c r="E897" s="114">
        <v>9337</v>
      </c>
      <c r="F897" s="115">
        <v>18196</v>
      </c>
      <c r="G897" s="116">
        <v>800</v>
      </c>
      <c r="H897" s="142" t="s">
        <v>191</v>
      </c>
      <c r="I897" s="104" t="s">
        <v>25</v>
      </c>
      <c r="J897" s="104"/>
      <c r="K897" s="104"/>
      <c r="L897" s="104"/>
      <c r="M897" s="104"/>
      <c r="N897" s="104"/>
      <c r="O897" s="2303" t="s">
        <v>5909</v>
      </c>
      <c r="Q897" s="104" t="s">
        <v>25</v>
      </c>
    </row>
    <row r="898" spans="1:17" ht="18.75" customHeight="1" x14ac:dyDescent="0.3">
      <c r="A898" s="104">
        <v>43</v>
      </c>
      <c r="B898" s="105" t="s">
        <v>190</v>
      </c>
      <c r="C898" s="129">
        <v>401</v>
      </c>
      <c r="D898" s="113">
        <v>49</v>
      </c>
      <c r="E898" s="114">
        <v>9338</v>
      </c>
      <c r="F898" s="115">
        <v>18196</v>
      </c>
      <c r="G898" s="116">
        <v>800</v>
      </c>
      <c r="H898" s="142" t="s">
        <v>191</v>
      </c>
      <c r="I898" s="104" t="s">
        <v>25</v>
      </c>
      <c r="J898" s="104"/>
      <c r="K898" s="104"/>
      <c r="L898" s="104"/>
      <c r="M898" s="104"/>
      <c r="N898" s="104"/>
      <c r="O898" s="2303" t="s">
        <v>5909</v>
      </c>
      <c r="Q898" s="104" t="s">
        <v>25</v>
      </c>
    </row>
    <row r="899" spans="1:17" ht="18.75" customHeight="1" x14ac:dyDescent="0.3">
      <c r="A899" s="189">
        <v>44</v>
      </c>
      <c r="B899" s="105" t="s">
        <v>190</v>
      </c>
      <c r="C899" s="129">
        <v>401</v>
      </c>
      <c r="D899" s="113">
        <v>49</v>
      </c>
      <c r="E899" s="114">
        <v>9339</v>
      </c>
      <c r="F899" s="115">
        <v>18196</v>
      </c>
      <c r="G899" s="116">
        <v>800</v>
      </c>
      <c r="H899" s="142" t="s">
        <v>191</v>
      </c>
      <c r="I899" s="104" t="s">
        <v>25</v>
      </c>
      <c r="J899" s="104"/>
      <c r="K899" s="104"/>
      <c r="L899" s="104"/>
      <c r="M899" s="104"/>
      <c r="N899" s="104"/>
      <c r="O899" s="2303" t="s">
        <v>5909</v>
      </c>
      <c r="Q899" s="104" t="s">
        <v>25</v>
      </c>
    </row>
    <row r="900" spans="1:17" ht="18.75" customHeight="1" x14ac:dyDescent="0.3">
      <c r="A900" s="104">
        <v>45</v>
      </c>
      <c r="B900" s="105" t="s">
        <v>190</v>
      </c>
      <c r="C900" s="129">
        <v>401</v>
      </c>
      <c r="D900" s="113">
        <v>49</v>
      </c>
      <c r="E900" s="114">
        <v>9340</v>
      </c>
      <c r="F900" s="115">
        <v>18196</v>
      </c>
      <c r="G900" s="116">
        <v>800</v>
      </c>
      <c r="H900" s="142" t="s">
        <v>191</v>
      </c>
      <c r="I900" s="104" t="s">
        <v>25</v>
      </c>
      <c r="J900" s="104"/>
      <c r="K900" s="104"/>
      <c r="L900" s="104"/>
      <c r="M900" s="104"/>
      <c r="N900" s="104"/>
      <c r="O900" s="2303" t="s">
        <v>5911</v>
      </c>
      <c r="Q900" s="104" t="s">
        <v>25</v>
      </c>
    </row>
    <row r="901" spans="1:17" ht="18.75" customHeight="1" x14ac:dyDescent="0.3">
      <c r="A901" s="189">
        <v>46</v>
      </c>
      <c r="B901" s="105" t="s">
        <v>190</v>
      </c>
      <c r="C901" s="129">
        <v>401</v>
      </c>
      <c r="D901" s="113">
        <v>49</v>
      </c>
      <c r="E901" s="114">
        <v>9341</v>
      </c>
      <c r="F901" s="115">
        <v>18196</v>
      </c>
      <c r="G901" s="116">
        <v>800</v>
      </c>
      <c r="H901" s="142" t="s">
        <v>191</v>
      </c>
      <c r="I901" s="104" t="s">
        <v>25</v>
      </c>
      <c r="J901" s="104"/>
      <c r="K901" s="104"/>
      <c r="L901" s="104"/>
      <c r="M901" s="104"/>
      <c r="N901" s="104"/>
      <c r="O901" s="2303" t="s">
        <v>5909</v>
      </c>
      <c r="Q901" s="104" t="s">
        <v>25</v>
      </c>
    </row>
    <row r="902" spans="1:17" ht="18.75" customHeight="1" x14ac:dyDescent="0.3">
      <c r="A902" s="104">
        <v>47</v>
      </c>
      <c r="B902" s="105" t="s">
        <v>190</v>
      </c>
      <c r="C902" s="129">
        <v>401</v>
      </c>
      <c r="D902" s="113">
        <v>49</v>
      </c>
      <c r="E902" s="114">
        <v>9342</v>
      </c>
      <c r="F902" s="115">
        <v>18196</v>
      </c>
      <c r="G902" s="116">
        <v>800</v>
      </c>
      <c r="H902" s="142" t="s">
        <v>191</v>
      </c>
      <c r="I902" s="104" t="s">
        <v>25</v>
      </c>
      <c r="J902" s="104"/>
      <c r="K902" s="104"/>
      <c r="L902" s="104"/>
      <c r="M902" s="104"/>
      <c r="N902" s="104"/>
      <c r="O902" s="2303" t="s">
        <v>5909</v>
      </c>
      <c r="Q902" s="104" t="s">
        <v>25</v>
      </c>
    </row>
    <row r="903" spans="1:17" ht="18.75" customHeight="1" x14ac:dyDescent="0.3">
      <c r="A903" s="189">
        <v>48</v>
      </c>
      <c r="B903" s="105" t="s">
        <v>190</v>
      </c>
      <c r="C903" s="129">
        <v>401</v>
      </c>
      <c r="D903" s="113">
        <v>49</v>
      </c>
      <c r="E903" s="114">
        <v>9343</v>
      </c>
      <c r="F903" s="115">
        <v>18196</v>
      </c>
      <c r="G903" s="116">
        <v>800</v>
      </c>
      <c r="H903" s="142" t="s">
        <v>191</v>
      </c>
      <c r="I903" s="104" t="s">
        <v>25</v>
      </c>
      <c r="J903" s="104"/>
      <c r="K903" s="104"/>
      <c r="L903" s="104"/>
      <c r="M903" s="104"/>
      <c r="N903" s="104"/>
      <c r="O903" s="2303" t="s">
        <v>5909</v>
      </c>
      <c r="Q903" s="104" t="s">
        <v>25</v>
      </c>
    </row>
    <row r="904" spans="1:17" ht="18.75" customHeight="1" x14ac:dyDescent="0.3">
      <c r="A904" s="104">
        <v>49</v>
      </c>
      <c r="B904" s="105" t="s">
        <v>190</v>
      </c>
      <c r="C904" s="129">
        <v>401</v>
      </c>
      <c r="D904" s="113">
        <v>49</v>
      </c>
      <c r="E904" s="114">
        <v>9344</v>
      </c>
      <c r="F904" s="115">
        <v>18196</v>
      </c>
      <c r="G904" s="116">
        <v>800</v>
      </c>
      <c r="H904" s="142" t="s">
        <v>191</v>
      </c>
      <c r="I904" s="104" t="s">
        <v>25</v>
      </c>
      <c r="J904" s="104"/>
      <c r="K904" s="104"/>
      <c r="L904" s="104"/>
      <c r="M904" s="104"/>
      <c r="N904" s="104"/>
      <c r="O904" s="2303" t="s">
        <v>5909</v>
      </c>
      <c r="Q904" s="104" t="s">
        <v>25</v>
      </c>
    </row>
    <row r="905" spans="1:17" ht="18.75" customHeight="1" x14ac:dyDescent="0.3">
      <c r="A905" s="189">
        <v>50</v>
      </c>
      <c r="B905" s="105" t="s">
        <v>190</v>
      </c>
      <c r="C905" s="129">
        <v>401</v>
      </c>
      <c r="D905" s="113">
        <v>49</v>
      </c>
      <c r="E905" s="114">
        <v>9345</v>
      </c>
      <c r="F905" s="115">
        <v>18196</v>
      </c>
      <c r="G905" s="116">
        <v>800</v>
      </c>
      <c r="H905" s="142" t="s">
        <v>191</v>
      </c>
      <c r="I905" s="104" t="s">
        <v>25</v>
      </c>
      <c r="J905" s="104"/>
      <c r="K905" s="104"/>
      <c r="L905" s="104"/>
      <c r="M905" s="104"/>
      <c r="N905" s="104"/>
      <c r="O905" s="2303" t="s">
        <v>5909</v>
      </c>
      <c r="Q905" s="104" t="s">
        <v>25</v>
      </c>
    </row>
    <row r="906" spans="1:17" ht="18.75" customHeight="1" x14ac:dyDescent="0.3">
      <c r="A906" s="104">
        <v>51</v>
      </c>
      <c r="B906" s="105" t="s">
        <v>190</v>
      </c>
      <c r="C906" s="129">
        <v>401</v>
      </c>
      <c r="D906" s="113">
        <v>49</v>
      </c>
      <c r="E906" s="114">
        <v>9346</v>
      </c>
      <c r="F906" s="115">
        <v>18196</v>
      </c>
      <c r="G906" s="116">
        <v>800</v>
      </c>
      <c r="H906" s="142" t="s">
        <v>191</v>
      </c>
      <c r="I906" s="104"/>
      <c r="J906" s="104" t="s">
        <v>25</v>
      </c>
      <c r="K906" s="104"/>
      <c r="L906" s="104"/>
      <c r="M906" s="104"/>
      <c r="N906" s="104"/>
      <c r="O906" s="2303" t="s">
        <v>5909</v>
      </c>
      <c r="Q906" s="104"/>
    </row>
    <row r="907" spans="1:17" ht="18.75" customHeight="1" x14ac:dyDescent="0.3">
      <c r="A907" s="189">
        <v>52</v>
      </c>
      <c r="B907" s="105" t="s">
        <v>190</v>
      </c>
      <c r="C907" s="129">
        <v>401</v>
      </c>
      <c r="D907" s="113">
        <v>49</v>
      </c>
      <c r="E907" s="114">
        <v>9347</v>
      </c>
      <c r="F907" s="115">
        <v>18196</v>
      </c>
      <c r="G907" s="116">
        <v>800</v>
      </c>
      <c r="H907" s="142" t="s">
        <v>191</v>
      </c>
      <c r="I907" s="104" t="s">
        <v>25</v>
      </c>
      <c r="J907" s="104"/>
      <c r="K907" s="104"/>
      <c r="L907" s="104"/>
      <c r="M907" s="104"/>
      <c r="N907" s="104"/>
      <c r="O907" s="2303" t="s">
        <v>5909</v>
      </c>
      <c r="Q907" s="104" t="s">
        <v>25</v>
      </c>
    </row>
    <row r="908" spans="1:17" ht="18.75" customHeight="1" x14ac:dyDescent="0.3">
      <c r="A908" s="104">
        <v>53</v>
      </c>
      <c r="B908" s="105" t="s">
        <v>190</v>
      </c>
      <c r="C908" s="129">
        <v>401</v>
      </c>
      <c r="D908" s="113">
        <v>49</v>
      </c>
      <c r="E908" s="114">
        <v>9348</v>
      </c>
      <c r="F908" s="115">
        <v>18196</v>
      </c>
      <c r="G908" s="116">
        <v>800</v>
      </c>
      <c r="H908" s="142" t="s">
        <v>191</v>
      </c>
      <c r="I908" s="104" t="s">
        <v>25</v>
      </c>
      <c r="J908" s="104"/>
      <c r="K908" s="104"/>
      <c r="L908" s="104"/>
      <c r="M908" s="104"/>
      <c r="N908" s="104"/>
      <c r="O908" s="2303" t="s">
        <v>5909</v>
      </c>
      <c r="Q908" s="104" t="s">
        <v>25</v>
      </c>
    </row>
    <row r="909" spans="1:17" ht="18.75" customHeight="1" x14ac:dyDescent="0.3">
      <c r="A909" s="189">
        <v>54</v>
      </c>
      <c r="B909" s="105" t="s">
        <v>190</v>
      </c>
      <c r="C909" s="129">
        <v>401</v>
      </c>
      <c r="D909" s="113">
        <v>49</v>
      </c>
      <c r="E909" s="114">
        <v>9349</v>
      </c>
      <c r="F909" s="115">
        <v>18196</v>
      </c>
      <c r="G909" s="116">
        <v>800</v>
      </c>
      <c r="H909" s="142" t="s">
        <v>191</v>
      </c>
      <c r="I909" s="104" t="s">
        <v>25</v>
      </c>
      <c r="J909" s="104"/>
      <c r="K909" s="104"/>
      <c r="L909" s="104"/>
      <c r="M909" s="104"/>
      <c r="N909" s="104"/>
      <c r="O909" s="2303" t="s">
        <v>5909</v>
      </c>
      <c r="Q909" s="104" t="s">
        <v>25</v>
      </c>
    </row>
    <row r="910" spans="1:17" ht="18.75" customHeight="1" x14ac:dyDescent="0.3">
      <c r="A910" s="104">
        <v>55</v>
      </c>
      <c r="B910" s="105" t="s">
        <v>190</v>
      </c>
      <c r="C910" s="129">
        <v>401</v>
      </c>
      <c r="D910" s="113">
        <v>49</v>
      </c>
      <c r="E910" s="114">
        <v>9350</v>
      </c>
      <c r="F910" s="115">
        <v>18196</v>
      </c>
      <c r="G910" s="116">
        <v>800</v>
      </c>
      <c r="H910" s="142" t="s">
        <v>191</v>
      </c>
      <c r="I910" s="104" t="s">
        <v>25</v>
      </c>
      <c r="J910" s="104"/>
      <c r="K910" s="104"/>
      <c r="L910" s="104"/>
      <c r="M910" s="104"/>
      <c r="N910" s="104"/>
      <c r="O910" s="2303" t="s">
        <v>5909</v>
      </c>
      <c r="Q910" s="104" t="s">
        <v>25</v>
      </c>
    </row>
    <row r="911" spans="1:17" ht="18.75" customHeight="1" x14ac:dyDescent="0.3">
      <c r="A911" s="189">
        <v>56</v>
      </c>
      <c r="B911" s="105" t="s">
        <v>192</v>
      </c>
      <c r="C911" s="129">
        <v>401</v>
      </c>
      <c r="D911" s="113">
        <v>49</v>
      </c>
      <c r="E911" s="114">
        <v>9351</v>
      </c>
      <c r="F911" s="115">
        <v>18196</v>
      </c>
      <c r="G911" s="116">
        <v>1200</v>
      </c>
      <c r="H911" s="142" t="s">
        <v>191</v>
      </c>
      <c r="I911" s="104" t="s">
        <v>25</v>
      </c>
      <c r="J911" s="104"/>
      <c r="K911" s="104"/>
      <c r="L911" s="104"/>
      <c r="M911" s="104"/>
      <c r="N911" s="104"/>
      <c r="O911" s="2303" t="s">
        <v>5909</v>
      </c>
      <c r="Q911" s="104" t="s">
        <v>25</v>
      </c>
    </row>
    <row r="912" spans="1:17" ht="18.75" customHeight="1" x14ac:dyDescent="0.3">
      <c r="A912" s="104">
        <v>57</v>
      </c>
      <c r="B912" s="105" t="s">
        <v>193</v>
      </c>
      <c r="C912" s="129">
        <v>401</v>
      </c>
      <c r="D912" s="113">
        <v>59</v>
      </c>
      <c r="E912" s="114">
        <v>8171</v>
      </c>
      <c r="F912" s="115">
        <v>240764</v>
      </c>
      <c r="G912" s="116">
        <v>350</v>
      </c>
      <c r="H912" s="1731" t="s">
        <v>41</v>
      </c>
      <c r="I912" s="104"/>
      <c r="J912" s="104"/>
      <c r="K912" s="104" t="s">
        <v>25</v>
      </c>
      <c r="L912" s="104"/>
      <c r="M912" s="104"/>
      <c r="N912" s="104"/>
      <c r="O912" s="2621" t="s">
        <v>6395</v>
      </c>
      <c r="Q912" s="104"/>
    </row>
    <row r="913" spans="1:17" ht="18.75" customHeight="1" x14ac:dyDescent="0.3">
      <c r="A913" s="189">
        <v>58</v>
      </c>
      <c r="B913" s="105" t="s">
        <v>193</v>
      </c>
      <c r="C913" s="129">
        <v>401</v>
      </c>
      <c r="D913" s="113">
        <v>59</v>
      </c>
      <c r="E913" s="114">
        <v>8172</v>
      </c>
      <c r="F913" s="115">
        <v>240764</v>
      </c>
      <c r="G913" s="116">
        <v>350</v>
      </c>
      <c r="H913" s="1731" t="s">
        <v>41</v>
      </c>
      <c r="I913" s="104"/>
      <c r="J913" s="104"/>
      <c r="K913" s="104" t="s">
        <v>25</v>
      </c>
      <c r="L913" s="104"/>
      <c r="M913" s="104"/>
      <c r="N913" s="104"/>
      <c r="O913" s="2621" t="s">
        <v>6395</v>
      </c>
      <c r="Q913" s="104"/>
    </row>
    <row r="914" spans="1:17" ht="18.75" customHeight="1" x14ac:dyDescent="0.3">
      <c r="A914" s="104">
        <v>59</v>
      </c>
      <c r="B914" s="105" t="s">
        <v>193</v>
      </c>
      <c r="C914" s="129">
        <v>401</v>
      </c>
      <c r="D914" s="113">
        <v>59</v>
      </c>
      <c r="E914" s="114">
        <v>8173</v>
      </c>
      <c r="F914" s="115">
        <v>240764</v>
      </c>
      <c r="G914" s="116">
        <v>350</v>
      </c>
      <c r="H914" s="1731" t="s">
        <v>41</v>
      </c>
      <c r="I914" s="104"/>
      <c r="J914" s="104"/>
      <c r="K914" s="104" t="s">
        <v>25</v>
      </c>
      <c r="L914" s="104"/>
      <c r="M914" s="104"/>
      <c r="N914" s="104"/>
      <c r="O914" s="2621" t="s">
        <v>6395</v>
      </c>
      <c r="Q914" s="104"/>
    </row>
    <row r="915" spans="1:17" ht="18.75" customHeight="1" x14ac:dyDescent="0.3">
      <c r="A915" s="189">
        <v>60</v>
      </c>
      <c r="B915" s="105" t="s">
        <v>193</v>
      </c>
      <c r="C915" s="129">
        <v>401</v>
      </c>
      <c r="D915" s="125">
        <v>59</v>
      </c>
      <c r="E915" s="114">
        <v>8174</v>
      </c>
      <c r="F915" s="115">
        <v>240764</v>
      </c>
      <c r="G915" s="116">
        <v>350</v>
      </c>
      <c r="H915" s="1731" t="s">
        <v>41</v>
      </c>
      <c r="I915" s="104"/>
      <c r="J915" s="104"/>
      <c r="K915" s="104" t="s">
        <v>25</v>
      </c>
      <c r="L915" s="104"/>
      <c r="M915" s="104"/>
      <c r="N915" s="104"/>
      <c r="O915" s="2621" t="s">
        <v>6395</v>
      </c>
      <c r="Q915" s="104"/>
    </row>
    <row r="916" spans="1:17" ht="18.75" customHeight="1" x14ac:dyDescent="0.3">
      <c r="A916" s="104">
        <v>61</v>
      </c>
      <c r="B916" s="105" t="s">
        <v>193</v>
      </c>
      <c r="C916" s="129">
        <v>401</v>
      </c>
      <c r="D916" s="128">
        <v>59</v>
      </c>
      <c r="E916" s="114">
        <v>8175</v>
      </c>
      <c r="F916" s="115">
        <v>240764</v>
      </c>
      <c r="G916" s="116">
        <v>350</v>
      </c>
      <c r="H916" s="1731" t="s">
        <v>41</v>
      </c>
      <c r="I916" s="104"/>
      <c r="J916" s="104"/>
      <c r="K916" s="104" t="s">
        <v>25</v>
      </c>
      <c r="L916" s="104"/>
      <c r="M916" s="104"/>
      <c r="N916" s="104"/>
      <c r="O916" s="2621" t="s">
        <v>6395</v>
      </c>
      <c r="Q916" s="104"/>
    </row>
    <row r="917" spans="1:17" ht="18.75" customHeight="1" x14ac:dyDescent="0.3">
      <c r="A917" s="189">
        <v>62</v>
      </c>
      <c r="B917" s="105" t="s">
        <v>193</v>
      </c>
      <c r="C917" s="129">
        <v>401</v>
      </c>
      <c r="D917" s="113">
        <v>59</v>
      </c>
      <c r="E917" s="114">
        <v>8176</v>
      </c>
      <c r="F917" s="115">
        <v>240764</v>
      </c>
      <c r="G917" s="116">
        <v>350</v>
      </c>
      <c r="H917" s="1731" t="s">
        <v>41</v>
      </c>
      <c r="I917" s="104"/>
      <c r="J917" s="104"/>
      <c r="K917" s="104" t="s">
        <v>25</v>
      </c>
      <c r="L917" s="104"/>
      <c r="M917" s="104"/>
      <c r="N917" s="104"/>
      <c r="O917" s="2621" t="s">
        <v>6395</v>
      </c>
      <c r="Q917" s="104"/>
    </row>
    <row r="918" spans="1:17" ht="18.75" customHeight="1" x14ac:dyDescent="0.3">
      <c r="A918" s="104">
        <v>63</v>
      </c>
      <c r="B918" s="105" t="s">
        <v>193</v>
      </c>
      <c r="C918" s="129">
        <v>401</v>
      </c>
      <c r="D918" s="113">
        <v>59</v>
      </c>
      <c r="E918" s="114">
        <v>8177</v>
      </c>
      <c r="F918" s="115">
        <v>240764</v>
      </c>
      <c r="G918" s="116">
        <v>350</v>
      </c>
      <c r="H918" s="1731" t="s">
        <v>41</v>
      </c>
      <c r="I918" s="104"/>
      <c r="J918" s="104"/>
      <c r="K918" s="104" t="s">
        <v>25</v>
      </c>
      <c r="L918" s="104"/>
      <c r="M918" s="104"/>
      <c r="N918" s="104"/>
      <c r="O918" s="2621" t="s">
        <v>6395</v>
      </c>
      <c r="Q918" s="104"/>
    </row>
    <row r="919" spans="1:17" ht="18.75" customHeight="1" x14ac:dyDescent="0.3">
      <c r="A919" s="189">
        <v>64</v>
      </c>
      <c r="B919" s="105" t="s">
        <v>193</v>
      </c>
      <c r="C919" s="129">
        <v>401</v>
      </c>
      <c r="D919" s="113">
        <v>59</v>
      </c>
      <c r="E919" s="114">
        <v>8178</v>
      </c>
      <c r="F919" s="115">
        <v>240764</v>
      </c>
      <c r="G919" s="116">
        <v>350</v>
      </c>
      <c r="H919" s="1731" t="s">
        <v>41</v>
      </c>
      <c r="I919" s="104"/>
      <c r="J919" s="104"/>
      <c r="K919" s="104" t="s">
        <v>25</v>
      </c>
      <c r="L919" s="104"/>
      <c r="M919" s="104"/>
      <c r="N919" s="104"/>
      <c r="O919" s="2621" t="s">
        <v>6395</v>
      </c>
      <c r="Q919" s="104"/>
    </row>
    <row r="920" spans="1:17" ht="18.75" customHeight="1" x14ac:dyDescent="0.3">
      <c r="A920" s="104">
        <v>65</v>
      </c>
      <c r="B920" s="105" t="s">
        <v>193</v>
      </c>
      <c r="C920" s="129">
        <v>401</v>
      </c>
      <c r="D920" s="113">
        <v>59</v>
      </c>
      <c r="E920" s="114">
        <v>8179</v>
      </c>
      <c r="F920" s="115">
        <v>240764</v>
      </c>
      <c r="G920" s="116">
        <v>350</v>
      </c>
      <c r="H920" s="1731" t="s">
        <v>41</v>
      </c>
      <c r="I920" s="104"/>
      <c r="J920" s="104"/>
      <c r="K920" s="104" t="s">
        <v>25</v>
      </c>
      <c r="L920" s="104"/>
      <c r="M920" s="104"/>
      <c r="N920" s="104"/>
      <c r="O920" s="2621" t="s">
        <v>6395</v>
      </c>
      <c r="Q920" s="104"/>
    </row>
    <row r="921" spans="1:17" ht="18.75" customHeight="1" x14ac:dyDescent="0.3">
      <c r="A921" s="189">
        <v>66</v>
      </c>
      <c r="B921" s="105" t="s">
        <v>193</v>
      </c>
      <c r="C921" s="129">
        <v>401</v>
      </c>
      <c r="D921" s="125">
        <v>59</v>
      </c>
      <c r="E921" s="114">
        <v>8180</v>
      </c>
      <c r="F921" s="115">
        <v>240764</v>
      </c>
      <c r="G921" s="116">
        <v>350</v>
      </c>
      <c r="H921" s="1731" t="s">
        <v>41</v>
      </c>
      <c r="I921" s="104"/>
      <c r="J921" s="104"/>
      <c r="K921" s="104" t="s">
        <v>25</v>
      </c>
      <c r="L921" s="104"/>
      <c r="M921" s="104"/>
      <c r="N921" s="104"/>
      <c r="O921" s="2621" t="s">
        <v>6395</v>
      </c>
      <c r="Q921" s="104"/>
    </row>
    <row r="922" spans="1:17" ht="18.75" customHeight="1" x14ac:dyDescent="0.3">
      <c r="A922" s="104">
        <v>67</v>
      </c>
      <c r="B922" s="105" t="s">
        <v>193</v>
      </c>
      <c r="C922" s="129">
        <v>401</v>
      </c>
      <c r="D922" s="128">
        <v>59</v>
      </c>
      <c r="E922" s="114">
        <v>8181</v>
      </c>
      <c r="F922" s="115">
        <v>240764</v>
      </c>
      <c r="G922" s="116">
        <v>350</v>
      </c>
      <c r="H922" s="1731" t="s">
        <v>41</v>
      </c>
      <c r="I922" s="104"/>
      <c r="J922" s="104"/>
      <c r="K922" s="104" t="s">
        <v>25</v>
      </c>
      <c r="L922" s="104"/>
      <c r="M922" s="104"/>
      <c r="N922" s="104"/>
      <c r="O922" s="2621" t="s">
        <v>6395</v>
      </c>
      <c r="Q922" s="104"/>
    </row>
    <row r="923" spans="1:17" ht="18.75" customHeight="1" x14ac:dyDescent="0.3">
      <c r="A923" s="189">
        <v>68</v>
      </c>
      <c r="B923" s="105" t="s">
        <v>193</v>
      </c>
      <c r="C923" s="129">
        <v>401</v>
      </c>
      <c r="D923" s="113">
        <v>59</v>
      </c>
      <c r="E923" s="114">
        <v>8182</v>
      </c>
      <c r="F923" s="115">
        <v>240764</v>
      </c>
      <c r="G923" s="116">
        <v>350</v>
      </c>
      <c r="H923" s="1731" t="s">
        <v>41</v>
      </c>
      <c r="I923" s="104"/>
      <c r="J923" s="104"/>
      <c r="K923" s="104" t="s">
        <v>25</v>
      </c>
      <c r="L923" s="104"/>
      <c r="M923" s="104"/>
      <c r="N923" s="104"/>
      <c r="O923" s="2621" t="s">
        <v>6395</v>
      </c>
      <c r="Q923" s="104"/>
    </row>
    <row r="924" spans="1:17" ht="18.75" customHeight="1" x14ac:dyDescent="0.3">
      <c r="A924" s="104">
        <v>69</v>
      </c>
      <c r="B924" s="105" t="s">
        <v>193</v>
      </c>
      <c r="C924" s="129">
        <v>401</v>
      </c>
      <c r="D924" s="113">
        <v>59</v>
      </c>
      <c r="E924" s="114">
        <v>8183</v>
      </c>
      <c r="F924" s="115">
        <v>240764</v>
      </c>
      <c r="G924" s="116">
        <v>350</v>
      </c>
      <c r="H924" s="1731" t="s">
        <v>41</v>
      </c>
      <c r="I924" s="104"/>
      <c r="J924" s="104"/>
      <c r="K924" s="104" t="s">
        <v>25</v>
      </c>
      <c r="L924" s="104"/>
      <c r="M924" s="104"/>
      <c r="N924" s="104"/>
      <c r="O924" s="2621" t="s">
        <v>6395</v>
      </c>
      <c r="Q924" s="104"/>
    </row>
    <row r="925" spans="1:17" ht="18.75" customHeight="1" x14ac:dyDescent="0.3">
      <c r="A925" s="189">
        <v>70</v>
      </c>
      <c r="B925" s="105" t="s">
        <v>193</v>
      </c>
      <c r="C925" s="129">
        <v>401</v>
      </c>
      <c r="D925" s="113">
        <v>59</v>
      </c>
      <c r="E925" s="114">
        <v>8184</v>
      </c>
      <c r="F925" s="115">
        <v>240764</v>
      </c>
      <c r="G925" s="116">
        <v>350</v>
      </c>
      <c r="H925" s="1731" t="s">
        <v>41</v>
      </c>
      <c r="I925" s="104"/>
      <c r="J925" s="104"/>
      <c r="K925" s="104" t="s">
        <v>25</v>
      </c>
      <c r="L925" s="104"/>
      <c r="M925" s="104"/>
      <c r="N925" s="104"/>
      <c r="O925" s="2621" t="s">
        <v>6395</v>
      </c>
      <c r="Q925" s="104"/>
    </row>
    <row r="926" spans="1:17" ht="18.75" customHeight="1" x14ac:dyDescent="0.3">
      <c r="A926" s="104">
        <v>71</v>
      </c>
      <c r="B926" s="105" t="s">
        <v>193</v>
      </c>
      <c r="C926" s="129">
        <v>401</v>
      </c>
      <c r="D926" s="113">
        <v>59</v>
      </c>
      <c r="E926" s="114">
        <v>8185</v>
      </c>
      <c r="F926" s="115">
        <v>240764</v>
      </c>
      <c r="G926" s="116">
        <v>350</v>
      </c>
      <c r="H926" s="1731" t="s">
        <v>41</v>
      </c>
      <c r="I926" s="104"/>
      <c r="J926" s="104"/>
      <c r="K926" s="104" t="s">
        <v>25</v>
      </c>
      <c r="L926" s="104"/>
      <c r="M926" s="104"/>
      <c r="N926" s="104"/>
      <c r="O926" s="2621" t="s">
        <v>6395</v>
      </c>
      <c r="Q926" s="104"/>
    </row>
    <row r="927" spans="1:17" ht="18.75" customHeight="1" x14ac:dyDescent="0.3">
      <c r="A927" s="189">
        <v>72</v>
      </c>
      <c r="B927" s="105" t="s">
        <v>193</v>
      </c>
      <c r="C927" s="129">
        <v>401</v>
      </c>
      <c r="D927" s="113">
        <v>59</v>
      </c>
      <c r="E927" s="114">
        <v>8186</v>
      </c>
      <c r="F927" s="115">
        <v>240764</v>
      </c>
      <c r="G927" s="116">
        <v>350</v>
      </c>
      <c r="H927" s="1731" t="s">
        <v>41</v>
      </c>
      <c r="I927" s="104"/>
      <c r="J927" s="104"/>
      <c r="K927" s="104" t="s">
        <v>25</v>
      </c>
      <c r="L927" s="104"/>
      <c r="M927" s="104"/>
      <c r="N927" s="104"/>
      <c r="O927" s="2621" t="s">
        <v>6395</v>
      </c>
      <c r="Q927" s="104"/>
    </row>
    <row r="928" spans="1:17" ht="18.75" customHeight="1" x14ac:dyDescent="0.3">
      <c r="A928" s="104">
        <v>73</v>
      </c>
      <c r="B928" s="105" t="s">
        <v>193</v>
      </c>
      <c r="C928" s="129">
        <v>401</v>
      </c>
      <c r="D928" s="113">
        <v>59</v>
      </c>
      <c r="E928" s="114">
        <v>8187</v>
      </c>
      <c r="F928" s="115">
        <v>240764</v>
      </c>
      <c r="G928" s="116">
        <v>350</v>
      </c>
      <c r="H928" s="1731" t="s">
        <v>41</v>
      </c>
      <c r="I928" s="104"/>
      <c r="J928" s="104"/>
      <c r="K928" s="104" t="s">
        <v>25</v>
      </c>
      <c r="L928" s="104"/>
      <c r="M928" s="104"/>
      <c r="N928" s="104"/>
      <c r="O928" s="2621" t="s">
        <v>6395</v>
      </c>
      <c r="Q928" s="104"/>
    </row>
    <row r="929" spans="1:17" ht="18.75" customHeight="1" x14ac:dyDescent="0.3">
      <c r="A929" s="189">
        <v>74</v>
      </c>
      <c r="B929" s="105" t="s">
        <v>193</v>
      </c>
      <c r="C929" s="129">
        <v>401</v>
      </c>
      <c r="D929" s="113">
        <v>59</v>
      </c>
      <c r="E929" s="114">
        <v>8188</v>
      </c>
      <c r="F929" s="115">
        <v>240764</v>
      </c>
      <c r="G929" s="116">
        <v>350</v>
      </c>
      <c r="H929" s="1731" t="s">
        <v>41</v>
      </c>
      <c r="I929" s="104"/>
      <c r="J929" s="104"/>
      <c r="K929" s="104" t="s">
        <v>25</v>
      </c>
      <c r="L929" s="104"/>
      <c r="M929" s="104"/>
      <c r="N929" s="104"/>
      <c r="O929" s="2621" t="s">
        <v>6395</v>
      </c>
      <c r="Q929" s="104"/>
    </row>
    <row r="930" spans="1:17" ht="18.75" customHeight="1" x14ac:dyDescent="0.3">
      <c r="A930" s="104">
        <v>75</v>
      </c>
      <c r="B930" s="105" t="s">
        <v>193</v>
      </c>
      <c r="C930" s="129">
        <v>401</v>
      </c>
      <c r="D930" s="113">
        <v>59</v>
      </c>
      <c r="E930" s="114">
        <v>8189</v>
      </c>
      <c r="F930" s="115">
        <v>240764</v>
      </c>
      <c r="G930" s="116">
        <v>350</v>
      </c>
      <c r="H930" s="1731" t="s">
        <v>41</v>
      </c>
      <c r="I930" s="104"/>
      <c r="J930" s="104"/>
      <c r="K930" s="104" t="s">
        <v>25</v>
      </c>
      <c r="L930" s="104"/>
      <c r="M930" s="104"/>
      <c r="N930" s="104"/>
      <c r="O930" s="2621" t="s">
        <v>6395</v>
      </c>
      <c r="Q930" s="104"/>
    </row>
    <row r="931" spans="1:17" ht="18.75" customHeight="1" x14ac:dyDescent="0.3">
      <c r="A931" s="189">
        <v>76</v>
      </c>
      <c r="B931" s="105" t="s">
        <v>193</v>
      </c>
      <c r="C931" s="129">
        <v>401</v>
      </c>
      <c r="D931" s="113">
        <v>59</v>
      </c>
      <c r="E931" s="114">
        <v>8190</v>
      </c>
      <c r="F931" s="115">
        <v>240764</v>
      </c>
      <c r="G931" s="116">
        <v>350</v>
      </c>
      <c r="H931" s="1731" t="s">
        <v>41</v>
      </c>
      <c r="I931" s="104"/>
      <c r="J931" s="104"/>
      <c r="K931" s="104" t="s">
        <v>25</v>
      </c>
      <c r="L931" s="104"/>
      <c r="M931" s="104"/>
      <c r="N931" s="104"/>
      <c r="O931" s="2621" t="s">
        <v>6395</v>
      </c>
      <c r="Q931" s="104"/>
    </row>
    <row r="932" spans="1:17" ht="18.75" customHeight="1" x14ac:dyDescent="0.3">
      <c r="A932" s="104">
        <v>77</v>
      </c>
      <c r="B932" s="105" t="s">
        <v>193</v>
      </c>
      <c r="C932" s="129">
        <v>401</v>
      </c>
      <c r="D932" s="113">
        <v>59</v>
      </c>
      <c r="E932" s="114">
        <v>8191</v>
      </c>
      <c r="F932" s="115">
        <v>240764</v>
      </c>
      <c r="G932" s="116">
        <v>350</v>
      </c>
      <c r="H932" s="1731" t="s">
        <v>41</v>
      </c>
      <c r="I932" s="104"/>
      <c r="J932" s="104"/>
      <c r="K932" s="104" t="s">
        <v>25</v>
      </c>
      <c r="L932" s="104"/>
      <c r="M932" s="104"/>
      <c r="N932" s="104"/>
      <c r="O932" s="2621" t="s">
        <v>6395</v>
      </c>
      <c r="Q932" s="104"/>
    </row>
    <row r="933" spans="1:17" ht="18.75" customHeight="1" x14ac:dyDescent="0.3">
      <c r="A933" s="189">
        <v>78</v>
      </c>
      <c r="B933" s="105" t="s">
        <v>193</v>
      </c>
      <c r="C933" s="129">
        <v>401</v>
      </c>
      <c r="D933" s="113">
        <v>59</v>
      </c>
      <c r="E933" s="114">
        <v>8192</v>
      </c>
      <c r="F933" s="115">
        <v>240764</v>
      </c>
      <c r="G933" s="116">
        <v>350</v>
      </c>
      <c r="H933" s="1731" t="s">
        <v>41</v>
      </c>
      <c r="I933" s="104"/>
      <c r="J933" s="104"/>
      <c r="K933" s="104" t="s">
        <v>25</v>
      </c>
      <c r="L933" s="104"/>
      <c r="M933" s="104"/>
      <c r="N933" s="104"/>
      <c r="O933" s="2621" t="s">
        <v>6395</v>
      </c>
      <c r="Q933" s="104"/>
    </row>
    <row r="934" spans="1:17" ht="18.75" customHeight="1" x14ac:dyDescent="0.3">
      <c r="A934" s="104">
        <v>79</v>
      </c>
      <c r="B934" s="105" t="s">
        <v>193</v>
      </c>
      <c r="C934" s="129">
        <v>401</v>
      </c>
      <c r="D934" s="113">
        <v>59</v>
      </c>
      <c r="E934" s="114">
        <v>8193</v>
      </c>
      <c r="F934" s="115">
        <v>240764</v>
      </c>
      <c r="G934" s="116">
        <v>350</v>
      </c>
      <c r="H934" s="1731" t="s">
        <v>41</v>
      </c>
      <c r="I934" s="104"/>
      <c r="J934" s="104"/>
      <c r="K934" s="104" t="s">
        <v>25</v>
      </c>
      <c r="L934" s="104"/>
      <c r="M934" s="104"/>
      <c r="N934" s="104"/>
      <c r="O934" s="2621" t="s">
        <v>6395</v>
      </c>
      <c r="Q934" s="104"/>
    </row>
    <row r="935" spans="1:17" ht="18.75" customHeight="1" x14ac:dyDescent="0.3">
      <c r="A935" s="189">
        <v>80</v>
      </c>
      <c r="B935" s="105" t="s">
        <v>193</v>
      </c>
      <c r="C935" s="129">
        <v>401</v>
      </c>
      <c r="D935" s="113">
        <v>59</v>
      </c>
      <c r="E935" s="114">
        <v>8194</v>
      </c>
      <c r="F935" s="115">
        <v>240764</v>
      </c>
      <c r="G935" s="116">
        <v>350</v>
      </c>
      <c r="H935" s="1731" t="s">
        <v>41</v>
      </c>
      <c r="I935" s="104"/>
      <c r="J935" s="104"/>
      <c r="K935" s="104" t="s">
        <v>25</v>
      </c>
      <c r="L935" s="104"/>
      <c r="M935" s="104"/>
      <c r="N935" s="104"/>
      <c r="O935" s="2621" t="s">
        <v>6395</v>
      </c>
      <c r="Q935" s="104"/>
    </row>
    <row r="936" spans="1:17" ht="18.75" customHeight="1" x14ac:dyDescent="0.3">
      <c r="A936" s="104">
        <v>81</v>
      </c>
      <c r="B936" s="105" t="s">
        <v>193</v>
      </c>
      <c r="C936" s="129">
        <v>401</v>
      </c>
      <c r="D936" s="125">
        <v>59</v>
      </c>
      <c r="E936" s="114">
        <v>8195</v>
      </c>
      <c r="F936" s="115">
        <v>240764</v>
      </c>
      <c r="G936" s="116">
        <v>350</v>
      </c>
      <c r="H936" s="1731" t="s">
        <v>41</v>
      </c>
      <c r="I936" s="118"/>
      <c r="J936" s="192"/>
      <c r="K936" s="104" t="s">
        <v>25</v>
      </c>
      <c r="L936" s="192"/>
      <c r="M936" s="192"/>
      <c r="N936" s="192"/>
      <c r="O936" s="2621" t="s">
        <v>6395</v>
      </c>
      <c r="Q936" s="118"/>
    </row>
    <row r="937" spans="1:17" ht="18.75" customHeight="1" x14ac:dyDescent="0.3">
      <c r="A937" s="189">
        <v>82</v>
      </c>
      <c r="B937" s="105" t="s">
        <v>193</v>
      </c>
      <c r="C937" s="129">
        <v>401</v>
      </c>
      <c r="D937" s="149">
        <v>59</v>
      </c>
      <c r="E937" s="114">
        <v>8196</v>
      </c>
      <c r="F937" s="115">
        <v>240764</v>
      </c>
      <c r="G937" s="116">
        <v>350</v>
      </c>
      <c r="H937" s="1731" t="s">
        <v>41</v>
      </c>
      <c r="I937" s="118"/>
      <c r="J937" s="192"/>
      <c r="K937" s="104" t="s">
        <v>25</v>
      </c>
      <c r="L937" s="192"/>
      <c r="M937" s="192"/>
      <c r="N937" s="192"/>
      <c r="O937" s="2621" t="s">
        <v>6395</v>
      </c>
      <c r="Q937" s="118"/>
    </row>
    <row r="938" spans="1:17" ht="18.75" customHeight="1" x14ac:dyDescent="0.3">
      <c r="A938" s="104">
        <v>83</v>
      </c>
      <c r="B938" s="105" t="s">
        <v>193</v>
      </c>
      <c r="C938" s="129">
        <v>401</v>
      </c>
      <c r="D938" s="113">
        <v>59</v>
      </c>
      <c r="E938" s="114">
        <v>8197</v>
      </c>
      <c r="F938" s="115">
        <v>240764</v>
      </c>
      <c r="G938" s="116">
        <v>350</v>
      </c>
      <c r="H938" s="1731" t="s">
        <v>41</v>
      </c>
      <c r="I938" s="118"/>
      <c r="J938" s="192"/>
      <c r="K938" s="104" t="s">
        <v>25</v>
      </c>
      <c r="L938" s="192"/>
      <c r="M938" s="192"/>
      <c r="N938" s="192"/>
      <c r="O938" s="2621" t="s">
        <v>6395</v>
      </c>
      <c r="Q938" s="118"/>
    </row>
    <row r="939" spans="1:17" ht="18.75" customHeight="1" x14ac:dyDescent="0.3">
      <c r="A939" s="189">
        <v>84</v>
      </c>
      <c r="B939" s="105" t="s">
        <v>193</v>
      </c>
      <c r="C939" s="129">
        <v>401</v>
      </c>
      <c r="D939" s="113">
        <v>59</v>
      </c>
      <c r="E939" s="114">
        <v>8198</v>
      </c>
      <c r="F939" s="115">
        <v>240764</v>
      </c>
      <c r="G939" s="116">
        <v>350</v>
      </c>
      <c r="H939" s="1731" t="s">
        <v>41</v>
      </c>
      <c r="I939" s="118"/>
      <c r="J939" s="192"/>
      <c r="K939" s="104" t="s">
        <v>25</v>
      </c>
      <c r="L939" s="192"/>
      <c r="M939" s="192"/>
      <c r="N939" s="192"/>
      <c r="O939" s="2621" t="s">
        <v>6395</v>
      </c>
      <c r="Q939" s="118"/>
    </row>
    <row r="940" spans="1:17" ht="18.75" customHeight="1" x14ac:dyDescent="0.3">
      <c r="A940" s="104">
        <v>85</v>
      </c>
      <c r="B940" s="105" t="s">
        <v>193</v>
      </c>
      <c r="C940" s="129">
        <v>401</v>
      </c>
      <c r="D940" s="113">
        <v>59</v>
      </c>
      <c r="E940" s="114">
        <v>8199</v>
      </c>
      <c r="F940" s="115">
        <v>240764</v>
      </c>
      <c r="G940" s="116">
        <v>350</v>
      </c>
      <c r="H940" s="1731" t="s">
        <v>41</v>
      </c>
      <c r="I940" s="118"/>
      <c r="J940" s="192"/>
      <c r="K940" s="104" t="s">
        <v>25</v>
      </c>
      <c r="L940" s="192"/>
      <c r="M940" s="192"/>
      <c r="N940" s="192"/>
      <c r="O940" s="2621" t="s">
        <v>6395</v>
      </c>
      <c r="Q940" s="118"/>
    </row>
    <row r="941" spans="1:17" ht="18.75" customHeight="1" x14ac:dyDescent="0.3">
      <c r="A941" s="189">
        <v>86</v>
      </c>
      <c r="B941" s="105" t="s">
        <v>193</v>
      </c>
      <c r="C941" s="129">
        <v>401</v>
      </c>
      <c r="D941" s="113">
        <v>59</v>
      </c>
      <c r="E941" s="114">
        <v>8200</v>
      </c>
      <c r="F941" s="115">
        <v>240764</v>
      </c>
      <c r="G941" s="116">
        <v>350</v>
      </c>
      <c r="H941" s="1731" t="s">
        <v>41</v>
      </c>
      <c r="I941" s="118"/>
      <c r="J941" s="192"/>
      <c r="K941" s="104" t="s">
        <v>25</v>
      </c>
      <c r="L941" s="192"/>
      <c r="M941" s="192"/>
      <c r="N941" s="192"/>
      <c r="O941" s="2621" t="s">
        <v>6395</v>
      </c>
      <c r="Q941" s="118"/>
    </row>
    <row r="942" spans="1:17" ht="18.75" customHeight="1" x14ac:dyDescent="0.3">
      <c r="A942" s="104">
        <v>87</v>
      </c>
      <c r="B942" s="105" t="s">
        <v>193</v>
      </c>
      <c r="C942" s="129">
        <v>401</v>
      </c>
      <c r="D942" s="136">
        <v>59</v>
      </c>
      <c r="E942" s="114">
        <v>8201</v>
      </c>
      <c r="F942" s="115">
        <v>240764</v>
      </c>
      <c r="G942" s="116">
        <v>350</v>
      </c>
      <c r="H942" s="1731" t="s">
        <v>41</v>
      </c>
      <c r="I942" s="118"/>
      <c r="J942" s="192"/>
      <c r="K942" s="104" t="s">
        <v>25</v>
      </c>
      <c r="L942" s="192"/>
      <c r="M942" s="192"/>
      <c r="N942" s="192"/>
      <c r="O942" s="2621" t="s">
        <v>6395</v>
      </c>
      <c r="Q942" s="118"/>
    </row>
    <row r="943" spans="1:17" ht="18.75" customHeight="1" x14ac:dyDescent="0.3">
      <c r="A943" s="189">
        <v>88</v>
      </c>
      <c r="B943" s="105" t="s">
        <v>193</v>
      </c>
      <c r="C943" s="129">
        <v>401</v>
      </c>
      <c r="D943" s="128">
        <v>59</v>
      </c>
      <c r="E943" s="114">
        <v>8202</v>
      </c>
      <c r="F943" s="115">
        <v>240764</v>
      </c>
      <c r="G943" s="116">
        <v>350</v>
      </c>
      <c r="H943" s="1731" t="s">
        <v>41</v>
      </c>
      <c r="I943" s="118"/>
      <c r="J943" s="192"/>
      <c r="K943" s="104" t="s">
        <v>25</v>
      </c>
      <c r="L943" s="192"/>
      <c r="M943" s="192"/>
      <c r="N943" s="192"/>
      <c r="O943" s="2621" t="s">
        <v>6395</v>
      </c>
      <c r="Q943" s="118"/>
    </row>
    <row r="944" spans="1:17" ht="18.75" customHeight="1" x14ac:dyDescent="0.3">
      <c r="A944" s="104">
        <v>89</v>
      </c>
      <c r="B944" s="105" t="s">
        <v>193</v>
      </c>
      <c r="C944" s="129">
        <v>401</v>
      </c>
      <c r="D944" s="113">
        <v>59</v>
      </c>
      <c r="E944" s="114">
        <v>8203</v>
      </c>
      <c r="F944" s="115">
        <v>240764</v>
      </c>
      <c r="G944" s="116">
        <v>350</v>
      </c>
      <c r="H944" s="1731" t="s">
        <v>41</v>
      </c>
      <c r="I944" s="118"/>
      <c r="J944" s="192"/>
      <c r="K944" s="104" t="s">
        <v>25</v>
      </c>
      <c r="L944" s="192"/>
      <c r="M944" s="192"/>
      <c r="N944" s="192"/>
      <c r="O944" s="2621" t="s">
        <v>6395</v>
      </c>
      <c r="Q944" s="118"/>
    </row>
    <row r="945" spans="1:17" ht="18.75" customHeight="1" x14ac:dyDescent="0.3">
      <c r="A945" s="189">
        <v>90</v>
      </c>
      <c r="B945" s="105" t="s">
        <v>193</v>
      </c>
      <c r="C945" s="129">
        <v>401</v>
      </c>
      <c r="D945" s="113">
        <v>59</v>
      </c>
      <c r="E945" s="114">
        <v>8204</v>
      </c>
      <c r="F945" s="115">
        <v>240764</v>
      </c>
      <c r="G945" s="116">
        <v>350</v>
      </c>
      <c r="H945" s="1731" t="s">
        <v>41</v>
      </c>
      <c r="I945" s="118"/>
      <c r="J945" s="192"/>
      <c r="K945" s="104" t="s">
        <v>25</v>
      </c>
      <c r="L945" s="192"/>
      <c r="M945" s="192"/>
      <c r="N945" s="192"/>
      <c r="O945" s="2621" t="s">
        <v>6395</v>
      </c>
      <c r="Q945" s="118"/>
    </row>
    <row r="946" spans="1:17" ht="18.75" customHeight="1" x14ac:dyDescent="0.3">
      <c r="A946" s="104">
        <v>91</v>
      </c>
      <c r="B946" s="105" t="s">
        <v>193</v>
      </c>
      <c r="C946" s="129">
        <v>401</v>
      </c>
      <c r="D946" s="113">
        <v>59</v>
      </c>
      <c r="E946" s="114">
        <v>8205</v>
      </c>
      <c r="F946" s="115">
        <v>240764</v>
      </c>
      <c r="G946" s="116">
        <v>350</v>
      </c>
      <c r="H946" s="1731" t="s">
        <v>41</v>
      </c>
      <c r="I946" s="118"/>
      <c r="J946" s="192"/>
      <c r="K946" s="104" t="s">
        <v>25</v>
      </c>
      <c r="L946" s="192"/>
      <c r="M946" s="192"/>
      <c r="N946" s="192"/>
      <c r="O946" s="2621" t="s">
        <v>6395</v>
      </c>
      <c r="Q946" s="118"/>
    </row>
    <row r="947" spans="1:17" ht="18.75" customHeight="1" x14ac:dyDescent="0.3">
      <c r="A947" s="189">
        <v>92</v>
      </c>
      <c r="B947" s="105" t="s">
        <v>193</v>
      </c>
      <c r="C947" s="129">
        <v>401</v>
      </c>
      <c r="D947" s="136">
        <v>59</v>
      </c>
      <c r="E947" s="114">
        <v>8206</v>
      </c>
      <c r="F947" s="115">
        <v>240764</v>
      </c>
      <c r="G947" s="116">
        <v>350</v>
      </c>
      <c r="H947" s="1731" t="s">
        <v>41</v>
      </c>
      <c r="I947" s="118"/>
      <c r="J947" s="192"/>
      <c r="K947" s="104" t="s">
        <v>25</v>
      </c>
      <c r="L947" s="192"/>
      <c r="M947" s="192"/>
      <c r="N947" s="192"/>
      <c r="O947" s="2621" t="s">
        <v>6395</v>
      </c>
      <c r="Q947" s="118"/>
    </row>
    <row r="948" spans="1:17" ht="18.75" customHeight="1" x14ac:dyDescent="0.3">
      <c r="A948" s="104">
        <v>93</v>
      </c>
      <c r="B948" s="105" t="s">
        <v>193</v>
      </c>
      <c r="C948" s="129">
        <v>401</v>
      </c>
      <c r="D948" s="128">
        <v>59</v>
      </c>
      <c r="E948" s="114">
        <v>8207</v>
      </c>
      <c r="F948" s="115">
        <v>240764</v>
      </c>
      <c r="G948" s="116">
        <v>350</v>
      </c>
      <c r="H948" s="1731" t="s">
        <v>41</v>
      </c>
      <c r="I948" s="118"/>
      <c r="J948" s="192"/>
      <c r="K948" s="104" t="s">
        <v>25</v>
      </c>
      <c r="L948" s="192"/>
      <c r="M948" s="192"/>
      <c r="N948" s="192"/>
      <c r="O948" s="2621" t="s">
        <v>6395</v>
      </c>
      <c r="Q948" s="118"/>
    </row>
    <row r="949" spans="1:17" ht="18.75" customHeight="1" x14ac:dyDescent="0.3">
      <c r="A949" s="189">
        <v>94</v>
      </c>
      <c r="B949" s="105" t="s">
        <v>193</v>
      </c>
      <c r="C949" s="129">
        <v>401</v>
      </c>
      <c r="D949" s="113">
        <v>59</v>
      </c>
      <c r="E949" s="114">
        <v>8208</v>
      </c>
      <c r="F949" s="115">
        <v>240764</v>
      </c>
      <c r="G949" s="116">
        <v>350</v>
      </c>
      <c r="H949" s="1731" t="s">
        <v>41</v>
      </c>
      <c r="I949" s="118"/>
      <c r="J949" s="192"/>
      <c r="K949" s="104" t="s">
        <v>25</v>
      </c>
      <c r="L949" s="192"/>
      <c r="M949" s="192"/>
      <c r="N949" s="192"/>
      <c r="O949" s="2621" t="s">
        <v>6395</v>
      </c>
      <c r="Q949" s="118"/>
    </row>
    <row r="950" spans="1:17" ht="18.75" customHeight="1" x14ac:dyDescent="0.3">
      <c r="A950" s="104">
        <v>95</v>
      </c>
      <c r="B950" s="105" t="s">
        <v>193</v>
      </c>
      <c r="C950" s="129">
        <v>401</v>
      </c>
      <c r="D950" s="113">
        <v>59</v>
      </c>
      <c r="E950" s="114">
        <v>8209</v>
      </c>
      <c r="F950" s="115">
        <v>240764</v>
      </c>
      <c r="G950" s="116">
        <v>350</v>
      </c>
      <c r="H950" s="1731" t="s">
        <v>41</v>
      </c>
      <c r="I950" s="118"/>
      <c r="J950" s="192"/>
      <c r="K950" s="104" t="s">
        <v>25</v>
      </c>
      <c r="L950" s="192"/>
      <c r="M950" s="192"/>
      <c r="N950" s="192"/>
      <c r="O950" s="2621" t="s">
        <v>6395</v>
      </c>
      <c r="Q950" s="118"/>
    </row>
    <row r="951" spans="1:17" ht="18.75" customHeight="1" x14ac:dyDescent="0.3">
      <c r="A951" s="189">
        <v>96</v>
      </c>
      <c r="B951" s="105" t="s">
        <v>193</v>
      </c>
      <c r="C951" s="129">
        <v>401</v>
      </c>
      <c r="D951" s="113">
        <v>59</v>
      </c>
      <c r="E951" s="114">
        <v>8210</v>
      </c>
      <c r="F951" s="115">
        <v>240764</v>
      </c>
      <c r="G951" s="116">
        <v>350</v>
      </c>
      <c r="H951" s="1731" t="s">
        <v>41</v>
      </c>
      <c r="I951" s="118"/>
      <c r="J951" s="192"/>
      <c r="K951" s="104" t="s">
        <v>25</v>
      </c>
      <c r="L951" s="192"/>
      <c r="M951" s="192"/>
      <c r="N951" s="192"/>
      <c r="O951" s="2621" t="s">
        <v>6395</v>
      </c>
      <c r="Q951" s="118"/>
    </row>
    <row r="952" spans="1:17" ht="18.75" customHeight="1" x14ac:dyDescent="0.3">
      <c r="A952" s="104">
        <v>97</v>
      </c>
      <c r="B952" s="105" t="s">
        <v>193</v>
      </c>
      <c r="C952" s="129">
        <v>401</v>
      </c>
      <c r="D952" s="113">
        <v>59</v>
      </c>
      <c r="E952" s="114">
        <v>8211</v>
      </c>
      <c r="F952" s="115">
        <v>240764</v>
      </c>
      <c r="G952" s="116">
        <v>350</v>
      </c>
      <c r="H952" s="1731" t="s">
        <v>41</v>
      </c>
      <c r="I952" s="118"/>
      <c r="J952" s="192"/>
      <c r="K952" s="104" t="s">
        <v>25</v>
      </c>
      <c r="L952" s="192"/>
      <c r="M952" s="192"/>
      <c r="N952" s="192"/>
      <c r="O952" s="2621" t="s">
        <v>6395</v>
      </c>
      <c r="Q952" s="118"/>
    </row>
    <row r="953" spans="1:17" ht="18.75" customHeight="1" x14ac:dyDescent="0.3">
      <c r="A953" s="189">
        <v>98</v>
      </c>
      <c r="B953" s="105" t="s">
        <v>193</v>
      </c>
      <c r="C953" s="129">
        <v>401</v>
      </c>
      <c r="D953" s="125">
        <v>59</v>
      </c>
      <c r="E953" s="114">
        <v>8212</v>
      </c>
      <c r="F953" s="115">
        <v>240764</v>
      </c>
      <c r="G953" s="116">
        <v>350</v>
      </c>
      <c r="H953" s="1731" t="s">
        <v>41</v>
      </c>
      <c r="I953" s="118"/>
      <c r="J953" s="192"/>
      <c r="K953" s="104" t="s">
        <v>25</v>
      </c>
      <c r="L953" s="192"/>
      <c r="M953" s="192"/>
      <c r="N953" s="192"/>
      <c r="O953" s="2621" t="s">
        <v>6395</v>
      </c>
      <c r="Q953" s="118"/>
    </row>
    <row r="954" spans="1:17" ht="18.75" customHeight="1" x14ac:dyDescent="0.3">
      <c r="A954" s="104">
        <v>99</v>
      </c>
      <c r="B954" s="105" t="s">
        <v>193</v>
      </c>
      <c r="C954" s="129">
        <v>401</v>
      </c>
      <c r="D954" s="139">
        <v>59</v>
      </c>
      <c r="E954" s="114">
        <v>8213</v>
      </c>
      <c r="F954" s="115">
        <v>240764</v>
      </c>
      <c r="G954" s="116">
        <v>350</v>
      </c>
      <c r="H954" s="1731" t="s">
        <v>41</v>
      </c>
      <c r="I954" s="118"/>
      <c r="J954" s="192"/>
      <c r="K954" s="104" t="s">
        <v>25</v>
      </c>
      <c r="L954" s="192"/>
      <c r="M954" s="192"/>
      <c r="N954" s="192"/>
      <c r="O954" s="2621" t="s">
        <v>6395</v>
      </c>
      <c r="Q954" s="118"/>
    </row>
    <row r="955" spans="1:17" ht="18.75" customHeight="1" x14ac:dyDescent="0.3">
      <c r="A955" s="189">
        <v>100</v>
      </c>
      <c r="B955" s="105" t="s">
        <v>193</v>
      </c>
      <c r="C955" s="129">
        <v>401</v>
      </c>
      <c r="D955" s="193">
        <v>59</v>
      </c>
      <c r="E955" s="114">
        <v>8214</v>
      </c>
      <c r="F955" s="115">
        <v>240764</v>
      </c>
      <c r="G955" s="116">
        <v>350</v>
      </c>
      <c r="H955" s="1731" t="s">
        <v>41</v>
      </c>
      <c r="I955" s="118"/>
      <c r="J955" s="192"/>
      <c r="K955" s="104" t="s">
        <v>25</v>
      </c>
      <c r="L955" s="192"/>
      <c r="M955" s="192"/>
      <c r="N955" s="192"/>
      <c r="O955" s="2621" t="s">
        <v>6395</v>
      </c>
      <c r="Q955" s="118"/>
    </row>
    <row r="956" spans="1:17" ht="18.75" customHeight="1" x14ac:dyDescent="0.3">
      <c r="A956" s="104">
        <v>101</v>
      </c>
      <c r="B956" s="105" t="s">
        <v>193</v>
      </c>
      <c r="C956" s="129">
        <v>401</v>
      </c>
      <c r="D956" s="194">
        <v>59</v>
      </c>
      <c r="E956" s="114">
        <v>8215</v>
      </c>
      <c r="F956" s="115">
        <v>240764</v>
      </c>
      <c r="G956" s="116">
        <v>350</v>
      </c>
      <c r="H956" s="1731" t="s">
        <v>41</v>
      </c>
      <c r="I956" s="118"/>
      <c r="J956" s="192"/>
      <c r="K956" s="104" t="s">
        <v>25</v>
      </c>
      <c r="L956" s="192"/>
      <c r="M956" s="192"/>
      <c r="N956" s="192"/>
      <c r="O956" s="2621" t="s">
        <v>6395</v>
      </c>
      <c r="Q956" s="118"/>
    </row>
    <row r="957" spans="1:17" ht="18.75" customHeight="1" x14ac:dyDescent="0.3">
      <c r="A957" s="189">
        <v>102</v>
      </c>
      <c r="B957" s="105" t="s">
        <v>193</v>
      </c>
      <c r="C957" s="129">
        <v>401</v>
      </c>
      <c r="D957" s="128">
        <v>59</v>
      </c>
      <c r="E957" s="114">
        <v>8216</v>
      </c>
      <c r="F957" s="115">
        <v>240764</v>
      </c>
      <c r="G957" s="116">
        <v>350</v>
      </c>
      <c r="H957" s="1731" t="s">
        <v>41</v>
      </c>
      <c r="I957" s="118"/>
      <c r="J957" s="192"/>
      <c r="K957" s="104" t="s">
        <v>25</v>
      </c>
      <c r="L957" s="192"/>
      <c r="M957" s="192"/>
      <c r="N957" s="192"/>
      <c r="O957" s="2621" t="s">
        <v>6395</v>
      </c>
      <c r="Q957" s="118"/>
    </row>
    <row r="958" spans="1:17" ht="18.75" customHeight="1" x14ac:dyDescent="0.3">
      <c r="A958" s="104">
        <v>103</v>
      </c>
      <c r="B958" s="105" t="s">
        <v>193</v>
      </c>
      <c r="C958" s="129">
        <v>401</v>
      </c>
      <c r="D958" s="113">
        <v>59</v>
      </c>
      <c r="E958" s="114">
        <v>8217</v>
      </c>
      <c r="F958" s="115">
        <v>240764</v>
      </c>
      <c r="G958" s="116">
        <v>350</v>
      </c>
      <c r="H958" s="1731" t="s">
        <v>41</v>
      </c>
      <c r="I958" s="118"/>
      <c r="J958" s="192"/>
      <c r="K958" s="104" t="s">
        <v>25</v>
      </c>
      <c r="L958" s="192"/>
      <c r="M958" s="192"/>
      <c r="N958" s="192"/>
      <c r="O958" s="2621" t="s">
        <v>6395</v>
      </c>
      <c r="Q958" s="118"/>
    </row>
    <row r="959" spans="1:17" ht="18.75" customHeight="1" x14ac:dyDescent="0.3">
      <c r="A959" s="189">
        <v>104</v>
      </c>
      <c r="B959" s="105" t="s">
        <v>193</v>
      </c>
      <c r="C959" s="129">
        <v>401</v>
      </c>
      <c r="D959" s="113">
        <v>59</v>
      </c>
      <c r="E959" s="114">
        <v>8218</v>
      </c>
      <c r="F959" s="115">
        <v>240764</v>
      </c>
      <c r="G959" s="116">
        <v>350</v>
      </c>
      <c r="H959" s="1731" t="s">
        <v>41</v>
      </c>
      <c r="I959" s="118"/>
      <c r="J959" s="192"/>
      <c r="K959" s="104" t="s">
        <v>25</v>
      </c>
      <c r="L959" s="192"/>
      <c r="M959" s="192"/>
      <c r="N959" s="192"/>
      <c r="O959" s="2621" t="s">
        <v>6395</v>
      </c>
      <c r="Q959" s="118"/>
    </row>
    <row r="960" spans="1:17" ht="18.75" customHeight="1" x14ac:dyDescent="0.3">
      <c r="A960" s="104">
        <v>105</v>
      </c>
      <c r="B960" s="105" t="s">
        <v>193</v>
      </c>
      <c r="C960" s="129">
        <v>401</v>
      </c>
      <c r="D960" s="125">
        <v>59</v>
      </c>
      <c r="E960" s="114">
        <v>8219</v>
      </c>
      <c r="F960" s="115">
        <v>240764</v>
      </c>
      <c r="G960" s="116">
        <v>350</v>
      </c>
      <c r="H960" s="1731" t="s">
        <v>41</v>
      </c>
      <c r="I960" s="118"/>
      <c r="J960" s="192"/>
      <c r="K960" s="104" t="s">
        <v>25</v>
      </c>
      <c r="L960" s="192"/>
      <c r="M960" s="192"/>
      <c r="N960" s="192"/>
      <c r="O960" s="2621" t="s">
        <v>6395</v>
      </c>
      <c r="Q960" s="118"/>
    </row>
    <row r="961" spans="1:17" ht="18.75" customHeight="1" x14ac:dyDescent="0.3">
      <c r="A961" s="189">
        <v>106</v>
      </c>
      <c r="B961" s="105" t="s">
        <v>193</v>
      </c>
      <c r="C961" s="129">
        <v>401</v>
      </c>
      <c r="D961" s="149">
        <v>59</v>
      </c>
      <c r="E961" s="114">
        <v>8220</v>
      </c>
      <c r="F961" s="115">
        <v>240764</v>
      </c>
      <c r="G961" s="116">
        <v>350</v>
      </c>
      <c r="H961" s="1731" t="s">
        <v>41</v>
      </c>
      <c r="I961" s="118"/>
      <c r="J961" s="192"/>
      <c r="K961" s="104" t="s">
        <v>25</v>
      </c>
      <c r="L961" s="192"/>
      <c r="M961" s="192"/>
      <c r="N961" s="192"/>
      <c r="O961" s="2621" t="s">
        <v>6395</v>
      </c>
      <c r="Q961" s="118"/>
    </row>
    <row r="962" spans="1:17" ht="18.75" customHeight="1" x14ac:dyDescent="0.3">
      <c r="A962" s="104">
        <v>107</v>
      </c>
      <c r="B962" s="105" t="s">
        <v>194</v>
      </c>
      <c r="C962" s="129">
        <v>401</v>
      </c>
      <c r="D962" s="113">
        <v>59</v>
      </c>
      <c r="E962" s="114">
        <v>8227</v>
      </c>
      <c r="F962" s="115">
        <v>21645</v>
      </c>
      <c r="G962" s="116">
        <v>229</v>
      </c>
      <c r="H962" s="1731" t="s">
        <v>41</v>
      </c>
      <c r="I962" s="118"/>
      <c r="J962" s="192"/>
      <c r="K962" s="104" t="s">
        <v>25</v>
      </c>
      <c r="L962" s="192"/>
      <c r="M962" s="192"/>
      <c r="N962" s="192"/>
      <c r="O962" s="2621" t="s">
        <v>6395</v>
      </c>
      <c r="Q962" s="118"/>
    </row>
    <row r="963" spans="1:17" ht="18.75" customHeight="1" x14ac:dyDescent="0.3">
      <c r="A963" s="189">
        <v>108</v>
      </c>
      <c r="B963" s="105" t="s">
        <v>194</v>
      </c>
      <c r="C963" s="129">
        <v>401</v>
      </c>
      <c r="D963" s="113">
        <v>59</v>
      </c>
      <c r="E963" s="114">
        <v>8228</v>
      </c>
      <c r="F963" s="115">
        <v>21645</v>
      </c>
      <c r="G963" s="116">
        <v>229</v>
      </c>
      <c r="H963" s="1731" t="s">
        <v>41</v>
      </c>
      <c r="I963" s="118"/>
      <c r="J963" s="192"/>
      <c r="K963" s="104" t="s">
        <v>25</v>
      </c>
      <c r="L963" s="192"/>
      <c r="M963" s="192"/>
      <c r="N963" s="192"/>
      <c r="O963" s="2621" t="s">
        <v>6395</v>
      </c>
      <c r="Q963" s="118"/>
    </row>
    <row r="964" spans="1:17" ht="18.75" customHeight="1" x14ac:dyDescent="0.3">
      <c r="A964" s="104">
        <v>109</v>
      </c>
      <c r="B964" s="105" t="s">
        <v>194</v>
      </c>
      <c r="C964" s="129">
        <v>401</v>
      </c>
      <c r="D964" s="113">
        <v>59</v>
      </c>
      <c r="E964" s="114">
        <v>8229</v>
      </c>
      <c r="F964" s="115">
        <v>21645</v>
      </c>
      <c r="G964" s="116">
        <v>229</v>
      </c>
      <c r="H964" s="1731" t="s">
        <v>41</v>
      </c>
      <c r="I964" s="118"/>
      <c r="J964" s="192"/>
      <c r="K964" s="104" t="s">
        <v>25</v>
      </c>
      <c r="L964" s="192"/>
      <c r="M964" s="192"/>
      <c r="N964" s="192"/>
      <c r="O964" s="2621" t="s">
        <v>6395</v>
      </c>
      <c r="Q964" s="118"/>
    </row>
    <row r="965" spans="1:17" ht="18.75" customHeight="1" x14ac:dyDescent="0.3">
      <c r="A965" s="189">
        <v>110</v>
      </c>
      <c r="B965" s="105" t="s">
        <v>194</v>
      </c>
      <c r="C965" s="129">
        <v>401</v>
      </c>
      <c r="D965" s="113">
        <v>59</v>
      </c>
      <c r="E965" s="114">
        <v>8230</v>
      </c>
      <c r="F965" s="115">
        <v>21645</v>
      </c>
      <c r="G965" s="116">
        <v>229</v>
      </c>
      <c r="H965" s="1731" t="s">
        <v>41</v>
      </c>
      <c r="I965" s="118"/>
      <c r="J965" s="118"/>
      <c r="K965" s="104" t="s">
        <v>25</v>
      </c>
      <c r="L965" s="192"/>
      <c r="M965" s="192"/>
      <c r="N965" s="192"/>
      <c r="O965" s="2621" t="s">
        <v>6395</v>
      </c>
      <c r="Q965" s="118"/>
    </row>
    <row r="966" spans="1:17" ht="18.75" customHeight="1" x14ac:dyDescent="0.3">
      <c r="A966" s="104">
        <v>111</v>
      </c>
      <c r="B966" s="105" t="s">
        <v>194</v>
      </c>
      <c r="C966" s="129">
        <v>401</v>
      </c>
      <c r="D966" s="125">
        <v>59</v>
      </c>
      <c r="E966" s="114">
        <v>8231</v>
      </c>
      <c r="F966" s="115">
        <v>21645</v>
      </c>
      <c r="G966" s="116">
        <v>229</v>
      </c>
      <c r="H966" s="1731" t="s">
        <v>41</v>
      </c>
      <c r="I966" s="118"/>
      <c r="J966" s="192"/>
      <c r="K966" s="104" t="s">
        <v>25</v>
      </c>
      <c r="L966" s="192"/>
      <c r="M966" s="192"/>
      <c r="N966" s="192"/>
      <c r="O966" s="2621" t="s">
        <v>6395</v>
      </c>
      <c r="Q966" s="118"/>
    </row>
    <row r="967" spans="1:17" ht="18.75" customHeight="1" x14ac:dyDescent="0.3">
      <c r="A967" s="189">
        <v>112</v>
      </c>
      <c r="B967" s="105" t="s">
        <v>194</v>
      </c>
      <c r="C967" s="129">
        <v>401</v>
      </c>
      <c r="D967" s="128">
        <v>59</v>
      </c>
      <c r="E967" s="114">
        <v>8232</v>
      </c>
      <c r="F967" s="115">
        <v>21645</v>
      </c>
      <c r="G967" s="116">
        <v>229</v>
      </c>
      <c r="H967" s="1731" t="s">
        <v>41</v>
      </c>
      <c r="I967" s="118"/>
      <c r="J967" s="192"/>
      <c r="K967" s="104" t="s">
        <v>25</v>
      </c>
      <c r="L967" s="192"/>
      <c r="M967" s="192"/>
      <c r="N967" s="192"/>
      <c r="O967" s="2621" t="s">
        <v>6395</v>
      </c>
      <c r="Q967" s="118"/>
    </row>
    <row r="968" spans="1:17" ht="18.75" customHeight="1" x14ac:dyDescent="0.3">
      <c r="A968" s="104">
        <v>113</v>
      </c>
      <c r="B968" s="105" t="s">
        <v>194</v>
      </c>
      <c r="C968" s="129">
        <v>401</v>
      </c>
      <c r="D968" s="113">
        <v>59</v>
      </c>
      <c r="E968" s="114">
        <v>8233</v>
      </c>
      <c r="F968" s="115">
        <v>21645</v>
      </c>
      <c r="G968" s="116">
        <v>229</v>
      </c>
      <c r="H968" s="1731" t="s">
        <v>41</v>
      </c>
      <c r="I968" s="118"/>
      <c r="J968" s="192"/>
      <c r="K968" s="104" t="s">
        <v>25</v>
      </c>
      <c r="L968" s="192"/>
      <c r="M968" s="192"/>
      <c r="N968" s="192"/>
      <c r="O968" s="2621" t="s">
        <v>6395</v>
      </c>
      <c r="Q968" s="118"/>
    </row>
    <row r="969" spans="1:17" ht="18.75" customHeight="1" x14ac:dyDescent="0.3">
      <c r="A969" s="189">
        <v>114</v>
      </c>
      <c r="B969" s="105" t="s">
        <v>194</v>
      </c>
      <c r="C969" s="129">
        <v>401</v>
      </c>
      <c r="D969" s="136">
        <v>59</v>
      </c>
      <c r="E969" s="114">
        <v>8234</v>
      </c>
      <c r="F969" s="115">
        <v>21645</v>
      </c>
      <c r="G969" s="116">
        <v>229</v>
      </c>
      <c r="H969" s="1731" t="s">
        <v>41</v>
      </c>
      <c r="I969" s="118"/>
      <c r="J969" s="192"/>
      <c r="K969" s="104" t="s">
        <v>25</v>
      </c>
      <c r="L969" s="192"/>
      <c r="M969" s="192"/>
      <c r="N969" s="192"/>
      <c r="O969" s="2621" t="s">
        <v>6395</v>
      </c>
      <c r="Q969" s="118"/>
    </row>
    <row r="970" spans="1:17" ht="18.75" customHeight="1" x14ac:dyDescent="0.3">
      <c r="A970" s="104">
        <v>115</v>
      </c>
      <c r="B970" s="105" t="s">
        <v>194</v>
      </c>
      <c r="C970" s="129">
        <v>401</v>
      </c>
      <c r="D970" s="128">
        <v>59</v>
      </c>
      <c r="E970" s="114">
        <v>8235</v>
      </c>
      <c r="F970" s="115">
        <v>21645</v>
      </c>
      <c r="G970" s="116">
        <v>229</v>
      </c>
      <c r="H970" s="1731" t="s">
        <v>41</v>
      </c>
      <c r="I970" s="118"/>
      <c r="J970" s="192"/>
      <c r="K970" s="104" t="s">
        <v>25</v>
      </c>
      <c r="L970" s="192"/>
      <c r="M970" s="192"/>
      <c r="N970" s="192"/>
      <c r="O970" s="2621" t="s">
        <v>6395</v>
      </c>
      <c r="Q970" s="118"/>
    </row>
    <row r="971" spans="1:17" ht="18.75" customHeight="1" x14ac:dyDescent="0.3">
      <c r="A971" s="189">
        <v>116</v>
      </c>
      <c r="B971" s="105" t="s">
        <v>194</v>
      </c>
      <c r="C971" s="129">
        <v>401</v>
      </c>
      <c r="D971" s="113">
        <v>59</v>
      </c>
      <c r="E971" s="114">
        <v>8236</v>
      </c>
      <c r="F971" s="115">
        <v>21645</v>
      </c>
      <c r="G971" s="116">
        <v>229</v>
      </c>
      <c r="H971" s="1731" t="s">
        <v>41</v>
      </c>
      <c r="I971" s="118"/>
      <c r="J971" s="192"/>
      <c r="K971" s="104" t="s">
        <v>25</v>
      </c>
      <c r="L971" s="192"/>
      <c r="M971" s="192"/>
      <c r="N971" s="192"/>
      <c r="O971" s="2621" t="s">
        <v>6395</v>
      </c>
      <c r="Q971" s="118"/>
    </row>
    <row r="972" spans="1:17" ht="18.75" customHeight="1" x14ac:dyDescent="0.3">
      <c r="A972" s="104">
        <v>117</v>
      </c>
      <c r="B972" s="105" t="s">
        <v>194</v>
      </c>
      <c r="C972" s="129">
        <v>401</v>
      </c>
      <c r="D972" s="113">
        <v>59</v>
      </c>
      <c r="E972" s="114">
        <v>8237</v>
      </c>
      <c r="F972" s="115">
        <v>21645</v>
      </c>
      <c r="G972" s="116">
        <v>229</v>
      </c>
      <c r="H972" s="1731" t="s">
        <v>41</v>
      </c>
      <c r="I972" s="118"/>
      <c r="J972" s="192"/>
      <c r="K972" s="104" t="s">
        <v>25</v>
      </c>
      <c r="L972" s="192"/>
      <c r="M972" s="192"/>
      <c r="N972" s="192"/>
      <c r="O972" s="2621" t="s">
        <v>6395</v>
      </c>
      <c r="Q972" s="118"/>
    </row>
    <row r="973" spans="1:17" ht="18.75" customHeight="1" x14ac:dyDescent="0.3">
      <c r="A973" s="189">
        <v>118</v>
      </c>
      <c r="B973" s="105" t="s">
        <v>194</v>
      </c>
      <c r="C973" s="129">
        <v>401</v>
      </c>
      <c r="D973" s="113">
        <v>59</v>
      </c>
      <c r="E973" s="114">
        <v>8238</v>
      </c>
      <c r="F973" s="115">
        <v>21645</v>
      </c>
      <c r="G973" s="116">
        <v>229</v>
      </c>
      <c r="H973" s="1731" t="s">
        <v>41</v>
      </c>
      <c r="I973" s="118"/>
      <c r="J973" s="192"/>
      <c r="K973" s="104" t="s">
        <v>25</v>
      </c>
      <c r="L973" s="192"/>
      <c r="M973" s="192"/>
      <c r="N973" s="192"/>
      <c r="O973" s="2621" t="s">
        <v>6395</v>
      </c>
      <c r="Q973" s="118"/>
    </row>
    <row r="974" spans="1:17" ht="18.75" customHeight="1" x14ac:dyDescent="0.3">
      <c r="A974" s="104">
        <v>119</v>
      </c>
      <c r="B974" s="105" t="s">
        <v>194</v>
      </c>
      <c r="C974" s="129">
        <v>401</v>
      </c>
      <c r="D974" s="125">
        <v>59</v>
      </c>
      <c r="E974" s="114">
        <v>8239</v>
      </c>
      <c r="F974" s="115">
        <v>21645</v>
      </c>
      <c r="G974" s="116">
        <v>229</v>
      </c>
      <c r="H974" s="1731" t="s">
        <v>41</v>
      </c>
      <c r="I974" s="118"/>
      <c r="J974" s="192"/>
      <c r="K974" s="104" t="s">
        <v>25</v>
      </c>
      <c r="L974" s="192"/>
      <c r="M974" s="192"/>
      <c r="N974" s="192"/>
      <c r="O974" s="2621" t="s">
        <v>6395</v>
      </c>
      <c r="Q974" s="118"/>
    </row>
    <row r="975" spans="1:17" ht="18.75" customHeight="1" x14ac:dyDescent="0.3">
      <c r="A975" s="189">
        <v>120</v>
      </c>
      <c r="B975" s="105" t="s">
        <v>194</v>
      </c>
      <c r="C975" s="129">
        <v>401</v>
      </c>
      <c r="D975" s="128">
        <v>59</v>
      </c>
      <c r="E975" s="114">
        <v>8240</v>
      </c>
      <c r="F975" s="115">
        <v>21645</v>
      </c>
      <c r="G975" s="116">
        <v>229</v>
      </c>
      <c r="H975" s="1731" t="s">
        <v>41</v>
      </c>
      <c r="I975" s="118"/>
      <c r="J975" s="192"/>
      <c r="K975" s="104" t="s">
        <v>25</v>
      </c>
      <c r="L975" s="192"/>
      <c r="M975" s="192"/>
      <c r="N975" s="192"/>
      <c r="O975" s="2621" t="s">
        <v>6395</v>
      </c>
      <c r="Q975" s="118"/>
    </row>
    <row r="976" spans="1:17" ht="18.75" customHeight="1" x14ac:dyDescent="0.3">
      <c r="A976" s="104">
        <v>121</v>
      </c>
      <c r="B976" s="105" t="s">
        <v>194</v>
      </c>
      <c r="C976" s="129">
        <v>401</v>
      </c>
      <c r="D976" s="113">
        <v>59</v>
      </c>
      <c r="E976" s="114">
        <v>8241</v>
      </c>
      <c r="F976" s="115">
        <v>21645</v>
      </c>
      <c r="G976" s="116">
        <v>229</v>
      </c>
      <c r="H976" s="1731" t="s">
        <v>41</v>
      </c>
      <c r="I976" s="118"/>
      <c r="J976" s="192"/>
      <c r="K976" s="104" t="s">
        <v>25</v>
      </c>
      <c r="L976" s="192"/>
      <c r="M976" s="192"/>
      <c r="N976" s="192"/>
      <c r="O976" s="2621" t="s">
        <v>6395</v>
      </c>
      <c r="Q976" s="118"/>
    </row>
    <row r="977" spans="1:17" ht="18.75" customHeight="1" x14ac:dyDescent="0.3">
      <c r="A977" s="189">
        <v>122</v>
      </c>
      <c r="B977" s="105" t="s">
        <v>194</v>
      </c>
      <c r="C977" s="129">
        <v>401</v>
      </c>
      <c r="D977" s="113">
        <v>59</v>
      </c>
      <c r="E977" s="114">
        <v>8242</v>
      </c>
      <c r="F977" s="115">
        <v>21645</v>
      </c>
      <c r="G977" s="116">
        <v>229</v>
      </c>
      <c r="H977" s="1731" t="s">
        <v>41</v>
      </c>
      <c r="I977" s="118"/>
      <c r="J977" s="192"/>
      <c r="K977" s="104" t="s">
        <v>25</v>
      </c>
      <c r="L977" s="192"/>
      <c r="M977" s="192"/>
      <c r="N977" s="192"/>
      <c r="O977" s="2621" t="s">
        <v>6395</v>
      </c>
      <c r="Q977" s="118"/>
    </row>
    <row r="978" spans="1:17" ht="18.75" customHeight="1" x14ac:dyDescent="0.3">
      <c r="A978" s="104">
        <v>123</v>
      </c>
      <c r="B978" s="105" t="s">
        <v>194</v>
      </c>
      <c r="C978" s="129">
        <v>401</v>
      </c>
      <c r="D978" s="136">
        <v>59</v>
      </c>
      <c r="E978" s="114">
        <v>8243</v>
      </c>
      <c r="F978" s="115">
        <v>21645</v>
      </c>
      <c r="G978" s="116">
        <v>229</v>
      </c>
      <c r="H978" s="1731" t="s">
        <v>41</v>
      </c>
      <c r="I978" s="118"/>
      <c r="J978" s="192"/>
      <c r="K978" s="104" t="s">
        <v>25</v>
      </c>
      <c r="L978" s="192"/>
      <c r="M978" s="192"/>
      <c r="N978" s="192"/>
      <c r="O978" s="2621" t="s">
        <v>6395</v>
      </c>
      <c r="Q978" s="118"/>
    </row>
    <row r="979" spans="1:17" ht="18.75" customHeight="1" x14ac:dyDescent="0.3">
      <c r="A979" s="189">
        <v>124</v>
      </c>
      <c r="B979" s="105" t="s">
        <v>194</v>
      </c>
      <c r="C979" s="129">
        <v>401</v>
      </c>
      <c r="D979" s="128">
        <v>59</v>
      </c>
      <c r="E979" s="114">
        <v>8244</v>
      </c>
      <c r="F979" s="115">
        <v>21645</v>
      </c>
      <c r="G979" s="116">
        <v>229</v>
      </c>
      <c r="H979" s="1731" t="s">
        <v>41</v>
      </c>
      <c r="I979" s="118"/>
      <c r="J979" s="192"/>
      <c r="K979" s="104" t="s">
        <v>25</v>
      </c>
      <c r="L979" s="192"/>
      <c r="M979" s="192"/>
      <c r="N979" s="192"/>
      <c r="O979" s="2621" t="s">
        <v>6395</v>
      </c>
      <c r="Q979" s="118"/>
    </row>
    <row r="980" spans="1:17" ht="18.75" customHeight="1" x14ac:dyDescent="0.3">
      <c r="A980" s="104">
        <v>125</v>
      </c>
      <c r="B980" s="105" t="s">
        <v>194</v>
      </c>
      <c r="C980" s="129">
        <v>401</v>
      </c>
      <c r="D980" s="113">
        <v>59</v>
      </c>
      <c r="E980" s="114">
        <v>8245</v>
      </c>
      <c r="F980" s="115">
        <v>21645</v>
      </c>
      <c r="G980" s="116">
        <v>229</v>
      </c>
      <c r="H980" s="1731" t="s">
        <v>41</v>
      </c>
      <c r="I980" s="118"/>
      <c r="J980" s="192"/>
      <c r="K980" s="104" t="s">
        <v>25</v>
      </c>
      <c r="L980" s="192"/>
      <c r="M980" s="192"/>
      <c r="N980" s="192"/>
      <c r="O980" s="2621" t="s">
        <v>6395</v>
      </c>
      <c r="Q980" s="118"/>
    </row>
    <row r="981" spans="1:17" ht="18.75" customHeight="1" x14ac:dyDescent="0.3">
      <c r="A981" s="189">
        <v>126</v>
      </c>
      <c r="B981" s="105" t="s">
        <v>194</v>
      </c>
      <c r="C981" s="129">
        <v>401</v>
      </c>
      <c r="D981" s="113">
        <v>59</v>
      </c>
      <c r="E981" s="114">
        <v>8246</v>
      </c>
      <c r="F981" s="115">
        <v>21645</v>
      </c>
      <c r="G981" s="116">
        <v>229</v>
      </c>
      <c r="H981" s="1731" t="s">
        <v>41</v>
      </c>
      <c r="I981" s="118"/>
      <c r="J981" s="192"/>
      <c r="K981" s="104" t="s">
        <v>25</v>
      </c>
      <c r="L981" s="192"/>
      <c r="M981" s="192"/>
      <c r="N981" s="192"/>
      <c r="O981" s="2621" t="s">
        <v>6395</v>
      </c>
      <c r="Q981" s="118"/>
    </row>
    <row r="982" spans="1:17" ht="18.75" customHeight="1" x14ac:dyDescent="0.3">
      <c r="A982" s="104">
        <v>127</v>
      </c>
      <c r="B982" s="105" t="s">
        <v>194</v>
      </c>
      <c r="C982" s="129">
        <v>401</v>
      </c>
      <c r="D982" s="113">
        <v>59</v>
      </c>
      <c r="E982" s="114">
        <v>8247</v>
      </c>
      <c r="F982" s="115">
        <v>21645</v>
      </c>
      <c r="G982" s="116">
        <v>229</v>
      </c>
      <c r="H982" s="1731" t="s">
        <v>41</v>
      </c>
      <c r="I982" s="118"/>
      <c r="J982" s="192"/>
      <c r="K982" s="104" t="s">
        <v>25</v>
      </c>
      <c r="L982" s="192"/>
      <c r="M982" s="192"/>
      <c r="N982" s="192"/>
      <c r="O982" s="2621" t="s">
        <v>6395</v>
      </c>
      <c r="Q982" s="118"/>
    </row>
    <row r="983" spans="1:17" ht="18.75" customHeight="1" x14ac:dyDescent="0.3">
      <c r="A983" s="189">
        <v>128</v>
      </c>
      <c r="B983" s="105" t="s">
        <v>194</v>
      </c>
      <c r="C983" s="129">
        <v>401</v>
      </c>
      <c r="D983" s="125">
        <v>59</v>
      </c>
      <c r="E983" s="114">
        <v>8248</v>
      </c>
      <c r="F983" s="115">
        <v>21645</v>
      </c>
      <c r="G983" s="116">
        <v>229</v>
      </c>
      <c r="H983" s="1731" t="s">
        <v>41</v>
      </c>
      <c r="I983" s="118"/>
      <c r="J983" s="192"/>
      <c r="K983" s="104" t="s">
        <v>25</v>
      </c>
      <c r="L983" s="192"/>
      <c r="M983" s="192"/>
      <c r="N983" s="192"/>
      <c r="O983" s="2621" t="s">
        <v>6395</v>
      </c>
      <c r="Q983" s="118"/>
    </row>
    <row r="984" spans="1:17" ht="18.75" customHeight="1" x14ac:dyDescent="0.3">
      <c r="A984" s="104">
        <v>129</v>
      </c>
      <c r="B984" s="105" t="s">
        <v>194</v>
      </c>
      <c r="C984" s="129">
        <v>401</v>
      </c>
      <c r="D984" s="128">
        <v>59</v>
      </c>
      <c r="E984" s="114">
        <v>8249</v>
      </c>
      <c r="F984" s="115">
        <v>21645</v>
      </c>
      <c r="G984" s="116">
        <v>229</v>
      </c>
      <c r="H984" s="1731" t="s">
        <v>41</v>
      </c>
      <c r="I984" s="118"/>
      <c r="J984" s="192"/>
      <c r="K984" s="104" t="s">
        <v>25</v>
      </c>
      <c r="L984" s="192"/>
      <c r="M984" s="192"/>
      <c r="N984" s="192"/>
      <c r="O984" s="2621" t="s">
        <v>6395</v>
      </c>
      <c r="Q984" s="118"/>
    </row>
    <row r="985" spans="1:17" ht="18.75" customHeight="1" x14ac:dyDescent="0.3">
      <c r="A985" s="189">
        <v>130</v>
      </c>
      <c r="B985" s="105" t="s">
        <v>194</v>
      </c>
      <c r="C985" s="195">
        <v>401</v>
      </c>
      <c r="D985" s="113">
        <v>59</v>
      </c>
      <c r="E985" s="114">
        <v>8250</v>
      </c>
      <c r="F985" s="115">
        <v>21645</v>
      </c>
      <c r="G985" s="116">
        <v>229</v>
      </c>
      <c r="H985" s="1731" t="s">
        <v>41</v>
      </c>
      <c r="I985" s="118"/>
      <c r="J985" s="192"/>
      <c r="K985" s="104" t="s">
        <v>25</v>
      </c>
      <c r="L985" s="192"/>
      <c r="M985" s="192"/>
      <c r="N985" s="192"/>
      <c r="O985" s="2621" t="s">
        <v>6395</v>
      </c>
      <c r="Q985" s="118"/>
    </row>
    <row r="986" spans="1:17" ht="18.75" customHeight="1" x14ac:dyDescent="0.3">
      <c r="A986" s="104">
        <v>131</v>
      </c>
      <c r="B986" s="105" t="s">
        <v>194</v>
      </c>
      <c r="C986" s="195">
        <v>401</v>
      </c>
      <c r="D986" s="113">
        <v>59</v>
      </c>
      <c r="E986" s="114">
        <v>8251</v>
      </c>
      <c r="F986" s="115">
        <v>21645</v>
      </c>
      <c r="G986" s="116">
        <v>229</v>
      </c>
      <c r="H986" s="1731" t="s">
        <v>41</v>
      </c>
      <c r="I986" s="118"/>
      <c r="J986" s="192"/>
      <c r="K986" s="104" t="s">
        <v>25</v>
      </c>
      <c r="L986" s="192"/>
      <c r="M986" s="192"/>
      <c r="N986" s="192"/>
      <c r="O986" s="2621" t="s">
        <v>6395</v>
      </c>
      <c r="Q986" s="118"/>
    </row>
    <row r="987" spans="1:17" ht="18.75" customHeight="1" x14ac:dyDescent="0.3">
      <c r="A987" s="189">
        <v>132</v>
      </c>
      <c r="B987" s="105" t="s">
        <v>194</v>
      </c>
      <c r="C987" s="195">
        <v>401</v>
      </c>
      <c r="D987" s="125">
        <v>59</v>
      </c>
      <c r="E987" s="114">
        <v>8252</v>
      </c>
      <c r="F987" s="115">
        <v>21645</v>
      </c>
      <c r="G987" s="116">
        <v>229</v>
      </c>
      <c r="H987" s="1731" t="s">
        <v>41</v>
      </c>
      <c r="I987" s="118"/>
      <c r="J987" s="192"/>
      <c r="K987" s="104" t="s">
        <v>25</v>
      </c>
      <c r="L987" s="192"/>
      <c r="M987" s="192"/>
      <c r="N987" s="192"/>
      <c r="O987" s="2621" t="s">
        <v>6395</v>
      </c>
      <c r="Q987" s="118"/>
    </row>
    <row r="988" spans="1:17" ht="18.75" customHeight="1" x14ac:dyDescent="0.3">
      <c r="A988" s="104">
        <v>133</v>
      </c>
      <c r="B988" s="105" t="s">
        <v>194</v>
      </c>
      <c r="C988" s="195">
        <v>401</v>
      </c>
      <c r="D988" s="128">
        <v>59</v>
      </c>
      <c r="E988" s="114">
        <v>8253</v>
      </c>
      <c r="F988" s="115">
        <v>21645</v>
      </c>
      <c r="G988" s="116">
        <v>229</v>
      </c>
      <c r="H988" s="1731" t="s">
        <v>41</v>
      </c>
      <c r="I988" s="118"/>
      <c r="J988" s="192"/>
      <c r="K988" s="104" t="s">
        <v>25</v>
      </c>
      <c r="L988" s="192"/>
      <c r="M988" s="192"/>
      <c r="N988" s="192"/>
      <c r="O988" s="2621" t="s">
        <v>6395</v>
      </c>
      <c r="Q988" s="118"/>
    </row>
    <row r="989" spans="1:17" ht="18.75" customHeight="1" x14ac:dyDescent="0.3">
      <c r="A989" s="189">
        <v>134</v>
      </c>
      <c r="B989" s="105" t="s">
        <v>194</v>
      </c>
      <c r="C989" s="195">
        <v>401</v>
      </c>
      <c r="D989" s="125">
        <v>59</v>
      </c>
      <c r="E989" s="114">
        <v>8254</v>
      </c>
      <c r="F989" s="115">
        <v>21645</v>
      </c>
      <c r="G989" s="116">
        <v>229</v>
      </c>
      <c r="H989" s="1731" t="s">
        <v>41</v>
      </c>
      <c r="I989" s="118"/>
      <c r="J989" s="192"/>
      <c r="K989" s="104" t="s">
        <v>25</v>
      </c>
      <c r="L989" s="192"/>
      <c r="M989" s="192"/>
      <c r="N989" s="192"/>
      <c r="O989" s="2621" t="s">
        <v>6395</v>
      </c>
      <c r="Q989" s="118"/>
    </row>
    <row r="990" spans="1:17" ht="18.75" customHeight="1" x14ac:dyDescent="0.3">
      <c r="A990" s="104">
        <v>135</v>
      </c>
      <c r="B990" s="105" t="s">
        <v>194</v>
      </c>
      <c r="C990" s="195">
        <v>401</v>
      </c>
      <c r="D990" s="149">
        <v>59</v>
      </c>
      <c r="E990" s="114">
        <v>8255</v>
      </c>
      <c r="F990" s="115">
        <v>21645</v>
      </c>
      <c r="G990" s="116">
        <v>229</v>
      </c>
      <c r="H990" s="1731" t="s">
        <v>41</v>
      </c>
      <c r="I990" s="118"/>
      <c r="J990" s="192"/>
      <c r="K990" s="104" t="s">
        <v>25</v>
      </c>
      <c r="L990" s="192"/>
      <c r="M990" s="192"/>
      <c r="N990" s="192"/>
      <c r="O990" s="2621" t="s">
        <v>6395</v>
      </c>
      <c r="Q990" s="118"/>
    </row>
    <row r="991" spans="1:17" ht="18.75" customHeight="1" x14ac:dyDescent="0.3">
      <c r="A991" s="189">
        <v>136</v>
      </c>
      <c r="B991" s="105" t="s">
        <v>194</v>
      </c>
      <c r="C991" s="195">
        <v>401</v>
      </c>
      <c r="D991" s="113">
        <v>59</v>
      </c>
      <c r="E991" s="114">
        <v>8256</v>
      </c>
      <c r="F991" s="115">
        <v>21645</v>
      </c>
      <c r="G991" s="116">
        <v>229</v>
      </c>
      <c r="H991" s="1731" t="s">
        <v>41</v>
      </c>
      <c r="I991" s="118"/>
      <c r="J991" s="192"/>
      <c r="K991" s="104" t="s">
        <v>25</v>
      </c>
      <c r="L991" s="192"/>
      <c r="M991" s="192"/>
      <c r="N991" s="192"/>
      <c r="O991" s="2621" t="s">
        <v>6395</v>
      </c>
      <c r="Q991" s="118"/>
    </row>
    <row r="992" spans="1:17" ht="18.75" customHeight="1" x14ac:dyDescent="0.3">
      <c r="A992" s="104">
        <v>137</v>
      </c>
      <c r="B992" s="105" t="s">
        <v>194</v>
      </c>
      <c r="C992" s="195">
        <v>401</v>
      </c>
      <c r="D992" s="125">
        <v>59</v>
      </c>
      <c r="E992" s="114">
        <v>8257</v>
      </c>
      <c r="F992" s="115">
        <v>21645</v>
      </c>
      <c r="G992" s="116">
        <v>229</v>
      </c>
      <c r="H992" s="1731" t="s">
        <v>41</v>
      </c>
      <c r="I992" s="118"/>
      <c r="J992" s="192"/>
      <c r="K992" s="104" t="s">
        <v>25</v>
      </c>
      <c r="L992" s="192"/>
      <c r="M992" s="192"/>
      <c r="N992" s="192"/>
      <c r="O992" s="2621" t="s">
        <v>6395</v>
      </c>
      <c r="Q992" s="118"/>
    </row>
    <row r="993" spans="1:17" ht="18.75" customHeight="1" x14ac:dyDescent="0.3">
      <c r="A993" s="189">
        <v>138</v>
      </c>
      <c r="B993" s="105" t="s">
        <v>194</v>
      </c>
      <c r="C993" s="195">
        <v>401</v>
      </c>
      <c r="D993" s="128">
        <v>59</v>
      </c>
      <c r="E993" s="114">
        <v>8258</v>
      </c>
      <c r="F993" s="115">
        <v>21645</v>
      </c>
      <c r="G993" s="116">
        <v>229</v>
      </c>
      <c r="H993" s="1731" t="s">
        <v>41</v>
      </c>
      <c r="I993" s="118"/>
      <c r="J993" s="192"/>
      <c r="K993" s="104" t="s">
        <v>25</v>
      </c>
      <c r="L993" s="192"/>
      <c r="M993" s="192"/>
      <c r="N993" s="192"/>
      <c r="O993" s="2621" t="s">
        <v>6395</v>
      </c>
      <c r="Q993" s="118"/>
    </row>
    <row r="994" spans="1:17" ht="18.75" customHeight="1" x14ac:dyDescent="0.3">
      <c r="A994" s="104">
        <v>139</v>
      </c>
      <c r="B994" s="105" t="s">
        <v>194</v>
      </c>
      <c r="C994" s="195">
        <v>401</v>
      </c>
      <c r="D994" s="113">
        <v>59</v>
      </c>
      <c r="E994" s="114">
        <v>8259</v>
      </c>
      <c r="F994" s="115">
        <v>21645</v>
      </c>
      <c r="G994" s="116">
        <v>229</v>
      </c>
      <c r="H994" s="1731" t="s">
        <v>41</v>
      </c>
      <c r="I994" s="118"/>
      <c r="J994" s="192"/>
      <c r="K994" s="104" t="s">
        <v>25</v>
      </c>
      <c r="L994" s="192"/>
      <c r="M994" s="192"/>
      <c r="N994" s="192"/>
      <c r="O994" s="2621" t="s">
        <v>6395</v>
      </c>
      <c r="Q994" s="118"/>
    </row>
    <row r="995" spans="1:17" ht="18.75" customHeight="1" x14ac:dyDescent="0.3">
      <c r="A995" s="189">
        <v>140</v>
      </c>
      <c r="B995" s="105" t="s">
        <v>194</v>
      </c>
      <c r="C995" s="195">
        <v>401</v>
      </c>
      <c r="D995" s="113">
        <v>59</v>
      </c>
      <c r="E995" s="114">
        <v>8260</v>
      </c>
      <c r="F995" s="115">
        <v>21645</v>
      </c>
      <c r="G995" s="116">
        <v>229</v>
      </c>
      <c r="H995" s="1731" t="s">
        <v>41</v>
      </c>
      <c r="I995" s="118"/>
      <c r="J995" s="192"/>
      <c r="K995" s="104" t="s">
        <v>25</v>
      </c>
      <c r="L995" s="192"/>
      <c r="M995" s="192"/>
      <c r="N995" s="192"/>
      <c r="O995" s="2621" t="s">
        <v>6395</v>
      </c>
      <c r="Q995" s="118"/>
    </row>
    <row r="996" spans="1:17" ht="18.75" customHeight="1" x14ac:dyDescent="0.3">
      <c r="A996" s="104">
        <v>141</v>
      </c>
      <c r="B996" s="105" t="s">
        <v>194</v>
      </c>
      <c r="C996" s="195">
        <v>401</v>
      </c>
      <c r="D996" s="136">
        <v>59</v>
      </c>
      <c r="E996" s="114">
        <v>8261</v>
      </c>
      <c r="F996" s="115">
        <v>21645</v>
      </c>
      <c r="G996" s="116">
        <v>229</v>
      </c>
      <c r="H996" s="1731" t="s">
        <v>41</v>
      </c>
      <c r="I996" s="118"/>
      <c r="J996" s="192"/>
      <c r="K996" s="104" t="s">
        <v>25</v>
      </c>
      <c r="L996" s="192"/>
      <c r="M996" s="192"/>
      <c r="N996" s="192"/>
      <c r="O996" s="2621" t="s">
        <v>6395</v>
      </c>
      <c r="Q996" s="118"/>
    </row>
    <row r="997" spans="1:17" ht="18.75" customHeight="1" x14ac:dyDescent="0.3">
      <c r="A997" s="189">
        <v>142</v>
      </c>
      <c r="B997" s="105" t="s">
        <v>194</v>
      </c>
      <c r="C997" s="195">
        <v>401</v>
      </c>
      <c r="D997" s="128">
        <v>59</v>
      </c>
      <c r="E997" s="114">
        <v>8262</v>
      </c>
      <c r="F997" s="115">
        <v>21645</v>
      </c>
      <c r="G997" s="116">
        <v>229</v>
      </c>
      <c r="H997" s="1731" t="s">
        <v>41</v>
      </c>
      <c r="I997" s="118"/>
      <c r="J997" s="192"/>
      <c r="K997" s="104" t="s">
        <v>25</v>
      </c>
      <c r="L997" s="192"/>
      <c r="M997" s="192"/>
      <c r="N997" s="192"/>
      <c r="O997" s="2621" t="s">
        <v>6395</v>
      </c>
      <c r="Q997" s="118"/>
    </row>
    <row r="998" spans="1:17" ht="18.75" customHeight="1" x14ac:dyDescent="0.3">
      <c r="A998" s="104">
        <v>143</v>
      </c>
      <c r="B998" s="105" t="s">
        <v>194</v>
      </c>
      <c r="C998" s="195">
        <v>401</v>
      </c>
      <c r="D998" s="113">
        <v>59</v>
      </c>
      <c r="E998" s="114">
        <v>8263</v>
      </c>
      <c r="F998" s="115">
        <v>21645</v>
      </c>
      <c r="G998" s="116">
        <v>229</v>
      </c>
      <c r="H998" s="1731" t="s">
        <v>41</v>
      </c>
      <c r="I998" s="118"/>
      <c r="J998" s="118"/>
      <c r="K998" s="104" t="s">
        <v>25</v>
      </c>
      <c r="L998" s="192"/>
      <c r="M998" s="192"/>
      <c r="N998" s="192"/>
      <c r="O998" s="2621" t="s">
        <v>6395</v>
      </c>
      <c r="Q998" s="118"/>
    </row>
    <row r="999" spans="1:17" ht="18.75" customHeight="1" x14ac:dyDescent="0.3">
      <c r="A999" s="189">
        <v>144</v>
      </c>
      <c r="B999" s="105" t="s">
        <v>194</v>
      </c>
      <c r="C999" s="195">
        <v>401</v>
      </c>
      <c r="D999" s="113">
        <v>59</v>
      </c>
      <c r="E999" s="114">
        <v>8264</v>
      </c>
      <c r="F999" s="115">
        <v>21645</v>
      </c>
      <c r="G999" s="116">
        <v>229</v>
      </c>
      <c r="H999" s="1731" t="s">
        <v>41</v>
      </c>
      <c r="I999" s="118"/>
      <c r="J999" s="192"/>
      <c r="K999" s="104" t="s">
        <v>25</v>
      </c>
      <c r="L999" s="192"/>
      <c r="M999" s="192"/>
      <c r="N999" s="192"/>
      <c r="O999" s="2621" t="s">
        <v>6395</v>
      </c>
      <c r="Q999" s="118"/>
    </row>
    <row r="1000" spans="1:17" ht="18.75" customHeight="1" x14ac:dyDescent="0.3">
      <c r="A1000" s="104">
        <v>145</v>
      </c>
      <c r="B1000" s="105" t="s">
        <v>194</v>
      </c>
      <c r="C1000" s="195">
        <v>401</v>
      </c>
      <c r="D1000" s="113">
        <v>59</v>
      </c>
      <c r="E1000" s="114">
        <v>8265</v>
      </c>
      <c r="F1000" s="115">
        <v>21645</v>
      </c>
      <c r="G1000" s="116">
        <v>229</v>
      </c>
      <c r="H1000" s="1731" t="s">
        <v>41</v>
      </c>
      <c r="I1000" s="118"/>
      <c r="J1000" s="192"/>
      <c r="K1000" s="104" t="s">
        <v>25</v>
      </c>
      <c r="L1000" s="192"/>
      <c r="M1000" s="192"/>
      <c r="N1000" s="192"/>
      <c r="O1000" s="2621" t="s">
        <v>6395</v>
      </c>
      <c r="Q1000" s="118"/>
    </row>
    <row r="1001" spans="1:17" ht="18.75" customHeight="1" x14ac:dyDescent="0.3">
      <c r="A1001" s="189">
        <v>146</v>
      </c>
      <c r="B1001" s="105" t="s">
        <v>194</v>
      </c>
      <c r="C1001" s="195">
        <v>401</v>
      </c>
      <c r="D1001" s="125">
        <v>59</v>
      </c>
      <c r="E1001" s="114">
        <v>8266</v>
      </c>
      <c r="F1001" s="115">
        <v>21645</v>
      </c>
      <c r="G1001" s="116">
        <v>229</v>
      </c>
      <c r="H1001" s="1731" t="s">
        <v>41</v>
      </c>
      <c r="I1001" s="118"/>
      <c r="J1001" s="192"/>
      <c r="K1001" s="104" t="s">
        <v>25</v>
      </c>
      <c r="L1001" s="192"/>
      <c r="M1001" s="192"/>
      <c r="N1001" s="192"/>
      <c r="O1001" s="2621" t="s">
        <v>6395</v>
      </c>
      <c r="Q1001" s="118"/>
    </row>
    <row r="1002" spans="1:17" ht="18.75" customHeight="1" x14ac:dyDescent="0.3">
      <c r="A1002" s="104">
        <v>147</v>
      </c>
      <c r="B1002" s="105" t="s">
        <v>194</v>
      </c>
      <c r="C1002" s="195">
        <v>401</v>
      </c>
      <c r="D1002" s="149">
        <v>59</v>
      </c>
      <c r="E1002" s="114">
        <v>8267</v>
      </c>
      <c r="F1002" s="115">
        <v>21645</v>
      </c>
      <c r="G1002" s="116">
        <v>229</v>
      </c>
      <c r="H1002" s="1731" t="s">
        <v>41</v>
      </c>
      <c r="I1002" s="118"/>
      <c r="J1002" s="192"/>
      <c r="K1002" s="104" t="s">
        <v>25</v>
      </c>
      <c r="L1002" s="192"/>
      <c r="M1002" s="192"/>
      <c r="N1002" s="192"/>
      <c r="O1002" s="2621" t="s">
        <v>6395</v>
      </c>
      <c r="Q1002" s="118"/>
    </row>
    <row r="1003" spans="1:17" ht="18.75" customHeight="1" x14ac:dyDescent="0.3">
      <c r="A1003" s="189">
        <v>148</v>
      </c>
      <c r="B1003" s="105" t="s">
        <v>194</v>
      </c>
      <c r="C1003" s="195">
        <v>401</v>
      </c>
      <c r="D1003" s="113">
        <v>59</v>
      </c>
      <c r="E1003" s="114">
        <v>8268</v>
      </c>
      <c r="F1003" s="115">
        <v>21645</v>
      </c>
      <c r="G1003" s="116">
        <v>229</v>
      </c>
      <c r="H1003" s="1731" t="s">
        <v>41</v>
      </c>
      <c r="I1003" s="118"/>
      <c r="J1003" s="192"/>
      <c r="K1003" s="104" t="s">
        <v>25</v>
      </c>
      <c r="L1003" s="192"/>
      <c r="M1003" s="192"/>
      <c r="N1003" s="192"/>
      <c r="O1003" s="2621" t="s">
        <v>6395</v>
      </c>
      <c r="Q1003" s="118"/>
    </row>
    <row r="1004" spans="1:17" ht="18.75" customHeight="1" x14ac:dyDescent="0.3">
      <c r="A1004" s="104">
        <v>149</v>
      </c>
      <c r="B1004" s="105" t="s">
        <v>194</v>
      </c>
      <c r="C1004" s="195">
        <v>401</v>
      </c>
      <c r="D1004" s="113">
        <v>59</v>
      </c>
      <c r="E1004" s="114">
        <v>8269</v>
      </c>
      <c r="F1004" s="115">
        <v>21645</v>
      </c>
      <c r="G1004" s="116">
        <v>229</v>
      </c>
      <c r="H1004" s="1731" t="s">
        <v>41</v>
      </c>
      <c r="I1004" s="118"/>
      <c r="J1004" s="192"/>
      <c r="K1004" s="104" t="s">
        <v>25</v>
      </c>
      <c r="L1004" s="192"/>
      <c r="M1004" s="192"/>
      <c r="N1004" s="192"/>
      <c r="O1004" s="2621" t="s">
        <v>6395</v>
      </c>
      <c r="Q1004" s="118"/>
    </row>
    <row r="1005" spans="1:17" ht="18.75" customHeight="1" x14ac:dyDescent="0.3">
      <c r="A1005" s="189">
        <v>150</v>
      </c>
      <c r="B1005" s="105" t="s">
        <v>194</v>
      </c>
      <c r="C1005" s="195">
        <v>401</v>
      </c>
      <c r="D1005" s="125">
        <v>59</v>
      </c>
      <c r="E1005" s="114">
        <v>8270</v>
      </c>
      <c r="F1005" s="115">
        <v>21645</v>
      </c>
      <c r="G1005" s="116">
        <v>229</v>
      </c>
      <c r="H1005" s="1731" t="s">
        <v>41</v>
      </c>
      <c r="I1005" s="118"/>
      <c r="J1005" s="192"/>
      <c r="K1005" s="104" t="s">
        <v>25</v>
      </c>
      <c r="L1005" s="192"/>
      <c r="M1005" s="192"/>
      <c r="N1005" s="192"/>
      <c r="O1005" s="2621" t="s">
        <v>6395</v>
      </c>
      <c r="Q1005" s="118"/>
    </row>
    <row r="1006" spans="1:17" ht="18.75" customHeight="1" x14ac:dyDescent="0.3">
      <c r="A1006" s="104">
        <v>151</v>
      </c>
      <c r="B1006" s="105" t="s">
        <v>194</v>
      </c>
      <c r="C1006" s="195">
        <v>401</v>
      </c>
      <c r="D1006" s="128">
        <v>59</v>
      </c>
      <c r="E1006" s="114">
        <v>8271</v>
      </c>
      <c r="F1006" s="115">
        <v>21645</v>
      </c>
      <c r="G1006" s="116">
        <v>229</v>
      </c>
      <c r="H1006" s="1731" t="s">
        <v>41</v>
      </c>
      <c r="I1006" s="118"/>
      <c r="J1006" s="192"/>
      <c r="K1006" s="104" t="s">
        <v>25</v>
      </c>
      <c r="L1006" s="192"/>
      <c r="M1006" s="192"/>
      <c r="N1006" s="192"/>
      <c r="O1006" s="2621" t="s">
        <v>6395</v>
      </c>
      <c r="Q1006" s="118"/>
    </row>
    <row r="1007" spans="1:17" ht="18.75" customHeight="1" x14ac:dyDescent="0.3">
      <c r="A1007" s="189">
        <v>152</v>
      </c>
      <c r="B1007" s="105" t="s">
        <v>194</v>
      </c>
      <c r="C1007" s="195">
        <v>401</v>
      </c>
      <c r="D1007" s="113">
        <v>59</v>
      </c>
      <c r="E1007" s="114">
        <v>8272</v>
      </c>
      <c r="F1007" s="115">
        <v>21645</v>
      </c>
      <c r="G1007" s="116">
        <v>229</v>
      </c>
      <c r="H1007" s="1731" t="s">
        <v>41</v>
      </c>
      <c r="I1007" s="118"/>
      <c r="J1007" s="192"/>
      <c r="K1007" s="104" t="s">
        <v>25</v>
      </c>
      <c r="L1007" s="192"/>
      <c r="M1007" s="192"/>
      <c r="N1007" s="192"/>
      <c r="O1007" s="2621" t="s">
        <v>6395</v>
      </c>
      <c r="Q1007" s="118"/>
    </row>
    <row r="1008" spans="1:17" ht="18.75" customHeight="1" x14ac:dyDescent="0.3">
      <c r="A1008" s="104">
        <v>153</v>
      </c>
      <c r="B1008" s="105" t="s">
        <v>194</v>
      </c>
      <c r="C1008" s="195">
        <v>401</v>
      </c>
      <c r="D1008" s="113">
        <v>59</v>
      </c>
      <c r="E1008" s="114">
        <v>8273</v>
      </c>
      <c r="F1008" s="115">
        <v>21645</v>
      </c>
      <c r="G1008" s="116">
        <v>229</v>
      </c>
      <c r="H1008" s="1731" t="s">
        <v>41</v>
      </c>
      <c r="I1008" s="118"/>
      <c r="J1008" s="192"/>
      <c r="K1008" s="104" t="s">
        <v>25</v>
      </c>
      <c r="L1008" s="192"/>
      <c r="M1008" s="192"/>
      <c r="N1008" s="192"/>
      <c r="O1008" s="2621" t="s">
        <v>6395</v>
      </c>
      <c r="Q1008" s="118"/>
    </row>
    <row r="1009" spans="1:17" ht="18.75" customHeight="1" x14ac:dyDescent="0.3">
      <c r="A1009" s="189">
        <v>154</v>
      </c>
      <c r="B1009" s="105" t="s">
        <v>194</v>
      </c>
      <c r="C1009" s="195">
        <v>401</v>
      </c>
      <c r="D1009" s="136">
        <v>59</v>
      </c>
      <c r="E1009" s="114">
        <v>8274</v>
      </c>
      <c r="F1009" s="115">
        <v>21645</v>
      </c>
      <c r="G1009" s="116">
        <v>229</v>
      </c>
      <c r="H1009" s="1731" t="s">
        <v>41</v>
      </c>
      <c r="I1009" s="118"/>
      <c r="J1009" s="192"/>
      <c r="K1009" s="104" t="s">
        <v>25</v>
      </c>
      <c r="L1009" s="192"/>
      <c r="M1009" s="192"/>
      <c r="N1009" s="192"/>
      <c r="O1009" s="2621" t="s">
        <v>6395</v>
      </c>
      <c r="Q1009" s="118"/>
    </row>
    <row r="1010" spans="1:17" ht="18.75" customHeight="1" x14ac:dyDescent="0.3">
      <c r="A1010" s="104">
        <v>155</v>
      </c>
      <c r="B1010" s="105" t="s">
        <v>194</v>
      </c>
      <c r="C1010" s="195">
        <v>401</v>
      </c>
      <c r="D1010" s="127">
        <v>59</v>
      </c>
      <c r="E1010" s="114">
        <v>8275</v>
      </c>
      <c r="F1010" s="115">
        <v>21645</v>
      </c>
      <c r="G1010" s="116">
        <v>229</v>
      </c>
      <c r="H1010" s="1731" t="s">
        <v>41</v>
      </c>
      <c r="I1010" s="118"/>
      <c r="J1010" s="192"/>
      <c r="K1010" s="104" t="s">
        <v>25</v>
      </c>
      <c r="L1010" s="192"/>
      <c r="M1010" s="192"/>
      <c r="N1010" s="192"/>
      <c r="O1010" s="2621" t="s">
        <v>6395</v>
      </c>
      <c r="Q1010" s="118"/>
    </row>
    <row r="1011" spans="1:17" ht="18.75" customHeight="1" x14ac:dyDescent="0.3">
      <c r="A1011" s="189">
        <v>156</v>
      </c>
      <c r="B1011" s="105" t="s">
        <v>194</v>
      </c>
      <c r="C1011" s="195">
        <v>401</v>
      </c>
      <c r="D1011" s="128">
        <v>59</v>
      </c>
      <c r="E1011" s="114">
        <v>8276</v>
      </c>
      <c r="F1011" s="115">
        <v>21645</v>
      </c>
      <c r="G1011" s="116">
        <v>229</v>
      </c>
      <c r="H1011" s="1731" t="s">
        <v>41</v>
      </c>
      <c r="I1011" s="118"/>
      <c r="J1011" s="192"/>
      <c r="K1011" s="104" t="s">
        <v>25</v>
      </c>
      <c r="L1011" s="192"/>
      <c r="M1011" s="192"/>
      <c r="N1011" s="192"/>
      <c r="O1011" s="2621" t="s">
        <v>6395</v>
      </c>
      <c r="Q1011" s="118"/>
    </row>
    <row r="1012" spans="1:17" ht="18.75" customHeight="1" x14ac:dyDescent="0.3">
      <c r="A1012" s="104">
        <v>157</v>
      </c>
      <c r="B1012" s="105" t="s">
        <v>194</v>
      </c>
      <c r="C1012" s="195">
        <v>401</v>
      </c>
      <c r="D1012" s="113">
        <v>59</v>
      </c>
      <c r="E1012" s="114">
        <v>8277</v>
      </c>
      <c r="F1012" s="115">
        <v>21645</v>
      </c>
      <c r="G1012" s="116">
        <v>229</v>
      </c>
      <c r="H1012" s="1731" t="s">
        <v>41</v>
      </c>
      <c r="I1012" s="118"/>
      <c r="J1012" s="192"/>
      <c r="K1012" s="104" t="s">
        <v>25</v>
      </c>
      <c r="L1012" s="192"/>
      <c r="M1012" s="192"/>
      <c r="N1012" s="192"/>
      <c r="O1012" s="2621" t="s">
        <v>6395</v>
      </c>
      <c r="Q1012" s="118"/>
    </row>
    <row r="1013" spans="1:17" ht="18.75" customHeight="1" x14ac:dyDescent="0.3">
      <c r="A1013" s="189">
        <v>158</v>
      </c>
      <c r="B1013" s="105" t="s">
        <v>194</v>
      </c>
      <c r="C1013" s="195">
        <v>401</v>
      </c>
      <c r="D1013" s="113">
        <v>59</v>
      </c>
      <c r="E1013" s="114">
        <v>8278</v>
      </c>
      <c r="F1013" s="115">
        <v>21645</v>
      </c>
      <c r="G1013" s="116">
        <v>229</v>
      </c>
      <c r="H1013" s="1731" t="s">
        <v>41</v>
      </c>
      <c r="I1013" s="118"/>
      <c r="J1013" s="192"/>
      <c r="K1013" s="104" t="s">
        <v>25</v>
      </c>
      <c r="L1013" s="192"/>
      <c r="M1013" s="192"/>
      <c r="N1013" s="192"/>
      <c r="O1013" s="2621" t="s">
        <v>6395</v>
      </c>
      <c r="Q1013" s="118"/>
    </row>
    <row r="1014" spans="1:17" ht="18.75" customHeight="1" x14ac:dyDescent="0.3">
      <c r="A1014" s="104">
        <v>159</v>
      </c>
      <c r="B1014" s="105" t="s">
        <v>194</v>
      </c>
      <c r="C1014" s="195">
        <v>401</v>
      </c>
      <c r="D1014" s="113">
        <v>59</v>
      </c>
      <c r="E1014" s="114">
        <v>8279</v>
      </c>
      <c r="F1014" s="115">
        <v>21645</v>
      </c>
      <c r="G1014" s="116">
        <v>229</v>
      </c>
      <c r="H1014" s="1731" t="s">
        <v>41</v>
      </c>
      <c r="I1014" s="118"/>
      <c r="J1014" s="192"/>
      <c r="K1014" s="104" t="s">
        <v>25</v>
      </c>
      <c r="L1014" s="192"/>
      <c r="M1014" s="192"/>
      <c r="N1014" s="192"/>
      <c r="O1014" s="2621" t="s">
        <v>6395</v>
      </c>
      <c r="Q1014" s="118"/>
    </row>
    <row r="1015" spans="1:17" ht="18.75" customHeight="1" x14ac:dyDescent="0.3">
      <c r="A1015" s="189">
        <v>160</v>
      </c>
      <c r="B1015" s="105" t="s">
        <v>194</v>
      </c>
      <c r="C1015" s="195">
        <v>401</v>
      </c>
      <c r="D1015" s="125">
        <v>59</v>
      </c>
      <c r="E1015" s="114">
        <v>8280</v>
      </c>
      <c r="F1015" s="115">
        <v>21645</v>
      </c>
      <c r="G1015" s="116">
        <v>229</v>
      </c>
      <c r="H1015" s="1731" t="s">
        <v>41</v>
      </c>
      <c r="I1015" s="118"/>
      <c r="J1015" s="192"/>
      <c r="K1015" s="104" t="s">
        <v>25</v>
      </c>
      <c r="L1015" s="192"/>
      <c r="M1015" s="192"/>
      <c r="N1015" s="192"/>
      <c r="O1015" s="2621" t="s">
        <v>6395</v>
      </c>
      <c r="Q1015" s="118"/>
    </row>
    <row r="1016" spans="1:17" ht="18.75" customHeight="1" x14ac:dyDescent="0.3">
      <c r="A1016" s="104">
        <v>161</v>
      </c>
      <c r="B1016" s="105" t="s">
        <v>194</v>
      </c>
      <c r="C1016" s="195">
        <v>401</v>
      </c>
      <c r="D1016" s="149">
        <v>59</v>
      </c>
      <c r="E1016" s="114">
        <v>8281</v>
      </c>
      <c r="F1016" s="115">
        <v>21645</v>
      </c>
      <c r="G1016" s="116">
        <v>229</v>
      </c>
      <c r="H1016" s="1731" t="s">
        <v>41</v>
      </c>
      <c r="I1016" s="118"/>
      <c r="J1016" s="192"/>
      <c r="K1016" s="104" t="s">
        <v>25</v>
      </c>
      <c r="L1016" s="192"/>
      <c r="M1016" s="192"/>
      <c r="N1016" s="192"/>
      <c r="O1016" s="2621" t="s">
        <v>6395</v>
      </c>
      <c r="Q1016" s="118"/>
    </row>
    <row r="1017" spans="1:17" ht="18.75" customHeight="1" x14ac:dyDescent="0.3">
      <c r="A1017" s="189">
        <v>162</v>
      </c>
      <c r="B1017" s="105" t="s">
        <v>194</v>
      </c>
      <c r="C1017" s="195">
        <v>401</v>
      </c>
      <c r="D1017" s="113">
        <v>59</v>
      </c>
      <c r="E1017" s="114">
        <v>8282</v>
      </c>
      <c r="F1017" s="115">
        <v>21645</v>
      </c>
      <c r="G1017" s="116">
        <v>229</v>
      </c>
      <c r="H1017" s="1731" t="s">
        <v>41</v>
      </c>
      <c r="I1017" s="118"/>
      <c r="J1017" s="192"/>
      <c r="K1017" s="104" t="s">
        <v>25</v>
      </c>
      <c r="L1017" s="192"/>
      <c r="M1017" s="192"/>
      <c r="N1017" s="192"/>
      <c r="O1017" s="2621" t="s">
        <v>6395</v>
      </c>
      <c r="Q1017" s="118"/>
    </row>
    <row r="1018" spans="1:17" ht="18.75" customHeight="1" x14ac:dyDescent="0.3">
      <c r="A1018" s="104">
        <v>163</v>
      </c>
      <c r="B1018" s="105" t="s">
        <v>194</v>
      </c>
      <c r="C1018" s="195">
        <v>401</v>
      </c>
      <c r="D1018" s="113">
        <v>59</v>
      </c>
      <c r="E1018" s="114">
        <v>8283</v>
      </c>
      <c r="F1018" s="115">
        <v>21645</v>
      </c>
      <c r="G1018" s="116">
        <v>229</v>
      </c>
      <c r="H1018" s="1731" t="s">
        <v>41</v>
      </c>
      <c r="I1018" s="118"/>
      <c r="J1018" s="192"/>
      <c r="K1018" s="104" t="s">
        <v>25</v>
      </c>
      <c r="L1018" s="192"/>
      <c r="M1018" s="192"/>
      <c r="N1018" s="192"/>
      <c r="O1018" s="2621" t="s">
        <v>6395</v>
      </c>
      <c r="Q1018" s="118"/>
    </row>
    <row r="1019" spans="1:17" ht="18.75" customHeight="1" x14ac:dyDescent="0.3">
      <c r="A1019" s="189">
        <v>164</v>
      </c>
      <c r="B1019" s="105" t="s">
        <v>194</v>
      </c>
      <c r="C1019" s="195">
        <v>401</v>
      </c>
      <c r="D1019" s="113">
        <v>59</v>
      </c>
      <c r="E1019" s="114">
        <v>8284</v>
      </c>
      <c r="F1019" s="115">
        <v>21645</v>
      </c>
      <c r="G1019" s="116">
        <v>229</v>
      </c>
      <c r="H1019" s="1731" t="s">
        <v>41</v>
      </c>
      <c r="I1019" s="118"/>
      <c r="J1019" s="192"/>
      <c r="K1019" s="104" t="s">
        <v>25</v>
      </c>
      <c r="L1019" s="192"/>
      <c r="M1019" s="192"/>
      <c r="N1019" s="192"/>
      <c r="O1019" s="2621" t="s">
        <v>6395</v>
      </c>
      <c r="Q1019" s="118"/>
    </row>
    <row r="1020" spans="1:17" ht="18.75" customHeight="1" x14ac:dyDescent="0.3">
      <c r="A1020" s="104">
        <v>165</v>
      </c>
      <c r="B1020" s="105" t="s">
        <v>194</v>
      </c>
      <c r="C1020" s="195">
        <v>401</v>
      </c>
      <c r="D1020" s="113">
        <v>59</v>
      </c>
      <c r="E1020" s="114">
        <v>8285</v>
      </c>
      <c r="F1020" s="115">
        <v>21645</v>
      </c>
      <c r="G1020" s="116">
        <v>229</v>
      </c>
      <c r="H1020" s="1731" t="s">
        <v>41</v>
      </c>
      <c r="I1020" s="118"/>
      <c r="J1020" s="192"/>
      <c r="K1020" s="104" t="s">
        <v>25</v>
      </c>
      <c r="L1020" s="192"/>
      <c r="M1020" s="192"/>
      <c r="N1020" s="192"/>
      <c r="O1020" s="2621" t="s">
        <v>6395</v>
      </c>
      <c r="Q1020" s="118"/>
    </row>
    <row r="1021" spans="1:17" ht="18.75" customHeight="1" x14ac:dyDescent="0.3">
      <c r="A1021" s="189">
        <v>166</v>
      </c>
      <c r="B1021" s="105" t="s">
        <v>194</v>
      </c>
      <c r="C1021" s="195">
        <v>401</v>
      </c>
      <c r="D1021" s="113">
        <v>59</v>
      </c>
      <c r="E1021" s="114">
        <v>8286</v>
      </c>
      <c r="F1021" s="115">
        <v>21645</v>
      </c>
      <c r="G1021" s="116">
        <v>229</v>
      </c>
      <c r="H1021" s="1731" t="s">
        <v>41</v>
      </c>
      <c r="I1021" s="118"/>
      <c r="J1021" s="192"/>
      <c r="K1021" s="104" t="s">
        <v>25</v>
      </c>
      <c r="L1021" s="192"/>
      <c r="M1021" s="192"/>
      <c r="N1021" s="192"/>
      <c r="O1021" s="2621" t="s">
        <v>6395</v>
      </c>
      <c r="Q1021" s="118"/>
    </row>
    <row r="1022" spans="1:17" ht="18.75" customHeight="1" x14ac:dyDescent="0.3">
      <c r="A1022" s="104">
        <v>167</v>
      </c>
      <c r="B1022" s="105" t="s">
        <v>194</v>
      </c>
      <c r="C1022" s="195">
        <v>401</v>
      </c>
      <c r="D1022" s="113">
        <v>59</v>
      </c>
      <c r="E1022" s="114">
        <v>8287</v>
      </c>
      <c r="F1022" s="115">
        <v>21645</v>
      </c>
      <c r="G1022" s="116">
        <v>229</v>
      </c>
      <c r="H1022" s="1731" t="s">
        <v>41</v>
      </c>
      <c r="I1022" s="118"/>
      <c r="J1022" s="192"/>
      <c r="K1022" s="104" t="s">
        <v>25</v>
      </c>
      <c r="L1022" s="192"/>
      <c r="M1022" s="192"/>
      <c r="N1022" s="192"/>
      <c r="O1022" s="2621" t="s">
        <v>6395</v>
      </c>
      <c r="Q1022" s="118"/>
    </row>
    <row r="1023" spans="1:17" ht="18.75" customHeight="1" x14ac:dyDescent="0.3">
      <c r="A1023" s="189">
        <v>168</v>
      </c>
      <c r="B1023" s="105" t="s">
        <v>194</v>
      </c>
      <c r="C1023" s="195">
        <v>401</v>
      </c>
      <c r="D1023" s="113">
        <v>59</v>
      </c>
      <c r="E1023" s="114">
        <v>8288</v>
      </c>
      <c r="F1023" s="115">
        <v>21645</v>
      </c>
      <c r="G1023" s="116">
        <v>229</v>
      </c>
      <c r="H1023" s="1731" t="s">
        <v>41</v>
      </c>
      <c r="I1023" s="118"/>
      <c r="J1023" s="192"/>
      <c r="K1023" s="104" t="s">
        <v>25</v>
      </c>
      <c r="L1023" s="192"/>
      <c r="M1023" s="192"/>
      <c r="N1023" s="192"/>
      <c r="O1023" s="2621" t="s">
        <v>6395</v>
      </c>
      <c r="Q1023" s="118"/>
    </row>
    <row r="1024" spans="1:17" ht="18.75" customHeight="1" x14ac:dyDescent="0.3">
      <c r="A1024" s="104">
        <v>169</v>
      </c>
      <c r="B1024" s="105" t="s">
        <v>194</v>
      </c>
      <c r="C1024" s="195">
        <v>401</v>
      </c>
      <c r="D1024" s="136">
        <v>59</v>
      </c>
      <c r="E1024" s="114">
        <v>8289</v>
      </c>
      <c r="F1024" s="115">
        <v>21645</v>
      </c>
      <c r="G1024" s="116">
        <v>229</v>
      </c>
      <c r="H1024" s="1731" t="s">
        <v>41</v>
      </c>
      <c r="I1024" s="118"/>
      <c r="J1024" s="192"/>
      <c r="K1024" s="104" t="s">
        <v>25</v>
      </c>
      <c r="L1024" s="192"/>
      <c r="M1024" s="192"/>
      <c r="N1024" s="192"/>
      <c r="O1024" s="2621" t="s">
        <v>6395</v>
      </c>
      <c r="Q1024" s="118"/>
    </row>
    <row r="1025" spans="1:17" ht="18.75" customHeight="1" x14ac:dyDescent="0.3">
      <c r="A1025" s="189">
        <v>170</v>
      </c>
      <c r="B1025" s="105" t="s">
        <v>194</v>
      </c>
      <c r="C1025" s="195">
        <v>401</v>
      </c>
      <c r="D1025" s="127">
        <v>59</v>
      </c>
      <c r="E1025" s="114">
        <v>8290</v>
      </c>
      <c r="F1025" s="115">
        <v>21645</v>
      </c>
      <c r="G1025" s="116">
        <v>229</v>
      </c>
      <c r="H1025" s="1731" t="s">
        <v>41</v>
      </c>
      <c r="I1025" s="118"/>
      <c r="J1025" s="192"/>
      <c r="K1025" s="104" t="s">
        <v>25</v>
      </c>
      <c r="L1025" s="192"/>
      <c r="M1025" s="192"/>
      <c r="N1025" s="192"/>
      <c r="O1025" s="2621" t="s">
        <v>6395</v>
      </c>
      <c r="Q1025" s="118"/>
    </row>
    <row r="1026" spans="1:17" ht="18.75" customHeight="1" x14ac:dyDescent="0.3">
      <c r="A1026" s="104">
        <v>171</v>
      </c>
      <c r="B1026" s="105" t="s">
        <v>194</v>
      </c>
      <c r="C1026" s="195">
        <v>401</v>
      </c>
      <c r="D1026" s="128">
        <v>59</v>
      </c>
      <c r="E1026" s="114">
        <v>8291</v>
      </c>
      <c r="F1026" s="115">
        <v>21645</v>
      </c>
      <c r="G1026" s="116">
        <v>229</v>
      </c>
      <c r="H1026" s="1731" t="s">
        <v>41</v>
      </c>
      <c r="I1026" s="118"/>
      <c r="J1026" s="192"/>
      <c r="K1026" s="104" t="s">
        <v>25</v>
      </c>
      <c r="L1026" s="192"/>
      <c r="M1026" s="192"/>
      <c r="N1026" s="192"/>
      <c r="O1026" s="2621" t="s">
        <v>6395</v>
      </c>
      <c r="Q1026" s="118"/>
    </row>
    <row r="1027" spans="1:17" ht="18.75" customHeight="1" x14ac:dyDescent="0.3">
      <c r="A1027" s="189">
        <v>172</v>
      </c>
      <c r="B1027" s="105" t="s">
        <v>194</v>
      </c>
      <c r="C1027" s="195">
        <v>401</v>
      </c>
      <c r="D1027" s="113">
        <v>59</v>
      </c>
      <c r="E1027" s="114">
        <v>8292</v>
      </c>
      <c r="F1027" s="115">
        <v>21645</v>
      </c>
      <c r="G1027" s="116">
        <v>229</v>
      </c>
      <c r="H1027" s="1731" t="s">
        <v>41</v>
      </c>
      <c r="I1027" s="118"/>
      <c r="J1027" s="192"/>
      <c r="K1027" s="104" t="s">
        <v>25</v>
      </c>
      <c r="L1027" s="192"/>
      <c r="M1027" s="192"/>
      <c r="N1027" s="192"/>
      <c r="O1027" s="2621" t="s">
        <v>6395</v>
      </c>
      <c r="Q1027" s="118"/>
    </row>
    <row r="1028" spans="1:17" ht="18.75" customHeight="1" x14ac:dyDescent="0.3">
      <c r="A1028" s="104">
        <v>173</v>
      </c>
      <c r="B1028" s="105" t="s">
        <v>194</v>
      </c>
      <c r="C1028" s="195">
        <v>401</v>
      </c>
      <c r="D1028" s="113">
        <v>59</v>
      </c>
      <c r="E1028" s="114">
        <v>8293</v>
      </c>
      <c r="F1028" s="115">
        <v>21645</v>
      </c>
      <c r="G1028" s="116">
        <v>229</v>
      </c>
      <c r="H1028" s="1731" t="s">
        <v>41</v>
      </c>
      <c r="I1028" s="118"/>
      <c r="J1028" s="192"/>
      <c r="K1028" s="104" t="s">
        <v>25</v>
      </c>
      <c r="L1028" s="192"/>
      <c r="M1028" s="192"/>
      <c r="N1028" s="192"/>
      <c r="O1028" s="2621" t="s">
        <v>6395</v>
      </c>
      <c r="Q1028" s="118"/>
    </row>
    <row r="1029" spans="1:17" ht="18.75" customHeight="1" x14ac:dyDescent="0.3">
      <c r="A1029" s="189">
        <v>174</v>
      </c>
      <c r="B1029" s="105" t="s">
        <v>194</v>
      </c>
      <c r="C1029" s="195">
        <v>401</v>
      </c>
      <c r="D1029" s="113">
        <v>59</v>
      </c>
      <c r="E1029" s="114">
        <v>8294</v>
      </c>
      <c r="F1029" s="115">
        <v>21645</v>
      </c>
      <c r="G1029" s="116">
        <v>229</v>
      </c>
      <c r="H1029" s="1731" t="s">
        <v>41</v>
      </c>
      <c r="I1029" s="118"/>
      <c r="J1029" s="192"/>
      <c r="K1029" s="104" t="s">
        <v>25</v>
      </c>
      <c r="L1029" s="192"/>
      <c r="M1029" s="192"/>
      <c r="N1029" s="192"/>
      <c r="O1029" s="2621" t="s">
        <v>6395</v>
      </c>
      <c r="Q1029" s="118"/>
    </row>
    <row r="1030" spans="1:17" ht="18.75" customHeight="1" x14ac:dyDescent="0.3">
      <c r="A1030" s="104">
        <v>175</v>
      </c>
      <c r="B1030" s="105" t="s">
        <v>194</v>
      </c>
      <c r="C1030" s="195">
        <v>401</v>
      </c>
      <c r="D1030" s="113">
        <v>59</v>
      </c>
      <c r="E1030" s="114">
        <v>8295</v>
      </c>
      <c r="F1030" s="115">
        <v>21645</v>
      </c>
      <c r="G1030" s="116">
        <v>229</v>
      </c>
      <c r="H1030" s="1731" t="s">
        <v>41</v>
      </c>
      <c r="I1030" s="118"/>
      <c r="J1030" s="192"/>
      <c r="K1030" s="104" t="s">
        <v>25</v>
      </c>
      <c r="L1030" s="192"/>
      <c r="M1030" s="192"/>
      <c r="N1030" s="192"/>
      <c r="O1030" s="2621" t="s">
        <v>6395</v>
      </c>
      <c r="Q1030" s="118"/>
    </row>
    <row r="1031" spans="1:17" ht="18.75" customHeight="1" x14ac:dyDescent="0.3">
      <c r="A1031" s="189">
        <v>176</v>
      </c>
      <c r="B1031" s="105" t="s">
        <v>194</v>
      </c>
      <c r="C1031" s="195">
        <v>401</v>
      </c>
      <c r="D1031" s="113">
        <v>59</v>
      </c>
      <c r="E1031" s="114">
        <v>8296</v>
      </c>
      <c r="F1031" s="115">
        <v>21645</v>
      </c>
      <c r="G1031" s="116">
        <v>229</v>
      </c>
      <c r="H1031" s="1731" t="s">
        <v>41</v>
      </c>
      <c r="I1031" s="118"/>
      <c r="J1031" s="192"/>
      <c r="K1031" s="104" t="s">
        <v>25</v>
      </c>
      <c r="L1031" s="192"/>
      <c r="M1031" s="192"/>
      <c r="N1031" s="192"/>
      <c r="O1031" s="2621" t="s">
        <v>6395</v>
      </c>
      <c r="Q1031" s="118"/>
    </row>
    <row r="1032" spans="1:17" ht="18.75" customHeight="1" x14ac:dyDescent="0.3">
      <c r="A1032" s="104">
        <v>177</v>
      </c>
      <c r="B1032" s="105" t="s">
        <v>194</v>
      </c>
      <c r="C1032" s="195">
        <v>401</v>
      </c>
      <c r="D1032" s="125">
        <v>59</v>
      </c>
      <c r="E1032" s="114">
        <v>8297</v>
      </c>
      <c r="F1032" s="115">
        <v>21645</v>
      </c>
      <c r="G1032" s="116">
        <v>229</v>
      </c>
      <c r="H1032" s="1731" t="s">
        <v>41</v>
      </c>
      <c r="I1032" s="118"/>
      <c r="J1032" s="192"/>
      <c r="K1032" s="104" t="s">
        <v>25</v>
      </c>
      <c r="L1032" s="192"/>
      <c r="M1032" s="192"/>
      <c r="N1032" s="192"/>
      <c r="O1032" s="2621" t="s">
        <v>6395</v>
      </c>
      <c r="Q1032" s="118"/>
    </row>
    <row r="1033" spans="1:17" ht="18.75" customHeight="1" x14ac:dyDescent="0.3">
      <c r="A1033" s="189">
        <v>178</v>
      </c>
      <c r="B1033" s="105" t="s">
        <v>194</v>
      </c>
      <c r="C1033" s="195">
        <v>401</v>
      </c>
      <c r="D1033" s="149">
        <v>59</v>
      </c>
      <c r="E1033" s="114">
        <v>8298</v>
      </c>
      <c r="F1033" s="115">
        <v>21645</v>
      </c>
      <c r="G1033" s="116">
        <v>229</v>
      </c>
      <c r="H1033" s="1731" t="s">
        <v>41</v>
      </c>
      <c r="I1033" s="118"/>
      <c r="J1033" s="192"/>
      <c r="K1033" s="104" t="s">
        <v>25</v>
      </c>
      <c r="L1033" s="192"/>
      <c r="M1033" s="192"/>
      <c r="N1033" s="192"/>
      <c r="O1033" s="2621" t="s">
        <v>6395</v>
      </c>
      <c r="Q1033" s="118"/>
    </row>
    <row r="1034" spans="1:17" ht="18.75" customHeight="1" x14ac:dyDescent="0.3">
      <c r="A1034" s="104">
        <v>179</v>
      </c>
      <c r="B1034" s="105" t="s">
        <v>194</v>
      </c>
      <c r="C1034" s="195">
        <v>401</v>
      </c>
      <c r="D1034" s="113">
        <v>59</v>
      </c>
      <c r="E1034" s="114">
        <v>8299</v>
      </c>
      <c r="F1034" s="115">
        <v>21645</v>
      </c>
      <c r="G1034" s="116">
        <v>229</v>
      </c>
      <c r="H1034" s="1731" t="s">
        <v>41</v>
      </c>
      <c r="I1034" s="118"/>
      <c r="J1034" s="192"/>
      <c r="K1034" s="104" t="s">
        <v>25</v>
      </c>
      <c r="L1034" s="192"/>
      <c r="M1034" s="192"/>
      <c r="N1034" s="192"/>
      <c r="O1034" s="2621" t="s">
        <v>6395</v>
      </c>
      <c r="Q1034" s="118"/>
    </row>
    <row r="1035" spans="1:17" ht="18.75" customHeight="1" x14ac:dyDescent="0.3">
      <c r="A1035" s="189">
        <v>180</v>
      </c>
      <c r="B1035" s="105" t="s">
        <v>194</v>
      </c>
      <c r="C1035" s="195">
        <v>401</v>
      </c>
      <c r="D1035" s="113">
        <v>59</v>
      </c>
      <c r="E1035" s="114">
        <v>8300</v>
      </c>
      <c r="F1035" s="115">
        <v>21645</v>
      </c>
      <c r="G1035" s="116">
        <v>229</v>
      </c>
      <c r="H1035" s="1731" t="s">
        <v>41</v>
      </c>
      <c r="I1035" s="118"/>
      <c r="J1035" s="192"/>
      <c r="K1035" s="104" t="s">
        <v>25</v>
      </c>
      <c r="L1035" s="192"/>
      <c r="M1035" s="192"/>
      <c r="N1035" s="192"/>
      <c r="O1035" s="2621" t="s">
        <v>6395</v>
      </c>
      <c r="Q1035" s="118"/>
    </row>
    <row r="1036" spans="1:17" ht="18.75" customHeight="1" x14ac:dyDescent="0.3">
      <c r="A1036" s="104">
        <v>181</v>
      </c>
      <c r="B1036" s="105" t="s">
        <v>194</v>
      </c>
      <c r="C1036" s="195">
        <v>401</v>
      </c>
      <c r="D1036" s="113">
        <v>59</v>
      </c>
      <c r="E1036" s="114">
        <v>8301</v>
      </c>
      <c r="F1036" s="115">
        <v>21645</v>
      </c>
      <c r="G1036" s="116">
        <v>229</v>
      </c>
      <c r="H1036" s="1731" t="s">
        <v>41</v>
      </c>
      <c r="I1036" s="118"/>
      <c r="J1036" s="192"/>
      <c r="K1036" s="104" t="s">
        <v>25</v>
      </c>
      <c r="L1036" s="192"/>
      <c r="M1036" s="192"/>
      <c r="N1036" s="192"/>
      <c r="O1036" s="2621" t="s">
        <v>6395</v>
      </c>
      <c r="Q1036" s="118"/>
    </row>
    <row r="1037" spans="1:17" ht="18.75" customHeight="1" x14ac:dyDescent="0.3">
      <c r="A1037" s="189">
        <v>182</v>
      </c>
      <c r="B1037" s="105" t="s">
        <v>194</v>
      </c>
      <c r="C1037" s="195">
        <v>401</v>
      </c>
      <c r="D1037" s="113">
        <v>59</v>
      </c>
      <c r="E1037" s="114">
        <v>8302</v>
      </c>
      <c r="F1037" s="115">
        <v>21645</v>
      </c>
      <c r="G1037" s="116">
        <v>229</v>
      </c>
      <c r="H1037" s="1731" t="s">
        <v>41</v>
      </c>
      <c r="I1037" s="118"/>
      <c r="J1037" s="192"/>
      <c r="K1037" s="104" t="s">
        <v>25</v>
      </c>
      <c r="L1037" s="192"/>
      <c r="M1037" s="192"/>
      <c r="N1037" s="192"/>
      <c r="O1037" s="2621" t="s">
        <v>6395</v>
      </c>
      <c r="Q1037" s="118"/>
    </row>
    <row r="1038" spans="1:17" ht="18.75" customHeight="1" x14ac:dyDescent="0.3">
      <c r="A1038" s="104">
        <v>183</v>
      </c>
      <c r="B1038" s="105" t="s">
        <v>194</v>
      </c>
      <c r="C1038" s="195">
        <v>401</v>
      </c>
      <c r="D1038" s="113">
        <v>59</v>
      </c>
      <c r="E1038" s="114">
        <v>8303</v>
      </c>
      <c r="F1038" s="115">
        <v>21645</v>
      </c>
      <c r="G1038" s="116">
        <v>229</v>
      </c>
      <c r="H1038" s="1731" t="s">
        <v>41</v>
      </c>
      <c r="I1038" s="118"/>
      <c r="J1038" s="192"/>
      <c r="K1038" s="104" t="s">
        <v>25</v>
      </c>
      <c r="L1038" s="192"/>
      <c r="M1038" s="192"/>
      <c r="N1038" s="192"/>
      <c r="O1038" s="2621" t="s">
        <v>6395</v>
      </c>
      <c r="Q1038" s="118"/>
    </row>
    <row r="1039" spans="1:17" ht="18.75" customHeight="1" x14ac:dyDescent="0.3">
      <c r="A1039" s="189">
        <v>184</v>
      </c>
      <c r="B1039" s="105" t="s">
        <v>194</v>
      </c>
      <c r="C1039" s="195">
        <v>401</v>
      </c>
      <c r="D1039" s="125">
        <v>59</v>
      </c>
      <c r="E1039" s="114">
        <v>8304</v>
      </c>
      <c r="F1039" s="115">
        <v>21645</v>
      </c>
      <c r="G1039" s="116">
        <v>229</v>
      </c>
      <c r="H1039" s="1731" t="s">
        <v>41</v>
      </c>
      <c r="I1039" s="118"/>
      <c r="J1039" s="192"/>
      <c r="K1039" s="104" t="s">
        <v>25</v>
      </c>
      <c r="L1039" s="192"/>
      <c r="M1039" s="192"/>
      <c r="N1039" s="192"/>
      <c r="O1039" s="2621" t="s">
        <v>6395</v>
      </c>
      <c r="Q1039" s="118"/>
    </row>
    <row r="1040" spans="1:17" ht="18.75" customHeight="1" x14ac:dyDescent="0.3">
      <c r="A1040" s="104">
        <v>185</v>
      </c>
      <c r="B1040" s="105" t="s">
        <v>194</v>
      </c>
      <c r="C1040" s="195">
        <v>401</v>
      </c>
      <c r="D1040" s="127">
        <v>59</v>
      </c>
      <c r="E1040" s="114">
        <v>8305</v>
      </c>
      <c r="F1040" s="115">
        <v>21645</v>
      </c>
      <c r="G1040" s="116">
        <v>229</v>
      </c>
      <c r="H1040" s="1731" t="s">
        <v>41</v>
      </c>
      <c r="I1040" s="118"/>
      <c r="J1040" s="192"/>
      <c r="K1040" s="104" t="s">
        <v>25</v>
      </c>
      <c r="L1040" s="192"/>
      <c r="M1040" s="192"/>
      <c r="N1040" s="192"/>
      <c r="O1040" s="2621" t="s">
        <v>6395</v>
      </c>
      <c r="Q1040" s="118"/>
    </row>
    <row r="1041" spans="1:17" ht="18.75" customHeight="1" x14ac:dyDescent="0.3">
      <c r="A1041" s="189">
        <v>186</v>
      </c>
      <c r="B1041" s="105" t="s">
        <v>194</v>
      </c>
      <c r="C1041" s="195">
        <v>401</v>
      </c>
      <c r="D1041" s="128">
        <v>59</v>
      </c>
      <c r="E1041" s="114">
        <v>8306</v>
      </c>
      <c r="F1041" s="115">
        <v>21645</v>
      </c>
      <c r="G1041" s="116">
        <v>229</v>
      </c>
      <c r="H1041" s="1731" t="s">
        <v>41</v>
      </c>
      <c r="I1041" s="118"/>
      <c r="J1041" s="192"/>
      <c r="K1041" s="104" t="s">
        <v>25</v>
      </c>
      <c r="L1041" s="192"/>
      <c r="M1041" s="192"/>
      <c r="N1041" s="192"/>
      <c r="O1041" s="2621" t="s">
        <v>6395</v>
      </c>
      <c r="Q1041" s="118"/>
    </row>
    <row r="1042" spans="1:17" ht="18.75" customHeight="1" x14ac:dyDescent="0.3">
      <c r="A1042" s="104">
        <v>187</v>
      </c>
      <c r="B1042" s="105" t="s">
        <v>194</v>
      </c>
      <c r="C1042" s="195">
        <v>401</v>
      </c>
      <c r="D1042" s="113">
        <v>59</v>
      </c>
      <c r="E1042" s="114">
        <v>8307</v>
      </c>
      <c r="F1042" s="115">
        <v>21645</v>
      </c>
      <c r="G1042" s="116">
        <v>229</v>
      </c>
      <c r="H1042" s="1731" t="s">
        <v>41</v>
      </c>
      <c r="I1042" s="118"/>
      <c r="J1042" s="192"/>
      <c r="K1042" s="104" t="s">
        <v>25</v>
      </c>
      <c r="L1042" s="192"/>
      <c r="M1042" s="192"/>
      <c r="N1042" s="192"/>
      <c r="O1042" s="2621" t="s">
        <v>6395</v>
      </c>
      <c r="Q1042" s="118"/>
    </row>
    <row r="1043" spans="1:17" ht="18.75" customHeight="1" x14ac:dyDescent="0.3">
      <c r="A1043" s="189">
        <v>188</v>
      </c>
      <c r="B1043" s="105" t="s">
        <v>194</v>
      </c>
      <c r="C1043" s="195">
        <v>401</v>
      </c>
      <c r="D1043" s="113">
        <v>59</v>
      </c>
      <c r="E1043" s="114">
        <v>8308</v>
      </c>
      <c r="F1043" s="115">
        <v>21645</v>
      </c>
      <c r="G1043" s="116">
        <v>229</v>
      </c>
      <c r="H1043" s="1731" t="s">
        <v>41</v>
      </c>
      <c r="I1043" s="118"/>
      <c r="J1043" s="192"/>
      <c r="K1043" s="104" t="s">
        <v>25</v>
      </c>
      <c r="L1043" s="192"/>
      <c r="M1043" s="192"/>
      <c r="N1043" s="192"/>
      <c r="O1043" s="2621" t="s">
        <v>6395</v>
      </c>
      <c r="Q1043" s="118"/>
    </row>
    <row r="1044" spans="1:17" ht="18.75" customHeight="1" x14ac:dyDescent="0.3">
      <c r="A1044" s="104">
        <v>189</v>
      </c>
      <c r="B1044" s="105" t="s">
        <v>194</v>
      </c>
      <c r="C1044" s="195">
        <v>401</v>
      </c>
      <c r="D1044" s="113">
        <v>59</v>
      </c>
      <c r="E1044" s="114">
        <v>8309</v>
      </c>
      <c r="F1044" s="115">
        <v>21645</v>
      </c>
      <c r="G1044" s="116">
        <v>229</v>
      </c>
      <c r="H1044" s="1731" t="s">
        <v>41</v>
      </c>
      <c r="I1044" s="118"/>
      <c r="J1044" s="192"/>
      <c r="K1044" s="104" t="s">
        <v>25</v>
      </c>
      <c r="L1044" s="192"/>
      <c r="M1044" s="192"/>
      <c r="N1044" s="192"/>
      <c r="O1044" s="2621" t="s">
        <v>6395</v>
      </c>
      <c r="Q1044" s="118"/>
    </row>
    <row r="1045" spans="1:17" ht="18.75" customHeight="1" x14ac:dyDescent="0.3">
      <c r="A1045" s="189">
        <v>190</v>
      </c>
      <c r="B1045" s="105" t="s">
        <v>194</v>
      </c>
      <c r="C1045" s="195">
        <v>401</v>
      </c>
      <c r="D1045" s="113">
        <v>59</v>
      </c>
      <c r="E1045" s="114">
        <v>8310</v>
      </c>
      <c r="F1045" s="115">
        <v>21645</v>
      </c>
      <c r="G1045" s="116">
        <v>229</v>
      </c>
      <c r="H1045" s="1731" t="s">
        <v>41</v>
      </c>
      <c r="I1045" s="118"/>
      <c r="J1045" s="192"/>
      <c r="K1045" s="104" t="s">
        <v>25</v>
      </c>
      <c r="L1045" s="192"/>
      <c r="M1045" s="192"/>
      <c r="N1045" s="192"/>
      <c r="O1045" s="2621" t="s">
        <v>6395</v>
      </c>
      <c r="Q1045" s="118"/>
    </row>
    <row r="1046" spans="1:17" ht="18.75" customHeight="1" x14ac:dyDescent="0.3">
      <c r="A1046" s="104">
        <v>191</v>
      </c>
      <c r="B1046" s="105" t="s">
        <v>194</v>
      </c>
      <c r="C1046" s="195">
        <v>401</v>
      </c>
      <c r="D1046" s="113">
        <v>59</v>
      </c>
      <c r="E1046" s="114">
        <v>8311</v>
      </c>
      <c r="F1046" s="115">
        <v>21645</v>
      </c>
      <c r="G1046" s="116">
        <v>229</v>
      </c>
      <c r="H1046" s="1731" t="s">
        <v>41</v>
      </c>
      <c r="I1046" s="118"/>
      <c r="J1046" s="192"/>
      <c r="K1046" s="104" t="s">
        <v>25</v>
      </c>
      <c r="L1046" s="192"/>
      <c r="M1046" s="192"/>
      <c r="N1046" s="192"/>
      <c r="O1046" s="2621" t="s">
        <v>6395</v>
      </c>
      <c r="Q1046" s="118"/>
    </row>
    <row r="1047" spans="1:17" ht="18.75" customHeight="1" x14ac:dyDescent="0.3">
      <c r="A1047" s="189">
        <v>192</v>
      </c>
      <c r="B1047" s="105" t="s">
        <v>194</v>
      </c>
      <c r="C1047" s="195">
        <v>401</v>
      </c>
      <c r="D1047" s="125">
        <v>59</v>
      </c>
      <c r="E1047" s="114">
        <v>8312</v>
      </c>
      <c r="F1047" s="115">
        <v>21645</v>
      </c>
      <c r="G1047" s="116">
        <v>229</v>
      </c>
      <c r="H1047" s="1731" t="s">
        <v>41</v>
      </c>
      <c r="I1047" s="118"/>
      <c r="J1047" s="192"/>
      <c r="K1047" s="104" t="s">
        <v>25</v>
      </c>
      <c r="L1047" s="192"/>
      <c r="M1047" s="192"/>
      <c r="N1047" s="192"/>
      <c r="O1047" s="2621" t="s">
        <v>6395</v>
      </c>
      <c r="Q1047" s="118"/>
    </row>
    <row r="1048" spans="1:17" ht="18.75" customHeight="1" x14ac:dyDescent="0.3">
      <c r="A1048" s="104">
        <v>193</v>
      </c>
      <c r="B1048" s="105" t="s">
        <v>194</v>
      </c>
      <c r="C1048" s="195">
        <v>401</v>
      </c>
      <c r="D1048" s="128">
        <v>59</v>
      </c>
      <c r="E1048" s="114">
        <v>8313</v>
      </c>
      <c r="F1048" s="115">
        <v>21645</v>
      </c>
      <c r="G1048" s="116">
        <v>229</v>
      </c>
      <c r="H1048" s="1731" t="s">
        <v>41</v>
      </c>
      <c r="I1048" s="118"/>
      <c r="J1048" s="192"/>
      <c r="K1048" s="104" t="s">
        <v>25</v>
      </c>
      <c r="L1048" s="192"/>
      <c r="M1048" s="192"/>
      <c r="N1048" s="192"/>
      <c r="O1048" s="2621" t="s">
        <v>6395</v>
      </c>
      <c r="Q1048" s="118"/>
    </row>
    <row r="1049" spans="1:17" ht="18.75" customHeight="1" x14ac:dyDescent="0.3">
      <c r="A1049" s="189">
        <v>194</v>
      </c>
      <c r="B1049" s="105" t="s">
        <v>194</v>
      </c>
      <c r="C1049" s="195">
        <v>401</v>
      </c>
      <c r="D1049" s="125">
        <v>59</v>
      </c>
      <c r="E1049" s="114">
        <v>8314</v>
      </c>
      <c r="F1049" s="115">
        <v>21645</v>
      </c>
      <c r="G1049" s="116">
        <v>229</v>
      </c>
      <c r="H1049" s="1731" t="s">
        <v>41</v>
      </c>
      <c r="I1049" s="118"/>
      <c r="J1049" s="192"/>
      <c r="K1049" s="104" t="s">
        <v>25</v>
      </c>
      <c r="L1049" s="192"/>
      <c r="M1049" s="192"/>
      <c r="N1049" s="192"/>
      <c r="O1049" s="2621" t="s">
        <v>6395</v>
      </c>
      <c r="Q1049" s="118"/>
    </row>
    <row r="1050" spans="1:17" ht="18.75" customHeight="1" x14ac:dyDescent="0.3">
      <c r="A1050" s="104">
        <v>195</v>
      </c>
      <c r="B1050" s="105" t="s">
        <v>194</v>
      </c>
      <c r="C1050" s="195">
        <v>401</v>
      </c>
      <c r="D1050" s="128">
        <v>59</v>
      </c>
      <c r="E1050" s="114">
        <v>8315</v>
      </c>
      <c r="F1050" s="115">
        <v>21645</v>
      </c>
      <c r="G1050" s="116">
        <v>229</v>
      </c>
      <c r="H1050" s="1731" t="s">
        <v>41</v>
      </c>
      <c r="I1050" s="118"/>
      <c r="J1050" s="192"/>
      <c r="K1050" s="104" t="s">
        <v>25</v>
      </c>
      <c r="L1050" s="192"/>
      <c r="M1050" s="192"/>
      <c r="N1050" s="192"/>
      <c r="O1050" s="2621" t="s">
        <v>6395</v>
      </c>
      <c r="Q1050" s="118"/>
    </row>
    <row r="1051" spans="1:17" ht="18.75" customHeight="1" x14ac:dyDescent="0.3">
      <c r="A1051" s="189">
        <v>196</v>
      </c>
      <c r="B1051" s="105" t="s">
        <v>194</v>
      </c>
      <c r="C1051" s="195">
        <v>401</v>
      </c>
      <c r="D1051" s="113">
        <v>59</v>
      </c>
      <c r="E1051" s="114">
        <v>8316</v>
      </c>
      <c r="F1051" s="115">
        <v>21645</v>
      </c>
      <c r="G1051" s="116">
        <v>229</v>
      </c>
      <c r="H1051" s="1731" t="s">
        <v>41</v>
      </c>
      <c r="I1051" s="118"/>
      <c r="J1051" s="192"/>
      <c r="K1051" s="104" t="s">
        <v>25</v>
      </c>
      <c r="L1051" s="192"/>
      <c r="M1051" s="192"/>
      <c r="N1051" s="192"/>
      <c r="O1051" s="2621" t="s">
        <v>6395</v>
      </c>
      <c r="Q1051" s="118"/>
    </row>
    <row r="1052" spans="1:17" ht="18.75" customHeight="1" x14ac:dyDescent="0.3">
      <c r="A1052" s="104">
        <v>197</v>
      </c>
      <c r="B1052" s="105" t="s">
        <v>194</v>
      </c>
      <c r="C1052" s="195">
        <v>401</v>
      </c>
      <c r="D1052" s="113">
        <v>59</v>
      </c>
      <c r="E1052" s="114">
        <v>8317</v>
      </c>
      <c r="F1052" s="115">
        <v>21645</v>
      </c>
      <c r="G1052" s="116">
        <v>229</v>
      </c>
      <c r="H1052" s="1731" t="s">
        <v>41</v>
      </c>
      <c r="I1052" s="118"/>
      <c r="J1052" s="192"/>
      <c r="K1052" s="104" t="s">
        <v>25</v>
      </c>
      <c r="L1052" s="192"/>
      <c r="M1052" s="192"/>
      <c r="N1052" s="192"/>
      <c r="O1052" s="2621" t="s">
        <v>6395</v>
      </c>
      <c r="Q1052" s="118"/>
    </row>
    <row r="1053" spans="1:17" ht="18.75" customHeight="1" x14ac:dyDescent="0.3">
      <c r="A1053" s="189">
        <v>198</v>
      </c>
      <c r="B1053" s="105" t="s">
        <v>194</v>
      </c>
      <c r="C1053" s="195">
        <v>401</v>
      </c>
      <c r="D1053" s="113">
        <v>59</v>
      </c>
      <c r="E1053" s="114">
        <v>8318</v>
      </c>
      <c r="F1053" s="115">
        <v>21645</v>
      </c>
      <c r="G1053" s="116">
        <v>229</v>
      </c>
      <c r="H1053" s="1731" t="s">
        <v>41</v>
      </c>
      <c r="I1053" s="118"/>
      <c r="J1053" s="192"/>
      <c r="K1053" s="104" t="s">
        <v>25</v>
      </c>
      <c r="L1053" s="192"/>
      <c r="M1053" s="192"/>
      <c r="N1053" s="192"/>
      <c r="O1053" s="2621" t="s">
        <v>6395</v>
      </c>
      <c r="Q1053" s="118"/>
    </row>
    <row r="1054" spans="1:17" ht="18.75" customHeight="1" x14ac:dyDescent="0.3">
      <c r="A1054" s="104">
        <v>199</v>
      </c>
      <c r="B1054" s="105" t="s">
        <v>194</v>
      </c>
      <c r="C1054" s="195">
        <v>401</v>
      </c>
      <c r="D1054" s="113">
        <v>59</v>
      </c>
      <c r="E1054" s="114">
        <v>8319</v>
      </c>
      <c r="F1054" s="115">
        <v>21645</v>
      </c>
      <c r="G1054" s="116">
        <v>229</v>
      </c>
      <c r="H1054" s="1731" t="s">
        <v>41</v>
      </c>
      <c r="I1054" s="118"/>
      <c r="J1054" s="192"/>
      <c r="K1054" s="104" t="s">
        <v>25</v>
      </c>
      <c r="L1054" s="192"/>
      <c r="M1054" s="192"/>
      <c r="N1054" s="192"/>
      <c r="O1054" s="2621" t="s">
        <v>6395</v>
      </c>
      <c r="Q1054" s="118"/>
    </row>
    <row r="1055" spans="1:17" ht="18.75" customHeight="1" x14ac:dyDescent="0.3">
      <c r="A1055" s="189">
        <v>200</v>
      </c>
      <c r="B1055" s="105" t="s">
        <v>194</v>
      </c>
      <c r="C1055" s="195">
        <v>401</v>
      </c>
      <c r="D1055" s="125">
        <v>59</v>
      </c>
      <c r="E1055" s="114">
        <v>8320</v>
      </c>
      <c r="F1055" s="115">
        <v>21645</v>
      </c>
      <c r="G1055" s="116">
        <v>229</v>
      </c>
      <c r="H1055" s="1731" t="s">
        <v>41</v>
      </c>
      <c r="I1055" s="118"/>
      <c r="J1055" s="192"/>
      <c r="K1055" s="104" t="s">
        <v>25</v>
      </c>
      <c r="L1055" s="192"/>
      <c r="M1055" s="192"/>
      <c r="N1055" s="192"/>
      <c r="O1055" s="2621" t="s">
        <v>6395</v>
      </c>
      <c r="Q1055" s="118"/>
    </row>
    <row r="1056" spans="1:17" ht="18.75" customHeight="1" x14ac:dyDescent="0.3">
      <c r="A1056" s="104">
        <v>201</v>
      </c>
      <c r="B1056" s="105" t="s">
        <v>194</v>
      </c>
      <c r="C1056" s="195">
        <v>401</v>
      </c>
      <c r="D1056" s="128">
        <v>59</v>
      </c>
      <c r="E1056" s="114">
        <v>8321</v>
      </c>
      <c r="F1056" s="115">
        <v>21645</v>
      </c>
      <c r="G1056" s="116">
        <v>229</v>
      </c>
      <c r="H1056" s="1731" t="s">
        <v>41</v>
      </c>
      <c r="I1056" s="118"/>
      <c r="J1056" s="192"/>
      <c r="K1056" s="104" t="s">
        <v>25</v>
      </c>
      <c r="L1056" s="192"/>
      <c r="M1056" s="192"/>
      <c r="N1056" s="192"/>
      <c r="O1056" s="2621" t="s">
        <v>6395</v>
      </c>
      <c r="Q1056" s="118"/>
    </row>
    <row r="1057" spans="1:17" ht="18.75" customHeight="1" x14ac:dyDescent="0.3">
      <c r="A1057" s="189">
        <v>202</v>
      </c>
      <c r="B1057" s="105" t="s">
        <v>194</v>
      </c>
      <c r="C1057" s="195">
        <v>401</v>
      </c>
      <c r="D1057" s="113">
        <v>59</v>
      </c>
      <c r="E1057" s="114">
        <v>8322</v>
      </c>
      <c r="F1057" s="115">
        <v>21645</v>
      </c>
      <c r="G1057" s="116">
        <v>229</v>
      </c>
      <c r="H1057" s="1731" t="s">
        <v>41</v>
      </c>
      <c r="I1057" s="118"/>
      <c r="J1057" s="192"/>
      <c r="K1057" s="104" t="s">
        <v>25</v>
      </c>
      <c r="L1057" s="192"/>
      <c r="M1057" s="192"/>
      <c r="N1057" s="192"/>
      <c r="O1057" s="2621" t="s">
        <v>6395</v>
      </c>
      <c r="Q1057" s="118"/>
    </row>
    <row r="1058" spans="1:17" ht="18.75" customHeight="1" x14ac:dyDescent="0.3">
      <c r="A1058" s="104">
        <v>203</v>
      </c>
      <c r="B1058" s="105" t="s">
        <v>194</v>
      </c>
      <c r="C1058" s="195">
        <v>401</v>
      </c>
      <c r="D1058" s="113">
        <v>59</v>
      </c>
      <c r="E1058" s="114">
        <v>8323</v>
      </c>
      <c r="F1058" s="115">
        <v>21645</v>
      </c>
      <c r="G1058" s="116">
        <v>229</v>
      </c>
      <c r="H1058" s="1731" t="s">
        <v>41</v>
      </c>
      <c r="I1058" s="118"/>
      <c r="J1058" s="192"/>
      <c r="K1058" s="104" t="s">
        <v>25</v>
      </c>
      <c r="L1058" s="192"/>
      <c r="M1058" s="192"/>
      <c r="N1058" s="192"/>
      <c r="O1058" s="2621" t="s">
        <v>6395</v>
      </c>
      <c r="Q1058" s="118"/>
    </row>
    <row r="1059" spans="1:17" ht="18.75" customHeight="1" x14ac:dyDescent="0.3">
      <c r="A1059" s="189">
        <v>204</v>
      </c>
      <c r="B1059" s="105" t="s">
        <v>194</v>
      </c>
      <c r="C1059" s="195">
        <v>401</v>
      </c>
      <c r="D1059" s="113">
        <v>59</v>
      </c>
      <c r="E1059" s="114">
        <v>8324</v>
      </c>
      <c r="F1059" s="115">
        <v>21645</v>
      </c>
      <c r="G1059" s="116">
        <v>229</v>
      </c>
      <c r="H1059" s="1731" t="s">
        <v>41</v>
      </c>
      <c r="I1059" s="118"/>
      <c r="J1059" s="192"/>
      <c r="K1059" s="104" t="s">
        <v>25</v>
      </c>
      <c r="L1059" s="192"/>
      <c r="M1059" s="192"/>
      <c r="N1059" s="192"/>
      <c r="O1059" s="2621" t="s">
        <v>6395</v>
      </c>
      <c r="Q1059" s="118"/>
    </row>
    <row r="1060" spans="1:17" ht="18.75" customHeight="1" x14ac:dyDescent="0.3">
      <c r="A1060" s="104">
        <v>205</v>
      </c>
      <c r="B1060" s="105" t="s">
        <v>194</v>
      </c>
      <c r="C1060" s="195">
        <v>401</v>
      </c>
      <c r="D1060" s="125">
        <v>59</v>
      </c>
      <c r="E1060" s="114">
        <v>8325</v>
      </c>
      <c r="F1060" s="115">
        <v>21645</v>
      </c>
      <c r="G1060" s="116">
        <v>229</v>
      </c>
      <c r="H1060" s="1731" t="s">
        <v>41</v>
      </c>
      <c r="I1060" s="118"/>
      <c r="J1060" s="192"/>
      <c r="K1060" s="104" t="s">
        <v>25</v>
      </c>
      <c r="L1060" s="192"/>
      <c r="M1060" s="192"/>
      <c r="N1060" s="192"/>
      <c r="O1060" s="2621" t="s">
        <v>6395</v>
      </c>
      <c r="Q1060" s="118"/>
    </row>
    <row r="1061" spans="1:17" ht="18.75" customHeight="1" x14ac:dyDescent="0.3">
      <c r="A1061" s="189">
        <v>206</v>
      </c>
      <c r="B1061" s="105" t="s">
        <v>194</v>
      </c>
      <c r="C1061" s="195">
        <v>401</v>
      </c>
      <c r="D1061" s="127">
        <v>59</v>
      </c>
      <c r="E1061" s="114">
        <v>8326</v>
      </c>
      <c r="F1061" s="115">
        <v>21645</v>
      </c>
      <c r="G1061" s="116">
        <v>229</v>
      </c>
      <c r="H1061" s="1731" t="s">
        <v>41</v>
      </c>
      <c r="I1061" s="118"/>
      <c r="J1061" s="192"/>
      <c r="K1061" s="104" t="s">
        <v>25</v>
      </c>
      <c r="L1061" s="192"/>
      <c r="M1061" s="192"/>
      <c r="N1061" s="192"/>
      <c r="O1061" s="2621" t="s">
        <v>6395</v>
      </c>
      <c r="Q1061" s="118"/>
    </row>
    <row r="1062" spans="1:17" ht="18.75" customHeight="1" x14ac:dyDescent="0.3">
      <c r="A1062" s="104">
        <v>207</v>
      </c>
      <c r="B1062" s="105" t="s">
        <v>194</v>
      </c>
      <c r="C1062" s="195">
        <v>401</v>
      </c>
      <c r="D1062" s="128">
        <v>59</v>
      </c>
      <c r="E1062" s="114">
        <v>8327</v>
      </c>
      <c r="F1062" s="115">
        <v>21645</v>
      </c>
      <c r="G1062" s="116">
        <v>229</v>
      </c>
      <c r="H1062" s="1731" t="s">
        <v>41</v>
      </c>
      <c r="I1062" s="118"/>
      <c r="J1062" s="192"/>
      <c r="K1062" s="104" t="s">
        <v>25</v>
      </c>
      <c r="L1062" s="192"/>
      <c r="M1062" s="192"/>
      <c r="N1062" s="192"/>
      <c r="O1062" s="2621" t="s">
        <v>6395</v>
      </c>
      <c r="Q1062" s="118"/>
    </row>
    <row r="1063" spans="1:17" ht="18.75" customHeight="1" x14ac:dyDescent="0.3">
      <c r="A1063" s="189">
        <v>208</v>
      </c>
      <c r="B1063" s="105" t="s">
        <v>194</v>
      </c>
      <c r="C1063" s="195">
        <v>401</v>
      </c>
      <c r="D1063" s="113">
        <v>59</v>
      </c>
      <c r="E1063" s="114">
        <v>8328</v>
      </c>
      <c r="F1063" s="115">
        <v>21645</v>
      </c>
      <c r="G1063" s="116">
        <v>229</v>
      </c>
      <c r="H1063" s="1731" t="s">
        <v>41</v>
      </c>
      <c r="I1063" s="118"/>
      <c r="J1063" s="192"/>
      <c r="K1063" s="104" t="s">
        <v>25</v>
      </c>
      <c r="L1063" s="192"/>
      <c r="M1063" s="192"/>
      <c r="N1063" s="192"/>
      <c r="O1063" s="2621" t="s">
        <v>6395</v>
      </c>
      <c r="Q1063" s="118"/>
    </row>
    <row r="1064" spans="1:17" ht="18.75" customHeight="1" x14ac:dyDescent="0.3">
      <c r="A1064" s="104">
        <v>209</v>
      </c>
      <c r="B1064" s="105" t="s">
        <v>194</v>
      </c>
      <c r="C1064" s="195">
        <v>401</v>
      </c>
      <c r="D1064" s="113">
        <v>59</v>
      </c>
      <c r="E1064" s="114">
        <v>8329</v>
      </c>
      <c r="F1064" s="115">
        <v>21645</v>
      </c>
      <c r="G1064" s="116">
        <v>229</v>
      </c>
      <c r="H1064" s="1731" t="s">
        <v>41</v>
      </c>
      <c r="I1064" s="118"/>
      <c r="J1064" s="192"/>
      <c r="K1064" s="104" t="s">
        <v>25</v>
      </c>
      <c r="L1064" s="192"/>
      <c r="M1064" s="192"/>
      <c r="N1064" s="192"/>
      <c r="O1064" s="2621" t="s">
        <v>6395</v>
      </c>
      <c r="Q1064" s="118"/>
    </row>
    <row r="1065" spans="1:17" ht="18.75" customHeight="1" x14ac:dyDescent="0.3">
      <c r="A1065" s="189">
        <v>210</v>
      </c>
      <c r="B1065" s="105" t="s">
        <v>194</v>
      </c>
      <c r="C1065" s="195">
        <v>401</v>
      </c>
      <c r="D1065" s="113">
        <v>59</v>
      </c>
      <c r="E1065" s="114">
        <v>8330</v>
      </c>
      <c r="F1065" s="115">
        <v>21645</v>
      </c>
      <c r="G1065" s="116">
        <v>229</v>
      </c>
      <c r="H1065" s="1731" t="s">
        <v>41</v>
      </c>
      <c r="I1065" s="118"/>
      <c r="J1065" s="192"/>
      <c r="K1065" s="104" t="s">
        <v>25</v>
      </c>
      <c r="L1065" s="192"/>
      <c r="M1065" s="192"/>
      <c r="N1065" s="192"/>
      <c r="O1065" s="2621" t="s">
        <v>6395</v>
      </c>
      <c r="Q1065" s="118"/>
    </row>
    <row r="1066" spans="1:17" ht="18.75" customHeight="1" x14ac:dyDescent="0.3">
      <c r="A1066" s="104">
        <v>211</v>
      </c>
      <c r="B1066" s="105" t="s">
        <v>194</v>
      </c>
      <c r="C1066" s="195">
        <v>401</v>
      </c>
      <c r="D1066" s="113">
        <v>59</v>
      </c>
      <c r="E1066" s="114">
        <v>8331</v>
      </c>
      <c r="F1066" s="115">
        <v>21645</v>
      </c>
      <c r="G1066" s="116">
        <v>229</v>
      </c>
      <c r="H1066" s="1731" t="s">
        <v>41</v>
      </c>
      <c r="I1066" s="118"/>
      <c r="J1066" s="192"/>
      <c r="K1066" s="104" t="s">
        <v>25</v>
      </c>
      <c r="L1066" s="192"/>
      <c r="M1066" s="192"/>
      <c r="N1066" s="192"/>
      <c r="O1066" s="2621" t="s">
        <v>6395</v>
      </c>
      <c r="Q1066" s="118"/>
    </row>
    <row r="1067" spans="1:17" ht="18.75" customHeight="1" x14ac:dyDescent="0.3">
      <c r="A1067" s="189">
        <v>212</v>
      </c>
      <c r="B1067" s="105" t="s">
        <v>194</v>
      </c>
      <c r="C1067" s="195">
        <v>401</v>
      </c>
      <c r="D1067" s="113">
        <v>59</v>
      </c>
      <c r="E1067" s="114">
        <v>8332</v>
      </c>
      <c r="F1067" s="115">
        <v>21645</v>
      </c>
      <c r="G1067" s="116">
        <v>229</v>
      </c>
      <c r="H1067" s="1731" t="s">
        <v>41</v>
      </c>
      <c r="I1067" s="118"/>
      <c r="J1067" s="192"/>
      <c r="K1067" s="104" t="s">
        <v>25</v>
      </c>
      <c r="L1067" s="192"/>
      <c r="M1067" s="192"/>
      <c r="N1067" s="192"/>
      <c r="O1067" s="2621" t="s">
        <v>6395</v>
      </c>
      <c r="Q1067" s="118"/>
    </row>
    <row r="1068" spans="1:17" ht="18.75" customHeight="1" x14ac:dyDescent="0.3">
      <c r="A1068" s="104">
        <v>213</v>
      </c>
      <c r="B1068" s="105" t="s">
        <v>194</v>
      </c>
      <c r="C1068" s="195">
        <v>401</v>
      </c>
      <c r="D1068" s="125">
        <v>59</v>
      </c>
      <c r="E1068" s="114">
        <v>8333</v>
      </c>
      <c r="F1068" s="115">
        <v>21645</v>
      </c>
      <c r="G1068" s="116">
        <v>229</v>
      </c>
      <c r="H1068" s="1731" t="s">
        <v>41</v>
      </c>
      <c r="I1068" s="118"/>
      <c r="J1068" s="192"/>
      <c r="K1068" s="104" t="s">
        <v>25</v>
      </c>
      <c r="L1068" s="192"/>
      <c r="M1068" s="192"/>
      <c r="N1068" s="192"/>
      <c r="O1068" s="2621" t="s">
        <v>6395</v>
      </c>
      <c r="Q1068" s="118"/>
    </row>
    <row r="1069" spans="1:17" ht="18.75" customHeight="1" x14ac:dyDescent="0.3">
      <c r="A1069" s="189">
        <v>214</v>
      </c>
      <c r="B1069" s="105" t="s">
        <v>194</v>
      </c>
      <c r="C1069" s="195">
        <v>401</v>
      </c>
      <c r="D1069" s="128">
        <v>59</v>
      </c>
      <c r="E1069" s="114">
        <v>8334</v>
      </c>
      <c r="F1069" s="115">
        <v>21645</v>
      </c>
      <c r="G1069" s="116">
        <v>229</v>
      </c>
      <c r="H1069" s="1731" t="s">
        <v>41</v>
      </c>
      <c r="I1069" s="118"/>
      <c r="J1069" s="192"/>
      <c r="K1069" s="104" t="s">
        <v>25</v>
      </c>
      <c r="L1069" s="192"/>
      <c r="M1069" s="192"/>
      <c r="N1069" s="192"/>
      <c r="O1069" s="2621" t="s">
        <v>6395</v>
      </c>
      <c r="Q1069" s="118"/>
    </row>
    <row r="1070" spans="1:17" ht="18.75" customHeight="1" x14ac:dyDescent="0.3">
      <c r="A1070" s="104">
        <v>215</v>
      </c>
      <c r="B1070" s="105" t="s">
        <v>194</v>
      </c>
      <c r="C1070" s="195">
        <v>401</v>
      </c>
      <c r="D1070" s="113">
        <v>59</v>
      </c>
      <c r="E1070" s="114">
        <v>8335</v>
      </c>
      <c r="F1070" s="115">
        <v>21645</v>
      </c>
      <c r="G1070" s="116">
        <v>229</v>
      </c>
      <c r="H1070" s="1731" t="s">
        <v>41</v>
      </c>
      <c r="I1070" s="118"/>
      <c r="J1070" s="192"/>
      <c r="K1070" s="104" t="s">
        <v>25</v>
      </c>
      <c r="L1070" s="192"/>
      <c r="M1070" s="192"/>
      <c r="N1070" s="192"/>
      <c r="O1070" s="2621" t="s">
        <v>6395</v>
      </c>
      <c r="Q1070" s="118"/>
    </row>
    <row r="1071" spans="1:17" ht="18.75" customHeight="1" x14ac:dyDescent="0.3">
      <c r="A1071" s="189">
        <v>216</v>
      </c>
      <c r="B1071" s="105" t="s">
        <v>194</v>
      </c>
      <c r="C1071" s="195">
        <v>401</v>
      </c>
      <c r="D1071" s="113">
        <v>59</v>
      </c>
      <c r="E1071" s="114">
        <v>8336</v>
      </c>
      <c r="F1071" s="115">
        <v>21645</v>
      </c>
      <c r="G1071" s="116">
        <v>229</v>
      </c>
      <c r="H1071" s="1731" t="s">
        <v>41</v>
      </c>
      <c r="I1071" s="118"/>
      <c r="J1071" s="192"/>
      <c r="K1071" s="104" t="s">
        <v>25</v>
      </c>
      <c r="L1071" s="192"/>
      <c r="M1071" s="192"/>
      <c r="N1071" s="192"/>
      <c r="O1071" s="2621" t="s">
        <v>6395</v>
      </c>
      <c r="Q1071" s="118"/>
    </row>
    <row r="1072" spans="1:17" ht="18.75" customHeight="1" x14ac:dyDescent="0.3">
      <c r="A1072" s="104">
        <v>217</v>
      </c>
      <c r="B1072" s="105" t="s">
        <v>194</v>
      </c>
      <c r="C1072" s="195">
        <v>401</v>
      </c>
      <c r="D1072" s="113">
        <v>59</v>
      </c>
      <c r="E1072" s="114">
        <v>8337</v>
      </c>
      <c r="F1072" s="115">
        <v>21645</v>
      </c>
      <c r="G1072" s="116">
        <v>229</v>
      </c>
      <c r="H1072" s="1731" t="s">
        <v>41</v>
      </c>
      <c r="I1072" s="118"/>
      <c r="J1072" s="192"/>
      <c r="K1072" s="104" t="s">
        <v>25</v>
      </c>
      <c r="L1072" s="192"/>
      <c r="M1072" s="192"/>
      <c r="N1072" s="192"/>
      <c r="O1072" s="2621" t="s">
        <v>6395</v>
      </c>
      <c r="Q1072" s="118"/>
    </row>
    <row r="1073" spans="1:17" ht="18.75" customHeight="1" x14ac:dyDescent="0.3">
      <c r="A1073" s="189">
        <v>218</v>
      </c>
      <c r="B1073" s="105" t="s">
        <v>194</v>
      </c>
      <c r="C1073" s="195">
        <v>401</v>
      </c>
      <c r="D1073" s="113">
        <v>59</v>
      </c>
      <c r="E1073" s="114">
        <v>8338</v>
      </c>
      <c r="F1073" s="115">
        <v>21645</v>
      </c>
      <c r="G1073" s="116">
        <v>229</v>
      </c>
      <c r="H1073" s="1731" t="s">
        <v>41</v>
      </c>
      <c r="I1073" s="118"/>
      <c r="J1073" s="192"/>
      <c r="K1073" s="104" t="s">
        <v>25</v>
      </c>
      <c r="L1073" s="192"/>
      <c r="M1073" s="192"/>
      <c r="N1073" s="192"/>
      <c r="O1073" s="2621" t="s">
        <v>6395</v>
      </c>
      <c r="Q1073" s="118"/>
    </row>
    <row r="1074" spans="1:17" ht="18.75" customHeight="1" x14ac:dyDescent="0.3">
      <c r="A1074" s="104">
        <v>219</v>
      </c>
      <c r="B1074" s="105" t="s">
        <v>194</v>
      </c>
      <c r="C1074" s="195">
        <v>401</v>
      </c>
      <c r="D1074" s="113">
        <v>59</v>
      </c>
      <c r="E1074" s="114">
        <v>8339</v>
      </c>
      <c r="F1074" s="115">
        <v>21645</v>
      </c>
      <c r="G1074" s="116">
        <v>229</v>
      </c>
      <c r="H1074" s="1731" t="s">
        <v>41</v>
      </c>
      <c r="I1074" s="118"/>
      <c r="J1074" s="192"/>
      <c r="K1074" s="104" t="s">
        <v>25</v>
      </c>
      <c r="L1074" s="192"/>
      <c r="M1074" s="192"/>
      <c r="N1074" s="192"/>
      <c r="O1074" s="2621" t="s">
        <v>6395</v>
      </c>
      <c r="Q1074" s="118"/>
    </row>
    <row r="1075" spans="1:17" ht="18.75" customHeight="1" x14ac:dyDescent="0.3">
      <c r="A1075" s="189">
        <v>220</v>
      </c>
      <c r="B1075" s="105" t="s">
        <v>194</v>
      </c>
      <c r="C1075" s="195">
        <v>401</v>
      </c>
      <c r="D1075" s="125">
        <v>59</v>
      </c>
      <c r="E1075" s="114">
        <v>8340</v>
      </c>
      <c r="F1075" s="115">
        <v>21645</v>
      </c>
      <c r="G1075" s="116">
        <v>229</v>
      </c>
      <c r="H1075" s="1731" t="s">
        <v>41</v>
      </c>
      <c r="I1075" s="118"/>
      <c r="J1075" s="192"/>
      <c r="K1075" s="104" t="s">
        <v>25</v>
      </c>
      <c r="L1075" s="192"/>
      <c r="M1075" s="192"/>
      <c r="N1075" s="192"/>
      <c r="O1075" s="2621" t="s">
        <v>6395</v>
      </c>
      <c r="Q1075" s="118"/>
    </row>
    <row r="1076" spans="1:17" ht="18.75" customHeight="1" x14ac:dyDescent="0.3">
      <c r="A1076" s="104">
        <v>221</v>
      </c>
      <c r="B1076" s="105" t="s">
        <v>194</v>
      </c>
      <c r="C1076" s="195">
        <v>401</v>
      </c>
      <c r="D1076" s="128">
        <v>59</v>
      </c>
      <c r="E1076" s="114">
        <v>8341</v>
      </c>
      <c r="F1076" s="115">
        <v>21645</v>
      </c>
      <c r="G1076" s="116">
        <v>229</v>
      </c>
      <c r="H1076" s="1731" t="s">
        <v>41</v>
      </c>
      <c r="I1076" s="118"/>
      <c r="J1076" s="192"/>
      <c r="K1076" s="104" t="s">
        <v>25</v>
      </c>
      <c r="L1076" s="192"/>
      <c r="M1076" s="192"/>
      <c r="N1076" s="192"/>
      <c r="O1076" s="2621" t="s">
        <v>6395</v>
      </c>
      <c r="Q1076" s="118"/>
    </row>
    <row r="1077" spans="1:17" ht="18.75" customHeight="1" x14ac:dyDescent="0.3">
      <c r="A1077" s="189">
        <v>222</v>
      </c>
      <c r="B1077" s="105" t="s">
        <v>194</v>
      </c>
      <c r="C1077" s="195">
        <v>401</v>
      </c>
      <c r="D1077" s="113">
        <v>59</v>
      </c>
      <c r="E1077" s="114">
        <v>8342</v>
      </c>
      <c r="F1077" s="115">
        <v>21645</v>
      </c>
      <c r="G1077" s="116">
        <v>229</v>
      </c>
      <c r="H1077" s="1731" t="s">
        <v>41</v>
      </c>
      <c r="I1077" s="118"/>
      <c r="J1077" s="192"/>
      <c r="K1077" s="104" t="s">
        <v>25</v>
      </c>
      <c r="L1077" s="192"/>
      <c r="M1077" s="192"/>
      <c r="N1077" s="192"/>
      <c r="O1077" s="2621" t="s">
        <v>6395</v>
      </c>
      <c r="Q1077" s="118"/>
    </row>
    <row r="1078" spans="1:17" ht="18.75" customHeight="1" x14ac:dyDescent="0.3">
      <c r="A1078" s="104">
        <v>223</v>
      </c>
      <c r="B1078" s="105" t="s">
        <v>194</v>
      </c>
      <c r="C1078" s="195">
        <v>401</v>
      </c>
      <c r="D1078" s="113">
        <v>59</v>
      </c>
      <c r="E1078" s="114">
        <v>8343</v>
      </c>
      <c r="F1078" s="115">
        <v>21645</v>
      </c>
      <c r="G1078" s="116">
        <v>229</v>
      </c>
      <c r="H1078" s="1731" t="s">
        <v>41</v>
      </c>
      <c r="I1078" s="118"/>
      <c r="J1078" s="192"/>
      <c r="K1078" s="104" t="s">
        <v>25</v>
      </c>
      <c r="L1078" s="192"/>
      <c r="M1078" s="192"/>
      <c r="N1078" s="192"/>
      <c r="O1078" s="2621" t="s">
        <v>6395</v>
      </c>
      <c r="Q1078" s="118"/>
    </row>
    <row r="1079" spans="1:17" ht="18.75" customHeight="1" x14ac:dyDescent="0.3">
      <c r="A1079" s="189">
        <v>224</v>
      </c>
      <c r="B1079" s="105" t="s">
        <v>194</v>
      </c>
      <c r="C1079" s="195">
        <v>401</v>
      </c>
      <c r="D1079" s="113">
        <v>59</v>
      </c>
      <c r="E1079" s="114">
        <v>8344</v>
      </c>
      <c r="F1079" s="115">
        <v>21645</v>
      </c>
      <c r="G1079" s="116">
        <v>229</v>
      </c>
      <c r="H1079" s="1731" t="s">
        <v>41</v>
      </c>
      <c r="I1079" s="118"/>
      <c r="J1079" s="192"/>
      <c r="K1079" s="104" t="s">
        <v>25</v>
      </c>
      <c r="L1079" s="192"/>
      <c r="M1079" s="192"/>
      <c r="N1079" s="192"/>
      <c r="O1079" s="2621" t="s">
        <v>6395</v>
      </c>
      <c r="Q1079" s="118"/>
    </row>
    <row r="1080" spans="1:17" ht="18.75" customHeight="1" x14ac:dyDescent="0.3">
      <c r="A1080" s="104">
        <v>225</v>
      </c>
      <c r="B1080" s="105" t="s">
        <v>194</v>
      </c>
      <c r="C1080" s="195">
        <v>401</v>
      </c>
      <c r="D1080" s="113">
        <v>59</v>
      </c>
      <c r="E1080" s="114">
        <v>8345</v>
      </c>
      <c r="F1080" s="115">
        <v>21645</v>
      </c>
      <c r="G1080" s="116">
        <v>229</v>
      </c>
      <c r="H1080" s="1731" t="s">
        <v>41</v>
      </c>
      <c r="I1080" s="118"/>
      <c r="J1080" s="192"/>
      <c r="K1080" s="104" t="s">
        <v>25</v>
      </c>
      <c r="L1080" s="192"/>
      <c r="M1080" s="192"/>
      <c r="N1080" s="192"/>
      <c r="O1080" s="2621" t="s">
        <v>6395</v>
      </c>
      <c r="Q1080" s="118"/>
    </row>
    <row r="1081" spans="1:17" ht="18.75" customHeight="1" x14ac:dyDescent="0.3">
      <c r="A1081" s="189">
        <v>226</v>
      </c>
      <c r="B1081" s="105" t="s">
        <v>194</v>
      </c>
      <c r="C1081" s="195">
        <v>401</v>
      </c>
      <c r="D1081" s="113">
        <v>59</v>
      </c>
      <c r="E1081" s="114">
        <v>8346</v>
      </c>
      <c r="F1081" s="115">
        <v>21645</v>
      </c>
      <c r="G1081" s="116">
        <v>229</v>
      </c>
      <c r="H1081" s="1731" t="s">
        <v>41</v>
      </c>
      <c r="I1081" s="118"/>
      <c r="J1081" s="192"/>
      <c r="K1081" s="104" t="s">
        <v>25</v>
      </c>
      <c r="L1081" s="192"/>
      <c r="M1081" s="192"/>
      <c r="N1081" s="192"/>
      <c r="O1081" s="2621" t="s">
        <v>6395</v>
      </c>
      <c r="Q1081" s="118"/>
    </row>
    <row r="1082" spans="1:17" ht="18.75" customHeight="1" x14ac:dyDescent="0.3">
      <c r="A1082" s="104">
        <v>227</v>
      </c>
      <c r="B1082" s="105" t="s">
        <v>194</v>
      </c>
      <c r="C1082" s="195">
        <v>401</v>
      </c>
      <c r="D1082" s="113">
        <v>59</v>
      </c>
      <c r="E1082" s="114">
        <v>8347</v>
      </c>
      <c r="F1082" s="115">
        <v>21645</v>
      </c>
      <c r="G1082" s="116">
        <v>229</v>
      </c>
      <c r="H1082" s="1731" t="s">
        <v>41</v>
      </c>
      <c r="I1082" s="118"/>
      <c r="J1082" s="192"/>
      <c r="K1082" s="104" t="s">
        <v>25</v>
      </c>
      <c r="L1082" s="192"/>
      <c r="M1082" s="192"/>
      <c r="N1082" s="192"/>
      <c r="O1082" s="2621" t="s">
        <v>6395</v>
      </c>
      <c r="Q1082" s="118"/>
    </row>
    <row r="1083" spans="1:17" ht="18.75" customHeight="1" x14ac:dyDescent="0.3">
      <c r="A1083" s="189">
        <v>228</v>
      </c>
      <c r="B1083" s="105" t="s">
        <v>194</v>
      </c>
      <c r="C1083" s="195">
        <v>401</v>
      </c>
      <c r="D1083" s="113">
        <v>59</v>
      </c>
      <c r="E1083" s="114">
        <v>8348</v>
      </c>
      <c r="F1083" s="115">
        <v>21645</v>
      </c>
      <c r="G1083" s="116">
        <v>229</v>
      </c>
      <c r="H1083" s="1731" t="s">
        <v>41</v>
      </c>
      <c r="I1083" s="118"/>
      <c r="J1083" s="192"/>
      <c r="K1083" s="104" t="s">
        <v>25</v>
      </c>
      <c r="L1083" s="192"/>
      <c r="M1083" s="192"/>
      <c r="N1083" s="192"/>
      <c r="O1083" s="2621" t="s">
        <v>6395</v>
      </c>
      <c r="Q1083" s="118"/>
    </row>
    <row r="1084" spans="1:17" ht="18.75" customHeight="1" x14ac:dyDescent="0.3">
      <c r="A1084" s="104">
        <v>229</v>
      </c>
      <c r="B1084" s="105" t="s">
        <v>194</v>
      </c>
      <c r="C1084" s="195">
        <v>401</v>
      </c>
      <c r="D1084" s="113">
        <v>59</v>
      </c>
      <c r="E1084" s="114">
        <v>8349</v>
      </c>
      <c r="F1084" s="115">
        <v>21645</v>
      </c>
      <c r="G1084" s="116">
        <v>229</v>
      </c>
      <c r="H1084" s="1731" t="s">
        <v>41</v>
      </c>
      <c r="I1084" s="118"/>
      <c r="J1084" s="192"/>
      <c r="K1084" s="104" t="s">
        <v>25</v>
      </c>
      <c r="L1084" s="192"/>
      <c r="M1084" s="192"/>
      <c r="N1084" s="192"/>
      <c r="O1084" s="2621" t="s">
        <v>6395</v>
      </c>
      <c r="Q1084" s="118"/>
    </row>
    <row r="1085" spans="1:17" ht="18.75" customHeight="1" x14ac:dyDescent="0.3">
      <c r="A1085" s="189">
        <v>230</v>
      </c>
      <c r="B1085" s="105" t="s">
        <v>194</v>
      </c>
      <c r="C1085" s="195">
        <v>401</v>
      </c>
      <c r="D1085" s="113">
        <v>59</v>
      </c>
      <c r="E1085" s="114">
        <v>8350</v>
      </c>
      <c r="F1085" s="115">
        <v>21645</v>
      </c>
      <c r="G1085" s="116">
        <v>229</v>
      </c>
      <c r="H1085" s="1731" t="s">
        <v>41</v>
      </c>
      <c r="I1085" s="118"/>
      <c r="J1085" s="192"/>
      <c r="K1085" s="104" t="s">
        <v>25</v>
      </c>
      <c r="L1085" s="192"/>
      <c r="M1085" s="192"/>
      <c r="N1085" s="192"/>
      <c r="O1085" s="2621" t="s">
        <v>6395</v>
      </c>
      <c r="Q1085" s="118"/>
    </row>
    <row r="1086" spans="1:17" ht="18.75" customHeight="1" x14ac:dyDescent="0.3">
      <c r="A1086" s="104">
        <v>231</v>
      </c>
      <c r="B1086" s="105" t="s">
        <v>194</v>
      </c>
      <c r="C1086" s="195">
        <v>401</v>
      </c>
      <c r="D1086" s="113">
        <v>59</v>
      </c>
      <c r="E1086" s="114">
        <v>8351</v>
      </c>
      <c r="F1086" s="115">
        <v>21645</v>
      </c>
      <c r="G1086" s="116">
        <v>229</v>
      </c>
      <c r="H1086" s="1731" t="s">
        <v>41</v>
      </c>
      <c r="I1086" s="118"/>
      <c r="J1086" s="192"/>
      <c r="K1086" s="104" t="s">
        <v>25</v>
      </c>
      <c r="L1086" s="192"/>
      <c r="M1086" s="192"/>
      <c r="N1086" s="192"/>
      <c r="O1086" s="2621" t="s">
        <v>6395</v>
      </c>
      <c r="Q1086" s="118"/>
    </row>
    <row r="1087" spans="1:17" ht="18.75" customHeight="1" x14ac:dyDescent="0.3">
      <c r="A1087" s="189">
        <v>232</v>
      </c>
      <c r="B1087" s="105" t="s">
        <v>194</v>
      </c>
      <c r="C1087" s="195">
        <v>401</v>
      </c>
      <c r="D1087" s="113">
        <v>59</v>
      </c>
      <c r="E1087" s="114">
        <v>8352</v>
      </c>
      <c r="F1087" s="115">
        <v>21645</v>
      </c>
      <c r="G1087" s="116">
        <v>229</v>
      </c>
      <c r="H1087" s="1731" t="s">
        <v>41</v>
      </c>
      <c r="I1087" s="118"/>
      <c r="J1087" s="192"/>
      <c r="K1087" s="104" t="s">
        <v>25</v>
      </c>
      <c r="L1087" s="192"/>
      <c r="M1087" s="192"/>
      <c r="N1087" s="192"/>
      <c r="O1087" s="2621" t="s">
        <v>6395</v>
      </c>
      <c r="Q1087" s="118"/>
    </row>
    <row r="1088" spans="1:17" ht="18.75" customHeight="1" x14ac:dyDescent="0.3">
      <c r="A1088" s="104">
        <v>233</v>
      </c>
      <c r="B1088" s="105" t="s">
        <v>194</v>
      </c>
      <c r="C1088" s="195">
        <v>401</v>
      </c>
      <c r="D1088" s="113">
        <v>59</v>
      </c>
      <c r="E1088" s="114">
        <v>8353</v>
      </c>
      <c r="F1088" s="115">
        <v>21645</v>
      </c>
      <c r="G1088" s="116">
        <v>229</v>
      </c>
      <c r="H1088" s="1731" t="s">
        <v>41</v>
      </c>
      <c r="I1088" s="118"/>
      <c r="J1088" s="192"/>
      <c r="K1088" s="104" t="s">
        <v>25</v>
      </c>
      <c r="L1088" s="192"/>
      <c r="M1088" s="192"/>
      <c r="N1088" s="192"/>
      <c r="O1088" s="2621" t="s">
        <v>6395</v>
      </c>
      <c r="Q1088" s="118"/>
    </row>
    <row r="1089" spans="1:17" ht="18.75" customHeight="1" x14ac:dyDescent="0.3">
      <c r="A1089" s="189">
        <v>234</v>
      </c>
      <c r="B1089" s="105" t="s">
        <v>194</v>
      </c>
      <c r="C1089" s="195">
        <v>401</v>
      </c>
      <c r="D1089" s="113">
        <v>59</v>
      </c>
      <c r="E1089" s="114">
        <v>8354</v>
      </c>
      <c r="F1089" s="115">
        <v>21645</v>
      </c>
      <c r="G1089" s="116">
        <v>229</v>
      </c>
      <c r="H1089" s="1731" t="s">
        <v>41</v>
      </c>
      <c r="I1089" s="118"/>
      <c r="J1089" s="192"/>
      <c r="K1089" s="104" t="s">
        <v>25</v>
      </c>
      <c r="L1089" s="192"/>
      <c r="M1089" s="192"/>
      <c r="N1089" s="192"/>
      <c r="O1089" s="2621" t="s">
        <v>6395</v>
      </c>
      <c r="Q1089" s="118"/>
    </row>
    <row r="1090" spans="1:17" ht="18.75" customHeight="1" x14ac:dyDescent="0.3">
      <c r="A1090" s="104">
        <v>235</v>
      </c>
      <c r="B1090" s="105" t="s">
        <v>194</v>
      </c>
      <c r="C1090" s="195">
        <v>401</v>
      </c>
      <c r="D1090" s="125">
        <v>59</v>
      </c>
      <c r="E1090" s="114">
        <v>8355</v>
      </c>
      <c r="F1090" s="115">
        <v>21645</v>
      </c>
      <c r="G1090" s="116">
        <v>229</v>
      </c>
      <c r="H1090" s="1731" t="s">
        <v>41</v>
      </c>
      <c r="I1090" s="118"/>
      <c r="J1090" s="192"/>
      <c r="K1090" s="104" t="s">
        <v>25</v>
      </c>
      <c r="L1090" s="192"/>
      <c r="M1090" s="192"/>
      <c r="N1090" s="192"/>
      <c r="O1090" s="2621" t="s">
        <v>6395</v>
      </c>
      <c r="Q1090" s="118"/>
    </row>
    <row r="1091" spans="1:17" ht="18.75" customHeight="1" x14ac:dyDescent="0.3">
      <c r="A1091" s="189">
        <v>236</v>
      </c>
      <c r="B1091" s="105" t="s">
        <v>194</v>
      </c>
      <c r="C1091" s="195">
        <v>401</v>
      </c>
      <c r="D1091" s="128">
        <v>59</v>
      </c>
      <c r="E1091" s="114">
        <v>8356</v>
      </c>
      <c r="F1091" s="115">
        <v>21645</v>
      </c>
      <c r="G1091" s="116">
        <v>229</v>
      </c>
      <c r="H1091" s="1731" t="s">
        <v>41</v>
      </c>
      <c r="I1091" s="118"/>
      <c r="J1091" s="192"/>
      <c r="K1091" s="104" t="s">
        <v>25</v>
      </c>
      <c r="L1091" s="192"/>
      <c r="M1091" s="192"/>
      <c r="N1091" s="192"/>
      <c r="O1091" s="2621" t="s">
        <v>6395</v>
      </c>
      <c r="Q1091" s="118"/>
    </row>
    <row r="1092" spans="1:17" ht="18.75" customHeight="1" x14ac:dyDescent="0.3">
      <c r="A1092" s="104">
        <v>237</v>
      </c>
      <c r="B1092" s="105" t="s">
        <v>194</v>
      </c>
      <c r="C1092" s="195">
        <v>401</v>
      </c>
      <c r="D1092" s="113">
        <v>59</v>
      </c>
      <c r="E1092" s="114">
        <v>8357</v>
      </c>
      <c r="F1092" s="115">
        <v>21645</v>
      </c>
      <c r="G1092" s="116">
        <v>229</v>
      </c>
      <c r="H1092" s="1731" t="s">
        <v>41</v>
      </c>
      <c r="I1092" s="118"/>
      <c r="J1092" s="192"/>
      <c r="K1092" s="104" t="s">
        <v>25</v>
      </c>
      <c r="L1092" s="192"/>
      <c r="M1092" s="192"/>
      <c r="N1092" s="192"/>
      <c r="O1092" s="2621" t="s">
        <v>6395</v>
      </c>
      <c r="Q1092" s="118"/>
    </row>
    <row r="1093" spans="1:17" ht="18.75" customHeight="1" x14ac:dyDescent="0.3">
      <c r="A1093" s="189">
        <v>238</v>
      </c>
      <c r="B1093" s="105" t="s">
        <v>194</v>
      </c>
      <c r="C1093" s="195">
        <v>401</v>
      </c>
      <c r="D1093" s="113">
        <v>59</v>
      </c>
      <c r="E1093" s="114">
        <v>8358</v>
      </c>
      <c r="F1093" s="115">
        <v>21645</v>
      </c>
      <c r="G1093" s="116">
        <v>229</v>
      </c>
      <c r="H1093" s="1731" t="s">
        <v>41</v>
      </c>
      <c r="I1093" s="118"/>
      <c r="J1093" s="192"/>
      <c r="K1093" s="104" t="s">
        <v>25</v>
      </c>
      <c r="L1093" s="192"/>
      <c r="M1093" s="192"/>
      <c r="N1093" s="192"/>
      <c r="O1093" s="2621" t="s">
        <v>6395</v>
      </c>
      <c r="Q1093" s="118"/>
    </row>
    <row r="1094" spans="1:17" ht="18.75" customHeight="1" x14ac:dyDescent="0.3">
      <c r="A1094" s="104">
        <v>239</v>
      </c>
      <c r="B1094" s="105" t="s">
        <v>194</v>
      </c>
      <c r="C1094" s="195">
        <v>401</v>
      </c>
      <c r="D1094" s="113">
        <v>59</v>
      </c>
      <c r="E1094" s="114">
        <v>8359</v>
      </c>
      <c r="F1094" s="115">
        <v>21645</v>
      </c>
      <c r="G1094" s="116">
        <v>229</v>
      </c>
      <c r="H1094" s="1731" t="s">
        <v>41</v>
      </c>
      <c r="I1094" s="118"/>
      <c r="J1094" s="192"/>
      <c r="K1094" s="104" t="s">
        <v>25</v>
      </c>
      <c r="L1094" s="192"/>
      <c r="M1094" s="192"/>
      <c r="N1094" s="192"/>
      <c r="O1094" s="2621" t="s">
        <v>6395</v>
      </c>
      <c r="Q1094" s="118"/>
    </row>
    <row r="1095" spans="1:17" ht="18.75" customHeight="1" x14ac:dyDescent="0.3">
      <c r="A1095" s="189">
        <v>240</v>
      </c>
      <c r="B1095" s="105" t="s">
        <v>194</v>
      </c>
      <c r="C1095" s="195">
        <v>401</v>
      </c>
      <c r="D1095" s="113">
        <v>59</v>
      </c>
      <c r="E1095" s="114">
        <v>8360</v>
      </c>
      <c r="F1095" s="115">
        <v>21645</v>
      </c>
      <c r="G1095" s="116">
        <v>229</v>
      </c>
      <c r="H1095" s="1731" t="s">
        <v>41</v>
      </c>
      <c r="I1095" s="118"/>
      <c r="J1095" s="192"/>
      <c r="K1095" s="104" t="s">
        <v>25</v>
      </c>
      <c r="L1095" s="192"/>
      <c r="M1095" s="192"/>
      <c r="N1095" s="192"/>
      <c r="O1095" s="2621" t="s">
        <v>6395</v>
      </c>
      <c r="Q1095" s="118"/>
    </row>
    <row r="1096" spans="1:17" ht="18.75" customHeight="1" x14ac:dyDescent="0.3">
      <c r="A1096" s="104">
        <v>241</v>
      </c>
      <c r="B1096" s="105" t="s">
        <v>194</v>
      </c>
      <c r="C1096" s="195">
        <v>401</v>
      </c>
      <c r="D1096" s="113">
        <v>59</v>
      </c>
      <c r="E1096" s="114">
        <v>8361</v>
      </c>
      <c r="F1096" s="115">
        <v>21645</v>
      </c>
      <c r="G1096" s="116">
        <v>229</v>
      </c>
      <c r="H1096" s="1731" t="s">
        <v>41</v>
      </c>
      <c r="I1096" s="118"/>
      <c r="J1096" s="192"/>
      <c r="K1096" s="104" t="s">
        <v>25</v>
      </c>
      <c r="L1096" s="192"/>
      <c r="M1096" s="192"/>
      <c r="N1096" s="192"/>
      <c r="O1096" s="2621" t="s">
        <v>6395</v>
      </c>
      <c r="Q1096" s="118"/>
    </row>
    <row r="1097" spans="1:17" ht="18.75" customHeight="1" x14ac:dyDescent="0.3">
      <c r="A1097" s="189">
        <v>242</v>
      </c>
      <c r="B1097" s="105" t="s">
        <v>194</v>
      </c>
      <c r="C1097" s="195">
        <v>401</v>
      </c>
      <c r="D1097" s="113">
        <v>59</v>
      </c>
      <c r="E1097" s="114">
        <v>8362</v>
      </c>
      <c r="F1097" s="115">
        <v>21645</v>
      </c>
      <c r="G1097" s="116">
        <v>229</v>
      </c>
      <c r="H1097" s="1731" t="s">
        <v>41</v>
      </c>
      <c r="I1097" s="118"/>
      <c r="J1097" s="192"/>
      <c r="K1097" s="104" t="s">
        <v>25</v>
      </c>
      <c r="L1097" s="192"/>
      <c r="M1097" s="192"/>
      <c r="N1097" s="192"/>
      <c r="O1097" s="2621" t="s">
        <v>6395</v>
      </c>
      <c r="Q1097" s="118"/>
    </row>
    <row r="1098" spans="1:17" ht="18.75" customHeight="1" x14ac:dyDescent="0.3">
      <c r="A1098" s="104">
        <v>243</v>
      </c>
      <c r="B1098" s="105" t="s">
        <v>194</v>
      </c>
      <c r="C1098" s="195">
        <v>401</v>
      </c>
      <c r="D1098" s="125">
        <v>59</v>
      </c>
      <c r="E1098" s="114">
        <v>8363</v>
      </c>
      <c r="F1098" s="115">
        <v>21645</v>
      </c>
      <c r="G1098" s="116">
        <v>229</v>
      </c>
      <c r="H1098" s="1731" t="s">
        <v>41</v>
      </c>
      <c r="I1098" s="118"/>
      <c r="J1098" s="192"/>
      <c r="K1098" s="104" t="s">
        <v>25</v>
      </c>
      <c r="L1098" s="192"/>
      <c r="M1098" s="192"/>
      <c r="N1098" s="192"/>
      <c r="O1098" s="2621" t="s">
        <v>6395</v>
      </c>
      <c r="Q1098" s="118"/>
    </row>
    <row r="1099" spans="1:17" ht="18.75" customHeight="1" x14ac:dyDescent="0.3">
      <c r="A1099" s="189">
        <v>244</v>
      </c>
      <c r="B1099" s="105" t="s">
        <v>194</v>
      </c>
      <c r="C1099" s="195">
        <v>401</v>
      </c>
      <c r="D1099" s="128">
        <v>59</v>
      </c>
      <c r="E1099" s="114">
        <v>8364</v>
      </c>
      <c r="F1099" s="115">
        <v>21645</v>
      </c>
      <c r="G1099" s="116">
        <v>229</v>
      </c>
      <c r="H1099" s="1731" t="s">
        <v>41</v>
      </c>
      <c r="I1099" s="118"/>
      <c r="J1099" s="192"/>
      <c r="K1099" s="104" t="s">
        <v>25</v>
      </c>
      <c r="L1099" s="192"/>
      <c r="M1099" s="192"/>
      <c r="N1099" s="192"/>
      <c r="O1099" s="2621" t="s">
        <v>6395</v>
      </c>
      <c r="Q1099" s="118"/>
    </row>
    <row r="1100" spans="1:17" ht="18.75" customHeight="1" x14ac:dyDescent="0.3">
      <c r="A1100" s="104">
        <v>245</v>
      </c>
      <c r="B1100" s="105" t="s">
        <v>194</v>
      </c>
      <c r="C1100" s="195">
        <v>401</v>
      </c>
      <c r="D1100" s="113">
        <v>59</v>
      </c>
      <c r="E1100" s="114">
        <v>8365</v>
      </c>
      <c r="F1100" s="115">
        <v>21645</v>
      </c>
      <c r="G1100" s="116">
        <v>229</v>
      </c>
      <c r="H1100" s="1731" t="s">
        <v>41</v>
      </c>
      <c r="I1100" s="118"/>
      <c r="J1100" s="192"/>
      <c r="K1100" s="104" t="s">
        <v>25</v>
      </c>
      <c r="L1100" s="192"/>
      <c r="M1100" s="192"/>
      <c r="N1100" s="192"/>
      <c r="O1100" s="2621" t="s">
        <v>6395</v>
      </c>
      <c r="Q1100" s="118"/>
    </row>
    <row r="1101" spans="1:17" ht="18.75" customHeight="1" x14ac:dyDescent="0.3">
      <c r="A1101" s="189">
        <v>246</v>
      </c>
      <c r="B1101" s="105" t="s">
        <v>194</v>
      </c>
      <c r="C1101" s="195">
        <v>401</v>
      </c>
      <c r="D1101" s="113">
        <v>59</v>
      </c>
      <c r="E1101" s="114">
        <v>8366</v>
      </c>
      <c r="F1101" s="115">
        <v>21645</v>
      </c>
      <c r="G1101" s="116">
        <v>229</v>
      </c>
      <c r="H1101" s="1731" t="s">
        <v>41</v>
      </c>
      <c r="I1101" s="118"/>
      <c r="J1101" s="192"/>
      <c r="K1101" s="104" t="s">
        <v>25</v>
      </c>
      <c r="L1101" s="192"/>
      <c r="M1101" s="192"/>
      <c r="N1101" s="192"/>
      <c r="O1101" s="2621" t="s">
        <v>6395</v>
      </c>
      <c r="Q1101" s="118"/>
    </row>
    <row r="1102" spans="1:17" ht="18.75" customHeight="1" x14ac:dyDescent="0.3">
      <c r="A1102" s="104">
        <v>247</v>
      </c>
      <c r="B1102" s="105" t="s">
        <v>194</v>
      </c>
      <c r="C1102" s="195">
        <v>401</v>
      </c>
      <c r="D1102" s="113">
        <v>59</v>
      </c>
      <c r="E1102" s="114">
        <v>8367</v>
      </c>
      <c r="F1102" s="115">
        <v>21645</v>
      </c>
      <c r="G1102" s="116">
        <v>229</v>
      </c>
      <c r="H1102" s="1731" t="s">
        <v>41</v>
      </c>
      <c r="I1102" s="118"/>
      <c r="J1102" s="192"/>
      <c r="K1102" s="104" t="s">
        <v>25</v>
      </c>
      <c r="L1102" s="192"/>
      <c r="M1102" s="192"/>
      <c r="N1102" s="192"/>
      <c r="O1102" s="2621" t="s">
        <v>6395</v>
      </c>
      <c r="Q1102" s="118"/>
    </row>
    <row r="1103" spans="1:17" ht="18.75" customHeight="1" x14ac:dyDescent="0.3">
      <c r="A1103" s="189">
        <v>248</v>
      </c>
      <c r="B1103" s="105" t="s">
        <v>194</v>
      </c>
      <c r="C1103" s="195">
        <v>401</v>
      </c>
      <c r="D1103" s="113">
        <v>59</v>
      </c>
      <c r="E1103" s="114">
        <v>8368</v>
      </c>
      <c r="F1103" s="115">
        <v>21645</v>
      </c>
      <c r="G1103" s="116">
        <v>229</v>
      </c>
      <c r="H1103" s="1731" t="s">
        <v>41</v>
      </c>
      <c r="I1103" s="118"/>
      <c r="J1103" s="192"/>
      <c r="K1103" s="104" t="s">
        <v>25</v>
      </c>
      <c r="L1103" s="192"/>
      <c r="M1103" s="192"/>
      <c r="N1103" s="192"/>
      <c r="O1103" s="2621" t="s">
        <v>6395</v>
      </c>
      <c r="Q1103" s="118"/>
    </row>
    <row r="1104" spans="1:17" ht="18.75" customHeight="1" x14ac:dyDescent="0.3">
      <c r="A1104" s="104">
        <v>249</v>
      </c>
      <c r="B1104" s="105" t="s">
        <v>194</v>
      </c>
      <c r="C1104" s="195">
        <v>401</v>
      </c>
      <c r="D1104" s="125">
        <v>59</v>
      </c>
      <c r="E1104" s="114">
        <v>8369</v>
      </c>
      <c r="F1104" s="115">
        <v>21645</v>
      </c>
      <c r="G1104" s="116">
        <v>229</v>
      </c>
      <c r="H1104" s="1731" t="s">
        <v>41</v>
      </c>
      <c r="I1104" s="118"/>
      <c r="J1104" s="192"/>
      <c r="K1104" s="104" t="s">
        <v>25</v>
      </c>
      <c r="L1104" s="192"/>
      <c r="M1104" s="192"/>
      <c r="N1104" s="192"/>
      <c r="O1104" s="2621" t="s">
        <v>6395</v>
      </c>
      <c r="Q1104" s="118"/>
    </row>
    <row r="1105" spans="1:17" ht="18.75" customHeight="1" x14ac:dyDescent="0.3">
      <c r="A1105" s="189">
        <v>250</v>
      </c>
      <c r="B1105" s="105" t="s">
        <v>194</v>
      </c>
      <c r="C1105" s="195">
        <v>401</v>
      </c>
      <c r="D1105" s="128">
        <v>59</v>
      </c>
      <c r="E1105" s="114">
        <v>8370</v>
      </c>
      <c r="F1105" s="115">
        <v>21645</v>
      </c>
      <c r="G1105" s="116">
        <v>229</v>
      </c>
      <c r="H1105" s="1731" t="s">
        <v>41</v>
      </c>
      <c r="I1105" s="118"/>
      <c r="J1105" s="192"/>
      <c r="K1105" s="104" t="s">
        <v>25</v>
      </c>
      <c r="L1105" s="192"/>
      <c r="M1105" s="192"/>
      <c r="N1105" s="192"/>
      <c r="O1105" s="2621" t="s">
        <v>6395</v>
      </c>
      <c r="Q1105" s="118"/>
    </row>
    <row r="1106" spans="1:17" ht="18.75" customHeight="1" x14ac:dyDescent="0.3">
      <c r="A1106" s="104">
        <v>251</v>
      </c>
      <c r="B1106" s="105" t="s">
        <v>194</v>
      </c>
      <c r="C1106" s="195">
        <v>401</v>
      </c>
      <c r="D1106" s="113">
        <v>59</v>
      </c>
      <c r="E1106" s="114">
        <v>8371</v>
      </c>
      <c r="F1106" s="115">
        <v>21645</v>
      </c>
      <c r="G1106" s="116">
        <v>229</v>
      </c>
      <c r="H1106" s="1731" t="s">
        <v>41</v>
      </c>
      <c r="I1106" s="118"/>
      <c r="J1106" s="192"/>
      <c r="K1106" s="104" t="s">
        <v>25</v>
      </c>
      <c r="L1106" s="192"/>
      <c r="M1106" s="192"/>
      <c r="N1106" s="192"/>
      <c r="O1106" s="2621" t="s">
        <v>6395</v>
      </c>
      <c r="Q1106" s="118"/>
    </row>
    <row r="1107" spans="1:17" ht="18.75" customHeight="1" x14ac:dyDescent="0.3">
      <c r="A1107" s="189">
        <v>252</v>
      </c>
      <c r="B1107" s="105" t="s">
        <v>194</v>
      </c>
      <c r="C1107" s="195">
        <v>401</v>
      </c>
      <c r="D1107" s="113">
        <v>59</v>
      </c>
      <c r="E1107" s="114">
        <v>8372</v>
      </c>
      <c r="F1107" s="115">
        <v>21645</v>
      </c>
      <c r="G1107" s="116">
        <v>229</v>
      </c>
      <c r="H1107" s="1731" t="s">
        <v>41</v>
      </c>
      <c r="I1107" s="118"/>
      <c r="J1107" s="192"/>
      <c r="K1107" s="104" t="s">
        <v>25</v>
      </c>
      <c r="L1107" s="192"/>
      <c r="M1107" s="192"/>
      <c r="N1107" s="192"/>
      <c r="O1107" s="2621" t="s">
        <v>6395</v>
      </c>
      <c r="Q1107" s="118"/>
    </row>
    <row r="1108" spans="1:17" ht="18.75" customHeight="1" x14ac:dyDescent="0.3">
      <c r="A1108" s="104">
        <v>253</v>
      </c>
      <c r="B1108" s="105" t="s">
        <v>194</v>
      </c>
      <c r="C1108" s="195">
        <v>401</v>
      </c>
      <c r="D1108" s="113">
        <v>59</v>
      </c>
      <c r="E1108" s="114">
        <v>8373</v>
      </c>
      <c r="F1108" s="115">
        <v>21645</v>
      </c>
      <c r="G1108" s="116">
        <v>229</v>
      </c>
      <c r="H1108" s="1731" t="s">
        <v>41</v>
      </c>
      <c r="I1108" s="118"/>
      <c r="J1108" s="192"/>
      <c r="K1108" s="104" t="s">
        <v>25</v>
      </c>
      <c r="L1108" s="192"/>
      <c r="M1108" s="192"/>
      <c r="N1108" s="192"/>
      <c r="O1108" s="2621" t="s">
        <v>6395</v>
      </c>
      <c r="Q1108" s="118"/>
    </row>
    <row r="1109" spans="1:17" ht="18.75" customHeight="1" x14ac:dyDescent="0.3">
      <c r="A1109" s="189">
        <v>254</v>
      </c>
      <c r="B1109" s="105" t="s">
        <v>194</v>
      </c>
      <c r="C1109" s="195">
        <v>401</v>
      </c>
      <c r="D1109" s="113">
        <v>59</v>
      </c>
      <c r="E1109" s="114">
        <v>8374</v>
      </c>
      <c r="F1109" s="115">
        <v>21645</v>
      </c>
      <c r="G1109" s="116">
        <v>229</v>
      </c>
      <c r="H1109" s="1731" t="s">
        <v>41</v>
      </c>
      <c r="I1109" s="118"/>
      <c r="J1109" s="192"/>
      <c r="K1109" s="104" t="s">
        <v>25</v>
      </c>
      <c r="L1109" s="192"/>
      <c r="M1109" s="192"/>
      <c r="N1109" s="192"/>
      <c r="O1109" s="2621" t="s">
        <v>6395</v>
      </c>
      <c r="Q1109" s="118"/>
    </row>
    <row r="1110" spans="1:17" ht="18.75" customHeight="1" x14ac:dyDescent="0.3">
      <c r="A1110" s="104">
        <v>255</v>
      </c>
      <c r="B1110" s="105" t="s">
        <v>194</v>
      </c>
      <c r="C1110" s="195">
        <v>401</v>
      </c>
      <c r="D1110" s="125">
        <v>59</v>
      </c>
      <c r="E1110" s="114">
        <v>8375</v>
      </c>
      <c r="F1110" s="115">
        <v>21645</v>
      </c>
      <c r="G1110" s="116">
        <v>229</v>
      </c>
      <c r="H1110" s="1731" t="s">
        <v>41</v>
      </c>
      <c r="I1110" s="118"/>
      <c r="J1110" s="192"/>
      <c r="K1110" s="104" t="s">
        <v>25</v>
      </c>
      <c r="L1110" s="192"/>
      <c r="M1110" s="192"/>
      <c r="N1110" s="192"/>
      <c r="O1110" s="2621" t="s">
        <v>6395</v>
      </c>
      <c r="Q1110" s="118"/>
    </row>
    <row r="1111" spans="1:17" ht="18.75" customHeight="1" x14ac:dyDescent="0.3">
      <c r="A1111" s="189">
        <v>256</v>
      </c>
      <c r="B1111" s="105" t="s">
        <v>194</v>
      </c>
      <c r="C1111" s="195">
        <v>401</v>
      </c>
      <c r="D1111" s="128">
        <v>59</v>
      </c>
      <c r="E1111" s="114">
        <v>8376</v>
      </c>
      <c r="F1111" s="115">
        <v>21645</v>
      </c>
      <c r="G1111" s="116">
        <v>229</v>
      </c>
      <c r="H1111" s="1731" t="s">
        <v>41</v>
      </c>
      <c r="I1111" s="118"/>
      <c r="J1111" s="192"/>
      <c r="K1111" s="104" t="s">
        <v>25</v>
      </c>
      <c r="L1111" s="192"/>
      <c r="M1111" s="192"/>
      <c r="N1111" s="192"/>
      <c r="O1111" s="2621" t="s">
        <v>6395</v>
      </c>
      <c r="Q1111" s="118"/>
    </row>
    <row r="1112" spans="1:17" ht="18.75" customHeight="1" x14ac:dyDescent="0.3">
      <c r="A1112" s="104">
        <v>257</v>
      </c>
      <c r="B1112" s="105" t="s">
        <v>194</v>
      </c>
      <c r="C1112" s="195">
        <v>401</v>
      </c>
      <c r="D1112" s="113">
        <v>59</v>
      </c>
      <c r="E1112" s="114">
        <v>8377</v>
      </c>
      <c r="F1112" s="115">
        <v>21645</v>
      </c>
      <c r="G1112" s="116">
        <v>229</v>
      </c>
      <c r="H1112" s="1731" t="s">
        <v>41</v>
      </c>
      <c r="I1112" s="118"/>
      <c r="J1112" s="192"/>
      <c r="K1112" s="104" t="s">
        <v>25</v>
      </c>
      <c r="L1112" s="192"/>
      <c r="M1112" s="192"/>
      <c r="N1112" s="192"/>
      <c r="O1112" s="2621" t="s">
        <v>6395</v>
      </c>
      <c r="Q1112" s="118"/>
    </row>
    <row r="1113" spans="1:17" ht="18.75" customHeight="1" x14ac:dyDescent="0.3">
      <c r="A1113" s="189">
        <v>258</v>
      </c>
      <c r="B1113" s="105" t="s">
        <v>194</v>
      </c>
      <c r="C1113" s="195">
        <v>401</v>
      </c>
      <c r="D1113" s="113">
        <v>59</v>
      </c>
      <c r="E1113" s="114">
        <v>8378</v>
      </c>
      <c r="F1113" s="115">
        <v>21645</v>
      </c>
      <c r="G1113" s="116">
        <v>229</v>
      </c>
      <c r="H1113" s="1731" t="s">
        <v>41</v>
      </c>
      <c r="I1113" s="118"/>
      <c r="J1113" s="192"/>
      <c r="K1113" s="104" t="s">
        <v>25</v>
      </c>
      <c r="L1113" s="192"/>
      <c r="M1113" s="192"/>
      <c r="N1113" s="192"/>
      <c r="O1113" s="2621" t="s">
        <v>6395</v>
      </c>
      <c r="Q1113" s="118"/>
    </row>
    <row r="1114" spans="1:17" ht="18.75" customHeight="1" x14ac:dyDescent="0.3">
      <c r="A1114" s="104">
        <v>259</v>
      </c>
      <c r="B1114" s="105" t="s">
        <v>194</v>
      </c>
      <c r="C1114" s="195">
        <v>401</v>
      </c>
      <c r="D1114" s="113">
        <v>59</v>
      </c>
      <c r="E1114" s="114">
        <v>8379</v>
      </c>
      <c r="F1114" s="115">
        <v>21645</v>
      </c>
      <c r="G1114" s="116">
        <v>229</v>
      </c>
      <c r="H1114" s="1731" t="s">
        <v>41</v>
      </c>
      <c r="I1114" s="118"/>
      <c r="J1114" s="192"/>
      <c r="K1114" s="104" t="s">
        <v>25</v>
      </c>
      <c r="L1114" s="192"/>
      <c r="M1114" s="192"/>
      <c r="N1114" s="192"/>
      <c r="O1114" s="2621" t="s">
        <v>6395</v>
      </c>
      <c r="Q1114" s="118"/>
    </row>
    <row r="1115" spans="1:17" ht="18.75" customHeight="1" x14ac:dyDescent="0.3">
      <c r="A1115" s="189">
        <v>260</v>
      </c>
      <c r="B1115" s="105" t="s">
        <v>194</v>
      </c>
      <c r="C1115" s="195">
        <v>401</v>
      </c>
      <c r="D1115" s="113">
        <v>59</v>
      </c>
      <c r="E1115" s="114">
        <v>8380</v>
      </c>
      <c r="F1115" s="115">
        <v>21645</v>
      </c>
      <c r="G1115" s="116">
        <v>229</v>
      </c>
      <c r="H1115" s="1731" t="s">
        <v>41</v>
      </c>
      <c r="I1115" s="118"/>
      <c r="J1115" s="192"/>
      <c r="K1115" s="104" t="s">
        <v>25</v>
      </c>
      <c r="L1115" s="192"/>
      <c r="M1115" s="192"/>
      <c r="N1115" s="192"/>
      <c r="O1115" s="2621" t="s">
        <v>6395</v>
      </c>
      <c r="Q1115" s="118"/>
    </row>
    <row r="1116" spans="1:17" ht="18.75" customHeight="1" x14ac:dyDescent="0.3">
      <c r="A1116" s="104">
        <v>261</v>
      </c>
      <c r="B1116" s="105" t="s">
        <v>194</v>
      </c>
      <c r="C1116" s="195">
        <v>401</v>
      </c>
      <c r="D1116" s="125">
        <v>59</v>
      </c>
      <c r="E1116" s="114">
        <v>8381</v>
      </c>
      <c r="F1116" s="115">
        <v>21645</v>
      </c>
      <c r="G1116" s="116">
        <v>229</v>
      </c>
      <c r="H1116" s="1731" t="s">
        <v>41</v>
      </c>
      <c r="I1116" s="118"/>
      <c r="J1116" s="192"/>
      <c r="K1116" s="104" t="s">
        <v>25</v>
      </c>
      <c r="L1116" s="192"/>
      <c r="M1116" s="192"/>
      <c r="N1116" s="192"/>
      <c r="O1116" s="2621" t="s">
        <v>6395</v>
      </c>
      <c r="Q1116" s="118"/>
    </row>
    <row r="1117" spans="1:17" ht="18.75" customHeight="1" x14ac:dyDescent="0.3">
      <c r="A1117" s="189">
        <v>262</v>
      </c>
      <c r="B1117" s="105" t="s">
        <v>194</v>
      </c>
      <c r="C1117" s="195">
        <v>401</v>
      </c>
      <c r="D1117" s="128">
        <v>59</v>
      </c>
      <c r="E1117" s="114">
        <v>8382</v>
      </c>
      <c r="F1117" s="115">
        <v>21645</v>
      </c>
      <c r="G1117" s="116">
        <v>229</v>
      </c>
      <c r="H1117" s="1731" t="s">
        <v>41</v>
      </c>
      <c r="I1117" s="118"/>
      <c r="J1117" s="192"/>
      <c r="K1117" s="104" t="s">
        <v>25</v>
      </c>
      <c r="L1117" s="192"/>
      <c r="M1117" s="192"/>
      <c r="N1117" s="192"/>
      <c r="O1117" s="2621" t="s">
        <v>6395</v>
      </c>
      <c r="Q1117" s="118"/>
    </row>
    <row r="1118" spans="1:17" ht="18.75" customHeight="1" x14ac:dyDescent="0.3">
      <c r="A1118" s="104">
        <v>263</v>
      </c>
      <c r="B1118" s="105" t="s">
        <v>194</v>
      </c>
      <c r="C1118" s="195">
        <v>401</v>
      </c>
      <c r="D1118" s="113">
        <v>59</v>
      </c>
      <c r="E1118" s="114">
        <v>8383</v>
      </c>
      <c r="F1118" s="115">
        <v>21645</v>
      </c>
      <c r="G1118" s="116">
        <v>229</v>
      </c>
      <c r="H1118" s="1731" t="s">
        <v>41</v>
      </c>
      <c r="I1118" s="118"/>
      <c r="J1118" s="192"/>
      <c r="K1118" s="104" t="s">
        <v>25</v>
      </c>
      <c r="L1118" s="192"/>
      <c r="M1118" s="192"/>
      <c r="N1118" s="192"/>
      <c r="O1118" s="2621" t="s">
        <v>6395</v>
      </c>
      <c r="Q1118" s="118"/>
    </row>
    <row r="1119" spans="1:17" ht="18.75" customHeight="1" x14ac:dyDescent="0.3">
      <c r="A1119" s="189">
        <v>264</v>
      </c>
      <c r="B1119" s="105" t="s">
        <v>194</v>
      </c>
      <c r="C1119" s="195">
        <v>401</v>
      </c>
      <c r="D1119" s="113">
        <v>59</v>
      </c>
      <c r="E1119" s="114">
        <v>8384</v>
      </c>
      <c r="F1119" s="115">
        <v>21645</v>
      </c>
      <c r="G1119" s="116">
        <v>229</v>
      </c>
      <c r="H1119" s="1731" t="s">
        <v>41</v>
      </c>
      <c r="I1119" s="118"/>
      <c r="J1119" s="192"/>
      <c r="K1119" s="104" t="s">
        <v>25</v>
      </c>
      <c r="L1119" s="192"/>
      <c r="M1119" s="192"/>
      <c r="N1119" s="192"/>
      <c r="O1119" s="2621" t="s">
        <v>6395</v>
      </c>
      <c r="Q1119" s="118"/>
    </row>
    <row r="1120" spans="1:17" ht="18.75" customHeight="1" x14ac:dyDescent="0.3">
      <c r="A1120" s="104">
        <v>265</v>
      </c>
      <c r="B1120" s="105" t="s">
        <v>194</v>
      </c>
      <c r="C1120" s="195">
        <v>401</v>
      </c>
      <c r="D1120" s="113">
        <v>59</v>
      </c>
      <c r="E1120" s="114">
        <v>8385</v>
      </c>
      <c r="F1120" s="115">
        <v>21645</v>
      </c>
      <c r="G1120" s="116">
        <v>229</v>
      </c>
      <c r="H1120" s="1731" t="s">
        <v>41</v>
      </c>
      <c r="I1120" s="118"/>
      <c r="J1120" s="192"/>
      <c r="K1120" s="104" t="s">
        <v>25</v>
      </c>
      <c r="L1120" s="192"/>
      <c r="M1120" s="192"/>
      <c r="N1120" s="192"/>
      <c r="O1120" s="2621" t="s">
        <v>6395</v>
      </c>
      <c r="Q1120" s="118"/>
    </row>
    <row r="1121" spans="1:17" ht="18.75" customHeight="1" x14ac:dyDescent="0.3">
      <c r="A1121" s="189">
        <v>266</v>
      </c>
      <c r="B1121" s="105" t="s">
        <v>194</v>
      </c>
      <c r="C1121" s="195">
        <v>401</v>
      </c>
      <c r="D1121" s="113">
        <v>59</v>
      </c>
      <c r="E1121" s="114">
        <v>8386</v>
      </c>
      <c r="F1121" s="115">
        <v>21645</v>
      </c>
      <c r="G1121" s="116">
        <v>229</v>
      </c>
      <c r="H1121" s="1731" t="s">
        <v>41</v>
      </c>
      <c r="I1121" s="118"/>
      <c r="J1121" s="192"/>
      <c r="K1121" s="104" t="s">
        <v>25</v>
      </c>
      <c r="L1121" s="192"/>
      <c r="M1121" s="192"/>
      <c r="N1121" s="192"/>
      <c r="O1121" s="2621" t="s">
        <v>6395</v>
      </c>
      <c r="Q1121" s="118"/>
    </row>
    <row r="1122" spans="1:17" ht="18.75" customHeight="1" x14ac:dyDescent="0.3">
      <c r="A1122" s="104">
        <v>267</v>
      </c>
      <c r="B1122" s="105" t="s">
        <v>194</v>
      </c>
      <c r="C1122" s="195">
        <v>401</v>
      </c>
      <c r="D1122" s="113">
        <v>59</v>
      </c>
      <c r="E1122" s="114">
        <v>8387</v>
      </c>
      <c r="F1122" s="115">
        <v>21645</v>
      </c>
      <c r="G1122" s="116">
        <v>229</v>
      </c>
      <c r="H1122" s="1731" t="s">
        <v>41</v>
      </c>
      <c r="I1122" s="118"/>
      <c r="J1122" s="192"/>
      <c r="K1122" s="104" t="s">
        <v>25</v>
      </c>
      <c r="L1122" s="192"/>
      <c r="M1122" s="192"/>
      <c r="N1122" s="192"/>
      <c r="O1122" s="2621" t="s">
        <v>6395</v>
      </c>
      <c r="Q1122" s="118"/>
    </row>
    <row r="1123" spans="1:17" ht="18.75" customHeight="1" x14ac:dyDescent="0.3">
      <c r="A1123" s="189">
        <v>268</v>
      </c>
      <c r="B1123" s="105" t="s">
        <v>194</v>
      </c>
      <c r="C1123" s="195">
        <v>401</v>
      </c>
      <c r="D1123" s="113">
        <v>59</v>
      </c>
      <c r="E1123" s="114">
        <v>8388</v>
      </c>
      <c r="F1123" s="115">
        <v>21645</v>
      </c>
      <c r="G1123" s="116">
        <v>229</v>
      </c>
      <c r="H1123" s="1731" t="s">
        <v>41</v>
      </c>
      <c r="I1123" s="118"/>
      <c r="J1123" s="192"/>
      <c r="K1123" s="104" t="s">
        <v>25</v>
      </c>
      <c r="L1123" s="192"/>
      <c r="M1123" s="192"/>
      <c r="N1123" s="192"/>
      <c r="O1123" s="2621" t="s">
        <v>6395</v>
      </c>
      <c r="Q1123" s="118"/>
    </row>
    <row r="1124" spans="1:17" ht="18.75" customHeight="1" x14ac:dyDescent="0.3">
      <c r="A1124" s="104">
        <v>269</v>
      </c>
      <c r="B1124" s="105" t="s">
        <v>194</v>
      </c>
      <c r="C1124" s="195">
        <v>401</v>
      </c>
      <c r="D1124" s="113">
        <v>59</v>
      </c>
      <c r="E1124" s="114">
        <v>8389</v>
      </c>
      <c r="F1124" s="115">
        <v>21645</v>
      </c>
      <c r="G1124" s="116">
        <v>229</v>
      </c>
      <c r="H1124" s="1731" t="s">
        <v>41</v>
      </c>
      <c r="I1124" s="118"/>
      <c r="J1124" s="192"/>
      <c r="K1124" s="104" t="s">
        <v>25</v>
      </c>
      <c r="L1124" s="192"/>
      <c r="M1124" s="192"/>
      <c r="N1124" s="192"/>
      <c r="O1124" s="2621" t="s">
        <v>6395</v>
      </c>
      <c r="Q1124" s="118"/>
    </row>
    <row r="1125" spans="1:17" ht="18.75" customHeight="1" x14ac:dyDescent="0.3">
      <c r="A1125" s="189">
        <v>270</v>
      </c>
      <c r="B1125" s="105" t="s">
        <v>194</v>
      </c>
      <c r="C1125" s="195">
        <v>401</v>
      </c>
      <c r="D1125" s="113">
        <v>59</v>
      </c>
      <c r="E1125" s="114">
        <v>8390</v>
      </c>
      <c r="F1125" s="115">
        <v>21645</v>
      </c>
      <c r="G1125" s="116">
        <v>229</v>
      </c>
      <c r="H1125" s="1731" t="s">
        <v>41</v>
      </c>
      <c r="I1125" s="118"/>
      <c r="J1125" s="192"/>
      <c r="K1125" s="104" t="s">
        <v>25</v>
      </c>
      <c r="L1125" s="192"/>
      <c r="M1125" s="192"/>
      <c r="N1125" s="192"/>
      <c r="O1125" s="2621" t="s">
        <v>6395</v>
      </c>
      <c r="Q1125" s="118"/>
    </row>
    <row r="1126" spans="1:17" ht="18.75" customHeight="1" x14ac:dyDescent="0.3">
      <c r="A1126" s="104">
        <v>271</v>
      </c>
      <c r="B1126" s="105" t="s">
        <v>194</v>
      </c>
      <c r="C1126" s="195">
        <v>401</v>
      </c>
      <c r="D1126" s="113">
        <v>59</v>
      </c>
      <c r="E1126" s="114">
        <v>8391</v>
      </c>
      <c r="F1126" s="115">
        <v>21645</v>
      </c>
      <c r="G1126" s="116">
        <v>229</v>
      </c>
      <c r="H1126" s="1731" t="s">
        <v>41</v>
      </c>
      <c r="I1126" s="118"/>
      <c r="J1126" s="192"/>
      <c r="K1126" s="104" t="s">
        <v>25</v>
      </c>
      <c r="L1126" s="192"/>
      <c r="M1126" s="192"/>
      <c r="N1126" s="192"/>
      <c r="O1126" s="2621" t="s">
        <v>6395</v>
      </c>
      <c r="Q1126" s="118"/>
    </row>
    <row r="1127" spans="1:17" ht="18.75" customHeight="1" x14ac:dyDescent="0.3">
      <c r="A1127" s="189">
        <v>272</v>
      </c>
      <c r="B1127" s="105" t="s">
        <v>194</v>
      </c>
      <c r="C1127" s="195">
        <v>401</v>
      </c>
      <c r="D1127" s="113">
        <v>59</v>
      </c>
      <c r="E1127" s="114">
        <v>8392</v>
      </c>
      <c r="F1127" s="115">
        <v>21645</v>
      </c>
      <c r="G1127" s="116">
        <v>229</v>
      </c>
      <c r="H1127" s="1731" t="s">
        <v>41</v>
      </c>
      <c r="I1127" s="118"/>
      <c r="J1127" s="192"/>
      <c r="K1127" s="104" t="s">
        <v>25</v>
      </c>
      <c r="L1127" s="192"/>
      <c r="M1127" s="192"/>
      <c r="N1127" s="192"/>
      <c r="O1127" s="2621" t="s">
        <v>6395</v>
      </c>
      <c r="Q1127" s="118"/>
    </row>
    <row r="1128" spans="1:17" ht="18.75" customHeight="1" x14ac:dyDescent="0.3">
      <c r="A1128" s="104">
        <v>273</v>
      </c>
      <c r="B1128" s="105" t="s">
        <v>194</v>
      </c>
      <c r="C1128" s="195">
        <v>401</v>
      </c>
      <c r="D1128" s="113">
        <v>59</v>
      </c>
      <c r="E1128" s="114">
        <v>8393</v>
      </c>
      <c r="F1128" s="115">
        <v>21645</v>
      </c>
      <c r="G1128" s="116">
        <v>229</v>
      </c>
      <c r="H1128" s="1731" t="s">
        <v>41</v>
      </c>
      <c r="I1128" s="118"/>
      <c r="J1128" s="192"/>
      <c r="K1128" s="104" t="s">
        <v>25</v>
      </c>
      <c r="L1128" s="192"/>
      <c r="M1128" s="192"/>
      <c r="N1128" s="192"/>
      <c r="O1128" s="2621" t="s">
        <v>6395</v>
      </c>
      <c r="Q1128" s="118"/>
    </row>
    <row r="1129" spans="1:17" ht="18.75" customHeight="1" x14ac:dyDescent="0.3">
      <c r="A1129" s="189">
        <v>274</v>
      </c>
      <c r="B1129" s="105" t="s">
        <v>194</v>
      </c>
      <c r="C1129" s="195">
        <v>401</v>
      </c>
      <c r="D1129" s="113">
        <v>59</v>
      </c>
      <c r="E1129" s="114">
        <v>8394</v>
      </c>
      <c r="F1129" s="115">
        <v>21645</v>
      </c>
      <c r="G1129" s="116">
        <v>229</v>
      </c>
      <c r="H1129" s="1731" t="s">
        <v>41</v>
      </c>
      <c r="I1129" s="118"/>
      <c r="J1129" s="192"/>
      <c r="K1129" s="104" t="s">
        <v>25</v>
      </c>
      <c r="L1129" s="192"/>
      <c r="M1129" s="192"/>
      <c r="N1129" s="192"/>
      <c r="O1129" s="2621" t="s">
        <v>6395</v>
      </c>
      <c r="Q1129" s="118"/>
    </row>
    <row r="1130" spans="1:17" ht="18.75" customHeight="1" x14ac:dyDescent="0.3">
      <c r="A1130" s="104">
        <v>275</v>
      </c>
      <c r="B1130" s="105" t="s">
        <v>194</v>
      </c>
      <c r="C1130" s="195">
        <v>401</v>
      </c>
      <c r="D1130" s="113">
        <v>59</v>
      </c>
      <c r="E1130" s="114">
        <v>8395</v>
      </c>
      <c r="F1130" s="115">
        <v>21645</v>
      </c>
      <c r="G1130" s="116">
        <v>229</v>
      </c>
      <c r="H1130" s="1731" t="s">
        <v>41</v>
      </c>
      <c r="I1130" s="118"/>
      <c r="J1130" s="192"/>
      <c r="K1130" s="104" t="s">
        <v>25</v>
      </c>
      <c r="L1130" s="192"/>
      <c r="M1130" s="192"/>
      <c r="N1130" s="192"/>
      <c r="O1130" s="2621" t="s">
        <v>6395</v>
      </c>
      <c r="Q1130" s="118"/>
    </row>
    <row r="1131" spans="1:17" ht="18.75" customHeight="1" x14ac:dyDescent="0.3">
      <c r="A1131" s="189">
        <v>276</v>
      </c>
      <c r="B1131" s="105" t="s">
        <v>194</v>
      </c>
      <c r="C1131" s="195">
        <v>401</v>
      </c>
      <c r="D1131" s="136">
        <v>59</v>
      </c>
      <c r="E1131" s="114">
        <v>8396</v>
      </c>
      <c r="F1131" s="115">
        <v>21645</v>
      </c>
      <c r="G1131" s="116">
        <v>229</v>
      </c>
      <c r="H1131" s="1731" t="s">
        <v>41</v>
      </c>
      <c r="I1131" s="118"/>
      <c r="J1131" s="192"/>
      <c r="K1131" s="104" t="s">
        <v>25</v>
      </c>
      <c r="L1131" s="192"/>
      <c r="M1131" s="192"/>
      <c r="N1131" s="192"/>
      <c r="O1131" s="2621" t="s">
        <v>6395</v>
      </c>
      <c r="Q1131" s="118"/>
    </row>
    <row r="1132" spans="1:17" ht="18.75" customHeight="1" x14ac:dyDescent="0.3">
      <c r="A1132" s="104">
        <v>277</v>
      </c>
      <c r="B1132" s="105" t="s">
        <v>194</v>
      </c>
      <c r="C1132" s="195">
        <v>401</v>
      </c>
      <c r="D1132" s="128">
        <v>59</v>
      </c>
      <c r="E1132" s="114">
        <v>8397</v>
      </c>
      <c r="F1132" s="115">
        <v>21645</v>
      </c>
      <c r="G1132" s="116">
        <v>229</v>
      </c>
      <c r="H1132" s="1731" t="s">
        <v>41</v>
      </c>
      <c r="I1132" s="118"/>
      <c r="J1132" s="192"/>
      <c r="K1132" s="104" t="s">
        <v>25</v>
      </c>
      <c r="L1132" s="192"/>
      <c r="M1132" s="192"/>
      <c r="N1132" s="192"/>
      <c r="O1132" s="2621" t="s">
        <v>6395</v>
      </c>
      <c r="Q1132" s="118"/>
    </row>
    <row r="1133" spans="1:17" ht="18.75" customHeight="1" x14ac:dyDescent="0.3">
      <c r="A1133" s="189">
        <v>278</v>
      </c>
      <c r="B1133" s="105" t="s">
        <v>194</v>
      </c>
      <c r="C1133" s="195">
        <v>401</v>
      </c>
      <c r="D1133" s="113">
        <v>59</v>
      </c>
      <c r="E1133" s="114">
        <v>8398</v>
      </c>
      <c r="F1133" s="115">
        <v>21645</v>
      </c>
      <c r="G1133" s="116">
        <v>229</v>
      </c>
      <c r="H1133" s="1731" t="s">
        <v>41</v>
      </c>
      <c r="I1133" s="118"/>
      <c r="J1133" s="192"/>
      <c r="K1133" s="104" t="s">
        <v>25</v>
      </c>
      <c r="L1133" s="192"/>
      <c r="M1133" s="192"/>
      <c r="N1133" s="192"/>
      <c r="O1133" s="2621" t="s">
        <v>6395</v>
      </c>
      <c r="Q1133" s="118"/>
    </row>
    <row r="1134" spans="1:17" ht="18.75" customHeight="1" x14ac:dyDescent="0.3">
      <c r="A1134" s="104">
        <v>279</v>
      </c>
      <c r="B1134" s="105" t="s">
        <v>194</v>
      </c>
      <c r="C1134" s="195">
        <v>401</v>
      </c>
      <c r="D1134" s="113">
        <v>59</v>
      </c>
      <c r="E1134" s="114">
        <v>8399</v>
      </c>
      <c r="F1134" s="115">
        <v>21645</v>
      </c>
      <c r="G1134" s="116">
        <v>229</v>
      </c>
      <c r="H1134" s="1731" t="s">
        <v>41</v>
      </c>
      <c r="I1134" s="118"/>
      <c r="J1134" s="192"/>
      <c r="K1134" s="104" t="s">
        <v>25</v>
      </c>
      <c r="L1134" s="192"/>
      <c r="M1134" s="192"/>
      <c r="N1134" s="192"/>
      <c r="O1134" s="2621" t="s">
        <v>6395</v>
      </c>
      <c r="Q1134" s="118"/>
    </row>
    <row r="1135" spans="1:17" ht="18.75" customHeight="1" x14ac:dyDescent="0.3">
      <c r="A1135" s="189">
        <v>280</v>
      </c>
      <c r="B1135" s="105" t="s">
        <v>194</v>
      </c>
      <c r="C1135" s="195">
        <v>401</v>
      </c>
      <c r="D1135" s="113">
        <v>59</v>
      </c>
      <c r="E1135" s="114">
        <v>8400</v>
      </c>
      <c r="F1135" s="115">
        <v>21645</v>
      </c>
      <c r="G1135" s="116">
        <v>229</v>
      </c>
      <c r="H1135" s="1731" t="s">
        <v>41</v>
      </c>
      <c r="I1135" s="118"/>
      <c r="J1135" s="192"/>
      <c r="K1135" s="104" t="s">
        <v>25</v>
      </c>
      <c r="L1135" s="192"/>
      <c r="M1135" s="192"/>
      <c r="N1135" s="192"/>
      <c r="O1135" s="2621" t="s">
        <v>6395</v>
      </c>
      <c r="Q1135" s="118"/>
    </row>
    <row r="1136" spans="1:17" ht="18.75" customHeight="1" x14ac:dyDescent="0.3">
      <c r="A1136" s="104">
        <v>281</v>
      </c>
      <c r="B1136" s="105" t="s">
        <v>194</v>
      </c>
      <c r="C1136" s="195">
        <v>401</v>
      </c>
      <c r="D1136" s="113">
        <v>59</v>
      </c>
      <c r="E1136" s="114">
        <v>8401</v>
      </c>
      <c r="F1136" s="115">
        <v>21645</v>
      </c>
      <c r="G1136" s="116">
        <v>229</v>
      </c>
      <c r="H1136" s="1731" t="s">
        <v>41</v>
      </c>
      <c r="I1136" s="118"/>
      <c r="J1136" s="192"/>
      <c r="K1136" s="104" t="s">
        <v>25</v>
      </c>
      <c r="L1136" s="192"/>
      <c r="M1136" s="192"/>
      <c r="N1136" s="192"/>
      <c r="O1136" s="2621" t="s">
        <v>6395</v>
      </c>
      <c r="Q1136" s="118"/>
    </row>
    <row r="1137" spans="1:17" ht="18.75" customHeight="1" x14ac:dyDescent="0.3">
      <c r="A1137" s="189">
        <v>282</v>
      </c>
      <c r="B1137" s="105" t="s">
        <v>194</v>
      </c>
      <c r="C1137" s="195">
        <v>401</v>
      </c>
      <c r="D1137" s="113">
        <v>59</v>
      </c>
      <c r="E1137" s="114">
        <v>8402</v>
      </c>
      <c r="F1137" s="115">
        <v>21645</v>
      </c>
      <c r="G1137" s="116">
        <v>229</v>
      </c>
      <c r="H1137" s="1731" t="s">
        <v>41</v>
      </c>
      <c r="I1137" s="118"/>
      <c r="J1137" s="192"/>
      <c r="K1137" s="104" t="s">
        <v>25</v>
      </c>
      <c r="L1137" s="192"/>
      <c r="M1137" s="192"/>
      <c r="N1137" s="192"/>
      <c r="O1137" s="2621" t="s">
        <v>6395</v>
      </c>
      <c r="Q1137" s="118"/>
    </row>
    <row r="1138" spans="1:17" ht="18.75" customHeight="1" x14ac:dyDescent="0.3">
      <c r="A1138" s="104">
        <v>283</v>
      </c>
      <c r="B1138" s="105" t="s">
        <v>194</v>
      </c>
      <c r="C1138" s="195">
        <v>401</v>
      </c>
      <c r="D1138" s="113">
        <v>59</v>
      </c>
      <c r="E1138" s="114">
        <v>8403</v>
      </c>
      <c r="F1138" s="115">
        <v>21645</v>
      </c>
      <c r="G1138" s="116">
        <v>229</v>
      </c>
      <c r="H1138" s="1731" t="s">
        <v>41</v>
      </c>
      <c r="I1138" s="118"/>
      <c r="J1138" s="192"/>
      <c r="K1138" s="104" t="s">
        <v>25</v>
      </c>
      <c r="L1138" s="192"/>
      <c r="M1138" s="192"/>
      <c r="N1138" s="192"/>
      <c r="O1138" s="2621" t="s">
        <v>6395</v>
      </c>
      <c r="Q1138" s="118"/>
    </row>
    <row r="1139" spans="1:17" ht="18.75" customHeight="1" x14ac:dyDescent="0.3">
      <c r="A1139" s="189">
        <v>284</v>
      </c>
      <c r="B1139" s="105" t="s">
        <v>194</v>
      </c>
      <c r="C1139" s="195">
        <v>401</v>
      </c>
      <c r="D1139" s="113">
        <v>59</v>
      </c>
      <c r="E1139" s="114">
        <v>8404</v>
      </c>
      <c r="F1139" s="115">
        <v>21645</v>
      </c>
      <c r="G1139" s="116">
        <v>229</v>
      </c>
      <c r="H1139" s="1731" t="s">
        <v>41</v>
      </c>
      <c r="I1139" s="118"/>
      <c r="J1139" s="192"/>
      <c r="K1139" s="104" t="s">
        <v>25</v>
      </c>
      <c r="L1139" s="192"/>
      <c r="M1139" s="192"/>
      <c r="N1139" s="192"/>
      <c r="O1139" s="2621" t="s">
        <v>6395</v>
      </c>
      <c r="Q1139" s="118"/>
    </row>
    <row r="1140" spans="1:17" ht="18.75" customHeight="1" x14ac:dyDescent="0.3">
      <c r="A1140" s="104">
        <v>285</v>
      </c>
      <c r="B1140" s="105" t="s">
        <v>194</v>
      </c>
      <c r="C1140" s="195">
        <v>401</v>
      </c>
      <c r="D1140" s="125">
        <v>59</v>
      </c>
      <c r="E1140" s="114">
        <v>8405</v>
      </c>
      <c r="F1140" s="115">
        <v>21645</v>
      </c>
      <c r="G1140" s="116">
        <v>229</v>
      </c>
      <c r="H1140" s="1731" t="s">
        <v>41</v>
      </c>
      <c r="I1140" s="118"/>
      <c r="J1140" s="192"/>
      <c r="K1140" s="104" t="s">
        <v>25</v>
      </c>
      <c r="L1140" s="192"/>
      <c r="M1140" s="192"/>
      <c r="N1140" s="192"/>
      <c r="O1140" s="2621" t="s">
        <v>6395</v>
      </c>
      <c r="Q1140" s="118"/>
    </row>
    <row r="1141" spans="1:17" ht="18.75" customHeight="1" x14ac:dyDescent="0.3">
      <c r="A1141" s="189">
        <v>286</v>
      </c>
      <c r="B1141" s="105" t="s">
        <v>194</v>
      </c>
      <c r="C1141" s="195">
        <v>401</v>
      </c>
      <c r="D1141" s="128">
        <v>59</v>
      </c>
      <c r="E1141" s="114">
        <v>8406</v>
      </c>
      <c r="F1141" s="115">
        <v>21645</v>
      </c>
      <c r="G1141" s="116">
        <v>229</v>
      </c>
      <c r="H1141" s="1731" t="s">
        <v>41</v>
      </c>
      <c r="I1141" s="118"/>
      <c r="J1141" s="192"/>
      <c r="K1141" s="104" t="s">
        <v>25</v>
      </c>
      <c r="L1141" s="192"/>
      <c r="M1141" s="192"/>
      <c r="N1141" s="192"/>
      <c r="O1141" s="2621" t="s">
        <v>6395</v>
      </c>
      <c r="Q1141" s="118"/>
    </row>
    <row r="1142" spans="1:17" ht="18.75" customHeight="1" x14ac:dyDescent="0.3">
      <c r="A1142" s="104">
        <v>287</v>
      </c>
      <c r="B1142" s="105" t="s">
        <v>194</v>
      </c>
      <c r="C1142" s="195">
        <v>401</v>
      </c>
      <c r="D1142" s="113">
        <v>59</v>
      </c>
      <c r="E1142" s="114">
        <v>8407</v>
      </c>
      <c r="F1142" s="115">
        <v>21645</v>
      </c>
      <c r="G1142" s="116">
        <v>229</v>
      </c>
      <c r="H1142" s="1731" t="s">
        <v>41</v>
      </c>
      <c r="I1142" s="118"/>
      <c r="J1142" s="192"/>
      <c r="K1142" s="104" t="s">
        <v>25</v>
      </c>
      <c r="L1142" s="192"/>
      <c r="M1142" s="192"/>
      <c r="N1142" s="192"/>
      <c r="O1142" s="2621" t="s">
        <v>6395</v>
      </c>
      <c r="Q1142" s="118"/>
    </row>
    <row r="1143" spans="1:17" ht="18.75" customHeight="1" x14ac:dyDescent="0.3">
      <c r="A1143" s="189">
        <v>288</v>
      </c>
      <c r="B1143" s="105" t="s">
        <v>194</v>
      </c>
      <c r="C1143" s="195">
        <v>401</v>
      </c>
      <c r="D1143" s="113">
        <v>59</v>
      </c>
      <c r="E1143" s="114">
        <v>8408</v>
      </c>
      <c r="F1143" s="115">
        <v>21645</v>
      </c>
      <c r="G1143" s="116">
        <v>229</v>
      </c>
      <c r="H1143" s="1731" t="s">
        <v>41</v>
      </c>
      <c r="I1143" s="118"/>
      <c r="J1143" s="192"/>
      <c r="K1143" s="104" t="s">
        <v>25</v>
      </c>
      <c r="L1143" s="192"/>
      <c r="M1143" s="192"/>
      <c r="N1143" s="192"/>
      <c r="O1143" s="2621" t="s">
        <v>6395</v>
      </c>
      <c r="Q1143" s="118"/>
    </row>
    <row r="1144" spans="1:17" ht="18.75" customHeight="1" x14ac:dyDescent="0.3">
      <c r="A1144" s="104">
        <v>289</v>
      </c>
      <c r="B1144" s="105" t="s">
        <v>194</v>
      </c>
      <c r="C1144" s="195">
        <v>401</v>
      </c>
      <c r="D1144" s="113">
        <v>59</v>
      </c>
      <c r="E1144" s="114">
        <v>8409</v>
      </c>
      <c r="F1144" s="115">
        <v>21645</v>
      </c>
      <c r="G1144" s="116">
        <v>229</v>
      </c>
      <c r="H1144" s="1731" t="s">
        <v>41</v>
      </c>
      <c r="I1144" s="118"/>
      <c r="J1144" s="192"/>
      <c r="K1144" s="104" t="s">
        <v>25</v>
      </c>
      <c r="L1144" s="192"/>
      <c r="M1144" s="192"/>
      <c r="N1144" s="192"/>
      <c r="O1144" s="2621" t="s">
        <v>6395</v>
      </c>
      <c r="Q1144" s="118"/>
    </row>
    <row r="1145" spans="1:17" ht="18.75" customHeight="1" x14ac:dyDescent="0.3">
      <c r="A1145" s="189">
        <v>290</v>
      </c>
      <c r="B1145" s="105" t="s">
        <v>194</v>
      </c>
      <c r="C1145" s="195">
        <v>401</v>
      </c>
      <c r="D1145" s="113">
        <v>59</v>
      </c>
      <c r="E1145" s="114">
        <v>8410</v>
      </c>
      <c r="F1145" s="115">
        <v>21645</v>
      </c>
      <c r="G1145" s="116">
        <v>229</v>
      </c>
      <c r="H1145" s="1731" t="s">
        <v>41</v>
      </c>
      <c r="I1145" s="118"/>
      <c r="J1145" s="192"/>
      <c r="K1145" s="104" t="s">
        <v>25</v>
      </c>
      <c r="L1145" s="192"/>
      <c r="M1145" s="192"/>
      <c r="N1145" s="192"/>
      <c r="O1145" s="2621" t="s">
        <v>6395</v>
      </c>
      <c r="Q1145" s="118"/>
    </row>
    <row r="1146" spans="1:17" ht="18.75" customHeight="1" x14ac:dyDescent="0.3">
      <c r="A1146" s="104">
        <v>291</v>
      </c>
      <c r="B1146" s="105" t="s">
        <v>194</v>
      </c>
      <c r="C1146" s="195">
        <v>401</v>
      </c>
      <c r="D1146" s="113">
        <v>59</v>
      </c>
      <c r="E1146" s="114">
        <v>8411</v>
      </c>
      <c r="F1146" s="115">
        <v>21645</v>
      </c>
      <c r="G1146" s="116">
        <v>229</v>
      </c>
      <c r="H1146" s="1731" t="s">
        <v>41</v>
      </c>
      <c r="I1146" s="118"/>
      <c r="J1146" s="192"/>
      <c r="K1146" s="104" t="s">
        <v>25</v>
      </c>
      <c r="L1146" s="192"/>
      <c r="M1146" s="192"/>
      <c r="N1146" s="192"/>
      <c r="O1146" s="2621" t="s">
        <v>6395</v>
      </c>
      <c r="Q1146" s="118"/>
    </row>
    <row r="1147" spans="1:17" ht="18.75" customHeight="1" x14ac:dyDescent="0.3">
      <c r="A1147" s="189">
        <v>292</v>
      </c>
      <c r="B1147" s="105" t="s">
        <v>194</v>
      </c>
      <c r="C1147" s="195">
        <v>401</v>
      </c>
      <c r="D1147" s="125">
        <v>59</v>
      </c>
      <c r="E1147" s="114">
        <v>8412</v>
      </c>
      <c r="F1147" s="115">
        <v>21645</v>
      </c>
      <c r="G1147" s="116">
        <v>229</v>
      </c>
      <c r="H1147" s="1731" t="s">
        <v>41</v>
      </c>
      <c r="I1147" s="118"/>
      <c r="J1147" s="192"/>
      <c r="K1147" s="104" t="s">
        <v>25</v>
      </c>
      <c r="L1147" s="192"/>
      <c r="M1147" s="192"/>
      <c r="N1147" s="192"/>
      <c r="O1147" s="2621" t="s">
        <v>6395</v>
      </c>
      <c r="Q1147" s="118"/>
    </row>
    <row r="1148" spans="1:17" ht="18.75" customHeight="1" x14ac:dyDescent="0.3">
      <c r="A1148" s="104">
        <v>293</v>
      </c>
      <c r="B1148" s="105" t="s">
        <v>194</v>
      </c>
      <c r="C1148" s="195">
        <v>401</v>
      </c>
      <c r="D1148" s="127">
        <v>59</v>
      </c>
      <c r="E1148" s="114">
        <v>8413</v>
      </c>
      <c r="F1148" s="115">
        <v>21645</v>
      </c>
      <c r="G1148" s="116">
        <v>229</v>
      </c>
      <c r="H1148" s="1731" t="s">
        <v>41</v>
      </c>
      <c r="I1148" s="118"/>
      <c r="J1148" s="192"/>
      <c r="K1148" s="104" t="s">
        <v>25</v>
      </c>
      <c r="L1148" s="192"/>
      <c r="M1148" s="192"/>
      <c r="N1148" s="192"/>
      <c r="O1148" s="2621" t="s">
        <v>6395</v>
      </c>
      <c r="Q1148" s="118"/>
    </row>
    <row r="1149" spans="1:17" ht="18.75" customHeight="1" x14ac:dyDescent="0.3">
      <c r="A1149" s="189">
        <v>294</v>
      </c>
      <c r="B1149" s="105" t="s">
        <v>194</v>
      </c>
      <c r="C1149" s="195">
        <v>401</v>
      </c>
      <c r="D1149" s="128">
        <v>59</v>
      </c>
      <c r="E1149" s="114">
        <v>8414</v>
      </c>
      <c r="F1149" s="115">
        <v>21645</v>
      </c>
      <c r="G1149" s="116">
        <v>229</v>
      </c>
      <c r="H1149" s="1731" t="s">
        <v>41</v>
      </c>
      <c r="I1149" s="118"/>
      <c r="J1149" s="192"/>
      <c r="K1149" s="104" t="s">
        <v>25</v>
      </c>
      <c r="L1149" s="192"/>
      <c r="M1149" s="192"/>
      <c r="N1149" s="192"/>
      <c r="O1149" s="2621" t="s">
        <v>6395</v>
      </c>
      <c r="Q1149" s="118"/>
    </row>
    <row r="1150" spans="1:17" ht="18.75" customHeight="1" x14ac:dyDescent="0.3">
      <c r="A1150" s="104">
        <v>295</v>
      </c>
      <c r="B1150" s="105" t="s">
        <v>194</v>
      </c>
      <c r="C1150" s="195">
        <v>401</v>
      </c>
      <c r="D1150" s="113">
        <v>59</v>
      </c>
      <c r="E1150" s="114">
        <v>8415</v>
      </c>
      <c r="F1150" s="115">
        <v>21645</v>
      </c>
      <c r="G1150" s="116">
        <v>229</v>
      </c>
      <c r="H1150" s="1731" t="s">
        <v>41</v>
      </c>
      <c r="I1150" s="118"/>
      <c r="J1150" s="192"/>
      <c r="K1150" s="104" t="s">
        <v>25</v>
      </c>
      <c r="L1150" s="192"/>
      <c r="M1150" s="192"/>
      <c r="N1150" s="192"/>
      <c r="O1150" s="2621" t="s">
        <v>6395</v>
      </c>
      <c r="Q1150" s="118"/>
    </row>
    <row r="1151" spans="1:17" ht="18.75" customHeight="1" x14ac:dyDescent="0.3">
      <c r="A1151" s="189">
        <v>296</v>
      </c>
      <c r="B1151" s="105" t="s">
        <v>194</v>
      </c>
      <c r="C1151" s="195">
        <v>401</v>
      </c>
      <c r="D1151" s="113">
        <v>59</v>
      </c>
      <c r="E1151" s="114">
        <v>8416</v>
      </c>
      <c r="F1151" s="115">
        <v>21645</v>
      </c>
      <c r="G1151" s="116">
        <v>229</v>
      </c>
      <c r="H1151" s="1731" t="s">
        <v>41</v>
      </c>
      <c r="I1151" s="118"/>
      <c r="J1151" s="192"/>
      <c r="K1151" s="104" t="s">
        <v>25</v>
      </c>
      <c r="L1151" s="192"/>
      <c r="M1151" s="192"/>
      <c r="N1151" s="192"/>
      <c r="O1151" s="2621" t="s">
        <v>6395</v>
      </c>
      <c r="Q1151" s="118"/>
    </row>
    <row r="1152" spans="1:17" ht="18.75" customHeight="1" x14ac:dyDescent="0.3">
      <c r="A1152" s="104">
        <v>297</v>
      </c>
      <c r="B1152" s="105" t="s">
        <v>194</v>
      </c>
      <c r="C1152" s="195">
        <v>401</v>
      </c>
      <c r="D1152" s="113">
        <v>59</v>
      </c>
      <c r="E1152" s="114">
        <v>8417</v>
      </c>
      <c r="F1152" s="115">
        <v>21645</v>
      </c>
      <c r="G1152" s="116">
        <v>229</v>
      </c>
      <c r="H1152" s="1731" t="s">
        <v>41</v>
      </c>
      <c r="I1152" s="118"/>
      <c r="J1152" s="192"/>
      <c r="K1152" s="104" t="s">
        <v>25</v>
      </c>
      <c r="L1152" s="192"/>
      <c r="M1152" s="192"/>
      <c r="N1152" s="192"/>
      <c r="O1152" s="2621" t="s">
        <v>6395</v>
      </c>
      <c r="Q1152" s="118"/>
    </row>
    <row r="1153" spans="1:17" ht="18.75" customHeight="1" x14ac:dyDescent="0.3">
      <c r="A1153" s="189">
        <v>298</v>
      </c>
      <c r="B1153" s="105" t="s">
        <v>194</v>
      </c>
      <c r="C1153" s="195">
        <v>401</v>
      </c>
      <c r="D1153" s="113">
        <v>59</v>
      </c>
      <c r="E1153" s="114">
        <v>8418</v>
      </c>
      <c r="F1153" s="115">
        <v>21645</v>
      </c>
      <c r="G1153" s="116">
        <v>229</v>
      </c>
      <c r="H1153" s="1731" t="s">
        <v>41</v>
      </c>
      <c r="I1153" s="118"/>
      <c r="J1153" s="192"/>
      <c r="K1153" s="104" t="s">
        <v>25</v>
      </c>
      <c r="L1153" s="192"/>
      <c r="M1153" s="192"/>
      <c r="N1153" s="192"/>
      <c r="O1153" s="2621" t="s">
        <v>6395</v>
      </c>
      <c r="Q1153" s="118"/>
    </row>
    <row r="1154" spans="1:17" ht="18.75" customHeight="1" x14ac:dyDescent="0.3">
      <c r="A1154" s="104">
        <v>299</v>
      </c>
      <c r="B1154" s="105" t="s">
        <v>194</v>
      </c>
      <c r="C1154" s="195">
        <v>401</v>
      </c>
      <c r="D1154" s="136">
        <v>59</v>
      </c>
      <c r="E1154" s="114">
        <v>8419</v>
      </c>
      <c r="F1154" s="115">
        <v>21645</v>
      </c>
      <c r="G1154" s="116">
        <v>229</v>
      </c>
      <c r="H1154" s="1731" t="s">
        <v>41</v>
      </c>
      <c r="I1154" s="118"/>
      <c r="J1154" s="192"/>
      <c r="K1154" s="104" t="s">
        <v>25</v>
      </c>
      <c r="L1154" s="192"/>
      <c r="M1154" s="192"/>
      <c r="N1154" s="192"/>
      <c r="O1154" s="2621" t="s">
        <v>6395</v>
      </c>
      <c r="Q1154" s="118"/>
    </row>
    <row r="1155" spans="1:17" ht="18.75" customHeight="1" x14ac:dyDescent="0.3">
      <c r="A1155" s="189">
        <v>300</v>
      </c>
      <c r="B1155" s="105" t="s">
        <v>194</v>
      </c>
      <c r="C1155" s="195">
        <v>401</v>
      </c>
      <c r="D1155" s="128">
        <v>59</v>
      </c>
      <c r="E1155" s="114">
        <v>8420</v>
      </c>
      <c r="F1155" s="115">
        <v>21645</v>
      </c>
      <c r="G1155" s="116">
        <v>229</v>
      </c>
      <c r="H1155" s="1731" t="s">
        <v>41</v>
      </c>
      <c r="I1155" s="118"/>
      <c r="J1155" s="192"/>
      <c r="K1155" s="104" t="s">
        <v>25</v>
      </c>
      <c r="L1155" s="192"/>
      <c r="M1155" s="192"/>
      <c r="N1155" s="192"/>
      <c r="O1155" s="2621" t="s">
        <v>6395</v>
      </c>
      <c r="Q1155" s="118"/>
    </row>
    <row r="1156" spans="1:17" ht="18.75" customHeight="1" x14ac:dyDescent="0.3">
      <c r="A1156" s="104">
        <v>301</v>
      </c>
      <c r="B1156" s="105" t="s">
        <v>194</v>
      </c>
      <c r="C1156" s="195">
        <v>401</v>
      </c>
      <c r="D1156" s="113">
        <v>59</v>
      </c>
      <c r="E1156" s="114">
        <v>8421</v>
      </c>
      <c r="F1156" s="115">
        <v>21645</v>
      </c>
      <c r="G1156" s="116">
        <v>229</v>
      </c>
      <c r="H1156" s="1731" t="s">
        <v>41</v>
      </c>
      <c r="I1156" s="118"/>
      <c r="J1156" s="192"/>
      <c r="K1156" s="104" t="s">
        <v>25</v>
      </c>
      <c r="L1156" s="192"/>
      <c r="M1156" s="192"/>
      <c r="N1156" s="192"/>
      <c r="O1156" s="2621" t="s">
        <v>6395</v>
      </c>
      <c r="Q1156" s="118"/>
    </row>
    <row r="1157" spans="1:17" ht="18.75" customHeight="1" x14ac:dyDescent="0.3">
      <c r="A1157" s="189">
        <v>302</v>
      </c>
      <c r="B1157" s="105" t="s">
        <v>194</v>
      </c>
      <c r="C1157" s="195">
        <v>401</v>
      </c>
      <c r="D1157" s="113">
        <v>59</v>
      </c>
      <c r="E1157" s="114">
        <v>8422</v>
      </c>
      <c r="F1157" s="115">
        <v>21645</v>
      </c>
      <c r="G1157" s="116">
        <v>229</v>
      </c>
      <c r="H1157" s="1731" t="s">
        <v>41</v>
      </c>
      <c r="I1157" s="118"/>
      <c r="J1157" s="192"/>
      <c r="K1157" s="104" t="s">
        <v>25</v>
      </c>
      <c r="L1157" s="192"/>
      <c r="M1157" s="192"/>
      <c r="N1157" s="192"/>
      <c r="O1157" s="2621" t="s">
        <v>6395</v>
      </c>
      <c r="Q1157" s="118"/>
    </row>
    <row r="1158" spans="1:17" ht="18.75" customHeight="1" x14ac:dyDescent="0.3">
      <c r="A1158" s="104">
        <v>303</v>
      </c>
      <c r="B1158" s="105" t="s">
        <v>194</v>
      </c>
      <c r="C1158" s="195">
        <v>401</v>
      </c>
      <c r="D1158" s="113">
        <v>59</v>
      </c>
      <c r="E1158" s="114">
        <v>8423</v>
      </c>
      <c r="F1158" s="115">
        <v>21645</v>
      </c>
      <c r="G1158" s="116">
        <v>229</v>
      </c>
      <c r="H1158" s="1731" t="s">
        <v>41</v>
      </c>
      <c r="I1158" s="118"/>
      <c r="J1158" s="192"/>
      <c r="K1158" s="104" t="s">
        <v>25</v>
      </c>
      <c r="L1158" s="192"/>
      <c r="M1158" s="192"/>
      <c r="N1158" s="192"/>
      <c r="O1158" s="2621" t="s">
        <v>6395</v>
      </c>
      <c r="Q1158" s="118"/>
    </row>
    <row r="1159" spans="1:17" ht="18.75" customHeight="1" x14ac:dyDescent="0.3">
      <c r="A1159" s="189">
        <v>304</v>
      </c>
      <c r="B1159" s="105" t="s">
        <v>194</v>
      </c>
      <c r="C1159" s="195">
        <v>401</v>
      </c>
      <c r="D1159" s="113">
        <v>59</v>
      </c>
      <c r="E1159" s="114">
        <v>8424</v>
      </c>
      <c r="F1159" s="115">
        <v>21645</v>
      </c>
      <c r="G1159" s="116">
        <v>229</v>
      </c>
      <c r="H1159" s="1731" t="s">
        <v>41</v>
      </c>
      <c r="I1159" s="118"/>
      <c r="J1159" s="192"/>
      <c r="K1159" s="104" t="s">
        <v>25</v>
      </c>
      <c r="L1159" s="192"/>
      <c r="M1159" s="192"/>
      <c r="N1159" s="192"/>
      <c r="O1159" s="2621" t="s">
        <v>6395</v>
      </c>
      <c r="Q1159" s="118"/>
    </row>
    <row r="1160" spans="1:17" ht="18.75" customHeight="1" x14ac:dyDescent="0.3">
      <c r="A1160" s="104">
        <v>305</v>
      </c>
      <c r="B1160" s="105" t="s">
        <v>194</v>
      </c>
      <c r="C1160" s="195">
        <v>401</v>
      </c>
      <c r="D1160" s="113">
        <v>59</v>
      </c>
      <c r="E1160" s="114">
        <v>8425</v>
      </c>
      <c r="F1160" s="115">
        <v>21645</v>
      </c>
      <c r="G1160" s="116">
        <v>229</v>
      </c>
      <c r="H1160" s="1731" t="s">
        <v>41</v>
      </c>
      <c r="I1160" s="118"/>
      <c r="J1160" s="192"/>
      <c r="K1160" s="104" t="s">
        <v>25</v>
      </c>
      <c r="L1160" s="192"/>
      <c r="M1160" s="192"/>
      <c r="N1160" s="192"/>
      <c r="O1160" s="2621" t="s">
        <v>6395</v>
      </c>
      <c r="Q1160" s="118"/>
    </row>
    <row r="1161" spans="1:17" ht="18.75" customHeight="1" x14ac:dyDescent="0.3">
      <c r="A1161" s="189">
        <v>306</v>
      </c>
      <c r="B1161" s="105" t="s">
        <v>194</v>
      </c>
      <c r="C1161" s="195">
        <v>401</v>
      </c>
      <c r="D1161" s="113">
        <v>59</v>
      </c>
      <c r="E1161" s="114">
        <v>8426</v>
      </c>
      <c r="F1161" s="115">
        <v>21645</v>
      </c>
      <c r="G1161" s="116">
        <v>229</v>
      </c>
      <c r="H1161" s="1731" t="s">
        <v>41</v>
      </c>
      <c r="I1161" s="118"/>
      <c r="J1161" s="192"/>
      <c r="K1161" s="104" t="s">
        <v>25</v>
      </c>
      <c r="L1161" s="192"/>
      <c r="M1161" s="192"/>
      <c r="N1161" s="192"/>
      <c r="O1161" s="2621" t="s">
        <v>6395</v>
      </c>
      <c r="Q1161" s="118"/>
    </row>
    <row r="1162" spans="1:17" ht="18.75" customHeight="1" x14ac:dyDescent="0.3">
      <c r="A1162" s="104">
        <v>307</v>
      </c>
      <c r="B1162" s="105" t="s">
        <v>194</v>
      </c>
      <c r="C1162" s="195">
        <v>401</v>
      </c>
      <c r="D1162" s="113">
        <v>59</v>
      </c>
      <c r="E1162" s="114">
        <v>8427</v>
      </c>
      <c r="F1162" s="115">
        <v>21645</v>
      </c>
      <c r="G1162" s="116">
        <v>229</v>
      </c>
      <c r="H1162" s="1731" t="s">
        <v>41</v>
      </c>
      <c r="I1162" s="118"/>
      <c r="J1162" s="192"/>
      <c r="K1162" s="104" t="s">
        <v>25</v>
      </c>
      <c r="L1162" s="192"/>
      <c r="M1162" s="192"/>
      <c r="N1162" s="192"/>
      <c r="O1162" s="2621" t="s">
        <v>6395</v>
      </c>
      <c r="Q1162" s="118"/>
    </row>
    <row r="1163" spans="1:17" ht="18.75" customHeight="1" x14ac:dyDescent="0.3">
      <c r="A1163" s="189">
        <v>308</v>
      </c>
      <c r="B1163" s="105" t="s">
        <v>194</v>
      </c>
      <c r="C1163" s="195">
        <v>401</v>
      </c>
      <c r="D1163" s="125">
        <v>59</v>
      </c>
      <c r="E1163" s="114">
        <v>8428</v>
      </c>
      <c r="F1163" s="115">
        <v>21645</v>
      </c>
      <c r="G1163" s="116">
        <v>229</v>
      </c>
      <c r="H1163" s="1731" t="s">
        <v>41</v>
      </c>
      <c r="I1163" s="118"/>
      <c r="J1163" s="192"/>
      <c r="K1163" s="104" t="s">
        <v>25</v>
      </c>
      <c r="L1163" s="192"/>
      <c r="M1163" s="192"/>
      <c r="N1163" s="192"/>
      <c r="O1163" s="2621" t="s">
        <v>6395</v>
      </c>
      <c r="Q1163" s="118"/>
    </row>
    <row r="1164" spans="1:17" ht="18.75" customHeight="1" x14ac:dyDescent="0.3">
      <c r="A1164" s="104">
        <v>309</v>
      </c>
      <c r="B1164" s="105" t="s">
        <v>194</v>
      </c>
      <c r="C1164" s="195">
        <v>401</v>
      </c>
      <c r="D1164" s="128">
        <v>59</v>
      </c>
      <c r="E1164" s="114">
        <v>8429</v>
      </c>
      <c r="F1164" s="115">
        <v>21645</v>
      </c>
      <c r="G1164" s="116">
        <v>229</v>
      </c>
      <c r="H1164" s="1731" t="s">
        <v>41</v>
      </c>
      <c r="I1164" s="118"/>
      <c r="J1164" s="192"/>
      <c r="K1164" s="104" t="s">
        <v>25</v>
      </c>
      <c r="L1164" s="192"/>
      <c r="M1164" s="192"/>
      <c r="N1164" s="192"/>
      <c r="O1164" s="2621" t="s">
        <v>6395</v>
      </c>
      <c r="Q1164" s="118"/>
    </row>
    <row r="1165" spans="1:17" ht="18.75" customHeight="1" x14ac:dyDescent="0.3">
      <c r="A1165" s="189">
        <v>310</v>
      </c>
      <c r="B1165" s="105" t="s">
        <v>194</v>
      </c>
      <c r="C1165" s="195">
        <v>401</v>
      </c>
      <c r="D1165" s="113">
        <v>59</v>
      </c>
      <c r="E1165" s="114">
        <v>8430</v>
      </c>
      <c r="F1165" s="115">
        <v>21645</v>
      </c>
      <c r="G1165" s="116">
        <v>229</v>
      </c>
      <c r="H1165" s="1731" t="s">
        <v>41</v>
      </c>
      <c r="I1165" s="118"/>
      <c r="J1165" s="192"/>
      <c r="K1165" s="104" t="s">
        <v>25</v>
      </c>
      <c r="L1165" s="192"/>
      <c r="M1165" s="192"/>
      <c r="N1165" s="192"/>
      <c r="O1165" s="2621" t="s">
        <v>6395</v>
      </c>
      <c r="Q1165" s="118"/>
    </row>
    <row r="1166" spans="1:17" ht="18.75" customHeight="1" x14ac:dyDescent="0.3">
      <c r="A1166" s="104">
        <v>311</v>
      </c>
      <c r="B1166" s="105" t="s">
        <v>194</v>
      </c>
      <c r="C1166" s="195">
        <v>401</v>
      </c>
      <c r="D1166" s="113">
        <v>59</v>
      </c>
      <c r="E1166" s="114">
        <v>8431</v>
      </c>
      <c r="F1166" s="115">
        <v>21645</v>
      </c>
      <c r="G1166" s="116">
        <v>229</v>
      </c>
      <c r="H1166" s="1731" t="s">
        <v>41</v>
      </c>
      <c r="I1166" s="118"/>
      <c r="J1166" s="192"/>
      <c r="K1166" s="104" t="s">
        <v>25</v>
      </c>
      <c r="L1166" s="192"/>
      <c r="M1166" s="192"/>
      <c r="N1166" s="192"/>
      <c r="O1166" s="2621" t="s">
        <v>6395</v>
      </c>
      <c r="Q1166" s="118"/>
    </row>
    <row r="1167" spans="1:17" ht="18.75" customHeight="1" x14ac:dyDescent="0.3">
      <c r="A1167" s="189">
        <v>312</v>
      </c>
      <c r="B1167" s="105" t="s">
        <v>194</v>
      </c>
      <c r="C1167" s="195">
        <v>401</v>
      </c>
      <c r="D1167" s="113">
        <v>59</v>
      </c>
      <c r="E1167" s="114">
        <v>8432</v>
      </c>
      <c r="F1167" s="115">
        <v>21645</v>
      </c>
      <c r="G1167" s="116">
        <v>229</v>
      </c>
      <c r="H1167" s="1731" t="s">
        <v>41</v>
      </c>
      <c r="I1167" s="118"/>
      <c r="J1167" s="192"/>
      <c r="K1167" s="104" t="s">
        <v>25</v>
      </c>
      <c r="L1167" s="192"/>
      <c r="M1167" s="192"/>
      <c r="N1167" s="192"/>
      <c r="O1167" s="2621" t="s">
        <v>6395</v>
      </c>
      <c r="Q1167" s="118"/>
    </row>
    <row r="1168" spans="1:17" ht="18.75" customHeight="1" x14ac:dyDescent="0.3">
      <c r="A1168" s="104">
        <v>313</v>
      </c>
      <c r="B1168" s="105" t="s">
        <v>194</v>
      </c>
      <c r="C1168" s="195">
        <v>401</v>
      </c>
      <c r="D1168" s="113">
        <v>59</v>
      </c>
      <c r="E1168" s="114">
        <v>8433</v>
      </c>
      <c r="F1168" s="115">
        <v>21645</v>
      </c>
      <c r="G1168" s="116">
        <v>229</v>
      </c>
      <c r="H1168" s="1731" t="s">
        <v>41</v>
      </c>
      <c r="I1168" s="118"/>
      <c r="J1168" s="192"/>
      <c r="K1168" s="104" t="s">
        <v>25</v>
      </c>
      <c r="L1168" s="192"/>
      <c r="M1168" s="192"/>
      <c r="N1168" s="192"/>
      <c r="O1168" s="2621" t="s">
        <v>6395</v>
      </c>
      <c r="Q1168" s="118"/>
    </row>
    <row r="1169" spans="1:17" ht="18.75" customHeight="1" x14ac:dyDescent="0.3">
      <c r="A1169" s="189">
        <v>314</v>
      </c>
      <c r="B1169" s="105" t="s">
        <v>194</v>
      </c>
      <c r="C1169" s="195">
        <v>401</v>
      </c>
      <c r="D1169" s="113">
        <v>59</v>
      </c>
      <c r="E1169" s="114">
        <v>8434</v>
      </c>
      <c r="F1169" s="115">
        <v>21645</v>
      </c>
      <c r="G1169" s="116">
        <v>229</v>
      </c>
      <c r="H1169" s="1731" t="s">
        <v>41</v>
      </c>
      <c r="I1169" s="118"/>
      <c r="J1169" s="192"/>
      <c r="K1169" s="104" t="s">
        <v>25</v>
      </c>
      <c r="L1169" s="192"/>
      <c r="M1169" s="192"/>
      <c r="N1169" s="192"/>
      <c r="O1169" s="2621" t="s">
        <v>6395</v>
      </c>
      <c r="Q1169" s="118"/>
    </row>
    <row r="1170" spans="1:17" ht="18.75" customHeight="1" x14ac:dyDescent="0.3">
      <c r="A1170" s="104">
        <v>315</v>
      </c>
      <c r="B1170" s="105" t="s">
        <v>194</v>
      </c>
      <c r="C1170" s="195">
        <v>401</v>
      </c>
      <c r="D1170" s="113">
        <v>59</v>
      </c>
      <c r="E1170" s="114">
        <v>8435</v>
      </c>
      <c r="F1170" s="115">
        <v>21645</v>
      </c>
      <c r="G1170" s="116">
        <v>229</v>
      </c>
      <c r="H1170" s="1731" t="s">
        <v>41</v>
      </c>
      <c r="I1170" s="118"/>
      <c r="J1170" s="192"/>
      <c r="K1170" s="104" t="s">
        <v>25</v>
      </c>
      <c r="L1170" s="192"/>
      <c r="M1170" s="192"/>
      <c r="N1170" s="192"/>
      <c r="O1170" s="2621" t="s">
        <v>6395</v>
      </c>
      <c r="Q1170" s="118"/>
    </row>
    <row r="1171" spans="1:17" ht="18.75" customHeight="1" x14ac:dyDescent="0.3">
      <c r="A1171" s="189">
        <v>316</v>
      </c>
      <c r="B1171" s="105" t="s">
        <v>194</v>
      </c>
      <c r="C1171" s="195">
        <v>401</v>
      </c>
      <c r="D1171" s="113">
        <v>59</v>
      </c>
      <c r="E1171" s="114">
        <v>8436</v>
      </c>
      <c r="F1171" s="115">
        <v>21645</v>
      </c>
      <c r="G1171" s="116">
        <v>229</v>
      </c>
      <c r="H1171" s="1731" t="s">
        <v>41</v>
      </c>
      <c r="I1171" s="118"/>
      <c r="J1171" s="192"/>
      <c r="K1171" s="104" t="s">
        <v>25</v>
      </c>
      <c r="L1171" s="192"/>
      <c r="M1171" s="192"/>
      <c r="N1171" s="192"/>
      <c r="O1171" s="2621" t="s">
        <v>6395</v>
      </c>
      <c r="Q1171" s="118"/>
    </row>
    <row r="1172" spans="1:17" ht="18.75" customHeight="1" x14ac:dyDescent="0.3">
      <c r="A1172" s="104">
        <v>317</v>
      </c>
      <c r="B1172" s="105" t="s">
        <v>194</v>
      </c>
      <c r="C1172" s="195">
        <v>401</v>
      </c>
      <c r="D1172" s="113">
        <v>59</v>
      </c>
      <c r="E1172" s="114">
        <v>8437</v>
      </c>
      <c r="F1172" s="115">
        <v>21645</v>
      </c>
      <c r="G1172" s="116">
        <v>229</v>
      </c>
      <c r="H1172" s="1731" t="s">
        <v>41</v>
      </c>
      <c r="I1172" s="118"/>
      <c r="J1172" s="192"/>
      <c r="K1172" s="104" t="s">
        <v>25</v>
      </c>
      <c r="L1172" s="192"/>
      <c r="M1172" s="192"/>
      <c r="N1172" s="192"/>
      <c r="O1172" s="2621" t="s">
        <v>6395</v>
      </c>
      <c r="Q1172" s="118"/>
    </row>
    <row r="1173" spans="1:17" ht="18.75" customHeight="1" x14ac:dyDescent="0.3">
      <c r="A1173" s="189">
        <v>318</v>
      </c>
      <c r="B1173" s="105" t="s">
        <v>194</v>
      </c>
      <c r="C1173" s="195">
        <v>401</v>
      </c>
      <c r="D1173" s="113">
        <v>59</v>
      </c>
      <c r="E1173" s="114">
        <v>8438</v>
      </c>
      <c r="F1173" s="115">
        <v>21645</v>
      </c>
      <c r="G1173" s="116">
        <v>229</v>
      </c>
      <c r="H1173" s="1731" t="s">
        <v>41</v>
      </c>
      <c r="I1173" s="118"/>
      <c r="J1173" s="192"/>
      <c r="K1173" s="104" t="s">
        <v>25</v>
      </c>
      <c r="L1173" s="192"/>
      <c r="M1173" s="192"/>
      <c r="N1173" s="192"/>
      <c r="O1173" s="2621" t="s">
        <v>6395</v>
      </c>
      <c r="Q1173" s="118"/>
    </row>
    <row r="1174" spans="1:17" ht="18.75" customHeight="1" x14ac:dyDescent="0.3">
      <c r="A1174" s="104">
        <v>319</v>
      </c>
      <c r="B1174" s="105" t="s">
        <v>194</v>
      </c>
      <c r="C1174" s="195">
        <v>401</v>
      </c>
      <c r="D1174" s="113">
        <v>59</v>
      </c>
      <c r="E1174" s="114">
        <v>8439</v>
      </c>
      <c r="F1174" s="115">
        <v>21645</v>
      </c>
      <c r="G1174" s="116">
        <v>229</v>
      </c>
      <c r="H1174" s="1731" t="s">
        <v>41</v>
      </c>
      <c r="I1174" s="118"/>
      <c r="J1174" s="192"/>
      <c r="K1174" s="104" t="s">
        <v>25</v>
      </c>
      <c r="L1174" s="192"/>
      <c r="M1174" s="192"/>
      <c r="N1174" s="192"/>
      <c r="O1174" s="2621" t="s">
        <v>6395</v>
      </c>
      <c r="Q1174" s="118"/>
    </row>
    <row r="1175" spans="1:17" ht="18.75" customHeight="1" x14ac:dyDescent="0.3">
      <c r="A1175" s="189">
        <v>320</v>
      </c>
      <c r="B1175" s="105" t="s">
        <v>194</v>
      </c>
      <c r="C1175" s="195">
        <v>401</v>
      </c>
      <c r="D1175" s="113">
        <v>59</v>
      </c>
      <c r="E1175" s="114">
        <v>8440</v>
      </c>
      <c r="F1175" s="115">
        <v>21645</v>
      </c>
      <c r="G1175" s="116">
        <v>229</v>
      </c>
      <c r="H1175" s="1731" t="s">
        <v>41</v>
      </c>
      <c r="I1175" s="118"/>
      <c r="J1175" s="192"/>
      <c r="K1175" s="104" t="s">
        <v>25</v>
      </c>
      <c r="L1175" s="192"/>
      <c r="M1175" s="192"/>
      <c r="N1175" s="192"/>
      <c r="O1175" s="2621" t="s">
        <v>6395</v>
      </c>
      <c r="Q1175" s="118"/>
    </row>
    <row r="1176" spans="1:17" ht="18.75" customHeight="1" x14ac:dyDescent="0.3">
      <c r="A1176" s="104">
        <v>321</v>
      </c>
      <c r="B1176" s="105" t="s">
        <v>194</v>
      </c>
      <c r="C1176" s="195">
        <v>401</v>
      </c>
      <c r="D1176" s="113">
        <v>59</v>
      </c>
      <c r="E1176" s="114">
        <v>8441</v>
      </c>
      <c r="F1176" s="115">
        <v>21645</v>
      </c>
      <c r="G1176" s="116">
        <v>229</v>
      </c>
      <c r="H1176" s="1731" t="s">
        <v>41</v>
      </c>
      <c r="I1176" s="118"/>
      <c r="J1176" s="192"/>
      <c r="K1176" s="104" t="s">
        <v>25</v>
      </c>
      <c r="L1176" s="192"/>
      <c r="M1176" s="192"/>
      <c r="N1176" s="192"/>
      <c r="O1176" s="2621" t="s">
        <v>6395</v>
      </c>
      <c r="Q1176" s="118"/>
    </row>
    <row r="1177" spans="1:17" ht="18.75" customHeight="1" x14ac:dyDescent="0.3">
      <c r="A1177" s="189">
        <v>322</v>
      </c>
      <c r="B1177" s="105" t="s">
        <v>194</v>
      </c>
      <c r="C1177" s="195">
        <v>401</v>
      </c>
      <c r="D1177" s="113">
        <v>59</v>
      </c>
      <c r="E1177" s="114">
        <v>8442</v>
      </c>
      <c r="F1177" s="115">
        <v>21645</v>
      </c>
      <c r="G1177" s="116">
        <v>229</v>
      </c>
      <c r="H1177" s="1731" t="s">
        <v>41</v>
      </c>
      <c r="I1177" s="118"/>
      <c r="J1177" s="192"/>
      <c r="K1177" s="104" t="s">
        <v>25</v>
      </c>
      <c r="L1177" s="192"/>
      <c r="M1177" s="192"/>
      <c r="N1177" s="192"/>
      <c r="O1177" s="2621" t="s">
        <v>6395</v>
      </c>
      <c r="Q1177" s="118"/>
    </row>
    <row r="1178" spans="1:17" ht="18.75" customHeight="1" x14ac:dyDescent="0.3">
      <c r="A1178" s="104">
        <v>323</v>
      </c>
      <c r="B1178" s="105" t="s">
        <v>194</v>
      </c>
      <c r="C1178" s="195">
        <v>401</v>
      </c>
      <c r="D1178" s="113">
        <v>59</v>
      </c>
      <c r="E1178" s="114">
        <v>8443</v>
      </c>
      <c r="F1178" s="115">
        <v>21645</v>
      </c>
      <c r="G1178" s="116">
        <v>229</v>
      </c>
      <c r="H1178" s="1731" t="s">
        <v>41</v>
      </c>
      <c r="I1178" s="118"/>
      <c r="J1178" s="192"/>
      <c r="K1178" s="104" t="s">
        <v>25</v>
      </c>
      <c r="L1178" s="192"/>
      <c r="M1178" s="192"/>
      <c r="N1178" s="192"/>
      <c r="O1178" s="2621" t="s">
        <v>6395</v>
      </c>
      <c r="Q1178" s="118"/>
    </row>
    <row r="1179" spans="1:17" ht="18.75" customHeight="1" x14ac:dyDescent="0.3">
      <c r="A1179" s="189">
        <v>324</v>
      </c>
      <c r="B1179" s="105" t="s">
        <v>194</v>
      </c>
      <c r="C1179" s="195">
        <v>401</v>
      </c>
      <c r="D1179" s="113">
        <v>59</v>
      </c>
      <c r="E1179" s="114">
        <v>8444</v>
      </c>
      <c r="F1179" s="115">
        <v>21645</v>
      </c>
      <c r="G1179" s="116">
        <v>229</v>
      </c>
      <c r="H1179" s="1731" t="s">
        <v>41</v>
      </c>
      <c r="I1179" s="118"/>
      <c r="J1179" s="192"/>
      <c r="K1179" s="104" t="s">
        <v>25</v>
      </c>
      <c r="L1179" s="192"/>
      <c r="M1179" s="192"/>
      <c r="N1179" s="192"/>
      <c r="O1179" s="2621" t="s">
        <v>6395</v>
      </c>
      <c r="Q1179" s="118"/>
    </row>
    <row r="1180" spans="1:17" ht="18.75" customHeight="1" x14ac:dyDescent="0.3">
      <c r="A1180" s="104">
        <v>325</v>
      </c>
      <c r="B1180" s="105" t="s">
        <v>194</v>
      </c>
      <c r="C1180" s="195">
        <v>401</v>
      </c>
      <c r="D1180" s="113">
        <v>59</v>
      </c>
      <c r="E1180" s="114">
        <v>8445</v>
      </c>
      <c r="F1180" s="115">
        <v>21645</v>
      </c>
      <c r="G1180" s="116">
        <v>229</v>
      </c>
      <c r="H1180" s="1731" t="s">
        <v>41</v>
      </c>
      <c r="I1180" s="118"/>
      <c r="J1180" s="192"/>
      <c r="K1180" s="104" t="s">
        <v>25</v>
      </c>
      <c r="L1180" s="192"/>
      <c r="M1180" s="192"/>
      <c r="N1180" s="192"/>
      <c r="O1180" s="2621" t="s">
        <v>6395</v>
      </c>
      <c r="Q1180" s="118"/>
    </row>
    <row r="1181" spans="1:17" ht="18.75" customHeight="1" x14ac:dyDescent="0.3">
      <c r="A1181" s="189">
        <v>326</v>
      </c>
      <c r="B1181" s="105" t="s">
        <v>194</v>
      </c>
      <c r="C1181" s="195">
        <v>401</v>
      </c>
      <c r="D1181" s="113">
        <v>59</v>
      </c>
      <c r="E1181" s="114">
        <v>8446</v>
      </c>
      <c r="F1181" s="115">
        <v>21645</v>
      </c>
      <c r="G1181" s="116">
        <v>229</v>
      </c>
      <c r="H1181" s="1731" t="s">
        <v>41</v>
      </c>
      <c r="I1181" s="118"/>
      <c r="J1181" s="192"/>
      <c r="K1181" s="104" t="s">
        <v>25</v>
      </c>
      <c r="L1181" s="192"/>
      <c r="M1181" s="192"/>
      <c r="N1181" s="192"/>
      <c r="O1181" s="2621" t="s">
        <v>6395</v>
      </c>
      <c r="Q1181" s="118"/>
    </row>
    <row r="1182" spans="1:17" ht="18.75" customHeight="1" x14ac:dyDescent="0.3">
      <c r="A1182" s="104">
        <v>327</v>
      </c>
      <c r="B1182" s="105" t="s">
        <v>194</v>
      </c>
      <c r="C1182" s="195">
        <v>401</v>
      </c>
      <c r="D1182" s="113">
        <v>59</v>
      </c>
      <c r="E1182" s="114">
        <v>8447</v>
      </c>
      <c r="F1182" s="115">
        <v>21645</v>
      </c>
      <c r="G1182" s="116">
        <v>229</v>
      </c>
      <c r="H1182" s="1731" t="s">
        <v>41</v>
      </c>
      <c r="I1182" s="118"/>
      <c r="J1182" s="192"/>
      <c r="K1182" s="104" t="s">
        <v>25</v>
      </c>
      <c r="L1182" s="192"/>
      <c r="M1182" s="192"/>
      <c r="N1182" s="192"/>
      <c r="O1182" s="2621" t="s">
        <v>6395</v>
      </c>
      <c r="Q1182" s="118"/>
    </row>
    <row r="1183" spans="1:17" ht="18.75" customHeight="1" x14ac:dyDescent="0.3">
      <c r="A1183" s="189">
        <v>328</v>
      </c>
      <c r="B1183" s="105" t="s">
        <v>194</v>
      </c>
      <c r="C1183" s="195">
        <v>401</v>
      </c>
      <c r="D1183" s="113">
        <v>59</v>
      </c>
      <c r="E1183" s="114">
        <v>8448</v>
      </c>
      <c r="F1183" s="115">
        <v>21645</v>
      </c>
      <c r="G1183" s="116">
        <v>229</v>
      </c>
      <c r="H1183" s="1731" t="s">
        <v>41</v>
      </c>
      <c r="I1183" s="118"/>
      <c r="J1183" s="192"/>
      <c r="K1183" s="104" t="s">
        <v>25</v>
      </c>
      <c r="L1183" s="192"/>
      <c r="M1183" s="192"/>
      <c r="N1183" s="192"/>
      <c r="O1183" s="2621" t="s">
        <v>6395</v>
      </c>
      <c r="Q1183" s="118"/>
    </row>
    <row r="1184" spans="1:17" ht="18.75" customHeight="1" x14ac:dyDescent="0.3">
      <c r="A1184" s="104">
        <v>329</v>
      </c>
      <c r="B1184" s="105" t="s">
        <v>194</v>
      </c>
      <c r="C1184" s="195">
        <v>401</v>
      </c>
      <c r="D1184" s="113">
        <v>59</v>
      </c>
      <c r="E1184" s="114">
        <v>8449</v>
      </c>
      <c r="F1184" s="115">
        <v>21645</v>
      </c>
      <c r="G1184" s="116">
        <v>229</v>
      </c>
      <c r="H1184" s="1731" t="s">
        <v>41</v>
      </c>
      <c r="I1184" s="118"/>
      <c r="J1184" s="192"/>
      <c r="K1184" s="104" t="s">
        <v>25</v>
      </c>
      <c r="L1184" s="192"/>
      <c r="M1184" s="192"/>
      <c r="N1184" s="192"/>
      <c r="O1184" s="2621" t="s">
        <v>6395</v>
      </c>
      <c r="Q1184" s="118"/>
    </row>
    <row r="1185" spans="1:17" ht="18.75" customHeight="1" x14ac:dyDescent="0.3">
      <c r="A1185" s="189">
        <v>330</v>
      </c>
      <c r="B1185" s="105" t="s">
        <v>194</v>
      </c>
      <c r="C1185" s="195">
        <v>401</v>
      </c>
      <c r="D1185" s="125">
        <v>59</v>
      </c>
      <c r="E1185" s="114">
        <v>8450</v>
      </c>
      <c r="F1185" s="115">
        <v>21645</v>
      </c>
      <c r="G1185" s="116">
        <v>229</v>
      </c>
      <c r="H1185" s="1731" t="s">
        <v>41</v>
      </c>
      <c r="I1185" s="118"/>
      <c r="J1185" s="192"/>
      <c r="K1185" s="104" t="s">
        <v>25</v>
      </c>
      <c r="L1185" s="192"/>
      <c r="M1185" s="192"/>
      <c r="N1185" s="192"/>
      <c r="O1185" s="2621" t="s">
        <v>6395</v>
      </c>
      <c r="Q1185" s="118"/>
    </row>
    <row r="1186" spans="1:17" ht="18.75" customHeight="1" x14ac:dyDescent="0.3">
      <c r="A1186" s="104">
        <v>331</v>
      </c>
      <c r="B1186" s="105" t="s">
        <v>194</v>
      </c>
      <c r="C1186" s="195">
        <v>401</v>
      </c>
      <c r="D1186" s="128">
        <v>59</v>
      </c>
      <c r="E1186" s="114">
        <v>8451</v>
      </c>
      <c r="F1186" s="115">
        <v>21645</v>
      </c>
      <c r="G1186" s="116">
        <v>229</v>
      </c>
      <c r="H1186" s="1731" t="s">
        <v>41</v>
      </c>
      <c r="I1186" s="118"/>
      <c r="J1186" s="192"/>
      <c r="K1186" s="104" t="s">
        <v>25</v>
      </c>
      <c r="L1186" s="192"/>
      <c r="M1186" s="192"/>
      <c r="N1186" s="192"/>
      <c r="O1186" s="2621" t="s">
        <v>6395</v>
      </c>
      <c r="Q1186" s="118"/>
    </row>
    <row r="1187" spans="1:17" ht="18.75" customHeight="1" x14ac:dyDescent="0.3">
      <c r="A1187" s="189">
        <v>332</v>
      </c>
      <c r="B1187" s="105" t="s">
        <v>194</v>
      </c>
      <c r="C1187" s="195">
        <v>401</v>
      </c>
      <c r="D1187" s="113">
        <v>59</v>
      </c>
      <c r="E1187" s="114">
        <v>8452</v>
      </c>
      <c r="F1187" s="115">
        <v>21645</v>
      </c>
      <c r="G1187" s="116">
        <v>229</v>
      </c>
      <c r="H1187" s="1731" t="s">
        <v>41</v>
      </c>
      <c r="I1187" s="118"/>
      <c r="J1187" s="192"/>
      <c r="K1187" s="104" t="s">
        <v>25</v>
      </c>
      <c r="L1187" s="192"/>
      <c r="M1187" s="192"/>
      <c r="N1187" s="192"/>
      <c r="O1187" s="2621" t="s">
        <v>6395</v>
      </c>
      <c r="Q1187" s="118"/>
    </row>
    <row r="1188" spans="1:17" ht="18.75" customHeight="1" x14ac:dyDescent="0.3">
      <c r="A1188" s="104">
        <v>333</v>
      </c>
      <c r="B1188" s="105" t="s">
        <v>194</v>
      </c>
      <c r="C1188" s="195">
        <v>401</v>
      </c>
      <c r="D1188" s="113">
        <v>59</v>
      </c>
      <c r="E1188" s="114">
        <v>8453</v>
      </c>
      <c r="F1188" s="115">
        <v>21645</v>
      </c>
      <c r="G1188" s="116">
        <v>229</v>
      </c>
      <c r="H1188" s="1731" t="s">
        <v>41</v>
      </c>
      <c r="I1188" s="118"/>
      <c r="J1188" s="192"/>
      <c r="K1188" s="104" t="s">
        <v>25</v>
      </c>
      <c r="L1188" s="192"/>
      <c r="M1188" s="192"/>
      <c r="N1188" s="192"/>
      <c r="O1188" s="2621" t="s">
        <v>6395</v>
      </c>
      <c r="Q1188" s="118"/>
    </row>
    <row r="1189" spans="1:17" ht="18.75" customHeight="1" x14ac:dyDescent="0.3">
      <c r="A1189" s="189">
        <v>334</v>
      </c>
      <c r="B1189" s="105" t="s">
        <v>194</v>
      </c>
      <c r="C1189" s="195">
        <v>401</v>
      </c>
      <c r="D1189" s="113">
        <v>59</v>
      </c>
      <c r="E1189" s="114">
        <v>8454</v>
      </c>
      <c r="F1189" s="115">
        <v>21645</v>
      </c>
      <c r="G1189" s="116">
        <v>229</v>
      </c>
      <c r="H1189" s="1731" t="s">
        <v>41</v>
      </c>
      <c r="I1189" s="118"/>
      <c r="J1189" s="192"/>
      <c r="K1189" s="104" t="s">
        <v>25</v>
      </c>
      <c r="L1189" s="192"/>
      <c r="M1189" s="192"/>
      <c r="N1189" s="192"/>
      <c r="O1189" s="2621" t="s">
        <v>6395</v>
      </c>
      <c r="Q1189" s="118"/>
    </row>
    <row r="1190" spans="1:17" ht="18.75" customHeight="1" x14ac:dyDescent="0.3">
      <c r="A1190" s="104">
        <v>335</v>
      </c>
      <c r="B1190" s="105" t="s">
        <v>194</v>
      </c>
      <c r="C1190" s="195">
        <v>401</v>
      </c>
      <c r="D1190" s="113">
        <v>59</v>
      </c>
      <c r="E1190" s="114">
        <v>8455</v>
      </c>
      <c r="F1190" s="115">
        <v>21645</v>
      </c>
      <c r="G1190" s="116">
        <v>229</v>
      </c>
      <c r="H1190" s="1731" t="s">
        <v>41</v>
      </c>
      <c r="I1190" s="118"/>
      <c r="J1190" s="192"/>
      <c r="K1190" s="104" t="s">
        <v>25</v>
      </c>
      <c r="L1190" s="192"/>
      <c r="M1190" s="192"/>
      <c r="N1190" s="192"/>
      <c r="O1190" s="2621" t="s">
        <v>6395</v>
      </c>
      <c r="Q1190" s="118"/>
    </row>
    <row r="1191" spans="1:17" ht="18.75" customHeight="1" x14ac:dyDescent="0.3">
      <c r="A1191" s="189">
        <v>336</v>
      </c>
      <c r="B1191" s="105" t="s">
        <v>194</v>
      </c>
      <c r="C1191" s="195">
        <v>401</v>
      </c>
      <c r="D1191" s="113">
        <v>59</v>
      </c>
      <c r="E1191" s="114">
        <v>8456</v>
      </c>
      <c r="F1191" s="115">
        <v>21645</v>
      </c>
      <c r="G1191" s="116">
        <v>229</v>
      </c>
      <c r="H1191" s="1731" t="s">
        <v>41</v>
      </c>
      <c r="I1191" s="118"/>
      <c r="J1191" s="192"/>
      <c r="K1191" s="104" t="s">
        <v>25</v>
      </c>
      <c r="L1191" s="192"/>
      <c r="M1191" s="192"/>
      <c r="N1191" s="192"/>
      <c r="O1191" s="2621" t="s">
        <v>6395</v>
      </c>
      <c r="Q1191" s="118"/>
    </row>
    <row r="1192" spans="1:17" ht="18.75" customHeight="1" x14ac:dyDescent="0.3">
      <c r="A1192" s="104">
        <v>337</v>
      </c>
      <c r="B1192" s="105" t="s">
        <v>194</v>
      </c>
      <c r="C1192" s="195">
        <v>401</v>
      </c>
      <c r="D1192" s="113">
        <v>59</v>
      </c>
      <c r="E1192" s="114">
        <v>8457</v>
      </c>
      <c r="F1192" s="115">
        <v>21645</v>
      </c>
      <c r="G1192" s="116">
        <v>229</v>
      </c>
      <c r="H1192" s="1731" t="s">
        <v>41</v>
      </c>
      <c r="I1192" s="118"/>
      <c r="J1192" s="192"/>
      <c r="K1192" s="104" t="s">
        <v>25</v>
      </c>
      <c r="L1192" s="192"/>
      <c r="M1192" s="192"/>
      <c r="N1192" s="192"/>
      <c r="O1192" s="2621" t="s">
        <v>6395</v>
      </c>
      <c r="Q1192" s="118"/>
    </row>
    <row r="1193" spans="1:17" ht="18.75" customHeight="1" x14ac:dyDescent="0.3">
      <c r="A1193" s="189">
        <v>338</v>
      </c>
      <c r="B1193" s="105" t="s">
        <v>194</v>
      </c>
      <c r="C1193" s="195">
        <v>401</v>
      </c>
      <c r="D1193" s="113">
        <v>59</v>
      </c>
      <c r="E1193" s="114">
        <v>8458</v>
      </c>
      <c r="F1193" s="115">
        <v>21645</v>
      </c>
      <c r="G1193" s="116">
        <v>229</v>
      </c>
      <c r="H1193" s="1731" t="s">
        <v>41</v>
      </c>
      <c r="I1193" s="118"/>
      <c r="J1193" s="192"/>
      <c r="K1193" s="104" t="s">
        <v>25</v>
      </c>
      <c r="L1193" s="192"/>
      <c r="M1193" s="192"/>
      <c r="N1193" s="192"/>
      <c r="O1193" s="2621" t="s">
        <v>6395</v>
      </c>
      <c r="Q1193" s="118"/>
    </row>
    <row r="1194" spans="1:17" ht="18.75" customHeight="1" x14ac:dyDescent="0.3">
      <c r="A1194" s="104">
        <v>339</v>
      </c>
      <c r="B1194" s="105" t="s">
        <v>194</v>
      </c>
      <c r="C1194" s="195">
        <v>401</v>
      </c>
      <c r="D1194" s="113">
        <v>59</v>
      </c>
      <c r="E1194" s="114">
        <v>8459</v>
      </c>
      <c r="F1194" s="115">
        <v>21645</v>
      </c>
      <c r="G1194" s="116">
        <v>229</v>
      </c>
      <c r="H1194" s="1731" t="s">
        <v>41</v>
      </c>
      <c r="I1194" s="118"/>
      <c r="J1194" s="192"/>
      <c r="K1194" s="104" t="s">
        <v>25</v>
      </c>
      <c r="L1194" s="192"/>
      <c r="M1194" s="192"/>
      <c r="N1194" s="192"/>
      <c r="O1194" s="2621" t="s">
        <v>6395</v>
      </c>
      <c r="Q1194" s="118"/>
    </row>
    <row r="1195" spans="1:17" ht="18.75" customHeight="1" x14ac:dyDescent="0.3">
      <c r="A1195" s="189">
        <v>340</v>
      </c>
      <c r="B1195" s="105" t="s">
        <v>194</v>
      </c>
      <c r="C1195" s="195">
        <v>401</v>
      </c>
      <c r="D1195" s="113">
        <v>59</v>
      </c>
      <c r="E1195" s="114">
        <v>8460</v>
      </c>
      <c r="F1195" s="115">
        <v>21645</v>
      </c>
      <c r="G1195" s="116">
        <v>229</v>
      </c>
      <c r="H1195" s="1731" t="s">
        <v>41</v>
      </c>
      <c r="I1195" s="118"/>
      <c r="J1195" s="192"/>
      <c r="K1195" s="104" t="s">
        <v>25</v>
      </c>
      <c r="L1195" s="192"/>
      <c r="M1195" s="192"/>
      <c r="N1195" s="192"/>
      <c r="O1195" s="2621" t="s">
        <v>6395</v>
      </c>
      <c r="Q1195" s="118"/>
    </row>
    <row r="1196" spans="1:17" ht="18.75" customHeight="1" x14ac:dyDescent="0.3">
      <c r="A1196" s="104">
        <v>341</v>
      </c>
      <c r="B1196" s="105" t="s">
        <v>194</v>
      </c>
      <c r="C1196" s="195">
        <v>401</v>
      </c>
      <c r="D1196" s="113">
        <v>59</v>
      </c>
      <c r="E1196" s="114">
        <v>8461</v>
      </c>
      <c r="F1196" s="115">
        <v>21645</v>
      </c>
      <c r="G1196" s="116">
        <v>229</v>
      </c>
      <c r="H1196" s="1731" t="s">
        <v>41</v>
      </c>
      <c r="I1196" s="118"/>
      <c r="J1196" s="192"/>
      <c r="K1196" s="104" t="s">
        <v>25</v>
      </c>
      <c r="L1196" s="192"/>
      <c r="M1196" s="192"/>
      <c r="N1196" s="192"/>
      <c r="O1196" s="2621" t="s">
        <v>6395</v>
      </c>
      <c r="Q1196" s="118"/>
    </row>
    <row r="1197" spans="1:17" ht="18.75" customHeight="1" x14ac:dyDescent="0.3">
      <c r="A1197" s="189">
        <v>342</v>
      </c>
      <c r="B1197" s="105" t="s">
        <v>194</v>
      </c>
      <c r="C1197" s="195">
        <v>401</v>
      </c>
      <c r="D1197" s="113">
        <v>59</v>
      </c>
      <c r="E1197" s="114">
        <v>8462</v>
      </c>
      <c r="F1197" s="115">
        <v>21645</v>
      </c>
      <c r="G1197" s="116">
        <v>229</v>
      </c>
      <c r="H1197" s="1731" t="s">
        <v>41</v>
      </c>
      <c r="I1197" s="118"/>
      <c r="J1197" s="192"/>
      <c r="K1197" s="104" t="s">
        <v>25</v>
      </c>
      <c r="L1197" s="192"/>
      <c r="M1197" s="192"/>
      <c r="N1197" s="192"/>
      <c r="O1197" s="2621" t="s">
        <v>6395</v>
      </c>
      <c r="Q1197" s="118"/>
    </row>
    <row r="1198" spans="1:17" ht="18.75" customHeight="1" x14ac:dyDescent="0.3">
      <c r="A1198" s="104">
        <v>343</v>
      </c>
      <c r="B1198" s="105" t="s">
        <v>194</v>
      </c>
      <c r="C1198" s="195">
        <v>401</v>
      </c>
      <c r="D1198" s="125">
        <v>59</v>
      </c>
      <c r="E1198" s="114">
        <v>8463</v>
      </c>
      <c r="F1198" s="115">
        <v>21645</v>
      </c>
      <c r="G1198" s="116">
        <v>229</v>
      </c>
      <c r="H1198" s="1731" t="s">
        <v>41</v>
      </c>
      <c r="I1198" s="118"/>
      <c r="J1198" s="192"/>
      <c r="K1198" s="104" t="s">
        <v>25</v>
      </c>
      <c r="L1198" s="192"/>
      <c r="M1198" s="192"/>
      <c r="N1198" s="192"/>
      <c r="O1198" s="2621" t="s">
        <v>6395</v>
      </c>
      <c r="Q1198" s="118"/>
    </row>
    <row r="1199" spans="1:17" ht="18.75" customHeight="1" x14ac:dyDescent="0.3">
      <c r="A1199" s="189">
        <v>344</v>
      </c>
      <c r="B1199" s="105" t="s">
        <v>194</v>
      </c>
      <c r="C1199" s="195">
        <v>401</v>
      </c>
      <c r="D1199" s="128">
        <v>59</v>
      </c>
      <c r="E1199" s="114">
        <v>8464</v>
      </c>
      <c r="F1199" s="115">
        <v>21645</v>
      </c>
      <c r="G1199" s="116">
        <v>229</v>
      </c>
      <c r="H1199" s="1731" t="s">
        <v>41</v>
      </c>
      <c r="I1199" s="118"/>
      <c r="J1199" s="192"/>
      <c r="K1199" s="104" t="s">
        <v>25</v>
      </c>
      <c r="L1199" s="192"/>
      <c r="M1199" s="192"/>
      <c r="N1199" s="192"/>
      <c r="O1199" s="2621" t="s">
        <v>6395</v>
      </c>
      <c r="Q1199" s="118"/>
    </row>
    <row r="1200" spans="1:17" ht="18.75" customHeight="1" x14ac:dyDescent="0.3">
      <c r="A1200" s="104">
        <v>345</v>
      </c>
      <c r="B1200" s="105" t="s">
        <v>194</v>
      </c>
      <c r="C1200" s="195">
        <v>401</v>
      </c>
      <c r="D1200" s="113">
        <v>59</v>
      </c>
      <c r="E1200" s="114">
        <v>8465</v>
      </c>
      <c r="F1200" s="115">
        <v>21645</v>
      </c>
      <c r="G1200" s="116">
        <v>229</v>
      </c>
      <c r="H1200" s="1731" t="s">
        <v>41</v>
      </c>
      <c r="I1200" s="118"/>
      <c r="J1200" s="192"/>
      <c r="K1200" s="104" t="s">
        <v>25</v>
      </c>
      <c r="L1200" s="192"/>
      <c r="M1200" s="192"/>
      <c r="N1200" s="192"/>
      <c r="O1200" s="2621" t="s">
        <v>6395</v>
      </c>
      <c r="Q1200" s="118"/>
    </row>
    <row r="1201" spans="1:17" ht="18.75" customHeight="1" x14ac:dyDescent="0.3">
      <c r="A1201" s="189">
        <v>346</v>
      </c>
      <c r="B1201" s="105" t="s">
        <v>194</v>
      </c>
      <c r="C1201" s="195">
        <v>401</v>
      </c>
      <c r="D1201" s="113">
        <v>59</v>
      </c>
      <c r="E1201" s="114">
        <v>8466</v>
      </c>
      <c r="F1201" s="115">
        <v>21645</v>
      </c>
      <c r="G1201" s="116">
        <v>229</v>
      </c>
      <c r="H1201" s="1731" t="s">
        <v>41</v>
      </c>
      <c r="I1201" s="118"/>
      <c r="J1201" s="192"/>
      <c r="K1201" s="104" t="s">
        <v>25</v>
      </c>
      <c r="L1201" s="192"/>
      <c r="M1201" s="192"/>
      <c r="N1201" s="192"/>
      <c r="O1201" s="2621" t="s">
        <v>6395</v>
      </c>
      <c r="Q1201" s="118"/>
    </row>
    <row r="1202" spans="1:17" ht="18.75" customHeight="1" x14ac:dyDescent="0.3">
      <c r="A1202" s="104">
        <v>347</v>
      </c>
      <c r="B1202" s="105" t="s">
        <v>194</v>
      </c>
      <c r="C1202" s="195">
        <v>401</v>
      </c>
      <c r="D1202" s="113">
        <v>59</v>
      </c>
      <c r="E1202" s="114">
        <v>8467</v>
      </c>
      <c r="F1202" s="115">
        <v>21645</v>
      </c>
      <c r="G1202" s="116">
        <v>229</v>
      </c>
      <c r="H1202" s="1731" t="s">
        <v>41</v>
      </c>
      <c r="I1202" s="118"/>
      <c r="J1202" s="192"/>
      <c r="K1202" s="104" t="s">
        <v>25</v>
      </c>
      <c r="L1202" s="192"/>
      <c r="M1202" s="192"/>
      <c r="N1202" s="192"/>
      <c r="O1202" s="2621" t="s">
        <v>6395</v>
      </c>
      <c r="Q1202" s="118"/>
    </row>
    <row r="1203" spans="1:17" ht="18.75" customHeight="1" x14ac:dyDescent="0.3">
      <c r="A1203" s="189">
        <v>348</v>
      </c>
      <c r="B1203" s="105" t="s">
        <v>194</v>
      </c>
      <c r="C1203" s="195">
        <v>401</v>
      </c>
      <c r="D1203" s="113">
        <v>59</v>
      </c>
      <c r="E1203" s="114">
        <v>8468</v>
      </c>
      <c r="F1203" s="115">
        <v>21645</v>
      </c>
      <c r="G1203" s="116">
        <v>229</v>
      </c>
      <c r="H1203" s="1731" t="s">
        <v>41</v>
      </c>
      <c r="I1203" s="118"/>
      <c r="J1203" s="192"/>
      <c r="K1203" s="104" t="s">
        <v>25</v>
      </c>
      <c r="L1203" s="192"/>
      <c r="M1203" s="192"/>
      <c r="N1203" s="192"/>
      <c r="O1203" s="2621" t="s">
        <v>6395</v>
      </c>
      <c r="Q1203" s="118"/>
    </row>
    <row r="1204" spans="1:17" ht="18.75" customHeight="1" x14ac:dyDescent="0.3">
      <c r="A1204" s="104">
        <v>349</v>
      </c>
      <c r="B1204" s="105" t="s">
        <v>194</v>
      </c>
      <c r="C1204" s="195">
        <v>401</v>
      </c>
      <c r="D1204" s="136">
        <v>59</v>
      </c>
      <c r="E1204" s="114">
        <v>8469</v>
      </c>
      <c r="F1204" s="115">
        <v>21645</v>
      </c>
      <c r="G1204" s="116">
        <v>229</v>
      </c>
      <c r="H1204" s="1731" t="s">
        <v>41</v>
      </c>
      <c r="I1204" s="118"/>
      <c r="J1204" s="192"/>
      <c r="K1204" s="104" t="s">
        <v>25</v>
      </c>
      <c r="L1204" s="192"/>
      <c r="M1204" s="192"/>
      <c r="N1204" s="192"/>
      <c r="O1204" s="2621" t="s">
        <v>6395</v>
      </c>
      <c r="Q1204" s="118"/>
    </row>
    <row r="1205" spans="1:17" ht="18.75" customHeight="1" x14ac:dyDescent="0.3">
      <c r="A1205" s="189">
        <v>350</v>
      </c>
      <c r="B1205" s="105" t="s">
        <v>194</v>
      </c>
      <c r="C1205" s="195">
        <v>401</v>
      </c>
      <c r="D1205" s="128">
        <v>59</v>
      </c>
      <c r="E1205" s="114">
        <v>8470</v>
      </c>
      <c r="F1205" s="115">
        <v>21645</v>
      </c>
      <c r="G1205" s="116">
        <v>229</v>
      </c>
      <c r="H1205" s="1731" t="s">
        <v>41</v>
      </c>
      <c r="I1205" s="118"/>
      <c r="J1205" s="192"/>
      <c r="K1205" s="104" t="s">
        <v>25</v>
      </c>
      <c r="L1205" s="192"/>
      <c r="M1205" s="192"/>
      <c r="N1205" s="192"/>
      <c r="O1205" s="2621" t="s">
        <v>6395</v>
      </c>
      <c r="Q1205" s="118"/>
    </row>
    <row r="1206" spans="1:17" ht="18.75" customHeight="1" x14ac:dyDescent="0.3">
      <c r="A1206" s="104">
        <v>351</v>
      </c>
      <c r="B1206" s="105" t="s">
        <v>194</v>
      </c>
      <c r="C1206" s="195">
        <v>401</v>
      </c>
      <c r="D1206" s="113">
        <v>59</v>
      </c>
      <c r="E1206" s="114">
        <v>8471</v>
      </c>
      <c r="F1206" s="115">
        <v>21645</v>
      </c>
      <c r="G1206" s="116">
        <v>229</v>
      </c>
      <c r="H1206" s="1731" t="s">
        <v>41</v>
      </c>
      <c r="I1206" s="118"/>
      <c r="J1206" s="192"/>
      <c r="K1206" s="104" t="s">
        <v>25</v>
      </c>
      <c r="L1206" s="192"/>
      <c r="M1206" s="192"/>
      <c r="N1206" s="192"/>
      <c r="O1206" s="2621" t="s">
        <v>6395</v>
      </c>
      <c r="Q1206" s="118"/>
    </row>
    <row r="1207" spans="1:17" ht="18.75" customHeight="1" x14ac:dyDescent="0.3">
      <c r="A1207" s="189">
        <v>352</v>
      </c>
      <c r="B1207" s="105" t="s">
        <v>194</v>
      </c>
      <c r="C1207" s="195">
        <v>401</v>
      </c>
      <c r="D1207" s="113">
        <v>59</v>
      </c>
      <c r="E1207" s="114">
        <v>8472</v>
      </c>
      <c r="F1207" s="115">
        <v>21645</v>
      </c>
      <c r="G1207" s="116">
        <v>229</v>
      </c>
      <c r="H1207" s="1731" t="s">
        <v>41</v>
      </c>
      <c r="I1207" s="118"/>
      <c r="J1207" s="192"/>
      <c r="K1207" s="104" t="s">
        <v>25</v>
      </c>
      <c r="L1207" s="192"/>
      <c r="M1207" s="192"/>
      <c r="N1207" s="192"/>
      <c r="O1207" s="2621" t="s">
        <v>6395</v>
      </c>
      <c r="Q1207" s="118"/>
    </row>
    <row r="1208" spans="1:17" ht="18.75" customHeight="1" x14ac:dyDescent="0.3">
      <c r="A1208" s="104">
        <v>353</v>
      </c>
      <c r="B1208" s="105" t="s">
        <v>194</v>
      </c>
      <c r="C1208" s="195">
        <v>401</v>
      </c>
      <c r="D1208" s="113">
        <v>59</v>
      </c>
      <c r="E1208" s="114">
        <v>8473</v>
      </c>
      <c r="F1208" s="115">
        <v>21645</v>
      </c>
      <c r="G1208" s="116">
        <v>229</v>
      </c>
      <c r="H1208" s="1731" t="s">
        <v>41</v>
      </c>
      <c r="I1208" s="118"/>
      <c r="J1208" s="192"/>
      <c r="K1208" s="104" t="s">
        <v>25</v>
      </c>
      <c r="L1208" s="192"/>
      <c r="M1208" s="192"/>
      <c r="N1208" s="192"/>
      <c r="O1208" s="2621" t="s">
        <v>6395</v>
      </c>
      <c r="Q1208" s="118"/>
    </row>
    <row r="1209" spans="1:17" ht="18.75" customHeight="1" x14ac:dyDescent="0.3">
      <c r="A1209" s="189">
        <v>354</v>
      </c>
      <c r="B1209" s="105" t="s">
        <v>194</v>
      </c>
      <c r="C1209" s="195">
        <v>401</v>
      </c>
      <c r="D1209" s="113">
        <v>59</v>
      </c>
      <c r="E1209" s="114">
        <v>8474</v>
      </c>
      <c r="F1209" s="115">
        <v>21645</v>
      </c>
      <c r="G1209" s="116">
        <v>229</v>
      </c>
      <c r="H1209" s="1731" t="s">
        <v>41</v>
      </c>
      <c r="I1209" s="118"/>
      <c r="J1209" s="192"/>
      <c r="K1209" s="104" t="s">
        <v>25</v>
      </c>
      <c r="L1209" s="192"/>
      <c r="M1209" s="192"/>
      <c r="N1209" s="192"/>
      <c r="O1209" s="2621" t="s">
        <v>6395</v>
      </c>
      <c r="Q1209" s="118"/>
    </row>
    <row r="1210" spans="1:17" ht="18.75" customHeight="1" x14ac:dyDescent="0.3">
      <c r="A1210" s="104">
        <v>355</v>
      </c>
      <c r="B1210" s="105" t="s">
        <v>194</v>
      </c>
      <c r="C1210" s="195">
        <v>401</v>
      </c>
      <c r="D1210" s="113">
        <v>59</v>
      </c>
      <c r="E1210" s="114">
        <v>8475</v>
      </c>
      <c r="F1210" s="115">
        <v>21645</v>
      </c>
      <c r="G1210" s="116">
        <v>229</v>
      </c>
      <c r="H1210" s="1731" t="s">
        <v>41</v>
      </c>
      <c r="I1210" s="118"/>
      <c r="J1210" s="192"/>
      <c r="K1210" s="104" t="s">
        <v>25</v>
      </c>
      <c r="L1210" s="192"/>
      <c r="M1210" s="192"/>
      <c r="N1210" s="192"/>
      <c r="O1210" s="2621" t="s">
        <v>6395</v>
      </c>
      <c r="Q1210" s="118"/>
    </row>
    <row r="1211" spans="1:17" ht="18.75" customHeight="1" x14ac:dyDescent="0.3">
      <c r="A1211" s="189">
        <v>356</v>
      </c>
      <c r="B1211" s="105" t="s">
        <v>194</v>
      </c>
      <c r="C1211" s="195">
        <v>401</v>
      </c>
      <c r="D1211" s="113">
        <v>59</v>
      </c>
      <c r="E1211" s="114">
        <v>8476</v>
      </c>
      <c r="F1211" s="115">
        <v>21645</v>
      </c>
      <c r="G1211" s="116">
        <v>229</v>
      </c>
      <c r="H1211" s="1731" t="s">
        <v>41</v>
      </c>
      <c r="I1211" s="118"/>
      <c r="J1211" s="192"/>
      <c r="K1211" s="104" t="s">
        <v>25</v>
      </c>
      <c r="L1211" s="192"/>
      <c r="M1211" s="192"/>
      <c r="N1211" s="192"/>
      <c r="O1211" s="2621" t="s">
        <v>6395</v>
      </c>
      <c r="Q1211" s="118"/>
    </row>
    <row r="1212" spans="1:17" ht="18.75" customHeight="1" x14ac:dyDescent="0.3">
      <c r="A1212" s="104">
        <v>357</v>
      </c>
      <c r="B1212" s="105" t="s">
        <v>194</v>
      </c>
      <c r="C1212" s="195">
        <v>401</v>
      </c>
      <c r="D1212" s="136">
        <v>59</v>
      </c>
      <c r="E1212" s="114">
        <v>8477</v>
      </c>
      <c r="F1212" s="115">
        <v>21645</v>
      </c>
      <c r="G1212" s="116">
        <v>229</v>
      </c>
      <c r="H1212" s="1731" t="s">
        <v>41</v>
      </c>
      <c r="I1212" s="118"/>
      <c r="J1212" s="192"/>
      <c r="K1212" s="104" t="s">
        <v>25</v>
      </c>
      <c r="L1212" s="192"/>
      <c r="M1212" s="192"/>
      <c r="N1212" s="192"/>
      <c r="O1212" s="2621" t="s">
        <v>6395</v>
      </c>
      <c r="Q1212" s="118"/>
    </row>
    <row r="1213" spans="1:17" ht="18.75" customHeight="1" x14ac:dyDescent="0.3">
      <c r="A1213" s="189">
        <v>358</v>
      </c>
      <c r="B1213" s="105" t="s">
        <v>194</v>
      </c>
      <c r="C1213" s="195">
        <v>401</v>
      </c>
      <c r="D1213" s="127">
        <v>59</v>
      </c>
      <c r="E1213" s="114">
        <v>8478</v>
      </c>
      <c r="F1213" s="115">
        <v>21645</v>
      </c>
      <c r="G1213" s="116">
        <v>229</v>
      </c>
      <c r="H1213" s="1731" t="s">
        <v>41</v>
      </c>
      <c r="I1213" s="118"/>
      <c r="J1213" s="192"/>
      <c r="K1213" s="104" t="s">
        <v>25</v>
      </c>
      <c r="L1213" s="192"/>
      <c r="M1213" s="192"/>
      <c r="N1213" s="192"/>
      <c r="O1213" s="2621" t="s">
        <v>6395</v>
      </c>
      <c r="Q1213" s="118"/>
    </row>
    <row r="1214" spans="1:17" ht="18.75" customHeight="1" x14ac:dyDescent="0.3">
      <c r="A1214" s="104">
        <v>359</v>
      </c>
      <c r="B1214" s="105" t="s">
        <v>194</v>
      </c>
      <c r="C1214" s="195">
        <v>401</v>
      </c>
      <c r="D1214" s="149">
        <v>59</v>
      </c>
      <c r="E1214" s="114">
        <v>8479</v>
      </c>
      <c r="F1214" s="115">
        <v>21645</v>
      </c>
      <c r="G1214" s="116">
        <v>229</v>
      </c>
      <c r="H1214" s="1731" t="s">
        <v>41</v>
      </c>
      <c r="I1214" s="118"/>
      <c r="J1214" s="192"/>
      <c r="K1214" s="104" t="s">
        <v>25</v>
      </c>
      <c r="L1214" s="192"/>
      <c r="M1214" s="192"/>
      <c r="N1214" s="192"/>
      <c r="O1214" s="2621" t="s">
        <v>6395</v>
      </c>
      <c r="Q1214" s="118"/>
    </row>
    <row r="1215" spans="1:17" ht="18.75" customHeight="1" x14ac:dyDescent="0.3">
      <c r="A1215" s="189">
        <v>360</v>
      </c>
      <c r="B1215" s="105" t="s">
        <v>194</v>
      </c>
      <c r="C1215" s="195">
        <v>401</v>
      </c>
      <c r="D1215" s="113">
        <v>59</v>
      </c>
      <c r="E1215" s="114">
        <v>8480</v>
      </c>
      <c r="F1215" s="115">
        <v>21645</v>
      </c>
      <c r="G1215" s="116">
        <v>229</v>
      </c>
      <c r="H1215" s="1731" t="s">
        <v>41</v>
      </c>
      <c r="I1215" s="118"/>
      <c r="J1215" s="192"/>
      <c r="K1215" s="104" t="s">
        <v>25</v>
      </c>
      <c r="L1215" s="192"/>
      <c r="M1215" s="192"/>
      <c r="N1215" s="192"/>
      <c r="O1215" s="2621" t="s">
        <v>6395</v>
      </c>
      <c r="Q1215" s="118"/>
    </row>
    <row r="1216" spans="1:17" ht="18.75" customHeight="1" x14ac:dyDescent="0.3">
      <c r="A1216" s="104">
        <v>361</v>
      </c>
      <c r="B1216" s="105" t="s">
        <v>194</v>
      </c>
      <c r="C1216" s="195">
        <v>401</v>
      </c>
      <c r="D1216" s="113">
        <v>59</v>
      </c>
      <c r="E1216" s="114">
        <v>8481</v>
      </c>
      <c r="F1216" s="115">
        <v>21645</v>
      </c>
      <c r="G1216" s="116">
        <v>229</v>
      </c>
      <c r="H1216" s="1731" t="s">
        <v>41</v>
      </c>
      <c r="I1216" s="118"/>
      <c r="J1216" s="192"/>
      <c r="K1216" s="104" t="s">
        <v>25</v>
      </c>
      <c r="L1216" s="192"/>
      <c r="M1216" s="192"/>
      <c r="N1216" s="192"/>
      <c r="O1216" s="2621" t="s">
        <v>6395</v>
      </c>
      <c r="Q1216" s="118"/>
    </row>
    <row r="1217" spans="1:17" ht="18.75" customHeight="1" x14ac:dyDescent="0.3">
      <c r="A1217" s="189">
        <v>362</v>
      </c>
      <c r="B1217" s="105" t="s">
        <v>194</v>
      </c>
      <c r="C1217" s="195">
        <v>401</v>
      </c>
      <c r="D1217" s="113">
        <v>59</v>
      </c>
      <c r="E1217" s="114">
        <v>8482</v>
      </c>
      <c r="F1217" s="115">
        <v>21645</v>
      </c>
      <c r="G1217" s="116">
        <v>229</v>
      </c>
      <c r="H1217" s="1731" t="s">
        <v>41</v>
      </c>
      <c r="I1217" s="118"/>
      <c r="J1217" s="192"/>
      <c r="K1217" s="104" t="s">
        <v>25</v>
      </c>
      <c r="L1217" s="192"/>
      <c r="M1217" s="192"/>
      <c r="N1217" s="192"/>
      <c r="O1217" s="2621" t="s">
        <v>6395</v>
      </c>
      <c r="Q1217" s="118"/>
    </row>
    <row r="1218" spans="1:17" ht="18.75" customHeight="1" x14ac:dyDescent="0.3">
      <c r="A1218" s="104">
        <v>363</v>
      </c>
      <c r="B1218" s="105" t="s">
        <v>194</v>
      </c>
      <c r="C1218" s="195">
        <v>401</v>
      </c>
      <c r="D1218" s="113">
        <v>59</v>
      </c>
      <c r="E1218" s="114">
        <v>8483</v>
      </c>
      <c r="F1218" s="115">
        <v>21645</v>
      </c>
      <c r="G1218" s="116">
        <v>229</v>
      </c>
      <c r="H1218" s="1731" t="s">
        <v>41</v>
      </c>
      <c r="I1218" s="118"/>
      <c r="J1218" s="192"/>
      <c r="K1218" s="104" t="s">
        <v>25</v>
      </c>
      <c r="L1218" s="192"/>
      <c r="M1218" s="192"/>
      <c r="N1218" s="192"/>
      <c r="O1218" s="2621" t="s">
        <v>6395</v>
      </c>
      <c r="Q1218" s="118"/>
    </row>
    <row r="1219" spans="1:17" ht="18.75" customHeight="1" x14ac:dyDescent="0.3">
      <c r="A1219" s="189">
        <v>364</v>
      </c>
      <c r="B1219" s="105" t="s">
        <v>194</v>
      </c>
      <c r="C1219" s="195">
        <v>401</v>
      </c>
      <c r="D1219" s="113">
        <v>59</v>
      </c>
      <c r="E1219" s="114">
        <v>8484</v>
      </c>
      <c r="F1219" s="115">
        <v>21645</v>
      </c>
      <c r="G1219" s="116">
        <v>229</v>
      </c>
      <c r="H1219" s="1731" t="s">
        <v>41</v>
      </c>
      <c r="I1219" s="118"/>
      <c r="J1219" s="192"/>
      <c r="K1219" s="104" t="s">
        <v>25</v>
      </c>
      <c r="L1219" s="192"/>
      <c r="M1219" s="192"/>
      <c r="N1219" s="192"/>
      <c r="O1219" s="2621" t="s">
        <v>6395</v>
      </c>
      <c r="Q1219" s="118"/>
    </row>
    <row r="1220" spans="1:17" ht="18.75" customHeight="1" x14ac:dyDescent="0.3">
      <c r="A1220" s="104">
        <v>365</v>
      </c>
      <c r="B1220" s="105" t="s">
        <v>194</v>
      </c>
      <c r="C1220" s="195">
        <v>401</v>
      </c>
      <c r="D1220" s="113">
        <v>59</v>
      </c>
      <c r="E1220" s="114">
        <v>8485</v>
      </c>
      <c r="F1220" s="115">
        <v>21645</v>
      </c>
      <c r="G1220" s="116">
        <v>229</v>
      </c>
      <c r="H1220" s="1731" t="s">
        <v>41</v>
      </c>
      <c r="I1220" s="118"/>
      <c r="J1220" s="192"/>
      <c r="K1220" s="104" t="s">
        <v>25</v>
      </c>
      <c r="L1220" s="192"/>
      <c r="M1220" s="192"/>
      <c r="N1220" s="192"/>
      <c r="O1220" s="2621" t="s">
        <v>6395</v>
      </c>
      <c r="Q1220" s="118"/>
    </row>
    <row r="1221" spans="1:17" ht="18.75" customHeight="1" x14ac:dyDescent="0.3">
      <c r="A1221" s="189">
        <v>366</v>
      </c>
      <c r="B1221" s="105" t="s">
        <v>194</v>
      </c>
      <c r="C1221" s="195">
        <v>401</v>
      </c>
      <c r="D1221" s="113">
        <v>59</v>
      </c>
      <c r="E1221" s="114">
        <v>8486</v>
      </c>
      <c r="F1221" s="115">
        <v>21645</v>
      </c>
      <c r="G1221" s="116">
        <v>229</v>
      </c>
      <c r="H1221" s="1731" t="s">
        <v>41</v>
      </c>
      <c r="I1221" s="118"/>
      <c r="J1221" s="192"/>
      <c r="K1221" s="104" t="s">
        <v>25</v>
      </c>
      <c r="L1221" s="192"/>
      <c r="M1221" s="192"/>
      <c r="N1221" s="192"/>
      <c r="O1221" s="2621" t="s">
        <v>6395</v>
      </c>
      <c r="Q1221" s="118"/>
    </row>
    <row r="1222" spans="1:17" ht="18.75" customHeight="1" x14ac:dyDescent="0.3">
      <c r="A1222" s="104">
        <v>367</v>
      </c>
      <c r="B1222" s="105" t="s">
        <v>194</v>
      </c>
      <c r="C1222" s="195">
        <v>401</v>
      </c>
      <c r="D1222" s="125">
        <v>59</v>
      </c>
      <c r="E1222" s="114">
        <v>8487</v>
      </c>
      <c r="F1222" s="115">
        <v>21645</v>
      </c>
      <c r="G1222" s="116">
        <v>229</v>
      </c>
      <c r="H1222" s="1731" t="s">
        <v>41</v>
      </c>
      <c r="I1222" s="118"/>
      <c r="J1222" s="192"/>
      <c r="K1222" s="104" t="s">
        <v>25</v>
      </c>
      <c r="L1222" s="192"/>
      <c r="M1222" s="192"/>
      <c r="N1222" s="192"/>
      <c r="O1222" s="2621" t="s">
        <v>6395</v>
      </c>
      <c r="Q1222" s="118"/>
    </row>
    <row r="1223" spans="1:17" ht="18.75" customHeight="1" x14ac:dyDescent="0.3">
      <c r="A1223" s="189">
        <v>368</v>
      </c>
      <c r="B1223" s="105" t="s">
        <v>194</v>
      </c>
      <c r="C1223" s="195">
        <v>401</v>
      </c>
      <c r="D1223" s="149">
        <v>59</v>
      </c>
      <c r="E1223" s="114">
        <v>8488</v>
      </c>
      <c r="F1223" s="115">
        <v>21645</v>
      </c>
      <c r="G1223" s="116">
        <v>229</v>
      </c>
      <c r="H1223" s="1731" t="s">
        <v>41</v>
      </c>
      <c r="I1223" s="118"/>
      <c r="J1223" s="192"/>
      <c r="K1223" s="104" t="s">
        <v>25</v>
      </c>
      <c r="L1223" s="192"/>
      <c r="M1223" s="192"/>
      <c r="N1223" s="192"/>
      <c r="O1223" s="2621" t="s">
        <v>6395</v>
      </c>
      <c r="Q1223" s="118"/>
    </row>
    <row r="1224" spans="1:17" ht="18.75" customHeight="1" x14ac:dyDescent="0.3">
      <c r="A1224" s="104">
        <v>369</v>
      </c>
      <c r="B1224" s="105" t="s">
        <v>194</v>
      </c>
      <c r="C1224" s="195">
        <v>401</v>
      </c>
      <c r="D1224" s="113">
        <v>59</v>
      </c>
      <c r="E1224" s="114">
        <v>8489</v>
      </c>
      <c r="F1224" s="115">
        <v>21645</v>
      </c>
      <c r="G1224" s="116">
        <v>229</v>
      </c>
      <c r="H1224" s="1731" t="s">
        <v>41</v>
      </c>
      <c r="I1224" s="118"/>
      <c r="J1224" s="192"/>
      <c r="K1224" s="104" t="s">
        <v>25</v>
      </c>
      <c r="L1224" s="192"/>
      <c r="M1224" s="192"/>
      <c r="N1224" s="192"/>
      <c r="O1224" s="2621" t="s">
        <v>6395</v>
      </c>
      <c r="Q1224" s="118"/>
    </row>
    <row r="1225" spans="1:17" ht="18.75" customHeight="1" x14ac:dyDescent="0.3">
      <c r="A1225" s="189">
        <v>370</v>
      </c>
      <c r="B1225" s="105" t="s">
        <v>194</v>
      </c>
      <c r="C1225" s="195">
        <v>401</v>
      </c>
      <c r="D1225" s="113">
        <v>59</v>
      </c>
      <c r="E1225" s="114">
        <v>8490</v>
      </c>
      <c r="F1225" s="115">
        <v>21645</v>
      </c>
      <c r="G1225" s="116">
        <v>229</v>
      </c>
      <c r="H1225" s="1731" t="s">
        <v>41</v>
      </c>
      <c r="I1225" s="118"/>
      <c r="J1225" s="192"/>
      <c r="K1225" s="104" t="s">
        <v>25</v>
      </c>
      <c r="L1225" s="192"/>
      <c r="M1225" s="192"/>
      <c r="N1225" s="192"/>
      <c r="O1225" s="2621" t="s">
        <v>6395</v>
      </c>
      <c r="Q1225" s="118"/>
    </row>
    <row r="1226" spans="1:17" ht="18.75" customHeight="1" x14ac:dyDescent="0.3">
      <c r="A1226" s="104">
        <v>371</v>
      </c>
      <c r="B1226" s="105" t="s">
        <v>194</v>
      </c>
      <c r="C1226" s="195">
        <v>401</v>
      </c>
      <c r="D1226" s="113">
        <v>59</v>
      </c>
      <c r="E1226" s="114">
        <v>8491</v>
      </c>
      <c r="F1226" s="115">
        <v>21645</v>
      </c>
      <c r="G1226" s="116">
        <v>229</v>
      </c>
      <c r="H1226" s="1731" t="s">
        <v>41</v>
      </c>
      <c r="I1226" s="118"/>
      <c r="J1226" s="192"/>
      <c r="K1226" s="104" t="s">
        <v>25</v>
      </c>
      <c r="L1226" s="192"/>
      <c r="M1226" s="192"/>
      <c r="N1226" s="192"/>
      <c r="O1226" s="2621" t="s">
        <v>6395</v>
      </c>
      <c r="Q1226" s="118"/>
    </row>
    <row r="1227" spans="1:17" ht="18.75" customHeight="1" x14ac:dyDescent="0.3">
      <c r="A1227" s="189">
        <v>372</v>
      </c>
      <c r="B1227" s="105" t="s">
        <v>194</v>
      </c>
      <c r="C1227" s="195">
        <v>401</v>
      </c>
      <c r="D1227" s="136">
        <v>59</v>
      </c>
      <c r="E1227" s="114">
        <v>8492</v>
      </c>
      <c r="F1227" s="115">
        <v>21645</v>
      </c>
      <c r="G1227" s="116">
        <v>229</v>
      </c>
      <c r="H1227" s="1731" t="s">
        <v>41</v>
      </c>
      <c r="I1227" s="118"/>
      <c r="J1227" s="192"/>
      <c r="K1227" s="104" t="s">
        <v>25</v>
      </c>
      <c r="L1227" s="192"/>
      <c r="M1227" s="192"/>
      <c r="N1227" s="192"/>
      <c r="O1227" s="2621" t="s">
        <v>6395</v>
      </c>
      <c r="Q1227" s="118"/>
    </row>
    <row r="1228" spans="1:17" ht="18.75" customHeight="1" x14ac:dyDescent="0.3">
      <c r="A1228" s="104">
        <v>373</v>
      </c>
      <c r="B1228" s="105" t="s">
        <v>194</v>
      </c>
      <c r="C1228" s="195">
        <v>401</v>
      </c>
      <c r="D1228" s="128">
        <v>59</v>
      </c>
      <c r="E1228" s="114">
        <v>8493</v>
      </c>
      <c r="F1228" s="115">
        <v>21645</v>
      </c>
      <c r="G1228" s="116">
        <v>229</v>
      </c>
      <c r="H1228" s="1731" t="s">
        <v>41</v>
      </c>
      <c r="I1228" s="118"/>
      <c r="J1228" s="192"/>
      <c r="K1228" s="104" t="s">
        <v>25</v>
      </c>
      <c r="L1228" s="192"/>
      <c r="M1228" s="192"/>
      <c r="N1228" s="192"/>
      <c r="O1228" s="2621" t="s">
        <v>6395</v>
      </c>
      <c r="Q1228" s="118"/>
    </row>
    <row r="1229" spans="1:17" ht="18.75" customHeight="1" x14ac:dyDescent="0.3">
      <c r="A1229" s="189">
        <v>374</v>
      </c>
      <c r="B1229" s="105" t="s">
        <v>194</v>
      </c>
      <c r="C1229" s="195">
        <v>401</v>
      </c>
      <c r="D1229" s="113">
        <v>59</v>
      </c>
      <c r="E1229" s="114">
        <v>8494</v>
      </c>
      <c r="F1229" s="115">
        <v>21645</v>
      </c>
      <c r="G1229" s="116">
        <v>229</v>
      </c>
      <c r="H1229" s="1731" t="s">
        <v>41</v>
      </c>
      <c r="I1229" s="118"/>
      <c r="J1229" s="192"/>
      <c r="K1229" s="104" t="s">
        <v>25</v>
      </c>
      <c r="L1229" s="192"/>
      <c r="M1229" s="192"/>
      <c r="N1229" s="192"/>
      <c r="O1229" s="2621" t="s">
        <v>6395</v>
      </c>
      <c r="Q1229" s="118"/>
    </row>
    <row r="1230" spans="1:17" ht="18.75" customHeight="1" x14ac:dyDescent="0.3">
      <c r="A1230" s="104">
        <v>375</v>
      </c>
      <c r="B1230" s="105" t="s">
        <v>194</v>
      </c>
      <c r="C1230" s="195">
        <v>401</v>
      </c>
      <c r="D1230" s="113">
        <v>59</v>
      </c>
      <c r="E1230" s="114">
        <v>8495</v>
      </c>
      <c r="F1230" s="115">
        <v>21645</v>
      </c>
      <c r="G1230" s="116">
        <v>229</v>
      </c>
      <c r="H1230" s="1731" t="s">
        <v>41</v>
      </c>
      <c r="I1230" s="118"/>
      <c r="J1230" s="192"/>
      <c r="K1230" s="104" t="s">
        <v>25</v>
      </c>
      <c r="L1230" s="192"/>
      <c r="M1230" s="192"/>
      <c r="N1230" s="192"/>
      <c r="O1230" s="2621" t="s">
        <v>6395</v>
      </c>
      <c r="Q1230" s="118"/>
    </row>
    <row r="1231" spans="1:17" ht="18.75" customHeight="1" x14ac:dyDescent="0.3">
      <c r="A1231" s="189">
        <v>376</v>
      </c>
      <c r="B1231" s="105" t="s">
        <v>194</v>
      </c>
      <c r="C1231" s="195">
        <v>401</v>
      </c>
      <c r="D1231" s="125">
        <v>59</v>
      </c>
      <c r="E1231" s="114">
        <v>8496</v>
      </c>
      <c r="F1231" s="115">
        <v>21645</v>
      </c>
      <c r="G1231" s="116">
        <v>229</v>
      </c>
      <c r="H1231" s="1731" t="s">
        <v>41</v>
      </c>
      <c r="I1231" s="118"/>
      <c r="J1231" s="192"/>
      <c r="K1231" s="104" t="s">
        <v>25</v>
      </c>
      <c r="L1231" s="192"/>
      <c r="M1231" s="192"/>
      <c r="N1231" s="192"/>
      <c r="O1231" s="2621" t="s">
        <v>6395</v>
      </c>
      <c r="Q1231" s="118"/>
    </row>
    <row r="1232" spans="1:17" ht="18.75" customHeight="1" x14ac:dyDescent="0.3">
      <c r="A1232" s="104">
        <v>377</v>
      </c>
      <c r="B1232" s="105" t="s">
        <v>194</v>
      </c>
      <c r="C1232" s="195">
        <v>401</v>
      </c>
      <c r="D1232" s="128">
        <v>59</v>
      </c>
      <c r="E1232" s="114">
        <v>8497</v>
      </c>
      <c r="F1232" s="115">
        <v>21645</v>
      </c>
      <c r="G1232" s="116">
        <v>229</v>
      </c>
      <c r="H1232" s="1731" t="s">
        <v>41</v>
      </c>
      <c r="I1232" s="118"/>
      <c r="J1232" s="192"/>
      <c r="K1232" s="104" t="s">
        <v>25</v>
      </c>
      <c r="L1232" s="192"/>
      <c r="M1232" s="192"/>
      <c r="N1232" s="192"/>
      <c r="O1232" s="2621" t="s">
        <v>6395</v>
      </c>
      <c r="Q1232" s="118"/>
    </row>
    <row r="1233" spans="1:17" ht="18.75" customHeight="1" x14ac:dyDescent="0.3">
      <c r="A1233" s="189">
        <v>378</v>
      </c>
      <c r="B1233" s="105" t="s">
        <v>194</v>
      </c>
      <c r="C1233" s="195">
        <v>401</v>
      </c>
      <c r="D1233" s="113">
        <v>59</v>
      </c>
      <c r="E1233" s="114">
        <v>8498</v>
      </c>
      <c r="F1233" s="115">
        <v>21645</v>
      </c>
      <c r="G1233" s="116">
        <v>229</v>
      </c>
      <c r="H1233" s="1731" t="s">
        <v>41</v>
      </c>
      <c r="I1233" s="118"/>
      <c r="J1233" s="192"/>
      <c r="K1233" s="104" t="s">
        <v>25</v>
      </c>
      <c r="L1233" s="192"/>
      <c r="M1233" s="192"/>
      <c r="N1233" s="192"/>
      <c r="O1233" s="2621" t="s">
        <v>6395</v>
      </c>
      <c r="Q1233" s="118"/>
    </row>
    <row r="1234" spans="1:17" ht="18.75" customHeight="1" x14ac:dyDescent="0.3">
      <c r="A1234" s="196">
        <v>379</v>
      </c>
      <c r="B1234" s="105" t="s">
        <v>194</v>
      </c>
      <c r="C1234" s="195">
        <v>401</v>
      </c>
      <c r="D1234" s="113">
        <v>59</v>
      </c>
      <c r="E1234" s="114">
        <v>8499</v>
      </c>
      <c r="F1234" s="115">
        <v>21645</v>
      </c>
      <c r="G1234" s="116">
        <v>229</v>
      </c>
      <c r="H1234" s="1731" t="s">
        <v>41</v>
      </c>
      <c r="I1234" s="118"/>
      <c r="J1234" s="192"/>
      <c r="K1234" s="104" t="s">
        <v>25</v>
      </c>
      <c r="L1234" s="192"/>
      <c r="M1234" s="192"/>
      <c r="N1234" s="192"/>
      <c r="O1234" s="2621" t="s">
        <v>6395</v>
      </c>
      <c r="Q1234" s="118"/>
    </row>
    <row r="1235" spans="1:17" ht="18.75" customHeight="1" x14ac:dyDescent="0.3">
      <c r="A1235" s="189">
        <v>380</v>
      </c>
      <c r="B1235" s="105" t="s">
        <v>194</v>
      </c>
      <c r="C1235" s="195">
        <v>401</v>
      </c>
      <c r="D1235" s="113">
        <v>59</v>
      </c>
      <c r="E1235" s="114">
        <v>8500</v>
      </c>
      <c r="F1235" s="115">
        <v>21645</v>
      </c>
      <c r="G1235" s="116">
        <v>229</v>
      </c>
      <c r="H1235" s="1731" t="s">
        <v>41</v>
      </c>
      <c r="I1235" s="118"/>
      <c r="J1235" s="192"/>
      <c r="K1235" s="104" t="s">
        <v>25</v>
      </c>
      <c r="L1235" s="192"/>
      <c r="M1235" s="192"/>
      <c r="N1235" s="192"/>
      <c r="O1235" s="2621" t="s">
        <v>6395</v>
      </c>
      <c r="Q1235" s="118"/>
    </row>
    <row r="1236" spans="1:17" ht="18.75" customHeight="1" x14ac:dyDescent="0.3">
      <c r="A1236" s="104">
        <v>381</v>
      </c>
      <c r="B1236" s="105" t="s">
        <v>194</v>
      </c>
      <c r="C1236" s="195">
        <v>401</v>
      </c>
      <c r="D1236" s="113">
        <v>59</v>
      </c>
      <c r="E1236" s="114">
        <v>8501</v>
      </c>
      <c r="F1236" s="115">
        <v>21645</v>
      </c>
      <c r="G1236" s="116">
        <v>229</v>
      </c>
      <c r="H1236" s="1731" t="s">
        <v>41</v>
      </c>
      <c r="I1236" s="118"/>
      <c r="J1236" s="192"/>
      <c r="K1236" s="104" t="s">
        <v>25</v>
      </c>
      <c r="L1236" s="192"/>
      <c r="M1236" s="192"/>
      <c r="N1236" s="192"/>
      <c r="O1236" s="2621" t="s">
        <v>6395</v>
      </c>
      <c r="Q1236" s="118"/>
    </row>
    <row r="1237" spans="1:17" ht="18.75" customHeight="1" x14ac:dyDescent="0.3">
      <c r="A1237" s="189">
        <v>382</v>
      </c>
      <c r="B1237" s="105" t="s">
        <v>194</v>
      </c>
      <c r="C1237" s="195">
        <v>401</v>
      </c>
      <c r="D1237" s="113">
        <v>59</v>
      </c>
      <c r="E1237" s="114">
        <v>8502</v>
      </c>
      <c r="F1237" s="115">
        <v>21645</v>
      </c>
      <c r="G1237" s="116">
        <v>229</v>
      </c>
      <c r="H1237" s="1731" t="s">
        <v>41</v>
      </c>
      <c r="I1237" s="118"/>
      <c r="J1237" s="192"/>
      <c r="K1237" s="104" t="s">
        <v>25</v>
      </c>
      <c r="L1237" s="192"/>
      <c r="M1237" s="192"/>
      <c r="N1237" s="192"/>
      <c r="O1237" s="2621" t="s">
        <v>6395</v>
      </c>
      <c r="Q1237" s="118"/>
    </row>
    <row r="1238" spans="1:17" ht="18.75" customHeight="1" x14ac:dyDescent="0.3">
      <c r="A1238" s="104">
        <v>383</v>
      </c>
      <c r="B1238" s="105" t="s">
        <v>194</v>
      </c>
      <c r="C1238" s="195">
        <v>401</v>
      </c>
      <c r="D1238" s="125">
        <v>59</v>
      </c>
      <c r="E1238" s="114">
        <v>8503</v>
      </c>
      <c r="F1238" s="115">
        <v>21645</v>
      </c>
      <c r="G1238" s="116">
        <v>229</v>
      </c>
      <c r="H1238" s="1731" t="s">
        <v>41</v>
      </c>
      <c r="I1238" s="118"/>
      <c r="J1238" s="192"/>
      <c r="K1238" s="104" t="s">
        <v>25</v>
      </c>
      <c r="L1238" s="192"/>
      <c r="M1238" s="192"/>
      <c r="N1238" s="192"/>
      <c r="O1238" s="2621" t="s">
        <v>6395</v>
      </c>
      <c r="Q1238" s="118"/>
    </row>
    <row r="1239" spans="1:17" ht="18.75" customHeight="1" x14ac:dyDescent="0.3">
      <c r="A1239" s="189">
        <v>384</v>
      </c>
      <c r="B1239" s="105" t="s">
        <v>194</v>
      </c>
      <c r="C1239" s="195">
        <v>401</v>
      </c>
      <c r="D1239" s="128">
        <v>59</v>
      </c>
      <c r="E1239" s="114">
        <v>8504</v>
      </c>
      <c r="F1239" s="115">
        <v>21645</v>
      </c>
      <c r="G1239" s="116">
        <v>229</v>
      </c>
      <c r="H1239" s="1731" t="s">
        <v>41</v>
      </c>
      <c r="I1239" s="118"/>
      <c r="J1239" s="192"/>
      <c r="K1239" s="104" t="s">
        <v>25</v>
      </c>
      <c r="L1239" s="192"/>
      <c r="M1239" s="192"/>
      <c r="N1239" s="192"/>
      <c r="O1239" s="2621" t="s">
        <v>6395</v>
      </c>
      <c r="Q1239" s="118"/>
    </row>
    <row r="1240" spans="1:17" ht="18.75" customHeight="1" x14ac:dyDescent="0.3">
      <c r="A1240" s="104">
        <v>385</v>
      </c>
      <c r="B1240" s="105" t="s">
        <v>194</v>
      </c>
      <c r="C1240" s="195">
        <v>401</v>
      </c>
      <c r="D1240" s="113">
        <v>59</v>
      </c>
      <c r="E1240" s="114">
        <v>8505</v>
      </c>
      <c r="F1240" s="115">
        <v>21645</v>
      </c>
      <c r="G1240" s="116">
        <v>229</v>
      </c>
      <c r="H1240" s="1731" t="s">
        <v>41</v>
      </c>
      <c r="I1240" s="118"/>
      <c r="J1240" s="192"/>
      <c r="K1240" s="104" t="s">
        <v>25</v>
      </c>
      <c r="L1240" s="192"/>
      <c r="M1240" s="192"/>
      <c r="N1240" s="192"/>
      <c r="O1240" s="2621" t="s">
        <v>6395</v>
      </c>
      <c r="Q1240" s="118"/>
    </row>
    <row r="1241" spans="1:17" ht="18.75" customHeight="1" x14ac:dyDescent="0.3">
      <c r="A1241" s="189">
        <v>386</v>
      </c>
      <c r="B1241" s="105" t="s">
        <v>194</v>
      </c>
      <c r="C1241" s="195">
        <v>401</v>
      </c>
      <c r="D1241" s="113">
        <v>59</v>
      </c>
      <c r="E1241" s="114">
        <v>8506</v>
      </c>
      <c r="F1241" s="115">
        <v>21645</v>
      </c>
      <c r="G1241" s="116">
        <v>229</v>
      </c>
      <c r="H1241" s="1731" t="s">
        <v>41</v>
      </c>
      <c r="I1241" s="118"/>
      <c r="J1241" s="192"/>
      <c r="K1241" s="104" t="s">
        <v>25</v>
      </c>
      <c r="L1241" s="192"/>
      <c r="M1241" s="192"/>
      <c r="N1241" s="192"/>
      <c r="O1241" s="2621" t="s">
        <v>6395</v>
      </c>
      <c r="Q1241" s="118"/>
    </row>
    <row r="1242" spans="1:17" ht="18.75" customHeight="1" x14ac:dyDescent="0.3">
      <c r="A1242" s="104">
        <v>387</v>
      </c>
      <c r="B1242" s="105" t="s">
        <v>194</v>
      </c>
      <c r="C1242" s="195">
        <v>401</v>
      </c>
      <c r="D1242" s="113">
        <v>59</v>
      </c>
      <c r="E1242" s="114">
        <v>8507</v>
      </c>
      <c r="F1242" s="115">
        <v>21645</v>
      </c>
      <c r="G1242" s="116">
        <v>229</v>
      </c>
      <c r="H1242" s="1731" t="s">
        <v>41</v>
      </c>
      <c r="I1242" s="118"/>
      <c r="J1242" s="192"/>
      <c r="K1242" s="104" t="s">
        <v>25</v>
      </c>
      <c r="L1242" s="192"/>
      <c r="M1242" s="192"/>
      <c r="N1242" s="192"/>
      <c r="O1242" s="2621" t="s">
        <v>6395</v>
      </c>
      <c r="Q1242" s="118"/>
    </row>
    <row r="1243" spans="1:17" ht="18.75" customHeight="1" x14ac:dyDescent="0.3">
      <c r="A1243" s="189">
        <v>388</v>
      </c>
      <c r="B1243" s="105" t="s">
        <v>194</v>
      </c>
      <c r="C1243" s="195">
        <v>401</v>
      </c>
      <c r="D1243" s="113">
        <v>59</v>
      </c>
      <c r="E1243" s="114">
        <v>8508</v>
      </c>
      <c r="F1243" s="115">
        <v>21645</v>
      </c>
      <c r="G1243" s="116">
        <v>229</v>
      </c>
      <c r="H1243" s="1731" t="s">
        <v>41</v>
      </c>
      <c r="I1243" s="118"/>
      <c r="J1243" s="192"/>
      <c r="K1243" s="104" t="s">
        <v>25</v>
      </c>
      <c r="L1243" s="192"/>
      <c r="M1243" s="192"/>
      <c r="N1243" s="192"/>
      <c r="O1243" s="2621" t="s">
        <v>6395</v>
      </c>
      <c r="Q1243" s="118"/>
    </row>
    <row r="1244" spans="1:17" ht="18.75" customHeight="1" x14ac:dyDescent="0.3">
      <c r="A1244" s="104">
        <v>389</v>
      </c>
      <c r="B1244" s="105" t="s">
        <v>194</v>
      </c>
      <c r="C1244" s="195">
        <v>401</v>
      </c>
      <c r="D1244" s="113">
        <v>59</v>
      </c>
      <c r="E1244" s="114">
        <v>8509</v>
      </c>
      <c r="F1244" s="115">
        <v>21645</v>
      </c>
      <c r="G1244" s="116">
        <v>229</v>
      </c>
      <c r="H1244" s="1731" t="s">
        <v>41</v>
      </c>
      <c r="I1244" s="118"/>
      <c r="J1244" s="192"/>
      <c r="K1244" s="104" t="s">
        <v>25</v>
      </c>
      <c r="L1244" s="192"/>
      <c r="M1244" s="192"/>
      <c r="N1244" s="192"/>
      <c r="O1244" s="2621" t="s">
        <v>6395</v>
      </c>
      <c r="Q1244" s="118"/>
    </row>
    <row r="1245" spans="1:17" ht="18.75" customHeight="1" x14ac:dyDescent="0.3">
      <c r="A1245" s="189">
        <v>390</v>
      </c>
      <c r="B1245" s="105" t="s">
        <v>194</v>
      </c>
      <c r="C1245" s="195">
        <v>401</v>
      </c>
      <c r="D1245" s="113">
        <v>59</v>
      </c>
      <c r="E1245" s="114">
        <v>8510</v>
      </c>
      <c r="F1245" s="115">
        <v>21645</v>
      </c>
      <c r="G1245" s="116">
        <v>229</v>
      </c>
      <c r="H1245" s="1731" t="s">
        <v>41</v>
      </c>
      <c r="I1245" s="118"/>
      <c r="J1245" s="192"/>
      <c r="K1245" s="104" t="s">
        <v>25</v>
      </c>
      <c r="L1245" s="192"/>
      <c r="M1245" s="192"/>
      <c r="N1245" s="192"/>
      <c r="O1245" s="2621" t="s">
        <v>6395</v>
      </c>
      <c r="Q1245" s="118"/>
    </row>
    <row r="1246" spans="1:17" ht="18.75" customHeight="1" x14ac:dyDescent="0.3">
      <c r="A1246" s="104">
        <v>391</v>
      </c>
      <c r="B1246" s="105" t="s">
        <v>194</v>
      </c>
      <c r="C1246" s="195">
        <v>401</v>
      </c>
      <c r="D1246" s="113">
        <v>59</v>
      </c>
      <c r="E1246" s="114">
        <v>8511</v>
      </c>
      <c r="F1246" s="115">
        <v>21645</v>
      </c>
      <c r="G1246" s="116">
        <v>229</v>
      </c>
      <c r="H1246" s="1731" t="s">
        <v>41</v>
      </c>
      <c r="I1246" s="118"/>
      <c r="J1246" s="192"/>
      <c r="K1246" s="104" t="s">
        <v>25</v>
      </c>
      <c r="L1246" s="192"/>
      <c r="M1246" s="192"/>
      <c r="N1246" s="192"/>
      <c r="O1246" s="2621" t="s">
        <v>6395</v>
      </c>
      <c r="Q1246" s="118"/>
    </row>
    <row r="1247" spans="1:17" ht="18.75" customHeight="1" x14ac:dyDescent="0.3">
      <c r="A1247" s="189">
        <v>392</v>
      </c>
      <c r="B1247" s="105" t="s">
        <v>194</v>
      </c>
      <c r="C1247" s="195">
        <v>401</v>
      </c>
      <c r="D1247" s="113">
        <v>59</v>
      </c>
      <c r="E1247" s="114">
        <v>8512</v>
      </c>
      <c r="F1247" s="115">
        <v>21645</v>
      </c>
      <c r="G1247" s="116">
        <v>229</v>
      </c>
      <c r="H1247" s="1731" t="s">
        <v>41</v>
      </c>
      <c r="I1247" s="118"/>
      <c r="J1247" s="192"/>
      <c r="K1247" s="104" t="s">
        <v>25</v>
      </c>
      <c r="L1247" s="192"/>
      <c r="M1247" s="192"/>
      <c r="N1247" s="192"/>
      <c r="O1247" s="2621" t="s">
        <v>6395</v>
      </c>
      <c r="Q1247" s="118"/>
    </row>
    <row r="1248" spans="1:17" ht="18.75" customHeight="1" x14ac:dyDescent="0.3">
      <c r="A1248" s="104">
        <v>393</v>
      </c>
      <c r="B1248" s="105" t="s">
        <v>194</v>
      </c>
      <c r="C1248" s="195">
        <v>401</v>
      </c>
      <c r="D1248" s="125">
        <v>59</v>
      </c>
      <c r="E1248" s="114">
        <v>8513</v>
      </c>
      <c r="F1248" s="115">
        <v>21645</v>
      </c>
      <c r="G1248" s="116">
        <v>229</v>
      </c>
      <c r="H1248" s="1731" t="s">
        <v>41</v>
      </c>
      <c r="I1248" s="118"/>
      <c r="J1248" s="192"/>
      <c r="K1248" s="104" t="s">
        <v>25</v>
      </c>
      <c r="L1248" s="192"/>
      <c r="M1248" s="192"/>
      <c r="N1248" s="192"/>
      <c r="O1248" s="2621" t="s">
        <v>6395</v>
      </c>
      <c r="Q1248" s="118"/>
    </row>
    <row r="1249" spans="1:17" ht="18.75" customHeight="1" x14ac:dyDescent="0.3">
      <c r="A1249" s="189">
        <v>394</v>
      </c>
      <c r="B1249" s="105" t="s">
        <v>194</v>
      </c>
      <c r="C1249" s="195">
        <v>401</v>
      </c>
      <c r="D1249" s="128">
        <v>59</v>
      </c>
      <c r="E1249" s="114">
        <v>8514</v>
      </c>
      <c r="F1249" s="115">
        <v>21645</v>
      </c>
      <c r="G1249" s="116">
        <v>229</v>
      </c>
      <c r="H1249" s="1731" t="s">
        <v>41</v>
      </c>
      <c r="I1249" s="118"/>
      <c r="J1249" s="192"/>
      <c r="K1249" s="104" t="s">
        <v>25</v>
      </c>
      <c r="L1249" s="192"/>
      <c r="M1249" s="192"/>
      <c r="N1249" s="192"/>
      <c r="O1249" s="2621" t="s">
        <v>6395</v>
      </c>
      <c r="Q1249" s="118"/>
    </row>
    <row r="1250" spans="1:17" ht="18.75" customHeight="1" x14ac:dyDescent="0.3">
      <c r="A1250" s="104">
        <v>395</v>
      </c>
      <c r="B1250" s="105" t="s">
        <v>194</v>
      </c>
      <c r="C1250" s="195">
        <v>401</v>
      </c>
      <c r="D1250" s="113">
        <v>59</v>
      </c>
      <c r="E1250" s="114">
        <v>8515</v>
      </c>
      <c r="F1250" s="115">
        <v>21645</v>
      </c>
      <c r="G1250" s="116">
        <v>229</v>
      </c>
      <c r="H1250" s="1731" t="s">
        <v>41</v>
      </c>
      <c r="I1250" s="118"/>
      <c r="J1250" s="192"/>
      <c r="K1250" s="104" t="s">
        <v>25</v>
      </c>
      <c r="L1250" s="192"/>
      <c r="M1250" s="192"/>
      <c r="N1250" s="192"/>
      <c r="O1250" s="2621" t="s">
        <v>6395</v>
      </c>
      <c r="Q1250" s="118"/>
    </row>
    <row r="1251" spans="1:17" ht="18.75" customHeight="1" x14ac:dyDescent="0.3">
      <c r="A1251" s="189">
        <v>396</v>
      </c>
      <c r="B1251" s="105" t="s">
        <v>194</v>
      </c>
      <c r="C1251" s="195">
        <v>401</v>
      </c>
      <c r="D1251" s="113">
        <v>59</v>
      </c>
      <c r="E1251" s="114">
        <v>8516</v>
      </c>
      <c r="F1251" s="115">
        <v>21645</v>
      </c>
      <c r="G1251" s="116">
        <v>229</v>
      </c>
      <c r="H1251" s="1731" t="s">
        <v>41</v>
      </c>
      <c r="I1251" s="118"/>
      <c r="J1251" s="192"/>
      <c r="K1251" s="104" t="s">
        <v>25</v>
      </c>
      <c r="L1251" s="192"/>
      <c r="M1251" s="192"/>
      <c r="N1251" s="192"/>
      <c r="O1251" s="2621" t="s">
        <v>6395</v>
      </c>
      <c r="Q1251" s="118"/>
    </row>
    <row r="1252" spans="1:17" ht="18.75" customHeight="1" x14ac:dyDescent="0.3">
      <c r="A1252" s="104">
        <v>397</v>
      </c>
      <c r="B1252" s="105" t="s">
        <v>194</v>
      </c>
      <c r="C1252" s="195">
        <v>401</v>
      </c>
      <c r="D1252" s="113">
        <v>59</v>
      </c>
      <c r="E1252" s="114">
        <v>8517</v>
      </c>
      <c r="F1252" s="115">
        <v>21645</v>
      </c>
      <c r="G1252" s="116">
        <v>229</v>
      </c>
      <c r="H1252" s="1731" t="s">
        <v>41</v>
      </c>
      <c r="I1252" s="118"/>
      <c r="J1252" s="192"/>
      <c r="K1252" s="104" t="s">
        <v>25</v>
      </c>
      <c r="L1252" s="192"/>
      <c r="M1252" s="192"/>
      <c r="N1252" s="192"/>
      <c r="O1252" s="2621" t="s">
        <v>6395</v>
      </c>
      <c r="Q1252" s="118"/>
    </row>
    <row r="1253" spans="1:17" ht="18.75" customHeight="1" x14ac:dyDescent="0.3">
      <c r="A1253" s="189">
        <v>398</v>
      </c>
      <c r="B1253" s="105" t="s">
        <v>194</v>
      </c>
      <c r="C1253" s="195">
        <v>401</v>
      </c>
      <c r="D1253" s="113">
        <v>59</v>
      </c>
      <c r="E1253" s="114">
        <v>8518</v>
      </c>
      <c r="F1253" s="115">
        <v>21645</v>
      </c>
      <c r="G1253" s="116">
        <v>229</v>
      </c>
      <c r="H1253" s="1731" t="s">
        <v>41</v>
      </c>
      <c r="I1253" s="118"/>
      <c r="J1253" s="192"/>
      <c r="K1253" s="104" t="s">
        <v>25</v>
      </c>
      <c r="L1253" s="192"/>
      <c r="M1253" s="192"/>
      <c r="N1253" s="192"/>
      <c r="O1253" s="2621" t="s">
        <v>6395</v>
      </c>
      <c r="Q1253" s="118"/>
    </row>
    <row r="1254" spans="1:17" ht="18.75" customHeight="1" x14ac:dyDescent="0.3">
      <c r="A1254" s="104">
        <v>399</v>
      </c>
      <c r="B1254" s="105" t="s">
        <v>194</v>
      </c>
      <c r="C1254" s="195">
        <v>401</v>
      </c>
      <c r="D1254" s="113">
        <v>59</v>
      </c>
      <c r="E1254" s="114">
        <v>8519</v>
      </c>
      <c r="F1254" s="115">
        <v>21645</v>
      </c>
      <c r="G1254" s="116">
        <v>229</v>
      </c>
      <c r="H1254" s="1731" t="s">
        <v>41</v>
      </c>
      <c r="I1254" s="118"/>
      <c r="J1254" s="192"/>
      <c r="K1254" s="104" t="s">
        <v>25</v>
      </c>
      <c r="L1254" s="192"/>
      <c r="M1254" s="192"/>
      <c r="N1254" s="192"/>
      <c r="O1254" s="2621" t="s">
        <v>6395</v>
      </c>
      <c r="Q1254" s="118"/>
    </row>
    <row r="1255" spans="1:17" ht="18.75" customHeight="1" x14ac:dyDescent="0.3">
      <c r="A1255" s="189">
        <v>400</v>
      </c>
      <c r="B1255" s="105" t="s">
        <v>194</v>
      </c>
      <c r="C1255" s="195">
        <v>401</v>
      </c>
      <c r="D1255" s="113">
        <v>59</v>
      </c>
      <c r="E1255" s="114">
        <v>8520</v>
      </c>
      <c r="F1255" s="115">
        <v>21645</v>
      </c>
      <c r="G1255" s="116">
        <v>229</v>
      </c>
      <c r="H1255" s="1731" t="s">
        <v>41</v>
      </c>
      <c r="I1255" s="118"/>
      <c r="J1255" s="192"/>
      <c r="K1255" s="104" t="s">
        <v>25</v>
      </c>
      <c r="L1255" s="192"/>
      <c r="M1255" s="192"/>
      <c r="N1255" s="192"/>
      <c r="O1255" s="2621" t="s">
        <v>6395</v>
      </c>
      <c r="Q1255" s="118"/>
    </row>
    <row r="1256" spans="1:17" ht="18.75" customHeight="1" x14ac:dyDescent="0.3">
      <c r="A1256" s="104">
        <v>401</v>
      </c>
      <c r="B1256" s="105" t="s">
        <v>194</v>
      </c>
      <c r="C1256" s="195">
        <v>401</v>
      </c>
      <c r="D1256" s="113">
        <v>59</v>
      </c>
      <c r="E1256" s="114">
        <v>8521</v>
      </c>
      <c r="F1256" s="115">
        <v>21645</v>
      </c>
      <c r="G1256" s="116">
        <v>229</v>
      </c>
      <c r="H1256" s="1731" t="s">
        <v>41</v>
      </c>
      <c r="I1256" s="118"/>
      <c r="J1256" s="192"/>
      <c r="K1256" s="104" t="s">
        <v>25</v>
      </c>
      <c r="L1256" s="192"/>
      <c r="M1256" s="192"/>
      <c r="N1256" s="192"/>
      <c r="O1256" s="2621" t="s">
        <v>6395</v>
      </c>
      <c r="Q1256" s="118"/>
    </row>
    <row r="1257" spans="1:17" ht="18.75" customHeight="1" x14ac:dyDescent="0.3">
      <c r="A1257" s="189">
        <v>402</v>
      </c>
      <c r="B1257" s="105" t="s">
        <v>194</v>
      </c>
      <c r="C1257" s="195">
        <v>401</v>
      </c>
      <c r="D1257" s="125">
        <v>59</v>
      </c>
      <c r="E1257" s="114">
        <v>8522</v>
      </c>
      <c r="F1257" s="115">
        <v>21645</v>
      </c>
      <c r="G1257" s="116">
        <v>229</v>
      </c>
      <c r="H1257" s="1731" t="s">
        <v>41</v>
      </c>
      <c r="I1257" s="118"/>
      <c r="J1257" s="192"/>
      <c r="K1257" s="104" t="s">
        <v>25</v>
      </c>
      <c r="L1257" s="192"/>
      <c r="M1257" s="192"/>
      <c r="N1257" s="192"/>
      <c r="O1257" s="2621" t="s">
        <v>6395</v>
      </c>
      <c r="Q1257" s="118"/>
    </row>
    <row r="1258" spans="1:17" ht="18.75" customHeight="1" x14ac:dyDescent="0.3">
      <c r="A1258" s="104">
        <v>403</v>
      </c>
      <c r="B1258" s="105" t="s">
        <v>194</v>
      </c>
      <c r="C1258" s="195">
        <v>401</v>
      </c>
      <c r="D1258" s="194">
        <v>59</v>
      </c>
      <c r="E1258" s="114">
        <v>8523</v>
      </c>
      <c r="F1258" s="115">
        <v>21645</v>
      </c>
      <c r="G1258" s="116">
        <v>229</v>
      </c>
      <c r="H1258" s="1731" t="s">
        <v>41</v>
      </c>
      <c r="I1258" s="118"/>
      <c r="J1258" s="192"/>
      <c r="K1258" s="104" t="s">
        <v>25</v>
      </c>
      <c r="L1258" s="192"/>
      <c r="M1258" s="192"/>
      <c r="N1258" s="192"/>
      <c r="O1258" s="2621" t="s">
        <v>6395</v>
      </c>
      <c r="Q1258" s="118"/>
    </row>
    <row r="1259" spans="1:17" ht="18.75" customHeight="1" x14ac:dyDescent="0.3">
      <c r="A1259" s="189">
        <v>404</v>
      </c>
      <c r="B1259" s="105" t="s">
        <v>194</v>
      </c>
      <c r="C1259" s="195">
        <v>401</v>
      </c>
      <c r="D1259" s="128">
        <v>59</v>
      </c>
      <c r="E1259" s="114">
        <v>8524</v>
      </c>
      <c r="F1259" s="115">
        <v>21645</v>
      </c>
      <c r="G1259" s="116">
        <v>229</v>
      </c>
      <c r="H1259" s="1731" t="s">
        <v>41</v>
      </c>
      <c r="I1259" s="118"/>
      <c r="J1259" s="192"/>
      <c r="K1259" s="104" t="s">
        <v>25</v>
      </c>
      <c r="L1259" s="192"/>
      <c r="M1259" s="192"/>
      <c r="N1259" s="192"/>
      <c r="O1259" s="2621" t="s">
        <v>6395</v>
      </c>
      <c r="Q1259" s="118"/>
    </row>
    <row r="1260" spans="1:17" ht="18.75" customHeight="1" x14ac:dyDescent="0.3">
      <c r="A1260" s="104">
        <v>405</v>
      </c>
      <c r="B1260" s="105" t="s">
        <v>194</v>
      </c>
      <c r="C1260" s="195">
        <v>401</v>
      </c>
      <c r="D1260" s="113">
        <v>59</v>
      </c>
      <c r="E1260" s="114">
        <v>8525</v>
      </c>
      <c r="F1260" s="115">
        <v>21645</v>
      </c>
      <c r="G1260" s="116">
        <v>229</v>
      </c>
      <c r="H1260" s="1731" t="s">
        <v>41</v>
      </c>
      <c r="I1260" s="118"/>
      <c r="J1260" s="192"/>
      <c r="K1260" s="104" t="s">
        <v>25</v>
      </c>
      <c r="L1260" s="192"/>
      <c r="M1260" s="192"/>
      <c r="N1260" s="192"/>
      <c r="O1260" s="2621" t="s">
        <v>6395</v>
      </c>
      <c r="Q1260" s="118"/>
    </row>
    <row r="1261" spans="1:17" ht="18.75" customHeight="1" x14ac:dyDescent="0.3">
      <c r="A1261" s="189">
        <v>406</v>
      </c>
      <c r="B1261" s="105" t="s">
        <v>194</v>
      </c>
      <c r="C1261" s="195">
        <v>401</v>
      </c>
      <c r="D1261" s="113">
        <v>59</v>
      </c>
      <c r="E1261" s="114">
        <v>8526</v>
      </c>
      <c r="F1261" s="115">
        <v>21645</v>
      </c>
      <c r="G1261" s="116">
        <v>229</v>
      </c>
      <c r="H1261" s="1731" t="s">
        <v>41</v>
      </c>
      <c r="I1261" s="118"/>
      <c r="J1261" s="192"/>
      <c r="K1261" s="104" t="s">
        <v>25</v>
      </c>
      <c r="L1261" s="192"/>
      <c r="M1261" s="192"/>
      <c r="N1261" s="192"/>
      <c r="O1261" s="2621" t="s">
        <v>6395</v>
      </c>
      <c r="Q1261" s="118"/>
    </row>
    <row r="1262" spans="1:17" ht="18.75" customHeight="1" x14ac:dyDescent="0.3">
      <c r="A1262" s="104">
        <v>407</v>
      </c>
      <c r="B1262" s="105" t="s">
        <v>194</v>
      </c>
      <c r="C1262" s="195">
        <v>401</v>
      </c>
      <c r="D1262" s="113">
        <v>59</v>
      </c>
      <c r="E1262" s="114">
        <v>8527</v>
      </c>
      <c r="F1262" s="115">
        <v>21645</v>
      </c>
      <c r="G1262" s="116">
        <v>229</v>
      </c>
      <c r="H1262" s="1731" t="s">
        <v>41</v>
      </c>
      <c r="I1262" s="118"/>
      <c r="J1262" s="192"/>
      <c r="K1262" s="104" t="s">
        <v>25</v>
      </c>
      <c r="L1262" s="192"/>
      <c r="M1262" s="192"/>
      <c r="N1262" s="192"/>
      <c r="O1262" s="2621" t="s">
        <v>6395</v>
      </c>
      <c r="Q1262" s="118"/>
    </row>
    <row r="1263" spans="1:17" ht="18.75" customHeight="1" x14ac:dyDescent="0.3">
      <c r="A1263" s="189">
        <v>408</v>
      </c>
      <c r="B1263" s="105" t="s">
        <v>194</v>
      </c>
      <c r="C1263" s="195">
        <v>401</v>
      </c>
      <c r="D1263" s="113">
        <v>59</v>
      </c>
      <c r="E1263" s="114">
        <v>8528</v>
      </c>
      <c r="F1263" s="115">
        <v>21645</v>
      </c>
      <c r="G1263" s="116">
        <v>229</v>
      </c>
      <c r="H1263" s="1731" t="s">
        <v>41</v>
      </c>
      <c r="I1263" s="118"/>
      <c r="J1263" s="192"/>
      <c r="K1263" s="104" t="s">
        <v>25</v>
      </c>
      <c r="L1263" s="192"/>
      <c r="M1263" s="192"/>
      <c r="N1263" s="192"/>
      <c r="O1263" s="2621" t="s">
        <v>6395</v>
      </c>
      <c r="Q1263" s="118"/>
    </row>
    <row r="1264" spans="1:17" ht="18.75" customHeight="1" x14ac:dyDescent="0.3">
      <c r="A1264" s="104">
        <v>409</v>
      </c>
      <c r="B1264" s="105" t="s">
        <v>194</v>
      </c>
      <c r="C1264" s="195">
        <v>401</v>
      </c>
      <c r="D1264" s="136">
        <v>59</v>
      </c>
      <c r="E1264" s="114">
        <v>8529</v>
      </c>
      <c r="F1264" s="115">
        <v>21645</v>
      </c>
      <c r="G1264" s="116">
        <v>229</v>
      </c>
      <c r="H1264" s="1731" t="s">
        <v>41</v>
      </c>
      <c r="I1264" s="118"/>
      <c r="J1264" s="192"/>
      <c r="K1264" s="104" t="s">
        <v>25</v>
      </c>
      <c r="L1264" s="192"/>
      <c r="M1264" s="192"/>
      <c r="N1264" s="192"/>
      <c r="O1264" s="2621" t="s">
        <v>6395</v>
      </c>
      <c r="Q1264" s="118"/>
    </row>
    <row r="1265" spans="1:17" ht="18.75" customHeight="1" x14ac:dyDescent="0.3">
      <c r="A1265" s="189">
        <v>410</v>
      </c>
      <c r="B1265" s="105" t="s">
        <v>194</v>
      </c>
      <c r="C1265" s="195">
        <v>401</v>
      </c>
      <c r="D1265" s="128">
        <v>59</v>
      </c>
      <c r="E1265" s="114">
        <v>8530</v>
      </c>
      <c r="F1265" s="115">
        <v>21645</v>
      </c>
      <c r="G1265" s="116">
        <v>229</v>
      </c>
      <c r="H1265" s="1731" t="s">
        <v>41</v>
      </c>
      <c r="I1265" s="118"/>
      <c r="J1265" s="192"/>
      <c r="K1265" s="104" t="s">
        <v>25</v>
      </c>
      <c r="L1265" s="192"/>
      <c r="M1265" s="192"/>
      <c r="N1265" s="192"/>
      <c r="O1265" s="2621" t="s">
        <v>6395</v>
      </c>
      <c r="Q1265" s="118"/>
    </row>
    <row r="1266" spans="1:17" ht="18.75" customHeight="1" x14ac:dyDescent="0.3">
      <c r="A1266" s="104">
        <v>411</v>
      </c>
      <c r="B1266" s="105" t="s">
        <v>194</v>
      </c>
      <c r="C1266" s="195">
        <v>401</v>
      </c>
      <c r="D1266" s="113">
        <v>59</v>
      </c>
      <c r="E1266" s="114">
        <v>8531</v>
      </c>
      <c r="F1266" s="115">
        <v>21645</v>
      </c>
      <c r="G1266" s="116">
        <v>229</v>
      </c>
      <c r="H1266" s="1731" t="s">
        <v>41</v>
      </c>
      <c r="I1266" s="118"/>
      <c r="J1266" s="192"/>
      <c r="K1266" s="104" t="s">
        <v>25</v>
      </c>
      <c r="L1266" s="192"/>
      <c r="M1266" s="192"/>
      <c r="N1266" s="192"/>
      <c r="O1266" s="2621" t="s">
        <v>6395</v>
      </c>
      <c r="Q1266" s="118"/>
    </row>
    <row r="1267" spans="1:17" ht="18.75" customHeight="1" x14ac:dyDescent="0.3">
      <c r="A1267" s="189">
        <v>412</v>
      </c>
      <c r="B1267" s="105" t="s">
        <v>194</v>
      </c>
      <c r="C1267" s="195">
        <v>401</v>
      </c>
      <c r="D1267" s="113">
        <v>59</v>
      </c>
      <c r="E1267" s="114">
        <v>8532</v>
      </c>
      <c r="F1267" s="115">
        <v>21645</v>
      </c>
      <c r="G1267" s="116">
        <v>229</v>
      </c>
      <c r="H1267" s="1731" t="s">
        <v>41</v>
      </c>
      <c r="I1267" s="118"/>
      <c r="J1267" s="192"/>
      <c r="K1267" s="104" t="s">
        <v>25</v>
      </c>
      <c r="L1267" s="192"/>
      <c r="M1267" s="192"/>
      <c r="N1267" s="192"/>
      <c r="O1267" s="2621" t="s">
        <v>6395</v>
      </c>
      <c r="Q1267" s="118"/>
    </row>
    <row r="1268" spans="1:17" ht="18.75" customHeight="1" x14ac:dyDescent="0.3">
      <c r="A1268" s="104">
        <v>413</v>
      </c>
      <c r="B1268" s="105" t="s">
        <v>194</v>
      </c>
      <c r="C1268" s="195">
        <v>401</v>
      </c>
      <c r="D1268" s="113">
        <v>59</v>
      </c>
      <c r="E1268" s="114">
        <v>8533</v>
      </c>
      <c r="F1268" s="115">
        <v>21645</v>
      </c>
      <c r="G1268" s="116">
        <v>229</v>
      </c>
      <c r="H1268" s="1731" t="s">
        <v>41</v>
      </c>
      <c r="I1268" s="118"/>
      <c r="J1268" s="192"/>
      <c r="K1268" s="104" t="s">
        <v>25</v>
      </c>
      <c r="L1268" s="192"/>
      <c r="M1268" s="192"/>
      <c r="N1268" s="192"/>
      <c r="O1268" s="2621" t="s">
        <v>6395</v>
      </c>
      <c r="Q1268" s="118"/>
    </row>
    <row r="1269" spans="1:17" ht="18.75" customHeight="1" x14ac:dyDescent="0.3">
      <c r="A1269" s="189">
        <v>414</v>
      </c>
      <c r="B1269" s="105" t="s">
        <v>194</v>
      </c>
      <c r="C1269" s="195">
        <v>401</v>
      </c>
      <c r="D1269" s="125">
        <v>59</v>
      </c>
      <c r="E1269" s="114">
        <v>8534</v>
      </c>
      <c r="F1269" s="115">
        <v>21645</v>
      </c>
      <c r="G1269" s="116">
        <v>229</v>
      </c>
      <c r="H1269" s="1731" t="s">
        <v>41</v>
      </c>
      <c r="I1269" s="118"/>
      <c r="J1269" s="192"/>
      <c r="K1269" s="104" t="s">
        <v>25</v>
      </c>
      <c r="L1269" s="192"/>
      <c r="M1269" s="192"/>
      <c r="N1269" s="192"/>
      <c r="O1269" s="2621" t="s">
        <v>6395</v>
      </c>
      <c r="Q1269" s="118"/>
    </row>
    <row r="1270" spans="1:17" ht="18.75" customHeight="1" x14ac:dyDescent="0.3">
      <c r="A1270" s="104">
        <v>415</v>
      </c>
      <c r="B1270" s="105" t="s">
        <v>194</v>
      </c>
      <c r="C1270" s="195">
        <v>401</v>
      </c>
      <c r="D1270" s="149">
        <v>59</v>
      </c>
      <c r="E1270" s="114">
        <v>8535</v>
      </c>
      <c r="F1270" s="115">
        <v>21645</v>
      </c>
      <c r="G1270" s="116">
        <v>229</v>
      </c>
      <c r="H1270" s="1731" t="s">
        <v>41</v>
      </c>
      <c r="I1270" s="118"/>
      <c r="J1270" s="192"/>
      <c r="K1270" s="104" t="s">
        <v>25</v>
      </c>
      <c r="L1270" s="192"/>
      <c r="M1270" s="192"/>
      <c r="N1270" s="192"/>
      <c r="O1270" s="2621" t="s">
        <v>6395</v>
      </c>
      <c r="Q1270" s="118"/>
    </row>
    <row r="1271" spans="1:17" ht="18.75" customHeight="1" x14ac:dyDescent="0.3">
      <c r="A1271" s="189">
        <v>416</v>
      </c>
      <c r="B1271" s="105" t="s">
        <v>194</v>
      </c>
      <c r="C1271" s="195">
        <v>401</v>
      </c>
      <c r="D1271" s="113">
        <v>59</v>
      </c>
      <c r="E1271" s="114">
        <v>8536</v>
      </c>
      <c r="F1271" s="115">
        <v>21645</v>
      </c>
      <c r="G1271" s="116">
        <v>229</v>
      </c>
      <c r="H1271" s="1731" t="s">
        <v>41</v>
      </c>
      <c r="I1271" s="118"/>
      <c r="J1271" s="192"/>
      <c r="K1271" s="104" t="s">
        <v>25</v>
      </c>
      <c r="L1271" s="192"/>
      <c r="M1271" s="192"/>
      <c r="N1271" s="192"/>
      <c r="O1271" s="2621" t="s">
        <v>6395</v>
      </c>
      <c r="Q1271" s="118"/>
    </row>
    <row r="1272" spans="1:17" ht="18.75" customHeight="1" x14ac:dyDescent="0.3">
      <c r="A1272" s="104">
        <v>417</v>
      </c>
      <c r="B1272" s="105" t="s">
        <v>194</v>
      </c>
      <c r="C1272" s="195">
        <v>401</v>
      </c>
      <c r="D1272" s="113">
        <v>59</v>
      </c>
      <c r="E1272" s="114">
        <v>8537</v>
      </c>
      <c r="F1272" s="115">
        <v>21645</v>
      </c>
      <c r="G1272" s="116">
        <v>229</v>
      </c>
      <c r="H1272" s="1731" t="s">
        <v>41</v>
      </c>
      <c r="I1272" s="118"/>
      <c r="J1272" s="192"/>
      <c r="K1272" s="104" t="s">
        <v>25</v>
      </c>
      <c r="L1272" s="192"/>
      <c r="M1272" s="192"/>
      <c r="N1272" s="192"/>
      <c r="O1272" s="2621" t="s">
        <v>6395</v>
      </c>
      <c r="Q1272" s="118"/>
    </row>
    <row r="1273" spans="1:17" ht="18.75" customHeight="1" x14ac:dyDescent="0.3">
      <c r="A1273" s="189">
        <v>418</v>
      </c>
      <c r="B1273" s="105" t="s">
        <v>194</v>
      </c>
      <c r="C1273" s="195">
        <v>401</v>
      </c>
      <c r="D1273" s="113">
        <v>59</v>
      </c>
      <c r="E1273" s="114">
        <v>8538</v>
      </c>
      <c r="F1273" s="115">
        <v>21645</v>
      </c>
      <c r="G1273" s="116">
        <v>229</v>
      </c>
      <c r="H1273" s="1731" t="s">
        <v>41</v>
      </c>
      <c r="I1273" s="118"/>
      <c r="J1273" s="192"/>
      <c r="K1273" s="104" t="s">
        <v>25</v>
      </c>
      <c r="L1273" s="192"/>
      <c r="M1273" s="192"/>
      <c r="N1273" s="192"/>
      <c r="O1273" s="2621" t="s">
        <v>6395</v>
      </c>
      <c r="Q1273" s="118"/>
    </row>
    <row r="1274" spans="1:17" ht="18.75" customHeight="1" x14ac:dyDescent="0.3">
      <c r="A1274" s="104">
        <v>419</v>
      </c>
      <c r="B1274" s="105" t="s">
        <v>194</v>
      </c>
      <c r="C1274" s="195">
        <v>401</v>
      </c>
      <c r="D1274" s="113">
        <v>59</v>
      </c>
      <c r="E1274" s="114">
        <v>8539</v>
      </c>
      <c r="F1274" s="115">
        <v>21645</v>
      </c>
      <c r="G1274" s="116">
        <v>229</v>
      </c>
      <c r="H1274" s="1731" t="s">
        <v>41</v>
      </c>
      <c r="I1274" s="118"/>
      <c r="J1274" s="192"/>
      <c r="K1274" s="104" t="s">
        <v>25</v>
      </c>
      <c r="L1274" s="192"/>
      <c r="M1274" s="192"/>
      <c r="N1274" s="192"/>
      <c r="O1274" s="2621" t="s">
        <v>6395</v>
      </c>
      <c r="Q1274" s="118"/>
    </row>
    <row r="1275" spans="1:17" ht="18.75" customHeight="1" x14ac:dyDescent="0.3">
      <c r="A1275" s="189">
        <v>420</v>
      </c>
      <c r="B1275" s="105" t="s">
        <v>194</v>
      </c>
      <c r="C1275" s="195">
        <v>401</v>
      </c>
      <c r="D1275" s="125">
        <v>59</v>
      </c>
      <c r="E1275" s="114">
        <v>8540</v>
      </c>
      <c r="F1275" s="115">
        <v>21645</v>
      </c>
      <c r="G1275" s="116">
        <v>229</v>
      </c>
      <c r="H1275" s="1731" t="s">
        <v>41</v>
      </c>
      <c r="I1275" s="118"/>
      <c r="J1275" s="192"/>
      <c r="K1275" s="104" t="s">
        <v>25</v>
      </c>
      <c r="L1275" s="192"/>
      <c r="M1275" s="192"/>
      <c r="N1275" s="192"/>
      <c r="O1275" s="2621" t="s">
        <v>6395</v>
      </c>
      <c r="Q1275" s="118"/>
    </row>
    <row r="1276" spans="1:17" ht="18.75" customHeight="1" x14ac:dyDescent="0.3">
      <c r="A1276" s="104">
        <v>421</v>
      </c>
      <c r="B1276" s="105" t="s">
        <v>194</v>
      </c>
      <c r="C1276" s="195">
        <v>401</v>
      </c>
      <c r="D1276" s="193">
        <v>59</v>
      </c>
      <c r="E1276" s="114">
        <v>8541</v>
      </c>
      <c r="F1276" s="115">
        <v>21645</v>
      </c>
      <c r="G1276" s="116">
        <v>229</v>
      </c>
      <c r="H1276" s="1731" t="s">
        <v>41</v>
      </c>
      <c r="I1276" s="118"/>
      <c r="J1276" s="192"/>
      <c r="K1276" s="104" t="s">
        <v>25</v>
      </c>
      <c r="L1276" s="192"/>
      <c r="M1276" s="192"/>
      <c r="N1276" s="192"/>
      <c r="O1276" s="2621" t="s">
        <v>6395</v>
      </c>
      <c r="Q1276" s="118"/>
    </row>
    <row r="1277" spans="1:17" ht="18.75" customHeight="1" x14ac:dyDescent="0.3">
      <c r="A1277" s="189">
        <v>422</v>
      </c>
      <c r="B1277" s="105" t="s">
        <v>194</v>
      </c>
      <c r="C1277" s="195">
        <v>401</v>
      </c>
      <c r="D1277" s="128">
        <v>59</v>
      </c>
      <c r="E1277" s="114">
        <v>8542</v>
      </c>
      <c r="F1277" s="115">
        <v>21645</v>
      </c>
      <c r="G1277" s="116">
        <v>229</v>
      </c>
      <c r="H1277" s="1731" t="s">
        <v>41</v>
      </c>
      <c r="I1277" s="118"/>
      <c r="J1277" s="192"/>
      <c r="K1277" s="104" t="s">
        <v>25</v>
      </c>
      <c r="L1277" s="192"/>
      <c r="M1277" s="192"/>
      <c r="N1277" s="192"/>
      <c r="O1277" s="2621" t="s">
        <v>6395</v>
      </c>
      <c r="Q1277" s="118"/>
    </row>
    <row r="1278" spans="1:17" ht="18.75" customHeight="1" x14ac:dyDescent="0.3">
      <c r="A1278" s="104">
        <v>423</v>
      </c>
      <c r="B1278" s="105" t="s">
        <v>194</v>
      </c>
      <c r="C1278" s="195">
        <v>401</v>
      </c>
      <c r="D1278" s="113">
        <v>59</v>
      </c>
      <c r="E1278" s="114">
        <v>8543</v>
      </c>
      <c r="F1278" s="115">
        <v>21645</v>
      </c>
      <c r="G1278" s="116">
        <v>229</v>
      </c>
      <c r="H1278" s="1731" t="s">
        <v>41</v>
      </c>
      <c r="I1278" s="118"/>
      <c r="J1278" s="192"/>
      <c r="K1278" s="104" t="s">
        <v>25</v>
      </c>
      <c r="L1278" s="192"/>
      <c r="M1278" s="192"/>
      <c r="N1278" s="192"/>
      <c r="O1278" s="2621" t="s">
        <v>6395</v>
      </c>
      <c r="Q1278" s="118"/>
    </row>
    <row r="1279" spans="1:17" ht="18.75" customHeight="1" x14ac:dyDescent="0.3">
      <c r="A1279" s="189">
        <v>424</v>
      </c>
      <c r="B1279" s="105" t="s">
        <v>194</v>
      </c>
      <c r="C1279" s="195">
        <v>401</v>
      </c>
      <c r="D1279" s="113">
        <v>59</v>
      </c>
      <c r="E1279" s="114">
        <v>8544</v>
      </c>
      <c r="F1279" s="115">
        <v>21645</v>
      </c>
      <c r="G1279" s="116">
        <v>229</v>
      </c>
      <c r="H1279" s="1731" t="s">
        <v>41</v>
      </c>
      <c r="I1279" s="118"/>
      <c r="J1279" s="192"/>
      <c r="K1279" s="104" t="s">
        <v>25</v>
      </c>
      <c r="L1279" s="192"/>
      <c r="M1279" s="192"/>
      <c r="N1279" s="192"/>
      <c r="O1279" s="2621" t="s">
        <v>6395</v>
      </c>
      <c r="Q1279" s="118"/>
    </row>
    <row r="1280" spans="1:17" ht="18.75" customHeight="1" x14ac:dyDescent="0.3">
      <c r="A1280" s="104">
        <v>425</v>
      </c>
      <c r="B1280" s="105" t="s">
        <v>194</v>
      </c>
      <c r="C1280" s="195">
        <v>401</v>
      </c>
      <c r="D1280" s="113">
        <v>59</v>
      </c>
      <c r="E1280" s="114">
        <v>8545</v>
      </c>
      <c r="F1280" s="115">
        <v>21645</v>
      </c>
      <c r="G1280" s="116">
        <v>229</v>
      </c>
      <c r="H1280" s="1731" t="s">
        <v>41</v>
      </c>
      <c r="I1280" s="118"/>
      <c r="J1280" s="192"/>
      <c r="K1280" s="104" t="s">
        <v>25</v>
      </c>
      <c r="L1280" s="192"/>
      <c r="M1280" s="192"/>
      <c r="N1280" s="192"/>
      <c r="O1280" s="2621" t="s">
        <v>6395</v>
      </c>
      <c r="Q1280" s="118"/>
    </row>
    <row r="1281" spans="1:17" ht="18.75" customHeight="1" x14ac:dyDescent="0.3">
      <c r="A1281" s="189">
        <v>426</v>
      </c>
      <c r="B1281" s="105" t="s">
        <v>194</v>
      </c>
      <c r="C1281" s="195">
        <v>401</v>
      </c>
      <c r="D1281" s="113">
        <v>59</v>
      </c>
      <c r="E1281" s="114">
        <v>8546</v>
      </c>
      <c r="F1281" s="115">
        <v>21645</v>
      </c>
      <c r="G1281" s="116">
        <v>229</v>
      </c>
      <c r="H1281" s="1731" t="s">
        <v>41</v>
      </c>
      <c r="I1281" s="118"/>
      <c r="J1281" s="192"/>
      <c r="K1281" s="104" t="s">
        <v>25</v>
      </c>
      <c r="L1281" s="192"/>
      <c r="M1281" s="192"/>
      <c r="N1281" s="192"/>
      <c r="O1281" s="2621" t="s">
        <v>6395</v>
      </c>
      <c r="Q1281" s="118"/>
    </row>
    <row r="1282" spans="1:17" ht="18.75" customHeight="1" x14ac:dyDescent="0.3">
      <c r="A1282" s="104">
        <v>427</v>
      </c>
      <c r="B1282" s="105" t="s">
        <v>194</v>
      </c>
      <c r="C1282" s="195">
        <v>401</v>
      </c>
      <c r="D1282" s="125">
        <v>59</v>
      </c>
      <c r="E1282" s="114">
        <v>8547</v>
      </c>
      <c r="F1282" s="115">
        <v>21645</v>
      </c>
      <c r="G1282" s="116">
        <v>229</v>
      </c>
      <c r="H1282" s="1731" t="s">
        <v>41</v>
      </c>
      <c r="I1282" s="118"/>
      <c r="J1282" s="192"/>
      <c r="K1282" s="104" t="s">
        <v>25</v>
      </c>
      <c r="L1282" s="192"/>
      <c r="M1282" s="192"/>
      <c r="N1282" s="192"/>
      <c r="O1282" s="2621" t="s">
        <v>6395</v>
      </c>
      <c r="Q1282" s="118"/>
    </row>
    <row r="1283" spans="1:17" ht="18.75" customHeight="1" x14ac:dyDescent="0.3">
      <c r="A1283" s="189">
        <v>428</v>
      </c>
      <c r="B1283" s="105" t="s">
        <v>194</v>
      </c>
      <c r="C1283" s="195">
        <v>401</v>
      </c>
      <c r="D1283" s="149">
        <v>59</v>
      </c>
      <c r="E1283" s="114">
        <v>8548</v>
      </c>
      <c r="F1283" s="115">
        <v>21645</v>
      </c>
      <c r="G1283" s="116">
        <v>229</v>
      </c>
      <c r="H1283" s="1731" t="s">
        <v>41</v>
      </c>
      <c r="I1283" s="118"/>
      <c r="J1283" s="192"/>
      <c r="K1283" s="104" t="s">
        <v>25</v>
      </c>
      <c r="L1283" s="192"/>
      <c r="M1283" s="192"/>
      <c r="N1283" s="192"/>
      <c r="O1283" s="2621" t="s">
        <v>6395</v>
      </c>
      <c r="Q1283" s="118"/>
    </row>
    <row r="1284" spans="1:17" ht="18.75" customHeight="1" x14ac:dyDescent="0.3">
      <c r="A1284" s="104">
        <v>429</v>
      </c>
      <c r="B1284" s="105" t="s">
        <v>194</v>
      </c>
      <c r="C1284" s="195">
        <v>401</v>
      </c>
      <c r="D1284" s="113">
        <v>59</v>
      </c>
      <c r="E1284" s="114">
        <v>8549</v>
      </c>
      <c r="F1284" s="115">
        <v>21645</v>
      </c>
      <c r="G1284" s="116">
        <v>229</v>
      </c>
      <c r="H1284" s="1731" t="s">
        <v>41</v>
      </c>
      <c r="I1284" s="118"/>
      <c r="J1284" s="192"/>
      <c r="K1284" s="104" t="s">
        <v>25</v>
      </c>
      <c r="L1284" s="192"/>
      <c r="M1284" s="192"/>
      <c r="N1284" s="192"/>
      <c r="O1284" s="2621" t="s">
        <v>6395</v>
      </c>
      <c r="Q1284" s="118"/>
    </row>
    <row r="1285" spans="1:17" ht="18.75" customHeight="1" x14ac:dyDescent="0.3">
      <c r="A1285" s="189">
        <v>430</v>
      </c>
      <c r="B1285" s="105" t="s">
        <v>194</v>
      </c>
      <c r="C1285" s="195">
        <v>401</v>
      </c>
      <c r="D1285" s="113">
        <v>59</v>
      </c>
      <c r="E1285" s="114">
        <v>8550</v>
      </c>
      <c r="F1285" s="115">
        <v>21645</v>
      </c>
      <c r="G1285" s="116">
        <v>229</v>
      </c>
      <c r="H1285" s="1731" t="s">
        <v>41</v>
      </c>
      <c r="I1285" s="118"/>
      <c r="J1285" s="192"/>
      <c r="K1285" s="104" t="s">
        <v>25</v>
      </c>
      <c r="L1285" s="192"/>
      <c r="M1285" s="192"/>
      <c r="N1285" s="192"/>
      <c r="O1285" s="2621" t="s">
        <v>6395</v>
      </c>
      <c r="Q1285" s="118"/>
    </row>
    <row r="1286" spans="1:17" ht="18.75" customHeight="1" x14ac:dyDescent="0.3">
      <c r="A1286" s="104">
        <v>431</v>
      </c>
      <c r="B1286" s="105" t="s">
        <v>194</v>
      </c>
      <c r="C1286" s="195">
        <v>401</v>
      </c>
      <c r="D1286" s="113">
        <v>59</v>
      </c>
      <c r="E1286" s="114">
        <v>8551</v>
      </c>
      <c r="F1286" s="115">
        <v>21645</v>
      </c>
      <c r="G1286" s="116">
        <v>229</v>
      </c>
      <c r="H1286" s="1731" t="s">
        <v>41</v>
      </c>
      <c r="I1286" s="118"/>
      <c r="J1286" s="192"/>
      <c r="K1286" s="104" t="s">
        <v>25</v>
      </c>
      <c r="L1286" s="192"/>
      <c r="M1286" s="192"/>
      <c r="N1286" s="192"/>
      <c r="O1286" s="2621" t="s">
        <v>6395</v>
      </c>
      <c r="Q1286" s="118"/>
    </row>
    <row r="1287" spans="1:17" ht="18.75" customHeight="1" x14ac:dyDescent="0.3">
      <c r="A1287" s="189">
        <v>432</v>
      </c>
      <c r="B1287" s="105" t="s">
        <v>194</v>
      </c>
      <c r="C1287" s="195">
        <v>401</v>
      </c>
      <c r="D1287" s="113">
        <v>59</v>
      </c>
      <c r="E1287" s="114">
        <v>8552</v>
      </c>
      <c r="F1287" s="115">
        <v>21645</v>
      </c>
      <c r="G1287" s="116">
        <v>229</v>
      </c>
      <c r="H1287" s="1731" t="s">
        <v>41</v>
      </c>
      <c r="I1287" s="118"/>
      <c r="J1287" s="192"/>
      <c r="K1287" s="104" t="s">
        <v>25</v>
      </c>
      <c r="L1287" s="192"/>
      <c r="M1287" s="192"/>
      <c r="N1287" s="192"/>
      <c r="O1287" s="2621" t="s">
        <v>6395</v>
      </c>
      <c r="Q1287" s="118"/>
    </row>
    <row r="1288" spans="1:17" ht="18.75" customHeight="1" x14ac:dyDescent="0.3">
      <c r="A1288" s="104">
        <v>433</v>
      </c>
      <c r="B1288" s="105" t="s">
        <v>194</v>
      </c>
      <c r="C1288" s="195">
        <v>401</v>
      </c>
      <c r="D1288" s="113">
        <v>59</v>
      </c>
      <c r="E1288" s="114">
        <v>8553</v>
      </c>
      <c r="F1288" s="115">
        <v>21645</v>
      </c>
      <c r="G1288" s="116">
        <v>229</v>
      </c>
      <c r="H1288" s="1731" t="s">
        <v>41</v>
      </c>
      <c r="I1288" s="118"/>
      <c r="J1288" s="192"/>
      <c r="K1288" s="104" t="s">
        <v>25</v>
      </c>
      <c r="L1288" s="192"/>
      <c r="M1288" s="192"/>
      <c r="N1288" s="192"/>
      <c r="O1288" s="2621" t="s">
        <v>6395</v>
      </c>
      <c r="Q1288" s="118"/>
    </row>
    <row r="1289" spans="1:17" ht="18.75" customHeight="1" x14ac:dyDescent="0.3">
      <c r="A1289" s="189">
        <v>434</v>
      </c>
      <c r="B1289" s="105" t="s">
        <v>194</v>
      </c>
      <c r="C1289" s="195">
        <v>401</v>
      </c>
      <c r="D1289" s="113">
        <v>59</v>
      </c>
      <c r="E1289" s="114">
        <v>8554</v>
      </c>
      <c r="F1289" s="115">
        <v>21645</v>
      </c>
      <c r="G1289" s="116">
        <v>229</v>
      </c>
      <c r="H1289" s="1731" t="s">
        <v>41</v>
      </c>
      <c r="I1289" s="118"/>
      <c r="J1289" s="192"/>
      <c r="K1289" s="104" t="s">
        <v>25</v>
      </c>
      <c r="L1289" s="192"/>
      <c r="M1289" s="192"/>
      <c r="N1289" s="192"/>
      <c r="O1289" s="2621" t="s">
        <v>6395</v>
      </c>
      <c r="Q1289" s="118"/>
    </row>
    <row r="1290" spans="1:17" ht="18.75" customHeight="1" x14ac:dyDescent="0.3">
      <c r="A1290" s="104">
        <v>435</v>
      </c>
      <c r="B1290" s="105" t="s">
        <v>194</v>
      </c>
      <c r="C1290" s="195">
        <v>401</v>
      </c>
      <c r="D1290" s="113">
        <v>59</v>
      </c>
      <c r="E1290" s="114">
        <v>8555</v>
      </c>
      <c r="F1290" s="115">
        <v>21645</v>
      </c>
      <c r="G1290" s="116">
        <v>229</v>
      </c>
      <c r="H1290" s="1731" t="s">
        <v>41</v>
      </c>
      <c r="I1290" s="118"/>
      <c r="J1290" s="192"/>
      <c r="K1290" s="104" t="s">
        <v>25</v>
      </c>
      <c r="L1290" s="192"/>
      <c r="M1290" s="192"/>
      <c r="N1290" s="192"/>
      <c r="O1290" s="2621" t="s">
        <v>6395</v>
      </c>
      <c r="Q1290" s="118"/>
    </row>
    <row r="1291" spans="1:17" ht="18.75" customHeight="1" x14ac:dyDescent="0.3">
      <c r="A1291" s="189">
        <v>436</v>
      </c>
      <c r="B1291" s="105" t="s">
        <v>194</v>
      </c>
      <c r="C1291" s="195">
        <v>401</v>
      </c>
      <c r="D1291" s="136">
        <v>59</v>
      </c>
      <c r="E1291" s="114">
        <v>8556</v>
      </c>
      <c r="F1291" s="115">
        <v>21645</v>
      </c>
      <c r="G1291" s="116">
        <v>229</v>
      </c>
      <c r="H1291" s="1731" t="s">
        <v>41</v>
      </c>
      <c r="I1291" s="118"/>
      <c r="J1291" s="192"/>
      <c r="K1291" s="104" t="s">
        <v>25</v>
      </c>
      <c r="L1291" s="192"/>
      <c r="M1291" s="192"/>
      <c r="N1291" s="192"/>
      <c r="O1291" s="2621" t="s">
        <v>6395</v>
      </c>
      <c r="Q1291" s="118"/>
    </row>
    <row r="1292" spans="1:17" ht="18.75" customHeight="1" x14ac:dyDescent="0.3">
      <c r="A1292" s="104">
        <v>437</v>
      </c>
      <c r="B1292" s="105" t="s">
        <v>194</v>
      </c>
      <c r="C1292" s="195">
        <v>401</v>
      </c>
      <c r="D1292" s="128">
        <v>59</v>
      </c>
      <c r="E1292" s="114">
        <v>8557</v>
      </c>
      <c r="F1292" s="115">
        <v>21645</v>
      </c>
      <c r="G1292" s="116">
        <v>229</v>
      </c>
      <c r="H1292" s="1731" t="s">
        <v>41</v>
      </c>
      <c r="I1292" s="118"/>
      <c r="J1292" s="192"/>
      <c r="K1292" s="104" t="s">
        <v>25</v>
      </c>
      <c r="L1292" s="192"/>
      <c r="M1292" s="192"/>
      <c r="N1292" s="192"/>
      <c r="O1292" s="2621" t="s">
        <v>6395</v>
      </c>
      <c r="Q1292" s="118"/>
    </row>
    <row r="1293" spans="1:17" ht="18.75" customHeight="1" x14ac:dyDescent="0.3">
      <c r="A1293" s="189">
        <v>438</v>
      </c>
      <c r="B1293" s="105" t="s">
        <v>194</v>
      </c>
      <c r="C1293" s="195">
        <v>401</v>
      </c>
      <c r="D1293" s="113">
        <v>59</v>
      </c>
      <c r="E1293" s="114">
        <v>8558</v>
      </c>
      <c r="F1293" s="115">
        <v>21645</v>
      </c>
      <c r="G1293" s="116">
        <v>229</v>
      </c>
      <c r="H1293" s="1731" t="s">
        <v>41</v>
      </c>
      <c r="I1293" s="118"/>
      <c r="J1293" s="192"/>
      <c r="K1293" s="104" t="s">
        <v>25</v>
      </c>
      <c r="L1293" s="192"/>
      <c r="M1293" s="192"/>
      <c r="N1293" s="192"/>
      <c r="O1293" s="2621" t="s">
        <v>6395</v>
      </c>
      <c r="Q1293" s="118"/>
    </row>
    <row r="1294" spans="1:17" ht="18.75" customHeight="1" x14ac:dyDescent="0.3">
      <c r="A1294" s="104">
        <v>439</v>
      </c>
      <c r="B1294" s="105" t="s">
        <v>194</v>
      </c>
      <c r="C1294" s="195">
        <v>401</v>
      </c>
      <c r="D1294" s="113">
        <v>59</v>
      </c>
      <c r="E1294" s="114">
        <v>8559</v>
      </c>
      <c r="F1294" s="115">
        <v>21645</v>
      </c>
      <c r="G1294" s="116">
        <v>229</v>
      </c>
      <c r="H1294" s="1731" t="s">
        <v>41</v>
      </c>
      <c r="I1294" s="118"/>
      <c r="J1294" s="192"/>
      <c r="K1294" s="104" t="s">
        <v>25</v>
      </c>
      <c r="L1294" s="192"/>
      <c r="M1294" s="192"/>
      <c r="N1294" s="192"/>
      <c r="O1294" s="2621" t="s">
        <v>6395</v>
      </c>
      <c r="Q1294" s="118"/>
    </row>
    <row r="1295" spans="1:17" ht="18.75" customHeight="1" x14ac:dyDescent="0.3">
      <c r="A1295" s="189">
        <v>440</v>
      </c>
      <c r="B1295" s="105" t="s">
        <v>194</v>
      </c>
      <c r="C1295" s="195">
        <v>401</v>
      </c>
      <c r="D1295" s="113">
        <v>59</v>
      </c>
      <c r="E1295" s="114">
        <v>8560</v>
      </c>
      <c r="F1295" s="115">
        <v>21645</v>
      </c>
      <c r="G1295" s="116">
        <v>229</v>
      </c>
      <c r="H1295" s="1731" t="s">
        <v>41</v>
      </c>
      <c r="I1295" s="118"/>
      <c r="J1295" s="192"/>
      <c r="K1295" s="104" t="s">
        <v>25</v>
      </c>
      <c r="L1295" s="192"/>
      <c r="M1295" s="192"/>
      <c r="N1295" s="192"/>
      <c r="O1295" s="2621" t="s">
        <v>6395</v>
      </c>
      <c r="Q1295" s="118"/>
    </row>
    <row r="1296" spans="1:17" ht="18.75" customHeight="1" x14ac:dyDescent="0.3">
      <c r="A1296" s="104">
        <v>441</v>
      </c>
      <c r="B1296" s="105" t="s">
        <v>194</v>
      </c>
      <c r="C1296" s="195">
        <v>401</v>
      </c>
      <c r="D1296" s="113">
        <v>59</v>
      </c>
      <c r="E1296" s="114">
        <v>8561</v>
      </c>
      <c r="F1296" s="115">
        <v>21645</v>
      </c>
      <c r="G1296" s="116">
        <v>229</v>
      </c>
      <c r="H1296" s="1731" t="s">
        <v>41</v>
      </c>
      <c r="I1296" s="118"/>
      <c r="J1296" s="192"/>
      <c r="K1296" s="104" t="s">
        <v>25</v>
      </c>
      <c r="L1296" s="192"/>
      <c r="M1296" s="192"/>
      <c r="N1296" s="192"/>
      <c r="O1296" s="2621" t="s">
        <v>6395</v>
      </c>
      <c r="Q1296" s="118"/>
    </row>
    <row r="1297" spans="1:17" ht="18.75" customHeight="1" x14ac:dyDescent="0.3">
      <c r="A1297" s="189">
        <v>442</v>
      </c>
      <c r="B1297" s="105" t="s">
        <v>194</v>
      </c>
      <c r="C1297" s="195">
        <v>401</v>
      </c>
      <c r="D1297" s="113">
        <v>59</v>
      </c>
      <c r="E1297" s="114">
        <v>8562</v>
      </c>
      <c r="F1297" s="115">
        <v>21645</v>
      </c>
      <c r="G1297" s="116">
        <v>229</v>
      </c>
      <c r="H1297" s="1731" t="s">
        <v>41</v>
      </c>
      <c r="I1297" s="118"/>
      <c r="J1297" s="192"/>
      <c r="K1297" s="104" t="s">
        <v>25</v>
      </c>
      <c r="L1297" s="192"/>
      <c r="M1297" s="192"/>
      <c r="N1297" s="192"/>
      <c r="O1297" s="2621" t="s">
        <v>6395</v>
      </c>
      <c r="Q1297" s="118"/>
    </row>
    <row r="1298" spans="1:17" ht="18.75" customHeight="1" x14ac:dyDescent="0.3">
      <c r="A1298" s="104">
        <v>443</v>
      </c>
      <c r="B1298" s="105" t="s">
        <v>194</v>
      </c>
      <c r="C1298" s="195">
        <v>401</v>
      </c>
      <c r="D1298" s="113">
        <v>59</v>
      </c>
      <c r="E1298" s="114">
        <v>8563</v>
      </c>
      <c r="F1298" s="115">
        <v>21645</v>
      </c>
      <c r="G1298" s="116">
        <v>229</v>
      </c>
      <c r="H1298" s="1731" t="s">
        <v>41</v>
      </c>
      <c r="I1298" s="118"/>
      <c r="J1298" s="192"/>
      <c r="K1298" s="104" t="s">
        <v>25</v>
      </c>
      <c r="L1298" s="192"/>
      <c r="M1298" s="192"/>
      <c r="N1298" s="192"/>
      <c r="O1298" s="2621" t="s">
        <v>6395</v>
      </c>
      <c r="Q1298" s="118"/>
    </row>
    <row r="1299" spans="1:17" ht="18.75" customHeight="1" x14ac:dyDescent="0.3">
      <c r="A1299" s="189">
        <v>444</v>
      </c>
      <c r="B1299" s="105" t="s">
        <v>194</v>
      </c>
      <c r="C1299" s="195">
        <v>401</v>
      </c>
      <c r="D1299" s="113">
        <v>59</v>
      </c>
      <c r="E1299" s="114">
        <v>8564</v>
      </c>
      <c r="F1299" s="115">
        <v>21645</v>
      </c>
      <c r="G1299" s="116">
        <v>229</v>
      </c>
      <c r="H1299" s="1731" t="s">
        <v>41</v>
      </c>
      <c r="I1299" s="118"/>
      <c r="J1299" s="192"/>
      <c r="K1299" s="104" t="s">
        <v>25</v>
      </c>
      <c r="L1299" s="192"/>
      <c r="M1299" s="192"/>
      <c r="N1299" s="192"/>
      <c r="O1299" s="2621" t="s">
        <v>6395</v>
      </c>
      <c r="Q1299" s="118"/>
    </row>
    <row r="1300" spans="1:17" ht="18.75" customHeight="1" x14ac:dyDescent="0.3">
      <c r="A1300" s="104">
        <v>445</v>
      </c>
      <c r="B1300" s="105" t="s">
        <v>194</v>
      </c>
      <c r="C1300" s="195">
        <v>401</v>
      </c>
      <c r="D1300" s="113">
        <v>59</v>
      </c>
      <c r="E1300" s="114">
        <v>8565</v>
      </c>
      <c r="F1300" s="115">
        <v>21645</v>
      </c>
      <c r="G1300" s="116">
        <v>229</v>
      </c>
      <c r="H1300" s="1731" t="s">
        <v>41</v>
      </c>
      <c r="I1300" s="118"/>
      <c r="J1300" s="192"/>
      <c r="K1300" s="104" t="s">
        <v>25</v>
      </c>
      <c r="L1300" s="192"/>
      <c r="M1300" s="192"/>
      <c r="N1300" s="192"/>
      <c r="O1300" s="2621" t="s">
        <v>6395</v>
      </c>
      <c r="Q1300" s="118"/>
    </row>
    <row r="1301" spans="1:17" ht="18.75" customHeight="1" x14ac:dyDescent="0.3">
      <c r="A1301" s="189">
        <v>446</v>
      </c>
      <c r="B1301" s="105" t="s">
        <v>194</v>
      </c>
      <c r="C1301" s="195">
        <v>401</v>
      </c>
      <c r="D1301" s="113">
        <v>59</v>
      </c>
      <c r="E1301" s="114">
        <v>8566</v>
      </c>
      <c r="F1301" s="115">
        <v>21645</v>
      </c>
      <c r="G1301" s="116">
        <v>229</v>
      </c>
      <c r="H1301" s="1731" t="s">
        <v>41</v>
      </c>
      <c r="I1301" s="118"/>
      <c r="J1301" s="192"/>
      <c r="K1301" s="104" t="s">
        <v>25</v>
      </c>
      <c r="L1301" s="192"/>
      <c r="M1301" s="192"/>
      <c r="N1301" s="192"/>
      <c r="O1301" s="2621" t="s">
        <v>6395</v>
      </c>
      <c r="Q1301" s="118"/>
    </row>
    <row r="1302" spans="1:17" ht="18.75" customHeight="1" x14ac:dyDescent="0.3">
      <c r="A1302" s="104">
        <v>447</v>
      </c>
      <c r="B1302" s="105" t="s">
        <v>194</v>
      </c>
      <c r="C1302" s="195">
        <v>401</v>
      </c>
      <c r="D1302" s="113">
        <v>59</v>
      </c>
      <c r="E1302" s="114">
        <v>8567</v>
      </c>
      <c r="F1302" s="115">
        <v>21645</v>
      </c>
      <c r="G1302" s="116">
        <v>229</v>
      </c>
      <c r="H1302" s="1731" t="s">
        <v>41</v>
      </c>
      <c r="I1302" s="118"/>
      <c r="J1302" s="192"/>
      <c r="K1302" s="104" t="s">
        <v>25</v>
      </c>
      <c r="L1302" s="192"/>
      <c r="M1302" s="192"/>
      <c r="N1302" s="192"/>
      <c r="O1302" s="2621" t="s">
        <v>6395</v>
      </c>
      <c r="Q1302" s="118"/>
    </row>
    <row r="1303" spans="1:17" ht="18.75" customHeight="1" x14ac:dyDescent="0.3">
      <c r="A1303" s="189">
        <v>448</v>
      </c>
      <c r="B1303" s="105" t="s">
        <v>194</v>
      </c>
      <c r="C1303" s="195">
        <v>401</v>
      </c>
      <c r="D1303" s="113">
        <v>59</v>
      </c>
      <c r="E1303" s="114">
        <v>8568</v>
      </c>
      <c r="F1303" s="115">
        <v>21645</v>
      </c>
      <c r="G1303" s="116">
        <v>229</v>
      </c>
      <c r="H1303" s="1731" t="s">
        <v>41</v>
      </c>
      <c r="I1303" s="118"/>
      <c r="J1303" s="192"/>
      <c r="K1303" s="104" t="s">
        <v>25</v>
      </c>
      <c r="L1303" s="192"/>
      <c r="M1303" s="192"/>
      <c r="N1303" s="192"/>
      <c r="O1303" s="2621" t="s">
        <v>6395</v>
      </c>
      <c r="Q1303" s="118"/>
    </row>
    <row r="1304" spans="1:17" ht="18.75" customHeight="1" x14ac:dyDescent="0.3">
      <c r="A1304" s="104">
        <v>449</v>
      </c>
      <c r="B1304" s="105" t="s">
        <v>194</v>
      </c>
      <c r="C1304" s="195">
        <v>401</v>
      </c>
      <c r="D1304" s="113">
        <v>59</v>
      </c>
      <c r="E1304" s="114">
        <v>8569</v>
      </c>
      <c r="F1304" s="115">
        <v>21645</v>
      </c>
      <c r="G1304" s="116">
        <v>229</v>
      </c>
      <c r="H1304" s="1731" t="s">
        <v>41</v>
      </c>
      <c r="I1304" s="118"/>
      <c r="J1304" s="192"/>
      <c r="K1304" s="104" t="s">
        <v>25</v>
      </c>
      <c r="L1304" s="192"/>
      <c r="M1304" s="192"/>
      <c r="N1304" s="192"/>
      <c r="O1304" s="2621" t="s">
        <v>6395</v>
      </c>
      <c r="Q1304" s="118"/>
    </row>
    <row r="1305" spans="1:17" ht="18.75" customHeight="1" x14ac:dyDescent="0.3">
      <c r="A1305" s="189">
        <v>450</v>
      </c>
      <c r="B1305" s="105" t="s">
        <v>194</v>
      </c>
      <c r="C1305" s="195">
        <v>401</v>
      </c>
      <c r="D1305" s="113">
        <v>59</v>
      </c>
      <c r="E1305" s="114">
        <v>8570</v>
      </c>
      <c r="F1305" s="115">
        <v>21645</v>
      </c>
      <c r="G1305" s="116">
        <v>229</v>
      </c>
      <c r="H1305" s="1731" t="s">
        <v>41</v>
      </c>
      <c r="I1305" s="118"/>
      <c r="J1305" s="192"/>
      <c r="K1305" s="104" t="s">
        <v>25</v>
      </c>
      <c r="L1305" s="192"/>
      <c r="M1305" s="192"/>
      <c r="N1305" s="192"/>
      <c r="O1305" s="2621" t="s">
        <v>6395</v>
      </c>
      <c r="Q1305" s="118"/>
    </row>
    <row r="1306" spans="1:17" ht="18.75" customHeight="1" x14ac:dyDescent="0.3">
      <c r="A1306" s="104">
        <v>451</v>
      </c>
      <c r="B1306" s="105" t="s">
        <v>194</v>
      </c>
      <c r="C1306" s="195">
        <v>401</v>
      </c>
      <c r="D1306" s="113">
        <v>59</v>
      </c>
      <c r="E1306" s="114">
        <v>8571</v>
      </c>
      <c r="F1306" s="115">
        <v>21645</v>
      </c>
      <c r="G1306" s="116">
        <v>229</v>
      </c>
      <c r="H1306" s="1731" t="s">
        <v>41</v>
      </c>
      <c r="I1306" s="118"/>
      <c r="J1306" s="192"/>
      <c r="K1306" s="104" t="s">
        <v>25</v>
      </c>
      <c r="L1306" s="192"/>
      <c r="M1306" s="192"/>
      <c r="N1306" s="192"/>
      <c r="O1306" s="2621" t="s">
        <v>6395</v>
      </c>
      <c r="Q1306" s="118"/>
    </row>
    <row r="1307" spans="1:17" ht="18.75" customHeight="1" x14ac:dyDescent="0.3">
      <c r="A1307" s="189">
        <v>452</v>
      </c>
      <c r="B1307" s="105" t="s">
        <v>194</v>
      </c>
      <c r="C1307" s="195">
        <v>401</v>
      </c>
      <c r="D1307" s="113">
        <v>59</v>
      </c>
      <c r="E1307" s="114">
        <v>8572</v>
      </c>
      <c r="F1307" s="115">
        <v>21645</v>
      </c>
      <c r="G1307" s="116">
        <v>229</v>
      </c>
      <c r="H1307" s="1731" t="s">
        <v>41</v>
      </c>
      <c r="I1307" s="118"/>
      <c r="J1307" s="192"/>
      <c r="K1307" s="104" t="s">
        <v>25</v>
      </c>
      <c r="L1307" s="192"/>
      <c r="M1307" s="192"/>
      <c r="N1307" s="192"/>
      <c r="O1307" s="2621" t="s">
        <v>6395</v>
      </c>
      <c r="Q1307" s="118"/>
    </row>
    <row r="1308" spans="1:17" ht="18.75" customHeight="1" x14ac:dyDescent="0.3">
      <c r="A1308" s="104">
        <v>453</v>
      </c>
      <c r="B1308" s="105" t="s">
        <v>194</v>
      </c>
      <c r="C1308" s="195">
        <v>401</v>
      </c>
      <c r="D1308" s="113">
        <v>59</v>
      </c>
      <c r="E1308" s="114">
        <v>8573</v>
      </c>
      <c r="F1308" s="115">
        <v>21645</v>
      </c>
      <c r="G1308" s="116">
        <v>229</v>
      </c>
      <c r="H1308" s="1731" t="s">
        <v>41</v>
      </c>
      <c r="I1308" s="118"/>
      <c r="J1308" s="192"/>
      <c r="K1308" s="104" t="s">
        <v>25</v>
      </c>
      <c r="L1308" s="192"/>
      <c r="M1308" s="192"/>
      <c r="N1308" s="192"/>
      <c r="O1308" s="2621" t="s">
        <v>6395</v>
      </c>
      <c r="Q1308" s="118"/>
    </row>
    <row r="1309" spans="1:17" ht="18.75" customHeight="1" x14ac:dyDescent="0.3">
      <c r="A1309" s="189">
        <v>454</v>
      </c>
      <c r="B1309" s="105" t="s">
        <v>194</v>
      </c>
      <c r="C1309" s="195">
        <v>401</v>
      </c>
      <c r="D1309" s="113">
        <v>59</v>
      </c>
      <c r="E1309" s="114">
        <v>8574</v>
      </c>
      <c r="F1309" s="115">
        <v>21645</v>
      </c>
      <c r="G1309" s="116">
        <v>229</v>
      </c>
      <c r="H1309" s="1731" t="s">
        <v>41</v>
      </c>
      <c r="I1309" s="118"/>
      <c r="J1309" s="192"/>
      <c r="K1309" s="104" t="s">
        <v>25</v>
      </c>
      <c r="L1309" s="192"/>
      <c r="M1309" s="192"/>
      <c r="N1309" s="192"/>
      <c r="O1309" s="2621" t="s">
        <v>6395</v>
      </c>
      <c r="Q1309" s="118"/>
    </row>
    <row r="1310" spans="1:17" ht="18.75" customHeight="1" x14ac:dyDescent="0.3">
      <c r="A1310" s="104">
        <v>455</v>
      </c>
      <c r="B1310" s="105" t="s">
        <v>194</v>
      </c>
      <c r="C1310" s="195">
        <v>401</v>
      </c>
      <c r="D1310" s="113">
        <v>59</v>
      </c>
      <c r="E1310" s="114">
        <v>8575</v>
      </c>
      <c r="F1310" s="115">
        <v>21645</v>
      </c>
      <c r="G1310" s="116">
        <v>229</v>
      </c>
      <c r="H1310" s="1731" t="s">
        <v>41</v>
      </c>
      <c r="I1310" s="118"/>
      <c r="J1310" s="192"/>
      <c r="K1310" s="104" t="s">
        <v>25</v>
      </c>
      <c r="L1310" s="192"/>
      <c r="M1310" s="192"/>
      <c r="N1310" s="192"/>
      <c r="O1310" s="2621" t="s">
        <v>6395</v>
      </c>
      <c r="Q1310" s="118"/>
    </row>
    <row r="1311" spans="1:17" ht="18.75" customHeight="1" x14ac:dyDescent="0.3">
      <c r="A1311" s="189">
        <v>456</v>
      </c>
      <c r="B1311" s="105" t="s">
        <v>194</v>
      </c>
      <c r="C1311" s="195">
        <v>401</v>
      </c>
      <c r="D1311" s="113">
        <v>59</v>
      </c>
      <c r="E1311" s="114">
        <v>8576</v>
      </c>
      <c r="F1311" s="115">
        <v>21645</v>
      </c>
      <c r="G1311" s="116">
        <v>229</v>
      </c>
      <c r="H1311" s="1731" t="s">
        <v>41</v>
      </c>
      <c r="I1311" s="118"/>
      <c r="J1311" s="192"/>
      <c r="K1311" s="104" t="s">
        <v>25</v>
      </c>
      <c r="L1311" s="192"/>
      <c r="M1311" s="192"/>
      <c r="N1311" s="192"/>
      <c r="O1311" s="2621" t="s">
        <v>6395</v>
      </c>
      <c r="Q1311" s="118"/>
    </row>
    <row r="1312" spans="1:17" ht="18.75" customHeight="1" x14ac:dyDescent="0.3">
      <c r="A1312" s="104">
        <v>457</v>
      </c>
      <c r="B1312" s="105" t="s">
        <v>194</v>
      </c>
      <c r="C1312" s="195">
        <v>401</v>
      </c>
      <c r="D1312" s="125">
        <v>59</v>
      </c>
      <c r="E1312" s="114">
        <v>8577</v>
      </c>
      <c r="F1312" s="115">
        <v>21645</v>
      </c>
      <c r="G1312" s="116">
        <v>229</v>
      </c>
      <c r="H1312" s="1731" t="s">
        <v>41</v>
      </c>
      <c r="I1312" s="118"/>
      <c r="J1312" s="192"/>
      <c r="K1312" s="104" t="s">
        <v>25</v>
      </c>
      <c r="L1312" s="192"/>
      <c r="M1312" s="192"/>
      <c r="N1312" s="192"/>
      <c r="O1312" s="2621" t="s">
        <v>6395</v>
      </c>
      <c r="Q1312" s="118"/>
    </row>
    <row r="1313" spans="1:17" ht="18.75" customHeight="1" x14ac:dyDescent="0.3">
      <c r="A1313" s="189">
        <v>458</v>
      </c>
      <c r="B1313" s="105" t="s">
        <v>194</v>
      </c>
      <c r="C1313" s="195">
        <v>401</v>
      </c>
      <c r="D1313" s="128">
        <v>59</v>
      </c>
      <c r="E1313" s="114">
        <v>8578</v>
      </c>
      <c r="F1313" s="115">
        <v>21645</v>
      </c>
      <c r="G1313" s="116">
        <v>229</v>
      </c>
      <c r="H1313" s="1731" t="s">
        <v>41</v>
      </c>
      <c r="I1313" s="118"/>
      <c r="J1313" s="192"/>
      <c r="K1313" s="104" t="s">
        <v>25</v>
      </c>
      <c r="L1313" s="192"/>
      <c r="M1313" s="192"/>
      <c r="N1313" s="192"/>
      <c r="O1313" s="2621" t="s">
        <v>6395</v>
      </c>
      <c r="Q1313" s="118"/>
    </row>
    <row r="1314" spans="1:17" ht="18.75" customHeight="1" x14ac:dyDescent="0.3">
      <c r="A1314" s="104">
        <v>459</v>
      </c>
      <c r="B1314" s="105" t="s">
        <v>194</v>
      </c>
      <c r="C1314" s="195">
        <v>401</v>
      </c>
      <c r="D1314" s="113">
        <v>59</v>
      </c>
      <c r="E1314" s="114">
        <v>8579</v>
      </c>
      <c r="F1314" s="115">
        <v>21645</v>
      </c>
      <c r="G1314" s="116">
        <v>229</v>
      </c>
      <c r="H1314" s="1731" t="s">
        <v>41</v>
      </c>
      <c r="I1314" s="118"/>
      <c r="J1314" s="192"/>
      <c r="K1314" s="104" t="s">
        <v>25</v>
      </c>
      <c r="L1314" s="192"/>
      <c r="M1314" s="192"/>
      <c r="N1314" s="192"/>
      <c r="O1314" s="2621" t="s">
        <v>6395</v>
      </c>
      <c r="Q1314" s="118"/>
    </row>
    <row r="1315" spans="1:17" ht="18.75" customHeight="1" x14ac:dyDescent="0.3">
      <c r="A1315" s="189">
        <v>460</v>
      </c>
      <c r="B1315" s="105" t="s">
        <v>194</v>
      </c>
      <c r="C1315" s="195">
        <v>401</v>
      </c>
      <c r="D1315" s="113">
        <v>59</v>
      </c>
      <c r="E1315" s="114">
        <v>8580</v>
      </c>
      <c r="F1315" s="115">
        <v>21645</v>
      </c>
      <c r="G1315" s="116">
        <v>229</v>
      </c>
      <c r="H1315" s="1731" t="s">
        <v>41</v>
      </c>
      <c r="I1315" s="118"/>
      <c r="J1315" s="192"/>
      <c r="K1315" s="104" t="s">
        <v>25</v>
      </c>
      <c r="L1315" s="192"/>
      <c r="M1315" s="192"/>
      <c r="N1315" s="192"/>
      <c r="O1315" s="2621" t="s">
        <v>6395</v>
      </c>
      <c r="Q1315" s="118"/>
    </row>
    <row r="1316" spans="1:17" ht="18.75" customHeight="1" x14ac:dyDescent="0.3">
      <c r="A1316" s="104">
        <v>461</v>
      </c>
      <c r="B1316" s="105" t="s">
        <v>194</v>
      </c>
      <c r="C1316" s="195">
        <v>401</v>
      </c>
      <c r="D1316" s="113">
        <v>59</v>
      </c>
      <c r="E1316" s="114">
        <v>8581</v>
      </c>
      <c r="F1316" s="115">
        <v>21645</v>
      </c>
      <c r="G1316" s="116">
        <v>229</v>
      </c>
      <c r="H1316" s="1731" t="s">
        <v>41</v>
      </c>
      <c r="I1316" s="118"/>
      <c r="J1316" s="192"/>
      <c r="K1316" s="104" t="s">
        <v>25</v>
      </c>
      <c r="L1316" s="192"/>
      <c r="M1316" s="192"/>
      <c r="N1316" s="192"/>
      <c r="O1316" s="2621" t="s">
        <v>6395</v>
      </c>
      <c r="Q1316" s="118"/>
    </row>
    <row r="1317" spans="1:17" ht="18.75" customHeight="1" x14ac:dyDescent="0.3">
      <c r="A1317" s="189">
        <v>462</v>
      </c>
      <c r="B1317" s="105" t="s">
        <v>194</v>
      </c>
      <c r="C1317" s="195">
        <v>401</v>
      </c>
      <c r="D1317" s="125">
        <v>59</v>
      </c>
      <c r="E1317" s="114">
        <v>8582</v>
      </c>
      <c r="F1317" s="115">
        <v>21645</v>
      </c>
      <c r="G1317" s="116">
        <v>229</v>
      </c>
      <c r="H1317" s="1731" t="s">
        <v>41</v>
      </c>
      <c r="I1317" s="118"/>
      <c r="J1317" s="192"/>
      <c r="K1317" s="104" t="s">
        <v>25</v>
      </c>
      <c r="L1317" s="192"/>
      <c r="M1317" s="192"/>
      <c r="N1317" s="192"/>
      <c r="O1317" s="2621" t="s">
        <v>6395</v>
      </c>
      <c r="Q1317" s="118"/>
    </row>
    <row r="1318" spans="1:17" ht="18.75" customHeight="1" x14ac:dyDescent="0.3">
      <c r="A1318" s="104">
        <v>463</v>
      </c>
      <c r="B1318" s="105" t="s">
        <v>194</v>
      </c>
      <c r="C1318" s="195">
        <v>401</v>
      </c>
      <c r="D1318" s="128">
        <v>59</v>
      </c>
      <c r="E1318" s="114">
        <v>8583</v>
      </c>
      <c r="F1318" s="115">
        <v>21645</v>
      </c>
      <c r="G1318" s="116">
        <v>229</v>
      </c>
      <c r="H1318" s="1731" t="s">
        <v>41</v>
      </c>
      <c r="I1318" s="118"/>
      <c r="J1318" s="192"/>
      <c r="K1318" s="104" t="s">
        <v>25</v>
      </c>
      <c r="L1318" s="192"/>
      <c r="M1318" s="192"/>
      <c r="N1318" s="192"/>
      <c r="O1318" s="2621" t="s">
        <v>6395</v>
      </c>
      <c r="Q1318" s="118"/>
    </row>
    <row r="1319" spans="1:17" ht="18.75" customHeight="1" x14ac:dyDescent="0.3">
      <c r="A1319" s="189">
        <v>464</v>
      </c>
      <c r="B1319" s="105" t="s">
        <v>194</v>
      </c>
      <c r="C1319" s="195">
        <v>401</v>
      </c>
      <c r="D1319" s="113">
        <v>59</v>
      </c>
      <c r="E1319" s="114">
        <v>8584</v>
      </c>
      <c r="F1319" s="115">
        <v>21645</v>
      </c>
      <c r="G1319" s="116">
        <v>229</v>
      </c>
      <c r="H1319" s="1731" t="s">
        <v>41</v>
      </c>
      <c r="I1319" s="118"/>
      <c r="J1319" s="192"/>
      <c r="K1319" s="104" t="s">
        <v>25</v>
      </c>
      <c r="L1319" s="192"/>
      <c r="M1319" s="192"/>
      <c r="N1319" s="192"/>
      <c r="O1319" s="2621" t="s">
        <v>6395</v>
      </c>
      <c r="Q1319" s="118"/>
    </row>
    <row r="1320" spans="1:17" ht="18.75" customHeight="1" x14ac:dyDescent="0.3">
      <c r="A1320" s="104">
        <v>465</v>
      </c>
      <c r="B1320" s="105" t="s">
        <v>194</v>
      </c>
      <c r="C1320" s="195">
        <v>401</v>
      </c>
      <c r="D1320" s="113">
        <v>59</v>
      </c>
      <c r="E1320" s="114">
        <v>8585</v>
      </c>
      <c r="F1320" s="115">
        <v>21645</v>
      </c>
      <c r="G1320" s="116">
        <v>229</v>
      </c>
      <c r="H1320" s="1731" t="s">
        <v>41</v>
      </c>
      <c r="I1320" s="118"/>
      <c r="J1320" s="192"/>
      <c r="K1320" s="104" t="s">
        <v>25</v>
      </c>
      <c r="L1320" s="192"/>
      <c r="M1320" s="192"/>
      <c r="N1320" s="192"/>
      <c r="O1320" s="2621" t="s">
        <v>6395</v>
      </c>
      <c r="Q1320" s="118"/>
    </row>
    <row r="1321" spans="1:17" ht="18.75" customHeight="1" x14ac:dyDescent="0.3">
      <c r="A1321" s="189">
        <v>466</v>
      </c>
      <c r="B1321" s="105" t="s">
        <v>194</v>
      </c>
      <c r="C1321" s="195">
        <v>401</v>
      </c>
      <c r="D1321" s="113">
        <v>59</v>
      </c>
      <c r="E1321" s="114">
        <v>8586</v>
      </c>
      <c r="F1321" s="115">
        <v>21645</v>
      </c>
      <c r="G1321" s="116">
        <v>229</v>
      </c>
      <c r="H1321" s="1731" t="s">
        <v>41</v>
      </c>
      <c r="I1321" s="118"/>
      <c r="J1321" s="192"/>
      <c r="K1321" s="104" t="s">
        <v>25</v>
      </c>
      <c r="L1321" s="192"/>
      <c r="M1321" s="192"/>
      <c r="N1321" s="192"/>
      <c r="O1321" s="2621" t="s">
        <v>6395</v>
      </c>
      <c r="Q1321" s="118"/>
    </row>
    <row r="1322" spans="1:17" ht="18.75" customHeight="1" x14ac:dyDescent="0.3">
      <c r="A1322" s="104">
        <v>467</v>
      </c>
      <c r="B1322" s="105" t="s">
        <v>194</v>
      </c>
      <c r="C1322" s="195">
        <v>401</v>
      </c>
      <c r="D1322" s="113">
        <v>59</v>
      </c>
      <c r="E1322" s="114">
        <v>8587</v>
      </c>
      <c r="F1322" s="115">
        <v>21645</v>
      </c>
      <c r="G1322" s="116">
        <v>229</v>
      </c>
      <c r="H1322" s="1731" t="s">
        <v>41</v>
      </c>
      <c r="I1322" s="118"/>
      <c r="J1322" s="192"/>
      <c r="K1322" s="104" t="s">
        <v>25</v>
      </c>
      <c r="L1322" s="192"/>
      <c r="M1322" s="192"/>
      <c r="N1322" s="192"/>
      <c r="O1322" s="2621" t="s">
        <v>6395</v>
      </c>
      <c r="Q1322" s="118"/>
    </row>
    <row r="1323" spans="1:17" ht="18.75" customHeight="1" x14ac:dyDescent="0.3">
      <c r="A1323" s="189">
        <v>468</v>
      </c>
      <c r="B1323" s="105" t="s">
        <v>194</v>
      </c>
      <c r="C1323" s="195">
        <v>401</v>
      </c>
      <c r="D1323" s="113">
        <v>59</v>
      </c>
      <c r="E1323" s="114">
        <v>8588</v>
      </c>
      <c r="F1323" s="115">
        <v>21645</v>
      </c>
      <c r="G1323" s="116">
        <v>229</v>
      </c>
      <c r="H1323" s="1731" t="s">
        <v>41</v>
      </c>
      <c r="I1323" s="118"/>
      <c r="J1323" s="192"/>
      <c r="K1323" s="104" t="s">
        <v>25</v>
      </c>
      <c r="L1323" s="192"/>
      <c r="M1323" s="192"/>
      <c r="N1323" s="192"/>
      <c r="O1323" s="2621" t="s">
        <v>6395</v>
      </c>
      <c r="Q1323" s="118"/>
    </row>
    <row r="1324" spans="1:17" ht="18.75" customHeight="1" x14ac:dyDescent="0.3">
      <c r="A1324" s="104">
        <v>469</v>
      </c>
      <c r="B1324" s="105" t="s">
        <v>194</v>
      </c>
      <c r="C1324" s="195">
        <v>401</v>
      </c>
      <c r="D1324" s="113">
        <v>59</v>
      </c>
      <c r="E1324" s="114">
        <v>8589</v>
      </c>
      <c r="F1324" s="115">
        <v>21645</v>
      </c>
      <c r="G1324" s="116">
        <v>229</v>
      </c>
      <c r="H1324" s="1731" t="s">
        <v>41</v>
      </c>
      <c r="I1324" s="118"/>
      <c r="J1324" s="192"/>
      <c r="K1324" s="104" t="s">
        <v>25</v>
      </c>
      <c r="L1324" s="192"/>
      <c r="M1324" s="192"/>
      <c r="N1324" s="192"/>
      <c r="O1324" s="2621" t="s">
        <v>6395</v>
      </c>
      <c r="Q1324" s="118"/>
    </row>
    <row r="1325" spans="1:17" ht="18.75" customHeight="1" x14ac:dyDescent="0.3">
      <c r="A1325" s="189">
        <v>470</v>
      </c>
      <c r="B1325" s="105" t="s">
        <v>194</v>
      </c>
      <c r="C1325" s="195">
        <v>401</v>
      </c>
      <c r="D1325" s="113">
        <v>59</v>
      </c>
      <c r="E1325" s="114">
        <v>8590</v>
      </c>
      <c r="F1325" s="115">
        <v>21645</v>
      </c>
      <c r="G1325" s="116">
        <v>229</v>
      </c>
      <c r="H1325" s="1731" t="s">
        <v>41</v>
      </c>
      <c r="I1325" s="118"/>
      <c r="J1325" s="192"/>
      <c r="K1325" s="104" t="s">
        <v>25</v>
      </c>
      <c r="L1325" s="192"/>
      <c r="M1325" s="192"/>
      <c r="N1325" s="192"/>
      <c r="O1325" s="2621" t="s">
        <v>6395</v>
      </c>
      <c r="Q1325" s="118"/>
    </row>
    <row r="1326" spans="1:17" ht="18.75" customHeight="1" x14ac:dyDescent="0.3">
      <c r="A1326" s="104">
        <v>471</v>
      </c>
      <c r="B1326" s="105" t="s">
        <v>194</v>
      </c>
      <c r="C1326" s="195">
        <v>401</v>
      </c>
      <c r="D1326" s="125">
        <v>59</v>
      </c>
      <c r="E1326" s="114">
        <v>8591</v>
      </c>
      <c r="F1326" s="115">
        <v>21645</v>
      </c>
      <c r="G1326" s="116">
        <v>229</v>
      </c>
      <c r="H1326" s="1731" t="s">
        <v>41</v>
      </c>
      <c r="I1326" s="118"/>
      <c r="J1326" s="192"/>
      <c r="K1326" s="104" t="s">
        <v>25</v>
      </c>
      <c r="L1326" s="192"/>
      <c r="M1326" s="192"/>
      <c r="N1326" s="192"/>
      <c r="O1326" s="2621" t="s">
        <v>6395</v>
      </c>
      <c r="Q1326" s="118"/>
    </row>
    <row r="1327" spans="1:17" ht="18.75" customHeight="1" x14ac:dyDescent="0.3">
      <c r="A1327" s="189">
        <v>472</v>
      </c>
      <c r="B1327" s="105" t="s">
        <v>194</v>
      </c>
      <c r="C1327" s="195">
        <v>401</v>
      </c>
      <c r="D1327" s="127">
        <v>59</v>
      </c>
      <c r="E1327" s="114">
        <v>8592</v>
      </c>
      <c r="F1327" s="115">
        <v>21645</v>
      </c>
      <c r="G1327" s="116">
        <v>229</v>
      </c>
      <c r="H1327" s="1731" t="s">
        <v>41</v>
      </c>
      <c r="I1327" s="118"/>
      <c r="J1327" s="192"/>
      <c r="K1327" s="104" t="s">
        <v>25</v>
      </c>
      <c r="L1327" s="192"/>
      <c r="M1327" s="192"/>
      <c r="N1327" s="192"/>
      <c r="O1327" s="2621" t="s">
        <v>6395</v>
      </c>
      <c r="Q1327" s="118"/>
    </row>
    <row r="1328" spans="1:17" ht="18.75" customHeight="1" x14ac:dyDescent="0.3">
      <c r="A1328" s="104">
        <v>473</v>
      </c>
      <c r="B1328" s="105" t="s">
        <v>194</v>
      </c>
      <c r="C1328" s="195">
        <v>401</v>
      </c>
      <c r="D1328" s="128">
        <v>59</v>
      </c>
      <c r="E1328" s="114">
        <v>8593</v>
      </c>
      <c r="F1328" s="115">
        <v>21645</v>
      </c>
      <c r="G1328" s="116">
        <v>229</v>
      </c>
      <c r="H1328" s="1731" t="s">
        <v>41</v>
      </c>
      <c r="I1328" s="118"/>
      <c r="J1328" s="192"/>
      <c r="K1328" s="104" t="s">
        <v>25</v>
      </c>
      <c r="L1328" s="192"/>
      <c r="M1328" s="192"/>
      <c r="N1328" s="192"/>
      <c r="O1328" s="2621" t="s">
        <v>6395</v>
      </c>
      <c r="Q1328" s="118"/>
    </row>
    <row r="1329" spans="1:17" ht="18.75" customHeight="1" x14ac:dyDescent="0.3">
      <c r="A1329" s="189">
        <v>474</v>
      </c>
      <c r="B1329" s="105" t="s">
        <v>194</v>
      </c>
      <c r="C1329" s="195">
        <v>401</v>
      </c>
      <c r="D1329" s="113">
        <v>59</v>
      </c>
      <c r="E1329" s="114">
        <v>8594</v>
      </c>
      <c r="F1329" s="115">
        <v>21645</v>
      </c>
      <c r="G1329" s="116">
        <v>229</v>
      </c>
      <c r="H1329" s="1731" t="s">
        <v>41</v>
      </c>
      <c r="I1329" s="118"/>
      <c r="J1329" s="192"/>
      <c r="K1329" s="104" t="s">
        <v>25</v>
      </c>
      <c r="L1329" s="192"/>
      <c r="M1329" s="192"/>
      <c r="N1329" s="192"/>
      <c r="O1329" s="2621" t="s">
        <v>6395</v>
      </c>
      <c r="Q1329" s="118"/>
    </row>
    <row r="1330" spans="1:17" ht="18.75" customHeight="1" x14ac:dyDescent="0.3">
      <c r="A1330" s="104">
        <v>475</v>
      </c>
      <c r="B1330" s="105" t="s">
        <v>194</v>
      </c>
      <c r="C1330" s="195">
        <v>401</v>
      </c>
      <c r="D1330" s="113">
        <v>59</v>
      </c>
      <c r="E1330" s="114">
        <v>8595</v>
      </c>
      <c r="F1330" s="115">
        <v>21645</v>
      </c>
      <c r="G1330" s="116">
        <v>229</v>
      </c>
      <c r="H1330" s="1731" t="s">
        <v>41</v>
      </c>
      <c r="I1330" s="118"/>
      <c r="J1330" s="192"/>
      <c r="K1330" s="104" t="s">
        <v>25</v>
      </c>
      <c r="L1330" s="192"/>
      <c r="M1330" s="192"/>
      <c r="N1330" s="192"/>
      <c r="O1330" s="2621" t="s">
        <v>6395</v>
      </c>
      <c r="Q1330" s="118"/>
    </row>
    <row r="1331" spans="1:17" ht="18.75" customHeight="1" x14ac:dyDescent="0.3">
      <c r="A1331" s="189">
        <v>476</v>
      </c>
      <c r="B1331" s="105" t="s">
        <v>194</v>
      </c>
      <c r="C1331" s="195">
        <v>401</v>
      </c>
      <c r="D1331" s="125">
        <v>59</v>
      </c>
      <c r="E1331" s="114">
        <v>8596</v>
      </c>
      <c r="F1331" s="115">
        <v>21645</v>
      </c>
      <c r="G1331" s="116">
        <v>229</v>
      </c>
      <c r="H1331" s="1731" t="s">
        <v>41</v>
      </c>
      <c r="I1331" s="118"/>
      <c r="J1331" s="192"/>
      <c r="K1331" s="104" t="s">
        <v>25</v>
      </c>
      <c r="L1331" s="192"/>
      <c r="M1331" s="192"/>
      <c r="N1331" s="192"/>
      <c r="O1331" s="2621" t="s">
        <v>6395</v>
      </c>
      <c r="Q1331" s="118"/>
    </row>
    <row r="1332" spans="1:17" ht="18.75" customHeight="1" x14ac:dyDescent="0.3">
      <c r="A1332" s="104">
        <v>477</v>
      </c>
      <c r="B1332" s="105" t="s">
        <v>194</v>
      </c>
      <c r="C1332" s="195">
        <v>401</v>
      </c>
      <c r="D1332" s="127">
        <v>59</v>
      </c>
      <c r="E1332" s="114">
        <v>8597</v>
      </c>
      <c r="F1332" s="115">
        <v>21645</v>
      </c>
      <c r="G1332" s="116">
        <v>229</v>
      </c>
      <c r="H1332" s="1731" t="s">
        <v>41</v>
      </c>
      <c r="I1332" s="118"/>
      <c r="J1332" s="192"/>
      <c r="K1332" s="104" t="s">
        <v>25</v>
      </c>
      <c r="L1332" s="192"/>
      <c r="M1332" s="192"/>
      <c r="N1332" s="192"/>
      <c r="O1332" s="2621" t="s">
        <v>6395</v>
      </c>
      <c r="Q1332" s="118"/>
    </row>
    <row r="1333" spans="1:17" ht="18.75" customHeight="1" x14ac:dyDescent="0.3">
      <c r="A1333" s="189">
        <v>478</v>
      </c>
      <c r="B1333" s="105" t="s">
        <v>194</v>
      </c>
      <c r="C1333" s="195">
        <v>401</v>
      </c>
      <c r="D1333" s="128">
        <v>59</v>
      </c>
      <c r="E1333" s="114">
        <v>8598</v>
      </c>
      <c r="F1333" s="115">
        <v>21645</v>
      </c>
      <c r="G1333" s="116">
        <v>229</v>
      </c>
      <c r="H1333" s="1731" t="s">
        <v>41</v>
      </c>
      <c r="I1333" s="118"/>
      <c r="J1333" s="192"/>
      <c r="K1333" s="104" t="s">
        <v>25</v>
      </c>
      <c r="L1333" s="192"/>
      <c r="M1333" s="192"/>
      <c r="N1333" s="192"/>
      <c r="O1333" s="2621" t="s">
        <v>6395</v>
      </c>
      <c r="Q1333" s="118"/>
    </row>
    <row r="1334" spans="1:17" ht="18.75" customHeight="1" x14ac:dyDescent="0.3">
      <c r="A1334" s="104">
        <v>479</v>
      </c>
      <c r="B1334" s="105" t="s">
        <v>194</v>
      </c>
      <c r="C1334" s="195">
        <v>401</v>
      </c>
      <c r="D1334" s="113">
        <v>59</v>
      </c>
      <c r="E1334" s="114">
        <v>8599</v>
      </c>
      <c r="F1334" s="115">
        <v>21645</v>
      </c>
      <c r="G1334" s="116">
        <v>229</v>
      </c>
      <c r="H1334" s="1731" t="s">
        <v>41</v>
      </c>
      <c r="I1334" s="118"/>
      <c r="J1334" s="192"/>
      <c r="K1334" s="104" t="s">
        <v>25</v>
      </c>
      <c r="L1334" s="192"/>
      <c r="M1334" s="192"/>
      <c r="N1334" s="192"/>
      <c r="O1334" s="2621" t="s">
        <v>6395</v>
      </c>
      <c r="Q1334" s="118"/>
    </row>
    <row r="1335" spans="1:17" ht="18.75" customHeight="1" x14ac:dyDescent="0.3">
      <c r="A1335" s="189">
        <v>480</v>
      </c>
      <c r="B1335" s="105" t="s">
        <v>194</v>
      </c>
      <c r="C1335" s="195">
        <v>401</v>
      </c>
      <c r="D1335" s="113">
        <v>59</v>
      </c>
      <c r="E1335" s="114">
        <v>8600</v>
      </c>
      <c r="F1335" s="115">
        <v>21645</v>
      </c>
      <c r="G1335" s="116">
        <v>229</v>
      </c>
      <c r="H1335" s="1731" t="s">
        <v>41</v>
      </c>
      <c r="I1335" s="118"/>
      <c r="J1335" s="192"/>
      <c r="K1335" s="104" t="s">
        <v>25</v>
      </c>
      <c r="L1335" s="192"/>
      <c r="M1335" s="192"/>
      <c r="N1335" s="192"/>
      <c r="O1335" s="2621" t="s">
        <v>6395</v>
      </c>
      <c r="Q1335" s="118"/>
    </row>
    <row r="1336" spans="1:17" ht="18.75" customHeight="1" x14ac:dyDescent="0.3">
      <c r="A1336" s="104">
        <v>481</v>
      </c>
      <c r="B1336" s="105" t="s">
        <v>194</v>
      </c>
      <c r="C1336" s="195">
        <v>401</v>
      </c>
      <c r="D1336" s="113">
        <v>59</v>
      </c>
      <c r="E1336" s="114">
        <v>8601</v>
      </c>
      <c r="F1336" s="115">
        <v>21645</v>
      </c>
      <c r="G1336" s="116">
        <v>229</v>
      </c>
      <c r="H1336" s="1731" t="s">
        <v>41</v>
      </c>
      <c r="I1336" s="118"/>
      <c r="J1336" s="192"/>
      <c r="K1336" s="104" t="s">
        <v>25</v>
      </c>
      <c r="L1336" s="192"/>
      <c r="M1336" s="192"/>
      <c r="N1336" s="192"/>
      <c r="O1336" s="2621" t="s">
        <v>6395</v>
      </c>
      <c r="Q1336" s="118"/>
    </row>
    <row r="1337" spans="1:17" ht="18.75" customHeight="1" x14ac:dyDescent="0.3">
      <c r="A1337" s="189">
        <v>482</v>
      </c>
      <c r="B1337" s="105" t="s">
        <v>194</v>
      </c>
      <c r="C1337" s="195">
        <v>401</v>
      </c>
      <c r="D1337" s="113">
        <v>59</v>
      </c>
      <c r="E1337" s="114">
        <v>8602</v>
      </c>
      <c r="F1337" s="115">
        <v>21645</v>
      </c>
      <c r="G1337" s="116">
        <v>229</v>
      </c>
      <c r="H1337" s="1731" t="s">
        <v>41</v>
      </c>
      <c r="I1337" s="118"/>
      <c r="J1337" s="192"/>
      <c r="K1337" s="104" t="s">
        <v>25</v>
      </c>
      <c r="L1337" s="192"/>
      <c r="M1337" s="192"/>
      <c r="N1337" s="192"/>
      <c r="O1337" s="2621" t="s">
        <v>6395</v>
      </c>
      <c r="Q1337" s="118"/>
    </row>
    <row r="1338" spans="1:17" ht="18.75" customHeight="1" x14ac:dyDescent="0.3">
      <c r="A1338" s="104">
        <v>483</v>
      </c>
      <c r="B1338" s="105" t="s">
        <v>194</v>
      </c>
      <c r="C1338" s="195">
        <v>401</v>
      </c>
      <c r="D1338" s="113">
        <v>59</v>
      </c>
      <c r="E1338" s="114">
        <v>8603</v>
      </c>
      <c r="F1338" s="115">
        <v>21645</v>
      </c>
      <c r="G1338" s="116">
        <v>229</v>
      </c>
      <c r="H1338" s="1731" t="s">
        <v>41</v>
      </c>
      <c r="I1338" s="118"/>
      <c r="J1338" s="192"/>
      <c r="K1338" s="104" t="s">
        <v>25</v>
      </c>
      <c r="L1338" s="192"/>
      <c r="M1338" s="192"/>
      <c r="N1338" s="192"/>
      <c r="O1338" s="2621" t="s">
        <v>6395</v>
      </c>
      <c r="Q1338" s="118"/>
    </row>
    <row r="1339" spans="1:17" ht="18.75" customHeight="1" x14ac:dyDescent="0.3">
      <c r="A1339" s="189">
        <v>484</v>
      </c>
      <c r="B1339" s="105" t="s">
        <v>194</v>
      </c>
      <c r="C1339" s="195">
        <v>401</v>
      </c>
      <c r="D1339" s="113">
        <v>59</v>
      </c>
      <c r="E1339" s="114">
        <v>8604</v>
      </c>
      <c r="F1339" s="115">
        <v>21645</v>
      </c>
      <c r="G1339" s="116">
        <v>229</v>
      </c>
      <c r="H1339" s="1731" t="s">
        <v>41</v>
      </c>
      <c r="I1339" s="118"/>
      <c r="J1339" s="192"/>
      <c r="K1339" s="104" t="s">
        <v>25</v>
      </c>
      <c r="L1339" s="192"/>
      <c r="M1339" s="192"/>
      <c r="N1339" s="192"/>
      <c r="O1339" s="2621" t="s">
        <v>6395</v>
      </c>
      <c r="Q1339" s="118"/>
    </row>
    <row r="1340" spans="1:17" ht="18.75" customHeight="1" x14ac:dyDescent="0.3">
      <c r="A1340" s="104">
        <v>485</v>
      </c>
      <c r="B1340" s="105" t="s">
        <v>194</v>
      </c>
      <c r="C1340" s="195">
        <v>401</v>
      </c>
      <c r="D1340" s="125">
        <v>59</v>
      </c>
      <c r="E1340" s="114">
        <v>8605</v>
      </c>
      <c r="F1340" s="115">
        <v>21645</v>
      </c>
      <c r="G1340" s="116">
        <v>229</v>
      </c>
      <c r="H1340" s="1731" t="s">
        <v>41</v>
      </c>
      <c r="I1340" s="118"/>
      <c r="J1340" s="192"/>
      <c r="K1340" s="104" t="s">
        <v>25</v>
      </c>
      <c r="L1340" s="192"/>
      <c r="M1340" s="192"/>
      <c r="N1340" s="192"/>
      <c r="O1340" s="2621" t="s">
        <v>6395</v>
      </c>
      <c r="Q1340" s="118"/>
    </row>
    <row r="1341" spans="1:17" ht="18.75" customHeight="1" x14ac:dyDescent="0.3">
      <c r="A1341" s="189">
        <v>486</v>
      </c>
      <c r="B1341" s="105" t="s">
        <v>194</v>
      </c>
      <c r="C1341" s="195">
        <v>401</v>
      </c>
      <c r="D1341" s="128">
        <v>59</v>
      </c>
      <c r="E1341" s="114">
        <v>8606</v>
      </c>
      <c r="F1341" s="115">
        <v>21645</v>
      </c>
      <c r="G1341" s="116">
        <v>229</v>
      </c>
      <c r="H1341" s="1731" t="s">
        <v>41</v>
      </c>
      <c r="I1341" s="118"/>
      <c r="J1341" s="192"/>
      <c r="K1341" s="104" t="s">
        <v>25</v>
      </c>
      <c r="L1341" s="192"/>
      <c r="M1341" s="192"/>
      <c r="N1341" s="192"/>
      <c r="O1341" s="2621" t="s">
        <v>6395</v>
      </c>
      <c r="Q1341" s="118"/>
    </row>
    <row r="1342" spans="1:17" ht="18.75" customHeight="1" x14ac:dyDescent="0.3">
      <c r="A1342" s="104">
        <v>487</v>
      </c>
      <c r="B1342" s="105" t="s">
        <v>194</v>
      </c>
      <c r="C1342" s="195">
        <v>401</v>
      </c>
      <c r="D1342" s="113">
        <v>59</v>
      </c>
      <c r="E1342" s="114">
        <v>8607</v>
      </c>
      <c r="F1342" s="115">
        <v>21645</v>
      </c>
      <c r="G1342" s="116">
        <v>229</v>
      </c>
      <c r="H1342" s="1731" t="s">
        <v>41</v>
      </c>
      <c r="I1342" s="118"/>
      <c r="J1342" s="192"/>
      <c r="K1342" s="104" t="s">
        <v>25</v>
      </c>
      <c r="L1342" s="192"/>
      <c r="M1342" s="192"/>
      <c r="N1342" s="192"/>
      <c r="O1342" s="2621" t="s">
        <v>6395</v>
      </c>
      <c r="Q1342" s="118"/>
    </row>
    <row r="1343" spans="1:17" ht="18.75" customHeight="1" x14ac:dyDescent="0.3">
      <c r="A1343" s="189">
        <v>488</v>
      </c>
      <c r="B1343" s="105" t="s">
        <v>194</v>
      </c>
      <c r="C1343" s="195">
        <v>401</v>
      </c>
      <c r="D1343" s="113">
        <v>59</v>
      </c>
      <c r="E1343" s="114">
        <v>8608</v>
      </c>
      <c r="F1343" s="115">
        <v>21645</v>
      </c>
      <c r="G1343" s="116">
        <v>229</v>
      </c>
      <c r="H1343" s="1731" t="s">
        <v>41</v>
      </c>
      <c r="I1343" s="118"/>
      <c r="J1343" s="192"/>
      <c r="K1343" s="104" t="s">
        <v>25</v>
      </c>
      <c r="L1343" s="192"/>
      <c r="M1343" s="192"/>
      <c r="N1343" s="192"/>
      <c r="O1343" s="2621" t="s">
        <v>6395</v>
      </c>
      <c r="Q1343" s="118"/>
    </row>
    <row r="1344" spans="1:17" ht="18.75" customHeight="1" x14ac:dyDescent="0.3">
      <c r="A1344" s="104">
        <v>489</v>
      </c>
      <c r="B1344" s="105" t="s">
        <v>194</v>
      </c>
      <c r="C1344" s="195">
        <v>401</v>
      </c>
      <c r="D1344" s="113">
        <v>59</v>
      </c>
      <c r="E1344" s="114">
        <v>8609</v>
      </c>
      <c r="F1344" s="115">
        <v>21645</v>
      </c>
      <c r="G1344" s="116">
        <v>229</v>
      </c>
      <c r="H1344" s="1731" t="s">
        <v>41</v>
      </c>
      <c r="I1344" s="118"/>
      <c r="J1344" s="192"/>
      <c r="K1344" s="104" t="s">
        <v>25</v>
      </c>
      <c r="L1344" s="192"/>
      <c r="M1344" s="192"/>
      <c r="N1344" s="192"/>
      <c r="O1344" s="2621" t="s">
        <v>6395</v>
      </c>
      <c r="Q1344" s="118"/>
    </row>
    <row r="1345" spans="1:17" ht="18.75" customHeight="1" x14ac:dyDescent="0.3">
      <c r="A1345" s="189">
        <v>490</v>
      </c>
      <c r="B1345" s="105" t="s">
        <v>194</v>
      </c>
      <c r="C1345" s="195">
        <v>401</v>
      </c>
      <c r="D1345" s="113">
        <v>59</v>
      </c>
      <c r="E1345" s="114">
        <v>8610</v>
      </c>
      <c r="F1345" s="115">
        <v>21645</v>
      </c>
      <c r="G1345" s="116">
        <v>229</v>
      </c>
      <c r="H1345" s="1731" t="s">
        <v>41</v>
      </c>
      <c r="I1345" s="118"/>
      <c r="J1345" s="192"/>
      <c r="K1345" s="104" t="s">
        <v>25</v>
      </c>
      <c r="L1345" s="192"/>
      <c r="M1345" s="192"/>
      <c r="N1345" s="192"/>
      <c r="O1345" s="2621" t="s">
        <v>6395</v>
      </c>
      <c r="Q1345" s="118"/>
    </row>
    <row r="1346" spans="1:17" ht="18.75" customHeight="1" x14ac:dyDescent="0.3">
      <c r="A1346" s="104">
        <v>491</v>
      </c>
      <c r="B1346" s="105" t="s">
        <v>194</v>
      </c>
      <c r="C1346" s="195">
        <v>401</v>
      </c>
      <c r="D1346" s="113">
        <v>59</v>
      </c>
      <c r="E1346" s="114">
        <v>8611</v>
      </c>
      <c r="F1346" s="115">
        <v>21645</v>
      </c>
      <c r="G1346" s="116">
        <v>229</v>
      </c>
      <c r="H1346" s="1731" t="s">
        <v>41</v>
      </c>
      <c r="I1346" s="118"/>
      <c r="J1346" s="192"/>
      <c r="K1346" s="104" t="s">
        <v>25</v>
      </c>
      <c r="L1346" s="192"/>
      <c r="M1346" s="192"/>
      <c r="N1346" s="192"/>
      <c r="O1346" s="2621" t="s">
        <v>6395</v>
      </c>
      <c r="Q1346" s="118"/>
    </row>
    <row r="1347" spans="1:17" ht="18.75" customHeight="1" x14ac:dyDescent="0.3">
      <c r="A1347" s="189">
        <v>492</v>
      </c>
      <c r="B1347" s="105" t="s">
        <v>194</v>
      </c>
      <c r="C1347" s="195">
        <v>401</v>
      </c>
      <c r="D1347" s="113">
        <v>59</v>
      </c>
      <c r="E1347" s="114">
        <v>8612</v>
      </c>
      <c r="F1347" s="115">
        <v>21645</v>
      </c>
      <c r="G1347" s="116">
        <v>229</v>
      </c>
      <c r="H1347" s="1731" t="s">
        <v>41</v>
      </c>
      <c r="I1347" s="118"/>
      <c r="J1347" s="192"/>
      <c r="K1347" s="104" t="s">
        <v>25</v>
      </c>
      <c r="L1347" s="192"/>
      <c r="M1347" s="192"/>
      <c r="N1347" s="192"/>
      <c r="O1347" s="2621" t="s">
        <v>6395</v>
      </c>
      <c r="Q1347" s="118"/>
    </row>
    <row r="1348" spans="1:17" ht="18.75" customHeight="1" x14ac:dyDescent="0.3">
      <c r="A1348" s="104">
        <v>493</v>
      </c>
      <c r="B1348" s="105" t="s">
        <v>194</v>
      </c>
      <c r="C1348" s="195">
        <v>401</v>
      </c>
      <c r="D1348" s="113">
        <v>59</v>
      </c>
      <c r="E1348" s="114">
        <v>8613</v>
      </c>
      <c r="F1348" s="115">
        <v>21645</v>
      </c>
      <c r="G1348" s="116">
        <v>229</v>
      </c>
      <c r="H1348" s="1731" t="s">
        <v>41</v>
      </c>
      <c r="I1348" s="118"/>
      <c r="J1348" s="192"/>
      <c r="K1348" s="104" t="s">
        <v>25</v>
      </c>
      <c r="L1348" s="192"/>
      <c r="M1348" s="192"/>
      <c r="N1348" s="192"/>
      <c r="O1348" s="2621" t="s">
        <v>6395</v>
      </c>
      <c r="Q1348" s="118"/>
    </row>
    <row r="1349" spans="1:17" ht="18.75" customHeight="1" x14ac:dyDescent="0.3">
      <c r="A1349" s="189">
        <v>494</v>
      </c>
      <c r="B1349" s="105" t="s">
        <v>194</v>
      </c>
      <c r="C1349" s="195">
        <v>401</v>
      </c>
      <c r="D1349" s="113">
        <v>59</v>
      </c>
      <c r="E1349" s="114">
        <v>8614</v>
      </c>
      <c r="F1349" s="115">
        <v>21645</v>
      </c>
      <c r="G1349" s="116">
        <v>229</v>
      </c>
      <c r="H1349" s="1731" t="s">
        <v>41</v>
      </c>
      <c r="I1349" s="118"/>
      <c r="J1349" s="192"/>
      <c r="K1349" s="104" t="s">
        <v>25</v>
      </c>
      <c r="L1349" s="192"/>
      <c r="M1349" s="192"/>
      <c r="N1349" s="192"/>
      <c r="O1349" s="2621" t="s">
        <v>6395</v>
      </c>
      <c r="Q1349" s="118"/>
    </row>
    <row r="1350" spans="1:17" ht="18.75" customHeight="1" x14ac:dyDescent="0.3">
      <c r="A1350" s="104">
        <v>495</v>
      </c>
      <c r="B1350" s="105" t="s">
        <v>194</v>
      </c>
      <c r="C1350" s="195">
        <v>401</v>
      </c>
      <c r="D1350" s="125">
        <v>59</v>
      </c>
      <c r="E1350" s="114">
        <v>8615</v>
      </c>
      <c r="F1350" s="115">
        <v>21645</v>
      </c>
      <c r="G1350" s="116">
        <v>229</v>
      </c>
      <c r="H1350" s="1731" t="s">
        <v>41</v>
      </c>
      <c r="I1350" s="118"/>
      <c r="J1350" s="192"/>
      <c r="K1350" s="104" t="s">
        <v>25</v>
      </c>
      <c r="L1350" s="192"/>
      <c r="M1350" s="192"/>
      <c r="N1350" s="192"/>
      <c r="O1350" s="2621" t="s">
        <v>6395</v>
      </c>
      <c r="Q1350" s="118"/>
    </row>
    <row r="1351" spans="1:17" ht="18.75" customHeight="1" x14ac:dyDescent="0.3">
      <c r="A1351" s="189">
        <v>496</v>
      </c>
      <c r="B1351" s="105" t="s">
        <v>194</v>
      </c>
      <c r="C1351" s="195">
        <v>401</v>
      </c>
      <c r="D1351" s="128">
        <v>59</v>
      </c>
      <c r="E1351" s="114">
        <v>8616</v>
      </c>
      <c r="F1351" s="115">
        <v>21645</v>
      </c>
      <c r="G1351" s="116">
        <v>229</v>
      </c>
      <c r="H1351" s="1731" t="s">
        <v>41</v>
      </c>
      <c r="I1351" s="118"/>
      <c r="J1351" s="192"/>
      <c r="K1351" s="104" t="s">
        <v>25</v>
      </c>
      <c r="L1351" s="192"/>
      <c r="M1351" s="192"/>
      <c r="N1351" s="192"/>
      <c r="O1351" s="2621" t="s">
        <v>6395</v>
      </c>
      <c r="Q1351" s="118"/>
    </row>
    <row r="1352" spans="1:17" ht="18.75" customHeight="1" x14ac:dyDescent="0.3">
      <c r="A1352" s="104">
        <v>497</v>
      </c>
      <c r="B1352" s="105" t="s">
        <v>194</v>
      </c>
      <c r="C1352" s="195">
        <v>401</v>
      </c>
      <c r="D1352" s="113">
        <v>59</v>
      </c>
      <c r="E1352" s="114">
        <v>8617</v>
      </c>
      <c r="F1352" s="115">
        <v>21645</v>
      </c>
      <c r="G1352" s="116">
        <v>229</v>
      </c>
      <c r="H1352" s="1731" t="s">
        <v>41</v>
      </c>
      <c r="I1352" s="118"/>
      <c r="J1352" s="192"/>
      <c r="K1352" s="104" t="s">
        <v>25</v>
      </c>
      <c r="L1352" s="192"/>
      <c r="M1352" s="192"/>
      <c r="N1352" s="192"/>
      <c r="O1352" s="2621" t="s">
        <v>6395</v>
      </c>
      <c r="Q1352" s="118"/>
    </row>
    <row r="1353" spans="1:17" ht="18.75" customHeight="1" x14ac:dyDescent="0.3">
      <c r="A1353" s="189">
        <v>498</v>
      </c>
      <c r="B1353" s="105" t="s">
        <v>194</v>
      </c>
      <c r="C1353" s="195">
        <v>401</v>
      </c>
      <c r="D1353" s="113">
        <v>59</v>
      </c>
      <c r="E1353" s="114">
        <v>8618</v>
      </c>
      <c r="F1353" s="115">
        <v>21645</v>
      </c>
      <c r="G1353" s="116">
        <v>229</v>
      </c>
      <c r="H1353" s="1731" t="s">
        <v>41</v>
      </c>
      <c r="I1353" s="118"/>
      <c r="J1353" s="192"/>
      <c r="K1353" s="104" t="s">
        <v>25</v>
      </c>
      <c r="L1353" s="192"/>
      <c r="M1353" s="192"/>
      <c r="N1353" s="192"/>
      <c r="O1353" s="2621" t="s">
        <v>6395</v>
      </c>
      <c r="Q1353" s="118"/>
    </row>
    <row r="1354" spans="1:17" ht="18.75" customHeight="1" x14ac:dyDescent="0.3">
      <c r="A1354" s="104">
        <v>499</v>
      </c>
      <c r="B1354" s="105" t="s">
        <v>194</v>
      </c>
      <c r="C1354" s="195">
        <v>401</v>
      </c>
      <c r="D1354" s="113">
        <v>59</v>
      </c>
      <c r="E1354" s="114">
        <v>8619</v>
      </c>
      <c r="F1354" s="115">
        <v>21645</v>
      </c>
      <c r="G1354" s="116">
        <v>229</v>
      </c>
      <c r="H1354" s="1731" t="s">
        <v>41</v>
      </c>
      <c r="I1354" s="118"/>
      <c r="J1354" s="192"/>
      <c r="K1354" s="104" t="s">
        <v>25</v>
      </c>
      <c r="L1354" s="192"/>
      <c r="M1354" s="192"/>
      <c r="N1354" s="192"/>
      <c r="O1354" s="2621" t="s">
        <v>6395</v>
      </c>
      <c r="Q1354" s="118"/>
    </row>
    <row r="1355" spans="1:17" ht="18.75" customHeight="1" x14ac:dyDescent="0.3">
      <c r="A1355" s="189">
        <v>500</v>
      </c>
      <c r="B1355" s="105" t="s">
        <v>194</v>
      </c>
      <c r="C1355" s="195">
        <v>401</v>
      </c>
      <c r="D1355" s="113">
        <v>59</v>
      </c>
      <c r="E1355" s="114">
        <v>8620</v>
      </c>
      <c r="F1355" s="115">
        <v>21645</v>
      </c>
      <c r="G1355" s="116">
        <v>229</v>
      </c>
      <c r="H1355" s="1731" t="s">
        <v>41</v>
      </c>
      <c r="I1355" s="118"/>
      <c r="J1355" s="192"/>
      <c r="K1355" s="104" t="s">
        <v>25</v>
      </c>
      <c r="L1355" s="192"/>
      <c r="M1355" s="192"/>
      <c r="N1355" s="192"/>
      <c r="O1355" s="2621" t="s">
        <v>6395</v>
      </c>
      <c r="Q1355" s="118"/>
    </row>
    <row r="1356" spans="1:17" ht="18.75" customHeight="1" x14ac:dyDescent="0.3">
      <c r="A1356" s="104">
        <v>501</v>
      </c>
      <c r="B1356" s="105" t="s">
        <v>194</v>
      </c>
      <c r="C1356" s="195">
        <v>401</v>
      </c>
      <c r="D1356" s="113">
        <v>59</v>
      </c>
      <c r="E1356" s="114">
        <v>8621</v>
      </c>
      <c r="F1356" s="115">
        <v>21645</v>
      </c>
      <c r="G1356" s="116">
        <v>229</v>
      </c>
      <c r="H1356" s="1731" t="s">
        <v>41</v>
      </c>
      <c r="I1356" s="118"/>
      <c r="J1356" s="192"/>
      <c r="K1356" s="104" t="s">
        <v>25</v>
      </c>
      <c r="L1356" s="192"/>
      <c r="M1356" s="192"/>
      <c r="N1356" s="192"/>
      <c r="O1356" s="2621" t="s">
        <v>6395</v>
      </c>
      <c r="Q1356" s="118"/>
    </row>
    <row r="1357" spans="1:17" ht="18.75" customHeight="1" x14ac:dyDescent="0.3">
      <c r="A1357" s="189">
        <v>502</v>
      </c>
      <c r="B1357" s="105" t="s">
        <v>194</v>
      </c>
      <c r="C1357" s="195">
        <v>401</v>
      </c>
      <c r="D1357" s="125">
        <v>59</v>
      </c>
      <c r="E1357" s="114">
        <v>8622</v>
      </c>
      <c r="F1357" s="115">
        <v>21645</v>
      </c>
      <c r="G1357" s="116">
        <v>229</v>
      </c>
      <c r="H1357" s="1731" t="s">
        <v>41</v>
      </c>
      <c r="I1357" s="118"/>
      <c r="J1357" s="192"/>
      <c r="K1357" s="104" t="s">
        <v>25</v>
      </c>
      <c r="L1357" s="192"/>
      <c r="M1357" s="192"/>
      <c r="N1357" s="192"/>
      <c r="O1357" s="2621" t="s">
        <v>6395</v>
      </c>
      <c r="Q1357" s="118"/>
    </row>
    <row r="1358" spans="1:17" ht="18.75" customHeight="1" x14ac:dyDescent="0.3">
      <c r="A1358" s="104">
        <v>503</v>
      </c>
      <c r="B1358" s="105" t="s">
        <v>194</v>
      </c>
      <c r="C1358" s="195">
        <v>401</v>
      </c>
      <c r="D1358" s="128">
        <v>59</v>
      </c>
      <c r="E1358" s="114">
        <v>8623</v>
      </c>
      <c r="F1358" s="115">
        <v>21645</v>
      </c>
      <c r="G1358" s="116">
        <v>229</v>
      </c>
      <c r="H1358" s="1731" t="s">
        <v>41</v>
      </c>
      <c r="I1358" s="118"/>
      <c r="J1358" s="192"/>
      <c r="K1358" s="104" t="s">
        <v>25</v>
      </c>
      <c r="L1358" s="192"/>
      <c r="M1358" s="192"/>
      <c r="N1358" s="192"/>
      <c r="O1358" s="2621" t="s">
        <v>6395</v>
      </c>
      <c r="Q1358" s="118"/>
    </row>
    <row r="1359" spans="1:17" ht="18.75" customHeight="1" x14ac:dyDescent="0.3">
      <c r="A1359" s="189">
        <v>504</v>
      </c>
      <c r="B1359" s="105" t="s">
        <v>194</v>
      </c>
      <c r="C1359" s="195">
        <v>401</v>
      </c>
      <c r="D1359" s="113">
        <v>59</v>
      </c>
      <c r="E1359" s="114">
        <v>8624</v>
      </c>
      <c r="F1359" s="115">
        <v>21645</v>
      </c>
      <c r="G1359" s="116">
        <v>229</v>
      </c>
      <c r="H1359" s="1731" t="s">
        <v>41</v>
      </c>
      <c r="I1359" s="118"/>
      <c r="J1359" s="192"/>
      <c r="K1359" s="104" t="s">
        <v>25</v>
      </c>
      <c r="L1359" s="192"/>
      <c r="M1359" s="192"/>
      <c r="N1359" s="192"/>
      <c r="O1359" s="2621" t="s">
        <v>6395</v>
      </c>
      <c r="Q1359" s="118"/>
    </row>
    <row r="1360" spans="1:17" ht="18.75" customHeight="1" x14ac:dyDescent="0.3">
      <c r="A1360" s="104">
        <v>505</v>
      </c>
      <c r="B1360" s="105" t="s">
        <v>194</v>
      </c>
      <c r="C1360" s="195">
        <v>401</v>
      </c>
      <c r="D1360" s="113">
        <v>59</v>
      </c>
      <c r="E1360" s="114">
        <v>8625</v>
      </c>
      <c r="F1360" s="115">
        <v>21645</v>
      </c>
      <c r="G1360" s="116">
        <v>229</v>
      </c>
      <c r="H1360" s="1731" t="s">
        <v>41</v>
      </c>
      <c r="I1360" s="118"/>
      <c r="J1360" s="192"/>
      <c r="K1360" s="104" t="s">
        <v>25</v>
      </c>
      <c r="L1360" s="192"/>
      <c r="M1360" s="192"/>
      <c r="N1360" s="192"/>
      <c r="O1360" s="2621" t="s">
        <v>6395</v>
      </c>
      <c r="Q1360" s="118"/>
    </row>
    <row r="1361" spans="1:17" ht="18.75" customHeight="1" x14ac:dyDescent="0.3">
      <c r="A1361" s="189">
        <v>506</v>
      </c>
      <c r="B1361" s="105" t="s">
        <v>194</v>
      </c>
      <c r="C1361" s="195">
        <v>401</v>
      </c>
      <c r="D1361" s="113">
        <v>59</v>
      </c>
      <c r="E1361" s="114">
        <v>8626</v>
      </c>
      <c r="F1361" s="115">
        <v>21645</v>
      </c>
      <c r="G1361" s="116">
        <v>229</v>
      </c>
      <c r="H1361" s="1731" t="s">
        <v>41</v>
      </c>
      <c r="I1361" s="118"/>
      <c r="J1361" s="192"/>
      <c r="K1361" s="104" t="s">
        <v>25</v>
      </c>
      <c r="L1361" s="192"/>
      <c r="M1361" s="192"/>
      <c r="N1361" s="192"/>
      <c r="O1361" s="2621" t="s">
        <v>6395</v>
      </c>
      <c r="Q1361" s="118"/>
    </row>
    <row r="1362" spans="1:17" ht="18.75" customHeight="1" x14ac:dyDescent="0.3">
      <c r="A1362" s="104">
        <v>507</v>
      </c>
      <c r="B1362" s="105" t="s">
        <v>194</v>
      </c>
      <c r="C1362" s="195">
        <v>401</v>
      </c>
      <c r="D1362" s="113">
        <v>59</v>
      </c>
      <c r="E1362" s="114">
        <v>8627</v>
      </c>
      <c r="F1362" s="115">
        <v>21645</v>
      </c>
      <c r="G1362" s="116">
        <v>229</v>
      </c>
      <c r="H1362" s="1731" t="s">
        <v>41</v>
      </c>
      <c r="I1362" s="118"/>
      <c r="J1362" s="192"/>
      <c r="K1362" s="104" t="s">
        <v>25</v>
      </c>
      <c r="L1362" s="192"/>
      <c r="M1362" s="192"/>
      <c r="N1362" s="192"/>
      <c r="O1362" s="2621" t="s">
        <v>6395</v>
      </c>
      <c r="Q1362" s="118"/>
    </row>
    <row r="1363" spans="1:17" ht="18.75" customHeight="1" x14ac:dyDescent="0.3">
      <c r="A1363" s="189">
        <v>508</v>
      </c>
      <c r="B1363" s="105" t="s">
        <v>194</v>
      </c>
      <c r="C1363" s="195">
        <v>401</v>
      </c>
      <c r="D1363" s="113">
        <v>59</v>
      </c>
      <c r="E1363" s="114">
        <v>8628</v>
      </c>
      <c r="F1363" s="115">
        <v>21645</v>
      </c>
      <c r="G1363" s="116">
        <v>229</v>
      </c>
      <c r="H1363" s="1731" t="s">
        <v>41</v>
      </c>
      <c r="I1363" s="118"/>
      <c r="J1363" s="192"/>
      <c r="K1363" s="104" t="s">
        <v>25</v>
      </c>
      <c r="L1363" s="192"/>
      <c r="M1363" s="192"/>
      <c r="N1363" s="192"/>
      <c r="O1363" s="2621" t="s">
        <v>6395</v>
      </c>
      <c r="Q1363" s="118"/>
    </row>
    <row r="1364" spans="1:17" ht="18.75" customHeight="1" x14ac:dyDescent="0.3">
      <c r="A1364" s="104">
        <v>509</v>
      </c>
      <c r="B1364" s="105" t="s">
        <v>194</v>
      </c>
      <c r="C1364" s="195">
        <v>401</v>
      </c>
      <c r="D1364" s="113">
        <v>59</v>
      </c>
      <c r="E1364" s="114">
        <v>8629</v>
      </c>
      <c r="F1364" s="115">
        <v>21645</v>
      </c>
      <c r="G1364" s="116">
        <v>229</v>
      </c>
      <c r="H1364" s="1731" t="s">
        <v>41</v>
      </c>
      <c r="I1364" s="118"/>
      <c r="J1364" s="192"/>
      <c r="K1364" s="104" t="s">
        <v>25</v>
      </c>
      <c r="L1364" s="192"/>
      <c r="M1364" s="192"/>
      <c r="N1364" s="192"/>
      <c r="O1364" s="2621" t="s">
        <v>6395</v>
      </c>
      <c r="Q1364" s="118"/>
    </row>
    <row r="1365" spans="1:17" ht="18.75" customHeight="1" x14ac:dyDescent="0.3">
      <c r="A1365" s="189">
        <v>510</v>
      </c>
      <c r="B1365" s="105" t="s">
        <v>194</v>
      </c>
      <c r="C1365" s="195">
        <v>401</v>
      </c>
      <c r="D1365" s="113">
        <v>59</v>
      </c>
      <c r="E1365" s="114">
        <v>8630</v>
      </c>
      <c r="F1365" s="115">
        <v>21645</v>
      </c>
      <c r="G1365" s="116">
        <v>229</v>
      </c>
      <c r="H1365" s="1731" t="s">
        <v>41</v>
      </c>
      <c r="I1365" s="118"/>
      <c r="J1365" s="192"/>
      <c r="K1365" s="104" t="s">
        <v>25</v>
      </c>
      <c r="L1365" s="192"/>
      <c r="M1365" s="192"/>
      <c r="N1365" s="192"/>
      <c r="O1365" s="2621" t="s">
        <v>6395</v>
      </c>
      <c r="Q1365" s="118"/>
    </row>
    <row r="1366" spans="1:17" ht="18.75" customHeight="1" x14ac:dyDescent="0.3">
      <c r="A1366" s="104">
        <v>511</v>
      </c>
      <c r="B1366" s="105" t="s">
        <v>194</v>
      </c>
      <c r="C1366" s="195">
        <v>401</v>
      </c>
      <c r="D1366" s="125">
        <v>59</v>
      </c>
      <c r="E1366" s="114">
        <v>8631</v>
      </c>
      <c r="F1366" s="115">
        <v>21645</v>
      </c>
      <c r="G1366" s="116">
        <v>229</v>
      </c>
      <c r="H1366" s="1731" t="s">
        <v>41</v>
      </c>
      <c r="I1366" s="118"/>
      <c r="J1366" s="192"/>
      <c r="K1366" s="104" t="s">
        <v>25</v>
      </c>
      <c r="L1366" s="192"/>
      <c r="M1366" s="192"/>
      <c r="N1366" s="192"/>
      <c r="O1366" s="2621" t="s">
        <v>6395</v>
      </c>
      <c r="Q1366" s="118"/>
    </row>
    <row r="1367" spans="1:17" ht="18.75" customHeight="1" x14ac:dyDescent="0.3">
      <c r="A1367" s="189">
        <v>512</v>
      </c>
      <c r="B1367" s="105" t="s">
        <v>194</v>
      </c>
      <c r="C1367" s="195">
        <v>401</v>
      </c>
      <c r="D1367" s="128">
        <v>59</v>
      </c>
      <c r="E1367" s="114">
        <v>8632</v>
      </c>
      <c r="F1367" s="115">
        <v>21645</v>
      </c>
      <c r="G1367" s="116">
        <v>229</v>
      </c>
      <c r="H1367" s="1731" t="s">
        <v>41</v>
      </c>
      <c r="I1367" s="118"/>
      <c r="J1367" s="192"/>
      <c r="K1367" s="104" t="s">
        <v>25</v>
      </c>
      <c r="L1367" s="192"/>
      <c r="M1367" s="192"/>
      <c r="N1367" s="192"/>
      <c r="O1367" s="2621" t="s">
        <v>6395</v>
      </c>
      <c r="Q1367" s="118"/>
    </row>
    <row r="1368" spans="1:17" ht="18.75" customHeight="1" x14ac:dyDescent="0.3">
      <c r="A1368" s="104">
        <v>513</v>
      </c>
      <c r="B1368" s="105" t="s">
        <v>194</v>
      </c>
      <c r="C1368" s="195">
        <v>401</v>
      </c>
      <c r="D1368" s="113">
        <v>59</v>
      </c>
      <c r="E1368" s="114">
        <v>8633</v>
      </c>
      <c r="F1368" s="115">
        <v>21645</v>
      </c>
      <c r="G1368" s="116">
        <v>229</v>
      </c>
      <c r="H1368" s="1731" t="s">
        <v>41</v>
      </c>
      <c r="I1368" s="118"/>
      <c r="J1368" s="192"/>
      <c r="K1368" s="104" t="s">
        <v>25</v>
      </c>
      <c r="L1368" s="192"/>
      <c r="M1368" s="192"/>
      <c r="N1368" s="192"/>
      <c r="O1368" s="2621" t="s">
        <v>6395</v>
      </c>
      <c r="Q1368" s="118"/>
    </row>
    <row r="1369" spans="1:17" ht="18.75" customHeight="1" x14ac:dyDescent="0.3">
      <c r="A1369" s="189">
        <v>514</v>
      </c>
      <c r="B1369" s="105" t="s">
        <v>194</v>
      </c>
      <c r="C1369" s="195">
        <v>401</v>
      </c>
      <c r="D1369" s="113">
        <v>59</v>
      </c>
      <c r="E1369" s="114">
        <v>8634</v>
      </c>
      <c r="F1369" s="115">
        <v>21645</v>
      </c>
      <c r="G1369" s="116">
        <v>229</v>
      </c>
      <c r="H1369" s="1731" t="s">
        <v>41</v>
      </c>
      <c r="I1369" s="118"/>
      <c r="J1369" s="192"/>
      <c r="K1369" s="104" t="s">
        <v>25</v>
      </c>
      <c r="L1369" s="192"/>
      <c r="M1369" s="192"/>
      <c r="N1369" s="192"/>
      <c r="O1369" s="2621" t="s">
        <v>6395</v>
      </c>
      <c r="Q1369" s="118"/>
    </row>
    <row r="1370" spans="1:17" ht="18.75" customHeight="1" x14ac:dyDescent="0.3">
      <c r="A1370" s="104">
        <v>515</v>
      </c>
      <c r="B1370" s="105" t="s">
        <v>194</v>
      </c>
      <c r="C1370" s="195">
        <v>401</v>
      </c>
      <c r="D1370" s="113">
        <v>59</v>
      </c>
      <c r="E1370" s="114">
        <v>8635</v>
      </c>
      <c r="F1370" s="115">
        <v>21645</v>
      </c>
      <c r="G1370" s="116">
        <v>229</v>
      </c>
      <c r="H1370" s="1731" t="s">
        <v>41</v>
      </c>
      <c r="I1370" s="118"/>
      <c r="J1370" s="192"/>
      <c r="K1370" s="104" t="s">
        <v>25</v>
      </c>
      <c r="L1370" s="192"/>
      <c r="M1370" s="192"/>
      <c r="N1370" s="192"/>
      <c r="O1370" s="2621" t="s">
        <v>6395</v>
      </c>
      <c r="Q1370" s="118"/>
    </row>
    <row r="1371" spans="1:17" ht="18.75" customHeight="1" x14ac:dyDescent="0.3">
      <c r="A1371" s="189">
        <v>516</v>
      </c>
      <c r="B1371" s="105" t="s">
        <v>194</v>
      </c>
      <c r="C1371" s="195">
        <v>401</v>
      </c>
      <c r="D1371" s="113">
        <v>59</v>
      </c>
      <c r="E1371" s="114">
        <v>8636</v>
      </c>
      <c r="F1371" s="115">
        <v>21645</v>
      </c>
      <c r="G1371" s="116">
        <v>229</v>
      </c>
      <c r="H1371" s="1731" t="s">
        <v>41</v>
      </c>
      <c r="I1371" s="118"/>
      <c r="J1371" s="192"/>
      <c r="K1371" s="104" t="s">
        <v>25</v>
      </c>
      <c r="L1371" s="192"/>
      <c r="M1371" s="192"/>
      <c r="N1371" s="192"/>
      <c r="O1371" s="2621" t="s">
        <v>6395</v>
      </c>
      <c r="Q1371" s="118"/>
    </row>
    <row r="1372" spans="1:17" ht="18.75" customHeight="1" x14ac:dyDescent="0.3">
      <c r="A1372" s="104">
        <v>517</v>
      </c>
      <c r="B1372" s="105" t="s">
        <v>194</v>
      </c>
      <c r="C1372" s="195">
        <v>401</v>
      </c>
      <c r="D1372" s="113">
        <v>59</v>
      </c>
      <c r="E1372" s="114">
        <v>8637</v>
      </c>
      <c r="F1372" s="115">
        <v>21645</v>
      </c>
      <c r="G1372" s="116">
        <v>229</v>
      </c>
      <c r="H1372" s="1731" t="s">
        <v>41</v>
      </c>
      <c r="I1372" s="118"/>
      <c r="J1372" s="192"/>
      <c r="K1372" s="104" t="s">
        <v>25</v>
      </c>
      <c r="L1372" s="192"/>
      <c r="M1372" s="192"/>
      <c r="N1372" s="192"/>
      <c r="O1372" s="2621" t="s">
        <v>6395</v>
      </c>
      <c r="Q1372" s="118"/>
    </row>
    <row r="1373" spans="1:17" ht="18.75" customHeight="1" x14ac:dyDescent="0.3">
      <c r="A1373" s="189">
        <v>518</v>
      </c>
      <c r="B1373" s="105" t="s">
        <v>194</v>
      </c>
      <c r="C1373" s="195">
        <v>401</v>
      </c>
      <c r="D1373" s="113">
        <v>59</v>
      </c>
      <c r="E1373" s="114">
        <v>8638</v>
      </c>
      <c r="F1373" s="115">
        <v>21645</v>
      </c>
      <c r="G1373" s="116">
        <v>229</v>
      </c>
      <c r="H1373" s="1731" t="s">
        <v>41</v>
      </c>
      <c r="I1373" s="118"/>
      <c r="J1373" s="192"/>
      <c r="K1373" s="104" t="s">
        <v>25</v>
      </c>
      <c r="L1373" s="192"/>
      <c r="M1373" s="192"/>
      <c r="N1373" s="192"/>
      <c r="O1373" s="2621" t="s">
        <v>6395</v>
      </c>
      <c r="Q1373" s="118"/>
    </row>
    <row r="1374" spans="1:17" ht="18.75" customHeight="1" x14ac:dyDescent="0.3">
      <c r="A1374" s="104">
        <v>519</v>
      </c>
      <c r="B1374" s="105" t="s">
        <v>194</v>
      </c>
      <c r="C1374" s="195">
        <v>401</v>
      </c>
      <c r="D1374" s="113">
        <v>59</v>
      </c>
      <c r="E1374" s="114">
        <v>8639</v>
      </c>
      <c r="F1374" s="115">
        <v>21645</v>
      </c>
      <c r="G1374" s="116">
        <v>229</v>
      </c>
      <c r="H1374" s="1731" t="s">
        <v>41</v>
      </c>
      <c r="I1374" s="118"/>
      <c r="J1374" s="192"/>
      <c r="K1374" s="104" t="s">
        <v>25</v>
      </c>
      <c r="L1374" s="192"/>
      <c r="M1374" s="192"/>
      <c r="N1374" s="192"/>
      <c r="O1374" s="2621" t="s">
        <v>6395</v>
      </c>
      <c r="Q1374" s="118"/>
    </row>
    <row r="1375" spans="1:17" ht="18.75" customHeight="1" x14ac:dyDescent="0.3">
      <c r="A1375" s="189">
        <v>520</v>
      </c>
      <c r="B1375" s="105" t="s">
        <v>194</v>
      </c>
      <c r="C1375" s="195">
        <v>401</v>
      </c>
      <c r="D1375" s="113">
        <v>59</v>
      </c>
      <c r="E1375" s="114">
        <v>8640</v>
      </c>
      <c r="F1375" s="115">
        <v>21645</v>
      </c>
      <c r="G1375" s="116">
        <v>229</v>
      </c>
      <c r="H1375" s="1731" t="s">
        <v>41</v>
      </c>
      <c r="I1375" s="118"/>
      <c r="J1375" s="192"/>
      <c r="K1375" s="104" t="s">
        <v>25</v>
      </c>
      <c r="L1375" s="192"/>
      <c r="M1375" s="192"/>
      <c r="N1375" s="192"/>
      <c r="O1375" s="2621" t="s">
        <v>6395</v>
      </c>
      <c r="Q1375" s="118"/>
    </row>
    <row r="1376" spans="1:17" ht="18.75" customHeight="1" x14ac:dyDescent="0.3">
      <c r="A1376" s="104">
        <v>521</v>
      </c>
      <c r="B1376" s="105" t="s">
        <v>194</v>
      </c>
      <c r="C1376" s="195">
        <v>401</v>
      </c>
      <c r="D1376" s="113">
        <v>59</v>
      </c>
      <c r="E1376" s="114">
        <v>8641</v>
      </c>
      <c r="F1376" s="115">
        <v>21645</v>
      </c>
      <c r="G1376" s="116">
        <v>229</v>
      </c>
      <c r="H1376" s="1731" t="s">
        <v>41</v>
      </c>
      <c r="I1376" s="118"/>
      <c r="J1376" s="192"/>
      <c r="K1376" s="104" t="s">
        <v>25</v>
      </c>
      <c r="L1376" s="192"/>
      <c r="M1376" s="192"/>
      <c r="N1376" s="192"/>
      <c r="O1376" s="2621" t="s">
        <v>6395</v>
      </c>
      <c r="Q1376" s="118"/>
    </row>
    <row r="1377" spans="1:17" ht="18.75" customHeight="1" x14ac:dyDescent="0.3">
      <c r="A1377" s="189">
        <v>522</v>
      </c>
      <c r="B1377" s="105" t="s">
        <v>194</v>
      </c>
      <c r="C1377" s="195">
        <v>401</v>
      </c>
      <c r="D1377" s="113">
        <v>59</v>
      </c>
      <c r="E1377" s="114">
        <v>8642</v>
      </c>
      <c r="F1377" s="115">
        <v>21645</v>
      </c>
      <c r="G1377" s="116">
        <v>229</v>
      </c>
      <c r="H1377" s="1731" t="s">
        <v>41</v>
      </c>
      <c r="I1377" s="118"/>
      <c r="J1377" s="192"/>
      <c r="K1377" s="104" t="s">
        <v>25</v>
      </c>
      <c r="L1377" s="192"/>
      <c r="M1377" s="192"/>
      <c r="N1377" s="192"/>
      <c r="O1377" s="2621" t="s">
        <v>6395</v>
      </c>
      <c r="Q1377" s="118"/>
    </row>
    <row r="1378" spans="1:17" ht="18.75" customHeight="1" x14ac:dyDescent="0.3">
      <c r="A1378" s="104">
        <v>523</v>
      </c>
      <c r="B1378" s="105" t="s">
        <v>194</v>
      </c>
      <c r="C1378" s="195">
        <v>401</v>
      </c>
      <c r="D1378" s="113">
        <v>59</v>
      </c>
      <c r="E1378" s="114">
        <v>8643</v>
      </c>
      <c r="F1378" s="115">
        <v>21645</v>
      </c>
      <c r="G1378" s="116">
        <v>229</v>
      </c>
      <c r="H1378" s="1731" t="s">
        <v>41</v>
      </c>
      <c r="I1378" s="118"/>
      <c r="J1378" s="192"/>
      <c r="K1378" s="104" t="s">
        <v>25</v>
      </c>
      <c r="L1378" s="192"/>
      <c r="M1378" s="192"/>
      <c r="N1378" s="192"/>
      <c r="O1378" s="2621" t="s">
        <v>6395</v>
      </c>
      <c r="Q1378" s="118"/>
    </row>
    <row r="1379" spans="1:17" ht="18.75" customHeight="1" x14ac:dyDescent="0.3">
      <c r="A1379" s="189">
        <v>524</v>
      </c>
      <c r="B1379" s="105" t="s">
        <v>194</v>
      </c>
      <c r="C1379" s="195">
        <v>401</v>
      </c>
      <c r="D1379" s="113">
        <v>59</v>
      </c>
      <c r="E1379" s="114">
        <v>8644</v>
      </c>
      <c r="F1379" s="115">
        <v>21645</v>
      </c>
      <c r="G1379" s="116">
        <v>229</v>
      </c>
      <c r="H1379" s="1731" t="s">
        <v>41</v>
      </c>
      <c r="I1379" s="118"/>
      <c r="J1379" s="192"/>
      <c r="K1379" s="104" t="s">
        <v>25</v>
      </c>
      <c r="L1379" s="192"/>
      <c r="M1379" s="192"/>
      <c r="N1379" s="192"/>
      <c r="O1379" s="2621" t="s">
        <v>6395</v>
      </c>
      <c r="Q1379" s="118"/>
    </row>
    <row r="1380" spans="1:17" ht="18.75" customHeight="1" x14ac:dyDescent="0.3">
      <c r="A1380" s="104">
        <v>525</v>
      </c>
      <c r="B1380" s="105" t="s">
        <v>194</v>
      </c>
      <c r="C1380" s="195">
        <v>401</v>
      </c>
      <c r="D1380" s="125">
        <v>59</v>
      </c>
      <c r="E1380" s="114">
        <v>8645</v>
      </c>
      <c r="F1380" s="115">
        <v>21645</v>
      </c>
      <c r="G1380" s="116">
        <v>229</v>
      </c>
      <c r="H1380" s="1731" t="s">
        <v>41</v>
      </c>
      <c r="I1380" s="118"/>
      <c r="J1380" s="192"/>
      <c r="K1380" s="104" t="s">
        <v>25</v>
      </c>
      <c r="L1380" s="192"/>
      <c r="M1380" s="192"/>
      <c r="N1380" s="192"/>
      <c r="O1380" s="2621" t="s">
        <v>6395</v>
      </c>
      <c r="Q1380" s="118"/>
    </row>
    <row r="1381" spans="1:17" ht="18.75" customHeight="1" x14ac:dyDescent="0.3">
      <c r="A1381" s="189">
        <v>526</v>
      </c>
      <c r="B1381" s="105" t="s">
        <v>194</v>
      </c>
      <c r="C1381" s="195">
        <v>401</v>
      </c>
      <c r="D1381" s="128">
        <v>59</v>
      </c>
      <c r="E1381" s="114">
        <v>8646</v>
      </c>
      <c r="F1381" s="115">
        <v>21645</v>
      </c>
      <c r="G1381" s="116">
        <v>229</v>
      </c>
      <c r="H1381" s="1731" t="s">
        <v>41</v>
      </c>
      <c r="I1381" s="118"/>
      <c r="J1381" s="192"/>
      <c r="K1381" s="104" t="s">
        <v>25</v>
      </c>
      <c r="L1381" s="192"/>
      <c r="M1381" s="192"/>
      <c r="N1381" s="192"/>
      <c r="O1381" s="2621" t="s">
        <v>6395</v>
      </c>
      <c r="Q1381" s="118"/>
    </row>
    <row r="1382" spans="1:17" ht="18.75" customHeight="1" x14ac:dyDescent="0.3">
      <c r="A1382" s="104">
        <v>527</v>
      </c>
      <c r="B1382" s="105" t="s">
        <v>194</v>
      </c>
      <c r="C1382" s="195">
        <v>401</v>
      </c>
      <c r="D1382" s="113">
        <v>59</v>
      </c>
      <c r="E1382" s="114">
        <v>8647</v>
      </c>
      <c r="F1382" s="115">
        <v>21645</v>
      </c>
      <c r="G1382" s="116">
        <v>229</v>
      </c>
      <c r="H1382" s="1731" t="s">
        <v>41</v>
      </c>
      <c r="I1382" s="118"/>
      <c r="J1382" s="192"/>
      <c r="K1382" s="104" t="s">
        <v>25</v>
      </c>
      <c r="L1382" s="192"/>
      <c r="M1382" s="192"/>
      <c r="N1382" s="192"/>
      <c r="O1382" s="2621" t="s">
        <v>6395</v>
      </c>
      <c r="Q1382" s="118"/>
    </row>
    <row r="1383" spans="1:17" ht="18.75" customHeight="1" x14ac:dyDescent="0.3">
      <c r="A1383" s="189">
        <v>528</v>
      </c>
      <c r="B1383" s="105" t="s">
        <v>194</v>
      </c>
      <c r="C1383" s="195">
        <v>401</v>
      </c>
      <c r="D1383" s="113">
        <v>59</v>
      </c>
      <c r="E1383" s="114">
        <v>8648</v>
      </c>
      <c r="F1383" s="115">
        <v>21645</v>
      </c>
      <c r="G1383" s="116">
        <v>229</v>
      </c>
      <c r="H1383" s="1731" t="s">
        <v>41</v>
      </c>
      <c r="I1383" s="118"/>
      <c r="J1383" s="192"/>
      <c r="K1383" s="104" t="s">
        <v>25</v>
      </c>
      <c r="L1383" s="192"/>
      <c r="M1383" s="192"/>
      <c r="N1383" s="192"/>
      <c r="O1383" s="2621" t="s">
        <v>6395</v>
      </c>
      <c r="Q1383" s="118"/>
    </row>
    <row r="1384" spans="1:17" ht="18.75" customHeight="1" x14ac:dyDescent="0.3">
      <c r="A1384" s="104">
        <v>529</v>
      </c>
      <c r="B1384" s="105" t="s">
        <v>194</v>
      </c>
      <c r="C1384" s="195">
        <v>401</v>
      </c>
      <c r="D1384" s="113">
        <v>59</v>
      </c>
      <c r="E1384" s="114">
        <v>8649</v>
      </c>
      <c r="F1384" s="115">
        <v>21645</v>
      </c>
      <c r="G1384" s="116">
        <v>229</v>
      </c>
      <c r="H1384" s="1731" t="s">
        <v>41</v>
      </c>
      <c r="I1384" s="118"/>
      <c r="J1384" s="192"/>
      <c r="K1384" s="104" t="s">
        <v>25</v>
      </c>
      <c r="L1384" s="192"/>
      <c r="M1384" s="192"/>
      <c r="N1384" s="192"/>
      <c r="O1384" s="2621" t="s">
        <v>6395</v>
      </c>
      <c r="Q1384" s="118"/>
    </row>
    <row r="1385" spans="1:17" ht="18.75" customHeight="1" x14ac:dyDescent="0.3">
      <c r="A1385" s="189">
        <v>530</v>
      </c>
      <c r="B1385" s="105" t="s">
        <v>194</v>
      </c>
      <c r="C1385" s="195">
        <v>401</v>
      </c>
      <c r="D1385" s="113">
        <v>59</v>
      </c>
      <c r="E1385" s="114">
        <v>8650</v>
      </c>
      <c r="F1385" s="115">
        <v>21645</v>
      </c>
      <c r="G1385" s="116">
        <v>229</v>
      </c>
      <c r="H1385" s="1731" t="s">
        <v>41</v>
      </c>
      <c r="I1385" s="118"/>
      <c r="J1385" s="192"/>
      <c r="K1385" s="104" t="s">
        <v>25</v>
      </c>
      <c r="L1385" s="192"/>
      <c r="M1385" s="192"/>
      <c r="N1385" s="192"/>
      <c r="O1385" s="2621" t="s">
        <v>6395</v>
      </c>
      <c r="Q1385" s="118"/>
    </row>
    <row r="1386" spans="1:17" ht="18.75" customHeight="1" x14ac:dyDescent="0.3">
      <c r="A1386" s="104">
        <v>531</v>
      </c>
      <c r="B1386" s="105" t="s">
        <v>194</v>
      </c>
      <c r="C1386" s="195">
        <v>401</v>
      </c>
      <c r="D1386" s="113">
        <v>59</v>
      </c>
      <c r="E1386" s="114">
        <v>8651</v>
      </c>
      <c r="F1386" s="115">
        <v>21645</v>
      </c>
      <c r="G1386" s="116">
        <v>229</v>
      </c>
      <c r="H1386" s="1731" t="s">
        <v>41</v>
      </c>
      <c r="I1386" s="118"/>
      <c r="J1386" s="192"/>
      <c r="K1386" s="104" t="s">
        <v>25</v>
      </c>
      <c r="L1386" s="192"/>
      <c r="M1386" s="192"/>
      <c r="N1386" s="192"/>
      <c r="O1386" s="2621" t="s">
        <v>6395</v>
      </c>
      <c r="Q1386" s="118"/>
    </row>
    <row r="1387" spans="1:17" ht="18.75" customHeight="1" x14ac:dyDescent="0.3">
      <c r="A1387" s="189">
        <v>532</v>
      </c>
      <c r="B1387" s="105" t="s">
        <v>194</v>
      </c>
      <c r="C1387" s="195">
        <v>401</v>
      </c>
      <c r="D1387" s="113">
        <v>59</v>
      </c>
      <c r="E1387" s="114">
        <v>8652</v>
      </c>
      <c r="F1387" s="115">
        <v>21645</v>
      </c>
      <c r="G1387" s="116">
        <v>229</v>
      </c>
      <c r="H1387" s="1731" t="s">
        <v>41</v>
      </c>
      <c r="I1387" s="118"/>
      <c r="J1387" s="192"/>
      <c r="K1387" s="104" t="s">
        <v>25</v>
      </c>
      <c r="L1387" s="192"/>
      <c r="M1387" s="192"/>
      <c r="N1387" s="192"/>
      <c r="O1387" s="2621" t="s">
        <v>6395</v>
      </c>
      <c r="Q1387" s="118"/>
    </row>
    <row r="1388" spans="1:17" ht="18.75" customHeight="1" x14ac:dyDescent="0.3">
      <c r="A1388" s="104">
        <v>533</v>
      </c>
      <c r="B1388" s="105" t="s">
        <v>194</v>
      </c>
      <c r="C1388" s="195">
        <v>401</v>
      </c>
      <c r="D1388" s="113">
        <v>59</v>
      </c>
      <c r="E1388" s="114">
        <v>8653</v>
      </c>
      <c r="F1388" s="115">
        <v>21645</v>
      </c>
      <c r="G1388" s="116">
        <v>229</v>
      </c>
      <c r="H1388" s="1731" t="s">
        <v>41</v>
      </c>
      <c r="I1388" s="118"/>
      <c r="J1388" s="192"/>
      <c r="K1388" s="104" t="s">
        <v>25</v>
      </c>
      <c r="L1388" s="192"/>
      <c r="M1388" s="192"/>
      <c r="N1388" s="192"/>
      <c r="O1388" s="2621" t="s">
        <v>6395</v>
      </c>
      <c r="Q1388" s="118"/>
    </row>
    <row r="1389" spans="1:17" ht="18.75" customHeight="1" x14ac:dyDescent="0.3">
      <c r="A1389" s="189">
        <v>534</v>
      </c>
      <c r="B1389" s="105" t="s">
        <v>194</v>
      </c>
      <c r="C1389" s="195">
        <v>401</v>
      </c>
      <c r="D1389" s="113">
        <v>59</v>
      </c>
      <c r="E1389" s="114">
        <v>8654</v>
      </c>
      <c r="F1389" s="115">
        <v>21645</v>
      </c>
      <c r="G1389" s="116">
        <v>229</v>
      </c>
      <c r="H1389" s="1731" t="s">
        <v>41</v>
      </c>
      <c r="I1389" s="118"/>
      <c r="J1389" s="192"/>
      <c r="K1389" s="104" t="s">
        <v>25</v>
      </c>
      <c r="L1389" s="192"/>
      <c r="M1389" s="192"/>
      <c r="N1389" s="192"/>
      <c r="O1389" s="2621" t="s">
        <v>6395</v>
      </c>
      <c r="Q1389" s="118"/>
    </row>
    <row r="1390" spans="1:17" ht="18.75" customHeight="1" x14ac:dyDescent="0.3">
      <c r="A1390" s="104">
        <v>535</v>
      </c>
      <c r="B1390" s="105" t="s">
        <v>194</v>
      </c>
      <c r="C1390" s="195">
        <v>401</v>
      </c>
      <c r="D1390" s="113">
        <v>59</v>
      </c>
      <c r="E1390" s="114">
        <v>8655</v>
      </c>
      <c r="F1390" s="115">
        <v>21645</v>
      </c>
      <c r="G1390" s="116">
        <v>229</v>
      </c>
      <c r="H1390" s="1731" t="s">
        <v>41</v>
      </c>
      <c r="I1390" s="118"/>
      <c r="J1390" s="192"/>
      <c r="K1390" s="104" t="s">
        <v>25</v>
      </c>
      <c r="L1390" s="192"/>
      <c r="M1390" s="192"/>
      <c r="N1390" s="192"/>
      <c r="O1390" s="2621" t="s">
        <v>6395</v>
      </c>
      <c r="Q1390" s="118"/>
    </row>
    <row r="1391" spans="1:17" ht="18.75" customHeight="1" x14ac:dyDescent="0.3">
      <c r="A1391" s="189">
        <v>536</v>
      </c>
      <c r="B1391" s="105" t="s">
        <v>194</v>
      </c>
      <c r="C1391" s="195">
        <v>401</v>
      </c>
      <c r="D1391" s="125">
        <v>59</v>
      </c>
      <c r="E1391" s="114">
        <v>8656</v>
      </c>
      <c r="F1391" s="115">
        <v>21645</v>
      </c>
      <c r="G1391" s="116">
        <v>229</v>
      </c>
      <c r="H1391" s="1731" t="s">
        <v>41</v>
      </c>
      <c r="I1391" s="118"/>
      <c r="J1391" s="192"/>
      <c r="K1391" s="104" t="s">
        <v>25</v>
      </c>
      <c r="L1391" s="192"/>
      <c r="M1391" s="192"/>
      <c r="N1391" s="192"/>
      <c r="O1391" s="2621" t="s">
        <v>6395</v>
      </c>
      <c r="Q1391" s="118"/>
    </row>
    <row r="1392" spans="1:17" ht="18.75" customHeight="1" x14ac:dyDescent="0.3">
      <c r="A1392" s="104">
        <v>537</v>
      </c>
      <c r="B1392" s="105" t="s">
        <v>194</v>
      </c>
      <c r="C1392" s="195">
        <v>401</v>
      </c>
      <c r="D1392" s="128">
        <v>59</v>
      </c>
      <c r="E1392" s="114">
        <v>8657</v>
      </c>
      <c r="F1392" s="115">
        <v>21645</v>
      </c>
      <c r="G1392" s="116">
        <v>229</v>
      </c>
      <c r="H1392" s="1731" t="s">
        <v>41</v>
      </c>
      <c r="I1392" s="118"/>
      <c r="J1392" s="192"/>
      <c r="K1392" s="104" t="s">
        <v>25</v>
      </c>
      <c r="L1392" s="192"/>
      <c r="M1392" s="192"/>
      <c r="N1392" s="192"/>
      <c r="O1392" s="2621" t="s">
        <v>6395</v>
      </c>
      <c r="Q1392" s="118"/>
    </row>
    <row r="1393" spans="1:17" ht="18.75" customHeight="1" x14ac:dyDescent="0.3">
      <c r="A1393" s="189">
        <v>538</v>
      </c>
      <c r="B1393" s="105" t="s">
        <v>194</v>
      </c>
      <c r="C1393" s="195">
        <v>401</v>
      </c>
      <c r="D1393" s="113">
        <v>59</v>
      </c>
      <c r="E1393" s="114">
        <v>8658</v>
      </c>
      <c r="F1393" s="115">
        <v>21645</v>
      </c>
      <c r="G1393" s="116">
        <v>229</v>
      </c>
      <c r="H1393" s="1731" t="s">
        <v>41</v>
      </c>
      <c r="I1393" s="118"/>
      <c r="J1393" s="192"/>
      <c r="K1393" s="104" t="s">
        <v>25</v>
      </c>
      <c r="L1393" s="192"/>
      <c r="M1393" s="192"/>
      <c r="N1393" s="192"/>
      <c r="O1393" s="2621" t="s">
        <v>6395</v>
      </c>
      <c r="Q1393" s="118"/>
    </row>
    <row r="1394" spans="1:17" ht="18.75" customHeight="1" x14ac:dyDescent="0.3">
      <c r="A1394" s="104">
        <v>539</v>
      </c>
      <c r="B1394" s="105" t="s">
        <v>194</v>
      </c>
      <c r="C1394" s="195">
        <v>401</v>
      </c>
      <c r="D1394" s="113">
        <v>59</v>
      </c>
      <c r="E1394" s="114">
        <v>8659</v>
      </c>
      <c r="F1394" s="115">
        <v>21645</v>
      </c>
      <c r="G1394" s="116">
        <v>229</v>
      </c>
      <c r="H1394" s="1731" t="s">
        <v>41</v>
      </c>
      <c r="I1394" s="118"/>
      <c r="J1394" s="192"/>
      <c r="K1394" s="104" t="s">
        <v>25</v>
      </c>
      <c r="L1394" s="192"/>
      <c r="M1394" s="192"/>
      <c r="N1394" s="192"/>
      <c r="O1394" s="2621" t="s">
        <v>6395</v>
      </c>
      <c r="Q1394" s="118"/>
    </row>
    <row r="1395" spans="1:17" ht="18.75" customHeight="1" x14ac:dyDescent="0.3">
      <c r="A1395" s="189">
        <v>540</v>
      </c>
      <c r="B1395" s="105" t="s">
        <v>194</v>
      </c>
      <c r="C1395" s="195">
        <v>401</v>
      </c>
      <c r="D1395" s="113">
        <v>59</v>
      </c>
      <c r="E1395" s="114">
        <v>8660</v>
      </c>
      <c r="F1395" s="115">
        <v>21645</v>
      </c>
      <c r="G1395" s="116">
        <v>229</v>
      </c>
      <c r="H1395" s="1731" t="s">
        <v>41</v>
      </c>
      <c r="I1395" s="118"/>
      <c r="J1395" s="192"/>
      <c r="K1395" s="104" t="s">
        <v>25</v>
      </c>
      <c r="L1395" s="192"/>
      <c r="M1395" s="192"/>
      <c r="N1395" s="192"/>
      <c r="O1395" s="2621" t="s">
        <v>6395</v>
      </c>
      <c r="Q1395" s="118"/>
    </row>
    <row r="1396" spans="1:17" ht="18.75" customHeight="1" x14ac:dyDescent="0.3">
      <c r="A1396" s="104">
        <v>541</v>
      </c>
      <c r="B1396" s="105" t="s">
        <v>194</v>
      </c>
      <c r="C1396" s="195">
        <v>401</v>
      </c>
      <c r="D1396" s="113">
        <v>59</v>
      </c>
      <c r="E1396" s="114">
        <v>8661</v>
      </c>
      <c r="F1396" s="115">
        <v>21645</v>
      </c>
      <c r="G1396" s="116">
        <v>229</v>
      </c>
      <c r="H1396" s="1731" t="s">
        <v>41</v>
      </c>
      <c r="I1396" s="118"/>
      <c r="J1396" s="192"/>
      <c r="K1396" s="104" t="s">
        <v>25</v>
      </c>
      <c r="L1396" s="192"/>
      <c r="M1396" s="192"/>
      <c r="N1396" s="192"/>
      <c r="O1396" s="2621" t="s">
        <v>6395</v>
      </c>
      <c r="Q1396" s="118"/>
    </row>
    <row r="1397" spans="1:17" ht="18.75" customHeight="1" x14ac:dyDescent="0.3">
      <c r="A1397" s="189">
        <v>542</v>
      </c>
      <c r="B1397" s="105" t="s">
        <v>194</v>
      </c>
      <c r="C1397" s="195">
        <v>401</v>
      </c>
      <c r="D1397" s="113">
        <v>59</v>
      </c>
      <c r="E1397" s="114">
        <v>8662</v>
      </c>
      <c r="F1397" s="115">
        <v>21645</v>
      </c>
      <c r="G1397" s="116">
        <v>229</v>
      </c>
      <c r="H1397" s="1731" t="s">
        <v>41</v>
      </c>
      <c r="I1397" s="118"/>
      <c r="J1397" s="192"/>
      <c r="K1397" s="104" t="s">
        <v>25</v>
      </c>
      <c r="L1397" s="192"/>
      <c r="M1397" s="192"/>
      <c r="N1397" s="192"/>
      <c r="O1397" s="2621" t="s">
        <v>6395</v>
      </c>
      <c r="Q1397" s="118"/>
    </row>
    <row r="1398" spans="1:17" ht="18.75" customHeight="1" x14ac:dyDescent="0.3">
      <c r="A1398" s="104">
        <v>543</v>
      </c>
      <c r="B1398" s="105" t="s">
        <v>194</v>
      </c>
      <c r="C1398" s="195">
        <v>401</v>
      </c>
      <c r="D1398" s="113">
        <v>59</v>
      </c>
      <c r="E1398" s="114">
        <v>8663</v>
      </c>
      <c r="F1398" s="115">
        <v>21645</v>
      </c>
      <c r="G1398" s="116">
        <v>229</v>
      </c>
      <c r="H1398" s="1731" t="s">
        <v>41</v>
      </c>
      <c r="I1398" s="118"/>
      <c r="J1398" s="192"/>
      <c r="K1398" s="104" t="s">
        <v>25</v>
      </c>
      <c r="L1398" s="192"/>
      <c r="M1398" s="192"/>
      <c r="N1398" s="192"/>
      <c r="O1398" s="2621" t="s">
        <v>6395</v>
      </c>
      <c r="Q1398" s="118"/>
    </row>
    <row r="1399" spans="1:17" ht="18.75" customHeight="1" x14ac:dyDescent="0.3">
      <c r="A1399" s="189">
        <v>544</v>
      </c>
      <c r="B1399" s="105" t="s">
        <v>194</v>
      </c>
      <c r="C1399" s="195">
        <v>401</v>
      </c>
      <c r="D1399" s="113">
        <v>59</v>
      </c>
      <c r="E1399" s="114">
        <v>8664</v>
      </c>
      <c r="F1399" s="115">
        <v>21645</v>
      </c>
      <c r="G1399" s="116">
        <v>229</v>
      </c>
      <c r="H1399" s="1731" t="s">
        <v>41</v>
      </c>
      <c r="I1399" s="118"/>
      <c r="J1399" s="192"/>
      <c r="K1399" s="104" t="s">
        <v>25</v>
      </c>
      <c r="L1399" s="192"/>
      <c r="M1399" s="192"/>
      <c r="N1399" s="192"/>
      <c r="O1399" s="2621" t="s">
        <v>6395</v>
      </c>
      <c r="Q1399" s="118"/>
    </row>
    <row r="1400" spans="1:17" ht="18.75" customHeight="1" x14ac:dyDescent="0.3">
      <c r="A1400" s="104">
        <v>545</v>
      </c>
      <c r="B1400" s="105" t="s">
        <v>194</v>
      </c>
      <c r="C1400" s="195">
        <v>401</v>
      </c>
      <c r="D1400" s="113">
        <v>59</v>
      </c>
      <c r="E1400" s="114">
        <v>8665</v>
      </c>
      <c r="F1400" s="115">
        <v>21645</v>
      </c>
      <c r="G1400" s="116">
        <v>229</v>
      </c>
      <c r="H1400" s="1731" t="s">
        <v>41</v>
      </c>
      <c r="I1400" s="118"/>
      <c r="J1400" s="192"/>
      <c r="K1400" s="104" t="s">
        <v>25</v>
      </c>
      <c r="L1400" s="192"/>
      <c r="M1400" s="192"/>
      <c r="N1400" s="192"/>
      <c r="O1400" s="2621" t="s">
        <v>6395</v>
      </c>
      <c r="Q1400" s="118"/>
    </row>
    <row r="1401" spans="1:17" ht="18.75" customHeight="1" x14ac:dyDescent="0.3">
      <c r="A1401" s="189">
        <v>546</v>
      </c>
      <c r="B1401" s="105" t="s">
        <v>194</v>
      </c>
      <c r="C1401" s="195">
        <v>401</v>
      </c>
      <c r="D1401" s="113">
        <v>59</v>
      </c>
      <c r="E1401" s="114">
        <v>8666</v>
      </c>
      <c r="F1401" s="115">
        <v>21645</v>
      </c>
      <c r="G1401" s="116">
        <v>229</v>
      </c>
      <c r="H1401" s="1731" t="s">
        <v>41</v>
      </c>
      <c r="I1401" s="118"/>
      <c r="J1401" s="192"/>
      <c r="K1401" s="104" t="s">
        <v>25</v>
      </c>
      <c r="L1401" s="192"/>
      <c r="M1401" s="192"/>
      <c r="N1401" s="192"/>
      <c r="O1401" s="2621" t="s">
        <v>6395</v>
      </c>
      <c r="Q1401" s="118"/>
    </row>
    <row r="1402" spans="1:17" ht="18.75" customHeight="1" x14ac:dyDescent="0.3">
      <c r="A1402" s="104">
        <v>547</v>
      </c>
      <c r="B1402" s="105" t="s">
        <v>194</v>
      </c>
      <c r="C1402" s="195">
        <v>401</v>
      </c>
      <c r="D1402" s="113">
        <v>59</v>
      </c>
      <c r="E1402" s="114">
        <v>8667</v>
      </c>
      <c r="F1402" s="115">
        <v>21645</v>
      </c>
      <c r="G1402" s="116">
        <v>229</v>
      </c>
      <c r="H1402" s="1731" t="s">
        <v>41</v>
      </c>
      <c r="I1402" s="118"/>
      <c r="J1402" s="192"/>
      <c r="K1402" s="104" t="s">
        <v>25</v>
      </c>
      <c r="L1402" s="192"/>
      <c r="M1402" s="192"/>
      <c r="N1402" s="192"/>
      <c r="O1402" s="2621" t="s">
        <v>6395</v>
      </c>
      <c r="Q1402" s="118"/>
    </row>
    <row r="1403" spans="1:17" ht="18.75" customHeight="1" x14ac:dyDescent="0.3">
      <c r="A1403" s="189">
        <v>548</v>
      </c>
      <c r="B1403" s="105" t="s">
        <v>194</v>
      </c>
      <c r="C1403" s="195">
        <v>401</v>
      </c>
      <c r="D1403" s="113">
        <v>59</v>
      </c>
      <c r="E1403" s="114">
        <v>8668</v>
      </c>
      <c r="F1403" s="115">
        <v>21645</v>
      </c>
      <c r="G1403" s="116">
        <v>229</v>
      </c>
      <c r="H1403" s="1731" t="s">
        <v>41</v>
      </c>
      <c r="I1403" s="118"/>
      <c r="J1403" s="192"/>
      <c r="K1403" s="104" t="s">
        <v>25</v>
      </c>
      <c r="L1403" s="192"/>
      <c r="M1403" s="192"/>
      <c r="N1403" s="192"/>
      <c r="O1403" s="2621" t="s">
        <v>6395</v>
      </c>
      <c r="Q1403" s="118"/>
    </row>
    <row r="1404" spans="1:17" ht="18.75" customHeight="1" x14ac:dyDescent="0.3">
      <c r="A1404" s="104">
        <v>549</v>
      </c>
      <c r="B1404" s="105" t="s">
        <v>194</v>
      </c>
      <c r="C1404" s="195">
        <v>401</v>
      </c>
      <c r="D1404" s="113">
        <v>59</v>
      </c>
      <c r="E1404" s="114">
        <v>8669</v>
      </c>
      <c r="F1404" s="115">
        <v>21645</v>
      </c>
      <c r="G1404" s="116">
        <v>229</v>
      </c>
      <c r="H1404" s="1731" t="s">
        <v>41</v>
      </c>
      <c r="I1404" s="118"/>
      <c r="J1404" s="192"/>
      <c r="K1404" s="104" t="s">
        <v>25</v>
      </c>
      <c r="L1404" s="192"/>
      <c r="M1404" s="192"/>
      <c r="N1404" s="192"/>
      <c r="O1404" s="2621" t="s">
        <v>6395</v>
      </c>
      <c r="Q1404" s="118"/>
    </row>
    <row r="1405" spans="1:17" ht="18.75" customHeight="1" x14ac:dyDescent="0.3">
      <c r="A1405" s="189">
        <v>550</v>
      </c>
      <c r="B1405" s="105" t="s">
        <v>194</v>
      </c>
      <c r="C1405" s="195">
        <v>401</v>
      </c>
      <c r="D1405" s="125">
        <v>59</v>
      </c>
      <c r="E1405" s="114">
        <v>8670</v>
      </c>
      <c r="F1405" s="115">
        <v>21645</v>
      </c>
      <c r="G1405" s="116">
        <v>229</v>
      </c>
      <c r="H1405" s="1731" t="s">
        <v>41</v>
      </c>
      <c r="I1405" s="118"/>
      <c r="J1405" s="192"/>
      <c r="K1405" s="104" t="s">
        <v>25</v>
      </c>
      <c r="L1405" s="192"/>
      <c r="M1405" s="192"/>
      <c r="N1405" s="192"/>
      <c r="O1405" s="2621" t="s">
        <v>6395</v>
      </c>
      <c r="Q1405" s="118"/>
    </row>
    <row r="1406" spans="1:17" ht="18.75" customHeight="1" x14ac:dyDescent="0.3">
      <c r="A1406" s="104">
        <v>551</v>
      </c>
      <c r="B1406" s="105" t="s">
        <v>194</v>
      </c>
      <c r="C1406" s="195">
        <v>401</v>
      </c>
      <c r="D1406" s="128">
        <v>59</v>
      </c>
      <c r="E1406" s="114">
        <v>8671</v>
      </c>
      <c r="F1406" s="115">
        <v>21645</v>
      </c>
      <c r="G1406" s="116">
        <v>229</v>
      </c>
      <c r="H1406" s="1731" t="s">
        <v>41</v>
      </c>
      <c r="I1406" s="118"/>
      <c r="J1406" s="192"/>
      <c r="K1406" s="104" t="s">
        <v>25</v>
      </c>
      <c r="L1406" s="192"/>
      <c r="M1406" s="192"/>
      <c r="N1406" s="192"/>
      <c r="O1406" s="2621" t="s">
        <v>6395</v>
      </c>
      <c r="Q1406" s="118"/>
    </row>
    <row r="1407" spans="1:17" ht="18.75" customHeight="1" x14ac:dyDescent="0.3">
      <c r="A1407" s="189">
        <v>552</v>
      </c>
      <c r="B1407" s="105" t="s">
        <v>194</v>
      </c>
      <c r="C1407" s="195">
        <v>401</v>
      </c>
      <c r="D1407" s="113">
        <v>59</v>
      </c>
      <c r="E1407" s="114">
        <v>8672</v>
      </c>
      <c r="F1407" s="115">
        <v>21645</v>
      </c>
      <c r="G1407" s="116">
        <v>229</v>
      </c>
      <c r="H1407" s="1731" t="s">
        <v>41</v>
      </c>
      <c r="I1407" s="118"/>
      <c r="J1407" s="192"/>
      <c r="K1407" s="104" t="s">
        <v>25</v>
      </c>
      <c r="L1407" s="192"/>
      <c r="M1407" s="192"/>
      <c r="N1407" s="192"/>
      <c r="O1407" s="2621" t="s">
        <v>6395</v>
      </c>
      <c r="Q1407" s="118"/>
    </row>
    <row r="1408" spans="1:17" ht="18.75" customHeight="1" x14ac:dyDescent="0.3">
      <c r="A1408" s="104">
        <v>553</v>
      </c>
      <c r="B1408" s="105" t="s">
        <v>194</v>
      </c>
      <c r="C1408" s="195">
        <v>401</v>
      </c>
      <c r="D1408" s="113">
        <v>59</v>
      </c>
      <c r="E1408" s="114">
        <v>8673</v>
      </c>
      <c r="F1408" s="115">
        <v>21645</v>
      </c>
      <c r="G1408" s="116">
        <v>229</v>
      </c>
      <c r="H1408" s="1731" t="s">
        <v>41</v>
      </c>
      <c r="I1408" s="118"/>
      <c r="J1408" s="192"/>
      <c r="K1408" s="104" t="s">
        <v>25</v>
      </c>
      <c r="L1408" s="192"/>
      <c r="M1408" s="192"/>
      <c r="N1408" s="192"/>
      <c r="O1408" s="2621" t="s">
        <v>6395</v>
      </c>
      <c r="Q1408" s="118"/>
    </row>
    <row r="1409" spans="1:17" ht="18.75" customHeight="1" x14ac:dyDescent="0.3">
      <c r="A1409" s="189">
        <v>554</v>
      </c>
      <c r="B1409" s="105" t="s">
        <v>194</v>
      </c>
      <c r="C1409" s="195">
        <v>401</v>
      </c>
      <c r="D1409" s="113">
        <v>59</v>
      </c>
      <c r="E1409" s="114">
        <v>8674</v>
      </c>
      <c r="F1409" s="115">
        <v>21645</v>
      </c>
      <c r="G1409" s="116">
        <v>229</v>
      </c>
      <c r="H1409" s="1731" t="s">
        <v>41</v>
      </c>
      <c r="I1409" s="118"/>
      <c r="J1409" s="192"/>
      <c r="K1409" s="104" t="s">
        <v>25</v>
      </c>
      <c r="L1409" s="192"/>
      <c r="M1409" s="192"/>
      <c r="N1409" s="192"/>
      <c r="O1409" s="2621" t="s">
        <v>6395</v>
      </c>
      <c r="Q1409" s="118"/>
    </row>
    <row r="1410" spans="1:17" ht="18.75" customHeight="1" x14ac:dyDescent="0.3">
      <c r="A1410" s="104">
        <v>555</v>
      </c>
      <c r="B1410" s="105" t="s">
        <v>194</v>
      </c>
      <c r="C1410" s="195">
        <v>401</v>
      </c>
      <c r="D1410" s="113">
        <v>59</v>
      </c>
      <c r="E1410" s="114">
        <v>8675</v>
      </c>
      <c r="F1410" s="115">
        <v>21645</v>
      </c>
      <c r="G1410" s="116">
        <v>229</v>
      </c>
      <c r="H1410" s="1731" t="s">
        <v>41</v>
      </c>
      <c r="I1410" s="118"/>
      <c r="J1410" s="192"/>
      <c r="K1410" s="104" t="s">
        <v>25</v>
      </c>
      <c r="L1410" s="192"/>
      <c r="M1410" s="192"/>
      <c r="N1410" s="192"/>
      <c r="O1410" s="2621" t="s">
        <v>6395</v>
      </c>
      <c r="Q1410" s="118"/>
    </row>
    <row r="1411" spans="1:17" ht="18.75" customHeight="1" x14ac:dyDescent="0.3">
      <c r="A1411" s="189">
        <v>556</v>
      </c>
      <c r="B1411" s="105" t="s">
        <v>194</v>
      </c>
      <c r="C1411" s="195">
        <v>401</v>
      </c>
      <c r="D1411" s="113">
        <v>59</v>
      </c>
      <c r="E1411" s="114">
        <v>8676</v>
      </c>
      <c r="F1411" s="115">
        <v>21645</v>
      </c>
      <c r="G1411" s="116">
        <v>229</v>
      </c>
      <c r="H1411" s="1731" t="s">
        <v>41</v>
      </c>
      <c r="I1411" s="118"/>
      <c r="J1411" s="192"/>
      <c r="K1411" s="104" t="s">
        <v>25</v>
      </c>
      <c r="L1411" s="192"/>
      <c r="M1411" s="192"/>
      <c r="N1411" s="192"/>
      <c r="O1411" s="2621" t="s">
        <v>6395</v>
      </c>
      <c r="Q1411" s="118"/>
    </row>
    <row r="1412" spans="1:17" ht="18.75" customHeight="1" x14ac:dyDescent="0.3">
      <c r="A1412" s="104">
        <v>557</v>
      </c>
      <c r="B1412" s="105" t="s">
        <v>194</v>
      </c>
      <c r="C1412" s="195">
        <v>401</v>
      </c>
      <c r="D1412" s="113">
        <v>59</v>
      </c>
      <c r="E1412" s="114">
        <v>8677</v>
      </c>
      <c r="F1412" s="115">
        <v>21645</v>
      </c>
      <c r="G1412" s="116">
        <v>229</v>
      </c>
      <c r="H1412" s="1731" t="s">
        <v>41</v>
      </c>
      <c r="I1412" s="118"/>
      <c r="J1412" s="192"/>
      <c r="K1412" s="104" t="s">
        <v>25</v>
      </c>
      <c r="L1412" s="192"/>
      <c r="M1412" s="192"/>
      <c r="N1412" s="192"/>
      <c r="O1412" s="2621" t="s">
        <v>6395</v>
      </c>
      <c r="Q1412" s="118"/>
    </row>
    <row r="1413" spans="1:17" ht="18.75" customHeight="1" x14ac:dyDescent="0.3">
      <c r="A1413" s="189">
        <v>558</v>
      </c>
      <c r="B1413" s="105" t="s">
        <v>194</v>
      </c>
      <c r="C1413" s="195">
        <v>401</v>
      </c>
      <c r="D1413" s="113">
        <v>59</v>
      </c>
      <c r="E1413" s="114">
        <v>8678</v>
      </c>
      <c r="F1413" s="115">
        <v>21645</v>
      </c>
      <c r="G1413" s="116">
        <v>229</v>
      </c>
      <c r="H1413" s="1731" t="s">
        <v>41</v>
      </c>
      <c r="I1413" s="118"/>
      <c r="J1413" s="192"/>
      <c r="K1413" s="104" t="s">
        <v>25</v>
      </c>
      <c r="L1413" s="192"/>
      <c r="M1413" s="192"/>
      <c r="N1413" s="192"/>
      <c r="O1413" s="2621" t="s">
        <v>6395</v>
      </c>
      <c r="Q1413" s="118"/>
    </row>
    <row r="1414" spans="1:17" ht="18.75" customHeight="1" x14ac:dyDescent="0.3">
      <c r="A1414" s="104">
        <v>559</v>
      </c>
      <c r="B1414" s="105" t="s">
        <v>194</v>
      </c>
      <c r="C1414" s="195">
        <v>401</v>
      </c>
      <c r="D1414" s="113">
        <v>59</v>
      </c>
      <c r="E1414" s="114">
        <v>8679</v>
      </c>
      <c r="F1414" s="115">
        <v>21645</v>
      </c>
      <c r="G1414" s="116">
        <v>229</v>
      </c>
      <c r="H1414" s="1731" t="s">
        <v>41</v>
      </c>
      <c r="I1414" s="118"/>
      <c r="J1414" s="192"/>
      <c r="K1414" s="104" t="s">
        <v>25</v>
      </c>
      <c r="L1414" s="192"/>
      <c r="M1414" s="192"/>
      <c r="N1414" s="192"/>
      <c r="O1414" s="2621" t="s">
        <v>6395</v>
      </c>
      <c r="Q1414" s="118"/>
    </row>
    <row r="1415" spans="1:17" ht="18.75" customHeight="1" x14ac:dyDescent="0.3">
      <c r="A1415" s="189">
        <v>560</v>
      </c>
      <c r="B1415" s="105" t="s">
        <v>194</v>
      </c>
      <c r="C1415" s="195">
        <v>401</v>
      </c>
      <c r="D1415" s="113">
        <v>59</v>
      </c>
      <c r="E1415" s="114">
        <v>8680</v>
      </c>
      <c r="F1415" s="115">
        <v>21645</v>
      </c>
      <c r="G1415" s="116">
        <v>229</v>
      </c>
      <c r="H1415" s="1731" t="s">
        <v>41</v>
      </c>
      <c r="I1415" s="118"/>
      <c r="J1415" s="192"/>
      <c r="K1415" s="104" t="s">
        <v>25</v>
      </c>
      <c r="L1415" s="192"/>
      <c r="M1415" s="192"/>
      <c r="N1415" s="192"/>
      <c r="O1415" s="2621" t="s">
        <v>6395</v>
      </c>
      <c r="Q1415" s="118"/>
    </row>
    <row r="1416" spans="1:17" ht="18.75" customHeight="1" x14ac:dyDescent="0.3">
      <c r="A1416" s="104">
        <v>561</v>
      </c>
      <c r="B1416" s="105" t="s">
        <v>194</v>
      </c>
      <c r="C1416" s="195">
        <v>401</v>
      </c>
      <c r="D1416" s="113">
        <v>59</v>
      </c>
      <c r="E1416" s="114">
        <v>8681</v>
      </c>
      <c r="F1416" s="115">
        <v>21645</v>
      </c>
      <c r="G1416" s="116">
        <v>229</v>
      </c>
      <c r="H1416" s="1731" t="s">
        <v>41</v>
      </c>
      <c r="I1416" s="118"/>
      <c r="J1416" s="192"/>
      <c r="K1416" s="104" t="s">
        <v>25</v>
      </c>
      <c r="L1416" s="192"/>
      <c r="M1416" s="192"/>
      <c r="N1416" s="192"/>
      <c r="O1416" s="2621" t="s">
        <v>6395</v>
      </c>
      <c r="Q1416" s="118"/>
    </row>
    <row r="1417" spans="1:17" ht="18.75" customHeight="1" x14ac:dyDescent="0.3">
      <c r="A1417" s="189">
        <v>562</v>
      </c>
      <c r="B1417" s="105" t="s">
        <v>194</v>
      </c>
      <c r="C1417" s="195">
        <v>401</v>
      </c>
      <c r="D1417" s="113">
        <v>59</v>
      </c>
      <c r="E1417" s="114">
        <v>8682</v>
      </c>
      <c r="F1417" s="115">
        <v>21645</v>
      </c>
      <c r="G1417" s="116">
        <v>229</v>
      </c>
      <c r="H1417" s="1731" t="s">
        <v>41</v>
      </c>
      <c r="I1417" s="118"/>
      <c r="J1417" s="192"/>
      <c r="K1417" s="104" t="s">
        <v>25</v>
      </c>
      <c r="L1417" s="192"/>
      <c r="M1417" s="192"/>
      <c r="N1417" s="192"/>
      <c r="O1417" s="2621" t="s">
        <v>6395</v>
      </c>
      <c r="Q1417" s="118"/>
    </row>
    <row r="1418" spans="1:17" ht="18.75" customHeight="1" x14ac:dyDescent="0.3">
      <c r="A1418" s="104">
        <v>563</v>
      </c>
      <c r="B1418" s="105" t="s">
        <v>194</v>
      </c>
      <c r="C1418" s="195">
        <v>401</v>
      </c>
      <c r="D1418" s="113">
        <v>59</v>
      </c>
      <c r="E1418" s="114">
        <v>8683</v>
      </c>
      <c r="F1418" s="115">
        <v>21645</v>
      </c>
      <c r="G1418" s="116">
        <v>229</v>
      </c>
      <c r="H1418" s="1731" t="s">
        <v>41</v>
      </c>
      <c r="I1418" s="118"/>
      <c r="J1418" s="192"/>
      <c r="K1418" s="104" t="s">
        <v>25</v>
      </c>
      <c r="L1418" s="192"/>
      <c r="M1418" s="192"/>
      <c r="N1418" s="192"/>
      <c r="O1418" s="2621" t="s">
        <v>6395</v>
      </c>
      <c r="Q1418" s="118"/>
    </row>
    <row r="1419" spans="1:17" ht="18.75" customHeight="1" x14ac:dyDescent="0.3">
      <c r="A1419" s="189">
        <v>564</v>
      </c>
      <c r="B1419" s="105" t="s">
        <v>194</v>
      </c>
      <c r="C1419" s="195">
        <v>401</v>
      </c>
      <c r="D1419" s="113">
        <v>59</v>
      </c>
      <c r="E1419" s="114">
        <v>8684</v>
      </c>
      <c r="F1419" s="115">
        <v>21645</v>
      </c>
      <c r="G1419" s="116">
        <v>229</v>
      </c>
      <c r="H1419" s="1731" t="s">
        <v>41</v>
      </c>
      <c r="I1419" s="118"/>
      <c r="J1419" s="192"/>
      <c r="K1419" s="104" t="s">
        <v>25</v>
      </c>
      <c r="L1419" s="192"/>
      <c r="M1419" s="192"/>
      <c r="N1419" s="192"/>
      <c r="O1419" s="2621" t="s">
        <v>6395</v>
      </c>
      <c r="Q1419" s="118"/>
    </row>
    <row r="1420" spans="1:17" ht="18.75" customHeight="1" x14ac:dyDescent="0.3">
      <c r="A1420" s="104">
        <v>565</v>
      </c>
      <c r="B1420" s="105" t="s">
        <v>194</v>
      </c>
      <c r="C1420" s="195">
        <v>401</v>
      </c>
      <c r="D1420" s="125">
        <v>59</v>
      </c>
      <c r="E1420" s="114">
        <v>8685</v>
      </c>
      <c r="F1420" s="115">
        <v>21645</v>
      </c>
      <c r="G1420" s="116">
        <v>229</v>
      </c>
      <c r="H1420" s="1731" t="s">
        <v>41</v>
      </c>
      <c r="I1420" s="118"/>
      <c r="J1420" s="192"/>
      <c r="K1420" s="104" t="s">
        <v>25</v>
      </c>
      <c r="L1420" s="192"/>
      <c r="M1420" s="192"/>
      <c r="N1420" s="192"/>
      <c r="O1420" s="2621" t="s">
        <v>6395</v>
      </c>
      <c r="Q1420" s="118"/>
    </row>
    <row r="1421" spans="1:17" ht="18.75" customHeight="1" x14ac:dyDescent="0.3">
      <c r="A1421" s="189">
        <v>566</v>
      </c>
      <c r="B1421" s="105" t="s">
        <v>194</v>
      </c>
      <c r="C1421" s="195">
        <v>401</v>
      </c>
      <c r="D1421" s="128">
        <v>59</v>
      </c>
      <c r="E1421" s="114">
        <v>8686</v>
      </c>
      <c r="F1421" s="115">
        <v>21645</v>
      </c>
      <c r="G1421" s="116">
        <v>229</v>
      </c>
      <c r="H1421" s="1731" t="s">
        <v>41</v>
      </c>
      <c r="I1421" s="118"/>
      <c r="J1421" s="192"/>
      <c r="K1421" s="104" t="s">
        <v>25</v>
      </c>
      <c r="L1421" s="192"/>
      <c r="M1421" s="192"/>
      <c r="N1421" s="192"/>
      <c r="O1421" s="2621" t="s">
        <v>6395</v>
      </c>
      <c r="Q1421" s="118"/>
    </row>
    <row r="1422" spans="1:17" ht="18.75" customHeight="1" x14ac:dyDescent="0.3">
      <c r="A1422" s="104">
        <v>567</v>
      </c>
      <c r="B1422" s="105" t="s">
        <v>194</v>
      </c>
      <c r="C1422" s="195">
        <v>401</v>
      </c>
      <c r="D1422" s="113">
        <v>59</v>
      </c>
      <c r="E1422" s="114">
        <v>8687</v>
      </c>
      <c r="F1422" s="115">
        <v>21645</v>
      </c>
      <c r="G1422" s="116">
        <v>229</v>
      </c>
      <c r="H1422" s="1731" t="s">
        <v>41</v>
      </c>
      <c r="I1422" s="118"/>
      <c r="J1422" s="192"/>
      <c r="K1422" s="104" t="s">
        <v>25</v>
      </c>
      <c r="L1422" s="192"/>
      <c r="M1422" s="192"/>
      <c r="N1422" s="192"/>
      <c r="O1422" s="2621" t="s">
        <v>6395</v>
      </c>
      <c r="Q1422" s="118"/>
    </row>
    <row r="1423" spans="1:17" ht="18.75" customHeight="1" x14ac:dyDescent="0.3">
      <c r="A1423" s="189">
        <v>568</v>
      </c>
      <c r="B1423" s="105" t="s">
        <v>194</v>
      </c>
      <c r="C1423" s="195">
        <v>401</v>
      </c>
      <c r="D1423" s="113">
        <v>59</v>
      </c>
      <c r="E1423" s="114">
        <v>8688</v>
      </c>
      <c r="F1423" s="115">
        <v>21645</v>
      </c>
      <c r="G1423" s="116">
        <v>229</v>
      </c>
      <c r="H1423" s="1731" t="s">
        <v>41</v>
      </c>
      <c r="I1423" s="118"/>
      <c r="J1423" s="192"/>
      <c r="K1423" s="104" t="s">
        <v>25</v>
      </c>
      <c r="L1423" s="192"/>
      <c r="M1423" s="192"/>
      <c r="N1423" s="192"/>
      <c r="O1423" s="2621" t="s">
        <v>6395</v>
      </c>
      <c r="Q1423" s="118"/>
    </row>
    <row r="1424" spans="1:17" ht="18.75" customHeight="1" x14ac:dyDescent="0.3">
      <c r="A1424" s="104">
        <v>569</v>
      </c>
      <c r="B1424" s="105" t="s">
        <v>194</v>
      </c>
      <c r="C1424" s="195">
        <v>401</v>
      </c>
      <c r="D1424" s="113">
        <v>59</v>
      </c>
      <c r="E1424" s="114">
        <v>8689</v>
      </c>
      <c r="F1424" s="115">
        <v>21645</v>
      </c>
      <c r="G1424" s="116">
        <v>229</v>
      </c>
      <c r="H1424" s="1731" t="s">
        <v>41</v>
      </c>
      <c r="I1424" s="118"/>
      <c r="J1424" s="192"/>
      <c r="K1424" s="104" t="s">
        <v>25</v>
      </c>
      <c r="L1424" s="192"/>
      <c r="M1424" s="192"/>
      <c r="N1424" s="192"/>
      <c r="O1424" s="2621" t="s">
        <v>6395</v>
      </c>
      <c r="Q1424" s="118"/>
    </row>
    <row r="1425" spans="1:17" ht="18.75" customHeight="1" x14ac:dyDescent="0.3">
      <c r="A1425" s="189">
        <v>570</v>
      </c>
      <c r="B1425" s="105" t="s">
        <v>194</v>
      </c>
      <c r="C1425" s="195">
        <v>401</v>
      </c>
      <c r="D1425" s="113">
        <v>59</v>
      </c>
      <c r="E1425" s="114">
        <v>8690</v>
      </c>
      <c r="F1425" s="115">
        <v>21645</v>
      </c>
      <c r="G1425" s="116">
        <v>229</v>
      </c>
      <c r="H1425" s="1731" t="s">
        <v>41</v>
      </c>
      <c r="I1425" s="118"/>
      <c r="J1425" s="192"/>
      <c r="K1425" s="104" t="s">
        <v>25</v>
      </c>
      <c r="L1425" s="192"/>
      <c r="M1425" s="192"/>
      <c r="N1425" s="192"/>
      <c r="O1425" s="2621" t="s">
        <v>6395</v>
      </c>
      <c r="Q1425" s="118"/>
    </row>
    <row r="1426" spans="1:17" ht="18.75" customHeight="1" x14ac:dyDescent="0.3">
      <c r="A1426" s="104">
        <v>571</v>
      </c>
      <c r="B1426" s="105" t="s">
        <v>194</v>
      </c>
      <c r="C1426" s="195">
        <v>401</v>
      </c>
      <c r="D1426" s="113">
        <v>59</v>
      </c>
      <c r="E1426" s="114">
        <v>8691</v>
      </c>
      <c r="F1426" s="115">
        <v>21645</v>
      </c>
      <c r="G1426" s="116">
        <v>229</v>
      </c>
      <c r="H1426" s="1731" t="s">
        <v>41</v>
      </c>
      <c r="I1426" s="118"/>
      <c r="J1426" s="192"/>
      <c r="K1426" s="104" t="s">
        <v>25</v>
      </c>
      <c r="L1426" s="192"/>
      <c r="M1426" s="192"/>
      <c r="N1426" s="192"/>
      <c r="O1426" s="2621" t="s">
        <v>6395</v>
      </c>
      <c r="Q1426" s="118"/>
    </row>
    <row r="1427" spans="1:17" ht="18.75" customHeight="1" x14ac:dyDescent="0.3">
      <c r="A1427" s="189">
        <v>572</v>
      </c>
      <c r="B1427" s="105" t="s">
        <v>194</v>
      </c>
      <c r="C1427" s="195">
        <v>401</v>
      </c>
      <c r="D1427" s="113">
        <v>59</v>
      </c>
      <c r="E1427" s="114">
        <v>8692</v>
      </c>
      <c r="F1427" s="115">
        <v>21645</v>
      </c>
      <c r="G1427" s="116">
        <v>229</v>
      </c>
      <c r="H1427" s="1731" t="s">
        <v>41</v>
      </c>
      <c r="I1427" s="118"/>
      <c r="J1427" s="192"/>
      <c r="K1427" s="104" t="s">
        <v>25</v>
      </c>
      <c r="L1427" s="192"/>
      <c r="M1427" s="192"/>
      <c r="N1427" s="192"/>
      <c r="O1427" s="2621" t="s">
        <v>6395</v>
      </c>
      <c r="Q1427" s="118"/>
    </row>
    <row r="1428" spans="1:17" ht="18.75" customHeight="1" x14ac:dyDescent="0.3">
      <c r="A1428" s="104">
        <v>573</v>
      </c>
      <c r="B1428" s="105" t="s">
        <v>194</v>
      </c>
      <c r="C1428" s="195">
        <v>401</v>
      </c>
      <c r="D1428" s="113">
        <v>59</v>
      </c>
      <c r="E1428" s="114">
        <v>8693</v>
      </c>
      <c r="F1428" s="115">
        <v>21645</v>
      </c>
      <c r="G1428" s="116">
        <v>229</v>
      </c>
      <c r="H1428" s="1731" t="s">
        <v>41</v>
      </c>
      <c r="I1428" s="118"/>
      <c r="J1428" s="192"/>
      <c r="K1428" s="104" t="s">
        <v>25</v>
      </c>
      <c r="L1428" s="192"/>
      <c r="M1428" s="192"/>
      <c r="N1428" s="192"/>
      <c r="O1428" s="2621" t="s">
        <v>6395</v>
      </c>
      <c r="Q1428" s="118"/>
    </row>
    <row r="1429" spans="1:17" ht="18.75" customHeight="1" x14ac:dyDescent="0.3">
      <c r="A1429" s="189">
        <v>574</v>
      </c>
      <c r="B1429" s="105" t="s">
        <v>194</v>
      </c>
      <c r="C1429" s="195">
        <v>401</v>
      </c>
      <c r="D1429" s="113">
        <v>59</v>
      </c>
      <c r="E1429" s="114">
        <v>8694</v>
      </c>
      <c r="F1429" s="115">
        <v>21645</v>
      </c>
      <c r="G1429" s="116">
        <v>229</v>
      </c>
      <c r="H1429" s="1731" t="s">
        <v>41</v>
      </c>
      <c r="I1429" s="118"/>
      <c r="J1429" s="192"/>
      <c r="K1429" s="104" t="s">
        <v>25</v>
      </c>
      <c r="L1429" s="192"/>
      <c r="M1429" s="192"/>
      <c r="N1429" s="192"/>
      <c r="O1429" s="2621" t="s">
        <v>6395</v>
      </c>
      <c r="Q1429" s="118"/>
    </row>
    <row r="1430" spans="1:17" ht="18.75" customHeight="1" x14ac:dyDescent="0.3">
      <c r="A1430" s="104">
        <v>575</v>
      </c>
      <c r="B1430" s="105" t="s">
        <v>194</v>
      </c>
      <c r="C1430" s="195">
        <v>401</v>
      </c>
      <c r="D1430" s="113">
        <v>59</v>
      </c>
      <c r="E1430" s="114">
        <v>8695</v>
      </c>
      <c r="F1430" s="115">
        <v>21645</v>
      </c>
      <c r="G1430" s="116">
        <v>229</v>
      </c>
      <c r="H1430" s="1731" t="s">
        <v>41</v>
      </c>
      <c r="I1430" s="118"/>
      <c r="J1430" s="192"/>
      <c r="K1430" s="104" t="s">
        <v>25</v>
      </c>
      <c r="L1430" s="192"/>
      <c r="M1430" s="192"/>
      <c r="N1430" s="192"/>
      <c r="O1430" s="2621" t="s">
        <v>6395</v>
      </c>
      <c r="Q1430" s="118"/>
    </row>
    <row r="1431" spans="1:17" ht="18.75" customHeight="1" x14ac:dyDescent="0.3">
      <c r="A1431" s="189">
        <v>576</v>
      </c>
      <c r="B1431" s="105" t="s">
        <v>194</v>
      </c>
      <c r="C1431" s="195">
        <v>401</v>
      </c>
      <c r="D1431" s="113">
        <v>59</v>
      </c>
      <c r="E1431" s="114">
        <v>8696</v>
      </c>
      <c r="F1431" s="115">
        <v>21645</v>
      </c>
      <c r="G1431" s="116">
        <v>229</v>
      </c>
      <c r="H1431" s="1731" t="s">
        <v>41</v>
      </c>
      <c r="I1431" s="118"/>
      <c r="J1431" s="192"/>
      <c r="K1431" s="104" t="s">
        <v>25</v>
      </c>
      <c r="L1431" s="192"/>
      <c r="M1431" s="192"/>
      <c r="N1431" s="192"/>
      <c r="O1431" s="2621" t="s">
        <v>6395</v>
      </c>
      <c r="Q1431" s="118"/>
    </row>
    <row r="1432" spans="1:17" ht="18.75" customHeight="1" x14ac:dyDescent="0.3">
      <c r="A1432" s="104">
        <v>577</v>
      </c>
      <c r="B1432" s="105" t="s">
        <v>194</v>
      </c>
      <c r="C1432" s="195">
        <v>401</v>
      </c>
      <c r="D1432" s="113">
        <v>59</v>
      </c>
      <c r="E1432" s="114">
        <v>8697</v>
      </c>
      <c r="F1432" s="115">
        <v>21645</v>
      </c>
      <c r="G1432" s="116">
        <v>229</v>
      </c>
      <c r="H1432" s="1731" t="s">
        <v>41</v>
      </c>
      <c r="I1432" s="118"/>
      <c r="J1432" s="192"/>
      <c r="K1432" s="104" t="s">
        <v>25</v>
      </c>
      <c r="L1432" s="192"/>
      <c r="M1432" s="192"/>
      <c r="N1432" s="192"/>
      <c r="O1432" s="2621" t="s">
        <v>6395</v>
      </c>
      <c r="Q1432" s="118"/>
    </row>
    <row r="1433" spans="1:17" ht="18.75" customHeight="1" x14ac:dyDescent="0.3">
      <c r="A1433" s="189">
        <v>578</v>
      </c>
      <c r="B1433" s="105" t="s">
        <v>194</v>
      </c>
      <c r="C1433" s="195">
        <v>401</v>
      </c>
      <c r="D1433" s="113">
        <v>59</v>
      </c>
      <c r="E1433" s="114">
        <v>8698</v>
      </c>
      <c r="F1433" s="115">
        <v>21645</v>
      </c>
      <c r="G1433" s="116">
        <v>229</v>
      </c>
      <c r="H1433" s="1731" t="s">
        <v>41</v>
      </c>
      <c r="I1433" s="118"/>
      <c r="J1433" s="192"/>
      <c r="K1433" s="104" t="s">
        <v>25</v>
      </c>
      <c r="L1433" s="192"/>
      <c r="M1433" s="192"/>
      <c r="N1433" s="192"/>
      <c r="O1433" s="2621" t="s">
        <v>6395</v>
      </c>
      <c r="Q1433" s="118"/>
    </row>
    <row r="1434" spans="1:17" ht="18.75" customHeight="1" x14ac:dyDescent="0.3">
      <c r="A1434" s="104">
        <v>579</v>
      </c>
      <c r="B1434" s="105" t="s">
        <v>194</v>
      </c>
      <c r="C1434" s="195">
        <v>401</v>
      </c>
      <c r="D1434" s="113">
        <v>59</v>
      </c>
      <c r="E1434" s="114">
        <v>8699</v>
      </c>
      <c r="F1434" s="115">
        <v>21645</v>
      </c>
      <c r="G1434" s="116">
        <v>229</v>
      </c>
      <c r="H1434" s="1731" t="s">
        <v>41</v>
      </c>
      <c r="I1434" s="118"/>
      <c r="J1434" s="192"/>
      <c r="K1434" s="104" t="s">
        <v>25</v>
      </c>
      <c r="L1434" s="192"/>
      <c r="M1434" s="192"/>
      <c r="N1434" s="192"/>
      <c r="O1434" s="2621" t="s">
        <v>6395</v>
      </c>
      <c r="Q1434" s="118"/>
    </row>
    <row r="1435" spans="1:17" ht="18.75" customHeight="1" x14ac:dyDescent="0.3">
      <c r="A1435" s="189">
        <v>580</v>
      </c>
      <c r="B1435" s="105" t="s">
        <v>194</v>
      </c>
      <c r="C1435" s="195">
        <v>401</v>
      </c>
      <c r="D1435" s="113">
        <v>59</v>
      </c>
      <c r="E1435" s="114">
        <v>8700</v>
      </c>
      <c r="F1435" s="115">
        <v>21645</v>
      </c>
      <c r="G1435" s="116">
        <v>229</v>
      </c>
      <c r="H1435" s="1731" t="s">
        <v>41</v>
      </c>
      <c r="I1435" s="118"/>
      <c r="J1435" s="192"/>
      <c r="K1435" s="104" t="s">
        <v>25</v>
      </c>
      <c r="L1435" s="192"/>
      <c r="M1435" s="192"/>
      <c r="N1435" s="192"/>
      <c r="O1435" s="2621" t="s">
        <v>6395</v>
      </c>
      <c r="Q1435" s="118"/>
    </row>
    <row r="1436" spans="1:17" ht="18.75" customHeight="1" x14ac:dyDescent="0.3">
      <c r="A1436" s="104">
        <v>581</v>
      </c>
      <c r="B1436" s="105" t="s">
        <v>194</v>
      </c>
      <c r="C1436" s="195">
        <v>401</v>
      </c>
      <c r="D1436" s="113">
        <v>59</v>
      </c>
      <c r="E1436" s="114">
        <v>8701</v>
      </c>
      <c r="F1436" s="115">
        <v>21645</v>
      </c>
      <c r="G1436" s="116">
        <v>229</v>
      </c>
      <c r="H1436" s="1731" t="s">
        <v>41</v>
      </c>
      <c r="I1436" s="118"/>
      <c r="J1436" s="192"/>
      <c r="K1436" s="104" t="s">
        <v>25</v>
      </c>
      <c r="L1436" s="192"/>
      <c r="M1436" s="192"/>
      <c r="N1436" s="192"/>
      <c r="O1436" s="2621" t="s">
        <v>6395</v>
      </c>
      <c r="Q1436" s="118"/>
    </row>
    <row r="1437" spans="1:17" ht="18.75" customHeight="1" x14ac:dyDescent="0.3">
      <c r="A1437" s="189">
        <v>582</v>
      </c>
      <c r="B1437" s="105" t="s">
        <v>194</v>
      </c>
      <c r="C1437" s="195">
        <v>401</v>
      </c>
      <c r="D1437" s="113">
        <v>59</v>
      </c>
      <c r="E1437" s="114">
        <v>8702</v>
      </c>
      <c r="F1437" s="115">
        <v>21645</v>
      </c>
      <c r="G1437" s="116">
        <v>229</v>
      </c>
      <c r="H1437" s="1731" t="s">
        <v>41</v>
      </c>
      <c r="I1437" s="118"/>
      <c r="J1437" s="192"/>
      <c r="K1437" s="104" t="s">
        <v>25</v>
      </c>
      <c r="L1437" s="192"/>
      <c r="M1437" s="192"/>
      <c r="N1437" s="192"/>
      <c r="O1437" s="2621" t="s">
        <v>6395</v>
      </c>
      <c r="Q1437" s="118"/>
    </row>
    <row r="1438" spans="1:17" ht="18.75" customHeight="1" x14ac:dyDescent="0.3">
      <c r="A1438" s="104">
        <v>583</v>
      </c>
      <c r="B1438" s="105" t="s">
        <v>194</v>
      </c>
      <c r="C1438" s="195">
        <v>401</v>
      </c>
      <c r="D1438" s="113">
        <v>59</v>
      </c>
      <c r="E1438" s="114">
        <v>8703</v>
      </c>
      <c r="F1438" s="115">
        <v>21645</v>
      </c>
      <c r="G1438" s="116">
        <v>229</v>
      </c>
      <c r="H1438" s="1731" t="s">
        <v>41</v>
      </c>
      <c r="I1438" s="118"/>
      <c r="J1438" s="192"/>
      <c r="K1438" s="104" t="s">
        <v>25</v>
      </c>
      <c r="L1438" s="192"/>
      <c r="M1438" s="192"/>
      <c r="N1438" s="192"/>
      <c r="O1438" s="2621" t="s">
        <v>6395</v>
      </c>
      <c r="Q1438" s="118"/>
    </row>
    <row r="1439" spans="1:17" ht="18.75" customHeight="1" x14ac:dyDescent="0.3">
      <c r="A1439" s="189">
        <v>584</v>
      </c>
      <c r="B1439" s="105" t="s">
        <v>194</v>
      </c>
      <c r="C1439" s="195">
        <v>401</v>
      </c>
      <c r="D1439" s="113">
        <v>59</v>
      </c>
      <c r="E1439" s="114">
        <v>8704</v>
      </c>
      <c r="F1439" s="115">
        <v>21645</v>
      </c>
      <c r="G1439" s="116">
        <v>229</v>
      </c>
      <c r="H1439" s="1731" t="s">
        <v>41</v>
      </c>
      <c r="I1439" s="118"/>
      <c r="J1439" s="192"/>
      <c r="K1439" s="104" t="s">
        <v>25</v>
      </c>
      <c r="L1439" s="192"/>
      <c r="M1439" s="192"/>
      <c r="N1439" s="192"/>
      <c r="O1439" s="2621" t="s">
        <v>6395</v>
      </c>
      <c r="Q1439" s="118"/>
    </row>
    <row r="1440" spans="1:17" ht="18.75" customHeight="1" x14ac:dyDescent="0.3">
      <c r="A1440" s="104">
        <v>585</v>
      </c>
      <c r="B1440" s="105" t="s">
        <v>194</v>
      </c>
      <c r="C1440" s="195">
        <v>401</v>
      </c>
      <c r="D1440" s="113">
        <v>59</v>
      </c>
      <c r="E1440" s="114">
        <v>8705</v>
      </c>
      <c r="F1440" s="115">
        <v>21645</v>
      </c>
      <c r="G1440" s="116">
        <v>229</v>
      </c>
      <c r="H1440" s="1731" t="s">
        <v>41</v>
      </c>
      <c r="I1440" s="118"/>
      <c r="J1440" s="192"/>
      <c r="K1440" s="104" t="s">
        <v>25</v>
      </c>
      <c r="L1440" s="192"/>
      <c r="M1440" s="192"/>
      <c r="N1440" s="192"/>
      <c r="O1440" s="2621" t="s">
        <v>6395</v>
      </c>
      <c r="Q1440" s="118"/>
    </row>
    <row r="1441" spans="1:17" ht="18.75" customHeight="1" x14ac:dyDescent="0.3">
      <c r="A1441" s="189">
        <v>586</v>
      </c>
      <c r="B1441" s="105" t="s">
        <v>194</v>
      </c>
      <c r="C1441" s="195">
        <v>401</v>
      </c>
      <c r="D1441" s="113">
        <v>59</v>
      </c>
      <c r="E1441" s="114">
        <v>8706</v>
      </c>
      <c r="F1441" s="115">
        <v>21645</v>
      </c>
      <c r="G1441" s="116">
        <v>229</v>
      </c>
      <c r="H1441" s="1731" t="s">
        <v>41</v>
      </c>
      <c r="I1441" s="118"/>
      <c r="J1441" s="192"/>
      <c r="K1441" s="104" t="s">
        <v>25</v>
      </c>
      <c r="L1441" s="192"/>
      <c r="M1441" s="192"/>
      <c r="N1441" s="192"/>
      <c r="O1441" s="2621" t="s">
        <v>6395</v>
      </c>
      <c r="Q1441" s="118"/>
    </row>
    <row r="1442" spans="1:17" ht="18.75" customHeight="1" x14ac:dyDescent="0.3">
      <c r="A1442" s="104">
        <v>587</v>
      </c>
      <c r="B1442" s="105" t="s">
        <v>195</v>
      </c>
      <c r="C1442" s="195">
        <v>401</v>
      </c>
      <c r="D1442" s="113">
        <v>63</v>
      </c>
      <c r="E1442" s="114">
        <v>9374</v>
      </c>
      <c r="F1442" s="115">
        <v>22968</v>
      </c>
      <c r="G1442" s="116">
        <v>327.10000000000002</v>
      </c>
      <c r="H1442" s="1741" t="s">
        <v>168</v>
      </c>
      <c r="I1442" s="118" t="s">
        <v>25</v>
      </c>
      <c r="J1442" s="83"/>
      <c r="K1442" s="939"/>
      <c r="L1442" s="83"/>
      <c r="M1442" s="83"/>
      <c r="N1442" s="83"/>
      <c r="O1442" s="197"/>
      <c r="Q1442" s="118" t="s">
        <v>25</v>
      </c>
    </row>
    <row r="1443" spans="1:17" ht="18.75" customHeight="1" x14ac:dyDescent="0.3">
      <c r="A1443" s="189">
        <v>588</v>
      </c>
      <c r="B1443" s="105" t="s">
        <v>195</v>
      </c>
      <c r="C1443" s="195">
        <v>401</v>
      </c>
      <c r="D1443" s="125">
        <v>63</v>
      </c>
      <c r="E1443" s="114">
        <v>9375</v>
      </c>
      <c r="F1443" s="115">
        <v>22968</v>
      </c>
      <c r="G1443" s="116">
        <v>327.10000000000002</v>
      </c>
      <c r="H1443" s="1741" t="s">
        <v>168</v>
      </c>
      <c r="I1443" s="118"/>
      <c r="J1443" s="83" t="s">
        <v>25</v>
      </c>
      <c r="K1443" s="939"/>
      <c r="L1443" s="118"/>
      <c r="M1443" s="83"/>
      <c r="N1443" s="83"/>
      <c r="O1443" s="2819" t="s">
        <v>6395</v>
      </c>
      <c r="Q1443" s="118"/>
    </row>
    <row r="1444" spans="1:17" ht="18.75" customHeight="1" x14ac:dyDescent="0.3">
      <c r="A1444" s="104">
        <v>589</v>
      </c>
      <c r="B1444" s="105" t="s">
        <v>195</v>
      </c>
      <c r="C1444" s="195">
        <v>401</v>
      </c>
      <c r="D1444" s="127">
        <v>63</v>
      </c>
      <c r="E1444" s="114">
        <v>9376</v>
      </c>
      <c r="F1444" s="115">
        <v>22968</v>
      </c>
      <c r="G1444" s="116">
        <v>327.10000000000002</v>
      </c>
      <c r="H1444" s="1741" t="s">
        <v>168</v>
      </c>
      <c r="I1444" s="118"/>
      <c r="J1444" s="83" t="s">
        <v>25</v>
      </c>
      <c r="K1444" s="939"/>
      <c r="L1444" s="118"/>
      <c r="M1444" s="83"/>
      <c r="N1444" s="83"/>
      <c r="O1444" s="2819" t="s">
        <v>6395</v>
      </c>
      <c r="Q1444" s="118"/>
    </row>
    <row r="1445" spans="1:17" ht="18.75" customHeight="1" x14ac:dyDescent="0.3">
      <c r="A1445" s="189">
        <v>590</v>
      </c>
      <c r="B1445" s="105" t="s">
        <v>195</v>
      </c>
      <c r="C1445" s="195">
        <v>401</v>
      </c>
      <c r="D1445" s="128">
        <v>63</v>
      </c>
      <c r="E1445" s="114">
        <v>9377</v>
      </c>
      <c r="F1445" s="115">
        <v>22968</v>
      </c>
      <c r="G1445" s="116">
        <v>327.10000000000002</v>
      </c>
      <c r="H1445" s="1741" t="s">
        <v>168</v>
      </c>
      <c r="I1445" s="118"/>
      <c r="J1445" s="83" t="s">
        <v>25</v>
      </c>
      <c r="K1445" s="939"/>
      <c r="L1445" s="118"/>
      <c r="M1445" s="83"/>
      <c r="N1445" s="83"/>
      <c r="O1445" s="2819" t="s">
        <v>6395</v>
      </c>
      <c r="Q1445" s="118"/>
    </row>
    <row r="1446" spans="1:17" ht="18.75" customHeight="1" x14ac:dyDescent="0.3">
      <c r="A1446" s="104">
        <v>591</v>
      </c>
      <c r="B1446" s="105" t="s">
        <v>195</v>
      </c>
      <c r="C1446" s="195">
        <v>401</v>
      </c>
      <c r="D1446" s="113">
        <v>63</v>
      </c>
      <c r="E1446" s="114">
        <v>9378</v>
      </c>
      <c r="F1446" s="115">
        <v>22968</v>
      </c>
      <c r="G1446" s="116">
        <v>327.10000000000002</v>
      </c>
      <c r="H1446" s="1741" t="s">
        <v>168</v>
      </c>
      <c r="I1446" s="118" t="s">
        <v>25</v>
      </c>
      <c r="J1446" s="83"/>
      <c r="K1446" s="939"/>
      <c r="L1446" s="83"/>
      <c r="M1446" s="83"/>
      <c r="N1446" s="83"/>
      <c r="O1446" s="197"/>
      <c r="Q1446" s="118" t="s">
        <v>25</v>
      </c>
    </row>
    <row r="1447" spans="1:17" ht="18.75" customHeight="1" x14ac:dyDescent="0.3">
      <c r="A1447" s="189">
        <v>592</v>
      </c>
      <c r="B1447" s="105" t="s">
        <v>195</v>
      </c>
      <c r="C1447" s="195">
        <v>401</v>
      </c>
      <c r="D1447" s="113">
        <v>63</v>
      </c>
      <c r="E1447" s="114">
        <v>9379</v>
      </c>
      <c r="F1447" s="115">
        <v>22968</v>
      </c>
      <c r="G1447" s="116">
        <v>327.10000000000002</v>
      </c>
      <c r="H1447" s="1741" t="s">
        <v>168</v>
      </c>
      <c r="I1447" s="118" t="s">
        <v>25</v>
      </c>
      <c r="J1447" s="83"/>
      <c r="K1447" s="939"/>
      <c r="L1447" s="83"/>
      <c r="M1447" s="83"/>
      <c r="N1447" s="83"/>
      <c r="O1447" s="197"/>
      <c r="Q1447" s="118" t="s">
        <v>25</v>
      </c>
    </row>
    <row r="1448" spans="1:17" ht="18.75" customHeight="1" x14ac:dyDescent="0.3">
      <c r="A1448" s="104">
        <v>593</v>
      </c>
      <c r="B1448" s="105" t="s">
        <v>195</v>
      </c>
      <c r="C1448" s="195">
        <v>401</v>
      </c>
      <c r="D1448" s="113">
        <v>63</v>
      </c>
      <c r="E1448" s="114">
        <v>9380</v>
      </c>
      <c r="F1448" s="115">
        <v>22968</v>
      </c>
      <c r="G1448" s="116">
        <v>327.10000000000002</v>
      </c>
      <c r="H1448" s="1741" t="s">
        <v>168</v>
      </c>
      <c r="I1448" s="118" t="s">
        <v>25</v>
      </c>
      <c r="J1448" s="83"/>
      <c r="K1448" s="939"/>
      <c r="L1448" s="83"/>
      <c r="M1448" s="83"/>
      <c r="N1448" s="83"/>
      <c r="O1448" s="197"/>
      <c r="Q1448" s="118" t="s">
        <v>25</v>
      </c>
    </row>
    <row r="1449" spans="1:17" ht="18.75" customHeight="1" x14ac:dyDescent="0.3">
      <c r="A1449" s="189">
        <v>594</v>
      </c>
      <c r="B1449" s="105" t="s">
        <v>195</v>
      </c>
      <c r="C1449" s="195">
        <v>401</v>
      </c>
      <c r="D1449" s="113">
        <v>63</v>
      </c>
      <c r="E1449" s="114">
        <v>9381</v>
      </c>
      <c r="F1449" s="115">
        <v>22968</v>
      </c>
      <c r="G1449" s="116">
        <v>327.10000000000002</v>
      </c>
      <c r="H1449" s="1741" t="s">
        <v>168</v>
      </c>
      <c r="I1449" s="118" t="s">
        <v>25</v>
      </c>
      <c r="J1449" s="83"/>
      <c r="K1449" s="939"/>
      <c r="L1449" s="83"/>
      <c r="M1449" s="83"/>
      <c r="N1449" s="83"/>
      <c r="O1449" s="197"/>
      <c r="Q1449" s="118" t="s">
        <v>25</v>
      </c>
    </row>
    <row r="1450" spans="1:17" ht="18.75" customHeight="1" x14ac:dyDescent="0.3">
      <c r="A1450" s="104">
        <v>595</v>
      </c>
      <c r="B1450" s="105" t="s">
        <v>195</v>
      </c>
      <c r="C1450" s="195">
        <v>401</v>
      </c>
      <c r="D1450" s="113">
        <v>63</v>
      </c>
      <c r="E1450" s="114">
        <v>9382</v>
      </c>
      <c r="F1450" s="115">
        <v>22968</v>
      </c>
      <c r="G1450" s="116">
        <v>327.10000000000002</v>
      </c>
      <c r="H1450" s="1741" t="s">
        <v>168</v>
      </c>
      <c r="I1450" s="118"/>
      <c r="J1450" s="83" t="s">
        <v>25</v>
      </c>
      <c r="K1450" s="939"/>
      <c r="L1450" s="118"/>
      <c r="M1450" s="83"/>
      <c r="N1450" s="83"/>
      <c r="O1450" s="2819" t="s">
        <v>6395</v>
      </c>
      <c r="Q1450" s="118"/>
    </row>
    <row r="1451" spans="1:17" ht="18.75" customHeight="1" x14ac:dyDescent="0.3">
      <c r="A1451" s="189">
        <v>596</v>
      </c>
      <c r="B1451" s="105" t="s">
        <v>195</v>
      </c>
      <c r="C1451" s="195">
        <v>401</v>
      </c>
      <c r="D1451" s="113">
        <v>63</v>
      </c>
      <c r="E1451" s="114">
        <v>9383</v>
      </c>
      <c r="F1451" s="115">
        <v>22968</v>
      </c>
      <c r="G1451" s="116">
        <v>327.10000000000002</v>
      </c>
      <c r="H1451" s="1741" t="s">
        <v>168</v>
      </c>
      <c r="I1451" s="118" t="s">
        <v>25</v>
      </c>
      <c r="J1451" s="83"/>
      <c r="K1451" s="939"/>
      <c r="L1451" s="83"/>
      <c r="M1451" s="83"/>
      <c r="N1451" s="83"/>
      <c r="O1451" s="197"/>
      <c r="Q1451" s="118" t="s">
        <v>25</v>
      </c>
    </row>
    <row r="1452" spans="1:17" ht="18.75" customHeight="1" x14ac:dyDescent="0.3">
      <c r="A1452" s="104">
        <v>597</v>
      </c>
      <c r="B1452" s="105" t="s">
        <v>195</v>
      </c>
      <c r="C1452" s="195">
        <v>401</v>
      </c>
      <c r="D1452" s="113">
        <v>63</v>
      </c>
      <c r="E1452" s="114">
        <v>9384</v>
      </c>
      <c r="F1452" s="115">
        <v>22968</v>
      </c>
      <c r="G1452" s="116">
        <v>327.10000000000002</v>
      </c>
      <c r="H1452" s="1741" t="s">
        <v>168</v>
      </c>
      <c r="I1452" s="118" t="s">
        <v>25</v>
      </c>
      <c r="J1452" s="83"/>
      <c r="K1452" s="939"/>
      <c r="L1452" s="83"/>
      <c r="M1452" s="83"/>
      <c r="N1452" s="83"/>
      <c r="O1452" s="197"/>
      <c r="Q1452" s="118" t="s">
        <v>25</v>
      </c>
    </row>
    <row r="1453" spans="1:17" ht="18.75" customHeight="1" x14ac:dyDescent="0.3">
      <c r="A1453" s="189">
        <v>598</v>
      </c>
      <c r="B1453" s="105" t="s">
        <v>195</v>
      </c>
      <c r="C1453" s="129">
        <v>401</v>
      </c>
      <c r="D1453" s="113">
        <v>63</v>
      </c>
      <c r="E1453" s="114">
        <v>9385</v>
      </c>
      <c r="F1453" s="115">
        <v>22968</v>
      </c>
      <c r="G1453" s="116">
        <v>327.10000000000002</v>
      </c>
      <c r="H1453" s="1741" t="s">
        <v>168</v>
      </c>
      <c r="I1453" s="118" t="s">
        <v>25</v>
      </c>
      <c r="J1453" s="83"/>
      <c r="K1453" s="939"/>
      <c r="L1453" s="83"/>
      <c r="M1453" s="83"/>
      <c r="N1453" s="83"/>
      <c r="O1453" s="197"/>
      <c r="Q1453" s="118" t="s">
        <v>25</v>
      </c>
    </row>
    <row r="1454" spans="1:17" ht="18.75" customHeight="1" x14ac:dyDescent="0.3">
      <c r="A1454" s="104">
        <v>599</v>
      </c>
      <c r="B1454" s="105" t="s">
        <v>195</v>
      </c>
      <c r="C1454" s="129">
        <v>401</v>
      </c>
      <c r="D1454" s="125">
        <v>63</v>
      </c>
      <c r="E1454" s="114">
        <v>9386</v>
      </c>
      <c r="F1454" s="115">
        <v>22968</v>
      </c>
      <c r="G1454" s="116">
        <v>327.10000000000002</v>
      </c>
      <c r="H1454" s="1741" t="s">
        <v>168</v>
      </c>
      <c r="I1454" s="118" t="s">
        <v>25</v>
      </c>
      <c r="J1454" s="83"/>
      <c r="K1454" s="939"/>
      <c r="L1454" s="83"/>
      <c r="M1454" s="83"/>
      <c r="N1454" s="83"/>
      <c r="O1454" s="197"/>
      <c r="Q1454" s="118" t="s">
        <v>25</v>
      </c>
    </row>
    <row r="1455" spans="1:17" ht="18.75" customHeight="1" x14ac:dyDescent="0.3">
      <c r="A1455" s="189">
        <v>600</v>
      </c>
      <c r="B1455" s="105" t="s">
        <v>195</v>
      </c>
      <c r="C1455" s="129">
        <v>401</v>
      </c>
      <c r="D1455" s="127">
        <v>63</v>
      </c>
      <c r="E1455" s="114">
        <v>9387</v>
      </c>
      <c r="F1455" s="115">
        <v>22968</v>
      </c>
      <c r="G1455" s="116">
        <v>327.10000000000002</v>
      </c>
      <c r="H1455" s="1741" t="s">
        <v>168</v>
      </c>
      <c r="I1455" s="118"/>
      <c r="J1455" s="83" t="s">
        <v>25</v>
      </c>
      <c r="K1455" s="939"/>
      <c r="L1455" s="118"/>
      <c r="M1455" s="83"/>
      <c r="N1455" s="83"/>
      <c r="O1455" s="2819" t="s">
        <v>6395</v>
      </c>
      <c r="Q1455" s="118"/>
    </row>
    <row r="1456" spans="1:17" ht="18.75" customHeight="1" x14ac:dyDescent="0.3">
      <c r="A1456" s="104">
        <v>601</v>
      </c>
      <c r="B1456" s="105" t="s">
        <v>195</v>
      </c>
      <c r="C1456" s="129">
        <v>401</v>
      </c>
      <c r="D1456" s="128">
        <v>63</v>
      </c>
      <c r="E1456" s="114">
        <v>9388</v>
      </c>
      <c r="F1456" s="115">
        <v>22968</v>
      </c>
      <c r="G1456" s="116">
        <v>327.10000000000002</v>
      </c>
      <c r="H1456" s="1741" t="s">
        <v>168</v>
      </c>
      <c r="I1456" s="118" t="s">
        <v>25</v>
      </c>
      <c r="J1456" s="83"/>
      <c r="K1456" s="939"/>
      <c r="L1456" s="83"/>
      <c r="M1456" s="83"/>
      <c r="N1456" s="83"/>
      <c r="O1456" s="197"/>
      <c r="Q1456" s="118" t="s">
        <v>25</v>
      </c>
    </row>
    <row r="1457" spans="1:17" ht="18.75" customHeight="1" x14ac:dyDescent="0.3">
      <c r="A1457" s="189">
        <v>602</v>
      </c>
      <c r="B1457" s="105" t="s">
        <v>195</v>
      </c>
      <c r="C1457" s="129">
        <v>401</v>
      </c>
      <c r="D1457" s="113">
        <v>63</v>
      </c>
      <c r="E1457" s="114">
        <v>9389</v>
      </c>
      <c r="F1457" s="115">
        <v>22968</v>
      </c>
      <c r="G1457" s="116">
        <v>327.10000000000002</v>
      </c>
      <c r="H1457" s="1741" t="s">
        <v>168</v>
      </c>
      <c r="I1457" s="118"/>
      <c r="J1457" s="83" t="s">
        <v>25</v>
      </c>
      <c r="K1457" s="939"/>
      <c r="L1457" s="118"/>
      <c r="M1457" s="83"/>
      <c r="N1457" s="83"/>
      <c r="O1457" s="2819" t="s">
        <v>6395</v>
      </c>
      <c r="Q1457" s="118"/>
    </row>
    <row r="1458" spans="1:17" ht="18.75" customHeight="1" x14ac:dyDescent="0.3">
      <c r="A1458" s="104">
        <v>603</v>
      </c>
      <c r="B1458" s="105" t="s">
        <v>195</v>
      </c>
      <c r="C1458" s="129">
        <v>401</v>
      </c>
      <c r="D1458" s="113">
        <v>63</v>
      </c>
      <c r="E1458" s="114">
        <v>9390</v>
      </c>
      <c r="F1458" s="115">
        <v>22968</v>
      </c>
      <c r="G1458" s="116">
        <v>327.10000000000002</v>
      </c>
      <c r="H1458" s="1741" t="s">
        <v>168</v>
      </c>
      <c r="I1458" s="118" t="s">
        <v>25</v>
      </c>
      <c r="J1458" s="83"/>
      <c r="K1458" s="939"/>
      <c r="L1458" s="83"/>
      <c r="M1458" s="83"/>
      <c r="N1458" s="83"/>
      <c r="O1458" s="197"/>
      <c r="Q1458" s="118" t="s">
        <v>25</v>
      </c>
    </row>
    <row r="1459" spans="1:17" ht="18.75" customHeight="1" x14ac:dyDescent="0.3">
      <c r="A1459" s="189">
        <v>604</v>
      </c>
      <c r="B1459" s="105" t="s">
        <v>195</v>
      </c>
      <c r="C1459" s="129">
        <v>401</v>
      </c>
      <c r="D1459" s="113">
        <v>63</v>
      </c>
      <c r="E1459" s="114">
        <v>9391</v>
      </c>
      <c r="F1459" s="115">
        <v>22968</v>
      </c>
      <c r="G1459" s="116">
        <v>327.10000000000002</v>
      </c>
      <c r="H1459" s="1741" t="s">
        <v>168</v>
      </c>
      <c r="I1459" s="118"/>
      <c r="J1459" s="83" t="s">
        <v>25</v>
      </c>
      <c r="K1459" s="939"/>
      <c r="L1459" s="118"/>
      <c r="M1459" s="83"/>
      <c r="N1459" s="83"/>
      <c r="O1459" s="2819" t="s">
        <v>6395</v>
      </c>
      <c r="Q1459" s="118"/>
    </row>
    <row r="1460" spans="1:17" ht="18.75" customHeight="1" x14ac:dyDescent="0.3">
      <c r="A1460" s="104">
        <v>605</v>
      </c>
      <c r="B1460" s="105" t="s">
        <v>195</v>
      </c>
      <c r="C1460" s="129">
        <v>401</v>
      </c>
      <c r="D1460" s="113">
        <v>63</v>
      </c>
      <c r="E1460" s="114">
        <v>9392</v>
      </c>
      <c r="F1460" s="115">
        <v>22968</v>
      </c>
      <c r="G1460" s="116">
        <v>327.10000000000002</v>
      </c>
      <c r="H1460" s="1741" t="s">
        <v>168</v>
      </c>
      <c r="I1460" s="118"/>
      <c r="J1460" s="83" t="s">
        <v>25</v>
      </c>
      <c r="K1460" s="939"/>
      <c r="L1460" s="118"/>
      <c r="M1460" s="83"/>
      <c r="N1460" s="83"/>
      <c r="O1460" s="2819" t="s">
        <v>6395</v>
      </c>
      <c r="Q1460" s="118"/>
    </row>
    <row r="1461" spans="1:17" ht="18.75" customHeight="1" x14ac:dyDescent="0.3">
      <c r="A1461" s="189">
        <v>606</v>
      </c>
      <c r="B1461" s="105" t="s">
        <v>195</v>
      </c>
      <c r="C1461" s="129">
        <v>401</v>
      </c>
      <c r="D1461" s="113">
        <v>63</v>
      </c>
      <c r="E1461" s="114">
        <v>9393</v>
      </c>
      <c r="F1461" s="115">
        <v>22968</v>
      </c>
      <c r="G1461" s="116">
        <v>327.10000000000002</v>
      </c>
      <c r="H1461" s="1741" t="s">
        <v>168</v>
      </c>
      <c r="I1461" s="118"/>
      <c r="J1461" s="83" t="s">
        <v>25</v>
      </c>
      <c r="K1461" s="939"/>
      <c r="L1461" s="118"/>
      <c r="M1461" s="83"/>
      <c r="N1461" s="83"/>
      <c r="O1461" s="2819" t="s">
        <v>6395</v>
      </c>
      <c r="Q1461" s="118"/>
    </row>
    <row r="1462" spans="1:17" ht="18.75" customHeight="1" x14ac:dyDescent="0.3">
      <c r="A1462" s="104">
        <v>607</v>
      </c>
      <c r="B1462" s="105" t="s">
        <v>195</v>
      </c>
      <c r="C1462" s="129">
        <v>401</v>
      </c>
      <c r="D1462" s="113">
        <v>63</v>
      </c>
      <c r="E1462" s="114">
        <v>9394</v>
      </c>
      <c r="F1462" s="115">
        <v>22968</v>
      </c>
      <c r="G1462" s="116">
        <v>327.10000000000002</v>
      </c>
      <c r="H1462" s="1741" t="s">
        <v>168</v>
      </c>
      <c r="I1462" s="118"/>
      <c r="J1462" s="83" t="s">
        <v>25</v>
      </c>
      <c r="K1462" s="939"/>
      <c r="L1462" s="118"/>
      <c r="M1462" s="83"/>
      <c r="N1462" s="83"/>
      <c r="O1462" s="2819" t="s">
        <v>6395</v>
      </c>
      <c r="Q1462" s="118"/>
    </row>
    <row r="1463" spans="1:17" ht="18.75" customHeight="1" x14ac:dyDescent="0.3">
      <c r="A1463" s="189">
        <v>608</v>
      </c>
      <c r="B1463" s="105" t="s">
        <v>195</v>
      </c>
      <c r="C1463" s="129">
        <v>401</v>
      </c>
      <c r="D1463" s="113">
        <v>63</v>
      </c>
      <c r="E1463" s="114">
        <v>9395</v>
      </c>
      <c r="F1463" s="115">
        <v>22968</v>
      </c>
      <c r="G1463" s="116">
        <v>327.10000000000002</v>
      </c>
      <c r="H1463" s="1741" t="s">
        <v>168</v>
      </c>
      <c r="I1463" s="118" t="s">
        <v>25</v>
      </c>
      <c r="J1463" s="83"/>
      <c r="K1463" s="939"/>
      <c r="L1463" s="83"/>
      <c r="M1463" s="83"/>
      <c r="N1463" s="83"/>
      <c r="O1463" s="197"/>
      <c r="Q1463" s="118" t="s">
        <v>25</v>
      </c>
    </row>
    <row r="1464" spans="1:17" ht="18.75" customHeight="1" x14ac:dyDescent="0.3">
      <c r="A1464" s="104">
        <v>609</v>
      </c>
      <c r="B1464" s="105" t="s">
        <v>195</v>
      </c>
      <c r="C1464" s="129">
        <v>401</v>
      </c>
      <c r="D1464" s="113">
        <v>63</v>
      </c>
      <c r="E1464" s="114">
        <v>9396</v>
      </c>
      <c r="F1464" s="115">
        <v>22968</v>
      </c>
      <c r="G1464" s="116">
        <v>327.10000000000002</v>
      </c>
      <c r="H1464" s="1741" t="s">
        <v>168</v>
      </c>
      <c r="I1464" s="118" t="s">
        <v>25</v>
      </c>
      <c r="J1464" s="83"/>
      <c r="K1464" s="939"/>
      <c r="L1464" s="83"/>
      <c r="M1464" s="83"/>
      <c r="N1464" s="83"/>
      <c r="O1464" s="197"/>
      <c r="Q1464" s="118" t="s">
        <v>25</v>
      </c>
    </row>
    <row r="1465" spans="1:17" ht="18.75" customHeight="1" x14ac:dyDescent="0.3">
      <c r="A1465" s="189">
        <v>610</v>
      </c>
      <c r="B1465" s="105" t="s">
        <v>195</v>
      </c>
      <c r="C1465" s="129">
        <v>401</v>
      </c>
      <c r="D1465" s="113">
        <v>63</v>
      </c>
      <c r="E1465" s="114">
        <v>9397</v>
      </c>
      <c r="F1465" s="115">
        <v>22968</v>
      </c>
      <c r="G1465" s="116">
        <v>327.10000000000002</v>
      </c>
      <c r="H1465" s="1741" t="s">
        <v>168</v>
      </c>
      <c r="I1465" s="118" t="s">
        <v>25</v>
      </c>
      <c r="J1465" s="83"/>
      <c r="K1465" s="939"/>
      <c r="L1465" s="83"/>
      <c r="M1465" s="83"/>
      <c r="N1465" s="83"/>
      <c r="O1465" s="197"/>
      <c r="Q1465" s="118" t="s">
        <v>25</v>
      </c>
    </row>
    <row r="1466" spans="1:17" ht="18.75" customHeight="1" x14ac:dyDescent="0.3">
      <c r="A1466" s="104">
        <v>611</v>
      </c>
      <c r="B1466" s="105" t="s">
        <v>195</v>
      </c>
      <c r="C1466" s="129">
        <v>401</v>
      </c>
      <c r="D1466" s="125">
        <v>63</v>
      </c>
      <c r="E1466" s="114">
        <v>9398</v>
      </c>
      <c r="F1466" s="115">
        <v>22968</v>
      </c>
      <c r="G1466" s="116">
        <v>327.10000000000002</v>
      </c>
      <c r="H1466" s="1741" t="s">
        <v>168</v>
      </c>
      <c r="I1466" s="118" t="s">
        <v>25</v>
      </c>
      <c r="J1466" s="83"/>
      <c r="K1466" s="939"/>
      <c r="L1466" s="83"/>
      <c r="M1466" s="83"/>
      <c r="N1466" s="83"/>
      <c r="O1466" s="197"/>
      <c r="Q1466" s="118" t="s">
        <v>25</v>
      </c>
    </row>
    <row r="1467" spans="1:17" ht="18.75" customHeight="1" x14ac:dyDescent="0.3">
      <c r="A1467" s="189">
        <v>612</v>
      </c>
      <c r="B1467" s="105" t="s">
        <v>195</v>
      </c>
      <c r="C1467" s="129">
        <v>401</v>
      </c>
      <c r="D1467" s="128">
        <v>63</v>
      </c>
      <c r="E1467" s="114">
        <v>9399</v>
      </c>
      <c r="F1467" s="115">
        <v>22968</v>
      </c>
      <c r="G1467" s="116">
        <v>327.10000000000002</v>
      </c>
      <c r="H1467" s="1741" t="s">
        <v>168</v>
      </c>
      <c r="I1467" s="118" t="s">
        <v>25</v>
      </c>
      <c r="J1467" s="83"/>
      <c r="K1467" s="939"/>
      <c r="L1467" s="83"/>
      <c r="M1467" s="83"/>
      <c r="N1467" s="83"/>
      <c r="O1467" s="197"/>
      <c r="Q1467" s="118" t="s">
        <v>25</v>
      </c>
    </row>
    <row r="1468" spans="1:17" ht="18.75" customHeight="1" x14ac:dyDescent="0.3">
      <c r="A1468" s="104">
        <v>613</v>
      </c>
      <c r="B1468" s="105" t="s">
        <v>195</v>
      </c>
      <c r="C1468" s="129">
        <v>401</v>
      </c>
      <c r="D1468" s="113">
        <v>63</v>
      </c>
      <c r="E1468" s="114">
        <v>9400</v>
      </c>
      <c r="F1468" s="115">
        <v>22968</v>
      </c>
      <c r="G1468" s="116">
        <v>327.10000000000002</v>
      </c>
      <c r="H1468" s="1741" t="s">
        <v>168</v>
      </c>
      <c r="I1468" s="118" t="s">
        <v>25</v>
      </c>
      <c r="J1468" s="83"/>
      <c r="K1468" s="939"/>
      <c r="L1468" s="83"/>
      <c r="M1468" s="83"/>
      <c r="N1468" s="83"/>
      <c r="O1468" s="197"/>
      <c r="Q1468" s="118" t="s">
        <v>25</v>
      </c>
    </row>
    <row r="1469" spans="1:17" ht="18.75" customHeight="1" x14ac:dyDescent="0.3">
      <c r="A1469" s="189">
        <v>614</v>
      </c>
      <c r="B1469" s="105" t="s">
        <v>195</v>
      </c>
      <c r="C1469" s="129">
        <v>401</v>
      </c>
      <c r="D1469" s="113">
        <v>63</v>
      </c>
      <c r="E1469" s="114">
        <v>9401</v>
      </c>
      <c r="F1469" s="115">
        <v>22968</v>
      </c>
      <c r="G1469" s="116">
        <v>327.10000000000002</v>
      </c>
      <c r="H1469" s="1741" t="s">
        <v>168</v>
      </c>
      <c r="I1469" s="118" t="s">
        <v>25</v>
      </c>
      <c r="J1469" s="83"/>
      <c r="K1469" s="939"/>
      <c r="L1469" s="83"/>
      <c r="M1469" s="83"/>
      <c r="N1469" s="83"/>
      <c r="O1469" s="197"/>
      <c r="Q1469" s="118" t="s">
        <v>25</v>
      </c>
    </row>
    <row r="1470" spans="1:17" ht="18.75" customHeight="1" x14ac:dyDescent="0.3">
      <c r="A1470" s="104">
        <v>615</v>
      </c>
      <c r="B1470" s="105" t="s">
        <v>195</v>
      </c>
      <c r="C1470" s="129">
        <v>401</v>
      </c>
      <c r="D1470" s="113">
        <v>63</v>
      </c>
      <c r="E1470" s="114">
        <v>9402</v>
      </c>
      <c r="F1470" s="115">
        <v>22968</v>
      </c>
      <c r="G1470" s="116">
        <v>327.10000000000002</v>
      </c>
      <c r="H1470" s="1741" t="s">
        <v>168</v>
      </c>
      <c r="I1470" s="118" t="s">
        <v>25</v>
      </c>
      <c r="J1470" s="83"/>
      <c r="K1470" s="939"/>
      <c r="L1470" s="83"/>
      <c r="M1470" s="83"/>
      <c r="N1470" s="83"/>
      <c r="O1470" s="197"/>
      <c r="Q1470" s="118" t="s">
        <v>25</v>
      </c>
    </row>
    <row r="1471" spans="1:17" ht="18.75" customHeight="1" x14ac:dyDescent="0.3">
      <c r="A1471" s="189">
        <v>616</v>
      </c>
      <c r="B1471" s="105" t="s">
        <v>195</v>
      </c>
      <c r="C1471" s="129">
        <v>401</v>
      </c>
      <c r="D1471" s="113">
        <v>63</v>
      </c>
      <c r="E1471" s="114">
        <v>9403</v>
      </c>
      <c r="F1471" s="115">
        <v>22968</v>
      </c>
      <c r="G1471" s="116">
        <v>327.10000000000002</v>
      </c>
      <c r="H1471" s="1741" t="s">
        <v>168</v>
      </c>
      <c r="I1471" s="118" t="s">
        <v>25</v>
      </c>
      <c r="J1471" s="83"/>
      <c r="K1471" s="939"/>
      <c r="L1471" s="83"/>
      <c r="M1471" s="83"/>
      <c r="N1471" s="83"/>
      <c r="O1471" s="197"/>
      <c r="Q1471" s="118" t="s">
        <v>25</v>
      </c>
    </row>
    <row r="1472" spans="1:17" ht="18.75" customHeight="1" x14ac:dyDescent="0.3">
      <c r="A1472" s="104">
        <v>617</v>
      </c>
      <c r="B1472" s="105" t="s">
        <v>195</v>
      </c>
      <c r="C1472" s="129">
        <v>401</v>
      </c>
      <c r="D1472" s="113">
        <v>63</v>
      </c>
      <c r="E1472" s="114">
        <v>9404</v>
      </c>
      <c r="F1472" s="115">
        <v>22968</v>
      </c>
      <c r="G1472" s="116">
        <v>327.10000000000002</v>
      </c>
      <c r="H1472" s="1741" t="s">
        <v>168</v>
      </c>
      <c r="I1472" s="118" t="s">
        <v>25</v>
      </c>
      <c r="J1472" s="83"/>
      <c r="K1472" s="939"/>
      <c r="L1472" s="83"/>
      <c r="M1472" s="83"/>
      <c r="N1472" s="83"/>
      <c r="O1472" s="197"/>
      <c r="Q1472" s="118" t="s">
        <v>25</v>
      </c>
    </row>
    <row r="1473" spans="1:17" ht="18.75" customHeight="1" x14ac:dyDescent="0.3">
      <c r="A1473" s="189">
        <v>618</v>
      </c>
      <c r="B1473" s="105" t="s">
        <v>195</v>
      </c>
      <c r="C1473" s="129">
        <v>401</v>
      </c>
      <c r="D1473" s="113">
        <v>63</v>
      </c>
      <c r="E1473" s="114">
        <v>9405</v>
      </c>
      <c r="F1473" s="115">
        <v>22968</v>
      </c>
      <c r="G1473" s="116">
        <v>327.10000000000002</v>
      </c>
      <c r="H1473" s="1741" t="s">
        <v>168</v>
      </c>
      <c r="I1473" s="118" t="s">
        <v>25</v>
      </c>
      <c r="J1473" s="83"/>
      <c r="K1473" s="939"/>
      <c r="L1473" s="83"/>
      <c r="M1473" s="83"/>
      <c r="N1473" s="83"/>
      <c r="O1473" s="197"/>
      <c r="Q1473" s="118" t="s">
        <v>25</v>
      </c>
    </row>
    <row r="1474" spans="1:17" ht="18.75" customHeight="1" x14ac:dyDescent="0.3">
      <c r="A1474" s="104">
        <v>619</v>
      </c>
      <c r="B1474" s="105" t="s">
        <v>195</v>
      </c>
      <c r="C1474" s="129">
        <v>401</v>
      </c>
      <c r="D1474" s="113">
        <v>63</v>
      </c>
      <c r="E1474" s="114">
        <v>9406</v>
      </c>
      <c r="F1474" s="115">
        <v>22968</v>
      </c>
      <c r="G1474" s="116">
        <v>327.10000000000002</v>
      </c>
      <c r="H1474" s="1741" t="s">
        <v>168</v>
      </c>
      <c r="I1474" s="118" t="s">
        <v>25</v>
      </c>
      <c r="J1474" s="83"/>
      <c r="K1474" s="939"/>
      <c r="L1474" s="83"/>
      <c r="M1474" s="83"/>
      <c r="N1474" s="83"/>
      <c r="O1474" s="197"/>
      <c r="Q1474" s="118" t="s">
        <v>25</v>
      </c>
    </row>
    <row r="1475" spans="1:17" ht="18.75" customHeight="1" x14ac:dyDescent="0.3">
      <c r="A1475" s="189">
        <v>620</v>
      </c>
      <c r="B1475" s="105" t="s">
        <v>195</v>
      </c>
      <c r="C1475" s="129">
        <v>401</v>
      </c>
      <c r="D1475" s="113">
        <v>63</v>
      </c>
      <c r="E1475" s="114">
        <v>9407</v>
      </c>
      <c r="F1475" s="115">
        <v>22968</v>
      </c>
      <c r="G1475" s="116">
        <v>327.10000000000002</v>
      </c>
      <c r="H1475" s="1741" t="s">
        <v>168</v>
      </c>
      <c r="I1475" s="118" t="s">
        <v>25</v>
      </c>
      <c r="J1475" s="83"/>
      <c r="K1475" s="939"/>
      <c r="L1475" s="83"/>
      <c r="M1475" s="83"/>
      <c r="N1475" s="83"/>
      <c r="O1475" s="197"/>
      <c r="Q1475" s="118" t="s">
        <v>25</v>
      </c>
    </row>
    <row r="1476" spans="1:17" ht="18.75" customHeight="1" x14ac:dyDescent="0.3">
      <c r="A1476" s="104">
        <v>621</v>
      </c>
      <c r="B1476" s="105" t="s">
        <v>195</v>
      </c>
      <c r="C1476" s="129">
        <v>401</v>
      </c>
      <c r="D1476" s="113">
        <v>63</v>
      </c>
      <c r="E1476" s="114">
        <v>9408</v>
      </c>
      <c r="F1476" s="115">
        <v>22968</v>
      </c>
      <c r="G1476" s="116">
        <v>327.10000000000002</v>
      </c>
      <c r="H1476" s="1741" t="s">
        <v>168</v>
      </c>
      <c r="I1476" s="118"/>
      <c r="J1476" s="83" t="s">
        <v>25</v>
      </c>
      <c r="K1476" s="939"/>
      <c r="L1476" s="118"/>
      <c r="M1476" s="83"/>
      <c r="N1476" s="83"/>
      <c r="O1476" s="2819" t="s">
        <v>6395</v>
      </c>
      <c r="Q1476" s="118"/>
    </row>
    <row r="1477" spans="1:17" ht="18.75" customHeight="1" x14ac:dyDescent="0.3">
      <c r="A1477" s="189">
        <v>622</v>
      </c>
      <c r="B1477" s="105" t="s">
        <v>195</v>
      </c>
      <c r="C1477" s="129">
        <v>401</v>
      </c>
      <c r="D1477" s="113">
        <v>63</v>
      </c>
      <c r="E1477" s="114">
        <v>9409</v>
      </c>
      <c r="F1477" s="115">
        <v>22968</v>
      </c>
      <c r="G1477" s="116">
        <v>327.10000000000002</v>
      </c>
      <c r="H1477" s="1741" t="s">
        <v>168</v>
      </c>
      <c r="I1477" s="118" t="s">
        <v>25</v>
      </c>
      <c r="J1477" s="83"/>
      <c r="K1477" s="939"/>
      <c r="L1477" s="83"/>
      <c r="M1477" s="83"/>
      <c r="N1477" s="83"/>
      <c r="O1477" s="197"/>
      <c r="Q1477" s="118" t="s">
        <v>25</v>
      </c>
    </row>
    <row r="1478" spans="1:17" ht="18.75" customHeight="1" x14ac:dyDescent="0.3">
      <c r="A1478" s="104">
        <v>623</v>
      </c>
      <c r="B1478" s="105" t="s">
        <v>195</v>
      </c>
      <c r="C1478" s="129">
        <v>401</v>
      </c>
      <c r="D1478" s="113">
        <v>63</v>
      </c>
      <c r="E1478" s="114">
        <v>9410</v>
      </c>
      <c r="F1478" s="115">
        <v>22968</v>
      </c>
      <c r="G1478" s="116">
        <v>327.10000000000002</v>
      </c>
      <c r="H1478" s="1741" t="s">
        <v>168</v>
      </c>
      <c r="I1478" s="118" t="s">
        <v>25</v>
      </c>
      <c r="J1478" s="83"/>
      <c r="K1478" s="939"/>
      <c r="L1478" s="83"/>
      <c r="M1478" s="83"/>
      <c r="N1478" s="83"/>
      <c r="O1478" s="197"/>
      <c r="Q1478" s="118" t="s">
        <v>25</v>
      </c>
    </row>
    <row r="1479" spans="1:17" ht="18.75" customHeight="1" x14ac:dyDescent="0.3">
      <c r="A1479" s="189">
        <v>624</v>
      </c>
      <c r="B1479" s="105" t="s">
        <v>195</v>
      </c>
      <c r="C1479" s="129">
        <v>401</v>
      </c>
      <c r="D1479" s="113">
        <v>63</v>
      </c>
      <c r="E1479" s="114">
        <v>9411</v>
      </c>
      <c r="F1479" s="115">
        <v>22968</v>
      </c>
      <c r="G1479" s="116">
        <v>327.10000000000002</v>
      </c>
      <c r="H1479" s="1741" t="s">
        <v>168</v>
      </c>
      <c r="I1479" s="118" t="s">
        <v>25</v>
      </c>
      <c r="J1479" s="83"/>
      <c r="K1479" s="939"/>
      <c r="L1479" s="83"/>
      <c r="M1479" s="83"/>
      <c r="N1479" s="83"/>
      <c r="O1479" s="197"/>
      <c r="Q1479" s="118" t="s">
        <v>25</v>
      </c>
    </row>
    <row r="1480" spans="1:17" ht="18.75" customHeight="1" x14ac:dyDescent="0.3">
      <c r="A1480" s="104">
        <v>625</v>
      </c>
      <c r="B1480" s="105" t="s">
        <v>195</v>
      </c>
      <c r="C1480" s="129">
        <v>401</v>
      </c>
      <c r="D1480" s="113">
        <v>63</v>
      </c>
      <c r="E1480" s="114">
        <v>9412</v>
      </c>
      <c r="F1480" s="115">
        <v>22968</v>
      </c>
      <c r="G1480" s="116">
        <v>327.10000000000002</v>
      </c>
      <c r="H1480" s="1741" t="s">
        <v>168</v>
      </c>
      <c r="I1480" s="118" t="s">
        <v>25</v>
      </c>
      <c r="J1480" s="83"/>
      <c r="K1480" s="939"/>
      <c r="L1480" s="83"/>
      <c r="M1480" s="83"/>
      <c r="N1480" s="83"/>
      <c r="O1480" s="197"/>
      <c r="Q1480" s="118" t="s">
        <v>25</v>
      </c>
    </row>
    <row r="1481" spans="1:17" ht="18.75" customHeight="1" x14ac:dyDescent="0.3">
      <c r="A1481" s="189">
        <v>626</v>
      </c>
      <c r="B1481" s="105" t="s">
        <v>195</v>
      </c>
      <c r="C1481" s="129">
        <v>401</v>
      </c>
      <c r="D1481" s="125">
        <v>63</v>
      </c>
      <c r="E1481" s="114">
        <v>9413</v>
      </c>
      <c r="F1481" s="115">
        <v>22968</v>
      </c>
      <c r="G1481" s="116">
        <v>327.10000000000002</v>
      </c>
      <c r="H1481" s="1741" t="s">
        <v>168</v>
      </c>
      <c r="I1481" s="118" t="s">
        <v>25</v>
      </c>
      <c r="J1481" s="83"/>
      <c r="K1481" s="939"/>
      <c r="L1481" s="83"/>
      <c r="M1481" s="83"/>
      <c r="N1481" s="83"/>
      <c r="O1481" s="197"/>
      <c r="Q1481" s="118" t="s">
        <v>25</v>
      </c>
    </row>
    <row r="1482" spans="1:17" ht="18.75" customHeight="1" x14ac:dyDescent="0.3">
      <c r="A1482" s="104">
        <v>627</v>
      </c>
      <c r="B1482" s="105" t="s">
        <v>195</v>
      </c>
      <c r="C1482" s="129">
        <v>401</v>
      </c>
      <c r="D1482" s="128">
        <v>63</v>
      </c>
      <c r="E1482" s="114">
        <v>9414</v>
      </c>
      <c r="F1482" s="115">
        <v>22968</v>
      </c>
      <c r="G1482" s="116">
        <v>327.10000000000002</v>
      </c>
      <c r="H1482" s="1741" t="s">
        <v>168</v>
      </c>
      <c r="I1482" s="118" t="s">
        <v>25</v>
      </c>
      <c r="J1482" s="83"/>
      <c r="K1482" s="939"/>
      <c r="L1482" s="83"/>
      <c r="M1482" s="83"/>
      <c r="N1482" s="83"/>
      <c r="O1482" s="197"/>
      <c r="Q1482" s="118" t="s">
        <v>25</v>
      </c>
    </row>
    <row r="1483" spans="1:17" ht="18.75" customHeight="1" x14ac:dyDescent="0.3">
      <c r="A1483" s="189">
        <v>628</v>
      </c>
      <c r="B1483" s="105" t="s">
        <v>195</v>
      </c>
      <c r="C1483" s="129">
        <v>401</v>
      </c>
      <c r="D1483" s="113">
        <v>63</v>
      </c>
      <c r="E1483" s="114">
        <v>9415</v>
      </c>
      <c r="F1483" s="115">
        <v>22968</v>
      </c>
      <c r="G1483" s="116">
        <v>327.10000000000002</v>
      </c>
      <c r="H1483" s="1741" t="s">
        <v>168</v>
      </c>
      <c r="I1483" s="118" t="s">
        <v>25</v>
      </c>
      <c r="J1483" s="83"/>
      <c r="K1483" s="939"/>
      <c r="L1483" s="83"/>
      <c r="M1483" s="83"/>
      <c r="N1483" s="83"/>
      <c r="O1483" s="197"/>
      <c r="Q1483" s="118" t="s">
        <v>25</v>
      </c>
    </row>
    <row r="1484" spans="1:17" ht="18.75" customHeight="1" x14ac:dyDescent="0.3">
      <c r="A1484" s="104">
        <v>629</v>
      </c>
      <c r="B1484" s="105" t="s">
        <v>195</v>
      </c>
      <c r="C1484" s="129">
        <v>401</v>
      </c>
      <c r="D1484" s="113">
        <v>63</v>
      </c>
      <c r="E1484" s="114">
        <v>9416</v>
      </c>
      <c r="F1484" s="115">
        <v>22968</v>
      </c>
      <c r="G1484" s="116">
        <v>327.10000000000002</v>
      </c>
      <c r="H1484" s="1741" t="s">
        <v>168</v>
      </c>
      <c r="I1484" s="118" t="s">
        <v>25</v>
      </c>
      <c r="J1484" s="83"/>
      <c r="K1484" s="939"/>
      <c r="L1484" s="83"/>
      <c r="M1484" s="83"/>
      <c r="N1484" s="83"/>
      <c r="O1484" s="197"/>
      <c r="Q1484" s="118" t="s">
        <v>25</v>
      </c>
    </row>
    <row r="1485" spans="1:17" ht="18.75" customHeight="1" x14ac:dyDescent="0.3">
      <c r="A1485" s="189">
        <v>630</v>
      </c>
      <c r="B1485" s="105" t="s">
        <v>195</v>
      </c>
      <c r="C1485" s="129">
        <v>401</v>
      </c>
      <c r="D1485" s="113">
        <v>63</v>
      </c>
      <c r="E1485" s="114">
        <v>9417</v>
      </c>
      <c r="F1485" s="115">
        <v>22968</v>
      </c>
      <c r="G1485" s="116">
        <v>327.10000000000002</v>
      </c>
      <c r="H1485" s="1741" t="s">
        <v>168</v>
      </c>
      <c r="I1485" s="118"/>
      <c r="J1485" s="83" t="s">
        <v>25</v>
      </c>
      <c r="K1485" s="939"/>
      <c r="L1485" s="118"/>
      <c r="M1485" s="83"/>
      <c r="N1485" s="83"/>
      <c r="O1485" s="2819" t="s">
        <v>6395</v>
      </c>
      <c r="Q1485" s="118"/>
    </row>
    <row r="1486" spans="1:17" ht="18.75" customHeight="1" x14ac:dyDescent="0.3">
      <c r="A1486" s="104">
        <v>631</v>
      </c>
      <c r="B1486" s="105" t="s">
        <v>195</v>
      </c>
      <c r="C1486" s="129">
        <v>401</v>
      </c>
      <c r="D1486" s="113">
        <v>63</v>
      </c>
      <c r="E1486" s="114">
        <v>9418</v>
      </c>
      <c r="F1486" s="115">
        <v>22968</v>
      </c>
      <c r="G1486" s="116">
        <v>327.10000000000002</v>
      </c>
      <c r="H1486" s="1741" t="s">
        <v>168</v>
      </c>
      <c r="I1486" s="118"/>
      <c r="J1486" s="83" t="s">
        <v>25</v>
      </c>
      <c r="K1486" s="118"/>
      <c r="L1486" s="118"/>
      <c r="M1486" s="83"/>
      <c r="N1486" s="83"/>
      <c r="O1486" s="2819" t="s">
        <v>6395</v>
      </c>
      <c r="Q1486" s="118"/>
    </row>
    <row r="1487" spans="1:17" ht="18.75" customHeight="1" x14ac:dyDescent="0.3">
      <c r="A1487" s="189">
        <v>632</v>
      </c>
      <c r="B1487" s="105" t="s">
        <v>195</v>
      </c>
      <c r="C1487" s="129">
        <v>401</v>
      </c>
      <c r="D1487" s="113">
        <v>63</v>
      </c>
      <c r="E1487" s="114">
        <v>9419</v>
      </c>
      <c r="F1487" s="115">
        <v>22968</v>
      </c>
      <c r="G1487" s="116">
        <v>327.10000000000002</v>
      </c>
      <c r="H1487" s="1741" t="s">
        <v>168</v>
      </c>
      <c r="I1487" s="118"/>
      <c r="J1487" s="83" t="s">
        <v>25</v>
      </c>
      <c r="K1487" s="118"/>
      <c r="L1487" s="118"/>
      <c r="M1487" s="83"/>
      <c r="N1487" s="83"/>
      <c r="O1487" s="2819" t="s">
        <v>6395</v>
      </c>
      <c r="Q1487" s="118"/>
    </row>
    <row r="1488" spans="1:17" ht="18.75" customHeight="1" x14ac:dyDescent="0.3">
      <c r="A1488" s="104">
        <v>633</v>
      </c>
      <c r="B1488" s="105" t="s">
        <v>195</v>
      </c>
      <c r="C1488" s="129">
        <v>401</v>
      </c>
      <c r="D1488" s="113">
        <v>63</v>
      </c>
      <c r="E1488" s="114">
        <v>9420</v>
      </c>
      <c r="F1488" s="115">
        <v>22968</v>
      </c>
      <c r="G1488" s="116">
        <v>327.10000000000002</v>
      </c>
      <c r="H1488" s="1741" t="s">
        <v>168</v>
      </c>
      <c r="I1488" s="118" t="s">
        <v>25</v>
      </c>
      <c r="J1488" s="83"/>
      <c r="K1488" s="939"/>
      <c r="L1488" s="83"/>
      <c r="M1488" s="83"/>
      <c r="N1488" s="83"/>
      <c r="O1488" s="197"/>
      <c r="Q1488" s="118" t="s">
        <v>25</v>
      </c>
    </row>
    <row r="1489" spans="1:17" ht="18.75" customHeight="1" x14ac:dyDescent="0.3">
      <c r="A1489" s="189">
        <v>634</v>
      </c>
      <c r="B1489" s="105" t="s">
        <v>195</v>
      </c>
      <c r="C1489" s="129">
        <v>401</v>
      </c>
      <c r="D1489" s="113">
        <v>63</v>
      </c>
      <c r="E1489" s="114">
        <v>9421</v>
      </c>
      <c r="F1489" s="115">
        <v>22968</v>
      </c>
      <c r="G1489" s="116">
        <v>327.10000000000002</v>
      </c>
      <c r="H1489" s="1741" t="s">
        <v>168</v>
      </c>
      <c r="I1489" s="118" t="s">
        <v>25</v>
      </c>
      <c r="J1489" s="83"/>
      <c r="K1489" s="939"/>
      <c r="L1489" s="83"/>
      <c r="M1489" s="83"/>
      <c r="N1489" s="83"/>
      <c r="O1489" s="197"/>
      <c r="Q1489" s="118" t="s">
        <v>25</v>
      </c>
    </row>
    <row r="1490" spans="1:17" ht="18.75" customHeight="1" x14ac:dyDescent="0.3">
      <c r="A1490" s="104">
        <v>635</v>
      </c>
      <c r="B1490" s="105" t="s">
        <v>195</v>
      </c>
      <c r="C1490" s="129">
        <v>401</v>
      </c>
      <c r="D1490" s="125">
        <v>63</v>
      </c>
      <c r="E1490" s="114">
        <v>9422</v>
      </c>
      <c r="F1490" s="115">
        <v>22968</v>
      </c>
      <c r="G1490" s="116">
        <v>327.10000000000002</v>
      </c>
      <c r="H1490" s="1741" t="s">
        <v>168</v>
      </c>
      <c r="I1490" s="118" t="s">
        <v>25</v>
      </c>
      <c r="J1490" s="83"/>
      <c r="K1490" s="939"/>
      <c r="L1490" s="83"/>
      <c r="M1490" s="83"/>
      <c r="N1490" s="83"/>
      <c r="O1490" s="197"/>
      <c r="Q1490" s="118" t="s">
        <v>25</v>
      </c>
    </row>
    <row r="1491" spans="1:17" ht="18.75" customHeight="1" x14ac:dyDescent="0.3">
      <c r="A1491" s="189">
        <v>636</v>
      </c>
      <c r="B1491" s="105" t="s">
        <v>195</v>
      </c>
      <c r="C1491" s="129">
        <v>401</v>
      </c>
      <c r="D1491" s="128">
        <v>63</v>
      </c>
      <c r="E1491" s="114">
        <v>9423</v>
      </c>
      <c r="F1491" s="115">
        <v>22968</v>
      </c>
      <c r="G1491" s="116">
        <v>327.10000000000002</v>
      </c>
      <c r="H1491" s="1741" t="s">
        <v>168</v>
      </c>
      <c r="I1491" s="118" t="s">
        <v>25</v>
      </c>
      <c r="J1491" s="83"/>
      <c r="K1491" s="939"/>
      <c r="L1491" s="83"/>
      <c r="M1491" s="83"/>
      <c r="N1491" s="83"/>
      <c r="O1491" s="197"/>
      <c r="Q1491" s="118" t="s">
        <v>25</v>
      </c>
    </row>
    <row r="1492" spans="1:17" ht="18.75" customHeight="1" x14ac:dyDescent="0.3">
      <c r="A1492" s="104">
        <v>637</v>
      </c>
      <c r="B1492" s="105" t="s">
        <v>195</v>
      </c>
      <c r="C1492" s="129">
        <v>401</v>
      </c>
      <c r="D1492" s="113">
        <v>63</v>
      </c>
      <c r="E1492" s="114">
        <v>9424</v>
      </c>
      <c r="F1492" s="115">
        <v>22968</v>
      </c>
      <c r="G1492" s="116">
        <v>327.10000000000002</v>
      </c>
      <c r="H1492" s="1741" t="s">
        <v>168</v>
      </c>
      <c r="I1492" s="118"/>
      <c r="J1492" s="118" t="s">
        <v>25</v>
      </c>
      <c r="K1492" s="118"/>
      <c r="L1492" s="118"/>
      <c r="M1492" s="83"/>
      <c r="N1492" s="83"/>
      <c r="O1492" s="2819" t="s">
        <v>6395</v>
      </c>
      <c r="Q1492" s="118"/>
    </row>
    <row r="1493" spans="1:17" ht="18.75" customHeight="1" x14ac:dyDescent="0.3">
      <c r="A1493" s="189">
        <v>638</v>
      </c>
      <c r="B1493" s="105" t="s">
        <v>195</v>
      </c>
      <c r="C1493" s="129">
        <v>401</v>
      </c>
      <c r="D1493" s="113">
        <v>63</v>
      </c>
      <c r="E1493" s="114">
        <v>9425</v>
      </c>
      <c r="F1493" s="115">
        <v>22968</v>
      </c>
      <c r="G1493" s="116">
        <v>327.10000000000002</v>
      </c>
      <c r="H1493" s="1741" t="s">
        <v>168</v>
      </c>
      <c r="I1493" s="118" t="s">
        <v>25</v>
      </c>
      <c r="J1493" s="83"/>
      <c r="K1493" s="939"/>
      <c r="L1493" s="83"/>
      <c r="M1493" s="83"/>
      <c r="N1493" s="83"/>
      <c r="O1493" s="197"/>
      <c r="Q1493" s="118" t="s">
        <v>25</v>
      </c>
    </row>
    <row r="1494" spans="1:17" ht="18.75" customHeight="1" x14ac:dyDescent="0.3">
      <c r="A1494" s="104">
        <v>639</v>
      </c>
      <c r="B1494" s="105" t="s">
        <v>195</v>
      </c>
      <c r="C1494" s="129">
        <v>401</v>
      </c>
      <c r="D1494" s="113">
        <v>63</v>
      </c>
      <c r="E1494" s="114">
        <v>9426</v>
      </c>
      <c r="F1494" s="115">
        <v>22968</v>
      </c>
      <c r="G1494" s="116">
        <v>327.10000000000002</v>
      </c>
      <c r="H1494" s="1741" t="s">
        <v>168</v>
      </c>
      <c r="I1494" s="118" t="s">
        <v>25</v>
      </c>
      <c r="J1494" s="83"/>
      <c r="K1494" s="939"/>
      <c r="L1494" s="83"/>
      <c r="M1494" s="83"/>
      <c r="N1494" s="83"/>
      <c r="O1494" s="197"/>
      <c r="Q1494" s="118" t="s">
        <v>25</v>
      </c>
    </row>
    <row r="1495" spans="1:17" ht="18.75" customHeight="1" x14ac:dyDescent="0.3">
      <c r="A1495" s="189">
        <v>640</v>
      </c>
      <c r="B1495" s="105" t="s">
        <v>195</v>
      </c>
      <c r="C1495" s="129">
        <v>401</v>
      </c>
      <c r="D1495" s="113">
        <v>63</v>
      </c>
      <c r="E1495" s="114">
        <v>9427</v>
      </c>
      <c r="F1495" s="115">
        <v>22968</v>
      </c>
      <c r="G1495" s="116">
        <v>327.10000000000002</v>
      </c>
      <c r="H1495" s="1741" t="s">
        <v>168</v>
      </c>
      <c r="I1495" s="118" t="s">
        <v>25</v>
      </c>
      <c r="J1495" s="83"/>
      <c r="K1495" s="939"/>
      <c r="L1495" s="83"/>
      <c r="M1495" s="83"/>
      <c r="N1495" s="83"/>
      <c r="O1495" s="197"/>
      <c r="Q1495" s="118" t="s">
        <v>25</v>
      </c>
    </row>
    <row r="1496" spans="1:17" ht="18.75" customHeight="1" x14ac:dyDescent="0.3">
      <c r="A1496" s="104">
        <v>641</v>
      </c>
      <c r="B1496" s="105" t="s">
        <v>195</v>
      </c>
      <c r="C1496" s="129">
        <v>401</v>
      </c>
      <c r="D1496" s="113">
        <v>63</v>
      </c>
      <c r="E1496" s="114">
        <v>9428</v>
      </c>
      <c r="F1496" s="115">
        <v>22968</v>
      </c>
      <c r="G1496" s="116">
        <v>327.10000000000002</v>
      </c>
      <c r="H1496" s="1741" t="s">
        <v>168</v>
      </c>
      <c r="I1496" s="118"/>
      <c r="J1496" s="118" t="s">
        <v>25</v>
      </c>
      <c r="K1496" s="118"/>
      <c r="L1496" s="118"/>
      <c r="M1496" s="83"/>
      <c r="N1496" s="83"/>
      <c r="O1496" s="2819" t="s">
        <v>6395</v>
      </c>
      <c r="Q1496" s="118"/>
    </row>
    <row r="1497" spans="1:17" ht="18.75" customHeight="1" x14ac:dyDescent="0.45">
      <c r="A1497" s="189">
        <v>642</v>
      </c>
      <c r="B1497" s="105" t="s">
        <v>195</v>
      </c>
      <c r="C1497" s="129">
        <v>401</v>
      </c>
      <c r="D1497" s="125">
        <v>63</v>
      </c>
      <c r="E1497" s="114">
        <v>9429</v>
      </c>
      <c r="F1497" s="115">
        <v>22968</v>
      </c>
      <c r="G1497" s="198">
        <v>327.10000000000002</v>
      </c>
      <c r="H1497" s="1741" t="s">
        <v>168</v>
      </c>
      <c r="I1497" s="118" t="s">
        <v>25</v>
      </c>
      <c r="J1497" s="83"/>
      <c r="K1497" s="939"/>
      <c r="L1497" s="83"/>
      <c r="M1497" s="83"/>
      <c r="N1497" s="83"/>
      <c r="O1497" s="197"/>
      <c r="Q1497" s="118" t="s">
        <v>25</v>
      </c>
    </row>
    <row r="1498" spans="1:17" ht="18.75" customHeight="1" x14ac:dyDescent="0.45">
      <c r="A1498" s="172"/>
      <c r="B1498" s="172"/>
      <c r="C1498" s="199"/>
      <c r="D1498" s="200"/>
      <c r="E1498" s="201"/>
      <c r="F1498" s="172"/>
      <c r="G1498" s="202">
        <f>SUM(G856:G1497)</f>
        <v>296347.5999999987</v>
      </c>
      <c r="H1498" s="203"/>
      <c r="I1498" s="204"/>
      <c r="J1498" s="204"/>
      <c r="K1498" s="663"/>
      <c r="L1498" s="204"/>
      <c r="M1498" s="204"/>
      <c r="N1498" s="204"/>
      <c r="O1498" s="205"/>
      <c r="Q1498" s="204"/>
    </row>
    <row r="1499" spans="1:17" ht="18.75" customHeight="1" x14ac:dyDescent="0.3">
      <c r="A1499" s="206">
        <v>402</v>
      </c>
      <c r="B1499" s="17" t="s">
        <v>196</v>
      </c>
      <c r="C1499" s="207"/>
      <c r="D1499" s="208"/>
      <c r="E1499" s="207"/>
      <c r="F1499" s="207"/>
      <c r="G1499" s="209"/>
      <c r="H1499" s="210"/>
      <c r="I1499" s="211"/>
      <c r="J1499" s="212"/>
      <c r="K1499" s="2238"/>
      <c r="L1499" s="212"/>
      <c r="M1499" s="212"/>
      <c r="N1499" s="212"/>
      <c r="O1499" s="213"/>
      <c r="Q1499" s="211"/>
    </row>
    <row r="1500" spans="1:17" ht="18.75" customHeight="1" x14ac:dyDescent="0.3">
      <c r="A1500" s="214">
        <v>1</v>
      </c>
      <c r="B1500" s="215" t="s">
        <v>197</v>
      </c>
      <c r="C1500" s="216" t="s">
        <v>198</v>
      </c>
      <c r="D1500" s="67">
        <v>51</v>
      </c>
      <c r="E1500" s="217" t="s">
        <v>199</v>
      </c>
      <c r="F1500" s="218" t="s">
        <v>200</v>
      </c>
      <c r="G1500" s="192">
        <v>6280</v>
      </c>
      <c r="H1500" s="1741" t="s">
        <v>168</v>
      </c>
      <c r="I1500" s="118" t="s">
        <v>25</v>
      </c>
      <c r="J1500" s="118"/>
      <c r="K1500" s="1270"/>
      <c r="L1500" s="119"/>
      <c r="M1500" s="119"/>
      <c r="N1500" s="119"/>
      <c r="O1500" s="191"/>
      <c r="Q1500" s="118" t="s">
        <v>25</v>
      </c>
    </row>
    <row r="1501" spans="1:17" ht="18.75" customHeight="1" x14ac:dyDescent="0.3">
      <c r="A1501" s="189">
        <v>2</v>
      </c>
      <c r="B1501" s="215" t="s">
        <v>197</v>
      </c>
      <c r="C1501" s="216" t="s">
        <v>198</v>
      </c>
      <c r="D1501" s="67">
        <v>51</v>
      </c>
      <c r="E1501" s="217" t="s">
        <v>201</v>
      </c>
      <c r="F1501" s="218" t="s">
        <v>200</v>
      </c>
      <c r="G1501" s="192">
        <v>6280</v>
      </c>
      <c r="H1501" s="1741" t="s">
        <v>202</v>
      </c>
      <c r="I1501" s="118" t="s">
        <v>25</v>
      </c>
      <c r="J1501" s="118"/>
      <c r="K1501" s="1270"/>
      <c r="L1501" s="119"/>
      <c r="M1501" s="119"/>
      <c r="N1501" s="119"/>
      <c r="O1501" s="191"/>
      <c r="Q1501" s="118" t="s">
        <v>25</v>
      </c>
    </row>
    <row r="1502" spans="1:17" ht="18.75" customHeight="1" x14ac:dyDescent="0.3">
      <c r="A1502" s="214">
        <v>3</v>
      </c>
      <c r="B1502" s="215" t="s">
        <v>197</v>
      </c>
      <c r="C1502" s="216" t="s">
        <v>198</v>
      </c>
      <c r="D1502" s="67">
        <v>51</v>
      </c>
      <c r="E1502" s="217" t="s">
        <v>203</v>
      </c>
      <c r="F1502" s="218" t="s">
        <v>200</v>
      </c>
      <c r="G1502" s="192">
        <v>6280</v>
      </c>
      <c r="H1502" s="1741" t="s">
        <v>168</v>
      </c>
      <c r="I1502" s="118" t="s">
        <v>25</v>
      </c>
      <c r="J1502" s="118"/>
      <c r="K1502" s="1270"/>
      <c r="L1502" s="119"/>
      <c r="M1502" s="119"/>
      <c r="N1502" s="119"/>
      <c r="O1502" s="2819"/>
      <c r="Q1502" s="118"/>
    </row>
    <row r="1503" spans="1:17" ht="18.75" customHeight="1" x14ac:dyDescent="0.3">
      <c r="A1503" s="214">
        <v>4</v>
      </c>
      <c r="B1503" s="215" t="s">
        <v>197</v>
      </c>
      <c r="C1503" s="216" t="s">
        <v>198</v>
      </c>
      <c r="D1503" s="67">
        <v>51</v>
      </c>
      <c r="E1503" s="217" t="s">
        <v>204</v>
      </c>
      <c r="F1503" s="218" t="s">
        <v>200</v>
      </c>
      <c r="G1503" s="192">
        <v>6280</v>
      </c>
      <c r="H1503" s="1741" t="s">
        <v>168</v>
      </c>
      <c r="I1503" s="118"/>
      <c r="J1503" s="118" t="s">
        <v>25</v>
      </c>
      <c r="K1503" s="1270"/>
      <c r="L1503" s="119"/>
      <c r="M1503" s="119"/>
      <c r="N1503" s="119"/>
      <c r="O1503" s="2819" t="s">
        <v>6395</v>
      </c>
      <c r="Q1503" s="118"/>
    </row>
    <row r="1504" spans="1:17" ht="18.75" customHeight="1" x14ac:dyDescent="0.3">
      <c r="A1504" s="189">
        <v>5</v>
      </c>
      <c r="B1504" s="215" t="s">
        <v>197</v>
      </c>
      <c r="C1504" s="216" t="s">
        <v>198</v>
      </c>
      <c r="D1504" s="67">
        <v>51</v>
      </c>
      <c r="E1504" s="217" t="s">
        <v>205</v>
      </c>
      <c r="F1504" s="218" t="s">
        <v>200</v>
      </c>
      <c r="G1504" s="192">
        <v>6280</v>
      </c>
      <c r="H1504" s="1741" t="s">
        <v>168</v>
      </c>
      <c r="I1504" s="118"/>
      <c r="J1504" s="118" t="s">
        <v>25</v>
      </c>
      <c r="K1504" s="1270"/>
      <c r="L1504" s="119"/>
      <c r="M1504" s="119"/>
      <c r="N1504" s="119"/>
      <c r="O1504" s="2819" t="s">
        <v>6395</v>
      </c>
      <c r="Q1504" s="118" t="s">
        <v>25</v>
      </c>
    </row>
    <row r="1505" spans="1:17" ht="18.75" customHeight="1" x14ac:dyDescent="0.3">
      <c r="A1505" s="214">
        <v>6</v>
      </c>
      <c r="B1505" s="215" t="s">
        <v>197</v>
      </c>
      <c r="C1505" s="216" t="s">
        <v>198</v>
      </c>
      <c r="D1505" s="67">
        <v>51</v>
      </c>
      <c r="E1505" s="217" t="s">
        <v>206</v>
      </c>
      <c r="F1505" s="218" t="s">
        <v>200</v>
      </c>
      <c r="G1505" s="192">
        <v>6280</v>
      </c>
      <c r="H1505" s="1741" t="s">
        <v>168</v>
      </c>
      <c r="I1505" s="118" t="s">
        <v>25</v>
      </c>
      <c r="J1505" s="118"/>
      <c r="K1505" s="1270"/>
      <c r="L1505" s="119"/>
      <c r="M1505" s="119"/>
      <c r="N1505" s="119"/>
      <c r="O1505" s="191"/>
      <c r="Q1505" s="118" t="s">
        <v>25</v>
      </c>
    </row>
    <row r="1506" spans="1:17" ht="18.75" customHeight="1" x14ac:dyDescent="0.3">
      <c r="A1506" s="189">
        <v>7</v>
      </c>
      <c r="B1506" s="215" t="s">
        <v>197</v>
      </c>
      <c r="C1506" s="216" t="s">
        <v>198</v>
      </c>
      <c r="D1506" s="67">
        <v>51</v>
      </c>
      <c r="E1506" s="217" t="s">
        <v>207</v>
      </c>
      <c r="F1506" s="218" t="s">
        <v>200</v>
      </c>
      <c r="G1506" s="192">
        <v>6280</v>
      </c>
      <c r="H1506" s="1741" t="s">
        <v>168</v>
      </c>
      <c r="I1506" s="118" t="s">
        <v>25</v>
      </c>
      <c r="J1506" s="118"/>
      <c r="K1506" s="1270"/>
      <c r="L1506" s="119"/>
      <c r="M1506" s="119"/>
      <c r="N1506" s="119"/>
      <c r="O1506" s="191"/>
      <c r="Q1506" s="118" t="s">
        <v>25</v>
      </c>
    </row>
    <row r="1507" spans="1:17" ht="18.75" customHeight="1" x14ac:dyDescent="0.3">
      <c r="A1507" s="214">
        <v>8</v>
      </c>
      <c r="B1507" s="215" t="s">
        <v>197</v>
      </c>
      <c r="C1507" s="216" t="s">
        <v>198</v>
      </c>
      <c r="D1507" s="67">
        <v>51</v>
      </c>
      <c r="E1507" s="217" t="s">
        <v>208</v>
      </c>
      <c r="F1507" s="218" t="s">
        <v>200</v>
      </c>
      <c r="G1507" s="192">
        <v>6280</v>
      </c>
      <c r="H1507" s="1741" t="s">
        <v>168</v>
      </c>
      <c r="I1507" s="118" t="s">
        <v>25</v>
      </c>
      <c r="J1507" s="118"/>
      <c r="K1507" s="1270"/>
      <c r="L1507" s="119"/>
      <c r="M1507" s="119"/>
      <c r="N1507" s="119"/>
      <c r="O1507" s="191"/>
      <c r="Q1507" s="118" t="s">
        <v>25</v>
      </c>
    </row>
    <row r="1508" spans="1:17" ht="18.75" customHeight="1" x14ac:dyDescent="0.3">
      <c r="A1508" s="214">
        <v>9</v>
      </c>
      <c r="B1508" s="219" t="s">
        <v>197</v>
      </c>
      <c r="C1508" s="220" t="s">
        <v>198</v>
      </c>
      <c r="D1508" s="221">
        <v>51</v>
      </c>
      <c r="E1508" s="222" t="s">
        <v>209</v>
      </c>
      <c r="F1508" s="223" t="s">
        <v>200</v>
      </c>
      <c r="G1508" s="224">
        <v>6280</v>
      </c>
      <c r="H1508" s="1741" t="s">
        <v>168</v>
      </c>
      <c r="I1508" s="118" t="s">
        <v>25</v>
      </c>
      <c r="J1508" s="34"/>
      <c r="K1508" s="2233"/>
      <c r="L1508" s="147"/>
      <c r="M1508" s="147"/>
      <c r="N1508" s="147"/>
      <c r="O1508" s="225"/>
      <c r="Q1508" s="118" t="s">
        <v>25</v>
      </c>
    </row>
    <row r="1509" spans="1:17" ht="18.75" customHeight="1" x14ac:dyDescent="0.3">
      <c r="A1509" s="189">
        <v>10</v>
      </c>
      <c r="B1509" s="215" t="s">
        <v>210</v>
      </c>
      <c r="C1509" s="216" t="s">
        <v>198</v>
      </c>
      <c r="D1509" s="67">
        <v>51</v>
      </c>
      <c r="E1509" s="217" t="s">
        <v>211</v>
      </c>
      <c r="F1509" s="218" t="s">
        <v>200</v>
      </c>
      <c r="G1509" s="192">
        <v>5930</v>
      </c>
      <c r="H1509" s="1741" t="s">
        <v>168</v>
      </c>
      <c r="I1509" s="118" t="s">
        <v>25</v>
      </c>
      <c r="K1509" s="1270"/>
      <c r="L1509" s="119"/>
      <c r="M1509" s="119"/>
      <c r="N1509" s="119"/>
      <c r="O1509" s="191"/>
      <c r="Q1509" s="118" t="s">
        <v>25</v>
      </c>
    </row>
    <row r="1510" spans="1:17" ht="18.75" customHeight="1" x14ac:dyDescent="0.3">
      <c r="A1510" s="214">
        <v>11</v>
      </c>
      <c r="B1510" s="215" t="s">
        <v>210</v>
      </c>
      <c r="C1510" s="216" t="s">
        <v>198</v>
      </c>
      <c r="D1510" s="67">
        <v>51</v>
      </c>
      <c r="E1510" s="217" t="s">
        <v>212</v>
      </c>
      <c r="F1510" s="218" t="s">
        <v>200</v>
      </c>
      <c r="G1510" s="192">
        <v>5930</v>
      </c>
      <c r="H1510" s="1741" t="s">
        <v>168</v>
      </c>
      <c r="I1510" s="118" t="s">
        <v>25</v>
      </c>
      <c r="K1510" s="1270"/>
      <c r="L1510" s="119"/>
      <c r="M1510" s="119"/>
      <c r="N1510" s="119"/>
      <c r="O1510" s="191"/>
      <c r="Q1510" s="118" t="s">
        <v>25</v>
      </c>
    </row>
    <row r="1511" spans="1:17" ht="18.75" customHeight="1" x14ac:dyDescent="0.3">
      <c r="A1511" s="189">
        <v>12</v>
      </c>
      <c r="B1511" s="215" t="s">
        <v>210</v>
      </c>
      <c r="C1511" s="216" t="s">
        <v>198</v>
      </c>
      <c r="D1511" s="67">
        <v>51</v>
      </c>
      <c r="E1511" s="217" t="s">
        <v>213</v>
      </c>
      <c r="F1511" s="218" t="s">
        <v>200</v>
      </c>
      <c r="G1511" s="192">
        <v>5930</v>
      </c>
      <c r="H1511" s="1741" t="s">
        <v>168</v>
      </c>
      <c r="I1511" s="118" t="s">
        <v>25</v>
      </c>
      <c r="K1511" s="1270"/>
      <c r="L1511" s="119"/>
      <c r="M1511" s="119"/>
      <c r="N1511" s="119"/>
      <c r="O1511" s="191"/>
      <c r="Q1511" s="118" t="s">
        <v>25</v>
      </c>
    </row>
    <row r="1512" spans="1:17" ht="18.75" customHeight="1" x14ac:dyDescent="0.3">
      <c r="A1512" s="214">
        <v>13</v>
      </c>
      <c r="B1512" s="215" t="s">
        <v>210</v>
      </c>
      <c r="C1512" s="216" t="s">
        <v>198</v>
      </c>
      <c r="D1512" s="67">
        <v>51</v>
      </c>
      <c r="E1512" s="217" t="s">
        <v>214</v>
      </c>
      <c r="F1512" s="218" t="s">
        <v>200</v>
      </c>
      <c r="G1512" s="192">
        <v>5930</v>
      </c>
      <c r="H1512" s="1741" t="s">
        <v>215</v>
      </c>
      <c r="I1512" s="118" t="s">
        <v>25</v>
      </c>
      <c r="J1512" s="118"/>
      <c r="K1512" s="1270"/>
      <c r="L1512" s="119"/>
      <c r="M1512" s="119"/>
      <c r="N1512" s="119"/>
      <c r="O1512" s="191"/>
      <c r="Q1512" s="118" t="s">
        <v>25</v>
      </c>
    </row>
    <row r="1513" spans="1:17" ht="18.75" customHeight="1" x14ac:dyDescent="0.3">
      <c r="A1513" s="214">
        <v>14</v>
      </c>
      <c r="B1513" s="215" t="s">
        <v>210</v>
      </c>
      <c r="C1513" s="216" t="s">
        <v>198</v>
      </c>
      <c r="D1513" s="67">
        <v>51</v>
      </c>
      <c r="E1513" s="217" t="s">
        <v>216</v>
      </c>
      <c r="F1513" s="218" t="s">
        <v>200</v>
      </c>
      <c r="G1513" s="192">
        <v>5930</v>
      </c>
      <c r="H1513" s="1741" t="s">
        <v>168</v>
      </c>
      <c r="I1513" s="118" t="s">
        <v>25</v>
      </c>
      <c r="J1513" s="118"/>
      <c r="K1513" s="1270"/>
      <c r="L1513" s="119"/>
      <c r="M1513" s="119"/>
      <c r="N1513" s="119"/>
      <c r="O1513" s="191"/>
      <c r="Q1513" s="118" t="s">
        <v>25</v>
      </c>
    </row>
    <row r="1514" spans="1:17" ht="18.75" customHeight="1" x14ac:dyDescent="0.3">
      <c r="A1514" s="189">
        <v>15</v>
      </c>
      <c r="B1514" s="215" t="s">
        <v>210</v>
      </c>
      <c r="C1514" s="216" t="s">
        <v>198</v>
      </c>
      <c r="D1514" s="67">
        <v>51</v>
      </c>
      <c r="E1514" s="217" t="s">
        <v>217</v>
      </c>
      <c r="F1514" s="218" t="s">
        <v>200</v>
      </c>
      <c r="G1514" s="192">
        <v>5930</v>
      </c>
      <c r="H1514" s="1741" t="s">
        <v>168</v>
      </c>
      <c r="I1514" s="118" t="s">
        <v>25</v>
      </c>
      <c r="J1514" s="118"/>
      <c r="K1514" s="1270"/>
      <c r="L1514" s="119"/>
      <c r="M1514" s="119"/>
      <c r="N1514" s="119"/>
      <c r="O1514" s="191"/>
      <c r="Q1514" s="118" t="s">
        <v>25</v>
      </c>
    </row>
    <row r="1515" spans="1:17" ht="18.75" customHeight="1" x14ac:dyDescent="0.3">
      <c r="A1515" s="214">
        <v>16</v>
      </c>
      <c r="B1515" s="215" t="s">
        <v>210</v>
      </c>
      <c r="C1515" s="216" t="s">
        <v>198</v>
      </c>
      <c r="D1515" s="67">
        <v>51</v>
      </c>
      <c r="E1515" s="217" t="s">
        <v>218</v>
      </c>
      <c r="F1515" s="218" t="s">
        <v>200</v>
      </c>
      <c r="G1515" s="192">
        <v>5930</v>
      </c>
      <c r="H1515" s="1741" t="s">
        <v>168</v>
      </c>
      <c r="I1515" s="118" t="s">
        <v>25</v>
      </c>
      <c r="J1515" s="118"/>
      <c r="K1515" s="1270"/>
      <c r="L1515" s="119"/>
      <c r="M1515" s="119"/>
      <c r="N1515" s="119"/>
      <c r="O1515" s="191"/>
      <c r="Q1515" s="118" t="s">
        <v>25</v>
      </c>
    </row>
    <row r="1516" spans="1:17" ht="18.75" customHeight="1" x14ac:dyDescent="0.3">
      <c r="A1516" s="189">
        <v>17</v>
      </c>
      <c r="B1516" s="215" t="s">
        <v>210</v>
      </c>
      <c r="C1516" s="216" t="s">
        <v>198</v>
      </c>
      <c r="D1516" s="67">
        <v>51</v>
      </c>
      <c r="E1516" s="217" t="s">
        <v>219</v>
      </c>
      <c r="F1516" s="218" t="s">
        <v>200</v>
      </c>
      <c r="G1516" s="192">
        <v>5930</v>
      </c>
      <c r="H1516" s="1741" t="s">
        <v>168</v>
      </c>
      <c r="I1516" s="118" t="s">
        <v>25</v>
      </c>
      <c r="J1516" s="118"/>
      <c r="K1516" s="1270"/>
      <c r="L1516" s="119"/>
      <c r="M1516" s="119"/>
      <c r="N1516" s="119"/>
      <c r="O1516" s="191"/>
      <c r="Q1516" s="118" t="s">
        <v>25</v>
      </c>
    </row>
    <row r="1517" spans="1:17" ht="18.75" customHeight="1" x14ac:dyDescent="0.3">
      <c r="A1517" s="214">
        <v>18</v>
      </c>
      <c r="B1517" s="215" t="s">
        <v>210</v>
      </c>
      <c r="C1517" s="216" t="s">
        <v>198</v>
      </c>
      <c r="D1517" s="67">
        <v>51</v>
      </c>
      <c r="E1517" s="217" t="s">
        <v>220</v>
      </c>
      <c r="F1517" s="218" t="s">
        <v>200</v>
      </c>
      <c r="G1517" s="192">
        <v>5930</v>
      </c>
      <c r="H1517" s="1741" t="s">
        <v>168</v>
      </c>
      <c r="I1517" s="118" t="s">
        <v>25</v>
      </c>
      <c r="J1517" s="118"/>
      <c r="K1517" s="1270"/>
      <c r="L1517" s="119"/>
      <c r="M1517" s="119"/>
      <c r="N1517" s="119"/>
      <c r="O1517" s="191"/>
      <c r="Q1517" s="118" t="s">
        <v>25</v>
      </c>
    </row>
    <row r="1518" spans="1:17" ht="18.75" customHeight="1" x14ac:dyDescent="0.3">
      <c r="A1518" s="214">
        <v>19</v>
      </c>
      <c r="B1518" s="215" t="s">
        <v>210</v>
      </c>
      <c r="C1518" s="216" t="s">
        <v>198</v>
      </c>
      <c r="D1518" s="67">
        <v>51</v>
      </c>
      <c r="E1518" s="217" t="s">
        <v>221</v>
      </c>
      <c r="F1518" s="218" t="s">
        <v>200</v>
      </c>
      <c r="G1518" s="192">
        <v>5930</v>
      </c>
      <c r="H1518" s="1741" t="s">
        <v>168</v>
      </c>
      <c r="I1518" s="118" t="s">
        <v>25</v>
      </c>
      <c r="J1518" s="118"/>
      <c r="K1518" s="1270"/>
      <c r="L1518" s="119"/>
      <c r="M1518" s="119"/>
      <c r="N1518" s="119"/>
      <c r="O1518" s="191"/>
      <c r="Q1518" s="118" t="s">
        <v>25</v>
      </c>
    </row>
    <row r="1519" spans="1:17" ht="18.75" customHeight="1" x14ac:dyDescent="0.3">
      <c r="A1519" s="189">
        <v>20</v>
      </c>
      <c r="B1519" s="215" t="s">
        <v>210</v>
      </c>
      <c r="C1519" s="216" t="s">
        <v>198</v>
      </c>
      <c r="D1519" s="67">
        <v>51</v>
      </c>
      <c r="E1519" s="217" t="s">
        <v>222</v>
      </c>
      <c r="F1519" s="218" t="s">
        <v>200</v>
      </c>
      <c r="G1519" s="192">
        <v>5930</v>
      </c>
      <c r="H1519" s="1741" t="s">
        <v>168</v>
      </c>
      <c r="I1519" s="118" t="s">
        <v>25</v>
      </c>
      <c r="J1519" s="118"/>
      <c r="K1519" s="1270"/>
      <c r="L1519" s="119"/>
      <c r="M1519" s="119"/>
      <c r="N1519" s="119"/>
      <c r="O1519" s="191"/>
      <c r="Q1519" s="118" t="s">
        <v>25</v>
      </c>
    </row>
    <row r="1520" spans="1:17" ht="18.75" customHeight="1" x14ac:dyDescent="0.3">
      <c r="A1520" s="214">
        <v>21</v>
      </c>
      <c r="B1520" s="215" t="s">
        <v>210</v>
      </c>
      <c r="C1520" s="216" t="s">
        <v>198</v>
      </c>
      <c r="D1520" s="67">
        <v>51</v>
      </c>
      <c r="E1520" s="217" t="s">
        <v>223</v>
      </c>
      <c r="F1520" s="218" t="s">
        <v>200</v>
      </c>
      <c r="G1520" s="192">
        <v>5930</v>
      </c>
      <c r="H1520" s="1741" t="s">
        <v>168</v>
      </c>
      <c r="I1520" s="118" t="s">
        <v>25</v>
      </c>
      <c r="J1520" s="118"/>
      <c r="K1520" s="1270"/>
      <c r="L1520" s="119"/>
      <c r="M1520" s="119"/>
      <c r="N1520" s="119"/>
      <c r="O1520" s="191"/>
      <c r="Q1520" s="118" t="s">
        <v>25</v>
      </c>
    </row>
    <row r="1521" spans="1:17" ht="18.75" customHeight="1" x14ac:dyDescent="0.3">
      <c r="A1521" s="189">
        <v>22</v>
      </c>
      <c r="B1521" s="215" t="s">
        <v>210</v>
      </c>
      <c r="C1521" s="216" t="s">
        <v>198</v>
      </c>
      <c r="D1521" s="67">
        <v>51</v>
      </c>
      <c r="E1521" s="217" t="s">
        <v>224</v>
      </c>
      <c r="F1521" s="218" t="s">
        <v>200</v>
      </c>
      <c r="G1521" s="192">
        <v>5930</v>
      </c>
      <c r="H1521" s="1741" t="s">
        <v>168</v>
      </c>
      <c r="I1521" s="118" t="s">
        <v>25</v>
      </c>
      <c r="J1521" s="118"/>
      <c r="K1521" s="1270"/>
      <c r="L1521" s="119"/>
      <c r="M1521" s="119"/>
      <c r="N1521" s="119"/>
      <c r="O1521" s="191"/>
      <c r="Q1521" s="118" t="s">
        <v>25</v>
      </c>
    </row>
    <row r="1522" spans="1:17" ht="18.75" customHeight="1" x14ac:dyDescent="0.3">
      <c r="A1522" s="214">
        <v>23</v>
      </c>
      <c r="B1522" s="215" t="s">
        <v>210</v>
      </c>
      <c r="C1522" s="216" t="s">
        <v>198</v>
      </c>
      <c r="D1522" s="67">
        <v>51</v>
      </c>
      <c r="E1522" s="217" t="s">
        <v>225</v>
      </c>
      <c r="F1522" s="218" t="s">
        <v>200</v>
      </c>
      <c r="G1522" s="192">
        <v>5930</v>
      </c>
      <c r="H1522" s="1741" t="s">
        <v>168</v>
      </c>
      <c r="I1522" s="118" t="s">
        <v>25</v>
      </c>
      <c r="J1522" s="118"/>
      <c r="K1522" s="1270"/>
      <c r="L1522" s="119"/>
      <c r="M1522" s="119"/>
      <c r="N1522" s="119"/>
      <c r="O1522" s="191"/>
      <c r="Q1522" s="118" t="s">
        <v>25</v>
      </c>
    </row>
    <row r="1523" spans="1:17" ht="18.75" customHeight="1" x14ac:dyDescent="0.3">
      <c r="A1523" s="214">
        <v>24</v>
      </c>
      <c r="B1523" s="215" t="s">
        <v>210</v>
      </c>
      <c r="C1523" s="216" t="s">
        <v>198</v>
      </c>
      <c r="D1523" s="67">
        <v>51</v>
      </c>
      <c r="E1523" s="217" t="s">
        <v>226</v>
      </c>
      <c r="F1523" s="218" t="s">
        <v>200</v>
      </c>
      <c r="G1523" s="192">
        <v>5930</v>
      </c>
      <c r="H1523" s="1741" t="s">
        <v>168</v>
      </c>
      <c r="I1523" s="118" t="s">
        <v>25</v>
      </c>
      <c r="J1523" s="118"/>
      <c r="K1523" s="1270"/>
      <c r="L1523" s="119"/>
      <c r="M1523" s="119"/>
      <c r="N1523" s="119"/>
      <c r="O1523" s="191"/>
      <c r="Q1523" s="118" t="s">
        <v>25</v>
      </c>
    </row>
    <row r="1524" spans="1:17" ht="18.75" customHeight="1" x14ac:dyDescent="0.3">
      <c r="A1524" s="189">
        <v>25</v>
      </c>
      <c r="B1524" s="215" t="s">
        <v>210</v>
      </c>
      <c r="C1524" s="216" t="s">
        <v>198</v>
      </c>
      <c r="D1524" s="67">
        <v>51</v>
      </c>
      <c r="E1524" s="217" t="s">
        <v>227</v>
      </c>
      <c r="F1524" s="218" t="s">
        <v>200</v>
      </c>
      <c r="G1524" s="192">
        <v>5930</v>
      </c>
      <c r="H1524" s="1741" t="s">
        <v>168</v>
      </c>
      <c r="I1524" s="118" t="s">
        <v>25</v>
      </c>
      <c r="J1524" s="118"/>
      <c r="K1524" s="1270"/>
      <c r="L1524" s="119"/>
      <c r="M1524" s="119"/>
      <c r="N1524" s="119"/>
      <c r="O1524" s="191"/>
      <c r="Q1524" s="118" t="s">
        <v>25</v>
      </c>
    </row>
    <row r="1525" spans="1:17" ht="18.75" customHeight="1" x14ac:dyDescent="0.3">
      <c r="A1525" s="214">
        <v>26</v>
      </c>
      <c r="B1525" s="215" t="s">
        <v>210</v>
      </c>
      <c r="C1525" s="216" t="s">
        <v>198</v>
      </c>
      <c r="D1525" s="67">
        <v>51</v>
      </c>
      <c r="E1525" s="217" t="s">
        <v>228</v>
      </c>
      <c r="F1525" s="218" t="s">
        <v>200</v>
      </c>
      <c r="G1525" s="192">
        <v>5930</v>
      </c>
      <c r="H1525" s="1741" t="s">
        <v>168</v>
      </c>
      <c r="I1525" s="118" t="s">
        <v>25</v>
      </c>
      <c r="J1525" s="118"/>
      <c r="K1525" s="1270"/>
      <c r="L1525" s="119"/>
      <c r="M1525" s="119"/>
      <c r="N1525" s="119"/>
      <c r="O1525" s="191"/>
      <c r="Q1525" s="118" t="s">
        <v>25</v>
      </c>
    </row>
    <row r="1526" spans="1:17" ht="18.75" customHeight="1" x14ac:dyDescent="0.3">
      <c r="A1526" s="189">
        <v>27</v>
      </c>
      <c r="B1526" s="215" t="s">
        <v>210</v>
      </c>
      <c r="C1526" s="216" t="s">
        <v>198</v>
      </c>
      <c r="D1526" s="67">
        <v>51</v>
      </c>
      <c r="E1526" s="217" t="s">
        <v>229</v>
      </c>
      <c r="F1526" s="218" t="s">
        <v>200</v>
      </c>
      <c r="G1526" s="192">
        <v>5930</v>
      </c>
      <c r="H1526" s="1741" t="s">
        <v>168</v>
      </c>
      <c r="I1526" s="118" t="s">
        <v>25</v>
      </c>
      <c r="J1526" s="118"/>
      <c r="K1526" s="1270"/>
      <c r="L1526" s="119"/>
      <c r="M1526" s="119"/>
      <c r="N1526" s="119"/>
      <c r="O1526" s="191"/>
      <c r="Q1526" s="118" t="s">
        <v>25</v>
      </c>
    </row>
    <row r="1527" spans="1:17" ht="18.75" customHeight="1" x14ac:dyDescent="0.3">
      <c r="A1527" s="214">
        <v>28</v>
      </c>
      <c r="B1527" s="215" t="s">
        <v>210</v>
      </c>
      <c r="C1527" s="216" t="s">
        <v>198</v>
      </c>
      <c r="D1527" s="67">
        <v>51</v>
      </c>
      <c r="E1527" s="217" t="s">
        <v>230</v>
      </c>
      <c r="F1527" s="218" t="s">
        <v>200</v>
      </c>
      <c r="G1527" s="192">
        <v>5930</v>
      </c>
      <c r="H1527" s="1741" t="s">
        <v>168</v>
      </c>
      <c r="I1527" s="118" t="s">
        <v>25</v>
      </c>
      <c r="J1527" s="118"/>
      <c r="K1527" s="1270"/>
      <c r="L1527" s="119"/>
      <c r="M1527" s="119"/>
      <c r="N1527" s="119"/>
      <c r="O1527" s="191"/>
      <c r="Q1527" s="118" t="s">
        <v>25</v>
      </c>
    </row>
    <row r="1528" spans="1:17" ht="18.75" customHeight="1" x14ac:dyDescent="0.3">
      <c r="A1528" s="214">
        <v>29</v>
      </c>
      <c r="B1528" s="215" t="s">
        <v>210</v>
      </c>
      <c r="C1528" s="216" t="s">
        <v>198</v>
      </c>
      <c r="D1528" s="67">
        <v>51</v>
      </c>
      <c r="E1528" s="217" t="s">
        <v>231</v>
      </c>
      <c r="F1528" s="218" t="s">
        <v>200</v>
      </c>
      <c r="G1528" s="192">
        <v>5930</v>
      </c>
      <c r="H1528" s="1741" t="s">
        <v>168</v>
      </c>
      <c r="I1528" s="118" t="s">
        <v>25</v>
      </c>
      <c r="J1528" s="118"/>
      <c r="K1528" s="1270"/>
      <c r="L1528" s="119"/>
      <c r="M1528" s="119"/>
      <c r="N1528" s="119"/>
      <c r="O1528" s="191"/>
      <c r="Q1528" s="118" t="s">
        <v>25</v>
      </c>
    </row>
    <row r="1529" spans="1:17" ht="18.75" customHeight="1" x14ac:dyDescent="0.3">
      <c r="A1529" s="189">
        <v>30</v>
      </c>
      <c r="B1529" s="215" t="s">
        <v>210</v>
      </c>
      <c r="C1529" s="216" t="s">
        <v>198</v>
      </c>
      <c r="D1529" s="67">
        <v>51</v>
      </c>
      <c r="E1529" s="217" t="s">
        <v>232</v>
      </c>
      <c r="F1529" s="218" t="s">
        <v>200</v>
      </c>
      <c r="G1529" s="192">
        <v>5930</v>
      </c>
      <c r="H1529" s="1741" t="s">
        <v>168</v>
      </c>
      <c r="I1529" s="118" t="s">
        <v>25</v>
      </c>
      <c r="J1529" s="118"/>
      <c r="K1529" s="1270"/>
      <c r="L1529" s="119"/>
      <c r="M1529" s="119"/>
      <c r="N1529" s="119"/>
      <c r="O1529" s="191"/>
      <c r="Q1529" s="118" t="s">
        <v>25</v>
      </c>
    </row>
    <row r="1530" spans="1:17" ht="18.75" customHeight="1" x14ac:dyDescent="0.3">
      <c r="A1530" s="214">
        <v>31</v>
      </c>
      <c r="B1530" s="215" t="s">
        <v>210</v>
      </c>
      <c r="C1530" s="216" t="s">
        <v>198</v>
      </c>
      <c r="D1530" s="67">
        <v>51</v>
      </c>
      <c r="E1530" s="217" t="s">
        <v>233</v>
      </c>
      <c r="F1530" s="218" t="s">
        <v>200</v>
      </c>
      <c r="G1530" s="192">
        <v>5930</v>
      </c>
      <c r="H1530" s="1741" t="s">
        <v>168</v>
      </c>
      <c r="I1530" s="118" t="s">
        <v>25</v>
      </c>
      <c r="J1530" s="118"/>
      <c r="K1530" s="1270"/>
      <c r="L1530" s="119"/>
      <c r="M1530" s="119"/>
      <c r="N1530" s="119"/>
      <c r="O1530" s="191"/>
      <c r="Q1530" s="118" t="s">
        <v>25</v>
      </c>
    </row>
    <row r="1531" spans="1:17" ht="18.75" customHeight="1" x14ac:dyDescent="0.3">
      <c r="A1531" s="189">
        <v>32</v>
      </c>
      <c r="B1531" s="215" t="s">
        <v>210</v>
      </c>
      <c r="C1531" s="216" t="s">
        <v>198</v>
      </c>
      <c r="D1531" s="67">
        <v>51</v>
      </c>
      <c r="E1531" s="217" t="s">
        <v>234</v>
      </c>
      <c r="F1531" s="218" t="s">
        <v>200</v>
      </c>
      <c r="G1531" s="192">
        <v>5930</v>
      </c>
      <c r="H1531" s="1741" t="s">
        <v>168</v>
      </c>
      <c r="I1531" s="118" t="s">
        <v>25</v>
      </c>
      <c r="J1531" s="118"/>
      <c r="K1531" s="1270"/>
      <c r="L1531" s="119"/>
      <c r="M1531" s="119"/>
      <c r="N1531" s="119"/>
      <c r="O1531" s="191"/>
      <c r="Q1531" s="118" t="s">
        <v>25</v>
      </c>
    </row>
    <row r="1532" spans="1:17" ht="18.75" customHeight="1" x14ac:dyDescent="0.3">
      <c r="A1532" s="214">
        <v>33</v>
      </c>
      <c r="B1532" s="215" t="s">
        <v>210</v>
      </c>
      <c r="C1532" s="216" t="s">
        <v>198</v>
      </c>
      <c r="D1532" s="67">
        <v>51</v>
      </c>
      <c r="E1532" s="217" t="s">
        <v>235</v>
      </c>
      <c r="F1532" s="218" t="s">
        <v>200</v>
      </c>
      <c r="G1532" s="192">
        <v>5930</v>
      </c>
      <c r="H1532" s="1741" t="s">
        <v>236</v>
      </c>
      <c r="I1532" s="118" t="s">
        <v>25</v>
      </c>
      <c r="J1532" s="118"/>
      <c r="K1532" s="1270"/>
      <c r="L1532" s="119"/>
      <c r="M1532" s="119"/>
      <c r="N1532" s="119"/>
      <c r="O1532" s="191"/>
      <c r="Q1532" s="118" t="s">
        <v>25</v>
      </c>
    </row>
    <row r="1533" spans="1:17" ht="20.25" customHeight="1" x14ac:dyDescent="0.3">
      <c r="A1533" s="214">
        <v>34</v>
      </c>
      <c r="B1533" s="215" t="s">
        <v>210</v>
      </c>
      <c r="C1533" s="216" t="s">
        <v>198</v>
      </c>
      <c r="D1533" s="67">
        <v>51</v>
      </c>
      <c r="E1533" s="217" t="s">
        <v>237</v>
      </c>
      <c r="F1533" s="218" t="s">
        <v>200</v>
      </c>
      <c r="G1533" s="192">
        <v>5930</v>
      </c>
      <c r="H1533" s="1741" t="s">
        <v>236</v>
      </c>
      <c r="I1533" s="118" t="s">
        <v>25</v>
      </c>
      <c r="J1533" s="118"/>
      <c r="K1533" s="924"/>
      <c r="L1533" s="192"/>
      <c r="M1533" s="192"/>
      <c r="N1533" s="192"/>
      <c r="O1533" s="191"/>
      <c r="P1533" s="1" t="s">
        <v>238</v>
      </c>
      <c r="Q1533" s="118" t="s">
        <v>25</v>
      </c>
    </row>
    <row r="1534" spans="1:17" ht="18.75" customHeight="1" x14ac:dyDescent="0.3">
      <c r="A1534" s="189">
        <v>35</v>
      </c>
      <c r="B1534" s="215" t="s">
        <v>239</v>
      </c>
      <c r="C1534" s="216" t="s">
        <v>198</v>
      </c>
      <c r="D1534" s="67">
        <v>55</v>
      </c>
      <c r="E1534" s="217" t="s">
        <v>240</v>
      </c>
      <c r="F1534" s="218" t="s">
        <v>241</v>
      </c>
      <c r="G1534" s="192">
        <v>6500</v>
      </c>
      <c r="H1534" s="1741" t="s">
        <v>242</v>
      </c>
      <c r="I1534" s="118" t="s">
        <v>25</v>
      </c>
      <c r="J1534" s="118"/>
      <c r="K1534" s="924"/>
      <c r="L1534" s="192"/>
      <c r="M1534" s="192"/>
      <c r="N1534" s="192"/>
      <c r="O1534" s="191"/>
      <c r="Q1534" s="118" t="s">
        <v>25</v>
      </c>
    </row>
    <row r="1535" spans="1:17" ht="18.75" customHeight="1" x14ac:dyDescent="0.3">
      <c r="A1535" s="214">
        <v>36</v>
      </c>
      <c r="B1535" s="215" t="s">
        <v>239</v>
      </c>
      <c r="C1535" s="216" t="s">
        <v>198</v>
      </c>
      <c r="D1535" s="67">
        <v>55</v>
      </c>
      <c r="E1535" s="217" t="s">
        <v>243</v>
      </c>
      <c r="F1535" s="218" t="s">
        <v>241</v>
      </c>
      <c r="G1535" s="192">
        <v>6500</v>
      </c>
      <c r="H1535" s="1741" t="s">
        <v>242</v>
      </c>
      <c r="I1535" s="118" t="s">
        <v>25</v>
      </c>
      <c r="J1535" s="118"/>
      <c r="K1535" s="924"/>
      <c r="L1535" s="192"/>
      <c r="M1535" s="192"/>
      <c r="N1535" s="192"/>
      <c r="O1535" s="191"/>
      <c r="Q1535" s="118" t="s">
        <v>25</v>
      </c>
    </row>
    <row r="1536" spans="1:17" ht="18.75" customHeight="1" x14ac:dyDescent="0.3">
      <c r="A1536" s="189">
        <v>37</v>
      </c>
      <c r="B1536" s="215" t="s">
        <v>239</v>
      </c>
      <c r="C1536" s="216" t="s">
        <v>198</v>
      </c>
      <c r="D1536" s="67">
        <v>55</v>
      </c>
      <c r="E1536" s="217" t="s">
        <v>244</v>
      </c>
      <c r="F1536" s="218" t="s">
        <v>241</v>
      </c>
      <c r="G1536" s="192">
        <v>6500</v>
      </c>
      <c r="H1536" s="1741" t="s">
        <v>242</v>
      </c>
      <c r="I1536" s="118" t="s">
        <v>25</v>
      </c>
      <c r="J1536" s="118"/>
      <c r="K1536" s="924"/>
      <c r="L1536" s="192"/>
      <c r="M1536" s="192"/>
      <c r="N1536" s="192"/>
      <c r="O1536" s="191"/>
      <c r="Q1536" s="118" t="s">
        <v>25</v>
      </c>
    </row>
    <row r="1537" spans="1:17" ht="18.75" customHeight="1" x14ac:dyDescent="0.3">
      <c r="A1537" s="214">
        <v>38</v>
      </c>
      <c r="B1537" s="215" t="s">
        <v>239</v>
      </c>
      <c r="C1537" s="216" t="s">
        <v>198</v>
      </c>
      <c r="D1537" s="67">
        <v>55</v>
      </c>
      <c r="E1537" s="217" t="s">
        <v>245</v>
      </c>
      <c r="F1537" s="218" t="s">
        <v>241</v>
      </c>
      <c r="G1537" s="192">
        <v>6500</v>
      </c>
      <c r="H1537" s="1741" t="s">
        <v>242</v>
      </c>
      <c r="I1537" s="118" t="s">
        <v>25</v>
      </c>
      <c r="J1537" s="118"/>
      <c r="K1537" s="924"/>
      <c r="L1537" s="192"/>
      <c r="M1537" s="192"/>
      <c r="N1537" s="192"/>
      <c r="O1537" s="191"/>
      <c r="Q1537" s="118" t="s">
        <v>25</v>
      </c>
    </row>
    <row r="1538" spans="1:17" ht="18.75" customHeight="1" x14ac:dyDescent="0.3">
      <c r="A1538" s="214">
        <v>39</v>
      </c>
      <c r="B1538" s="215" t="s">
        <v>239</v>
      </c>
      <c r="C1538" s="216" t="s">
        <v>198</v>
      </c>
      <c r="D1538" s="67">
        <v>55</v>
      </c>
      <c r="E1538" s="217" t="s">
        <v>246</v>
      </c>
      <c r="F1538" s="218" t="s">
        <v>241</v>
      </c>
      <c r="G1538" s="192">
        <v>6500</v>
      </c>
      <c r="H1538" s="1741" t="s">
        <v>242</v>
      </c>
      <c r="I1538" s="118" t="s">
        <v>25</v>
      </c>
      <c r="J1538" s="118"/>
      <c r="K1538" s="924"/>
      <c r="L1538" s="192"/>
      <c r="M1538" s="192"/>
      <c r="N1538" s="192"/>
      <c r="O1538" s="191"/>
      <c r="Q1538" s="118" t="s">
        <v>25</v>
      </c>
    </row>
    <row r="1539" spans="1:17" ht="18.75" customHeight="1" x14ac:dyDescent="0.3">
      <c r="A1539" s="189">
        <v>40</v>
      </c>
      <c r="B1539" s="215" t="s">
        <v>239</v>
      </c>
      <c r="C1539" s="216" t="s">
        <v>198</v>
      </c>
      <c r="D1539" s="67">
        <v>55</v>
      </c>
      <c r="E1539" s="217" t="s">
        <v>247</v>
      </c>
      <c r="F1539" s="218" t="s">
        <v>241</v>
      </c>
      <c r="G1539" s="192">
        <v>6500</v>
      </c>
      <c r="H1539" s="1741" t="s">
        <v>248</v>
      </c>
      <c r="I1539" s="118" t="s">
        <v>25</v>
      </c>
      <c r="J1539" s="118"/>
      <c r="K1539" s="924"/>
      <c r="L1539" s="192"/>
      <c r="M1539" s="192"/>
      <c r="N1539" s="192"/>
      <c r="O1539" s="191"/>
      <c r="Q1539" s="118" t="s">
        <v>25</v>
      </c>
    </row>
    <row r="1540" spans="1:17" ht="18.75" customHeight="1" x14ac:dyDescent="0.3">
      <c r="A1540" s="214">
        <v>41</v>
      </c>
      <c r="B1540" s="215" t="s">
        <v>239</v>
      </c>
      <c r="C1540" s="216" t="s">
        <v>198</v>
      </c>
      <c r="D1540" s="67">
        <v>55</v>
      </c>
      <c r="E1540" s="217" t="s">
        <v>249</v>
      </c>
      <c r="F1540" s="218" t="s">
        <v>241</v>
      </c>
      <c r="G1540" s="192">
        <v>6500</v>
      </c>
      <c r="H1540" s="1741" t="s">
        <v>248</v>
      </c>
      <c r="I1540" s="118" t="s">
        <v>25</v>
      </c>
      <c r="J1540" s="118"/>
      <c r="K1540" s="924"/>
      <c r="L1540" s="192"/>
      <c r="M1540" s="192"/>
      <c r="N1540" s="192"/>
      <c r="O1540" s="191"/>
      <c r="Q1540" s="118" t="s">
        <v>25</v>
      </c>
    </row>
    <row r="1541" spans="1:17" ht="18.75" customHeight="1" x14ac:dyDescent="0.3">
      <c r="A1541" s="189">
        <v>42</v>
      </c>
      <c r="B1541" s="215" t="s">
        <v>239</v>
      </c>
      <c r="C1541" s="216" t="s">
        <v>198</v>
      </c>
      <c r="D1541" s="67">
        <v>55</v>
      </c>
      <c r="E1541" s="217" t="s">
        <v>250</v>
      </c>
      <c r="F1541" s="218" t="s">
        <v>241</v>
      </c>
      <c r="G1541" s="192">
        <v>6500</v>
      </c>
      <c r="H1541" s="1741" t="s">
        <v>248</v>
      </c>
      <c r="I1541" s="118" t="s">
        <v>25</v>
      </c>
      <c r="J1541" s="118"/>
      <c r="K1541" s="924"/>
      <c r="L1541" s="192"/>
      <c r="M1541" s="192"/>
      <c r="N1541" s="192"/>
      <c r="O1541" s="191"/>
      <c r="Q1541" s="118" t="s">
        <v>25</v>
      </c>
    </row>
    <row r="1542" spans="1:17" ht="18.75" customHeight="1" x14ac:dyDescent="0.3">
      <c r="A1542" s="214">
        <v>43</v>
      </c>
      <c r="B1542" s="215" t="s">
        <v>251</v>
      </c>
      <c r="C1542" s="216" t="s">
        <v>198</v>
      </c>
      <c r="D1542" s="67">
        <v>55</v>
      </c>
      <c r="E1542" s="217" t="s">
        <v>252</v>
      </c>
      <c r="F1542" s="218" t="s">
        <v>253</v>
      </c>
      <c r="G1542" s="192">
        <v>5600</v>
      </c>
      <c r="H1542" s="1741" t="s">
        <v>254</v>
      </c>
      <c r="I1542" s="118" t="s">
        <v>25</v>
      </c>
      <c r="J1542" s="118"/>
      <c r="K1542" s="924"/>
      <c r="L1542" s="192"/>
      <c r="M1542" s="192"/>
      <c r="N1542" s="192"/>
      <c r="O1542" s="191"/>
      <c r="Q1542" s="118" t="s">
        <v>25</v>
      </c>
    </row>
    <row r="1543" spans="1:17" ht="18.75" customHeight="1" x14ac:dyDescent="0.3">
      <c r="A1543" s="214">
        <v>44</v>
      </c>
      <c r="B1543" s="215" t="s">
        <v>251</v>
      </c>
      <c r="C1543" s="216" t="s">
        <v>198</v>
      </c>
      <c r="D1543" s="67">
        <v>55</v>
      </c>
      <c r="E1543" s="217" t="s">
        <v>255</v>
      </c>
      <c r="F1543" s="218" t="s">
        <v>253</v>
      </c>
      <c r="G1543" s="192">
        <v>5600</v>
      </c>
      <c r="H1543" s="1741" t="s">
        <v>254</v>
      </c>
      <c r="I1543" s="118" t="s">
        <v>25</v>
      </c>
      <c r="J1543" s="118"/>
      <c r="K1543" s="924"/>
      <c r="L1543" s="192"/>
      <c r="M1543" s="192"/>
      <c r="N1543" s="192"/>
      <c r="O1543" s="191"/>
      <c r="Q1543" s="118" t="s">
        <v>25</v>
      </c>
    </row>
    <row r="1544" spans="1:17" ht="18.75" customHeight="1" x14ac:dyDescent="0.3">
      <c r="A1544" s="189">
        <v>45</v>
      </c>
      <c r="B1544" s="215" t="s">
        <v>251</v>
      </c>
      <c r="C1544" s="216" t="s">
        <v>198</v>
      </c>
      <c r="D1544" s="67">
        <v>55</v>
      </c>
      <c r="E1544" s="217" t="s">
        <v>256</v>
      </c>
      <c r="F1544" s="218" t="s">
        <v>253</v>
      </c>
      <c r="G1544" s="192">
        <v>5600</v>
      </c>
      <c r="H1544" s="1741" t="s">
        <v>254</v>
      </c>
      <c r="I1544" s="118" t="s">
        <v>25</v>
      </c>
      <c r="J1544" s="118"/>
      <c r="K1544" s="924"/>
      <c r="L1544" s="192"/>
      <c r="M1544" s="192"/>
      <c r="N1544" s="192"/>
      <c r="O1544" s="191"/>
      <c r="Q1544" s="118" t="s">
        <v>25</v>
      </c>
    </row>
    <row r="1545" spans="1:17" ht="18.75" customHeight="1" x14ac:dyDescent="0.3">
      <c r="A1545" s="214">
        <v>46</v>
      </c>
      <c r="B1545" s="215" t="s">
        <v>251</v>
      </c>
      <c r="C1545" s="216" t="s">
        <v>198</v>
      </c>
      <c r="D1545" s="67">
        <v>55</v>
      </c>
      <c r="E1545" s="217" t="s">
        <v>257</v>
      </c>
      <c r="F1545" s="218" t="s">
        <v>253</v>
      </c>
      <c r="G1545" s="192">
        <v>5600</v>
      </c>
      <c r="H1545" s="1741" t="s">
        <v>254</v>
      </c>
      <c r="I1545" s="118" t="s">
        <v>25</v>
      </c>
      <c r="J1545" s="118"/>
      <c r="K1545" s="924"/>
      <c r="L1545" s="192"/>
      <c r="M1545" s="192"/>
      <c r="N1545" s="192"/>
      <c r="O1545" s="191"/>
      <c r="Q1545" s="118" t="s">
        <v>25</v>
      </c>
    </row>
    <row r="1546" spans="1:17" ht="18.75" customHeight="1" x14ac:dyDescent="0.3">
      <c r="A1546" s="189">
        <v>47</v>
      </c>
      <c r="B1546" s="215" t="s">
        <v>251</v>
      </c>
      <c r="C1546" s="216" t="s">
        <v>198</v>
      </c>
      <c r="D1546" s="67">
        <v>55</v>
      </c>
      <c r="E1546" s="217" t="s">
        <v>258</v>
      </c>
      <c r="F1546" s="218" t="s">
        <v>253</v>
      </c>
      <c r="G1546" s="192">
        <v>5600</v>
      </c>
      <c r="H1546" s="1741" t="s">
        <v>254</v>
      </c>
      <c r="I1546" s="118" t="s">
        <v>25</v>
      </c>
      <c r="J1546" s="118"/>
      <c r="K1546" s="924"/>
      <c r="L1546" s="192"/>
      <c r="M1546" s="192"/>
      <c r="N1546" s="192"/>
      <c r="O1546" s="191"/>
      <c r="Q1546" s="118" t="s">
        <v>25</v>
      </c>
    </row>
    <row r="1547" spans="1:17" ht="18.75" customHeight="1" x14ac:dyDescent="0.3">
      <c r="A1547" s="214">
        <v>48</v>
      </c>
      <c r="B1547" s="215" t="s">
        <v>259</v>
      </c>
      <c r="C1547" s="216" t="s">
        <v>198</v>
      </c>
      <c r="D1547" s="67">
        <v>58</v>
      </c>
      <c r="E1547" s="217" t="s">
        <v>260</v>
      </c>
      <c r="F1547" s="218" t="s">
        <v>261</v>
      </c>
      <c r="G1547" s="192">
        <v>10000</v>
      </c>
      <c r="H1547" s="1741" t="s">
        <v>262</v>
      </c>
      <c r="I1547" s="118" t="s">
        <v>25</v>
      </c>
      <c r="J1547" s="118"/>
      <c r="K1547" s="924"/>
      <c r="L1547" s="192"/>
      <c r="M1547" s="192"/>
      <c r="N1547" s="192"/>
      <c r="O1547" s="191"/>
      <c r="Q1547" s="118" t="s">
        <v>25</v>
      </c>
    </row>
    <row r="1548" spans="1:17" ht="18.75" customHeight="1" x14ac:dyDescent="0.3">
      <c r="A1548" s="214">
        <v>49</v>
      </c>
      <c r="B1548" s="215" t="s">
        <v>259</v>
      </c>
      <c r="C1548" s="216" t="s">
        <v>198</v>
      </c>
      <c r="D1548" s="67">
        <v>58</v>
      </c>
      <c r="E1548" s="217" t="s">
        <v>263</v>
      </c>
      <c r="F1548" s="218" t="s">
        <v>261</v>
      </c>
      <c r="G1548" s="192">
        <v>10000</v>
      </c>
      <c r="H1548" s="1741" t="s">
        <v>262</v>
      </c>
      <c r="I1548" s="118" t="s">
        <v>25</v>
      </c>
      <c r="J1548" s="118"/>
      <c r="K1548" s="924"/>
      <c r="L1548" s="192"/>
      <c r="M1548" s="192"/>
      <c r="N1548" s="192"/>
      <c r="O1548" s="191"/>
      <c r="Q1548" s="118" t="s">
        <v>25</v>
      </c>
    </row>
    <row r="1549" spans="1:17" ht="18.75" customHeight="1" x14ac:dyDescent="0.3">
      <c r="A1549" s="189">
        <v>50</v>
      </c>
      <c r="B1549" s="215" t="s">
        <v>259</v>
      </c>
      <c r="C1549" s="216" t="s">
        <v>198</v>
      </c>
      <c r="D1549" s="67">
        <v>58</v>
      </c>
      <c r="E1549" s="217" t="s">
        <v>264</v>
      </c>
      <c r="F1549" s="218" t="s">
        <v>261</v>
      </c>
      <c r="G1549" s="192">
        <v>10000</v>
      </c>
      <c r="H1549" s="1741" t="s">
        <v>262</v>
      </c>
      <c r="I1549" s="118" t="s">
        <v>25</v>
      </c>
      <c r="J1549" s="118"/>
      <c r="K1549" s="924"/>
      <c r="L1549" s="192"/>
      <c r="M1549" s="192"/>
      <c r="N1549" s="192"/>
      <c r="O1549" s="191"/>
      <c r="Q1549" s="118" t="s">
        <v>25</v>
      </c>
    </row>
    <row r="1550" spans="1:17" ht="18.75" customHeight="1" x14ac:dyDescent="0.3">
      <c r="A1550" s="214">
        <v>51</v>
      </c>
      <c r="B1550" s="215" t="s">
        <v>259</v>
      </c>
      <c r="C1550" s="216" t="s">
        <v>198</v>
      </c>
      <c r="D1550" s="67">
        <v>58</v>
      </c>
      <c r="E1550" s="217" t="s">
        <v>265</v>
      </c>
      <c r="F1550" s="218" t="s">
        <v>261</v>
      </c>
      <c r="G1550" s="192">
        <v>10000</v>
      </c>
      <c r="H1550" s="1741" t="s">
        <v>262</v>
      </c>
      <c r="I1550" s="118" t="s">
        <v>25</v>
      </c>
      <c r="J1550" s="118"/>
      <c r="K1550" s="924"/>
      <c r="L1550" s="192"/>
      <c r="M1550" s="192"/>
      <c r="N1550" s="192"/>
      <c r="O1550" s="191"/>
      <c r="Q1550" s="118" t="s">
        <v>25</v>
      </c>
    </row>
    <row r="1551" spans="1:17" ht="18.75" customHeight="1" x14ac:dyDescent="0.3">
      <c r="A1551" s="189">
        <v>52</v>
      </c>
      <c r="B1551" s="215" t="s">
        <v>259</v>
      </c>
      <c r="C1551" s="216" t="s">
        <v>198</v>
      </c>
      <c r="D1551" s="67">
        <v>58</v>
      </c>
      <c r="E1551" s="217" t="s">
        <v>266</v>
      </c>
      <c r="F1551" s="218" t="s">
        <v>261</v>
      </c>
      <c r="G1551" s="192">
        <v>10000</v>
      </c>
      <c r="H1551" s="1741" t="s">
        <v>262</v>
      </c>
      <c r="I1551" s="118" t="s">
        <v>25</v>
      </c>
      <c r="J1551" s="118"/>
      <c r="K1551" s="924"/>
      <c r="L1551" s="192"/>
      <c r="M1551" s="192"/>
      <c r="N1551" s="192"/>
      <c r="O1551" s="191"/>
      <c r="Q1551" s="118" t="s">
        <v>25</v>
      </c>
    </row>
    <row r="1552" spans="1:17" ht="18.75" customHeight="1" x14ac:dyDescent="0.3">
      <c r="A1552" s="214">
        <v>53</v>
      </c>
      <c r="B1552" s="215" t="s">
        <v>259</v>
      </c>
      <c r="C1552" s="216" t="s">
        <v>198</v>
      </c>
      <c r="D1552" s="67">
        <v>58</v>
      </c>
      <c r="E1552" s="217" t="s">
        <v>267</v>
      </c>
      <c r="F1552" s="218" t="s">
        <v>261</v>
      </c>
      <c r="G1552" s="192">
        <v>10000</v>
      </c>
      <c r="H1552" s="1741" t="s">
        <v>268</v>
      </c>
      <c r="I1552" s="118" t="s">
        <v>25</v>
      </c>
      <c r="J1552" s="118"/>
      <c r="K1552" s="924"/>
      <c r="L1552" s="192"/>
      <c r="M1552" s="192"/>
      <c r="N1552" s="192"/>
      <c r="O1552" s="191"/>
      <c r="Q1552" s="118" t="s">
        <v>25</v>
      </c>
    </row>
    <row r="1553" spans="1:17" ht="18.75" customHeight="1" x14ac:dyDescent="0.3">
      <c r="A1553" s="214">
        <v>54</v>
      </c>
      <c r="B1553" s="215" t="s">
        <v>259</v>
      </c>
      <c r="C1553" s="216" t="s">
        <v>198</v>
      </c>
      <c r="D1553" s="67">
        <v>58</v>
      </c>
      <c r="E1553" s="217" t="s">
        <v>269</v>
      </c>
      <c r="F1553" s="218" t="s">
        <v>261</v>
      </c>
      <c r="G1553" s="192">
        <v>10000</v>
      </c>
      <c r="H1553" s="1741" t="s">
        <v>268</v>
      </c>
      <c r="I1553" s="118" t="s">
        <v>25</v>
      </c>
      <c r="J1553" s="118"/>
      <c r="K1553" s="924"/>
      <c r="L1553" s="192"/>
      <c r="M1553" s="192"/>
      <c r="N1553" s="192"/>
      <c r="O1553" s="191"/>
      <c r="Q1553" s="118" t="s">
        <v>25</v>
      </c>
    </row>
    <row r="1554" spans="1:17" ht="18.75" customHeight="1" x14ac:dyDescent="0.3">
      <c r="A1554" s="189">
        <v>55</v>
      </c>
      <c r="B1554" s="215" t="s">
        <v>259</v>
      </c>
      <c r="C1554" s="216" t="s">
        <v>198</v>
      </c>
      <c r="D1554" s="67">
        <v>58</v>
      </c>
      <c r="E1554" s="217" t="s">
        <v>270</v>
      </c>
      <c r="F1554" s="218" t="s">
        <v>261</v>
      </c>
      <c r="G1554" s="192">
        <v>10000</v>
      </c>
      <c r="H1554" s="1741" t="s">
        <v>268</v>
      </c>
      <c r="I1554" s="118" t="s">
        <v>25</v>
      </c>
      <c r="J1554" s="118"/>
      <c r="K1554" s="924"/>
      <c r="L1554" s="192"/>
      <c r="M1554" s="192"/>
      <c r="N1554" s="192"/>
      <c r="O1554" s="191"/>
      <c r="Q1554" s="118" t="s">
        <v>25</v>
      </c>
    </row>
    <row r="1555" spans="1:17" ht="18.75" customHeight="1" x14ac:dyDescent="0.3">
      <c r="A1555" s="214">
        <v>56</v>
      </c>
      <c r="B1555" s="215" t="s">
        <v>259</v>
      </c>
      <c r="C1555" s="216" t="s">
        <v>198</v>
      </c>
      <c r="D1555" s="67">
        <v>58</v>
      </c>
      <c r="E1555" s="217" t="s">
        <v>271</v>
      </c>
      <c r="F1555" s="218" t="s">
        <v>261</v>
      </c>
      <c r="G1555" s="192">
        <v>10000</v>
      </c>
      <c r="H1555" s="1741" t="s">
        <v>268</v>
      </c>
      <c r="I1555" s="118" t="s">
        <v>25</v>
      </c>
      <c r="K1555" s="924"/>
      <c r="L1555" s="192"/>
      <c r="M1555" s="192"/>
      <c r="N1555" s="192"/>
      <c r="O1555" s="191"/>
      <c r="Q1555" s="118" t="s">
        <v>25</v>
      </c>
    </row>
    <row r="1556" spans="1:17" ht="18.75" customHeight="1" x14ac:dyDescent="0.3">
      <c r="A1556" s="189">
        <v>57</v>
      </c>
      <c r="B1556" s="215" t="s">
        <v>259</v>
      </c>
      <c r="C1556" s="216" t="s">
        <v>198</v>
      </c>
      <c r="D1556" s="67">
        <v>58</v>
      </c>
      <c r="E1556" s="217" t="s">
        <v>272</v>
      </c>
      <c r="F1556" s="218" t="s">
        <v>261</v>
      </c>
      <c r="G1556" s="192">
        <v>10000</v>
      </c>
      <c r="H1556" s="1741" t="s">
        <v>268</v>
      </c>
      <c r="I1556" s="118" t="s">
        <v>25</v>
      </c>
      <c r="J1556" s="118"/>
      <c r="K1556" s="924"/>
      <c r="L1556" s="192"/>
      <c r="M1556" s="192"/>
      <c r="N1556" s="192"/>
      <c r="O1556" s="191"/>
      <c r="P1556" s="1" t="s">
        <v>238</v>
      </c>
      <c r="Q1556" s="118" t="s">
        <v>25</v>
      </c>
    </row>
    <row r="1557" spans="1:17" ht="18.75" customHeight="1" x14ac:dyDescent="0.3">
      <c r="A1557" s="214">
        <v>58</v>
      </c>
      <c r="B1557" s="215" t="s">
        <v>259</v>
      </c>
      <c r="C1557" s="216" t="s">
        <v>198</v>
      </c>
      <c r="D1557" s="67">
        <v>58</v>
      </c>
      <c r="E1557" s="217" t="s">
        <v>273</v>
      </c>
      <c r="F1557" s="218" t="s">
        <v>261</v>
      </c>
      <c r="G1557" s="192">
        <v>10000</v>
      </c>
      <c r="H1557" s="1741" t="s">
        <v>268</v>
      </c>
      <c r="I1557" s="118" t="s">
        <v>25</v>
      </c>
      <c r="J1557" s="118"/>
      <c r="K1557" s="924"/>
      <c r="L1557" s="192"/>
      <c r="M1557" s="192"/>
      <c r="N1557" s="192"/>
      <c r="O1557" s="191"/>
      <c r="P1557" s="1" t="s">
        <v>238</v>
      </c>
      <c r="Q1557" s="118" t="s">
        <v>25</v>
      </c>
    </row>
    <row r="1558" spans="1:17" ht="18.75" customHeight="1" x14ac:dyDescent="0.3">
      <c r="A1558" s="214">
        <v>59</v>
      </c>
      <c r="B1558" s="215" t="s">
        <v>259</v>
      </c>
      <c r="C1558" s="216" t="s">
        <v>198</v>
      </c>
      <c r="D1558" s="67">
        <v>58</v>
      </c>
      <c r="E1558" s="217" t="s">
        <v>274</v>
      </c>
      <c r="F1558" s="218" t="s">
        <v>261</v>
      </c>
      <c r="G1558" s="192">
        <v>10000</v>
      </c>
      <c r="H1558" s="1741" t="s">
        <v>275</v>
      </c>
      <c r="I1558" s="118"/>
      <c r="J1558" s="118" t="s">
        <v>25</v>
      </c>
      <c r="K1558" s="924"/>
      <c r="L1558" s="192"/>
      <c r="M1558" s="192"/>
      <c r="N1558" s="192"/>
      <c r="O1558" s="2819" t="s">
        <v>6395</v>
      </c>
      <c r="Q1558" s="118"/>
    </row>
    <row r="1559" spans="1:17" ht="18.75" customHeight="1" x14ac:dyDescent="0.3">
      <c r="A1559" s="189">
        <v>60</v>
      </c>
      <c r="B1559" s="215" t="s">
        <v>259</v>
      </c>
      <c r="C1559" s="216" t="s">
        <v>198</v>
      </c>
      <c r="D1559" s="67">
        <v>58</v>
      </c>
      <c r="E1559" s="217" t="s">
        <v>276</v>
      </c>
      <c r="F1559" s="218" t="s">
        <v>261</v>
      </c>
      <c r="G1559" s="192">
        <v>10000</v>
      </c>
      <c r="H1559" s="1741" t="s">
        <v>268</v>
      </c>
      <c r="I1559" s="118" t="s">
        <v>25</v>
      </c>
      <c r="J1559" s="118"/>
      <c r="K1559" s="924"/>
      <c r="L1559" s="192"/>
      <c r="M1559" s="192"/>
      <c r="N1559" s="192"/>
      <c r="O1559" s="191"/>
      <c r="Q1559" s="118" t="s">
        <v>25</v>
      </c>
    </row>
    <row r="1560" spans="1:17" ht="18.75" customHeight="1" x14ac:dyDescent="0.3">
      <c r="A1560" s="214">
        <v>61</v>
      </c>
      <c r="B1560" s="215" t="s">
        <v>259</v>
      </c>
      <c r="C1560" s="216" t="s">
        <v>198</v>
      </c>
      <c r="D1560" s="67">
        <v>58</v>
      </c>
      <c r="E1560" s="217" t="s">
        <v>277</v>
      </c>
      <c r="F1560" s="218" t="s">
        <v>261</v>
      </c>
      <c r="G1560" s="192">
        <v>10000</v>
      </c>
      <c r="H1560" s="1741" t="s">
        <v>268</v>
      </c>
      <c r="I1560" s="118" t="s">
        <v>25</v>
      </c>
      <c r="J1560" s="118"/>
      <c r="K1560" s="924"/>
      <c r="L1560" s="192"/>
      <c r="M1560" s="192"/>
      <c r="N1560" s="192"/>
      <c r="O1560" s="191"/>
      <c r="Q1560" s="118" t="s">
        <v>25</v>
      </c>
    </row>
    <row r="1561" spans="1:17" ht="18.75" customHeight="1" x14ac:dyDescent="0.3">
      <c r="A1561" s="189">
        <v>62</v>
      </c>
      <c r="B1561" s="215" t="s">
        <v>259</v>
      </c>
      <c r="C1561" s="216" t="s">
        <v>198</v>
      </c>
      <c r="D1561" s="67">
        <v>58</v>
      </c>
      <c r="E1561" s="217" t="s">
        <v>278</v>
      </c>
      <c r="F1561" s="218" t="s">
        <v>261</v>
      </c>
      <c r="G1561" s="192">
        <v>10000</v>
      </c>
      <c r="H1561" s="1741" t="s">
        <v>268</v>
      </c>
      <c r="I1561" s="118" t="s">
        <v>25</v>
      </c>
      <c r="J1561" s="118"/>
      <c r="K1561" s="924"/>
      <c r="L1561" s="192"/>
      <c r="M1561" s="192"/>
      <c r="N1561" s="192"/>
      <c r="O1561" s="191"/>
      <c r="Q1561" s="118" t="s">
        <v>25</v>
      </c>
    </row>
    <row r="1562" spans="1:17" ht="18.75" customHeight="1" x14ac:dyDescent="0.3">
      <c r="A1562" s="214">
        <v>63</v>
      </c>
      <c r="B1562" s="215" t="s">
        <v>259</v>
      </c>
      <c r="C1562" s="216" t="s">
        <v>198</v>
      </c>
      <c r="D1562" s="67">
        <v>58</v>
      </c>
      <c r="E1562" s="217" t="s">
        <v>279</v>
      </c>
      <c r="F1562" s="218" t="s">
        <v>261</v>
      </c>
      <c r="G1562" s="192">
        <v>10000</v>
      </c>
      <c r="H1562" s="1741" t="s">
        <v>268</v>
      </c>
      <c r="I1562" s="118" t="s">
        <v>25</v>
      </c>
      <c r="J1562" s="118"/>
      <c r="K1562" s="924"/>
      <c r="L1562" s="192"/>
      <c r="M1562" s="192"/>
      <c r="N1562" s="192"/>
      <c r="O1562" s="191"/>
      <c r="Q1562" s="118" t="s">
        <v>25</v>
      </c>
    </row>
    <row r="1563" spans="1:17" ht="18.75" customHeight="1" x14ac:dyDescent="0.3">
      <c r="A1563" s="214">
        <v>64</v>
      </c>
      <c r="B1563" s="215" t="s">
        <v>259</v>
      </c>
      <c r="C1563" s="216" t="s">
        <v>198</v>
      </c>
      <c r="D1563" s="67">
        <v>58</v>
      </c>
      <c r="E1563" s="217" t="s">
        <v>280</v>
      </c>
      <c r="F1563" s="218" t="s">
        <v>261</v>
      </c>
      <c r="G1563" s="192">
        <v>10000</v>
      </c>
      <c r="H1563" s="1741" t="s">
        <v>268</v>
      </c>
      <c r="I1563" s="118" t="s">
        <v>25</v>
      </c>
      <c r="J1563" s="118"/>
      <c r="K1563" s="924"/>
      <c r="L1563" s="192"/>
      <c r="M1563" s="192"/>
      <c r="N1563" s="192"/>
      <c r="O1563" s="191"/>
      <c r="Q1563" s="118" t="s">
        <v>25</v>
      </c>
    </row>
    <row r="1564" spans="1:17" ht="18.75" customHeight="1" x14ac:dyDescent="0.3">
      <c r="A1564" s="189">
        <v>65</v>
      </c>
      <c r="B1564" s="215" t="s">
        <v>259</v>
      </c>
      <c r="C1564" s="216" t="s">
        <v>198</v>
      </c>
      <c r="D1564" s="67">
        <v>58</v>
      </c>
      <c r="E1564" s="217" t="s">
        <v>281</v>
      </c>
      <c r="F1564" s="218" t="s">
        <v>261</v>
      </c>
      <c r="G1564" s="192">
        <v>10000</v>
      </c>
      <c r="H1564" s="1741" t="s">
        <v>268</v>
      </c>
      <c r="I1564" s="118" t="s">
        <v>25</v>
      </c>
      <c r="J1564" s="118"/>
      <c r="K1564" s="924"/>
      <c r="L1564" s="192"/>
      <c r="M1564" s="192"/>
      <c r="N1564" s="192"/>
      <c r="O1564" s="191"/>
      <c r="Q1564" s="118" t="s">
        <v>25</v>
      </c>
    </row>
    <row r="1565" spans="1:17" ht="19.5" customHeight="1" x14ac:dyDescent="0.3">
      <c r="A1565" s="214">
        <v>66</v>
      </c>
      <c r="B1565" s="215" t="s">
        <v>259</v>
      </c>
      <c r="C1565" s="216" t="s">
        <v>198</v>
      </c>
      <c r="D1565" s="67">
        <v>58</v>
      </c>
      <c r="E1565" s="217" t="s">
        <v>282</v>
      </c>
      <c r="F1565" s="218" t="s">
        <v>261</v>
      </c>
      <c r="G1565" s="192">
        <v>10000</v>
      </c>
      <c r="H1565" s="1741" t="s">
        <v>268</v>
      </c>
      <c r="I1565" s="118" t="s">
        <v>25</v>
      </c>
      <c r="J1565" s="118"/>
      <c r="K1565" s="924"/>
      <c r="L1565" s="192"/>
      <c r="M1565" s="192"/>
      <c r="N1565" s="192"/>
      <c r="O1565" s="191"/>
      <c r="Q1565" s="118" t="s">
        <v>25</v>
      </c>
    </row>
    <row r="1566" spans="1:17" ht="20.25" customHeight="1" x14ac:dyDescent="0.3">
      <c r="A1566" s="189">
        <v>67</v>
      </c>
      <c r="B1566" s="215" t="s">
        <v>259</v>
      </c>
      <c r="C1566" s="216" t="s">
        <v>198</v>
      </c>
      <c r="D1566" s="67">
        <v>58</v>
      </c>
      <c r="E1566" s="217" t="s">
        <v>283</v>
      </c>
      <c r="F1566" s="218" t="s">
        <v>261</v>
      </c>
      <c r="G1566" s="192">
        <v>10000</v>
      </c>
      <c r="H1566" s="1741" t="s">
        <v>268</v>
      </c>
      <c r="I1566" s="118" t="s">
        <v>25</v>
      </c>
      <c r="J1566" s="118"/>
      <c r="K1566" s="924"/>
      <c r="L1566" s="192"/>
      <c r="M1566" s="192"/>
      <c r="N1566" s="192"/>
      <c r="O1566" s="191"/>
      <c r="P1566" s="1" t="s">
        <v>238</v>
      </c>
      <c r="Q1566" s="118" t="s">
        <v>25</v>
      </c>
    </row>
    <row r="1567" spans="1:17" ht="18.75" customHeight="1" x14ac:dyDescent="0.3">
      <c r="A1567" s="214">
        <v>68</v>
      </c>
      <c r="B1567" s="215" t="s">
        <v>259</v>
      </c>
      <c r="C1567" s="216" t="s">
        <v>198</v>
      </c>
      <c r="D1567" s="67">
        <v>58</v>
      </c>
      <c r="E1567" s="217" t="s">
        <v>284</v>
      </c>
      <c r="F1567" s="218" t="s">
        <v>261</v>
      </c>
      <c r="G1567" s="192">
        <v>10000</v>
      </c>
      <c r="H1567" s="1741" t="s">
        <v>268</v>
      </c>
      <c r="I1567" s="118" t="s">
        <v>25</v>
      </c>
      <c r="J1567" s="118"/>
      <c r="K1567" s="924"/>
      <c r="L1567" s="192"/>
      <c r="M1567" s="192"/>
      <c r="N1567" s="192"/>
      <c r="O1567" s="191"/>
      <c r="Q1567" s="118" t="s">
        <v>25</v>
      </c>
    </row>
    <row r="1568" spans="1:17" ht="18.75" customHeight="1" x14ac:dyDescent="0.3">
      <c r="A1568" s="214">
        <v>69</v>
      </c>
      <c r="B1568" s="215" t="s">
        <v>259</v>
      </c>
      <c r="C1568" s="216" t="s">
        <v>198</v>
      </c>
      <c r="D1568" s="67">
        <v>58</v>
      </c>
      <c r="E1568" s="217" t="s">
        <v>285</v>
      </c>
      <c r="F1568" s="218" t="s">
        <v>261</v>
      </c>
      <c r="G1568" s="192">
        <v>10000</v>
      </c>
      <c r="H1568" s="1741" t="s">
        <v>268</v>
      </c>
      <c r="I1568" s="118" t="s">
        <v>25</v>
      </c>
      <c r="J1568" s="118"/>
      <c r="K1568" s="924"/>
      <c r="L1568" s="192"/>
      <c r="M1568" s="192"/>
      <c r="N1568" s="192"/>
      <c r="O1568" s="191"/>
      <c r="Q1568" s="118" t="s">
        <v>25</v>
      </c>
    </row>
    <row r="1569" spans="1:17" ht="18.75" customHeight="1" x14ac:dyDescent="0.3">
      <c r="A1569" s="189">
        <v>70</v>
      </c>
      <c r="B1569" s="215" t="s">
        <v>259</v>
      </c>
      <c r="C1569" s="216" t="s">
        <v>198</v>
      </c>
      <c r="D1569" s="67">
        <v>58</v>
      </c>
      <c r="E1569" s="217" t="s">
        <v>286</v>
      </c>
      <c r="F1569" s="218" t="s">
        <v>261</v>
      </c>
      <c r="G1569" s="192">
        <v>10000</v>
      </c>
      <c r="H1569" s="1741" t="s">
        <v>268</v>
      </c>
      <c r="I1569" s="118" t="s">
        <v>25</v>
      </c>
      <c r="J1569" s="118"/>
      <c r="K1569" s="924"/>
      <c r="L1569" s="192"/>
      <c r="M1569" s="192"/>
      <c r="N1569" s="192"/>
      <c r="O1569" s="191"/>
      <c r="P1569" s="1" t="s">
        <v>119</v>
      </c>
      <c r="Q1569" s="118" t="s">
        <v>25</v>
      </c>
    </row>
    <row r="1570" spans="1:17" ht="18.75" customHeight="1" x14ac:dyDescent="0.3">
      <c r="A1570" s="214">
        <v>71</v>
      </c>
      <c r="B1570" s="215" t="s">
        <v>259</v>
      </c>
      <c r="C1570" s="216" t="s">
        <v>198</v>
      </c>
      <c r="D1570" s="67">
        <v>58</v>
      </c>
      <c r="E1570" s="217" t="s">
        <v>287</v>
      </c>
      <c r="F1570" s="218" t="s">
        <v>261</v>
      </c>
      <c r="G1570" s="192">
        <v>10000</v>
      </c>
      <c r="H1570" s="1741" t="s">
        <v>268</v>
      </c>
      <c r="I1570" s="118" t="s">
        <v>25</v>
      </c>
      <c r="J1570" s="118"/>
      <c r="K1570" s="924"/>
      <c r="L1570" s="192"/>
      <c r="M1570" s="192"/>
      <c r="N1570" s="192"/>
      <c r="O1570" s="191"/>
      <c r="Q1570" s="118" t="s">
        <v>25</v>
      </c>
    </row>
    <row r="1571" spans="1:17" ht="33.75" customHeight="1" x14ac:dyDescent="0.3">
      <c r="A1571" s="189">
        <v>72</v>
      </c>
      <c r="B1571" s="215" t="s">
        <v>288</v>
      </c>
      <c r="C1571" s="216" t="s">
        <v>198</v>
      </c>
      <c r="D1571" s="67">
        <v>58</v>
      </c>
      <c r="E1571" s="217" t="s">
        <v>289</v>
      </c>
      <c r="F1571" s="218" t="s">
        <v>261</v>
      </c>
      <c r="G1571" s="192">
        <v>10000</v>
      </c>
      <c r="H1571" s="1741" t="s">
        <v>268</v>
      </c>
      <c r="I1571" s="118" t="s">
        <v>25</v>
      </c>
      <c r="J1571" s="118"/>
      <c r="K1571" s="924"/>
      <c r="L1571" s="192"/>
      <c r="M1571" s="192"/>
      <c r="N1571" s="192"/>
      <c r="O1571" s="146"/>
      <c r="P1571" s="1" t="s">
        <v>159</v>
      </c>
      <c r="Q1571" s="118" t="s">
        <v>25</v>
      </c>
    </row>
    <row r="1572" spans="1:17" ht="35.25" customHeight="1" x14ac:dyDescent="0.3">
      <c r="A1572" s="214">
        <v>73</v>
      </c>
      <c r="B1572" s="215" t="s">
        <v>288</v>
      </c>
      <c r="C1572" s="216" t="s">
        <v>198</v>
      </c>
      <c r="D1572" s="67">
        <v>58</v>
      </c>
      <c r="E1572" s="217" t="s">
        <v>290</v>
      </c>
      <c r="F1572" s="218" t="s">
        <v>261</v>
      </c>
      <c r="G1572" s="192">
        <v>10000</v>
      </c>
      <c r="H1572" s="1741" t="s">
        <v>268</v>
      </c>
      <c r="I1572" s="118" t="s">
        <v>25</v>
      </c>
      <c r="J1572" s="118"/>
      <c r="K1572" s="924"/>
      <c r="L1572" s="192"/>
      <c r="M1572" s="192"/>
      <c r="N1572" s="192"/>
      <c r="O1572" s="146"/>
      <c r="P1572" s="1" t="s">
        <v>291</v>
      </c>
      <c r="Q1572" s="118" t="s">
        <v>25</v>
      </c>
    </row>
    <row r="1573" spans="1:17" ht="36" customHeight="1" x14ac:dyDescent="0.3">
      <c r="A1573" s="214">
        <v>74</v>
      </c>
      <c r="B1573" s="215" t="s">
        <v>288</v>
      </c>
      <c r="C1573" s="216" t="s">
        <v>198</v>
      </c>
      <c r="D1573" s="67">
        <v>58</v>
      </c>
      <c r="E1573" s="217" t="s">
        <v>292</v>
      </c>
      <c r="F1573" s="218" t="s">
        <v>261</v>
      </c>
      <c r="G1573" s="192">
        <v>10000</v>
      </c>
      <c r="H1573" s="1741" t="s">
        <v>268</v>
      </c>
      <c r="I1573" s="118" t="s">
        <v>25</v>
      </c>
      <c r="J1573" s="118"/>
      <c r="K1573" s="924"/>
      <c r="L1573" s="192"/>
      <c r="M1573" s="192"/>
      <c r="N1573" s="192"/>
      <c r="O1573" s="146"/>
      <c r="P1573" s="1" t="s">
        <v>291</v>
      </c>
      <c r="Q1573" s="118" t="s">
        <v>25</v>
      </c>
    </row>
    <row r="1574" spans="1:17" ht="36.75" customHeight="1" x14ac:dyDescent="0.3">
      <c r="A1574" s="189">
        <v>75</v>
      </c>
      <c r="B1574" s="215" t="s">
        <v>288</v>
      </c>
      <c r="C1574" s="216" t="s">
        <v>198</v>
      </c>
      <c r="D1574" s="67">
        <v>58</v>
      </c>
      <c r="E1574" s="217" t="s">
        <v>293</v>
      </c>
      <c r="F1574" s="218" t="s">
        <v>261</v>
      </c>
      <c r="G1574" s="192">
        <v>10000</v>
      </c>
      <c r="H1574" s="1741" t="s">
        <v>268</v>
      </c>
      <c r="I1574" s="118" t="s">
        <v>25</v>
      </c>
      <c r="J1574" s="118"/>
      <c r="K1574" s="924"/>
      <c r="L1574" s="192"/>
      <c r="M1574" s="192"/>
      <c r="N1574" s="192"/>
      <c r="O1574" s="146"/>
      <c r="P1574" s="1" t="s">
        <v>291</v>
      </c>
      <c r="Q1574" s="118" t="s">
        <v>25</v>
      </c>
    </row>
    <row r="1575" spans="1:17" ht="18.75" customHeight="1" x14ac:dyDescent="0.3">
      <c r="A1575" s="214">
        <v>76</v>
      </c>
      <c r="B1575" s="215" t="s">
        <v>288</v>
      </c>
      <c r="C1575" s="216" t="s">
        <v>198</v>
      </c>
      <c r="D1575" s="67">
        <v>58</v>
      </c>
      <c r="E1575" s="217" t="s">
        <v>294</v>
      </c>
      <c r="F1575" s="218" t="s">
        <v>261</v>
      </c>
      <c r="G1575" s="192">
        <v>10000</v>
      </c>
      <c r="H1575" s="1741" t="s">
        <v>268</v>
      </c>
      <c r="I1575" s="118" t="s">
        <v>25</v>
      </c>
      <c r="K1575" s="924"/>
      <c r="L1575" s="192"/>
      <c r="M1575" s="192"/>
      <c r="N1575" s="192"/>
      <c r="O1575" s="146"/>
      <c r="Q1575" s="118" t="s">
        <v>25</v>
      </c>
    </row>
    <row r="1576" spans="1:17" ht="18.75" customHeight="1" x14ac:dyDescent="0.3">
      <c r="A1576" s="189">
        <v>77</v>
      </c>
      <c r="B1576" s="226" t="s">
        <v>295</v>
      </c>
      <c r="C1576" s="216" t="s">
        <v>198</v>
      </c>
      <c r="D1576" s="75">
        <v>62</v>
      </c>
      <c r="E1576" s="227" t="s">
        <v>296</v>
      </c>
      <c r="F1576" s="82" t="s">
        <v>297</v>
      </c>
      <c r="G1576" s="83">
        <v>3210</v>
      </c>
      <c r="H1576" s="1741" t="s">
        <v>298</v>
      </c>
      <c r="I1576" s="118" t="s">
        <v>25</v>
      </c>
      <c r="J1576" s="228"/>
      <c r="K1576" s="939"/>
      <c r="L1576" s="83"/>
      <c r="M1576" s="83"/>
      <c r="N1576" s="83"/>
      <c r="O1576" s="229"/>
      <c r="Q1576" s="118" t="s">
        <v>25</v>
      </c>
    </row>
    <row r="1577" spans="1:17" ht="18.75" customHeight="1" x14ac:dyDescent="0.3">
      <c r="A1577" s="214">
        <v>78</v>
      </c>
      <c r="B1577" s="226" t="s">
        <v>295</v>
      </c>
      <c r="C1577" s="216" t="s">
        <v>198</v>
      </c>
      <c r="D1577" s="75">
        <v>62</v>
      </c>
      <c r="E1577" s="227" t="s">
        <v>299</v>
      </c>
      <c r="F1577" s="82" t="s">
        <v>297</v>
      </c>
      <c r="G1577" s="83">
        <v>3210</v>
      </c>
      <c r="H1577" s="1741" t="s">
        <v>298</v>
      </c>
      <c r="I1577" s="118" t="s">
        <v>25</v>
      </c>
      <c r="J1577" s="228"/>
      <c r="K1577" s="939"/>
      <c r="L1577" s="83"/>
      <c r="M1577" s="83"/>
      <c r="N1577" s="83"/>
      <c r="O1577" s="229"/>
      <c r="Q1577" s="118" t="s">
        <v>25</v>
      </c>
    </row>
    <row r="1578" spans="1:17" ht="18.75" customHeight="1" x14ac:dyDescent="0.3">
      <c r="A1578" s="214">
        <v>79</v>
      </c>
      <c r="B1578" s="226" t="s">
        <v>295</v>
      </c>
      <c r="C1578" s="216" t="s">
        <v>198</v>
      </c>
      <c r="D1578" s="75">
        <v>62</v>
      </c>
      <c r="E1578" s="227" t="s">
        <v>300</v>
      </c>
      <c r="F1578" s="82" t="s">
        <v>297</v>
      </c>
      <c r="G1578" s="83">
        <v>3210</v>
      </c>
      <c r="H1578" s="1741" t="s">
        <v>298</v>
      </c>
      <c r="I1578" s="118" t="s">
        <v>25</v>
      </c>
      <c r="J1578" s="228"/>
      <c r="K1578" s="939"/>
      <c r="L1578" s="83"/>
      <c r="M1578" s="83"/>
      <c r="N1578" s="83"/>
      <c r="O1578" s="229"/>
      <c r="Q1578" s="118" t="s">
        <v>25</v>
      </c>
    </row>
    <row r="1579" spans="1:17" ht="18.75" customHeight="1" x14ac:dyDescent="0.3">
      <c r="A1579" s="189">
        <v>80</v>
      </c>
      <c r="B1579" s="226" t="s">
        <v>295</v>
      </c>
      <c r="C1579" s="216" t="s">
        <v>198</v>
      </c>
      <c r="D1579" s="75">
        <v>62</v>
      </c>
      <c r="E1579" s="227" t="s">
        <v>301</v>
      </c>
      <c r="F1579" s="82" t="s">
        <v>297</v>
      </c>
      <c r="G1579" s="83">
        <v>3210</v>
      </c>
      <c r="H1579" s="1741" t="s">
        <v>298</v>
      </c>
      <c r="I1579" s="118" t="s">
        <v>25</v>
      </c>
      <c r="J1579" s="228"/>
      <c r="K1579" s="939"/>
      <c r="L1579" s="83"/>
      <c r="M1579" s="83"/>
      <c r="N1579" s="83"/>
      <c r="O1579" s="229"/>
      <c r="Q1579" s="118" t="s">
        <v>25</v>
      </c>
    </row>
    <row r="1580" spans="1:17" ht="18.75" customHeight="1" x14ac:dyDescent="0.3">
      <c r="A1580" s="214">
        <v>81</v>
      </c>
      <c r="B1580" s="226" t="s">
        <v>295</v>
      </c>
      <c r="C1580" s="216" t="s">
        <v>198</v>
      </c>
      <c r="D1580" s="75">
        <v>62</v>
      </c>
      <c r="E1580" s="227" t="s">
        <v>302</v>
      </c>
      <c r="F1580" s="82" t="s">
        <v>297</v>
      </c>
      <c r="G1580" s="83">
        <v>3210</v>
      </c>
      <c r="H1580" s="1741" t="s">
        <v>298</v>
      </c>
      <c r="I1580" s="118" t="s">
        <v>25</v>
      </c>
      <c r="J1580" s="228"/>
      <c r="K1580" s="939"/>
      <c r="L1580" s="83"/>
      <c r="M1580" s="83"/>
      <c r="N1580" s="83"/>
      <c r="O1580" s="229"/>
      <c r="Q1580" s="118" t="s">
        <v>25</v>
      </c>
    </row>
    <row r="1581" spans="1:17" ht="18.75" customHeight="1" x14ac:dyDescent="0.3">
      <c r="A1581" s="189">
        <v>82</v>
      </c>
      <c r="B1581" s="226" t="s">
        <v>295</v>
      </c>
      <c r="C1581" s="216" t="s">
        <v>198</v>
      </c>
      <c r="D1581" s="75">
        <v>62</v>
      </c>
      <c r="E1581" s="227" t="s">
        <v>303</v>
      </c>
      <c r="F1581" s="82" t="s">
        <v>297</v>
      </c>
      <c r="G1581" s="83">
        <v>3210</v>
      </c>
      <c r="H1581" s="1741" t="s">
        <v>298</v>
      </c>
      <c r="I1581" s="118" t="s">
        <v>25</v>
      </c>
      <c r="J1581" s="228"/>
      <c r="K1581" s="939"/>
      <c r="L1581" s="83"/>
      <c r="M1581" s="83"/>
      <c r="N1581" s="83"/>
      <c r="O1581" s="229"/>
      <c r="Q1581" s="118" t="s">
        <v>25</v>
      </c>
    </row>
    <row r="1582" spans="1:17" ht="18.75" customHeight="1" x14ac:dyDescent="0.45">
      <c r="A1582" s="39"/>
      <c r="B1582" s="88"/>
      <c r="C1582" s="89"/>
      <c r="D1582" s="230"/>
      <c r="E1582" s="201"/>
      <c r="F1582" s="176"/>
      <c r="G1582" s="231">
        <f>SUM(G1500:G1581)</f>
        <v>594030</v>
      </c>
      <c r="H1582" s="232"/>
      <c r="I1582" s="233"/>
      <c r="J1582" s="233"/>
      <c r="K1582" s="1195"/>
      <c r="L1582" s="234"/>
      <c r="M1582" s="234"/>
      <c r="N1582" s="234"/>
      <c r="O1582" s="235"/>
      <c r="Q1582" s="233"/>
    </row>
    <row r="1583" spans="1:17" ht="18.75" customHeight="1" x14ac:dyDescent="0.3">
      <c r="A1583" s="236" t="s">
        <v>304</v>
      </c>
      <c r="B1583" s="237" t="s">
        <v>305</v>
      </c>
      <c r="C1583" s="238"/>
      <c r="D1583" s="238"/>
      <c r="E1583" s="239"/>
      <c r="F1583" s="240"/>
      <c r="G1583" s="241"/>
      <c r="H1583" s="242"/>
      <c r="I1583" s="243"/>
      <c r="J1583" s="244"/>
      <c r="K1583" s="244"/>
      <c r="L1583" s="245"/>
      <c r="M1583" s="245"/>
      <c r="N1583" s="244"/>
      <c r="O1583" s="246"/>
      <c r="Q1583" s="243"/>
    </row>
    <row r="1584" spans="1:17" ht="18.75" customHeight="1" x14ac:dyDescent="0.3">
      <c r="A1584" s="247">
        <v>1</v>
      </c>
      <c r="B1584" s="248" t="s">
        <v>306</v>
      </c>
      <c r="C1584" s="216" t="s">
        <v>304</v>
      </c>
      <c r="D1584" s="67">
        <v>51</v>
      </c>
      <c r="E1584" s="217" t="s">
        <v>307</v>
      </c>
      <c r="F1584" s="218" t="s">
        <v>308</v>
      </c>
      <c r="G1584" s="192">
        <v>12000</v>
      </c>
      <c r="H1584" s="1731" t="s">
        <v>41</v>
      </c>
      <c r="I1584" s="34"/>
      <c r="J1584" s="34"/>
      <c r="K1584" s="2233" t="s">
        <v>25</v>
      </c>
      <c r="L1584" s="224"/>
      <c r="M1584" s="147"/>
      <c r="N1584" s="224"/>
      <c r="O1584" s="2418" t="s">
        <v>5887</v>
      </c>
      <c r="Q1584" s="34"/>
    </row>
    <row r="1585" spans="1:17" ht="18.75" customHeight="1" x14ac:dyDescent="0.3">
      <c r="A1585" s="247">
        <v>2</v>
      </c>
      <c r="B1585" s="249" t="s">
        <v>306</v>
      </c>
      <c r="C1585" s="250" t="s">
        <v>304</v>
      </c>
      <c r="D1585" s="139">
        <v>55</v>
      </c>
      <c r="E1585" s="251" t="s">
        <v>309</v>
      </c>
      <c r="F1585" s="252" t="s">
        <v>310</v>
      </c>
      <c r="G1585" s="253">
        <v>30000</v>
      </c>
      <c r="H1585" s="1731" t="s">
        <v>41</v>
      </c>
      <c r="I1585" s="34"/>
      <c r="J1585" s="34"/>
      <c r="K1585" s="2233" t="s">
        <v>25</v>
      </c>
      <c r="L1585" s="255"/>
      <c r="M1585" s="254"/>
      <c r="N1585" s="255"/>
      <c r="O1585" s="2419" t="s">
        <v>311</v>
      </c>
      <c r="Q1585" s="34"/>
    </row>
    <row r="1586" spans="1:17" ht="18.75" customHeight="1" x14ac:dyDescent="0.3">
      <c r="A1586" s="247">
        <v>3</v>
      </c>
      <c r="B1586" s="249" t="s">
        <v>312</v>
      </c>
      <c r="C1586" s="250" t="s">
        <v>304</v>
      </c>
      <c r="D1586" s="139">
        <v>59</v>
      </c>
      <c r="E1586" s="251" t="s">
        <v>313</v>
      </c>
      <c r="F1586" s="252" t="s">
        <v>314</v>
      </c>
      <c r="G1586" s="253">
        <v>23700</v>
      </c>
      <c r="H1586" s="1731" t="s">
        <v>41</v>
      </c>
      <c r="I1586" s="34"/>
      <c r="J1586" s="254"/>
      <c r="K1586" s="2233" t="s">
        <v>25</v>
      </c>
      <c r="L1586" s="255"/>
      <c r="M1586" s="254"/>
      <c r="N1586" s="255"/>
      <c r="O1586" s="2418" t="s">
        <v>5887</v>
      </c>
      <c r="Q1586" s="34"/>
    </row>
    <row r="1587" spans="1:17" ht="18.75" customHeight="1" x14ac:dyDescent="0.3">
      <c r="A1587" s="247">
        <v>4</v>
      </c>
      <c r="B1587" s="249" t="s">
        <v>312</v>
      </c>
      <c r="C1587" s="250" t="s">
        <v>304</v>
      </c>
      <c r="D1587" s="139">
        <v>59</v>
      </c>
      <c r="E1587" s="251" t="s">
        <v>315</v>
      </c>
      <c r="F1587" s="252" t="s">
        <v>314</v>
      </c>
      <c r="G1587" s="253">
        <v>23700</v>
      </c>
      <c r="H1587" s="1731" t="s">
        <v>41</v>
      </c>
      <c r="I1587" s="34"/>
      <c r="J1587" s="254"/>
      <c r="K1587" s="2233" t="s">
        <v>25</v>
      </c>
      <c r="L1587" s="255"/>
      <c r="M1587" s="254"/>
      <c r="N1587" s="255"/>
      <c r="O1587" s="2418" t="s">
        <v>5887</v>
      </c>
      <c r="Q1587" s="34"/>
    </row>
    <row r="1588" spans="1:17" ht="18.75" customHeight="1" x14ac:dyDescent="0.45">
      <c r="A1588" s="39"/>
      <c r="B1588" s="257"/>
      <c r="C1588" s="89"/>
      <c r="D1588" s="230"/>
      <c r="E1588" s="201"/>
      <c r="F1588" s="176"/>
      <c r="G1588" s="231">
        <f>SUM(G1584:G1587)</f>
        <v>89400</v>
      </c>
      <c r="H1588" s="232"/>
      <c r="I1588" s="233"/>
      <c r="J1588" s="233"/>
      <c r="K1588" s="1195"/>
      <c r="L1588" s="234"/>
      <c r="M1588" s="234"/>
      <c r="N1588" s="258"/>
      <c r="O1588" s="235"/>
      <c r="Q1588" s="233"/>
    </row>
    <row r="1589" spans="1:17" ht="18.75" customHeight="1" x14ac:dyDescent="0.3">
      <c r="A1589" s="236" t="s">
        <v>316</v>
      </c>
      <c r="B1589" s="259" t="s">
        <v>317</v>
      </c>
      <c r="C1589" s="260"/>
      <c r="D1589" s="260"/>
      <c r="E1589" s="261"/>
      <c r="F1589" s="262"/>
      <c r="G1589" s="263"/>
      <c r="H1589" s="242"/>
      <c r="I1589" s="243"/>
      <c r="J1589" s="244"/>
      <c r="K1589" s="244"/>
      <c r="L1589" s="245"/>
      <c r="M1589" s="245"/>
      <c r="N1589" s="244"/>
      <c r="O1589" s="246"/>
      <c r="Q1589" s="243"/>
    </row>
    <row r="1590" spans="1:17" ht="18.75" customHeight="1" x14ac:dyDescent="0.3">
      <c r="A1590" s="2645">
        <v>1</v>
      </c>
      <c r="B1590" s="264" t="s">
        <v>318</v>
      </c>
      <c r="C1590" s="265" t="s">
        <v>316</v>
      </c>
      <c r="D1590" s="266">
        <v>51</v>
      </c>
      <c r="E1590" s="267" t="s">
        <v>319</v>
      </c>
      <c r="F1590" s="268" t="s">
        <v>308</v>
      </c>
      <c r="G1590" s="269">
        <v>10000</v>
      </c>
      <c r="H1590" s="1731" t="s">
        <v>41</v>
      </c>
      <c r="I1590" s="270"/>
      <c r="J1590" s="271"/>
      <c r="K1590" s="2239" t="s">
        <v>25</v>
      </c>
      <c r="L1590" s="272"/>
      <c r="M1590" s="271"/>
      <c r="N1590" s="272"/>
      <c r="O1590" s="2622" t="s">
        <v>6395</v>
      </c>
      <c r="Q1590" s="270"/>
    </row>
    <row r="1591" spans="1:17" ht="18.75" customHeight="1" x14ac:dyDescent="0.3">
      <c r="A1591" s="2645">
        <v>2</v>
      </c>
      <c r="B1591" s="264" t="s">
        <v>318</v>
      </c>
      <c r="C1591" s="265" t="s">
        <v>316</v>
      </c>
      <c r="D1591" s="266">
        <v>51</v>
      </c>
      <c r="E1591" s="267" t="s">
        <v>320</v>
      </c>
      <c r="F1591" s="268" t="s">
        <v>308</v>
      </c>
      <c r="G1591" s="269">
        <v>10000</v>
      </c>
      <c r="H1591" s="1731" t="s">
        <v>41</v>
      </c>
      <c r="I1591" s="270"/>
      <c r="J1591" s="271"/>
      <c r="K1591" s="2239" t="s">
        <v>25</v>
      </c>
      <c r="L1591" s="272"/>
      <c r="M1591" s="271"/>
      <c r="N1591" s="272"/>
      <c r="O1591" s="2622" t="s">
        <v>6395</v>
      </c>
      <c r="Q1591" s="270"/>
    </row>
    <row r="1592" spans="1:17" ht="18.75" customHeight="1" x14ac:dyDescent="0.3">
      <c r="A1592" s="2645">
        <v>3</v>
      </c>
      <c r="B1592" s="264" t="s">
        <v>321</v>
      </c>
      <c r="C1592" s="265" t="s">
        <v>316</v>
      </c>
      <c r="D1592" s="266">
        <v>58</v>
      </c>
      <c r="E1592" s="267" t="s">
        <v>322</v>
      </c>
      <c r="F1592" s="268" t="s">
        <v>323</v>
      </c>
      <c r="G1592" s="269">
        <v>31886</v>
      </c>
      <c r="H1592" s="1731" t="s">
        <v>41</v>
      </c>
      <c r="I1592" s="270"/>
      <c r="J1592" s="271"/>
      <c r="K1592" s="2239" t="s">
        <v>25</v>
      </c>
      <c r="L1592" s="272"/>
      <c r="M1592" s="271"/>
      <c r="N1592" s="272"/>
      <c r="O1592" s="2622" t="s">
        <v>6395</v>
      </c>
      <c r="Q1592" s="270"/>
    </row>
    <row r="1593" spans="1:17" ht="18.75" customHeight="1" x14ac:dyDescent="0.3">
      <c r="A1593" s="2645">
        <v>4</v>
      </c>
      <c r="B1593" s="264" t="s">
        <v>321</v>
      </c>
      <c r="C1593" s="265" t="s">
        <v>316</v>
      </c>
      <c r="D1593" s="266">
        <v>58</v>
      </c>
      <c r="E1593" s="267" t="s">
        <v>324</v>
      </c>
      <c r="F1593" s="268" t="s">
        <v>323</v>
      </c>
      <c r="G1593" s="273">
        <v>31886</v>
      </c>
      <c r="H1593" s="1731" t="s">
        <v>41</v>
      </c>
      <c r="I1593" s="270"/>
      <c r="J1593" s="271"/>
      <c r="K1593" s="2239" t="s">
        <v>25</v>
      </c>
      <c r="L1593" s="272"/>
      <c r="M1593" s="271"/>
      <c r="N1593" s="272"/>
      <c r="O1593" s="2622" t="s">
        <v>6395</v>
      </c>
      <c r="Q1593" s="270"/>
    </row>
    <row r="1594" spans="1:17" ht="18.75" customHeight="1" x14ac:dyDescent="0.45">
      <c r="A1594" s="274"/>
      <c r="B1594" s="275"/>
      <c r="C1594" s="265"/>
      <c r="D1594" s="266"/>
      <c r="E1594" s="267"/>
      <c r="F1594" s="268"/>
      <c r="G1594" s="276">
        <f>SUM(G1590:G1593)</f>
        <v>83772</v>
      </c>
      <c r="H1594" s="277"/>
      <c r="I1594" s="270"/>
      <c r="J1594" s="278"/>
      <c r="K1594" s="2240"/>
      <c r="L1594" s="279"/>
      <c r="M1594" s="278"/>
      <c r="N1594" s="280"/>
      <c r="O1594" s="281"/>
      <c r="Q1594" s="270"/>
    </row>
    <row r="1595" spans="1:17" ht="18.75" customHeight="1" x14ac:dyDescent="0.3">
      <c r="A1595" s="2646">
        <v>406</v>
      </c>
      <c r="B1595" s="282" t="s">
        <v>325</v>
      </c>
      <c r="C1595" s="283"/>
      <c r="D1595" s="284"/>
      <c r="E1595" s="285"/>
      <c r="F1595" s="286"/>
      <c r="G1595" s="287"/>
      <c r="H1595" s="288"/>
      <c r="I1595" s="289"/>
      <c r="J1595" s="290"/>
      <c r="K1595" s="290"/>
      <c r="L1595" s="291"/>
      <c r="M1595" s="291"/>
      <c r="N1595" s="290"/>
      <c r="O1595" s="292"/>
      <c r="Q1595" s="289"/>
    </row>
    <row r="1596" spans="1:17" ht="18.75" customHeight="1" x14ac:dyDescent="0.3">
      <c r="A1596" s="293">
        <v>1</v>
      </c>
      <c r="B1596" s="105" t="s">
        <v>326</v>
      </c>
      <c r="C1596" s="294">
        <v>406</v>
      </c>
      <c r="D1596" s="128">
        <v>21</v>
      </c>
      <c r="E1596" s="108" t="s">
        <v>327</v>
      </c>
      <c r="F1596" s="109">
        <v>44342</v>
      </c>
      <c r="G1596" s="110">
        <v>1335</v>
      </c>
      <c r="H1596" s="120" t="s">
        <v>328</v>
      </c>
      <c r="I1596" s="295" t="s">
        <v>25</v>
      </c>
      <c r="J1596" s="296"/>
      <c r="K1596" s="296"/>
      <c r="L1596" s="297"/>
      <c r="M1596" s="297"/>
      <c r="N1596" s="296"/>
      <c r="O1596" s="2351" t="s">
        <v>329</v>
      </c>
      <c r="Q1596" s="295" t="s">
        <v>25</v>
      </c>
    </row>
    <row r="1597" spans="1:17" ht="18.75" customHeight="1" x14ac:dyDescent="0.3">
      <c r="A1597" s="104">
        <v>2</v>
      </c>
      <c r="B1597" s="105" t="s">
        <v>330</v>
      </c>
      <c r="C1597" s="294">
        <v>406</v>
      </c>
      <c r="D1597" s="113">
        <v>30</v>
      </c>
      <c r="E1597" s="114" t="s">
        <v>331</v>
      </c>
      <c r="F1597" s="115">
        <v>11043</v>
      </c>
      <c r="G1597" s="116">
        <v>1320</v>
      </c>
      <c r="H1597" s="1745" t="s">
        <v>332</v>
      </c>
      <c r="I1597" s="104" t="s">
        <v>25</v>
      </c>
      <c r="J1597" s="104"/>
      <c r="K1597" s="104"/>
      <c r="L1597" s="104"/>
      <c r="M1597" s="104"/>
      <c r="N1597" s="104"/>
      <c r="O1597" s="2303" t="s">
        <v>5907</v>
      </c>
      <c r="Q1597" s="104" t="s">
        <v>25</v>
      </c>
    </row>
    <row r="1598" spans="1:17" ht="18.75" customHeight="1" x14ac:dyDescent="0.3">
      <c r="A1598" s="247">
        <v>3</v>
      </c>
      <c r="B1598" s="105" t="s">
        <v>333</v>
      </c>
      <c r="C1598" s="294">
        <v>406</v>
      </c>
      <c r="D1598" s="113">
        <v>30</v>
      </c>
      <c r="E1598" s="114" t="s">
        <v>334</v>
      </c>
      <c r="F1598" s="115">
        <v>11036</v>
      </c>
      <c r="G1598" s="116">
        <v>1200</v>
      </c>
      <c r="H1598" s="145" t="s">
        <v>335</v>
      </c>
      <c r="I1598" s="118" t="s">
        <v>25</v>
      </c>
      <c r="J1598" s="192"/>
      <c r="K1598" s="1270"/>
      <c r="L1598" s="299"/>
      <c r="M1598" s="192"/>
      <c r="N1598" s="300"/>
      <c r="O1598" s="2350" t="s">
        <v>4244</v>
      </c>
      <c r="Q1598" s="118" t="s">
        <v>25</v>
      </c>
    </row>
    <row r="1599" spans="1:17" ht="18.75" customHeight="1" x14ac:dyDescent="0.3">
      <c r="A1599" s="104">
        <v>4</v>
      </c>
      <c r="B1599" s="105" t="s">
        <v>333</v>
      </c>
      <c r="C1599" s="294">
        <v>406</v>
      </c>
      <c r="D1599" s="113">
        <v>34</v>
      </c>
      <c r="E1599" s="114" t="s">
        <v>336</v>
      </c>
      <c r="F1599" s="115">
        <v>12489</v>
      </c>
      <c r="G1599" s="116">
        <v>2200</v>
      </c>
      <c r="H1599" s="120" t="s">
        <v>328</v>
      </c>
      <c r="I1599" s="121" t="s">
        <v>25</v>
      </c>
      <c r="J1599" s="192"/>
      <c r="K1599" s="1270"/>
      <c r="L1599" s="299"/>
      <c r="M1599" s="192"/>
      <c r="N1599" s="300"/>
      <c r="O1599" s="2352" t="s">
        <v>109</v>
      </c>
      <c r="Q1599" s="121" t="s">
        <v>25</v>
      </c>
    </row>
    <row r="1600" spans="1:17" ht="18.75" customHeight="1" x14ac:dyDescent="0.3">
      <c r="A1600" s="247">
        <v>5</v>
      </c>
      <c r="B1600" s="105" t="s">
        <v>333</v>
      </c>
      <c r="C1600" s="294">
        <v>406</v>
      </c>
      <c r="D1600" s="113">
        <v>34</v>
      </c>
      <c r="E1600" s="114" t="s">
        <v>337</v>
      </c>
      <c r="F1600" s="115">
        <v>12489</v>
      </c>
      <c r="G1600" s="116">
        <v>2200</v>
      </c>
      <c r="H1600" s="120" t="s">
        <v>328</v>
      </c>
      <c r="I1600" s="121" t="s">
        <v>25</v>
      </c>
      <c r="J1600" s="192"/>
      <c r="K1600" s="1270"/>
      <c r="L1600" s="299"/>
      <c r="M1600" s="192"/>
      <c r="N1600" s="300"/>
      <c r="O1600" s="2352" t="s">
        <v>109</v>
      </c>
      <c r="Q1600" s="121" t="s">
        <v>25</v>
      </c>
    </row>
    <row r="1601" spans="1:17" ht="18.75" customHeight="1" x14ac:dyDescent="0.3">
      <c r="A1601" s="104">
        <v>6</v>
      </c>
      <c r="B1601" s="105" t="s">
        <v>338</v>
      </c>
      <c r="C1601" s="294">
        <v>406</v>
      </c>
      <c r="D1601" s="113">
        <v>35</v>
      </c>
      <c r="E1601" s="114" t="s">
        <v>339</v>
      </c>
      <c r="F1601" s="115">
        <v>12930</v>
      </c>
      <c r="G1601" s="116">
        <v>2000</v>
      </c>
      <c r="H1601" s="1745" t="s">
        <v>332</v>
      </c>
      <c r="I1601" s="104" t="s">
        <v>25</v>
      </c>
      <c r="J1601" s="104"/>
      <c r="K1601" s="104"/>
      <c r="L1601" s="104"/>
      <c r="M1601" s="104"/>
      <c r="N1601" s="104"/>
      <c r="O1601" s="2303" t="s">
        <v>5907</v>
      </c>
      <c r="Q1601" s="104" t="s">
        <v>25</v>
      </c>
    </row>
    <row r="1602" spans="1:17" ht="18.75" customHeight="1" x14ac:dyDescent="0.3">
      <c r="A1602" s="247">
        <v>7</v>
      </c>
      <c r="B1602" s="105" t="s">
        <v>333</v>
      </c>
      <c r="C1602" s="294">
        <v>406</v>
      </c>
      <c r="D1602" s="113">
        <v>36</v>
      </c>
      <c r="E1602" s="114" t="s">
        <v>340</v>
      </c>
      <c r="F1602" s="115">
        <v>13175</v>
      </c>
      <c r="G1602" s="116">
        <v>3500</v>
      </c>
      <c r="H1602" s="1745" t="s">
        <v>341</v>
      </c>
      <c r="I1602" s="104" t="s">
        <v>25</v>
      </c>
      <c r="J1602" s="104"/>
      <c r="K1602" s="104"/>
      <c r="L1602" s="104"/>
      <c r="M1602" s="104"/>
      <c r="N1602" s="104"/>
      <c r="O1602" s="2303" t="s">
        <v>148</v>
      </c>
      <c r="P1602" s="1606"/>
      <c r="Q1602" s="104" t="s">
        <v>25</v>
      </c>
    </row>
    <row r="1603" spans="1:17" ht="18.75" customHeight="1" x14ac:dyDescent="0.3">
      <c r="A1603" s="104">
        <v>8</v>
      </c>
      <c r="B1603" s="105" t="s">
        <v>333</v>
      </c>
      <c r="C1603" s="294">
        <v>406</v>
      </c>
      <c r="D1603" s="113">
        <v>36</v>
      </c>
      <c r="E1603" s="114" t="s">
        <v>342</v>
      </c>
      <c r="F1603" s="115">
        <v>13175</v>
      </c>
      <c r="G1603" s="116">
        <v>3500</v>
      </c>
      <c r="H1603" s="1745" t="s">
        <v>343</v>
      </c>
      <c r="I1603" s="104" t="s">
        <v>25</v>
      </c>
      <c r="J1603" s="104"/>
      <c r="K1603" s="104"/>
      <c r="L1603" s="104"/>
      <c r="M1603" s="104"/>
      <c r="N1603" s="104"/>
      <c r="O1603" s="2303" t="s">
        <v>5867</v>
      </c>
      <c r="P1603" s="1606"/>
      <c r="Q1603" s="104" t="s">
        <v>25</v>
      </c>
    </row>
    <row r="1604" spans="1:17" ht="18.75" customHeight="1" x14ac:dyDescent="0.3">
      <c r="A1604" s="247">
        <v>9</v>
      </c>
      <c r="B1604" s="105" t="s">
        <v>333</v>
      </c>
      <c r="C1604" s="152">
        <v>406</v>
      </c>
      <c r="D1604" s="125">
        <v>37</v>
      </c>
      <c r="E1604" s="114" t="s">
        <v>344</v>
      </c>
      <c r="F1604" s="115">
        <v>13557</v>
      </c>
      <c r="G1604" s="116">
        <v>3500</v>
      </c>
      <c r="H1604" s="120" t="s">
        <v>328</v>
      </c>
      <c r="I1604" s="121" t="s">
        <v>25</v>
      </c>
      <c r="J1604" s="192"/>
      <c r="K1604" s="1270"/>
      <c r="L1604" s="299"/>
      <c r="M1604" s="192"/>
      <c r="N1604" s="300"/>
      <c r="O1604" s="301" t="s">
        <v>109</v>
      </c>
      <c r="P1604" s="1606"/>
      <c r="Q1604" s="121" t="s">
        <v>25</v>
      </c>
    </row>
    <row r="1605" spans="1:17" ht="18.75" customHeight="1" x14ac:dyDescent="0.3">
      <c r="A1605" s="104">
        <v>10</v>
      </c>
      <c r="B1605" s="105" t="s">
        <v>333</v>
      </c>
      <c r="C1605" s="294">
        <v>406</v>
      </c>
      <c r="D1605" s="128">
        <v>37</v>
      </c>
      <c r="E1605" s="114" t="s">
        <v>345</v>
      </c>
      <c r="F1605" s="115">
        <v>13557</v>
      </c>
      <c r="G1605" s="116">
        <v>2300</v>
      </c>
      <c r="H1605" s="120" t="s">
        <v>328</v>
      </c>
      <c r="I1605" s="121" t="s">
        <v>25</v>
      </c>
      <c r="J1605" s="192"/>
      <c r="K1605" s="1270"/>
      <c r="L1605" s="299"/>
      <c r="M1605" s="192"/>
      <c r="N1605" s="300"/>
      <c r="O1605" s="301" t="s">
        <v>109</v>
      </c>
      <c r="Q1605" s="121" t="s">
        <v>25</v>
      </c>
    </row>
    <row r="1606" spans="1:17" ht="18.75" customHeight="1" x14ac:dyDescent="0.3">
      <c r="A1606" s="247">
        <v>11</v>
      </c>
      <c r="B1606" s="105" t="s">
        <v>333</v>
      </c>
      <c r="C1606" s="294">
        <v>406</v>
      </c>
      <c r="D1606" s="113">
        <v>37</v>
      </c>
      <c r="E1606" s="114" t="s">
        <v>346</v>
      </c>
      <c r="F1606" s="115">
        <v>13557</v>
      </c>
      <c r="G1606" s="116">
        <v>2300</v>
      </c>
      <c r="H1606" s="120" t="s">
        <v>328</v>
      </c>
      <c r="I1606" s="121" t="s">
        <v>25</v>
      </c>
      <c r="J1606" s="192"/>
      <c r="K1606" s="1270"/>
      <c r="L1606" s="299"/>
      <c r="M1606" s="192"/>
      <c r="N1606" s="300"/>
      <c r="O1606" s="301" t="s">
        <v>109</v>
      </c>
      <c r="Q1606" s="121" t="s">
        <v>25</v>
      </c>
    </row>
    <row r="1607" spans="1:17" ht="18.75" customHeight="1" x14ac:dyDescent="0.3">
      <c r="A1607" s="104">
        <v>12</v>
      </c>
      <c r="B1607" s="105" t="s">
        <v>338</v>
      </c>
      <c r="C1607" s="294">
        <v>406</v>
      </c>
      <c r="D1607" s="113">
        <v>39</v>
      </c>
      <c r="E1607" s="114" t="s">
        <v>227</v>
      </c>
      <c r="F1607" s="115">
        <v>14354</v>
      </c>
      <c r="G1607" s="116">
        <v>2300</v>
      </c>
      <c r="H1607" s="1745" t="s">
        <v>332</v>
      </c>
      <c r="I1607" s="104"/>
      <c r="J1607" s="104"/>
      <c r="K1607" s="104"/>
      <c r="L1607" s="104"/>
      <c r="M1607" s="104"/>
      <c r="N1607" s="104"/>
      <c r="O1607" s="111" t="s">
        <v>347</v>
      </c>
      <c r="Q1607" s="104"/>
    </row>
    <row r="1608" spans="1:17" ht="18.75" customHeight="1" x14ac:dyDescent="0.3">
      <c r="A1608" s="247">
        <v>13</v>
      </c>
      <c r="B1608" s="105" t="s">
        <v>333</v>
      </c>
      <c r="C1608" s="294">
        <v>406</v>
      </c>
      <c r="D1608" s="113">
        <v>41</v>
      </c>
      <c r="E1608" s="114" t="s">
        <v>348</v>
      </c>
      <c r="F1608" s="115">
        <v>15069</v>
      </c>
      <c r="G1608" s="116">
        <v>2300</v>
      </c>
      <c r="H1608" s="120" t="s">
        <v>328</v>
      </c>
      <c r="I1608" s="121" t="s">
        <v>25</v>
      </c>
      <c r="J1608" s="192"/>
      <c r="K1608" s="1270"/>
      <c r="L1608" s="299"/>
      <c r="M1608" s="192"/>
      <c r="N1608" s="300"/>
      <c r="O1608" s="301" t="s">
        <v>109</v>
      </c>
      <c r="Q1608" s="121" t="s">
        <v>25</v>
      </c>
    </row>
    <row r="1609" spans="1:17" ht="18.75" customHeight="1" x14ac:dyDescent="0.3">
      <c r="A1609" s="104">
        <v>14</v>
      </c>
      <c r="B1609" s="105" t="s">
        <v>349</v>
      </c>
      <c r="C1609" s="294">
        <v>406</v>
      </c>
      <c r="D1609" s="113">
        <v>41</v>
      </c>
      <c r="E1609" s="114" t="s">
        <v>350</v>
      </c>
      <c r="F1609" s="115">
        <v>15069</v>
      </c>
      <c r="G1609" s="116">
        <v>4500</v>
      </c>
      <c r="H1609" s="1745" t="s">
        <v>332</v>
      </c>
      <c r="I1609" s="104"/>
      <c r="J1609" s="104"/>
      <c r="K1609" s="104"/>
      <c r="L1609" s="104"/>
      <c r="M1609" s="104"/>
      <c r="N1609" s="104"/>
      <c r="O1609" s="111"/>
      <c r="Q1609" s="104"/>
    </row>
    <row r="1610" spans="1:17" ht="18.75" customHeight="1" x14ac:dyDescent="0.3">
      <c r="A1610" s="247">
        <v>15</v>
      </c>
      <c r="B1610" s="105" t="s">
        <v>349</v>
      </c>
      <c r="C1610" s="294">
        <v>406</v>
      </c>
      <c r="D1610" s="113">
        <v>41</v>
      </c>
      <c r="E1610" s="114" t="s">
        <v>351</v>
      </c>
      <c r="F1610" s="115">
        <v>15069</v>
      </c>
      <c r="G1610" s="116">
        <v>4500</v>
      </c>
      <c r="H1610" s="1745" t="s">
        <v>352</v>
      </c>
      <c r="I1610" s="104"/>
      <c r="J1610" s="104"/>
      <c r="K1610" s="104"/>
      <c r="L1610" s="104"/>
      <c r="M1610" s="104"/>
      <c r="N1610" s="104"/>
      <c r="O1610" s="111" t="s">
        <v>347</v>
      </c>
      <c r="Q1610" s="104"/>
    </row>
    <row r="1611" spans="1:17" ht="18.75" customHeight="1" x14ac:dyDescent="0.3">
      <c r="A1611" s="104">
        <v>16</v>
      </c>
      <c r="B1611" s="105" t="s">
        <v>353</v>
      </c>
      <c r="C1611" s="294">
        <v>406</v>
      </c>
      <c r="D1611" s="113">
        <v>41</v>
      </c>
      <c r="E1611" s="114" t="s">
        <v>354</v>
      </c>
      <c r="F1611" s="115">
        <v>15244</v>
      </c>
      <c r="G1611" s="116">
        <v>2300</v>
      </c>
      <c r="H1611" s="1745" t="s">
        <v>332</v>
      </c>
      <c r="I1611" s="104" t="s">
        <v>25</v>
      </c>
      <c r="J1611" s="104"/>
      <c r="K1611" s="104"/>
      <c r="L1611" s="104"/>
      <c r="M1611" s="104"/>
      <c r="N1611" s="104"/>
      <c r="O1611" s="2443" t="s">
        <v>5913</v>
      </c>
      <c r="Q1611" s="104" t="s">
        <v>25</v>
      </c>
    </row>
    <row r="1612" spans="1:17" ht="18.75" customHeight="1" x14ac:dyDescent="0.3">
      <c r="A1612" s="247">
        <v>17</v>
      </c>
      <c r="B1612" s="105" t="s">
        <v>355</v>
      </c>
      <c r="C1612" s="294">
        <v>406</v>
      </c>
      <c r="D1612" s="113">
        <v>41</v>
      </c>
      <c r="E1612" s="114" t="s">
        <v>356</v>
      </c>
      <c r="F1612" s="115">
        <v>15244</v>
      </c>
      <c r="G1612" s="116">
        <v>2300</v>
      </c>
      <c r="H1612" s="1745" t="s">
        <v>332</v>
      </c>
      <c r="I1612" s="104"/>
      <c r="J1612" s="104"/>
      <c r="K1612" s="104"/>
      <c r="L1612" s="104"/>
      <c r="M1612" s="104"/>
      <c r="N1612" s="104"/>
      <c r="O1612" s="134"/>
      <c r="Q1612" s="104"/>
    </row>
    <row r="1613" spans="1:17" ht="18" customHeight="1" x14ac:dyDescent="0.3">
      <c r="A1613" s="196">
        <v>18</v>
      </c>
      <c r="B1613" s="105" t="s">
        <v>357</v>
      </c>
      <c r="C1613" s="294">
        <v>406</v>
      </c>
      <c r="D1613" s="113">
        <v>41</v>
      </c>
      <c r="E1613" s="114" t="s">
        <v>358</v>
      </c>
      <c r="F1613" s="115">
        <v>15244</v>
      </c>
      <c r="G1613" s="116">
        <v>3300</v>
      </c>
      <c r="H1613" s="1752" t="s">
        <v>359</v>
      </c>
      <c r="I1613" s="118" t="s">
        <v>25</v>
      </c>
      <c r="J1613" s="192"/>
      <c r="K1613" s="1270"/>
      <c r="L1613" s="299"/>
      <c r="M1613" s="192"/>
      <c r="N1613" s="300"/>
      <c r="O1613" s="2352" t="s">
        <v>5875</v>
      </c>
      <c r="Q1613" s="118" t="s">
        <v>25</v>
      </c>
    </row>
    <row r="1614" spans="1:17" ht="18.75" customHeight="1" x14ac:dyDescent="0.3">
      <c r="A1614" s="189">
        <v>19</v>
      </c>
      <c r="B1614" s="105" t="s">
        <v>333</v>
      </c>
      <c r="C1614" s="294">
        <v>406</v>
      </c>
      <c r="D1614" s="113">
        <v>41</v>
      </c>
      <c r="E1614" s="114" t="s">
        <v>360</v>
      </c>
      <c r="F1614" s="115">
        <v>15244</v>
      </c>
      <c r="G1614" s="116">
        <v>2300</v>
      </c>
      <c r="H1614" s="1752" t="s">
        <v>359</v>
      </c>
      <c r="I1614" s="118" t="s">
        <v>25</v>
      </c>
      <c r="J1614" s="192"/>
      <c r="K1614" s="1270"/>
      <c r="L1614" s="299"/>
      <c r="M1614" s="192"/>
      <c r="N1614" s="300"/>
      <c r="O1614" s="2305" t="s">
        <v>477</v>
      </c>
      <c r="Q1614" s="118" t="s">
        <v>25</v>
      </c>
    </row>
    <row r="1615" spans="1:17" ht="18.75" customHeight="1" x14ac:dyDescent="0.3">
      <c r="A1615" s="196">
        <v>20</v>
      </c>
      <c r="B1615" s="105" t="s">
        <v>333</v>
      </c>
      <c r="C1615" s="294">
        <v>406</v>
      </c>
      <c r="D1615" s="113">
        <v>41</v>
      </c>
      <c r="E1615" s="114" t="s">
        <v>361</v>
      </c>
      <c r="F1615" s="115">
        <v>15244</v>
      </c>
      <c r="G1615" s="116">
        <v>2300</v>
      </c>
      <c r="H1615" s="1745" t="s">
        <v>332</v>
      </c>
      <c r="I1615" s="104" t="s">
        <v>25</v>
      </c>
      <c r="J1615" s="104"/>
      <c r="K1615" s="104"/>
      <c r="L1615" s="104"/>
      <c r="M1615" s="104"/>
      <c r="N1615" s="104"/>
      <c r="O1615" s="2303" t="s">
        <v>5875</v>
      </c>
      <c r="Q1615" s="104" t="s">
        <v>25</v>
      </c>
    </row>
    <row r="1616" spans="1:17" ht="18.75" customHeight="1" x14ac:dyDescent="0.3">
      <c r="A1616" s="247">
        <v>21</v>
      </c>
      <c r="B1616" s="105" t="s">
        <v>333</v>
      </c>
      <c r="C1616" s="294">
        <v>406</v>
      </c>
      <c r="D1616" s="125">
        <v>44</v>
      </c>
      <c r="E1616" s="114" t="s">
        <v>362</v>
      </c>
      <c r="F1616" s="115">
        <v>16108</v>
      </c>
      <c r="G1616" s="116">
        <v>2000</v>
      </c>
      <c r="H1616" s="1745" t="s">
        <v>332</v>
      </c>
      <c r="I1616" s="104"/>
      <c r="J1616" s="104"/>
      <c r="K1616" s="104"/>
      <c r="L1616" s="104"/>
      <c r="M1616" s="104"/>
      <c r="N1616" s="104"/>
      <c r="O1616" s="111" t="s">
        <v>119</v>
      </c>
      <c r="Q1616" s="104"/>
    </row>
    <row r="1617" spans="1:17" ht="18.75" customHeight="1" x14ac:dyDescent="0.3">
      <c r="A1617" s="104">
        <v>22</v>
      </c>
      <c r="B1617" s="105" t="s">
        <v>333</v>
      </c>
      <c r="C1617" s="294">
        <v>406</v>
      </c>
      <c r="D1617" s="128">
        <v>44</v>
      </c>
      <c r="E1617" s="114" t="s">
        <v>363</v>
      </c>
      <c r="F1617" s="115">
        <v>16206</v>
      </c>
      <c r="G1617" s="116">
        <v>2300</v>
      </c>
      <c r="H1617" s="1745" t="s">
        <v>332</v>
      </c>
      <c r="I1617" s="104" t="s">
        <v>25</v>
      </c>
      <c r="J1617" s="104"/>
      <c r="K1617" s="104"/>
      <c r="L1617" s="104"/>
      <c r="M1617" s="104"/>
      <c r="N1617" s="104"/>
      <c r="O1617" s="2308" t="s">
        <v>5906</v>
      </c>
      <c r="Q1617" s="104" t="s">
        <v>25</v>
      </c>
    </row>
    <row r="1618" spans="1:17" ht="18.75" customHeight="1" x14ac:dyDescent="0.3">
      <c r="A1618" s="247">
        <v>23</v>
      </c>
      <c r="B1618" s="105" t="s">
        <v>333</v>
      </c>
      <c r="C1618" s="294">
        <v>406</v>
      </c>
      <c r="D1618" s="113">
        <v>44</v>
      </c>
      <c r="E1618" s="114" t="s">
        <v>364</v>
      </c>
      <c r="F1618" s="115">
        <v>16206</v>
      </c>
      <c r="G1618" s="116">
        <v>2300</v>
      </c>
      <c r="H1618" s="1745" t="s">
        <v>332</v>
      </c>
      <c r="I1618" s="104"/>
      <c r="J1618" s="104"/>
      <c r="K1618" s="104"/>
      <c r="L1618" s="104"/>
      <c r="M1618" s="104"/>
      <c r="N1618" s="104"/>
      <c r="O1618" s="111" t="s">
        <v>119</v>
      </c>
      <c r="Q1618" s="104"/>
    </row>
    <row r="1619" spans="1:17" ht="18.75" customHeight="1" x14ac:dyDescent="0.3">
      <c r="A1619" s="104">
        <v>24</v>
      </c>
      <c r="B1619" s="105" t="s">
        <v>338</v>
      </c>
      <c r="C1619" s="294">
        <v>406</v>
      </c>
      <c r="D1619" s="113">
        <v>44</v>
      </c>
      <c r="E1619" s="114" t="s">
        <v>365</v>
      </c>
      <c r="F1619" s="115">
        <v>16108</v>
      </c>
      <c r="G1619" s="116">
        <v>3500</v>
      </c>
      <c r="H1619" s="1745" t="s">
        <v>332</v>
      </c>
      <c r="I1619" s="104"/>
      <c r="J1619" s="104"/>
      <c r="K1619" s="104"/>
      <c r="L1619" s="104"/>
      <c r="M1619" s="104"/>
      <c r="N1619" s="104"/>
      <c r="O1619" s="111" t="s">
        <v>119</v>
      </c>
      <c r="Q1619" s="104"/>
    </row>
    <row r="1620" spans="1:17" ht="18.75" customHeight="1" x14ac:dyDescent="0.3">
      <c r="A1620" s="247">
        <v>25</v>
      </c>
      <c r="B1620" s="105" t="s">
        <v>333</v>
      </c>
      <c r="C1620" s="294">
        <v>406</v>
      </c>
      <c r="D1620" s="113">
        <v>44</v>
      </c>
      <c r="E1620" s="114" t="s">
        <v>366</v>
      </c>
      <c r="F1620" s="115">
        <v>16108</v>
      </c>
      <c r="G1620" s="116">
        <v>3000</v>
      </c>
      <c r="H1620" s="1745" t="s">
        <v>332</v>
      </c>
      <c r="I1620" s="104" t="s">
        <v>25</v>
      </c>
      <c r="J1620" s="104"/>
      <c r="K1620" s="104"/>
      <c r="L1620" s="104"/>
      <c r="M1620" s="104"/>
      <c r="N1620" s="104"/>
      <c r="O1620" s="2303" t="s">
        <v>5908</v>
      </c>
      <c r="Q1620" s="104" t="s">
        <v>25</v>
      </c>
    </row>
    <row r="1621" spans="1:17" ht="18.75" customHeight="1" x14ac:dyDescent="0.3">
      <c r="A1621" s="196">
        <v>26</v>
      </c>
      <c r="B1621" s="105" t="s">
        <v>333</v>
      </c>
      <c r="C1621" s="294">
        <v>406</v>
      </c>
      <c r="D1621" s="113">
        <v>46</v>
      </c>
      <c r="E1621" s="114" t="s">
        <v>367</v>
      </c>
      <c r="F1621" s="115">
        <v>16903</v>
      </c>
      <c r="G1621" s="116">
        <v>2200</v>
      </c>
      <c r="H1621" s="120" t="s">
        <v>328</v>
      </c>
      <c r="I1621" s="104" t="s">
        <v>25</v>
      </c>
      <c r="J1621" s="104"/>
      <c r="K1621" s="104"/>
      <c r="L1621" s="104"/>
      <c r="M1621" s="104"/>
      <c r="N1621" s="104"/>
      <c r="O1621" s="2353" t="s">
        <v>329</v>
      </c>
      <c r="Q1621" s="104" t="s">
        <v>25</v>
      </c>
    </row>
    <row r="1622" spans="1:17" ht="18.75" customHeight="1" x14ac:dyDescent="0.3">
      <c r="A1622" s="247">
        <v>27</v>
      </c>
      <c r="B1622" s="105" t="s">
        <v>368</v>
      </c>
      <c r="C1622" s="294">
        <v>406</v>
      </c>
      <c r="D1622" s="113">
        <v>46</v>
      </c>
      <c r="E1622" s="114" t="s">
        <v>369</v>
      </c>
      <c r="F1622" s="115">
        <v>16917</v>
      </c>
      <c r="G1622" s="116">
        <v>2800</v>
      </c>
      <c r="H1622" s="1745" t="s">
        <v>101</v>
      </c>
      <c r="I1622" s="104" t="s">
        <v>25</v>
      </c>
      <c r="J1622" s="104"/>
      <c r="K1622" s="104"/>
      <c r="L1622" s="104"/>
      <c r="M1622" s="104"/>
      <c r="N1622" s="104"/>
      <c r="O1622" s="2353" t="s">
        <v>329</v>
      </c>
      <c r="Q1622" s="104" t="s">
        <v>25</v>
      </c>
    </row>
    <row r="1623" spans="1:17" ht="18.75" customHeight="1" x14ac:dyDescent="0.3">
      <c r="A1623" s="196">
        <v>28</v>
      </c>
      <c r="B1623" s="302" t="s">
        <v>333</v>
      </c>
      <c r="C1623" s="294">
        <v>406</v>
      </c>
      <c r="D1623" s="113">
        <v>47</v>
      </c>
      <c r="E1623" s="137" t="s">
        <v>370</v>
      </c>
      <c r="F1623" s="303">
        <v>17248</v>
      </c>
      <c r="G1623" s="304">
        <v>3200</v>
      </c>
      <c r="H1623" s="1745" t="s">
        <v>332</v>
      </c>
      <c r="I1623" s="104" t="s">
        <v>25</v>
      </c>
      <c r="J1623" s="104"/>
      <c r="K1623" s="104"/>
      <c r="L1623" s="104"/>
      <c r="M1623" s="104"/>
      <c r="N1623" s="104"/>
      <c r="O1623" s="2303" t="s">
        <v>126</v>
      </c>
      <c r="Q1623" s="104" t="s">
        <v>25</v>
      </c>
    </row>
    <row r="1624" spans="1:17" ht="18.75" customHeight="1" x14ac:dyDescent="0.3">
      <c r="A1624" s="247">
        <v>29</v>
      </c>
      <c r="B1624" s="305" t="s">
        <v>333</v>
      </c>
      <c r="C1624" s="294">
        <v>406</v>
      </c>
      <c r="D1624" s="125">
        <v>47</v>
      </c>
      <c r="E1624" s="251" t="s">
        <v>371</v>
      </c>
      <c r="F1624" s="306">
        <v>17251</v>
      </c>
      <c r="G1624" s="307">
        <v>2300</v>
      </c>
      <c r="H1624" s="1745" t="s">
        <v>332</v>
      </c>
      <c r="I1624" s="104"/>
      <c r="J1624" s="104"/>
      <c r="K1624" s="104"/>
      <c r="L1624" s="104"/>
      <c r="M1624" s="104"/>
      <c r="N1624" s="104"/>
      <c r="O1624" s="111" t="s">
        <v>119</v>
      </c>
      <c r="Q1624" s="104"/>
    </row>
    <row r="1625" spans="1:17" ht="18.75" customHeight="1" x14ac:dyDescent="0.3">
      <c r="A1625" s="104">
        <v>30</v>
      </c>
      <c r="B1625" s="305" t="s">
        <v>333</v>
      </c>
      <c r="C1625" s="294">
        <v>406</v>
      </c>
      <c r="D1625" s="128">
        <v>47</v>
      </c>
      <c r="E1625" s="308" t="s">
        <v>372</v>
      </c>
      <c r="F1625" s="306">
        <v>17251</v>
      </c>
      <c r="G1625" s="309">
        <v>2300</v>
      </c>
      <c r="H1625" s="1745" t="s">
        <v>332</v>
      </c>
      <c r="I1625" s="104" t="s">
        <v>25</v>
      </c>
      <c r="J1625" s="104"/>
      <c r="K1625" s="104"/>
      <c r="L1625" s="104"/>
      <c r="M1625" s="104"/>
      <c r="N1625" s="104"/>
      <c r="O1625" s="2303" t="s">
        <v>5864</v>
      </c>
      <c r="Q1625" s="104" t="s">
        <v>25</v>
      </c>
    </row>
    <row r="1626" spans="1:17" ht="18.75" customHeight="1" x14ac:dyDescent="0.3">
      <c r="A1626" s="247">
        <v>31</v>
      </c>
      <c r="B1626" s="310" t="s">
        <v>333</v>
      </c>
      <c r="C1626" s="294">
        <v>406</v>
      </c>
      <c r="D1626" s="113">
        <v>47</v>
      </c>
      <c r="E1626" s="311" t="s">
        <v>373</v>
      </c>
      <c r="F1626" s="306">
        <v>17283</v>
      </c>
      <c r="G1626" s="110">
        <v>2000</v>
      </c>
      <c r="H1626" s="1734" t="s">
        <v>374</v>
      </c>
      <c r="I1626" s="104" t="s">
        <v>25</v>
      </c>
      <c r="J1626" s="118"/>
      <c r="K1626" s="1270"/>
      <c r="L1626" s="119"/>
      <c r="M1626" s="119"/>
      <c r="N1626" s="119"/>
      <c r="O1626" s="2304" t="s">
        <v>150</v>
      </c>
      <c r="Q1626" s="104" t="s">
        <v>25</v>
      </c>
    </row>
    <row r="1627" spans="1:17" ht="18.75" customHeight="1" x14ac:dyDescent="0.3">
      <c r="A1627" s="247">
        <v>32</v>
      </c>
      <c r="B1627" s="105" t="s">
        <v>333</v>
      </c>
      <c r="C1627" s="294">
        <v>406</v>
      </c>
      <c r="D1627" s="113">
        <v>47</v>
      </c>
      <c r="E1627" s="114" t="s">
        <v>375</v>
      </c>
      <c r="F1627" s="306">
        <v>17283</v>
      </c>
      <c r="G1627" s="116">
        <v>2000</v>
      </c>
      <c r="H1627" s="1734" t="s">
        <v>374</v>
      </c>
      <c r="I1627" s="104" t="s">
        <v>25</v>
      </c>
      <c r="J1627" s="118"/>
      <c r="K1627" s="1270"/>
      <c r="L1627" s="119"/>
      <c r="M1627" s="119"/>
      <c r="N1627" s="119"/>
      <c r="O1627" s="2304"/>
      <c r="Q1627" s="104" t="s">
        <v>25</v>
      </c>
    </row>
    <row r="1628" spans="1:17" ht="18.75" customHeight="1" x14ac:dyDescent="0.3">
      <c r="A1628" s="104">
        <v>33</v>
      </c>
      <c r="B1628" s="105" t="s">
        <v>376</v>
      </c>
      <c r="C1628" s="129">
        <v>406</v>
      </c>
      <c r="D1628" s="113">
        <v>47</v>
      </c>
      <c r="E1628" s="114" t="s">
        <v>377</v>
      </c>
      <c r="F1628" s="306">
        <v>17283</v>
      </c>
      <c r="G1628" s="116">
        <v>7300</v>
      </c>
      <c r="H1628" s="1734" t="s">
        <v>374</v>
      </c>
      <c r="I1628" s="104" t="s">
        <v>25</v>
      </c>
      <c r="J1628" s="192"/>
      <c r="K1628" s="924"/>
      <c r="L1628" s="192"/>
      <c r="M1628" s="192"/>
      <c r="N1628" s="192"/>
      <c r="O1628" s="2305"/>
      <c r="Q1628" s="104" t="s">
        <v>25</v>
      </c>
    </row>
    <row r="1629" spans="1:17" ht="18.75" customHeight="1" x14ac:dyDescent="0.3">
      <c r="A1629" s="189">
        <v>34</v>
      </c>
      <c r="B1629" s="105" t="s">
        <v>333</v>
      </c>
      <c r="C1629" s="129">
        <v>406</v>
      </c>
      <c r="D1629" s="113">
        <v>47</v>
      </c>
      <c r="E1629" s="114" t="s">
        <v>378</v>
      </c>
      <c r="F1629" s="115">
        <v>17334</v>
      </c>
      <c r="G1629" s="116">
        <v>3200</v>
      </c>
      <c r="H1629" s="1733" t="s">
        <v>101</v>
      </c>
      <c r="I1629" s="104" t="s">
        <v>25</v>
      </c>
      <c r="J1629" s="104"/>
      <c r="K1629" s="104"/>
      <c r="L1629" s="104"/>
      <c r="M1629" s="104"/>
      <c r="N1629" s="104"/>
      <c r="O1629" s="2303" t="s">
        <v>5867</v>
      </c>
      <c r="Q1629" s="104" t="s">
        <v>25</v>
      </c>
    </row>
    <row r="1630" spans="1:17" ht="18.75" customHeight="1" x14ac:dyDescent="0.3">
      <c r="A1630" s="247">
        <v>35</v>
      </c>
      <c r="B1630" s="105" t="s">
        <v>379</v>
      </c>
      <c r="C1630" s="129">
        <v>406</v>
      </c>
      <c r="D1630" s="113">
        <v>48</v>
      </c>
      <c r="E1630" s="114" t="s">
        <v>380</v>
      </c>
      <c r="F1630" s="115">
        <v>17771</v>
      </c>
      <c r="G1630" s="116">
        <v>4000</v>
      </c>
      <c r="H1630" s="142" t="s">
        <v>191</v>
      </c>
      <c r="I1630" s="118" t="s">
        <v>25</v>
      </c>
      <c r="J1630" s="248"/>
      <c r="K1630" s="247"/>
      <c r="L1630" s="248"/>
      <c r="M1630" s="248"/>
      <c r="N1630" s="248"/>
      <c r="O1630" s="2305" t="s">
        <v>5857</v>
      </c>
      <c r="Q1630" s="118" t="s">
        <v>25</v>
      </c>
    </row>
    <row r="1631" spans="1:17" ht="18.75" customHeight="1" x14ac:dyDescent="0.3">
      <c r="A1631" s="104">
        <v>36</v>
      </c>
      <c r="B1631" s="105" t="s">
        <v>379</v>
      </c>
      <c r="C1631" s="129">
        <v>406</v>
      </c>
      <c r="D1631" s="113">
        <v>48</v>
      </c>
      <c r="E1631" s="114" t="s">
        <v>381</v>
      </c>
      <c r="F1631" s="115">
        <v>17771</v>
      </c>
      <c r="G1631" s="116">
        <v>4000</v>
      </c>
      <c r="H1631" s="142" t="s">
        <v>191</v>
      </c>
      <c r="I1631" s="118" t="s">
        <v>25</v>
      </c>
      <c r="J1631" s="248"/>
      <c r="K1631" s="247"/>
      <c r="L1631" s="248"/>
      <c r="M1631" s="248"/>
      <c r="N1631" s="248"/>
      <c r="O1631" s="2305" t="s">
        <v>5905</v>
      </c>
      <c r="Q1631" s="118" t="s">
        <v>25</v>
      </c>
    </row>
    <row r="1632" spans="1:17" ht="18.75" customHeight="1" x14ac:dyDescent="0.3">
      <c r="A1632" s="247">
        <v>37</v>
      </c>
      <c r="B1632" s="315" t="s">
        <v>338</v>
      </c>
      <c r="C1632" s="129">
        <v>406</v>
      </c>
      <c r="D1632" s="139">
        <v>48</v>
      </c>
      <c r="E1632" s="251" t="s">
        <v>382</v>
      </c>
      <c r="F1632" s="316">
        <v>17537</v>
      </c>
      <c r="G1632" s="309">
        <v>3900</v>
      </c>
      <c r="H1632" s="120" t="s">
        <v>328</v>
      </c>
      <c r="I1632" s="34" t="s">
        <v>25</v>
      </c>
      <c r="J1632" s="313"/>
      <c r="K1632" s="662"/>
      <c r="L1632" s="313"/>
      <c r="M1632" s="313"/>
      <c r="N1632" s="313"/>
      <c r="O1632" s="2351" t="s">
        <v>329</v>
      </c>
      <c r="Q1632" s="34" t="s">
        <v>25</v>
      </c>
    </row>
    <row r="1633" spans="1:17" ht="18.75" customHeight="1" x14ac:dyDescent="0.3">
      <c r="A1633" s="247">
        <v>38</v>
      </c>
      <c r="B1633" s="105" t="s">
        <v>383</v>
      </c>
      <c r="C1633" s="129">
        <v>406</v>
      </c>
      <c r="D1633" s="113">
        <v>56</v>
      </c>
      <c r="E1633" s="114" t="s">
        <v>384</v>
      </c>
      <c r="F1633" s="115">
        <v>20724</v>
      </c>
      <c r="G1633" s="116">
        <v>7500</v>
      </c>
      <c r="H1633" s="1731" t="s">
        <v>41</v>
      </c>
      <c r="I1633" s="34" t="s">
        <v>25</v>
      </c>
      <c r="J1633" s="224"/>
      <c r="K1633" s="2233"/>
      <c r="L1633" s="317"/>
      <c r="M1633" s="224"/>
      <c r="N1633" s="87"/>
      <c r="O1633" s="318"/>
      <c r="Q1633" s="34" t="s">
        <v>25</v>
      </c>
    </row>
    <row r="1634" spans="1:17" ht="18.75" customHeight="1" x14ac:dyDescent="0.3">
      <c r="A1634" s="104">
        <v>39</v>
      </c>
      <c r="B1634" s="105" t="s">
        <v>383</v>
      </c>
      <c r="C1634" s="129">
        <v>406</v>
      </c>
      <c r="D1634" s="113">
        <v>56</v>
      </c>
      <c r="E1634" s="114" t="s">
        <v>385</v>
      </c>
      <c r="F1634" s="115">
        <v>20724</v>
      </c>
      <c r="G1634" s="116">
        <v>7500</v>
      </c>
      <c r="H1634" s="1731" t="s">
        <v>41</v>
      </c>
      <c r="I1634" s="34" t="s">
        <v>25</v>
      </c>
      <c r="J1634" s="224"/>
      <c r="K1634" s="2233"/>
      <c r="L1634" s="317"/>
      <c r="M1634" s="224"/>
      <c r="N1634" s="87"/>
      <c r="O1634" s="318"/>
      <c r="Q1634" s="34" t="s">
        <v>25</v>
      </c>
    </row>
    <row r="1635" spans="1:17" ht="18.75" customHeight="1" x14ac:dyDescent="0.3">
      <c r="A1635" s="247">
        <v>40</v>
      </c>
      <c r="B1635" s="105" t="s">
        <v>386</v>
      </c>
      <c r="C1635" s="129">
        <v>406</v>
      </c>
      <c r="D1635" s="113">
        <v>63</v>
      </c>
      <c r="E1635" s="114" t="s">
        <v>387</v>
      </c>
      <c r="F1635" s="115">
        <v>22968</v>
      </c>
      <c r="G1635" s="116">
        <v>2962.62</v>
      </c>
      <c r="H1635" s="1735" t="s">
        <v>236</v>
      </c>
      <c r="I1635" s="34" t="s">
        <v>25</v>
      </c>
      <c r="J1635" s="224"/>
      <c r="K1635" s="2233"/>
      <c r="L1635" s="317"/>
      <c r="M1635" s="224"/>
      <c r="N1635" s="87"/>
      <c r="O1635" s="2420" t="s">
        <v>5888</v>
      </c>
      <c r="Q1635" s="34" t="s">
        <v>25</v>
      </c>
    </row>
    <row r="1636" spans="1:17" ht="18.75" customHeight="1" x14ac:dyDescent="0.3">
      <c r="A1636" s="247">
        <v>41</v>
      </c>
      <c r="B1636" s="105" t="s">
        <v>386</v>
      </c>
      <c r="C1636" s="129">
        <v>406</v>
      </c>
      <c r="D1636" s="125">
        <v>63</v>
      </c>
      <c r="E1636" s="114" t="s">
        <v>388</v>
      </c>
      <c r="F1636" s="115">
        <v>22968</v>
      </c>
      <c r="G1636" s="116">
        <v>2962.62</v>
      </c>
      <c r="H1636" s="1735" t="s">
        <v>389</v>
      </c>
      <c r="I1636" s="34" t="s">
        <v>25</v>
      </c>
      <c r="J1636" s="224"/>
      <c r="K1636" s="2233"/>
      <c r="L1636" s="317"/>
      <c r="M1636" s="224"/>
      <c r="N1636" s="87"/>
      <c r="O1636" s="2420" t="s">
        <v>5889</v>
      </c>
      <c r="Q1636" s="34" t="s">
        <v>25</v>
      </c>
    </row>
    <row r="1637" spans="1:17" ht="18.75" customHeight="1" x14ac:dyDescent="0.3">
      <c r="A1637" s="104">
        <v>42</v>
      </c>
      <c r="B1637" s="319" t="s">
        <v>333</v>
      </c>
      <c r="C1637" s="129">
        <v>406</v>
      </c>
      <c r="D1637" s="320">
        <v>36</v>
      </c>
      <c r="E1637" s="321" t="s">
        <v>390</v>
      </c>
      <c r="F1637" s="322">
        <v>13113</v>
      </c>
      <c r="G1637" s="323">
        <v>2200</v>
      </c>
      <c r="H1637" s="1753" t="s">
        <v>391</v>
      </c>
      <c r="I1637" s="34" t="s">
        <v>25</v>
      </c>
      <c r="J1637" s="224"/>
      <c r="K1637" s="2233"/>
      <c r="L1637" s="317"/>
      <c r="M1637" s="224"/>
      <c r="N1637" s="87"/>
      <c r="O1637" s="324" t="s">
        <v>170</v>
      </c>
      <c r="Q1637" s="34" t="s">
        <v>25</v>
      </c>
    </row>
    <row r="1638" spans="1:17" ht="18.75" customHeight="1" x14ac:dyDescent="0.3">
      <c r="A1638" s="247">
        <v>43</v>
      </c>
      <c r="B1638" s="325" t="s">
        <v>333</v>
      </c>
      <c r="C1638" s="129">
        <v>406</v>
      </c>
      <c r="D1638" s="326">
        <v>36</v>
      </c>
      <c r="E1638" s="108" t="s">
        <v>392</v>
      </c>
      <c r="F1638" s="109">
        <v>13175</v>
      </c>
      <c r="G1638" s="110">
        <v>3500</v>
      </c>
      <c r="H1638" s="1753" t="s">
        <v>391</v>
      </c>
      <c r="I1638" s="34" t="s">
        <v>25</v>
      </c>
      <c r="J1638" s="224"/>
      <c r="K1638" s="2233"/>
      <c r="L1638" s="317"/>
      <c r="M1638" s="224"/>
      <c r="N1638" s="87"/>
      <c r="O1638" s="324" t="s">
        <v>393</v>
      </c>
      <c r="Q1638" s="34" t="s">
        <v>25</v>
      </c>
    </row>
    <row r="1639" spans="1:17" ht="18.75" customHeight="1" x14ac:dyDescent="0.3">
      <c r="A1639" s="247">
        <v>44</v>
      </c>
      <c r="B1639" s="105" t="s">
        <v>333</v>
      </c>
      <c r="C1639" s="129">
        <v>406</v>
      </c>
      <c r="D1639" s="113">
        <v>43</v>
      </c>
      <c r="E1639" s="114" t="s">
        <v>394</v>
      </c>
      <c r="F1639" s="115">
        <v>15760</v>
      </c>
      <c r="G1639" s="116">
        <v>4000</v>
      </c>
      <c r="H1639" s="1753" t="s">
        <v>391</v>
      </c>
      <c r="I1639" s="34" t="s">
        <v>25</v>
      </c>
      <c r="J1639" s="224"/>
      <c r="K1639" s="2233"/>
      <c r="L1639" s="317"/>
      <c r="M1639" s="224"/>
      <c r="N1639" s="87"/>
      <c r="O1639" s="324" t="s">
        <v>393</v>
      </c>
      <c r="Q1639" s="34" t="s">
        <v>25</v>
      </c>
    </row>
    <row r="1640" spans="1:17" ht="18.75" customHeight="1" x14ac:dyDescent="0.3">
      <c r="A1640" s="104">
        <v>45</v>
      </c>
      <c r="B1640" s="105" t="s">
        <v>395</v>
      </c>
      <c r="C1640" s="129">
        <v>406</v>
      </c>
      <c r="D1640" s="113">
        <v>43</v>
      </c>
      <c r="E1640" s="114" t="s">
        <v>396</v>
      </c>
      <c r="F1640" s="115">
        <v>15760</v>
      </c>
      <c r="G1640" s="116">
        <v>2300</v>
      </c>
      <c r="H1640" s="1753" t="s">
        <v>391</v>
      </c>
      <c r="I1640" s="34" t="s">
        <v>25</v>
      </c>
      <c r="J1640" s="327"/>
      <c r="K1640" s="2235"/>
      <c r="L1640" s="328"/>
      <c r="M1640" s="327"/>
      <c r="N1640" s="85"/>
      <c r="O1640" s="324" t="s">
        <v>393</v>
      </c>
      <c r="Q1640" s="34" t="s">
        <v>25</v>
      </c>
    </row>
    <row r="1641" spans="1:17" ht="18.75" customHeight="1" x14ac:dyDescent="0.3">
      <c r="A1641" s="247">
        <v>46</v>
      </c>
      <c r="B1641" s="105" t="s">
        <v>333</v>
      </c>
      <c r="C1641" s="129">
        <v>406</v>
      </c>
      <c r="D1641" s="113">
        <v>36</v>
      </c>
      <c r="E1641" s="114" t="s">
        <v>397</v>
      </c>
      <c r="F1641" s="329">
        <v>13175</v>
      </c>
      <c r="G1641" s="330">
        <v>3500</v>
      </c>
      <c r="H1641" s="1753" t="s">
        <v>391</v>
      </c>
      <c r="I1641" s="34" t="s">
        <v>25</v>
      </c>
      <c r="J1641" s="327"/>
      <c r="K1641" s="2235"/>
      <c r="L1641" s="328"/>
      <c r="M1641" s="327"/>
      <c r="N1641" s="85"/>
      <c r="O1641" s="324" t="s">
        <v>393</v>
      </c>
      <c r="Q1641" s="34" t="s">
        <v>25</v>
      </c>
    </row>
    <row r="1642" spans="1:17" ht="18.75" customHeight="1" x14ac:dyDescent="0.45">
      <c r="A1642" s="39"/>
      <c r="B1642" s="172"/>
      <c r="C1642" s="199"/>
      <c r="D1642" s="200"/>
      <c r="E1642" s="201"/>
      <c r="F1642" s="331"/>
      <c r="G1642" s="332">
        <f>SUM(G1596:G1641)</f>
        <v>140180.24</v>
      </c>
      <c r="H1642" s="178"/>
      <c r="I1642" s="204"/>
      <c r="J1642" s="234"/>
      <c r="K1642" s="1195"/>
      <c r="L1642" s="234"/>
      <c r="M1642" s="234"/>
      <c r="N1642" s="234"/>
      <c r="O1642" s="235"/>
      <c r="Q1642" s="204"/>
    </row>
    <row r="1643" spans="1:17" ht="18.75" customHeight="1" x14ac:dyDescent="0.3">
      <c r="A1643" s="333">
        <v>407</v>
      </c>
      <c r="B1643" s="17"/>
      <c r="C1643" s="18"/>
      <c r="D1643" s="18"/>
      <c r="E1643" s="19"/>
      <c r="F1643" s="20"/>
      <c r="G1643" s="21"/>
      <c r="H1643" s="334"/>
      <c r="I1643" s="23"/>
      <c r="J1643" s="24"/>
      <c r="K1643" s="24"/>
      <c r="L1643" s="25"/>
      <c r="M1643" s="25"/>
      <c r="N1643" s="24"/>
      <c r="O1643" s="335"/>
      <c r="Q1643" s="23"/>
    </row>
    <row r="1644" spans="1:17" ht="18.75" customHeight="1" x14ac:dyDescent="0.3">
      <c r="A1644" s="336">
        <v>1</v>
      </c>
      <c r="B1644" s="337" t="s">
        <v>398</v>
      </c>
      <c r="C1644" s="182">
        <v>407</v>
      </c>
      <c r="D1644" s="182">
        <v>31</v>
      </c>
      <c r="E1644" s="338" t="s">
        <v>399</v>
      </c>
      <c r="F1644" s="339">
        <v>11659</v>
      </c>
      <c r="G1644" s="340">
        <v>1530</v>
      </c>
      <c r="H1644" s="341" t="s">
        <v>400</v>
      </c>
      <c r="I1644" s="84"/>
      <c r="J1644" s="342"/>
      <c r="K1644" s="2241"/>
      <c r="L1644" s="342"/>
      <c r="M1644" s="342"/>
      <c r="N1644" s="342"/>
      <c r="O1644" s="343" t="s">
        <v>401</v>
      </c>
      <c r="Q1644" s="84"/>
    </row>
    <row r="1645" spans="1:17" ht="18.75" customHeight="1" x14ac:dyDescent="0.45">
      <c r="A1645" s="39"/>
      <c r="B1645" s="172"/>
      <c r="C1645" s="200"/>
      <c r="D1645" s="200"/>
      <c r="E1645" s="175"/>
      <c r="F1645" s="172"/>
      <c r="G1645" s="332">
        <f>SUM(G1644)</f>
        <v>1530</v>
      </c>
      <c r="H1645" s="344"/>
      <c r="I1645" s="204"/>
      <c r="J1645" s="234"/>
      <c r="K1645" s="1195"/>
      <c r="L1645" s="234"/>
      <c r="M1645" s="234"/>
      <c r="N1645" s="234"/>
      <c r="O1645" s="345"/>
      <c r="Q1645" s="204"/>
    </row>
    <row r="1646" spans="1:17" ht="18.75" customHeight="1" x14ac:dyDescent="0.3">
      <c r="A1646" s="333">
        <v>408</v>
      </c>
      <c r="B1646" s="17" t="s">
        <v>402</v>
      </c>
      <c r="C1646" s="18"/>
      <c r="D1646" s="18"/>
      <c r="E1646" s="19"/>
      <c r="F1646" s="20"/>
      <c r="G1646" s="21"/>
      <c r="H1646" s="334"/>
      <c r="I1646" s="23"/>
      <c r="J1646" s="24"/>
      <c r="K1646" s="24"/>
      <c r="L1646" s="25"/>
      <c r="M1646" s="25"/>
      <c r="N1646" s="24"/>
      <c r="O1646" s="335"/>
      <c r="Q1646" s="23"/>
    </row>
    <row r="1647" spans="1:17" ht="18.75" customHeight="1" x14ac:dyDescent="0.3">
      <c r="A1647" s="293">
        <v>1</v>
      </c>
      <c r="B1647" s="347" t="s">
        <v>403</v>
      </c>
      <c r="C1647" s="348" t="s">
        <v>404</v>
      </c>
      <c r="D1647" s="326">
        <v>52</v>
      </c>
      <c r="E1647" s="349" t="s">
        <v>324</v>
      </c>
      <c r="F1647" s="350" t="s">
        <v>405</v>
      </c>
      <c r="G1647" s="351">
        <v>40000</v>
      </c>
      <c r="H1647" s="1754" t="s">
        <v>406</v>
      </c>
      <c r="I1647" s="352" t="s">
        <v>25</v>
      </c>
      <c r="J1647" s="353"/>
      <c r="K1647" s="945"/>
      <c r="L1647" s="353"/>
      <c r="M1647" s="353"/>
      <c r="N1647" s="353"/>
      <c r="O1647" s="354"/>
      <c r="Q1647" s="352" t="s">
        <v>25</v>
      </c>
    </row>
    <row r="1648" spans="1:17" ht="18.75" customHeight="1" x14ac:dyDescent="0.3">
      <c r="A1648" s="247">
        <v>2</v>
      </c>
      <c r="B1648" s="215" t="s">
        <v>407</v>
      </c>
      <c r="C1648" s="216" t="s">
        <v>404</v>
      </c>
      <c r="D1648" s="67">
        <v>52</v>
      </c>
      <c r="E1648" s="217" t="s">
        <v>408</v>
      </c>
      <c r="F1648" s="350" t="s">
        <v>405</v>
      </c>
      <c r="G1648" s="192">
        <v>40000</v>
      </c>
      <c r="H1648" s="1754" t="s">
        <v>406</v>
      </c>
      <c r="I1648" s="352" t="s">
        <v>25</v>
      </c>
      <c r="J1648" s="119"/>
      <c r="K1648" s="1270"/>
      <c r="L1648" s="119"/>
      <c r="M1648" s="119"/>
      <c r="N1648" s="119"/>
      <c r="O1648" s="146"/>
      <c r="Q1648" s="352" t="s">
        <v>25</v>
      </c>
    </row>
    <row r="1649" spans="1:17" ht="18.75" customHeight="1" x14ac:dyDescent="0.3">
      <c r="A1649" s="247">
        <v>3</v>
      </c>
      <c r="B1649" s="215" t="s">
        <v>407</v>
      </c>
      <c r="C1649" s="216" t="s">
        <v>404</v>
      </c>
      <c r="D1649" s="67">
        <v>52</v>
      </c>
      <c r="E1649" s="217" t="s">
        <v>409</v>
      </c>
      <c r="F1649" s="350" t="s">
        <v>405</v>
      </c>
      <c r="G1649" s="192">
        <v>40000</v>
      </c>
      <c r="H1649" s="1754" t="s">
        <v>406</v>
      </c>
      <c r="I1649" s="352" t="s">
        <v>25</v>
      </c>
      <c r="J1649" s="119"/>
      <c r="K1649" s="1270"/>
      <c r="L1649" s="119"/>
      <c r="M1649" s="119"/>
      <c r="N1649" s="119"/>
      <c r="O1649" s="146"/>
      <c r="Q1649" s="352" t="s">
        <v>25</v>
      </c>
    </row>
    <row r="1650" spans="1:17" ht="18.75" customHeight="1" x14ac:dyDescent="0.3">
      <c r="A1650" s="247">
        <v>4</v>
      </c>
      <c r="B1650" s="215" t="s">
        <v>407</v>
      </c>
      <c r="C1650" s="216" t="s">
        <v>404</v>
      </c>
      <c r="D1650" s="67">
        <v>52</v>
      </c>
      <c r="E1650" s="217" t="s">
        <v>410</v>
      </c>
      <c r="F1650" s="350" t="s">
        <v>405</v>
      </c>
      <c r="G1650" s="192">
        <v>40000</v>
      </c>
      <c r="H1650" s="1754" t="s">
        <v>406</v>
      </c>
      <c r="I1650" s="352" t="s">
        <v>25</v>
      </c>
      <c r="J1650" s="119"/>
      <c r="K1650" s="1270"/>
      <c r="L1650" s="119"/>
      <c r="M1650" s="119"/>
      <c r="N1650" s="119"/>
      <c r="O1650" s="146"/>
      <c r="Q1650" s="352" t="s">
        <v>25</v>
      </c>
    </row>
    <row r="1651" spans="1:17" ht="18.75" customHeight="1" x14ac:dyDescent="0.3">
      <c r="A1651" s="247">
        <v>5</v>
      </c>
      <c r="B1651" s="215" t="s">
        <v>407</v>
      </c>
      <c r="C1651" s="216" t="s">
        <v>404</v>
      </c>
      <c r="D1651" s="67">
        <v>52</v>
      </c>
      <c r="E1651" s="217" t="s">
        <v>411</v>
      </c>
      <c r="F1651" s="350" t="s">
        <v>405</v>
      </c>
      <c r="G1651" s="192">
        <v>40000</v>
      </c>
      <c r="H1651" s="1754" t="s">
        <v>406</v>
      </c>
      <c r="I1651" s="352" t="s">
        <v>25</v>
      </c>
      <c r="J1651" s="119"/>
      <c r="K1651" s="1270"/>
      <c r="L1651" s="119"/>
      <c r="M1651" s="119"/>
      <c r="N1651" s="119"/>
      <c r="O1651" s="146"/>
      <c r="Q1651" s="352" t="s">
        <v>25</v>
      </c>
    </row>
    <row r="1652" spans="1:17" ht="18.75" customHeight="1" x14ac:dyDescent="0.45">
      <c r="A1652" s="39"/>
      <c r="B1652" s="88"/>
      <c r="C1652" s="89"/>
      <c r="D1652" s="230"/>
      <c r="E1652" s="201"/>
      <c r="F1652" s="176"/>
      <c r="G1652" s="231">
        <f>SUM(G1647:G1651)</f>
        <v>200000</v>
      </c>
      <c r="H1652" s="232"/>
      <c r="I1652" s="233"/>
      <c r="J1652" s="355"/>
      <c r="K1652" s="1274"/>
      <c r="L1652" s="355"/>
      <c r="M1652" s="355"/>
      <c r="N1652" s="355"/>
      <c r="O1652" s="235"/>
      <c r="Q1652" s="233"/>
    </row>
    <row r="1653" spans="1:17" ht="18.75" customHeight="1" x14ac:dyDescent="0.3">
      <c r="A1653" s="2641">
        <v>414</v>
      </c>
      <c r="B1653" s="17" t="s">
        <v>412</v>
      </c>
      <c r="C1653" s="357"/>
      <c r="D1653" s="17"/>
      <c r="E1653" s="358"/>
      <c r="F1653" s="357"/>
      <c r="G1653" s="359"/>
      <c r="H1653" s="360"/>
      <c r="I1653" s="357"/>
      <c r="J1653" s="357"/>
      <c r="K1653" s="357"/>
      <c r="L1653" s="357"/>
      <c r="M1653" s="357"/>
      <c r="N1653" s="357"/>
      <c r="O1653" s="361"/>
      <c r="Q1653" s="357"/>
    </row>
    <row r="1654" spans="1:17" ht="18.75" customHeight="1" x14ac:dyDescent="0.3">
      <c r="A1654" s="112">
        <v>1</v>
      </c>
      <c r="B1654" s="362" t="s">
        <v>413</v>
      </c>
      <c r="C1654" s="363">
        <v>414</v>
      </c>
      <c r="D1654" s="364">
        <v>42</v>
      </c>
      <c r="E1654" s="365" t="s">
        <v>414</v>
      </c>
      <c r="F1654" s="366">
        <v>36277</v>
      </c>
      <c r="G1654" s="367">
        <v>9600</v>
      </c>
      <c r="H1654" s="368" t="s">
        <v>415</v>
      </c>
      <c r="I1654" s="112" t="s">
        <v>25</v>
      </c>
      <c r="J1654" s="112"/>
      <c r="K1654" s="112"/>
      <c r="L1654" s="112"/>
      <c r="M1654" s="112"/>
      <c r="N1654" s="112"/>
      <c r="O1654" s="369"/>
      <c r="Q1654" s="112" t="s">
        <v>25</v>
      </c>
    </row>
    <row r="1655" spans="1:17" ht="18.75" customHeight="1" x14ac:dyDescent="0.45">
      <c r="A1655" s="370"/>
      <c r="B1655" s="371"/>
      <c r="C1655" s="372"/>
      <c r="D1655" s="373"/>
      <c r="E1655" s="374"/>
      <c r="F1655" s="375"/>
      <c r="G1655" s="231">
        <f>SUM(G1654)</f>
        <v>9600</v>
      </c>
      <c r="H1655" s="376"/>
      <c r="I1655" s="370"/>
      <c r="J1655" s="370"/>
      <c r="K1655" s="370"/>
      <c r="L1655" s="370"/>
      <c r="M1655" s="370"/>
      <c r="N1655" s="370"/>
      <c r="O1655" s="377"/>
      <c r="Q1655" s="370"/>
    </row>
    <row r="1656" spans="1:17" ht="18.75" customHeight="1" x14ac:dyDescent="0.3">
      <c r="A1656" s="2641">
        <v>420</v>
      </c>
      <c r="B1656" s="17" t="s">
        <v>416</v>
      </c>
      <c r="C1656" s="358"/>
      <c r="D1656" s="358"/>
      <c r="E1656" s="358"/>
      <c r="F1656" s="378"/>
      <c r="G1656" s="359"/>
      <c r="H1656" s="360"/>
      <c r="I1656" s="357"/>
      <c r="J1656" s="357"/>
      <c r="K1656" s="357"/>
      <c r="L1656" s="357"/>
      <c r="M1656" s="357"/>
      <c r="N1656" s="357"/>
      <c r="O1656" s="361"/>
      <c r="Q1656" s="357"/>
    </row>
    <row r="1657" spans="1:17" ht="18.75" customHeight="1" x14ac:dyDescent="0.3">
      <c r="A1657" s="379">
        <v>1</v>
      </c>
      <c r="B1657" s="105" t="s">
        <v>417</v>
      </c>
      <c r="C1657" s="106">
        <v>420</v>
      </c>
      <c r="D1657" s="128">
        <v>35</v>
      </c>
      <c r="E1657" s="108" t="s">
        <v>418</v>
      </c>
      <c r="F1657" s="109">
        <v>12898</v>
      </c>
      <c r="G1657" s="110">
        <v>33000</v>
      </c>
      <c r="H1657" s="2307" t="s">
        <v>419</v>
      </c>
      <c r="I1657" s="112" t="s">
        <v>25</v>
      </c>
      <c r="J1657" s="379"/>
      <c r="K1657" s="379"/>
      <c r="L1657" s="379"/>
      <c r="M1657" s="379"/>
      <c r="N1657" s="379"/>
      <c r="O1657" s="380"/>
      <c r="Q1657" s="112" t="s">
        <v>25</v>
      </c>
    </row>
    <row r="1658" spans="1:17" ht="18.75" customHeight="1" x14ac:dyDescent="0.3">
      <c r="A1658" s="196">
        <v>2</v>
      </c>
      <c r="B1658" s="105" t="s">
        <v>417</v>
      </c>
      <c r="C1658" s="106">
        <v>420</v>
      </c>
      <c r="D1658" s="113">
        <v>40</v>
      </c>
      <c r="E1658" s="114" t="s">
        <v>420</v>
      </c>
      <c r="F1658" s="115">
        <v>14547</v>
      </c>
      <c r="G1658" s="116">
        <v>32398</v>
      </c>
      <c r="H1658" s="2307" t="s">
        <v>419</v>
      </c>
      <c r="I1658" s="104"/>
      <c r="J1658" s="381" t="s">
        <v>25</v>
      </c>
      <c r="K1658" s="382"/>
      <c r="L1658" s="381"/>
      <c r="M1658" s="381"/>
      <c r="N1658" s="382"/>
      <c r="O1658" s="2628" t="s">
        <v>6395</v>
      </c>
      <c r="Q1658" s="104"/>
    </row>
    <row r="1659" spans="1:17" ht="18.75" customHeight="1" x14ac:dyDescent="0.3">
      <c r="A1659" s="379">
        <v>3</v>
      </c>
      <c r="B1659" s="105" t="s">
        <v>417</v>
      </c>
      <c r="C1659" s="106">
        <v>420</v>
      </c>
      <c r="D1659" s="113">
        <v>49</v>
      </c>
      <c r="E1659" s="114" t="s">
        <v>421</v>
      </c>
      <c r="F1659" s="115">
        <v>18166</v>
      </c>
      <c r="G1659" s="116">
        <v>38400</v>
      </c>
      <c r="H1659" s="384" t="s">
        <v>422</v>
      </c>
      <c r="I1659" s="104" t="s">
        <v>25</v>
      </c>
      <c r="J1659" s="381"/>
      <c r="K1659" s="382"/>
      <c r="L1659" s="381"/>
      <c r="M1659" s="381"/>
      <c r="N1659" s="382"/>
      <c r="O1659" s="2444" t="s">
        <v>5909</v>
      </c>
      <c r="Q1659" s="104" t="s">
        <v>25</v>
      </c>
    </row>
    <row r="1660" spans="1:17" ht="18.75" customHeight="1" x14ac:dyDescent="0.3">
      <c r="A1660" s="381">
        <v>4</v>
      </c>
      <c r="B1660" s="105" t="s">
        <v>417</v>
      </c>
      <c r="C1660" s="106">
        <v>420</v>
      </c>
      <c r="D1660" s="113">
        <v>49</v>
      </c>
      <c r="E1660" s="114" t="s">
        <v>423</v>
      </c>
      <c r="F1660" s="115">
        <v>18166</v>
      </c>
      <c r="G1660" s="116">
        <v>26400</v>
      </c>
      <c r="H1660" s="384" t="s">
        <v>422</v>
      </c>
      <c r="I1660" s="104" t="s">
        <v>25</v>
      </c>
      <c r="J1660" s="381"/>
      <c r="K1660" s="382"/>
      <c r="L1660" s="381"/>
      <c r="M1660" s="381"/>
      <c r="N1660" s="382"/>
      <c r="O1660" s="2444" t="s">
        <v>5911</v>
      </c>
      <c r="Q1660" s="104" t="s">
        <v>25</v>
      </c>
    </row>
    <row r="1661" spans="1:17" ht="18.75" customHeight="1" x14ac:dyDescent="0.3">
      <c r="A1661" s="379">
        <v>5</v>
      </c>
      <c r="B1661" s="105" t="s">
        <v>417</v>
      </c>
      <c r="C1661" s="106">
        <v>420</v>
      </c>
      <c r="D1661" s="113">
        <v>49</v>
      </c>
      <c r="E1661" s="114" t="s">
        <v>424</v>
      </c>
      <c r="F1661" s="115">
        <v>18166</v>
      </c>
      <c r="G1661" s="116">
        <v>26400</v>
      </c>
      <c r="H1661" s="384" t="s">
        <v>422</v>
      </c>
      <c r="I1661" s="104"/>
      <c r="J1661" s="381" t="s">
        <v>25</v>
      </c>
      <c r="K1661" s="382"/>
      <c r="L1661" s="381"/>
      <c r="M1661" s="381"/>
      <c r="N1661" s="382"/>
      <c r="O1661" s="2444" t="s">
        <v>5909</v>
      </c>
      <c r="Q1661" s="104"/>
    </row>
    <row r="1662" spans="1:17" ht="18.75" customHeight="1" x14ac:dyDescent="0.3">
      <c r="A1662" s="381">
        <v>6</v>
      </c>
      <c r="B1662" s="105" t="s">
        <v>417</v>
      </c>
      <c r="C1662" s="106">
        <v>420</v>
      </c>
      <c r="D1662" s="113">
        <v>49</v>
      </c>
      <c r="E1662" s="114" t="s">
        <v>425</v>
      </c>
      <c r="F1662" s="115">
        <v>18166</v>
      </c>
      <c r="G1662" s="116">
        <v>26400</v>
      </c>
      <c r="H1662" s="384" t="s">
        <v>422</v>
      </c>
      <c r="I1662" s="104"/>
      <c r="J1662" s="381" t="s">
        <v>25</v>
      </c>
      <c r="K1662" s="382"/>
      <c r="L1662" s="381"/>
      <c r="M1662" s="381"/>
      <c r="N1662" s="382"/>
      <c r="O1662" s="2444" t="s">
        <v>5909</v>
      </c>
      <c r="Q1662" s="104"/>
    </row>
    <row r="1663" spans="1:17" ht="18.75" customHeight="1" x14ac:dyDescent="0.3">
      <c r="A1663" s="379">
        <v>7</v>
      </c>
      <c r="B1663" s="105" t="s">
        <v>417</v>
      </c>
      <c r="C1663" s="106">
        <v>420</v>
      </c>
      <c r="D1663" s="113">
        <v>52</v>
      </c>
      <c r="E1663" s="114" t="s">
        <v>426</v>
      </c>
      <c r="F1663" s="115">
        <v>19177</v>
      </c>
      <c r="G1663" s="116">
        <v>49000</v>
      </c>
      <c r="H1663" s="120" t="s">
        <v>328</v>
      </c>
      <c r="I1663" s="121" t="s">
        <v>25</v>
      </c>
      <c r="J1663" s="121"/>
      <c r="K1663" s="121"/>
      <c r="L1663" s="121"/>
      <c r="M1663" s="121"/>
      <c r="N1663" s="121"/>
      <c r="O1663" s="383" t="s">
        <v>109</v>
      </c>
      <c r="Q1663" s="121" t="s">
        <v>25</v>
      </c>
    </row>
    <row r="1664" spans="1:17" ht="18.75" customHeight="1" x14ac:dyDescent="0.3">
      <c r="A1664" s="381">
        <v>8</v>
      </c>
      <c r="B1664" s="105" t="s">
        <v>417</v>
      </c>
      <c r="C1664" s="106">
        <v>420</v>
      </c>
      <c r="D1664" s="113">
        <v>52</v>
      </c>
      <c r="E1664" s="114" t="s">
        <v>427</v>
      </c>
      <c r="F1664" s="115">
        <v>19177</v>
      </c>
      <c r="G1664" s="116">
        <v>49000</v>
      </c>
      <c r="H1664" s="120" t="s">
        <v>328</v>
      </c>
      <c r="I1664" s="121" t="s">
        <v>25</v>
      </c>
      <c r="J1664" s="121"/>
      <c r="K1664" s="121"/>
      <c r="L1664" s="121"/>
      <c r="M1664" s="121"/>
      <c r="N1664" s="121"/>
      <c r="O1664" s="383" t="s">
        <v>109</v>
      </c>
      <c r="Q1664" s="121" t="s">
        <v>25</v>
      </c>
    </row>
    <row r="1665" spans="1:17" ht="18.75" customHeight="1" x14ac:dyDescent="0.3">
      <c r="A1665" s="379">
        <v>9</v>
      </c>
      <c r="B1665" s="105" t="s">
        <v>428</v>
      </c>
      <c r="C1665" s="106">
        <v>420</v>
      </c>
      <c r="D1665" s="125">
        <v>54</v>
      </c>
      <c r="E1665" s="114" t="s">
        <v>429</v>
      </c>
      <c r="F1665" s="115">
        <v>19832</v>
      </c>
      <c r="G1665" s="116">
        <v>24500</v>
      </c>
      <c r="H1665" s="368" t="s">
        <v>430</v>
      </c>
      <c r="I1665" s="121" t="s">
        <v>25</v>
      </c>
      <c r="J1665" s="104"/>
      <c r="K1665" s="104"/>
      <c r="L1665" s="104"/>
      <c r="M1665" s="104"/>
      <c r="N1665" s="104"/>
      <c r="O1665" s="126" t="s">
        <v>5867</v>
      </c>
      <c r="Q1665" s="121" t="s">
        <v>25</v>
      </c>
    </row>
    <row r="1666" spans="1:17" ht="18.75" customHeight="1" x14ac:dyDescent="0.3">
      <c r="A1666" s="381">
        <v>10</v>
      </c>
      <c r="B1666" s="105" t="s">
        <v>428</v>
      </c>
      <c r="C1666" s="106">
        <v>420</v>
      </c>
      <c r="D1666" s="127">
        <v>54</v>
      </c>
      <c r="E1666" s="114" t="s">
        <v>431</v>
      </c>
      <c r="F1666" s="115">
        <v>19832</v>
      </c>
      <c r="G1666" s="116">
        <v>24500</v>
      </c>
      <c r="H1666" s="368" t="s">
        <v>432</v>
      </c>
      <c r="I1666" s="121" t="s">
        <v>25</v>
      </c>
      <c r="J1666" s="104"/>
      <c r="K1666" s="104"/>
      <c r="L1666" s="104"/>
      <c r="M1666" s="104"/>
      <c r="N1666" s="104"/>
      <c r="O1666" s="126" t="s">
        <v>5867</v>
      </c>
      <c r="Q1666" s="121" t="s">
        <v>25</v>
      </c>
    </row>
    <row r="1667" spans="1:17" ht="18.75" customHeight="1" x14ac:dyDescent="0.3">
      <c r="A1667" s="379">
        <v>11</v>
      </c>
      <c r="B1667" s="105" t="s">
        <v>428</v>
      </c>
      <c r="C1667" s="106">
        <v>420</v>
      </c>
      <c r="D1667" s="128">
        <v>54</v>
      </c>
      <c r="E1667" s="114" t="s">
        <v>433</v>
      </c>
      <c r="F1667" s="115">
        <v>19832</v>
      </c>
      <c r="G1667" s="116">
        <v>39500</v>
      </c>
      <c r="H1667" s="368" t="s">
        <v>434</v>
      </c>
      <c r="I1667" s="104" t="s">
        <v>25</v>
      </c>
      <c r="J1667" s="104"/>
      <c r="K1667" s="104"/>
      <c r="L1667" s="104"/>
      <c r="M1667" s="104"/>
      <c r="N1667" s="104"/>
      <c r="O1667" s="111" t="s">
        <v>435</v>
      </c>
      <c r="Q1667" s="104" t="s">
        <v>25</v>
      </c>
    </row>
    <row r="1668" spans="1:17" ht="18.75" customHeight="1" x14ac:dyDescent="0.3">
      <c r="A1668" s="381">
        <v>12</v>
      </c>
      <c r="B1668" s="105" t="s">
        <v>428</v>
      </c>
      <c r="C1668" s="106">
        <v>420</v>
      </c>
      <c r="D1668" s="113">
        <v>54</v>
      </c>
      <c r="E1668" s="114" t="s">
        <v>436</v>
      </c>
      <c r="F1668" s="115">
        <v>19832</v>
      </c>
      <c r="G1668" s="116">
        <v>39500</v>
      </c>
      <c r="H1668" s="368" t="s">
        <v>437</v>
      </c>
      <c r="I1668" s="104" t="s">
        <v>25</v>
      </c>
      <c r="J1668" s="104"/>
      <c r="K1668" s="104"/>
      <c r="L1668" s="104"/>
      <c r="M1668" s="104"/>
      <c r="N1668" s="104"/>
      <c r="O1668" s="2308" t="s">
        <v>435</v>
      </c>
      <c r="Q1668" s="104" t="s">
        <v>25</v>
      </c>
    </row>
    <row r="1669" spans="1:17" ht="18.75" customHeight="1" x14ac:dyDescent="0.3">
      <c r="A1669" s="379">
        <v>13</v>
      </c>
      <c r="B1669" s="105" t="s">
        <v>428</v>
      </c>
      <c r="C1669" s="106">
        <v>420</v>
      </c>
      <c r="D1669" s="113">
        <v>58</v>
      </c>
      <c r="E1669" s="114" t="s">
        <v>438</v>
      </c>
      <c r="F1669" s="115">
        <v>21456</v>
      </c>
      <c r="G1669" s="116">
        <v>36400</v>
      </c>
      <c r="H1669" s="368" t="s">
        <v>439</v>
      </c>
      <c r="I1669" s="104"/>
      <c r="J1669" s="385"/>
      <c r="K1669" s="385"/>
      <c r="L1669" s="385"/>
      <c r="M1669" s="385"/>
      <c r="N1669" s="385"/>
      <c r="O1669" s="2309" t="s">
        <v>5868</v>
      </c>
      <c r="Q1669" s="104"/>
    </row>
    <row r="1670" spans="1:17" ht="18.75" customHeight="1" x14ac:dyDescent="0.3">
      <c r="A1670" s="381">
        <v>14</v>
      </c>
      <c r="B1670" s="315" t="s">
        <v>428</v>
      </c>
      <c r="C1670" s="106">
        <v>420</v>
      </c>
      <c r="D1670" s="139">
        <v>58</v>
      </c>
      <c r="E1670" s="251" t="s">
        <v>440</v>
      </c>
      <c r="F1670" s="115">
        <v>21456</v>
      </c>
      <c r="G1670" s="309">
        <v>36400</v>
      </c>
      <c r="H1670" s="368" t="s">
        <v>439</v>
      </c>
      <c r="I1670" s="104"/>
      <c r="J1670" s="385"/>
      <c r="K1670" s="385"/>
      <c r="L1670" s="385"/>
      <c r="M1670" s="385"/>
      <c r="N1670" s="385"/>
      <c r="O1670" s="2309" t="s">
        <v>5868</v>
      </c>
      <c r="Q1670" s="104"/>
    </row>
    <row r="1671" spans="1:17" ht="18.75" customHeight="1" x14ac:dyDescent="0.3">
      <c r="A1671" s="379">
        <v>15</v>
      </c>
      <c r="B1671" s="105" t="s">
        <v>417</v>
      </c>
      <c r="C1671" s="129">
        <v>420</v>
      </c>
      <c r="D1671" s="113">
        <v>59</v>
      </c>
      <c r="E1671" s="114" t="s">
        <v>441</v>
      </c>
      <c r="F1671" s="115">
        <v>21582</v>
      </c>
      <c r="G1671" s="116">
        <v>27000</v>
      </c>
      <c r="H1671" s="368" t="s">
        <v>439</v>
      </c>
      <c r="I1671" s="104"/>
      <c r="J1671" s="385"/>
      <c r="K1671" s="385"/>
      <c r="L1671" s="385"/>
      <c r="M1671" s="385"/>
      <c r="N1671" s="385"/>
      <c r="O1671" s="2309" t="s">
        <v>5868</v>
      </c>
      <c r="Q1671" s="104"/>
    </row>
    <row r="1672" spans="1:17" ht="18.75" customHeight="1" x14ac:dyDescent="0.3">
      <c r="A1672" s="381">
        <v>16</v>
      </c>
      <c r="B1672" s="105" t="s">
        <v>417</v>
      </c>
      <c r="C1672" s="129">
        <v>420</v>
      </c>
      <c r="D1672" s="113">
        <v>59</v>
      </c>
      <c r="E1672" s="114" t="s">
        <v>442</v>
      </c>
      <c r="F1672" s="115">
        <v>21582</v>
      </c>
      <c r="G1672" s="116">
        <v>27000</v>
      </c>
      <c r="H1672" s="368" t="s">
        <v>439</v>
      </c>
      <c r="I1672" s="104"/>
      <c r="J1672" s="385"/>
      <c r="K1672" s="385"/>
      <c r="L1672" s="385"/>
      <c r="M1672" s="385"/>
      <c r="N1672" s="385"/>
      <c r="O1672" s="2309" t="s">
        <v>5868</v>
      </c>
      <c r="Q1672" s="104"/>
    </row>
    <row r="1673" spans="1:17" ht="18.75" customHeight="1" x14ac:dyDescent="0.3">
      <c r="A1673" s="379">
        <v>17</v>
      </c>
      <c r="B1673" s="155" t="s">
        <v>443</v>
      </c>
      <c r="C1673" s="129">
        <v>420</v>
      </c>
      <c r="D1673" s="113">
        <v>61</v>
      </c>
      <c r="E1673" s="114" t="s">
        <v>444</v>
      </c>
      <c r="F1673" s="115">
        <v>22327</v>
      </c>
      <c r="G1673" s="386">
        <v>35800</v>
      </c>
      <c r="H1673" s="1755" t="s">
        <v>445</v>
      </c>
      <c r="I1673" s="104" t="s">
        <v>25</v>
      </c>
      <c r="J1673" s="385"/>
      <c r="K1673" s="385"/>
      <c r="L1673" s="385"/>
      <c r="M1673" s="385"/>
      <c r="N1673" s="385"/>
      <c r="O1673" s="387" t="s">
        <v>446</v>
      </c>
      <c r="Q1673" s="104" t="s">
        <v>25</v>
      </c>
    </row>
    <row r="1674" spans="1:17" ht="18.75" customHeight="1" x14ac:dyDescent="0.3">
      <c r="A1674" s="381">
        <v>18</v>
      </c>
      <c r="B1674" s="155" t="s">
        <v>443</v>
      </c>
      <c r="C1674" s="129">
        <v>420</v>
      </c>
      <c r="D1674" s="113">
        <v>61</v>
      </c>
      <c r="E1674" s="114" t="s">
        <v>447</v>
      </c>
      <c r="F1674" s="115">
        <v>22327</v>
      </c>
      <c r="G1674" s="386">
        <v>35800</v>
      </c>
      <c r="H1674" s="1755" t="s">
        <v>445</v>
      </c>
      <c r="I1674" s="104" t="s">
        <v>25</v>
      </c>
      <c r="J1674" s="385"/>
      <c r="K1674" s="385"/>
      <c r="L1674" s="385"/>
      <c r="M1674" s="385"/>
      <c r="N1674" s="385"/>
      <c r="O1674" s="387" t="s">
        <v>446</v>
      </c>
      <c r="Q1674" s="104" t="s">
        <v>25</v>
      </c>
    </row>
    <row r="1675" spans="1:17" ht="18.75" customHeight="1" x14ac:dyDescent="0.3">
      <c r="A1675" s="379">
        <v>19</v>
      </c>
      <c r="B1675" s="155" t="s">
        <v>448</v>
      </c>
      <c r="C1675" s="129">
        <v>420</v>
      </c>
      <c r="D1675" s="113">
        <v>61</v>
      </c>
      <c r="E1675" s="114" t="s">
        <v>449</v>
      </c>
      <c r="F1675" s="115">
        <v>22327</v>
      </c>
      <c r="G1675" s="386">
        <v>41500</v>
      </c>
      <c r="H1675" s="1755" t="s">
        <v>445</v>
      </c>
      <c r="I1675" s="104" t="s">
        <v>25</v>
      </c>
      <c r="J1675" s="385"/>
      <c r="K1675" s="385"/>
      <c r="L1675" s="385"/>
      <c r="M1675" s="385"/>
      <c r="N1675" s="385"/>
      <c r="O1675" s="387" t="s">
        <v>446</v>
      </c>
      <c r="Q1675" s="104" t="s">
        <v>25</v>
      </c>
    </row>
    <row r="1676" spans="1:17" ht="18.75" customHeight="1" x14ac:dyDescent="0.3">
      <c r="A1676" s="381">
        <v>20</v>
      </c>
      <c r="B1676" s="155" t="s">
        <v>448</v>
      </c>
      <c r="C1676" s="129">
        <v>420</v>
      </c>
      <c r="D1676" s="113">
        <v>61</v>
      </c>
      <c r="E1676" s="114" t="s">
        <v>450</v>
      </c>
      <c r="F1676" s="115">
        <v>22327</v>
      </c>
      <c r="G1676" s="386">
        <v>41500</v>
      </c>
      <c r="H1676" s="1755" t="s">
        <v>445</v>
      </c>
      <c r="I1676" s="104" t="s">
        <v>25</v>
      </c>
      <c r="J1676" s="385"/>
      <c r="K1676" s="385"/>
      <c r="L1676" s="385"/>
      <c r="M1676" s="385"/>
      <c r="N1676" s="385"/>
      <c r="O1676" s="387" t="s">
        <v>446</v>
      </c>
      <c r="Q1676" s="104" t="s">
        <v>25</v>
      </c>
    </row>
    <row r="1677" spans="1:17" ht="18.75" customHeight="1" x14ac:dyDescent="0.3">
      <c r="A1677" s="379">
        <v>21</v>
      </c>
      <c r="B1677" s="155" t="s">
        <v>448</v>
      </c>
      <c r="C1677" s="129">
        <v>420</v>
      </c>
      <c r="D1677" s="125">
        <v>61</v>
      </c>
      <c r="E1677" s="114" t="s">
        <v>451</v>
      </c>
      <c r="F1677" s="115">
        <v>22327</v>
      </c>
      <c r="G1677" s="386">
        <v>41500</v>
      </c>
      <c r="H1677" s="1755" t="s">
        <v>445</v>
      </c>
      <c r="I1677" s="104" t="s">
        <v>25</v>
      </c>
      <c r="J1677" s="385"/>
      <c r="K1677" s="385"/>
      <c r="L1677" s="385"/>
      <c r="M1677" s="385"/>
      <c r="N1677" s="385"/>
      <c r="O1677" s="387" t="s">
        <v>446</v>
      </c>
      <c r="Q1677" s="104" t="s">
        <v>25</v>
      </c>
    </row>
    <row r="1678" spans="1:17" ht="18.75" customHeight="1" x14ac:dyDescent="0.3">
      <c r="A1678" s="381">
        <v>22</v>
      </c>
      <c r="B1678" s="155" t="s">
        <v>448</v>
      </c>
      <c r="C1678" s="129">
        <v>420</v>
      </c>
      <c r="D1678" s="127">
        <v>61</v>
      </c>
      <c r="E1678" s="114" t="s">
        <v>452</v>
      </c>
      <c r="F1678" s="115">
        <v>22327</v>
      </c>
      <c r="G1678" s="386">
        <v>41500</v>
      </c>
      <c r="H1678" s="1755" t="s">
        <v>445</v>
      </c>
      <c r="I1678" s="104" t="s">
        <v>25</v>
      </c>
      <c r="J1678" s="385"/>
      <c r="K1678" s="385"/>
      <c r="L1678" s="385"/>
      <c r="M1678" s="385"/>
      <c r="N1678" s="385"/>
      <c r="O1678" s="387" t="s">
        <v>446</v>
      </c>
      <c r="Q1678" s="104" t="s">
        <v>25</v>
      </c>
    </row>
    <row r="1679" spans="1:17" ht="18.75" customHeight="1" x14ac:dyDescent="0.3">
      <c r="A1679" s="379">
        <v>23</v>
      </c>
      <c r="B1679" s="105" t="s">
        <v>417</v>
      </c>
      <c r="C1679" s="129">
        <v>420</v>
      </c>
      <c r="D1679" s="128">
        <v>62</v>
      </c>
      <c r="E1679" s="114" t="s">
        <v>453</v>
      </c>
      <c r="F1679" s="115">
        <v>22894</v>
      </c>
      <c r="G1679" s="116">
        <v>39590</v>
      </c>
      <c r="H1679" s="1116" t="s">
        <v>454</v>
      </c>
      <c r="I1679" s="104" t="s">
        <v>25</v>
      </c>
      <c r="J1679" s="385"/>
      <c r="K1679" s="385"/>
      <c r="L1679" s="385"/>
      <c r="M1679" s="385"/>
      <c r="N1679" s="385"/>
      <c r="O1679" s="387"/>
      <c r="Q1679" s="104" t="s">
        <v>25</v>
      </c>
    </row>
    <row r="1680" spans="1:17" ht="18.75" customHeight="1" x14ac:dyDescent="0.3">
      <c r="A1680" s="381">
        <v>24</v>
      </c>
      <c r="B1680" s="155" t="s">
        <v>455</v>
      </c>
      <c r="C1680" s="129">
        <v>420</v>
      </c>
      <c r="D1680" s="136">
        <v>62</v>
      </c>
      <c r="E1680" s="388" t="s">
        <v>456</v>
      </c>
      <c r="F1680" s="115">
        <v>22895</v>
      </c>
      <c r="G1680" s="389">
        <v>55900</v>
      </c>
      <c r="H1680" s="1755" t="s">
        <v>445</v>
      </c>
      <c r="I1680" s="104" t="s">
        <v>25</v>
      </c>
      <c r="J1680" s="385"/>
      <c r="K1680" s="385"/>
      <c r="L1680" s="385"/>
      <c r="M1680" s="385"/>
      <c r="N1680" s="385"/>
      <c r="O1680" s="387" t="s">
        <v>446</v>
      </c>
      <c r="Q1680" s="104" t="s">
        <v>25</v>
      </c>
    </row>
    <row r="1681" spans="1:17" ht="18.75" customHeight="1" x14ac:dyDescent="0.3">
      <c r="A1681" s="379">
        <v>25</v>
      </c>
      <c r="B1681" s="390" t="s">
        <v>457</v>
      </c>
      <c r="C1681" s="163" t="s">
        <v>458</v>
      </c>
      <c r="D1681" s="164" t="s">
        <v>172</v>
      </c>
      <c r="E1681" s="165" t="s">
        <v>459</v>
      </c>
      <c r="F1681" s="170">
        <v>24689</v>
      </c>
      <c r="G1681" s="171">
        <v>32000</v>
      </c>
      <c r="H1681" s="916" t="s">
        <v>460</v>
      </c>
      <c r="I1681" s="385" t="s">
        <v>25</v>
      </c>
      <c r="J1681" s="385"/>
      <c r="K1681" s="385"/>
      <c r="L1681" s="385"/>
      <c r="M1681" s="385"/>
      <c r="N1681" s="385"/>
      <c r="O1681" s="387"/>
      <c r="Q1681" s="385" t="s">
        <v>25</v>
      </c>
    </row>
    <row r="1682" spans="1:17" ht="18.75" customHeight="1" x14ac:dyDescent="0.3">
      <c r="A1682" s="381">
        <v>26</v>
      </c>
      <c r="B1682" s="390" t="s">
        <v>461</v>
      </c>
      <c r="C1682" s="163" t="s">
        <v>458</v>
      </c>
      <c r="D1682" s="164" t="s">
        <v>172</v>
      </c>
      <c r="E1682" s="165" t="s">
        <v>462</v>
      </c>
      <c r="F1682" s="170">
        <v>24689</v>
      </c>
      <c r="G1682" s="171">
        <v>45333.33</v>
      </c>
      <c r="H1682" s="916" t="s">
        <v>460</v>
      </c>
      <c r="I1682" s="385" t="s">
        <v>25</v>
      </c>
      <c r="J1682" s="385"/>
      <c r="K1682" s="385"/>
      <c r="L1682" s="385"/>
      <c r="M1682" s="385"/>
      <c r="N1682" s="385"/>
      <c r="O1682" s="387"/>
      <c r="Q1682" s="385" t="s">
        <v>25</v>
      </c>
    </row>
    <row r="1683" spans="1:17" ht="18.75" customHeight="1" x14ac:dyDescent="0.3">
      <c r="A1683" s="379">
        <v>27</v>
      </c>
      <c r="B1683" s="390" t="s">
        <v>461</v>
      </c>
      <c r="C1683" s="163" t="s">
        <v>458</v>
      </c>
      <c r="D1683" s="164" t="s">
        <v>172</v>
      </c>
      <c r="E1683" s="165" t="s">
        <v>463</v>
      </c>
      <c r="F1683" s="170">
        <v>24689</v>
      </c>
      <c r="G1683" s="171">
        <v>45333.33</v>
      </c>
      <c r="H1683" s="916" t="s">
        <v>460</v>
      </c>
      <c r="I1683" s="385" t="s">
        <v>25</v>
      </c>
      <c r="J1683" s="385"/>
      <c r="K1683" s="385"/>
      <c r="L1683" s="385"/>
      <c r="M1683" s="385"/>
      <c r="N1683" s="385"/>
      <c r="O1683" s="387"/>
      <c r="Q1683" s="385" t="s">
        <v>25</v>
      </c>
    </row>
    <row r="1684" spans="1:17" ht="18.75" customHeight="1" x14ac:dyDescent="0.3">
      <c r="A1684" s="381">
        <v>28</v>
      </c>
      <c r="B1684" s="390" t="s">
        <v>461</v>
      </c>
      <c r="C1684" s="163" t="s">
        <v>458</v>
      </c>
      <c r="D1684" s="391" t="s">
        <v>172</v>
      </c>
      <c r="E1684" s="165" t="s">
        <v>464</v>
      </c>
      <c r="F1684" s="170">
        <v>24689</v>
      </c>
      <c r="G1684" s="171">
        <v>45333.34</v>
      </c>
      <c r="H1684" s="916" t="s">
        <v>460</v>
      </c>
      <c r="I1684" s="385" t="s">
        <v>25</v>
      </c>
      <c r="J1684" s="385"/>
      <c r="K1684" s="385"/>
      <c r="L1684" s="385"/>
      <c r="M1684" s="385"/>
      <c r="N1684" s="385"/>
      <c r="O1684" s="387"/>
      <c r="Q1684" s="385" t="s">
        <v>25</v>
      </c>
    </row>
    <row r="1685" spans="1:17" ht="18.75" customHeight="1" x14ac:dyDescent="0.45">
      <c r="A1685" s="370"/>
      <c r="B1685" s="371"/>
      <c r="C1685" s="372"/>
      <c r="D1685" s="392"/>
      <c r="E1685" s="393"/>
      <c r="F1685" s="370"/>
      <c r="G1685" s="231">
        <f>SUM(G1657:G1684)</f>
        <v>1036887.9999999999</v>
      </c>
      <c r="H1685" s="376"/>
      <c r="I1685" s="370"/>
      <c r="J1685" s="370"/>
      <c r="K1685" s="370"/>
      <c r="L1685" s="370"/>
      <c r="M1685" s="370"/>
      <c r="N1685" s="370"/>
      <c r="O1685" s="394"/>
      <c r="Q1685" s="370"/>
    </row>
    <row r="1686" spans="1:17" ht="18.75" customHeight="1" x14ac:dyDescent="0.3">
      <c r="A1686" s="2641">
        <v>432</v>
      </c>
      <c r="B1686" s="17" t="s">
        <v>465</v>
      </c>
      <c r="C1686" s="357"/>
      <c r="D1686" s="395"/>
      <c r="E1686" s="396"/>
      <c r="F1686" s="357"/>
      <c r="G1686" s="397"/>
      <c r="H1686" s="360"/>
      <c r="I1686" s="357"/>
      <c r="J1686" s="357"/>
      <c r="K1686" s="357"/>
      <c r="L1686" s="357"/>
      <c r="M1686" s="357"/>
      <c r="N1686" s="357"/>
      <c r="O1686" s="398"/>
      <c r="Q1686" s="357"/>
    </row>
    <row r="1687" spans="1:17" ht="18.75" customHeight="1" x14ac:dyDescent="0.3">
      <c r="A1687" s="2822">
        <v>1</v>
      </c>
      <c r="B1687" s="399" t="s">
        <v>466</v>
      </c>
      <c r="C1687" s="400">
        <v>432</v>
      </c>
      <c r="D1687" s="401">
        <v>36</v>
      </c>
      <c r="E1687" s="402" t="s">
        <v>467</v>
      </c>
      <c r="F1687" s="403" t="s">
        <v>468</v>
      </c>
      <c r="G1687" s="404">
        <v>2000</v>
      </c>
      <c r="H1687" s="405" t="s">
        <v>328</v>
      </c>
      <c r="I1687" s="406" t="s">
        <v>25</v>
      </c>
      <c r="J1687" s="406"/>
      <c r="K1687" s="406"/>
      <c r="L1687" s="406"/>
      <c r="M1687" s="406"/>
      <c r="N1687" s="112"/>
      <c r="O1687" s="2330" t="s">
        <v>109</v>
      </c>
      <c r="Q1687" s="406" t="s">
        <v>25</v>
      </c>
    </row>
    <row r="1688" spans="1:17" ht="18.75" customHeight="1" x14ac:dyDescent="0.3">
      <c r="A1688" s="196">
        <v>2</v>
      </c>
      <c r="B1688" s="407" t="s">
        <v>466</v>
      </c>
      <c r="C1688" s="408">
        <v>432</v>
      </c>
      <c r="D1688" s="409">
        <v>36</v>
      </c>
      <c r="E1688" s="410" t="s">
        <v>469</v>
      </c>
      <c r="F1688" s="411" t="s">
        <v>468</v>
      </c>
      <c r="G1688" s="412">
        <v>2000</v>
      </c>
      <c r="H1688" s="405" t="s">
        <v>328</v>
      </c>
      <c r="I1688" s="406" t="s">
        <v>25</v>
      </c>
      <c r="J1688" s="121"/>
      <c r="K1688" s="121"/>
      <c r="L1688" s="121"/>
      <c r="M1688" s="121"/>
      <c r="N1688" s="104"/>
      <c r="O1688" s="2308" t="s">
        <v>109</v>
      </c>
      <c r="Q1688" s="406" t="s">
        <v>25</v>
      </c>
    </row>
    <row r="1689" spans="1:17" ht="18.75" customHeight="1" x14ac:dyDescent="0.3">
      <c r="A1689" s="2822">
        <v>3</v>
      </c>
      <c r="B1689" s="407" t="s">
        <v>470</v>
      </c>
      <c r="C1689" s="408">
        <v>432</v>
      </c>
      <c r="D1689" s="409">
        <v>40</v>
      </c>
      <c r="E1689" s="410" t="s">
        <v>471</v>
      </c>
      <c r="F1689" s="411" t="s">
        <v>472</v>
      </c>
      <c r="G1689" s="412">
        <v>1400</v>
      </c>
      <c r="H1689" s="405" t="s">
        <v>328</v>
      </c>
      <c r="I1689" s="406" t="s">
        <v>25</v>
      </c>
      <c r="J1689" s="121"/>
      <c r="K1689" s="121"/>
      <c r="L1689" s="121"/>
      <c r="M1689" s="121"/>
      <c r="N1689" s="104"/>
      <c r="O1689" s="2308" t="s">
        <v>109</v>
      </c>
      <c r="Q1689" s="406" t="s">
        <v>25</v>
      </c>
    </row>
    <row r="1690" spans="1:17" ht="18.75" customHeight="1" x14ac:dyDescent="0.3">
      <c r="A1690" s="196">
        <v>4</v>
      </c>
      <c r="B1690" s="215" t="s">
        <v>473</v>
      </c>
      <c r="C1690" s="216" t="s">
        <v>474</v>
      </c>
      <c r="D1690" s="67">
        <v>45</v>
      </c>
      <c r="E1690" s="217" t="s">
        <v>475</v>
      </c>
      <c r="F1690" s="218" t="s">
        <v>476</v>
      </c>
      <c r="G1690" s="192">
        <v>2996</v>
      </c>
      <c r="H1690" s="1756" t="s">
        <v>400</v>
      </c>
      <c r="I1690" s="118" t="s">
        <v>25</v>
      </c>
      <c r="J1690" s="192"/>
      <c r="K1690" s="924"/>
      <c r="L1690" s="192"/>
      <c r="M1690" s="192"/>
      <c r="N1690" s="192"/>
      <c r="O1690" s="2361" t="s">
        <v>477</v>
      </c>
      <c r="Q1690" s="118" t="s">
        <v>25</v>
      </c>
    </row>
    <row r="1691" spans="1:17" ht="18.75" customHeight="1" x14ac:dyDescent="0.3">
      <c r="A1691" s="2822">
        <v>5</v>
      </c>
      <c r="B1691" s="215" t="s">
        <v>478</v>
      </c>
      <c r="C1691" s="216" t="s">
        <v>474</v>
      </c>
      <c r="D1691" s="67">
        <v>49</v>
      </c>
      <c r="E1691" s="217" t="s">
        <v>479</v>
      </c>
      <c r="F1691" s="218" t="s">
        <v>480</v>
      </c>
      <c r="G1691" s="192">
        <v>1590</v>
      </c>
      <c r="H1691" s="142" t="s">
        <v>191</v>
      </c>
      <c r="I1691" s="118" t="s">
        <v>25</v>
      </c>
      <c r="J1691" s="192"/>
      <c r="K1691" s="924"/>
      <c r="L1691" s="192"/>
      <c r="M1691" s="192"/>
      <c r="N1691" s="192"/>
      <c r="O1691" s="2361" t="s">
        <v>481</v>
      </c>
      <c r="Q1691" s="118" t="s">
        <v>25</v>
      </c>
    </row>
    <row r="1692" spans="1:17" ht="18.75" customHeight="1" x14ac:dyDescent="0.3">
      <c r="A1692" s="196">
        <v>6</v>
      </c>
      <c r="B1692" s="215" t="s">
        <v>482</v>
      </c>
      <c r="C1692" s="216" t="s">
        <v>474</v>
      </c>
      <c r="D1692" s="67">
        <v>49</v>
      </c>
      <c r="E1692" s="217" t="s">
        <v>483</v>
      </c>
      <c r="F1692" s="218" t="s">
        <v>480</v>
      </c>
      <c r="G1692" s="192">
        <v>1200</v>
      </c>
      <c r="H1692" s="142" t="s">
        <v>191</v>
      </c>
      <c r="I1692" s="118" t="s">
        <v>25</v>
      </c>
      <c r="J1692" s="192"/>
      <c r="K1692" s="924"/>
      <c r="L1692" s="192"/>
      <c r="M1692" s="192"/>
      <c r="N1692" s="192"/>
      <c r="O1692" s="2361" t="s">
        <v>484</v>
      </c>
      <c r="Q1692" s="118" t="s">
        <v>25</v>
      </c>
    </row>
    <row r="1693" spans="1:17" ht="18.75" customHeight="1" x14ac:dyDescent="0.3">
      <c r="A1693" s="2822">
        <v>7</v>
      </c>
      <c r="B1693" s="413" t="s">
        <v>482</v>
      </c>
      <c r="C1693" s="408">
        <v>432</v>
      </c>
      <c r="D1693" s="409">
        <v>52</v>
      </c>
      <c r="E1693" s="410" t="s">
        <v>346</v>
      </c>
      <c r="F1693" s="414" t="s">
        <v>485</v>
      </c>
      <c r="G1693" s="412">
        <v>800</v>
      </c>
      <c r="H1693" s="405" t="s">
        <v>328</v>
      </c>
      <c r="I1693" s="121" t="s">
        <v>25</v>
      </c>
      <c r="J1693" s="121"/>
      <c r="K1693" s="121"/>
      <c r="L1693" s="121"/>
      <c r="M1693" s="121"/>
      <c r="N1693" s="104"/>
      <c r="O1693" s="2303" t="s">
        <v>109</v>
      </c>
      <c r="Q1693" s="121" t="s">
        <v>25</v>
      </c>
    </row>
    <row r="1694" spans="1:17" ht="18.75" customHeight="1" x14ac:dyDescent="0.3">
      <c r="A1694" s="2822">
        <v>8</v>
      </c>
      <c r="B1694" s="413" t="s">
        <v>482</v>
      </c>
      <c r="C1694" s="408">
        <v>432</v>
      </c>
      <c r="D1694" s="409">
        <v>52</v>
      </c>
      <c r="E1694" s="410" t="s">
        <v>486</v>
      </c>
      <c r="F1694" s="414" t="s">
        <v>485</v>
      </c>
      <c r="G1694" s="412">
        <v>800</v>
      </c>
      <c r="H1694" s="405" t="s">
        <v>328</v>
      </c>
      <c r="I1694" s="121" t="s">
        <v>25</v>
      </c>
      <c r="J1694" s="121"/>
      <c r="K1694" s="121"/>
      <c r="L1694" s="121"/>
      <c r="M1694" s="121"/>
      <c r="N1694" s="104"/>
      <c r="O1694" s="2303" t="s">
        <v>109</v>
      </c>
      <c r="Q1694" s="121" t="s">
        <v>25</v>
      </c>
    </row>
    <row r="1695" spans="1:17" ht="18.75" customHeight="1" x14ac:dyDescent="0.3">
      <c r="A1695" s="196">
        <v>9</v>
      </c>
      <c r="B1695" s="413" t="s">
        <v>487</v>
      </c>
      <c r="C1695" s="408">
        <v>432</v>
      </c>
      <c r="D1695" s="409">
        <v>52</v>
      </c>
      <c r="E1695" s="410" t="s">
        <v>488</v>
      </c>
      <c r="F1695" s="414" t="s">
        <v>489</v>
      </c>
      <c r="G1695" s="412">
        <v>1800</v>
      </c>
      <c r="H1695" s="1757" t="s">
        <v>490</v>
      </c>
      <c r="I1695" s="121" t="s">
        <v>25</v>
      </c>
      <c r="J1695" s="121"/>
      <c r="K1695" s="121"/>
      <c r="L1695" s="121"/>
      <c r="M1695" s="121"/>
      <c r="N1695" s="104"/>
      <c r="O1695" s="111"/>
      <c r="Q1695" s="121" t="s">
        <v>25</v>
      </c>
    </row>
    <row r="1696" spans="1:17" ht="18.75" customHeight="1" x14ac:dyDescent="0.3">
      <c r="A1696" s="2822">
        <v>10</v>
      </c>
      <c r="B1696" s="413" t="s">
        <v>487</v>
      </c>
      <c r="C1696" s="408">
        <v>432</v>
      </c>
      <c r="D1696" s="409">
        <v>52</v>
      </c>
      <c r="E1696" s="410" t="s">
        <v>491</v>
      </c>
      <c r="F1696" s="414" t="s">
        <v>489</v>
      </c>
      <c r="G1696" s="412">
        <v>1800</v>
      </c>
      <c r="H1696" s="1757" t="s">
        <v>490</v>
      </c>
      <c r="I1696" s="121" t="s">
        <v>25</v>
      </c>
      <c r="J1696" s="121"/>
      <c r="K1696" s="121"/>
      <c r="L1696" s="121"/>
      <c r="M1696" s="121"/>
      <c r="N1696" s="104"/>
      <c r="O1696" s="111"/>
      <c r="Q1696" s="121" t="s">
        <v>25</v>
      </c>
    </row>
    <row r="1697" spans="1:17" ht="18.75" customHeight="1" x14ac:dyDescent="0.3">
      <c r="A1697" s="2822">
        <v>11</v>
      </c>
      <c r="B1697" s="413" t="s">
        <v>487</v>
      </c>
      <c r="C1697" s="408">
        <v>432</v>
      </c>
      <c r="D1697" s="409">
        <v>52</v>
      </c>
      <c r="E1697" s="410" t="s">
        <v>492</v>
      </c>
      <c r="F1697" s="414" t="s">
        <v>489</v>
      </c>
      <c r="G1697" s="412">
        <v>1800</v>
      </c>
      <c r="H1697" s="1757" t="s">
        <v>490</v>
      </c>
      <c r="I1697" s="121" t="s">
        <v>25</v>
      </c>
      <c r="J1697" s="121"/>
      <c r="K1697" s="121"/>
      <c r="L1697" s="121"/>
      <c r="M1697" s="121"/>
      <c r="N1697" s="104"/>
      <c r="O1697" s="111"/>
      <c r="Q1697" s="121" t="s">
        <v>25</v>
      </c>
    </row>
    <row r="1698" spans="1:17" ht="18.75" customHeight="1" x14ac:dyDescent="0.3">
      <c r="A1698" s="196">
        <v>12</v>
      </c>
      <c r="B1698" s="215" t="s">
        <v>493</v>
      </c>
      <c r="C1698" s="415">
        <v>432</v>
      </c>
      <c r="D1698" s="416" t="s">
        <v>494</v>
      </c>
      <c r="E1698" s="217" t="s">
        <v>495</v>
      </c>
      <c r="F1698" s="218" t="s">
        <v>405</v>
      </c>
      <c r="G1698" s="192">
        <v>1300</v>
      </c>
      <c r="H1698" s="1757" t="s">
        <v>496</v>
      </c>
      <c r="I1698" s="121" t="s">
        <v>25</v>
      </c>
      <c r="J1698" s="121"/>
      <c r="K1698" s="121"/>
      <c r="L1698" s="121"/>
      <c r="M1698" s="121"/>
      <c r="N1698" s="104"/>
      <c r="O1698" s="111"/>
      <c r="Q1698" s="121" t="s">
        <v>25</v>
      </c>
    </row>
    <row r="1699" spans="1:17" ht="18.75" customHeight="1" x14ac:dyDescent="0.3">
      <c r="A1699" s="2822">
        <v>13</v>
      </c>
      <c r="B1699" s="215" t="s">
        <v>497</v>
      </c>
      <c r="C1699" s="216" t="s">
        <v>474</v>
      </c>
      <c r="D1699" s="67">
        <v>59</v>
      </c>
      <c r="E1699" s="217" t="s">
        <v>498</v>
      </c>
      <c r="F1699" s="218" t="s">
        <v>499</v>
      </c>
      <c r="G1699" s="192">
        <v>17500</v>
      </c>
      <c r="H1699" s="1731" t="s">
        <v>41</v>
      </c>
      <c r="I1699" s="34"/>
      <c r="J1699" s="34"/>
      <c r="K1699" s="297" t="s">
        <v>25</v>
      </c>
      <c r="L1699" s="417"/>
      <c r="M1699" s="248"/>
      <c r="N1699" s="248"/>
      <c r="O1699" s="2622"/>
      <c r="Q1699" s="34"/>
    </row>
    <row r="1700" spans="1:17" ht="18.75" customHeight="1" x14ac:dyDescent="0.3">
      <c r="A1700" s="2822">
        <v>14</v>
      </c>
      <c r="B1700" s="215" t="s">
        <v>497</v>
      </c>
      <c r="C1700" s="216" t="s">
        <v>474</v>
      </c>
      <c r="D1700" s="67">
        <v>59</v>
      </c>
      <c r="E1700" s="217" t="s">
        <v>500</v>
      </c>
      <c r="F1700" s="218" t="s">
        <v>499</v>
      </c>
      <c r="G1700" s="192">
        <v>17500</v>
      </c>
      <c r="H1700" s="1731" t="s">
        <v>41</v>
      </c>
      <c r="I1700" s="34"/>
      <c r="J1700" s="34"/>
      <c r="K1700" s="297" t="s">
        <v>25</v>
      </c>
      <c r="L1700" s="417"/>
      <c r="M1700" s="248"/>
      <c r="N1700" s="248"/>
      <c r="O1700" s="2622"/>
      <c r="Q1700" s="34"/>
    </row>
    <row r="1701" spans="1:17" ht="18.75" customHeight="1" x14ac:dyDescent="0.3">
      <c r="A1701" s="196">
        <v>15</v>
      </c>
      <c r="B1701" s="215" t="s">
        <v>497</v>
      </c>
      <c r="C1701" s="216" t="s">
        <v>474</v>
      </c>
      <c r="D1701" s="67">
        <v>59</v>
      </c>
      <c r="E1701" s="217" t="s">
        <v>501</v>
      </c>
      <c r="F1701" s="218" t="s">
        <v>499</v>
      </c>
      <c r="G1701" s="192">
        <v>17500</v>
      </c>
      <c r="H1701" s="1731" t="s">
        <v>41</v>
      </c>
      <c r="I1701" s="34"/>
      <c r="J1701" s="34"/>
      <c r="K1701" s="297" t="s">
        <v>25</v>
      </c>
      <c r="L1701" s="417"/>
      <c r="M1701" s="248"/>
      <c r="N1701" s="248"/>
      <c r="O1701" s="2622"/>
      <c r="Q1701" s="34"/>
    </row>
    <row r="1702" spans="1:17" ht="18.75" customHeight="1" x14ac:dyDescent="0.3">
      <c r="A1702" s="2822">
        <v>16</v>
      </c>
      <c r="B1702" s="215" t="s">
        <v>497</v>
      </c>
      <c r="C1702" s="216" t="s">
        <v>474</v>
      </c>
      <c r="D1702" s="67">
        <v>59</v>
      </c>
      <c r="E1702" s="217" t="s">
        <v>502</v>
      </c>
      <c r="F1702" s="218" t="s">
        <v>499</v>
      </c>
      <c r="G1702" s="192">
        <v>17500</v>
      </c>
      <c r="H1702" s="1731" t="s">
        <v>41</v>
      </c>
      <c r="I1702" s="34"/>
      <c r="J1702" s="417"/>
      <c r="K1702" s="297" t="s">
        <v>25</v>
      </c>
      <c r="L1702" s="417"/>
      <c r="M1702" s="248"/>
      <c r="N1702" s="248"/>
      <c r="O1702" s="2622"/>
      <c r="Q1702" s="34"/>
    </row>
    <row r="1703" spans="1:17" ht="18.75" customHeight="1" x14ac:dyDescent="0.3">
      <c r="A1703" s="2822">
        <v>17</v>
      </c>
      <c r="B1703" s="226" t="s">
        <v>503</v>
      </c>
      <c r="C1703" s="418" t="s">
        <v>474</v>
      </c>
      <c r="D1703" s="75">
        <v>62</v>
      </c>
      <c r="E1703" s="419" t="s">
        <v>504</v>
      </c>
      <c r="F1703" s="82" t="s">
        <v>297</v>
      </c>
      <c r="G1703" s="83">
        <v>2033</v>
      </c>
      <c r="H1703" s="1735" t="s">
        <v>505</v>
      </c>
      <c r="I1703" s="34" t="s">
        <v>25</v>
      </c>
      <c r="J1703" s="420"/>
      <c r="K1703" s="2242"/>
      <c r="L1703" s="420"/>
      <c r="M1703" s="421"/>
      <c r="N1703" s="421"/>
      <c r="O1703" s="229"/>
      <c r="Q1703" s="34" t="s">
        <v>25</v>
      </c>
    </row>
    <row r="1704" spans="1:17" ht="18.75" customHeight="1" x14ac:dyDescent="0.3">
      <c r="A1704" s="196">
        <v>18</v>
      </c>
      <c r="B1704" s="226" t="s">
        <v>503</v>
      </c>
      <c r="C1704" s="418" t="s">
        <v>474</v>
      </c>
      <c r="D1704" s="75">
        <v>62</v>
      </c>
      <c r="E1704" s="419" t="s">
        <v>506</v>
      </c>
      <c r="F1704" s="82" t="s">
        <v>297</v>
      </c>
      <c r="G1704" s="83">
        <v>2033</v>
      </c>
      <c r="H1704" s="1735" t="s">
        <v>505</v>
      </c>
      <c r="I1704" s="34" t="s">
        <v>25</v>
      </c>
      <c r="J1704" s="420"/>
      <c r="K1704" s="2242"/>
      <c r="L1704" s="420"/>
      <c r="M1704" s="421"/>
      <c r="N1704" s="421"/>
      <c r="O1704" s="229"/>
      <c r="Q1704" s="34" t="s">
        <v>25</v>
      </c>
    </row>
    <row r="1705" spans="1:17" ht="18.75" customHeight="1" x14ac:dyDescent="0.3">
      <c r="A1705" s="2822">
        <v>19</v>
      </c>
      <c r="B1705" s="226" t="s">
        <v>503</v>
      </c>
      <c r="C1705" s="418" t="s">
        <v>474</v>
      </c>
      <c r="D1705" s="75">
        <v>62</v>
      </c>
      <c r="E1705" s="419" t="s">
        <v>507</v>
      </c>
      <c r="F1705" s="82" t="s">
        <v>297</v>
      </c>
      <c r="G1705" s="83">
        <v>2033</v>
      </c>
      <c r="H1705" s="1735" t="s">
        <v>505</v>
      </c>
      <c r="I1705" s="34" t="s">
        <v>25</v>
      </c>
      <c r="J1705" s="420"/>
      <c r="K1705" s="2242"/>
      <c r="L1705" s="420"/>
      <c r="M1705" s="421"/>
      <c r="N1705" s="421"/>
      <c r="O1705" s="229"/>
      <c r="Q1705" s="34" t="s">
        <v>25</v>
      </c>
    </row>
    <row r="1706" spans="1:17" ht="18.75" customHeight="1" x14ac:dyDescent="0.3">
      <c r="A1706" s="2822">
        <v>20</v>
      </c>
      <c r="B1706" s="226" t="s">
        <v>503</v>
      </c>
      <c r="C1706" s="418" t="s">
        <v>474</v>
      </c>
      <c r="D1706" s="75">
        <v>62</v>
      </c>
      <c r="E1706" s="419" t="s">
        <v>508</v>
      </c>
      <c r="F1706" s="82" t="s">
        <v>297</v>
      </c>
      <c r="G1706" s="83">
        <v>2033</v>
      </c>
      <c r="H1706" s="1735" t="s">
        <v>505</v>
      </c>
      <c r="I1706" s="34" t="s">
        <v>25</v>
      </c>
      <c r="J1706" s="420"/>
      <c r="K1706" s="2242"/>
      <c r="L1706" s="420"/>
      <c r="M1706" s="421"/>
      <c r="N1706" s="421"/>
      <c r="O1706" s="229"/>
      <c r="Q1706" s="34" t="s">
        <v>25</v>
      </c>
    </row>
    <row r="1707" spans="1:17" ht="18.75" customHeight="1" x14ac:dyDescent="0.3">
      <c r="A1707" s="196">
        <v>21</v>
      </c>
      <c r="B1707" s="226" t="s">
        <v>503</v>
      </c>
      <c r="C1707" s="418" t="s">
        <v>474</v>
      </c>
      <c r="D1707" s="75">
        <v>62</v>
      </c>
      <c r="E1707" s="419" t="s">
        <v>509</v>
      </c>
      <c r="F1707" s="82" t="s">
        <v>297</v>
      </c>
      <c r="G1707" s="83">
        <v>2033</v>
      </c>
      <c r="H1707" s="1735" t="s">
        <v>505</v>
      </c>
      <c r="I1707" s="34" t="s">
        <v>25</v>
      </c>
      <c r="J1707" s="420"/>
      <c r="K1707" s="2242"/>
      <c r="L1707" s="420"/>
      <c r="M1707" s="421"/>
      <c r="N1707" s="421"/>
      <c r="O1707" s="229"/>
      <c r="Q1707" s="34" t="s">
        <v>25</v>
      </c>
    </row>
    <row r="1708" spans="1:17" ht="18.75" customHeight="1" x14ac:dyDescent="0.3">
      <c r="A1708" s="2822">
        <v>22</v>
      </c>
      <c r="B1708" s="226" t="s">
        <v>503</v>
      </c>
      <c r="C1708" s="418" t="s">
        <v>474</v>
      </c>
      <c r="D1708" s="75">
        <v>62</v>
      </c>
      <c r="E1708" s="419" t="s">
        <v>510</v>
      </c>
      <c r="F1708" s="82" t="s">
        <v>297</v>
      </c>
      <c r="G1708" s="83">
        <v>2033</v>
      </c>
      <c r="H1708" s="1735" t="s">
        <v>505</v>
      </c>
      <c r="I1708" s="34" t="s">
        <v>25</v>
      </c>
      <c r="J1708" s="420"/>
      <c r="K1708" s="2242"/>
      <c r="L1708" s="420"/>
      <c r="M1708" s="421"/>
      <c r="N1708" s="421"/>
      <c r="O1708" s="229"/>
      <c r="Q1708" s="34" t="s">
        <v>25</v>
      </c>
    </row>
    <row r="1709" spans="1:17" ht="18.75" customHeight="1" x14ac:dyDescent="0.3">
      <c r="A1709" s="2822">
        <v>23</v>
      </c>
      <c r="B1709" s="226" t="s">
        <v>511</v>
      </c>
      <c r="C1709" s="418" t="s">
        <v>474</v>
      </c>
      <c r="D1709" s="75">
        <v>62</v>
      </c>
      <c r="E1709" s="419" t="s">
        <v>512</v>
      </c>
      <c r="F1709" s="82" t="s">
        <v>297</v>
      </c>
      <c r="G1709" s="83">
        <v>3103</v>
      </c>
      <c r="H1709" s="1735" t="s">
        <v>505</v>
      </c>
      <c r="I1709" s="34" t="s">
        <v>25</v>
      </c>
      <c r="J1709" s="420"/>
      <c r="K1709" s="2242"/>
      <c r="L1709" s="420"/>
      <c r="M1709" s="421"/>
      <c r="N1709" s="421"/>
      <c r="O1709" s="229"/>
      <c r="Q1709" s="34" t="s">
        <v>25</v>
      </c>
    </row>
    <row r="1710" spans="1:17" ht="18.75" customHeight="1" x14ac:dyDescent="0.3">
      <c r="A1710" s="196">
        <v>24</v>
      </c>
      <c r="B1710" s="226" t="s">
        <v>511</v>
      </c>
      <c r="C1710" s="418" t="s">
        <v>474</v>
      </c>
      <c r="D1710" s="75">
        <v>62</v>
      </c>
      <c r="E1710" s="419" t="s">
        <v>513</v>
      </c>
      <c r="F1710" s="82" t="s">
        <v>297</v>
      </c>
      <c r="G1710" s="83">
        <v>3103</v>
      </c>
      <c r="H1710" s="1735" t="s">
        <v>505</v>
      </c>
      <c r="I1710" s="34" t="s">
        <v>25</v>
      </c>
      <c r="J1710" s="420"/>
      <c r="K1710" s="2242"/>
      <c r="L1710" s="420"/>
      <c r="M1710" s="421"/>
      <c r="N1710" s="421"/>
      <c r="O1710" s="229"/>
      <c r="Q1710" s="34" t="s">
        <v>25</v>
      </c>
    </row>
    <row r="1711" spans="1:17" ht="18.75" customHeight="1" x14ac:dyDescent="0.3">
      <c r="A1711" s="2822">
        <v>25</v>
      </c>
      <c r="B1711" s="226" t="s">
        <v>511</v>
      </c>
      <c r="C1711" s="418" t="s">
        <v>474</v>
      </c>
      <c r="D1711" s="75">
        <v>62</v>
      </c>
      <c r="E1711" s="419" t="s">
        <v>514</v>
      </c>
      <c r="F1711" s="82" t="s">
        <v>297</v>
      </c>
      <c r="G1711" s="83">
        <v>3103</v>
      </c>
      <c r="H1711" s="1735" t="s">
        <v>505</v>
      </c>
      <c r="I1711" s="34" t="s">
        <v>25</v>
      </c>
      <c r="J1711" s="420"/>
      <c r="K1711" s="2242"/>
      <c r="L1711" s="420"/>
      <c r="M1711" s="421"/>
      <c r="N1711" s="421"/>
      <c r="O1711" s="229"/>
      <c r="Q1711" s="34" t="s">
        <v>25</v>
      </c>
    </row>
    <row r="1712" spans="1:17" ht="18.75" customHeight="1" x14ac:dyDescent="0.3">
      <c r="A1712" s="2822">
        <v>26</v>
      </c>
      <c r="B1712" s="226" t="s">
        <v>511</v>
      </c>
      <c r="C1712" s="418" t="s">
        <v>474</v>
      </c>
      <c r="D1712" s="75">
        <v>62</v>
      </c>
      <c r="E1712" s="419" t="s">
        <v>515</v>
      </c>
      <c r="F1712" s="82" t="s">
        <v>297</v>
      </c>
      <c r="G1712" s="83">
        <v>3103</v>
      </c>
      <c r="H1712" s="1735" t="s">
        <v>516</v>
      </c>
      <c r="I1712" s="34" t="s">
        <v>25</v>
      </c>
      <c r="J1712" s="420"/>
      <c r="K1712" s="2242"/>
      <c r="L1712" s="420"/>
      <c r="M1712" s="421"/>
      <c r="N1712" s="421"/>
      <c r="O1712" s="229" t="s">
        <v>517</v>
      </c>
      <c r="Q1712" s="34" t="s">
        <v>25</v>
      </c>
    </row>
    <row r="1713" spans="1:17" ht="18.75" customHeight="1" x14ac:dyDescent="0.3">
      <c r="A1713" s="196">
        <v>27</v>
      </c>
      <c r="B1713" s="226" t="s">
        <v>511</v>
      </c>
      <c r="C1713" s="418" t="s">
        <v>474</v>
      </c>
      <c r="D1713" s="75">
        <v>62</v>
      </c>
      <c r="E1713" s="419" t="s">
        <v>518</v>
      </c>
      <c r="F1713" s="82" t="s">
        <v>297</v>
      </c>
      <c r="G1713" s="83">
        <v>3103</v>
      </c>
      <c r="H1713" s="1735" t="s">
        <v>505</v>
      </c>
      <c r="I1713" s="34" t="s">
        <v>25</v>
      </c>
      <c r="J1713" s="420"/>
      <c r="K1713" s="2242"/>
      <c r="L1713" s="420"/>
      <c r="M1713" s="421"/>
      <c r="N1713" s="421"/>
      <c r="O1713" s="229"/>
      <c r="Q1713" s="34" t="s">
        <v>25</v>
      </c>
    </row>
    <row r="1714" spans="1:17" ht="18.75" customHeight="1" x14ac:dyDescent="0.3">
      <c r="A1714" s="2822">
        <v>28</v>
      </c>
      <c r="B1714" s="226" t="s">
        <v>511</v>
      </c>
      <c r="C1714" s="418" t="s">
        <v>474</v>
      </c>
      <c r="D1714" s="75">
        <v>62</v>
      </c>
      <c r="E1714" s="419" t="s">
        <v>519</v>
      </c>
      <c r="F1714" s="82" t="s">
        <v>297</v>
      </c>
      <c r="G1714" s="83">
        <v>3103</v>
      </c>
      <c r="H1714" s="1735" t="s">
        <v>505</v>
      </c>
      <c r="I1714" s="34" t="s">
        <v>25</v>
      </c>
      <c r="J1714" s="420"/>
      <c r="K1714" s="2242"/>
      <c r="L1714" s="420"/>
      <c r="M1714" s="421"/>
      <c r="N1714" s="421"/>
      <c r="O1714" s="229"/>
      <c r="Q1714" s="34" t="s">
        <v>25</v>
      </c>
    </row>
    <row r="1715" spans="1:17" ht="18.75" customHeight="1" x14ac:dyDescent="0.3">
      <c r="A1715" s="2822">
        <v>29</v>
      </c>
      <c r="B1715" s="226" t="s">
        <v>520</v>
      </c>
      <c r="C1715" s="418" t="s">
        <v>474</v>
      </c>
      <c r="D1715" s="75">
        <v>62</v>
      </c>
      <c r="E1715" s="419" t="s">
        <v>521</v>
      </c>
      <c r="F1715" s="82" t="s">
        <v>297</v>
      </c>
      <c r="G1715" s="83">
        <v>4066</v>
      </c>
      <c r="H1715" s="1735" t="s">
        <v>505</v>
      </c>
      <c r="I1715" s="34" t="s">
        <v>25</v>
      </c>
      <c r="J1715" s="420"/>
      <c r="K1715" s="2242"/>
      <c r="L1715" s="420"/>
      <c r="M1715" s="421"/>
      <c r="N1715" s="421"/>
      <c r="O1715" s="229"/>
      <c r="Q1715" s="34" t="s">
        <v>25</v>
      </c>
    </row>
    <row r="1716" spans="1:17" ht="18.75" customHeight="1" x14ac:dyDescent="0.3">
      <c r="A1716" s="196">
        <v>30</v>
      </c>
      <c r="B1716" s="226" t="s">
        <v>520</v>
      </c>
      <c r="C1716" s="418" t="s">
        <v>474</v>
      </c>
      <c r="D1716" s="75">
        <v>62</v>
      </c>
      <c r="E1716" s="419" t="s">
        <v>522</v>
      </c>
      <c r="F1716" s="82" t="s">
        <v>297</v>
      </c>
      <c r="G1716" s="83">
        <v>4066</v>
      </c>
      <c r="H1716" s="1735" t="s">
        <v>505</v>
      </c>
      <c r="I1716" s="34" t="s">
        <v>25</v>
      </c>
      <c r="J1716" s="420"/>
      <c r="K1716" s="2242"/>
      <c r="L1716" s="420"/>
      <c r="M1716" s="421"/>
      <c r="N1716" s="421"/>
      <c r="O1716" s="229"/>
      <c r="Q1716" s="34" t="s">
        <v>25</v>
      </c>
    </row>
    <row r="1717" spans="1:17" ht="18.75" customHeight="1" x14ac:dyDescent="0.3">
      <c r="A1717" s="2822">
        <v>31</v>
      </c>
      <c r="B1717" s="226" t="s">
        <v>520</v>
      </c>
      <c r="C1717" s="418" t="s">
        <v>474</v>
      </c>
      <c r="D1717" s="75">
        <v>62</v>
      </c>
      <c r="E1717" s="419" t="s">
        <v>523</v>
      </c>
      <c r="F1717" s="82" t="s">
        <v>297</v>
      </c>
      <c r="G1717" s="83">
        <v>4066</v>
      </c>
      <c r="H1717" s="1735" t="s">
        <v>505</v>
      </c>
      <c r="I1717" s="34" t="s">
        <v>25</v>
      </c>
      <c r="J1717" s="420"/>
      <c r="K1717" s="2242"/>
      <c r="L1717" s="420"/>
      <c r="M1717" s="421"/>
      <c r="N1717" s="421"/>
      <c r="O1717" s="229"/>
      <c r="Q1717" s="34" t="s">
        <v>25</v>
      </c>
    </row>
    <row r="1718" spans="1:17" ht="18.75" customHeight="1" x14ac:dyDescent="0.3">
      <c r="A1718" s="2822">
        <v>32</v>
      </c>
      <c r="B1718" s="226" t="s">
        <v>520</v>
      </c>
      <c r="C1718" s="418" t="s">
        <v>474</v>
      </c>
      <c r="D1718" s="75">
        <v>62</v>
      </c>
      <c r="E1718" s="419" t="s">
        <v>524</v>
      </c>
      <c r="F1718" s="82" t="s">
        <v>297</v>
      </c>
      <c r="G1718" s="83">
        <v>4066</v>
      </c>
      <c r="H1718" s="1735" t="s">
        <v>505</v>
      </c>
      <c r="I1718" s="34" t="s">
        <v>25</v>
      </c>
      <c r="J1718" s="420"/>
      <c r="K1718" s="2242"/>
      <c r="L1718" s="420"/>
      <c r="M1718" s="421"/>
      <c r="N1718" s="421"/>
      <c r="O1718" s="229"/>
      <c r="Q1718" s="34" t="s">
        <v>25</v>
      </c>
    </row>
    <row r="1719" spans="1:17" ht="18.75" customHeight="1" x14ac:dyDescent="0.3">
      <c r="A1719" s="196">
        <v>33</v>
      </c>
      <c r="B1719" s="226" t="s">
        <v>520</v>
      </c>
      <c r="C1719" s="418" t="s">
        <v>474</v>
      </c>
      <c r="D1719" s="75">
        <v>62</v>
      </c>
      <c r="E1719" s="419" t="s">
        <v>525</v>
      </c>
      <c r="F1719" s="82" t="s">
        <v>297</v>
      </c>
      <c r="G1719" s="83">
        <v>4066</v>
      </c>
      <c r="H1719" s="1735" t="s">
        <v>505</v>
      </c>
      <c r="I1719" s="34" t="s">
        <v>25</v>
      </c>
      <c r="J1719" s="420"/>
      <c r="K1719" s="2242"/>
      <c r="L1719" s="420"/>
      <c r="M1719" s="421"/>
      <c r="N1719" s="421"/>
      <c r="O1719" s="229"/>
      <c r="Q1719" s="34" t="s">
        <v>25</v>
      </c>
    </row>
    <row r="1720" spans="1:17" ht="18.75" customHeight="1" x14ac:dyDescent="0.3">
      <c r="A1720" s="2822">
        <v>34</v>
      </c>
      <c r="B1720" s="226" t="s">
        <v>520</v>
      </c>
      <c r="C1720" s="418" t="s">
        <v>474</v>
      </c>
      <c r="D1720" s="75">
        <v>62</v>
      </c>
      <c r="E1720" s="419" t="s">
        <v>526</v>
      </c>
      <c r="F1720" s="82" t="s">
        <v>297</v>
      </c>
      <c r="G1720" s="83">
        <v>4066</v>
      </c>
      <c r="H1720" s="1735" t="s">
        <v>505</v>
      </c>
      <c r="I1720" s="34" t="s">
        <v>25</v>
      </c>
      <c r="J1720" s="420"/>
      <c r="K1720" s="2242"/>
      <c r="L1720" s="420"/>
      <c r="M1720" s="421"/>
      <c r="N1720" s="421"/>
      <c r="O1720" s="229"/>
      <c r="Q1720" s="34" t="s">
        <v>25</v>
      </c>
    </row>
    <row r="1721" spans="1:17" ht="18.75" customHeight="1" x14ac:dyDescent="0.3">
      <c r="A1721" s="2822">
        <v>35</v>
      </c>
      <c r="B1721" s="226" t="s">
        <v>520</v>
      </c>
      <c r="C1721" s="418" t="s">
        <v>474</v>
      </c>
      <c r="D1721" s="75">
        <v>62</v>
      </c>
      <c r="E1721" s="419" t="s">
        <v>527</v>
      </c>
      <c r="F1721" s="82" t="s">
        <v>297</v>
      </c>
      <c r="G1721" s="83">
        <v>4066</v>
      </c>
      <c r="H1721" s="1735" t="s">
        <v>505</v>
      </c>
      <c r="I1721" s="34" t="s">
        <v>25</v>
      </c>
      <c r="J1721" s="420"/>
      <c r="K1721" s="2242"/>
      <c r="L1721" s="420"/>
      <c r="M1721" s="421"/>
      <c r="N1721" s="421"/>
      <c r="O1721" s="229"/>
      <c r="Q1721" s="34" t="s">
        <v>25</v>
      </c>
    </row>
    <row r="1722" spans="1:17" ht="18.75" customHeight="1" x14ac:dyDescent="0.3">
      <c r="A1722" s="196">
        <v>36</v>
      </c>
      <c r="B1722" s="226" t="s">
        <v>520</v>
      </c>
      <c r="C1722" s="418" t="s">
        <v>474</v>
      </c>
      <c r="D1722" s="75">
        <v>62</v>
      </c>
      <c r="E1722" s="419" t="s">
        <v>528</v>
      </c>
      <c r="F1722" s="82" t="s">
        <v>297</v>
      </c>
      <c r="G1722" s="83">
        <v>4066</v>
      </c>
      <c r="H1722" s="1735" t="s">
        <v>505</v>
      </c>
      <c r="I1722" s="34" t="s">
        <v>25</v>
      </c>
      <c r="J1722" s="420"/>
      <c r="K1722" s="2242"/>
      <c r="L1722" s="420"/>
      <c r="M1722" s="421"/>
      <c r="N1722" s="421"/>
      <c r="O1722" s="229"/>
      <c r="Q1722" s="34" t="s">
        <v>25</v>
      </c>
    </row>
    <row r="1723" spans="1:17" x14ac:dyDescent="0.3">
      <c r="A1723" s="2822">
        <v>37</v>
      </c>
      <c r="B1723" s="226" t="s">
        <v>520</v>
      </c>
      <c r="C1723" s="418" t="s">
        <v>474</v>
      </c>
      <c r="D1723" s="75">
        <v>62</v>
      </c>
      <c r="E1723" s="419" t="s">
        <v>529</v>
      </c>
      <c r="F1723" s="82" t="s">
        <v>297</v>
      </c>
      <c r="G1723" s="83">
        <v>4066</v>
      </c>
      <c r="H1723" s="1735" t="s">
        <v>505</v>
      </c>
      <c r="I1723" s="34" t="s">
        <v>25</v>
      </c>
      <c r="J1723" s="420"/>
      <c r="K1723" s="2242"/>
      <c r="L1723" s="420"/>
      <c r="M1723" s="421"/>
      <c r="N1723" s="421"/>
      <c r="O1723" s="229"/>
      <c r="Q1723" s="34" t="s">
        <v>25</v>
      </c>
    </row>
    <row r="1724" spans="1:17" x14ac:dyDescent="0.3">
      <c r="A1724" s="2822">
        <v>38</v>
      </c>
      <c r="B1724" s="226" t="s">
        <v>520</v>
      </c>
      <c r="C1724" s="418" t="s">
        <v>474</v>
      </c>
      <c r="D1724" s="75">
        <v>62</v>
      </c>
      <c r="E1724" s="419" t="s">
        <v>530</v>
      </c>
      <c r="F1724" s="82" t="s">
        <v>297</v>
      </c>
      <c r="G1724" s="83">
        <v>4066</v>
      </c>
      <c r="H1724" s="1735" t="s">
        <v>505</v>
      </c>
      <c r="I1724" s="34" t="s">
        <v>25</v>
      </c>
      <c r="J1724" s="420"/>
      <c r="K1724" s="2242"/>
      <c r="L1724" s="420"/>
      <c r="M1724" s="421"/>
      <c r="N1724" s="421"/>
      <c r="O1724" s="229"/>
      <c r="Q1724" s="34" t="s">
        <v>25</v>
      </c>
    </row>
    <row r="1725" spans="1:17" ht="20.25" customHeight="1" x14ac:dyDescent="0.45">
      <c r="A1725" s="422"/>
      <c r="B1725" s="423"/>
      <c r="C1725" s="372"/>
      <c r="D1725" s="424"/>
      <c r="E1725" s="425"/>
      <c r="F1725" s="426"/>
      <c r="G1725" s="427">
        <f>SUM(G1687:G1724)</f>
        <v>160962</v>
      </c>
      <c r="H1725" s="428"/>
      <c r="I1725" s="370"/>
      <c r="J1725" s="429"/>
      <c r="K1725" s="2243"/>
      <c r="L1725" s="429"/>
      <c r="M1725" s="172"/>
      <c r="N1725" s="172"/>
      <c r="O1725" s="235"/>
      <c r="Q1725" s="370"/>
    </row>
    <row r="1726" spans="1:17" ht="17.399999999999999" x14ac:dyDescent="0.45">
      <c r="A1726" s="430"/>
      <c r="B1726" s="431"/>
      <c r="C1726" s="432"/>
      <c r="D1726" s="432"/>
      <c r="E1726" s="433"/>
      <c r="F1726" s="434"/>
      <c r="G1726" s="435"/>
      <c r="H1726" s="436"/>
      <c r="I1726" s="432"/>
      <c r="J1726" s="437"/>
      <c r="K1726" s="2244"/>
      <c r="L1726" s="437"/>
      <c r="M1726" s="438"/>
      <c r="N1726" s="438"/>
      <c r="O1726" s="439"/>
      <c r="Q1726" s="432"/>
    </row>
    <row r="1727" spans="1:17" x14ac:dyDescent="0.3">
      <c r="A1727" s="2646">
        <v>437</v>
      </c>
      <c r="B1727" s="282" t="s">
        <v>531</v>
      </c>
      <c r="C1727" s="440"/>
      <c r="D1727" s="440"/>
      <c r="E1727" s="441"/>
      <c r="F1727" s="440"/>
      <c r="G1727" s="442"/>
      <c r="H1727" s="443"/>
      <c r="I1727" s="444"/>
      <c r="J1727" s="444"/>
      <c r="K1727" s="1339"/>
      <c r="L1727" s="444"/>
      <c r="M1727" s="444"/>
      <c r="N1727" s="444"/>
      <c r="O1727" s="445"/>
      <c r="Q1727" s="444"/>
    </row>
    <row r="1728" spans="1:17" ht="18.75" customHeight="1" x14ac:dyDescent="0.3">
      <c r="A1728" s="247">
        <v>1</v>
      </c>
      <c r="B1728" s="215" t="s">
        <v>532</v>
      </c>
      <c r="C1728" s="415" t="s">
        <v>533</v>
      </c>
      <c r="D1728" s="416" t="s">
        <v>534</v>
      </c>
      <c r="E1728" s="217" t="s">
        <v>535</v>
      </c>
      <c r="F1728" s="218" t="s">
        <v>536</v>
      </c>
      <c r="G1728" s="192">
        <v>7500</v>
      </c>
      <c r="H1728" s="446" t="s">
        <v>537</v>
      </c>
      <c r="I1728" s="34"/>
      <c r="J1728" s="248"/>
      <c r="K1728" s="247" t="s">
        <v>25</v>
      </c>
      <c r="L1728" s="248"/>
      <c r="M1728" s="248"/>
      <c r="N1728" s="248"/>
      <c r="O1728" s="2622" t="s">
        <v>6395</v>
      </c>
      <c r="Q1728" s="34"/>
    </row>
    <row r="1729" spans="1:17" ht="18.75" customHeight="1" x14ac:dyDescent="0.3">
      <c r="A1729" s="247">
        <v>2</v>
      </c>
      <c r="B1729" s="215" t="s">
        <v>532</v>
      </c>
      <c r="C1729" s="415" t="s">
        <v>533</v>
      </c>
      <c r="D1729" s="416" t="s">
        <v>534</v>
      </c>
      <c r="E1729" s="217" t="s">
        <v>538</v>
      </c>
      <c r="F1729" s="218" t="s">
        <v>536</v>
      </c>
      <c r="G1729" s="192">
        <v>7500</v>
      </c>
      <c r="H1729" s="446" t="s">
        <v>537</v>
      </c>
      <c r="I1729" s="34"/>
      <c r="J1729" s="248"/>
      <c r="K1729" s="247" t="s">
        <v>25</v>
      </c>
      <c r="L1729" s="248"/>
      <c r="M1729" s="248"/>
      <c r="N1729" s="248"/>
      <c r="O1729" s="2622" t="s">
        <v>6395</v>
      </c>
      <c r="Q1729" s="34"/>
    </row>
    <row r="1730" spans="1:17" ht="18.75" customHeight="1" x14ac:dyDescent="0.3">
      <c r="A1730" s="247">
        <v>3</v>
      </c>
      <c r="B1730" s="215" t="s">
        <v>539</v>
      </c>
      <c r="C1730" s="415" t="s">
        <v>533</v>
      </c>
      <c r="D1730" s="416" t="s">
        <v>494</v>
      </c>
      <c r="E1730" s="217" t="s">
        <v>418</v>
      </c>
      <c r="F1730" s="218" t="s">
        <v>540</v>
      </c>
      <c r="G1730" s="192">
        <v>5000</v>
      </c>
      <c r="H1730" s="447" t="s">
        <v>541</v>
      </c>
      <c r="I1730" s="34" t="s">
        <v>25</v>
      </c>
      <c r="J1730" s="248"/>
      <c r="K1730" s="247"/>
      <c r="L1730" s="248"/>
      <c r="M1730" s="248"/>
      <c r="N1730" s="248"/>
      <c r="O1730" s="2248" t="s">
        <v>5858</v>
      </c>
      <c r="Q1730" s="34" t="s">
        <v>25</v>
      </c>
    </row>
    <row r="1731" spans="1:17" ht="18.75" customHeight="1" x14ac:dyDescent="0.3">
      <c r="A1731" s="247">
        <v>4</v>
      </c>
      <c r="B1731" s="215" t="s">
        <v>539</v>
      </c>
      <c r="C1731" s="415" t="s">
        <v>533</v>
      </c>
      <c r="D1731" s="416" t="s">
        <v>494</v>
      </c>
      <c r="E1731" s="217" t="s">
        <v>542</v>
      </c>
      <c r="F1731" s="218" t="s">
        <v>540</v>
      </c>
      <c r="G1731" s="192">
        <v>5000</v>
      </c>
      <c r="H1731" s="447" t="s">
        <v>541</v>
      </c>
      <c r="I1731" s="34"/>
      <c r="J1731" s="248"/>
      <c r="K1731" s="247" t="s">
        <v>25</v>
      </c>
      <c r="L1731" s="248"/>
      <c r="M1731" s="248"/>
      <c r="N1731" s="248"/>
      <c r="O1731" s="2622" t="s">
        <v>6395</v>
      </c>
      <c r="Q1731" s="34"/>
    </row>
    <row r="1732" spans="1:17" ht="18.75" customHeight="1" x14ac:dyDescent="0.3">
      <c r="A1732" s="247">
        <v>5</v>
      </c>
      <c r="B1732" s="215" t="s">
        <v>539</v>
      </c>
      <c r="C1732" s="415" t="s">
        <v>533</v>
      </c>
      <c r="D1732" s="416" t="s">
        <v>494</v>
      </c>
      <c r="E1732" s="217" t="s">
        <v>543</v>
      </c>
      <c r="F1732" s="218" t="s">
        <v>540</v>
      </c>
      <c r="G1732" s="192">
        <v>5000</v>
      </c>
      <c r="H1732" s="447" t="s">
        <v>541</v>
      </c>
      <c r="I1732" s="34"/>
      <c r="J1732" s="248"/>
      <c r="K1732" s="247" t="s">
        <v>25</v>
      </c>
      <c r="L1732" s="248"/>
      <c r="M1732" s="248"/>
      <c r="N1732" s="248"/>
      <c r="O1732" s="2622" t="s">
        <v>6395</v>
      </c>
      <c r="Q1732" s="34"/>
    </row>
    <row r="1733" spans="1:17" ht="18.75" customHeight="1" x14ac:dyDescent="0.3">
      <c r="A1733" s="247">
        <v>6</v>
      </c>
      <c r="B1733" s="215" t="s">
        <v>539</v>
      </c>
      <c r="C1733" s="415" t="s">
        <v>533</v>
      </c>
      <c r="D1733" s="416" t="s">
        <v>494</v>
      </c>
      <c r="E1733" s="217" t="s">
        <v>544</v>
      </c>
      <c r="F1733" s="218" t="s">
        <v>540</v>
      </c>
      <c r="G1733" s="192">
        <v>5000</v>
      </c>
      <c r="H1733" s="447" t="s">
        <v>541</v>
      </c>
      <c r="I1733" s="34" t="s">
        <v>25</v>
      </c>
      <c r="J1733" s="248"/>
      <c r="K1733" s="247"/>
      <c r="L1733" s="248"/>
      <c r="M1733" s="248"/>
      <c r="N1733" s="248"/>
      <c r="O1733" s="2248" t="s">
        <v>5858</v>
      </c>
      <c r="Q1733" s="34" t="s">
        <v>25</v>
      </c>
    </row>
    <row r="1734" spans="1:17" ht="18.75" customHeight="1" x14ac:dyDescent="0.3">
      <c r="A1734" s="247">
        <v>7</v>
      </c>
      <c r="B1734" s="215" t="s">
        <v>539</v>
      </c>
      <c r="C1734" s="415" t="s">
        <v>533</v>
      </c>
      <c r="D1734" s="416" t="s">
        <v>494</v>
      </c>
      <c r="E1734" s="217" t="s">
        <v>545</v>
      </c>
      <c r="F1734" s="218" t="s">
        <v>540</v>
      </c>
      <c r="G1734" s="192">
        <v>5000</v>
      </c>
      <c r="H1734" s="447" t="s">
        <v>541</v>
      </c>
      <c r="I1734" s="34"/>
      <c r="J1734" s="248"/>
      <c r="K1734" s="247" t="s">
        <v>25</v>
      </c>
      <c r="L1734" s="248"/>
      <c r="M1734" s="248"/>
      <c r="N1734" s="248"/>
      <c r="O1734" s="2622" t="s">
        <v>6395</v>
      </c>
      <c r="Q1734" s="34"/>
    </row>
    <row r="1735" spans="1:17" ht="18.75" customHeight="1" x14ac:dyDescent="0.3">
      <c r="A1735" s="247">
        <v>8</v>
      </c>
      <c r="B1735" s="215" t="s">
        <v>539</v>
      </c>
      <c r="C1735" s="415" t="s">
        <v>533</v>
      </c>
      <c r="D1735" s="416" t="s">
        <v>494</v>
      </c>
      <c r="E1735" s="217" t="s">
        <v>546</v>
      </c>
      <c r="F1735" s="218" t="s">
        <v>540</v>
      </c>
      <c r="G1735" s="192">
        <v>5000</v>
      </c>
      <c r="H1735" s="447" t="s">
        <v>541</v>
      </c>
      <c r="I1735" s="34"/>
      <c r="J1735" s="247" t="s">
        <v>25</v>
      </c>
      <c r="K1735" s="247"/>
      <c r="L1735" s="248"/>
      <c r="M1735" s="248"/>
      <c r="N1735" s="248"/>
      <c r="O1735" s="2248" t="s">
        <v>477</v>
      </c>
      <c r="Q1735" s="34"/>
    </row>
    <row r="1736" spans="1:17" ht="18.75" customHeight="1" x14ac:dyDescent="0.3">
      <c r="A1736" s="247">
        <v>9</v>
      </c>
      <c r="B1736" s="215" t="s">
        <v>539</v>
      </c>
      <c r="C1736" s="415" t="s">
        <v>533</v>
      </c>
      <c r="D1736" s="416" t="s">
        <v>494</v>
      </c>
      <c r="E1736" s="217" t="s">
        <v>547</v>
      </c>
      <c r="F1736" s="218" t="s">
        <v>540</v>
      </c>
      <c r="G1736" s="192">
        <v>5000</v>
      </c>
      <c r="H1736" s="447" t="s">
        <v>541</v>
      </c>
      <c r="I1736" s="34"/>
      <c r="J1736" s="247" t="s">
        <v>25</v>
      </c>
      <c r="K1736" s="247"/>
      <c r="L1736" s="248"/>
      <c r="M1736" s="248"/>
      <c r="N1736" s="248"/>
      <c r="O1736" s="2248" t="s">
        <v>477</v>
      </c>
      <c r="Q1736" s="34"/>
    </row>
    <row r="1737" spans="1:17" x14ac:dyDescent="0.3">
      <c r="A1737" s="247">
        <v>10</v>
      </c>
      <c r="B1737" s="215" t="s">
        <v>539</v>
      </c>
      <c r="C1737" s="415" t="s">
        <v>533</v>
      </c>
      <c r="D1737" s="416" t="s">
        <v>494</v>
      </c>
      <c r="E1737" s="217" t="s">
        <v>319</v>
      </c>
      <c r="F1737" s="218" t="s">
        <v>540</v>
      </c>
      <c r="G1737" s="192">
        <v>5000</v>
      </c>
      <c r="H1737" s="447" t="s">
        <v>541</v>
      </c>
      <c r="I1737" s="34"/>
      <c r="J1737" s="248"/>
      <c r="K1737" s="247" t="s">
        <v>25</v>
      </c>
      <c r="L1737" s="248"/>
      <c r="M1737" s="248"/>
      <c r="N1737" s="248"/>
      <c r="O1737" s="2622" t="s">
        <v>6395</v>
      </c>
      <c r="Q1737" s="34"/>
    </row>
    <row r="1738" spans="1:17" x14ac:dyDescent="0.3">
      <c r="A1738" s="247">
        <v>11</v>
      </c>
      <c r="B1738" s="215" t="s">
        <v>539</v>
      </c>
      <c r="C1738" s="415" t="s">
        <v>533</v>
      </c>
      <c r="D1738" s="416" t="s">
        <v>494</v>
      </c>
      <c r="E1738" s="217" t="s">
        <v>320</v>
      </c>
      <c r="F1738" s="218" t="s">
        <v>540</v>
      </c>
      <c r="G1738" s="192">
        <v>5000</v>
      </c>
      <c r="H1738" s="447" t="s">
        <v>541</v>
      </c>
      <c r="I1738" s="34" t="s">
        <v>25</v>
      </c>
      <c r="J1738" s="248"/>
      <c r="K1738" s="247"/>
      <c r="L1738" s="248"/>
      <c r="M1738" s="248"/>
      <c r="N1738" s="248"/>
      <c r="O1738" s="2248" t="s">
        <v>477</v>
      </c>
      <c r="Q1738" s="34" t="s">
        <v>25</v>
      </c>
    </row>
    <row r="1739" spans="1:17" x14ac:dyDescent="0.3">
      <c r="A1739" s="247">
        <v>12</v>
      </c>
      <c r="B1739" s="215" t="s">
        <v>539</v>
      </c>
      <c r="C1739" s="415" t="s">
        <v>533</v>
      </c>
      <c r="D1739" s="416" t="s">
        <v>494</v>
      </c>
      <c r="E1739" s="217" t="s">
        <v>322</v>
      </c>
      <c r="F1739" s="218" t="s">
        <v>540</v>
      </c>
      <c r="G1739" s="192">
        <v>5000</v>
      </c>
      <c r="H1739" s="447" t="s">
        <v>541</v>
      </c>
      <c r="I1739" s="34" t="s">
        <v>25</v>
      </c>
      <c r="J1739" s="248"/>
      <c r="K1739" s="247"/>
      <c r="L1739" s="248"/>
      <c r="M1739" s="248"/>
      <c r="N1739" s="248"/>
      <c r="O1739" s="2248" t="s">
        <v>477</v>
      </c>
      <c r="Q1739" s="34" t="s">
        <v>25</v>
      </c>
    </row>
    <row r="1740" spans="1:17" x14ac:dyDescent="0.3">
      <c r="A1740" s="247">
        <v>13</v>
      </c>
      <c r="B1740" s="448" t="s">
        <v>548</v>
      </c>
      <c r="C1740" s="415" t="s">
        <v>533</v>
      </c>
      <c r="D1740" s="416" t="s">
        <v>494</v>
      </c>
      <c r="E1740" s="217" t="s">
        <v>324</v>
      </c>
      <c r="F1740" s="218" t="s">
        <v>405</v>
      </c>
      <c r="G1740" s="192">
        <v>100000</v>
      </c>
      <c r="H1740" s="1741" t="s">
        <v>505</v>
      </c>
      <c r="I1740" s="34" t="s">
        <v>25</v>
      </c>
      <c r="J1740" s="192"/>
      <c r="K1740" s="924"/>
      <c r="L1740" s="192"/>
      <c r="M1740" s="192"/>
      <c r="N1740" s="247"/>
      <c r="O1740" s="449"/>
      <c r="Q1740" s="34" t="s">
        <v>25</v>
      </c>
    </row>
    <row r="1741" spans="1:17" x14ac:dyDescent="0.3">
      <c r="A1741" s="247">
        <v>14</v>
      </c>
      <c r="B1741" s="450" t="s">
        <v>549</v>
      </c>
      <c r="C1741" s="451">
        <v>437</v>
      </c>
      <c r="D1741" s="452" t="s">
        <v>550</v>
      </c>
      <c r="E1741" s="217" t="s">
        <v>551</v>
      </c>
      <c r="F1741" s="82" t="s">
        <v>552</v>
      </c>
      <c r="G1741" s="453">
        <v>8560</v>
      </c>
      <c r="H1741" s="1741" t="s">
        <v>553</v>
      </c>
      <c r="I1741" s="34" t="s">
        <v>25</v>
      </c>
      <c r="J1741" s="118"/>
      <c r="K1741" s="939"/>
      <c r="L1741" s="83"/>
      <c r="M1741" s="83"/>
      <c r="N1741" s="27"/>
      <c r="O1741" s="454"/>
      <c r="Q1741" s="34" t="s">
        <v>25</v>
      </c>
    </row>
    <row r="1742" spans="1:17" x14ac:dyDescent="0.3">
      <c r="A1742" s="247">
        <v>15</v>
      </c>
      <c r="B1742" s="450" t="s">
        <v>554</v>
      </c>
      <c r="C1742" s="451">
        <v>437</v>
      </c>
      <c r="D1742" s="452" t="s">
        <v>550</v>
      </c>
      <c r="E1742" s="217" t="s">
        <v>555</v>
      </c>
      <c r="F1742" s="82" t="s">
        <v>297</v>
      </c>
      <c r="G1742" s="455">
        <v>14980</v>
      </c>
      <c r="H1742" s="1741" t="s">
        <v>556</v>
      </c>
      <c r="I1742" s="34" t="s">
        <v>25</v>
      </c>
      <c r="J1742" s="83"/>
      <c r="K1742" s="939"/>
      <c r="L1742" s="83"/>
      <c r="M1742" s="83"/>
      <c r="N1742" s="27"/>
      <c r="O1742" s="454"/>
      <c r="Q1742" s="34" t="s">
        <v>25</v>
      </c>
    </row>
    <row r="1743" spans="1:17" x14ac:dyDescent="0.3">
      <c r="A1743" s="247">
        <v>16</v>
      </c>
      <c r="B1743" s="450" t="s">
        <v>554</v>
      </c>
      <c r="C1743" s="451">
        <v>437</v>
      </c>
      <c r="D1743" s="452" t="s">
        <v>550</v>
      </c>
      <c r="E1743" s="217" t="s">
        <v>557</v>
      </c>
      <c r="F1743" s="82" t="s">
        <v>297</v>
      </c>
      <c r="G1743" s="455">
        <v>14980</v>
      </c>
      <c r="H1743" s="1735" t="s">
        <v>558</v>
      </c>
      <c r="I1743" s="34" t="s">
        <v>25</v>
      </c>
      <c r="J1743" s="83"/>
      <c r="K1743" s="939"/>
      <c r="L1743" s="83"/>
      <c r="M1743" s="83"/>
      <c r="N1743" s="27"/>
      <c r="O1743" s="454"/>
      <c r="Q1743" s="34" t="s">
        <v>25</v>
      </c>
    </row>
    <row r="1744" spans="1:17" x14ac:dyDescent="0.3">
      <c r="A1744" s="247">
        <v>17</v>
      </c>
      <c r="B1744" s="456" t="s">
        <v>559</v>
      </c>
      <c r="C1744" s="451">
        <v>437</v>
      </c>
      <c r="D1744" s="452" t="s">
        <v>560</v>
      </c>
      <c r="E1744" s="217" t="s">
        <v>561</v>
      </c>
      <c r="F1744" s="82" t="s">
        <v>562</v>
      </c>
      <c r="G1744" s="457">
        <v>4868.5</v>
      </c>
      <c r="H1744" s="1735" t="s">
        <v>558</v>
      </c>
      <c r="I1744" s="34" t="s">
        <v>25</v>
      </c>
      <c r="J1744" s="83"/>
      <c r="K1744" s="939"/>
      <c r="L1744" s="83"/>
      <c r="M1744" s="83"/>
      <c r="N1744" s="27"/>
      <c r="O1744" s="454"/>
      <c r="Q1744" s="34" t="s">
        <v>25</v>
      </c>
    </row>
    <row r="1745" spans="1:17" x14ac:dyDescent="0.3">
      <c r="A1745" s="247">
        <v>18</v>
      </c>
      <c r="B1745" s="28" t="s">
        <v>563</v>
      </c>
      <c r="C1745" s="415">
        <v>437</v>
      </c>
      <c r="D1745" s="416" t="s">
        <v>21</v>
      </c>
      <c r="E1745" s="217" t="s">
        <v>564</v>
      </c>
      <c r="F1745" s="218" t="s">
        <v>23</v>
      </c>
      <c r="G1745" s="33">
        <v>7204.67</v>
      </c>
      <c r="H1745" s="1735" t="s">
        <v>558</v>
      </c>
      <c r="I1745" s="34" t="s">
        <v>25</v>
      </c>
      <c r="J1745" s="248"/>
      <c r="K1745" s="247"/>
      <c r="L1745" s="248"/>
      <c r="M1745" s="248"/>
      <c r="N1745" s="248"/>
      <c r="O1745" s="225"/>
      <c r="Q1745" s="34" t="s">
        <v>25</v>
      </c>
    </row>
    <row r="1746" spans="1:17" x14ac:dyDescent="0.3">
      <c r="A1746" s="247">
        <v>19</v>
      </c>
      <c r="B1746" s="28" t="s">
        <v>563</v>
      </c>
      <c r="C1746" s="415">
        <v>437</v>
      </c>
      <c r="D1746" s="416" t="s">
        <v>21</v>
      </c>
      <c r="E1746" s="217" t="s">
        <v>565</v>
      </c>
      <c r="F1746" s="218" t="s">
        <v>23</v>
      </c>
      <c r="G1746" s="33">
        <v>7204.67</v>
      </c>
      <c r="H1746" s="1735" t="s">
        <v>558</v>
      </c>
      <c r="I1746" s="34" t="s">
        <v>25</v>
      </c>
      <c r="J1746" s="248"/>
      <c r="K1746" s="247"/>
      <c r="L1746" s="248"/>
      <c r="M1746" s="248"/>
      <c r="N1746" s="248"/>
      <c r="O1746" s="225"/>
      <c r="Q1746" s="34" t="s">
        <v>25</v>
      </c>
    </row>
    <row r="1747" spans="1:17" x14ac:dyDescent="0.3">
      <c r="A1747" s="247">
        <v>20</v>
      </c>
      <c r="B1747" s="28" t="s">
        <v>566</v>
      </c>
      <c r="C1747" s="415">
        <v>437</v>
      </c>
      <c r="D1747" s="416" t="s">
        <v>21</v>
      </c>
      <c r="E1747" s="217" t="s">
        <v>567</v>
      </c>
      <c r="F1747" s="218" t="s">
        <v>23</v>
      </c>
      <c r="G1747" s="33">
        <v>13292.96</v>
      </c>
      <c r="H1747" s="1735" t="s">
        <v>558</v>
      </c>
      <c r="I1747" s="34" t="s">
        <v>25</v>
      </c>
      <c r="J1747" s="248"/>
      <c r="K1747" s="247"/>
      <c r="L1747" s="248"/>
      <c r="M1747" s="248"/>
      <c r="N1747" s="248"/>
      <c r="O1747" s="225"/>
      <c r="Q1747" s="34" t="s">
        <v>25</v>
      </c>
    </row>
    <row r="1748" spans="1:17" x14ac:dyDescent="0.3">
      <c r="A1748" s="247">
        <v>21</v>
      </c>
      <c r="B1748" s="28" t="s">
        <v>566</v>
      </c>
      <c r="C1748" s="415">
        <v>437</v>
      </c>
      <c r="D1748" s="416" t="s">
        <v>21</v>
      </c>
      <c r="E1748" s="217" t="s">
        <v>568</v>
      </c>
      <c r="F1748" s="218" t="s">
        <v>23</v>
      </c>
      <c r="G1748" s="33">
        <v>13292.96</v>
      </c>
      <c r="H1748" s="1735" t="s">
        <v>558</v>
      </c>
      <c r="I1748" s="34" t="s">
        <v>25</v>
      </c>
      <c r="J1748" s="248"/>
      <c r="K1748" s="247"/>
      <c r="L1748" s="248"/>
      <c r="M1748" s="248"/>
      <c r="N1748" s="248"/>
      <c r="O1748" s="225"/>
      <c r="Q1748" s="34" t="s">
        <v>25</v>
      </c>
    </row>
    <row r="1749" spans="1:17" x14ac:dyDescent="0.3">
      <c r="A1749" s="247">
        <v>22</v>
      </c>
      <c r="B1749" s="28" t="s">
        <v>566</v>
      </c>
      <c r="C1749" s="415">
        <v>437</v>
      </c>
      <c r="D1749" s="416" t="s">
        <v>21</v>
      </c>
      <c r="E1749" s="217" t="s">
        <v>569</v>
      </c>
      <c r="F1749" s="218" t="s">
        <v>23</v>
      </c>
      <c r="G1749" s="33">
        <v>13292.96</v>
      </c>
      <c r="H1749" s="1735" t="s">
        <v>558</v>
      </c>
      <c r="I1749" s="34" t="s">
        <v>25</v>
      </c>
      <c r="J1749" s="248"/>
      <c r="K1749" s="247"/>
      <c r="L1749" s="248"/>
      <c r="M1749" s="248"/>
      <c r="N1749" s="248"/>
      <c r="O1749" s="225"/>
      <c r="Q1749" s="34" t="s">
        <v>25</v>
      </c>
    </row>
    <row r="1750" spans="1:17" x14ac:dyDescent="0.3">
      <c r="A1750" s="247">
        <v>23</v>
      </c>
      <c r="B1750" s="28" t="s">
        <v>566</v>
      </c>
      <c r="C1750" s="415">
        <v>437</v>
      </c>
      <c r="D1750" s="416" t="s">
        <v>21</v>
      </c>
      <c r="E1750" s="217" t="s">
        <v>570</v>
      </c>
      <c r="F1750" s="218" t="s">
        <v>23</v>
      </c>
      <c r="G1750" s="33">
        <v>13292.96</v>
      </c>
      <c r="H1750" s="1735" t="s">
        <v>558</v>
      </c>
      <c r="I1750" s="34" t="s">
        <v>25</v>
      </c>
      <c r="J1750" s="248"/>
      <c r="K1750" s="247"/>
      <c r="L1750" s="248"/>
      <c r="M1750" s="248"/>
      <c r="N1750" s="248"/>
      <c r="O1750" s="225"/>
      <c r="Q1750" s="34" t="s">
        <v>25</v>
      </c>
    </row>
    <row r="1751" spans="1:17" x14ac:dyDescent="0.3">
      <c r="A1751" s="247">
        <v>24</v>
      </c>
      <c r="B1751" s="28" t="s">
        <v>566</v>
      </c>
      <c r="C1751" s="415">
        <v>437</v>
      </c>
      <c r="D1751" s="416" t="s">
        <v>21</v>
      </c>
      <c r="E1751" s="217" t="s">
        <v>571</v>
      </c>
      <c r="F1751" s="218" t="s">
        <v>23</v>
      </c>
      <c r="G1751" s="33">
        <v>13292.96</v>
      </c>
      <c r="H1751" s="1735" t="s">
        <v>558</v>
      </c>
      <c r="I1751" s="34" t="s">
        <v>25</v>
      </c>
      <c r="J1751" s="248"/>
      <c r="K1751" s="247"/>
      <c r="L1751" s="248"/>
      <c r="M1751" s="248"/>
      <c r="N1751" s="248"/>
      <c r="O1751" s="225"/>
      <c r="Q1751" s="34" t="s">
        <v>25</v>
      </c>
    </row>
    <row r="1752" spans="1:17" x14ac:dyDescent="0.3">
      <c r="A1752" s="247">
        <v>25</v>
      </c>
      <c r="B1752" s="28" t="s">
        <v>566</v>
      </c>
      <c r="C1752" s="415">
        <v>437</v>
      </c>
      <c r="D1752" s="416" t="s">
        <v>21</v>
      </c>
      <c r="E1752" s="217" t="s">
        <v>572</v>
      </c>
      <c r="F1752" s="218" t="s">
        <v>23</v>
      </c>
      <c r="G1752" s="33">
        <v>13292.96</v>
      </c>
      <c r="H1752" s="1735" t="s">
        <v>558</v>
      </c>
      <c r="I1752" s="34" t="s">
        <v>25</v>
      </c>
      <c r="J1752" s="248"/>
      <c r="K1752" s="247"/>
      <c r="L1752" s="248"/>
      <c r="M1752" s="248"/>
      <c r="N1752" s="248"/>
      <c r="O1752" s="225"/>
      <c r="Q1752" s="34" t="s">
        <v>25</v>
      </c>
    </row>
    <row r="1753" spans="1:17" x14ac:dyDescent="0.3">
      <c r="A1753" s="247">
        <v>26</v>
      </c>
      <c r="B1753" s="28" t="s">
        <v>566</v>
      </c>
      <c r="C1753" s="415">
        <v>437</v>
      </c>
      <c r="D1753" s="416" t="s">
        <v>21</v>
      </c>
      <c r="E1753" s="217" t="s">
        <v>573</v>
      </c>
      <c r="F1753" s="218" t="s">
        <v>23</v>
      </c>
      <c r="G1753" s="33">
        <v>13292.96</v>
      </c>
      <c r="H1753" s="1735" t="s">
        <v>558</v>
      </c>
      <c r="I1753" s="34" t="s">
        <v>25</v>
      </c>
      <c r="J1753" s="248"/>
      <c r="K1753" s="247"/>
      <c r="L1753" s="248"/>
      <c r="M1753" s="248"/>
      <c r="N1753" s="248"/>
      <c r="O1753" s="225"/>
      <c r="Q1753" s="34" t="s">
        <v>25</v>
      </c>
    </row>
    <row r="1754" spans="1:17" x14ac:dyDescent="0.3">
      <c r="A1754" s="247">
        <v>27</v>
      </c>
      <c r="B1754" s="28" t="s">
        <v>566</v>
      </c>
      <c r="C1754" s="415">
        <v>437</v>
      </c>
      <c r="D1754" s="416" t="s">
        <v>21</v>
      </c>
      <c r="E1754" s="217" t="s">
        <v>574</v>
      </c>
      <c r="F1754" s="218" t="s">
        <v>23</v>
      </c>
      <c r="G1754" s="33">
        <v>13292.96</v>
      </c>
      <c r="H1754" s="1735" t="s">
        <v>558</v>
      </c>
      <c r="I1754" s="34" t="s">
        <v>25</v>
      </c>
      <c r="J1754" s="248"/>
      <c r="K1754" s="247"/>
      <c r="L1754" s="248"/>
      <c r="M1754" s="248"/>
      <c r="N1754" s="248"/>
      <c r="O1754" s="225"/>
      <c r="Q1754" s="34" t="s">
        <v>25</v>
      </c>
    </row>
    <row r="1755" spans="1:17" x14ac:dyDescent="0.3">
      <c r="A1755" s="247">
        <v>28</v>
      </c>
      <c r="B1755" s="28" t="s">
        <v>566</v>
      </c>
      <c r="C1755" s="415">
        <v>437</v>
      </c>
      <c r="D1755" s="416" t="s">
        <v>21</v>
      </c>
      <c r="E1755" s="217" t="s">
        <v>575</v>
      </c>
      <c r="F1755" s="218" t="s">
        <v>23</v>
      </c>
      <c r="G1755" s="33">
        <v>13292.96</v>
      </c>
      <c r="H1755" s="1735" t="s">
        <v>558</v>
      </c>
      <c r="I1755" s="34" t="s">
        <v>25</v>
      </c>
      <c r="J1755" s="248"/>
      <c r="K1755" s="247"/>
      <c r="L1755" s="248"/>
      <c r="M1755" s="248"/>
      <c r="N1755" s="248"/>
      <c r="O1755" s="225"/>
      <c r="Q1755" s="34" t="s">
        <v>25</v>
      </c>
    </row>
    <row r="1756" spans="1:17" x14ac:dyDescent="0.3">
      <c r="A1756" s="247">
        <v>29</v>
      </c>
      <c r="B1756" s="458" t="s">
        <v>566</v>
      </c>
      <c r="C1756" s="415">
        <v>437</v>
      </c>
      <c r="D1756" s="416" t="s">
        <v>21</v>
      </c>
      <c r="E1756" s="217" t="s">
        <v>576</v>
      </c>
      <c r="F1756" s="218" t="s">
        <v>23</v>
      </c>
      <c r="G1756" s="459">
        <v>13292.96</v>
      </c>
      <c r="H1756" s="1735" t="s">
        <v>558</v>
      </c>
      <c r="I1756" s="34" t="s">
        <v>25</v>
      </c>
      <c r="J1756" s="248"/>
      <c r="K1756" s="247"/>
      <c r="L1756" s="248"/>
      <c r="M1756" s="248"/>
      <c r="N1756" s="248"/>
      <c r="O1756" s="225"/>
      <c r="Q1756" s="34" t="s">
        <v>25</v>
      </c>
    </row>
    <row r="1757" spans="1:17" ht="24" x14ac:dyDescent="0.4">
      <c r="A1757" s="2823">
        <v>30</v>
      </c>
      <c r="B1757" s="460" t="s">
        <v>577</v>
      </c>
      <c r="C1757" s="461" t="s">
        <v>533</v>
      </c>
      <c r="D1757" s="462" t="s">
        <v>172</v>
      </c>
      <c r="E1757" s="463" t="s">
        <v>578</v>
      </c>
      <c r="F1757" s="464">
        <v>243662</v>
      </c>
      <c r="G1757" s="465">
        <v>5500</v>
      </c>
      <c r="H1757" s="1758" t="s">
        <v>579</v>
      </c>
      <c r="I1757" s="34" t="s">
        <v>25</v>
      </c>
      <c r="J1757" s="466"/>
      <c r="K1757" s="27"/>
      <c r="L1757" s="421"/>
      <c r="M1757" s="421"/>
      <c r="N1757" s="421"/>
      <c r="O1757" s="467" t="s">
        <v>580</v>
      </c>
      <c r="Q1757" s="34" t="s">
        <v>25</v>
      </c>
    </row>
    <row r="1758" spans="1:17" ht="17.399999999999999" x14ac:dyDescent="0.45">
      <c r="A1758" s="39"/>
      <c r="B1758" s="88"/>
      <c r="C1758" s="89"/>
      <c r="D1758" s="230"/>
      <c r="E1758" s="201"/>
      <c r="F1758" s="176"/>
      <c r="G1758" s="468">
        <f>SUM(G1728:G1756)</f>
        <v>355727.44000000018</v>
      </c>
      <c r="H1758" s="232"/>
      <c r="I1758" s="233"/>
      <c r="J1758" s="234"/>
      <c r="K1758" s="1195"/>
      <c r="L1758" s="234"/>
      <c r="M1758" s="234"/>
      <c r="N1758" s="39"/>
      <c r="O1758" s="469"/>
      <c r="Q1758" s="233"/>
    </row>
    <row r="1759" spans="1:17" x14ac:dyDescent="0.3">
      <c r="A1759" s="2647">
        <v>481</v>
      </c>
      <c r="B1759" s="282" t="s">
        <v>581</v>
      </c>
      <c r="C1759" s="283"/>
      <c r="D1759" s="283"/>
      <c r="E1759" s="285"/>
      <c r="F1759" s="286"/>
      <c r="G1759" s="470"/>
      <c r="H1759" s="471"/>
      <c r="I1759" s="472"/>
      <c r="J1759" s="472"/>
      <c r="K1759" s="473"/>
      <c r="L1759" s="473"/>
      <c r="M1759" s="472"/>
      <c r="N1759" s="474"/>
      <c r="O1759" s="445"/>
      <c r="Q1759" s="472"/>
    </row>
    <row r="1760" spans="1:17" x14ac:dyDescent="0.3">
      <c r="A1760" s="247">
        <v>1</v>
      </c>
      <c r="B1760" s="248" t="s">
        <v>582</v>
      </c>
      <c r="C1760" s="415" t="s">
        <v>583</v>
      </c>
      <c r="D1760" s="67">
        <v>59</v>
      </c>
      <c r="E1760" s="217" t="s">
        <v>584</v>
      </c>
      <c r="F1760" s="218" t="s">
        <v>585</v>
      </c>
      <c r="G1760" s="192">
        <v>1950</v>
      </c>
      <c r="H1760" s="1731" t="s">
        <v>41</v>
      </c>
      <c r="I1760" s="2421" t="s">
        <v>25</v>
      </c>
      <c r="J1760" s="147"/>
      <c r="K1760" s="2245"/>
      <c r="L1760" s="224"/>
      <c r="M1760" s="224"/>
      <c r="N1760" s="313"/>
      <c r="O1760" s="2422" t="s">
        <v>5890</v>
      </c>
      <c r="Q1760" s="2421" t="s">
        <v>25</v>
      </c>
    </row>
    <row r="1761" spans="1:17" x14ac:dyDescent="0.3">
      <c r="A1761" s="247">
        <v>2</v>
      </c>
      <c r="B1761" s="248" t="s">
        <v>582</v>
      </c>
      <c r="C1761" s="415" t="s">
        <v>583</v>
      </c>
      <c r="D1761" s="67">
        <v>59</v>
      </c>
      <c r="E1761" s="217" t="s">
        <v>586</v>
      </c>
      <c r="F1761" s="218" t="s">
        <v>585</v>
      </c>
      <c r="G1761" s="192">
        <v>1950</v>
      </c>
      <c r="H1761" s="1731" t="s">
        <v>41</v>
      </c>
      <c r="I1761" s="2421" t="s">
        <v>25</v>
      </c>
      <c r="J1761" s="147"/>
      <c r="K1761" s="2245"/>
      <c r="L1761" s="224"/>
      <c r="M1761" s="224"/>
      <c r="N1761" s="313"/>
      <c r="O1761" s="2422" t="s">
        <v>5890</v>
      </c>
      <c r="Q1761" s="2421" t="s">
        <v>25</v>
      </c>
    </row>
    <row r="1762" spans="1:17" x14ac:dyDescent="0.3">
      <c r="A1762" s="247">
        <v>3</v>
      </c>
      <c r="B1762" s="248" t="s">
        <v>582</v>
      </c>
      <c r="C1762" s="415" t="s">
        <v>583</v>
      </c>
      <c r="D1762" s="67">
        <v>59</v>
      </c>
      <c r="E1762" s="217" t="s">
        <v>587</v>
      </c>
      <c r="F1762" s="218" t="s">
        <v>585</v>
      </c>
      <c r="G1762" s="192">
        <v>1950</v>
      </c>
      <c r="H1762" s="1731" t="s">
        <v>41</v>
      </c>
      <c r="I1762" s="2421" t="s">
        <v>25</v>
      </c>
      <c r="J1762" s="147"/>
      <c r="K1762" s="2245"/>
      <c r="L1762" s="224"/>
      <c r="M1762" s="224"/>
      <c r="N1762" s="313"/>
      <c r="O1762" s="2422" t="s">
        <v>5890</v>
      </c>
      <c r="Q1762" s="2421" t="s">
        <v>25</v>
      </c>
    </row>
    <row r="1763" spans="1:17" x14ac:dyDescent="0.3">
      <c r="A1763" s="247">
        <v>4</v>
      </c>
      <c r="B1763" s="248" t="s">
        <v>582</v>
      </c>
      <c r="C1763" s="415" t="s">
        <v>583</v>
      </c>
      <c r="D1763" s="67">
        <v>59</v>
      </c>
      <c r="E1763" s="217" t="s">
        <v>420</v>
      </c>
      <c r="F1763" s="218" t="s">
        <v>585</v>
      </c>
      <c r="G1763" s="192">
        <v>1950</v>
      </c>
      <c r="H1763" s="1731" t="s">
        <v>41</v>
      </c>
      <c r="I1763" s="2421" t="s">
        <v>25</v>
      </c>
      <c r="J1763" s="147"/>
      <c r="K1763" s="2245"/>
      <c r="L1763" s="224"/>
      <c r="M1763" s="224"/>
      <c r="N1763" s="313"/>
      <c r="O1763" s="2422" t="s">
        <v>5890</v>
      </c>
      <c r="Q1763" s="2421" t="s">
        <v>25</v>
      </c>
    </row>
    <row r="1764" spans="1:17" x14ac:dyDescent="0.3">
      <c r="A1764" s="247">
        <v>5</v>
      </c>
      <c r="B1764" s="248" t="s">
        <v>582</v>
      </c>
      <c r="C1764" s="415" t="s">
        <v>583</v>
      </c>
      <c r="D1764" s="67">
        <v>59</v>
      </c>
      <c r="E1764" s="217" t="s">
        <v>588</v>
      </c>
      <c r="F1764" s="218" t="s">
        <v>585</v>
      </c>
      <c r="G1764" s="192">
        <v>1950</v>
      </c>
      <c r="H1764" s="1731" t="s">
        <v>41</v>
      </c>
      <c r="I1764" s="2421" t="s">
        <v>25</v>
      </c>
      <c r="J1764" s="147"/>
      <c r="K1764" s="2245"/>
      <c r="L1764" s="224"/>
      <c r="M1764" s="224"/>
      <c r="N1764" s="313"/>
      <c r="O1764" s="2422" t="s">
        <v>5890</v>
      </c>
      <c r="Q1764" s="2421" t="s">
        <v>25</v>
      </c>
    </row>
    <row r="1765" spans="1:17" x14ac:dyDescent="0.3">
      <c r="A1765" s="247">
        <v>6</v>
      </c>
      <c r="B1765" s="248" t="s">
        <v>582</v>
      </c>
      <c r="C1765" s="415" t="s">
        <v>583</v>
      </c>
      <c r="D1765" s="67">
        <v>59</v>
      </c>
      <c r="E1765" s="217" t="s">
        <v>561</v>
      </c>
      <c r="F1765" s="218" t="s">
        <v>585</v>
      </c>
      <c r="G1765" s="192">
        <v>1950</v>
      </c>
      <c r="H1765" s="1731" t="s">
        <v>41</v>
      </c>
      <c r="I1765" s="2421" t="s">
        <v>25</v>
      </c>
      <c r="J1765" s="147"/>
      <c r="K1765" s="2245"/>
      <c r="L1765" s="224"/>
      <c r="M1765" s="224"/>
      <c r="N1765" s="313"/>
      <c r="O1765" s="2422" t="s">
        <v>5890</v>
      </c>
      <c r="Q1765" s="2421" t="s">
        <v>25</v>
      </c>
    </row>
    <row r="1766" spans="1:17" x14ac:dyDescent="0.3">
      <c r="A1766" s="247">
        <v>7</v>
      </c>
      <c r="B1766" s="248" t="s">
        <v>589</v>
      </c>
      <c r="C1766" s="415" t="s">
        <v>583</v>
      </c>
      <c r="D1766" s="67">
        <v>59</v>
      </c>
      <c r="E1766" s="217" t="s">
        <v>590</v>
      </c>
      <c r="F1766" s="218" t="s">
        <v>585</v>
      </c>
      <c r="G1766" s="192">
        <v>1950</v>
      </c>
      <c r="H1766" s="1731" t="s">
        <v>41</v>
      </c>
      <c r="I1766" s="2421" t="s">
        <v>25</v>
      </c>
      <c r="J1766" s="147"/>
      <c r="K1766" s="2245"/>
      <c r="L1766" s="224"/>
      <c r="M1766" s="224"/>
      <c r="N1766" s="313"/>
      <c r="O1766" s="2422" t="s">
        <v>5890</v>
      </c>
      <c r="Q1766" s="2421" t="s">
        <v>25</v>
      </c>
    </row>
    <row r="1767" spans="1:17" x14ac:dyDescent="0.3">
      <c r="A1767" s="247">
        <v>8</v>
      </c>
      <c r="B1767" s="248" t="s">
        <v>589</v>
      </c>
      <c r="C1767" s="415" t="s">
        <v>583</v>
      </c>
      <c r="D1767" s="67">
        <v>59</v>
      </c>
      <c r="E1767" s="217" t="s">
        <v>591</v>
      </c>
      <c r="F1767" s="218" t="s">
        <v>585</v>
      </c>
      <c r="G1767" s="192">
        <v>1950</v>
      </c>
      <c r="H1767" s="1731" t="s">
        <v>41</v>
      </c>
      <c r="I1767" s="2421" t="s">
        <v>25</v>
      </c>
      <c r="J1767" s="147"/>
      <c r="K1767" s="2245"/>
      <c r="L1767" s="224"/>
      <c r="M1767" s="224"/>
      <c r="N1767" s="313"/>
      <c r="O1767" s="2422" t="s">
        <v>5890</v>
      </c>
      <c r="Q1767" s="2421" t="s">
        <v>25</v>
      </c>
    </row>
    <row r="1768" spans="1:17" x14ac:dyDescent="0.3">
      <c r="A1768" s="247">
        <v>9</v>
      </c>
      <c r="B1768" s="248" t="s">
        <v>589</v>
      </c>
      <c r="C1768" s="415" t="s">
        <v>583</v>
      </c>
      <c r="D1768" s="67">
        <v>59</v>
      </c>
      <c r="E1768" s="217" t="s">
        <v>564</v>
      </c>
      <c r="F1768" s="218" t="s">
        <v>585</v>
      </c>
      <c r="G1768" s="192">
        <v>1950</v>
      </c>
      <c r="H1768" s="1731" t="s">
        <v>41</v>
      </c>
      <c r="I1768" s="2421" t="s">
        <v>25</v>
      </c>
      <c r="J1768" s="147"/>
      <c r="K1768" s="2245"/>
      <c r="L1768" s="224"/>
      <c r="M1768" s="224"/>
      <c r="N1768" s="313"/>
      <c r="O1768" s="2422" t="s">
        <v>5890</v>
      </c>
      <c r="Q1768" s="2421" t="s">
        <v>25</v>
      </c>
    </row>
    <row r="1769" spans="1:17" x14ac:dyDescent="0.3">
      <c r="A1769" s="247">
        <v>10</v>
      </c>
      <c r="B1769" s="248" t="s">
        <v>589</v>
      </c>
      <c r="C1769" s="415" t="s">
        <v>583</v>
      </c>
      <c r="D1769" s="67">
        <v>59</v>
      </c>
      <c r="E1769" s="217" t="s">
        <v>565</v>
      </c>
      <c r="F1769" s="218" t="s">
        <v>585</v>
      </c>
      <c r="G1769" s="192">
        <v>1950</v>
      </c>
      <c r="H1769" s="1731" t="s">
        <v>41</v>
      </c>
      <c r="I1769" s="2421" t="s">
        <v>25</v>
      </c>
      <c r="J1769" s="147"/>
      <c r="K1769" s="2245"/>
      <c r="L1769" s="224"/>
      <c r="M1769" s="224"/>
      <c r="N1769" s="313"/>
      <c r="O1769" s="2422" t="s">
        <v>5890</v>
      </c>
      <c r="Q1769" s="2421" t="s">
        <v>25</v>
      </c>
    </row>
    <row r="1770" spans="1:17" x14ac:dyDescent="0.3">
      <c r="A1770" s="415">
        <v>11</v>
      </c>
      <c r="B1770" s="248" t="s">
        <v>592</v>
      </c>
      <c r="C1770" s="415" t="s">
        <v>583</v>
      </c>
      <c r="D1770" s="67">
        <v>60</v>
      </c>
      <c r="E1770" s="217" t="s">
        <v>567</v>
      </c>
      <c r="F1770" s="218" t="s">
        <v>593</v>
      </c>
      <c r="G1770" s="192">
        <v>15000</v>
      </c>
      <c r="H1770" s="1731" t="s">
        <v>41</v>
      </c>
      <c r="I1770" s="224"/>
      <c r="J1770" s="147"/>
      <c r="K1770" s="2245" t="s">
        <v>25</v>
      </c>
      <c r="L1770" s="224"/>
      <c r="M1770" s="224"/>
      <c r="N1770" s="313"/>
      <c r="O1770" s="2622" t="s">
        <v>6395</v>
      </c>
      <c r="Q1770" s="224"/>
    </row>
    <row r="1771" spans="1:17" ht="17.399999999999999" x14ac:dyDescent="0.45">
      <c r="A1771" s="39"/>
      <c r="B1771" s="172"/>
      <c r="C1771" s="477"/>
      <c r="D1771" s="230"/>
      <c r="E1771" s="201"/>
      <c r="F1771" s="176"/>
      <c r="G1771" s="231">
        <f>SUM(G1760:G1770)</f>
        <v>34500</v>
      </c>
      <c r="H1771" s="178"/>
      <c r="I1771" s="478"/>
      <c r="J1771" s="49"/>
      <c r="K1771" s="2246"/>
      <c r="L1771" s="478"/>
      <c r="M1771" s="478"/>
      <c r="N1771" s="479"/>
      <c r="O1771" s="480"/>
      <c r="Q1771" s="478"/>
    </row>
    <row r="1772" spans="1:17" x14ac:dyDescent="0.3">
      <c r="A1772" s="2647">
        <v>487</v>
      </c>
      <c r="B1772" s="282" t="s">
        <v>594</v>
      </c>
      <c r="C1772" s="283"/>
      <c r="D1772" s="283"/>
      <c r="E1772" s="285"/>
      <c r="F1772" s="286"/>
      <c r="G1772" s="287"/>
      <c r="H1772" s="471"/>
      <c r="I1772" s="472"/>
      <c r="J1772" s="472"/>
      <c r="K1772" s="473"/>
      <c r="L1772" s="473"/>
      <c r="M1772" s="472"/>
      <c r="N1772" s="482"/>
      <c r="O1772" s="483"/>
      <c r="Q1772" s="472"/>
    </row>
    <row r="1773" spans="1:17" x14ac:dyDescent="0.3">
      <c r="A1773" s="415">
        <v>1</v>
      </c>
      <c r="B1773" s="484" t="s">
        <v>595</v>
      </c>
      <c r="C1773" s="485">
        <v>487</v>
      </c>
      <c r="D1773" s="486" t="s">
        <v>550</v>
      </c>
      <c r="E1773" s="486" t="s">
        <v>408</v>
      </c>
      <c r="F1773" s="487" t="s">
        <v>297</v>
      </c>
      <c r="G1773" s="488">
        <v>2996</v>
      </c>
      <c r="H1773" s="1759" t="s">
        <v>505</v>
      </c>
      <c r="I1773" s="224" t="s">
        <v>25</v>
      </c>
      <c r="J1773" s="489"/>
      <c r="K1773" s="2247"/>
      <c r="L1773" s="490"/>
      <c r="M1773" s="490"/>
      <c r="N1773" s="491"/>
      <c r="O1773" s="492"/>
      <c r="Q1773" s="224" t="s">
        <v>25</v>
      </c>
    </row>
    <row r="1774" spans="1:17" x14ac:dyDescent="0.3">
      <c r="A1774" s="415">
        <v>2</v>
      </c>
      <c r="B1774" s="484" t="s">
        <v>595</v>
      </c>
      <c r="C1774" s="485">
        <v>487</v>
      </c>
      <c r="D1774" s="486" t="s">
        <v>550</v>
      </c>
      <c r="E1774" s="486" t="s">
        <v>409</v>
      </c>
      <c r="F1774" s="487" t="s">
        <v>297</v>
      </c>
      <c r="G1774" s="488">
        <v>2996</v>
      </c>
      <c r="H1774" s="1759" t="s">
        <v>505</v>
      </c>
      <c r="I1774" s="224" t="s">
        <v>25</v>
      </c>
      <c r="J1774" s="489"/>
      <c r="K1774" s="2247"/>
      <c r="L1774" s="490"/>
      <c r="M1774" s="490"/>
      <c r="N1774" s="491"/>
      <c r="O1774" s="492"/>
      <c r="Q1774" s="224" t="s">
        <v>25</v>
      </c>
    </row>
    <row r="1775" spans="1:17" x14ac:dyDescent="0.3">
      <c r="A1775" s="415">
        <v>3</v>
      </c>
      <c r="B1775" s="484" t="s">
        <v>595</v>
      </c>
      <c r="C1775" s="485">
        <v>487</v>
      </c>
      <c r="D1775" s="486" t="s">
        <v>550</v>
      </c>
      <c r="E1775" s="486" t="s">
        <v>410</v>
      </c>
      <c r="F1775" s="487" t="s">
        <v>297</v>
      </c>
      <c r="G1775" s="488">
        <v>2996</v>
      </c>
      <c r="H1775" s="1759" t="s">
        <v>505</v>
      </c>
      <c r="I1775" s="224" t="s">
        <v>25</v>
      </c>
      <c r="J1775" s="489"/>
      <c r="K1775" s="2247"/>
      <c r="L1775" s="490"/>
      <c r="M1775" s="490"/>
      <c r="N1775" s="491"/>
      <c r="O1775" s="492"/>
      <c r="Q1775" s="224" t="s">
        <v>25</v>
      </c>
    </row>
    <row r="1776" spans="1:17" x14ac:dyDescent="0.3">
      <c r="A1776" s="415">
        <v>4</v>
      </c>
      <c r="B1776" s="484" t="s">
        <v>595</v>
      </c>
      <c r="C1776" s="485">
        <v>487</v>
      </c>
      <c r="D1776" s="486" t="s">
        <v>550</v>
      </c>
      <c r="E1776" s="486" t="s">
        <v>411</v>
      </c>
      <c r="F1776" s="487" t="s">
        <v>297</v>
      </c>
      <c r="G1776" s="488">
        <v>2996</v>
      </c>
      <c r="H1776" s="1759" t="s">
        <v>505</v>
      </c>
      <c r="I1776" s="224" t="s">
        <v>25</v>
      </c>
      <c r="J1776" s="489"/>
      <c r="K1776" s="2247"/>
      <c r="L1776" s="490"/>
      <c r="M1776" s="490"/>
      <c r="N1776" s="491"/>
      <c r="O1776" s="492"/>
      <c r="Q1776" s="224" t="s">
        <v>25</v>
      </c>
    </row>
    <row r="1777" spans="1:17" x14ac:dyDescent="0.3">
      <c r="A1777" s="415">
        <v>5</v>
      </c>
      <c r="B1777" s="484" t="s">
        <v>595</v>
      </c>
      <c r="C1777" s="485">
        <v>487</v>
      </c>
      <c r="D1777" s="486" t="s">
        <v>550</v>
      </c>
      <c r="E1777" s="486" t="s">
        <v>596</v>
      </c>
      <c r="F1777" s="487" t="s">
        <v>297</v>
      </c>
      <c r="G1777" s="493">
        <v>2996</v>
      </c>
      <c r="H1777" s="1759" t="s">
        <v>505</v>
      </c>
      <c r="I1777" s="224" t="s">
        <v>25</v>
      </c>
      <c r="J1777" s="489"/>
      <c r="K1777" s="2247"/>
      <c r="L1777" s="490"/>
      <c r="M1777" s="490"/>
      <c r="N1777" s="491"/>
      <c r="O1777" s="492"/>
      <c r="Q1777" s="224" t="s">
        <v>25</v>
      </c>
    </row>
    <row r="1778" spans="1:17" ht="17.399999999999999" x14ac:dyDescent="0.45">
      <c r="A1778" s="477"/>
      <c r="B1778" s="172"/>
      <c r="C1778" s="90"/>
      <c r="D1778" s="230"/>
      <c r="E1778" s="230"/>
      <c r="F1778" s="176"/>
      <c r="G1778" s="231">
        <f>SUM(G1773:G1777)</f>
        <v>14980</v>
      </c>
      <c r="H1778" s="178"/>
      <c r="I1778" s="478"/>
      <c r="J1778" s="49"/>
      <c r="K1778" s="2246"/>
      <c r="L1778" s="478"/>
      <c r="M1778" s="478"/>
      <c r="N1778" s="494"/>
      <c r="O1778" s="205"/>
    </row>
    <row r="1779" spans="1:17" x14ac:dyDescent="0.3">
      <c r="A1779" s="2647">
        <v>496</v>
      </c>
      <c r="B1779" s="282" t="s">
        <v>597</v>
      </c>
      <c r="C1779" s="283"/>
      <c r="D1779" s="283"/>
      <c r="E1779" s="285"/>
      <c r="F1779" s="286"/>
      <c r="G1779" s="287"/>
      <c r="H1779" s="471"/>
      <c r="I1779" s="472"/>
      <c r="J1779" s="472"/>
      <c r="K1779" s="473"/>
      <c r="L1779" s="473"/>
      <c r="M1779" s="472"/>
      <c r="N1779" s="482"/>
      <c r="O1779" s="483"/>
    </row>
    <row r="1780" spans="1:17" x14ac:dyDescent="0.3">
      <c r="A1780" s="415">
        <v>1</v>
      </c>
      <c r="B1780" s="484" t="s">
        <v>598</v>
      </c>
      <c r="C1780" s="485">
        <v>496</v>
      </c>
      <c r="D1780" s="486" t="s">
        <v>550</v>
      </c>
      <c r="E1780" s="486" t="s">
        <v>599</v>
      </c>
      <c r="F1780" s="487" t="s">
        <v>297</v>
      </c>
      <c r="G1780" s="488">
        <v>2568</v>
      </c>
      <c r="H1780" s="1759" t="s">
        <v>505</v>
      </c>
      <c r="I1780" s="224" t="s">
        <v>25</v>
      </c>
      <c r="J1780" s="489"/>
      <c r="K1780" s="2247"/>
      <c r="L1780" s="490"/>
      <c r="M1780" s="490"/>
      <c r="N1780" s="491"/>
      <c r="O1780" s="492"/>
      <c r="Q1780" s="224" t="s">
        <v>25</v>
      </c>
    </row>
    <row r="1781" spans="1:17" x14ac:dyDescent="0.3">
      <c r="A1781" s="415">
        <v>2</v>
      </c>
      <c r="B1781" s="484" t="s">
        <v>598</v>
      </c>
      <c r="C1781" s="485">
        <v>496</v>
      </c>
      <c r="D1781" s="486" t="s">
        <v>550</v>
      </c>
      <c r="E1781" s="486" t="s">
        <v>600</v>
      </c>
      <c r="F1781" s="487" t="s">
        <v>297</v>
      </c>
      <c r="G1781" s="488">
        <v>2568</v>
      </c>
      <c r="H1781" s="1759" t="s">
        <v>505</v>
      </c>
      <c r="I1781" s="224" t="s">
        <v>25</v>
      </c>
      <c r="J1781" s="489"/>
      <c r="K1781" s="2247"/>
      <c r="L1781" s="490"/>
      <c r="M1781" s="490"/>
      <c r="N1781" s="491"/>
      <c r="O1781" s="492"/>
      <c r="Q1781" s="224" t="s">
        <v>25</v>
      </c>
    </row>
    <row r="1782" spans="1:17" ht="17.399999999999999" x14ac:dyDescent="0.45">
      <c r="A1782" s="39"/>
      <c r="B1782" s="172"/>
      <c r="C1782" s="199"/>
      <c r="D1782" s="174"/>
      <c r="E1782" s="201"/>
      <c r="F1782" s="172"/>
      <c r="G1782" s="332">
        <f>SUM(G1780:G1781)</f>
        <v>5136</v>
      </c>
      <c r="H1782" s="178"/>
      <c r="I1782" s="204"/>
      <c r="J1782" s="204"/>
      <c r="K1782" s="663"/>
      <c r="L1782" s="204"/>
      <c r="M1782" s="204"/>
      <c r="N1782" s="204"/>
      <c r="O1782" s="205"/>
      <c r="Q1782" s="204"/>
    </row>
    <row r="1783" spans="1:17" ht="17.399999999999999" x14ac:dyDescent="0.45">
      <c r="G1783" s="496"/>
      <c r="Q1783" s="1">
        <f>COUNTA(Q7:Q1782)</f>
        <v>921</v>
      </c>
    </row>
    <row r="1784" spans="1:17" ht="16.2" thickBot="1" x14ac:dyDescent="0.35">
      <c r="G1784" s="499">
        <f>SUM(G1782+G1778+G1771+G1758+G1725+G1685+G1655+G1652+G1645+G1642+G1594+G1588+G1582+G1498+G854+G67+G15)</f>
        <v>4802623.379999999</v>
      </c>
    </row>
    <row r="1785" spans="1:17" ht="16.2" thickTop="1" x14ac:dyDescent="0.3">
      <c r="G1785" s="500"/>
      <c r="H1785" s="501"/>
    </row>
    <row r="1787" spans="1:17" ht="18" x14ac:dyDescent="0.35">
      <c r="B1787" s="502" t="s">
        <v>601</v>
      </c>
      <c r="C1787" s="502"/>
      <c r="D1787" s="502"/>
      <c r="E1787" s="503"/>
      <c r="F1787" s="502"/>
      <c r="G1787" s="504" t="s">
        <v>602</v>
      </c>
      <c r="I1787" s="505"/>
      <c r="J1787" s="505" t="s">
        <v>603</v>
      </c>
      <c r="K1787" s="509"/>
      <c r="L1787" s="505"/>
      <c r="M1787" s="505"/>
      <c r="O1787" s="506"/>
    </row>
    <row r="1788" spans="1:17" ht="18" x14ac:dyDescent="0.35">
      <c r="B1788" s="507" t="s">
        <v>604</v>
      </c>
      <c r="C1788" s="508"/>
      <c r="D1788" s="502"/>
      <c r="E1788" s="503"/>
      <c r="F1788" s="502"/>
      <c r="G1788" s="504"/>
      <c r="H1788" s="509" t="s">
        <v>605</v>
      </c>
      <c r="J1788" s="505"/>
      <c r="K1788" s="509"/>
      <c r="L1788" s="505"/>
      <c r="M1788" s="505"/>
      <c r="O1788" s="506"/>
    </row>
    <row r="1789" spans="1:17" ht="18" x14ac:dyDescent="0.35">
      <c r="B1789" s="507" t="s">
        <v>606</v>
      </c>
      <c r="C1789" s="508"/>
      <c r="D1789" s="502"/>
      <c r="E1789" s="503"/>
      <c r="F1789" s="502"/>
      <c r="G1789" s="504"/>
      <c r="H1789" s="509" t="s">
        <v>607</v>
      </c>
      <c r="J1789" s="505"/>
      <c r="K1789" s="509"/>
      <c r="L1789" s="505"/>
      <c r="M1789" s="505"/>
      <c r="O1789" s="506"/>
    </row>
    <row r="1790" spans="1:17" ht="18" x14ac:dyDescent="0.35">
      <c r="B1790" s="502"/>
      <c r="C1790" s="502"/>
      <c r="D1790" s="502"/>
      <c r="E1790" s="503"/>
      <c r="F1790" s="502"/>
      <c r="G1790" s="510"/>
      <c r="I1790" s="505"/>
      <c r="J1790" s="505"/>
      <c r="K1790" s="509"/>
      <c r="L1790" s="505"/>
      <c r="M1790" s="505"/>
      <c r="O1790" s="506"/>
    </row>
    <row r="1791" spans="1:17" ht="18" x14ac:dyDescent="0.35">
      <c r="B1791" s="502" t="s">
        <v>608</v>
      </c>
      <c r="C1791" s="502"/>
      <c r="D1791" s="502"/>
      <c r="E1791" s="503"/>
      <c r="F1791" s="502"/>
      <c r="G1791" s="504"/>
      <c r="I1791" s="505"/>
      <c r="J1791" s="505"/>
      <c r="K1791" s="509"/>
      <c r="L1791" s="505"/>
      <c r="M1791" s="505"/>
      <c r="O1791" s="506"/>
    </row>
    <row r="1792" spans="1:17" ht="18" x14ac:dyDescent="0.35">
      <c r="B1792" s="507" t="s">
        <v>609</v>
      </c>
      <c r="C1792" s="508"/>
      <c r="D1792" s="502"/>
      <c r="E1792" s="503"/>
      <c r="F1792" s="502"/>
      <c r="G1792" s="504"/>
      <c r="H1792" s="506"/>
      <c r="J1792" s="505"/>
      <c r="K1792" s="509"/>
      <c r="L1792" s="505"/>
      <c r="M1792" s="505"/>
      <c r="O1792" s="506"/>
    </row>
    <row r="1793" spans="1:17" ht="18" x14ac:dyDescent="0.35">
      <c r="B1793" s="507" t="s">
        <v>610</v>
      </c>
      <c r="C1793" s="508"/>
      <c r="D1793" s="502"/>
      <c r="E1793" s="503"/>
      <c r="F1793" s="502"/>
      <c r="G1793" s="504"/>
      <c r="H1793" s="506"/>
      <c r="J1793" s="505"/>
      <c r="K1793" s="509"/>
      <c r="L1793" s="505"/>
      <c r="M1793" s="505"/>
      <c r="O1793" s="506"/>
    </row>
    <row r="1797" spans="1:17" s="497" customFormat="1" x14ac:dyDescent="0.3">
      <c r="A1797" s="320"/>
      <c r="B1797" s="511" t="s">
        <v>611</v>
      </c>
      <c r="C1797" s="2840">
        <f>[2]งานธุรการ!G87</f>
        <v>487332</v>
      </c>
      <c r="D1797" s="2841"/>
      <c r="E1797" s="2841"/>
      <c r="F1797" s="438"/>
      <c r="G1797" s="512"/>
      <c r="I1797" s="1"/>
      <c r="J1797" s="1"/>
      <c r="K1797" s="764"/>
      <c r="L1797" s="1"/>
      <c r="M1797" s="1"/>
      <c r="N1797" s="1"/>
      <c r="O1797" s="498"/>
      <c r="P1797" s="1"/>
      <c r="Q1797" s="1"/>
    </row>
    <row r="1798" spans="1:17" s="497" customFormat="1" x14ac:dyDescent="0.3">
      <c r="A1798" s="320"/>
      <c r="B1798" s="511" t="s">
        <v>612</v>
      </c>
      <c r="C1798" s="2840">
        <f>[2]งานบำรุงรักษาอาคารและสถานที่!G833</f>
        <v>1420092</v>
      </c>
      <c r="D1798" s="2841"/>
      <c r="E1798" s="2841"/>
      <c r="F1798" s="438"/>
      <c r="G1798" s="512"/>
      <c r="I1798" s="1"/>
      <c r="J1798" s="1"/>
      <c r="K1798" s="764"/>
      <c r="L1798" s="1"/>
      <c r="M1798" s="1"/>
      <c r="N1798" s="1"/>
      <c r="O1798" s="498"/>
      <c r="P1798" s="1"/>
      <c r="Q1798" s="1"/>
    </row>
    <row r="1799" spans="1:17" s="497" customFormat="1" x14ac:dyDescent="0.3">
      <c r="A1799" s="320"/>
      <c r="B1799" s="511" t="s">
        <v>613</v>
      </c>
      <c r="C1799" s="2840">
        <f>[2]งานบำรุงรักษาทางและสะพาน!G13</f>
        <v>15500</v>
      </c>
      <c r="D1799" s="2840"/>
      <c r="E1799" s="2840"/>
      <c r="F1799" s="438"/>
      <c r="G1799" s="512"/>
      <c r="I1799" s="1"/>
      <c r="J1799" s="1"/>
      <c r="K1799" s="764"/>
      <c r="L1799" s="1"/>
      <c r="M1799" s="1"/>
      <c r="N1799" s="1"/>
      <c r="O1799" s="498"/>
      <c r="P1799" s="1"/>
      <c r="Q1799" s="1"/>
    </row>
    <row r="1800" spans="1:17" s="497" customFormat="1" x14ac:dyDescent="0.3">
      <c r="A1800" s="320"/>
      <c r="B1800" s="511" t="s">
        <v>614</v>
      </c>
      <c r="C1800" s="2840">
        <f>[2]งานสวนสาธารณะ!G297</f>
        <v>1866973.3800000004</v>
      </c>
      <c r="D1800" s="2841"/>
      <c r="E1800" s="2841"/>
      <c r="F1800" s="438"/>
      <c r="G1800" s="512"/>
      <c r="I1800" s="1"/>
      <c r="J1800" s="1"/>
      <c r="K1800" s="764"/>
      <c r="L1800" s="1"/>
      <c r="M1800" s="1"/>
      <c r="N1800" s="1"/>
      <c r="O1800" s="498"/>
      <c r="P1800" s="1"/>
      <c r="Q1800" s="1"/>
    </row>
    <row r="1801" spans="1:17" s="497" customFormat="1" x14ac:dyDescent="0.3">
      <c r="A1801" s="320"/>
      <c r="B1801" s="511" t="s">
        <v>615</v>
      </c>
      <c r="C1801" s="2840">
        <f>[2]กลุ่มงานเครื่องจักรกล!G32</f>
        <v>142170</v>
      </c>
      <c r="D1801" s="2841"/>
      <c r="E1801" s="2841"/>
      <c r="F1801" s="438"/>
      <c r="G1801" s="512"/>
      <c r="I1801" s="1"/>
      <c r="J1801" s="1"/>
      <c r="K1801" s="764"/>
      <c r="L1801" s="1"/>
      <c r="M1801" s="1"/>
      <c r="N1801" s="1"/>
      <c r="O1801" s="498"/>
      <c r="P1801" s="1"/>
      <c r="Q1801" s="1"/>
    </row>
    <row r="1802" spans="1:17" s="497" customFormat="1" x14ac:dyDescent="0.3">
      <c r="A1802" s="320"/>
      <c r="B1802" s="511" t="s">
        <v>616</v>
      </c>
      <c r="C1802" s="2840">
        <f>'[2]ฝ่ายช่างสุขาภิบาล(รวม)'!G89</f>
        <v>277556</v>
      </c>
      <c r="D1802" s="2841"/>
      <c r="E1802" s="2841"/>
      <c r="F1802" s="438"/>
      <c r="G1802" s="512"/>
      <c r="I1802" s="1"/>
      <c r="J1802" s="1"/>
      <c r="K1802" s="764"/>
      <c r="L1802" s="1"/>
      <c r="M1802" s="1"/>
      <c r="N1802" s="1"/>
      <c r="O1802" s="498"/>
      <c r="P1802" s="1"/>
      <c r="Q1802" s="1"/>
    </row>
    <row r="1803" spans="1:17" s="497" customFormat="1" x14ac:dyDescent="0.3">
      <c r="A1803" s="320"/>
      <c r="B1803" s="438"/>
      <c r="C1803" s="2840">
        <f>SUM(C1797:E1802)</f>
        <v>4209623.3800000008</v>
      </c>
      <c r="D1803" s="2841"/>
      <c r="E1803" s="2841"/>
      <c r="F1803" s="438"/>
      <c r="G1803" s="512">
        <f>G1784-C1803</f>
        <v>592999.99999999814</v>
      </c>
      <c r="I1803" s="1"/>
      <c r="J1803" s="1"/>
      <c r="K1803" s="764"/>
      <c r="L1803" s="1"/>
      <c r="M1803" s="1"/>
      <c r="N1803" s="1"/>
      <c r="O1803" s="498"/>
      <c r="P1803" s="1"/>
      <c r="Q1803" s="1"/>
    </row>
    <row r="1805" spans="1:17" s="497" customFormat="1" x14ac:dyDescent="0.3">
      <c r="A1805" s="320"/>
      <c r="B1805" s="320" t="s">
        <v>617</v>
      </c>
      <c r="C1805" s="438"/>
      <c r="D1805" s="438"/>
      <c r="E1805" s="495"/>
      <c r="F1805" s="438"/>
      <c r="G1805" s="512"/>
      <c r="I1805" s="1"/>
      <c r="J1805" s="1"/>
      <c r="K1805" s="764"/>
      <c r="L1805" s="1"/>
      <c r="M1805" s="1"/>
      <c r="N1805" s="1"/>
      <c r="O1805" s="498"/>
      <c r="P1805" s="1"/>
      <c r="Q1805" s="1"/>
    </row>
    <row r="1806" spans="1:17" s="497" customFormat="1" x14ac:dyDescent="0.3">
      <c r="A1806" s="320"/>
      <c r="B1806" s="511" t="s">
        <v>618</v>
      </c>
      <c r="C1806" s="438"/>
      <c r="D1806" s="2840">
        <f>'[2]ช่างสุขาภิบาล งานซ่อมแซมและบำรุ'!G11</f>
        <v>22200</v>
      </c>
      <c r="E1806" s="2841"/>
      <c r="F1806" s="438"/>
      <c r="G1806" s="512"/>
      <c r="I1806" s="1"/>
      <c r="J1806" s="1"/>
      <c r="K1806" s="764"/>
      <c r="L1806" s="1"/>
      <c r="M1806" s="1"/>
      <c r="N1806" s="1"/>
      <c r="O1806" s="498"/>
      <c r="P1806" s="1"/>
      <c r="Q1806" s="1"/>
    </row>
    <row r="1807" spans="1:17" s="497" customFormat="1" x14ac:dyDescent="0.3">
      <c r="A1807" s="320"/>
      <c r="B1807" s="511" t="s">
        <v>619</v>
      </c>
      <c r="C1807" s="438"/>
      <c r="D1807" s="2840">
        <f>'[2]ฝ่ายช่างสุขาภิบาล คุณภาพน้ำ'!G14</f>
        <v>9700</v>
      </c>
      <c r="E1807" s="2840"/>
      <c r="F1807" s="438"/>
      <c r="G1807" s="512"/>
      <c r="I1807" s="1"/>
      <c r="J1807" s="1"/>
      <c r="K1807" s="764"/>
      <c r="L1807" s="1"/>
      <c r="M1807" s="1"/>
      <c r="N1807" s="1"/>
      <c r="O1807" s="498"/>
      <c r="P1807" s="1"/>
      <c r="Q1807" s="1"/>
    </row>
    <row r="1808" spans="1:17" s="497" customFormat="1" x14ac:dyDescent="0.3">
      <c r="A1808" s="320"/>
      <c r="B1808" s="511" t="s">
        <v>620</v>
      </c>
      <c r="C1808" s="438"/>
      <c r="D1808" s="2840">
        <f>[2]สุขาภิบาลงานเครื่องจักรและซ่อม!G16</f>
        <v>8566</v>
      </c>
      <c r="E1808" s="2841"/>
      <c r="F1808" s="438"/>
      <c r="G1808" s="512"/>
      <c r="I1808" s="1"/>
      <c r="J1808" s="1"/>
      <c r="K1808" s="764"/>
      <c r="L1808" s="1"/>
      <c r="M1808" s="1"/>
      <c r="N1808" s="1"/>
      <c r="O1808" s="498"/>
      <c r="P1808" s="1"/>
      <c r="Q1808" s="1"/>
    </row>
    <row r="1809" spans="1:17" s="497" customFormat="1" x14ac:dyDescent="0.3">
      <c r="A1809" s="320"/>
      <c r="B1809" s="511" t="s">
        <v>621</v>
      </c>
      <c r="C1809" s="438"/>
      <c r="D1809" s="2840">
        <f>'[2]ฝ่ายช่างสุขาภิบาล งานกำจัดขยะมู'!G69</f>
        <v>235890</v>
      </c>
      <c r="E1809" s="2841"/>
      <c r="F1809" s="438"/>
      <c r="G1809" s="512"/>
      <c r="I1809" s="1"/>
      <c r="J1809" s="1"/>
      <c r="K1809" s="764"/>
      <c r="L1809" s="1"/>
      <c r="M1809" s="1"/>
      <c r="N1809" s="1"/>
      <c r="O1809" s="498"/>
      <c r="P1809" s="1"/>
      <c r="Q1809" s="1"/>
    </row>
    <row r="1810" spans="1:17" s="497" customFormat="1" x14ac:dyDescent="0.3">
      <c r="A1810" s="320"/>
      <c r="B1810" s="511" t="s">
        <v>622</v>
      </c>
      <c r="C1810" s="438"/>
      <c r="D1810" s="2840">
        <v>1200</v>
      </c>
      <c r="E1810" s="2841"/>
      <c r="F1810" s="438"/>
      <c r="G1810" s="512"/>
      <c r="I1810" s="1"/>
      <c r="J1810" s="1"/>
      <c r="K1810" s="764"/>
      <c r="L1810" s="1"/>
      <c r="M1810" s="1"/>
      <c r="N1810" s="1"/>
      <c r="O1810" s="498"/>
      <c r="P1810" s="1"/>
      <c r="Q1810" s="1"/>
    </row>
    <row r="1811" spans="1:17" s="497" customFormat="1" x14ac:dyDescent="0.3">
      <c r="A1811" s="320"/>
      <c r="B1811" s="438"/>
      <c r="C1811" s="438"/>
      <c r="D1811" s="2840">
        <f>SUM(D1806:E1810)</f>
        <v>277556</v>
      </c>
      <c r="E1811" s="2841"/>
      <c r="F1811" s="438"/>
      <c r="G1811" s="512">
        <f>C1802-D1811</f>
        <v>0</v>
      </c>
      <c r="I1811" s="1"/>
      <c r="J1811" s="1"/>
      <c r="K1811" s="764"/>
      <c r="L1811" s="1"/>
      <c r="M1811" s="1"/>
      <c r="N1811" s="1"/>
      <c r="O1811" s="498"/>
      <c r="P1811" s="1"/>
      <c r="Q1811" s="1"/>
    </row>
  </sheetData>
  <mergeCells count="21">
    <mergeCell ref="C1802:E1802"/>
    <mergeCell ref="A1:O1"/>
    <mergeCell ref="A2:O2"/>
    <mergeCell ref="A4:A5"/>
    <mergeCell ref="B4:B5"/>
    <mergeCell ref="C4:E5"/>
    <mergeCell ref="G4:G5"/>
    <mergeCell ref="H4:H5"/>
    <mergeCell ref="I4:N4"/>
    <mergeCell ref="C1797:E1797"/>
    <mergeCell ref="C1798:E1798"/>
    <mergeCell ref="C1799:E1799"/>
    <mergeCell ref="C1800:E1800"/>
    <mergeCell ref="C1801:E1801"/>
    <mergeCell ref="D1811:E1811"/>
    <mergeCell ref="C1803:E1803"/>
    <mergeCell ref="D1806:E1806"/>
    <mergeCell ref="D1807:E1807"/>
    <mergeCell ref="D1808:E1808"/>
    <mergeCell ref="D1809:E1809"/>
    <mergeCell ref="D1810:E1810"/>
  </mergeCells>
  <phoneticPr fontId="50" type="noConversion"/>
  <dataValidations count="1">
    <dataValidation type="decimal" operator="greaterThanOrEqual" allowBlank="1" showInputMessage="1" showErrorMessage="1" prompt="กรุณาระบุเฉพาะตัวเลขเท่านั้น" sqref="G159:G161" xr:uid="{00000000-0002-0000-0100-000000000000}">
      <formula1>0</formula1>
    </dataValidation>
  </dataValidations>
  <pageMargins left="0.31496062992125984" right="0.11811023622047245" top="0.35433070866141736" bottom="0.35433070866141736" header="0.11811023622047245" footer="0.31496062992125984"/>
  <pageSetup paperSize="9" orientation="landscape" horizontalDpi="4294967294" verticalDpi="0" r:id="rId1"/>
  <headerFooter>
    <oddHeader>&amp;R&amp;P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O166"/>
  <sheetViews>
    <sheetView zoomScale="110" zoomScaleNormal="110" workbookViewId="0">
      <selection activeCell="A6" sqref="A6:XFD7"/>
    </sheetView>
  </sheetViews>
  <sheetFormatPr defaultColWidth="9.109375" defaultRowHeight="18" customHeight="1" x14ac:dyDescent="0.3"/>
  <cols>
    <col min="1" max="1" width="5.44140625" style="320" customWidth="1"/>
    <col min="2" max="2" width="39.109375" style="1" customWidth="1"/>
    <col min="3" max="3" width="14.109375" style="1" customWidth="1"/>
    <col min="4" max="4" width="13.88671875" style="497" customWidth="1"/>
    <col min="5" max="5" width="13.88671875" style="1" customWidth="1"/>
    <col min="6" max="6" width="28.33203125" style="1" customWidth="1"/>
    <col min="7" max="10" width="5.33203125" style="1" customWidth="1"/>
    <col min="11" max="11" width="5.33203125" style="498" customWidth="1"/>
    <col min="12" max="12" width="5.33203125" style="1" customWidth="1"/>
    <col min="13" max="13" width="17.6640625" style="1" customWidth="1"/>
    <col min="14" max="16384" width="9.109375" style="1"/>
  </cols>
  <sheetData>
    <row r="1" spans="1:14" ht="18" customHeight="1" x14ac:dyDescent="0.35">
      <c r="A1" s="2842" t="s">
        <v>0</v>
      </c>
      <c r="B1" s="2842"/>
      <c r="C1" s="2842"/>
      <c r="D1" s="2842"/>
      <c r="E1" s="2842"/>
      <c r="F1" s="2843"/>
      <c r="G1" s="2842"/>
      <c r="H1" s="2842"/>
      <c r="I1" s="2842"/>
      <c r="J1" s="2842"/>
      <c r="K1" s="2842"/>
      <c r="L1" s="2842"/>
      <c r="M1" s="2842"/>
      <c r="N1" s="2620" t="s">
        <v>6394</v>
      </c>
    </row>
    <row r="2" spans="1:14" ht="18" customHeight="1" x14ac:dyDescent="0.3">
      <c r="A2" s="1"/>
      <c r="D2" s="1"/>
      <c r="K2" s="1"/>
    </row>
    <row r="3" spans="1:14" ht="18" customHeight="1" x14ac:dyDescent="0.3">
      <c r="A3" s="2861" t="s">
        <v>623</v>
      </c>
      <c r="B3" s="2861"/>
      <c r="C3" s="3"/>
      <c r="D3" s="3"/>
      <c r="E3" s="5"/>
      <c r="F3" s="7"/>
      <c r="G3" s="3"/>
      <c r="H3" s="3"/>
      <c r="I3" s="3"/>
      <c r="J3" s="3"/>
      <c r="K3" s="3"/>
      <c r="L3" s="3"/>
      <c r="M3" s="7"/>
    </row>
    <row r="4" spans="1:14" s="10" customFormat="1" ht="18" customHeight="1" x14ac:dyDescent="0.3">
      <c r="A4" s="2844" t="s">
        <v>3</v>
      </c>
      <c r="B4" s="2856" t="s">
        <v>4</v>
      </c>
      <c r="C4" s="2862" t="s">
        <v>5</v>
      </c>
      <c r="D4" s="513" t="s">
        <v>624</v>
      </c>
      <c r="E4" s="2864" t="s">
        <v>7</v>
      </c>
      <c r="F4" s="2856" t="s">
        <v>8</v>
      </c>
      <c r="G4" s="2858" t="s">
        <v>9</v>
      </c>
      <c r="H4" s="2859"/>
      <c r="I4" s="2859"/>
      <c r="J4" s="2859"/>
      <c r="K4" s="2859"/>
      <c r="L4" s="2860"/>
      <c r="M4" s="2856" t="s">
        <v>10</v>
      </c>
    </row>
    <row r="5" spans="1:14" s="10" customFormat="1" ht="18" customHeight="1" x14ac:dyDescent="0.3">
      <c r="A5" s="2845"/>
      <c r="B5" s="2857"/>
      <c r="C5" s="2863"/>
      <c r="D5" s="514" t="s">
        <v>11</v>
      </c>
      <c r="E5" s="2865"/>
      <c r="F5" s="2857"/>
      <c r="G5" s="14" t="s">
        <v>12</v>
      </c>
      <c r="H5" s="14" t="s">
        <v>13</v>
      </c>
      <c r="I5" s="15" t="s">
        <v>14</v>
      </c>
      <c r="J5" s="15" t="s">
        <v>15</v>
      </c>
      <c r="K5" s="15" t="s">
        <v>16</v>
      </c>
      <c r="L5" s="15" t="s">
        <v>17</v>
      </c>
      <c r="M5" s="2857"/>
    </row>
    <row r="6" spans="1:14" s="10" customFormat="1" ht="18" customHeight="1" x14ac:dyDescent="0.3">
      <c r="A6" s="515" t="s">
        <v>625</v>
      </c>
      <c r="B6" s="516" t="s">
        <v>626</v>
      </c>
      <c r="C6" s="517"/>
      <c r="D6" s="518"/>
      <c r="E6" s="519"/>
      <c r="F6" s="520"/>
      <c r="G6" s="521"/>
      <c r="H6" s="521"/>
      <c r="I6" s="522"/>
      <c r="J6" s="521"/>
      <c r="K6" s="522"/>
      <c r="L6" s="521"/>
      <c r="M6" s="523"/>
    </row>
    <row r="7" spans="1:14" s="10" customFormat="1" ht="18" customHeight="1" x14ac:dyDescent="0.3">
      <c r="A7" s="2346">
        <v>1</v>
      </c>
      <c r="B7" s="525" t="s">
        <v>627</v>
      </c>
      <c r="C7" s="526" t="s">
        <v>628</v>
      </c>
      <c r="D7" s="527" t="s">
        <v>629</v>
      </c>
      <c r="E7" s="528">
        <v>306000</v>
      </c>
      <c r="F7" s="529" t="s">
        <v>630</v>
      </c>
      <c r="G7" s="406"/>
      <c r="H7" s="406" t="s">
        <v>25</v>
      </c>
      <c r="I7" s="524"/>
      <c r="J7" s="524"/>
      <c r="K7" s="524"/>
      <c r="L7" s="524"/>
      <c r="M7" s="2813" t="s">
        <v>6395</v>
      </c>
    </row>
    <row r="8" spans="1:14" s="10" customFormat="1" ht="18" customHeight="1" x14ac:dyDescent="0.3">
      <c r="A8" s="2347">
        <v>2</v>
      </c>
      <c r="B8" s="531" t="s">
        <v>631</v>
      </c>
      <c r="C8" s="532" t="s">
        <v>632</v>
      </c>
      <c r="D8" s="533">
        <v>14759</v>
      </c>
      <c r="E8" s="534">
        <v>1297000</v>
      </c>
      <c r="F8" s="535" t="s">
        <v>633</v>
      </c>
      <c r="G8" s="121" t="s">
        <v>25</v>
      </c>
      <c r="H8" s="121"/>
      <c r="I8" s="121"/>
      <c r="J8" s="121"/>
      <c r="K8" s="121"/>
      <c r="L8" s="121"/>
      <c r="M8" s="2328" t="s">
        <v>109</v>
      </c>
    </row>
    <row r="9" spans="1:14" s="10" customFormat="1" ht="18" customHeight="1" x14ac:dyDescent="0.3">
      <c r="A9" s="2302">
        <v>3</v>
      </c>
      <c r="B9" s="536" t="s">
        <v>634</v>
      </c>
      <c r="C9" s="532" t="s">
        <v>635</v>
      </c>
      <c r="D9" s="533">
        <v>17939</v>
      </c>
      <c r="E9" s="534">
        <v>1150000</v>
      </c>
      <c r="F9" s="535" t="s">
        <v>630</v>
      </c>
      <c r="G9" s="121" t="s">
        <v>25</v>
      </c>
      <c r="H9" s="121"/>
      <c r="I9" s="121"/>
      <c r="J9" s="121"/>
      <c r="K9" s="121"/>
      <c r="L9" s="121"/>
      <c r="M9" s="2328" t="s">
        <v>109</v>
      </c>
    </row>
    <row r="10" spans="1:14" s="10" customFormat="1" ht="18" customHeight="1" x14ac:dyDescent="0.3">
      <c r="A10" s="2347">
        <v>4</v>
      </c>
      <c r="B10" s="536" t="s">
        <v>636</v>
      </c>
      <c r="C10" s="532" t="s">
        <v>637</v>
      </c>
      <c r="D10" s="533" t="s">
        <v>638</v>
      </c>
      <c r="E10" s="534">
        <v>979000</v>
      </c>
      <c r="F10" s="535" t="s">
        <v>630</v>
      </c>
      <c r="G10" s="121" t="s">
        <v>25</v>
      </c>
      <c r="H10" s="121"/>
      <c r="I10" s="121"/>
      <c r="J10" s="121"/>
      <c r="K10" s="121"/>
      <c r="L10" s="121"/>
      <c r="M10" s="2328" t="s">
        <v>109</v>
      </c>
    </row>
    <row r="11" spans="1:14" s="10" customFormat="1" ht="18" customHeight="1" x14ac:dyDescent="0.3">
      <c r="A11" s="2302">
        <v>5</v>
      </c>
      <c r="B11" s="537" t="s">
        <v>639</v>
      </c>
      <c r="C11" s="532" t="s">
        <v>640</v>
      </c>
      <c r="D11" s="533">
        <v>19086</v>
      </c>
      <c r="E11" s="534">
        <v>1192000</v>
      </c>
      <c r="F11" s="535" t="s">
        <v>630</v>
      </c>
      <c r="G11" s="121" t="s">
        <v>25</v>
      </c>
      <c r="H11" s="121"/>
      <c r="I11" s="121"/>
      <c r="J11" s="121"/>
      <c r="K11" s="121"/>
      <c r="L11" s="121"/>
      <c r="M11" s="2328" t="s">
        <v>109</v>
      </c>
    </row>
    <row r="12" spans="1:14" s="10" customFormat="1" ht="18" customHeight="1" x14ac:dyDescent="0.3">
      <c r="A12" s="2347">
        <v>6</v>
      </c>
      <c r="B12" s="313" t="s">
        <v>641</v>
      </c>
      <c r="C12" s="538" t="s">
        <v>642</v>
      </c>
      <c r="D12" s="539">
        <v>21194</v>
      </c>
      <c r="E12" s="540">
        <v>1293000</v>
      </c>
      <c r="F12" s="535" t="s">
        <v>630</v>
      </c>
      <c r="G12" s="121" t="s">
        <v>25</v>
      </c>
      <c r="H12" s="541"/>
      <c r="I12" s="541"/>
      <c r="J12" s="541"/>
      <c r="K12" s="541"/>
      <c r="L12" s="541"/>
      <c r="M12" s="2328" t="s">
        <v>109</v>
      </c>
    </row>
    <row r="13" spans="1:14" s="10" customFormat="1" ht="18" customHeight="1" x14ac:dyDescent="0.3">
      <c r="A13" s="2348">
        <v>7</v>
      </c>
      <c r="B13" s="543" t="s">
        <v>643</v>
      </c>
      <c r="C13" s="538" t="s">
        <v>644</v>
      </c>
      <c r="D13" s="544">
        <v>22921</v>
      </c>
      <c r="E13" s="545">
        <v>1235000</v>
      </c>
      <c r="F13" s="535" t="s">
        <v>630</v>
      </c>
      <c r="G13" s="121" t="s">
        <v>25</v>
      </c>
      <c r="H13" s="546"/>
      <c r="I13" s="546"/>
      <c r="J13" s="546"/>
      <c r="K13" s="546"/>
      <c r="L13" s="546"/>
      <c r="M13" s="2328" t="s">
        <v>109</v>
      </c>
    </row>
    <row r="14" spans="1:14" s="10" customFormat="1" ht="18" customHeight="1" x14ac:dyDescent="0.3">
      <c r="A14" s="547"/>
      <c r="B14" s="204"/>
      <c r="C14" s="548"/>
      <c r="D14" s="549"/>
      <c r="E14" s="550">
        <f>SUM(E7:E13)</f>
        <v>7452000</v>
      </c>
      <c r="F14" s="551"/>
      <c r="G14" s="552"/>
      <c r="H14" s="553"/>
      <c r="I14" s="553"/>
      <c r="J14" s="553"/>
      <c r="K14" s="553"/>
      <c r="L14" s="553"/>
      <c r="M14" s="554"/>
    </row>
    <row r="15" spans="1:14" s="10" customFormat="1" ht="18" customHeight="1" x14ac:dyDescent="0.3">
      <c r="A15" s="555" t="s">
        <v>645</v>
      </c>
      <c r="B15" s="516" t="s">
        <v>646</v>
      </c>
      <c r="C15" s="517"/>
      <c r="D15" s="556"/>
      <c r="E15" s="519"/>
      <c r="F15" s="520"/>
      <c r="G15" s="557"/>
      <c r="H15" s="557"/>
      <c r="I15" s="558"/>
      <c r="J15" s="557"/>
      <c r="K15" s="558"/>
      <c r="L15" s="557"/>
      <c r="M15" s="559"/>
    </row>
    <row r="16" spans="1:14" s="10" customFormat="1" ht="18" customHeight="1" x14ac:dyDescent="0.3">
      <c r="A16" s="2339">
        <v>1</v>
      </c>
      <c r="B16" s="560" t="s">
        <v>647</v>
      </c>
      <c r="C16" s="561" t="s">
        <v>648</v>
      </c>
      <c r="D16" s="562">
        <v>10638</v>
      </c>
      <c r="E16" s="563">
        <v>294500</v>
      </c>
      <c r="F16" s="1722" t="s">
        <v>649</v>
      </c>
      <c r="G16" s="564" t="s">
        <v>25</v>
      </c>
      <c r="H16" s="565"/>
      <c r="I16" s="565"/>
      <c r="J16" s="565"/>
      <c r="K16" s="565"/>
      <c r="L16" s="565"/>
      <c r="M16" s="566"/>
    </row>
    <row r="17" spans="1:14" s="10" customFormat="1" ht="18" customHeight="1" x14ac:dyDescent="0.3">
      <c r="A17" s="2302">
        <v>2</v>
      </c>
      <c r="B17" s="567" t="s">
        <v>650</v>
      </c>
      <c r="C17" s="129" t="s">
        <v>651</v>
      </c>
      <c r="D17" s="533">
        <v>10754</v>
      </c>
      <c r="E17" s="568">
        <v>225000</v>
      </c>
      <c r="F17" s="1723" t="s">
        <v>391</v>
      </c>
      <c r="G17" s="121"/>
      <c r="H17" s="121"/>
      <c r="I17" s="121" t="s">
        <v>25</v>
      </c>
      <c r="J17" s="121"/>
      <c r="K17" s="121"/>
      <c r="L17" s="121"/>
      <c r="M17" s="2623" t="s">
        <v>6395</v>
      </c>
      <c r="N17" s="10">
        <v>1</v>
      </c>
    </row>
    <row r="18" spans="1:14" s="10" customFormat="1" ht="18" customHeight="1" x14ac:dyDescent="0.3">
      <c r="A18" s="2302">
        <v>3</v>
      </c>
      <c r="B18" s="567" t="s">
        <v>653</v>
      </c>
      <c r="C18" s="129" t="s">
        <v>654</v>
      </c>
      <c r="D18" s="533">
        <v>11572</v>
      </c>
      <c r="E18" s="568">
        <v>590000</v>
      </c>
      <c r="F18" s="570" t="s">
        <v>655</v>
      </c>
      <c r="G18" s="121" t="s">
        <v>25</v>
      </c>
      <c r="H18" s="121"/>
      <c r="I18" s="121"/>
      <c r="J18" s="121"/>
      <c r="K18" s="121"/>
      <c r="L18" s="121"/>
      <c r="M18" s="2328" t="s">
        <v>109</v>
      </c>
    </row>
    <row r="19" spans="1:14" s="10" customFormat="1" ht="18" customHeight="1" x14ac:dyDescent="0.3">
      <c r="A19" s="2302">
        <v>4</v>
      </c>
      <c r="B19" s="567" t="s">
        <v>647</v>
      </c>
      <c r="C19" s="129" t="s">
        <v>656</v>
      </c>
      <c r="D19" s="533">
        <v>12587</v>
      </c>
      <c r="E19" s="568">
        <v>1497000</v>
      </c>
      <c r="F19" s="1723" t="s">
        <v>391</v>
      </c>
      <c r="G19" s="34" t="s">
        <v>25</v>
      </c>
      <c r="H19" s="147"/>
      <c r="I19" s="147"/>
      <c r="J19" s="147"/>
      <c r="K19" s="147"/>
      <c r="L19" s="147"/>
      <c r="M19" s="2267"/>
    </row>
    <row r="20" spans="1:14" s="10" customFormat="1" ht="18" customHeight="1" x14ac:dyDescent="0.3">
      <c r="A20" s="2302">
        <v>5</v>
      </c>
      <c r="B20" s="567" t="s">
        <v>657</v>
      </c>
      <c r="C20" s="129" t="s">
        <v>658</v>
      </c>
      <c r="D20" s="533">
        <v>12548</v>
      </c>
      <c r="E20" s="568">
        <v>465000</v>
      </c>
      <c r="F20" s="570" t="s">
        <v>659</v>
      </c>
      <c r="G20" s="121" t="s">
        <v>25</v>
      </c>
      <c r="H20" s="121"/>
      <c r="I20" s="121"/>
      <c r="J20" s="121"/>
      <c r="K20" s="121"/>
      <c r="L20" s="121"/>
      <c r="M20" s="2328" t="s">
        <v>109</v>
      </c>
    </row>
    <row r="21" spans="1:14" s="10" customFormat="1" ht="18" customHeight="1" x14ac:dyDescent="0.3">
      <c r="A21" s="2302">
        <v>6</v>
      </c>
      <c r="B21" s="567" t="s">
        <v>660</v>
      </c>
      <c r="C21" s="129" t="s">
        <v>661</v>
      </c>
      <c r="D21" s="533">
        <v>12744</v>
      </c>
      <c r="E21" s="568">
        <v>574000</v>
      </c>
      <c r="F21" s="570" t="s">
        <v>659</v>
      </c>
      <c r="G21" s="121" t="s">
        <v>25</v>
      </c>
      <c r="H21" s="121"/>
      <c r="I21" s="121"/>
      <c r="J21" s="121"/>
      <c r="K21" s="121"/>
      <c r="L21" s="121"/>
      <c r="M21" s="2328" t="s">
        <v>109</v>
      </c>
    </row>
    <row r="22" spans="1:14" s="10" customFormat="1" ht="18" customHeight="1" x14ac:dyDescent="0.3">
      <c r="A22" s="2302">
        <v>7</v>
      </c>
      <c r="B22" s="567" t="s">
        <v>653</v>
      </c>
      <c r="C22" s="129" t="s">
        <v>662</v>
      </c>
      <c r="D22" s="533">
        <v>12912</v>
      </c>
      <c r="E22" s="568">
        <v>577000</v>
      </c>
      <c r="F22" s="570" t="s">
        <v>659</v>
      </c>
      <c r="G22" s="121" t="s">
        <v>25</v>
      </c>
      <c r="H22" s="121"/>
      <c r="I22" s="121"/>
      <c r="J22" s="121"/>
      <c r="K22" s="121"/>
      <c r="L22" s="121"/>
      <c r="M22" s="2328" t="s">
        <v>109</v>
      </c>
    </row>
    <row r="23" spans="1:14" s="10" customFormat="1" ht="18" customHeight="1" x14ac:dyDescent="0.3">
      <c r="A23" s="2302">
        <v>8</v>
      </c>
      <c r="B23" s="567" t="s">
        <v>663</v>
      </c>
      <c r="C23" s="129" t="s">
        <v>664</v>
      </c>
      <c r="D23" s="533">
        <v>12912</v>
      </c>
      <c r="E23" s="568">
        <v>347000</v>
      </c>
      <c r="F23" s="1723" t="s">
        <v>391</v>
      </c>
      <c r="G23" s="121" t="s">
        <v>25</v>
      </c>
      <c r="H23" s="121"/>
      <c r="I23" s="121"/>
      <c r="J23" s="121"/>
      <c r="K23" s="121"/>
      <c r="L23" s="121"/>
      <c r="M23" s="2349" t="s">
        <v>652</v>
      </c>
    </row>
    <row r="24" spans="1:14" s="10" customFormat="1" ht="18" customHeight="1" x14ac:dyDescent="0.3">
      <c r="A24" s="2302">
        <v>9</v>
      </c>
      <c r="B24" s="567" t="s">
        <v>665</v>
      </c>
      <c r="C24" s="129" t="s">
        <v>666</v>
      </c>
      <c r="D24" s="533">
        <v>13688</v>
      </c>
      <c r="E24" s="568">
        <v>530000</v>
      </c>
      <c r="F24" s="1730" t="s">
        <v>667</v>
      </c>
      <c r="G24" s="34" t="s">
        <v>25</v>
      </c>
      <c r="H24" s="147"/>
      <c r="I24" s="147"/>
      <c r="J24" s="147"/>
      <c r="K24" s="147"/>
      <c r="L24" s="147"/>
      <c r="M24" s="2267" t="s">
        <v>5891</v>
      </c>
    </row>
    <row r="25" spans="1:14" s="10" customFormat="1" ht="18" customHeight="1" x14ac:dyDescent="0.3">
      <c r="A25" s="2302">
        <v>10</v>
      </c>
      <c r="B25" s="567" t="s">
        <v>668</v>
      </c>
      <c r="C25" s="129" t="s">
        <v>669</v>
      </c>
      <c r="D25" s="533">
        <v>14534</v>
      </c>
      <c r="E25" s="568">
        <v>501000</v>
      </c>
      <c r="F25" s="570" t="s">
        <v>659</v>
      </c>
      <c r="G25" s="121" t="s">
        <v>25</v>
      </c>
      <c r="H25" s="121"/>
      <c r="I25" s="121"/>
      <c r="J25" s="121"/>
      <c r="K25" s="121"/>
      <c r="L25" s="121"/>
      <c r="M25" s="2328" t="s">
        <v>109</v>
      </c>
    </row>
    <row r="26" spans="1:14" s="10" customFormat="1" ht="18" customHeight="1" x14ac:dyDescent="0.3">
      <c r="A26" s="2302">
        <v>11</v>
      </c>
      <c r="B26" s="567" t="s">
        <v>670</v>
      </c>
      <c r="C26" s="129" t="s">
        <v>671</v>
      </c>
      <c r="D26" s="533">
        <v>14652</v>
      </c>
      <c r="E26" s="568">
        <v>375300</v>
      </c>
      <c r="F26" s="570" t="s">
        <v>659</v>
      </c>
      <c r="G26" s="121" t="s">
        <v>25</v>
      </c>
      <c r="H26" s="121"/>
      <c r="I26" s="121"/>
      <c r="J26" s="121"/>
      <c r="K26" s="121"/>
      <c r="L26" s="121"/>
      <c r="M26" s="2328" t="s">
        <v>109</v>
      </c>
    </row>
    <row r="27" spans="1:14" s="10" customFormat="1" ht="18" customHeight="1" x14ac:dyDescent="0.3">
      <c r="A27" s="2302">
        <v>12</v>
      </c>
      <c r="B27" s="567" t="s">
        <v>653</v>
      </c>
      <c r="C27" s="129" t="s">
        <v>672</v>
      </c>
      <c r="D27" s="533">
        <v>14744</v>
      </c>
      <c r="E27" s="568">
        <v>519000</v>
      </c>
      <c r="F27" s="570" t="s">
        <v>659</v>
      </c>
      <c r="G27" s="121" t="s">
        <v>25</v>
      </c>
      <c r="H27" s="121"/>
      <c r="I27" s="121"/>
      <c r="J27" s="121"/>
      <c r="K27" s="121"/>
      <c r="L27" s="121"/>
      <c r="M27" s="2328" t="s">
        <v>109</v>
      </c>
    </row>
    <row r="28" spans="1:14" s="10" customFormat="1" ht="18" customHeight="1" x14ac:dyDescent="0.3">
      <c r="A28" s="2302">
        <v>13</v>
      </c>
      <c r="B28" s="567" t="s">
        <v>673</v>
      </c>
      <c r="C28" s="129" t="s">
        <v>674</v>
      </c>
      <c r="D28" s="533">
        <v>15326</v>
      </c>
      <c r="E28" s="568">
        <v>450000</v>
      </c>
      <c r="F28" s="1730" t="s">
        <v>667</v>
      </c>
      <c r="G28" s="34" t="s">
        <v>25</v>
      </c>
      <c r="H28" s="147"/>
      <c r="I28" s="147"/>
      <c r="J28" s="147"/>
      <c r="K28" s="147"/>
      <c r="L28" s="147"/>
      <c r="M28" s="2267" t="s">
        <v>5892</v>
      </c>
    </row>
    <row r="29" spans="1:14" s="10" customFormat="1" ht="18" customHeight="1" x14ac:dyDescent="0.3">
      <c r="A29" s="2302">
        <v>14</v>
      </c>
      <c r="B29" s="571" t="s">
        <v>675</v>
      </c>
      <c r="C29" s="152" t="s">
        <v>676</v>
      </c>
      <c r="D29" s="533">
        <v>15213</v>
      </c>
      <c r="E29" s="572">
        <v>347500</v>
      </c>
      <c r="F29" s="1729" t="s">
        <v>677</v>
      </c>
      <c r="G29" s="121" t="s">
        <v>25</v>
      </c>
      <c r="H29" s="121"/>
      <c r="I29" s="121"/>
      <c r="J29" s="121"/>
      <c r="K29" s="121"/>
      <c r="L29" s="121"/>
      <c r="M29" s="2328" t="s">
        <v>109</v>
      </c>
    </row>
    <row r="30" spans="1:14" s="10" customFormat="1" ht="18" customHeight="1" x14ac:dyDescent="0.3">
      <c r="A30" s="2302">
        <v>15</v>
      </c>
      <c r="B30" s="567" t="s">
        <v>678</v>
      </c>
      <c r="C30" s="129" t="s">
        <v>679</v>
      </c>
      <c r="D30" s="533">
        <v>15249</v>
      </c>
      <c r="E30" s="568">
        <v>390000</v>
      </c>
      <c r="F30" s="570" t="s">
        <v>655</v>
      </c>
      <c r="G30" s="121" t="s">
        <v>25</v>
      </c>
      <c r="H30" s="121"/>
      <c r="I30" s="121"/>
      <c r="J30" s="121"/>
      <c r="K30" s="121"/>
      <c r="L30" s="121"/>
      <c r="M30" s="2328" t="s">
        <v>109</v>
      </c>
    </row>
    <row r="31" spans="1:14" s="10" customFormat="1" ht="18" customHeight="1" x14ac:dyDescent="0.3">
      <c r="A31" s="2302">
        <v>16</v>
      </c>
      <c r="B31" s="567" t="s">
        <v>678</v>
      </c>
      <c r="C31" s="129" t="s">
        <v>680</v>
      </c>
      <c r="D31" s="533">
        <v>15249</v>
      </c>
      <c r="E31" s="568">
        <v>390000</v>
      </c>
      <c r="F31" s="570" t="s">
        <v>659</v>
      </c>
      <c r="G31" s="121" t="s">
        <v>25</v>
      </c>
      <c r="H31" s="121"/>
      <c r="I31" s="121"/>
      <c r="J31" s="121"/>
      <c r="K31" s="121"/>
      <c r="L31" s="121"/>
      <c r="M31" s="2328" t="s">
        <v>109</v>
      </c>
    </row>
    <row r="32" spans="1:14" s="10" customFormat="1" ht="18" customHeight="1" x14ac:dyDescent="0.3">
      <c r="A32" s="2302">
        <v>17</v>
      </c>
      <c r="B32" s="567" t="s">
        <v>678</v>
      </c>
      <c r="C32" s="129" t="s">
        <v>681</v>
      </c>
      <c r="D32" s="533">
        <v>15249</v>
      </c>
      <c r="E32" s="568">
        <v>390000</v>
      </c>
      <c r="F32" s="570" t="s">
        <v>659</v>
      </c>
      <c r="G32" s="121" t="s">
        <v>25</v>
      </c>
      <c r="H32" s="121"/>
      <c r="I32" s="121"/>
      <c r="J32" s="121"/>
      <c r="K32" s="121"/>
      <c r="L32" s="121"/>
      <c r="M32" s="2328" t="s">
        <v>109</v>
      </c>
    </row>
    <row r="33" spans="1:13" s="10" customFormat="1" ht="18" customHeight="1" x14ac:dyDescent="0.3">
      <c r="A33" s="2302">
        <v>18</v>
      </c>
      <c r="B33" s="567" t="s">
        <v>682</v>
      </c>
      <c r="C33" s="129" t="s">
        <v>683</v>
      </c>
      <c r="D33" s="533">
        <v>16004</v>
      </c>
      <c r="E33" s="568">
        <v>481000</v>
      </c>
      <c r="F33" s="570" t="s">
        <v>655</v>
      </c>
      <c r="G33" s="121" t="s">
        <v>25</v>
      </c>
      <c r="H33" s="121"/>
      <c r="I33" s="121"/>
      <c r="J33" s="121"/>
      <c r="K33" s="121"/>
      <c r="L33" s="121"/>
      <c r="M33" s="2328" t="s">
        <v>109</v>
      </c>
    </row>
    <row r="34" spans="1:13" s="10" customFormat="1" ht="18" customHeight="1" x14ac:dyDescent="0.3">
      <c r="A34" s="2302">
        <v>19</v>
      </c>
      <c r="B34" s="567" t="s">
        <v>684</v>
      </c>
      <c r="C34" s="129" t="s">
        <v>685</v>
      </c>
      <c r="D34" s="533">
        <v>16054</v>
      </c>
      <c r="E34" s="568">
        <v>431435</v>
      </c>
      <c r="F34" s="570" t="s">
        <v>659</v>
      </c>
      <c r="G34" s="121" t="s">
        <v>25</v>
      </c>
      <c r="H34" s="121"/>
      <c r="I34" s="121"/>
      <c r="J34" s="121"/>
      <c r="K34" s="121"/>
      <c r="L34" s="121"/>
      <c r="M34" s="2328" t="s">
        <v>109</v>
      </c>
    </row>
    <row r="35" spans="1:13" s="10" customFormat="1" ht="18" customHeight="1" x14ac:dyDescent="0.3">
      <c r="A35" s="2302">
        <v>20</v>
      </c>
      <c r="B35" s="567" t="s">
        <v>686</v>
      </c>
      <c r="C35" s="129" t="s">
        <v>687</v>
      </c>
      <c r="D35" s="533">
        <v>16061</v>
      </c>
      <c r="E35" s="568">
        <v>393900</v>
      </c>
      <c r="F35" s="570" t="s">
        <v>659</v>
      </c>
      <c r="G35" s="121" t="s">
        <v>25</v>
      </c>
      <c r="H35" s="121"/>
      <c r="I35" s="121"/>
      <c r="J35" s="121"/>
      <c r="K35" s="121"/>
      <c r="L35" s="121"/>
      <c r="M35" s="2328" t="s">
        <v>109</v>
      </c>
    </row>
    <row r="36" spans="1:13" s="10" customFormat="1" ht="18" customHeight="1" x14ac:dyDescent="0.3">
      <c r="A36" s="2302">
        <v>21</v>
      </c>
      <c r="B36" s="567" t="s">
        <v>686</v>
      </c>
      <c r="C36" s="129" t="s">
        <v>688</v>
      </c>
      <c r="D36" s="533">
        <v>16061</v>
      </c>
      <c r="E36" s="568">
        <v>393900</v>
      </c>
      <c r="F36" s="570" t="s">
        <v>655</v>
      </c>
      <c r="G36" s="121" t="s">
        <v>25</v>
      </c>
      <c r="H36" s="121"/>
      <c r="I36" s="121"/>
      <c r="J36" s="121"/>
      <c r="K36" s="121"/>
      <c r="L36" s="121"/>
      <c r="M36" s="2328" t="s">
        <v>109</v>
      </c>
    </row>
    <row r="37" spans="1:13" s="10" customFormat="1" ht="18" customHeight="1" x14ac:dyDescent="0.3">
      <c r="A37" s="2302">
        <v>22</v>
      </c>
      <c r="B37" s="567" t="s">
        <v>689</v>
      </c>
      <c r="C37" s="129" t="s">
        <v>690</v>
      </c>
      <c r="D37" s="533">
        <v>16623</v>
      </c>
      <c r="E37" s="568">
        <v>439800</v>
      </c>
      <c r="F37" s="570" t="s">
        <v>659</v>
      </c>
      <c r="G37" s="121" t="s">
        <v>25</v>
      </c>
      <c r="H37" s="121"/>
      <c r="I37" s="121"/>
      <c r="J37" s="121"/>
      <c r="K37" s="121"/>
      <c r="L37" s="121"/>
      <c r="M37" s="2328" t="s">
        <v>109</v>
      </c>
    </row>
    <row r="38" spans="1:13" s="10" customFormat="1" ht="18" customHeight="1" x14ac:dyDescent="0.3">
      <c r="A38" s="2302">
        <v>23</v>
      </c>
      <c r="B38" s="567" t="s">
        <v>668</v>
      </c>
      <c r="C38" s="129" t="s">
        <v>691</v>
      </c>
      <c r="D38" s="533">
        <v>17025</v>
      </c>
      <c r="E38" s="568">
        <v>499380</v>
      </c>
      <c r="F38" s="570" t="s">
        <v>659</v>
      </c>
      <c r="G38" s="121" t="s">
        <v>25</v>
      </c>
      <c r="H38" s="121"/>
      <c r="I38" s="121"/>
      <c r="J38" s="121"/>
      <c r="K38" s="121"/>
      <c r="L38" s="121"/>
      <c r="M38" s="2328" t="s">
        <v>109</v>
      </c>
    </row>
    <row r="39" spans="1:13" s="10" customFormat="1" ht="18" customHeight="1" x14ac:dyDescent="0.3">
      <c r="A39" s="2302">
        <v>24</v>
      </c>
      <c r="B39" s="567" t="s">
        <v>668</v>
      </c>
      <c r="C39" s="129" t="s">
        <v>692</v>
      </c>
      <c r="D39" s="533">
        <v>17025</v>
      </c>
      <c r="E39" s="568">
        <v>499380</v>
      </c>
      <c r="F39" s="570" t="s">
        <v>659</v>
      </c>
      <c r="G39" s="121" t="s">
        <v>25</v>
      </c>
      <c r="H39" s="121"/>
      <c r="I39" s="121"/>
      <c r="J39" s="121"/>
      <c r="K39" s="121"/>
      <c r="L39" s="121"/>
      <c r="M39" s="2328" t="s">
        <v>109</v>
      </c>
    </row>
    <row r="40" spans="1:13" s="10" customFormat="1" ht="18" customHeight="1" x14ac:dyDescent="0.3">
      <c r="A40" s="2302">
        <v>25</v>
      </c>
      <c r="B40" s="567" t="s">
        <v>693</v>
      </c>
      <c r="C40" s="129" t="s">
        <v>694</v>
      </c>
      <c r="D40" s="533">
        <v>17237</v>
      </c>
      <c r="E40" s="568">
        <v>419500</v>
      </c>
      <c r="F40" s="570" t="s">
        <v>659</v>
      </c>
      <c r="G40" s="121" t="s">
        <v>25</v>
      </c>
      <c r="H40" s="121"/>
      <c r="I40" s="121"/>
      <c r="J40" s="121"/>
      <c r="K40" s="121"/>
      <c r="L40" s="121"/>
      <c r="M40" s="2328" t="s">
        <v>109</v>
      </c>
    </row>
    <row r="41" spans="1:13" ht="18" customHeight="1" x14ac:dyDescent="0.3">
      <c r="A41" s="2302">
        <v>26</v>
      </c>
      <c r="B41" s="567" t="s">
        <v>653</v>
      </c>
      <c r="C41" s="129" t="s">
        <v>695</v>
      </c>
      <c r="D41" s="533">
        <v>17875</v>
      </c>
      <c r="E41" s="568">
        <v>629900</v>
      </c>
      <c r="F41" s="570" t="s">
        <v>659</v>
      </c>
      <c r="G41" s="121" t="s">
        <v>25</v>
      </c>
      <c r="H41" s="121"/>
      <c r="I41" s="121"/>
      <c r="J41" s="121"/>
      <c r="K41" s="121"/>
      <c r="L41" s="121"/>
      <c r="M41" s="2328" t="s">
        <v>109</v>
      </c>
    </row>
    <row r="42" spans="1:13" ht="18" customHeight="1" x14ac:dyDescent="0.3">
      <c r="A42" s="2302">
        <v>27</v>
      </c>
      <c r="B42" s="567" t="s">
        <v>653</v>
      </c>
      <c r="C42" s="129" t="s">
        <v>696</v>
      </c>
      <c r="D42" s="533">
        <v>17936</v>
      </c>
      <c r="E42" s="568">
        <v>720000</v>
      </c>
      <c r="F42" s="570" t="s">
        <v>659</v>
      </c>
      <c r="G42" s="121" t="s">
        <v>25</v>
      </c>
      <c r="H42" s="121"/>
      <c r="I42" s="121"/>
      <c r="J42" s="121"/>
      <c r="K42" s="121"/>
      <c r="L42" s="121"/>
      <c r="M42" s="2328" t="s">
        <v>109</v>
      </c>
    </row>
    <row r="43" spans="1:13" ht="18" customHeight="1" x14ac:dyDescent="0.3">
      <c r="A43" s="2302">
        <v>28</v>
      </c>
      <c r="B43" s="567" t="s">
        <v>653</v>
      </c>
      <c r="C43" s="129" t="s">
        <v>697</v>
      </c>
      <c r="D43" s="533">
        <v>17936</v>
      </c>
      <c r="E43" s="568">
        <v>720000</v>
      </c>
      <c r="F43" s="570" t="s">
        <v>659</v>
      </c>
      <c r="G43" s="121" t="s">
        <v>25</v>
      </c>
      <c r="H43" s="121"/>
      <c r="I43" s="121"/>
      <c r="J43" s="121"/>
      <c r="K43" s="121"/>
      <c r="L43" s="121"/>
      <c r="M43" s="2328" t="s">
        <v>109</v>
      </c>
    </row>
    <row r="44" spans="1:13" ht="18" customHeight="1" x14ac:dyDescent="0.3">
      <c r="A44" s="2302">
        <v>29</v>
      </c>
      <c r="B44" s="567" t="s">
        <v>653</v>
      </c>
      <c r="C44" s="129" t="s">
        <v>698</v>
      </c>
      <c r="D44" s="533">
        <v>19114</v>
      </c>
      <c r="E44" s="568">
        <v>615950</v>
      </c>
      <c r="F44" s="570" t="s">
        <v>659</v>
      </c>
      <c r="G44" s="121" t="s">
        <v>25</v>
      </c>
      <c r="H44" s="121"/>
      <c r="I44" s="121"/>
      <c r="J44" s="121"/>
      <c r="K44" s="121"/>
      <c r="L44" s="121"/>
      <c r="M44" s="2328" t="s">
        <v>109</v>
      </c>
    </row>
    <row r="45" spans="1:13" ht="18" customHeight="1" x14ac:dyDescent="0.3">
      <c r="A45" s="2302">
        <v>30</v>
      </c>
      <c r="B45" s="567" t="s">
        <v>653</v>
      </c>
      <c r="C45" s="573" t="s">
        <v>699</v>
      </c>
      <c r="D45" s="574">
        <v>20402</v>
      </c>
      <c r="E45" s="575">
        <v>623525.32999999996</v>
      </c>
      <c r="F45" s="576" t="s">
        <v>659</v>
      </c>
      <c r="G45" s="121" t="s">
        <v>25</v>
      </c>
      <c r="H45" s="543"/>
      <c r="I45" s="543"/>
      <c r="J45" s="543"/>
      <c r="K45" s="543"/>
      <c r="L45" s="543"/>
      <c r="M45" s="314"/>
    </row>
    <row r="46" spans="1:13" ht="18" customHeight="1" x14ac:dyDescent="0.3">
      <c r="A46" s="2395">
        <v>31</v>
      </c>
      <c r="B46" s="578" t="s">
        <v>4810</v>
      </c>
      <c r="C46" s="1715" t="s">
        <v>4811</v>
      </c>
      <c r="D46" s="598" t="s">
        <v>4809</v>
      </c>
      <c r="E46" s="1716">
        <v>1220000</v>
      </c>
      <c r="F46" s="1717" t="s">
        <v>215</v>
      </c>
      <c r="G46" s="121" t="s">
        <v>25</v>
      </c>
      <c r="H46" s="543"/>
      <c r="I46" s="543"/>
      <c r="J46" s="543"/>
      <c r="K46" s="543"/>
      <c r="L46" s="543"/>
      <c r="M46" s="583"/>
    </row>
    <row r="47" spans="1:13" ht="18" customHeight="1" thickBot="1" x14ac:dyDescent="0.35">
      <c r="A47" s="577"/>
      <c r="B47" s="578"/>
      <c r="C47" s="579"/>
      <c r="D47" s="580"/>
      <c r="E47" s="581">
        <f>SUM(E16:E46)</f>
        <v>16549970.33</v>
      </c>
      <c r="G47" s="582"/>
      <c r="H47" s="204"/>
      <c r="I47" s="204"/>
      <c r="J47" s="204"/>
      <c r="K47" s="204"/>
      <c r="L47" s="204"/>
      <c r="M47" s="583"/>
    </row>
    <row r="48" spans="1:13" ht="18" customHeight="1" thickTop="1" x14ac:dyDescent="0.3">
      <c r="A48" s="584" t="s">
        <v>700</v>
      </c>
      <c r="B48" s="585" t="s">
        <v>701</v>
      </c>
      <c r="C48" s="586"/>
      <c r="D48" s="587"/>
      <c r="E48" s="588"/>
      <c r="F48" s="589"/>
      <c r="G48" s="590"/>
      <c r="H48" s="521"/>
      <c r="I48" s="522"/>
      <c r="J48" s="521"/>
      <c r="K48" s="521"/>
      <c r="L48" s="591"/>
      <c r="M48" s="592"/>
    </row>
    <row r="49" spans="1:13" ht="18" customHeight="1" x14ac:dyDescent="0.3">
      <c r="A49" s="2339">
        <v>1</v>
      </c>
      <c r="B49" s="337" t="s">
        <v>702</v>
      </c>
      <c r="C49" s="593" t="s">
        <v>703</v>
      </c>
      <c r="D49" s="594" t="s">
        <v>704</v>
      </c>
      <c r="E49" s="351">
        <v>339500</v>
      </c>
      <c r="F49" s="1718" t="s">
        <v>215</v>
      </c>
      <c r="G49" s="352" t="s">
        <v>25</v>
      </c>
      <c r="H49" s="353"/>
      <c r="I49" s="353"/>
      <c r="J49" s="353"/>
      <c r="K49" s="353"/>
      <c r="L49" s="353"/>
      <c r="M49" s="354"/>
    </row>
    <row r="50" spans="1:13" ht="18" customHeight="1" x14ac:dyDescent="0.3">
      <c r="A50" s="2226">
        <v>2</v>
      </c>
      <c r="B50" s="248" t="s">
        <v>705</v>
      </c>
      <c r="C50" s="216" t="s">
        <v>706</v>
      </c>
      <c r="D50" s="218" t="s">
        <v>707</v>
      </c>
      <c r="E50" s="192">
        <v>430611</v>
      </c>
      <c r="F50" s="1719" t="s">
        <v>215</v>
      </c>
      <c r="G50" s="118"/>
      <c r="H50" s="118" t="s">
        <v>25</v>
      </c>
      <c r="I50" s="119"/>
      <c r="J50" s="119"/>
      <c r="K50" s="119"/>
      <c r="L50" s="119"/>
      <c r="M50" s="146"/>
    </row>
    <row r="51" spans="1:13" ht="18" customHeight="1" x14ac:dyDescent="0.3">
      <c r="A51" s="2226">
        <v>3</v>
      </c>
      <c r="B51" s="248" t="s">
        <v>708</v>
      </c>
      <c r="C51" s="216" t="s">
        <v>709</v>
      </c>
      <c r="D51" s="218" t="s">
        <v>710</v>
      </c>
      <c r="E51" s="192">
        <v>430611</v>
      </c>
      <c r="F51" s="1719" t="s">
        <v>215</v>
      </c>
      <c r="G51" s="118" t="s">
        <v>25</v>
      </c>
      <c r="H51" s="119"/>
      <c r="I51" s="119"/>
      <c r="J51" s="119"/>
      <c r="K51" s="119"/>
      <c r="L51" s="119"/>
      <c r="M51" s="146"/>
    </row>
    <row r="52" spans="1:13" ht="18" customHeight="1" x14ac:dyDescent="0.3">
      <c r="A52" s="2226">
        <v>4</v>
      </c>
      <c r="B52" s="595" t="s">
        <v>711</v>
      </c>
      <c r="C52" s="216" t="s">
        <v>712</v>
      </c>
      <c r="D52" s="218" t="s">
        <v>713</v>
      </c>
      <c r="E52" s="192">
        <v>1497000</v>
      </c>
      <c r="F52" s="596" t="s">
        <v>714</v>
      </c>
      <c r="G52" s="118" t="s">
        <v>25</v>
      </c>
      <c r="H52" s="119"/>
      <c r="I52" s="119"/>
      <c r="J52" s="119"/>
      <c r="K52" s="119"/>
      <c r="L52" s="119"/>
      <c r="M52" s="2305" t="s">
        <v>4233</v>
      </c>
    </row>
    <row r="53" spans="1:13" ht="18" customHeight="1" x14ac:dyDescent="0.3">
      <c r="A53" s="2396">
        <v>5</v>
      </c>
      <c r="B53" s="597" t="s">
        <v>715</v>
      </c>
      <c r="C53" s="250" t="s">
        <v>716</v>
      </c>
      <c r="D53" s="598" t="s">
        <v>717</v>
      </c>
      <c r="E53" s="599">
        <v>1980000</v>
      </c>
      <c r="F53" s="1717" t="s">
        <v>215</v>
      </c>
      <c r="G53" s="118" t="s">
        <v>25</v>
      </c>
      <c r="H53" s="600"/>
      <c r="I53" s="600"/>
      <c r="J53" s="600"/>
      <c r="K53" s="600"/>
      <c r="L53" s="600"/>
      <c r="M53" s="601" t="s">
        <v>718</v>
      </c>
    </row>
    <row r="54" spans="1:13" ht="18" customHeight="1" x14ac:dyDescent="0.3">
      <c r="A54" s="2396">
        <v>6</v>
      </c>
      <c r="B54" s="597" t="s">
        <v>4807</v>
      </c>
      <c r="C54" s="1169" t="s">
        <v>4808</v>
      </c>
      <c r="D54" s="598" t="s">
        <v>4809</v>
      </c>
      <c r="E54" s="599">
        <v>2100000</v>
      </c>
      <c r="F54" s="1717" t="s">
        <v>215</v>
      </c>
      <c r="G54" s="228" t="s">
        <v>25</v>
      </c>
      <c r="H54" s="600"/>
      <c r="I54" s="600"/>
      <c r="J54" s="600"/>
      <c r="K54" s="600"/>
      <c r="L54" s="600"/>
      <c r="M54" s="601"/>
    </row>
    <row r="55" spans="1:13" ht="18" customHeight="1" x14ac:dyDescent="0.45">
      <c r="A55" s="39"/>
      <c r="B55" s="172"/>
      <c r="C55" s="89"/>
      <c r="D55" s="176"/>
      <c r="E55" s="231">
        <f>SUM(E49:E54)</f>
        <v>6777722</v>
      </c>
      <c r="F55" s="602"/>
      <c r="G55" s="233"/>
      <c r="H55" s="355"/>
      <c r="I55" s="355"/>
      <c r="J55" s="355"/>
      <c r="K55" s="355"/>
      <c r="L55" s="355"/>
      <c r="M55" s="235"/>
    </row>
    <row r="56" spans="1:13" ht="18" customHeight="1" x14ac:dyDescent="0.3">
      <c r="A56" s="555" t="s">
        <v>719</v>
      </c>
      <c r="B56" s="603" t="s">
        <v>720</v>
      </c>
      <c r="C56" s="604"/>
      <c r="D56" s="605"/>
      <c r="E56" s="606"/>
      <c r="F56" s="607"/>
      <c r="G56" s="608"/>
      <c r="H56" s="609"/>
      <c r="I56" s="608"/>
      <c r="J56" s="609"/>
      <c r="K56" s="609"/>
      <c r="L56" s="610"/>
      <c r="M56" s="611"/>
    </row>
    <row r="57" spans="1:13" ht="18" customHeight="1" x14ac:dyDescent="0.3">
      <c r="A57" s="2362">
        <v>1</v>
      </c>
      <c r="B57" s="613" t="s">
        <v>721</v>
      </c>
      <c r="C57" s="614" t="s">
        <v>722</v>
      </c>
      <c r="D57" s="615" t="s">
        <v>723</v>
      </c>
      <c r="E57" s="616">
        <v>473500</v>
      </c>
      <c r="F57" s="1721" t="s">
        <v>724</v>
      </c>
      <c r="G57" s="617" t="s">
        <v>25</v>
      </c>
      <c r="H57" s="618"/>
      <c r="I57" s="619"/>
      <c r="J57" s="619"/>
      <c r="K57" s="620"/>
      <c r="L57" s="621"/>
      <c r="M57" s="2363" t="s">
        <v>477</v>
      </c>
    </row>
    <row r="58" spans="1:13" ht="18" customHeight="1" thickBot="1" x14ac:dyDescent="0.35">
      <c r="A58" s="622"/>
      <c r="B58" s="331"/>
      <c r="C58" s="623"/>
      <c r="D58" s="624"/>
      <c r="E58" s="625">
        <f>SUM(E57:E57)</f>
        <v>473500</v>
      </c>
      <c r="F58" s="626"/>
      <c r="G58" s="627"/>
      <c r="H58" s="628"/>
      <c r="I58" s="627"/>
      <c r="J58" s="629"/>
      <c r="K58" s="629"/>
      <c r="L58" s="630"/>
      <c r="M58" s="631"/>
    </row>
    <row r="59" spans="1:13" ht="18" customHeight="1" thickTop="1" x14ac:dyDescent="0.3">
      <c r="A59" s="632" t="s">
        <v>725</v>
      </c>
      <c r="B59" s="633" t="s">
        <v>726</v>
      </c>
      <c r="C59" s="634"/>
      <c r="D59" s="635"/>
      <c r="E59" s="636"/>
      <c r="F59" s="637"/>
      <c r="G59" s="638"/>
      <c r="H59" s="639"/>
      <c r="I59" s="638"/>
      <c r="J59" s="639"/>
      <c r="K59" s="639"/>
      <c r="L59" s="640"/>
      <c r="M59" s="641"/>
    </row>
    <row r="60" spans="1:13" ht="18" customHeight="1" x14ac:dyDescent="0.3">
      <c r="A60" s="2250">
        <v>1</v>
      </c>
      <c r="B60" s="643" t="s">
        <v>727</v>
      </c>
      <c r="C60" s="216" t="s">
        <v>728</v>
      </c>
      <c r="D60" s="350" t="s">
        <v>729</v>
      </c>
      <c r="E60" s="351">
        <v>1246000</v>
      </c>
      <c r="F60" s="1718" t="s">
        <v>215</v>
      </c>
      <c r="G60" s="644" t="s">
        <v>25</v>
      </c>
      <c r="H60" s="353"/>
      <c r="I60" s="353"/>
      <c r="J60" s="353"/>
      <c r="K60" s="353"/>
      <c r="L60" s="645"/>
      <c r="M60" s="646"/>
    </row>
    <row r="61" spans="1:13" ht="18" customHeight="1" x14ac:dyDescent="0.3">
      <c r="A61" s="2226">
        <v>2</v>
      </c>
      <c r="B61" s="595" t="s">
        <v>730</v>
      </c>
      <c r="C61" s="216" t="s">
        <v>731</v>
      </c>
      <c r="D61" s="218" t="s">
        <v>732</v>
      </c>
      <c r="E61" s="192">
        <v>11990000</v>
      </c>
      <c r="F61" s="596" t="s">
        <v>714</v>
      </c>
      <c r="G61" s="118" t="s">
        <v>25</v>
      </c>
      <c r="H61" s="119"/>
      <c r="I61" s="119"/>
      <c r="J61" s="119"/>
      <c r="K61" s="119"/>
      <c r="L61" s="119"/>
      <c r="M61" s="146"/>
    </row>
    <row r="62" spans="1:13" ht="18" customHeight="1" x14ac:dyDescent="0.45">
      <c r="A62" s="39"/>
      <c r="B62" s="172"/>
      <c r="C62" s="89"/>
      <c r="D62" s="176"/>
      <c r="E62" s="231">
        <f>SUM(E60:E61)</f>
        <v>13236000</v>
      </c>
      <c r="F62" s="602"/>
      <c r="G62" s="233"/>
      <c r="H62" s="355"/>
      <c r="I62" s="355"/>
      <c r="J62" s="355"/>
      <c r="K62" s="355"/>
      <c r="L62" s="355"/>
      <c r="M62" s="235"/>
    </row>
    <row r="63" spans="1:13" ht="18" customHeight="1" x14ac:dyDescent="0.3">
      <c r="A63" s="555" t="s">
        <v>733</v>
      </c>
      <c r="B63" s="603" t="s">
        <v>734</v>
      </c>
      <c r="C63" s="604"/>
      <c r="D63" s="605"/>
      <c r="E63" s="606"/>
      <c r="F63" s="607"/>
      <c r="G63" s="558"/>
      <c r="H63" s="557"/>
      <c r="I63" s="558"/>
      <c r="J63" s="557"/>
      <c r="K63" s="557"/>
      <c r="L63" s="557"/>
      <c r="M63" s="611"/>
    </row>
    <row r="64" spans="1:13" ht="27" customHeight="1" x14ac:dyDescent="0.3">
      <c r="A64" s="2423">
        <v>1</v>
      </c>
      <c r="B64" s="648" t="s">
        <v>735</v>
      </c>
      <c r="C64" s="649" t="s">
        <v>736</v>
      </c>
      <c r="D64" s="650">
        <v>47155</v>
      </c>
      <c r="E64" s="651">
        <v>349000</v>
      </c>
      <c r="F64" s="1731" t="s">
        <v>41</v>
      </c>
      <c r="G64" s="647"/>
      <c r="H64" s="647"/>
      <c r="I64" s="647"/>
      <c r="J64" s="647"/>
      <c r="K64" s="647"/>
      <c r="L64" s="647"/>
      <c r="M64" s="652" t="s">
        <v>5893</v>
      </c>
    </row>
    <row r="65" spans="1:14" ht="27" customHeight="1" x14ac:dyDescent="0.3">
      <c r="A65" s="2302">
        <v>2</v>
      </c>
      <c r="B65" s="537" t="s">
        <v>737</v>
      </c>
      <c r="C65" s="653" t="s">
        <v>738</v>
      </c>
      <c r="D65" s="533">
        <v>47155</v>
      </c>
      <c r="E65" s="654">
        <v>349000</v>
      </c>
      <c r="F65" s="1724" t="s">
        <v>724</v>
      </c>
      <c r="G65" s="121" t="s">
        <v>25</v>
      </c>
      <c r="H65" s="121"/>
      <c r="I65" s="121"/>
      <c r="J65" s="121"/>
      <c r="K65" s="121"/>
      <c r="L65" s="121"/>
      <c r="M65" s="569" t="s">
        <v>652</v>
      </c>
    </row>
    <row r="66" spans="1:14" ht="27" customHeight="1" x14ac:dyDescent="0.3">
      <c r="A66" s="121">
        <v>3</v>
      </c>
      <c r="B66" s="536" t="s">
        <v>739</v>
      </c>
      <c r="C66" s="653" t="s">
        <v>740</v>
      </c>
      <c r="D66" s="533" t="s">
        <v>741</v>
      </c>
      <c r="E66" s="654">
        <v>497000</v>
      </c>
      <c r="F66" s="1732" t="s">
        <v>41</v>
      </c>
      <c r="G66" s="121"/>
      <c r="H66" s="121"/>
      <c r="I66" s="121"/>
      <c r="J66" s="121"/>
      <c r="K66" s="121"/>
      <c r="L66" s="121"/>
      <c r="M66" s="569" t="s">
        <v>652</v>
      </c>
    </row>
    <row r="67" spans="1:14" ht="18" customHeight="1" x14ac:dyDescent="0.3">
      <c r="A67" s="2302">
        <v>4</v>
      </c>
      <c r="B67" s="536" t="s">
        <v>742</v>
      </c>
      <c r="C67" s="653" t="s">
        <v>743</v>
      </c>
      <c r="D67" s="533" t="s">
        <v>741</v>
      </c>
      <c r="E67" s="654">
        <v>497000</v>
      </c>
      <c r="F67" s="535" t="s">
        <v>630</v>
      </c>
      <c r="G67" s="121" t="s">
        <v>25</v>
      </c>
      <c r="H67" s="121"/>
      <c r="I67" s="121"/>
      <c r="J67" s="121"/>
      <c r="K67" s="121"/>
      <c r="L67" s="121"/>
      <c r="M67" s="2328" t="s">
        <v>109</v>
      </c>
    </row>
    <row r="68" spans="1:14" ht="18" customHeight="1" x14ac:dyDescent="0.3">
      <c r="A68" s="2302">
        <v>5</v>
      </c>
      <c r="B68" s="313" t="s">
        <v>744</v>
      </c>
      <c r="C68" s="216" t="s">
        <v>745</v>
      </c>
      <c r="D68" s="218" t="s">
        <v>746</v>
      </c>
      <c r="E68" s="192">
        <v>1604780</v>
      </c>
      <c r="F68" s="1725" t="s">
        <v>747</v>
      </c>
      <c r="G68" s="121" t="s">
        <v>25</v>
      </c>
      <c r="H68" s="121"/>
      <c r="I68" s="121"/>
      <c r="J68" s="121"/>
      <c r="K68" s="121"/>
      <c r="L68" s="121"/>
      <c r="M68" s="122"/>
    </row>
    <row r="69" spans="1:14" ht="18" customHeight="1" x14ac:dyDescent="0.3">
      <c r="A69" s="39"/>
      <c r="B69" s="204"/>
      <c r="C69" s="89"/>
      <c r="D69" s="204"/>
      <c r="E69" s="656">
        <f>SUM(E64:E68)</f>
        <v>3296780</v>
      </c>
      <c r="F69" s="178"/>
      <c r="G69" s="204"/>
      <c r="H69" s="204"/>
      <c r="I69" s="204"/>
      <c r="J69" s="204"/>
      <c r="K69" s="204"/>
      <c r="L69" s="204"/>
      <c r="M69" s="657"/>
    </row>
    <row r="70" spans="1:14" ht="18" customHeight="1" x14ac:dyDescent="0.3">
      <c r="A70" s="658" t="s">
        <v>748</v>
      </c>
      <c r="B70" s="659" t="s">
        <v>749</v>
      </c>
      <c r="C70" s="660"/>
      <c r="D70" s="605"/>
      <c r="E70" s="606"/>
      <c r="F70" s="607"/>
      <c r="G70" s="558"/>
      <c r="H70" s="557"/>
      <c r="I70" s="558"/>
      <c r="J70" s="557"/>
      <c r="K70" s="557"/>
      <c r="L70" s="557"/>
      <c r="M70" s="557"/>
    </row>
    <row r="71" spans="1:14" ht="18" customHeight="1" x14ac:dyDescent="0.3">
      <c r="A71" s="2362">
        <v>1</v>
      </c>
      <c r="B71" s="1412" t="s">
        <v>750</v>
      </c>
      <c r="C71" s="614" t="s">
        <v>751</v>
      </c>
      <c r="D71" s="615" t="s">
        <v>752</v>
      </c>
      <c r="E71" s="616">
        <v>730000</v>
      </c>
      <c r="F71" s="1731" t="s">
        <v>41</v>
      </c>
      <c r="G71" s="617"/>
      <c r="H71" s="661"/>
      <c r="I71" s="2424" t="s">
        <v>25</v>
      </c>
      <c r="J71" s="661"/>
      <c r="K71" s="661"/>
      <c r="L71" s="661"/>
      <c r="M71" s="2623" t="s">
        <v>6395</v>
      </c>
      <c r="N71" s="1">
        <v>2</v>
      </c>
    </row>
    <row r="72" spans="1:14" ht="18" customHeight="1" x14ac:dyDescent="0.3">
      <c r="A72" s="662">
        <v>2</v>
      </c>
      <c r="B72" s="313" t="s">
        <v>753</v>
      </c>
      <c r="C72" s="415" t="s">
        <v>754</v>
      </c>
      <c r="D72" s="218" t="s">
        <v>755</v>
      </c>
      <c r="E72" s="192">
        <v>1222000</v>
      </c>
      <c r="F72" s="1731" t="s">
        <v>41</v>
      </c>
      <c r="G72" s="34"/>
      <c r="H72" s="147"/>
      <c r="I72" s="147"/>
      <c r="J72" s="147"/>
      <c r="K72" s="147"/>
      <c r="L72" s="147"/>
      <c r="M72" s="2248" t="s">
        <v>5894</v>
      </c>
    </row>
    <row r="73" spans="1:14" ht="18" customHeight="1" x14ac:dyDescent="0.3">
      <c r="A73" s="662">
        <v>3</v>
      </c>
      <c r="B73" s="313" t="s">
        <v>756</v>
      </c>
      <c r="C73" s="415" t="s">
        <v>757</v>
      </c>
      <c r="D73" s="218" t="s">
        <v>729</v>
      </c>
      <c r="E73" s="192">
        <v>599200</v>
      </c>
      <c r="F73" s="1731" t="s">
        <v>41</v>
      </c>
      <c r="G73" s="34"/>
      <c r="H73" s="147"/>
      <c r="I73" s="147"/>
      <c r="J73" s="147"/>
      <c r="K73" s="147"/>
      <c r="L73" s="147"/>
      <c r="M73" s="2248" t="s">
        <v>5894</v>
      </c>
    </row>
    <row r="74" spans="1:14" ht="18" customHeight="1" x14ac:dyDescent="0.3">
      <c r="A74" s="662">
        <v>4</v>
      </c>
      <c r="B74" s="313" t="s">
        <v>758</v>
      </c>
      <c r="C74" s="415" t="s">
        <v>759</v>
      </c>
      <c r="D74" s="218" t="s">
        <v>760</v>
      </c>
      <c r="E74" s="192">
        <v>1632000</v>
      </c>
      <c r="F74" s="1731" t="s">
        <v>41</v>
      </c>
      <c r="G74" s="34"/>
      <c r="H74" s="147"/>
      <c r="I74" s="147"/>
      <c r="J74" s="147"/>
      <c r="K74" s="147"/>
      <c r="L74" s="147"/>
      <c r="M74" s="2248" t="s">
        <v>5894</v>
      </c>
    </row>
    <row r="75" spans="1:14" ht="18" customHeight="1" x14ac:dyDescent="0.3">
      <c r="A75" s="2226">
        <v>5</v>
      </c>
      <c r="B75" s="248" t="s">
        <v>761</v>
      </c>
      <c r="C75" s="216" t="s">
        <v>762</v>
      </c>
      <c r="D75" s="218" t="s">
        <v>763</v>
      </c>
      <c r="E75" s="192">
        <v>2295000</v>
      </c>
      <c r="F75" s="1719" t="s">
        <v>215</v>
      </c>
      <c r="G75" s="118" t="s">
        <v>25</v>
      </c>
      <c r="H75" s="119"/>
      <c r="I75" s="119"/>
      <c r="J75" s="119"/>
      <c r="K75" s="119"/>
      <c r="L75" s="119"/>
      <c r="M75" s="146"/>
    </row>
    <row r="76" spans="1:14" ht="18" customHeight="1" x14ac:dyDescent="0.3">
      <c r="A76" s="663"/>
      <c r="B76" s="204"/>
      <c r="C76" s="664"/>
      <c r="D76" s="204"/>
      <c r="E76" s="665">
        <f>SUM(E71:E75)</f>
        <v>6478200</v>
      </c>
      <c r="F76" s="93"/>
      <c r="G76" s="46"/>
      <c r="H76" s="49"/>
      <c r="I76" s="49"/>
      <c r="J76" s="49"/>
      <c r="K76" s="49"/>
      <c r="L76" s="49"/>
      <c r="M76" s="657"/>
    </row>
    <row r="77" spans="1:14" ht="18" customHeight="1" x14ac:dyDescent="0.3">
      <c r="A77" s="666" t="s">
        <v>764</v>
      </c>
      <c r="B77" s="667" t="s">
        <v>765</v>
      </c>
      <c r="C77" s="668"/>
      <c r="D77" s="669"/>
      <c r="E77" s="670"/>
      <c r="F77" s="671"/>
      <c r="G77" s="672"/>
      <c r="H77" s="673"/>
      <c r="I77" s="672"/>
      <c r="J77" s="673"/>
      <c r="K77" s="673"/>
      <c r="L77" s="674"/>
      <c r="M77" s="675"/>
    </row>
    <row r="78" spans="1:14" ht="18" customHeight="1" x14ac:dyDescent="0.3">
      <c r="A78" s="293">
        <v>1</v>
      </c>
      <c r="B78" s="676" t="s">
        <v>766</v>
      </c>
      <c r="C78" s="593" t="s">
        <v>767</v>
      </c>
      <c r="D78" s="350" t="s">
        <v>768</v>
      </c>
      <c r="E78" s="351">
        <v>1129500</v>
      </c>
      <c r="F78" s="677" t="s">
        <v>714</v>
      </c>
      <c r="G78" s="678"/>
      <c r="H78" s="353"/>
      <c r="I78" s="353"/>
      <c r="J78" s="353"/>
      <c r="K78" s="353"/>
      <c r="L78" s="353"/>
      <c r="M78" s="679"/>
    </row>
    <row r="79" spans="1:14" ht="18" customHeight="1" x14ac:dyDescent="0.3">
      <c r="A79" s="2226">
        <v>2</v>
      </c>
      <c r="B79" s="248" t="s">
        <v>769</v>
      </c>
      <c r="C79" s="680" t="s">
        <v>770</v>
      </c>
      <c r="D79" s="218" t="s">
        <v>771</v>
      </c>
      <c r="E79" s="192">
        <v>2100000</v>
      </c>
      <c r="F79" s="1719" t="s">
        <v>215</v>
      </c>
      <c r="G79" s="118" t="s">
        <v>25</v>
      </c>
      <c r="H79" s="119"/>
      <c r="I79" s="119"/>
      <c r="J79" s="119"/>
      <c r="K79" s="119"/>
      <c r="L79" s="119"/>
      <c r="M79" s="146"/>
    </row>
    <row r="80" spans="1:14" ht="18" customHeight="1" x14ac:dyDescent="0.45">
      <c r="A80" s="27"/>
      <c r="B80" s="421"/>
      <c r="C80" s="418"/>
      <c r="D80" s="82"/>
      <c r="E80" s="681">
        <f>SUM(E78:E79)</f>
        <v>3229500</v>
      </c>
      <c r="F80" s="682"/>
      <c r="G80" s="228"/>
      <c r="H80" s="600"/>
      <c r="I80" s="600"/>
      <c r="J80" s="600"/>
      <c r="K80" s="600"/>
      <c r="L80" s="600"/>
      <c r="M80" s="601"/>
    </row>
    <row r="81" spans="1:14" ht="18" customHeight="1" x14ac:dyDescent="0.3">
      <c r="A81" s="683" t="s">
        <v>772</v>
      </c>
      <c r="B81" s="684" t="s">
        <v>773</v>
      </c>
      <c r="C81" s="668"/>
      <c r="D81" s="685"/>
      <c r="E81" s="686"/>
      <c r="F81" s="687"/>
      <c r="G81" s="688"/>
      <c r="H81" s="689"/>
      <c r="I81" s="688"/>
      <c r="J81" s="689"/>
      <c r="K81" s="689"/>
      <c r="L81" s="690"/>
      <c r="M81" s="691"/>
    </row>
    <row r="82" spans="1:14" ht="18" customHeight="1" x14ac:dyDescent="0.3">
      <c r="A82" s="2250">
        <v>1</v>
      </c>
      <c r="B82" s="645" t="s">
        <v>774</v>
      </c>
      <c r="C82" s="593" t="s">
        <v>775</v>
      </c>
      <c r="D82" s="350" t="s">
        <v>776</v>
      </c>
      <c r="E82" s="351">
        <v>270000</v>
      </c>
      <c r="F82" s="1724" t="s">
        <v>724</v>
      </c>
      <c r="G82" s="644"/>
      <c r="H82" s="692"/>
      <c r="I82" s="2397" t="s">
        <v>25</v>
      </c>
      <c r="J82" s="692"/>
      <c r="K82" s="692"/>
      <c r="L82" s="692"/>
      <c r="M82" s="2623" t="s">
        <v>6395</v>
      </c>
      <c r="N82" s="1">
        <v>3</v>
      </c>
    </row>
    <row r="83" spans="1:14" ht="18" customHeight="1" x14ac:dyDescent="0.3">
      <c r="A83" s="2226">
        <v>2</v>
      </c>
      <c r="B83" s="313" t="s">
        <v>777</v>
      </c>
      <c r="C83" s="216" t="s">
        <v>778</v>
      </c>
      <c r="D83" s="218" t="s">
        <v>779</v>
      </c>
      <c r="E83" s="192">
        <v>328500</v>
      </c>
      <c r="F83" s="1725" t="s">
        <v>724</v>
      </c>
      <c r="G83" s="34" t="s">
        <v>25</v>
      </c>
      <c r="H83" s="147"/>
      <c r="I83" s="147"/>
      <c r="J83" s="147"/>
      <c r="K83" s="147"/>
      <c r="L83" s="147"/>
      <c r="M83" s="225"/>
    </row>
    <row r="84" spans="1:14" ht="18" customHeight="1" x14ac:dyDescent="0.3">
      <c r="A84" s="2226">
        <v>3</v>
      </c>
      <c r="B84" s="313" t="s">
        <v>780</v>
      </c>
      <c r="C84" s="216" t="s">
        <v>781</v>
      </c>
      <c r="D84" s="218" t="s">
        <v>782</v>
      </c>
      <c r="E84" s="192">
        <v>825000</v>
      </c>
      <c r="F84" s="1725" t="s">
        <v>724</v>
      </c>
      <c r="G84" s="34" t="s">
        <v>25</v>
      </c>
      <c r="H84" s="147"/>
      <c r="I84" s="147"/>
      <c r="J84" s="147"/>
      <c r="K84" s="147"/>
      <c r="L84" s="147"/>
      <c r="M84" s="225"/>
    </row>
    <row r="85" spans="1:14" ht="18" customHeight="1" x14ac:dyDescent="0.3">
      <c r="A85" s="2226">
        <v>4</v>
      </c>
      <c r="B85" s="313" t="s">
        <v>783</v>
      </c>
      <c r="C85" s="216" t="s">
        <v>784</v>
      </c>
      <c r="D85" s="218" t="s">
        <v>785</v>
      </c>
      <c r="E85" s="192">
        <v>847000</v>
      </c>
      <c r="F85" s="1725" t="s">
        <v>724</v>
      </c>
      <c r="G85" s="34" t="s">
        <v>25</v>
      </c>
      <c r="H85" s="147"/>
      <c r="I85" s="147"/>
      <c r="J85" s="147"/>
      <c r="K85" s="147"/>
      <c r="L85" s="147"/>
      <c r="M85" s="225"/>
    </row>
    <row r="86" spans="1:14" ht="18" customHeight="1" x14ac:dyDescent="0.3">
      <c r="A86" s="662">
        <v>5</v>
      </c>
      <c r="B86" s="595" t="s">
        <v>786</v>
      </c>
      <c r="C86" s="216" t="s">
        <v>787</v>
      </c>
      <c r="D86" s="218" t="s">
        <v>788</v>
      </c>
      <c r="E86" s="192">
        <v>948000</v>
      </c>
      <c r="F86" s="596" t="s">
        <v>714</v>
      </c>
      <c r="G86" s="694"/>
      <c r="H86" s="119"/>
      <c r="I86" s="119"/>
      <c r="J86" s="119"/>
      <c r="K86" s="119"/>
      <c r="L86" s="119"/>
      <c r="M86" s="695"/>
    </row>
    <row r="87" spans="1:14" ht="18" customHeight="1" x14ac:dyDescent="0.3">
      <c r="A87" s="2226">
        <v>6</v>
      </c>
      <c r="B87" s="248" t="s">
        <v>789</v>
      </c>
      <c r="C87" s="216" t="s">
        <v>790</v>
      </c>
      <c r="D87" s="218" t="s">
        <v>729</v>
      </c>
      <c r="E87" s="192">
        <v>824250</v>
      </c>
      <c r="F87" s="1719" t="s">
        <v>215</v>
      </c>
      <c r="G87" s="118" t="s">
        <v>25</v>
      </c>
      <c r="H87" s="119"/>
      <c r="I87" s="119"/>
      <c r="J87" s="119"/>
      <c r="K87" s="119"/>
      <c r="L87" s="119"/>
      <c r="M87" s="191"/>
    </row>
    <row r="88" spans="1:14" ht="18" customHeight="1" x14ac:dyDescent="0.3">
      <c r="A88" s="2226">
        <v>7</v>
      </c>
      <c r="B88" s="313" t="s">
        <v>791</v>
      </c>
      <c r="C88" s="216" t="s">
        <v>792</v>
      </c>
      <c r="D88" s="218" t="s">
        <v>793</v>
      </c>
      <c r="E88" s="192">
        <v>920000</v>
      </c>
      <c r="F88" s="1725" t="s">
        <v>724</v>
      </c>
      <c r="G88" s="34" t="s">
        <v>25</v>
      </c>
      <c r="H88" s="147"/>
      <c r="I88" s="147"/>
      <c r="J88" s="147"/>
      <c r="K88" s="147"/>
      <c r="L88" s="147"/>
      <c r="M88" s="225"/>
    </row>
    <row r="89" spans="1:14" ht="18" customHeight="1" x14ac:dyDescent="0.3">
      <c r="A89" s="2226">
        <v>8</v>
      </c>
      <c r="B89" s="313" t="s">
        <v>794</v>
      </c>
      <c r="C89" s="216" t="s">
        <v>795</v>
      </c>
      <c r="D89" s="218" t="s">
        <v>796</v>
      </c>
      <c r="E89" s="192">
        <v>920000</v>
      </c>
      <c r="F89" s="1725" t="s">
        <v>724</v>
      </c>
      <c r="G89" s="34" t="s">
        <v>25</v>
      </c>
      <c r="H89" s="147"/>
      <c r="I89" s="147"/>
      <c r="J89" s="147"/>
      <c r="K89" s="147"/>
      <c r="L89" s="147"/>
      <c r="M89" s="225"/>
    </row>
    <row r="90" spans="1:14" ht="18" customHeight="1" x14ac:dyDescent="0.3">
      <c r="A90" s="2226">
        <v>9</v>
      </c>
      <c r="B90" s="313" t="s">
        <v>797</v>
      </c>
      <c r="C90" s="216" t="s">
        <v>798</v>
      </c>
      <c r="D90" s="218" t="s">
        <v>799</v>
      </c>
      <c r="E90" s="192">
        <v>939500</v>
      </c>
      <c r="F90" s="1725" t="s">
        <v>724</v>
      </c>
      <c r="G90" s="34" t="s">
        <v>25</v>
      </c>
      <c r="H90" s="147"/>
      <c r="I90" s="147"/>
      <c r="J90" s="147"/>
      <c r="K90" s="147"/>
      <c r="L90" s="147"/>
      <c r="M90" s="225"/>
    </row>
    <row r="91" spans="1:14" ht="18" customHeight="1" x14ac:dyDescent="0.3">
      <c r="A91" s="2226">
        <v>10</v>
      </c>
      <c r="B91" s="543" t="s">
        <v>800</v>
      </c>
      <c r="C91" s="216" t="s">
        <v>801</v>
      </c>
      <c r="D91" s="82" t="s">
        <v>802</v>
      </c>
      <c r="E91" s="83">
        <v>775000</v>
      </c>
      <c r="F91" s="1726" t="s">
        <v>724</v>
      </c>
      <c r="G91" s="34" t="s">
        <v>25</v>
      </c>
      <c r="H91" s="37"/>
      <c r="I91" s="37"/>
      <c r="J91" s="37"/>
      <c r="K91" s="37"/>
      <c r="L91" s="37"/>
      <c r="M91" s="467"/>
    </row>
    <row r="92" spans="1:14" ht="18" customHeight="1" x14ac:dyDescent="0.45">
      <c r="A92" s="477"/>
      <c r="B92" s="204"/>
      <c r="C92" s="89"/>
      <c r="D92" s="204"/>
      <c r="E92" s="696">
        <f>SUM(E82:E91)</f>
        <v>7597250</v>
      </c>
      <c r="F92" s="178"/>
      <c r="G92" s="204"/>
      <c r="H92" s="204"/>
      <c r="I92" s="204"/>
      <c r="J92" s="204"/>
      <c r="K92" s="204"/>
      <c r="L92" s="204"/>
      <c r="M92" s="205"/>
    </row>
    <row r="93" spans="1:14" ht="18" customHeight="1" x14ac:dyDescent="0.3">
      <c r="A93" s="683" t="s">
        <v>803</v>
      </c>
      <c r="B93" s="684" t="s">
        <v>804</v>
      </c>
      <c r="C93" s="668"/>
      <c r="D93" s="685"/>
      <c r="E93" s="686"/>
      <c r="F93" s="687"/>
      <c r="G93" s="688"/>
      <c r="H93" s="689"/>
      <c r="I93" s="688"/>
      <c r="J93" s="689"/>
      <c r="K93" s="689"/>
      <c r="L93" s="690"/>
      <c r="M93" s="691"/>
    </row>
    <row r="94" spans="1:14" ht="18" customHeight="1" x14ac:dyDescent="0.3">
      <c r="A94" s="293">
        <v>1</v>
      </c>
      <c r="B94" s="645" t="s">
        <v>805</v>
      </c>
      <c r="C94" s="593" t="s">
        <v>806</v>
      </c>
      <c r="D94" s="350" t="s">
        <v>807</v>
      </c>
      <c r="E94" s="351">
        <v>17900</v>
      </c>
      <c r="F94" s="1718" t="s">
        <v>215</v>
      </c>
      <c r="G94" s="352"/>
      <c r="H94" s="353"/>
      <c r="I94" s="352"/>
      <c r="J94" s="353"/>
      <c r="K94" s="353"/>
      <c r="L94" s="353"/>
      <c r="M94" s="2623" t="s">
        <v>6395</v>
      </c>
    </row>
    <row r="95" spans="1:14" ht="18" customHeight="1" x14ac:dyDescent="0.3">
      <c r="A95" s="2227">
        <v>2</v>
      </c>
      <c r="B95" s="698" t="s">
        <v>808</v>
      </c>
      <c r="C95" s="408" t="s">
        <v>809</v>
      </c>
      <c r="D95" s="411" t="s">
        <v>810</v>
      </c>
      <c r="E95" s="412">
        <v>28900</v>
      </c>
      <c r="F95" s="1720" t="s">
        <v>811</v>
      </c>
      <c r="G95" s="196"/>
      <c r="H95" s="104" t="s">
        <v>25</v>
      </c>
      <c r="I95" s="699"/>
      <c r="J95" s="104"/>
      <c r="K95" s="104"/>
      <c r="L95" s="104"/>
      <c r="M95" s="2623" t="s">
        <v>6395</v>
      </c>
    </row>
    <row r="96" spans="1:14" ht="18" customHeight="1" x14ac:dyDescent="0.3">
      <c r="A96" s="2226">
        <v>3</v>
      </c>
      <c r="B96" s="248" t="s">
        <v>812</v>
      </c>
      <c r="C96" s="216" t="s">
        <v>813</v>
      </c>
      <c r="D96" s="218" t="s">
        <v>814</v>
      </c>
      <c r="E96" s="192">
        <v>27800</v>
      </c>
      <c r="F96" s="1731" t="s">
        <v>41</v>
      </c>
      <c r="G96" s="34"/>
      <c r="H96" s="34"/>
      <c r="I96" s="147"/>
      <c r="J96" s="147"/>
      <c r="K96" s="147"/>
      <c r="L96" s="2233" t="s">
        <v>25</v>
      </c>
      <c r="M96" s="2623" t="s">
        <v>6395</v>
      </c>
    </row>
    <row r="97" spans="1:13" ht="18" customHeight="1" x14ac:dyDescent="0.3">
      <c r="A97" s="2227">
        <v>4</v>
      </c>
      <c r="B97" s="248" t="s">
        <v>815</v>
      </c>
      <c r="C97" s="216" t="s">
        <v>816</v>
      </c>
      <c r="D97" s="218" t="s">
        <v>814</v>
      </c>
      <c r="E97" s="192">
        <v>27800</v>
      </c>
      <c r="F97" s="1731" t="s">
        <v>41</v>
      </c>
      <c r="G97" s="34"/>
      <c r="H97" s="34"/>
      <c r="I97" s="147"/>
      <c r="J97" s="147"/>
      <c r="K97" s="147"/>
      <c r="L97" s="2233" t="s">
        <v>25</v>
      </c>
      <c r="M97" s="2623" t="s">
        <v>6395</v>
      </c>
    </row>
    <row r="98" spans="1:13" ht="18" customHeight="1" x14ac:dyDescent="0.3">
      <c r="A98" s="2227">
        <v>5</v>
      </c>
      <c r="B98" s="536" t="s">
        <v>817</v>
      </c>
      <c r="C98" s="216" t="s">
        <v>818</v>
      </c>
      <c r="D98" s="218" t="s">
        <v>814</v>
      </c>
      <c r="E98" s="192">
        <v>27800</v>
      </c>
      <c r="F98" s="1727" t="s">
        <v>819</v>
      </c>
      <c r="G98" s="121" t="s">
        <v>25</v>
      </c>
      <c r="H98" s="34"/>
      <c r="I98" s="147"/>
      <c r="J98" s="147"/>
      <c r="K98" s="147"/>
      <c r="L98" s="147"/>
      <c r="M98" s="225"/>
    </row>
    <row r="99" spans="1:13" ht="18" customHeight="1" x14ac:dyDescent="0.3">
      <c r="A99" s="2227">
        <v>6</v>
      </c>
      <c r="B99" s="536" t="s">
        <v>820</v>
      </c>
      <c r="C99" s="653" t="s">
        <v>821</v>
      </c>
      <c r="D99" s="533" t="s">
        <v>822</v>
      </c>
      <c r="E99" s="654">
        <v>27800</v>
      </c>
      <c r="F99" s="535" t="s">
        <v>633</v>
      </c>
      <c r="G99" s="121"/>
      <c r="H99" s="121" t="s">
        <v>25</v>
      </c>
      <c r="I99" s="147"/>
      <c r="J99" s="147"/>
      <c r="K99" s="147"/>
      <c r="L99" s="147"/>
      <c r="M99" s="2623" t="s">
        <v>6395</v>
      </c>
    </row>
    <row r="100" spans="1:13" ht="18" customHeight="1" x14ac:dyDescent="0.3">
      <c r="A100" s="2227">
        <v>7</v>
      </c>
      <c r="B100" s="537" t="s">
        <v>823</v>
      </c>
      <c r="C100" s="532" t="s">
        <v>824</v>
      </c>
      <c r="D100" s="533">
        <v>12894</v>
      </c>
      <c r="E100" s="534">
        <v>31600</v>
      </c>
      <c r="F100" s="535" t="s">
        <v>633</v>
      </c>
      <c r="G100" s="121" t="s">
        <v>25</v>
      </c>
      <c r="H100" s="121"/>
      <c r="I100" s="121"/>
      <c r="J100" s="121"/>
      <c r="K100" s="121"/>
      <c r="L100" s="121"/>
      <c r="M100" s="2328" t="s">
        <v>109</v>
      </c>
    </row>
    <row r="101" spans="1:13" ht="18" customHeight="1" x14ac:dyDescent="0.3">
      <c r="A101" s="2227">
        <v>8</v>
      </c>
      <c r="B101" s="536" t="s">
        <v>825</v>
      </c>
      <c r="C101" s="408" t="s">
        <v>826</v>
      </c>
      <c r="D101" s="533" t="s">
        <v>827</v>
      </c>
      <c r="E101" s="412">
        <v>32000</v>
      </c>
      <c r="F101" s="535" t="s">
        <v>633</v>
      </c>
      <c r="G101" s="919" t="s">
        <v>25</v>
      </c>
      <c r="H101" s="121"/>
      <c r="I101" s="121"/>
      <c r="J101" s="121"/>
      <c r="K101" s="121"/>
      <c r="L101" s="121"/>
      <c r="M101" s="2328" t="s">
        <v>109</v>
      </c>
    </row>
    <row r="102" spans="1:13" ht="18" customHeight="1" x14ac:dyDescent="0.3">
      <c r="A102" s="2227">
        <v>9</v>
      </c>
      <c r="B102" s="313" t="s">
        <v>828</v>
      </c>
      <c r="C102" s="538" t="s">
        <v>829</v>
      </c>
      <c r="D102" s="539">
        <v>14596</v>
      </c>
      <c r="E102" s="540">
        <v>38000</v>
      </c>
      <c r="F102" s="535" t="s">
        <v>633</v>
      </c>
      <c r="G102" s="2333"/>
      <c r="H102" s="121" t="s">
        <v>25</v>
      </c>
      <c r="I102" s="541"/>
      <c r="J102" s="541"/>
      <c r="K102" s="541"/>
      <c r="L102" s="541"/>
      <c r="M102" s="2623" t="s">
        <v>6395</v>
      </c>
    </row>
    <row r="103" spans="1:13" ht="18" customHeight="1" x14ac:dyDescent="0.3">
      <c r="A103" s="2227">
        <v>10</v>
      </c>
      <c r="B103" s="313" t="s">
        <v>830</v>
      </c>
      <c r="C103" s="538" t="s">
        <v>831</v>
      </c>
      <c r="D103" s="539">
        <v>16164</v>
      </c>
      <c r="E103" s="540">
        <v>39000</v>
      </c>
      <c r="F103" s="535" t="s">
        <v>633</v>
      </c>
      <c r="G103" s="2333"/>
      <c r="H103" s="121" t="s">
        <v>25</v>
      </c>
      <c r="I103" s="541"/>
      <c r="J103" s="541"/>
      <c r="K103" s="541"/>
      <c r="L103" s="541"/>
      <c r="M103" s="2623" t="s">
        <v>6395</v>
      </c>
    </row>
    <row r="104" spans="1:13" ht="18" customHeight="1" x14ac:dyDescent="0.3">
      <c r="A104" s="2227">
        <v>11</v>
      </c>
      <c r="B104" s="313" t="s">
        <v>832</v>
      </c>
      <c r="C104" s="538" t="s">
        <v>833</v>
      </c>
      <c r="D104" s="539">
        <v>235340</v>
      </c>
      <c r="E104" s="540">
        <v>38300</v>
      </c>
      <c r="F104" s="535" t="s">
        <v>633</v>
      </c>
      <c r="G104" s="2333"/>
      <c r="H104" s="121" t="s">
        <v>25</v>
      </c>
      <c r="I104" s="541"/>
      <c r="J104" s="541"/>
      <c r="K104" s="541"/>
      <c r="L104" s="541"/>
      <c r="M104" s="2623" t="s">
        <v>6395</v>
      </c>
    </row>
    <row r="105" spans="1:13" ht="18" customHeight="1" x14ac:dyDescent="0.3">
      <c r="A105" s="2227">
        <v>12</v>
      </c>
      <c r="B105" s="700" t="s">
        <v>834</v>
      </c>
      <c r="C105" s="701" t="s">
        <v>835</v>
      </c>
      <c r="D105" s="702">
        <v>37327</v>
      </c>
      <c r="E105" s="703">
        <v>39000</v>
      </c>
      <c r="F105" s="2331" t="s">
        <v>127</v>
      </c>
      <c r="G105" s="112" t="s">
        <v>25</v>
      </c>
      <c r="H105" s="104"/>
      <c r="I105" s="104"/>
      <c r="J105" s="104"/>
      <c r="K105" s="104"/>
      <c r="L105" s="104"/>
      <c r="M105" s="2303" t="s">
        <v>836</v>
      </c>
    </row>
    <row r="106" spans="1:13" ht="18" customHeight="1" x14ac:dyDescent="0.3">
      <c r="A106" s="2227">
        <v>13</v>
      </c>
      <c r="B106" s="536" t="s">
        <v>837</v>
      </c>
      <c r="C106" s="532" t="s">
        <v>838</v>
      </c>
      <c r="D106" s="533">
        <v>16595</v>
      </c>
      <c r="E106" s="534">
        <v>36500</v>
      </c>
      <c r="F106" s="535" t="s">
        <v>633</v>
      </c>
      <c r="G106" s="121" t="s">
        <v>25</v>
      </c>
      <c r="H106" s="121"/>
      <c r="I106" s="121"/>
      <c r="J106" s="121"/>
      <c r="K106" s="121"/>
      <c r="L106" s="121"/>
      <c r="M106" s="2328" t="s">
        <v>109</v>
      </c>
    </row>
    <row r="107" spans="1:13" ht="18" customHeight="1" x14ac:dyDescent="0.3">
      <c r="A107" s="2227">
        <v>14</v>
      </c>
      <c r="B107" s="536" t="s">
        <v>839</v>
      </c>
      <c r="C107" s="532" t="s">
        <v>840</v>
      </c>
      <c r="D107" s="533">
        <v>16664</v>
      </c>
      <c r="E107" s="534">
        <v>38500</v>
      </c>
      <c r="F107" s="535" t="s">
        <v>630</v>
      </c>
      <c r="G107" s="121"/>
      <c r="H107" s="121" t="s">
        <v>25</v>
      </c>
      <c r="I107" s="121"/>
      <c r="J107" s="121"/>
      <c r="K107" s="121"/>
      <c r="L107" s="121"/>
      <c r="M107" s="2623" t="s">
        <v>6395</v>
      </c>
    </row>
    <row r="108" spans="1:13" ht="18" customHeight="1" x14ac:dyDescent="0.3">
      <c r="A108" s="2227">
        <v>15</v>
      </c>
      <c r="B108" s="313" t="s">
        <v>841</v>
      </c>
      <c r="C108" s="538" t="s">
        <v>842</v>
      </c>
      <c r="D108" s="539">
        <v>16700</v>
      </c>
      <c r="E108" s="540">
        <v>35300</v>
      </c>
      <c r="F108" s="535" t="s">
        <v>633</v>
      </c>
      <c r="G108" s="121" t="s">
        <v>25</v>
      </c>
      <c r="H108" s="541"/>
      <c r="I108" s="541"/>
      <c r="J108" s="541"/>
      <c r="K108" s="541"/>
      <c r="L108" s="541"/>
      <c r="M108" s="2328" t="s">
        <v>109</v>
      </c>
    </row>
    <row r="109" spans="1:13" ht="18" customHeight="1" x14ac:dyDescent="0.3">
      <c r="A109" s="2227">
        <v>16</v>
      </c>
      <c r="B109" s="313" t="s">
        <v>843</v>
      </c>
      <c r="C109" s="538" t="s">
        <v>844</v>
      </c>
      <c r="D109" s="539">
        <v>16700</v>
      </c>
      <c r="E109" s="540">
        <v>35300</v>
      </c>
      <c r="F109" s="535" t="s">
        <v>633</v>
      </c>
      <c r="G109" s="121" t="s">
        <v>25</v>
      </c>
      <c r="H109" s="541"/>
      <c r="I109" s="541"/>
      <c r="J109" s="541"/>
      <c r="K109" s="541"/>
      <c r="L109" s="541"/>
      <c r="M109" s="2328" t="s">
        <v>109</v>
      </c>
    </row>
    <row r="110" spans="1:13" ht="18" customHeight="1" x14ac:dyDescent="0.3">
      <c r="A110" s="2227">
        <v>17</v>
      </c>
      <c r="B110" s="313" t="s">
        <v>845</v>
      </c>
      <c r="C110" s="538" t="s">
        <v>846</v>
      </c>
      <c r="D110" s="539">
        <v>16700</v>
      </c>
      <c r="E110" s="540">
        <v>35300</v>
      </c>
      <c r="F110" s="535" t="s">
        <v>633</v>
      </c>
      <c r="G110" s="121" t="s">
        <v>25</v>
      </c>
      <c r="H110" s="541"/>
      <c r="I110" s="541"/>
      <c r="J110" s="541"/>
      <c r="K110" s="541"/>
      <c r="L110" s="541"/>
      <c r="M110" s="2328" t="s">
        <v>109</v>
      </c>
    </row>
    <row r="111" spans="1:13" ht="18" customHeight="1" x14ac:dyDescent="0.3">
      <c r="A111" s="2227">
        <v>18</v>
      </c>
      <c r="B111" s="313" t="s">
        <v>847</v>
      </c>
      <c r="C111" s="538" t="s">
        <v>848</v>
      </c>
      <c r="D111" s="539">
        <v>16700</v>
      </c>
      <c r="E111" s="540">
        <v>35300</v>
      </c>
      <c r="F111" s="535" t="s">
        <v>633</v>
      </c>
      <c r="G111" s="121" t="s">
        <v>25</v>
      </c>
      <c r="H111" s="541"/>
      <c r="I111" s="541"/>
      <c r="J111" s="541"/>
      <c r="K111" s="541"/>
      <c r="L111" s="541"/>
      <c r="M111" s="2328" t="s">
        <v>109</v>
      </c>
    </row>
    <row r="112" spans="1:13" ht="18" customHeight="1" x14ac:dyDescent="0.3">
      <c r="A112" s="2227">
        <v>19</v>
      </c>
      <c r="B112" s="536" t="s">
        <v>849</v>
      </c>
      <c r="C112" s="532" t="s">
        <v>850</v>
      </c>
      <c r="D112" s="539">
        <v>16700</v>
      </c>
      <c r="E112" s="534">
        <v>35300</v>
      </c>
      <c r="F112" s="535" t="s">
        <v>633</v>
      </c>
      <c r="G112" s="121" t="s">
        <v>25</v>
      </c>
      <c r="H112" s="121"/>
      <c r="I112" s="121"/>
      <c r="J112" s="121"/>
      <c r="K112" s="121"/>
      <c r="L112" s="121"/>
      <c r="M112" s="2328" t="s">
        <v>109</v>
      </c>
    </row>
    <row r="113" spans="1:14" ht="18" customHeight="1" x14ac:dyDescent="0.3">
      <c r="A113" s="2227">
        <v>20</v>
      </c>
      <c r="B113" s="536" t="s">
        <v>851</v>
      </c>
      <c r="C113" s="408" t="s">
        <v>852</v>
      </c>
      <c r="D113" s="533">
        <v>16861</v>
      </c>
      <c r="E113" s="412">
        <v>35800</v>
      </c>
      <c r="F113" s="535" t="s">
        <v>633</v>
      </c>
      <c r="G113" s="121" t="s">
        <v>25</v>
      </c>
      <c r="H113" s="121"/>
      <c r="I113" s="121"/>
      <c r="J113" s="121"/>
      <c r="K113" s="121"/>
      <c r="L113" s="121"/>
      <c r="M113" s="2328" t="s">
        <v>109</v>
      </c>
    </row>
    <row r="114" spans="1:14" ht="18" customHeight="1" x14ac:dyDescent="0.3">
      <c r="A114" s="2227">
        <v>21</v>
      </c>
      <c r="B114" s="536" t="s">
        <v>853</v>
      </c>
      <c r="C114" s="408" t="s">
        <v>854</v>
      </c>
      <c r="D114" s="533" t="s">
        <v>855</v>
      </c>
      <c r="E114" s="412">
        <v>36400</v>
      </c>
      <c r="F114" s="535" t="s">
        <v>633</v>
      </c>
      <c r="G114" s="121" t="s">
        <v>25</v>
      </c>
      <c r="H114" s="121"/>
      <c r="I114" s="121"/>
      <c r="J114" s="121"/>
      <c r="K114" s="121"/>
      <c r="L114" s="121"/>
      <c r="M114" s="2328" t="s">
        <v>109</v>
      </c>
    </row>
    <row r="115" spans="1:14" ht="18" customHeight="1" x14ac:dyDescent="0.3">
      <c r="A115" s="2227">
        <v>22</v>
      </c>
      <c r="B115" s="536" t="s">
        <v>856</v>
      </c>
      <c r="C115" s="408" t="s">
        <v>857</v>
      </c>
      <c r="D115" s="533" t="s">
        <v>855</v>
      </c>
      <c r="E115" s="412">
        <v>36400</v>
      </c>
      <c r="F115" s="535" t="s">
        <v>633</v>
      </c>
      <c r="G115" s="121" t="s">
        <v>25</v>
      </c>
      <c r="H115" s="121"/>
      <c r="I115" s="121"/>
      <c r="J115" s="121"/>
      <c r="K115" s="121"/>
      <c r="L115" s="121"/>
      <c r="M115" s="2328" t="s">
        <v>109</v>
      </c>
    </row>
    <row r="116" spans="1:14" ht="18" customHeight="1" x14ac:dyDescent="0.3">
      <c r="A116" s="2227">
        <v>23</v>
      </c>
      <c r="B116" s="313" t="s">
        <v>858</v>
      </c>
      <c r="C116" s="538" t="s">
        <v>859</v>
      </c>
      <c r="D116" s="539">
        <v>17243</v>
      </c>
      <c r="E116" s="540">
        <v>28500</v>
      </c>
      <c r="F116" s="535" t="s">
        <v>633</v>
      </c>
      <c r="G116" s="121" t="s">
        <v>25</v>
      </c>
      <c r="H116" s="541"/>
      <c r="I116" s="541"/>
      <c r="J116" s="541"/>
      <c r="K116" s="541"/>
      <c r="L116" s="541"/>
      <c r="M116" s="2328" t="s">
        <v>109</v>
      </c>
    </row>
    <row r="117" spans="1:14" ht="18" customHeight="1" x14ac:dyDescent="0.3">
      <c r="A117" s="2227">
        <v>24</v>
      </c>
      <c r="B117" s="248" t="s">
        <v>860</v>
      </c>
      <c r="C117" s="216" t="s">
        <v>861</v>
      </c>
      <c r="D117" s="218" t="s">
        <v>862</v>
      </c>
      <c r="E117" s="192">
        <v>28500</v>
      </c>
      <c r="F117" s="1731" t="s">
        <v>41</v>
      </c>
      <c r="G117" s="34"/>
      <c r="H117" s="34"/>
      <c r="I117" s="2233" t="s">
        <v>25</v>
      </c>
      <c r="J117" s="147"/>
      <c r="K117" s="147"/>
      <c r="L117" s="147"/>
      <c r="M117" s="2623" t="s">
        <v>6395</v>
      </c>
      <c r="N117" s="1">
        <v>4</v>
      </c>
    </row>
    <row r="118" spans="1:14" ht="18" customHeight="1" x14ac:dyDescent="0.3">
      <c r="A118" s="2227">
        <v>25</v>
      </c>
      <c r="B118" s="705" t="s">
        <v>863</v>
      </c>
      <c r="C118" s="706" t="s">
        <v>864</v>
      </c>
      <c r="D118" s="707">
        <v>17243</v>
      </c>
      <c r="E118" s="708">
        <v>28500</v>
      </c>
      <c r="F118" s="709" t="s">
        <v>865</v>
      </c>
      <c r="G118" s="121" t="s">
        <v>25</v>
      </c>
      <c r="H118" s="710"/>
      <c r="I118" s="710"/>
      <c r="J118" s="710"/>
      <c r="K118" s="710"/>
      <c r="L118" s="710"/>
      <c r="M118" s="2332" t="s">
        <v>109</v>
      </c>
    </row>
    <row r="119" spans="1:14" ht="18" customHeight="1" x14ac:dyDescent="0.3">
      <c r="A119" s="2227">
        <v>26</v>
      </c>
      <c r="B119" s="698" t="s">
        <v>866</v>
      </c>
      <c r="C119" s="701" t="s">
        <v>867</v>
      </c>
      <c r="D119" s="711" t="s">
        <v>868</v>
      </c>
      <c r="E119" s="712">
        <v>28500</v>
      </c>
      <c r="F119" s="704" t="s">
        <v>811</v>
      </c>
      <c r="G119" s="104"/>
      <c r="H119" s="104"/>
      <c r="I119" s="104" t="s">
        <v>25</v>
      </c>
      <c r="J119" s="104"/>
      <c r="K119" s="104"/>
      <c r="L119" s="104"/>
      <c r="M119" s="2623" t="s">
        <v>6395</v>
      </c>
      <c r="N119" s="1">
        <v>5</v>
      </c>
    </row>
    <row r="120" spans="1:14" ht="18" customHeight="1" x14ac:dyDescent="0.3">
      <c r="A120" s="2227">
        <v>27</v>
      </c>
      <c r="B120" s="698" t="s">
        <v>869</v>
      </c>
      <c r="C120" s="701" t="s">
        <v>870</v>
      </c>
      <c r="D120" s="711" t="s">
        <v>868</v>
      </c>
      <c r="E120" s="712">
        <v>28500</v>
      </c>
      <c r="F120" s="704" t="s">
        <v>811</v>
      </c>
      <c r="G120" s="104"/>
      <c r="H120" s="104"/>
      <c r="I120" s="104" t="s">
        <v>25</v>
      </c>
      <c r="J120" s="104"/>
      <c r="K120" s="104"/>
      <c r="L120" s="104"/>
      <c r="M120" s="2623" t="s">
        <v>6395</v>
      </c>
      <c r="N120" s="1">
        <v>6</v>
      </c>
    </row>
    <row r="121" spans="1:14" ht="18" customHeight="1" x14ac:dyDescent="0.3">
      <c r="A121" s="2227">
        <v>28</v>
      </c>
      <c r="B121" s="536" t="s">
        <v>871</v>
      </c>
      <c r="C121" s="408" t="s">
        <v>872</v>
      </c>
      <c r="D121" s="533">
        <v>17243</v>
      </c>
      <c r="E121" s="412">
        <v>28500</v>
      </c>
      <c r="F121" s="535" t="s">
        <v>633</v>
      </c>
      <c r="G121" s="121" t="s">
        <v>25</v>
      </c>
      <c r="H121" s="121"/>
      <c r="I121" s="121"/>
      <c r="J121" s="121"/>
      <c r="K121" s="121"/>
      <c r="L121" s="121"/>
      <c r="M121" s="2328" t="s">
        <v>109</v>
      </c>
    </row>
    <row r="122" spans="1:14" ht="18" customHeight="1" x14ac:dyDescent="0.3">
      <c r="A122" s="2227">
        <v>29</v>
      </c>
      <c r="B122" s="313" t="s">
        <v>873</v>
      </c>
      <c r="C122" s="538" t="s">
        <v>874</v>
      </c>
      <c r="D122" s="533">
        <v>17243</v>
      </c>
      <c r="E122" s="540">
        <v>28500</v>
      </c>
      <c r="F122" s="535" t="s">
        <v>633</v>
      </c>
      <c r="G122" s="121" t="s">
        <v>25</v>
      </c>
      <c r="H122" s="541"/>
      <c r="I122" s="541"/>
      <c r="J122" s="541"/>
      <c r="K122" s="541"/>
      <c r="L122" s="541"/>
      <c r="M122" s="2328" t="s">
        <v>109</v>
      </c>
    </row>
    <row r="123" spans="1:14" ht="18" customHeight="1" x14ac:dyDescent="0.3">
      <c r="A123" s="2227">
        <v>30</v>
      </c>
      <c r="B123" s="536" t="s">
        <v>875</v>
      </c>
      <c r="C123" s="408" t="s">
        <v>876</v>
      </c>
      <c r="D123" s="533">
        <v>17307</v>
      </c>
      <c r="E123" s="412">
        <v>36900</v>
      </c>
      <c r="F123" s="535" t="s">
        <v>633</v>
      </c>
      <c r="G123" s="121" t="s">
        <v>25</v>
      </c>
      <c r="H123" s="121"/>
      <c r="I123" s="121"/>
      <c r="J123" s="121"/>
      <c r="K123" s="121"/>
      <c r="L123" s="121"/>
      <c r="M123" s="2328" t="s">
        <v>109</v>
      </c>
    </row>
    <row r="124" spans="1:14" ht="18" customHeight="1" x14ac:dyDescent="0.3">
      <c r="A124" s="2227">
        <v>31</v>
      </c>
      <c r="B124" s="537" t="s">
        <v>877</v>
      </c>
      <c r="C124" s="532" t="s">
        <v>878</v>
      </c>
      <c r="D124" s="533" t="s">
        <v>879</v>
      </c>
      <c r="E124" s="534">
        <v>29600</v>
      </c>
      <c r="F124" s="535" t="s">
        <v>633</v>
      </c>
      <c r="G124" s="121"/>
      <c r="H124" s="121" t="s">
        <v>25</v>
      </c>
      <c r="I124" s="121"/>
      <c r="J124" s="121"/>
      <c r="K124" s="121"/>
      <c r="L124" s="121"/>
      <c r="M124" s="2623" t="s">
        <v>6395</v>
      </c>
    </row>
    <row r="125" spans="1:14" ht="18" customHeight="1" x14ac:dyDescent="0.3">
      <c r="A125" s="2227">
        <v>32</v>
      </c>
      <c r="B125" s="536" t="s">
        <v>880</v>
      </c>
      <c r="C125" s="532" t="s">
        <v>881</v>
      </c>
      <c r="D125" s="533" t="s">
        <v>882</v>
      </c>
      <c r="E125" s="534">
        <v>25730</v>
      </c>
      <c r="F125" s="535" t="s">
        <v>633</v>
      </c>
      <c r="G125" s="121"/>
      <c r="H125" s="121" t="s">
        <v>25</v>
      </c>
      <c r="I125" s="121"/>
      <c r="J125" s="121"/>
      <c r="K125" s="121"/>
      <c r="L125" s="121"/>
      <c r="M125" s="2623" t="s">
        <v>6395</v>
      </c>
    </row>
    <row r="126" spans="1:14" ht="18" customHeight="1" x14ac:dyDescent="0.3">
      <c r="A126" s="2227">
        <v>33</v>
      </c>
      <c r="B126" s="536" t="s">
        <v>883</v>
      </c>
      <c r="C126" s="532" t="s">
        <v>884</v>
      </c>
      <c r="D126" s="533" t="s">
        <v>882</v>
      </c>
      <c r="E126" s="534">
        <v>25730</v>
      </c>
      <c r="F126" s="535" t="s">
        <v>633</v>
      </c>
      <c r="G126" s="121"/>
      <c r="H126" s="121" t="s">
        <v>25</v>
      </c>
      <c r="I126" s="121"/>
      <c r="J126" s="121"/>
      <c r="K126" s="121"/>
      <c r="L126" s="121"/>
      <c r="M126" s="2623" t="s">
        <v>6395</v>
      </c>
    </row>
    <row r="127" spans="1:14" ht="18" customHeight="1" x14ac:dyDescent="0.3">
      <c r="A127" s="2227">
        <v>34</v>
      </c>
      <c r="B127" s="536" t="s">
        <v>885</v>
      </c>
      <c r="C127" s="532" t="s">
        <v>886</v>
      </c>
      <c r="D127" s="533" t="s">
        <v>882</v>
      </c>
      <c r="E127" s="534">
        <v>25730</v>
      </c>
      <c r="F127" s="535" t="s">
        <v>633</v>
      </c>
      <c r="G127" s="121"/>
      <c r="H127" s="121" t="s">
        <v>25</v>
      </c>
      <c r="I127" s="121"/>
      <c r="J127" s="121"/>
      <c r="K127" s="121"/>
      <c r="L127" s="121"/>
      <c r="M127" s="2623" t="s">
        <v>6395</v>
      </c>
    </row>
    <row r="128" spans="1:14" ht="18" customHeight="1" x14ac:dyDescent="0.3">
      <c r="A128" s="2227">
        <v>35</v>
      </c>
      <c r="B128" s="536" t="s">
        <v>887</v>
      </c>
      <c r="C128" s="532" t="s">
        <v>888</v>
      </c>
      <c r="D128" s="533" t="s">
        <v>882</v>
      </c>
      <c r="E128" s="534">
        <v>25730</v>
      </c>
      <c r="F128" s="535" t="s">
        <v>633</v>
      </c>
      <c r="G128" s="121"/>
      <c r="H128" s="121" t="s">
        <v>25</v>
      </c>
      <c r="I128" s="121"/>
      <c r="J128" s="121"/>
      <c r="K128" s="121"/>
      <c r="L128" s="121"/>
      <c r="M128" s="2623" t="s">
        <v>6395</v>
      </c>
    </row>
    <row r="129" spans="1:14" ht="18" customHeight="1" x14ac:dyDescent="0.45">
      <c r="A129" s="39"/>
      <c r="B129" s="204"/>
      <c r="C129" s="89"/>
      <c r="D129" s="204"/>
      <c r="E129" s="713">
        <f>SUM(E94:E128)</f>
        <v>1104920</v>
      </c>
      <c r="F129" s="714"/>
      <c r="G129" s="204"/>
      <c r="H129" s="204"/>
      <c r="I129" s="204"/>
      <c r="J129" s="204"/>
      <c r="K129" s="204"/>
      <c r="L129" s="204"/>
      <c r="M129" s="205"/>
    </row>
    <row r="130" spans="1:14" ht="18" customHeight="1" x14ac:dyDescent="0.3">
      <c r="A130" s="658" t="s">
        <v>889</v>
      </c>
      <c r="B130" s="659" t="s">
        <v>890</v>
      </c>
      <c r="C130" s="715"/>
      <c r="D130" s="605"/>
      <c r="E130" s="606"/>
      <c r="F130" s="607"/>
      <c r="G130" s="558"/>
      <c r="H130" s="557"/>
      <c r="I130" s="558"/>
      <c r="J130" s="557"/>
      <c r="K130" s="557"/>
      <c r="L130" s="716"/>
      <c r="M130" s="717"/>
    </row>
    <row r="131" spans="1:14" ht="18" customHeight="1" x14ac:dyDescent="0.3">
      <c r="A131" s="2334">
        <v>1</v>
      </c>
      <c r="B131" s="537" t="s">
        <v>891</v>
      </c>
      <c r="C131" s="532" t="s">
        <v>892</v>
      </c>
      <c r="D131" s="533">
        <v>13924</v>
      </c>
      <c r="E131" s="534">
        <v>598000</v>
      </c>
      <c r="F131" s="535" t="s">
        <v>630</v>
      </c>
      <c r="G131" s="121" t="s">
        <v>25</v>
      </c>
      <c r="H131" s="121"/>
      <c r="I131" s="121"/>
      <c r="J131" s="121"/>
      <c r="K131" s="121"/>
      <c r="L131" s="121"/>
      <c r="M131" s="2328" t="s">
        <v>109</v>
      </c>
    </row>
    <row r="132" spans="1:14" ht="18" customHeight="1" x14ac:dyDescent="0.3">
      <c r="A132" s="2226">
        <v>2</v>
      </c>
      <c r="B132" s="248" t="s">
        <v>893</v>
      </c>
      <c r="C132" s="216" t="s">
        <v>894</v>
      </c>
      <c r="D132" s="218" t="s">
        <v>895</v>
      </c>
      <c r="E132" s="192">
        <v>113500</v>
      </c>
      <c r="F132" s="1719" t="s">
        <v>215</v>
      </c>
      <c r="G132" s="121"/>
      <c r="H132" s="121"/>
      <c r="I132" s="121" t="s">
        <v>25</v>
      </c>
      <c r="J132" s="119"/>
      <c r="K132" s="119"/>
      <c r="L132" s="119"/>
      <c r="M132" s="2623" t="s">
        <v>6395</v>
      </c>
      <c r="N132" s="1">
        <v>7</v>
      </c>
    </row>
    <row r="133" spans="1:14" ht="18" customHeight="1" x14ac:dyDescent="0.3">
      <c r="A133" s="39"/>
      <c r="B133" s="204"/>
      <c r="C133" s="89"/>
      <c r="D133" s="204"/>
      <c r="E133" s="656">
        <f>SUM(E131:E132)</f>
        <v>711500</v>
      </c>
      <c r="F133" s="178"/>
      <c r="G133" s="204"/>
      <c r="H133" s="204"/>
      <c r="I133" s="204"/>
      <c r="J133" s="204"/>
      <c r="K133" s="204"/>
      <c r="L133" s="204"/>
      <c r="M133" s="205"/>
    </row>
    <row r="134" spans="1:14" ht="18" customHeight="1" x14ac:dyDescent="0.3">
      <c r="A134" s="718" t="s">
        <v>896</v>
      </c>
      <c r="B134" s="719" t="s">
        <v>897</v>
      </c>
      <c r="C134" s="634"/>
      <c r="D134" s="720"/>
      <c r="E134" s="721"/>
      <c r="F134" s="722"/>
      <c r="G134" s="723"/>
      <c r="H134" s="724"/>
      <c r="I134" s="723"/>
      <c r="J134" s="724"/>
      <c r="K134" s="724"/>
      <c r="L134" s="716"/>
      <c r="M134" s="725"/>
    </row>
    <row r="135" spans="1:14" ht="18" customHeight="1" x14ac:dyDescent="0.3">
      <c r="A135" s="2357" t="s">
        <v>898</v>
      </c>
      <c r="B135" s="313" t="s">
        <v>899</v>
      </c>
      <c r="C135" s="726" t="s">
        <v>900</v>
      </c>
      <c r="D135" s="727">
        <v>22588</v>
      </c>
      <c r="E135" s="728">
        <v>78000</v>
      </c>
      <c r="F135" s="729" t="s">
        <v>901</v>
      </c>
      <c r="G135" s="121" t="s">
        <v>25</v>
      </c>
      <c r="H135" s="730"/>
      <c r="I135" s="485"/>
      <c r="J135" s="730"/>
      <c r="K135" s="730"/>
      <c r="L135" s="296"/>
      <c r="M135" s="2358" t="s">
        <v>477</v>
      </c>
    </row>
    <row r="136" spans="1:14" ht="18" customHeight="1" x14ac:dyDescent="0.3">
      <c r="A136" s="2357" t="s">
        <v>902</v>
      </c>
      <c r="B136" s="313" t="s">
        <v>899</v>
      </c>
      <c r="C136" s="731" t="s">
        <v>903</v>
      </c>
      <c r="D136" s="732">
        <v>22588</v>
      </c>
      <c r="E136" s="654">
        <v>78000</v>
      </c>
      <c r="F136" s="729" t="s">
        <v>901</v>
      </c>
      <c r="G136" s="121" t="s">
        <v>25</v>
      </c>
      <c r="H136" s="730"/>
      <c r="I136" s="485"/>
      <c r="J136" s="730"/>
      <c r="K136" s="730"/>
      <c r="L136" s="296"/>
      <c r="M136" s="2358" t="s">
        <v>477</v>
      </c>
    </row>
    <row r="137" spans="1:14" ht="18" customHeight="1" x14ac:dyDescent="0.3">
      <c r="A137" s="2226">
        <v>3</v>
      </c>
      <c r="B137" s="313" t="s">
        <v>899</v>
      </c>
      <c r="C137" s="731" t="s">
        <v>904</v>
      </c>
      <c r="D137" s="533">
        <v>22588</v>
      </c>
      <c r="E137" s="733">
        <v>78000</v>
      </c>
      <c r="F137" s="729" t="s">
        <v>901</v>
      </c>
      <c r="G137" s="121" t="s">
        <v>25</v>
      </c>
      <c r="H137" s="313"/>
      <c r="I137" s="734"/>
      <c r="J137" s="313"/>
      <c r="K137" s="313"/>
      <c r="L137" s="313"/>
      <c r="M137" s="2358" t="s">
        <v>477</v>
      </c>
    </row>
    <row r="138" spans="1:14" ht="18" customHeight="1" x14ac:dyDescent="0.3">
      <c r="A138" s="735"/>
      <c r="B138" s="577"/>
      <c r="C138" s="216"/>
      <c r="D138" s="577"/>
      <c r="E138" s="736">
        <f>SUM(E135:E137)</f>
        <v>234000</v>
      </c>
      <c r="F138" s="737"/>
      <c r="H138" s="577"/>
      <c r="J138" s="577"/>
      <c r="K138" s="577"/>
      <c r="L138" s="577"/>
      <c r="M138" s="738"/>
    </row>
    <row r="139" spans="1:14" ht="18" customHeight="1" x14ac:dyDescent="0.3">
      <c r="A139" s="735"/>
      <c r="B139" s="577"/>
      <c r="C139" s="739"/>
      <c r="D139" s="204"/>
      <c r="E139" s="736"/>
      <c r="F139" s="737"/>
      <c r="H139" s="577"/>
      <c r="J139" s="577"/>
      <c r="K139" s="577"/>
      <c r="L139" s="577"/>
      <c r="M139" s="738"/>
    </row>
    <row r="140" spans="1:14" ht="18" customHeight="1" x14ac:dyDescent="0.3">
      <c r="A140" s="718" t="s">
        <v>905</v>
      </c>
      <c r="B140" s="719" t="s">
        <v>906</v>
      </c>
      <c r="C140" s="634"/>
      <c r="D140" s="720"/>
      <c r="E140" s="721"/>
      <c r="F140" s="722"/>
      <c r="G140" s="723"/>
      <c r="H140" s="724"/>
      <c r="I140" s="723"/>
      <c r="J140" s="724"/>
      <c r="K140" s="724"/>
      <c r="L140" s="716"/>
      <c r="M140" s="725"/>
    </row>
    <row r="141" spans="1:14" ht="18" customHeight="1" x14ac:dyDescent="0.3">
      <c r="A141" s="2359">
        <v>1</v>
      </c>
      <c r="B141" s="741" t="s">
        <v>907</v>
      </c>
      <c r="C141" s="726" t="s">
        <v>908</v>
      </c>
      <c r="D141" s="727">
        <v>47345</v>
      </c>
      <c r="E141" s="728">
        <v>85000</v>
      </c>
      <c r="F141" s="742" t="s">
        <v>714</v>
      </c>
      <c r="G141" s="740" t="s">
        <v>25</v>
      </c>
      <c r="H141" s="740"/>
      <c r="I141" s="740"/>
      <c r="J141" s="740"/>
      <c r="K141" s="740"/>
      <c r="L141" s="740"/>
      <c r="M141" s="2358" t="s">
        <v>477</v>
      </c>
    </row>
    <row r="142" spans="1:14" ht="18" customHeight="1" x14ac:dyDescent="0.3">
      <c r="A142" s="547"/>
      <c r="B142" s="743"/>
      <c r="C142" s="744"/>
      <c r="D142" s="745"/>
      <c r="E142" s="736">
        <f>SUM(E141)</f>
        <v>85000</v>
      </c>
      <c r="F142" s="551"/>
      <c r="G142" s="552"/>
      <c r="H142" s="553"/>
      <c r="I142" s="553"/>
      <c r="J142" s="553"/>
      <c r="K142" s="553"/>
      <c r="L142" s="553"/>
      <c r="M142" s="554"/>
    </row>
    <row r="143" spans="1:14" ht="18" customHeight="1" x14ac:dyDescent="0.3">
      <c r="A143" s="746" t="s">
        <v>909</v>
      </c>
      <c r="B143" s="747" t="s">
        <v>910</v>
      </c>
      <c r="C143" s="634"/>
      <c r="D143" s="748"/>
      <c r="E143" s="749"/>
      <c r="F143" s="750"/>
      <c r="G143" s="751"/>
      <c r="H143" s="752"/>
      <c r="I143" s="751"/>
      <c r="J143" s="752"/>
      <c r="K143" s="752"/>
      <c r="L143" s="640"/>
      <c r="M143" s="753"/>
    </row>
    <row r="144" spans="1:14" ht="18" customHeight="1" x14ac:dyDescent="0.3">
      <c r="A144" s="2329">
        <v>1</v>
      </c>
      <c r="B144" s="754" t="s">
        <v>911</v>
      </c>
      <c r="C144" s="731" t="s">
        <v>912</v>
      </c>
      <c r="D144" s="755">
        <v>59855</v>
      </c>
      <c r="E144" s="733">
        <v>6900</v>
      </c>
      <c r="F144" s="1728" t="s">
        <v>724</v>
      </c>
      <c r="G144" s="406" t="s">
        <v>25</v>
      </c>
      <c r="H144" s="406"/>
      <c r="I144" s="406"/>
      <c r="J144" s="406"/>
      <c r="K144" s="406"/>
      <c r="L144" s="406"/>
      <c r="M144" s="756"/>
    </row>
    <row r="145" spans="1:15" ht="18" customHeight="1" x14ac:dyDescent="0.3">
      <c r="A145" s="2359">
        <v>2</v>
      </c>
      <c r="B145" s="757" t="s">
        <v>911</v>
      </c>
      <c r="C145" s="731" t="s">
        <v>913</v>
      </c>
      <c r="D145" s="755">
        <v>59855</v>
      </c>
      <c r="E145" s="728">
        <v>6900</v>
      </c>
      <c r="F145" s="1726" t="s">
        <v>724</v>
      </c>
      <c r="G145" s="740" t="s">
        <v>25</v>
      </c>
      <c r="H145" s="758"/>
      <c r="I145" s="758"/>
      <c r="J145" s="758"/>
      <c r="K145" s="758"/>
      <c r="L145" s="758"/>
      <c r="M145" s="759"/>
    </row>
    <row r="146" spans="1:15" ht="18" customHeight="1" x14ac:dyDescent="0.3">
      <c r="A146" s="547"/>
      <c r="B146" s="743"/>
      <c r="C146" s="744"/>
      <c r="D146" s="745"/>
      <c r="E146" s="736">
        <f>SUM(E144:E145)</f>
        <v>13800</v>
      </c>
      <c r="F146" s="551"/>
      <c r="G146" s="552"/>
      <c r="H146" s="553"/>
      <c r="I146" s="553"/>
      <c r="J146" s="553"/>
      <c r="K146" s="553"/>
      <c r="L146" s="553"/>
      <c r="M146" s="554"/>
    </row>
    <row r="147" spans="1:15" ht="18" customHeight="1" x14ac:dyDescent="0.3">
      <c r="A147" s="746" t="s">
        <v>914</v>
      </c>
      <c r="B147" s="747" t="s">
        <v>915</v>
      </c>
      <c r="C147" s="634"/>
      <c r="D147" s="605"/>
      <c r="E147" s="636"/>
      <c r="F147" s="750"/>
      <c r="G147" s="558"/>
      <c r="H147" s="557"/>
      <c r="I147" s="558"/>
      <c r="J147" s="557"/>
      <c r="K147" s="557"/>
      <c r="L147" s="760"/>
      <c r="M147" s="717"/>
    </row>
    <row r="148" spans="1:15" ht="18" customHeight="1" x14ac:dyDescent="0.3">
      <c r="A148" s="2329">
        <v>1</v>
      </c>
      <c r="B148" s="761" t="s">
        <v>916</v>
      </c>
      <c r="C148" s="726" t="s">
        <v>917</v>
      </c>
      <c r="D148" s="196" t="s">
        <v>918</v>
      </c>
      <c r="E148" s="733">
        <v>158500</v>
      </c>
      <c r="F148" s="762" t="s">
        <v>328</v>
      </c>
      <c r="G148" s="740" t="s">
        <v>25</v>
      </c>
      <c r="H148" s="740"/>
      <c r="I148" s="740"/>
      <c r="J148" s="740"/>
      <c r="K148" s="740"/>
      <c r="L148" s="740"/>
      <c r="M148" s="2335" t="s">
        <v>109</v>
      </c>
    </row>
    <row r="149" spans="1:15" ht="18" customHeight="1" x14ac:dyDescent="0.3">
      <c r="A149" s="547"/>
      <c r="B149" s="743"/>
      <c r="C149" s="744"/>
      <c r="D149" s="745"/>
      <c r="E149" s="736">
        <f>SUM(E148)</f>
        <v>158500</v>
      </c>
      <c r="F149" s="551"/>
      <c r="G149" s="552"/>
      <c r="H149" s="553"/>
      <c r="I149" s="553"/>
      <c r="J149" s="553"/>
      <c r="K149" s="553"/>
      <c r="L149" s="553"/>
      <c r="M149" s="554"/>
    </row>
    <row r="150" spans="1:15" ht="18" customHeight="1" x14ac:dyDescent="0.45">
      <c r="D150" s="1"/>
      <c r="E150" s="763">
        <f>E149+E146+E142+E138+E133+E129++E92+E80+E76+E69+E62+E58+E55+E47+E14</f>
        <v>67398642.329999998</v>
      </c>
      <c r="F150" s="497"/>
      <c r="K150" s="1"/>
      <c r="M150" s="498"/>
    </row>
    <row r="151" spans="1:15" ht="18" customHeight="1" x14ac:dyDescent="0.45">
      <c r="D151" s="1"/>
      <c r="E151" s="764"/>
      <c r="G151" s="763"/>
      <c r="H151" s="497"/>
      <c r="K151" s="1"/>
      <c r="O151" s="498"/>
    </row>
    <row r="152" spans="1:15" ht="18" customHeight="1" x14ac:dyDescent="0.35">
      <c r="B152" s="502" t="s">
        <v>601</v>
      </c>
      <c r="C152" s="502"/>
      <c r="D152" s="502"/>
      <c r="E152" s="503"/>
      <c r="F152" s="504" t="s">
        <v>602</v>
      </c>
      <c r="G152" s="497"/>
      <c r="H152" s="505"/>
      <c r="I152" s="505" t="s">
        <v>603</v>
      </c>
      <c r="K152" s="505"/>
      <c r="L152" s="505"/>
      <c r="M152" s="505"/>
      <c r="O152" s="506"/>
    </row>
    <row r="153" spans="1:15" ht="18" customHeight="1" x14ac:dyDescent="0.35">
      <c r="B153" s="507" t="s">
        <v>604</v>
      </c>
      <c r="C153" s="508"/>
      <c r="D153" s="502"/>
      <c r="E153" s="503"/>
      <c r="F153" s="504"/>
      <c r="G153" s="509" t="s">
        <v>605</v>
      </c>
      <c r="I153" s="505"/>
      <c r="K153" s="505"/>
      <c r="L153" s="505"/>
      <c r="M153" s="505"/>
      <c r="O153" s="506"/>
    </row>
    <row r="154" spans="1:15" ht="18" customHeight="1" x14ac:dyDescent="0.35">
      <c r="B154" s="507" t="s">
        <v>606</v>
      </c>
      <c r="C154" s="508"/>
      <c r="D154" s="502"/>
      <c r="E154" s="503"/>
      <c r="F154" s="504"/>
      <c r="G154" s="509" t="s">
        <v>607</v>
      </c>
      <c r="I154" s="505"/>
      <c r="K154" s="505"/>
      <c r="L154" s="505"/>
      <c r="M154" s="505"/>
      <c r="O154" s="506"/>
    </row>
    <row r="155" spans="1:15" ht="18" customHeight="1" x14ac:dyDescent="0.35">
      <c r="B155" s="502"/>
      <c r="C155" s="502"/>
      <c r="D155" s="502"/>
      <c r="E155" s="503"/>
      <c r="F155" s="502"/>
      <c r="G155" s="510"/>
      <c r="H155" s="497"/>
      <c r="I155" s="505"/>
      <c r="J155" s="505"/>
      <c r="K155" s="505"/>
      <c r="L155" s="505"/>
      <c r="M155" s="505"/>
      <c r="O155" s="506"/>
    </row>
    <row r="156" spans="1:15" ht="18" customHeight="1" x14ac:dyDescent="0.35">
      <c r="B156" s="502" t="s">
        <v>608</v>
      </c>
      <c r="C156" s="502"/>
      <c r="D156" s="502"/>
      <c r="E156" s="503"/>
      <c r="F156" s="502"/>
      <c r="G156" s="504"/>
      <c r="H156" s="497"/>
      <c r="I156" s="505"/>
      <c r="J156" s="505"/>
      <c r="K156" s="505"/>
      <c r="L156" s="505"/>
      <c r="M156" s="505"/>
      <c r="O156" s="506"/>
    </row>
    <row r="157" spans="1:15" ht="18" customHeight="1" x14ac:dyDescent="0.35">
      <c r="B157" s="507" t="s">
        <v>609</v>
      </c>
      <c r="C157" s="508"/>
      <c r="D157" s="502"/>
      <c r="E157" s="503"/>
      <c r="F157" s="502"/>
      <c r="G157" s="504"/>
      <c r="H157" s="506"/>
      <c r="J157" s="505"/>
      <c r="K157" s="505"/>
      <c r="L157" s="505"/>
      <c r="M157" s="505"/>
      <c r="O157" s="506"/>
    </row>
    <row r="158" spans="1:15" ht="18" customHeight="1" x14ac:dyDescent="0.35">
      <c r="B158" s="507" t="s">
        <v>610</v>
      </c>
      <c r="C158" s="508"/>
      <c r="D158" s="502"/>
      <c r="E158" s="503"/>
      <c r="F158" s="502"/>
      <c r="G158" s="504"/>
      <c r="H158" s="506"/>
      <c r="J158" s="505"/>
      <c r="K158" s="505"/>
      <c r="L158" s="505"/>
      <c r="M158" s="505"/>
      <c r="O158" s="506"/>
    </row>
    <row r="159" spans="1:15" ht="18" customHeight="1" x14ac:dyDescent="0.35">
      <c r="B159" s="509"/>
    </row>
    <row r="160" spans="1:15" ht="18" customHeight="1" x14ac:dyDescent="0.35">
      <c r="B160" s="765" t="s">
        <v>611</v>
      </c>
      <c r="C160" s="766">
        <f>[3]งานธุรการ!E12</f>
        <v>124900</v>
      </c>
    </row>
    <row r="161" spans="2:4" ht="18" customHeight="1" x14ac:dyDescent="0.3">
      <c r="B161" s="767" t="s">
        <v>919</v>
      </c>
      <c r="C161" s="766">
        <f>[3]งานเครื่องจักรกล!G78</f>
        <v>21542190.329999998</v>
      </c>
    </row>
    <row r="162" spans="2:4" ht="18" customHeight="1" x14ac:dyDescent="0.3">
      <c r="B162" s="767" t="s">
        <v>920</v>
      </c>
      <c r="C162" s="766">
        <f>[3]งานบำรุงรักษาทางและสะพาน!G35</f>
        <v>10362880</v>
      </c>
    </row>
    <row r="163" spans="2:4" ht="18" customHeight="1" x14ac:dyDescent="0.3">
      <c r="B163" s="767" t="s">
        <v>614</v>
      </c>
      <c r="C163" s="766">
        <f>[3]งานสวนสาธารณะ!G33</f>
        <v>10071872</v>
      </c>
    </row>
    <row r="164" spans="2:4" ht="18" customHeight="1" x14ac:dyDescent="0.3">
      <c r="B164" s="767" t="s">
        <v>616</v>
      </c>
      <c r="C164" s="766">
        <f>[3]ฝ่ายช่างสุขาภิบาลงานเครื่องจักร!G11</f>
        <v>234000</v>
      </c>
    </row>
    <row r="165" spans="2:4" ht="18" customHeight="1" thickBot="1" x14ac:dyDescent="0.35">
      <c r="C165" s="768">
        <f>SUM(C160:C164)</f>
        <v>42335842.329999998</v>
      </c>
      <c r="D165" s="501">
        <f>C165-E150</f>
        <v>-25062800</v>
      </c>
    </row>
    <row r="166" spans="2:4" ht="18" customHeight="1" thickTop="1" x14ac:dyDescent="0.3"/>
  </sheetData>
  <mergeCells count="9">
    <mergeCell ref="A1:M1"/>
    <mergeCell ref="A3:B3"/>
    <mergeCell ref="A4:A5"/>
    <mergeCell ref="B4:B5"/>
    <mergeCell ref="C4:C5"/>
    <mergeCell ref="E4:E5"/>
    <mergeCell ref="F4:F5"/>
    <mergeCell ref="G4:L4"/>
    <mergeCell ref="M4:M5"/>
  </mergeCells>
  <dataValidations count="2">
    <dataValidation type="decimal" operator="greaterThanOrEqual" allowBlank="1" showInputMessage="1" showErrorMessage="1" prompt="กรุณาระบุเฉพาะตัวเลขเท่านั้น" sqref="E16:E47" xr:uid="{00000000-0002-0000-0200-000000000000}">
      <formula1>0</formula1>
    </dataValidation>
    <dataValidation type="decimal" allowBlank="1" showInputMessage="1" showErrorMessage="1" prompt="Error - ปีไม่ถูกต้อง" sqref="D47" xr:uid="{00000000-0002-0000-0200-000001000000}">
      <formula1>2400</formula1>
      <formula2>2599</formula2>
    </dataValidation>
  </dataValidations>
  <pageMargins left="0.31496062992125984" right="0.11811023622047245" top="0.35433070866141736" bottom="0.35433070866141736" header="0.31496062992125984" footer="0.31496062992125984"/>
  <pageSetup paperSize="9" scale="90" orientation="landscape" horizontalDpi="4294967294" verticalDpi="0" r:id="rId1"/>
  <headerFooter>
    <oddHeader>&amp;R&amp;P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Q185"/>
  <sheetViews>
    <sheetView topLeftCell="A156" zoomScale="115" zoomScaleNormal="115" workbookViewId="0">
      <selection activeCell="A3" sqref="A3:XFD3"/>
    </sheetView>
  </sheetViews>
  <sheetFormatPr defaultColWidth="9.109375" defaultRowHeight="15.6" x14ac:dyDescent="0.3"/>
  <cols>
    <col min="1" max="1" width="5.44140625" style="320" customWidth="1"/>
    <col min="2" max="2" width="43.44140625" style="1" customWidth="1"/>
    <col min="3" max="3" width="6.5546875" style="788" customWidth="1"/>
    <col min="4" max="4" width="3.109375" style="788" customWidth="1"/>
    <col min="5" max="5" width="5.44140625" style="495" customWidth="1"/>
    <col min="6" max="6" width="8.109375" style="789" customWidth="1"/>
    <col min="7" max="7" width="12.6640625" style="766" customWidth="1"/>
    <col min="8" max="8" width="25.88671875" style="497" customWidth="1"/>
    <col min="9" max="9" width="5.44140625" style="1" customWidth="1"/>
    <col min="10" max="14" width="3.33203125" style="1" customWidth="1"/>
    <col min="15" max="15" width="13.5546875" style="498" customWidth="1"/>
    <col min="16" max="16384" width="9.109375" style="1"/>
  </cols>
  <sheetData>
    <row r="1" spans="1:16" ht="17.25" customHeight="1" x14ac:dyDescent="0.35">
      <c r="A1" s="2842" t="s">
        <v>0</v>
      </c>
      <c r="B1" s="2842"/>
      <c r="C1" s="2842"/>
      <c r="D1" s="2842"/>
      <c r="E1" s="2842"/>
      <c r="F1" s="2842"/>
      <c r="G1" s="2842"/>
      <c r="H1" s="2843"/>
      <c r="I1" s="2842"/>
      <c r="J1" s="2842"/>
      <c r="K1" s="2842"/>
      <c r="L1" s="2842"/>
      <c r="M1" s="2842"/>
      <c r="N1" s="2842"/>
      <c r="O1" s="2842"/>
      <c r="P1" s="2620" t="s">
        <v>6394</v>
      </c>
    </row>
    <row r="2" spans="1:16" ht="17.25" customHeight="1" x14ac:dyDescent="0.35">
      <c r="A2" s="2842" t="s">
        <v>1</v>
      </c>
      <c r="B2" s="2842"/>
      <c r="C2" s="2842"/>
      <c r="D2" s="2842"/>
      <c r="E2" s="2842"/>
      <c r="F2" s="2842"/>
      <c r="G2" s="2842"/>
      <c r="H2" s="2843"/>
      <c r="I2" s="2842"/>
      <c r="J2" s="2842"/>
      <c r="K2" s="2842"/>
      <c r="L2" s="2842"/>
      <c r="M2" s="2842"/>
      <c r="N2" s="2842"/>
      <c r="O2" s="2842"/>
    </row>
    <row r="3" spans="1:16" x14ac:dyDescent="0.3">
      <c r="A3" s="2861" t="s">
        <v>921</v>
      </c>
      <c r="B3" s="2861"/>
      <c r="C3" s="4"/>
      <c r="D3" s="4"/>
      <c r="E3" s="4"/>
      <c r="F3" s="4"/>
      <c r="G3" s="5"/>
      <c r="H3" s="7"/>
      <c r="I3" s="3"/>
      <c r="J3" s="3"/>
      <c r="K3" s="3"/>
      <c r="L3" s="3"/>
      <c r="M3" s="3"/>
      <c r="N3" s="3"/>
      <c r="O3" s="7"/>
    </row>
    <row r="4" spans="1:16" s="10" customFormat="1" ht="18.75" customHeight="1" x14ac:dyDescent="0.3">
      <c r="A4" s="2867" t="s">
        <v>3</v>
      </c>
      <c r="B4" s="2868" t="s">
        <v>4</v>
      </c>
      <c r="C4" s="2869" t="s">
        <v>5</v>
      </c>
      <c r="D4" s="2870"/>
      <c r="E4" s="2871"/>
      <c r="F4" s="770" t="s">
        <v>624</v>
      </c>
      <c r="G4" s="2875" t="s">
        <v>7</v>
      </c>
      <c r="H4" s="2868" t="s">
        <v>8</v>
      </c>
      <c r="I4" s="2858" t="s">
        <v>9</v>
      </c>
      <c r="J4" s="2876"/>
      <c r="K4" s="2876"/>
      <c r="L4" s="2876"/>
      <c r="M4" s="2876"/>
      <c r="N4" s="2860"/>
      <c r="O4" s="2868" t="s">
        <v>10</v>
      </c>
    </row>
    <row r="5" spans="1:16" s="10" customFormat="1" ht="36" customHeight="1" x14ac:dyDescent="0.3">
      <c r="A5" s="2845"/>
      <c r="B5" s="2857"/>
      <c r="C5" s="2872"/>
      <c r="D5" s="2873"/>
      <c r="E5" s="2874"/>
      <c r="F5" s="771" t="s">
        <v>11</v>
      </c>
      <c r="G5" s="2865"/>
      <c r="H5" s="2857"/>
      <c r="I5" s="14" t="s">
        <v>12</v>
      </c>
      <c r="J5" s="14" t="s">
        <v>13</v>
      </c>
      <c r="K5" s="15" t="s">
        <v>14</v>
      </c>
      <c r="L5" s="15" t="s">
        <v>15</v>
      </c>
      <c r="M5" s="15" t="s">
        <v>16</v>
      </c>
      <c r="N5" s="15" t="s">
        <v>17</v>
      </c>
      <c r="O5" s="2857"/>
    </row>
    <row r="6" spans="1:16" x14ac:dyDescent="0.3">
      <c r="A6" s="772" t="s">
        <v>18</v>
      </c>
      <c r="B6" s="773" t="s">
        <v>922</v>
      </c>
      <c r="C6" s="774"/>
      <c r="D6" s="774"/>
      <c r="E6" s="774"/>
      <c r="F6" s="774"/>
      <c r="G6" s="775"/>
      <c r="H6" s="776"/>
      <c r="I6" s="777"/>
      <c r="J6" s="778"/>
      <c r="K6" s="777"/>
      <c r="L6" s="778"/>
      <c r="M6" s="778"/>
      <c r="N6" s="779"/>
      <c r="O6" s="780" t="s">
        <v>119</v>
      </c>
    </row>
    <row r="7" spans="1:16" ht="19.5" customHeight="1" x14ac:dyDescent="0.3">
      <c r="A7" s="2250">
        <v>1</v>
      </c>
      <c r="B7" s="791" t="s">
        <v>932</v>
      </c>
      <c r="C7" s="781" t="s">
        <v>18</v>
      </c>
      <c r="D7" s="183" t="s">
        <v>933</v>
      </c>
      <c r="E7" s="349" t="s">
        <v>934</v>
      </c>
      <c r="F7" s="218" t="s">
        <v>935</v>
      </c>
      <c r="G7" s="563">
        <v>14000</v>
      </c>
      <c r="H7" s="1760" t="s">
        <v>936</v>
      </c>
      <c r="I7" s="352"/>
      <c r="J7" s="353" t="s">
        <v>25</v>
      </c>
      <c r="K7" s="353"/>
      <c r="L7" s="353"/>
      <c r="M7" s="353"/>
      <c r="N7" s="353"/>
      <c r="O7" s="697"/>
    </row>
    <row r="8" spans="1:16" ht="19.5" customHeight="1" x14ac:dyDescent="0.3">
      <c r="A8" s="2226">
        <v>2</v>
      </c>
      <c r="B8" s="567" t="s">
        <v>937</v>
      </c>
      <c r="C8" s="781" t="s">
        <v>18</v>
      </c>
      <c r="D8" s="416" t="s">
        <v>938</v>
      </c>
      <c r="E8" s="349" t="s">
        <v>546</v>
      </c>
      <c r="F8" s="218" t="s">
        <v>939</v>
      </c>
      <c r="G8" s="568">
        <v>20500</v>
      </c>
      <c r="H8" s="1761" t="s">
        <v>490</v>
      </c>
      <c r="I8" s="118"/>
      <c r="J8" s="119" t="s">
        <v>25</v>
      </c>
      <c r="K8" s="119"/>
      <c r="L8" s="119"/>
      <c r="M8" s="119"/>
      <c r="N8" s="119"/>
      <c r="O8" s="191"/>
    </row>
    <row r="9" spans="1:16" ht="19.5" customHeight="1" x14ac:dyDescent="0.3">
      <c r="A9" s="2226">
        <v>3</v>
      </c>
      <c r="B9" s="567" t="s">
        <v>937</v>
      </c>
      <c r="C9" s="781" t="s">
        <v>18</v>
      </c>
      <c r="D9" s="416" t="s">
        <v>940</v>
      </c>
      <c r="E9" s="349" t="s">
        <v>418</v>
      </c>
      <c r="F9" s="218" t="s">
        <v>941</v>
      </c>
      <c r="G9" s="568">
        <v>9000</v>
      </c>
      <c r="H9" s="792" t="s">
        <v>942</v>
      </c>
      <c r="I9" s="118" t="s">
        <v>25</v>
      </c>
      <c r="J9" s="119"/>
      <c r="K9" s="119"/>
      <c r="L9" s="119"/>
      <c r="M9" s="119"/>
      <c r="N9" s="119"/>
      <c r="O9" s="2305" t="s">
        <v>477</v>
      </c>
    </row>
    <row r="10" spans="1:16" ht="19.5" customHeight="1" x14ac:dyDescent="0.3">
      <c r="A10" s="2250">
        <v>4</v>
      </c>
      <c r="B10" s="567" t="s">
        <v>932</v>
      </c>
      <c r="C10" s="781" t="s">
        <v>18</v>
      </c>
      <c r="D10" s="793" t="s">
        <v>943</v>
      </c>
      <c r="E10" s="349" t="s">
        <v>411</v>
      </c>
      <c r="F10" s="218" t="s">
        <v>944</v>
      </c>
      <c r="G10" s="568">
        <v>25000</v>
      </c>
      <c r="H10" s="1761" t="s">
        <v>490</v>
      </c>
      <c r="I10" s="118"/>
      <c r="J10" s="119" t="s">
        <v>25</v>
      </c>
      <c r="K10" s="119"/>
      <c r="L10" s="119"/>
      <c r="M10" s="119"/>
      <c r="N10" s="119"/>
      <c r="O10" s="191"/>
    </row>
    <row r="11" spans="1:16" ht="19.5" customHeight="1" x14ac:dyDescent="0.3">
      <c r="A11" s="2226">
        <v>5</v>
      </c>
      <c r="B11" s="567" t="s">
        <v>932</v>
      </c>
      <c r="C11" s="781" t="s">
        <v>18</v>
      </c>
      <c r="D11" s="416" t="s">
        <v>943</v>
      </c>
      <c r="E11" s="349" t="s">
        <v>596</v>
      </c>
      <c r="F11" s="218" t="s">
        <v>944</v>
      </c>
      <c r="G11" s="568">
        <v>25000</v>
      </c>
      <c r="H11" s="1760" t="s">
        <v>936</v>
      </c>
      <c r="I11" s="118"/>
      <c r="J11" s="119" t="s">
        <v>25</v>
      </c>
      <c r="K11" s="119"/>
      <c r="L11" s="119"/>
      <c r="M11" s="119"/>
      <c r="N11" s="119"/>
      <c r="O11" s="191"/>
    </row>
    <row r="12" spans="1:16" ht="19.5" customHeight="1" x14ac:dyDescent="0.3">
      <c r="A12" s="2250">
        <v>6</v>
      </c>
      <c r="B12" s="567" t="s">
        <v>932</v>
      </c>
      <c r="C12" s="781" t="s">
        <v>18</v>
      </c>
      <c r="D12" s="416" t="s">
        <v>945</v>
      </c>
      <c r="E12" s="349" t="s">
        <v>564</v>
      </c>
      <c r="F12" s="218" t="s">
        <v>946</v>
      </c>
      <c r="G12" s="568">
        <v>8800</v>
      </c>
      <c r="H12" s="1761" t="s">
        <v>490</v>
      </c>
      <c r="I12" s="118" t="s">
        <v>25</v>
      </c>
      <c r="J12" s="118"/>
      <c r="K12" s="119"/>
      <c r="L12" s="119"/>
      <c r="M12" s="119"/>
      <c r="N12" s="119"/>
      <c r="O12" s="191"/>
    </row>
    <row r="13" spans="1:16" ht="19.5" customHeight="1" x14ac:dyDescent="0.3">
      <c r="A13" s="2226">
        <v>7</v>
      </c>
      <c r="B13" s="567" t="s">
        <v>932</v>
      </c>
      <c r="C13" s="781" t="s">
        <v>18</v>
      </c>
      <c r="D13" s="416" t="s">
        <v>945</v>
      </c>
      <c r="E13" s="349" t="s">
        <v>565</v>
      </c>
      <c r="F13" s="218" t="s">
        <v>946</v>
      </c>
      <c r="G13" s="568">
        <v>8800</v>
      </c>
      <c r="H13" s="1761" t="s">
        <v>490</v>
      </c>
      <c r="I13" s="118" t="s">
        <v>25</v>
      </c>
      <c r="J13" s="119"/>
      <c r="K13" s="119"/>
      <c r="L13" s="119"/>
      <c r="M13" s="119"/>
      <c r="N13" s="119"/>
      <c r="O13" s="191"/>
    </row>
    <row r="14" spans="1:16" ht="19.5" customHeight="1" x14ac:dyDescent="0.3">
      <c r="A14" s="2226">
        <v>8</v>
      </c>
      <c r="B14" s="567" t="s">
        <v>932</v>
      </c>
      <c r="C14" s="781" t="s">
        <v>18</v>
      </c>
      <c r="D14" s="416" t="s">
        <v>947</v>
      </c>
      <c r="E14" s="349" t="s">
        <v>948</v>
      </c>
      <c r="F14" s="218" t="s">
        <v>949</v>
      </c>
      <c r="G14" s="568">
        <v>3300</v>
      </c>
      <c r="H14" s="1760" t="s">
        <v>936</v>
      </c>
      <c r="I14" s="118" t="s">
        <v>25</v>
      </c>
      <c r="J14" s="600"/>
      <c r="K14" s="600"/>
      <c r="L14" s="600"/>
      <c r="M14" s="600"/>
      <c r="N14" s="600"/>
      <c r="O14" s="601"/>
    </row>
    <row r="15" spans="1:16" ht="19.5" customHeight="1" x14ac:dyDescent="0.3">
      <c r="A15" s="2250">
        <v>9</v>
      </c>
      <c r="B15" s="567" t="s">
        <v>932</v>
      </c>
      <c r="C15" s="781" t="s">
        <v>18</v>
      </c>
      <c r="D15" s="416" t="s">
        <v>950</v>
      </c>
      <c r="E15" s="349" t="s">
        <v>951</v>
      </c>
      <c r="F15" s="218" t="s">
        <v>952</v>
      </c>
      <c r="G15" s="568">
        <v>38000</v>
      </c>
      <c r="H15" s="792" t="s">
        <v>942</v>
      </c>
      <c r="I15" s="794" t="s">
        <v>25</v>
      </c>
      <c r="J15" s="795"/>
      <c r="K15" s="795"/>
      <c r="L15" s="796"/>
      <c r="M15" s="796"/>
      <c r="N15" s="795"/>
      <c r="O15" s="2364" t="s">
        <v>477</v>
      </c>
    </row>
    <row r="16" spans="1:16" ht="19.5" customHeight="1" x14ac:dyDescent="0.3">
      <c r="A16" s="2226">
        <v>10</v>
      </c>
      <c r="B16" s="567" t="s">
        <v>932</v>
      </c>
      <c r="C16" s="781" t="s">
        <v>18</v>
      </c>
      <c r="D16" s="416" t="s">
        <v>950</v>
      </c>
      <c r="E16" s="349" t="s">
        <v>953</v>
      </c>
      <c r="F16" s="218" t="s">
        <v>952</v>
      </c>
      <c r="G16" s="568">
        <v>8800</v>
      </c>
      <c r="H16" s="792" t="s">
        <v>942</v>
      </c>
      <c r="I16" s="794" t="s">
        <v>25</v>
      </c>
      <c r="J16" s="795"/>
      <c r="K16" s="795"/>
      <c r="L16" s="796"/>
      <c r="M16" s="796"/>
      <c r="N16" s="795"/>
      <c r="O16" s="2364" t="s">
        <v>477</v>
      </c>
    </row>
    <row r="17" spans="1:15" ht="19.5" customHeight="1" x14ac:dyDescent="0.3">
      <c r="A17" s="2250">
        <v>11</v>
      </c>
      <c r="B17" s="567" t="s">
        <v>932</v>
      </c>
      <c r="C17" s="781" t="s">
        <v>18</v>
      </c>
      <c r="D17" s="416" t="s">
        <v>954</v>
      </c>
      <c r="E17" s="349" t="s">
        <v>955</v>
      </c>
      <c r="F17" s="218" t="s">
        <v>956</v>
      </c>
      <c r="G17" s="568">
        <v>11000</v>
      </c>
      <c r="H17" s="1761" t="s">
        <v>490</v>
      </c>
      <c r="I17" s="794" t="s">
        <v>25</v>
      </c>
      <c r="J17" s="119"/>
      <c r="K17" s="795"/>
      <c r="L17" s="796"/>
      <c r="M17" s="796"/>
      <c r="N17" s="795"/>
      <c r="O17" s="797"/>
    </row>
    <row r="18" spans="1:15" ht="19.5" customHeight="1" x14ac:dyDescent="0.3">
      <c r="A18" s="2226">
        <v>12</v>
      </c>
      <c r="B18" s="567" t="s">
        <v>932</v>
      </c>
      <c r="C18" s="781" t="s">
        <v>18</v>
      </c>
      <c r="D18" s="416" t="s">
        <v>954</v>
      </c>
      <c r="E18" s="349" t="s">
        <v>957</v>
      </c>
      <c r="F18" s="218" t="s">
        <v>956</v>
      </c>
      <c r="G18" s="568">
        <v>11000</v>
      </c>
      <c r="H18" s="1761" t="s">
        <v>490</v>
      </c>
      <c r="I18" s="794" t="s">
        <v>25</v>
      </c>
      <c r="J18" s="119"/>
      <c r="K18" s="795"/>
      <c r="L18" s="796"/>
      <c r="M18" s="796"/>
      <c r="N18" s="795"/>
      <c r="O18" s="797"/>
    </row>
    <row r="19" spans="1:15" ht="19.5" customHeight="1" x14ac:dyDescent="0.3">
      <c r="A19" s="2226">
        <v>13</v>
      </c>
      <c r="B19" s="567" t="s">
        <v>958</v>
      </c>
      <c r="C19" s="781" t="s">
        <v>18</v>
      </c>
      <c r="D19" s="416" t="s">
        <v>534</v>
      </c>
      <c r="E19" s="349" t="s">
        <v>959</v>
      </c>
      <c r="F19" s="218" t="s">
        <v>960</v>
      </c>
      <c r="G19" s="568">
        <v>87000</v>
      </c>
      <c r="H19" s="792" t="s">
        <v>942</v>
      </c>
      <c r="I19" s="794" t="s">
        <v>25</v>
      </c>
      <c r="J19" s="795"/>
      <c r="K19" s="795"/>
      <c r="L19" s="796"/>
      <c r="M19" s="796"/>
      <c r="N19" s="795"/>
      <c r="O19" s="2364" t="s">
        <v>477</v>
      </c>
    </row>
    <row r="20" spans="1:15" ht="19.5" customHeight="1" x14ac:dyDescent="0.3">
      <c r="A20" s="2250">
        <v>14</v>
      </c>
      <c r="B20" s="567" t="s">
        <v>961</v>
      </c>
      <c r="C20" s="781" t="s">
        <v>18</v>
      </c>
      <c r="D20" s="416" t="s">
        <v>534</v>
      </c>
      <c r="E20" s="349" t="s">
        <v>962</v>
      </c>
      <c r="F20" s="218" t="s">
        <v>963</v>
      </c>
      <c r="G20" s="568">
        <v>5000</v>
      </c>
      <c r="H20" s="1761" t="s">
        <v>964</v>
      </c>
      <c r="I20" s="794" t="s">
        <v>25</v>
      </c>
      <c r="J20" s="119"/>
      <c r="K20" s="795"/>
      <c r="L20" s="796"/>
      <c r="M20" s="796"/>
      <c r="N20" s="795"/>
      <c r="O20" s="798"/>
    </row>
    <row r="21" spans="1:15" ht="19.5" customHeight="1" x14ac:dyDescent="0.3">
      <c r="A21" s="2226">
        <v>15</v>
      </c>
      <c r="B21" s="567" t="s">
        <v>965</v>
      </c>
      <c r="C21" s="781" t="s">
        <v>18</v>
      </c>
      <c r="D21" s="416" t="s">
        <v>966</v>
      </c>
      <c r="E21" s="349" t="s">
        <v>44</v>
      </c>
      <c r="F21" s="218" t="s">
        <v>967</v>
      </c>
      <c r="G21" s="568">
        <v>340000</v>
      </c>
      <c r="H21" s="792" t="s">
        <v>942</v>
      </c>
      <c r="I21" s="794" t="s">
        <v>25</v>
      </c>
      <c r="J21" s="795"/>
      <c r="K21" s="795"/>
      <c r="L21" s="796"/>
      <c r="M21" s="796"/>
      <c r="N21" s="795"/>
      <c r="O21" s="2364" t="s">
        <v>477</v>
      </c>
    </row>
    <row r="22" spans="1:15" ht="19.5" customHeight="1" x14ac:dyDescent="0.3">
      <c r="A22" s="2250">
        <v>16</v>
      </c>
      <c r="B22" s="567" t="s">
        <v>932</v>
      </c>
      <c r="C22" s="781" t="s">
        <v>18</v>
      </c>
      <c r="D22" s="416" t="s">
        <v>968</v>
      </c>
      <c r="E22" s="349" t="s">
        <v>47</v>
      </c>
      <c r="F22" s="218" t="s">
        <v>969</v>
      </c>
      <c r="G22" s="568">
        <v>18000</v>
      </c>
      <c r="H22" s="792" t="s">
        <v>942</v>
      </c>
      <c r="I22" s="794" t="s">
        <v>25</v>
      </c>
      <c r="J22" s="795"/>
      <c r="K22" s="795"/>
      <c r="L22" s="796"/>
      <c r="M22" s="796"/>
      <c r="N22" s="795"/>
      <c r="O22" s="2364" t="s">
        <v>477</v>
      </c>
    </row>
    <row r="23" spans="1:15" ht="19.5" customHeight="1" x14ac:dyDescent="0.3">
      <c r="A23" s="2226">
        <v>17</v>
      </c>
      <c r="B23" s="567" t="s">
        <v>932</v>
      </c>
      <c r="C23" s="781" t="s">
        <v>18</v>
      </c>
      <c r="D23" s="416" t="s">
        <v>968</v>
      </c>
      <c r="E23" s="349" t="s">
        <v>48</v>
      </c>
      <c r="F23" s="218" t="s">
        <v>969</v>
      </c>
      <c r="G23" s="568">
        <v>18000</v>
      </c>
      <c r="H23" s="792" t="s">
        <v>942</v>
      </c>
      <c r="I23" s="794" t="s">
        <v>25</v>
      </c>
      <c r="J23" s="795"/>
      <c r="K23" s="795"/>
      <c r="L23" s="796"/>
      <c r="M23" s="796"/>
      <c r="N23" s="795"/>
      <c r="O23" s="2364" t="s">
        <v>477</v>
      </c>
    </row>
    <row r="24" spans="1:15" ht="19.5" customHeight="1" x14ac:dyDescent="0.3">
      <c r="A24" s="2226">
        <v>18</v>
      </c>
      <c r="B24" s="567" t="s">
        <v>932</v>
      </c>
      <c r="C24" s="781" t="s">
        <v>18</v>
      </c>
      <c r="D24" s="416" t="s">
        <v>968</v>
      </c>
      <c r="E24" s="349" t="s">
        <v>50</v>
      </c>
      <c r="F24" s="218" t="s">
        <v>970</v>
      </c>
      <c r="G24" s="568">
        <v>32500</v>
      </c>
      <c r="H24" s="792" t="s">
        <v>971</v>
      </c>
      <c r="I24" s="794" t="s">
        <v>25</v>
      </c>
      <c r="J24" s="795"/>
      <c r="K24" s="795"/>
      <c r="L24" s="796"/>
      <c r="M24" s="796"/>
      <c r="N24" s="799"/>
      <c r="O24" s="2365" t="s">
        <v>971</v>
      </c>
    </row>
    <row r="25" spans="1:15" ht="19.5" customHeight="1" x14ac:dyDescent="0.3">
      <c r="A25" s="2250">
        <v>19</v>
      </c>
      <c r="B25" s="567" t="s">
        <v>958</v>
      </c>
      <c r="C25" s="781" t="s">
        <v>18</v>
      </c>
      <c r="D25" s="793" t="s">
        <v>968</v>
      </c>
      <c r="E25" s="349" t="s">
        <v>53</v>
      </c>
      <c r="F25" s="218" t="s">
        <v>970</v>
      </c>
      <c r="G25" s="568">
        <v>27000</v>
      </c>
      <c r="H25" s="792" t="s">
        <v>971</v>
      </c>
      <c r="I25" s="794" t="s">
        <v>25</v>
      </c>
      <c r="J25" s="795"/>
      <c r="K25" s="795"/>
      <c r="L25" s="796"/>
      <c r="M25" s="796"/>
      <c r="N25" s="799"/>
      <c r="O25" s="2366" t="s">
        <v>971</v>
      </c>
    </row>
    <row r="26" spans="1:15" ht="19.5" customHeight="1" x14ac:dyDescent="0.3">
      <c r="A26" s="2226">
        <v>20</v>
      </c>
      <c r="B26" s="567" t="s">
        <v>958</v>
      </c>
      <c r="C26" s="781" t="s">
        <v>18</v>
      </c>
      <c r="D26" s="416" t="s">
        <v>968</v>
      </c>
      <c r="E26" s="349" t="s">
        <v>56</v>
      </c>
      <c r="F26" s="218" t="s">
        <v>970</v>
      </c>
      <c r="G26" s="568">
        <v>27000</v>
      </c>
      <c r="H26" s="792" t="s">
        <v>971</v>
      </c>
      <c r="I26" s="618" t="s">
        <v>25</v>
      </c>
      <c r="J26" s="618"/>
      <c r="K26" s="618"/>
      <c r="L26" s="618"/>
      <c r="M26" s="616"/>
      <c r="N26" s="800"/>
      <c r="O26" s="2367" t="s">
        <v>477</v>
      </c>
    </row>
    <row r="27" spans="1:15" ht="19.5" customHeight="1" x14ac:dyDescent="0.3">
      <c r="A27" s="2250">
        <v>21</v>
      </c>
      <c r="B27" s="567" t="s">
        <v>932</v>
      </c>
      <c r="C27" s="781" t="s">
        <v>18</v>
      </c>
      <c r="D27" s="416" t="s">
        <v>494</v>
      </c>
      <c r="E27" s="349" t="s">
        <v>58</v>
      </c>
      <c r="F27" s="218" t="s">
        <v>972</v>
      </c>
      <c r="G27" s="568">
        <v>49200</v>
      </c>
      <c r="H27" s="1761" t="s">
        <v>490</v>
      </c>
      <c r="I27" s="118"/>
      <c r="J27" s="119" t="s">
        <v>25</v>
      </c>
      <c r="K27" s="119"/>
      <c r="L27" s="119"/>
      <c r="M27" s="119"/>
      <c r="N27" s="119"/>
      <c r="O27" s="191"/>
    </row>
    <row r="28" spans="1:15" ht="19.5" customHeight="1" x14ac:dyDescent="0.3">
      <c r="A28" s="2226">
        <v>22</v>
      </c>
      <c r="B28" s="567" t="s">
        <v>973</v>
      </c>
      <c r="C28" s="781" t="s">
        <v>18</v>
      </c>
      <c r="D28" s="416" t="s">
        <v>494</v>
      </c>
      <c r="E28" s="349" t="s">
        <v>59</v>
      </c>
      <c r="F28" s="218" t="s">
        <v>405</v>
      </c>
      <c r="G28" s="568">
        <v>44100</v>
      </c>
      <c r="H28" s="1761" t="s">
        <v>974</v>
      </c>
      <c r="I28" s="118" t="s">
        <v>25</v>
      </c>
      <c r="J28" s="119"/>
      <c r="K28" s="119"/>
      <c r="L28" s="119"/>
      <c r="M28" s="119"/>
      <c r="N28" s="119"/>
      <c r="O28" s="191"/>
    </row>
    <row r="29" spans="1:15" ht="19.5" customHeight="1" x14ac:dyDescent="0.3">
      <c r="A29" s="2226">
        <v>23</v>
      </c>
      <c r="B29" s="567" t="s">
        <v>973</v>
      </c>
      <c r="C29" s="781" t="s">
        <v>18</v>
      </c>
      <c r="D29" s="416" t="s">
        <v>494</v>
      </c>
      <c r="E29" s="349" t="s">
        <v>60</v>
      </c>
      <c r="F29" s="218" t="s">
        <v>405</v>
      </c>
      <c r="G29" s="568">
        <v>21000</v>
      </c>
      <c r="H29" s="1761" t="s">
        <v>974</v>
      </c>
      <c r="I29" s="118" t="s">
        <v>25</v>
      </c>
      <c r="J29" s="119"/>
      <c r="K29" s="119"/>
      <c r="L29" s="119"/>
      <c r="M29" s="119"/>
      <c r="N29" s="119"/>
      <c r="O29" s="191"/>
    </row>
    <row r="30" spans="1:15" ht="19.5" customHeight="1" x14ac:dyDescent="0.3">
      <c r="A30" s="2250">
        <v>24</v>
      </c>
      <c r="B30" s="567" t="s">
        <v>975</v>
      </c>
      <c r="C30" s="781" t="s">
        <v>18</v>
      </c>
      <c r="D30" s="416" t="s">
        <v>494</v>
      </c>
      <c r="E30" s="349" t="s">
        <v>61</v>
      </c>
      <c r="F30" s="218" t="s">
        <v>405</v>
      </c>
      <c r="G30" s="568">
        <v>17000</v>
      </c>
      <c r="H30" s="1761" t="s">
        <v>974</v>
      </c>
      <c r="I30" s="118" t="s">
        <v>25</v>
      </c>
      <c r="J30" s="119"/>
      <c r="K30" s="119"/>
      <c r="L30" s="119"/>
      <c r="M30" s="119"/>
      <c r="N30" s="119"/>
      <c r="O30" s="191"/>
    </row>
    <row r="31" spans="1:15" ht="19.5" customHeight="1" x14ac:dyDescent="0.3">
      <c r="A31" s="2226">
        <v>25</v>
      </c>
      <c r="B31" s="567" t="s">
        <v>975</v>
      </c>
      <c r="C31" s="781" t="s">
        <v>18</v>
      </c>
      <c r="D31" s="416" t="s">
        <v>494</v>
      </c>
      <c r="E31" s="349" t="s">
        <v>62</v>
      </c>
      <c r="F31" s="218" t="s">
        <v>405</v>
      </c>
      <c r="G31" s="568">
        <v>17000</v>
      </c>
      <c r="H31" s="1761" t="s">
        <v>974</v>
      </c>
      <c r="I31" s="118" t="s">
        <v>25</v>
      </c>
      <c r="J31" s="119"/>
      <c r="K31" s="119"/>
      <c r="L31" s="119"/>
      <c r="M31" s="119"/>
      <c r="N31" s="119"/>
      <c r="O31" s="191"/>
    </row>
    <row r="32" spans="1:15" ht="19.5" customHeight="1" x14ac:dyDescent="0.3">
      <c r="A32" s="2250">
        <v>26</v>
      </c>
      <c r="B32" s="567" t="s">
        <v>975</v>
      </c>
      <c r="C32" s="781" t="s">
        <v>18</v>
      </c>
      <c r="D32" s="416" t="s">
        <v>494</v>
      </c>
      <c r="E32" s="349" t="s">
        <v>63</v>
      </c>
      <c r="F32" s="218" t="s">
        <v>405</v>
      </c>
      <c r="G32" s="568">
        <v>17000</v>
      </c>
      <c r="H32" s="1761" t="s">
        <v>974</v>
      </c>
      <c r="I32" s="118" t="s">
        <v>25</v>
      </c>
      <c r="J32" s="119"/>
      <c r="K32" s="119"/>
      <c r="L32" s="119"/>
      <c r="M32" s="119"/>
      <c r="N32" s="119"/>
      <c r="O32" s="191"/>
    </row>
    <row r="33" spans="1:15" ht="19.5" customHeight="1" x14ac:dyDescent="0.3">
      <c r="A33" s="2226">
        <v>27</v>
      </c>
      <c r="B33" s="567" t="s">
        <v>975</v>
      </c>
      <c r="C33" s="781" t="s">
        <v>18</v>
      </c>
      <c r="D33" s="416" t="s">
        <v>494</v>
      </c>
      <c r="E33" s="349" t="s">
        <v>64</v>
      </c>
      <c r="F33" s="218" t="s">
        <v>405</v>
      </c>
      <c r="G33" s="568">
        <v>17000</v>
      </c>
      <c r="H33" s="1761" t="s">
        <v>974</v>
      </c>
      <c r="I33" s="118" t="s">
        <v>25</v>
      </c>
      <c r="J33" s="119"/>
      <c r="K33" s="119"/>
      <c r="L33" s="119"/>
      <c r="M33" s="119"/>
      <c r="N33" s="119"/>
      <c r="O33" s="191"/>
    </row>
    <row r="34" spans="1:15" ht="19.5" customHeight="1" x14ac:dyDescent="0.3">
      <c r="A34" s="2226">
        <v>28</v>
      </c>
      <c r="B34" s="567" t="s">
        <v>975</v>
      </c>
      <c r="C34" s="781" t="s">
        <v>18</v>
      </c>
      <c r="D34" s="416" t="s">
        <v>494</v>
      </c>
      <c r="E34" s="349" t="s">
        <v>65</v>
      </c>
      <c r="F34" s="218" t="s">
        <v>405</v>
      </c>
      <c r="G34" s="568">
        <v>17000</v>
      </c>
      <c r="H34" s="1761" t="s">
        <v>974</v>
      </c>
      <c r="I34" s="118" t="s">
        <v>25</v>
      </c>
      <c r="J34" s="119"/>
      <c r="K34" s="119"/>
      <c r="L34" s="119"/>
      <c r="M34" s="119"/>
      <c r="N34" s="119"/>
      <c r="O34" s="191"/>
    </row>
    <row r="35" spans="1:15" ht="19.5" customHeight="1" x14ac:dyDescent="0.3">
      <c r="A35" s="2250">
        <v>29</v>
      </c>
      <c r="B35" s="567" t="s">
        <v>975</v>
      </c>
      <c r="C35" s="781" t="s">
        <v>18</v>
      </c>
      <c r="D35" s="416" t="s">
        <v>494</v>
      </c>
      <c r="E35" s="349" t="s">
        <v>66</v>
      </c>
      <c r="F35" s="218" t="s">
        <v>405</v>
      </c>
      <c r="G35" s="568">
        <v>17000</v>
      </c>
      <c r="H35" s="1761" t="s">
        <v>974</v>
      </c>
      <c r="I35" s="118" t="s">
        <v>25</v>
      </c>
      <c r="J35" s="119"/>
      <c r="K35" s="119"/>
      <c r="L35" s="119"/>
      <c r="M35" s="119"/>
      <c r="N35" s="119"/>
      <c r="O35" s="191"/>
    </row>
    <row r="36" spans="1:15" ht="19.5" customHeight="1" x14ac:dyDescent="0.3">
      <c r="A36" s="2226">
        <v>30</v>
      </c>
      <c r="B36" s="567" t="s">
        <v>975</v>
      </c>
      <c r="C36" s="781" t="s">
        <v>18</v>
      </c>
      <c r="D36" s="416" t="s">
        <v>494</v>
      </c>
      <c r="E36" s="349" t="s">
        <v>67</v>
      </c>
      <c r="F36" s="218" t="s">
        <v>405</v>
      </c>
      <c r="G36" s="568">
        <v>17000</v>
      </c>
      <c r="H36" s="1761" t="s">
        <v>974</v>
      </c>
      <c r="I36" s="118" t="s">
        <v>25</v>
      </c>
      <c r="J36" s="119"/>
      <c r="K36" s="119"/>
      <c r="L36" s="119"/>
      <c r="M36" s="119"/>
      <c r="N36" s="119"/>
      <c r="O36" s="191"/>
    </row>
    <row r="37" spans="1:15" ht="19.5" customHeight="1" x14ac:dyDescent="0.3">
      <c r="A37" s="2250">
        <v>31</v>
      </c>
      <c r="B37" s="567" t="s">
        <v>976</v>
      </c>
      <c r="C37" s="781" t="s">
        <v>18</v>
      </c>
      <c r="D37" s="793" t="s">
        <v>494</v>
      </c>
      <c r="E37" s="349" t="s">
        <v>68</v>
      </c>
      <c r="F37" s="218" t="s">
        <v>405</v>
      </c>
      <c r="G37" s="568">
        <v>36000</v>
      </c>
      <c r="H37" s="1761" t="s">
        <v>974</v>
      </c>
      <c r="I37" s="118" t="s">
        <v>25</v>
      </c>
      <c r="J37" s="119"/>
      <c r="K37" s="119"/>
      <c r="L37" s="119"/>
      <c r="M37" s="119"/>
      <c r="N37" s="119"/>
      <c r="O37" s="191"/>
    </row>
    <row r="38" spans="1:15" ht="19.5" customHeight="1" x14ac:dyDescent="0.3">
      <c r="A38" s="2226">
        <v>32</v>
      </c>
      <c r="B38" s="567" t="s">
        <v>973</v>
      </c>
      <c r="C38" s="781" t="s">
        <v>18</v>
      </c>
      <c r="D38" s="416" t="s">
        <v>494</v>
      </c>
      <c r="E38" s="349" t="s">
        <v>69</v>
      </c>
      <c r="F38" s="218" t="s">
        <v>405</v>
      </c>
      <c r="G38" s="568">
        <v>19500</v>
      </c>
      <c r="H38" s="1761" t="s">
        <v>977</v>
      </c>
      <c r="I38" s="118" t="s">
        <v>25</v>
      </c>
      <c r="J38" s="119"/>
      <c r="K38" s="119"/>
      <c r="L38" s="119"/>
      <c r="M38" s="119"/>
      <c r="N38" s="119"/>
      <c r="O38" s="191"/>
    </row>
    <row r="39" spans="1:15" ht="19.5" customHeight="1" x14ac:dyDescent="0.3">
      <c r="A39" s="2226">
        <v>33</v>
      </c>
      <c r="B39" s="567" t="s">
        <v>973</v>
      </c>
      <c r="C39" s="781" t="s">
        <v>18</v>
      </c>
      <c r="D39" s="416" t="s">
        <v>494</v>
      </c>
      <c r="E39" s="349" t="s">
        <v>70</v>
      </c>
      <c r="F39" s="218" t="s">
        <v>405</v>
      </c>
      <c r="G39" s="568">
        <v>44100</v>
      </c>
      <c r="H39" s="1761" t="s">
        <v>977</v>
      </c>
      <c r="I39" s="118" t="s">
        <v>25</v>
      </c>
      <c r="J39" s="119"/>
      <c r="K39" s="119"/>
      <c r="L39" s="192"/>
      <c r="M39" s="192"/>
      <c r="N39" s="119"/>
      <c r="O39" s="191"/>
    </row>
    <row r="40" spans="1:15" ht="19.5" customHeight="1" x14ac:dyDescent="0.3">
      <c r="A40" s="2250">
        <v>34</v>
      </c>
      <c r="B40" s="567" t="s">
        <v>978</v>
      </c>
      <c r="C40" s="781" t="s">
        <v>18</v>
      </c>
      <c r="D40" s="416" t="s">
        <v>494</v>
      </c>
      <c r="E40" s="349" t="s">
        <v>71</v>
      </c>
      <c r="F40" s="218" t="s">
        <v>405</v>
      </c>
      <c r="G40" s="568">
        <v>42265</v>
      </c>
      <c r="H40" s="1761" t="s">
        <v>977</v>
      </c>
      <c r="I40" s="118" t="s">
        <v>25</v>
      </c>
      <c r="J40" s="119"/>
      <c r="K40" s="119"/>
      <c r="L40" s="192"/>
      <c r="M40" s="192"/>
      <c r="N40" s="119"/>
      <c r="O40" s="191"/>
    </row>
    <row r="41" spans="1:15" ht="19.5" customHeight="1" x14ac:dyDescent="0.3">
      <c r="A41" s="2226">
        <v>35</v>
      </c>
      <c r="B41" s="567" t="s">
        <v>978</v>
      </c>
      <c r="C41" s="781" t="s">
        <v>18</v>
      </c>
      <c r="D41" s="416" t="s">
        <v>494</v>
      </c>
      <c r="E41" s="349" t="s">
        <v>72</v>
      </c>
      <c r="F41" s="218" t="s">
        <v>405</v>
      </c>
      <c r="G41" s="568">
        <v>42265</v>
      </c>
      <c r="H41" s="1761" t="s">
        <v>977</v>
      </c>
      <c r="I41" s="118" t="s">
        <v>25</v>
      </c>
      <c r="J41" s="119"/>
      <c r="K41" s="119"/>
      <c r="L41" s="192"/>
      <c r="M41" s="192"/>
      <c r="N41" s="119"/>
      <c r="O41" s="191"/>
    </row>
    <row r="42" spans="1:15" ht="19.5" customHeight="1" x14ac:dyDescent="0.3">
      <c r="A42" s="2250">
        <v>36</v>
      </c>
      <c r="B42" s="567" t="s">
        <v>978</v>
      </c>
      <c r="C42" s="781" t="s">
        <v>18</v>
      </c>
      <c r="D42" s="416" t="s">
        <v>494</v>
      </c>
      <c r="E42" s="349" t="s">
        <v>73</v>
      </c>
      <c r="F42" s="218" t="s">
        <v>405</v>
      </c>
      <c r="G42" s="568">
        <v>42265</v>
      </c>
      <c r="H42" s="1761" t="s">
        <v>977</v>
      </c>
      <c r="I42" s="118" t="s">
        <v>25</v>
      </c>
      <c r="J42" s="119"/>
      <c r="K42" s="119"/>
      <c r="L42" s="192"/>
      <c r="M42" s="192"/>
      <c r="N42" s="119"/>
      <c r="O42" s="191"/>
    </row>
    <row r="43" spans="1:15" ht="19.5" customHeight="1" x14ac:dyDescent="0.3">
      <c r="A43" s="2226">
        <v>37</v>
      </c>
      <c r="B43" s="567" t="s">
        <v>978</v>
      </c>
      <c r="C43" s="781" t="s">
        <v>18</v>
      </c>
      <c r="D43" s="793" t="s">
        <v>494</v>
      </c>
      <c r="E43" s="349" t="s">
        <v>74</v>
      </c>
      <c r="F43" s="218" t="s">
        <v>405</v>
      </c>
      <c r="G43" s="568">
        <v>39055</v>
      </c>
      <c r="H43" s="1761" t="s">
        <v>974</v>
      </c>
      <c r="I43" s="118" t="s">
        <v>25</v>
      </c>
      <c r="J43" s="119"/>
      <c r="K43" s="119"/>
      <c r="L43" s="192"/>
      <c r="M43" s="192"/>
      <c r="N43" s="119"/>
      <c r="O43" s="191"/>
    </row>
    <row r="44" spans="1:15" ht="19.5" customHeight="1" x14ac:dyDescent="0.3">
      <c r="A44" s="2226">
        <v>38</v>
      </c>
      <c r="B44" s="567" t="s">
        <v>976</v>
      </c>
      <c r="C44" s="781" t="s">
        <v>18</v>
      </c>
      <c r="D44" s="416" t="s">
        <v>494</v>
      </c>
      <c r="E44" s="349" t="s">
        <v>75</v>
      </c>
      <c r="F44" s="218" t="s">
        <v>405</v>
      </c>
      <c r="G44" s="568">
        <v>39055</v>
      </c>
      <c r="H44" s="1761" t="s">
        <v>974</v>
      </c>
      <c r="I44" s="118" t="s">
        <v>25</v>
      </c>
      <c r="J44" s="119"/>
      <c r="K44" s="119"/>
      <c r="L44" s="192"/>
      <c r="M44" s="192"/>
      <c r="N44" s="119"/>
      <c r="O44" s="191"/>
    </row>
    <row r="45" spans="1:15" ht="19.5" customHeight="1" x14ac:dyDescent="0.3">
      <c r="A45" s="2250">
        <v>39</v>
      </c>
      <c r="B45" s="567" t="s">
        <v>979</v>
      </c>
      <c r="C45" s="781" t="s">
        <v>18</v>
      </c>
      <c r="D45" s="416" t="s">
        <v>494</v>
      </c>
      <c r="E45" s="349" t="s">
        <v>77</v>
      </c>
      <c r="F45" s="218" t="s">
        <v>405</v>
      </c>
      <c r="G45" s="568">
        <v>60500</v>
      </c>
      <c r="H45" s="1761" t="s">
        <v>974</v>
      </c>
      <c r="I45" s="118" t="s">
        <v>25</v>
      </c>
      <c r="J45" s="119"/>
      <c r="K45" s="119"/>
      <c r="L45" s="192"/>
      <c r="M45" s="192"/>
      <c r="N45" s="119"/>
      <c r="O45" s="191"/>
    </row>
    <row r="46" spans="1:15" ht="19.5" customHeight="1" x14ac:dyDescent="0.3">
      <c r="A46" s="2226">
        <v>40</v>
      </c>
      <c r="B46" s="567" t="s">
        <v>975</v>
      </c>
      <c r="C46" s="781" t="s">
        <v>18</v>
      </c>
      <c r="D46" s="416" t="s">
        <v>494</v>
      </c>
      <c r="E46" s="349" t="s">
        <v>79</v>
      </c>
      <c r="F46" s="218" t="s">
        <v>405</v>
      </c>
      <c r="G46" s="568">
        <v>60500</v>
      </c>
      <c r="H46" s="1761" t="s">
        <v>980</v>
      </c>
      <c r="I46" s="118" t="s">
        <v>25</v>
      </c>
      <c r="J46" s="119"/>
      <c r="K46" s="119"/>
      <c r="L46" s="192"/>
      <c r="M46" s="192"/>
      <c r="N46" s="119"/>
      <c r="O46" s="191"/>
    </row>
    <row r="47" spans="1:15" ht="19.5" customHeight="1" x14ac:dyDescent="0.3">
      <c r="A47" s="2250">
        <v>41</v>
      </c>
      <c r="B47" s="567" t="s">
        <v>975</v>
      </c>
      <c r="C47" s="781" t="s">
        <v>18</v>
      </c>
      <c r="D47" s="416" t="s">
        <v>494</v>
      </c>
      <c r="E47" s="349" t="s">
        <v>80</v>
      </c>
      <c r="F47" s="218" t="s">
        <v>405</v>
      </c>
      <c r="G47" s="568">
        <v>46010</v>
      </c>
      <c r="H47" s="1761" t="s">
        <v>980</v>
      </c>
      <c r="I47" s="118" t="s">
        <v>25</v>
      </c>
      <c r="J47" s="119"/>
      <c r="K47" s="119"/>
      <c r="L47" s="192"/>
      <c r="M47" s="192"/>
      <c r="N47" s="119"/>
      <c r="O47" s="191"/>
    </row>
    <row r="48" spans="1:15" ht="19.5" customHeight="1" x14ac:dyDescent="0.3">
      <c r="A48" s="2226">
        <v>42</v>
      </c>
      <c r="B48" s="567" t="s">
        <v>981</v>
      </c>
      <c r="C48" s="781" t="s">
        <v>18</v>
      </c>
      <c r="D48" s="416" t="s">
        <v>494</v>
      </c>
      <c r="E48" s="349" t="s">
        <v>81</v>
      </c>
      <c r="F48" s="218" t="s">
        <v>405</v>
      </c>
      <c r="G48" s="568">
        <v>46010</v>
      </c>
      <c r="H48" s="1761" t="s">
        <v>980</v>
      </c>
      <c r="I48" s="118" t="s">
        <v>25</v>
      </c>
      <c r="J48" s="119"/>
      <c r="K48" s="119"/>
      <c r="L48" s="192"/>
      <c r="M48" s="192"/>
      <c r="N48" s="119"/>
      <c r="O48" s="191"/>
    </row>
    <row r="49" spans="1:15" ht="19.5" customHeight="1" x14ac:dyDescent="0.3">
      <c r="A49" s="2226">
        <v>43</v>
      </c>
      <c r="B49" s="567" t="s">
        <v>975</v>
      </c>
      <c r="C49" s="781" t="s">
        <v>18</v>
      </c>
      <c r="D49" s="793" t="s">
        <v>494</v>
      </c>
      <c r="E49" s="349" t="s">
        <v>82</v>
      </c>
      <c r="F49" s="218" t="s">
        <v>405</v>
      </c>
      <c r="G49" s="568">
        <v>46010</v>
      </c>
      <c r="H49" s="1761" t="s">
        <v>980</v>
      </c>
      <c r="I49" s="118" t="s">
        <v>25</v>
      </c>
      <c r="J49" s="119"/>
      <c r="K49" s="119"/>
      <c r="L49" s="192"/>
      <c r="M49" s="192"/>
      <c r="N49" s="119"/>
      <c r="O49" s="191"/>
    </row>
    <row r="50" spans="1:15" ht="19.5" customHeight="1" x14ac:dyDescent="0.3">
      <c r="A50" s="2250">
        <v>44</v>
      </c>
      <c r="B50" s="567" t="s">
        <v>975</v>
      </c>
      <c r="C50" s="781" t="s">
        <v>18</v>
      </c>
      <c r="D50" s="793" t="s">
        <v>494</v>
      </c>
      <c r="E50" s="349" t="s">
        <v>83</v>
      </c>
      <c r="F50" s="218" t="s">
        <v>405</v>
      </c>
      <c r="G50" s="568">
        <v>46010</v>
      </c>
      <c r="H50" s="1761" t="s">
        <v>980</v>
      </c>
      <c r="I50" s="118" t="s">
        <v>25</v>
      </c>
      <c r="J50" s="119"/>
      <c r="K50" s="119"/>
      <c r="L50" s="192"/>
      <c r="M50" s="192"/>
      <c r="N50" s="119"/>
      <c r="O50" s="191"/>
    </row>
    <row r="51" spans="1:15" ht="19.5" customHeight="1" x14ac:dyDescent="0.3">
      <c r="A51" s="2226">
        <v>45</v>
      </c>
      <c r="B51" s="567" t="s">
        <v>975</v>
      </c>
      <c r="C51" s="781" t="s">
        <v>18</v>
      </c>
      <c r="D51" s="416" t="s">
        <v>494</v>
      </c>
      <c r="E51" s="349" t="s">
        <v>84</v>
      </c>
      <c r="F51" s="218" t="s">
        <v>405</v>
      </c>
      <c r="G51" s="568">
        <v>57780</v>
      </c>
      <c r="H51" s="1761" t="s">
        <v>980</v>
      </c>
      <c r="I51" s="118" t="s">
        <v>25</v>
      </c>
      <c r="J51" s="119"/>
      <c r="K51" s="119"/>
      <c r="L51" s="192"/>
      <c r="M51" s="192"/>
      <c r="N51" s="119"/>
      <c r="O51" s="191"/>
    </row>
    <row r="52" spans="1:15" ht="19.5" customHeight="1" x14ac:dyDescent="0.3">
      <c r="A52" s="2250">
        <v>46</v>
      </c>
      <c r="B52" s="567" t="s">
        <v>975</v>
      </c>
      <c r="C52" s="781" t="s">
        <v>18</v>
      </c>
      <c r="D52" s="793" t="s">
        <v>494</v>
      </c>
      <c r="E52" s="349" t="s">
        <v>85</v>
      </c>
      <c r="F52" s="218" t="s">
        <v>405</v>
      </c>
      <c r="G52" s="568">
        <v>57780</v>
      </c>
      <c r="H52" s="1761" t="s">
        <v>980</v>
      </c>
      <c r="I52" s="118" t="s">
        <v>25</v>
      </c>
      <c r="J52" s="119"/>
      <c r="K52" s="119"/>
      <c r="L52" s="192"/>
      <c r="M52" s="192"/>
      <c r="N52" s="119"/>
      <c r="O52" s="191"/>
    </row>
    <row r="53" spans="1:15" ht="19.5" customHeight="1" x14ac:dyDescent="0.3">
      <c r="A53" s="2226">
        <v>47</v>
      </c>
      <c r="B53" s="567" t="s">
        <v>975</v>
      </c>
      <c r="C53" s="781" t="s">
        <v>18</v>
      </c>
      <c r="D53" s="416" t="s">
        <v>494</v>
      </c>
      <c r="E53" s="349" t="s">
        <v>86</v>
      </c>
      <c r="F53" s="218" t="s">
        <v>405</v>
      </c>
      <c r="G53" s="568">
        <v>57780</v>
      </c>
      <c r="H53" s="1761" t="s">
        <v>980</v>
      </c>
      <c r="I53" s="118" t="s">
        <v>25</v>
      </c>
      <c r="J53" s="119"/>
      <c r="K53" s="119"/>
      <c r="L53" s="192"/>
      <c r="M53" s="192"/>
      <c r="N53" s="119"/>
      <c r="O53" s="191"/>
    </row>
    <row r="54" spans="1:15" ht="19.5" customHeight="1" x14ac:dyDescent="0.3">
      <c r="A54" s="2226">
        <v>48</v>
      </c>
      <c r="B54" s="567" t="s">
        <v>975</v>
      </c>
      <c r="C54" s="781" t="s">
        <v>18</v>
      </c>
      <c r="D54" s="416" t="s">
        <v>494</v>
      </c>
      <c r="E54" s="349" t="s">
        <v>87</v>
      </c>
      <c r="F54" s="218" t="s">
        <v>405</v>
      </c>
      <c r="G54" s="568">
        <v>57780</v>
      </c>
      <c r="H54" s="1761" t="s">
        <v>980</v>
      </c>
      <c r="I54" s="118" t="s">
        <v>25</v>
      </c>
      <c r="J54" s="119"/>
      <c r="K54" s="119"/>
      <c r="L54" s="192"/>
      <c r="M54" s="192"/>
      <c r="N54" s="119"/>
      <c r="O54" s="191"/>
    </row>
    <row r="55" spans="1:15" ht="19.5" customHeight="1" x14ac:dyDescent="0.3">
      <c r="A55" s="2250">
        <v>49</v>
      </c>
      <c r="B55" s="567" t="s">
        <v>975</v>
      </c>
      <c r="C55" s="781" t="s">
        <v>18</v>
      </c>
      <c r="D55" s="416" t="s">
        <v>494</v>
      </c>
      <c r="E55" s="349" t="s">
        <v>88</v>
      </c>
      <c r="F55" s="218" t="s">
        <v>405</v>
      </c>
      <c r="G55" s="568">
        <v>9095</v>
      </c>
      <c r="H55" s="1761" t="s">
        <v>977</v>
      </c>
      <c r="I55" s="118" t="s">
        <v>25</v>
      </c>
      <c r="J55" s="119"/>
      <c r="K55" s="119"/>
      <c r="L55" s="192"/>
      <c r="M55" s="192"/>
      <c r="N55" s="119"/>
      <c r="O55" s="191"/>
    </row>
    <row r="56" spans="1:15" ht="19.5" customHeight="1" x14ac:dyDescent="0.3">
      <c r="A56" s="2226">
        <v>50</v>
      </c>
      <c r="B56" s="567" t="s">
        <v>975</v>
      </c>
      <c r="C56" s="781" t="s">
        <v>18</v>
      </c>
      <c r="D56" s="416" t="s">
        <v>494</v>
      </c>
      <c r="E56" s="349" t="s">
        <v>89</v>
      </c>
      <c r="F56" s="218" t="s">
        <v>405</v>
      </c>
      <c r="G56" s="568">
        <v>9095</v>
      </c>
      <c r="H56" s="1761" t="s">
        <v>977</v>
      </c>
      <c r="I56" s="118" t="s">
        <v>25</v>
      </c>
      <c r="J56" s="119"/>
      <c r="K56" s="119"/>
      <c r="L56" s="192"/>
      <c r="M56" s="192"/>
      <c r="N56" s="119"/>
      <c r="O56" s="191"/>
    </row>
    <row r="57" spans="1:15" ht="19.5" customHeight="1" x14ac:dyDescent="0.3">
      <c r="A57" s="2250">
        <v>51</v>
      </c>
      <c r="B57" s="567" t="s">
        <v>975</v>
      </c>
      <c r="C57" s="781" t="s">
        <v>18</v>
      </c>
      <c r="D57" s="416" t="s">
        <v>494</v>
      </c>
      <c r="E57" s="349" t="s">
        <v>90</v>
      </c>
      <c r="F57" s="218" t="s">
        <v>405</v>
      </c>
      <c r="G57" s="568">
        <v>9095</v>
      </c>
      <c r="H57" s="1761" t="s">
        <v>977</v>
      </c>
      <c r="I57" s="118" t="s">
        <v>25</v>
      </c>
      <c r="J57" s="119"/>
      <c r="K57" s="119"/>
      <c r="L57" s="192"/>
      <c r="M57" s="192"/>
      <c r="N57" s="119"/>
      <c r="O57" s="191"/>
    </row>
    <row r="58" spans="1:15" ht="19.5" customHeight="1" x14ac:dyDescent="0.3">
      <c r="A58" s="2226">
        <v>52</v>
      </c>
      <c r="B58" s="567" t="s">
        <v>982</v>
      </c>
      <c r="C58" s="781" t="s">
        <v>18</v>
      </c>
      <c r="D58" s="416" t="s">
        <v>983</v>
      </c>
      <c r="E58" s="349" t="s">
        <v>91</v>
      </c>
      <c r="F58" s="218" t="s">
        <v>984</v>
      </c>
      <c r="G58" s="568">
        <v>49220</v>
      </c>
      <c r="H58" s="1761" t="s">
        <v>490</v>
      </c>
      <c r="I58" s="118" t="s">
        <v>25</v>
      </c>
      <c r="J58" s="119"/>
      <c r="K58" s="119"/>
      <c r="L58" s="192"/>
      <c r="M58" s="192"/>
      <c r="N58" s="119"/>
      <c r="O58" s="191"/>
    </row>
    <row r="59" spans="1:15" ht="19.5" customHeight="1" x14ac:dyDescent="0.3">
      <c r="A59" s="2226">
        <v>53</v>
      </c>
      <c r="B59" s="567" t="s">
        <v>985</v>
      </c>
      <c r="C59" s="781" t="s">
        <v>18</v>
      </c>
      <c r="D59" s="416" t="s">
        <v>986</v>
      </c>
      <c r="E59" s="349" t="s">
        <v>94</v>
      </c>
      <c r="F59" s="218" t="s">
        <v>987</v>
      </c>
      <c r="G59" s="568">
        <v>35000</v>
      </c>
      <c r="H59" s="1761" t="s">
        <v>988</v>
      </c>
      <c r="I59" s="118" t="s">
        <v>25</v>
      </c>
      <c r="J59" s="119"/>
      <c r="K59" s="119"/>
      <c r="L59" s="192"/>
      <c r="M59" s="192"/>
      <c r="N59" s="119"/>
      <c r="O59" s="191" t="s">
        <v>989</v>
      </c>
    </row>
    <row r="60" spans="1:15" ht="19.5" customHeight="1" x14ac:dyDescent="0.3">
      <c r="A60" s="2250">
        <v>54</v>
      </c>
      <c r="B60" s="567" t="s">
        <v>990</v>
      </c>
      <c r="C60" s="781" t="s">
        <v>18</v>
      </c>
      <c r="D60" s="416" t="s">
        <v>986</v>
      </c>
      <c r="E60" s="349" t="s">
        <v>95</v>
      </c>
      <c r="F60" s="218" t="s">
        <v>987</v>
      </c>
      <c r="G60" s="568">
        <v>54900</v>
      </c>
      <c r="H60" s="1761" t="s">
        <v>991</v>
      </c>
      <c r="I60" s="118" t="s">
        <v>25</v>
      </c>
      <c r="J60" s="119"/>
      <c r="K60" s="119"/>
      <c r="L60" s="192"/>
      <c r="M60" s="192"/>
      <c r="N60" s="119"/>
      <c r="O60" s="191"/>
    </row>
    <row r="61" spans="1:15" ht="19.5" customHeight="1" x14ac:dyDescent="0.3">
      <c r="A61" s="2226">
        <v>55</v>
      </c>
      <c r="B61" s="567" t="s">
        <v>992</v>
      </c>
      <c r="C61" s="781" t="s">
        <v>18</v>
      </c>
      <c r="D61" s="416" t="s">
        <v>993</v>
      </c>
      <c r="E61" s="349" t="s">
        <v>96</v>
      </c>
      <c r="F61" s="218" t="s">
        <v>994</v>
      </c>
      <c r="G61" s="568">
        <v>27000</v>
      </c>
      <c r="H61" s="1761" t="s">
        <v>995</v>
      </c>
      <c r="I61" s="118" t="s">
        <v>25</v>
      </c>
      <c r="J61" s="119"/>
      <c r="K61" s="119"/>
      <c r="L61" s="192"/>
      <c r="M61" s="192"/>
      <c r="N61" s="119"/>
      <c r="O61" s="191" t="s">
        <v>996</v>
      </c>
    </row>
    <row r="62" spans="1:15" ht="19.5" customHeight="1" x14ac:dyDescent="0.3">
      <c r="A62" s="2250">
        <v>56</v>
      </c>
      <c r="B62" s="567" t="s">
        <v>997</v>
      </c>
      <c r="C62" s="781" t="s">
        <v>18</v>
      </c>
      <c r="D62" s="416" t="s">
        <v>993</v>
      </c>
      <c r="E62" s="349" t="s">
        <v>97</v>
      </c>
      <c r="F62" s="218" t="s">
        <v>994</v>
      </c>
      <c r="G62" s="568">
        <v>28000</v>
      </c>
      <c r="H62" s="1761" t="s">
        <v>995</v>
      </c>
      <c r="I62" s="118" t="s">
        <v>25</v>
      </c>
      <c r="J62" s="119"/>
      <c r="K62" s="119"/>
      <c r="L62" s="192"/>
      <c r="M62" s="192"/>
      <c r="N62" s="119"/>
      <c r="O62" s="146" t="s">
        <v>998</v>
      </c>
    </row>
    <row r="63" spans="1:15" ht="19.5" customHeight="1" x14ac:dyDescent="0.3">
      <c r="A63" s="2226">
        <v>57</v>
      </c>
      <c r="B63" s="567" t="s">
        <v>997</v>
      </c>
      <c r="C63" s="781" t="s">
        <v>18</v>
      </c>
      <c r="D63" s="416" t="s">
        <v>993</v>
      </c>
      <c r="E63" s="349" t="s">
        <v>999</v>
      </c>
      <c r="F63" s="218" t="s">
        <v>994</v>
      </c>
      <c r="G63" s="568">
        <v>35000</v>
      </c>
      <c r="H63" s="1761" t="s">
        <v>995</v>
      </c>
      <c r="I63" s="118" t="s">
        <v>25</v>
      </c>
      <c r="J63" s="119"/>
      <c r="K63" s="119"/>
      <c r="L63" s="192"/>
      <c r="M63" s="192"/>
      <c r="N63" s="119"/>
      <c r="O63" s="191"/>
    </row>
    <row r="64" spans="1:15" ht="19.5" customHeight="1" x14ac:dyDescent="0.3">
      <c r="A64" s="2226">
        <v>58</v>
      </c>
      <c r="B64" s="567" t="s">
        <v>997</v>
      </c>
      <c r="C64" s="781" t="s">
        <v>18</v>
      </c>
      <c r="D64" s="416" t="s">
        <v>993</v>
      </c>
      <c r="E64" s="349" t="s">
        <v>1000</v>
      </c>
      <c r="F64" s="218" t="s">
        <v>994</v>
      </c>
      <c r="G64" s="568">
        <v>35000</v>
      </c>
      <c r="H64" s="1761" t="s">
        <v>995</v>
      </c>
      <c r="I64" s="118" t="s">
        <v>25</v>
      </c>
      <c r="J64" s="119"/>
      <c r="K64" s="119"/>
      <c r="L64" s="192"/>
      <c r="M64" s="192"/>
      <c r="N64" s="119"/>
      <c r="O64" s="801"/>
    </row>
    <row r="65" spans="1:15" ht="19.5" customHeight="1" x14ac:dyDescent="0.3">
      <c r="A65" s="2250">
        <v>59</v>
      </c>
      <c r="B65" s="567" t="s">
        <v>997</v>
      </c>
      <c r="C65" s="781" t="s">
        <v>18</v>
      </c>
      <c r="D65" s="416" t="s">
        <v>993</v>
      </c>
      <c r="E65" s="349" t="s">
        <v>1001</v>
      </c>
      <c r="F65" s="218" t="s">
        <v>994</v>
      </c>
      <c r="G65" s="568">
        <v>35000</v>
      </c>
      <c r="H65" s="1761" t="s">
        <v>995</v>
      </c>
      <c r="I65" s="118" t="s">
        <v>25</v>
      </c>
      <c r="J65" s="119"/>
      <c r="K65" s="119"/>
      <c r="L65" s="192"/>
      <c r="M65" s="192"/>
      <c r="N65" s="119"/>
      <c r="O65" s="191"/>
    </row>
    <row r="66" spans="1:15" ht="19.5" customHeight="1" x14ac:dyDescent="0.3">
      <c r="A66" s="2226">
        <v>60</v>
      </c>
      <c r="B66" s="567" t="s">
        <v>997</v>
      </c>
      <c r="C66" s="781" t="s">
        <v>18</v>
      </c>
      <c r="D66" s="416" t="s">
        <v>993</v>
      </c>
      <c r="E66" s="349" t="s">
        <v>1002</v>
      </c>
      <c r="F66" s="218" t="s">
        <v>994</v>
      </c>
      <c r="G66" s="568">
        <v>35000</v>
      </c>
      <c r="H66" s="1761" t="s">
        <v>995</v>
      </c>
      <c r="I66" s="118" t="s">
        <v>25</v>
      </c>
      <c r="J66" s="119"/>
      <c r="K66" s="119"/>
      <c r="L66" s="192"/>
      <c r="M66" s="192"/>
      <c r="N66" s="119"/>
      <c r="O66" s="191"/>
    </row>
    <row r="67" spans="1:15" ht="19.5" customHeight="1" x14ac:dyDescent="0.3">
      <c r="A67" s="2250">
        <v>61</v>
      </c>
      <c r="B67" s="567" t="s">
        <v>1003</v>
      </c>
      <c r="C67" s="781" t="s">
        <v>18</v>
      </c>
      <c r="D67" s="416" t="s">
        <v>993</v>
      </c>
      <c r="E67" s="349" t="s">
        <v>1004</v>
      </c>
      <c r="F67" s="218" t="s">
        <v>994</v>
      </c>
      <c r="G67" s="568">
        <v>33500</v>
      </c>
      <c r="H67" s="1761" t="s">
        <v>995</v>
      </c>
      <c r="I67" s="118" t="s">
        <v>25</v>
      </c>
      <c r="J67" s="119"/>
      <c r="K67" s="119"/>
      <c r="L67" s="192"/>
      <c r="M67" s="192"/>
      <c r="N67" s="119"/>
      <c r="O67" s="191"/>
    </row>
    <row r="68" spans="1:15" ht="19.5" customHeight="1" x14ac:dyDescent="0.3">
      <c r="A68" s="2226">
        <v>62</v>
      </c>
      <c r="B68" s="567" t="s">
        <v>1003</v>
      </c>
      <c r="C68" s="781" t="s">
        <v>18</v>
      </c>
      <c r="D68" s="416" t="s">
        <v>993</v>
      </c>
      <c r="E68" s="349" t="s">
        <v>1005</v>
      </c>
      <c r="F68" s="218" t="s">
        <v>994</v>
      </c>
      <c r="G68" s="568">
        <v>33500</v>
      </c>
      <c r="H68" s="1761" t="s">
        <v>995</v>
      </c>
      <c r="I68" s="118" t="s">
        <v>25</v>
      </c>
      <c r="J68" s="119"/>
      <c r="K68" s="119"/>
      <c r="L68" s="192"/>
      <c r="M68" s="192"/>
      <c r="N68" s="119"/>
      <c r="O68" s="191"/>
    </row>
    <row r="69" spans="1:15" ht="19.5" customHeight="1" x14ac:dyDescent="0.3">
      <c r="A69" s="2226">
        <v>63</v>
      </c>
      <c r="B69" s="567" t="s">
        <v>997</v>
      </c>
      <c r="C69" s="781" t="s">
        <v>18</v>
      </c>
      <c r="D69" s="416" t="s">
        <v>993</v>
      </c>
      <c r="E69" s="349" t="s">
        <v>1006</v>
      </c>
      <c r="F69" s="218" t="s">
        <v>994</v>
      </c>
      <c r="G69" s="568">
        <v>26666.67</v>
      </c>
      <c r="H69" s="1761" t="s">
        <v>995</v>
      </c>
      <c r="I69" s="118" t="s">
        <v>25</v>
      </c>
      <c r="J69" s="119"/>
      <c r="K69" s="119"/>
      <c r="L69" s="192"/>
      <c r="M69" s="192"/>
      <c r="N69" s="119"/>
      <c r="O69" s="191"/>
    </row>
    <row r="70" spans="1:15" ht="19.5" customHeight="1" x14ac:dyDescent="0.3">
      <c r="A70" s="2250">
        <v>64</v>
      </c>
      <c r="B70" s="567" t="s">
        <v>997</v>
      </c>
      <c r="C70" s="781" t="s">
        <v>18</v>
      </c>
      <c r="D70" s="416" t="s">
        <v>993</v>
      </c>
      <c r="E70" s="349" t="s">
        <v>1007</v>
      </c>
      <c r="F70" s="218" t="s">
        <v>994</v>
      </c>
      <c r="G70" s="568">
        <v>26666.67</v>
      </c>
      <c r="H70" s="1761" t="s">
        <v>995</v>
      </c>
      <c r="I70" s="118" t="s">
        <v>25</v>
      </c>
      <c r="J70" s="119"/>
      <c r="K70" s="119"/>
      <c r="L70" s="192"/>
      <c r="M70" s="192"/>
      <c r="N70" s="119"/>
      <c r="O70" s="191"/>
    </row>
    <row r="71" spans="1:15" ht="19.5" customHeight="1" x14ac:dyDescent="0.3">
      <c r="A71" s="2226">
        <v>65</v>
      </c>
      <c r="B71" s="567" t="s">
        <v>997</v>
      </c>
      <c r="C71" s="781" t="s">
        <v>18</v>
      </c>
      <c r="D71" s="416" t="s">
        <v>993</v>
      </c>
      <c r="E71" s="349" t="s">
        <v>1008</v>
      </c>
      <c r="F71" s="218" t="s">
        <v>994</v>
      </c>
      <c r="G71" s="568">
        <v>26666.67</v>
      </c>
      <c r="H71" s="1761" t="s">
        <v>995</v>
      </c>
      <c r="I71" s="118" t="s">
        <v>25</v>
      </c>
      <c r="J71" s="119"/>
      <c r="K71" s="119"/>
      <c r="L71" s="192"/>
      <c r="M71" s="192"/>
      <c r="N71" s="119"/>
      <c r="O71" s="191"/>
    </row>
    <row r="72" spans="1:15" ht="19.5" customHeight="1" x14ac:dyDescent="0.3">
      <c r="A72" s="2250">
        <v>66</v>
      </c>
      <c r="B72" s="567" t="s">
        <v>1009</v>
      </c>
      <c r="C72" s="781" t="s">
        <v>18</v>
      </c>
      <c r="D72" s="416" t="s">
        <v>993</v>
      </c>
      <c r="E72" s="349" t="s">
        <v>1010</v>
      </c>
      <c r="F72" s="218" t="s">
        <v>994</v>
      </c>
      <c r="G72" s="568">
        <v>28000</v>
      </c>
      <c r="H72" s="1761" t="s">
        <v>995</v>
      </c>
      <c r="I72" s="118" t="s">
        <v>25</v>
      </c>
      <c r="J72" s="119"/>
      <c r="K72" s="119"/>
      <c r="L72" s="192"/>
      <c r="M72" s="192"/>
      <c r="N72" s="119"/>
      <c r="O72" s="802"/>
    </row>
    <row r="73" spans="1:15" ht="19.5" customHeight="1" x14ac:dyDescent="0.3">
      <c r="A73" s="2226">
        <v>67</v>
      </c>
      <c r="B73" s="567" t="s">
        <v>1011</v>
      </c>
      <c r="C73" s="781" t="s">
        <v>18</v>
      </c>
      <c r="D73" s="416" t="s">
        <v>993</v>
      </c>
      <c r="E73" s="349" t="s">
        <v>1012</v>
      </c>
      <c r="F73" s="218" t="s">
        <v>241</v>
      </c>
      <c r="G73" s="568">
        <v>41429</v>
      </c>
      <c r="H73" s="1761" t="s">
        <v>1013</v>
      </c>
      <c r="I73" s="118" t="s">
        <v>25</v>
      </c>
      <c r="J73" s="119"/>
      <c r="K73" s="119"/>
      <c r="L73" s="192"/>
      <c r="M73" s="192"/>
      <c r="N73" s="119"/>
      <c r="O73" s="802"/>
    </row>
    <row r="74" spans="1:15" ht="19.5" customHeight="1" x14ac:dyDescent="0.3">
      <c r="A74" s="2226">
        <v>68</v>
      </c>
      <c r="B74" s="567" t="s">
        <v>1011</v>
      </c>
      <c r="C74" s="781" t="s">
        <v>18</v>
      </c>
      <c r="D74" s="416" t="s">
        <v>993</v>
      </c>
      <c r="E74" s="349" t="s">
        <v>307</v>
      </c>
      <c r="F74" s="218" t="s">
        <v>241</v>
      </c>
      <c r="G74" s="568">
        <v>41429</v>
      </c>
      <c r="H74" s="1761" t="s">
        <v>1013</v>
      </c>
      <c r="I74" s="118" t="s">
        <v>25</v>
      </c>
      <c r="J74" s="119"/>
      <c r="K74" s="119"/>
      <c r="L74" s="192"/>
      <c r="M74" s="192"/>
      <c r="N74" s="119"/>
      <c r="O74" s="802"/>
    </row>
    <row r="75" spans="1:15" ht="19.5" customHeight="1" x14ac:dyDescent="0.3">
      <c r="A75" s="2250">
        <v>69</v>
      </c>
      <c r="B75" s="567" t="s">
        <v>1011</v>
      </c>
      <c r="C75" s="781" t="s">
        <v>18</v>
      </c>
      <c r="D75" s="416" t="s">
        <v>993</v>
      </c>
      <c r="E75" s="349" t="s">
        <v>1014</v>
      </c>
      <c r="F75" s="218" t="s">
        <v>241</v>
      </c>
      <c r="G75" s="568">
        <v>39400</v>
      </c>
      <c r="H75" s="1761" t="s">
        <v>1013</v>
      </c>
      <c r="I75" s="118" t="s">
        <v>25</v>
      </c>
      <c r="J75" s="119"/>
      <c r="K75" s="119"/>
      <c r="L75" s="192"/>
      <c r="M75" s="192"/>
      <c r="N75" s="119"/>
      <c r="O75" s="802"/>
    </row>
    <row r="76" spans="1:15" ht="19.5" customHeight="1" x14ac:dyDescent="0.3">
      <c r="A76" s="2226">
        <v>70</v>
      </c>
      <c r="B76" s="567" t="s">
        <v>1015</v>
      </c>
      <c r="C76" s="781" t="s">
        <v>18</v>
      </c>
      <c r="D76" s="416" t="s">
        <v>993</v>
      </c>
      <c r="E76" s="349" t="s">
        <v>1016</v>
      </c>
      <c r="F76" s="218" t="s">
        <v>241</v>
      </c>
      <c r="G76" s="568">
        <v>90000</v>
      </c>
      <c r="H76" s="1761" t="s">
        <v>1013</v>
      </c>
      <c r="I76" s="118"/>
      <c r="J76" s="119" t="s">
        <v>25</v>
      </c>
      <c r="K76" s="119"/>
      <c r="L76" s="192"/>
      <c r="M76" s="192"/>
      <c r="N76" s="119"/>
      <c r="O76" s="802"/>
    </row>
    <row r="77" spans="1:15" ht="19.5" customHeight="1" x14ac:dyDescent="0.3">
      <c r="A77" s="2250">
        <v>71</v>
      </c>
      <c r="B77" s="567" t="s">
        <v>1017</v>
      </c>
      <c r="C77" s="781" t="s">
        <v>18</v>
      </c>
      <c r="D77" s="793" t="s">
        <v>993</v>
      </c>
      <c r="E77" s="349" t="s">
        <v>1018</v>
      </c>
      <c r="F77" s="218" t="s">
        <v>241</v>
      </c>
      <c r="G77" s="568">
        <v>12000</v>
      </c>
      <c r="H77" s="1761" t="s">
        <v>1013</v>
      </c>
      <c r="I77" s="118" t="s">
        <v>25</v>
      </c>
      <c r="J77" s="119"/>
      <c r="K77" s="119"/>
      <c r="L77" s="192"/>
      <c r="M77" s="192"/>
      <c r="N77" s="119"/>
      <c r="O77" s="802"/>
    </row>
    <row r="78" spans="1:15" ht="19.5" customHeight="1" x14ac:dyDescent="0.3">
      <c r="A78" s="2226">
        <v>72</v>
      </c>
      <c r="B78" s="567" t="s">
        <v>1019</v>
      </c>
      <c r="C78" s="781" t="s">
        <v>18</v>
      </c>
      <c r="D78" s="416" t="s">
        <v>993</v>
      </c>
      <c r="E78" s="349" t="s">
        <v>1020</v>
      </c>
      <c r="F78" s="218" t="s">
        <v>241</v>
      </c>
      <c r="G78" s="568">
        <v>38000</v>
      </c>
      <c r="H78" s="1761" t="s">
        <v>1013</v>
      </c>
      <c r="I78" s="118" t="s">
        <v>25</v>
      </c>
      <c r="J78" s="119"/>
      <c r="K78" s="119"/>
      <c r="L78" s="192"/>
      <c r="M78" s="192"/>
      <c r="N78" s="119"/>
      <c r="O78" s="802"/>
    </row>
    <row r="79" spans="1:15" ht="19.5" customHeight="1" x14ac:dyDescent="0.3">
      <c r="A79" s="2226">
        <v>73</v>
      </c>
      <c r="B79" s="567" t="s">
        <v>1019</v>
      </c>
      <c r="C79" s="781" t="s">
        <v>18</v>
      </c>
      <c r="D79" s="416" t="s">
        <v>993</v>
      </c>
      <c r="E79" s="349" t="s">
        <v>309</v>
      </c>
      <c r="F79" s="218" t="s">
        <v>241</v>
      </c>
      <c r="G79" s="568">
        <v>38000</v>
      </c>
      <c r="H79" s="1761" t="s">
        <v>1013</v>
      </c>
      <c r="I79" s="118" t="s">
        <v>25</v>
      </c>
      <c r="J79" s="119"/>
      <c r="K79" s="119"/>
      <c r="L79" s="192"/>
      <c r="M79" s="192"/>
      <c r="N79" s="119"/>
      <c r="O79" s="802"/>
    </row>
    <row r="80" spans="1:15" ht="19.5" customHeight="1" x14ac:dyDescent="0.3">
      <c r="A80" s="2250">
        <v>74</v>
      </c>
      <c r="B80" s="567" t="s">
        <v>1021</v>
      </c>
      <c r="C80" s="781" t="s">
        <v>18</v>
      </c>
      <c r="D80" s="416" t="s">
        <v>993</v>
      </c>
      <c r="E80" s="349" t="s">
        <v>327</v>
      </c>
      <c r="F80" s="218" t="s">
        <v>241</v>
      </c>
      <c r="G80" s="568">
        <v>23760.75</v>
      </c>
      <c r="H80" s="1761" t="s">
        <v>1013</v>
      </c>
      <c r="I80" s="118" t="s">
        <v>25</v>
      </c>
      <c r="J80" s="119"/>
      <c r="K80" s="119"/>
      <c r="L80" s="192"/>
      <c r="M80" s="192"/>
      <c r="N80" s="119"/>
      <c r="O80" s="802"/>
    </row>
    <row r="81" spans="1:15" ht="19.5" customHeight="1" x14ac:dyDescent="0.3">
      <c r="A81" s="2226">
        <v>75</v>
      </c>
      <c r="B81" s="567" t="s">
        <v>1022</v>
      </c>
      <c r="C81" s="781" t="s">
        <v>18</v>
      </c>
      <c r="D81" s="416" t="s">
        <v>993</v>
      </c>
      <c r="E81" s="349" t="s">
        <v>438</v>
      </c>
      <c r="F81" s="218" t="s">
        <v>241</v>
      </c>
      <c r="G81" s="568">
        <v>10966.5</v>
      </c>
      <c r="H81" s="1761" t="s">
        <v>1013</v>
      </c>
      <c r="I81" s="118" t="s">
        <v>25</v>
      </c>
      <c r="J81" s="119"/>
      <c r="K81" s="119"/>
      <c r="L81" s="192"/>
      <c r="M81" s="192"/>
      <c r="N81" s="119"/>
      <c r="O81" s="802"/>
    </row>
    <row r="82" spans="1:15" ht="19.5" customHeight="1" x14ac:dyDescent="0.3">
      <c r="A82" s="2250">
        <v>76</v>
      </c>
      <c r="B82" s="567" t="s">
        <v>1023</v>
      </c>
      <c r="C82" s="781" t="s">
        <v>18</v>
      </c>
      <c r="D82" s="793" t="s">
        <v>993</v>
      </c>
      <c r="E82" s="349" t="s">
        <v>440</v>
      </c>
      <c r="F82" s="218" t="s">
        <v>241</v>
      </c>
      <c r="G82" s="568">
        <v>71282.25</v>
      </c>
      <c r="H82" s="1761" t="s">
        <v>1013</v>
      </c>
      <c r="I82" s="118" t="s">
        <v>25</v>
      </c>
      <c r="J82" s="119"/>
      <c r="K82" s="119"/>
      <c r="L82" s="192"/>
      <c r="M82" s="192"/>
      <c r="N82" s="119"/>
      <c r="O82" s="802"/>
    </row>
    <row r="83" spans="1:15" ht="19.5" customHeight="1" x14ac:dyDescent="0.3">
      <c r="A83" s="2226">
        <v>77</v>
      </c>
      <c r="B83" s="567" t="s">
        <v>1023</v>
      </c>
      <c r="C83" s="781" t="s">
        <v>18</v>
      </c>
      <c r="D83" s="416" t="s">
        <v>993</v>
      </c>
      <c r="E83" s="349" t="s">
        <v>1024</v>
      </c>
      <c r="F83" s="218" t="s">
        <v>241</v>
      </c>
      <c r="G83" s="568">
        <v>71282.25</v>
      </c>
      <c r="H83" s="1761" t="s">
        <v>1013</v>
      </c>
      <c r="I83" s="118" t="s">
        <v>25</v>
      </c>
      <c r="J83" s="119"/>
      <c r="K83" s="119"/>
      <c r="L83" s="192"/>
      <c r="M83" s="192"/>
      <c r="N83" s="119"/>
      <c r="O83" s="802"/>
    </row>
    <row r="84" spans="1:15" ht="19.5" customHeight="1" x14ac:dyDescent="0.3">
      <c r="A84" s="2226">
        <v>78</v>
      </c>
      <c r="B84" s="567" t="s">
        <v>1025</v>
      </c>
      <c r="C84" s="781" t="s">
        <v>18</v>
      </c>
      <c r="D84" s="416" t="s">
        <v>993</v>
      </c>
      <c r="E84" s="349" t="s">
        <v>1026</v>
      </c>
      <c r="F84" s="218" t="s">
        <v>241</v>
      </c>
      <c r="G84" s="568">
        <v>22542.25</v>
      </c>
      <c r="H84" s="1761" t="s">
        <v>1013</v>
      </c>
      <c r="I84" s="118" t="s">
        <v>25</v>
      </c>
      <c r="J84" s="119"/>
      <c r="K84" s="119"/>
      <c r="L84" s="192"/>
      <c r="M84" s="192"/>
      <c r="N84" s="119"/>
      <c r="O84" s="802"/>
    </row>
    <row r="85" spans="1:15" ht="19.5" customHeight="1" x14ac:dyDescent="0.3">
      <c r="A85" s="2250">
        <v>79</v>
      </c>
      <c r="B85" s="567" t="s">
        <v>990</v>
      </c>
      <c r="C85" s="781" t="s">
        <v>18</v>
      </c>
      <c r="D85" s="416" t="s">
        <v>993</v>
      </c>
      <c r="E85" s="349" t="s">
        <v>1027</v>
      </c>
      <c r="F85" s="218" t="s">
        <v>1028</v>
      </c>
      <c r="G85" s="568">
        <v>99500</v>
      </c>
      <c r="H85" s="1761" t="s">
        <v>995</v>
      </c>
      <c r="I85" s="118"/>
      <c r="J85" s="119" t="s">
        <v>25</v>
      </c>
      <c r="K85" s="119"/>
      <c r="L85" s="192"/>
      <c r="M85" s="192"/>
      <c r="N85" s="119"/>
      <c r="O85" s="802"/>
    </row>
    <row r="86" spans="1:15" ht="19.5" customHeight="1" x14ac:dyDescent="0.3">
      <c r="A86" s="2226">
        <v>80</v>
      </c>
      <c r="B86" s="567" t="s">
        <v>1029</v>
      </c>
      <c r="C86" s="781" t="s">
        <v>18</v>
      </c>
      <c r="D86" s="416" t="s">
        <v>993</v>
      </c>
      <c r="E86" s="349" t="s">
        <v>1030</v>
      </c>
      <c r="F86" s="218" t="s">
        <v>1031</v>
      </c>
      <c r="G86" s="568">
        <v>95000</v>
      </c>
      <c r="H86" s="1761" t="s">
        <v>995</v>
      </c>
      <c r="I86" s="118" t="s">
        <v>25</v>
      </c>
      <c r="J86" s="119"/>
      <c r="K86" s="119"/>
      <c r="L86" s="192"/>
      <c r="M86" s="192"/>
      <c r="N86" s="119"/>
      <c r="O86" s="802"/>
    </row>
    <row r="87" spans="1:15" ht="19.5" customHeight="1" x14ac:dyDescent="0.3">
      <c r="A87" s="2250">
        <v>81</v>
      </c>
      <c r="B87" s="567" t="s">
        <v>1032</v>
      </c>
      <c r="C87" s="781" t="s">
        <v>18</v>
      </c>
      <c r="D87" s="416" t="s">
        <v>1033</v>
      </c>
      <c r="E87" s="349" t="s">
        <v>427</v>
      </c>
      <c r="F87" s="218" t="s">
        <v>1034</v>
      </c>
      <c r="G87" s="568">
        <v>88500</v>
      </c>
      <c r="H87" s="1761" t="s">
        <v>1035</v>
      </c>
      <c r="I87" s="118" t="s">
        <v>25</v>
      </c>
      <c r="J87" s="119"/>
      <c r="K87" s="119"/>
      <c r="L87" s="192"/>
      <c r="M87" s="192"/>
      <c r="N87" s="119"/>
      <c r="O87" s="802"/>
    </row>
    <row r="88" spans="1:15" ht="19.5" customHeight="1" x14ac:dyDescent="0.3">
      <c r="A88" s="2226">
        <v>82</v>
      </c>
      <c r="B88" s="567" t="s">
        <v>1032</v>
      </c>
      <c r="C88" s="781" t="s">
        <v>18</v>
      </c>
      <c r="D88" s="416" t="s">
        <v>1036</v>
      </c>
      <c r="E88" s="349" t="s">
        <v>1037</v>
      </c>
      <c r="F88" s="218" t="s">
        <v>261</v>
      </c>
      <c r="G88" s="568">
        <v>40000</v>
      </c>
      <c r="H88" s="1761" t="s">
        <v>1035</v>
      </c>
      <c r="J88" s="2398" t="s">
        <v>25</v>
      </c>
      <c r="K88" s="119"/>
      <c r="L88" s="192"/>
      <c r="M88" s="192"/>
      <c r="N88" s="119"/>
      <c r="O88" s="802"/>
    </row>
    <row r="89" spans="1:15" ht="19.5" customHeight="1" x14ac:dyDescent="0.3">
      <c r="A89" s="2226">
        <v>83</v>
      </c>
      <c r="B89" s="567" t="s">
        <v>1038</v>
      </c>
      <c r="C89" s="781" t="s">
        <v>18</v>
      </c>
      <c r="D89" s="793" t="s">
        <v>1036</v>
      </c>
      <c r="E89" s="349" t="s">
        <v>1039</v>
      </c>
      <c r="F89" s="218" t="s">
        <v>261</v>
      </c>
      <c r="G89" s="568">
        <v>5500</v>
      </c>
      <c r="H89" s="1761" t="s">
        <v>1035</v>
      </c>
      <c r="I89" s="118"/>
      <c r="J89" s="1270" t="s">
        <v>25</v>
      </c>
      <c r="K89" s="119"/>
      <c r="L89" s="192"/>
      <c r="M89" s="192"/>
      <c r="N89" s="119"/>
      <c r="O89" s="802"/>
    </row>
    <row r="90" spans="1:15" ht="19.5" customHeight="1" x14ac:dyDescent="0.3">
      <c r="A90" s="2250">
        <v>84</v>
      </c>
      <c r="B90" s="567" t="s">
        <v>1038</v>
      </c>
      <c r="C90" s="781" t="s">
        <v>18</v>
      </c>
      <c r="D90" s="416" t="s">
        <v>1036</v>
      </c>
      <c r="E90" s="349" t="s">
        <v>1040</v>
      </c>
      <c r="F90" s="218" t="s">
        <v>261</v>
      </c>
      <c r="G90" s="568">
        <v>18000</v>
      </c>
      <c r="H90" s="1761" t="s">
        <v>1035</v>
      </c>
      <c r="I90" s="118"/>
      <c r="J90" s="1270" t="s">
        <v>25</v>
      </c>
      <c r="K90" s="119"/>
      <c r="L90" s="192"/>
      <c r="M90" s="192"/>
      <c r="N90" s="119"/>
      <c r="O90" s="802"/>
    </row>
    <row r="91" spans="1:15" ht="19.5" customHeight="1" x14ac:dyDescent="0.3">
      <c r="A91" s="2226">
        <v>85</v>
      </c>
      <c r="B91" s="567" t="s">
        <v>1038</v>
      </c>
      <c r="C91" s="781" t="s">
        <v>18</v>
      </c>
      <c r="D91" s="416" t="s">
        <v>1036</v>
      </c>
      <c r="E91" s="349" t="s">
        <v>1041</v>
      </c>
      <c r="F91" s="218" t="s">
        <v>261</v>
      </c>
      <c r="G91" s="568">
        <v>18000</v>
      </c>
      <c r="H91" s="1761" t="s">
        <v>1035</v>
      </c>
      <c r="J91" s="1270" t="s">
        <v>25</v>
      </c>
      <c r="K91" s="119"/>
      <c r="L91" s="192"/>
      <c r="M91" s="192"/>
      <c r="N91" s="119"/>
      <c r="O91" s="802"/>
    </row>
    <row r="92" spans="1:15" ht="19.5" customHeight="1" x14ac:dyDescent="0.3">
      <c r="A92" s="2250">
        <v>86</v>
      </c>
      <c r="B92" s="567" t="s">
        <v>1042</v>
      </c>
      <c r="C92" s="781" t="s">
        <v>18</v>
      </c>
      <c r="D92" s="416" t="s">
        <v>1036</v>
      </c>
      <c r="E92" s="349" t="s">
        <v>429</v>
      </c>
      <c r="F92" s="218" t="s">
        <v>261</v>
      </c>
      <c r="G92" s="568">
        <v>14600</v>
      </c>
      <c r="H92" s="1761" t="s">
        <v>1035</v>
      </c>
      <c r="I92" s="118" t="s">
        <v>25</v>
      </c>
      <c r="J92" s="119"/>
      <c r="K92" s="119"/>
      <c r="L92" s="192"/>
      <c r="M92" s="192"/>
      <c r="N92" s="119"/>
      <c r="O92" s="802"/>
    </row>
    <row r="93" spans="1:15" ht="19.5" customHeight="1" x14ac:dyDescent="0.3">
      <c r="A93" s="2226">
        <v>87</v>
      </c>
      <c r="B93" s="567" t="s">
        <v>1043</v>
      </c>
      <c r="C93" s="781" t="s">
        <v>18</v>
      </c>
      <c r="D93" s="416" t="s">
        <v>1036</v>
      </c>
      <c r="E93" s="349" t="s">
        <v>431</v>
      </c>
      <c r="F93" s="218" t="s">
        <v>261</v>
      </c>
      <c r="G93" s="568">
        <v>43600</v>
      </c>
      <c r="H93" s="1761" t="s">
        <v>1035</v>
      </c>
      <c r="I93" s="118" t="s">
        <v>25</v>
      </c>
      <c r="J93" s="119"/>
      <c r="K93" s="119"/>
      <c r="L93" s="192"/>
      <c r="M93" s="192"/>
      <c r="N93" s="119"/>
      <c r="O93" s="802"/>
    </row>
    <row r="94" spans="1:15" ht="19.5" customHeight="1" x14ac:dyDescent="0.3">
      <c r="A94" s="2226">
        <v>88</v>
      </c>
      <c r="B94" s="567" t="s">
        <v>1044</v>
      </c>
      <c r="C94" s="781" t="s">
        <v>18</v>
      </c>
      <c r="D94" s="416" t="s">
        <v>1036</v>
      </c>
      <c r="E94" s="349" t="s">
        <v>433</v>
      </c>
      <c r="F94" s="218" t="s">
        <v>261</v>
      </c>
      <c r="G94" s="568">
        <v>43600</v>
      </c>
      <c r="H94" s="1761" t="s">
        <v>1035</v>
      </c>
      <c r="I94" s="118" t="s">
        <v>25</v>
      </c>
      <c r="J94" s="119"/>
      <c r="K94" s="119"/>
      <c r="L94" s="192"/>
      <c r="M94" s="192"/>
      <c r="N94" s="119"/>
      <c r="O94" s="802"/>
    </row>
    <row r="95" spans="1:15" ht="19.5" customHeight="1" x14ac:dyDescent="0.3">
      <c r="A95" s="2250">
        <v>89</v>
      </c>
      <c r="B95" s="567" t="s">
        <v>1045</v>
      </c>
      <c r="C95" s="781" t="s">
        <v>18</v>
      </c>
      <c r="D95" s="416" t="s">
        <v>1036</v>
      </c>
      <c r="E95" s="349" t="s">
        <v>436</v>
      </c>
      <c r="F95" s="218" t="s">
        <v>261</v>
      </c>
      <c r="G95" s="568">
        <v>43600</v>
      </c>
      <c r="H95" s="1761" t="s">
        <v>1035</v>
      </c>
      <c r="I95" s="118" t="s">
        <v>25</v>
      </c>
      <c r="J95" s="119"/>
      <c r="K95" s="119"/>
      <c r="L95" s="192"/>
      <c r="M95" s="192"/>
      <c r="N95" s="119"/>
      <c r="O95" s="802"/>
    </row>
    <row r="96" spans="1:15" ht="19.5" customHeight="1" x14ac:dyDescent="0.3">
      <c r="A96" s="2226">
        <v>90</v>
      </c>
      <c r="B96" s="567" t="s">
        <v>1046</v>
      </c>
      <c r="C96" s="781" t="s">
        <v>18</v>
      </c>
      <c r="D96" s="793" t="s">
        <v>1036</v>
      </c>
      <c r="E96" s="349" t="s">
        <v>1047</v>
      </c>
      <c r="F96" s="218" t="s">
        <v>261</v>
      </c>
      <c r="G96" s="568">
        <v>43600</v>
      </c>
      <c r="H96" s="1761" t="s">
        <v>1035</v>
      </c>
      <c r="I96" s="118" t="s">
        <v>25</v>
      </c>
      <c r="J96" s="295"/>
      <c r="K96" s="119"/>
      <c r="L96" s="192"/>
      <c r="M96" s="192"/>
      <c r="N96" s="119"/>
      <c r="O96" s="802"/>
    </row>
    <row r="97" spans="1:15" ht="19.5" customHeight="1" x14ac:dyDescent="0.3">
      <c r="A97" s="2250">
        <v>91</v>
      </c>
      <c r="B97" s="567" t="s">
        <v>1048</v>
      </c>
      <c r="C97" s="781" t="s">
        <v>18</v>
      </c>
      <c r="D97" s="416" t="s">
        <v>1036</v>
      </c>
      <c r="E97" s="349" t="s">
        <v>1049</v>
      </c>
      <c r="F97" s="218" t="s">
        <v>1050</v>
      </c>
      <c r="G97" s="568">
        <v>5800</v>
      </c>
      <c r="H97" s="1761" t="s">
        <v>1013</v>
      </c>
      <c r="I97" s="118"/>
      <c r="J97" s="295" t="s">
        <v>25</v>
      </c>
      <c r="K97" s="119"/>
      <c r="L97" s="192"/>
      <c r="M97" s="192"/>
      <c r="N97" s="119"/>
      <c r="O97" s="802"/>
    </row>
    <row r="98" spans="1:15" ht="19.5" customHeight="1" x14ac:dyDescent="0.3">
      <c r="A98" s="2226">
        <v>92</v>
      </c>
      <c r="B98" s="567" t="s">
        <v>1048</v>
      </c>
      <c r="C98" s="781" t="s">
        <v>18</v>
      </c>
      <c r="D98" s="793" t="s">
        <v>1036</v>
      </c>
      <c r="E98" s="349" t="s">
        <v>1051</v>
      </c>
      <c r="F98" s="218" t="s">
        <v>1050</v>
      </c>
      <c r="G98" s="568">
        <v>5800</v>
      </c>
      <c r="H98" s="1761" t="s">
        <v>1013</v>
      </c>
      <c r="I98" s="118"/>
      <c r="J98" s="1270" t="s">
        <v>25</v>
      </c>
      <c r="K98" s="119"/>
      <c r="L98" s="192"/>
      <c r="M98" s="192"/>
      <c r="N98" s="119"/>
      <c r="O98" s="802"/>
    </row>
    <row r="99" spans="1:15" ht="19.5" customHeight="1" x14ac:dyDescent="0.3">
      <c r="A99" s="2226">
        <v>93</v>
      </c>
      <c r="B99" s="567" t="s">
        <v>1052</v>
      </c>
      <c r="C99" s="781" t="s">
        <v>18</v>
      </c>
      <c r="D99" s="416" t="s">
        <v>1053</v>
      </c>
      <c r="E99" s="349" t="s">
        <v>1054</v>
      </c>
      <c r="F99" s="218" t="s">
        <v>1055</v>
      </c>
      <c r="G99" s="568">
        <v>19900</v>
      </c>
      <c r="H99" s="1761" t="s">
        <v>1013</v>
      </c>
      <c r="I99" s="118" t="s">
        <v>25</v>
      </c>
      <c r="J99" s="119"/>
      <c r="K99" s="119"/>
      <c r="L99" s="192"/>
      <c r="M99" s="192"/>
      <c r="N99" s="119"/>
      <c r="O99" s="802"/>
    </row>
    <row r="100" spans="1:15" ht="19.5" customHeight="1" x14ac:dyDescent="0.3">
      <c r="A100" s="2250">
        <v>94</v>
      </c>
      <c r="B100" s="567" t="s">
        <v>1052</v>
      </c>
      <c r="C100" s="781" t="s">
        <v>18</v>
      </c>
      <c r="D100" s="416" t="s">
        <v>1053</v>
      </c>
      <c r="E100" s="349" t="s">
        <v>1056</v>
      </c>
      <c r="F100" s="218" t="s">
        <v>1055</v>
      </c>
      <c r="G100" s="568">
        <v>19900</v>
      </c>
      <c r="H100" s="1761" t="s">
        <v>1013</v>
      </c>
      <c r="I100" s="118" t="s">
        <v>25</v>
      </c>
      <c r="J100" s="119"/>
      <c r="K100" s="119"/>
      <c r="L100" s="192"/>
      <c r="M100" s="192"/>
      <c r="N100" s="119"/>
      <c r="O100" s="802"/>
    </row>
    <row r="101" spans="1:15" ht="19.5" customHeight="1" x14ac:dyDescent="0.3">
      <c r="A101" s="2226">
        <v>95</v>
      </c>
      <c r="B101" s="567" t="s">
        <v>1057</v>
      </c>
      <c r="C101" s="781" t="s">
        <v>18</v>
      </c>
      <c r="D101" s="416" t="s">
        <v>1053</v>
      </c>
      <c r="E101" s="349" t="s">
        <v>1058</v>
      </c>
      <c r="F101" s="218" t="s">
        <v>1059</v>
      </c>
      <c r="G101" s="568">
        <v>27500</v>
      </c>
      <c r="H101" s="1761" t="s">
        <v>1013</v>
      </c>
      <c r="I101" s="34" t="s">
        <v>25</v>
      </c>
      <c r="J101" s="537"/>
      <c r="K101" s="803"/>
      <c r="L101" s="803"/>
      <c r="M101" s="803"/>
      <c r="N101" s="147"/>
      <c r="O101" s="148"/>
    </row>
    <row r="102" spans="1:15" ht="19.5" customHeight="1" x14ac:dyDescent="0.3">
      <c r="A102" s="2250">
        <v>96</v>
      </c>
      <c r="B102" s="567" t="s">
        <v>1060</v>
      </c>
      <c r="C102" s="781" t="s">
        <v>18</v>
      </c>
      <c r="D102" s="416" t="s">
        <v>550</v>
      </c>
      <c r="E102" s="349" t="s">
        <v>1061</v>
      </c>
      <c r="F102" s="218" t="s">
        <v>1062</v>
      </c>
      <c r="G102" s="568">
        <v>5564</v>
      </c>
      <c r="H102" s="1761" t="s">
        <v>490</v>
      </c>
      <c r="I102" s="34" t="s">
        <v>25</v>
      </c>
      <c r="J102" s="35"/>
      <c r="K102" s="36"/>
      <c r="L102" s="36"/>
      <c r="M102" s="36"/>
      <c r="N102" s="37"/>
      <c r="O102" s="38"/>
    </row>
    <row r="103" spans="1:15" ht="19.5" customHeight="1" x14ac:dyDescent="0.3">
      <c r="A103" s="2226">
        <v>97</v>
      </c>
      <c r="B103" s="567" t="s">
        <v>958</v>
      </c>
      <c r="C103" s="781" t="s">
        <v>18</v>
      </c>
      <c r="D103" s="416" t="s">
        <v>550</v>
      </c>
      <c r="E103" s="349" t="s">
        <v>1063</v>
      </c>
      <c r="F103" s="218" t="s">
        <v>1064</v>
      </c>
      <c r="G103" s="568">
        <v>15000</v>
      </c>
      <c r="H103" s="1761" t="s">
        <v>490</v>
      </c>
      <c r="I103" s="34" t="s">
        <v>25</v>
      </c>
      <c r="J103" s="35"/>
      <c r="K103" s="36"/>
      <c r="L103" s="36"/>
      <c r="M103" s="36"/>
      <c r="N103" s="37"/>
      <c r="O103" s="38"/>
    </row>
    <row r="104" spans="1:15" ht="19.5" customHeight="1" x14ac:dyDescent="0.3">
      <c r="A104" s="2226">
        <v>98</v>
      </c>
      <c r="B104" s="567" t="s">
        <v>958</v>
      </c>
      <c r="C104" s="781" t="s">
        <v>18</v>
      </c>
      <c r="D104" s="416" t="s">
        <v>550</v>
      </c>
      <c r="E104" s="349" t="s">
        <v>1065</v>
      </c>
      <c r="F104" s="218" t="s">
        <v>1064</v>
      </c>
      <c r="G104" s="568">
        <v>15000</v>
      </c>
      <c r="H104" s="1761" t="s">
        <v>490</v>
      </c>
      <c r="I104" s="34" t="s">
        <v>25</v>
      </c>
      <c r="J104" s="35"/>
      <c r="K104" s="36"/>
      <c r="L104" s="36"/>
      <c r="M104" s="36"/>
      <c r="N104" s="37"/>
      <c r="O104" s="38"/>
    </row>
    <row r="105" spans="1:15" ht="19.5" customHeight="1" x14ac:dyDescent="0.3">
      <c r="A105" s="2250">
        <v>99</v>
      </c>
      <c r="B105" s="567" t="s">
        <v>1066</v>
      </c>
      <c r="C105" s="781" t="s">
        <v>18</v>
      </c>
      <c r="D105" s="793" t="s">
        <v>550</v>
      </c>
      <c r="E105" s="349" t="s">
        <v>1067</v>
      </c>
      <c r="F105" s="218" t="s">
        <v>1064</v>
      </c>
      <c r="G105" s="568">
        <v>12000</v>
      </c>
      <c r="H105" s="1761" t="s">
        <v>490</v>
      </c>
      <c r="I105" s="34" t="s">
        <v>25</v>
      </c>
      <c r="J105" s="35"/>
      <c r="K105" s="36"/>
      <c r="L105" s="36"/>
      <c r="M105" s="36"/>
      <c r="N105" s="37"/>
      <c r="O105" s="38"/>
    </row>
    <row r="106" spans="1:15" ht="19.5" customHeight="1" x14ac:dyDescent="0.3">
      <c r="A106" s="2226">
        <v>100</v>
      </c>
      <c r="B106" s="567" t="s">
        <v>1066</v>
      </c>
      <c r="C106" s="781" t="s">
        <v>18</v>
      </c>
      <c r="D106" s="793" t="s">
        <v>550</v>
      </c>
      <c r="E106" s="349" t="s">
        <v>1068</v>
      </c>
      <c r="F106" s="218" t="s">
        <v>1064</v>
      </c>
      <c r="G106" s="568">
        <v>12000</v>
      </c>
      <c r="H106" s="1761" t="s">
        <v>490</v>
      </c>
      <c r="I106" s="34" t="s">
        <v>25</v>
      </c>
      <c r="J106" s="35"/>
      <c r="K106" s="36"/>
      <c r="L106" s="36"/>
      <c r="M106" s="36"/>
      <c r="N106" s="37"/>
      <c r="O106" s="38"/>
    </row>
    <row r="107" spans="1:15" ht="19.5" customHeight="1" x14ac:dyDescent="0.3">
      <c r="A107" s="2250">
        <v>101</v>
      </c>
      <c r="B107" s="567" t="s">
        <v>1066</v>
      </c>
      <c r="C107" s="781" t="s">
        <v>18</v>
      </c>
      <c r="D107" s="793" t="s">
        <v>550</v>
      </c>
      <c r="E107" s="349" t="s">
        <v>1069</v>
      </c>
      <c r="F107" s="218" t="s">
        <v>1064</v>
      </c>
      <c r="G107" s="568">
        <v>12000</v>
      </c>
      <c r="H107" s="1761" t="s">
        <v>490</v>
      </c>
      <c r="I107" s="34" t="s">
        <v>25</v>
      </c>
      <c r="J107" s="35"/>
      <c r="K107" s="36"/>
      <c r="L107" s="36"/>
      <c r="M107" s="36"/>
      <c r="N107" s="37"/>
      <c r="O107" s="38"/>
    </row>
    <row r="108" spans="1:15" ht="19.5" customHeight="1" x14ac:dyDescent="0.3">
      <c r="A108" s="2226">
        <v>102</v>
      </c>
      <c r="B108" s="567" t="s">
        <v>1060</v>
      </c>
      <c r="C108" s="781" t="s">
        <v>18</v>
      </c>
      <c r="D108" s="416" t="s">
        <v>550</v>
      </c>
      <c r="E108" s="349" t="s">
        <v>1070</v>
      </c>
      <c r="F108" s="218" t="s">
        <v>1071</v>
      </c>
      <c r="G108" s="568">
        <v>25680</v>
      </c>
      <c r="H108" s="1761" t="s">
        <v>1072</v>
      </c>
      <c r="I108" s="34" t="s">
        <v>25</v>
      </c>
      <c r="J108" s="35"/>
      <c r="K108" s="36"/>
      <c r="L108" s="36"/>
      <c r="M108" s="36"/>
      <c r="N108" s="37"/>
      <c r="O108" s="38"/>
    </row>
    <row r="109" spans="1:15" ht="19.5" customHeight="1" x14ac:dyDescent="0.3">
      <c r="A109" s="2226">
        <v>103</v>
      </c>
      <c r="B109" s="567" t="s">
        <v>958</v>
      </c>
      <c r="C109" s="781" t="s">
        <v>18</v>
      </c>
      <c r="D109" s="416" t="s">
        <v>550</v>
      </c>
      <c r="E109" s="349" t="s">
        <v>1073</v>
      </c>
      <c r="F109" s="218" t="s">
        <v>1074</v>
      </c>
      <c r="G109" s="568">
        <v>12500</v>
      </c>
      <c r="H109" s="1761" t="s">
        <v>490</v>
      </c>
      <c r="I109" s="34" t="s">
        <v>25</v>
      </c>
      <c r="J109" s="35"/>
      <c r="K109" s="36"/>
      <c r="L109" s="36"/>
      <c r="M109" s="36"/>
      <c r="N109" s="37"/>
      <c r="O109" s="38"/>
    </row>
    <row r="110" spans="1:15" ht="19.5" customHeight="1" x14ac:dyDescent="0.3">
      <c r="A110" s="2250">
        <v>104</v>
      </c>
      <c r="B110" s="567" t="s">
        <v>1075</v>
      </c>
      <c r="C110" s="781" t="s">
        <v>18</v>
      </c>
      <c r="D110" s="416" t="s">
        <v>550</v>
      </c>
      <c r="E110" s="349" t="s">
        <v>1076</v>
      </c>
      <c r="F110" s="218" t="s">
        <v>1074</v>
      </c>
      <c r="G110" s="568">
        <v>9000</v>
      </c>
      <c r="H110" s="1761" t="s">
        <v>490</v>
      </c>
      <c r="I110" s="34"/>
      <c r="J110" s="2344" t="s">
        <v>25</v>
      </c>
      <c r="K110" s="36"/>
      <c r="L110" s="36"/>
      <c r="M110" s="36"/>
      <c r="N110" s="37"/>
      <c r="O110" s="38"/>
    </row>
    <row r="111" spans="1:15" ht="19.5" customHeight="1" x14ac:dyDescent="0.3">
      <c r="A111" s="247">
        <v>105</v>
      </c>
      <c r="B111" s="105" t="s">
        <v>923</v>
      </c>
      <c r="C111" s="781" t="s">
        <v>18</v>
      </c>
      <c r="D111" s="416" t="s">
        <v>924</v>
      </c>
      <c r="E111" s="349" t="s">
        <v>925</v>
      </c>
      <c r="F111" s="218" t="s">
        <v>926</v>
      </c>
      <c r="G111" s="568">
        <v>5800</v>
      </c>
      <c r="H111" s="1739" t="s">
        <v>1077</v>
      </c>
      <c r="I111" s="84"/>
      <c r="J111" s="35"/>
      <c r="K111" s="36"/>
      <c r="L111" s="36"/>
      <c r="M111" s="36"/>
      <c r="N111" s="37"/>
      <c r="O111" s="2360" t="s">
        <v>5895</v>
      </c>
    </row>
    <row r="112" spans="1:15" ht="19.5" customHeight="1" x14ac:dyDescent="0.3">
      <c r="A112" s="293">
        <v>106</v>
      </c>
      <c r="B112" s="105" t="s">
        <v>923</v>
      </c>
      <c r="C112" s="781" t="s">
        <v>18</v>
      </c>
      <c r="D112" s="416" t="s">
        <v>924</v>
      </c>
      <c r="E112" s="349" t="s">
        <v>927</v>
      </c>
      <c r="F112" s="218" t="s">
        <v>926</v>
      </c>
      <c r="G112" s="116">
        <v>5800</v>
      </c>
      <c r="H112" s="1739" t="s">
        <v>1077</v>
      </c>
      <c r="I112" s="34"/>
      <c r="J112" s="35"/>
      <c r="K112" s="36"/>
      <c r="L112" s="36"/>
      <c r="M112" s="36"/>
      <c r="N112" s="37"/>
      <c r="O112" s="2360" t="s">
        <v>5895</v>
      </c>
    </row>
    <row r="113" spans="1:17" ht="19.5" customHeight="1" x14ac:dyDescent="0.3">
      <c r="A113" s="247">
        <v>107</v>
      </c>
      <c r="B113" s="105" t="s">
        <v>923</v>
      </c>
      <c r="C113" s="781" t="s">
        <v>18</v>
      </c>
      <c r="D113" s="416" t="s">
        <v>924</v>
      </c>
      <c r="E113" s="349" t="s">
        <v>928</v>
      </c>
      <c r="F113" s="218" t="s">
        <v>926</v>
      </c>
      <c r="G113" s="116">
        <v>5800</v>
      </c>
      <c r="H113" s="1739" t="s">
        <v>1077</v>
      </c>
      <c r="I113" s="34"/>
      <c r="J113" s="35"/>
      <c r="K113" s="36"/>
      <c r="L113" s="36"/>
      <c r="M113" s="36"/>
      <c r="N113" s="37"/>
      <c r="O113" s="2360" t="s">
        <v>5895</v>
      </c>
    </row>
    <row r="114" spans="1:17" ht="19.5" customHeight="1" x14ac:dyDescent="0.3">
      <c r="A114" s="247">
        <v>108</v>
      </c>
      <c r="B114" s="105" t="s">
        <v>923</v>
      </c>
      <c r="C114" s="781" t="s">
        <v>18</v>
      </c>
      <c r="D114" s="416" t="s">
        <v>924</v>
      </c>
      <c r="E114" s="349" t="s">
        <v>929</v>
      </c>
      <c r="F114" s="218" t="s">
        <v>926</v>
      </c>
      <c r="G114" s="116">
        <v>5800</v>
      </c>
      <c r="H114" s="1739" t="s">
        <v>1077</v>
      </c>
      <c r="I114" s="34"/>
      <c r="J114" s="35"/>
      <c r="K114" s="36"/>
      <c r="L114" s="36"/>
      <c r="M114" s="36"/>
      <c r="N114" s="37"/>
      <c r="O114" s="2360" t="s">
        <v>5895</v>
      </c>
    </row>
    <row r="115" spans="1:17" ht="19.5" customHeight="1" x14ac:dyDescent="0.3">
      <c r="A115" s="293">
        <v>109</v>
      </c>
      <c r="B115" s="105" t="s">
        <v>923</v>
      </c>
      <c r="C115" s="781" t="s">
        <v>18</v>
      </c>
      <c r="D115" s="416" t="s">
        <v>924</v>
      </c>
      <c r="E115" s="349" t="s">
        <v>930</v>
      </c>
      <c r="F115" s="218" t="s">
        <v>926</v>
      </c>
      <c r="G115" s="116">
        <v>5800</v>
      </c>
      <c r="H115" s="1739" t="s">
        <v>1077</v>
      </c>
      <c r="I115" s="34"/>
      <c r="J115" s="35"/>
      <c r="K115" s="36"/>
      <c r="L115" s="36"/>
      <c r="M115" s="36"/>
      <c r="N115" s="37"/>
      <c r="O115" s="2360" t="s">
        <v>5895</v>
      </c>
    </row>
    <row r="116" spans="1:17" ht="19.5" customHeight="1" x14ac:dyDescent="0.3">
      <c r="A116" s="2226">
        <v>110</v>
      </c>
      <c r="B116" s="105" t="s">
        <v>1078</v>
      </c>
      <c r="C116" s="781" t="s">
        <v>18</v>
      </c>
      <c r="D116" s="416" t="s">
        <v>560</v>
      </c>
      <c r="E116" s="349" t="s">
        <v>1079</v>
      </c>
      <c r="F116" s="218" t="s">
        <v>1080</v>
      </c>
      <c r="G116" s="116">
        <v>5863.6</v>
      </c>
      <c r="H116" s="1761" t="s">
        <v>1081</v>
      </c>
      <c r="I116" s="34" t="s">
        <v>25</v>
      </c>
      <c r="J116" s="35"/>
      <c r="K116" s="36"/>
      <c r="L116" s="36"/>
      <c r="M116" s="36"/>
      <c r="N116" s="37"/>
      <c r="O116" s="38"/>
    </row>
    <row r="117" spans="1:17" ht="19.5" customHeight="1" x14ac:dyDescent="0.3">
      <c r="A117" s="2250">
        <v>111</v>
      </c>
      <c r="B117" s="105" t="s">
        <v>1082</v>
      </c>
      <c r="C117" s="781" t="s">
        <v>18</v>
      </c>
      <c r="D117" s="793" t="s">
        <v>560</v>
      </c>
      <c r="E117" s="349" t="s">
        <v>1083</v>
      </c>
      <c r="F117" s="218" t="s">
        <v>1080</v>
      </c>
      <c r="G117" s="116">
        <v>4419.1000000000004</v>
      </c>
      <c r="H117" s="1761" t="s">
        <v>1081</v>
      </c>
      <c r="I117" s="34" t="s">
        <v>25</v>
      </c>
      <c r="J117" s="35"/>
      <c r="K117" s="36"/>
      <c r="L117" s="36"/>
      <c r="M117" s="36"/>
      <c r="N117" s="37"/>
      <c r="O117" s="38"/>
    </row>
    <row r="118" spans="1:17" ht="19.5" customHeight="1" x14ac:dyDescent="0.3">
      <c r="A118" s="2226">
        <v>112</v>
      </c>
      <c r="B118" s="105" t="s">
        <v>1082</v>
      </c>
      <c r="C118" s="781" t="s">
        <v>18</v>
      </c>
      <c r="D118" s="416" t="s">
        <v>560</v>
      </c>
      <c r="E118" s="349" t="s">
        <v>1084</v>
      </c>
      <c r="F118" s="218" t="s">
        <v>1080</v>
      </c>
      <c r="G118" s="116">
        <v>4419.1000000000004</v>
      </c>
      <c r="H118" s="1761" t="s">
        <v>1081</v>
      </c>
      <c r="I118" s="34" t="s">
        <v>25</v>
      </c>
      <c r="J118" s="35"/>
      <c r="K118" s="36"/>
      <c r="L118" s="36"/>
      <c r="M118" s="36"/>
      <c r="N118" s="37"/>
      <c r="O118" s="38"/>
    </row>
    <row r="119" spans="1:17" ht="19.5" customHeight="1" x14ac:dyDescent="0.3">
      <c r="A119" s="2226">
        <v>113</v>
      </c>
      <c r="B119" s="804" t="s">
        <v>1085</v>
      </c>
      <c r="C119" s="781" t="s">
        <v>18</v>
      </c>
      <c r="D119" s="793" t="s">
        <v>21</v>
      </c>
      <c r="E119" s="349" t="s">
        <v>1086</v>
      </c>
      <c r="F119" s="218" t="s">
        <v>1087</v>
      </c>
      <c r="G119" s="805">
        <v>1605</v>
      </c>
      <c r="H119" s="1762" t="s">
        <v>166</v>
      </c>
      <c r="I119" s="34" t="s">
        <v>25</v>
      </c>
      <c r="J119" s="35"/>
      <c r="K119" s="36"/>
      <c r="L119" s="36"/>
      <c r="M119" s="36"/>
      <c r="N119" s="37"/>
      <c r="O119" s="2360" t="s">
        <v>5876</v>
      </c>
    </row>
    <row r="120" spans="1:17" ht="19.5" customHeight="1" x14ac:dyDescent="0.3">
      <c r="A120" s="2250">
        <v>114</v>
      </c>
      <c r="B120" s="804" t="s">
        <v>1088</v>
      </c>
      <c r="C120" s="781" t="s">
        <v>18</v>
      </c>
      <c r="D120" s="793" t="s">
        <v>21</v>
      </c>
      <c r="E120" s="349" t="s">
        <v>1089</v>
      </c>
      <c r="F120" s="218" t="s">
        <v>1090</v>
      </c>
      <c r="G120" s="805">
        <v>105000</v>
      </c>
      <c r="H120" s="1762" t="s">
        <v>5314</v>
      </c>
      <c r="I120" s="34" t="s">
        <v>25</v>
      </c>
      <c r="J120" s="35"/>
      <c r="K120" s="36"/>
      <c r="L120" s="36"/>
      <c r="M120" s="36"/>
      <c r="N120" s="37"/>
      <c r="O120" s="2360" t="s">
        <v>5877</v>
      </c>
    </row>
    <row r="121" spans="1:17" ht="19.5" customHeight="1" x14ac:dyDescent="0.3">
      <c r="A121" s="2226">
        <v>115</v>
      </c>
      <c r="B121" s="806" t="s">
        <v>1091</v>
      </c>
      <c r="C121" s="781" t="s">
        <v>18</v>
      </c>
      <c r="D121" s="793">
        <v>66</v>
      </c>
      <c r="E121" s="349" t="s">
        <v>26</v>
      </c>
      <c r="F121" s="218" t="s">
        <v>1092</v>
      </c>
      <c r="G121" s="807">
        <v>62800</v>
      </c>
      <c r="H121" s="1763" t="s">
        <v>5314</v>
      </c>
      <c r="I121" s="34" t="s">
        <v>25</v>
      </c>
      <c r="J121" s="35"/>
      <c r="K121" s="36"/>
      <c r="L121" s="36"/>
      <c r="M121" s="36"/>
      <c r="N121" s="37"/>
      <c r="O121" s="2360" t="s">
        <v>5878</v>
      </c>
    </row>
    <row r="122" spans="1:17" ht="19.5" customHeight="1" x14ac:dyDescent="0.3">
      <c r="A122" s="2226">
        <v>116</v>
      </c>
      <c r="B122" s="390" t="s">
        <v>1093</v>
      </c>
      <c r="C122" s="163" t="s">
        <v>18</v>
      </c>
      <c r="D122" s="391" t="s">
        <v>172</v>
      </c>
      <c r="E122" s="165" t="s">
        <v>1094</v>
      </c>
      <c r="F122" s="170">
        <v>243662</v>
      </c>
      <c r="G122" s="808">
        <v>9279</v>
      </c>
      <c r="H122" s="1764" t="s">
        <v>1095</v>
      </c>
      <c r="I122" s="34" t="s">
        <v>25</v>
      </c>
      <c r="J122" s="810"/>
      <c r="K122" s="811"/>
      <c r="L122" s="811"/>
      <c r="M122" s="811"/>
      <c r="N122" s="812"/>
      <c r="O122" s="2289" t="s">
        <v>5879</v>
      </c>
    </row>
    <row r="123" spans="1:17" ht="19.5" customHeight="1" x14ac:dyDescent="0.3">
      <c r="A123" s="2226">
        <v>117</v>
      </c>
      <c r="B123" s="390" t="s">
        <v>1096</v>
      </c>
      <c r="C123" s="163" t="s">
        <v>18</v>
      </c>
      <c r="D123" s="391" t="s">
        <v>172</v>
      </c>
      <c r="E123" s="165" t="s">
        <v>1097</v>
      </c>
      <c r="F123" s="170">
        <v>243702</v>
      </c>
      <c r="G123" s="813">
        <v>2795000</v>
      </c>
      <c r="H123" s="1838" t="s">
        <v>174</v>
      </c>
      <c r="I123" s="809" t="s">
        <v>25</v>
      </c>
      <c r="J123" s="810"/>
      <c r="K123" s="811"/>
      <c r="L123" s="811"/>
      <c r="M123" s="811"/>
      <c r="N123" s="812"/>
      <c r="O123" s="2289" t="s">
        <v>5862</v>
      </c>
    </row>
    <row r="124" spans="1:17" ht="19.5" customHeight="1" x14ac:dyDescent="0.3">
      <c r="A124" s="2250">
        <v>118</v>
      </c>
      <c r="B124" s="390" t="s">
        <v>1096</v>
      </c>
      <c r="C124" s="163" t="s">
        <v>18</v>
      </c>
      <c r="D124" s="391" t="s">
        <v>172</v>
      </c>
      <c r="E124" s="165" t="s">
        <v>1098</v>
      </c>
      <c r="F124" s="170">
        <v>243702</v>
      </c>
      <c r="G124" s="813">
        <v>2795000</v>
      </c>
      <c r="H124" s="1838" t="s">
        <v>174</v>
      </c>
      <c r="I124" s="809" t="s">
        <v>25</v>
      </c>
      <c r="J124" s="810"/>
      <c r="K124" s="811"/>
      <c r="L124" s="811"/>
      <c r="M124" s="811"/>
      <c r="N124" s="812"/>
      <c r="O124" s="2289" t="s">
        <v>5862</v>
      </c>
    </row>
    <row r="125" spans="1:17" ht="19.5" customHeight="1" x14ac:dyDescent="0.3">
      <c r="A125" s="2226">
        <v>119</v>
      </c>
      <c r="B125" s="390" t="s">
        <v>1096</v>
      </c>
      <c r="C125" s="163" t="s">
        <v>18</v>
      </c>
      <c r="D125" s="391" t="s">
        <v>172</v>
      </c>
      <c r="E125" s="165" t="s">
        <v>1099</v>
      </c>
      <c r="F125" s="170">
        <v>243702</v>
      </c>
      <c r="G125" s="813">
        <v>2795000</v>
      </c>
      <c r="H125" s="1838" t="s">
        <v>174</v>
      </c>
      <c r="I125" s="809" t="s">
        <v>25</v>
      </c>
      <c r="J125" s="810"/>
      <c r="K125" s="811"/>
      <c r="L125" s="811"/>
      <c r="M125" s="811"/>
      <c r="N125" s="812"/>
      <c r="O125" s="2289" t="s">
        <v>5862</v>
      </c>
    </row>
    <row r="126" spans="1:17" ht="19.5" customHeight="1" x14ac:dyDescent="0.3">
      <c r="A126" s="2226">
        <v>120</v>
      </c>
      <c r="B126" s="390" t="s">
        <v>1100</v>
      </c>
      <c r="C126" s="163" t="s">
        <v>18</v>
      </c>
      <c r="D126" s="164" t="s">
        <v>172</v>
      </c>
      <c r="E126" s="165" t="s">
        <v>449</v>
      </c>
      <c r="F126" s="170">
        <v>236892</v>
      </c>
      <c r="G126" s="171">
        <v>50000</v>
      </c>
      <c r="H126" s="1838" t="s">
        <v>174</v>
      </c>
      <c r="I126" s="809" t="s">
        <v>25</v>
      </c>
      <c r="J126" s="810"/>
      <c r="K126" s="811"/>
      <c r="L126" s="811"/>
      <c r="M126" s="811"/>
      <c r="N126" s="812"/>
      <c r="O126" s="2289" t="s">
        <v>5862</v>
      </c>
    </row>
    <row r="127" spans="1:17" ht="19.5" customHeight="1" x14ac:dyDescent="0.3">
      <c r="A127" s="2226">
        <v>121</v>
      </c>
      <c r="B127" s="390" t="s">
        <v>1100</v>
      </c>
      <c r="C127" s="163" t="s">
        <v>18</v>
      </c>
      <c r="D127" s="164" t="s">
        <v>172</v>
      </c>
      <c r="E127" s="165" t="s">
        <v>450</v>
      </c>
      <c r="F127" s="170">
        <v>236892</v>
      </c>
      <c r="G127" s="171">
        <v>50000</v>
      </c>
      <c r="H127" s="1838" t="s">
        <v>174</v>
      </c>
      <c r="I127" s="809" t="s">
        <v>25</v>
      </c>
      <c r="J127" s="810"/>
      <c r="K127" s="811"/>
      <c r="L127" s="811"/>
      <c r="M127" s="811"/>
      <c r="N127" s="812"/>
      <c r="O127" s="2289" t="s">
        <v>5862</v>
      </c>
    </row>
    <row r="128" spans="1:17" ht="19.5" customHeight="1" x14ac:dyDescent="0.45">
      <c r="A128" s="622"/>
      <c r="B128" s="782"/>
      <c r="C128" s="89"/>
      <c r="D128" s="793"/>
      <c r="E128" s="349"/>
      <c r="F128" s="783"/>
      <c r="G128" s="784">
        <f>SUM(G7:G127)</f>
        <v>12306691.810000001</v>
      </c>
      <c r="H128" s="785"/>
      <c r="I128" s="782"/>
      <c r="J128" s="782"/>
      <c r="K128" s="782"/>
      <c r="L128" s="782"/>
      <c r="M128" s="782"/>
      <c r="N128" s="782"/>
      <c r="O128" s="786"/>
      <c r="Q128" s="787"/>
    </row>
    <row r="129" spans="1:17" ht="19.5" customHeight="1" x14ac:dyDescent="0.3">
      <c r="A129" s="814">
        <v>640</v>
      </c>
      <c r="B129" s="815" t="s">
        <v>1101</v>
      </c>
      <c r="C129" s="816"/>
      <c r="D129" s="816"/>
      <c r="E129" s="816"/>
      <c r="F129" s="816"/>
      <c r="G129" s="817"/>
      <c r="H129" s="818"/>
      <c r="I129" s="819"/>
      <c r="J129" s="819"/>
      <c r="K129" s="819"/>
      <c r="L129" s="819"/>
      <c r="M129" s="819"/>
      <c r="N129" s="819"/>
      <c r="O129" s="820"/>
    </row>
    <row r="130" spans="1:17" ht="19.5" customHeight="1" x14ac:dyDescent="0.3">
      <c r="A130" s="2250">
        <v>1</v>
      </c>
      <c r="B130" s="645" t="s">
        <v>1102</v>
      </c>
      <c r="C130" s="781" t="s">
        <v>1103</v>
      </c>
      <c r="D130" s="793">
        <v>64</v>
      </c>
      <c r="E130" s="349" t="s">
        <v>1104</v>
      </c>
      <c r="F130" s="350" t="s">
        <v>1105</v>
      </c>
      <c r="G130" s="351">
        <v>4000</v>
      </c>
      <c r="H130" s="1765" t="s">
        <v>215</v>
      </c>
      <c r="I130" s="352" t="s">
        <v>25</v>
      </c>
      <c r="J130" s="352"/>
      <c r="K130" s="353"/>
      <c r="L130" s="353"/>
      <c r="M130" s="353"/>
      <c r="N130" s="353"/>
      <c r="O130" s="821"/>
      <c r="Q130" s="787"/>
    </row>
    <row r="131" spans="1:17" ht="19.5" customHeight="1" x14ac:dyDescent="0.3">
      <c r="A131" s="2226">
        <v>2</v>
      </c>
      <c r="B131" s="645" t="s">
        <v>1102</v>
      </c>
      <c r="C131" s="781" t="s">
        <v>1103</v>
      </c>
      <c r="D131" s="793">
        <v>64</v>
      </c>
      <c r="E131" s="349" t="s">
        <v>1106</v>
      </c>
      <c r="F131" s="350" t="s">
        <v>1105</v>
      </c>
      <c r="G131" s="351">
        <v>4000</v>
      </c>
      <c r="H131" s="1765" t="s">
        <v>215</v>
      </c>
      <c r="I131" s="352" t="s">
        <v>25</v>
      </c>
      <c r="J131" s="119"/>
      <c r="K131" s="119"/>
      <c r="L131" s="119"/>
      <c r="M131" s="119"/>
      <c r="N131" s="119"/>
      <c r="O131" s="449"/>
    </row>
    <row r="132" spans="1:17" ht="19.5" customHeight="1" x14ac:dyDescent="0.3">
      <c r="A132" s="2226">
        <v>3</v>
      </c>
      <c r="B132" s="645" t="s">
        <v>1102</v>
      </c>
      <c r="C132" s="781" t="s">
        <v>1103</v>
      </c>
      <c r="D132" s="793">
        <v>64</v>
      </c>
      <c r="E132" s="349" t="s">
        <v>1107</v>
      </c>
      <c r="F132" s="350" t="s">
        <v>1105</v>
      </c>
      <c r="G132" s="351">
        <v>4000</v>
      </c>
      <c r="H132" s="1765" t="s">
        <v>215</v>
      </c>
      <c r="I132" s="352" t="s">
        <v>25</v>
      </c>
      <c r="J132" s="119"/>
      <c r="K132" s="119"/>
      <c r="L132" s="192"/>
      <c r="M132" s="192"/>
      <c r="N132" s="119"/>
      <c r="O132" s="802"/>
    </row>
    <row r="133" spans="1:17" ht="19.5" customHeight="1" x14ac:dyDescent="0.3">
      <c r="A133" s="2250">
        <v>4</v>
      </c>
      <c r="B133" s="645" t="s">
        <v>1102</v>
      </c>
      <c r="C133" s="781" t="s">
        <v>1103</v>
      </c>
      <c r="D133" s="793">
        <v>64</v>
      </c>
      <c r="E133" s="349" t="s">
        <v>399</v>
      </c>
      <c r="F133" s="350" t="s">
        <v>1105</v>
      </c>
      <c r="G133" s="351">
        <v>4000</v>
      </c>
      <c r="H133" s="1765" t="s">
        <v>215</v>
      </c>
      <c r="I133" s="352" t="s">
        <v>25</v>
      </c>
      <c r="J133" s="119"/>
      <c r="K133" s="119"/>
      <c r="L133" s="192"/>
      <c r="M133" s="192"/>
      <c r="N133" s="119"/>
      <c r="O133" s="802"/>
    </row>
    <row r="134" spans="1:17" ht="19.5" customHeight="1" x14ac:dyDescent="0.3">
      <c r="A134" s="2226">
        <v>5</v>
      </c>
      <c r="B134" s="645" t="s">
        <v>1102</v>
      </c>
      <c r="C134" s="781" t="s">
        <v>1103</v>
      </c>
      <c r="D134" s="793">
        <v>64</v>
      </c>
      <c r="E134" s="349" t="s">
        <v>1108</v>
      </c>
      <c r="F134" s="350" t="s">
        <v>1105</v>
      </c>
      <c r="G134" s="83">
        <v>4000</v>
      </c>
      <c r="H134" s="1765" t="s">
        <v>215</v>
      </c>
      <c r="I134" s="352" t="s">
        <v>25</v>
      </c>
      <c r="J134" s="600"/>
      <c r="K134" s="600"/>
      <c r="L134" s="83"/>
      <c r="M134" s="83"/>
      <c r="N134" s="600"/>
      <c r="O134" s="822"/>
    </row>
    <row r="135" spans="1:17" ht="19.5" customHeight="1" x14ac:dyDescent="0.3">
      <c r="A135" s="2226">
        <v>6</v>
      </c>
      <c r="B135" s="248" t="s">
        <v>1109</v>
      </c>
      <c r="C135" s="781" t="s">
        <v>1103</v>
      </c>
      <c r="D135" s="416">
        <v>66</v>
      </c>
      <c r="E135" s="349" t="s">
        <v>1110</v>
      </c>
      <c r="F135" s="218" t="s">
        <v>1111</v>
      </c>
      <c r="G135" s="83">
        <v>15000</v>
      </c>
      <c r="H135" s="1765" t="s">
        <v>215</v>
      </c>
      <c r="I135" s="352" t="s">
        <v>25</v>
      </c>
      <c r="J135" s="600"/>
      <c r="K135" s="600"/>
      <c r="L135" s="83"/>
      <c r="M135" s="83"/>
      <c r="N135" s="600"/>
      <c r="O135" s="822"/>
    </row>
    <row r="136" spans="1:17" ht="19.5" customHeight="1" x14ac:dyDescent="0.3">
      <c r="A136" s="2250">
        <v>7</v>
      </c>
      <c r="B136" s="248" t="s">
        <v>1109</v>
      </c>
      <c r="C136" s="781" t="s">
        <v>1103</v>
      </c>
      <c r="D136" s="416">
        <v>66</v>
      </c>
      <c r="E136" s="349" t="s">
        <v>1112</v>
      </c>
      <c r="F136" s="218" t="s">
        <v>1111</v>
      </c>
      <c r="G136" s="83">
        <v>15000</v>
      </c>
      <c r="H136" s="1765" t="s">
        <v>215</v>
      </c>
      <c r="I136" s="352" t="s">
        <v>25</v>
      </c>
      <c r="J136" s="600"/>
      <c r="K136" s="600"/>
      <c r="L136" s="83"/>
      <c r="M136" s="83"/>
      <c r="N136" s="600"/>
      <c r="O136" s="822"/>
    </row>
    <row r="137" spans="1:17" ht="19.5" customHeight="1" x14ac:dyDescent="0.3">
      <c r="A137" s="2226">
        <v>8</v>
      </c>
      <c r="B137" s="248" t="s">
        <v>1109</v>
      </c>
      <c r="C137" s="781" t="s">
        <v>1103</v>
      </c>
      <c r="D137" s="416">
        <v>66</v>
      </c>
      <c r="E137" s="349" t="s">
        <v>1113</v>
      </c>
      <c r="F137" s="218" t="s">
        <v>1111</v>
      </c>
      <c r="G137" s="83">
        <v>15000</v>
      </c>
      <c r="H137" s="1765" t="s">
        <v>215</v>
      </c>
      <c r="I137" s="352" t="s">
        <v>25</v>
      </c>
      <c r="J137" s="600"/>
      <c r="K137" s="600"/>
      <c r="L137" s="83"/>
      <c r="M137" s="83"/>
      <c r="N137" s="600"/>
      <c r="O137" s="822"/>
    </row>
    <row r="138" spans="1:17" ht="19.5" customHeight="1" x14ac:dyDescent="0.3">
      <c r="A138" s="2226">
        <v>9</v>
      </c>
      <c r="B138" s="248" t="s">
        <v>1109</v>
      </c>
      <c r="C138" s="781" t="s">
        <v>1103</v>
      </c>
      <c r="D138" s="416">
        <v>66</v>
      </c>
      <c r="E138" s="349" t="s">
        <v>1114</v>
      </c>
      <c r="F138" s="218" t="s">
        <v>1111</v>
      </c>
      <c r="G138" s="83">
        <v>15000</v>
      </c>
      <c r="H138" s="1765" t="s">
        <v>215</v>
      </c>
      <c r="I138" s="352" t="s">
        <v>25</v>
      </c>
      <c r="J138" s="600"/>
      <c r="K138" s="600"/>
      <c r="L138" s="83"/>
      <c r="M138" s="83"/>
      <c r="N138" s="600"/>
      <c r="O138" s="822"/>
    </row>
    <row r="139" spans="1:17" ht="19.5" customHeight="1" x14ac:dyDescent="0.3">
      <c r="A139" s="2250">
        <v>10</v>
      </c>
      <c r="B139" s="248" t="s">
        <v>1109</v>
      </c>
      <c r="C139" s="781" t="s">
        <v>1103</v>
      </c>
      <c r="D139" s="416">
        <v>66</v>
      </c>
      <c r="E139" s="349" t="s">
        <v>1115</v>
      </c>
      <c r="F139" s="218" t="s">
        <v>1111</v>
      </c>
      <c r="G139" s="83">
        <v>15000</v>
      </c>
      <c r="H139" s="1765" t="s">
        <v>215</v>
      </c>
      <c r="I139" s="352" t="s">
        <v>25</v>
      </c>
      <c r="J139" s="600"/>
      <c r="K139" s="600"/>
      <c r="L139" s="83"/>
      <c r="M139" s="83"/>
      <c r="N139" s="600"/>
      <c r="O139" s="822"/>
    </row>
    <row r="140" spans="1:17" ht="19.5" customHeight="1" x14ac:dyDescent="0.45">
      <c r="A140" s="39"/>
      <c r="B140" s="172"/>
      <c r="C140" s="89"/>
      <c r="D140" s="230"/>
      <c r="E140" s="201"/>
      <c r="F140" s="176"/>
      <c r="G140" s="231">
        <f>SUM(G130:G139)</f>
        <v>95000</v>
      </c>
      <c r="H140" s="602"/>
      <c r="I140" s="233"/>
      <c r="J140" s="355"/>
      <c r="K140" s="355"/>
      <c r="L140" s="355"/>
      <c r="M140" s="355"/>
      <c r="N140" s="355"/>
      <c r="O140" s="469"/>
      <c r="P140" s="2620" t="s">
        <v>6394</v>
      </c>
    </row>
    <row r="141" spans="1:17" ht="19.5" customHeight="1" x14ac:dyDescent="0.3">
      <c r="A141" s="823">
        <v>625</v>
      </c>
      <c r="B141" s="815" t="s">
        <v>1116</v>
      </c>
      <c r="C141" s="816"/>
      <c r="D141" s="816"/>
      <c r="E141" s="816"/>
      <c r="F141" s="816"/>
      <c r="G141" s="817"/>
      <c r="H141" s="818"/>
      <c r="I141" s="819"/>
      <c r="J141" s="819"/>
      <c r="K141" s="819"/>
      <c r="L141" s="819"/>
      <c r="M141" s="819"/>
      <c r="N141" s="819"/>
      <c r="O141" s="820"/>
    </row>
    <row r="142" spans="1:17" ht="19.5" customHeight="1" x14ac:dyDescent="0.3">
      <c r="A142" s="2226">
        <v>1</v>
      </c>
      <c r="B142" s="248" t="s">
        <v>1117</v>
      </c>
      <c r="C142" s="216" t="s">
        <v>1118</v>
      </c>
      <c r="D142" s="416">
        <v>47</v>
      </c>
      <c r="E142" s="217" t="s">
        <v>584</v>
      </c>
      <c r="F142" s="218" t="s">
        <v>956</v>
      </c>
      <c r="G142" s="192">
        <v>10000</v>
      </c>
      <c r="H142" s="1719" t="s">
        <v>162</v>
      </c>
      <c r="I142" s="118"/>
      <c r="J142" s="295" t="s">
        <v>25</v>
      </c>
      <c r="K142" s="119"/>
      <c r="L142" s="119"/>
      <c r="M142" s="119"/>
      <c r="N142" s="119"/>
      <c r="O142" s="449"/>
    </row>
    <row r="143" spans="1:17" ht="19.5" customHeight="1" x14ac:dyDescent="0.3">
      <c r="A143" s="2226">
        <v>2</v>
      </c>
      <c r="B143" s="248" t="s">
        <v>1119</v>
      </c>
      <c r="C143" s="216" t="s">
        <v>1118</v>
      </c>
      <c r="D143" s="416">
        <v>59</v>
      </c>
      <c r="E143" s="217" t="s">
        <v>565</v>
      </c>
      <c r="F143" s="218" t="s">
        <v>1120</v>
      </c>
      <c r="G143" s="192">
        <v>2450</v>
      </c>
      <c r="H143" s="1719" t="s">
        <v>1121</v>
      </c>
      <c r="I143" s="118"/>
      <c r="J143" s="295" t="s">
        <v>25</v>
      </c>
      <c r="K143" s="119"/>
      <c r="L143" s="192"/>
      <c r="M143" s="192"/>
      <c r="N143" s="119"/>
      <c r="O143" s="802"/>
    </row>
    <row r="144" spans="1:17" ht="19.5" customHeight="1" x14ac:dyDescent="0.3">
      <c r="A144" s="2226">
        <v>3</v>
      </c>
      <c r="B144" s="248" t="s">
        <v>1119</v>
      </c>
      <c r="C144" s="216" t="s">
        <v>1118</v>
      </c>
      <c r="D144" s="416">
        <v>59</v>
      </c>
      <c r="E144" s="217" t="s">
        <v>567</v>
      </c>
      <c r="F144" s="218" t="s">
        <v>1120</v>
      </c>
      <c r="G144" s="192">
        <v>2450</v>
      </c>
      <c r="H144" s="1719" t="s">
        <v>1121</v>
      </c>
      <c r="I144" s="118"/>
      <c r="J144" s="295" t="s">
        <v>25</v>
      </c>
      <c r="K144" s="119"/>
      <c r="L144" s="192"/>
      <c r="M144" s="192"/>
      <c r="N144" s="119"/>
      <c r="O144" s="802"/>
    </row>
    <row r="145" spans="1:15" ht="19.5" customHeight="1" x14ac:dyDescent="0.45">
      <c r="A145" s="39"/>
      <c r="B145" s="172"/>
      <c r="C145" s="89"/>
      <c r="D145" s="230"/>
      <c r="E145" s="201"/>
      <c r="F145" s="176"/>
      <c r="G145" s="231">
        <f>SUM(G142:G144)</f>
        <v>14900</v>
      </c>
      <c r="H145" s="824"/>
      <c r="I145" s="233"/>
      <c r="J145" s="355"/>
      <c r="K145" s="355"/>
      <c r="L145" s="355"/>
      <c r="M145" s="355"/>
      <c r="N145" s="355"/>
      <c r="O145" s="469"/>
    </row>
    <row r="146" spans="1:15" ht="19.5" customHeight="1" x14ac:dyDescent="0.3">
      <c r="A146" s="825">
        <v>633</v>
      </c>
      <c r="B146" s="815" t="s">
        <v>1122</v>
      </c>
      <c r="C146" s="826"/>
      <c r="D146" s="826"/>
      <c r="E146" s="826"/>
      <c r="F146" s="826"/>
      <c r="G146" s="826"/>
      <c r="H146" s="827"/>
      <c r="I146" s="779"/>
      <c r="J146" s="779"/>
      <c r="K146" s="828"/>
      <c r="L146" s="828"/>
      <c r="M146" s="779"/>
      <c r="N146" s="829"/>
      <c r="O146" s="830"/>
    </row>
    <row r="147" spans="1:15" ht="19.5" customHeight="1" x14ac:dyDescent="0.3">
      <c r="A147" s="2250">
        <v>1</v>
      </c>
      <c r="B147" s="645" t="s">
        <v>1123</v>
      </c>
      <c r="C147" s="348" t="s">
        <v>1124</v>
      </c>
      <c r="D147" s="793">
        <v>40</v>
      </c>
      <c r="E147" s="349" t="s">
        <v>1125</v>
      </c>
      <c r="F147" s="350" t="s">
        <v>1126</v>
      </c>
      <c r="G147" s="351">
        <v>20000</v>
      </c>
      <c r="H147" s="1718" t="s">
        <v>215</v>
      </c>
      <c r="I147" s="352" t="s">
        <v>25</v>
      </c>
      <c r="J147" s="353"/>
      <c r="K147" s="353"/>
      <c r="L147" s="353"/>
      <c r="M147" s="353"/>
      <c r="N147" s="353"/>
      <c r="O147" s="697"/>
    </row>
    <row r="148" spans="1:15" ht="19.5" customHeight="1" x14ac:dyDescent="0.3">
      <c r="A148" s="2249">
        <v>2</v>
      </c>
      <c r="B148" s="537" t="s">
        <v>1127</v>
      </c>
      <c r="C148" s="831" t="s">
        <v>1124</v>
      </c>
      <c r="D148" s="832">
        <v>41</v>
      </c>
      <c r="E148" s="833" t="s">
        <v>599</v>
      </c>
      <c r="F148" s="218" t="s">
        <v>1128</v>
      </c>
      <c r="G148" s="834">
        <v>51720</v>
      </c>
      <c r="H148" s="835" t="s">
        <v>537</v>
      </c>
      <c r="I148" s="352" t="s">
        <v>25</v>
      </c>
      <c r="J148" s="119"/>
      <c r="K148" s="119"/>
      <c r="L148" s="119"/>
      <c r="M148" s="119"/>
      <c r="N148" s="119"/>
      <c r="O148" s="2305" t="s">
        <v>477</v>
      </c>
    </row>
    <row r="149" spans="1:15" ht="19.5" customHeight="1" x14ac:dyDescent="0.3">
      <c r="A149" s="2249">
        <v>3</v>
      </c>
      <c r="B149" s="1895" t="s">
        <v>1129</v>
      </c>
      <c r="C149" s="831" t="s">
        <v>1124</v>
      </c>
      <c r="D149" s="832">
        <v>55</v>
      </c>
      <c r="E149" s="833" t="s">
        <v>600</v>
      </c>
      <c r="F149" s="218" t="s">
        <v>1130</v>
      </c>
      <c r="G149" s="837">
        <v>1600000</v>
      </c>
      <c r="H149" s="835" t="s">
        <v>537</v>
      </c>
      <c r="I149" s="352"/>
      <c r="J149" s="119"/>
      <c r="K149" s="119"/>
      <c r="L149" s="119"/>
      <c r="M149" s="119"/>
      <c r="N149" s="1270" t="s">
        <v>25</v>
      </c>
      <c r="O149" s="2624" t="s">
        <v>6395</v>
      </c>
    </row>
    <row r="150" spans="1:15" ht="19.5" customHeight="1" x14ac:dyDescent="0.3">
      <c r="A150" s="838"/>
      <c r="B150" s="59"/>
      <c r="C150" s="839"/>
      <c r="D150" s="840"/>
      <c r="E150" s="841"/>
      <c r="F150" s="783"/>
      <c r="G150" s="842">
        <f>SUM(G147:G149)</f>
        <v>1671720</v>
      </c>
      <c r="H150" s="843"/>
      <c r="I150" s="58"/>
      <c r="J150" s="59"/>
      <c r="K150" s="60"/>
      <c r="L150" s="60"/>
      <c r="M150" s="60"/>
      <c r="N150" s="61"/>
      <c r="O150" s="844"/>
    </row>
    <row r="151" spans="1:15" ht="19.5" customHeight="1" x14ac:dyDescent="0.3">
      <c r="A151" s="825">
        <v>634</v>
      </c>
      <c r="B151" s="815" t="s">
        <v>1131</v>
      </c>
      <c r="C151" s="845"/>
      <c r="D151" s="845"/>
      <c r="E151" s="845"/>
      <c r="F151" s="845"/>
      <c r="G151" s="826"/>
      <c r="H151" s="827"/>
      <c r="I151" s="846"/>
      <c r="J151" s="779"/>
      <c r="K151" s="828"/>
      <c r="L151" s="828"/>
      <c r="M151" s="779"/>
      <c r="N151" s="829"/>
      <c r="O151" s="830"/>
    </row>
    <row r="152" spans="1:15" ht="19.5" customHeight="1" x14ac:dyDescent="0.3">
      <c r="A152" s="2250">
        <v>1</v>
      </c>
      <c r="B152" s="643" t="s">
        <v>1132</v>
      </c>
      <c r="C152" s="348" t="s">
        <v>1133</v>
      </c>
      <c r="D152" s="793">
        <v>44</v>
      </c>
      <c r="E152" s="349" t="s">
        <v>1125</v>
      </c>
      <c r="F152" s="350" t="s">
        <v>1134</v>
      </c>
      <c r="G152" s="351">
        <v>50000</v>
      </c>
      <c r="H152" s="847" t="s">
        <v>1135</v>
      </c>
      <c r="I152" s="352" t="s">
        <v>25</v>
      </c>
      <c r="J152" s="848"/>
      <c r="K152" s="692"/>
      <c r="L152" s="644"/>
      <c r="M152" s="849"/>
      <c r="N152" s="643"/>
      <c r="O152" s="2368" t="s">
        <v>477</v>
      </c>
    </row>
    <row r="153" spans="1:15" ht="19.5" customHeight="1" x14ac:dyDescent="0.45">
      <c r="A153" s="663"/>
      <c r="B153" s="204"/>
      <c r="C153" s="230"/>
      <c r="D153" s="230"/>
      <c r="E153" s="230"/>
      <c r="F153" s="850"/>
      <c r="G153" s="851">
        <f>SUM(G152:G152)</f>
        <v>50000</v>
      </c>
      <c r="H153" s="93"/>
      <c r="I153" s="204"/>
      <c r="J153" s="49"/>
      <c r="K153" s="49"/>
      <c r="L153" s="478"/>
      <c r="M153" s="49"/>
      <c r="N153" s="204"/>
      <c r="O153" s="205"/>
    </row>
    <row r="154" spans="1:15" ht="19.5" customHeight="1" x14ac:dyDescent="0.3">
      <c r="A154" s="825">
        <v>635</v>
      </c>
      <c r="B154" s="815" t="s">
        <v>1136</v>
      </c>
      <c r="C154" s="845"/>
      <c r="D154" s="845"/>
      <c r="E154" s="845"/>
      <c r="F154" s="845"/>
      <c r="G154" s="826"/>
      <c r="H154" s="827"/>
      <c r="I154" s="846"/>
      <c r="J154" s="779"/>
      <c r="K154" s="828"/>
      <c r="L154" s="828"/>
      <c r="M154" s="779"/>
      <c r="N154" s="829"/>
      <c r="O154" s="830"/>
    </row>
    <row r="155" spans="1:15" ht="19.5" customHeight="1" x14ac:dyDescent="0.3">
      <c r="A155" s="2250">
        <v>1</v>
      </c>
      <c r="B155" s="643" t="s">
        <v>1137</v>
      </c>
      <c r="C155" s="348" t="s">
        <v>1138</v>
      </c>
      <c r="D155" s="793">
        <v>65</v>
      </c>
      <c r="E155" s="349" t="s">
        <v>1107</v>
      </c>
      <c r="F155" s="350" t="s">
        <v>1139</v>
      </c>
      <c r="G155" s="351">
        <v>4480000</v>
      </c>
      <c r="H155" s="1718" t="s">
        <v>215</v>
      </c>
      <c r="I155" s="352" t="s">
        <v>25</v>
      </c>
      <c r="J155" s="848"/>
      <c r="K155" s="692"/>
      <c r="L155" s="644"/>
      <c r="M155" s="849"/>
      <c r="N155" s="643"/>
      <c r="O155" s="693"/>
    </row>
    <row r="156" spans="1:15" ht="19.5" customHeight="1" x14ac:dyDescent="0.45">
      <c r="A156" s="663"/>
      <c r="B156" s="204"/>
      <c r="C156" s="230"/>
      <c r="D156" s="230"/>
      <c r="E156" s="230"/>
      <c r="F156" s="850"/>
      <c r="G156" s="851">
        <f>SUM(G155:G155)</f>
        <v>4480000</v>
      </c>
      <c r="H156" s="93"/>
      <c r="I156" s="204"/>
      <c r="J156" s="49"/>
      <c r="K156" s="49"/>
      <c r="L156" s="478"/>
      <c r="M156" s="49"/>
      <c r="N156" s="204"/>
      <c r="O156" s="205"/>
    </row>
    <row r="157" spans="1:15" ht="18.75" customHeight="1" x14ac:dyDescent="0.3">
      <c r="A157" s="823">
        <v>638</v>
      </c>
      <c r="B157" s="815" t="s">
        <v>1140</v>
      </c>
      <c r="C157" s="845"/>
      <c r="D157" s="845"/>
      <c r="E157" s="845"/>
      <c r="F157" s="845"/>
      <c r="G157" s="826"/>
      <c r="H157" s="827"/>
      <c r="I157" s="846"/>
      <c r="J157" s="779"/>
      <c r="K157" s="828"/>
      <c r="L157" s="828"/>
      <c r="M157" s="779"/>
      <c r="N157" s="829"/>
      <c r="O157" s="830"/>
    </row>
    <row r="158" spans="1:15" ht="18.75" customHeight="1" x14ac:dyDescent="0.3">
      <c r="A158" s="2250">
        <v>1</v>
      </c>
      <c r="B158" s="852" t="s">
        <v>1141</v>
      </c>
      <c r="C158" s="348" t="s">
        <v>1142</v>
      </c>
      <c r="D158" s="793" t="s">
        <v>966</v>
      </c>
      <c r="E158" s="349" t="s">
        <v>600</v>
      </c>
      <c r="F158" s="350" t="s">
        <v>480</v>
      </c>
      <c r="G158" s="351">
        <v>62000</v>
      </c>
      <c r="H158" s="847" t="s">
        <v>1135</v>
      </c>
      <c r="I158" s="644"/>
      <c r="K158" s="644"/>
      <c r="L158" s="644"/>
      <c r="M158" s="849"/>
      <c r="N158" s="643"/>
      <c r="O158" s="2368" t="s">
        <v>4233</v>
      </c>
    </row>
    <row r="159" spans="1:15" ht="18.75" customHeight="1" x14ac:dyDescent="0.3">
      <c r="A159" s="2250">
        <v>2</v>
      </c>
      <c r="B159" s="852" t="s">
        <v>1143</v>
      </c>
      <c r="C159" s="348" t="s">
        <v>1142</v>
      </c>
      <c r="D159" s="793" t="s">
        <v>968</v>
      </c>
      <c r="E159" s="349" t="s">
        <v>1125</v>
      </c>
      <c r="F159" s="350" t="s">
        <v>1144</v>
      </c>
      <c r="G159" s="351">
        <v>69900</v>
      </c>
      <c r="H159" s="847" t="s">
        <v>1135</v>
      </c>
      <c r="I159" s="644"/>
      <c r="K159" s="692"/>
      <c r="L159" s="692"/>
      <c r="M159" s="849"/>
      <c r="N159" s="643"/>
      <c r="O159" s="2368" t="s">
        <v>4233</v>
      </c>
    </row>
    <row r="160" spans="1:15" ht="18.75" customHeight="1" x14ac:dyDescent="0.3">
      <c r="A160" s="2226">
        <v>3</v>
      </c>
      <c r="B160" s="215" t="s">
        <v>1145</v>
      </c>
      <c r="C160" s="216" t="s">
        <v>1142</v>
      </c>
      <c r="D160" s="416" t="s">
        <v>1146</v>
      </c>
      <c r="E160" s="217" t="s">
        <v>599</v>
      </c>
      <c r="F160" s="218" t="s">
        <v>1147</v>
      </c>
      <c r="G160" s="192">
        <v>30000</v>
      </c>
      <c r="H160" s="1205" t="s">
        <v>400</v>
      </c>
      <c r="I160" s="118"/>
      <c r="J160" s="119"/>
      <c r="K160" s="119"/>
      <c r="L160" s="119"/>
      <c r="M160" s="119"/>
      <c r="N160" s="119"/>
      <c r="O160" s="2305" t="s">
        <v>1148</v>
      </c>
    </row>
    <row r="161" spans="1:15" ht="18.75" customHeight="1" x14ac:dyDescent="0.45">
      <c r="A161" s="663"/>
      <c r="B161" s="853"/>
      <c r="C161" s="89"/>
      <c r="D161" s="230"/>
      <c r="E161" s="201"/>
      <c r="F161" s="850"/>
      <c r="G161" s="713">
        <f>SUM(G158:G160)</f>
        <v>161900</v>
      </c>
      <c r="H161" s="854"/>
      <c r="I161" s="853"/>
      <c r="J161" s="48"/>
      <c r="K161" s="49"/>
      <c r="L161" s="49"/>
      <c r="M161" s="49"/>
      <c r="N161" s="49"/>
      <c r="O161" s="205"/>
    </row>
    <row r="162" spans="1:15" ht="19.5" customHeight="1" x14ac:dyDescent="0.3">
      <c r="A162" s="825">
        <v>639</v>
      </c>
      <c r="B162" s="815" t="s">
        <v>1149</v>
      </c>
      <c r="C162" s="845"/>
      <c r="D162" s="845"/>
      <c r="E162" s="845"/>
      <c r="F162" s="845"/>
      <c r="G162" s="826"/>
      <c r="H162" s="827"/>
      <c r="I162" s="846"/>
      <c r="J162" s="779"/>
      <c r="K162" s="828"/>
      <c r="L162" s="828"/>
      <c r="M162" s="779"/>
      <c r="N162" s="829"/>
      <c r="O162" s="830"/>
    </row>
    <row r="163" spans="1:15" ht="19.5" customHeight="1" x14ac:dyDescent="0.3">
      <c r="A163" s="2250">
        <v>1</v>
      </c>
      <c r="B163" s="643" t="s">
        <v>1150</v>
      </c>
      <c r="C163" s="348" t="s">
        <v>1151</v>
      </c>
      <c r="D163" s="793">
        <v>65</v>
      </c>
      <c r="E163" s="349" t="s">
        <v>1125</v>
      </c>
      <c r="F163" s="350" t="s">
        <v>1152</v>
      </c>
      <c r="G163" s="351">
        <v>2490000</v>
      </c>
      <c r="H163" s="1718" t="s">
        <v>215</v>
      </c>
      <c r="I163" s="352" t="s">
        <v>25</v>
      </c>
      <c r="J163" s="848"/>
      <c r="K163" s="692"/>
      <c r="L163" s="644"/>
      <c r="M163" s="849"/>
      <c r="N163" s="643"/>
      <c r="O163" s="693"/>
    </row>
    <row r="164" spans="1:15" ht="19.5" customHeight="1" x14ac:dyDescent="0.45">
      <c r="A164" s="663"/>
      <c r="B164" s="204"/>
      <c r="C164" s="230"/>
      <c r="D164" s="230"/>
      <c r="E164" s="230"/>
      <c r="F164" s="850"/>
      <c r="G164" s="851">
        <f>SUM(G163:G163)</f>
        <v>2490000</v>
      </c>
      <c r="H164" s="93"/>
      <c r="I164" s="204"/>
      <c r="J164" s="49"/>
      <c r="K164" s="49"/>
      <c r="L164" s="478"/>
      <c r="M164" s="49"/>
      <c r="N164" s="204"/>
      <c r="O164" s="205"/>
    </row>
    <row r="165" spans="1:15" ht="19.5" customHeight="1" x14ac:dyDescent="0.45">
      <c r="G165" s="763">
        <f>G128+G140+G145+G150+G153+G156+G164+G161</f>
        <v>21270211.810000002</v>
      </c>
    </row>
    <row r="166" spans="1:15" ht="19.2" customHeight="1" x14ac:dyDescent="0.3"/>
    <row r="167" spans="1:15" ht="21" customHeight="1" x14ac:dyDescent="0.35">
      <c r="B167" s="502" t="s">
        <v>601</v>
      </c>
      <c r="C167" s="502"/>
      <c r="D167" s="502"/>
      <c r="E167" s="503"/>
      <c r="F167" s="502"/>
      <c r="G167" s="504" t="s">
        <v>602</v>
      </c>
      <c r="I167" s="505"/>
      <c r="J167" s="505" t="s">
        <v>603</v>
      </c>
      <c r="K167" s="505"/>
      <c r="L167" s="505"/>
      <c r="M167" s="505"/>
      <c r="O167" s="506"/>
    </row>
    <row r="168" spans="1:15" ht="18" x14ac:dyDescent="0.35">
      <c r="B168" s="507" t="s">
        <v>604</v>
      </c>
      <c r="C168" s="508"/>
      <c r="D168" s="502"/>
      <c r="E168" s="503"/>
      <c r="F168" s="502"/>
      <c r="G168" s="504"/>
      <c r="H168" s="509" t="s">
        <v>605</v>
      </c>
      <c r="J168" s="505"/>
      <c r="K168" s="505"/>
      <c r="L168" s="505"/>
      <c r="M168" s="505"/>
      <c r="O168" s="506"/>
    </row>
    <row r="169" spans="1:15" ht="18" x14ac:dyDescent="0.35">
      <c r="B169" s="507" t="s">
        <v>606</v>
      </c>
      <c r="C169" s="508"/>
      <c r="D169" s="502"/>
      <c r="E169" s="503"/>
      <c r="F169" s="502"/>
      <c r="G169" s="504"/>
      <c r="H169" s="509" t="s">
        <v>607</v>
      </c>
      <c r="J169" s="505"/>
      <c r="K169" s="505"/>
      <c r="L169" s="505"/>
      <c r="M169" s="505"/>
      <c r="O169" s="506"/>
    </row>
    <row r="170" spans="1:15" ht="10.5" customHeight="1" x14ac:dyDescent="0.35">
      <c r="B170" s="502"/>
      <c r="C170" s="502"/>
      <c r="D170" s="502"/>
      <c r="E170" s="503"/>
      <c r="F170" s="502"/>
      <c r="G170" s="510"/>
      <c r="I170" s="505"/>
      <c r="J170" s="505"/>
      <c r="K170" s="505"/>
      <c r="L170" s="505"/>
      <c r="M170" s="505"/>
      <c r="O170" s="506"/>
    </row>
    <row r="171" spans="1:15" ht="18" x14ac:dyDescent="0.35">
      <c r="B171" s="502" t="s">
        <v>1153</v>
      </c>
      <c r="C171" s="502"/>
      <c r="D171" s="502"/>
      <c r="E171" s="503"/>
      <c r="F171" s="502"/>
      <c r="G171" s="504"/>
      <c r="I171" s="505"/>
      <c r="J171" s="505"/>
      <c r="K171" s="505"/>
      <c r="L171" s="505"/>
      <c r="M171" s="505"/>
      <c r="O171" s="506"/>
    </row>
    <row r="172" spans="1:15" ht="18" x14ac:dyDescent="0.35">
      <c r="B172" s="507" t="s">
        <v>609</v>
      </c>
      <c r="C172" s="508"/>
      <c r="D172" s="502"/>
      <c r="E172" s="503"/>
      <c r="F172" s="502"/>
      <c r="G172" s="504"/>
      <c r="H172" s="506"/>
      <c r="J172" s="505"/>
      <c r="K172" s="505"/>
      <c r="L172" s="505"/>
      <c r="M172" s="505"/>
      <c r="O172" s="506"/>
    </row>
    <row r="173" spans="1:15" ht="18" x14ac:dyDescent="0.35">
      <c r="B173" s="507" t="s">
        <v>610</v>
      </c>
      <c r="C173" s="508"/>
      <c r="D173" s="502"/>
      <c r="E173" s="503"/>
      <c r="F173" s="502"/>
      <c r="G173" s="504"/>
      <c r="H173" s="506"/>
      <c r="J173" s="505"/>
      <c r="K173" s="505"/>
      <c r="L173" s="505"/>
      <c r="M173" s="505"/>
      <c r="O173" s="506"/>
    </row>
    <row r="174" spans="1:15" ht="25.95" customHeight="1" x14ac:dyDescent="0.3"/>
    <row r="175" spans="1:15" ht="25.95" customHeight="1" x14ac:dyDescent="0.3"/>
    <row r="176" spans="1:15" ht="25.95" customHeight="1" x14ac:dyDescent="0.3"/>
    <row r="179" spans="1:17" x14ac:dyDescent="0.3">
      <c r="B179" s="767" t="s">
        <v>614</v>
      </c>
      <c r="C179" s="2866"/>
      <c r="D179" s="2866"/>
      <c r="E179" s="2866"/>
      <c r="G179" s="766">
        <f>[4]งานสวนสาธารณะ!G135</f>
        <v>10287291.810000001</v>
      </c>
    </row>
    <row r="180" spans="1:17" s="497" customFormat="1" x14ac:dyDescent="0.3">
      <c r="A180" s="320"/>
      <c r="B180" s="767" t="s">
        <v>616</v>
      </c>
      <c r="C180" s="2866"/>
      <c r="D180" s="2866"/>
      <c r="E180" s="2866"/>
      <c r="F180" s="789"/>
      <c r="G180" s="766"/>
      <c r="I180" s="1"/>
      <c r="J180" s="1"/>
      <c r="K180" s="1"/>
      <c r="L180" s="1"/>
      <c r="M180" s="1"/>
      <c r="N180" s="1"/>
      <c r="O180" s="498"/>
      <c r="P180" s="1"/>
      <c r="Q180" s="1"/>
    </row>
    <row r="181" spans="1:17" s="497" customFormat="1" x14ac:dyDescent="0.3">
      <c r="A181" s="320"/>
      <c r="B181" s="767" t="s">
        <v>1154</v>
      </c>
      <c r="C181" s="788"/>
      <c r="D181" s="788"/>
      <c r="E181" s="495"/>
      <c r="F181" s="789"/>
      <c r="G181" s="766">
        <f>'[4] ฝ่ายช่างสุขาภิบาล งานซ่อมแซมแล'!G21</f>
        <v>635300</v>
      </c>
      <c r="I181" s="1"/>
      <c r="J181" s="1"/>
      <c r="K181" s="1"/>
      <c r="L181" s="1"/>
      <c r="M181" s="1"/>
      <c r="N181" s="1"/>
      <c r="O181" s="498"/>
      <c r="P181" s="1"/>
      <c r="Q181" s="1"/>
    </row>
    <row r="182" spans="1:17" s="497" customFormat="1" x14ac:dyDescent="0.3">
      <c r="A182" s="320"/>
      <c r="B182" s="767" t="s">
        <v>1155</v>
      </c>
      <c r="C182" s="788"/>
      <c r="D182" s="788"/>
      <c r="E182" s="495"/>
      <c r="F182" s="789"/>
      <c r="G182" s="766">
        <f>'[4]ฝ่ายช่างสุขาภิบาล งานกำจัดขยะมู'!G17</f>
        <v>1833620</v>
      </c>
      <c r="I182" s="1"/>
      <c r="J182" s="1"/>
      <c r="K182" s="1"/>
      <c r="L182" s="1"/>
      <c r="M182" s="1"/>
      <c r="N182" s="1"/>
      <c r="O182" s="498"/>
      <c r="P182" s="1"/>
      <c r="Q182" s="1"/>
    </row>
    <row r="183" spans="1:17" s="497" customFormat="1" x14ac:dyDescent="0.3">
      <c r="A183" s="320"/>
      <c r="B183" s="767" t="s">
        <v>1156</v>
      </c>
      <c r="C183" s="788"/>
      <c r="D183" s="788"/>
      <c r="E183" s="495"/>
      <c r="F183" s="789"/>
      <c r="G183" s="855">
        <f>'[4]ฝ่ายสาธารณูปโภค บำรุงรักษาอาคาร'!G13</f>
        <v>29000</v>
      </c>
      <c r="I183" s="1"/>
      <c r="J183" s="1"/>
      <c r="K183" s="1"/>
      <c r="L183" s="1"/>
      <c r="M183" s="1"/>
      <c r="N183" s="1"/>
      <c r="O183" s="498"/>
      <c r="P183" s="1"/>
      <c r="Q183" s="1"/>
    </row>
    <row r="184" spans="1:17" s="497" customFormat="1" ht="16.2" thickBot="1" x14ac:dyDescent="0.35">
      <c r="A184" s="320"/>
      <c r="B184" s="1"/>
      <c r="C184" s="788"/>
      <c r="D184" s="788"/>
      <c r="E184" s="495"/>
      <c r="F184" s="789"/>
      <c r="G184" s="856">
        <f>SUM(G179:G183)</f>
        <v>12785211.810000001</v>
      </c>
      <c r="I184" s="1"/>
      <c r="J184" s="1"/>
      <c r="K184" s="1"/>
      <c r="L184" s="1"/>
      <c r="M184" s="1"/>
      <c r="N184" s="1"/>
      <c r="O184" s="498"/>
      <c r="P184" s="1"/>
      <c r="Q184" s="1"/>
    </row>
    <row r="185" spans="1:17" s="497" customFormat="1" ht="16.2" thickTop="1" x14ac:dyDescent="0.3">
      <c r="A185" s="320"/>
      <c r="B185" s="1"/>
      <c r="C185" s="788"/>
      <c r="D185" s="788"/>
      <c r="E185" s="495"/>
      <c r="F185" s="789"/>
      <c r="G185" s="766"/>
      <c r="I185" s="1"/>
      <c r="J185" s="1"/>
      <c r="K185" s="1"/>
      <c r="L185" s="1"/>
      <c r="M185" s="1"/>
      <c r="N185" s="1"/>
      <c r="O185" s="498"/>
      <c r="P185" s="1"/>
      <c r="Q185" s="1"/>
    </row>
  </sheetData>
  <mergeCells count="12">
    <mergeCell ref="C179:E179"/>
    <mergeCell ref="C180:E180"/>
    <mergeCell ref="A1:O1"/>
    <mergeCell ref="A2:O2"/>
    <mergeCell ref="A3:B3"/>
    <mergeCell ref="A4:A5"/>
    <mergeCell ref="B4:B5"/>
    <mergeCell ref="C4:E5"/>
    <mergeCell ref="G4:G5"/>
    <mergeCell ref="H4:H5"/>
    <mergeCell ref="I4:N4"/>
    <mergeCell ref="O4:O5"/>
  </mergeCells>
  <dataValidations count="1">
    <dataValidation type="decimal" operator="greaterThanOrEqual" allowBlank="1" showInputMessage="1" showErrorMessage="1" prompt="กรุณาระบุเฉพาะตัวเลขเท่านั้น" sqref="G7:G127" xr:uid="{00000000-0002-0000-0300-000000000000}">
      <formula1>0</formula1>
    </dataValidation>
  </dataValidations>
  <pageMargins left="0.48" right="0.31496062992125984" top="0.35433070866141736" bottom="0.35433070866141736" header="0.11811023622047245" footer="0.31496062992125984"/>
  <pageSetup paperSize="9" scale="95" orientation="landscape" horizontalDpi="4294967294" verticalDpi="0" r:id="rId1"/>
  <headerFooter>
    <oddHeader>&amp;R&amp;P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P129"/>
  <sheetViews>
    <sheetView zoomScaleNormal="100" workbookViewId="0">
      <selection activeCell="B64" sqref="B64"/>
    </sheetView>
  </sheetViews>
  <sheetFormatPr defaultColWidth="9.109375" defaultRowHeight="15.6" x14ac:dyDescent="0.3"/>
  <cols>
    <col min="1" max="1" width="5.44140625" style="320" customWidth="1"/>
    <col min="2" max="2" width="43.44140625" style="1" customWidth="1"/>
    <col min="3" max="3" width="4.5546875" style="1" customWidth="1"/>
    <col min="4" max="4" width="3.109375" style="1" customWidth="1"/>
    <col min="5" max="5" width="6.109375" style="764" customWidth="1"/>
    <col min="6" max="6" width="11.44140625" style="1" customWidth="1"/>
    <col min="7" max="7" width="12.6640625" style="766" customWidth="1"/>
    <col min="8" max="8" width="28" style="497" customWidth="1"/>
    <col min="9" max="14" width="3.33203125" style="1" customWidth="1"/>
    <col min="15" max="15" width="10.5546875" style="498" customWidth="1"/>
    <col min="16" max="16384" width="9.109375" style="1"/>
  </cols>
  <sheetData>
    <row r="1" spans="1:16" ht="18" x14ac:dyDescent="0.35">
      <c r="A1" s="2842" t="s">
        <v>0</v>
      </c>
      <c r="B1" s="2842"/>
      <c r="C1" s="2842"/>
      <c r="D1" s="2842"/>
      <c r="E1" s="2842"/>
      <c r="F1" s="2842"/>
      <c r="G1" s="2842"/>
      <c r="H1" s="2842"/>
      <c r="I1" s="2842"/>
      <c r="J1" s="2842"/>
      <c r="K1" s="2842"/>
      <c r="L1" s="2842"/>
      <c r="M1" s="2842"/>
      <c r="N1" s="2842"/>
      <c r="O1" s="2842"/>
      <c r="P1" s="2620" t="s">
        <v>6394</v>
      </c>
    </row>
    <row r="2" spans="1:16" ht="18" x14ac:dyDescent="0.35">
      <c r="A2" s="2842" t="s">
        <v>1</v>
      </c>
      <c r="B2" s="2842"/>
      <c r="C2" s="2842"/>
      <c r="D2" s="2842"/>
      <c r="E2" s="2842"/>
      <c r="F2" s="2842"/>
      <c r="G2" s="2842"/>
      <c r="H2" s="2842"/>
      <c r="I2" s="2842"/>
      <c r="J2" s="2842"/>
      <c r="K2" s="2842"/>
      <c r="L2" s="2842"/>
      <c r="M2" s="2842"/>
      <c r="N2" s="2842"/>
      <c r="O2" s="2842"/>
    </row>
    <row r="3" spans="1:16" x14ac:dyDescent="0.3">
      <c r="A3" s="2861" t="s">
        <v>1157</v>
      </c>
      <c r="B3" s="2861"/>
      <c r="C3" s="3"/>
      <c r="D3" s="3"/>
      <c r="E3" s="3"/>
      <c r="F3" s="3"/>
      <c r="G3" s="5"/>
      <c r="H3" s="7"/>
      <c r="I3" s="3"/>
      <c r="J3" s="3"/>
      <c r="K3" s="3"/>
      <c r="L3" s="3"/>
      <c r="M3" s="3"/>
      <c r="N3" s="3"/>
      <c r="O3" s="7"/>
    </row>
    <row r="4" spans="1:16" s="10" customFormat="1" x14ac:dyDescent="0.3">
      <c r="A4" s="2867" t="s">
        <v>3</v>
      </c>
      <c r="B4" s="2868" t="s">
        <v>4</v>
      </c>
      <c r="C4" s="2911" t="s">
        <v>5</v>
      </c>
      <c r="D4" s="2912"/>
      <c r="E4" s="2913"/>
      <c r="F4" s="2916" t="s">
        <v>1158</v>
      </c>
      <c r="G4" s="2875" t="s">
        <v>7</v>
      </c>
      <c r="H4" s="2868" t="s">
        <v>8</v>
      </c>
      <c r="I4" s="2858" t="s">
        <v>9</v>
      </c>
      <c r="J4" s="2876"/>
      <c r="K4" s="2876"/>
      <c r="L4" s="2876"/>
      <c r="M4" s="2876"/>
      <c r="N4" s="2860"/>
      <c r="O4" s="2868" t="s">
        <v>10</v>
      </c>
    </row>
    <row r="5" spans="1:16" s="10" customFormat="1" ht="44.25" customHeight="1" x14ac:dyDescent="0.3">
      <c r="A5" s="2845"/>
      <c r="B5" s="2857"/>
      <c r="C5" s="2863"/>
      <c r="D5" s="2914"/>
      <c r="E5" s="2915"/>
      <c r="F5" s="2917"/>
      <c r="G5" s="2865"/>
      <c r="H5" s="2857"/>
      <c r="I5" s="14" t="s">
        <v>12</v>
      </c>
      <c r="J5" s="14" t="s">
        <v>13</v>
      </c>
      <c r="K5" s="15" t="s">
        <v>14</v>
      </c>
      <c r="L5" s="15" t="s">
        <v>15</v>
      </c>
      <c r="M5" s="15" t="s">
        <v>16</v>
      </c>
      <c r="N5" s="15" t="s">
        <v>17</v>
      </c>
      <c r="O5" s="2857"/>
    </row>
    <row r="6" spans="1:16" s="10" customFormat="1" ht="19.5" customHeight="1" x14ac:dyDescent="0.3">
      <c r="A6" s="772" t="s">
        <v>1159</v>
      </c>
      <c r="B6" s="773" t="s">
        <v>597</v>
      </c>
      <c r="C6" s="2882"/>
      <c r="D6" s="2882"/>
      <c r="E6" s="2882"/>
      <c r="F6" s="860"/>
      <c r="G6" s="775"/>
      <c r="H6" s="776"/>
      <c r="I6" s="777"/>
      <c r="J6" s="778"/>
      <c r="K6" s="777"/>
      <c r="L6" s="778"/>
      <c r="M6" s="778"/>
      <c r="N6" s="779"/>
      <c r="O6" s="780"/>
    </row>
    <row r="7" spans="1:16" s="10" customFormat="1" ht="19.5" customHeight="1" x14ac:dyDescent="0.3">
      <c r="A7" s="2399" t="s">
        <v>898</v>
      </c>
      <c r="B7" s="861" t="s">
        <v>1160</v>
      </c>
      <c r="C7" s="2905" t="s">
        <v>1161</v>
      </c>
      <c r="D7" s="2906"/>
      <c r="E7" s="2907"/>
      <c r="F7" s="862">
        <v>23087</v>
      </c>
      <c r="G7" s="863">
        <v>2000</v>
      </c>
      <c r="H7" s="1766" t="s">
        <v>1162</v>
      </c>
      <c r="I7" s="864" t="s">
        <v>25</v>
      </c>
      <c r="J7" s="865"/>
      <c r="K7" s="866"/>
      <c r="L7" s="865"/>
      <c r="M7" s="865"/>
      <c r="N7" s="867"/>
      <c r="O7" s="868"/>
    </row>
    <row r="8" spans="1:16" s="10" customFormat="1" ht="19.5" customHeight="1" x14ac:dyDescent="0.3">
      <c r="A8" s="2384" t="s">
        <v>902</v>
      </c>
      <c r="B8" s="869" t="s">
        <v>1160</v>
      </c>
      <c r="C8" s="2908" t="s">
        <v>1163</v>
      </c>
      <c r="D8" s="2909"/>
      <c r="E8" s="2910"/>
      <c r="F8" s="870">
        <v>23087</v>
      </c>
      <c r="G8" s="871">
        <v>2000</v>
      </c>
      <c r="H8" s="1766" t="s">
        <v>1162</v>
      </c>
      <c r="I8" s="872" t="s">
        <v>25</v>
      </c>
      <c r="J8" s="730"/>
      <c r="K8" s="189"/>
      <c r="L8" s="730"/>
      <c r="M8" s="730"/>
      <c r="N8" s="296"/>
      <c r="O8" s="873"/>
    </row>
    <row r="9" spans="1:16" s="10" customFormat="1" ht="19.5" customHeight="1" x14ac:dyDescent="0.3">
      <c r="A9" s="2384" t="s">
        <v>1164</v>
      </c>
      <c r="B9" s="869" t="s">
        <v>1160</v>
      </c>
      <c r="C9" s="2908" t="s">
        <v>1165</v>
      </c>
      <c r="D9" s="2909"/>
      <c r="E9" s="2910"/>
      <c r="F9" s="870">
        <v>23087</v>
      </c>
      <c r="G9" s="871">
        <v>2000</v>
      </c>
      <c r="H9" s="1766" t="s">
        <v>1162</v>
      </c>
      <c r="I9" s="872" t="s">
        <v>25</v>
      </c>
      <c r="J9" s="730"/>
      <c r="K9" s="189"/>
      <c r="L9" s="730"/>
      <c r="M9" s="730"/>
      <c r="N9" s="296"/>
      <c r="O9" s="873"/>
    </row>
    <row r="10" spans="1:16" s="10" customFormat="1" ht="19.5" customHeight="1" x14ac:dyDescent="0.3">
      <c r="A10" s="2384" t="s">
        <v>1166</v>
      </c>
      <c r="B10" s="869" t="s">
        <v>1160</v>
      </c>
      <c r="C10" s="2908" t="s">
        <v>1167</v>
      </c>
      <c r="D10" s="2909"/>
      <c r="E10" s="2910"/>
      <c r="F10" s="870">
        <v>23087</v>
      </c>
      <c r="G10" s="871">
        <v>2000</v>
      </c>
      <c r="H10" s="1766" t="s">
        <v>1162</v>
      </c>
      <c r="I10" s="872" t="s">
        <v>25</v>
      </c>
      <c r="J10" s="730"/>
      <c r="K10" s="189"/>
      <c r="L10" s="730"/>
      <c r="M10" s="730"/>
      <c r="N10" s="296"/>
      <c r="O10" s="873"/>
    </row>
    <row r="11" spans="1:16" s="10" customFormat="1" ht="19.5" customHeight="1" x14ac:dyDescent="0.3">
      <c r="A11" s="2400" t="s">
        <v>1168</v>
      </c>
      <c r="B11" s="869" t="s">
        <v>1160</v>
      </c>
      <c r="C11" s="2908" t="s">
        <v>1169</v>
      </c>
      <c r="D11" s="2909"/>
      <c r="E11" s="2910"/>
      <c r="F11" s="870">
        <v>23087</v>
      </c>
      <c r="G11" s="871">
        <v>2000</v>
      </c>
      <c r="H11" s="1766" t="s">
        <v>1162</v>
      </c>
      <c r="I11" s="874" t="s">
        <v>25</v>
      </c>
      <c r="J11" s="875"/>
      <c r="K11" s="876"/>
      <c r="L11" s="875"/>
      <c r="M11" s="875"/>
      <c r="N11" s="877"/>
      <c r="O11" s="878"/>
    </row>
    <row r="12" spans="1:16" s="10" customFormat="1" ht="19.5" customHeight="1" x14ac:dyDescent="0.3">
      <c r="A12" s="879"/>
      <c r="B12" s="880"/>
      <c r="C12" s="881"/>
      <c r="D12" s="882"/>
      <c r="E12" s="883"/>
      <c r="F12" s="884"/>
      <c r="G12" s="885">
        <f>SUM(G7:G11)</f>
        <v>10000</v>
      </c>
      <c r="H12" s="886"/>
      <c r="I12" s="887"/>
      <c r="J12" s="888"/>
      <c r="K12" s="887"/>
      <c r="L12" s="888"/>
      <c r="M12" s="888"/>
      <c r="N12" s="889"/>
      <c r="O12" s="890"/>
    </row>
    <row r="13" spans="1:16" x14ac:dyDescent="0.3">
      <c r="A13" s="772" t="s">
        <v>1170</v>
      </c>
      <c r="B13" s="773" t="s">
        <v>1171</v>
      </c>
      <c r="C13" s="2882"/>
      <c r="D13" s="2882"/>
      <c r="E13" s="2882"/>
      <c r="F13" s="860"/>
      <c r="G13" s="775"/>
      <c r="H13" s="776"/>
      <c r="I13" s="777"/>
      <c r="J13" s="778"/>
      <c r="K13" s="777"/>
      <c r="L13" s="778"/>
      <c r="M13" s="778"/>
      <c r="N13" s="779"/>
      <c r="O13" s="780"/>
    </row>
    <row r="14" spans="1:16" x14ac:dyDescent="0.3">
      <c r="A14" s="2299">
        <v>1</v>
      </c>
      <c r="B14" s="543" t="s">
        <v>1172</v>
      </c>
      <c r="C14" s="2892" t="s">
        <v>1173</v>
      </c>
      <c r="D14" s="2893"/>
      <c r="E14" s="2894"/>
      <c r="F14" s="82" t="s">
        <v>1174</v>
      </c>
      <c r="G14" s="83">
        <v>2694000</v>
      </c>
      <c r="H14" s="1726" t="s">
        <v>724</v>
      </c>
      <c r="I14" s="84" t="s">
        <v>25</v>
      </c>
      <c r="J14" s="37"/>
      <c r="K14" s="37"/>
      <c r="L14" s="37"/>
      <c r="M14" s="37"/>
      <c r="N14" s="37"/>
      <c r="O14" s="467"/>
    </row>
    <row r="15" spans="1:16" ht="17.399999999999999" x14ac:dyDescent="0.45">
      <c r="A15" s="39"/>
      <c r="B15" s="204"/>
      <c r="C15" s="2902"/>
      <c r="D15" s="2903"/>
      <c r="E15" s="2904"/>
      <c r="F15" s="204"/>
      <c r="G15" s="713">
        <f>SUM(G14:G14)</f>
        <v>2694000</v>
      </c>
      <c r="H15" s="178"/>
      <c r="I15" s="204"/>
      <c r="J15" s="204"/>
      <c r="K15" s="204"/>
      <c r="L15" s="204"/>
      <c r="M15" s="204"/>
      <c r="N15" s="204"/>
      <c r="O15" s="205"/>
    </row>
    <row r="16" spans="1:16" x14ac:dyDescent="0.3">
      <c r="A16" s="772" t="s">
        <v>1175</v>
      </c>
      <c r="B16" s="773" t="s">
        <v>1176</v>
      </c>
      <c r="C16" s="892"/>
      <c r="D16" s="892"/>
      <c r="E16" s="859"/>
      <c r="F16" s="860"/>
      <c r="G16" s="775"/>
      <c r="H16" s="776"/>
      <c r="I16" s="777"/>
      <c r="J16" s="778"/>
      <c r="K16" s="777"/>
      <c r="L16" s="778"/>
      <c r="M16" s="778"/>
      <c r="N16" s="779"/>
      <c r="O16" s="780"/>
    </row>
    <row r="17" spans="1:15" x14ac:dyDescent="0.3">
      <c r="A17" s="2250">
        <v>1</v>
      </c>
      <c r="B17" s="643" t="s">
        <v>1177</v>
      </c>
      <c r="C17" s="2899" t="s">
        <v>1178</v>
      </c>
      <c r="D17" s="2900"/>
      <c r="E17" s="2901"/>
      <c r="F17" s="350" t="s">
        <v>1179</v>
      </c>
      <c r="G17" s="351">
        <v>1397000</v>
      </c>
      <c r="H17" s="1724" t="s">
        <v>724</v>
      </c>
      <c r="I17" s="644" t="s">
        <v>25</v>
      </c>
      <c r="J17" s="692"/>
      <c r="K17" s="692"/>
      <c r="L17" s="692"/>
      <c r="M17" s="692"/>
      <c r="N17" s="692"/>
      <c r="O17" s="693"/>
    </row>
    <row r="18" spans="1:15" x14ac:dyDescent="0.3">
      <c r="A18" s="2226">
        <v>2</v>
      </c>
      <c r="B18" s="313" t="s">
        <v>1180</v>
      </c>
      <c r="C18" s="2892" t="s">
        <v>1181</v>
      </c>
      <c r="D18" s="2893"/>
      <c r="E18" s="2894"/>
      <c r="F18" s="218" t="s">
        <v>1182</v>
      </c>
      <c r="G18" s="192">
        <v>1994000</v>
      </c>
      <c r="H18" s="1725" t="s">
        <v>724</v>
      </c>
      <c r="I18" s="34" t="s">
        <v>25</v>
      </c>
      <c r="J18" s="147"/>
      <c r="K18" s="147"/>
      <c r="L18" s="147"/>
      <c r="M18" s="147"/>
      <c r="N18" s="147"/>
      <c r="O18" s="225"/>
    </row>
    <row r="19" spans="1:15" x14ac:dyDescent="0.3">
      <c r="A19" s="2362">
        <v>3</v>
      </c>
      <c r="B19" s="595" t="s">
        <v>1183</v>
      </c>
      <c r="C19" s="2892" t="s">
        <v>1184</v>
      </c>
      <c r="D19" s="2893"/>
      <c r="E19" s="2894"/>
      <c r="F19" s="218" t="s">
        <v>1185</v>
      </c>
      <c r="G19" s="192">
        <v>2340000</v>
      </c>
      <c r="H19" s="1767" t="s">
        <v>714</v>
      </c>
      <c r="I19" s="694" t="s">
        <v>25</v>
      </c>
      <c r="J19" s="119"/>
      <c r="K19" s="119"/>
      <c r="L19" s="119"/>
      <c r="M19" s="119"/>
      <c r="N19" s="119"/>
      <c r="O19" s="695"/>
    </row>
    <row r="20" spans="1:15" x14ac:dyDescent="0.3">
      <c r="A20" s="2250">
        <v>4</v>
      </c>
      <c r="B20" s="313" t="s">
        <v>1186</v>
      </c>
      <c r="C20" s="2892" t="s">
        <v>1187</v>
      </c>
      <c r="D20" s="2893"/>
      <c r="E20" s="2894"/>
      <c r="F20" s="218" t="s">
        <v>1188</v>
      </c>
      <c r="G20" s="192">
        <v>2097000</v>
      </c>
      <c r="H20" s="1725" t="s">
        <v>724</v>
      </c>
      <c r="I20" s="34" t="s">
        <v>25</v>
      </c>
      <c r="J20" s="147"/>
      <c r="K20" s="147"/>
      <c r="L20" s="147"/>
      <c r="M20" s="147"/>
      <c r="N20" s="147"/>
      <c r="O20" s="225"/>
    </row>
    <row r="21" spans="1:15" x14ac:dyDescent="0.3">
      <c r="A21" s="2226">
        <v>5</v>
      </c>
      <c r="B21" s="313" t="s">
        <v>1189</v>
      </c>
      <c r="C21" s="2892" t="s">
        <v>1190</v>
      </c>
      <c r="D21" s="2893"/>
      <c r="E21" s="2894"/>
      <c r="F21" s="218" t="s">
        <v>1191</v>
      </c>
      <c r="G21" s="192">
        <v>3780000</v>
      </c>
      <c r="H21" s="1725" t="s">
        <v>724</v>
      </c>
      <c r="I21" s="34" t="s">
        <v>25</v>
      </c>
      <c r="J21" s="147"/>
      <c r="K21" s="147"/>
      <c r="L21" s="147"/>
      <c r="M21" s="147"/>
      <c r="N21" s="147"/>
      <c r="O21" s="225"/>
    </row>
    <row r="22" spans="1:15" x14ac:dyDescent="0.3">
      <c r="A22" s="2362">
        <v>6</v>
      </c>
      <c r="B22" s="893" t="s">
        <v>1192</v>
      </c>
      <c r="C22" s="2892" t="s">
        <v>1193</v>
      </c>
      <c r="D22" s="2893"/>
      <c r="E22" s="2894"/>
      <c r="F22" s="218" t="s">
        <v>1194</v>
      </c>
      <c r="G22" s="192">
        <v>4490000</v>
      </c>
      <c r="H22" s="1725" t="s">
        <v>724</v>
      </c>
      <c r="I22" s="34" t="s">
        <v>25</v>
      </c>
      <c r="J22" s="147"/>
      <c r="K22" s="147"/>
      <c r="L22" s="147"/>
      <c r="M22" s="147"/>
      <c r="N22" s="147"/>
      <c r="O22" s="225"/>
    </row>
    <row r="23" spans="1:15" x14ac:dyDescent="0.3">
      <c r="A23" s="642"/>
      <c r="B23" s="894" t="s">
        <v>1195</v>
      </c>
      <c r="C23" s="216"/>
      <c r="D23" s="416"/>
      <c r="E23" s="217"/>
      <c r="F23" s="217"/>
      <c r="G23" s="192"/>
      <c r="H23" s="1725"/>
      <c r="I23" s="34"/>
      <c r="J23" s="895"/>
      <c r="K23" s="147"/>
      <c r="L23" s="147"/>
      <c r="M23" s="147"/>
      <c r="N23" s="147"/>
      <c r="O23" s="476"/>
    </row>
    <row r="24" spans="1:15" x14ac:dyDescent="0.3">
      <c r="A24" s="2226">
        <v>7</v>
      </c>
      <c r="B24" s="595" t="s">
        <v>1196</v>
      </c>
      <c r="C24" s="2892" t="s">
        <v>1197</v>
      </c>
      <c r="D24" s="2893"/>
      <c r="E24" s="2894"/>
      <c r="F24" s="217" t="s">
        <v>1198</v>
      </c>
      <c r="G24" s="192">
        <v>4490000</v>
      </c>
      <c r="H24" s="1205" t="s">
        <v>714</v>
      </c>
      <c r="I24" s="118" t="s">
        <v>25</v>
      </c>
      <c r="J24" s="694"/>
      <c r="K24" s="119"/>
      <c r="L24" s="119"/>
      <c r="M24" s="119"/>
      <c r="N24" s="119"/>
      <c r="O24" s="695"/>
    </row>
    <row r="25" spans="1:15" x14ac:dyDescent="0.3">
      <c r="A25" s="612"/>
      <c r="B25" s="595" t="s">
        <v>1199</v>
      </c>
      <c r="C25" s="416"/>
      <c r="D25" s="416"/>
      <c r="E25" s="217"/>
      <c r="F25" s="217"/>
      <c r="G25" s="192"/>
      <c r="H25" s="1767"/>
      <c r="I25" s="118"/>
      <c r="J25" s="694"/>
      <c r="K25" s="119"/>
      <c r="L25" s="119"/>
      <c r="M25" s="119"/>
      <c r="N25" s="119"/>
      <c r="O25" s="695"/>
    </row>
    <row r="26" spans="1:15" x14ac:dyDescent="0.3">
      <c r="A26" s="2250">
        <v>8</v>
      </c>
      <c r="B26" s="896" t="s">
        <v>1200</v>
      </c>
      <c r="C26" s="2892" t="s">
        <v>1201</v>
      </c>
      <c r="D26" s="2893"/>
      <c r="E26" s="2894"/>
      <c r="F26" s="419" t="s">
        <v>1202</v>
      </c>
      <c r="G26" s="83">
        <v>2480000</v>
      </c>
      <c r="H26" s="1205" t="s">
        <v>714</v>
      </c>
      <c r="I26" s="118" t="s">
        <v>25</v>
      </c>
      <c r="J26" s="897"/>
      <c r="K26" s="600"/>
      <c r="L26" s="600"/>
      <c r="M26" s="600"/>
      <c r="N26" s="600"/>
      <c r="O26" s="898"/>
    </row>
    <row r="27" spans="1:15" ht="17.399999999999999" x14ac:dyDescent="0.45">
      <c r="A27" s="39"/>
      <c r="B27" s="204"/>
      <c r="C27" s="2902"/>
      <c r="D27" s="2903"/>
      <c r="E27" s="2904"/>
      <c r="F27" s="204"/>
      <c r="G27" s="713">
        <f>SUM(G17:G26)</f>
        <v>23068000</v>
      </c>
      <c r="H27" s="178"/>
      <c r="I27" s="204"/>
      <c r="J27" s="204"/>
      <c r="K27" s="204"/>
      <c r="L27" s="204"/>
      <c r="M27" s="204"/>
      <c r="N27" s="204"/>
      <c r="O27" s="205"/>
    </row>
    <row r="28" spans="1:15" x14ac:dyDescent="0.3">
      <c r="A28" s="772" t="s">
        <v>1203</v>
      </c>
      <c r="B28" s="773" t="s">
        <v>1204</v>
      </c>
      <c r="C28" s="892"/>
      <c r="D28" s="892"/>
      <c r="E28" s="859"/>
      <c r="F28" s="860"/>
      <c r="G28" s="775"/>
      <c r="H28" s="776"/>
      <c r="I28" s="777"/>
      <c r="J28" s="778"/>
      <c r="K28" s="777"/>
      <c r="L28" s="778"/>
      <c r="M28" s="778"/>
      <c r="N28" s="779"/>
      <c r="O28" s="780"/>
    </row>
    <row r="29" spans="1:15" x14ac:dyDescent="0.3">
      <c r="A29" s="2250">
        <v>1</v>
      </c>
      <c r="B29" s="645" t="s">
        <v>1205</v>
      </c>
      <c r="C29" s="2899" t="s">
        <v>1206</v>
      </c>
      <c r="D29" s="2900"/>
      <c r="E29" s="2901"/>
      <c r="F29" s="350" t="s">
        <v>1207</v>
      </c>
      <c r="G29" s="351">
        <v>3900000</v>
      </c>
      <c r="H29" s="1724" t="s">
        <v>724</v>
      </c>
      <c r="I29" s="644"/>
      <c r="J29" s="899"/>
      <c r="K29" s="644" t="s">
        <v>25</v>
      </c>
      <c r="L29" s="692"/>
      <c r="M29" s="692"/>
      <c r="N29" s="692"/>
      <c r="O29" s="901" t="s">
        <v>6395</v>
      </c>
    </row>
    <row r="30" spans="1:15" x14ac:dyDescent="0.3">
      <c r="A30" s="2226">
        <v>2</v>
      </c>
      <c r="B30" s="248" t="s">
        <v>1208</v>
      </c>
      <c r="C30" s="2892" t="s">
        <v>1209</v>
      </c>
      <c r="D30" s="2893"/>
      <c r="E30" s="2894"/>
      <c r="F30" s="218" t="s">
        <v>1210</v>
      </c>
      <c r="G30" s="192">
        <v>2790000</v>
      </c>
      <c r="H30" s="1205" t="s">
        <v>714</v>
      </c>
      <c r="I30" s="118" t="s">
        <v>25</v>
      </c>
      <c r="J30" s="119"/>
      <c r="K30" s="119"/>
      <c r="L30" s="119"/>
      <c r="M30" s="119"/>
      <c r="N30" s="119"/>
      <c r="O30" s="191"/>
    </row>
    <row r="31" spans="1:15" ht="17.399999999999999" x14ac:dyDescent="0.45">
      <c r="A31" s="39"/>
      <c r="B31" s="204"/>
      <c r="C31" s="2902"/>
      <c r="D31" s="2903"/>
      <c r="E31" s="2904"/>
      <c r="F31" s="204"/>
      <c r="G31" s="713">
        <f>SUM(G29:G30)</f>
        <v>6690000</v>
      </c>
      <c r="H31" s="178"/>
      <c r="I31" s="204"/>
      <c r="J31" s="204"/>
      <c r="K31" s="204"/>
      <c r="L31" s="204"/>
      <c r="M31" s="204"/>
      <c r="N31" s="204"/>
      <c r="O31" s="205"/>
    </row>
    <row r="32" spans="1:15" x14ac:dyDescent="0.3">
      <c r="A32" s="772" t="s">
        <v>1211</v>
      </c>
      <c r="B32" s="773" t="s">
        <v>1212</v>
      </c>
      <c r="C32" s="2882"/>
      <c r="D32" s="2882"/>
      <c r="E32" s="2882"/>
      <c r="F32" s="860"/>
      <c r="G32" s="775"/>
      <c r="H32" s="776"/>
      <c r="I32" s="777"/>
      <c r="J32" s="778"/>
      <c r="K32" s="777"/>
      <c r="L32" s="778"/>
      <c r="M32" s="778"/>
      <c r="N32" s="779"/>
      <c r="O32" s="780"/>
    </row>
    <row r="33" spans="1:15" x14ac:dyDescent="0.3">
      <c r="A33" s="2250">
        <v>1</v>
      </c>
      <c r="B33" s="645" t="s">
        <v>1213</v>
      </c>
      <c r="C33" s="2899" t="s">
        <v>1214</v>
      </c>
      <c r="D33" s="2900"/>
      <c r="E33" s="2901"/>
      <c r="F33" s="350" t="s">
        <v>1215</v>
      </c>
      <c r="G33" s="351">
        <v>185000</v>
      </c>
      <c r="H33" s="1724" t="s">
        <v>724</v>
      </c>
      <c r="I33" s="644"/>
      <c r="J33" s="692"/>
      <c r="K33" s="644" t="s">
        <v>25</v>
      </c>
      <c r="L33" s="692"/>
      <c r="M33" s="900"/>
      <c r="N33" s="900"/>
      <c r="O33" s="901"/>
    </row>
    <row r="34" spans="1:15" x14ac:dyDescent="0.3">
      <c r="A34" s="2226">
        <v>2</v>
      </c>
      <c r="B34" s="313" t="s">
        <v>1216</v>
      </c>
      <c r="C34" s="2892" t="s">
        <v>1217</v>
      </c>
      <c r="D34" s="2893"/>
      <c r="E34" s="2894"/>
      <c r="F34" s="218" t="s">
        <v>1218</v>
      </c>
      <c r="G34" s="192">
        <v>2098000</v>
      </c>
      <c r="H34" s="1725" t="s">
        <v>724</v>
      </c>
      <c r="I34" s="34" t="s">
        <v>25</v>
      </c>
      <c r="J34" s="147"/>
      <c r="K34" s="147"/>
      <c r="L34" s="147"/>
      <c r="M34" s="147"/>
      <c r="N34" s="147"/>
      <c r="O34" s="902"/>
    </row>
    <row r="35" spans="1:15" x14ac:dyDescent="0.3">
      <c r="A35" s="2226">
        <v>3</v>
      </c>
      <c r="B35" s="313" t="s">
        <v>1219</v>
      </c>
      <c r="C35" s="2892" t="s">
        <v>1220</v>
      </c>
      <c r="D35" s="2893"/>
      <c r="E35" s="2894"/>
      <c r="F35" s="218" t="s">
        <v>1221</v>
      </c>
      <c r="G35" s="192">
        <v>2090000</v>
      </c>
      <c r="H35" s="1725" t="s">
        <v>724</v>
      </c>
      <c r="I35" s="34" t="s">
        <v>25</v>
      </c>
      <c r="J35" s="147"/>
      <c r="K35" s="147"/>
      <c r="L35" s="147"/>
      <c r="M35" s="147"/>
      <c r="N35" s="147"/>
      <c r="O35" s="225"/>
    </row>
    <row r="36" spans="1:15" x14ac:dyDescent="0.3">
      <c r="A36" s="2226">
        <v>4</v>
      </c>
      <c r="B36" s="313" t="s">
        <v>1222</v>
      </c>
      <c r="C36" s="2892" t="s">
        <v>1223</v>
      </c>
      <c r="D36" s="2893"/>
      <c r="E36" s="2894"/>
      <c r="F36" s="218" t="s">
        <v>1224</v>
      </c>
      <c r="G36" s="192">
        <v>1500000</v>
      </c>
      <c r="H36" s="1725" t="s">
        <v>724</v>
      </c>
      <c r="I36" s="34" t="s">
        <v>25</v>
      </c>
      <c r="J36" s="147"/>
      <c r="K36" s="147"/>
      <c r="L36" s="147"/>
      <c r="M36" s="147"/>
      <c r="N36" s="147"/>
      <c r="O36" s="225"/>
    </row>
    <row r="37" spans="1:15" x14ac:dyDescent="0.3">
      <c r="A37" s="2299">
        <v>5</v>
      </c>
      <c r="B37" s="543" t="s">
        <v>1225</v>
      </c>
      <c r="C37" s="2892" t="s">
        <v>1226</v>
      </c>
      <c r="D37" s="2893"/>
      <c r="E37" s="2894"/>
      <c r="F37" s="82" t="s">
        <v>1227</v>
      </c>
      <c r="G37" s="83">
        <v>168000</v>
      </c>
      <c r="H37" s="1725" t="s">
        <v>724</v>
      </c>
      <c r="I37" s="84"/>
      <c r="J37" s="37"/>
      <c r="K37" s="37"/>
      <c r="L37" s="37"/>
      <c r="M37" s="37"/>
      <c r="N37" s="34" t="s">
        <v>25</v>
      </c>
      <c r="O37" s="34"/>
    </row>
    <row r="38" spans="1:15" ht="17.399999999999999" x14ac:dyDescent="0.45">
      <c r="A38" s="663"/>
      <c r="B38" s="204"/>
      <c r="C38" s="2895"/>
      <c r="D38" s="2896"/>
      <c r="E38" s="2897"/>
      <c r="F38" s="905"/>
      <c r="G38" s="906">
        <f>SUM(G33:G37)</f>
        <v>6041000</v>
      </c>
      <c r="H38" s="93"/>
      <c r="I38" s="46"/>
      <c r="J38" s="49"/>
      <c r="K38" s="49"/>
      <c r="L38" s="49"/>
      <c r="M38" s="49"/>
      <c r="N38" s="49"/>
      <c r="O38" s="205"/>
    </row>
    <row r="39" spans="1:15" x14ac:dyDescent="0.3">
      <c r="A39" s="683" t="s">
        <v>1228</v>
      </c>
      <c r="B39" s="684" t="s">
        <v>1229</v>
      </c>
      <c r="C39" s="2898"/>
      <c r="D39" s="2898"/>
      <c r="E39" s="2898"/>
      <c r="F39" s="685"/>
      <c r="G39" s="686"/>
      <c r="H39" s="687"/>
      <c r="I39" s="688"/>
      <c r="J39" s="689"/>
      <c r="K39" s="688"/>
      <c r="L39" s="689"/>
      <c r="M39" s="689"/>
      <c r="N39" s="690"/>
      <c r="O39" s="691"/>
    </row>
    <row r="40" spans="1:15" x14ac:dyDescent="0.3">
      <c r="A40" s="2226">
        <v>1</v>
      </c>
      <c r="B40" s="595" t="s">
        <v>1230</v>
      </c>
      <c r="C40" s="2892" t="s">
        <v>1231</v>
      </c>
      <c r="D40" s="2893"/>
      <c r="E40" s="2894"/>
      <c r="F40" s="218" t="s">
        <v>1232</v>
      </c>
      <c r="G40" s="192">
        <v>1200</v>
      </c>
      <c r="H40" s="1205" t="s">
        <v>714</v>
      </c>
      <c r="I40" s="247" t="s">
        <v>25</v>
      </c>
      <c r="J40" s="907"/>
      <c r="K40" s="908"/>
      <c r="L40" s="908"/>
      <c r="M40" s="908"/>
      <c r="N40" s="908"/>
      <c r="O40" s="2304" t="s">
        <v>477</v>
      </c>
    </row>
    <row r="41" spans="1:15" x14ac:dyDescent="0.3">
      <c r="A41" s="2226">
        <v>2</v>
      </c>
      <c r="B41" s="595" t="s">
        <v>1233</v>
      </c>
      <c r="C41" s="2892" t="s">
        <v>1234</v>
      </c>
      <c r="D41" s="2893"/>
      <c r="E41" s="2894"/>
      <c r="F41" s="218" t="s">
        <v>1232</v>
      </c>
      <c r="G41" s="192">
        <v>1200</v>
      </c>
      <c r="H41" s="1205" t="s">
        <v>714</v>
      </c>
      <c r="I41" s="247" t="s">
        <v>25</v>
      </c>
      <c r="J41" s="247"/>
      <c r="K41" s="908"/>
      <c r="L41" s="908"/>
      <c r="M41" s="908"/>
      <c r="N41" s="908"/>
      <c r="O41" s="2304" t="s">
        <v>477</v>
      </c>
    </row>
    <row r="42" spans="1:15" ht="17.399999999999999" x14ac:dyDescent="0.45">
      <c r="A42" s="39"/>
      <c r="B42" s="204"/>
      <c r="C42" s="2877"/>
      <c r="D42" s="2878"/>
      <c r="E42" s="2879"/>
      <c r="F42" s="204"/>
      <c r="G42" s="713">
        <f>SUM(G40:G41)</f>
        <v>2400</v>
      </c>
      <c r="H42" s="178"/>
      <c r="I42" s="204"/>
      <c r="J42" s="204"/>
      <c r="K42" s="204"/>
      <c r="L42" s="204"/>
      <c r="M42" s="204"/>
      <c r="N42" s="204"/>
      <c r="O42" s="205"/>
    </row>
    <row r="43" spans="1:15" x14ac:dyDescent="0.3">
      <c r="A43" s="683" t="s">
        <v>1235</v>
      </c>
      <c r="B43" s="684" t="s">
        <v>1236</v>
      </c>
      <c r="C43" s="2898"/>
      <c r="D43" s="2898"/>
      <c r="E43" s="2898"/>
      <c r="F43" s="685"/>
      <c r="G43" s="686"/>
      <c r="H43" s="687"/>
      <c r="I43" s="688"/>
      <c r="J43" s="689"/>
      <c r="K43" s="688"/>
      <c r="L43" s="689"/>
      <c r="M43" s="689"/>
      <c r="N43" s="690"/>
      <c r="O43" s="691"/>
    </row>
    <row r="44" spans="1:15" x14ac:dyDescent="0.3">
      <c r="A44" s="2226">
        <v>1</v>
      </c>
      <c r="B44" s="595" t="s">
        <v>1237</v>
      </c>
      <c r="C44" s="2892" t="s">
        <v>1238</v>
      </c>
      <c r="D44" s="2893"/>
      <c r="E44" s="2894"/>
      <c r="F44" s="218" t="s">
        <v>1239</v>
      </c>
      <c r="G44" s="192">
        <v>6149900</v>
      </c>
      <c r="H44" s="1205" t="s">
        <v>714</v>
      </c>
      <c r="I44" s="247" t="s">
        <v>25</v>
      </c>
      <c r="J44" s="907"/>
      <c r="K44" s="908"/>
      <c r="L44" s="908"/>
      <c r="M44" s="908"/>
      <c r="N44" s="908"/>
      <c r="O44" s="2304" t="s">
        <v>477</v>
      </c>
    </row>
    <row r="45" spans="1:15" ht="17.399999999999999" x14ac:dyDescent="0.45">
      <c r="A45" s="39"/>
      <c r="B45" s="204"/>
      <c r="C45" s="2877"/>
      <c r="D45" s="2878"/>
      <c r="E45" s="2879"/>
      <c r="F45" s="204"/>
      <c r="G45" s="713">
        <f>SUM(G44:G44)</f>
        <v>6149900</v>
      </c>
      <c r="H45" s="178"/>
      <c r="I45" s="204"/>
      <c r="J45" s="204"/>
      <c r="K45" s="204"/>
      <c r="L45" s="204"/>
      <c r="M45" s="204"/>
      <c r="N45" s="204"/>
      <c r="O45" s="205"/>
    </row>
    <row r="46" spans="1:15" x14ac:dyDescent="0.3">
      <c r="A46" s="772" t="s">
        <v>1240</v>
      </c>
      <c r="B46" s="773" t="s">
        <v>1241</v>
      </c>
      <c r="C46" s="2882"/>
      <c r="D46" s="2882"/>
      <c r="E46" s="2882"/>
      <c r="F46" s="860"/>
      <c r="G46" s="775"/>
      <c r="H46" s="776"/>
      <c r="I46" s="777"/>
      <c r="J46" s="778"/>
      <c r="K46" s="777"/>
      <c r="L46" s="778"/>
      <c r="M46" s="778"/>
      <c r="N46" s="779"/>
      <c r="O46" s="780"/>
    </row>
    <row r="47" spans="1:15" x14ac:dyDescent="0.3">
      <c r="A47" s="2329">
        <v>1</v>
      </c>
      <c r="B47" s="761" t="s">
        <v>1242</v>
      </c>
      <c r="C47" s="726" t="s">
        <v>1240</v>
      </c>
      <c r="D47" s="912">
        <v>29</v>
      </c>
      <c r="E47" s="913" t="s">
        <v>1125</v>
      </c>
      <c r="F47" s="403" t="s">
        <v>1243</v>
      </c>
      <c r="G47" s="404">
        <v>2800</v>
      </c>
      <c r="H47" s="914" t="s">
        <v>865</v>
      </c>
      <c r="I47" s="406" t="s">
        <v>25</v>
      </c>
      <c r="J47" s="406"/>
      <c r="K47" s="406"/>
      <c r="L47" s="406"/>
      <c r="M47" s="406"/>
      <c r="N47" s="406"/>
      <c r="O47" s="2337" t="s">
        <v>109</v>
      </c>
    </row>
    <row r="48" spans="1:15" x14ac:dyDescent="0.3">
      <c r="A48" s="2226">
        <v>2</v>
      </c>
      <c r="B48" s="313" t="s">
        <v>1244</v>
      </c>
      <c r="C48" s="216" t="s">
        <v>1240</v>
      </c>
      <c r="D48" s="416" t="s">
        <v>993</v>
      </c>
      <c r="E48" s="217" t="s">
        <v>1104</v>
      </c>
      <c r="F48" s="218" t="s">
        <v>1245</v>
      </c>
      <c r="G48" s="192">
        <v>7200</v>
      </c>
      <c r="H48" s="1725" t="s">
        <v>724</v>
      </c>
      <c r="I48" s="34" t="s">
        <v>25</v>
      </c>
      <c r="J48" s="147"/>
      <c r="K48" s="147"/>
      <c r="L48" s="147"/>
      <c r="M48" s="147"/>
      <c r="N48" s="147"/>
      <c r="O48" s="225"/>
    </row>
    <row r="49" spans="1:15" x14ac:dyDescent="0.3">
      <c r="A49" s="2299">
        <v>3</v>
      </c>
      <c r="B49" s="390" t="s">
        <v>1246</v>
      </c>
      <c r="C49" s="163" t="s">
        <v>1240</v>
      </c>
      <c r="D49" s="164" t="s">
        <v>172</v>
      </c>
      <c r="E49" s="165" t="s">
        <v>1106</v>
      </c>
      <c r="F49" s="170">
        <v>24556</v>
      </c>
      <c r="G49" s="915">
        <v>190000</v>
      </c>
      <c r="H49" s="1768" t="s">
        <v>174</v>
      </c>
      <c r="I49" s="84" t="s">
        <v>25</v>
      </c>
      <c r="J49" s="37"/>
      <c r="K49" s="37"/>
      <c r="L49" s="37"/>
      <c r="M49" s="37"/>
      <c r="N49" s="37"/>
      <c r="O49" s="2338" t="s">
        <v>5862</v>
      </c>
    </row>
    <row r="50" spans="1:15" ht="17.399999999999999" x14ac:dyDescent="0.45">
      <c r="A50" s="542"/>
      <c r="B50" s="917"/>
      <c r="C50" s="2886"/>
      <c r="D50" s="2887"/>
      <c r="E50" s="2888"/>
      <c r="F50" s="918"/>
      <c r="G50" s="713">
        <f>SUM(G47:G48)</f>
        <v>10000</v>
      </c>
      <c r="H50" s="551"/>
      <c r="I50" s="919"/>
      <c r="J50" s="546"/>
      <c r="K50" s="546"/>
      <c r="L50" s="546"/>
      <c r="M50" s="546"/>
      <c r="N50" s="546"/>
      <c r="O50" s="920"/>
    </row>
    <row r="51" spans="1:15" x14ac:dyDescent="0.3">
      <c r="A51" s="772" t="s">
        <v>1247</v>
      </c>
      <c r="B51" s="2880" t="s">
        <v>1248</v>
      </c>
      <c r="C51" s="2881"/>
      <c r="D51" s="2881"/>
      <c r="E51" s="2881"/>
      <c r="F51" s="860"/>
      <c r="G51" s="921"/>
      <c r="H51" s="776"/>
      <c r="I51" s="777"/>
      <c r="J51" s="778"/>
      <c r="K51" s="777"/>
      <c r="L51" s="778"/>
      <c r="M51" s="778"/>
      <c r="N51" s="779"/>
      <c r="O51" s="780"/>
    </row>
    <row r="52" spans="1:15" x14ac:dyDescent="0.3">
      <c r="A52" s="2300">
        <v>1</v>
      </c>
      <c r="B52" s="448" t="s">
        <v>1249</v>
      </c>
      <c r="C52" s="216" t="s">
        <v>1247</v>
      </c>
      <c r="D52" s="416" t="s">
        <v>938</v>
      </c>
      <c r="E52" s="217" t="s">
        <v>1250</v>
      </c>
      <c r="F52" s="922">
        <v>13031</v>
      </c>
      <c r="G52" s="923">
        <v>24000</v>
      </c>
      <c r="H52" s="1205" t="s">
        <v>400</v>
      </c>
      <c r="I52" s="118" t="s">
        <v>25</v>
      </c>
      <c r="J52" s="119"/>
      <c r="K52" s="119"/>
      <c r="L52" s="192"/>
      <c r="M52" s="192"/>
      <c r="N52" s="119"/>
      <c r="O52" s="2369" t="s">
        <v>477</v>
      </c>
    </row>
    <row r="53" spans="1:15" x14ac:dyDescent="0.3">
      <c r="A53" s="2300">
        <v>2</v>
      </c>
      <c r="B53" s="448" t="s">
        <v>1249</v>
      </c>
      <c r="C53" s="216" t="s">
        <v>1247</v>
      </c>
      <c r="D53" s="416" t="s">
        <v>938</v>
      </c>
      <c r="E53" s="217" t="s">
        <v>1104</v>
      </c>
      <c r="F53" s="922">
        <v>13031</v>
      </c>
      <c r="G53" s="923">
        <v>24000</v>
      </c>
      <c r="H53" s="1205" t="s">
        <v>400</v>
      </c>
      <c r="I53" s="118" t="s">
        <v>25</v>
      </c>
      <c r="J53" s="119"/>
      <c r="K53" s="119"/>
      <c r="L53" s="192"/>
      <c r="M53" s="192"/>
      <c r="N53" s="119"/>
      <c r="O53" s="2370" t="s">
        <v>1251</v>
      </c>
    </row>
    <row r="54" spans="1:15" x14ac:dyDescent="0.3">
      <c r="A54" s="2300">
        <v>3</v>
      </c>
      <c r="B54" s="219" t="s">
        <v>1252</v>
      </c>
      <c r="C54" s="216" t="s">
        <v>1247</v>
      </c>
      <c r="D54" s="416" t="s">
        <v>1253</v>
      </c>
      <c r="E54" s="217" t="s">
        <v>1106</v>
      </c>
      <c r="F54" s="218" t="s">
        <v>1254</v>
      </c>
      <c r="G54" s="924">
        <v>27700</v>
      </c>
      <c r="H54" s="1725" t="s">
        <v>724</v>
      </c>
      <c r="I54" s="34" t="s">
        <v>25</v>
      </c>
      <c r="J54" s="147"/>
      <c r="K54" s="147"/>
      <c r="L54" s="224"/>
      <c r="M54" s="224"/>
      <c r="N54" s="147"/>
      <c r="O54" s="148"/>
    </row>
    <row r="55" spans="1:15" x14ac:dyDescent="0.3">
      <c r="A55" s="2300">
        <v>4</v>
      </c>
      <c r="B55" s="219" t="s">
        <v>1252</v>
      </c>
      <c r="C55" s="216" t="s">
        <v>1247</v>
      </c>
      <c r="D55" s="416" t="s">
        <v>1253</v>
      </c>
      <c r="E55" s="217" t="s">
        <v>1107</v>
      </c>
      <c r="F55" s="218" t="s">
        <v>1254</v>
      </c>
      <c r="G55" s="924">
        <v>27700</v>
      </c>
      <c r="H55" s="1725" t="s">
        <v>724</v>
      </c>
      <c r="I55" s="34" t="s">
        <v>25</v>
      </c>
      <c r="J55" s="147"/>
      <c r="K55" s="147"/>
      <c r="L55" s="224"/>
      <c r="M55" s="224"/>
      <c r="N55" s="147"/>
      <c r="O55" s="148"/>
    </row>
    <row r="56" spans="1:15" x14ac:dyDescent="0.3">
      <c r="A56" s="2382">
        <v>5</v>
      </c>
      <c r="B56" s="390" t="s">
        <v>1255</v>
      </c>
      <c r="C56" s="163" t="s">
        <v>1247</v>
      </c>
      <c r="D56" s="391" t="s">
        <v>21</v>
      </c>
      <c r="E56" s="165" t="s">
        <v>399</v>
      </c>
      <c r="F56" s="170">
        <v>243595</v>
      </c>
      <c r="G56" s="915">
        <v>1845000</v>
      </c>
      <c r="H56" s="925" t="s">
        <v>1256</v>
      </c>
      <c r="I56" s="34" t="s">
        <v>25</v>
      </c>
      <c r="J56" s="37"/>
      <c r="K56" s="37"/>
      <c r="L56" s="327"/>
      <c r="M56" s="327"/>
      <c r="N56" s="37"/>
      <c r="O56" s="38"/>
    </row>
    <row r="57" spans="1:15" ht="17.399999999999999" x14ac:dyDescent="0.45">
      <c r="A57" s="39"/>
      <c r="B57" s="204"/>
      <c r="C57" s="2877"/>
      <c r="D57" s="2878"/>
      <c r="E57" s="2879"/>
      <c r="F57" s="204"/>
      <c r="G57" s="713">
        <f>SUM(G52:G56)</f>
        <v>1948400</v>
      </c>
      <c r="H57" s="178"/>
      <c r="I57" s="204"/>
      <c r="J57" s="204"/>
      <c r="K57" s="204"/>
      <c r="L57" s="204"/>
      <c r="M57" s="204"/>
      <c r="N57" s="204"/>
      <c r="O57" s="205"/>
    </row>
    <row r="58" spans="1:15" x14ac:dyDescent="0.3">
      <c r="A58" s="772" t="s">
        <v>1257</v>
      </c>
      <c r="B58" s="926" t="s">
        <v>1258</v>
      </c>
      <c r="C58" s="927"/>
      <c r="D58" s="927"/>
      <c r="E58" s="928"/>
      <c r="F58" s="860"/>
      <c r="G58" s="775"/>
      <c r="H58" s="776"/>
      <c r="I58" s="777"/>
      <c r="J58" s="778"/>
      <c r="K58" s="777"/>
      <c r="L58" s="778"/>
      <c r="M58" s="778"/>
      <c r="N58" s="779"/>
      <c r="O58" s="780"/>
    </row>
    <row r="59" spans="1:15" x14ac:dyDescent="0.3">
      <c r="A59" s="2343" t="s">
        <v>898</v>
      </c>
      <c r="B59" s="852" t="s">
        <v>1259</v>
      </c>
      <c r="C59" s="348" t="s">
        <v>1257</v>
      </c>
      <c r="D59" s="793" t="s">
        <v>1253</v>
      </c>
      <c r="E59" s="349" t="s">
        <v>600</v>
      </c>
      <c r="F59" s="350" t="s">
        <v>1260</v>
      </c>
      <c r="G59" s="929">
        <v>649490</v>
      </c>
      <c r="H59" s="655" t="s">
        <v>400</v>
      </c>
      <c r="I59" s="644" t="s">
        <v>25</v>
      </c>
      <c r="J59" s="930"/>
      <c r="K59" s="214"/>
      <c r="L59" s="930"/>
      <c r="M59" s="930"/>
      <c r="N59" s="931"/>
      <c r="O59" s="932"/>
    </row>
    <row r="60" spans="1:15" x14ac:dyDescent="0.3">
      <c r="A60" s="2250">
        <v>2</v>
      </c>
      <c r="B60" s="643" t="s">
        <v>1261</v>
      </c>
      <c r="C60" s="348" t="s">
        <v>1257</v>
      </c>
      <c r="D60" s="326">
        <v>43</v>
      </c>
      <c r="E60" s="349" t="s">
        <v>1250</v>
      </c>
      <c r="F60" s="350" t="s">
        <v>1262</v>
      </c>
      <c r="G60" s="351">
        <v>47000</v>
      </c>
      <c r="H60" s="1724" t="s">
        <v>724</v>
      </c>
      <c r="I60" s="34" t="s">
        <v>25</v>
      </c>
      <c r="J60" s="353"/>
      <c r="K60" s="353"/>
      <c r="L60" s="351"/>
      <c r="M60" s="351"/>
      <c r="N60" s="353"/>
      <c r="O60" s="933"/>
    </row>
    <row r="61" spans="1:15" x14ac:dyDescent="0.3">
      <c r="A61" s="2262">
        <v>3</v>
      </c>
      <c r="B61" s="934" t="s">
        <v>1263</v>
      </c>
      <c r="C61" s="216" t="s">
        <v>1257</v>
      </c>
      <c r="D61" s="416" t="s">
        <v>550</v>
      </c>
      <c r="E61" s="217" t="s">
        <v>1104</v>
      </c>
      <c r="F61" s="922">
        <v>22628</v>
      </c>
      <c r="G61" s="923">
        <v>24500</v>
      </c>
      <c r="H61" s="1205" t="s">
        <v>400</v>
      </c>
      <c r="I61" s="34" t="s">
        <v>25</v>
      </c>
      <c r="J61" s="935"/>
      <c r="K61" s="935"/>
      <c r="L61" s="936"/>
      <c r="M61" s="936"/>
      <c r="N61" s="935"/>
      <c r="O61" s="937"/>
    </row>
    <row r="62" spans="1:15" ht="17.399999999999999" x14ac:dyDescent="0.45">
      <c r="A62" s="39"/>
      <c r="B62" s="88"/>
      <c r="C62" s="2889"/>
      <c r="D62" s="2890"/>
      <c r="E62" s="2890"/>
      <c r="F62" s="2891"/>
      <c r="G62" s="332">
        <f>SUM(G59:G61)</f>
        <v>720990</v>
      </c>
      <c r="H62" s="232"/>
      <c r="I62" s="627"/>
      <c r="J62" s="355"/>
      <c r="K62" s="355"/>
      <c r="L62" s="234"/>
      <c r="M62" s="234"/>
      <c r="N62" s="355"/>
      <c r="O62" s="938"/>
    </row>
    <row r="63" spans="1:15" x14ac:dyDescent="0.3">
      <c r="A63" s="772" t="s">
        <v>1264</v>
      </c>
      <c r="B63" s="2880" t="s">
        <v>1265</v>
      </c>
      <c r="C63" s="2881"/>
      <c r="D63" s="2881"/>
      <c r="E63" s="2881"/>
      <c r="F63" s="860"/>
      <c r="G63" s="775"/>
      <c r="H63" s="776"/>
      <c r="I63" s="777"/>
      <c r="J63" s="778"/>
      <c r="K63" s="777"/>
      <c r="L63" s="778"/>
      <c r="M63" s="778"/>
      <c r="N63" s="779"/>
      <c r="O63" s="780"/>
    </row>
    <row r="64" spans="1:15" x14ac:dyDescent="0.3">
      <c r="A64" s="2300">
        <v>1</v>
      </c>
      <c r="B64" s="215" t="s">
        <v>1266</v>
      </c>
      <c r="C64" s="216" t="s">
        <v>1264</v>
      </c>
      <c r="D64" s="416" t="s">
        <v>1267</v>
      </c>
      <c r="E64" s="217" t="s">
        <v>599</v>
      </c>
      <c r="F64" s="218" t="s">
        <v>1268</v>
      </c>
      <c r="G64" s="924">
        <v>999380</v>
      </c>
      <c r="H64" s="1725" t="s">
        <v>724</v>
      </c>
      <c r="I64" s="34"/>
      <c r="J64" s="34"/>
      <c r="K64" s="34" t="s">
        <v>25</v>
      </c>
      <c r="L64" s="224"/>
      <c r="M64" s="224"/>
      <c r="N64" s="147"/>
      <c r="O64" s="902" t="s">
        <v>6395</v>
      </c>
    </row>
    <row r="65" spans="1:15" x14ac:dyDescent="0.3">
      <c r="A65" s="2300">
        <v>2</v>
      </c>
      <c r="B65" s="219" t="s">
        <v>1269</v>
      </c>
      <c r="C65" s="216" t="s">
        <v>1264</v>
      </c>
      <c r="D65" s="416" t="s">
        <v>1267</v>
      </c>
      <c r="E65" s="217" t="s">
        <v>600</v>
      </c>
      <c r="F65" s="218" t="s">
        <v>1268</v>
      </c>
      <c r="G65" s="924">
        <v>449440</v>
      </c>
      <c r="H65" s="1725" t="s">
        <v>724</v>
      </c>
      <c r="I65" s="34" t="s">
        <v>25</v>
      </c>
      <c r="J65" s="147"/>
      <c r="K65" s="147"/>
      <c r="L65" s="147"/>
      <c r="M65" s="147"/>
      <c r="N65" s="147"/>
      <c r="O65" s="225"/>
    </row>
    <row r="66" spans="1:15" x14ac:dyDescent="0.3">
      <c r="A66" s="2300">
        <v>3</v>
      </c>
      <c r="B66" s="219" t="s">
        <v>1270</v>
      </c>
      <c r="C66" s="216" t="s">
        <v>1264</v>
      </c>
      <c r="D66" s="416" t="s">
        <v>943</v>
      </c>
      <c r="E66" s="217" t="s">
        <v>1271</v>
      </c>
      <c r="F66" s="218" t="s">
        <v>1272</v>
      </c>
      <c r="G66" s="924">
        <v>399000</v>
      </c>
      <c r="H66" s="1725" t="s">
        <v>724</v>
      </c>
      <c r="I66" s="34" t="s">
        <v>25</v>
      </c>
      <c r="J66" s="803"/>
      <c r="K66" s="537"/>
      <c r="L66" s="224"/>
      <c r="M66" s="224"/>
      <c r="N66" s="147"/>
      <c r="O66" s="225"/>
    </row>
    <row r="67" spans="1:15" x14ac:dyDescent="0.3">
      <c r="A67" s="2300">
        <v>4</v>
      </c>
      <c r="B67" s="219" t="s">
        <v>1270</v>
      </c>
      <c r="C67" s="216" t="s">
        <v>1264</v>
      </c>
      <c r="D67" s="416" t="s">
        <v>1273</v>
      </c>
      <c r="E67" s="217" t="s">
        <v>1250</v>
      </c>
      <c r="F67" s="218" t="s">
        <v>1274</v>
      </c>
      <c r="G67" s="924">
        <v>399000</v>
      </c>
      <c r="H67" s="1725" t="s">
        <v>724</v>
      </c>
      <c r="I67" s="34" t="s">
        <v>25</v>
      </c>
      <c r="J67" s="803"/>
      <c r="K67" s="537"/>
      <c r="L67" s="224"/>
      <c r="M67" s="224"/>
      <c r="N67" s="147"/>
      <c r="O67" s="225"/>
    </row>
    <row r="68" spans="1:15" x14ac:dyDescent="0.3">
      <c r="A68" s="2300">
        <v>5</v>
      </c>
      <c r="B68" s="219" t="s">
        <v>1275</v>
      </c>
      <c r="C68" s="418" t="s">
        <v>1264</v>
      </c>
      <c r="D68" s="452" t="s">
        <v>1253</v>
      </c>
      <c r="E68" s="419" t="s">
        <v>1104</v>
      </c>
      <c r="F68" s="218" t="s">
        <v>1276</v>
      </c>
      <c r="G68" s="939">
        <v>399000</v>
      </c>
      <c r="H68" s="1725" t="s">
        <v>724</v>
      </c>
      <c r="I68" s="34" t="s">
        <v>25</v>
      </c>
      <c r="J68" s="803"/>
      <c r="K68" s="537"/>
      <c r="L68" s="224"/>
      <c r="M68" s="224"/>
      <c r="N68" s="147"/>
      <c r="O68" s="225"/>
    </row>
    <row r="69" spans="1:15" x14ac:dyDescent="0.3">
      <c r="A69" s="2382">
        <v>6</v>
      </c>
      <c r="B69" s="390" t="s">
        <v>1277</v>
      </c>
      <c r="C69" s="163" t="s">
        <v>1264</v>
      </c>
      <c r="D69" s="164" t="s">
        <v>21</v>
      </c>
      <c r="E69" s="165" t="s">
        <v>1106</v>
      </c>
      <c r="F69" s="170">
        <v>243595</v>
      </c>
      <c r="G69" s="915">
        <v>4285000</v>
      </c>
      <c r="H69" s="1725" t="s">
        <v>724</v>
      </c>
      <c r="I69" s="84" t="s">
        <v>25</v>
      </c>
      <c r="J69" s="36"/>
      <c r="K69" s="35"/>
      <c r="L69" s="327"/>
      <c r="M69" s="327"/>
      <c r="N69" s="37"/>
      <c r="O69" s="940"/>
    </row>
    <row r="70" spans="1:15" ht="17.399999999999999" x14ac:dyDescent="0.45">
      <c r="A70" s="876"/>
      <c r="B70" s="941"/>
      <c r="C70" s="664"/>
      <c r="D70" s="903"/>
      <c r="E70" s="904"/>
      <c r="F70" s="942"/>
      <c r="G70" s="943">
        <f>SUM(G64:G69)</f>
        <v>6930820</v>
      </c>
      <c r="H70" s="944"/>
      <c r="I70" s="46"/>
      <c r="J70" s="48"/>
      <c r="K70" s="47"/>
      <c r="L70" s="478"/>
      <c r="M70" s="478"/>
      <c r="N70" s="49"/>
      <c r="O70" s="940"/>
    </row>
    <row r="71" spans="1:15" x14ac:dyDescent="0.3">
      <c r="A71" s="772" t="s">
        <v>1278</v>
      </c>
      <c r="B71" s="2880" t="s">
        <v>1279</v>
      </c>
      <c r="C71" s="2881"/>
      <c r="D71" s="2881"/>
      <c r="E71" s="2881"/>
      <c r="F71" s="860"/>
      <c r="G71" s="775"/>
      <c r="H71" s="776"/>
      <c r="I71" s="777"/>
      <c r="J71" s="778"/>
      <c r="K71" s="777"/>
      <c r="L71" s="778"/>
      <c r="M71" s="778"/>
      <c r="N71" s="779"/>
      <c r="O71" s="780"/>
    </row>
    <row r="72" spans="1:15" x14ac:dyDescent="0.3">
      <c r="A72" s="2263">
        <v>1</v>
      </c>
      <c r="B72" s="347" t="s">
        <v>1280</v>
      </c>
      <c r="C72" s="793" t="s">
        <v>1278</v>
      </c>
      <c r="D72" s="793" t="s">
        <v>940</v>
      </c>
      <c r="E72" s="349" t="s">
        <v>1104</v>
      </c>
      <c r="F72" s="350" t="s">
        <v>1281</v>
      </c>
      <c r="G72" s="929">
        <v>35000</v>
      </c>
      <c r="H72" s="655" t="s">
        <v>400</v>
      </c>
      <c r="I72" s="352" t="s">
        <v>25</v>
      </c>
      <c r="J72" s="945"/>
      <c r="K72" s="945"/>
      <c r="L72" s="351"/>
      <c r="M72" s="351"/>
      <c r="N72" s="353"/>
      <c r="O72" s="2372" t="s">
        <v>477</v>
      </c>
    </row>
    <row r="73" spans="1:15" x14ac:dyDescent="0.3">
      <c r="A73" s="2371">
        <v>2</v>
      </c>
      <c r="B73" s="934" t="s">
        <v>1282</v>
      </c>
      <c r="C73" s="495" t="s">
        <v>1278</v>
      </c>
      <c r="D73" s="495" t="s">
        <v>550</v>
      </c>
      <c r="E73" s="946" t="s">
        <v>1106</v>
      </c>
      <c r="F73" s="947" t="s">
        <v>1283</v>
      </c>
      <c r="G73" s="948">
        <v>39000</v>
      </c>
      <c r="H73" s="655" t="s">
        <v>400</v>
      </c>
      <c r="I73" s="352" t="s">
        <v>25</v>
      </c>
      <c r="J73" s="949"/>
      <c r="K73" s="949"/>
      <c r="L73" s="936"/>
      <c r="M73" s="936"/>
      <c r="N73" s="935"/>
      <c r="O73" s="937"/>
    </row>
    <row r="74" spans="1:15" ht="17.399999999999999" x14ac:dyDescent="0.45">
      <c r="A74" s="39"/>
      <c r="B74" s="204"/>
      <c r="C74" s="950"/>
      <c r="D74" s="951"/>
      <c r="E74" s="911"/>
      <c r="F74" s="204"/>
      <c r="G74" s="713">
        <f>SUM(G72:G73)</f>
        <v>74000</v>
      </c>
      <c r="H74" s="178"/>
      <c r="I74" s="204"/>
      <c r="J74" s="204"/>
      <c r="K74" s="204"/>
      <c r="L74" s="204"/>
      <c r="M74" s="204"/>
      <c r="N74" s="204"/>
      <c r="O74" s="205"/>
    </row>
    <row r="75" spans="1:15" x14ac:dyDescent="0.3">
      <c r="A75" s="772" t="s">
        <v>1284</v>
      </c>
      <c r="B75" s="773" t="s">
        <v>1285</v>
      </c>
      <c r="C75" s="2882"/>
      <c r="D75" s="2882"/>
      <c r="E75" s="2882"/>
      <c r="F75" s="860"/>
      <c r="G75" s="775"/>
      <c r="H75" s="776"/>
      <c r="I75" s="777"/>
      <c r="J75" s="778"/>
      <c r="K75" s="777"/>
      <c r="L75" s="778"/>
      <c r="M75" s="778"/>
      <c r="N75" s="779"/>
      <c r="O75" s="780"/>
    </row>
    <row r="76" spans="1:15" x14ac:dyDescent="0.3">
      <c r="A76" s="2329">
        <v>1</v>
      </c>
      <c r="B76" s="952" t="s">
        <v>1286</v>
      </c>
      <c r="C76" s="2883" t="s">
        <v>1287</v>
      </c>
      <c r="D76" s="2884"/>
      <c r="E76" s="2885"/>
      <c r="F76" s="403" t="s">
        <v>1288</v>
      </c>
      <c r="G76" s="404">
        <v>42000</v>
      </c>
      <c r="H76" s="914" t="s">
        <v>865</v>
      </c>
      <c r="I76" s="406" t="s">
        <v>25</v>
      </c>
      <c r="J76" s="406"/>
      <c r="K76" s="406"/>
      <c r="L76" s="406"/>
      <c r="M76" s="406"/>
      <c r="N76" s="406"/>
      <c r="O76" s="2336" t="s">
        <v>109</v>
      </c>
    </row>
    <row r="77" spans="1:15" x14ac:dyDescent="0.3">
      <c r="A77" s="39"/>
      <c r="B77" s="204"/>
      <c r="C77" s="2877"/>
      <c r="D77" s="2878"/>
      <c r="E77" s="2879"/>
      <c r="F77" s="204"/>
      <c r="G77" s="656">
        <f>SUM(G76:G76)</f>
        <v>42000</v>
      </c>
      <c r="H77" s="178"/>
      <c r="I77" s="204"/>
      <c r="J77" s="204"/>
      <c r="K77" s="204"/>
      <c r="L77" s="204"/>
      <c r="M77" s="204"/>
      <c r="N77" s="204"/>
      <c r="O77" s="205"/>
    </row>
    <row r="78" spans="1:15" x14ac:dyDescent="0.3">
      <c r="A78" s="772" t="s">
        <v>1289</v>
      </c>
      <c r="B78" s="773" t="s">
        <v>1290</v>
      </c>
      <c r="C78" s="2882"/>
      <c r="D78" s="2882"/>
      <c r="E78" s="2882"/>
      <c r="F78" s="860"/>
      <c r="G78" s="775"/>
      <c r="H78" s="776"/>
      <c r="I78" s="777"/>
      <c r="J78" s="778"/>
      <c r="K78" s="777"/>
      <c r="L78" s="778"/>
      <c r="M78" s="778"/>
      <c r="N78" s="779"/>
      <c r="O78" s="780"/>
    </row>
    <row r="79" spans="1:15" x14ac:dyDescent="0.3">
      <c r="A79" s="2250">
        <v>1</v>
      </c>
      <c r="B79" s="643" t="s">
        <v>1291</v>
      </c>
      <c r="C79" s="348" t="s">
        <v>1289</v>
      </c>
      <c r="D79" s="326">
        <v>45</v>
      </c>
      <c r="E79" s="349" t="s">
        <v>600</v>
      </c>
      <c r="F79" s="350" t="s">
        <v>1292</v>
      </c>
      <c r="G79" s="351">
        <v>169500</v>
      </c>
      <c r="H79" s="1724" t="s">
        <v>724</v>
      </c>
      <c r="I79" s="644" t="s">
        <v>25</v>
      </c>
      <c r="J79" s="692"/>
      <c r="K79" s="692"/>
      <c r="L79" s="692"/>
      <c r="M79" s="692"/>
      <c r="N79" s="692"/>
      <c r="O79" s="693"/>
    </row>
    <row r="80" spans="1:15" x14ac:dyDescent="0.3">
      <c r="A80" s="2226">
        <v>2</v>
      </c>
      <c r="B80" s="313" t="s">
        <v>1293</v>
      </c>
      <c r="C80" s="216" t="s">
        <v>1289</v>
      </c>
      <c r="D80" s="67">
        <v>56</v>
      </c>
      <c r="E80" s="217" t="s">
        <v>1271</v>
      </c>
      <c r="F80" s="218" t="s">
        <v>1294</v>
      </c>
      <c r="G80" s="192">
        <v>247000</v>
      </c>
      <c r="H80" s="1725" t="s">
        <v>724</v>
      </c>
      <c r="I80" s="34" t="s">
        <v>25</v>
      </c>
      <c r="J80" s="147"/>
      <c r="K80" s="147"/>
      <c r="L80" s="147"/>
      <c r="M80" s="147"/>
      <c r="N80" s="147"/>
      <c r="O80" s="225"/>
    </row>
    <row r="81" spans="1:15" x14ac:dyDescent="0.3">
      <c r="A81" s="2299">
        <v>3</v>
      </c>
      <c r="B81" s="543" t="s">
        <v>1295</v>
      </c>
      <c r="C81" s="418" t="s">
        <v>1289</v>
      </c>
      <c r="D81" s="75">
        <v>64</v>
      </c>
      <c r="E81" s="419" t="s">
        <v>1250</v>
      </c>
      <c r="F81" s="82" t="s">
        <v>1296</v>
      </c>
      <c r="G81" s="83">
        <v>99500</v>
      </c>
      <c r="H81" s="1725" t="s">
        <v>724</v>
      </c>
      <c r="I81" s="34" t="s">
        <v>25</v>
      </c>
      <c r="J81" s="37"/>
      <c r="K81" s="37"/>
      <c r="L81" s="37"/>
      <c r="M81" s="37"/>
      <c r="N81" s="37"/>
      <c r="O81" s="467"/>
    </row>
    <row r="82" spans="1:15" ht="17.399999999999999" x14ac:dyDescent="0.45">
      <c r="A82" s="204"/>
      <c r="B82" s="204"/>
      <c r="C82" s="2877"/>
      <c r="D82" s="2878"/>
      <c r="E82" s="2879"/>
      <c r="F82" s="204"/>
      <c r="G82" s="713">
        <f>SUM(G79:G81)</f>
        <v>516000</v>
      </c>
      <c r="H82" s="178"/>
      <c r="I82" s="204"/>
      <c r="J82" s="204"/>
      <c r="K82" s="204"/>
      <c r="L82" s="204"/>
      <c r="M82" s="204"/>
      <c r="N82" s="204"/>
      <c r="O82" s="205"/>
    </row>
    <row r="83" spans="1:15" x14ac:dyDescent="0.3">
      <c r="A83" s="953" t="s">
        <v>1297</v>
      </c>
      <c r="B83" s="954" t="s">
        <v>1298</v>
      </c>
      <c r="C83" s="955"/>
      <c r="D83" s="955"/>
      <c r="E83" s="955"/>
      <c r="F83" s="956"/>
      <c r="G83" s="957"/>
      <c r="H83" s="958"/>
      <c r="I83" s="959"/>
      <c r="J83" s="960"/>
      <c r="K83" s="960"/>
      <c r="L83" s="961"/>
      <c r="M83" s="961"/>
      <c r="N83" s="960"/>
      <c r="O83" s="962"/>
    </row>
    <row r="84" spans="1:15" x14ac:dyDescent="0.3">
      <c r="A84" s="2250">
        <v>1</v>
      </c>
      <c r="B84" s="643" t="s">
        <v>1299</v>
      </c>
      <c r="C84" s="963" t="s">
        <v>1297</v>
      </c>
      <c r="D84" s="964">
        <v>64</v>
      </c>
      <c r="E84" s="965" t="s">
        <v>1125</v>
      </c>
      <c r="F84" s="966">
        <v>23573</v>
      </c>
      <c r="G84" s="351">
        <v>89500</v>
      </c>
      <c r="H84" s="1724" t="s">
        <v>724</v>
      </c>
      <c r="I84" s="644" t="s">
        <v>25</v>
      </c>
      <c r="J84" s="643"/>
      <c r="K84" s="643"/>
      <c r="L84" s="643"/>
      <c r="M84" s="643"/>
      <c r="N84" s="643"/>
      <c r="O84" s="967"/>
    </row>
    <row r="85" spans="1:15" ht="17.399999999999999" x14ac:dyDescent="0.45">
      <c r="A85" s="782"/>
      <c r="B85" s="782"/>
      <c r="C85" s="968"/>
      <c r="D85" s="764"/>
      <c r="F85" s="204"/>
      <c r="G85" s="713">
        <f>SUM(G84)</f>
        <v>89500</v>
      </c>
      <c r="H85" s="178"/>
      <c r="I85" s="204"/>
      <c r="J85" s="204"/>
      <c r="K85" s="204"/>
      <c r="L85" s="204"/>
      <c r="M85" s="204"/>
      <c r="N85" s="204"/>
      <c r="O85" s="205"/>
    </row>
    <row r="86" spans="1:15" x14ac:dyDescent="0.3">
      <c r="A86" s="969" t="s">
        <v>1300</v>
      </c>
      <c r="B86" s="282" t="s">
        <v>1301</v>
      </c>
      <c r="C86" s="283"/>
      <c r="D86" s="283"/>
      <c r="E86" s="283"/>
      <c r="F86" s="286"/>
      <c r="G86" s="287"/>
      <c r="H86" s="970"/>
      <c r="I86" s="971"/>
      <c r="J86" s="290"/>
      <c r="K86" s="290"/>
      <c r="L86" s="291"/>
      <c r="M86" s="291"/>
      <c r="N86" s="290"/>
      <c r="O86" s="972"/>
    </row>
    <row r="87" spans="1:15" x14ac:dyDescent="0.3">
      <c r="A87" s="2373">
        <v>1</v>
      </c>
      <c r="B87" s="215" t="s">
        <v>1302</v>
      </c>
      <c r="C87" s="416" t="s">
        <v>1300</v>
      </c>
      <c r="D87" s="67">
        <v>35</v>
      </c>
      <c r="E87" s="217" t="s">
        <v>1271</v>
      </c>
      <c r="F87" s="218" t="s">
        <v>1303</v>
      </c>
      <c r="G87" s="192">
        <v>28400</v>
      </c>
      <c r="H87" s="1205" t="s">
        <v>400</v>
      </c>
      <c r="I87" s="118" t="s">
        <v>25</v>
      </c>
      <c r="J87" s="119"/>
      <c r="K87" s="119"/>
      <c r="L87" s="119"/>
      <c r="M87" s="119"/>
      <c r="N87" s="119"/>
      <c r="O87" s="2376" t="s">
        <v>477</v>
      </c>
    </row>
    <row r="88" spans="1:15" x14ac:dyDescent="0.3">
      <c r="A88" s="2389">
        <v>2</v>
      </c>
      <c r="B88" s="973" t="s">
        <v>1304</v>
      </c>
      <c r="C88" s="66" t="s">
        <v>1300</v>
      </c>
      <c r="D88" s="416" t="s">
        <v>1305</v>
      </c>
      <c r="E88" s="68" t="s">
        <v>1107</v>
      </c>
      <c r="F88" s="69" t="s">
        <v>1306</v>
      </c>
      <c r="G88" s="974">
        <v>47000</v>
      </c>
      <c r="H88" s="1769" t="s">
        <v>724</v>
      </c>
      <c r="I88" s="34" t="s">
        <v>25</v>
      </c>
      <c r="J88" s="72"/>
      <c r="K88" s="975"/>
      <c r="L88" s="975"/>
      <c r="M88" s="975"/>
      <c r="N88" s="975"/>
      <c r="O88" s="2377"/>
    </row>
    <row r="89" spans="1:15" x14ac:dyDescent="0.3">
      <c r="A89" s="2374">
        <v>3</v>
      </c>
      <c r="B89" s="226" t="s">
        <v>1307</v>
      </c>
      <c r="C89" s="452" t="s">
        <v>1300</v>
      </c>
      <c r="D89" s="75">
        <v>47</v>
      </c>
      <c r="E89" s="419" t="s">
        <v>1106</v>
      </c>
      <c r="F89" s="82" t="s">
        <v>1308</v>
      </c>
      <c r="G89" s="83">
        <v>7850</v>
      </c>
      <c r="H89" s="1770" t="s">
        <v>400</v>
      </c>
      <c r="I89" s="228" t="s">
        <v>25</v>
      </c>
      <c r="J89" s="600"/>
      <c r="K89" s="600"/>
      <c r="L89" s="600"/>
      <c r="M89" s="600"/>
      <c r="N89" s="600"/>
      <c r="O89" s="2378" t="s">
        <v>477</v>
      </c>
    </row>
    <row r="90" spans="1:15" x14ac:dyDescent="0.3">
      <c r="A90" s="2375">
        <v>4</v>
      </c>
      <c r="B90" s="976" t="s">
        <v>1309</v>
      </c>
      <c r="C90" s="977" t="s">
        <v>1300</v>
      </c>
      <c r="D90" s="978">
        <v>63</v>
      </c>
      <c r="E90" s="977" t="s">
        <v>399</v>
      </c>
      <c r="F90" s="979" t="s">
        <v>1310</v>
      </c>
      <c r="G90" s="980">
        <v>15000</v>
      </c>
      <c r="H90" s="1771" t="s">
        <v>400</v>
      </c>
      <c r="I90" s="981" t="s">
        <v>25</v>
      </c>
      <c r="J90" s="982"/>
      <c r="K90" s="982"/>
      <c r="L90" s="982"/>
      <c r="M90" s="982"/>
      <c r="N90" s="982"/>
      <c r="O90" s="983"/>
    </row>
    <row r="91" spans="1:15" x14ac:dyDescent="0.3">
      <c r="A91" s="984"/>
      <c r="B91" s="985" t="s">
        <v>1311</v>
      </c>
      <c r="C91" s="495"/>
      <c r="D91" s="320"/>
      <c r="E91" s="495"/>
      <c r="F91" s="947"/>
      <c r="G91" s="986"/>
      <c r="H91" s="2379"/>
      <c r="I91" s="987"/>
      <c r="J91" s="935"/>
      <c r="K91" s="935"/>
      <c r="L91" s="935"/>
      <c r="M91" s="935"/>
      <c r="N91" s="935"/>
      <c r="O91" s="354"/>
    </row>
    <row r="92" spans="1:15" ht="17.399999999999999" x14ac:dyDescent="0.45">
      <c r="A92" s="988"/>
      <c r="B92" s="853"/>
      <c r="C92" s="989"/>
      <c r="D92" s="990"/>
      <c r="E92" s="989"/>
      <c r="F92" s="905"/>
      <c r="G92" s="991">
        <f>SUM(G87:G90)</f>
        <v>98250</v>
      </c>
      <c r="H92" s="93"/>
      <c r="I92" s="992"/>
      <c r="J92" s="993"/>
      <c r="K92" s="993"/>
      <c r="L92" s="993"/>
      <c r="M92" s="993"/>
      <c r="N92" s="993"/>
      <c r="O92" s="205"/>
    </row>
    <row r="93" spans="1:15" x14ac:dyDescent="0.3">
      <c r="A93" s="16" t="s">
        <v>1312</v>
      </c>
      <c r="B93" s="815" t="s">
        <v>1313</v>
      </c>
      <c r="C93" s="829"/>
      <c r="D93" s="829"/>
      <c r="E93" s="829"/>
      <c r="F93" s="845"/>
      <c r="G93" s="826"/>
      <c r="H93" s="827"/>
      <c r="I93" s="994"/>
      <c r="J93" s="779"/>
      <c r="K93" s="779"/>
      <c r="L93" s="828"/>
      <c r="M93" s="828"/>
      <c r="N93" s="779"/>
      <c r="O93" s="780"/>
    </row>
    <row r="94" spans="1:15" x14ac:dyDescent="0.3">
      <c r="A94" s="2257">
        <v>1</v>
      </c>
      <c r="B94" s="995" t="s">
        <v>1314</v>
      </c>
      <c r="C94" s="996" t="s">
        <v>1312</v>
      </c>
      <c r="D94" s="997" t="s">
        <v>1315</v>
      </c>
      <c r="E94" s="998" t="s">
        <v>1125</v>
      </c>
      <c r="F94" s="999" t="s">
        <v>1316</v>
      </c>
      <c r="G94" s="1000">
        <v>19980</v>
      </c>
      <c r="H94" s="1772" t="s">
        <v>724</v>
      </c>
      <c r="I94" s="1001" t="s">
        <v>25</v>
      </c>
      <c r="J94" s="1002"/>
      <c r="K94" s="1002"/>
      <c r="L94" s="1002"/>
      <c r="M94" s="1002"/>
      <c r="N94" s="1002"/>
      <c r="O94" s="1003"/>
    </row>
    <row r="95" spans="1:15" x14ac:dyDescent="0.3">
      <c r="A95" s="2380">
        <v>2</v>
      </c>
      <c r="B95" s="1004" t="s">
        <v>1317</v>
      </c>
      <c r="C95" s="1005" t="s">
        <v>1312</v>
      </c>
      <c r="D95" s="1006" t="s">
        <v>924</v>
      </c>
      <c r="E95" s="1007" t="s">
        <v>599</v>
      </c>
      <c r="F95" s="1008" t="s">
        <v>1318</v>
      </c>
      <c r="G95" s="1009">
        <v>18500</v>
      </c>
      <c r="H95" s="1771" t="s">
        <v>714</v>
      </c>
      <c r="I95" s="1001" t="s">
        <v>25</v>
      </c>
      <c r="J95" s="1010"/>
      <c r="K95" s="1002"/>
      <c r="L95" s="1002"/>
      <c r="M95" s="1002"/>
      <c r="N95" s="1002"/>
      <c r="O95" s="1003"/>
    </row>
    <row r="96" spans="1:15" x14ac:dyDescent="0.3">
      <c r="A96" s="1011"/>
      <c r="B96" s="1012" t="s">
        <v>1319</v>
      </c>
      <c r="C96" s="1013"/>
      <c r="D96" s="1006"/>
      <c r="E96" s="1008"/>
      <c r="F96" s="1014"/>
      <c r="G96" s="1015"/>
      <c r="H96" s="1016"/>
      <c r="I96" s="809"/>
      <c r="J96" s="1017"/>
      <c r="K96" s="1018"/>
      <c r="L96" s="1018"/>
      <c r="M96" s="1018"/>
      <c r="N96" s="1018"/>
      <c r="O96" s="1019"/>
    </row>
    <row r="97" spans="1:15" ht="17.399999999999999" x14ac:dyDescent="0.45">
      <c r="A97" s="1020"/>
      <c r="B97" s="853"/>
      <c r="C97" s="1021"/>
      <c r="D97" s="1021"/>
      <c r="E97" s="1022"/>
      <c r="F97" s="783"/>
      <c r="G97" s="1023">
        <f>SUM(G94:G96)</f>
        <v>38480</v>
      </c>
      <c r="H97" s="1024"/>
      <c r="I97" s="992"/>
      <c r="J97" s="1025"/>
      <c r="K97" s="1026"/>
      <c r="L97" s="1026"/>
      <c r="M97" s="1026"/>
      <c r="N97" s="1026"/>
      <c r="O97" s="1027"/>
    </row>
    <row r="98" spans="1:15" x14ac:dyDescent="0.3">
      <c r="A98" s="823">
        <v>106</v>
      </c>
      <c r="B98" s="815" t="s">
        <v>1320</v>
      </c>
      <c r="C98" s="829"/>
      <c r="D98" s="829"/>
      <c r="E98" s="829"/>
      <c r="F98" s="1028"/>
      <c r="G98" s="826"/>
      <c r="H98" s="827"/>
      <c r="I98" s="846"/>
      <c r="J98" s="779"/>
      <c r="K98" s="779"/>
      <c r="L98" s="828"/>
      <c r="M98" s="828"/>
      <c r="N98" s="779"/>
      <c r="O98" s="780"/>
    </row>
    <row r="99" spans="1:15" x14ac:dyDescent="0.3">
      <c r="A99" s="2339">
        <v>1</v>
      </c>
      <c r="B99" s="1029" t="s">
        <v>1321</v>
      </c>
      <c r="C99" s="593" t="s">
        <v>1322</v>
      </c>
      <c r="D99" s="1030">
        <v>36</v>
      </c>
      <c r="E99" s="1031" t="s">
        <v>1125</v>
      </c>
      <c r="F99" s="594" t="s">
        <v>1323</v>
      </c>
      <c r="G99" s="1032">
        <v>17000</v>
      </c>
      <c r="H99" s="1033" t="s">
        <v>1324</v>
      </c>
      <c r="I99" s="524" t="s">
        <v>25</v>
      </c>
      <c r="J99" s="1034"/>
      <c r="K99" s="1035"/>
      <c r="L99" s="1035"/>
      <c r="M99" s="1035"/>
      <c r="N99" s="1035"/>
      <c r="O99" s="2340" t="s">
        <v>109</v>
      </c>
    </row>
    <row r="100" spans="1:15" ht="17.399999999999999" x14ac:dyDescent="0.45">
      <c r="A100" s="1036"/>
      <c r="B100" s="1037"/>
      <c r="C100" s="1038"/>
      <c r="D100" s="1039"/>
      <c r="E100" s="1040"/>
      <c r="F100" s="1041"/>
      <c r="G100" s="1042">
        <f>SUM(G99)</f>
        <v>17000</v>
      </c>
      <c r="H100" s="1043"/>
      <c r="I100" s="1044"/>
      <c r="J100" s="1044"/>
      <c r="K100" s="1045"/>
      <c r="L100" s="1045"/>
      <c r="M100" s="1045"/>
      <c r="N100" s="1045"/>
      <c r="O100" s="786"/>
    </row>
    <row r="101" spans="1:15" x14ac:dyDescent="0.3">
      <c r="A101" s="1046">
        <v>107</v>
      </c>
      <c r="B101" s="1047" t="s">
        <v>1325</v>
      </c>
      <c r="C101" s="1048"/>
      <c r="D101" s="1048"/>
      <c r="E101" s="1048"/>
      <c r="F101" s="1049"/>
      <c r="G101" s="64"/>
      <c r="H101" s="1050"/>
      <c r="I101" s="1051"/>
      <c r="J101" s="1052"/>
      <c r="K101" s="1052"/>
      <c r="L101" s="1053"/>
      <c r="M101" s="1053"/>
      <c r="N101" s="1052"/>
      <c r="O101" s="1054"/>
    </row>
    <row r="102" spans="1:15" x14ac:dyDescent="0.3">
      <c r="A102" s="2250">
        <v>1</v>
      </c>
      <c r="B102" s="852" t="s">
        <v>1326</v>
      </c>
      <c r="C102" s="348" t="s">
        <v>1327</v>
      </c>
      <c r="D102" s="793" t="s">
        <v>940</v>
      </c>
      <c r="E102" s="349" t="s">
        <v>1125</v>
      </c>
      <c r="F102" s="350" t="s">
        <v>1328</v>
      </c>
      <c r="G102" s="929">
        <v>9500</v>
      </c>
      <c r="H102" s="1773" t="s">
        <v>41</v>
      </c>
      <c r="I102" s="644" t="s">
        <v>25</v>
      </c>
      <c r="J102" s="692"/>
      <c r="K102" s="643"/>
      <c r="L102" s="692"/>
      <c r="M102" s="692"/>
      <c r="N102" s="692"/>
      <c r="O102" s="2251" t="s">
        <v>5894</v>
      </c>
    </row>
    <row r="103" spans="1:15" ht="17.399999999999999" x14ac:dyDescent="0.45">
      <c r="A103" s="663"/>
      <c r="B103" s="853"/>
      <c r="C103" s="664"/>
      <c r="D103" s="903"/>
      <c r="E103" s="904"/>
      <c r="F103" s="1055"/>
      <c r="G103" s="943">
        <v>9500</v>
      </c>
      <c r="H103" s="93"/>
      <c r="I103" s="46"/>
      <c r="J103" s="49"/>
      <c r="K103" s="204"/>
      <c r="L103" s="49"/>
      <c r="M103" s="49"/>
      <c r="N103" s="49"/>
      <c r="O103" s="205"/>
    </row>
    <row r="104" spans="1:15" ht="17.399999999999999" x14ac:dyDescent="0.45">
      <c r="A104" s="968"/>
      <c r="B104" s="1056"/>
      <c r="C104" s="1057"/>
      <c r="D104" s="1057"/>
      <c r="E104" s="1057"/>
      <c r="F104" s="1058"/>
      <c r="G104" s="1059"/>
      <c r="H104" s="1060"/>
      <c r="I104" s="58"/>
      <c r="J104" s="61"/>
      <c r="K104" s="1061"/>
      <c r="L104" s="61"/>
      <c r="M104" s="61"/>
      <c r="N104" s="61"/>
      <c r="O104" s="1062"/>
    </row>
    <row r="105" spans="1:15" x14ac:dyDescent="0.3">
      <c r="A105" s="1063">
        <v>110</v>
      </c>
      <c r="B105" s="1064" t="s">
        <v>1329</v>
      </c>
      <c r="C105" s="1065"/>
      <c r="D105" s="1065"/>
      <c r="E105" s="1065"/>
      <c r="F105" s="1066"/>
      <c r="G105" s="1067"/>
      <c r="H105" s="1068"/>
      <c r="I105" s="1069"/>
      <c r="J105" s="1070"/>
      <c r="K105" s="1070"/>
      <c r="L105" s="1070"/>
      <c r="M105" s="1070"/>
      <c r="N105" s="1070"/>
      <c r="O105" s="1071"/>
    </row>
    <row r="106" spans="1:15" x14ac:dyDescent="0.3">
      <c r="A106" s="2390">
        <v>1</v>
      </c>
      <c r="B106" s="1072" t="s">
        <v>1330</v>
      </c>
      <c r="C106" s="1073" t="s">
        <v>1331</v>
      </c>
      <c r="D106" s="1074" t="s">
        <v>1273</v>
      </c>
      <c r="E106" s="1075" t="s">
        <v>1125</v>
      </c>
      <c r="F106" s="1076" t="s">
        <v>1332</v>
      </c>
      <c r="G106" s="1077">
        <v>289000</v>
      </c>
      <c r="H106" s="1774" t="s">
        <v>724</v>
      </c>
      <c r="I106" s="1001" t="s">
        <v>25</v>
      </c>
      <c r="J106" s="1002"/>
      <c r="K106" s="1002"/>
      <c r="L106" s="1002"/>
      <c r="M106" s="1002"/>
      <c r="N106" s="1002"/>
      <c r="O106" s="1003" t="s">
        <v>1333</v>
      </c>
    </row>
    <row r="107" spans="1:15" ht="21.75" customHeight="1" x14ac:dyDescent="0.3">
      <c r="A107" s="1078"/>
      <c r="B107" s="1079"/>
      <c r="C107" s="1080"/>
      <c r="D107" s="1081"/>
      <c r="E107" s="1082"/>
      <c r="F107" s="1083"/>
      <c r="G107" s="1084">
        <v>289000</v>
      </c>
      <c r="H107" s="1085"/>
      <c r="I107" s="1086"/>
      <c r="J107" s="1087"/>
      <c r="K107" s="1087"/>
      <c r="L107" s="1087"/>
      <c r="M107" s="1087"/>
      <c r="N107" s="1087"/>
      <c r="O107" s="1088"/>
    </row>
    <row r="108" spans="1:15" x14ac:dyDescent="0.3">
      <c r="A108" s="1089">
        <v>113</v>
      </c>
      <c r="B108" s="1090" t="s">
        <v>1334</v>
      </c>
      <c r="C108" s="1091"/>
      <c r="D108" s="1091"/>
      <c r="E108" s="1091"/>
      <c r="F108" s="1091"/>
      <c r="G108" s="1092"/>
      <c r="H108" s="1093"/>
      <c r="I108" s="1094"/>
      <c r="J108" s="1095"/>
      <c r="K108" s="1095"/>
      <c r="L108" s="1095"/>
      <c r="M108" s="1095"/>
      <c r="N108" s="1095"/>
      <c r="O108" s="1096"/>
    </row>
    <row r="109" spans="1:15" x14ac:dyDescent="0.3">
      <c r="A109" s="2250">
        <v>1</v>
      </c>
      <c r="B109" s="1097" t="s">
        <v>1335</v>
      </c>
      <c r="C109" s="1098" t="s">
        <v>1336</v>
      </c>
      <c r="D109" s="793" t="s">
        <v>494</v>
      </c>
      <c r="E109" s="1099" t="s">
        <v>1125</v>
      </c>
      <c r="F109" s="1100" t="s">
        <v>405</v>
      </c>
      <c r="G109" s="1101">
        <v>23500</v>
      </c>
      <c r="H109" s="1766" t="s">
        <v>1337</v>
      </c>
      <c r="I109" s="352" t="s">
        <v>25</v>
      </c>
      <c r="J109" s="1102"/>
      <c r="K109" s="1102"/>
      <c r="L109" s="1102"/>
      <c r="M109" s="1102"/>
      <c r="N109" s="1102"/>
      <c r="O109" s="1103"/>
    </row>
    <row r="110" spans="1:15" x14ac:dyDescent="0.3">
      <c r="A110" s="2226">
        <v>2</v>
      </c>
      <c r="B110" s="65" t="s">
        <v>1338</v>
      </c>
      <c r="C110" s="66" t="s">
        <v>1336</v>
      </c>
      <c r="D110" s="416" t="s">
        <v>494</v>
      </c>
      <c r="E110" s="68" t="s">
        <v>599</v>
      </c>
      <c r="F110" s="69" t="s">
        <v>405</v>
      </c>
      <c r="G110" s="70">
        <v>12000</v>
      </c>
      <c r="H110" s="1766" t="s">
        <v>1337</v>
      </c>
      <c r="I110" s="118" t="s">
        <v>25</v>
      </c>
      <c r="J110" s="1104"/>
      <c r="K110" s="1104"/>
      <c r="L110" s="1104"/>
      <c r="M110" s="1104"/>
      <c r="N110" s="1104"/>
      <c r="O110" s="1105"/>
    </row>
    <row r="111" spans="1:15" x14ac:dyDescent="0.3">
      <c r="A111" s="2226">
        <v>3</v>
      </c>
      <c r="B111" s="65" t="s">
        <v>1339</v>
      </c>
      <c r="C111" s="66" t="s">
        <v>1336</v>
      </c>
      <c r="D111" s="416" t="s">
        <v>494</v>
      </c>
      <c r="E111" s="68" t="s">
        <v>600</v>
      </c>
      <c r="F111" s="69" t="s">
        <v>405</v>
      </c>
      <c r="G111" s="70">
        <v>14220</v>
      </c>
      <c r="H111" s="1775" t="s">
        <v>1340</v>
      </c>
      <c r="I111" s="118" t="s">
        <v>25</v>
      </c>
      <c r="J111" s="1104"/>
      <c r="K111" s="1104"/>
      <c r="L111" s="1104"/>
      <c r="M111" s="1104"/>
      <c r="N111" s="1104"/>
      <c r="O111" s="1105"/>
    </row>
    <row r="112" spans="1:15" x14ac:dyDescent="0.3">
      <c r="A112" s="2226">
        <v>4</v>
      </c>
      <c r="B112" s="65" t="s">
        <v>1341</v>
      </c>
      <c r="C112" s="66" t="s">
        <v>1336</v>
      </c>
      <c r="D112" s="416" t="s">
        <v>494</v>
      </c>
      <c r="E112" s="68" t="s">
        <v>1271</v>
      </c>
      <c r="F112" s="69" t="s">
        <v>405</v>
      </c>
      <c r="G112" s="70">
        <v>51300</v>
      </c>
      <c r="H112" s="1775" t="s">
        <v>1340</v>
      </c>
      <c r="I112" s="118" t="s">
        <v>25</v>
      </c>
      <c r="J112" s="1104"/>
      <c r="K112" s="1104"/>
      <c r="L112" s="1104"/>
      <c r="M112" s="1104"/>
      <c r="N112" s="1104"/>
      <c r="O112" s="1105"/>
    </row>
    <row r="113" spans="1:15" ht="17.399999999999999" x14ac:dyDescent="0.45">
      <c r="A113" s="39"/>
      <c r="B113" s="88"/>
      <c r="C113" s="89"/>
      <c r="D113" s="230"/>
      <c r="E113" s="201"/>
      <c r="F113" s="176"/>
      <c r="G113" s="231">
        <f>SUM(G109:G112)</f>
        <v>101020</v>
      </c>
      <c r="H113" s="602"/>
      <c r="I113" s="233"/>
      <c r="J113" s="355"/>
      <c r="K113" s="355"/>
      <c r="L113" s="355"/>
      <c r="M113" s="355"/>
      <c r="N113" s="355"/>
      <c r="O113" s="1106"/>
    </row>
    <row r="114" spans="1:15" ht="17.399999999999999" x14ac:dyDescent="0.45">
      <c r="G114" s="763">
        <f>G113+G107+G42+G45+G103+G100+G97+G92+G85+G82+G77+G74+G70+G62+G57+G50+G38+G31+G27+G15+G12</f>
        <v>55540260</v>
      </c>
    </row>
    <row r="115" spans="1:15" ht="10.5" customHeight="1" x14ac:dyDescent="0.3"/>
    <row r="116" spans="1:15" ht="18" x14ac:dyDescent="0.35">
      <c r="B116" s="502" t="s">
        <v>601</v>
      </c>
      <c r="C116" s="502"/>
      <c r="D116" s="502"/>
      <c r="E116" s="503"/>
      <c r="F116" s="502"/>
      <c r="G116" s="504" t="s">
        <v>602</v>
      </c>
      <c r="I116" s="505"/>
      <c r="J116" s="505" t="s">
        <v>603</v>
      </c>
      <c r="K116" s="505"/>
      <c r="L116" s="505"/>
      <c r="M116" s="505"/>
      <c r="O116" s="506"/>
    </row>
    <row r="117" spans="1:15" ht="15.75" customHeight="1" x14ac:dyDescent="0.35">
      <c r="B117" s="507" t="s">
        <v>604</v>
      </c>
      <c r="C117" s="508"/>
      <c r="D117" s="502"/>
      <c r="E117" s="503"/>
      <c r="F117" s="502"/>
      <c r="G117" s="504"/>
      <c r="H117" s="509" t="s">
        <v>605</v>
      </c>
      <c r="J117" s="505"/>
      <c r="K117" s="505"/>
      <c r="L117" s="505"/>
      <c r="M117" s="505"/>
      <c r="O117" s="506"/>
    </row>
    <row r="118" spans="1:15" ht="15.75" customHeight="1" x14ac:dyDescent="0.35">
      <c r="B118" s="507" t="s">
        <v>606</v>
      </c>
      <c r="C118" s="508"/>
      <c r="D118" s="502"/>
      <c r="E118" s="503"/>
      <c r="F118" s="502"/>
      <c r="G118" s="504"/>
      <c r="H118" s="509" t="s">
        <v>607</v>
      </c>
      <c r="J118" s="505"/>
      <c r="K118" s="505"/>
      <c r="L118" s="505"/>
      <c r="M118" s="505"/>
      <c r="O118" s="506"/>
    </row>
    <row r="119" spans="1:15" ht="9" customHeight="1" x14ac:dyDescent="0.35">
      <c r="B119" s="502"/>
      <c r="C119" s="502"/>
      <c r="D119" s="502"/>
      <c r="E119" s="503"/>
      <c r="F119" s="502"/>
      <c r="G119" s="510"/>
      <c r="I119" s="505"/>
      <c r="J119" s="505"/>
      <c r="K119" s="505"/>
      <c r="L119" s="505"/>
      <c r="M119" s="505"/>
      <c r="O119" s="506"/>
    </row>
    <row r="120" spans="1:15" ht="10.5" customHeight="1" x14ac:dyDescent="0.35">
      <c r="B120" s="502" t="s">
        <v>1153</v>
      </c>
      <c r="C120" s="502"/>
      <c r="D120" s="502"/>
      <c r="E120" s="503"/>
      <c r="F120" s="502"/>
      <c r="G120" s="504"/>
      <c r="I120" s="505"/>
      <c r="J120" s="505"/>
      <c r="K120" s="505"/>
      <c r="L120" s="505"/>
      <c r="M120" s="505"/>
      <c r="O120" s="506"/>
    </row>
    <row r="121" spans="1:15" ht="18" x14ac:dyDescent="0.35">
      <c r="B121" s="507" t="s">
        <v>609</v>
      </c>
      <c r="C121" s="508"/>
      <c r="D121" s="502"/>
      <c r="E121" s="503"/>
      <c r="F121" s="502"/>
      <c r="G121" s="504"/>
      <c r="H121" s="506"/>
      <c r="J121" s="505"/>
      <c r="K121" s="505"/>
      <c r="L121" s="505"/>
      <c r="M121" s="505"/>
      <c r="O121" s="506"/>
    </row>
    <row r="122" spans="1:15" ht="18" x14ac:dyDescent="0.35">
      <c r="B122" s="507" t="s">
        <v>610</v>
      </c>
      <c r="C122" s="508"/>
      <c r="D122" s="502"/>
      <c r="E122" s="503"/>
      <c r="F122" s="502"/>
      <c r="G122" s="504"/>
      <c r="H122" s="506"/>
      <c r="J122" s="505"/>
      <c r="K122" s="505"/>
      <c r="L122" s="505"/>
      <c r="M122" s="505"/>
      <c r="O122" s="506"/>
    </row>
    <row r="124" spans="1:15" x14ac:dyDescent="0.3">
      <c r="B124" s="767" t="s">
        <v>920</v>
      </c>
      <c r="F124" s="766">
        <f>'[5]ฝ่ายสาธารณูปโภค รวม'!G65</f>
        <v>30119400</v>
      </c>
    </row>
    <row r="125" spans="1:15" x14ac:dyDescent="0.3">
      <c r="B125" s="767" t="s">
        <v>614</v>
      </c>
      <c r="F125" s="766">
        <f>[5]งานสวนสาธารณะ!G19</f>
        <v>111020</v>
      </c>
    </row>
    <row r="126" spans="1:15" x14ac:dyDescent="0.3">
      <c r="B126" s="767" t="s">
        <v>616</v>
      </c>
      <c r="F126" s="766">
        <f>[5]ฝ่ายช่างสุขาภิบาลเครื่องจักรและ!G44</f>
        <v>19118040</v>
      </c>
    </row>
    <row r="127" spans="1:15" x14ac:dyDescent="0.3">
      <c r="B127" s="767" t="s">
        <v>1342</v>
      </c>
      <c r="F127" s="855">
        <f>[5]กลุ่มงานเครื่องจักรกล!G15</f>
        <v>61800</v>
      </c>
    </row>
    <row r="128" spans="1:15" ht="16.2" thickBot="1" x14ac:dyDescent="0.35">
      <c r="F128" s="768">
        <f>SUM(F124:F127)</f>
        <v>49410260</v>
      </c>
    </row>
    <row r="129" ht="16.2" thickTop="1" x14ac:dyDescent="0.3"/>
  </sheetData>
  <mergeCells count="59">
    <mergeCell ref="A1:O1"/>
    <mergeCell ref="A2:O2"/>
    <mergeCell ref="A3:B3"/>
    <mergeCell ref="A4:A5"/>
    <mergeCell ref="B4:B5"/>
    <mergeCell ref="C4:E5"/>
    <mergeCell ref="F4:F5"/>
    <mergeCell ref="G4:G5"/>
    <mergeCell ref="H4:H5"/>
    <mergeCell ref="I4:N4"/>
    <mergeCell ref="C18:E18"/>
    <mergeCell ref="O4:O5"/>
    <mergeCell ref="C6:E6"/>
    <mergeCell ref="C7:E7"/>
    <mergeCell ref="C8:E8"/>
    <mergeCell ref="C9:E9"/>
    <mergeCell ref="C10:E10"/>
    <mergeCell ref="C11:E11"/>
    <mergeCell ref="C13:E13"/>
    <mergeCell ref="C14:E14"/>
    <mergeCell ref="C15:E15"/>
    <mergeCell ref="C17:E17"/>
    <mergeCell ref="C33:E33"/>
    <mergeCell ref="C19:E19"/>
    <mergeCell ref="C20:E20"/>
    <mergeCell ref="C21:E21"/>
    <mergeCell ref="C22:E22"/>
    <mergeCell ref="C24:E24"/>
    <mergeCell ref="C26:E26"/>
    <mergeCell ref="C27:E27"/>
    <mergeCell ref="C29:E29"/>
    <mergeCell ref="C30:E30"/>
    <mergeCell ref="C31:E31"/>
    <mergeCell ref="C32:E32"/>
    <mergeCell ref="C45:E45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6:E46"/>
    <mergeCell ref="C50:E50"/>
    <mergeCell ref="B51:E51"/>
    <mergeCell ref="C57:E57"/>
    <mergeCell ref="C62:D62"/>
    <mergeCell ref="E62:F62"/>
    <mergeCell ref="C82:E82"/>
    <mergeCell ref="B63:E63"/>
    <mergeCell ref="B71:E71"/>
    <mergeCell ref="C75:E75"/>
    <mergeCell ref="C76:E76"/>
    <mergeCell ref="C77:E77"/>
    <mergeCell ref="C78:E78"/>
  </mergeCells>
  <pageMargins left="0.39" right="0.31496062992125984" top="0.23622047244094491" bottom="0.15748031496062992" header="0.11811023622047245" footer="0.31496062992125984"/>
  <pageSetup paperSize="9" scale="95" orientation="landscape" horizontalDpi="4294967294" verticalDpi="0" r:id="rId1"/>
  <headerFooter>
    <oddHeader>&amp;R&amp;P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AL3291"/>
  <sheetViews>
    <sheetView topLeftCell="A1287" zoomScaleNormal="100" workbookViewId="0">
      <selection activeCell="B1294" sqref="B1294:B1401"/>
    </sheetView>
  </sheetViews>
  <sheetFormatPr defaultColWidth="9.109375" defaultRowHeight="15.6" x14ac:dyDescent="0.3"/>
  <cols>
    <col min="1" max="1" width="5.44140625" style="320" customWidth="1"/>
    <col min="2" max="2" width="32.44140625" style="438" customWidth="1"/>
    <col min="3" max="3" width="5.33203125" style="438" customWidth="1"/>
    <col min="4" max="4" width="4.109375" style="438" customWidth="1"/>
    <col min="5" max="5" width="5.33203125" style="320" customWidth="1"/>
    <col min="6" max="6" width="11.33203125" style="438" customWidth="1"/>
    <col min="7" max="7" width="12.6640625" style="512" customWidth="1"/>
    <col min="8" max="8" width="32.33203125" style="497" customWidth="1"/>
    <col min="9" max="14" width="3.33203125" style="1" customWidth="1"/>
    <col min="15" max="15" width="14.88671875" style="498" customWidth="1"/>
    <col min="16" max="16384" width="9.109375" style="1"/>
  </cols>
  <sheetData>
    <row r="1" spans="1:16" ht="18" x14ac:dyDescent="0.35">
      <c r="A1" s="2842" t="s">
        <v>0</v>
      </c>
      <c r="B1" s="2842"/>
      <c r="C1" s="2842"/>
      <c r="D1" s="2842"/>
      <c r="E1" s="2842"/>
      <c r="F1" s="2842"/>
      <c r="G1" s="2842"/>
      <c r="H1" s="2843"/>
      <c r="I1" s="2842"/>
      <c r="J1" s="2842"/>
      <c r="K1" s="2842"/>
      <c r="L1" s="2842"/>
      <c r="M1" s="2842"/>
      <c r="N1" s="2842"/>
      <c r="O1" s="2842"/>
      <c r="P1" s="2620" t="s">
        <v>6394</v>
      </c>
    </row>
    <row r="2" spans="1:16" ht="18" x14ac:dyDescent="0.35">
      <c r="A2" s="2842" t="s">
        <v>1</v>
      </c>
      <c r="B2" s="2842"/>
      <c r="C2" s="2842"/>
      <c r="D2" s="2842"/>
      <c r="E2" s="2842"/>
      <c r="F2" s="2842"/>
      <c r="G2" s="2842"/>
      <c r="H2" s="2843"/>
      <c r="I2" s="2842"/>
      <c r="J2" s="2842"/>
      <c r="K2" s="2842"/>
      <c r="L2" s="2842"/>
      <c r="M2" s="2842"/>
      <c r="N2" s="2842"/>
      <c r="O2" s="2842"/>
    </row>
    <row r="3" spans="1:16" x14ac:dyDescent="0.3">
      <c r="A3" s="2861" t="s">
        <v>1343</v>
      </c>
      <c r="B3" s="2861"/>
      <c r="C3" s="3"/>
      <c r="D3" s="3"/>
      <c r="E3" s="3"/>
      <c r="F3" s="3"/>
      <c r="G3" s="5"/>
      <c r="H3" s="7"/>
      <c r="I3" s="3"/>
      <c r="J3" s="3"/>
      <c r="K3" s="3"/>
      <c r="L3" s="3"/>
      <c r="M3" s="3"/>
      <c r="N3" s="3"/>
      <c r="O3" s="7"/>
    </row>
    <row r="4" spans="1:16" s="10" customFormat="1" x14ac:dyDescent="0.3">
      <c r="A4" s="2867" t="s">
        <v>3</v>
      </c>
      <c r="B4" s="2919" t="s">
        <v>4</v>
      </c>
      <c r="C4" s="2920" t="s">
        <v>5</v>
      </c>
      <c r="D4" s="2921"/>
      <c r="E4" s="2922"/>
      <c r="F4" s="2867" t="s">
        <v>1158</v>
      </c>
      <c r="G4" s="2923" t="s">
        <v>7</v>
      </c>
      <c r="H4" s="2868" t="s">
        <v>8</v>
      </c>
      <c r="I4" s="2858" t="s">
        <v>9</v>
      </c>
      <c r="J4" s="2876"/>
      <c r="K4" s="2876"/>
      <c r="L4" s="2876"/>
      <c r="M4" s="2876"/>
      <c r="N4" s="2860"/>
      <c r="O4" s="2868" t="s">
        <v>10</v>
      </c>
    </row>
    <row r="5" spans="1:16" s="10" customFormat="1" ht="40.5" customHeight="1" x14ac:dyDescent="0.3">
      <c r="A5" s="2845"/>
      <c r="B5" s="2847"/>
      <c r="C5" s="2851"/>
      <c r="D5" s="2852"/>
      <c r="E5" s="2853"/>
      <c r="F5" s="2845"/>
      <c r="G5" s="2855"/>
      <c r="H5" s="2857"/>
      <c r="I5" s="14" t="s">
        <v>12</v>
      </c>
      <c r="J5" s="14" t="s">
        <v>13</v>
      </c>
      <c r="K5" s="15" t="s">
        <v>14</v>
      </c>
      <c r="L5" s="15" t="s">
        <v>15</v>
      </c>
      <c r="M5" s="15" t="s">
        <v>16</v>
      </c>
      <c r="N5" s="15" t="s">
        <v>17</v>
      </c>
      <c r="O5" s="2857"/>
    </row>
    <row r="6" spans="1:16" x14ac:dyDescent="0.3">
      <c r="A6" s="16" t="s">
        <v>1344</v>
      </c>
      <c r="B6" s="1108" t="s">
        <v>1345</v>
      </c>
      <c r="C6" s="1109"/>
      <c r="D6" s="1109"/>
      <c r="E6" s="1109"/>
      <c r="F6" s="1110"/>
      <c r="G6" s="1111"/>
      <c r="H6" s="1112"/>
      <c r="I6" s="846"/>
      <c r="J6" s="779"/>
      <c r="K6" s="779"/>
      <c r="L6" s="828"/>
      <c r="M6" s="828"/>
      <c r="N6" s="779"/>
      <c r="O6" s="780"/>
    </row>
    <row r="7" spans="1:16" x14ac:dyDescent="0.3">
      <c r="A7" s="2402">
        <v>1</v>
      </c>
      <c r="B7" s="1114" t="s">
        <v>1346</v>
      </c>
      <c r="C7" s="1115" t="s">
        <v>1344</v>
      </c>
      <c r="D7" s="107">
        <v>31</v>
      </c>
      <c r="E7" s="1031" t="s">
        <v>1347</v>
      </c>
      <c r="F7" s="218" t="s">
        <v>1348</v>
      </c>
      <c r="G7" s="110">
        <v>990</v>
      </c>
      <c r="H7" s="1776" t="s">
        <v>1349</v>
      </c>
      <c r="J7" s="224"/>
      <c r="K7" s="34" t="s">
        <v>25</v>
      </c>
      <c r="L7" s="475"/>
      <c r="M7" s="224"/>
      <c r="N7" s="224"/>
      <c r="O7" s="902" t="s">
        <v>6395</v>
      </c>
    </row>
    <row r="8" spans="1:16" x14ac:dyDescent="0.3">
      <c r="A8" s="2402">
        <v>2</v>
      </c>
      <c r="B8" s="1114" t="s">
        <v>1346</v>
      </c>
      <c r="C8" s="1117" t="s">
        <v>1344</v>
      </c>
      <c r="D8" s="113">
        <v>31</v>
      </c>
      <c r="E8" s="217" t="s">
        <v>1351</v>
      </c>
      <c r="F8" s="218" t="s">
        <v>1348</v>
      </c>
      <c r="G8" s="116">
        <v>990</v>
      </c>
      <c r="H8" s="1776" t="s">
        <v>1349</v>
      </c>
      <c r="J8" s="224"/>
      <c r="K8" s="34" t="s">
        <v>25</v>
      </c>
      <c r="L8" s="475"/>
      <c r="M8" s="224"/>
      <c r="N8" s="224"/>
      <c r="O8" s="902" t="s">
        <v>6395</v>
      </c>
    </row>
    <row r="9" spans="1:16" x14ac:dyDescent="0.3">
      <c r="A9" s="2401">
        <v>3</v>
      </c>
      <c r="B9" s="1114" t="s">
        <v>1346</v>
      </c>
      <c r="C9" s="1117" t="s">
        <v>1344</v>
      </c>
      <c r="D9" s="113">
        <v>31</v>
      </c>
      <c r="E9" s="217" t="s">
        <v>1352</v>
      </c>
      <c r="F9" s="218" t="s">
        <v>1348</v>
      </c>
      <c r="G9" s="116">
        <v>990</v>
      </c>
      <c r="H9" s="1776" t="s">
        <v>1349</v>
      </c>
      <c r="J9" s="224"/>
      <c r="K9" s="34" t="s">
        <v>25</v>
      </c>
      <c r="L9" s="475"/>
      <c r="M9" s="224"/>
      <c r="N9" s="224"/>
      <c r="O9" s="902" t="s">
        <v>6395</v>
      </c>
    </row>
    <row r="10" spans="1:16" x14ac:dyDescent="0.3">
      <c r="A10" s="2402">
        <v>4</v>
      </c>
      <c r="B10" s="1114" t="s">
        <v>1346</v>
      </c>
      <c r="C10" s="216" t="s">
        <v>1344</v>
      </c>
      <c r="D10" s="113">
        <v>31</v>
      </c>
      <c r="E10" s="217" t="s">
        <v>535</v>
      </c>
      <c r="F10" s="218" t="s">
        <v>1348</v>
      </c>
      <c r="G10" s="116">
        <v>990</v>
      </c>
      <c r="H10" s="1776" t="s">
        <v>1349</v>
      </c>
      <c r="J10" s="224"/>
      <c r="K10" s="34" t="s">
        <v>25</v>
      </c>
      <c r="L10" s="475"/>
      <c r="M10" s="224"/>
      <c r="N10" s="224"/>
      <c r="O10" s="902" t="s">
        <v>6395</v>
      </c>
    </row>
    <row r="11" spans="1:16" x14ac:dyDescent="0.3">
      <c r="A11" s="2402">
        <v>5</v>
      </c>
      <c r="B11" s="1114" t="s">
        <v>1346</v>
      </c>
      <c r="C11" s="216" t="s">
        <v>1344</v>
      </c>
      <c r="D11" s="113">
        <v>31</v>
      </c>
      <c r="E11" s="217" t="s">
        <v>538</v>
      </c>
      <c r="F11" s="218" t="s">
        <v>1348</v>
      </c>
      <c r="G11" s="116">
        <v>990</v>
      </c>
      <c r="H11" s="1776" t="s">
        <v>1349</v>
      </c>
      <c r="J11" s="224"/>
      <c r="K11" s="34" t="s">
        <v>25</v>
      </c>
      <c r="L11" s="475"/>
      <c r="M11" s="224"/>
      <c r="N11" s="224"/>
      <c r="O11" s="902" t="s">
        <v>6395</v>
      </c>
    </row>
    <row r="12" spans="1:16" x14ac:dyDescent="0.3">
      <c r="A12" s="2401">
        <v>6</v>
      </c>
      <c r="B12" s="1114" t="s">
        <v>1346</v>
      </c>
      <c r="C12" s="216" t="s">
        <v>1344</v>
      </c>
      <c r="D12" s="113">
        <v>31</v>
      </c>
      <c r="E12" s="217" t="s">
        <v>934</v>
      </c>
      <c r="F12" s="218" t="s">
        <v>1348</v>
      </c>
      <c r="G12" s="116">
        <v>990</v>
      </c>
      <c r="H12" s="1776" t="s">
        <v>1349</v>
      </c>
      <c r="J12" s="224"/>
      <c r="K12" s="34" t="s">
        <v>25</v>
      </c>
      <c r="L12" s="475"/>
      <c r="M12" s="224"/>
      <c r="N12" s="224"/>
      <c r="O12" s="902" t="s">
        <v>6395</v>
      </c>
    </row>
    <row r="13" spans="1:16" x14ac:dyDescent="0.3">
      <c r="A13" s="2402">
        <v>7</v>
      </c>
      <c r="B13" s="1114" t="s">
        <v>1346</v>
      </c>
      <c r="C13" s="216" t="s">
        <v>1344</v>
      </c>
      <c r="D13" s="113">
        <v>31</v>
      </c>
      <c r="E13" s="217" t="s">
        <v>1353</v>
      </c>
      <c r="F13" s="218" t="s">
        <v>1348</v>
      </c>
      <c r="G13" s="116">
        <v>990</v>
      </c>
      <c r="H13" s="1776" t="s">
        <v>1349</v>
      </c>
      <c r="J13" s="224"/>
      <c r="K13" s="34" t="s">
        <v>25</v>
      </c>
      <c r="L13" s="475"/>
      <c r="M13" s="224"/>
      <c r="N13" s="224"/>
      <c r="O13" s="902" t="s">
        <v>6395</v>
      </c>
    </row>
    <row r="14" spans="1:16" x14ac:dyDescent="0.3">
      <c r="A14" s="2402">
        <v>8</v>
      </c>
      <c r="B14" s="1114" t="s">
        <v>1346</v>
      </c>
      <c r="C14" s="216" t="s">
        <v>1344</v>
      </c>
      <c r="D14" s="113">
        <v>31</v>
      </c>
      <c r="E14" s="217" t="s">
        <v>418</v>
      </c>
      <c r="F14" s="218" t="s">
        <v>1348</v>
      </c>
      <c r="G14" s="116">
        <v>990</v>
      </c>
      <c r="H14" s="1776" t="s">
        <v>1349</v>
      </c>
      <c r="J14" s="224"/>
      <c r="K14" s="34" t="s">
        <v>25</v>
      </c>
      <c r="L14" s="475"/>
      <c r="M14" s="224"/>
      <c r="N14" s="224"/>
      <c r="O14" s="902" t="s">
        <v>6395</v>
      </c>
    </row>
    <row r="15" spans="1:16" x14ac:dyDescent="0.3">
      <c r="A15" s="2401">
        <v>9</v>
      </c>
      <c r="B15" s="1114" t="s">
        <v>1346</v>
      </c>
      <c r="C15" s="216" t="s">
        <v>1344</v>
      </c>
      <c r="D15" s="113">
        <v>31</v>
      </c>
      <c r="E15" s="217" t="s">
        <v>542</v>
      </c>
      <c r="F15" s="218" t="s">
        <v>1348</v>
      </c>
      <c r="G15" s="116">
        <v>990</v>
      </c>
      <c r="H15" s="1776" t="s">
        <v>1349</v>
      </c>
      <c r="J15" s="224"/>
      <c r="K15" s="34" t="s">
        <v>25</v>
      </c>
      <c r="L15" s="475"/>
      <c r="M15" s="224"/>
      <c r="N15" s="224"/>
      <c r="O15" s="902" t="s">
        <v>6395</v>
      </c>
    </row>
    <row r="16" spans="1:16" x14ac:dyDescent="0.3">
      <c r="A16" s="2402">
        <v>10</v>
      </c>
      <c r="B16" s="1114" t="s">
        <v>1346</v>
      </c>
      <c r="C16" s="216" t="s">
        <v>1344</v>
      </c>
      <c r="D16" s="113">
        <v>31</v>
      </c>
      <c r="E16" s="419" t="s">
        <v>543</v>
      </c>
      <c r="F16" s="218" t="s">
        <v>1348</v>
      </c>
      <c r="G16" s="116">
        <v>990</v>
      </c>
      <c r="H16" s="1776" t="s">
        <v>1349</v>
      </c>
      <c r="J16" s="224"/>
      <c r="K16" s="34" t="s">
        <v>25</v>
      </c>
      <c r="L16" s="475"/>
      <c r="M16" s="224"/>
      <c r="N16" s="224"/>
      <c r="O16" s="902" t="s">
        <v>6395</v>
      </c>
    </row>
    <row r="17" spans="1:15" x14ac:dyDescent="0.3">
      <c r="A17" s="2402">
        <v>11</v>
      </c>
      <c r="B17" s="1114" t="s">
        <v>1346</v>
      </c>
      <c r="C17" s="216" t="s">
        <v>1344</v>
      </c>
      <c r="D17" s="113">
        <v>31</v>
      </c>
      <c r="E17" s="349" t="s">
        <v>544</v>
      </c>
      <c r="F17" s="218" t="s">
        <v>1348</v>
      </c>
      <c r="G17" s="116">
        <v>990</v>
      </c>
      <c r="H17" s="1776" t="s">
        <v>1349</v>
      </c>
      <c r="J17" s="224"/>
      <c r="K17" s="34" t="s">
        <v>25</v>
      </c>
      <c r="L17" s="475"/>
      <c r="M17" s="224"/>
      <c r="N17" s="224"/>
      <c r="O17" s="902" t="s">
        <v>6395</v>
      </c>
    </row>
    <row r="18" spans="1:15" x14ac:dyDescent="0.3">
      <c r="A18" s="2401">
        <v>12</v>
      </c>
      <c r="B18" s="1114" t="s">
        <v>1346</v>
      </c>
      <c r="C18" s="1117" t="s">
        <v>1344</v>
      </c>
      <c r="D18" s="113">
        <v>31</v>
      </c>
      <c r="E18" s="217" t="s">
        <v>545</v>
      </c>
      <c r="F18" s="218" t="s">
        <v>1348</v>
      </c>
      <c r="G18" s="116">
        <v>990</v>
      </c>
      <c r="H18" s="1776" t="s">
        <v>1349</v>
      </c>
      <c r="J18" s="224"/>
      <c r="K18" s="34" t="s">
        <v>25</v>
      </c>
      <c r="L18" s="475"/>
      <c r="M18" s="224"/>
      <c r="N18" s="224"/>
      <c r="O18" s="902" t="s">
        <v>6395</v>
      </c>
    </row>
    <row r="19" spans="1:15" x14ac:dyDescent="0.3">
      <c r="A19" s="2402">
        <v>13</v>
      </c>
      <c r="B19" s="1114" t="s">
        <v>1346</v>
      </c>
      <c r="C19" s="216" t="s">
        <v>1344</v>
      </c>
      <c r="D19" s="113">
        <v>31</v>
      </c>
      <c r="E19" s="217" t="s">
        <v>546</v>
      </c>
      <c r="F19" s="218" t="s">
        <v>1348</v>
      </c>
      <c r="G19" s="116">
        <v>990</v>
      </c>
      <c r="H19" s="1776" t="s">
        <v>1349</v>
      </c>
      <c r="J19" s="224"/>
      <c r="K19" s="34" t="s">
        <v>25</v>
      </c>
      <c r="L19" s="475"/>
      <c r="M19" s="224"/>
      <c r="N19" s="224"/>
      <c r="O19" s="902" t="s">
        <v>6395</v>
      </c>
    </row>
    <row r="20" spans="1:15" x14ac:dyDescent="0.3">
      <c r="A20" s="2402">
        <v>14</v>
      </c>
      <c r="B20" s="1114" t="s">
        <v>1346</v>
      </c>
      <c r="C20" s="216" t="s">
        <v>1344</v>
      </c>
      <c r="D20" s="113">
        <v>31</v>
      </c>
      <c r="E20" s="217" t="s">
        <v>547</v>
      </c>
      <c r="F20" s="218" t="s">
        <v>1348</v>
      </c>
      <c r="G20" s="116">
        <v>990</v>
      </c>
      <c r="H20" s="1776" t="s">
        <v>1349</v>
      </c>
      <c r="J20" s="224"/>
      <c r="K20" s="34" t="s">
        <v>25</v>
      </c>
      <c r="L20" s="475"/>
      <c r="M20" s="224"/>
      <c r="N20" s="224"/>
      <c r="O20" s="902" t="s">
        <v>6395</v>
      </c>
    </row>
    <row r="21" spans="1:15" x14ac:dyDescent="0.3">
      <c r="A21" s="2401">
        <v>15</v>
      </c>
      <c r="B21" s="1114" t="s">
        <v>1346</v>
      </c>
      <c r="C21" s="216" t="s">
        <v>1344</v>
      </c>
      <c r="D21" s="113">
        <v>31</v>
      </c>
      <c r="E21" s="217" t="s">
        <v>319</v>
      </c>
      <c r="F21" s="218" t="s">
        <v>1348</v>
      </c>
      <c r="G21" s="116">
        <v>990</v>
      </c>
      <c r="H21" s="1776" t="s">
        <v>1349</v>
      </c>
      <c r="J21" s="224"/>
      <c r="K21" s="34" t="s">
        <v>25</v>
      </c>
      <c r="L21" s="475"/>
      <c r="M21" s="224"/>
      <c r="N21" s="224"/>
      <c r="O21" s="902" t="s">
        <v>6395</v>
      </c>
    </row>
    <row r="22" spans="1:15" x14ac:dyDescent="0.3">
      <c r="A22" s="2402">
        <v>16</v>
      </c>
      <c r="B22" s="1114" t="s">
        <v>1346</v>
      </c>
      <c r="C22" s="216" t="s">
        <v>1344</v>
      </c>
      <c r="D22" s="113">
        <v>31</v>
      </c>
      <c r="E22" s="217" t="s">
        <v>320</v>
      </c>
      <c r="F22" s="218" t="s">
        <v>1348</v>
      </c>
      <c r="G22" s="116">
        <v>990</v>
      </c>
      <c r="H22" s="1776" t="s">
        <v>1349</v>
      </c>
      <c r="J22" s="224"/>
      <c r="K22" s="34" t="s">
        <v>25</v>
      </c>
      <c r="L22" s="475"/>
      <c r="M22" s="224"/>
      <c r="N22" s="224"/>
      <c r="O22" s="902" t="s">
        <v>6395</v>
      </c>
    </row>
    <row r="23" spans="1:15" x14ac:dyDescent="0.3">
      <c r="A23" s="2402">
        <v>17</v>
      </c>
      <c r="B23" s="1114" t="s">
        <v>1346</v>
      </c>
      <c r="C23" s="1117" t="s">
        <v>1344</v>
      </c>
      <c r="D23" s="113">
        <v>31</v>
      </c>
      <c r="E23" s="217" t="s">
        <v>322</v>
      </c>
      <c r="F23" s="218" t="s">
        <v>1348</v>
      </c>
      <c r="G23" s="116">
        <v>990</v>
      </c>
      <c r="H23" s="1776" t="s">
        <v>1349</v>
      </c>
      <c r="J23" s="224"/>
      <c r="K23" s="34" t="s">
        <v>25</v>
      </c>
      <c r="L23" s="475"/>
      <c r="M23" s="224"/>
      <c r="N23" s="224"/>
      <c r="O23" s="902" t="s">
        <v>6395</v>
      </c>
    </row>
    <row r="24" spans="1:15" x14ac:dyDescent="0.3">
      <c r="A24" s="2401">
        <v>18</v>
      </c>
      <c r="B24" s="1114" t="s">
        <v>1346</v>
      </c>
      <c r="C24" s="216" t="s">
        <v>1344</v>
      </c>
      <c r="D24" s="113">
        <v>31</v>
      </c>
      <c r="E24" s="217" t="s">
        <v>324</v>
      </c>
      <c r="F24" s="218" t="s">
        <v>1348</v>
      </c>
      <c r="G24" s="116">
        <v>990</v>
      </c>
      <c r="H24" s="1776" t="s">
        <v>1349</v>
      </c>
      <c r="J24" s="224"/>
      <c r="K24" s="34" t="s">
        <v>25</v>
      </c>
      <c r="L24" s="475"/>
      <c r="M24" s="224"/>
      <c r="N24" s="224"/>
      <c r="O24" s="902" t="s">
        <v>6395</v>
      </c>
    </row>
    <row r="25" spans="1:15" x14ac:dyDescent="0.3">
      <c r="A25" s="2402">
        <v>19</v>
      </c>
      <c r="B25" s="1114" t="s">
        <v>1346</v>
      </c>
      <c r="C25" s="216" t="s">
        <v>1344</v>
      </c>
      <c r="D25" s="113">
        <v>31</v>
      </c>
      <c r="E25" s="217" t="s">
        <v>408</v>
      </c>
      <c r="F25" s="218" t="s">
        <v>1348</v>
      </c>
      <c r="G25" s="116">
        <v>990</v>
      </c>
      <c r="H25" s="1776" t="s">
        <v>1349</v>
      </c>
      <c r="J25" s="224"/>
      <c r="K25" s="34" t="s">
        <v>25</v>
      </c>
      <c r="L25" s="475"/>
      <c r="M25" s="224"/>
      <c r="N25" s="224"/>
      <c r="O25" s="902" t="s">
        <v>6395</v>
      </c>
    </row>
    <row r="26" spans="1:15" x14ac:dyDescent="0.3">
      <c r="A26" s="2402">
        <v>20</v>
      </c>
      <c r="B26" s="1114" t="s">
        <v>1346</v>
      </c>
      <c r="C26" s="216" t="s">
        <v>1344</v>
      </c>
      <c r="D26" s="113">
        <v>31</v>
      </c>
      <c r="E26" s="217" t="s">
        <v>409</v>
      </c>
      <c r="F26" s="218" t="s">
        <v>1348</v>
      </c>
      <c r="G26" s="116">
        <v>990</v>
      </c>
      <c r="H26" s="1776" t="s">
        <v>1349</v>
      </c>
      <c r="J26" s="224"/>
      <c r="K26" s="34" t="s">
        <v>25</v>
      </c>
      <c r="L26" s="475"/>
      <c r="M26" s="224"/>
      <c r="N26" s="224"/>
      <c r="O26" s="902" t="s">
        <v>6395</v>
      </c>
    </row>
    <row r="27" spans="1:15" x14ac:dyDescent="0.3">
      <c r="A27" s="2401">
        <v>21</v>
      </c>
      <c r="B27" s="1114" t="s">
        <v>1346</v>
      </c>
      <c r="C27" s="216" t="s">
        <v>1344</v>
      </c>
      <c r="D27" s="113">
        <v>31</v>
      </c>
      <c r="E27" s="217" t="s">
        <v>410</v>
      </c>
      <c r="F27" s="218" t="s">
        <v>1348</v>
      </c>
      <c r="G27" s="116">
        <v>990</v>
      </c>
      <c r="H27" s="1776" t="s">
        <v>1349</v>
      </c>
      <c r="J27" s="224"/>
      <c r="K27" s="34" t="s">
        <v>25</v>
      </c>
      <c r="L27" s="475"/>
      <c r="M27" s="224"/>
      <c r="N27" s="224"/>
      <c r="O27" s="902" t="s">
        <v>6395</v>
      </c>
    </row>
    <row r="28" spans="1:15" x14ac:dyDescent="0.3">
      <c r="A28" s="2402">
        <v>22</v>
      </c>
      <c r="B28" s="1114" t="s">
        <v>1346</v>
      </c>
      <c r="C28" s="216" t="s">
        <v>1344</v>
      </c>
      <c r="D28" s="113">
        <v>31</v>
      </c>
      <c r="E28" s="217" t="s">
        <v>411</v>
      </c>
      <c r="F28" s="218" t="s">
        <v>1348</v>
      </c>
      <c r="G28" s="116">
        <v>990</v>
      </c>
      <c r="H28" s="1776" t="s">
        <v>1349</v>
      </c>
      <c r="J28" s="224"/>
      <c r="K28" s="34" t="s">
        <v>25</v>
      </c>
      <c r="L28" s="475"/>
      <c r="M28" s="224"/>
      <c r="N28" s="224"/>
      <c r="O28" s="902" t="s">
        <v>6395</v>
      </c>
    </row>
    <row r="29" spans="1:15" x14ac:dyDescent="0.3">
      <c r="A29" s="2402">
        <v>23</v>
      </c>
      <c r="B29" s="1114" t="s">
        <v>1346</v>
      </c>
      <c r="C29" s="216" t="s">
        <v>1344</v>
      </c>
      <c r="D29" s="113">
        <v>31</v>
      </c>
      <c r="E29" s="217" t="s">
        <v>596</v>
      </c>
      <c r="F29" s="218" t="s">
        <v>1348</v>
      </c>
      <c r="G29" s="116">
        <v>990</v>
      </c>
      <c r="H29" s="1776" t="s">
        <v>1349</v>
      </c>
      <c r="J29" s="224"/>
      <c r="K29" s="34" t="s">
        <v>25</v>
      </c>
      <c r="L29" s="475"/>
      <c r="M29" s="224"/>
      <c r="N29" s="224"/>
      <c r="O29" s="902" t="s">
        <v>6395</v>
      </c>
    </row>
    <row r="30" spans="1:15" x14ac:dyDescent="0.3">
      <c r="A30" s="2401">
        <v>24</v>
      </c>
      <c r="B30" s="1114" t="s">
        <v>1346</v>
      </c>
      <c r="C30" s="1117" t="s">
        <v>1344</v>
      </c>
      <c r="D30" s="113">
        <v>31</v>
      </c>
      <c r="E30" s="217" t="s">
        <v>1354</v>
      </c>
      <c r="F30" s="218" t="s">
        <v>1348</v>
      </c>
      <c r="G30" s="116">
        <v>990</v>
      </c>
      <c r="H30" s="1776" t="s">
        <v>1349</v>
      </c>
      <c r="J30" s="224"/>
      <c r="K30" s="34" t="s">
        <v>25</v>
      </c>
      <c r="L30" s="475"/>
      <c r="M30" s="224"/>
      <c r="N30" s="224"/>
      <c r="O30" s="902" t="s">
        <v>6395</v>
      </c>
    </row>
    <row r="31" spans="1:15" x14ac:dyDescent="0.3">
      <c r="A31" s="2402">
        <v>25</v>
      </c>
      <c r="B31" s="1114" t="s">
        <v>1346</v>
      </c>
      <c r="C31" s="1119" t="s">
        <v>1344</v>
      </c>
      <c r="D31" s="113">
        <v>31</v>
      </c>
      <c r="E31" s="217" t="s">
        <v>1355</v>
      </c>
      <c r="F31" s="218" t="s">
        <v>1348</v>
      </c>
      <c r="G31" s="116">
        <v>990</v>
      </c>
      <c r="H31" s="1776" t="s">
        <v>1349</v>
      </c>
      <c r="J31" s="224"/>
      <c r="K31" s="34" t="s">
        <v>25</v>
      </c>
      <c r="L31" s="475"/>
      <c r="M31" s="224"/>
      <c r="N31" s="224"/>
      <c r="O31" s="902" t="s">
        <v>6395</v>
      </c>
    </row>
    <row r="32" spans="1:15" x14ac:dyDescent="0.3">
      <c r="A32" s="2402">
        <v>26</v>
      </c>
      <c r="B32" s="1114" t="s">
        <v>1346</v>
      </c>
      <c r="C32" s="1120" t="s">
        <v>1344</v>
      </c>
      <c r="D32" s="113">
        <v>31</v>
      </c>
      <c r="E32" s="217" t="s">
        <v>1356</v>
      </c>
      <c r="F32" s="218" t="s">
        <v>1348</v>
      </c>
      <c r="G32" s="116">
        <v>990</v>
      </c>
      <c r="H32" s="1776" t="s">
        <v>1349</v>
      </c>
      <c r="J32" s="224"/>
      <c r="K32" s="34" t="s">
        <v>25</v>
      </c>
      <c r="L32" s="475"/>
      <c r="M32" s="224"/>
      <c r="N32" s="224"/>
      <c r="O32" s="902" t="s">
        <v>6395</v>
      </c>
    </row>
    <row r="33" spans="1:15" x14ac:dyDescent="0.3">
      <c r="A33" s="2401">
        <v>27</v>
      </c>
      <c r="B33" s="1114" t="s">
        <v>1346</v>
      </c>
      <c r="C33" s="216" t="s">
        <v>1344</v>
      </c>
      <c r="D33" s="113">
        <v>31</v>
      </c>
      <c r="E33" s="217" t="s">
        <v>551</v>
      </c>
      <c r="F33" s="218" t="s">
        <v>1348</v>
      </c>
      <c r="G33" s="116">
        <v>990</v>
      </c>
      <c r="H33" s="1776" t="s">
        <v>1349</v>
      </c>
      <c r="J33" s="224"/>
      <c r="K33" s="34" t="s">
        <v>25</v>
      </c>
      <c r="L33" s="475"/>
      <c r="M33" s="224"/>
      <c r="N33" s="224"/>
      <c r="O33" s="902" t="s">
        <v>6395</v>
      </c>
    </row>
    <row r="34" spans="1:15" x14ac:dyDescent="0.3">
      <c r="A34" s="2402">
        <v>28</v>
      </c>
      <c r="B34" s="1114" t="s">
        <v>1346</v>
      </c>
      <c r="C34" s="216" t="s">
        <v>1344</v>
      </c>
      <c r="D34" s="113">
        <v>31</v>
      </c>
      <c r="E34" s="217" t="s">
        <v>555</v>
      </c>
      <c r="F34" s="218" t="s">
        <v>1348</v>
      </c>
      <c r="G34" s="116">
        <v>990</v>
      </c>
      <c r="H34" s="1776" t="s">
        <v>1349</v>
      </c>
      <c r="J34" s="224"/>
      <c r="K34" s="34" t="s">
        <v>25</v>
      </c>
      <c r="L34" s="475"/>
      <c r="M34" s="224"/>
      <c r="N34" s="224"/>
      <c r="O34" s="902" t="s">
        <v>6395</v>
      </c>
    </row>
    <row r="35" spans="1:15" x14ac:dyDescent="0.3">
      <c r="A35" s="2402">
        <v>29</v>
      </c>
      <c r="B35" s="1114" t="s">
        <v>1346</v>
      </c>
      <c r="C35" s="1117" t="s">
        <v>1344</v>
      </c>
      <c r="D35" s="113">
        <v>31</v>
      </c>
      <c r="E35" s="217" t="s">
        <v>557</v>
      </c>
      <c r="F35" s="218" t="s">
        <v>1348</v>
      </c>
      <c r="G35" s="116">
        <v>990</v>
      </c>
      <c r="H35" s="1776" t="s">
        <v>1349</v>
      </c>
      <c r="J35" s="224"/>
      <c r="K35" s="34" t="s">
        <v>25</v>
      </c>
      <c r="L35" s="475"/>
      <c r="M35" s="224"/>
      <c r="N35" s="224"/>
      <c r="O35" s="902" t="s">
        <v>6395</v>
      </c>
    </row>
    <row r="36" spans="1:15" x14ac:dyDescent="0.3">
      <c r="A36" s="2401">
        <v>30</v>
      </c>
      <c r="B36" s="1114" t="s">
        <v>1346</v>
      </c>
      <c r="C36" s="216" t="s">
        <v>1344</v>
      </c>
      <c r="D36" s="113">
        <v>31</v>
      </c>
      <c r="E36" s="419" t="s">
        <v>1357</v>
      </c>
      <c r="F36" s="218" t="s">
        <v>1348</v>
      </c>
      <c r="G36" s="116">
        <v>990</v>
      </c>
      <c r="H36" s="1776" t="s">
        <v>1349</v>
      </c>
      <c r="J36" s="224"/>
      <c r="K36" s="34" t="s">
        <v>25</v>
      </c>
      <c r="L36" s="475"/>
      <c r="M36" s="224"/>
      <c r="N36" s="224"/>
      <c r="O36" s="902" t="s">
        <v>6395</v>
      </c>
    </row>
    <row r="37" spans="1:15" x14ac:dyDescent="0.3">
      <c r="A37" s="2402">
        <v>31</v>
      </c>
      <c r="B37" s="1114" t="s">
        <v>1346</v>
      </c>
      <c r="C37" s="216" t="s">
        <v>1344</v>
      </c>
      <c r="D37" s="113">
        <v>31</v>
      </c>
      <c r="E37" s="349" t="s">
        <v>1358</v>
      </c>
      <c r="F37" s="218" t="s">
        <v>1348</v>
      </c>
      <c r="G37" s="116">
        <v>990</v>
      </c>
      <c r="H37" s="1776" t="s">
        <v>1349</v>
      </c>
      <c r="J37" s="224"/>
      <c r="K37" s="34" t="s">
        <v>25</v>
      </c>
      <c r="L37" s="475"/>
      <c r="M37" s="224"/>
      <c r="N37" s="224"/>
      <c r="O37" s="902" t="s">
        <v>6395</v>
      </c>
    </row>
    <row r="38" spans="1:15" x14ac:dyDescent="0.3">
      <c r="A38" s="2402">
        <v>32</v>
      </c>
      <c r="B38" s="1114" t="s">
        <v>1346</v>
      </c>
      <c r="C38" s="1117" t="s">
        <v>1344</v>
      </c>
      <c r="D38" s="113">
        <v>31</v>
      </c>
      <c r="E38" s="217" t="s">
        <v>1359</v>
      </c>
      <c r="F38" s="218" t="s">
        <v>1348</v>
      </c>
      <c r="G38" s="116">
        <v>990</v>
      </c>
      <c r="H38" s="1776" t="s">
        <v>1349</v>
      </c>
      <c r="J38" s="224"/>
      <c r="K38" s="34" t="s">
        <v>25</v>
      </c>
      <c r="L38" s="475"/>
      <c r="M38" s="224"/>
      <c r="N38" s="224"/>
      <c r="O38" s="902" t="s">
        <v>6395</v>
      </c>
    </row>
    <row r="39" spans="1:15" x14ac:dyDescent="0.3">
      <c r="A39" s="2401">
        <v>33</v>
      </c>
      <c r="B39" s="1114" t="s">
        <v>1346</v>
      </c>
      <c r="C39" s="216" t="s">
        <v>1344</v>
      </c>
      <c r="D39" s="113">
        <v>31</v>
      </c>
      <c r="E39" s="217" t="s">
        <v>1360</v>
      </c>
      <c r="F39" s="218" t="s">
        <v>1348</v>
      </c>
      <c r="G39" s="116">
        <v>990</v>
      </c>
      <c r="H39" s="1776" t="s">
        <v>1349</v>
      </c>
      <c r="J39" s="224"/>
      <c r="K39" s="34" t="s">
        <v>25</v>
      </c>
      <c r="L39" s="475"/>
      <c r="M39" s="224"/>
      <c r="N39" s="224"/>
      <c r="O39" s="902" t="s">
        <v>6395</v>
      </c>
    </row>
    <row r="40" spans="1:15" x14ac:dyDescent="0.3">
      <c r="A40" s="2402">
        <v>34</v>
      </c>
      <c r="B40" s="1114" t="s">
        <v>1346</v>
      </c>
      <c r="C40" s="216" t="s">
        <v>1344</v>
      </c>
      <c r="D40" s="113">
        <v>31</v>
      </c>
      <c r="E40" s="217" t="s">
        <v>584</v>
      </c>
      <c r="F40" s="218" t="s">
        <v>1348</v>
      </c>
      <c r="G40" s="116">
        <v>990</v>
      </c>
      <c r="H40" s="1776" t="s">
        <v>1349</v>
      </c>
      <c r="J40" s="224"/>
      <c r="K40" s="34" t="s">
        <v>25</v>
      </c>
      <c r="L40" s="475"/>
      <c r="M40" s="224"/>
      <c r="N40" s="224"/>
      <c r="O40" s="902" t="s">
        <v>6395</v>
      </c>
    </row>
    <row r="41" spans="1:15" x14ac:dyDescent="0.3">
      <c r="A41" s="2402">
        <v>35</v>
      </c>
      <c r="B41" s="1114" t="s">
        <v>1346</v>
      </c>
      <c r="C41" s="216" t="s">
        <v>1344</v>
      </c>
      <c r="D41" s="113">
        <v>31</v>
      </c>
      <c r="E41" s="217" t="s">
        <v>586</v>
      </c>
      <c r="F41" s="218" t="s">
        <v>1348</v>
      </c>
      <c r="G41" s="116">
        <v>990</v>
      </c>
      <c r="H41" s="1776" t="s">
        <v>1349</v>
      </c>
      <c r="J41" s="224"/>
      <c r="K41" s="34" t="s">
        <v>25</v>
      </c>
      <c r="L41" s="475"/>
      <c r="M41" s="224"/>
      <c r="N41" s="224"/>
      <c r="O41" s="902" t="s">
        <v>6395</v>
      </c>
    </row>
    <row r="42" spans="1:15" x14ac:dyDescent="0.3">
      <c r="A42" s="2401">
        <v>36</v>
      </c>
      <c r="B42" s="1114" t="s">
        <v>1346</v>
      </c>
      <c r="C42" s="1117" t="s">
        <v>1344</v>
      </c>
      <c r="D42" s="113">
        <v>31</v>
      </c>
      <c r="E42" s="217" t="s">
        <v>587</v>
      </c>
      <c r="F42" s="218" t="s">
        <v>1348</v>
      </c>
      <c r="G42" s="116">
        <v>990</v>
      </c>
      <c r="H42" s="1776" t="s">
        <v>1349</v>
      </c>
      <c r="J42" s="224"/>
      <c r="K42" s="34" t="s">
        <v>25</v>
      </c>
      <c r="L42" s="475"/>
      <c r="M42" s="224"/>
      <c r="N42" s="224"/>
      <c r="O42" s="902" t="s">
        <v>6395</v>
      </c>
    </row>
    <row r="43" spans="1:15" x14ac:dyDescent="0.3">
      <c r="A43" s="2402">
        <v>37</v>
      </c>
      <c r="B43" s="1114" t="s">
        <v>1346</v>
      </c>
      <c r="C43" s="216" t="s">
        <v>1344</v>
      </c>
      <c r="D43" s="113">
        <v>31</v>
      </c>
      <c r="E43" s="217" t="s">
        <v>420</v>
      </c>
      <c r="F43" s="218" t="s">
        <v>1348</v>
      </c>
      <c r="G43" s="116">
        <v>990</v>
      </c>
      <c r="H43" s="1776" t="s">
        <v>1349</v>
      </c>
      <c r="J43" s="224"/>
      <c r="K43" s="34" t="s">
        <v>25</v>
      </c>
      <c r="L43" s="475"/>
      <c r="M43" s="224"/>
      <c r="N43" s="224"/>
      <c r="O43" s="902" t="s">
        <v>6395</v>
      </c>
    </row>
    <row r="44" spans="1:15" x14ac:dyDescent="0.3">
      <c r="A44" s="2402">
        <v>38</v>
      </c>
      <c r="B44" s="1114" t="s">
        <v>1346</v>
      </c>
      <c r="C44" s="216" t="s">
        <v>1344</v>
      </c>
      <c r="D44" s="113">
        <v>31</v>
      </c>
      <c r="E44" s="217" t="s">
        <v>588</v>
      </c>
      <c r="F44" s="218" t="s">
        <v>1348</v>
      </c>
      <c r="G44" s="116">
        <v>990</v>
      </c>
      <c r="H44" s="1776" t="s">
        <v>1349</v>
      </c>
      <c r="J44" s="224"/>
      <c r="K44" s="34" t="s">
        <v>25</v>
      </c>
      <c r="L44" s="475"/>
      <c r="M44" s="224"/>
      <c r="N44" s="224"/>
      <c r="O44" s="902" t="s">
        <v>6395</v>
      </c>
    </row>
    <row r="45" spans="1:15" x14ac:dyDescent="0.3">
      <c r="A45" s="2401">
        <v>39</v>
      </c>
      <c r="B45" s="1114" t="s">
        <v>1346</v>
      </c>
      <c r="C45" s="1117" t="s">
        <v>1344</v>
      </c>
      <c r="D45" s="113">
        <v>31</v>
      </c>
      <c r="E45" s="217" t="s">
        <v>561</v>
      </c>
      <c r="F45" s="218" t="s">
        <v>1348</v>
      </c>
      <c r="G45" s="116">
        <v>990</v>
      </c>
      <c r="H45" s="1776" t="s">
        <v>1349</v>
      </c>
      <c r="J45" s="224"/>
      <c r="K45" s="34" t="s">
        <v>25</v>
      </c>
      <c r="L45" s="475"/>
      <c r="M45" s="224"/>
      <c r="N45" s="224"/>
      <c r="O45" s="902" t="s">
        <v>6395</v>
      </c>
    </row>
    <row r="46" spans="1:15" x14ac:dyDescent="0.3">
      <c r="A46" s="2402">
        <v>40</v>
      </c>
      <c r="B46" s="1114" t="s">
        <v>1346</v>
      </c>
      <c r="C46" s="1117" t="s">
        <v>1344</v>
      </c>
      <c r="D46" s="113">
        <v>31</v>
      </c>
      <c r="E46" s="217" t="s">
        <v>590</v>
      </c>
      <c r="F46" s="218" t="s">
        <v>1348</v>
      </c>
      <c r="G46" s="116">
        <v>990</v>
      </c>
      <c r="H46" s="1776" t="s">
        <v>1349</v>
      </c>
      <c r="J46" s="224"/>
      <c r="K46" s="34" t="s">
        <v>25</v>
      </c>
      <c r="L46" s="475"/>
      <c r="M46" s="224"/>
      <c r="N46" s="224"/>
      <c r="O46" s="902" t="s">
        <v>6395</v>
      </c>
    </row>
    <row r="47" spans="1:15" x14ac:dyDescent="0.3">
      <c r="A47" s="2402">
        <v>41</v>
      </c>
      <c r="B47" s="1114" t="s">
        <v>1346</v>
      </c>
      <c r="C47" s="1117" t="s">
        <v>1344</v>
      </c>
      <c r="D47" s="113">
        <v>31</v>
      </c>
      <c r="E47" s="217" t="s">
        <v>591</v>
      </c>
      <c r="F47" s="218" t="s">
        <v>1348</v>
      </c>
      <c r="G47" s="116">
        <v>990</v>
      </c>
      <c r="H47" s="1776" t="s">
        <v>1349</v>
      </c>
      <c r="J47" s="224"/>
      <c r="K47" s="34" t="s">
        <v>25</v>
      </c>
      <c r="L47" s="475"/>
      <c r="M47" s="224"/>
      <c r="N47" s="224"/>
      <c r="O47" s="902" t="s">
        <v>6395</v>
      </c>
    </row>
    <row r="48" spans="1:15" x14ac:dyDescent="0.3">
      <c r="A48" s="2401">
        <v>42</v>
      </c>
      <c r="B48" s="1114" t="s">
        <v>1346</v>
      </c>
      <c r="C48" s="216" t="s">
        <v>1344</v>
      </c>
      <c r="D48" s="113">
        <v>31</v>
      </c>
      <c r="E48" s="217" t="s">
        <v>564</v>
      </c>
      <c r="F48" s="218" t="s">
        <v>1348</v>
      </c>
      <c r="G48" s="116">
        <v>990</v>
      </c>
      <c r="H48" s="1776" t="s">
        <v>1349</v>
      </c>
      <c r="J48" s="224"/>
      <c r="K48" s="34" t="s">
        <v>25</v>
      </c>
      <c r="L48" s="475"/>
      <c r="M48" s="224"/>
      <c r="N48" s="224"/>
      <c r="O48" s="902" t="s">
        <v>6395</v>
      </c>
    </row>
    <row r="49" spans="1:15" x14ac:dyDescent="0.3">
      <c r="A49" s="2402">
        <v>43</v>
      </c>
      <c r="B49" s="1114" t="s">
        <v>1346</v>
      </c>
      <c r="C49" s="216" t="s">
        <v>1344</v>
      </c>
      <c r="D49" s="113">
        <v>31</v>
      </c>
      <c r="E49" s="217" t="s">
        <v>565</v>
      </c>
      <c r="F49" s="218" t="s">
        <v>1348</v>
      </c>
      <c r="G49" s="116">
        <v>990</v>
      </c>
      <c r="H49" s="1776" t="s">
        <v>1349</v>
      </c>
      <c r="J49" s="224"/>
      <c r="K49" s="34" t="s">
        <v>25</v>
      </c>
      <c r="L49" s="475"/>
      <c r="M49" s="224"/>
      <c r="N49" s="224"/>
      <c r="O49" s="902" t="s">
        <v>6395</v>
      </c>
    </row>
    <row r="50" spans="1:15" x14ac:dyDescent="0.3">
      <c r="A50" s="2402">
        <v>44</v>
      </c>
      <c r="B50" s="1114" t="s">
        <v>1346</v>
      </c>
      <c r="C50" s="216" t="s">
        <v>1344</v>
      </c>
      <c r="D50" s="125">
        <v>31</v>
      </c>
      <c r="E50" s="217" t="s">
        <v>567</v>
      </c>
      <c r="F50" s="218" t="s">
        <v>1348</v>
      </c>
      <c r="G50" s="116">
        <v>990</v>
      </c>
      <c r="H50" s="1776" t="s">
        <v>1349</v>
      </c>
      <c r="J50" s="224"/>
      <c r="K50" s="34" t="s">
        <v>25</v>
      </c>
      <c r="L50" s="475"/>
      <c r="M50" s="224"/>
      <c r="N50" s="224"/>
      <c r="O50" s="902" t="s">
        <v>6395</v>
      </c>
    </row>
    <row r="51" spans="1:15" x14ac:dyDescent="0.3">
      <c r="A51" s="2401">
        <v>45</v>
      </c>
      <c r="B51" s="1114" t="s">
        <v>1346</v>
      </c>
      <c r="C51" s="216" t="s">
        <v>1344</v>
      </c>
      <c r="D51" s="128">
        <v>31</v>
      </c>
      <c r="E51" s="419" t="s">
        <v>568</v>
      </c>
      <c r="F51" s="218" t="s">
        <v>1348</v>
      </c>
      <c r="G51" s="116">
        <v>990</v>
      </c>
      <c r="H51" s="1776" t="s">
        <v>1349</v>
      </c>
      <c r="J51" s="224"/>
      <c r="K51" s="34" t="s">
        <v>25</v>
      </c>
      <c r="L51" s="475"/>
      <c r="M51" s="224"/>
      <c r="N51" s="224"/>
      <c r="O51" s="902" t="s">
        <v>6395</v>
      </c>
    </row>
    <row r="52" spans="1:15" x14ac:dyDescent="0.3">
      <c r="A52" s="2402">
        <v>46</v>
      </c>
      <c r="B52" s="1114" t="s">
        <v>1346</v>
      </c>
      <c r="C52" s="1117" t="s">
        <v>1344</v>
      </c>
      <c r="D52" s="113">
        <v>31</v>
      </c>
      <c r="E52" s="349" t="s">
        <v>569</v>
      </c>
      <c r="F52" s="218" t="s">
        <v>1348</v>
      </c>
      <c r="G52" s="116">
        <v>990</v>
      </c>
      <c r="H52" s="1776" t="s">
        <v>1349</v>
      </c>
      <c r="J52" s="224"/>
      <c r="K52" s="34" t="s">
        <v>25</v>
      </c>
      <c r="L52" s="475"/>
      <c r="M52" s="224"/>
      <c r="N52" s="224"/>
      <c r="O52" s="902" t="s">
        <v>6395</v>
      </c>
    </row>
    <row r="53" spans="1:15" x14ac:dyDescent="0.3">
      <c r="A53" s="2402">
        <v>47</v>
      </c>
      <c r="B53" s="1114" t="s">
        <v>1346</v>
      </c>
      <c r="C53" s="216" t="s">
        <v>1344</v>
      </c>
      <c r="D53" s="113">
        <v>31</v>
      </c>
      <c r="E53" s="217" t="s">
        <v>570</v>
      </c>
      <c r="F53" s="218" t="s">
        <v>1348</v>
      </c>
      <c r="G53" s="116">
        <v>990</v>
      </c>
      <c r="H53" s="1776" t="s">
        <v>1349</v>
      </c>
      <c r="J53" s="224"/>
      <c r="K53" s="34" t="s">
        <v>25</v>
      </c>
      <c r="L53" s="475"/>
      <c r="M53" s="224"/>
      <c r="N53" s="224"/>
      <c r="O53" s="902" t="s">
        <v>6395</v>
      </c>
    </row>
    <row r="54" spans="1:15" x14ac:dyDescent="0.3">
      <c r="A54" s="2401">
        <v>48</v>
      </c>
      <c r="B54" s="1114" t="s">
        <v>1346</v>
      </c>
      <c r="C54" s="1117" t="s">
        <v>1344</v>
      </c>
      <c r="D54" s="113">
        <v>31</v>
      </c>
      <c r="E54" s="217" t="s">
        <v>571</v>
      </c>
      <c r="F54" s="218" t="s">
        <v>1348</v>
      </c>
      <c r="G54" s="116">
        <v>990</v>
      </c>
      <c r="H54" s="1776" t="s">
        <v>1349</v>
      </c>
      <c r="J54" s="224"/>
      <c r="K54" s="34" t="s">
        <v>25</v>
      </c>
      <c r="L54" s="475"/>
      <c r="M54" s="224"/>
      <c r="N54" s="224"/>
      <c r="O54" s="902" t="s">
        <v>6395</v>
      </c>
    </row>
    <row r="55" spans="1:15" x14ac:dyDescent="0.3">
      <c r="A55" s="2402">
        <v>49</v>
      </c>
      <c r="B55" s="1114" t="s">
        <v>1346</v>
      </c>
      <c r="C55" s="1117" t="s">
        <v>1344</v>
      </c>
      <c r="D55" s="113">
        <v>31</v>
      </c>
      <c r="E55" s="217" t="s">
        <v>572</v>
      </c>
      <c r="F55" s="218" t="s">
        <v>1348</v>
      </c>
      <c r="G55" s="116">
        <v>990</v>
      </c>
      <c r="H55" s="1776" t="s">
        <v>1349</v>
      </c>
      <c r="J55" s="224"/>
      <c r="K55" s="34" t="s">
        <v>25</v>
      </c>
      <c r="L55" s="475"/>
      <c r="M55" s="224"/>
      <c r="N55" s="224"/>
      <c r="O55" s="902" t="s">
        <v>6395</v>
      </c>
    </row>
    <row r="56" spans="1:15" x14ac:dyDescent="0.3">
      <c r="A56" s="2402">
        <v>50</v>
      </c>
      <c r="B56" s="1114" t="s">
        <v>1346</v>
      </c>
      <c r="C56" s="1117" t="s">
        <v>1344</v>
      </c>
      <c r="D56" s="113">
        <v>31</v>
      </c>
      <c r="E56" s="217" t="s">
        <v>573</v>
      </c>
      <c r="F56" s="218" t="s">
        <v>1348</v>
      </c>
      <c r="G56" s="116">
        <v>990</v>
      </c>
      <c r="H56" s="1776" t="s">
        <v>1349</v>
      </c>
      <c r="J56" s="224"/>
      <c r="K56" s="34" t="s">
        <v>25</v>
      </c>
      <c r="L56" s="475"/>
      <c r="M56" s="224"/>
      <c r="N56" s="224"/>
      <c r="O56" s="902" t="s">
        <v>6395</v>
      </c>
    </row>
    <row r="57" spans="1:15" x14ac:dyDescent="0.3">
      <c r="A57" s="2401">
        <v>51</v>
      </c>
      <c r="B57" s="1114" t="s">
        <v>1346</v>
      </c>
      <c r="C57" s="216" t="s">
        <v>1344</v>
      </c>
      <c r="D57" s="113">
        <v>31</v>
      </c>
      <c r="E57" s="217" t="s">
        <v>574</v>
      </c>
      <c r="F57" s="218" t="s">
        <v>1348</v>
      </c>
      <c r="G57" s="116">
        <v>990</v>
      </c>
      <c r="H57" s="1776" t="s">
        <v>1349</v>
      </c>
      <c r="J57" s="224"/>
      <c r="K57" s="34" t="s">
        <v>25</v>
      </c>
      <c r="L57" s="475"/>
      <c r="M57" s="224"/>
      <c r="N57" s="224"/>
      <c r="O57" s="902" t="s">
        <v>6395</v>
      </c>
    </row>
    <row r="58" spans="1:15" x14ac:dyDescent="0.3">
      <c r="A58" s="2402">
        <v>52</v>
      </c>
      <c r="B58" s="1114" t="s">
        <v>1346</v>
      </c>
      <c r="C58" s="216" t="s">
        <v>1344</v>
      </c>
      <c r="D58" s="113">
        <v>31</v>
      </c>
      <c r="E58" s="217" t="s">
        <v>575</v>
      </c>
      <c r="F58" s="218" t="s">
        <v>1348</v>
      </c>
      <c r="G58" s="116">
        <v>990</v>
      </c>
      <c r="H58" s="1776" t="s">
        <v>1349</v>
      </c>
      <c r="J58" s="224"/>
      <c r="K58" s="34" t="s">
        <v>25</v>
      </c>
      <c r="L58" s="475"/>
      <c r="M58" s="224"/>
      <c r="N58" s="224"/>
      <c r="O58" s="902" t="s">
        <v>6395</v>
      </c>
    </row>
    <row r="59" spans="1:15" x14ac:dyDescent="0.3">
      <c r="A59" s="2402">
        <v>53</v>
      </c>
      <c r="B59" s="1114" t="s">
        <v>1346</v>
      </c>
      <c r="C59" s="216" t="s">
        <v>1344</v>
      </c>
      <c r="D59" s="113">
        <v>31</v>
      </c>
      <c r="E59" s="217" t="s">
        <v>576</v>
      </c>
      <c r="F59" s="218" t="s">
        <v>1348</v>
      </c>
      <c r="G59" s="116">
        <v>990</v>
      </c>
      <c r="H59" s="1776" t="s">
        <v>1349</v>
      </c>
      <c r="J59" s="224"/>
      <c r="K59" s="34" t="s">
        <v>25</v>
      </c>
      <c r="L59" s="475"/>
      <c r="M59" s="224"/>
      <c r="N59" s="224"/>
      <c r="O59" s="902" t="s">
        <v>6395</v>
      </c>
    </row>
    <row r="60" spans="1:15" x14ac:dyDescent="0.3">
      <c r="A60" s="2401">
        <v>54</v>
      </c>
      <c r="B60" s="1114" t="s">
        <v>1346</v>
      </c>
      <c r="C60" s="216" t="s">
        <v>1344</v>
      </c>
      <c r="D60" s="113">
        <v>31</v>
      </c>
      <c r="E60" s="217" t="s">
        <v>578</v>
      </c>
      <c r="F60" s="218" t="s">
        <v>1348</v>
      </c>
      <c r="G60" s="116">
        <v>990</v>
      </c>
      <c r="H60" s="1776" t="s">
        <v>1349</v>
      </c>
      <c r="J60" s="224"/>
      <c r="K60" s="34" t="s">
        <v>25</v>
      </c>
      <c r="L60" s="475"/>
      <c r="M60" s="224"/>
      <c r="N60" s="224"/>
      <c r="O60" s="902" t="s">
        <v>6395</v>
      </c>
    </row>
    <row r="61" spans="1:15" x14ac:dyDescent="0.3">
      <c r="A61" s="2402">
        <v>55</v>
      </c>
      <c r="B61" s="1114" t="s">
        <v>1346</v>
      </c>
      <c r="C61" s="216" t="s">
        <v>1344</v>
      </c>
      <c r="D61" s="113">
        <v>31</v>
      </c>
      <c r="E61" s="217" t="s">
        <v>1361</v>
      </c>
      <c r="F61" s="218" t="s">
        <v>1348</v>
      </c>
      <c r="G61" s="116">
        <v>990</v>
      </c>
      <c r="H61" s="1776" t="s">
        <v>1349</v>
      </c>
      <c r="J61" s="224"/>
      <c r="K61" s="34" t="s">
        <v>25</v>
      </c>
      <c r="L61" s="475"/>
      <c r="M61" s="224"/>
      <c r="N61" s="224"/>
      <c r="O61" s="902" t="s">
        <v>6395</v>
      </c>
    </row>
    <row r="62" spans="1:15" x14ac:dyDescent="0.3">
      <c r="A62" s="2402">
        <v>56</v>
      </c>
      <c r="B62" s="1114" t="s">
        <v>1346</v>
      </c>
      <c r="C62" s="216" t="s">
        <v>1344</v>
      </c>
      <c r="D62" s="113">
        <v>31</v>
      </c>
      <c r="E62" s="217" t="s">
        <v>1362</v>
      </c>
      <c r="F62" s="218" t="s">
        <v>1348</v>
      </c>
      <c r="G62" s="116">
        <v>990</v>
      </c>
      <c r="H62" s="1776" t="s">
        <v>1349</v>
      </c>
      <c r="J62" s="224"/>
      <c r="K62" s="34" t="s">
        <v>25</v>
      </c>
      <c r="L62" s="475"/>
      <c r="M62" s="224"/>
      <c r="N62" s="224"/>
      <c r="O62" s="902" t="s">
        <v>6395</v>
      </c>
    </row>
    <row r="63" spans="1:15" x14ac:dyDescent="0.3">
      <c r="A63" s="2401">
        <v>57</v>
      </c>
      <c r="B63" s="1114" t="s">
        <v>1346</v>
      </c>
      <c r="C63" s="216" t="s">
        <v>1344</v>
      </c>
      <c r="D63" s="113">
        <v>31</v>
      </c>
      <c r="E63" s="217" t="s">
        <v>1363</v>
      </c>
      <c r="F63" s="218" t="s">
        <v>1348</v>
      </c>
      <c r="G63" s="116">
        <v>990</v>
      </c>
      <c r="H63" s="1776" t="s">
        <v>1349</v>
      </c>
      <c r="J63" s="224"/>
      <c r="K63" s="34" t="s">
        <v>25</v>
      </c>
      <c r="L63" s="475"/>
      <c r="M63" s="224"/>
      <c r="N63" s="224"/>
      <c r="O63" s="902" t="s">
        <v>6395</v>
      </c>
    </row>
    <row r="64" spans="1:15" x14ac:dyDescent="0.3">
      <c r="A64" s="2402">
        <v>58</v>
      </c>
      <c r="B64" s="1114" t="s">
        <v>1346</v>
      </c>
      <c r="C64" s="1117" t="s">
        <v>1344</v>
      </c>
      <c r="D64" s="113">
        <v>31</v>
      </c>
      <c r="E64" s="217" t="s">
        <v>1364</v>
      </c>
      <c r="F64" s="218" t="s">
        <v>1348</v>
      </c>
      <c r="G64" s="116">
        <v>990</v>
      </c>
      <c r="H64" s="1776" t="s">
        <v>1349</v>
      </c>
      <c r="J64" s="224"/>
      <c r="K64" s="34" t="s">
        <v>25</v>
      </c>
      <c r="L64" s="475"/>
      <c r="M64" s="224"/>
      <c r="N64" s="224"/>
      <c r="O64" s="902" t="s">
        <v>6395</v>
      </c>
    </row>
    <row r="65" spans="1:15" x14ac:dyDescent="0.3">
      <c r="A65" s="2402">
        <v>59</v>
      </c>
      <c r="B65" s="1114" t="s">
        <v>1346</v>
      </c>
      <c r="C65" s="216" t="s">
        <v>1344</v>
      </c>
      <c r="D65" s="113">
        <v>31</v>
      </c>
      <c r="E65" s="217" t="s">
        <v>1365</v>
      </c>
      <c r="F65" s="218" t="s">
        <v>1348</v>
      </c>
      <c r="G65" s="116">
        <v>990</v>
      </c>
      <c r="H65" s="1776" t="s">
        <v>1349</v>
      </c>
      <c r="J65" s="224"/>
      <c r="K65" s="34" t="s">
        <v>25</v>
      </c>
      <c r="L65" s="475"/>
      <c r="M65" s="224"/>
      <c r="N65" s="224"/>
      <c r="O65" s="902" t="s">
        <v>6395</v>
      </c>
    </row>
    <row r="66" spans="1:15" x14ac:dyDescent="0.3">
      <c r="A66" s="2401">
        <v>60</v>
      </c>
      <c r="B66" s="1114" t="s">
        <v>1346</v>
      </c>
      <c r="C66" s="1117" t="s">
        <v>1344</v>
      </c>
      <c r="D66" s="113">
        <v>31</v>
      </c>
      <c r="E66" s="217" t="s">
        <v>948</v>
      </c>
      <c r="F66" s="218" t="s">
        <v>1348</v>
      </c>
      <c r="G66" s="116">
        <v>990</v>
      </c>
      <c r="H66" s="1776" t="s">
        <v>1349</v>
      </c>
      <c r="J66" s="224"/>
      <c r="K66" s="34" t="s">
        <v>25</v>
      </c>
      <c r="L66" s="475"/>
      <c r="M66" s="224"/>
      <c r="N66" s="224"/>
      <c r="O66" s="902" t="s">
        <v>6395</v>
      </c>
    </row>
    <row r="67" spans="1:15" x14ac:dyDescent="0.3">
      <c r="A67" s="2402">
        <v>61</v>
      </c>
      <c r="B67" s="1114" t="s">
        <v>1346</v>
      </c>
      <c r="C67" s="1117" t="s">
        <v>1344</v>
      </c>
      <c r="D67" s="113">
        <v>31</v>
      </c>
      <c r="E67" s="217" t="s">
        <v>1366</v>
      </c>
      <c r="F67" s="218" t="s">
        <v>1348</v>
      </c>
      <c r="G67" s="116">
        <v>990</v>
      </c>
      <c r="H67" s="1776" t="s">
        <v>1349</v>
      </c>
      <c r="J67" s="224"/>
      <c r="K67" s="34" t="s">
        <v>25</v>
      </c>
      <c r="L67" s="475"/>
      <c r="M67" s="224"/>
      <c r="N67" s="224"/>
      <c r="O67" s="902" t="s">
        <v>6395</v>
      </c>
    </row>
    <row r="68" spans="1:15" x14ac:dyDescent="0.3">
      <c r="A68" s="2402">
        <v>62</v>
      </c>
      <c r="B68" s="1114" t="s">
        <v>1346</v>
      </c>
      <c r="C68" s="1117" t="s">
        <v>1344</v>
      </c>
      <c r="D68" s="113">
        <v>31</v>
      </c>
      <c r="E68" s="217" t="s">
        <v>1367</v>
      </c>
      <c r="F68" s="218" t="s">
        <v>1348</v>
      </c>
      <c r="G68" s="116">
        <v>990</v>
      </c>
      <c r="H68" s="1776" t="s">
        <v>1349</v>
      </c>
      <c r="J68" s="224"/>
      <c r="K68" s="34" t="s">
        <v>25</v>
      </c>
      <c r="L68" s="475"/>
      <c r="M68" s="224"/>
      <c r="N68" s="224"/>
      <c r="O68" s="902" t="s">
        <v>6395</v>
      </c>
    </row>
    <row r="69" spans="1:15" x14ac:dyDescent="0.3">
      <c r="A69" s="2401">
        <v>63</v>
      </c>
      <c r="B69" s="1114" t="s">
        <v>1346</v>
      </c>
      <c r="C69" s="216" t="s">
        <v>1344</v>
      </c>
      <c r="D69" s="113">
        <v>31</v>
      </c>
      <c r="E69" s="217" t="s">
        <v>1369</v>
      </c>
      <c r="F69" s="218" t="s">
        <v>1348</v>
      </c>
      <c r="G69" s="116">
        <v>990</v>
      </c>
      <c r="H69" s="1776" t="s">
        <v>1349</v>
      </c>
      <c r="J69" s="224"/>
      <c r="K69" s="34" t="s">
        <v>25</v>
      </c>
      <c r="L69" s="475"/>
      <c r="M69" s="224"/>
      <c r="N69" s="224"/>
      <c r="O69" s="902" t="s">
        <v>6395</v>
      </c>
    </row>
    <row r="70" spans="1:15" x14ac:dyDescent="0.3">
      <c r="A70" s="2402">
        <v>64</v>
      </c>
      <c r="B70" s="1114" t="s">
        <v>1346</v>
      </c>
      <c r="C70" s="216" t="s">
        <v>1344</v>
      </c>
      <c r="D70" s="113">
        <v>31</v>
      </c>
      <c r="E70" s="217" t="s">
        <v>1370</v>
      </c>
      <c r="F70" s="218" t="s">
        <v>1348</v>
      </c>
      <c r="G70" s="116">
        <v>990</v>
      </c>
      <c r="H70" s="1776" t="s">
        <v>1349</v>
      </c>
      <c r="J70" s="224"/>
      <c r="K70" s="34" t="s">
        <v>25</v>
      </c>
      <c r="L70" s="475"/>
      <c r="M70" s="224"/>
      <c r="N70" s="224"/>
      <c r="O70" s="902" t="s">
        <v>6395</v>
      </c>
    </row>
    <row r="71" spans="1:15" x14ac:dyDescent="0.3">
      <c r="A71" s="2402">
        <v>65</v>
      </c>
      <c r="B71" s="1114" t="s">
        <v>1346</v>
      </c>
      <c r="C71" s="216" t="s">
        <v>1344</v>
      </c>
      <c r="D71" s="113">
        <v>31</v>
      </c>
      <c r="E71" s="217" t="s">
        <v>1371</v>
      </c>
      <c r="F71" s="218" t="s">
        <v>1348</v>
      </c>
      <c r="G71" s="116">
        <v>990</v>
      </c>
      <c r="H71" s="1776" t="s">
        <v>1349</v>
      </c>
      <c r="J71" s="224"/>
      <c r="K71" s="34" t="s">
        <v>25</v>
      </c>
      <c r="L71" s="475"/>
      <c r="M71" s="224"/>
      <c r="N71" s="224"/>
      <c r="O71" s="902" t="s">
        <v>6395</v>
      </c>
    </row>
    <row r="72" spans="1:15" x14ac:dyDescent="0.3">
      <c r="A72" s="2401">
        <v>66</v>
      </c>
      <c r="B72" s="1114" t="s">
        <v>1346</v>
      </c>
      <c r="C72" s="216" t="s">
        <v>1344</v>
      </c>
      <c r="D72" s="113">
        <v>31</v>
      </c>
      <c r="E72" s="217" t="s">
        <v>1372</v>
      </c>
      <c r="F72" s="218" t="s">
        <v>1348</v>
      </c>
      <c r="G72" s="116">
        <v>990</v>
      </c>
      <c r="H72" s="1776" t="s">
        <v>1349</v>
      </c>
      <c r="J72" s="224"/>
      <c r="K72" s="34" t="s">
        <v>25</v>
      </c>
      <c r="L72" s="475"/>
      <c r="M72" s="224"/>
      <c r="N72" s="224"/>
      <c r="O72" s="902" t="s">
        <v>6395</v>
      </c>
    </row>
    <row r="73" spans="1:15" x14ac:dyDescent="0.3">
      <c r="A73" s="2402">
        <v>67</v>
      </c>
      <c r="B73" s="1114" t="s">
        <v>1346</v>
      </c>
      <c r="C73" s="216" t="s">
        <v>1344</v>
      </c>
      <c r="D73" s="113">
        <v>31</v>
      </c>
      <c r="E73" s="217" t="s">
        <v>1373</v>
      </c>
      <c r="F73" s="218" t="s">
        <v>1348</v>
      </c>
      <c r="G73" s="116">
        <v>990</v>
      </c>
      <c r="H73" s="1776" t="s">
        <v>1349</v>
      </c>
      <c r="J73" s="224"/>
      <c r="K73" s="34" t="s">
        <v>25</v>
      </c>
      <c r="L73" s="475"/>
      <c r="M73" s="224"/>
      <c r="N73" s="224"/>
      <c r="O73" s="902" t="s">
        <v>6395</v>
      </c>
    </row>
    <row r="74" spans="1:15" x14ac:dyDescent="0.3">
      <c r="A74" s="2402">
        <v>68</v>
      </c>
      <c r="B74" s="1114" t="s">
        <v>1346</v>
      </c>
      <c r="C74" s="1117" t="s">
        <v>1344</v>
      </c>
      <c r="D74" s="113">
        <v>31</v>
      </c>
      <c r="E74" s="217" t="s">
        <v>1374</v>
      </c>
      <c r="F74" s="218" t="s">
        <v>1348</v>
      </c>
      <c r="G74" s="116">
        <v>990</v>
      </c>
      <c r="H74" s="1776" t="s">
        <v>1349</v>
      </c>
      <c r="J74" s="224"/>
      <c r="K74" s="34" t="s">
        <v>25</v>
      </c>
      <c r="L74" s="475"/>
      <c r="M74" s="224"/>
      <c r="N74" s="224"/>
      <c r="O74" s="902" t="s">
        <v>6395</v>
      </c>
    </row>
    <row r="75" spans="1:15" x14ac:dyDescent="0.3">
      <c r="A75" s="2401">
        <v>69</v>
      </c>
      <c r="B75" s="1114" t="s">
        <v>1346</v>
      </c>
      <c r="C75" s="1117" t="s">
        <v>1344</v>
      </c>
      <c r="D75" s="113">
        <v>31</v>
      </c>
      <c r="E75" s="217" t="s">
        <v>951</v>
      </c>
      <c r="F75" s="218" t="s">
        <v>1348</v>
      </c>
      <c r="G75" s="116">
        <v>990</v>
      </c>
      <c r="H75" s="1776" t="s">
        <v>1349</v>
      </c>
      <c r="J75" s="224"/>
      <c r="K75" s="34" t="s">
        <v>25</v>
      </c>
      <c r="L75" s="475"/>
      <c r="M75" s="224"/>
      <c r="N75" s="224"/>
      <c r="O75" s="902" t="s">
        <v>6395</v>
      </c>
    </row>
    <row r="76" spans="1:15" x14ac:dyDescent="0.3">
      <c r="A76" s="2402">
        <v>70</v>
      </c>
      <c r="B76" s="1114" t="s">
        <v>1346</v>
      </c>
      <c r="C76" s="216" t="s">
        <v>1344</v>
      </c>
      <c r="D76" s="113">
        <v>31</v>
      </c>
      <c r="E76" s="217" t="s">
        <v>953</v>
      </c>
      <c r="F76" s="218" t="s">
        <v>1348</v>
      </c>
      <c r="G76" s="116">
        <v>990</v>
      </c>
      <c r="H76" s="1776" t="s">
        <v>1349</v>
      </c>
      <c r="J76" s="224"/>
      <c r="K76" s="34" t="s">
        <v>25</v>
      </c>
      <c r="L76" s="475"/>
      <c r="M76" s="224"/>
      <c r="N76" s="224"/>
      <c r="O76" s="902" t="s">
        <v>6395</v>
      </c>
    </row>
    <row r="77" spans="1:15" x14ac:dyDescent="0.3">
      <c r="A77" s="2402">
        <v>71</v>
      </c>
      <c r="B77" s="1114" t="s">
        <v>1346</v>
      </c>
      <c r="C77" s="1117" t="s">
        <v>1344</v>
      </c>
      <c r="D77" s="113">
        <v>31</v>
      </c>
      <c r="E77" s="217" t="s">
        <v>1375</v>
      </c>
      <c r="F77" s="218" t="s">
        <v>1348</v>
      </c>
      <c r="G77" s="116">
        <v>990</v>
      </c>
      <c r="H77" s="1776" t="s">
        <v>1349</v>
      </c>
      <c r="J77" s="224"/>
      <c r="K77" s="34" t="s">
        <v>25</v>
      </c>
      <c r="L77" s="475"/>
      <c r="M77" s="224"/>
      <c r="N77" s="224"/>
      <c r="O77" s="902" t="s">
        <v>6395</v>
      </c>
    </row>
    <row r="78" spans="1:15" x14ac:dyDescent="0.3">
      <c r="A78" s="2401">
        <v>72</v>
      </c>
      <c r="B78" s="1114" t="s">
        <v>1346</v>
      </c>
      <c r="C78" s="216" t="s">
        <v>1344</v>
      </c>
      <c r="D78" s="113">
        <v>31</v>
      </c>
      <c r="E78" s="217" t="s">
        <v>1376</v>
      </c>
      <c r="F78" s="218" t="s">
        <v>1348</v>
      </c>
      <c r="G78" s="116">
        <v>990</v>
      </c>
      <c r="H78" s="1776" t="s">
        <v>1349</v>
      </c>
      <c r="J78" s="224"/>
      <c r="K78" s="34" t="s">
        <v>25</v>
      </c>
      <c r="L78" s="475"/>
      <c r="M78" s="224"/>
      <c r="N78" s="224"/>
      <c r="O78" s="902" t="s">
        <v>6395</v>
      </c>
    </row>
    <row r="79" spans="1:15" x14ac:dyDescent="0.3">
      <c r="A79" s="2402">
        <v>73</v>
      </c>
      <c r="B79" s="1114" t="s">
        <v>1346</v>
      </c>
      <c r="C79" s="1117" t="s">
        <v>1344</v>
      </c>
      <c r="D79" s="113">
        <v>31</v>
      </c>
      <c r="E79" s="217" t="s">
        <v>1377</v>
      </c>
      <c r="F79" s="218" t="s">
        <v>1348</v>
      </c>
      <c r="G79" s="116">
        <v>990</v>
      </c>
      <c r="H79" s="1776" t="s">
        <v>1349</v>
      </c>
      <c r="J79" s="224"/>
      <c r="K79" s="34" t="s">
        <v>25</v>
      </c>
      <c r="L79" s="475"/>
      <c r="M79" s="224"/>
      <c r="N79" s="224"/>
      <c r="O79" s="902" t="s">
        <v>6395</v>
      </c>
    </row>
    <row r="80" spans="1:15" x14ac:dyDescent="0.3">
      <c r="A80" s="2402">
        <v>74</v>
      </c>
      <c r="B80" s="1114" t="s">
        <v>1346</v>
      </c>
      <c r="C80" s="1117" t="s">
        <v>1344</v>
      </c>
      <c r="D80" s="113">
        <v>31</v>
      </c>
      <c r="E80" s="217" t="s">
        <v>1378</v>
      </c>
      <c r="F80" s="218" t="s">
        <v>1348</v>
      </c>
      <c r="G80" s="116">
        <v>990</v>
      </c>
      <c r="H80" s="1776" t="s">
        <v>1349</v>
      </c>
      <c r="J80" s="224"/>
      <c r="K80" s="34" t="s">
        <v>25</v>
      </c>
      <c r="L80" s="475"/>
      <c r="M80" s="224"/>
      <c r="N80" s="224"/>
      <c r="O80" s="902" t="s">
        <v>6395</v>
      </c>
    </row>
    <row r="81" spans="1:15" x14ac:dyDescent="0.3">
      <c r="A81" s="2401">
        <v>75</v>
      </c>
      <c r="B81" s="1114" t="s">
        <v>1346</v>
      </c>
      <c r="C81" s="216" t="s">
        <v>1344</v>
      </c>
      <c r="D81" s="113">
        <v>31</v>
      </c>
      <c r="E81" s="217" t="s">
        <v>1379</v>
      </c>
      <c r="F81" s="218" t="s">
        <v>1348</v>
      </c>
      <c r="G81" s="116">
        <v>990</v>
      </c>
      <c r="H81" s="1776" t="s">
        <v>1349</v>
      </c>
      <c r="J81" s="224"/>
      <c r="K81" s="34" t="s">
        <v>25</v>
      </c>
      <c r="L81" s="475"/>
      <c r="M81" s="224"/>
      <c r="N81" s="224"/>
      <c r="O81" s="902" t="s">
        <v>6395</v>
      </c>
    </row>
    <row r="82" spans="1:15" x14ac:dyDescent="0.3">
      <c r="A82" s="2402">
        <v>76</v>
      </c>
      <c r="B82" s="1114" t="s">
        <v>1346</v>
      </c>
      <c r="C82" s="216" t="s">
        <v>1344</v>
      </c>
      <c r="D82" s="113">
        <v>31</v>
      </c>
      <c r="E82" s="217" t="s">
        <v>1380</v>
      </c>
      <c r="F82" s="218" t="s">
        <v>1348</v>
      </c>
      <c r="G82" s="116">
        <v>990</v>
      </c>
      <c r="H82" s="1776" t="s">
        <v>1349</v>
      </c>
      <c r="J82" s="224"/>
      <c r="K82" s="34" t="s">
        <v>25</v>
      </c>
      <c r="L82" s="475"/>
      <c r="M82" s="224"/>
      <c r="N82" s="224"/>
      <c r="O82" s="902" t="s">
        <v>6395</v>
      </c>
    </row>
    <row r="83" spans="1:15" x14ac:dyDescent="0.3">
      <c r="A83" s="2402">
        <v>77</v>
      </c>
      <c r="B83" s="1114" t="s">
        <v>1346</v>
      </c>
      <c r="C83" s="216" t="s">
        <v>1344</v>
      </c>
      <c r="D83" s="113">
        <v>31</v>
      </c>
      <c r="E83" s="217" t="s">
        <v>1381</v>
      </c>
      <c r="F83" s="218" t="s">
        <v>1348</v>
      </c>
      <c r="G83" s="116">
        <v>990</v>
      </c>
      <c r="H83" s="1776" t="s">
        <v>1349</v>
      </c>
      <c r="J83" s="224"/>
      <c r="K83" s="34" t="s">
        <v>25</v>
      </c>
      <c r="L83" s="475"/>
      <c r="M83" s="224"/>
      <c r="N83" s="224"/>
      <c r="O83" s="902" t="s">
        <v>6395</v>
      </c>
    </row>
    <row r="84" spans="1:15" x14ac:dyDescent="0.3">
      <c r="A84" s="2401">
        <v>78</v>
      </c>
      <c r="B84" s="1114" t="s">
        <v>1346</v>
      </c>
      <c r="C84" s="216" t="s">
        <v>1344</v>
      </c>
      <c r="D84" s="113">
        <v>31</v>
      </c>
      <c r="E84" s="217" t="s">
        <v>1382</v>
      </c>
      <c r="F84" s="218" t="s">
        <v>1348</v>
      </c>
      <c r="G84" s="116">
        <v>990</v>
      </c>
      <c r="H84" s="1776" t="s">
        <v>1349</v>
      </c>
      <c r="J84" s="224"/>
      <c r="K84" s="34" t="s">
        <v>25</v>
      </c>
      <c r="L84" s="475"/>
      <c r="M84" s="224"/>
      <c r="N84" s="224"/>
      <c r="O84" s="902" t="s">
        <v>6395</v>
      </c>
    </row>
    <row r="85" spans="1:15" x14ac:dyDescent="0.3">
      <c r="A85" s="2402">
        <v>79</v>
      </c>
      <c r="B85" s="1114" t="s">
        <v>1346</v>
      </c>
      <c r="C85" s="216" t="s">
        <v>1344</v>
      </c>
      <c r="D85" s="113">
        <v>31</v>
      </c>
      <c r="E85" s="217" t="s">
        <v>1383</v>
      </c>
      <c r="F85" s="218" t="s">
        <v>1348</v>
      </c>
      <c r="G85" s="116">
        <v>990</v>
      </c>
      <c r="H85" s="1776" t="s">
        <v>1349</v>
      </c>
      <c r="J85" s="224"/>
      <c r="K85" s="34" t="s">
        <v>25</v>
      </c>
      <c r="L85" s="475"/>
      <c r="M85" s="224"/>
      <c r="N85" s="224"/>
      <c r="O85" s="902" t="s">
        <v>6395</v>
      </c>
    </row>
    <row r="86" spans="1:15" x14ac:dyDescent="0.3">
      <c r="A86" s="2402">
        <v>80</v>
      </c>
      <c r="B86" s="1114" t="s">
        <v>1346</v>
      </c>
      <c r="C86" s="216" t="s">
        <v>1344</v>
      </c>
      <c r="D86" s="113">
        <v>31</v>
      </c>
      <c r="E86" s="217" t="s">
        <v>1384</v>
      </c>
      <c r="F86" s="218" t="s">
        <v>1348</v>
      </c>
      <c r="G86" s="116">
        <v>990</v>
      </c>
      <c r="H86" s="1776" t="s">
        <v>1349</v>
      </c>
      <c r="J86" s="224"/>
      <c r="K86" s="34" t="s">
        <v>25</v>
      </c>
      <c r="L86" s="475"/>
      <c r="M86" s="224"/>
      <c r="N86" s="224"/>
      <c r="O86" s="902" t="s">
        <v>6395</v>
      </c>
    </row>
    <row r="87" spans="1:15" x14ac:dyDescent="0.3">
      <c r="A87" s="2401">
        <v>81</v>
      </c>
      <c r="B87" s="1114" t="s">
        <v>1346</v>
      </c>
      <c r="C87" s="216" t="s">
        <v>1344</v>
      </c>
      <c r="D87" s="113">
        <v>31</v>
      </c>
      <c r="E87" s="217" t="s">
        <v>1385</v>
      </c>
      <c r="F87" s="218" t="s">
        <v>1348</v>
      </c>
      <c r="G87" s="116">
        <v>990</v>
      </c>
      <c r="H87" s="1776" t="s">
        <v>1349</v>
      </c>
      <c r="J87" s="224"/>
      <c r="K87" s="34" t="s">
        <v>25</v>
      </c>
      <c r="L87" s="475"/>
      <c r="M87" s="224"/>
      <c r="N87" s="224"/>
      <c r="O87" s="902" t="s">
        <v>6395</v>
      </c>
    </row>
    <row r="88" spans="1:15" x14ac:dyDescent="0.3">
      <c r="A88" s="2402">
        <v>82</v>
      </c>
      <c r="B88" s="1114" t="s">
        <v>1346</v>
      </c>
      <c r="C88" s="1117" t="s">
        <v>1344</v>
      </c>
      <c r="D88" s="113">
        <v>31</v>
      </c>
      <c r="E88" s="217" t="s">
        <v>1386</v>
      </c>
      <c r="F88" s="218" t="s">
        <v>1348</v>
      </c>
      <c r="G88" s="116">
        <v>990</v>
      </c>
      <c r="H88" s="1776" t="s">
        <v>1349</v>
      </c>
      <c r="J88" s="224"/>
      <c r="K88" s="34" t="s">
        <v>25</v>
      </c>
      <c r="L88" s="475"/>
      <c r="M88" s="224"/>
      <c r="N88" s="224"/>
      <c r="O88" s="902" t="s">
        <v>6395</v>
      </c>
    </row>
    <row r="89" spans="1:15" x14ac:dyDescent="0.3">
      <c r="A89" s="2402">
        <v>83</v>
      </c>
      <c r="B89" s="1114" t="s">
        <v>1346</v>
      </c>
      <c r="C89" s="418" t="s">
        <v>1344</v>
      </c>
      <c r="D89" s="113">
        <v>31</v>
      </c>
      <c r="E89" s="217" t="s">
        <v>414</v>
      </c>
      <c r="F89" s="218" t="s">
        <v>1348</v>
      </c>
      <c r="G89" s="116">
        <v>990</v>
      </c>
      <c r="H89" s="1776" t="s">
        <v>1349</v>
      </c>
      <c r="J89" s="224"/>
      <c r="K89" s="34" t="s">
        <v>25</v>
      </c>
      <c r="L89" s="475"/>
      <c r="M89" s="224"/>
      <c r="N89" s="224"/>
      <c r="O89" s="902" t="s">
        <v>6395</v>
      </c>
    </row>
    <row r="90" spans="1:15" x14ac:dyDescent="0.3">
      <c r="A90" s="2401">
        <v>84</v>
      </c>
      <c r="B90" s="1114" t="s">
        <v>1346</v>
      </c>
      <c r="C90" s="1120" t="s">
        <v>1344</v>
      </c>
      <c r="D90" s="113">
        <v>31</v>
      </c>
      <c r="E90" s="217" t="s">
        <v>1388</v>
      </c>
      <c r="F90" s="218" t="s">
        <v>1348</v>
      </c>
      <c r="G90" s="116">
        <v>990</v>
      </c>
      <c r="H90" s="1776" t="s">
        <v>1349</v>
      </c>
      <c r="J90" s="224"/>
      <c r="K90" s="34" t="s">
        <v>25</v>
      </c>
      <c r="L90" s="475"/>
      <c r="M90" s="224"/>
      <c r="N90" s="224"/>
      <c r="O90" s="902" t="s">
        <v>6395</v>
      </c>
    </row>
    <row r="91" spans="1:15" x14ac:dyDescent="0.3">
      <c r="A91" s="2402">
        <v>85</v>
      </c>
      <c r="B91" s="1114" t="s">
        <v>1346</v>
      </c>
      <c r="C91" s="1117" t="s">
        <v>1344</v>
      </c>
      <c r="D91" s="113">
        <v>31</v>
      </c>
      <c r="E91" s="217" t="s">
        <v>1389</v>
      </c>
      <c r="F91" s="218" t="s">
        <v>1348</v>
      </c>
      <c r="G91" s="116">
        <v>990</v>
      </c>
      <c r="H91" s="1776" t="s">
        <v>1349</v>
      </c>
      <c r="J91" s="224"/>
      <c r="K91" s="34" t="s">
        <v>25</v>
      </c>
      <c r="L91" s="475"/>
      <c r="M91" s="224"/>
      <c r="N91" s="224"/>
      <c r="O91" s="902" t="s">
        <v>6395</v>
      </c>
    </row>
    <row r="92" spans="1:15" x14ac:dyDescent="0.3">
      <c r="A92" s="2402">
        <v>86</v>
      </c>
      <c r="B92" s="1114" t="s">
        <v>1346</v>
      </c>
      <c r="C92" s="216" t="s">
        <v>1344</v>
      </c>
      <c r="D92" s="113">
        <v>31</v>
      </c>
      <c r="E92" s="217" t="s">
        <v>1390</v>
      </c>
      <c r="F92" s="218" t="s">
        <v>1348</v>
      </c>
      <c r="G92" s="116">
        <v>990</v>
      </c>
      <c r="H92" s="1776" t="s">
        <v>1349</v>
      </c>
      <c r="J92" s="224"/>
      <c r="K92" s="34" t="s">
        <v>25</v>
      </c>
      <c r="L92" s="475"/>
      <c r="M92" s="224"/>
      <c r="N92" s="224"/>
      <c r="O92" s="902" t="s">
        <v>6395</v>
      </c>
    </row>
    <row r="93" spans="1:15" x14ac:dyDescent="0.3">
      <c r="A93" s="2401">
        <v>87</v>
      </c>
      <c r="B93" s="1114" t="s">
        <v>1346</v>
      </c>
      <c r="C93" s="216" t="s">
        <v>1344</v>
      </c>
      <c r="D93" s="113">
        <v>31</v>
      </c>
      <c r="E93" s="217" t="s">
        <v>1391</v>
      </c>
      <c r="F93" s="218" t="s">
        <v>1348</v>
      </c>
      <c r="G93" s="116">
        <v>990</v>
      </c>
      <c r="H93" s="1776" t="s">
        <v>1349</v>
      </c>
      <c r="J93" s="224"/>
      <c r="K93" s="34" t="s">
        <v>25</v>
      </c>
      <c r="L93" s="475"/>
      <c r="M93" s="224"/>
      <c r="N93" s="224"/>
      <c r="O93" s="902" t="s">
        <v>6395</v>
      </c>
    </row>
    <row r="94" spans="1:15" x14ac:dyDescent="0.3">
      <c r="A94" s="2402">
        <v>88</v>
      </c>
      <c r="B94" s="1114" t="s">
        <v>1346</v>
      </c>
      <c r="C94" s="216" t="s">
        <v>1344</v>
      </c>
      <c r="D94" s="113">
        <v>31</v>
      </c>
      <c r="E94" s="217" t="s">
        <v>1392</v>
      </c>
      <c r="F94" s="218" t="s">
        <v>1348</v>
      </c>
      <c r="G94" s="116">
        <v>990</v>
      </c>
      <c r="H94" s="1776" t="s">
        <v>1349</v>
      </c>
      <c r="J94" s="224"/>
      <c r="K94" s="34" t="s">
        <v>25</v>
      </c>
      <c r="L94" s="475"/>
      <c r="M94" s="224"/>
      <c r="N94" s="224"/>
      <c r="O94" s="902" t="s">
        <v>6395</v>
      </c>
    </row>
    <row r="95" spans="1:15" x14ac:dyDescent="0.3">
      <c r="A95" s="2402">
        <v>89</v>
      </c>
      <c r="B95" s="1114" t="s">
        <v>1346</v>
      </c>
      <c r="C95" s="216" t="s">
        <v>1344</v>
      </c>
      <c r="D95" s="113">
        <v>31</v>
      </c>
      <c r="E95" s="217" t="s">
        <v>1393</v>
      </c>
      <c r="F95" s="218" t="s">
        <v>1348</v>
      </c>
      <c r="G95" s="116">
        <v>990</v>
      </c>
      <c r="H95" s="1776" t="s">
        <v>1349</v>
      </c>
      <c r="J95" s="224"/>
      <c r="K95" s="34" t="s">
        <v>25</v>
      </c>
      <c r="L95" s="475"/>
      <c r="M95" s="224"/>
      <c r="N95" s="224"/>
      <c r="O95" s="902" t="s">
        <v>6395</v>
      </c>
    </row>
    <row r="96" spans="1:15" x14ac:dyDescent="0.3">
      <c r="A96" s="2401">
        <v>90</v>
      </c>
      <c r="B96" s="1114" t="s">
        <v>1346</v>
      </c>
      <c r="C96" s="216" t="s">
        <v>1344</v>
      </c>
      <c r="D96" s="113">
        <v>31</v>
      </c>
      <c r="E96" s="217" t="s">
        <v>1394</v>
      </c>
      <c r="F96" s="218" t="s">
        <v>1348</v>
      </c>
      <c r="G96" s="116">
        <v>990</v>
      </c>
      <c r="H96" s="1776" t="s">
        <v>1349</v>
      </c>
      <c r="J96" s="224"/>
      <c r="K96" s="34" t="s">
        <v>25</v>
      </c>
      <c r="L96" s="475"/>
      <c r="M96" s="224"/>
      <c r="N96" s="224"/>
      <c r="O96" s="902" t="s">
        <v>6395</v>
      </c>
    </row>
    <row r="97" spans="1:15" x14ac:dyDescent="0.3">
      <c r="A97" s="2402">
        <v>91</v>
      </c>
      <c r="B97" s="1114" t="s">
        <v>1346</v>
      </c>
      <c r="C97" s="216" t="s">
        <v>1344</v>
      </c>
      <c r="D97" s="125">
        <v>31</v>
      </c>
      <c r="E97" s="217" t="s">
        <v>1395</v>
      </c>
      <c r="F97" s="218" t="s">
        <v>1348</v>
      </c>
      <c r="G97" s="116">
        <v>990</v>
      </c>
      <c r="H97" s="1776" t="s">
        <v>1349</v>
      </c>
      <c r="J97" s="224"/>
      <c r="K97" s="34" t="s">
        <v>25</v>
      </c>
      <c r="L97" s="475"/>
      <c r="M97" s="224"/>
      <c r="N97" s="224"/>
      <c r="O97" s="902" t="s">
        <v>6395</v>
      </c>
    </row>
    <row r="98" spans="1:15" x14ac:dyDescent="0.3">
      <c r="A98" s="2402">
        <v>92</v>
      </c>
      <c r="B98" s="1114" t="s">
        <v>1346</v>
      </c>
      <c r="C98" s="216" t="s">
        <v>1344</v>
      </c>
      <c r="D98" s="128">
        <v>31</v>
      </c>
      <c r="E98" s="217" t="s">
        <v>1396</v>
      </c>
      <c r="F98" s="218" t="s">
        <v>1348</v>
      </c>
      <c r="G98" s="116">
        <v>990</v>
      </c>
      <c r="H98" s="1776" t="s">
        <v>1349</v>
      </c>
      <c r="J98" s="224"/>
      <c r="K98" s="34" t="s">
        <v>25</v>
      </c>
      <c r="L98" s="475"/>
      <c r="M98" s="224"/>
      <c r="N98" s="224"/>
      <c r="O98" s="902" t="s">
        <v>6395</v>
      </c>
    </row>
    <row r="99" spans="1:15" x14ac:dyDescent="0.3">
      <c r="A99" s="2401">
        <v>93</v>
      </c>
      <c r="B99" s="1114" t="s">
        <v>1346</v>
      </c>
      <c r="C99" s="216" t="s">
        <v>1344</v>
      </c>
      <c r="D99" s="113">
        <v>31</v>
      </c>
      <c r="E99" s="217" t="s">
        <v>1397</v>
      </c>
      <c r="F99" s="218" t="s">
        <v>1348</v>
      </c>
      <c r="G99" s="116">
        <v>990</v>
      </c>
      <c r="H99" s="1776" t="s">
        <v>1349</v>
      </c>
      <c r="J99" s="224"/>
      <c r="K99" s="34" t="s">
        <v>25</v>
      </c>
      <c r="L99" s="475"/>
      <c r="M99" s="224"/>
      <c r="N99" s="224"/>
      <c r="O99" s="902" t="s">
        <v>6395</v>
      </c>
    </row>
    <row r="100" spans="1:15" x14ac:dyDescent="0.3">
      <c r="A100" s="2402">
        <v>94</v>
      </c>
      <c r="B100" s="1114" t="s">
        <v>1346</v>
      </c>
      <c r="C100" s="1117" t="s">
        <v>1344</v>
      </c>
      <c r="D100" s="113">
        <v>31</v>
      </c>
      <c r="E100" s="217" t="s">
        <v>1398</v>
      </c>
      <c r="F100" s="218" t="s">
        <v>1348</v>
      </c>
      <c r="G100" s="116">
        <v>990</v>
      </c>
      <c r="H100" s="1776" t="s">
        <v>1349</v>
      </c>
      <c r="J100" s="224"/>
      <c r="K100" s="34" t="s">
        <v>25</v>
      </c>
      <c r="L100" s="475"/>
      <c r="M100" s="224"/>
      <c r="N100" s="224"/>
      <c r="O100" s="902" t="s">
        <v>6395</v>
      </c>
    </row>
    <row r="101" spans="1:15" x14ac:dyDescent="0.3">
      <c r="A101" s="2402">
        <v>95</v>
      </c>
      <c r="B101" s="1114" t="s">
        <v>1346</v>
      </c>
      <c r="C101" s="216" t="s">
        <v>1344</v>
      </c>
      <c r="D101" s="113">
        <v>31</v>
      </c>
      <c r="E101" s="217" t="s">
        <v>1399</v>
      </c>
      <c r="F101" s="218" t="s">
        <v>1348</v>
      </c>
      <c r="G101" s="116">
        <v>990</v>
      </c>
      <c r="H101" s="1776" t="s">
        <v>1349</v>
      </c>
      <c r="J101" s="224"/>
      <c r="K101" s="34" t="s">
        <v>25</v>
      </c>
      <c r="L101" s="475"/>
      <c r="M101" s="224"/>
      <c r="N101" s="224"/>
      <c r="O101" s="902" t="s">
        <v>6395</v>
      </c>
    </row>
    <row r="102" spans="1:15" x14ac:dyDescent="0.3">
      <c r="A102" s="2401">
        <v>96</v>
      </c>
      <c r="B102" s="1114" t="s">
        <v>1346</v>
      </c>
      <c r="C102" s="216" t="s">
        <v>1344</v>
      </c>
      <c r="D102" s="113">
        <v>31</v>
      </c>
      <c r="E102" s="217" t="s">
        <v>1400</v>
      </c>
      <c r="F102" s="218" t="s">
        <v>1348</v>
      </c>
      <c r="G102" s="116">
        <v>990</v>
      </c>
      <c r="H102" s="1776" t="s">
        <v>1349</v>
      </c>
      <c r="J102" s="224"/>
      <c r="K102" s="34" t="s">
        <v>25</v>
      </c>
      <c r="L102" s="475"/>
      <c r="M102" s="224"/>
      <c r="N102" s="224"/>
      <c r="O102" s="902" t="s">
        <v>6395</v>
      </c>
    </row>
    <row r="103" spans="1:15" x14ac:dyDescent="0.3">
      <c r="A103" s="2402">
        <v>97</v>
      </c>
      <c r="B103" s="1114" t="s">
        <v>1346</v>
      </c>
      <c r="C103" s="216" t="s">
        <v>1344</v>
      </c>
      <c r="D103" s="113">
        <v>31</v>
      </c>
      <c r="E103" s="217" t="s">
        <v>1401</v>
      </c>
      <c r="F103" s="218" t="s">
        <v>1348</v>
      </c>
      <c r="G103" s="116">
        <v>990</v>
      </c>
      <c r="H103" s="1776" t="s">
        <v>1349</v>
      </c>
      <c r="J103" s="224"/>
      <c r="K103" s="34" t="s">
        <v>25</v>
      </c>
      <c r="L103" s="475"/>
      <c r="M103" s="224"/>
      <c r="N103" s="224"/>
      <c r="O103" s="902" t="s">
        <v>6395</v>
      </c>
    </row>
    <row r="104" spans="1:15" x14ac:dyDescent="0.3">
      <c r="A104" s="2402">
        <v>98</v>
      </c>
      <c r="B104" s="1114" t="s">
        <v>1346</v>
      </c>
      <c r="C104" s="216" t="s">
        <v>1344</v>
      </c>
      <c r="D104" s="113">
        <v>31</v>
      </c>
      <c r="E104" s="217" t="s">
        <v>955</v>
      </c>
      <c r="F104" s="218" t="s">
        <v>1348</v>
      </c>
      <c r="G104" s="116">
        <v>990</v>
      </c>
      <c r="H104" s="1776" t="s">
        <v>1349</v>
      </c>
      <c r="J104" s="224"/>
      <c r="K104" s="34" t="s">
        <v>25</v>
      </c>
      <c r="L104" s="475"/>
      <c r="M104" s="224"/>
      <c r="N104" s="224"/>
      <c r="O104" s="902" t="s">
        <v>6395</v>
      </c>
    </row>
    <row r="105" spans="1:15" x14ac:dyDescent="0.3">
      <c r="A105" s="2401">
        <v>99</v>
      </c>
      <c r="B105" s="1114" t="s">
        <v>1346</v>
      </c>
      <c r="C105" s="216" t="s">
        <v>1344</v>
      </c>
      <c r="D105" s="113">
        <v>31</v>
      </c>
      <c r="E105" s="217" t="s">
        <v>957</v>
      </c>
      <c r="F105" s="218" t="s">
        <v>1348</v>
      </c>
      <c r="G105" s="116">
        <v>990</v>
      </c>
      <c r="H105" s="1776" t="s">
        <v>1349</v>
      </c>
      <c r="J105" s="224"/>
      <c r="K105" s="34" t="s">
        <v>25</v>
      </c>
      <c r="L105" s="475"/>
      <c r="M105" s="224"/>
      <c r="N105" s="224"/>
      <c r="O105" s="902" t="s">
        <v>6395</v>
      </c>
    </row>
    <row r="106" spans="1:15" x14ac:dyDescent="0.3">
      <c r="A106" s="2402">
        <v>100</v>
      </c>
      <c r="B106" s="1114" t="s">
        <v>1346</v>
      </c>
      <c r="C106" s="216" t="s">
        <v>1344</v>
      </c>
      <c r="D106" s="113">
        <v>31</v>
      </c>
      <c r="E106" s="217" t="s">
        <v>1402</v>
      </c>
      <c r="F106" s="218" t="s">
        <v>1348</v>
      </c>
      <c r="G106" s="116">
        <v>990</v>
      </c>
      <c r="H106" s="1776" t="s">
        <v>1349</v>
      </c>
      <c r="J106" s="224"/>
      <c r="K106" s="34" t="s">
        <v>25</v>
      </c>
      <c r="L106" s="475"/>
      <c r="M106" s="224"/>
      <c r="N106" s="224"/>
      <c r="O106" s="902" t="s">
        <v>6395</v>
      </c>
    </row>
    <row r="107" spans="1:15" x14ac:dyDescent="0.3">
      <c r="A107" s="2402">
        <v>101</v>
      </c>
      <c r="B107" s="1114" t="s">
        <v>1346</v>
      </c>
      <c r="C107" s="216" t="s">
        <v>1344</v>
      </c>
      <c r="D107" s="125">
        <v>31</v>
      </c>
      <c r="E107" s="217" t="s">
        <v>959</v>
      </c>
      <c r="F107" s="218" t="s">
        <v>1348</v>
      </c>
      <c r="G107" s="116">
        <v>990</v>
      </c>
      <c r="H107" s="1776" t="s">
        <v>1349</v>
      </c>
      <c r="J107" s="224"/>
      <c r="K107" s="34" t="s">
        <v>25</v>
      </c>
      <c r="L107" s="475"/>
      <c r="M107" s="224"/>
      <c r="N107" s="224"/>
      <c r="O107" s="902" t="s">
        <v>6395</v>
      </c>
    </row>
    <row r="108" spans="1:15" x14ac:dyDescent="0.3">
      <c r="A108" s="2401">
        <v>102</v>
      </c>
      <c r="B108" s="1114" t="s">
        <v>1346</v>
      </c>
      <c r="C108" s="216" t="s">
        <v>1344</v>
      </c>
      <c r="D108" s="128">
        <v>31</v>
      </c>
      <c r="E108" s="217" t="s">
        <v>962</v>
      </c>
      <c r="F108" s="218" t="s">
        <v>1348</v>
      </c>
      <c r="G108" s="116">
        <v>990</v>
      </c>
      <c r="H108" s="1776" t="s">
        <v>1349</v>
      </c>
      <c r="J108" s="224"/>
      <c r="K108" s="34" t="s">
        <v>25</v>
      </c>
      <c r="L108" s="475"/>
      <c r="M108" s="224"/>
      <c r="N108" s="224"/>
      <c r="O108" s="902" t="s">
        <v>6395</v>
      </c>
    </row>
    <row r="109" spans="1:15" x14ac:dyDescent="0.3">
      <c r="A109" s="2402">
        <v>103</v>
      </c>
      <c r="B109" s="1114" t="s">
        <v>1346</v>
      </c>
      <c r="C109" s="216" t="s">
        <v>1344</v>
      </c>
      <c r="D109" s="113">
        <v>31</v>
      </c>
      <c r="E109" s="217" t="s">
        <v>1403</v>
      </c>
      <c r="F109" s="218" t="s">
        <v>1348</v>
      </c>
      <c r="G109" s="116">
        <v>990</v>
      </c>
      <c r="H109" s="1776" t="s">
        <v>1349</v>
      </c>
      <c r="J109" s="224"/>
      <c r="K109" s="34" t="s">
        <v>25</v>
      </c>
      <c r="L109" s="475"/>
      <c r="M109" s="224"/>
      <c r="N109" s="224"/>
      <c r="O109" s="902" t="s">
        <v>6395</v>
      </c>
    </row>
    <row r="110" spans="1:15" x14ac:dyDescent="0.3">
      <c r="A110" s="2402">
        <v>104</v>
      </c>
      <c r="B110" s="1114" t="s">
        <v>1346</v>
      </c>
      <c r="C110" s="216" t="s">
        <v>1344</v>
      </c>
      <c r="D110" s="113">
        <v>31</v>
      </c>
      <c r="E110" s="217" t="s">
        <v>1404</v>
      </c>
      <c r="F110" s="218" t="s">
        <v>1348</v>
      </c>
      <c r="G110" s="116">
        <v>990</v>
      </c>
      <c r="H110" s="1776" t="s">
        <v>1349</v>
      </c>
      <c r="J110" s="224"/>
      <c r="K110" s="34" t="s">
        <v>25</v>
      </c>
      <c r="L110" s="475"/>
      <c r="M110" s="224"/>
      <c r="N110" s="224"/>
      <c r="O110" s="902" t="s">
        <v>6395</v>
      </c>
    </row>
    <row r="111" spans="1:15" x14ac:dyDescent="0.3">
      <c r="A111" s="2401">
        <v>105</v>
      </c>
      <c r="B111" s="1114" t="s">
        <v>1346</v>
      </c>
      <c r="C111" s="216" t="s">
        <v>1344</v>
      </c>
      <c r="D111" s="113">
        <v>31</v>
      </c>
      <c r="E111" s="419" t="s">
        <v>1405</v>
      </c>
      <c r="F111" s="218" t="s">
        <v>1348</v>
      </c>
      <c r="G111" s="116">
        <v>990</v>
      </c>
      <c r="H111" s="1776" t="s">
        <v>1349</v>
      </c>
      <c r="J111" s="224"/>
      <c r="K111" s="34" t="s">
        <v>25</v>
      </c>
      <c r="L111" s="475"/>
      <c r="M111" s="224"/>
      <c r="N111" s="224"/>
      <c r="O111" s="902" t="s">
        <v>6395</v>
      </c>
    </row>
    <row r="112" spans="1:15" x14ac:dyDescent="0.3">
      <c r="A112" s="2402">
        <v>106</v>
      </c>
      <c r="B112" s="1114" t="s">
        <v>1346</v>
      </c>
      <c r="C112" s="1117" t="s">
        <v>1344</v>
      </c>
      <c r="D112" s="113">
        <v>31</v>
      </c>
      <c r="E112" s="946" t="s">
        <v>1406</v>
      </c>
      <c r="F112" s="218" t="s">
        <v>1348</v>
      </c>
      <c r="G112" s="116">
        <v>990</v>
      </c>
      <c r="H112" s="1776" t="s">
        <v>1349</v>
      </c>
      <c r="J112" s="224"/>
      <c r="K112" s="34" t="s">
        <v>25</v>
      </c>
      <c r="L112" s="475"/>
      <c r="M112" s="224"/>
      <c r="N112" s="224"/>
      <c r="O112" s="902" t="s">
        <v>6395</v>
      </c>
    </row>
    <row r="113" spans="1:15" x14ac:dyDescent="0.3">
      <c r="A113" s="2402">
        <v>107</v>
      </c>
      <c r="B113" s="1114" t="s">
        <v>1346</v>
      </c>
      <c r="C113" s="216" t="s">
        <v>1344</v>
      </c>
      <c r="D113" s="113">
        <v>31</v>
      </c>
      <c r="E113" s="349" t="s">
        <v>1407</v>
      </c>
      <c r="F113" s="218" t="s">
        <v>1348</v>
      </c>
      <c r="G113" s="116">
        <v>990</v>
      </c>
      <c r="H113" s="1776" t="s">
        <v>1349</v>
      </c>
      <c r="J113" s="224"/>
      <c r="K113" s="34" t="s">
        <v>25</v>
      </c>
      <c r="L113" s="475"/>
      <c r="M113" s="224"/>
      <c r="N113" s="224"/>
      <c r="O113" s="902" t="s">
        <v>6395</v>
      </c>
    </row>
    <row r="114" spans="1:15" x14ac:dyDescent="0.3">
      <c r="A114" s="2401">
        <v>108</v>
      </c>
      <c r="B114" s="1114" t="s">
        <v>1346</v>
      </c>
      <c r="C114" s="418" t="s">
        <v>1344</v>
      </c>
      <c r="D114" s="113">
        <v>31</v>
      </c>
      <c r="E114" s="217" t="s">
        <v>1408</v>
      </c>
      <c r="F114" s="218" t="s">
        <v>1348</v>
      </c>
      <c r="G114" s="116">
        <v>990</v>
      </c>
      <c r="H114" s="1776" t="s">
        <v>1349</v>
      </c>
      <c r="J114" s="224"/>
      <c r="K114" s="34" t="s">
        <v>25</v>
      </c>
      <c r="L114" s="475"/>
      <c r="M114" s="224"/>
      <c r="N114" s="224"/>
      <c r="O114" s="902" t="s">
        <v>6395</v>
      </c>
    </row>
    <row r="115" spans="1:15" x14ac:dyDescent="0.3">
      <c r="A115" s="2402">
        <v>109</v>
      </c>
      <c r="B115" s="1114" t="s">
        <v>1346</v>
      </c>
      <c r="C115" s="1120" t="s">
        <v>1344</v>
      </c>
      <c r="D115" s="113">
        <v>31</v>
      </c>
      <c r="E115" s="217" t="s">
        <v>1409</v>
      </c>
      <c r="F115" s="218" t="s">
        <v>1348</v>
      </c>
      <c r="G115" s="116">
        <v>990</v>
      </c>
      <c r="H115" s="1776" t="s">
        <v>1349</v>
      </c>
      <c r="J115" s="224"/>
      <c r="K115" s="34" t="s">
        <v>25</v>
      </c>
      <c r="L115" s="475"/>
      <c r="M115" s="224"/>
      <c r="N115" s="224"/>
      <c r="O115" s="902" t="s">
        <v>6395</v>
      </c>
    </row>
    <row r="116" spans="1:15" x14ac:dyDescent="0.3">
      <c r="A116" s="2402">
        <v>110</v>
      </c>
      <c r="B116" s="1114" t="s">
        <v>1346</v>
      </c>
      <c r="C116" s="1117" t="s">
        <v>1344</v>
      </c>
      <c r="D116" s="113">
        <v>31</v>
      </c>
      <c r="E116" s="217" t="s">
        <v>1410</v>
      </c>
      <c r="F116" s="218" t="s">
        <v>1348</v>
      </c>
      <c r="G116" s="116">
        <v>990</v>
      </c>
      <c r="H116" s="1776" t="s">
        <v>1349</v>
      </c>
      <c r="J116" s="224"/>
      <c r="K116" s="34" t="s">
        <v>25</v>
      </c>
      <c r="L116" s="475"/>
      <c r="M116" s="224"/>
      <c r="N116" s="224"/>
      <c r="O116" s="902" t="s">
        <v>6395</v>
      </c>
    </row>
    <row r="117" spans="1:15" x14ac:dyDescent="0.3">
      <c r="A117" s="2401">
        <v>111</v>
      </c>
      <c r="B117" s="1114" t="s">
        <v>1346</v>
      </c>
      <c r="C117" s="1117" t="s">
        <v>1344</v>
      </c>
      <c r="D117" s="113">
        <v>31</v>
      </c>
      <c r="E117" s="217" t="s">
        <v>39</v>
      </c>
      <c r="F117" s="218" t="s">
        <v>1348</v>
      </c>
      <c r="G117" s="116">
        <v>990</v>
      </c>
      <c r="H117" s="1776" t="s">
        <v>1349</v>
      </c>
      <c r="J117" s="224"/>
      <c r="K117" s="34" t="s">
        <v>25</v>
      </c>
      <c r="L117" s="475"/>
      <c r="M117" s="224"/>
      <c r="N117" s="224"/>
      <c r="O117" s="902" t="s">
        <v>6395</v>
      </c>
    </row>
    <row r="118" spans="1:15" x14ac:dyDescent="0.3">
      <c r="A118" s="2402">
        <v>112</v>
      </c>
      <c r="B118" s="1114" t="s">
        <v>1346</v>
      </c>
      <c r="C118" s="216" t="s">
        <v>1344</v>
      </c>
      <c r="D118" s="113">
        <v>31</v>
      </c>
      <c r="E118" s="217" t="s">
        <v>42</v>
      </c>
      <c r="F118" s="218" t="s">
        <v>1348</v>
      </c>
      <c r="G118" s="116">
        <v>990</v>
      </c>
      <c r="H118" s="1776" t="s">
        <v>1349</v>
      </c>
      <c r="J118" s="224"/>
      <c r="K118" s="34" t="s">
        <v>25</v>
      </c>
      <c r="L118" s="475"/>
      <c r="M118" s="224"/>
      <c r="N118" s="224"/>
      <c r="O118" s="902" t="s">
        <v>6395</v>
      </c>
    </row>
    <row r="119" spans="1:15" x14ac:dyDescent="0.3">
      <c r="A119" s="2402">
        <v>113</v>
      </c>
      <c r="B119" s="1114" t="s">
        <v>1346</v>
      </c>
      <c r="C119" s="216" t="s">
        <v>1344</v>
      </c>
      <c r="D119" s="113">
        <v>31</v>
      </c>
      <c r="E119" s="217" t="s">
        <v>43</v>
      </c>
      <c r="F119" s="218" t="s">
        <v>1348</v>
      </c>
      <c r="G119" s="116">
        <v>990</v>
      </c>
      <c r="H119" s="1776" t="s">
        <v>1349</v>
      </c>
      <c r="J119" s="224"/>
      <c r="K119" s="34" t="s">
        <v>25</v>
      </c>
      <c r="L119" s="475"/>
      <c r="M119" s="224"/>
      <c r="N119" s="224"/>
      <c r="O119" s="902" t="s">
        <v>6395</v>
      </c>
    </row>
    <row r="120" spans="1:15" x14ac:dyDescent="0.3">
      <c r="A120" s="2401">
        <v>114</v>
      </c>
      <c r="B120" s="1114" t="s">
        <v>1346</v>
      </c>
      <c r="C120" s="216" t="s">
        <v>1344</v>
      </c>
      <c r="D120" s="113">
        <v>31</v>
      </c>
      <c r="E120" s="217" t="s">
        <v>44</v>
      </c>
      <c r="F120" s="218" t="s">
        <v>1348</v>
      </c>
      <c r="G120" s="116">
        <v>990</v>
      </c>
      <c r="H120" s="1776" t="s">
        <v>1349</v>
      </c>
      <c r="J120" s="224"/>
      <c r="K120" s="34" t="s">
        <v>25</v>
      </c>
      <c r="L120" s="475"/>
      <c r="M120" s="224"/>
      <c r="N120" s="224"/>
      <c r="O120" s="902" t="s">
        <v>6395</v>
      </c>
    </row>
    <row r="121" spans="1:15" x14ac:dyDescent="0.3">
      <c r="A121" s="2402">
        <v>115</v>
      </c>
      <c r="B121" s="1114" t="s">
        <v>1346</v>
      </c>
      <c r="C121" s="216" t="s">
        <v>1344</v>
      </c>
      <c r="D121" s="113">
        <v>31</v>
      </c>
      <c r="E121" s="217" t="s">
        <v>45</v>
      </c>
      <c r="F121" s="218" t="s">
        <v>1348</v>
      </c>
      <c r="G121" s="116">
        <v>990</v>
      </c>
      <c r="H121" s="1776" t="s">
        <v>1349</v>
      </c>
      <c r="J121" s="224"/>
      <c r="K121" s="34" t="s">
        <v>25</v>
      </c>
      <c r="L121" s="475"/>
      <c r="M121" s="224"/>
      <c r="N121" s="224"/>
      <c r="O121" s="902" t="s">
        <v>6395</v>
      </c>
    </row>
    <row r="122" spans="1:15" x14ac:dyDescent="0.3">
      <c r="A122" s="2402">
        <v>116</v>
      </c>
      <c r="B122" s="1114" t="s">
        <v>1346</v>
      </c>
      <c r="C122" s="1117" t="s">
        <v>1344</v>
      </c>
      <c r="D122" s="113">
        <v>31</v>
      </c>
      <c r="E122" s="217" t="s">
        <v>46</v>
      </c>
      <c r="F122" s="218" t="s">
        <v>1348</v>
      </c>
      <c r="G122" s="116">
        <v>990</v>
      </c>
      <c r="H122" s="1776" t="s">
        <v>1349</v>
      </c>
      <c r="J122" s="224"/>
      <c r="K122" s="34" t="s">
        <v>25</v>
      </c>
      <c r="L122" s="475"/>
      <c r="M122" s="224"/>
      <c r="N122" s="224"/>
      <c r="O122" s="902" t="s">
        <v>6395</v>
      </c>
    </row>
    <row r="123" spans="1:15" x14ac:dyDescent="0.3">
      <c r="A123" s="2401">
        <v>117</v>
      </c>
      <c r="B123" s="1114" t="s">
        <v>1346</v>
      </c>
      <c r="C123" s="1117" t="s">
        <v>1344</v>
      </c>
      <c r="D123" s="113">
        <v>31</v>
      </c>
      <c r="E123" s="217" t="s">
        <v>47</v>
      </c>
      <c r="F123" s="218" t="s">
        <v>1348</v>
      </c>
      <c r="G123" s="116">
        <v>990</v>
      </c>
      <c r="H123" s="1776" t="s">
        <v>1349</v>
      </c>
      <c r="J123" s="224"/>
      <c r="K123" s="34" t="s">
        <v>25</v>
      </c>
      <c r="L123" s="475"/>
      <c r="M123" s="224"/>
      <c r="N123" s="224"/>
      <c r="O123" s="902" t="s">
        <v>6395</v>
      </c>
    </row>
    <row r="124" spans="1:15" x14ac:dyDescent="0.3">
      <c r="A124" s="2402">
        <v>118</v>
      </c>
      <c r="B124" s="1114" t="s">
        <v>1346</v>
      </c>
      <c r="C124" s="216" t="s">
        <v>1344</v>
      </c>
      <c r="D124" s="113">
        <v>31</v>
      </c>
      <c r="E124" s="217" t="s">
        <v>48</v>
      </c>
      <c r="F124" s="218" t="s">
        <v>1348</v>
      </c>
      <c r="G124" s="116">
        <v>990</v>
      </c>
      <c r="H124" s="1776" t="s">
        <v>1349</v>
      </c>
      <c r="J124" s="224"/>
      <c r="K124" s="34" t="s">
        <v>25</v>
      </c>
      <c r="L124" s="475"/>
      <c r="M124" s="224"/>
      <c r="N124" s="224"/>
      <c r="O124" s="902" t="s">
        <v>6395</v>
      </c>
    </row>
    <row r="125" spans="1:15" x14ac:dyDescent="0.3">
      <c r="A125" s="2402">
        <v>119</v>
      </c>
      <c r="B125" s="1114" t="s">
        <v>1346</v>
      </c>
      <c r="C125" s="216" t="s">
        <v>1344</v>
      </c>
      <c r="D125" s="113">
        <v>31</v>
      </c>
      <c r="E125" s="217" t="s">
        <v>49</v>
      </c>
      <c r="F125" s="218" t="s">
        <v>1348</v>
      </c>
      <c r="G125" s="116">
        <v>990</v>
      </c>
      <c r="H125" s="1776" t="s">
        <v>1349</v>
      </c>
      <c r="J125" s="224"/>
      <c r="K125" s="34" t="s">
        <v>25</v>
      </c>
      <c r="L125" s="475"/>
      <c r="M125" s="224"/>
      <c r="N125" s="224"/>
      <c r="O125" s="902" t="s">
        <v>6395</v>
      </c>
    </row>
    <row r="126" spans="1:15" x14ac:dyDescent="0.3">
      <c r="A126" s="2401">
        <v>120</v>
      </c>
      <c r="B126" s="1114" t="s">
        <v>1346</v>
      </c>
      <c r="C126" s="1117" t="s">
        <v>1344</v>
      </c>
      <c r="D126" s="113">
        <v>31</v>
      </c>
      <c r="E126" s="217" t="s">
        <v>50</v>
      </c>
      <c r="F126" s="218" t="s">
        <v>1348</v>
      </c>
      <c r="G126" s="116">
        <v>990</v>
      </c>
      <c r="H126" s="1776" t="s">
        <v>1349</v>
      </c>
      <c r="J126" s="224"/>
      <c r="K126" s="34" t="s">
        <v>25</v>
      </c>
      <c r="L126" s="475"/>
      <c r="M126" s="224"/>
      <c r="N126" s="224"/>
      <c r="O126" s="902" t="s">
        <v>6395</v>
      </c>
    </row>
    <row r="127" spans="1:15" x14ac:dyDescent="0.3">
      <c r="A127" s="2402">
        <v>121</v>
      </c>
      <c r="B127" s="1114" t="s">
        <v>1346</v>
      </c>
      <c r="C127" s="216" t="s">
        <v>1344</v>
      </c>
      <c r="D127" s="113">
        <v>31</v>
      </c>
      <c r="E127" s="217" t="s">
        <v>53</v>
      </c>
      <c r="F127" s="218" t="s">
        <v>1348</v>
      </c>
      <c r="G127" s="116">
        <v>990</v>
      </c>
      <c r="H127" s="1776" t="s">
        <v>1349</v>
      </c>
      <c r="J127" s="224"/>
      <c r="K127" s="34" t="s">
        <v>25</v>
      </c>
      <c r="L127" s="475"/>
      <c r="M127" s="224"/>
      <c r="N127" s="224"/>
      <c r="O127" s="902" t="s">
        <v>6395</v>
      </c>
    </row>
    <row r="128" spans="1:15" x14ac:dyDescent="0.3">
      <c r="A128" s="2402">
        <v>122</v>
      </c>
      <c r="B128" s="1114" t="s">
        <v>1346</v>
      </c>
      <c r="C128" s="216" t="s">
        <v>1344</v>
      </c>
      <c r="D128" s="113">
        <v>31</v>
      </c>
      <c r="E128" s="217" t="s">
        <v>56</v>
      </c>
      <c r="F128" s="218" t="s">
        <v>1348</v>
      </c>
      <c r="G128" s="116">
        <v>990</v>
      </c>
      <c r="H128" s="1776" t="s">
        <v>1349</v>
      </c>
      <c r="J128" s="224"/>
      <c r="K128" s="34" t="s">
        <v>25</v>
      </c>
      <c r="L128" s="475"/>
      <c r="M128" s="224"/>
      <c r="N128" s="224"/>
      <c r="O128" s="902" t="s">
        <v>6395</v>
      </c>
    </row>
    <row r="129" spans="1:15" x14ac:dyDescent="0.3">
      <c r="A129" s="2401">
        <v>123</v>
      </c>
      <c r="B129" s="1114" t="s">
        <v>1346</v>
      </c>
      <c r="C129" s="216" t="s">
        <v>1344</v>
      </c>
      <c r="D129" s="113">
        <v>31</v>
      </c>
      <c r="E129" s="217" t="s">
        <v>58</v>
      </c>
      <c r="F129" s="218" t="s">
        <v>1348</v>
      </c>
      <c r="G129" s="116">
        <v>990</v>
      </c>
      <c r="H129" s="1776" t="s">
        <v>1349</v>
      </c>
      <c r="J129" s="224"/>
      <c r="K129" s="34" t="s">
        <v>25</v>
      </c>
      <c r="L129" s="475"/>
      <c r="M129" s="224"/>
      <c r="N129" s="224"/>
      <c r="O129" s="902" t="s">
        <v>6395</v>
      </c>
    </row>
    <row r="130" spans="1:15" x14ac:dyDescent="0.3">
      <c r="A130" s="2402">
        <v>124</v>
      </c>
      <c r="B130" s="1114" t="s">
        <v>1346</v>
      </c>
      <c r="C130" s="216" t="s">
        <v>1344</v>
      </c>
      <c r="D130" s="113">
        <v>31</v>
      </c>
      <c r="E130" s="217" t="s">
        <v>59</v>
      </c>
      <c r="F130" s="218" t="s">
        <v>1348</v>
      </c>
      <c r="G130" s="116">
        <v>990</v>
      </c>
      <c r="H130" s="1776" t="s">
        <v>1349</v>
      </c>
      <c r="J130" s="224"/>
      <c r="K130" s="34" t="s">
        <v>25</v>
      </c>
      <c r="L130" s="475"/>
      <c r="M130" s="224"/>
      <c r="N130" s="224"/>
      <c r="O130" s="902" t="s">
        <v>6395</v>
      </c>
    </row>
    <row r="131" spans="1:15" x14ac:dyDescent="0.3">
      <c r="A131" s="2402">
        <v>125</v>
      </c>
      <c r="B131" s="1114" t="s">
        <v>1346</v>
      </c>
      <c r="C131" s="1117" t="s">
        <v>1344</v>
      </c>
      <c r="D131" s="125">
        <v>31</v>
      </c>
      <c r="E131" s="217" t="s">
        <v>60</v>
      </c>
      <c r="F131" s="218" t="s">
        <v>1348</v>
      </c>
      <c r="G131" s="116">
        <v>990</v>
      </c>
      <c r="H131" s="1776" t="s">
        <v>1349</v>
      </c>
      <c r="J131" s="224"/>
      <c r="K131" s="34" t="s">
        <v>25</v>
      </c>
      <c r="L131" s="475"/>
      <c r="M131" s="224"/>
      <c r="N131" s="224"/>
      <c r="O131" s="902" t="s">
        <v>6395</v>
      </c>
    </row>
    <row r="132" spans="1:15" x14ac:dyDescent="0.3">
      <c r="A132" s="2401">
        <v>126</v>
      </c>
      <c r="B132" s="1114" t="s">
        <v>1346</v>
      </c>
      <c r="C132" s="216" t="s">
        <v>1344</v>
      </c>
      <c r="D132" s="128">
        <v>31</v>
      </c>
      <c r="E132" s="217" t="s">
        <v>61</v>
      </c>
      <c r="F132" s="218" t="s">
        <v>1348</v>
      </c>
      <c r="G132" s="116">
        <v>990</v>
      </c>
      <c r="H132" s="1776" t="s">
        <v>1349</v>
      </c>
      <c r="J132" s="224"/>
      <c r="K132" s="34" t="s">
        <v>25</v>
      </c>
      <c r="L132" s="475"/>
      <c r="M132" s="224"/>
      <c r="N132" s="224"/>
      <c r="O132" s="902" t="s">
        <v>6395</v>
      </c>
    </row>
    <row r="133" spans="1:15" x14ac:dyDescent="0.3">
      <c r="A133" s="2402">
        <v>127</v>
      </c>
      <c r="B133" s="1114" t="s">
        <v>1346</v>
      </c>
      <c r="C133" s="216" t="s">
        <v>1344</v>
      </c>
      <c r="D133" s="113">
        <v>31</v>
      </c>
      <c r="E133" s="217" t="s">
        <v>62</v>
      </c>
      <c r="F133" s="218" t="s">
        <v>1348</v>
      </c>
      <c r="G133" s="116">
        <v>990</v>
      </c>
      <c r="H133" s="1776" t="s">
        <v>1349</v>
      </c>
      <c r="J133" s="224"/>
      <c r="K133" s="34" t="s">
        <v>25</v>
      </c>
      <c r="L133" s="475"/>
      <c r="M133" s="224"/>
      <c r="N133" s="224"/>
      <c r="O133" s="902" t="s">
        <v>6395</v>
      </c>
    </row>
    <row r="134" spans="1:15" x14ac:dyDescent="0.3">
      <c r="A134" s="2402">
        <v>128</v>
      </c>
      <c r="B134" s="1114" t="s">
        <v>1346</v>
      </c>
      <c r="C134" s="216" t="s">
        <v>1344</v>
      </c>
      <c r="D134" s="113">
        <v>31</v>
      </c>
      <c r="E134" s="217" t="s">
        <v>63</v>
      </c>
      <c r="F134" s="218" t="s">
        <v>1348</v>
      </c>
      <c r="G134" s="116">
        <v>990</v>
      </c>
      <c r="H134" s="1776" t="s">
        <v>1349</v>
      </c>
      <c r="J134" s="224"/>
      <c r="K134" s="34" t="s">
        <v>25</v>
      </c>
      <c r="L134" s="475"/>
      <c r="M134" s="224"/>
      <c r="N134" s="224"/>
      <c r="O134" s="902" t="s">
        <v>6395</v>
      </c>
    </row>
    <row r="135" spans="1:15" x14ac:dyDescent="0.3">
      <c r="A135" s="2401">
        <v>129</v>
      </c>
      <c r="B135" s="1114" t="s">
        <v>1346</v>
      </c>
      <c r="C135" s="216" t="s">
        <v>1344</v>
      </c>
      <c r="D135" s="113">
        <v>31</v>
      </c>
      <c r="E135" s="217" t="s">
        <v>64</v>
      </c>
      <c r="F135" s="218" t="s">
        <v>1348</v>
      </c>
      <c r="G135" s="116">
        <v>990</v>
      </c>
      <c r="H135" s="1776" t="s">
        <v>1349</v>
      </c>
      <c r="J135" s="224"/>
      <c r="K135" s="34" t="s">
        <v>25</v>
      </c>
      <c r="L135" s="475"/>
      <c r="M135" s="224"/>
      <c r="N135" s="224"/>
      <c r="O135" s="902" t="s">
        <v>6395</v>
      </c>
    </row>
    <row r="136" spans="1:15" x14ac:dyDescent="0.3">
      <c r="A136" s="2402">
        <v>130</v>
      </c>
      <c r="B136" s="1114" t="s">
        <v>1346</v>
      </c>
      <c r="C136" s="216" t="s">
        <v>1344</v>
      </c>
      <c r="D136" s="113">
        <v>31</v>
      </c>
      <c r="E136" s="217" t="s">
        <v>65</v>
      </c>
      <c r="F136" s="218" t="s">
        <v>1348</v>
      </c>
      <c r="G136" s="116">
        <v>990</v>
      </c>
      <c r="H136" s="1776" t="s">
        <v>1349</v>
      </c>
      <c r="J136" s="224"/>
      <c r="K136" s="34" t="s">
        <v>25</v>
      </c>
      <c r="L136" s="475"/>
      <c r="M136" s="224"/>
      <c r="N136" s="224"/>
      <c r="O136" s="902" t="s">
        <v>6395</v>
      </c>
    </row>
    <row r="137" spans="1:15" x14ac:dyDescent="0.3">
      <c r="A137" s="2402">
        <v>131</v>
      </c>
      <c r="B137" s="1114" t="s">
        <v>1346</v>
      </c>
      <c r="C137" s="216" t="s">
        <v>1344</v>
      </c>
      <c r="D137" s="113">
        <v>31</v>
      </c>
      <c r="E137" s="217" t="s">
        <v>66</v>
      </c>
      <c r="F137" s="218" t="s">
        <v>1348</v>
      </c>
      <c r="G137" s="116">
        <v>990</v>
      </c>
      <c r="H137" s="1776" t="s">
        <v>1349</v>
      </c>
      <c r="J137" s="224"/>
      <c r="K137" s="34" t="s">
        <v>25</v>
      </c>
      <c r="L137" s="475"/>
      <c r="M137" s="224"/>
      <c r="N137" s="224"/>
      <c r="O137" s="902" t="s">
        <v>6395</v>
      </c>
    </row>
    <row r="138" spans="1:15" x14ac:dyDescent="0.3">
      <c r="A138" s="2401">
        <v>132</v>
      </c>
      <c r="B138" s="1114" t="s">
        <v>1346</v>
      </c>
      <c r="C138" s="216" t="s">
        <v>1344</v>
      </c>
      <c r="D138" s="113">
        <v>31</v>
      </c>
      <c r="E138" s="217" t="s">
        <v>67</v>
      </c>
      <c r="F138" s="218" t="s">
        <v>1348</v>
      </c>
      <c r="G138" s="116">
        <v>990</v>
      </c>
      <c r="H138" s="1776" t="s">
        <v>1349</v>
      </c>
      <c r="J138" s="224"/>
      <c r="K138" s="34" t="s">
        <v>25</v>
      </c>
      <c r="L138" s="475"/>
      <c r="M138" s="224"/>
      <c r="N138" s="224"/>
      <c r="O138" s="902" t="s">
        <v>6395</v>
      </c>
    </row>
    <row r="139" spans="1:15" x14ac:dyDescent="0.3">
      <c r="A139" s="2402">
        <v>133</v>
      </c>
      <c r="B139" s="1114" t="s">
        <v>1346</v>
      </c>
      <c r="C139" s="216" t="s">
        <v>1344</v>
      </c>
      <c r="D139" s="113">
        <v>31</v>
      </c>
      <c r="E139" s="217" t="s">
        <v>68</v>
      </c>
      <c r="F139" s="218" t="s">
        <v>1348</v>
      </c>
      <c r="G139" s="116">
        <v>990</v>
      </c>
      <c r="H139" s="1776" t="s">
        <v>1349</v>
      </c>
      <c r="J139" s="224"/>
      <c r="K139" s="34" t="s">
        <v>25</v>
      </c>
      <c r="L139" s="475"/>
      <c r="M139" s="224"/>
      <c r="N139" s="224"/>
      <c r="O139" s="902" t="s">
        <v>6395</v>
      </c>
    </row>
    <row r="140" spans="1:15" x14ac:dyDescent="0.3">
      <c r="A140" s="2402">
        <v>134</v>
      </c>
      <c r="B140" s="1114" t="s">
        <v>1346</v>
      </c>
      <c r="C140" s="1117" t="s">
        <v>1344</v>
      </c>
      <c r="D140" s="113">
        <v>31</v>
      </c>
      <c r="E140" s="217" t="s">
        <v>69</v>
      </c>
      <c r="F140" s="218" t="s">
        <v>1348</v>
      </c>
      <c r="G140" s="116">
        <v>990</v>
      </c>
      <c r="H140" s="1776" t="s">
        <v>1349</v>
      </c>
      <c r="J140" s="224"/>
      <c r="K140" s="34" t="s">
        <v>25</v>
      </c>
      <c r="L140" s="475"/>
      <c r="M140" s="224"/>
      <c r="N140" s="224"/>
      <c r="O140" s="902" t="s">
        <v>6395</v>
      </c>
    </row>
    <row r="141" spans="1:15" x14ac:dyDescent="0.3">
      <c r="A141" s="2401">
        <v>135</v>
      </c>
      <c r="B141" s="1114" t="s">
        <v>1346</v>
      </c>
      <c r="C141" s="1117" t="s">
        <v>1344</v>
      </c>
      <c r="D141" s="113">
        <v>31</v>
      </c>
      <c r="E141" s="217" t="s">
        <v>70</v>
      </c>
      <c r="F141" s="218" t="s">
        <v>1348</v>
      </c>
      <c r="G141" s="116">
        <v>990</v>
      </c>
      <c r="H141" s="1776" t="s">
        <v>1349</v>
      </c>
      <c r="J141" s="224"/>
      <c r="K141" s="34" t="s">
        <v>25</v>
      </c>
      <c r="L141" s="475"/>
      <c r="M141" s="224"/>
      <c r="N141" s="224"/>
      <c r="O141" s="902" t="s">
        <v>6395</v>
      </c>
    </row>
    <row r="142" spans="1:15" x14ac:dyDescent="0.3">
      <c r="A142" s="2402">
        <v>136</v>
      </c>
      <c r="B142" s="1114" t="s">
        <v>1346</v>
      </c>
      <c r="C142" s="216" t="s">
        <v>1344</v>
      </c>
      <c r="D142" s="113">
        <v>31</v>
      </c>
      <c r="E142" s="217" t="s">
        <v>71</v>
      </c>
      <c r="F142" s="218" t="s">
        <v>1348</v>
      </c>
      <c r="G142" s="116">
        <v>990</v>
      </c>
      <c r="H142" s="1776" t="s">
        <v>1349</v>
      </c>
      <c r="J142" s="224"/>
      <c r="K142" s="34" t="s">
        <v>25</v>
      </c>
      <c r="L142" s="475"/>
      <c r="M142" s="224"/>
      <c r="N142" s="224"/>
      <c r="O142" s="902" t="s">
        <v>6395</v>
      </c>
    </row>
    <row r="143" spans="1:15" x14ac:dyDescent="0.3">
      <c r="A143" s="2402">
        <v>137</v>
      </c>
      <c r="B143" s="1114" t="s">
        <v>1346</v>
      </c>
      <c r="C143" s="216" t="s">
        <v>1344</v>
      </c>
      <c r="D143" s="113">
        <v>31</v>
      </c>
      <c r="E143" s="217" t="s">
        <v>72</v>
      </c>
      <c r="F143" s="218" t="s">
        <v>1348</v>
      </c>
      <c r="G143" s="116">
        <v>990</v>
      </c>
      <c r="H143" s="1776" t="s">
        <v>1349</v>
      </c>
      <c r="J143" s="224"/>
      <c r="K143" s="34" t="s">
        <v>25</v>
      </c>
      <c r="L143" s="475"/>
      <c r="M143" s="224"/>
      <c r="N143" s="224"/>
      <c r="O143" s="902" t="s">
        <v>6395</v>
      </c>
    </row>
    <row r="144" spans="1:15" x14ac:dyDescent="0.3">
      <c r="A144" s="2401">
        <v>138</v>
      </c>
      <c r="B144" s="1114" t="s">
        <v>1346</v>
      </c>
      <c r="C144" s="216" t="s">
        <v>1344</v>
      </c>
      <c r="D144" s="113">
        <v>31</v>
      </c>
      <c r="E144" s="217" t="s">
        <v>73</v>
      </c>
      <c r="F144" s="218" t="s">
        <v>1348</v>
      </c>
      <c r="G144" s="116">
        <v>990</v>
      </c>
      <c r="H144" s="1776" t="s">
        <v>1349</v>
      </c>
      <c r="J144" s="224"/>
      <c r="K144" s="34" t="s">
        <v>25</v>
      </c>
      <c r="L144" s="475"/>
      <c r="M144" s="224"/>
      <c r="N144" s="224"/>
      <c r="O144" s="902" t="s">
        <v>6395</v>
      </c>
    </row>
    <row r="145" spans="1:15" x14ac:dyDescent="0.3">
      <c r="A145" s="2402">
        <v>139</v>
      </c>
      <c r="B145" s="1114" t="s">
        <v>1346</v>
      </c>
      <c r="C145" s="216" t="s">
        <v>1344</v>
      </c>
      <c r="D145" s="113">
        <v>31</v>
      </c>
      <c r="E145" s="217" t="s">
        <v>74</v>
      </c>
      <c r="F145" s="218" t="s">
        <v>1348</v>
      </c>
      <c r="G145" s="116">
        <v>990</v>
      </c>
      <c r="H145" s="1776" t="s">
        <v>1349</v>
      </c>
      <c r="J145" s="224"/>
      <c r="K145" s="34" t="s">
        <v>25</v>
      </c>
      <c r="L145" s="475"/>
      <c r="M145" s="224"/>
      <c r="N145" s="224"/>
      <c r="O145" s="902" t="s">
        <v>6395</v>
      </c>
    </row>
    <row r="146" spans="1:15" x14ac:dyDescent="0.3">
      <c r="A146" s="2402">
        <v>140</v>
      </c>
      <c r="B146" s="1114" t="s">
        <v>1346</v>
      </c>
      <c r="C146" s="216" t="s">
        <v>1344</v>
      </c>
      <c r="D146" s="113">
        <v>31</v>
      </c>
      <c r="E146" s="217" t="s">
        <v>75</v>
      </c>
      <c r="F146" s="218" t="s">
        <v>1348</v>
      </c>
      <c r="G146" s="116">
        <v>990</v>
      </c>
      <c r="H146" s="1776" t="s">
        <v>1349</v>
      </c>
      <c r="J146" s="224"/>
      <c r="K146" s="34" t="s">
        <v>25</v>
      </c>
      <c r="L146" s="475"/>
      <c r="M146" s="224"/>
      <c r="N146" s="224"/>
      <c r="O146" s="902" t="s">
        <v>6395</v>
      </c>
    </row>
    <row r="147" spans="1:15" x14ac:dyDescent="0.3">
      <c r="A147" s="2401">
        <v>141</v>
      </c>
      <c r="B147" s="1114" t="s">
        <v>1346</v>
      </c>
      <c r="C147" s="216" t="s">
        <v>1344</v>
      </c>
      <c r="D147" s="113">
        <v>31</v>
      </c>
      <c r="E147" s="217" t="s">
        <v>77</v>
      </c>
      <c r="F147" s="218" t="s">
        <v>1348</v>
      </c>
      <c r="G147" s="116">
        <v>990</v>
      </c>
      <c r="H147" s="1776" t="s">
        <v>1349</v>
      </c>
      <c r="J147" s="224"/>
      <c r="K147" s="34" t="s">
        <v>25</v>
      </c>
      <c r="L147" s="475"/>
      <c r="M147" s="224"/>
      <c r="N147" s="224"/>
      <c r="O147" s="902" t="s">
        <v>6395</v>
      </c>
    </row>
    <row r="148" spans="1:15" x14ac:dyDescent="0.3">
      <c r="A148" s="2402">
        <v>142</v>
      </c>
      <c r="B148" s="1114" t="s">
        <v>1346</v>
      </c>
      <c r="C148" s="1117" t="s">
        <v>1344</v>
      </c>
      <c r="D148" s="113">
        <v>31</v>
      </c>
      <c r="E148" s="217" t="s">
        <v>79</v>
      </c>
      <c r="F148" s="218" t="s">
        <v>1348</v>
      </c>
      <c r="G148" s="116">
        <v>990</v>
      </c>
      <c r="H148" s="1776" t="s">
        <v>1349</v>
      </c>
      <c r="J148" s="224"/>
      <c r="K148" s="34" t="s">
        <v>25</v>
      </c>
      <c r="L148" s="475"/>
      <c r="M148" s="224"/>
      <c r="N148" s="224"/>
      <c r="O148" s="902" t="s">
        <v>6395</v>
      </c>
    </row>
    <row r="149" spans="1:15" x14ac:dyDescent="0.3">
      <c r="A149" s="2402">
        <v>143</v>
      </c>
      <c r="B149" s="1114" t="s">
        <v>1346</v>
      </c>
      <c r="C149" s="216" t="s">
        <v>1344</v>
      </c>
      <c r="D149" s="113">
        <v>31</v>
      </c>
      <c r="E149" s="217" t="s">
        <v>80</v>
      </c>
      <c r="F149" s="218" t="s">
        <v>1348</v>
      </c>
      <c r="G149" s="116">
        <v>990</v>
      </c>
      <c r="H149" s="1776" t="s">
        <v>1349</v>
      </c>
      <c r="J149" s="224"/>
      <c r="K149" s="34" t="s">
        <v>25</v>
      </c>
      <c r="L149" s="475"/>
      <c r="M149" s="224"/>
      <c r="N149" s="224"/>
      <c r="O149" s="902" t="s">
        <v>6395</v>
      </c>
    </row>
    <row r="150" spans="1:15" x14ac:dyDescent="0.3">
      <c r="A150" s="2401">
        <v>144</v>
      </c>
      <c r="B150" s="1114" t="s">
        <v>1346</v>
      </c>
      <c r="C150" s="1117" t="s">
        <v>1344</v>
      </c>
      <c r="D150" s="113">
        <v>31</v>
      </c>
      <c r="E150" s="217" t="s">
        <v>81</v>
      </c>
      <c r="F150" s="218" t="s">
        <v>1348</v>
      </c>
      <c r="G150" s="116">
        <v>990</v>
      </c>
      <c r="H150" s="1776" t="s">
        <v>1349</v>
      </c>
      <c r="J150" s="224"/>
      <c r="K150" s="34" t="s">
        <v>25</v>
      </c>
      <c r="L150" s="475"/>
      <c r="M150" s="224"/>
      <c r="N150" s="224"/>
      <c r="O150" s="902" t="s">
        <v>6395</v>
      </c>
    </row>
    <row r="151" spans="1:15" x14ac:dyDescent="0.3">
      <c r="A151" s="2402">
        <v>145</v>
      </c>
      <c r="B151" s="1114" t="s">
        <v>1346</v>
      </c>
      <c r="C151" s="1117" t="s">
        <v>1344</v>
      </c>
      <c r="D151" s="113">
        <v>31</v>
      </c>
      <c r="E151" s="217" t="s">
        <v>82</v>
      </c>
      <c r="F151" s="218" t="s">
        <v>1348</v>
      </c>
      <c r="G151" s="116">
        <v>990</v>
      </c>
      <c r="H151" s="1776" t="s">
        <v>1349</v>
      </c>
      <c r="J151" s="224"/>
      <c r="K151" s="34" t="s">
        <v>25</v>
      </c>
      <c r="L151" s="475"/>
      <c r="M151" s="224"/>
      <c r="N151" s="224"/>
      <c r="O151" s="902" t="s">
        <v>6395</v>
      </c>
    </row>
    <row r="152" spans="1:15" x14ac:dyDescent="0.3">
      <c r="A152" s="2402">
        <v>146</v>
      </c>
      <c r="B152" s="1114" t="s">
        <v>1346</v>
      </c>
      <c r="C152" s="1117" t="s">
        <v>1344</v>
      </c>
      <c r="D152" s="113">
        <v>31</v>
      </c>
      <c r="E152" s="217" t="s">
        <v>83</v>
      </c>
      <c r="F152" s="218" t="s">
        <v>1348</v>
      </c>
      <c r="G152" s="116">
        <v>990</v>
      </c>
      <c r="H152" s="1776" t="s">
        <v>1349</v>
      </c>
      <c r="J152" s="224"/>
      <c r="K152" s="34" t="s">
        <v>25</v>
      </c>
      <c r="L152" s="475"/>
      <c r="M152" s="224"/>
      <c r="N152" s="224"/>
      <c r="O152" s="902" t="s">
        <v>6395</v>
      </c>
    </row>
    <row r="153" spans="1:15" x14ac:dyDescent="0.3">
      <c r="A153" s="2401">
        <v>147</v>
      </c>
      <c r="B153" s="1114" t="s">
        <v>1346</v>
      </c>
      <c r="C153" s="216" t="s">
        <v>1344</v>
      </c>
      <c r="D153" s="113">
        <v>31</v>
      </c>
      <c r="E153" s="217" t="s">
        <v>84</v>
      </c>
      <c r="F153" s="218" t="s">
        <v>1348</v>
      </c>
      <c r="G153" s="116">
        <v>990</v>
      </c>
      <c r="H153" s="1776" t="s">
        <v>1349</v>
      </c>
      <c r="J153" s="224"/>
      <c r="K153" s="34" t="s">
        <v>25</v>
      </c>
      <c r="L153" s="475"/>
      <c r="M153" s="224"/>
      <c r="N153" s="224"/>
      <c r="O153" s="902" t="s">
        <v>6395</v>
      </c>
    </row>
    <row r="154" spans="1:15" x14ac:dyDescent="0.3">
      <c r="A154" s="2402">
        <v>148</v>
      </c>
      <c r="B154" s="1114" t="s">
        <v>1346</v>
      </c>
      <c r="C154" s="216" t="s">
        <v>1344</v>
      </c>
      <c r="D154" s="113">
        <v>31</v>
      </c>
      <c r="E154" s="217" t="s">
        <v>85</v>
      </c>
      <c r="F154" s="218" t="s">
        <v>1348</v>
      </c>
      <c r="G154" s="116">
        <v>990</v>
      </c>
      <c r="H154" s="1776" t="s">
        <v>1349</v>
      </c>
      <c r="J154" s="224"/>
      <c r="K154" s="34" t="s">
        <v>25</v>
      </c>
      <c r="L154" s="475"/>
      <c r="M154" s="224"/>
      <c r="N154" s="224"/>
      <c r="O154" s="902" t="s">
        <v>6395</v>
      </c>
    </row>
    <row r="155" spans="1:15" x14ac:dyDescent="0.3">
      <c r="A155" s="2402">
        <v>149</v>
      </c>
      <c r="B155" s="1114" t="s">
        <v>1346</v>
      </c>
      <c r="C155" s="1117" t="s">
        <v>1344</v>
      </c>
      <c r="D155" s="113">
        <v>31</v>
      </c>
      <c r="E155" s="217" t="s">
        <v>86</v>
      </c>
      <c r="F155" s="218" t="s">
        <v>1348</v>
      </c>
      <c r="G155" s="116">
        <v>990</v>
      </c>
      <c r="H155" s="1776" t="s">
        <v>1349</v>
      </c>
      <c r="J155" s="224"/>
      <c r="K155" s="34" t="s">
        <v>25</v>
      </c>
      <c r="L155" s="475"/>
      <c r="M155" s="224"/>
      <c r="N155" s="224"/>
      <c r="O155" s="902" t="s">
        <v>6395</v>
      </c>
    </row>
    <row r="156" spans="1:15" x14ac:dyDescent="0.3">
      <c r="A156" s="2401">
        <v>150</v>
      </c>
      <c r="B156" s="1114" t="s">
        <v>1346</v>
      </c>
      <c r="C156" s="1117" t="s">
        <v>1344</v>
      </c>
      <c r="D156" s="113">
        <v>31</v>
      </c>
      <c r="E156" s="217" t="s">
        <v>87</v>
      </c>
      <c r="F156" s="218" t="s">
        <v>1348</v>
      </c>
      <c r="G156" s="116">
        <v>990</v>
      </c>
      <c r="H156" s="1776" t="s">
        <v>1349</v>
      </c>
      <c r="J156" s="224"/>
      <c r="K156" s="34" t="s">
        <v>25</v>
      </c>
      <c r="L156" s="475"/>
      <c r="M156" s="224"/>
      <c r="N156" s="224"/>
      <c r="O156" s="902" t="s">
        <v>6395</v>
      </c>
    </row>
    <row r="157" spans="1:15" x14ac:dyDescent="0.3">
      <c r="A157" s="2402">
        <v>151</v>
      </c>
      <c r="B157" s="1114" t="s">
        <v>1346</v>
      </c>
      <c r="C157" s="1117" t="s">
        <v>1344</v>
      </c>
      <c r="D157" s="113">
        <v>31</v>
      </c>
      <c r="E157" s="217" t="s">
        <v>88</v>
      </c>
      <c r="F157" s="218" t="s">
        <v>1348</v>
      </c>
      <c r="G157" s="116">
        <v>990</v>
      </c>
      <c r="H157" s="1776" t="s">
        <v>1349</v>
      </c>
      <c r="J157" s="224"/>
      <c r="K157" s="34" t="s">
        <v>25</v>
      </c>
      <c r="L157" s="475"/>
      <c r="M157" s="224"/>
      <c r="N157" s="224"/>
      <c r="O157" s="902" t="s">
        <v>6395</v>
      </c>
    </row>
    <row r="158" spans="1:15" x14ac:dyDescent="0.3">
      <c r="A158" s="2402">
        <v>152</v>
      </c>
      <c r="B158" s="1114" t="s">
        <v>1346</v>
      </c>
      <c r="C158" s="216" t="s">
        <v>1344</v>
      </c>
      <c r="D158" s="113">
        <v>31</v>
      </c>
      <c r="E158" s="217" t="s">
        <v>89</v>
      </c>
      <c r="F158" s="218" t="s">
        <v>1348</v>
      </c>
      <c r="G158" s="116">
        <v>990</v>
      </c>
      <c r="H158" s="1776" t="s">
        <v>1349</v>
      </c>
      <c r="J158" s="224"/>
      <c r="K158" s="34" t="s">
        <v>25</v>
      </c>
      <c r="L158" s="475"/>
      <c r="M158" s="224"/>
      <c r="N158" s="224"/>
      <c r="O158" s="902" t="s">
        <v>6395</v>
      </c>
    </row>
    <row r="159" spans="1:15" x14ac:dyDescent="0.3">
      <c r="A159" s="2401">
        <v>153</v>
      </c>
      <c r="B159" s="1114" t="s">
        <v>1346</v>
      </c>
      <c r="C159" s="216" t="s">
        <v>1344</v>
      </c>
      <c r="D159" s="113">
        <v>31</v>
      </c>
      <c r="E159" s="217" t="s">
        <v>90</v>
      </c>
      <c r="F159" s="218" t="s">
        <v>1348</v>
      </c>
      <c r="G159" s="116">
        <v>990</v>
      </c>
      <c r="H159" s="1776" t="s">
        <v>1349</v>
      </c>
      <c r="J159" s="224"/>
      <c r="K159" s="34" t="s">
        <v>25</v>
      </c>
      <c r="L159" s="475"/>
      <c r="M159" s="224"/>
      <c r="N159" s="224"/>
      <c r="O159" s="902" t="s">
        <v>6395</v>
      </c>
    </row>
    <row r="160" spans="1:15" x14ac:dyDescent="0.3">
      <c r="A160" s="2402">
        <v>154</v>
      </c>
      <c r="B160" s="1114" t="s">
        <v>1346</v>
      </c>
      <c r="C160" s="1117" t="s">
        <v>1344</v>
      </c>
      <c r="D160" s="113">
        <v>31</v>
      </c>
      <c r="E160" s="217" t="s">
        <v>91</v>
      </c>
      <c r="F160" s="218" t="s">
        <v>1348</v>
      </c>
      <c r="G160" s="116">
        <v>990</v>
      </c>
      <c r="H160" s="1776" t="s">
        <v>1349</v>
      </c>
      <c r="J160" s="224"/>
      <c r="K160" s="34" t="s">
        <v>25</v>
      </c>
      <c r="L160" s="475"/>
      <c r="M160" s="224"/>
      <c r="N160" s="224"/>
      <c r="O160" s="902" t="s">
        <v>6395</v>
      </c>
    </row>
    <row r="161" spans="1:15" x14ac:dyDescent="0.3">
      <c r="A161" s="2402">
        <v>155</v>
      </c>
      <c r="B161" s="1114" t="s">
        <v>1346</v>
      </c>
      <c r="C161" s="216" t="s">
        <v>1344</v>
      </c>
      <c r="D161" s="113">
        <v>31</v>
      </c>
      <c r="E161" s="217" t="s">
        <v>92</v>
      </c>
      <c r="F161" s="218" t="s">
        <v>1348</v>
      </c>
      <c r="G161" s="116">
        <v>990</v>
      </c>
      <c r="H161" s="1776" t="s">
        <v>1349</v>
      </c>
      <c r="J161" s="224"/>
      <c r="K161" s="34" t="s">
        <v>25</v>
      </c>
      <c r="L161" s="475"/>
      <c r="M161" s="224"/>
      <c r="N161" s="224"/>
      <c r="O161" s="902" t="s">
        <v>6395</v>
      </c>
    </row>
    <row r="162" spans="1:15" x14ac:dyDescent="0.3">
      <c r="A162" s="2401">
        <v>156</v>
      </c>
      <c r="B162" s="1114" t="s">
        <v>1346</v>
      </c>
      <c r="C162" s="1117" t="s">
        <v>1344</v>
      </c>
      <c r="D162" s="113">
        <v>31</v>
      </c>
      <c r="E162" s="217" t="s">
        <v>93</v>
      </c>
      <c r="F162" s="218" t="s">
        <v>1348</v>
      </c>
      <c r="G162" s="116">
        <v>990</v>
      </c>
      <c r="H162" s="1776" t="s">
        <v>1349</v>
      </c>
      <c r="J162" s="224"/>
      <c r="K162" s="34" t="s">
        <v>25</v>
      </c>
      <c r="L162" s="475"/>
      <c r="M162" s="224"/>
      <c r="N162" s="224"/>
      <c r="O162" s="902" t="s">
        <v>6395</v>
      </c>
    </row>
    <row r="163" spans="1:15" x14ac:dyDescent="0.3">
      <c r="A163" s="2402">
        <v>157</v>
      </c>
      <c r="B163" s="1114" t="s">
        <v>1346</v>
      </c>
      <c r="C163" s="216" t="s">
        <v>1344</v>
      </c>
      <c r="D163" s="113">
        <v>31</v>
      </c>
      <c r="E163" s="217" t="s">
        <v>94</v>
      </c>
      <c r="F163" s="218" t="s">
        <v>1348</v>
      </c>
      <c r="G163" s="116">
        <v>990</v>
      </c>
      <c r="H163" s="1776" t="s">
        <v>1349</v>
      </c>
      <c r="J163" s="224"/>
      <c r="K163" s="34" t="s">
        <v>25</v>
      </c>
      <c r="L163" s="475"/>
      <c r="M163" s="224"/>
      <c r="N163" s="224"/>
      <c r="O163" s="902" t="s">
        <v>6395</v>
      </c>
    </row>
    <row r="164" spans="1:15" x14ac:dyDescent="0.3">
      <c r="A164" s="2402">
        <v>158</v>
      </c>
      <c r="B164" s="1114" t="s">
        <v>1346</v>
      </c>
      <c r="C164" s="216" t="s">
        <v>1344</v>
      </c>
      <c r="D164" s="113">
        <v>31</v>
      </c>
      <c r="E164" s="217" t="s">
        <v>95</v>
      </c>
      <c r="F164" s="218" t="s">
        <v>1348</v>
      </c>
      <c r="G164" s="116">
        <v>990</v>
      </c>
      <c r="H164" s="1776" t="s">
        <v>1349</v>
      </c>
      <c r="J164" s="224"/>
      <c r="K164" s="34" t="s">
        <v>25</v>
      </c>
      <c r="L164" s="475"/>
      <c r="M164" s="224"/>
      <c r="N164" s="224"/>
      <c r="O164" s="902" t="s">
        <v>6395</v>
      </c>
    </row>
    <row r="165" spans="1:15" x14ac:dyDescent="0.3">
      <c r="A165" s="2401">
        <v>159</v>
      </c>
      <c r="B165" s="1114" t="s">
        <v>1346</v>
      </c>
      <c r="C165" s="216" t="s">
        <v>1344</v>
      </c>
      <c r="D165" s="113">
        <v>31</v>
      </c>
      <c r="E165" s="217" t="s">
        <v>96</v>
      </c>
      <c r="F165" s="218" t="s">
        <v>1348</v>
      </c>
      <c r="G165" s="116">
        <v>990</v>
      </c>
      <c r="H165" s="1776" t="s">
        <v>1349</v>
      </c>
      <c r="J165" s="224"/>
      <c r="K165" s="34" t="s">
        <v>25</v>
      </c>
      <c r="L165" s="475"/>
      <c r="M165" s="224"/>
      <c r="N165" s="224"/>
      <c r="O165" s="902" t="s">
        <v>6395</v>
      </c>
    </row>
    <row r="166" spans="1:15" x14ac:dyDescent="0.3">
      <c r="A166" s="2402">
        <v>160</v>
      </c>
      <c r="B166" s="1114" t="s">
        <v>1346</v>
      </c>
      <c r="C166" s="216" t="s">
        <v>1344</v>
      </c>
      <c r="D166" s="113">
        <v>31</v>
      </c>
      <c r="E166" s="217" t="s">
        <v>97</v>
      </c>
      <c r="F166" s="218" t="s">
        <v>1348</v>
      </c>
      <c r="G166" s="116">
        <v>990</v>
      </c>
      <c r="H166" s="1776" t="s">
        <v>1349</v>
      </c>
      <c r="J166" s="224"/>
      <c r="K166" s="34" t="s">
        <v>25</v>
      </c>
      <c r="L166" s="475"/>
      <c r="M166" s="224"/>
      <c r="N166" s="224"/>
      <c r="O166" s="902" t="s">
        <v>6395</v>
      </c>
    </row>
    <row r="167" spans="1:15" x14ac:dyDescent="0.3">
      <c r="A167" s="2402">
        <v>161</v>
      </c>
      <c r="B167" s="1114" t="s">
        <v>1346</v>
      </c>
      <c r="C167" s="216" t="s">
        <v>1344</v>
      </c>
      <c r="D167" s="113">
        <v>31</v>
      </c>
      <c r="E167" s="217" t="s">
        <v>999</v>
      </c>
      <c r="F167" s="218" t="s">
        <v>1348</v>
      </c>
      <c r="G167" s="116">
        <v>990</v>
      </c>
      <c r="H167" s="1776" t="s">
        <v>1349</v>
      </c>
      <c r="J167" s="224"/>
      <c r="K167" s="34" t="s">
        <v>25</v>
      </c>
      <c r="L167" s="475"/>
      <c r="M167" s="224"/>
      <c r="N167" s="224"/>
      <c r="O167" s="902" t="s">
        <v>6395</v>
      </c>
    </row>
    <row r="168" spans="1:15" x14ac:dyDescent="0.3">
      <c r="A168" s="2401">
        <v>162</v>
      </c>
      <c r="B168" s="1114" t="s">
        <v>1346</v>
      </c>
      <c r="C168" s="216" t="s">
        <v>1344</v>
      </c>
      <c r="D168" s="113">
        <v>31</v>
      </c>
      <c r="E168" s="217" t="s">
        <v>1000</v>
      </c>
      <c r="F168" s="218" t="s">
        <v>1348</v>
      </c>
      <c r="G168" s="116">
        <v>990</v>
      </c>
      <c r="H168" s="1776" t="s">
        <v>1349</v>
      </c>
      <c r="J168" s="224"/>
      <c r="K168" s="34" t="s">
        <v>25</v>
      </c>
      <c r="L168" s="475"/>
      <c r="M168" s="224"/>
      <c r="N168" s="224"/>
      <c r="O168" s="902" t="s">
        <v>6395</v>
      </c>
    </row>
    <row r="169" spans="1:15" x14ac:dyDescent="0.3">
      <c r="A169" s="2402">
        <v>163</v>
      </c>
      <c r="B169" s="1114" t="s">
        <v>1346</v>
      </c>
      <c r="C169" s="216" t="s">
        <v>1344</v>
      </c>
      <c r="D169" s="113">
        <v>31</v>
      </c>
      <c r="E169" s="217" t="s">
        <v>1001</v>
      </c>
      <c r="F169" s="218" t="s">
        <v>1348</v>
      </c>
      <c r="G169" s="116">
        <v>990</v>
      </c>
      <c r="H169" s="1776" t="s">
        <v>1349</v>
      </c>
      <c r="J169" s="224"/>
      <c r="K169" s="34" t="s">
        <v>25</v>
      </c>
      <c r="L169" s="475"/>
      <c r="M169" s="224"/>
      <c r="N169" s="224"/>
      <c r="O169" s="902" t="s">
        <v>6395</v>
      </c>
    </row>
    <row r="170" spans="1:15" x14ac:dyDescent="0.3">
      <c r="A170" s="2402">
        <v>164</v>
      </c>
      <c r="B170" s="1114" t="s">
        <v>1346</v>
      </c>
      <c r="C170" s="216" t="s">
        <v>1344</v>
      </c>
      <c r="D170" s="113">
        <v>31</v>
      </c>
      <c r="E170" s="217" t="s">
        <v>1002</v>
      </c>
      <c r="F170" s="218" t="s">
        <v>1348</v>
      </c>
      <c r="G170" s="116">
        <v>990</v>
      </c>
      <c r="H170" s="1776" t="s">
        <v>1349</v>
      </c>
      <c r="J170" s="224"/>
      <c r="K170" s="34" t="s">
        <v>25</v>
      </c>
      <c r="L170" s="475"/>
      <c r="M170" s="224"/>
      <c r="N170" s="224"/>
      <c r="O170" s="902" t="s">
        <v>6395</v>
      </c>
    </row>
    <row r="171" spans="1:15" x14ac:dyDescent="0.3">
      <c r="A171" s="2401">
        <v>165</v>
      </c>
      <c r="B171" s="1114" t="s">
        <v>1346</v>
      </c>
      <c r="C171" s="216" t="s">
        <v>1344</v>
      </c>
      <c r="D171" s="113">
        <v>31</v>
      </c>
      <c r="E171" s="419" t="s">
        <v>1004</v>
      </c>
      <c r="F171" s="218" t="s">
        <v>1348</v>
      </c>
      <c r="G171" s="116">
        <v>990</v>
      </c>
      <c r="H171" s="1776" t="s">
        <v>1349</v>
      </c>
      <c r="J171" s="224"/>
      <c r="K171" s="34" t="s">
        <v>25</v>
      </c>
      <c r="L171" s="475"/>
      <c r="M171" s="224"/>
      <c r="N171" s="224"/>
      <c r="O171" s="902" t="s">
        <v>6395</v>
      </c>
    </row>
    <row r="172" spans="1:15" x14ac:dyDescent="0.3">
      <c r="A172" s="2402">
        <v>166</v>
      </c>
      <c r="B172" s="1114" t="s">
        <v>1346</v>
      </c>
      <c r="C172" s="216" t="s">
        <v>1344</v>
      </c>
      <c r="D172" s="113">
        <v>31</v>
      </c>
      <c r="E172" s="349" t="s">
        <v>1005</v>
      </c>
      <c r="F172" s="218" t="s">
        <v>1348</v>
      </c>
      <c r="G172" s="116">
        <v>990</v>
      </c>
      <c r="H172" s="1776" t="s">
        <v>1349</v>
      </c>
      <c r="J172" s="224"/>
      <c r="K172" s="34" t="s">
        <v>25</v>
      </c>
      <c r="L172" s="475"/>
      <c r="M172" s="224"/>
      <c r="N172" s="224"/>
      <c r="O172" s="902" t="s">
        <v>6395</v>
      </c>
    </row>
    <row r="173" spans="1:15" x14ac:dyDescent="0.3">
      <c r="A173" s="2402">
        <v>167</v>
      </c>
      <c r="B173" s="1114" t="s">
        <v>1346</v>
      </c>
      <c r="C173" s="216" t="s">
        <v>1344</v>
      </c>
      <c r="D173" s="113">
        <v>31</v>
      </c>
      <c r="E173" s="217" t="s">
        <v>1006</v>
      </c>
      <c r="F173" s="218" t="s">
        <v>1348</v>
      </c>
      <c r="G173" s="116">
        <v>990</v>
      </c>
      <c r="H173" s="1776" t="s">
        <v>1349</v>
      </c>
      <c r="J173" s="224"/>
      <c r="K173" s="34" t="s">
        <v>25</v>
      </c>
      <c r="L173" s="475"/>
      <c r="M173" s="224"/>
      <c r="N173" s="224"/>
      <c r="O173" s="902" t="s">
        <v>6395</v>
      </c>
    </row>
    <row r="174" spans="1:15" x14ac:dyDescent="0.3">
      <c r="A174" s="2401">
        <v>168</v>
      </c>
      <c r="B174" s="1114" t="s">
        <v>1346</v>
      </c>
      <c r="C174" s="216" t="s">
        <v>1344</v>
      </c>
      <c r="D174" s="113">
        <v>31</v>
      </c>
      <c r="E174" s="217" t="s">
        <v>1007</v>
      </c>
      <c r="F174" s="218" t="s">
        <v>1348</v>
      </c>
      <c r="G174" s="116">
        <v>990</v>
      </c>
      <c r="H174" s="1776" t="s">
        <v>1349</v>
      </c>
      <c r="J174" s="224"/>
      <c r="K174" s="34" t="s">
        <v>25</v>
      </c>
      <c r="L174" s="475"/>
      <c r="M174" s="224"/>
      <c r="N174" s="224"/>
      <c r="O174" s="902" t="s">
        <v>6395</v>
      </c>
    </row>
    <row r="175" spans="1:15" x14ac:dyDescent="0.3">
      <c r="A175" s="2402">
        <v>169</v>
      </c>
      <c r="B175" s="1114" t="s">
        <v>1346</v>
      </c>
      <c r="C175" s="216" t="s">
        <v>1344</v>
      </c>
      <c r="D175" s="113">
        <v>31</v>
      </c>
      <c r="E175" s="217" t="s">
        <v>1008</v>
      </c>
      <c r="F175" s="218" t="s">
        <v>1348</v>
      </c>
      <c r="G175" s="116">
        <v>990</v>
      </c>
      <c r="H175" s="1776" t="s">
        <v>1349</v>
      </c>
      <c r="J175" s="224"/>
      <c r="K175" s="34" t="s">
        <v>25</v>
      </c>
      <c r="L175" s="475"/>
      <c r="M175" s="224"/>
      <c r="N175" s="224"/>
      <c r="O175" s="902" t="s">
        <v>6395</v>
      </c>
    </row>
    <row r="176" spans="1:15" x14ac:dyDescent="0.3">
      <c r="A176" s="2402">
        <v>170</v>
      </c>
      <c r="B176" s="1114" t="s">
        <v>1346</v>
      </c>
      <c r="C176" s="1117" t="s">
        <v>1344</v>
      </c>
      <c r="D176" s="113">
        <v>31</v>
      </c>
      <c r="E176" s="217" t="s">
        <v>1010</v>
      </c>
      <c r="F176" s="218" t="s">
        <v>1348</v>
      </c>
      <c r="G176" s="116">
        <v>990</v>
      </c>
      <c r="H176" s="1776" t="s">
        <v>1349</v>
      </c>
      <c r="J176" s="224"/>
      <c r="K176" s="34" t="s">
        <v>25</v>
      </c>
      <c r="L176" s="475"/>
      <c r="M176" s="224"/>
      <c r="N176" s="224"/>
      <c r="O176" s="902" t="s">
        <v>6395</v>
      </c>
    </row>
    <row r="177" spans="1:15" x14ac:dyDescent="0.3">
      <c r="A177" s="2401">
        <v>171</v>
      </c>
      <c r="B177" s="1114" t="s">
        <v>1346</v>
      </c>
      <c r="C177" s="1117" t="s">
        <v>1344</v>
      </c>
      <c r="D177" s="113">
        <v>31</v>
      </c>
      <c r="E177" s="217" t="s">
        <v>1412</v>
      </c>
      <c r="F177" s="218" t="s">
        <v>1348</v>
      </c>
      <c r="G177" s="116">
        <v>990</v>
      </c>
      <c r="H177" s="1776" t="s">
        <v>1349</v>
      </c>
      <c r="J177" s="224"/>
      <c r="K177" s="34" t="s">
        <v>25</v>
      </c>
      <c r="L177" s="475"/>
      <c r="M177" s="224"/>
      <c r="N177" s="224"/>
      <c r="O177" s="902" t="s">
        <v>6395</v>
      </c>
    </row>
    <row r="178" spans="1:15" x14ac:dyDescent="0.3">
      <c r="A178" s="2402">
        <v>172</v>
      </c>
      <c r="B178" s="1114" t="s">
        <v>1346</v>
      </c>
      <c r="C178" s="216" t="s">
        <v>1344</v>
      </c>
      <c r="D178" s="113">
        <v>31</v>
      </c>
      <c r="E178" s="217" t="s">
        <v>1012</v>
      </c>
      <c r="F178" s="218" t="s">
        <v>1348</v>
      </c>
      <c r="G178" s="116">
        <v>990</v>
      </c>
      <c r="H178" s="1776" t="s">
        <v>1349</v>
      </c>
      <c r="J178" s="224"/>
      <c r="K178" s="34" t="s">
        <v>25</v>
      </c>
      <c r="L178" s="475"/>
      <c r="M178" s="224"/>
      <c r="N178" s="224"/>
      <c r="O178" s="902" t="s">
        <v>6395</v>
      </c>
    </row>
    <row r="179" spans="1:15" x14ac:dyDescent="0.3">
      <c r="A179" s="2402">
        <v>173</v>
      </c>
      <c r="B179" s="1114" t="s">
        <v>1346</v>
      </c>
      <c r="C179" s="1117" t="s">
        <v>1344</v>
      </c>
      <c r="D179" s="113">
        <v>31</v>
      </c>
      <c r="E179" s="217" t="s">
        <v>307</v>
      </c>
      <c r="F179" s="218" t="s">
        <v>1348</v>
      </c>
      <c r="G179" s="116">
        <v>990</v>
      </c>
      <c r="H179" s="1776" t="s">
        <v>1349</v>
      </c>
      <c r="J179" s="224"/>
      <c r="K179" s="34" t="s">
        <v>25</v>
      </c>
      <c r="L179" s="475"/>
      <c r="M179" s="224"/>
      <c r="N179" s="224"/>
      <c r="O179" s="902" t="s">
        <v>6395</v>
      </c>
    </row>
    <row r="180" spans="1:15" x14ac:dyDescent="0.3">
      <c r="A180" s="2401">
        <v>174</v>
      </c>
      <c r="B180" s="1114" t="s">
        <v>1346</v>
      </c>
      <c r="C180" s="216" t="s">
        <v>1344</v>
      </c>
      <c r="D180" s="113">
        <v>31</v>
      </c>
      <c r="E180" s="217" t="s">
        <v>1014</v>
      </c>
      <c r="F180" s="218" t="s">
        <v>1348</v>
      </c>
      <c r="G180" s="116">
        <v>990</v>
      </c>
      <c r="H180" s="1776" t="s">
        <v>1349</v>
      </c>
      <c r="J180" s="224"/>
      <c r="K180" s="34" t="s">
        <v>25</v>
      </c>
      <c r="L180" s="475"/>
      <c r="M180" s="224"/>
      <c r="N180" s="224"/>
      <c r="O180" s="902" t="s">
        <v>6395</v>
      </c>
    </row>
    <row r="181" spans="1:15" x14ac:dyDescent="0.3">
      <c r="A181" s="2402">
        <v>175</v>
      </c>
      <c r="B181" s="1114" t="s">
        <v>1346</v>
      </c>
      <c r="C181" s="216" t="s">
        <v>1344</v>
      </c>
      <c r="D181" s="113">
        <v>31</v>
      </c>
      <c r="E181" s="217" t="s">
        <v>1016</v>
      </c>
      <c r="F181" s="218" t="s">
        <v>1348</v>
      </c>
      <c r="G181" s="116">
        <v>990</v>
      </c>
      <c r="H181" s="1776" t="s">
        <v>1349</v>
      </c>
      <c r="J181" s="224"/>
      <c r="K181" s="34" t="s">
        <v>25</v>
      </c>
      <c r="L181" s="475"/>
      <c r="M181" s="224"/>
      <c r="N181" s="224"/>
      <c r="O181" s="902" t="s">
        <v>6395</v>
      </c>
    </row>
    <row r="182" spans="1:15" x14ac:dyDescent="0.3">
      <c r="A182" s="2402">
        <v>176</v>
      </c>
      <c r="B182" s="1114" t="s">
        <v>1346</v>
      </c>
      <c r="C182" s="216" t="s">
        <v>1344</v>
      </c>
      <c r="D182" s="113">
        <v>31</v>
      </c>
      <c r="E182" s="217" t="s">
        <v>1018</v>
      </c>
      <c r="F182" s="218" t="s">
        <v>1348</v>
      </c>
      <c r="G182" s="116">
        <v>990</v>
      </c>
      <c r="H182" s="1776" t="s">
        <v>1349</v>
      </c>
      <c r="J182" s="224"/>
      <c r="K182" s="34" t="s">
        <v>25</v>
      </c>
      <c r="L182" s="475"/>
      <c r="M182" s="224"/>
      <c r="N182" s="224"/>
      <c r="O182" s="902" t="s">
        <v>6395</v>
      </c>
    </row>
    <row r="183" spans="1:15" x14ac:dyDescent="0.3">
      <c r="A183" s="2401">
        <v>177</v>
      </c>
      <c r="B183" s="1114" t="s">
        <v>1346</v>
      </c>
      <c r="C183" s="216" t="s">
        <v>1344</v>
      </c>
      <c r="D183" s="113">
        <v>31</v>
      </c>
      <c r="E183" s="217" t="s">
        <v>1020</v>
      </c>
      <c r="F183" s="218" t="s">
        <v>1348</v>
      </c>
      <c r="G183" s="116">
        <v>990</v>
      </c>
      <c r="H183" s="1776" t="s">
        <v>1349</v>
      </c>
      <c r="J183" s="224"/>
      <c r="K183" s="34" t="s">
        <v>25</v>
      </c>
      <c r="L183" s="475"/>
      <c r="M183" s="224"/>
      <c r="N183" s="224"/>
      <c r="O183" s="902" t="s">
        <v>6395</v>
      </c>
    </row>
    <row r="184" spans="1:15" x14ac:dyDescent="0.3">
      <c r="A184" s="2402">
        <v>178</v>
      </c>
      <c r="B184" s="1114" t="s">
        <v>1346</v>
      </c>
      <c r="C184" s="216" t="s">
        <v>1344</v>
      </c>
      <c r="D184" s="113">
        <v>31</v>
      </c>
      <c r="E184" s="217" t="s">
        <v>309</v>
      </c>
      <c r="F184" s="218" t="s">
        <v>1348</v>
      </c>
      <c r="G184" s="116">
        <v>990</v>
      </c>
      <c r="H184" s="1776" t="s">
        <v>1349</v>
      </c>
      <c r="J184" s="224"/>
      <c r="K184" s="34" t="s">
        <v>25</v>
      </c>
      <c r="L184" s="475"/>
      <c r="M184" s="224"/>
      <c r="N184" s="224"/>
      <c r="O184" s="902" t="s">
        <v>6395</v>
      </c>
    </row>
    <row r="185" spans="1:15" x14ac:dyDescent="0.3">
      <c r="A185" s="2402">
        <v>179</v>
      </c>
      <c r="B185" s="1114" t="s">
        <v>1346</v>
      </c>
      <c r="C185" s="216" t="s">
        <v>1344</v>
      </c>
      <c r="D185" s="113">
        <v>31</v>
      </c>
      <c r="E185" s="217" t="s">
        <v>313</v>
      </c>
      <c r="F185" s="218" t="s">
        <v>1348</v>
      </c>
      <c r="G185" s="116">
        <v>990</v>
      </c>
      <c r="H185" s="1776" t="s">
        <v>1349</v>
      </c>
      <c r="J185" s="224"/>
      <c r="K185" s="34" t="s">
        <v>25</v>
      </c>
      <c r="L185" s="475"/>
      <c r="M185" s="224"/>
      <c r="N185" s="224"/>
      <c r="O185" s="902" t="s">
        <v>6395</v>
      </c>
    </row>
    <row r="186" spans="1:15" x14ac:dyDescent="0.3">
      <c r="A186" s="2401">
        <v>180</v>
      </c>
      <c r="B186" s="1114" t="s">
        <v>1346</v>
      </c>
      <c r="C186" s="1117" t="s">
        <v>1344</v>
      </c>
      <c r="D186" s="113">
        <v>31</v>
      </c>
      <c r="E186" s="217" t="s">
        <v>315</v>
      </c>
      <c r="F186" s="218" t="s">
        <v>1348</v>
      </c>
      <c r="G186" s="116">
        <v>990</v>
      </c>
      <c r="H186" s="1776" t="s">
        <v>1349</v>
      </c>
      <c r="J186" s="224"/>
      <c r="K186" s="34" t="s">
        <v>25</v>
      </c>
      <c r="L186" s="475"/>
      <c r="M186" s="224"/>
      <c r="N186" s="224"/>
      <c r="O186" s="902" t="s">
        <v>6395</v>
      </c>
    </row>
    <row r="187" spans="1:15" x14ac:dyDescent="0.3">
      <c r="A187" s="2402">
        <v>181</v>
      </c>
      <c r="B187" s="1114" t="s">
        <v>1346</v>
      </c>
      <c r="C187" s="216" t="s">
        <v>1344</v>
      </c>
      <c r="D187" s="113">
        <v>31</v>
      </c>
      <c r="E187" s="217" t="s">
        <v>1413</v>
      </c>
      <c r="F187" s="218" t="s">
        <v>1348</v>
      </c>
      <c r="G187" s="116">
        <v>990</v>
      </c>
      <c r="H187" s="1776" t="s">
        <v>1349</v>
      </c>
      <c r="J187" s="224"/>
      <c r="K187" s="34" t="s">
        <v>25</v>
      </c>
      <c r="L187" s="475"/>
      <c r="M187" s="224"/>
      <c r="N187" s="224"/>
      <c r="O187" s="902" t="s">
        <v>6395</v>
      </c>
    </row>
    <row r="188" spans="1:15" x14ac:dyDescent="0.3">
      <c r="A188" s="2402">
        <v>182</v>
      </c>
      <c r="B188" s="1114" t="s">
        <v>1346</v>
      </c>
      <c r="C188" s="216" t="s">
        <v>1344</v>
      </c>
      <c r="D188" s="113">
        <v>31</v>
      </c>
      <c r="E188" s="217" t="s">
        <v>1414</v>
      </c>
      <c r="F188" s="218" t="s">
        <v>1348</v>
      </c>
      <c r="G188" s="116">
        <v>990</v>
      </c>
      <c r="H188" s="1776" t="s">
        <v>1349</v>
      </c>
      <c r="J188" s="224"/>
      <c r="K188" s="34" t="s">
        <v>25</v>
      </c>
      <c r="L188" s="475"/>
      <c r="M188" s="224"/>
      <c r="N188" s="224"/>
      <c r="O188" s="902" t="s">
        <v>6395</v>
      </c>
    </row>
    <row r="189" spans="1:15" x14ac:dyDescent="0.3">
      <c r="A189" s="2401">
        <v>183</v>
      </c>
      <c r="B189" s="1114" t="s">
        <v>1346</v>
      </c>
      <c r="C189" s="216" t="s">
        <v>1344</v>
      </c>
      <c r="D189" s="113">
        <v>31</v>
      </c>
      <c r="E189" s="217" t="s">
        <v>1415</v>
      </c>
      <c r="F189" s="218" t="s">
        <v>1348</v>
      </c>
      <c r="G189" s="116">
        <v>990</v>
      </c>
      <c r="H189" s="1776" t="s">
        <v>1349</v>
      </c>
      <c r="J189" s="224"/>
      <c r="K189" s="34" t="s">
        <v>25</v>
      </c>
      <c r="L189" s="475"/>
      <c r="M189" s="224"/>
      <c r="N189" s="224"/>
      <c r="O189" s="902" t="s">
        <v>6395</v>
      </c>
    </row>
    <row r="190" spans="1:15" x14ac:dyDescent="0.3">
      <c r="A190" s="2402">
        <v>184</v>
      </c>
      <c r="B190" s="1114" t="s">
        <v>1346</v>
      </c>
      <c r="C190" s="216" t="s">
        <v>1344</v>
      </c>
      <c r="D190" s="113">
        <v>31</v>
      </c>
      <c r="E190" s="217" t="s">
        <v>426</v>
      </c>
      <c r="F190" s="218" t="s">
        <v>1348</v>
      </c>
      <c r="G190" s="116">
        <v>990</v>
      </c>
      <c r="H190" s="1776" t="s">
        <v>1349</v>
      </c>
      <c r="J190" s="224"/>
      <c r="K190" s="34" t="s">
        <v>25</v>
      </c>
      <c r="L190" s="475"/>
      <c r="M190" s="224"/>
      <c r="N190" s="224"/>
      <c r="O190" s="902" t="s">
        <v>6395</v>
      </c>
    </row>
    <row r="191" spans="1:15" x14ac:dyDescent="0.3">
      <c r="A191" s="2402">
        <v>185</v>
      </c>
      <c r="B191" s="1114" t="s">
        <v>1346</v>
      </c>
      <c r="C191" s="216" t="s">
        <v>1344</v>
      </c>
      <c r="D191" s="113">
        <v>31</v>
      </c>
      <c r="E191" s="217" t="s">
        <v>427</v>
      </c>
      <c r="F191" s="218" t="s">
        <v>1348</v>
      </c>
      <c r="G191" s="116">
        <v>990</v>
      </c>
      <c r="H191" s="1776" t="s">
        <v>1349</v>
      </c>
      <c r="J191" s="224"/>
      <c r="K191" s="34" t="s">
        <v>25</v>
      </c>
      <c r="L191" s="475"/>
      <c r="M191" s="224"/>
      <c r="N191" s="224"/>
      <c r="O191" s="902" t="s">
        <v>6395</v>
      </c>
    </row>
    <row r="192" spans="1:15" x14ac:dyDescent="0.3">
      <c r="A192" s="2401">
        <v>186</v>
      </c>
      <c r="B192" s="1114" t="s">
        <v>1346</v>
      </c>
      <c r="C192" s="216" t="s">
        <v>1344</v>
      </c>
      <c r="D192" s="113">
        <v>31</v>
      </c>
      <c r="E192" s="217" t="s">
        <v>327</v>
      </c>
      <c r="F192" s="218" t="s">
        <v>1348</v>
      </c>
      <c r="G192" s="116">
        <v>990</v>
      </c>
      <c r="H192" s="1776" t="s">
        <v>1349</v>
      </c>
      <c r="J192" s="224"/>
      <c r="K192" s="34" t="s">
        <v>25</v>
      </c>
      <c r="L192" s="475"/>
      <c r="M192" s="224"/>
      <c r="N192" s="224"/>
      <c r="O192" s="902" t="s">
        <v>6395</v>
      </c>
    </row>
    <row r="193" spans="1:15" x14ac:dyDescent="0.3">
      <c r="A193" s="2402">
        <v>187</v>
      </c>
      <c r="B193" s="1114" t="s">
        <v>1346</v>
      </c>
      <c r="C193" s="216" t="s">
        <v>1344</v>
      </c>
      <c r="D193" s="113">
        <v>31</v>
      </c>
      <c r="E193" s="217" t="s">
        <v>438</v>
      </c>
      <c r="F193" s="218" t="s">
        <v>1348</v>
      </c>
      <c r="G193" s="116">
        <v>990</v>
      </c>
      <c r="H193" s="1776" t="s">
        <v>1349</v>
      </c>
      <c r="J193" s="224"/>
      <c r="K193" s="34" t="s">
        <v>25</v>
      </c>
      <c r="L193" s="475"/>
      <c r="M193" s="224"/>
      <c r="N193" s="224"/>
      <c r="O193" s="902" t="s">
        <v>6395</v>
      </c>
    </row>
    <row r="194" spans="1:15" x14ac:dyDescent="0.3">
      <c r="A194" s="2402">
        <v>188</v>
      </c>
      <c r="B194" s="1114" t="s">
        <v>1346</v>
      </c>
      <c r="C194" s="216" t="s">
        <v>1344</v>
      </c>
      <c r="D194" s="113">
        <v>31</v>
      </c>
      <c r="E194" s="217" t="s">
        <v>440</v>
      </c>
      <c r="F194" s="218" t="s">
        <v>1348</v>
      </c>
      <c r="G194" s="116">
        <v>990</v>
      </c>
      <c r="H194" s="1776" t="s">
        <v>1349</v>
      </c>
      <c r="J194" s="224"/>
      <c r="K194" s="34" t="s">
        <v>25</v>
      </c>
      <c r="L194" s="475"/>
      <c r="M194" s="224"/>
      <c r="N194" s="224"/>
      <c r="O194" s="902" t="s">
        <v>6395</v>
      </c>
    </row>
    <row r="195" spans="1:15" x14ac:dyDescent="0.3">
      <c r="A195" s="2401">
        <v>189</v>
      </c>
      <c r="B195" s="1114" t="s">
        <v>1346</v>
      </c>
      <c r="C195" s="1117" t="s">
        <v>1344</v>
      </c>
      <c r="D195" s="113">
        <v>31</v>
      </c>
      <c r="E195" s="217" t="s">
        <v>1024</v>
      </c>
      <c r="F195" s="218" t="s">
        <v>1348</v>
      </c>
      <c r="G195" s="116">
        <v>990</v>
      </c>
      <c r="H195" s="1776" t="s">
        <v>1349</v>
      </c>
      <c r="J195" s="224"/>
      <c r="K195" s="34" t="s">
        <v>25</v>
      </c>
      <c r="L195" s="475"/>
      <c r="M195" s="224"/>
      <c r="N195" s="224"/>
      <c r="O195" s="902" t="s">
        <v>6395</v>
      </c>
    </row>
    <row r="196" spans="1:15" x14ac:dyDescent="0.3">
      <c r="A196" s="2402">
        <v>190</v>
      </c>
      <c r="B196" s="1114" t="s">
        <v>1346</v>
      </c>
      <c r="C196" s="216" t="s">
        <v>1344</v>
      </c>
      <c r="D196" s="113">
        <v>31</v>
      </c>
      <c r="E196" s="217" t="s">
        <v>1026</v>
      </c>
      <c r="F196" s="218" t="s">
        <v>1348</v>
      </c>
      <c r="G196" s="116">
        <v>990</v>
      </c>
      <c r="H196" s="1776" t="s">
        <v>1349</v>
      </c>
      <c r="J196" s="224"/>
      <c r="K196" s="34" t="s">
        <v>25</v>
      </c>
      <c r="L196" s="475"/>
      <c r="M196" s="224"/>
      <c r="N196" s="224"/>
      <c r="O196" s="902" t="s">
        <v>6395</v>
      </c>
    </row>
    <row r="197" spans="1:15" x14ac:dyDescent="0.3">
      <c r="A197" s="2402">
        <v>191</v>
      </c>
      <c r="B197" s="1114" t="s">
        <v>1346</v>
      </c>
      <c r="C197" s="1117" t="s">
        <v>1344</v>
      </c>
      <c r="D197" s="113">
        <v>31</v>
      </c>
      <c r="E197" s="217" t="s">
        <v>1027</v>
      </c>
      <c r="F197" s="218" t="s">
        <v>1348</v>
      </c>
      <c r="G197" s="116">
        <v>990</v>
      </c>
      <c r="H197" s="1776" t="s">
        <v>1349</v>
      </c>
      <c r="J197" s="224"/>
      <c r="K197" s="34" t="s">
        <v>25</v>
      </c>
      <c r="L197" s="475"/>
      <c r="M197" s="224"/>
      <c r="N197" s="224"/>
      <c r="O197" s="902" t="s">
        <v>6395</v>
      </c>
    </row>
    <row r="198" spans="1:15" x14ac:dyDescent="0.3">
      <c r="A198" s="2401">
        <v>192</v>
      </c>
      <c r="B198" s="1114" t="s">
        <v>1346</v>
      </c>
      <c r="C198" s="216" t="s">
        <v>1344</v>
      </c>
      <c r="D198" s="113">
        <v>31</v>
      </c>
      <c r="E198" s="217" t="s">
        <v>1030</v>
      </c>
      <c r="F198" s="218" t="s">
        <v>1348</v>
      </c>
      <c r="G198" s="116">
        <v>990</v>
      </c>
      <c r="H198" s="1776" t="s">
        <v>1349</v>
      </c>
      <c r="J198" s="224"/>
      <c r="K198" s="34" t="s">
        <v>25</v>
      </c>
      <c r="L198" s="475"/>
      <c r="M198" s="224"/>
      <c r="N198" s="224"/>
      <c r="O198" s="902" t="s">
        <v>6395</v>
      </c>
    </row>
    <row r="199" spans="1:15" x14ac:dyDescent="0.3">
      <c r="A199" s="2402">
        <v>193</v>
      </c>
      <c r="B199" s="1114" t="s">
        <v>1346</v>
      </c>
      <c r="C199" s="216" t="s">
        <v>1344</v>
      </c>
      <c r="D199" s="113">
        <v>31</v>
      </c>
      <c r="E199" s="217" t="s">
        <v>1037</v>
      </c>
      <c r="F199" s="218" t="s">
        <v>1348</v>
      </c>
      <c r="G199" s="116">
        <v>990</v>
      </c>
      <c r="H199" s="1776" t="s">
        <v>1349</v>
      </c>
      <c r="J199" s="224"/>
      <c r="K199" s="34" t="s">
        <v>25</v>
      </c>
      <c r="L199" s="475"/>
      <c r="M199" s="224"/>
      <c r="N199" s="224"/>
      <c r="O199" s="902" t="s">
        <v>6395</v>
      </c>
    </row>
    <row r="200" spans="1:15" x14ac:dyDescent="0.3">
      <c r="A200" s="2402">
        <v>194</v>
      </c>
      <c r="B200" s="1114" t="s">
        <v>1346</v>
      </c>
      <c r="C200" s="216" t="s">
        <v>1344</v>
      </c>
      <c r="D200" s="113">
        <v>31</v>
      </c>
      <c r="E200" s="217" t="s">
        <v>1039</v>
      </c>
      <c r="F200" s="218" t="s">
        <v>1348</v>
      </c>
      <c r="G200" s="116">
        <v>990</v>
      </c>
      <c r="H200" s="1776" t="s">
        <v>1349</v>
      </c>
      <c r="J200" s="224"/>
      <c r="K200" s="34" t="s">
        <v>25</v>
      </c>
      <c r="L200" s="475"/>
      <c r="M200" s="224"/>
      <c r="N200" s="224"/>
      <c r="O200" s="902" t="s">
        <v>6395</v>
      </c>
    </row>
    <row r="201" spans="1:15" x14ac:dyDescent="0.3">
      <c r="A201" s="2401">
        <v>195</v>
      </c>
      <c r="B201" s="1114" t="s">
        <v>1346</v>
      </c>
      <c r="C201" s="216" t="s">
        <v>1344</v>
      </c>
      <c r="D201" s="113">
        <v>31</v>
      </c>
      <c r="E201" s="419" t="s">
        <v>1040</v>
      </c>
      <c r="F201" s="218" t="s">
        <v>1348</v>
      </c>
      <c r="G201" s="116">
        <v>990</v>
      </c>
      <c r="H201" s="1776" t="s">
        <v>1349</v>
      </c>
      <c r="J201" s="224"/>
      <c r="K201" s="34" t="s">
        <v>25</v>
      </c>
      <c r="L201" s="475"/>
      <c r="M201" s="224"/>
      <c r="N201" s="224"/>
      <c r="O201" s="902" t="s">
        <v>6395</v>
      </c>
    </row>
    <row r="202" spans="1:15" x14ac:dyDescent="0.3">
      <c r="A202" s="2402">
        <v>196</v>
      </c>
      <c r="B202" s="1114" t="s">
        <v>1346</v>
      </c>
      <c r="C202" s="216" t="s">
        <v>1344</v>
      </c>
      <c r="D202" s="113">
        <v>31</v>
      </c>
      <c r="E202" s="349" t="s">
        <v>1041</v>
      </c>
      <c r="F202" s="218" t="s">
        <v>1348</v>
      </c>
      <c r="G202" s="116">
        <v>990</v>
      </c>
      <c r="H202" s="1776" t="s">
        <v>1349</v>
      </c>
      <c r="J202" s="224"/>
      <c r="K202" s="34" t="s">
        <v>25</v>
      </c>
      <c r="L202" s="475"/>
      <c r="M202" s="224"/>
      <c r="N202" s="224"/>
      <c r="O202" s="902" t="s">
        <v>6395</v>
      </c>
    </row>
    <row r="203" spans="1:15" x14ac:dyDescent="0.3">
      <c r="A203" s="2402">
        <v>197</v>
      </c>
      <c r="B203" s="1114" t="s">
        <v>1346</v>
      </c>
      <c r="C203" s="216" t="s">
        <v>1344</v>
      </c>
      <c r="D203" s="113">
        <v>31</v>
      </c>
      <c r="E203" s="217" t="s">
        <v>429</v>
      </c>
      <c r="F203" s="218" t="s">
        <v>1348</v>
      </c>
      <c r="G203" s="116">
        <v>990</v>
      </c>
      <c r="H203" s="1776" t="s">
        <v>1349</v>
      </c>
      <c r="J203" s="224"/>
      <c r="K203" s="34" t="s">
        <v>25</v>
      </c>
      <c r="L203" s="475"/>
      <c r="M203" s="224"/>
      <c r="N203" s="224"/>
      <c r="O203" s="902" t="s">
        <v>6395</v>
      </c>
    </row>
    <row r="204" spans="1:15" x14ac:dyDescent="0.3">
      <c r="A204" s="2401">
        <v>198</v>
      </c>
      <c r="B204" s="1114" t="s">
        <v>1346</v>
      </c>
      <c r="C204" s="216" t="s">
        <v>1344</v>
      </c>
      <c r="D204" s="125">
        <v>31</v>
      </c>
      <c r="E204" s="217" t="s">
        <v>431</v>
      </c>
      <c r="F204" s="218" t="s">
        <v>1348</v>
      </c>
      <c r="G204" s="116">
        <v>990</v>
      </c>
      <c r="H204" s="1776" t="s">
        <v>1349</v>
      </c>
      <c r="J204" s="224"/>
      <c r="K204" s="34" t="s">
        <v>25</v>
      </c>
      <c r="L204" s="475"/>
      <c r="M204" s="224"/>
      <c r="N204" s="224"/>
      <c r="O204" s="902" t="s">
        <v>6395</v>
      </c>
    </row>
    <row r="205" spans="1:15" x14ac:dyDescent="0.3">
      <c r="A205" s="2402">
        <v>199</v>
      </c>
      <c r="B205" s="1114" t="s">
        <v>1346</v>
      </c>
      <c r="C205" s="216" t="s">
        <v>1344</v>
      </c>
      <c r="D205" s="128">
        <v>31</v>
      </c>
      <c r="E205" s="217" t="s">
        <v>433</v>
      </c>
      <c r="F205" s="82" t="s">
        <v>1348</v>
      </c>
      <c r="G205" s="116">
        <v>990</v>
      </c>
      <c r="H205" s="1776" t="s">
        <v>1349</v>
      </c>
      <c r="J205" s="224"/>
      <c r="K205" s="34" t="s">
        <v>25</v>
      </c>
      <c r="L205" s="475"/>
      <c r="M205" s="224"/>
      <c r="N205" s="224"/>
      <c r="O205" s="902" t="s">
        <v>6395</v>
      </c>
    </row>
    <row r="206" spans="1:15" x14ac:dyDescent="0.3">
      <c r="A206" s="2402">
        <v>200</v>
      </c>
      <c r="B206" s="1114" t="s">
        <v>1346</v>
      </c>
      <c r="C206" s="216" t="s">
        <v>1344</v>
      </c>
      <c r="D206" s="136">
        <v>31</v>
      </c>
      <c r="E206" s="217" t="s">
        <v>436</v>
      </c>
      <c r="F206" s="1121" t="s">
        <v>1348</v>
      </c>
      <c r="G206" s="116">
        <v>990</v>
      </c>
      <c r="H206" s="1776" t="s">
        <v>1349</v>
      </c>
      <c r="J206" s="224"/>
      <c r="K206" s="34" t="s">
        <v>25</v>
      </c>
      <c r="L206" s="475"/>
      <c r="M206" s="224"/>
      <c r="N206" s="224"/>
      <c r="O206" s="902" t="s">
        <v>6395</v>
      </c>
    </row>
    <row r="207" spans="1:15" x14ac:dyDescent="0.3">
      <c r="A207" s="2401">
        <v>201</v>
      </c>
      <c r="B207" s="1122" t="s">
        <v>1416</v>
      </c>
      <c r="C207" s="216" t="s">
        <v>1344</v>
      </c>
      <c r="D207" s="416" t="s">
        <v>938</v>
      </c>
      <c r="E207" s="217" t="s">
        <v>1054</v>
      </c>
      <c r="F207" s="218" t="s">
        <v>1417</v>
      </c>
      <c r="G207" s="116">
        <v>990</v>
      </c>
      <c r="H207" s="1776" t="s">
        <v>1349</v>
      </c>
      <c r="J207" s="224"/>
      <c r="K207" s="34" t="s">
        <v>25</v>
      </c>
      <c r="L207" s="475"/>
      <c r="M207" s="224"/>
      <c r="N207" s="224"/>
      <c r="O207" s="902" t="s">
        <v>6395</v>
      </c>
    </row>
    <row r="208" spans="1:15" x14ac:dyDescent="0.3">
      <c r="A208" s="2402">
        <v>202</v>
      </c>
      <c r="B208" s="1122" t="s">
        <v>1416</v>
      </c>
      <c r="C208" s="216" t="s">
        <v>1344</v>
      </c>
      <c r="D208" s="416" t="s">
        <v>938</v>
      </c>
      <c r="E208" s="217" t="s">
        <v>1056</v>
      </c>
      <c r="F208" s="218" t="s">
        <v>1417</v>
      </c>
      <c r="G208" s="116">
        <v>990</v>
      </c>
      <c r="H208" s="1776" t="s">
        <v>1349</v>
      </c>
      <c r="J208" s="224"/>
      <c r="K208" s="34" t="s">
        <v>25</v>
      </c>
      <c r="L208" s="475"/>
      <c r="M208" s="224"/>
      <c r="N208" s="224"/>
      <c r="O208" s="902" t="s">
        <v>6395</v>
      </c>
    </row>
    <row r="209" spans="1:15" x14ac:dyDescent="0.3">
      <c r="A209" s="2402">
        <v>203</v>
      </c>
      <c r="B209" s="1122" t="s">
        <v>1416</v>
      </c>
      <c r="C209" s="216" t="s">
        <v>1344</v>
      </c>
      <c r="D209" s="416" t="s">
        <v>938</v>
      </c>
      <c r="E209" s="217" t="s">
        <v>1058</v>
      </c>
      <c r="F209" s="218" t="s">
        <v>1417</v>
      </c>
      <c r="G209" s="116">
        <v>990</v>
      </c>
      <c r="H209" s="1776" t="s">
        <v>1349</v>
      </c>
      <c r="J209" s="224"/>
      <c r="K209" s="34" t="s">
        <v>25</v>
      </c>
      <c r="L209" s="475"/>
      <c r="M209" s="224"/>
      <c r="N209" s="224"/>
      <c r="O209" s="902" t="s">
        <v>6395</v>
      </c>
    </row>
    <row r="210" spans="1:15" x14ac:dyDescent="0.3">
      <c r="A210" s="2401">
        <v>204</v>
      </c>
      <c r="B210" s="1122" t="s">
        <v>1416</v>
      </c>
      <c r="C210" s="216" t="s">
        <v>1344</v>
      </c>
      <c r="D210" s="416" t="s">
        <v>938</v>
      </c>
      <c r="E210" s="217" t="s">
        <v>1418</v>
      </c>
      <c r="F210" s="218" t="s">
        <v>1417</v>
      </c>
      <c r="G210" s="116">
        <v>990</v>
      </c>
      <c r="H210" s="1776" t="s">
        <v>1349</v>
      </c>
      <c r="J210" s="224"/>
      <c r="K210" s="34" t="s">
        <v>25</v>
      </c>
      <c r="L210" s="475"/>
      <c r="M210" s="224"/>
      <c r="N210" s="224"/>
      <c r="O210" s="902" t="s">
        <v>6395</v>
      </c>
    </row>
    <row r="211" spans="1:15" x14ac:dyDescent="0.3">
      <c r="A211" s="2402">
        <v>205</v>
      </c>
      <c r="B211" s="1122" t="s">
        <v>1416</v>
      </c>
      <c r="C211" s="216" t="s">
        <v>1344</v>
      </c>
      <c r="D211" s="416" t="s">
        <v>938</v>
      </c>
      <c r="E211" s="217" t="s">
        <v>1061</v>
      </c>
      <c r="F211" s="218" t="s">
        <v>1417</v>
      </c>
      <c r="G211" s="116">
        <v>990</v>
      </c>
      <c r="H211" s="1776" t="s">
        <v>1349</v>
      </c>
      <c r="J211" s="224"/>
      <c r="K211" s="34" t="s">
        <v>25</v>
      </c>
      <c r="L211" s="475"/>
      <c r="M211" s="224"/>
      <c r="N211" s="224"/>
      <c r="O211" s="902" t="s">
        <v>6395</v>
      </c>
    </row>
    <row r="212" spans="1:15" x14ac:dyDescent="0.3">
      <c r="A212" s="2402">
        <v>206</v>
      </c>
      <c r="B212" s="1122" t="s">
        <v>1416</v>
      </c>
      <c r="C212" s="216" t="s">
        <v>1344</v>
      </c>
      <c r="D212" s="416" t="s">
        <v>938</v>
      </c>
      <c r="E212" s="217" t="s">
        <v>1063</v>
      </c>
      <c r="F212" s="218" t="s">
        <v>1417</v>
      </c>
      <c r="G212" s="116">
        <v>990</v>
      </c>
      <c r="H212" s="1776" t="s">
        <v>1349</v>
      </c>
      <c r="J212" s="224"/>
      <c r="K212" s="34" t="s">
        <v>25</v>
      </c>
      <c r="L212" s="475"/>
      <c r="M212" s="224"/>
      <c r="N212" s="224"/>
      <c r="O212" s="902" t="s">
        <v>6395</v>
      </c>
    </row>
    <row r="213" spans="1:15" x14ac:dyDescent="0.3">
      <c r="A213" s="2401">
        <v>207</v>
      </c>
      <c r="B213" s="1122" t="s">
        <v>1416</v>
      </c>
      <c r="C213" s="216" t="s">
        <v>1344</v>
      </c>
      <c r="D213" s="416" t="s">
        <v>938</v>
      </c>
      <c r="E213" s="217" t="s">
        <v>1065</v>
      </c>
      <c r="F213" s="218" t="s">
        <v>1417</v>
      </c>
      <c r="G213" s="116">
        <v>990</v>
      </c>
      <c r="H213" s="1776" t="s">
        <v>1349</v>
      </c>
      <c r="J213" s="224"/>
      <c r="K213" s="34" t="s">
        <v>25</v>
      </c>
      <c r="L213" s="475"/>
      <c r="M213" s="224"/>
      <c r="N213" s="224"/>
      <c r="O213" s="902" t="s">
        <v>6395</v>
      </c>
    </row>
    <row r="214" spans="1:15" x14ac:dyDescent="0.3">
      <c r="A214" s="2402">
        <v>208</v>
      </c>
      <c r="B214" s="1122" t="s">
        <v>1416</v>
      </c>
      <c r="C214" s="216" t="s">
        <v>1344</v>
      </c>
      <c r="D214" s="416" t="s">
        <v>938</v>
      </c>
      <c r="E214" s="419" t="s">
        <v>1067</v>
      </c>
      <c r="F214" s="218" t="s">
        <v>1417</v>
      </c>
      <c r="G214" s="116">
        <v>990</v>
      </c>
      <c r="H214" s="1776" t="s">
        <v>1349</v>
      </c>
      <c r="J214" s="224"/>
      <c r="K214" s="34" t="s">
        <v>25</v>
      </c>
      <c r="L214" s="475"/>
      <c r="M214" s="224"/>
      <c r="N214" s="224"/>
      <c r="O214" s="902" t="s">
        <v>6395</v>
      </c>
    </row>
    <row r="215" spans="1:15" x14ac:dyDescent="0.3">
      <c r="A215" s="2402">
        <v>209</v>
      </c>
      <c r="B215" s="1122" t="s">
        <v>1416</v>
      </c>
      <c r="C215" s="216" t="s">
        <v>1344</v>
      </c>
      <c r="D215" s="416" t="s">
        <v>938</v>
      </c>
      <c r="E215" s="349" t="s">
        <v>1068</v>
      </c>
      <c r="F215" s="218" t="s">
        <v>1417</v>
      </c>
      <c r="G215" s="116">
        <v>990</v>
      </c>
      <c r="H215" s="1776" t="s">
        <v>1349</v>
      </c>
      <c r="J215" s="224"/>
      <c r="K215" s="34" t="s">
        <v>25</v>
      </c>
      <c r="L215" s="475"/>
      <c r="M215" s="224"/>
      <c r="N215" s="224"/>
      <c r="O215" s="902" t="s">
        <v>6395</v>
      </c>
    </row>
    <row r="216" spans="1:15" x14ac:dyDescent="0.3">
      <c r="A216" s="2401">
        <v>210</v>
      </c>
      <c r="B216" s="1122" t="s">
        <v>1416</v>
      </c>
      <c r="C216" s="216" t="s">
        <v>1344</v>
      </c>
      <c r="D216" s="416" t="s">
        <v>938</v>
      </c>
      <c r="E216" s="217" t="s">
        <v>1069</v>
      </c>
      <c r="F216" s="218" t="s">
        <v>1417</v>
      </c>
      <c r="G216" s="116">
        <v>990</v>
      </c>
      <c r="H216" s="1776" t="s">
        <v>1349</v>
      </c>
      <c r="J216" s="224"/>
      <c r="K216" s="34" t="s">
        <v>25</v>
      </c>
      <c r="L216" s="475"/>
      <c r="M216" s="224"/>
      <c r="N216" s="224"/>
      <c r="O216" s="902" t="s">
        <v>6395</v>
      </c>
    </row>
    <row r="217" spans="1:15" x14ac:dyDescent="0.3">
      <c r="A217" s="2402">
        <v>211</v>
      </c>
      <c r="B217" s="1122" t="s">
        <v>1416</v>
      </c>
      <c r="C217" s="216" t="s">
        <v>1344</v>
      </c>
      <c r="D217" s="416" t="s">
        <v>938</v>
      </c>
      <c r="E217" s="217" t="s">
        <v>1070</v>
      </c>
      <c r="F217" s="218" t="s">
        <v>1417</v>
      </c>
      <c r="G217" s="116">
        <v>990</v>
      </c>
      <c r="H217" s="1776" t="s">
        <v>1349</v>
      </c>
      <c r="J217" s="224"/>
      <c r="K217" s="34" t="s">
        <v>25</v>
      </c>
      <c r="L217" s="475"/>
      <c r="M217" s="224"/>
      <c r="N217" s="224"/>
      <c r="O217" s="902" t="s">
        <v>6395</v>
      </c>
    </row>
    <row r="218" spans="1:15" x14ac:dyDescent="0.3">
      <c r="A218" s="2402">
        <v>212</v>
      </c>
      <c r="B218" s="1122" t="s">
        <v>1416</v>
      </c>
      <c r="C218" s="216" t="s">
        <v>1344</v>
      </c>
      <c r="D218" s="452" t="s">
        <v>938</v>
      </c>
      <c r="E218" s="217" t="s">
        <v>1073</v>
      </c>
      <c r="F218" s="218" t="s">
        <v>1417</v>
      </c>
      <c r="G218" s="116">
        <v>990</v>
      </c>
      <c r="H218" s="1776" t="s">
        <v>1349</v>
      </c>
      <c r="J218" s="224"/>
      <c r="K218" s="34" t="s">
        <v>25</v>
      </c>
      <c r="L218" s="475"/>
      <c r="M218" s="224"/>
      <c r="N218" s="224"/>
      <c r="O218" s="902" t="s">
        <v>6395</v>
      </c>
    </row>
    <row r="219" spans="1:15" x14ac:dyDescent="0.3">
      <c r="A219" s="2401">
        <v>213</v>
      </c>
      <c r="B219" s="1123" t="s">
        <v>1416</v>
      </c>
      <c r="C219" s="216" t="s">
        <v>1344</v>
      </c>
      <c r="D219" s="793" t="s">
        <v>938</v>
      </c>
      <c r="E219" s="217" t="s">
        <v>1076</v>
      </c>
      <c r="F219" s="218" t="s">
        <v>1417</v>
      </c>
      <c r="G219" s="116">
        <v>990</v>
      </c>
      <c r="H219" s="1776" t="s">
        <v>1349</v>
      </c>
      <c r="J219" s="224"/>
      <c r="K219" s="34" t="s">
        <v>25</v>
      </c>
      <c r="L219" s="475"/>
      <c r="M219" s="224"/>
      <c r="N219" s="224"/>
      <c r="O219" s="902" t="s">
        <v>6395</v>
      </c>
    </row>
    <row r="220" spans="1:15" x14ac:dyDescent="0.3">
      <c r="A220" s="2402">
        <v>214</v>
      </c>
      <c r="B220" s="1124" t="s">
        <v>1416</v>
      </c>
      <c r="C220" s="216" t="s">
        <v>1344</v>
      </c>
      <c r="D220" s="416" t="s">
        <v>938</v>
      </c>
      <c r="E220" s="217" t="s">
        <v>1419</v>
      </c>
      <c r="F220" s="218" t="s">
        <v>1417</v>
      </c>
      <c r="G220" s="116">
        <v>990</v>
      </c>
      <c r="H220" s="1776" t="s">
        <v>1349</v>
      </c>
      <c r="J220" s="224"/>
      <c r="K220" s="34" t="s">
        <v>25</v>
      </c>
      <c r="L220" s="475"/>
      <c r="M220" s="224"/>
      <c r="N220" s="224"/>
      <c r="O220" s="902" t="s">
        <v>6395</v>
      </c>
    </row>
    <row r="221" spans="1:15" x14ac:dyDescent="0.3">
      <c r="A221" s="2402">
        <v>215</v>
      </c>
      <c r="B221" s="1122" t="s">
        <v>1416</v>
      </c>
      <c r="C221" s="216" t="s">
        <v>1344</v>
      </c>
      <c r="D221" s="416" t="s">
        <v>938</v>
      </c>
      <c r="E221" s="217" t="s">
        <v>1420</v>
      </c>
      <c r="F221" s="218" t="s">
        <v>1417</v>
      </c>
      <c r="G221" s="116">
        <v>990</v>
      </c>
      <c r="H221" s="1776" t="s">
        <v>1349</v>
      </c>
      <c r="J221" s="224"/>
      <c r="K221" s="34" t="s">
        <v>25</v>
      </c>
      <c r="L221" s="475"/>
      <c r="M221" s="224"/>
      <c r="N221" s="224"/>
      <c r="O221" s="902" t="s">
        <v>6395</v>
      </c>
    </row>
    <row r="222" spans="1:15" x14ac:dyDescent="0.3">
      <c r="A222" s="2401">
        <v>216</v>
      </c>
      <c r="B222" s="1122" t="s">
        <v>1416</v>
      </c>
      <c r="C222" s="216" t="s">
        <v>1344</v>
      </c>
      <c r="D222" s="416" t="s">
        <v>938</v>
      </c>
      <c r="E222" s="217" t="s">
        <v>1421</v>
      </c>
      <c r="F222" s="218" t="s">
        <v>1417</v>
      </c>
      <c r="G222" s="116">
        <v>990</v>
      </c>
      <c r="H222" s="1776" t="s">
        <v>1349</v>
      </c>
      <c r="J222" s="224"/>
      <c r="K222" s="34" t="s">
        <v>25</v>
      </c>
      <c r="L222" s="475"/>
      <c r="M222" s="224"/>
      <c r="N222" s="224"/>
      <c r="O222" s="902" t="s">
        <v>6395</v>
      </c>
    </row>
    <row r="223" spans="1:15" x14ac:dyDescent="0.3">
      <c r="A223" s="2402">
        <v>217</v>
      </c>
      <c r="B223" s="1122" t="s">
        <v>1416</v>
      </c>
      <c r="C223" s="216" t="s">
        <v>1344</v>
      </c>
      <c r="D223" s="416" t="s">
        <v>938</v>
      </c>
      <c r="E223" s="217" t="s">
        <v>1422</v>
      </c>
      <c r="F223" s="218" t="s">
        <v>1417</v>
      </c>
      <c r="G223" s="116">
        <v>990</v>
      </c>
      <c r="H223" s="1776" t="s">
        <v>1349</v>
      </c>
      <c r="J223" s="224"/>
      <c r="K223" s="34" t="s">
        <v>25</v>
      </c>
      <c r="L223" s="475"/>
      <c r="M223" s="224"/>
      <c r="N223" s="224"/>
      <c r="O223" s="902" t="s">
        <v>6395</v>
      </c>
    </row>
    <row r="224" spans="1:15" x14ac:dyDescent="0.3">
      <c r="A224" s="2402">
        <v>218</v>
      </c>
      <c r="B224" s="1122" t="s">
        <v>1416</v>
      </c>
      <c r="C224" s="216" t="s">
        <v>1344</v>
      </c>
      <c r="D224" s="416" t="s">
        <v>938</v>
      </c>
      <c r="E224" s="217" t="s">
        <v>1423</v>
      </c>
      <c r="F224" s="218" t="s">
        <v>1417</v>
      </c>
      <c r="G224" s="116">
        <v>990</v>
      </c>
      <c r="H224" s="1776" t="s">
        <v>1349</v>
      </c>
      <c r="J224" s="224"/>
      <c r="K224" s="34" t="s">
        <v>25</v>
      </c>
      <c r="L224" s="475"/>
      <c r="M224" s="224"/>
      <c r="N224" s="224"/>
      <c r="O224" s="902" t="s">
        <v>6395</v>
      </c>
    </row>
    <row r="225" spans="1:15" x14ac:dyDescent="0.3">
      <c r="A225" s="2401">
        <v>219</v>
      </c>
      <c r="B225" s="1122" t="s">
        <v>1416</v>
      </c>
      <c r="C225" s="216" t="s">
        <v>1344</v>
      </c>
      <c r="D225" s="416" t="s">
        <v>938</v>
      </c>
      <c r="E225" s="217" t="s">
        <v>925</v>
      </c>
      <c r="F225" s="218" t="s">
        <v>1417</v>
      </c>
      <c r="G225" s="116">
        <v>990</v>
      </c>
      <c r="H225" s="1776" t="s">
        <v>1349</v>
      </c>
      <c r="J225" s="224"/>
      <c r="K225" s="34" t="s">
        <v>25</v>
      </c>
      <c r="L225" s="475"/>
      <c r="M225" s="224"/>
      <c r="N225" s="224"/>
      <c r="O225" s="902" t="s">
        <v>6395</v>
      </c>
    </row>
    <row r="226" spans="1:15" x14ac:dyDescent="0.3">
      <c r="A226" s="2402">
        <v>220</v>
      </c>
      <c r="B226" s="1122" t="s">
        <v>1416</v>
      </c>
      <c r="C226" s="216" t="s">
        <v>1344</v>
      </c>
      <c r="D226" s="416" t="s">
        <v>938</v>
      </c>
      <c r="E226" s="217" t="s">
        <v>927</v>
      </c>
      <c r="F226" s="218" t="s">
        <v>1417</v>
      </c>
      <c r="G226" s="116">
        <v>990</v>
      </c>
      <c r="H226" s="1776" t="s">
        <v>1349</v>
      </c>
      <c r="J226" s="224"/>
      <c r="K226" s="34" t="s">
        <v>25</v>
      </c>
      <c r="L226" s="475"/>
      <c r="M226" s="224"/>
      <c r="N226" s="224"/>
      <c r="O226" s="902" t="s">
        <v>6395</v>
      </c>
    </row>
    <row r="227" spans="1:15" x14ac:dyDescent="0.3">
      <c r="A227" s="2402">
        <v>221</v>
      </c>
      <c r="B227" s="1122" t="s">
        <v>1416</v>
      </c>
      <c r="C227" s="216" t="s">
        <v>1344</v>
      </c>
      <c r="D227" s="416" t="s">
        <v>938</v>
      </c>
      <c r="E227" s="217" t="s">
        <v>928</v>
      </c>
      <c r="F227" s="218" t="s">
        <v>1417</v>
      </c>
      <c r="G227" s="116">
        <v>990</v>
      </c>
      <c r="H227" s="1776" t="s">
        <v>1349</v>
      </c>
      <c r="J227" s="224"/>
      <c r="K227" s="34" t="s">
        <v>25</v>
      </c>
      <c r="L227" s="475"/>
      <c r="M227" s="224"/>
      <c r="N227" s="224"/>
      <c r="O227" s="902" t="s">
        <v>6395</v>
      </c>
    </row>
    <row r="228" spans="1:15" x14ac:dyDescent="0.3">
      <c r="A228" s="2401">
        <v>222</v>
      </c>
      <c r="B228" s="1122" t="s">
        <v>1416</v>
      </c>
      <c r="C228" s="216" t="s">
        <v>1344</v>
      </c>
      <c r="D228" s="416" t="s">
        <v>938</v>
      </c>
      <c r="E228" s="217" t="s">
        <v>929</v>
      </c>
      <c r="F228" s="218" t="s">
        <v>1417</v>
      </c>
      <c r="G228" s="116">
        <v>990</v>
      </c>
      <c r="H228" s="1776" t="s">
        <v>1349</v>
      </c>
      <c r="J228" s="224"/>
      <c r="K228" s="34" t="s">
        <v>25</v>
      </c>
      <c r="L228" s="475"/>
      <c r="M228" s="224"/>
      <c r="N228" s="224"/>
      <c r="O228" s="902" t="s">
        <v>6395</v>
      </c>
    </row>
    <row r="229" spans="1:15" x14ac:dyDescent="0.3">
      <c r="A229" s="2402">
        <v>223</v>
      </c>
      <c r="B229" s="1122" t="s">
        <v>1416</v>
      </c>
      <c r="C229" s="216" t="s">
        <v>1344</v>
      </c>
      <c r="D229" s="416" t="s">
        <v>938</v>
      </c>
      <c r="E229" s="217" t="s">
        <v>930</v>
      </c>
      <c r="F229" s="218" t="s">
        <v>1417</v>
      </c>
      <c r="G229" s="116">
        <v>990</v>
      </c>
      <c r="H229" s="1776" t="s">
        <v>1349</v>
      </c>
      <c r="J229" s="224"/>
      <c r="K229" s="34" t="s">
        <v>25</v>
      </c>
      <c r="L229" s="475"/>
      <c r="M229" s="224"/>
      <c r="N229" s="224"/>
      <c r="O229" s="902" t="s">
        <v>6395</v>
      </c>
    </row>
    <row r="230" spans="1:15" x14ac:dyDescent="0.3">
      <c r="A230" s="2402">
        <v>224</v>
      </c>
      <c r="B230" s="1122" t="s">
        <v>1416</v>
      </c>
      <c r="C230" s="1117" t="s">
        <v>1344</v>
      </c>
      <c r="D230" s="416" t="s">
        <v>938</v>
      </c>
      <c r="E230" s="217" t="s">
        <v>1424</v>
      </c>
      <c r="F230" s="218" t="s">
        <v>1417</v>
      </c>
      <c r="G230" s="116">
        <v>990</v>
      </c>
      <c r="H230" s="1776" t="s">
        <v>1349</v>
      </c>
      <c r="J230" s="224"/>
      <c r="K230" s="34" t="s">
        <v>25</v>
      </c>
      <c r="L230" s="475"/>
      <c r="M230" s="224"/>
      <c r="N230" s="224"/>
      <c r="O230" s="902" t="s">
        <v>6395</v>
      </c>
    </row>
    <row r="231" spans="1:15" x14ac:dyDescent="0.3">
      <c r="A231" s="2401">
        <v>225</v>
      </c>
      <c r="B231" s="1122" t="s">
        <v>1416</v>
      </c>
      <c r="C231" s="216" t="s">
        <v>1344</v>
      </c>
      <c r="D231" s="416" t="s">
        <v>938</v>
      </c>
      <c r="E231" s="217" t="s">
        <v>1425</v>
      </c>
      <c r="F231" s="218" t="s">
        <v>1417</v>
      </c>
      <c r="G231" s="116">
        <v>990</v>
      </c>
      <c r="H231" s="1776" t="s">
        <v>1349</v>
      </c>
      <c r="J231" s="224"/>
      <c r="K231" s="34" t="s">
        <v>25</v>
      </c>
      <c r="L231" s="475"/>
      <c r="M231" s="224"/>
      <c r="N231" s="224"/>
      <c r="O231" s="902" t="s">
        <v>6395</v>
      </c>
    </row>
    <row r="232" spans="1:15" x14ac:dyDescent="0.3">
      <c r="A232" s="2402">
        <v>226</v>
      </c>
      <c r="B232" s="1122" t="s">
        <v>1416</v>
      </c>
      <c r="C232" s="216" t="s">
        <v>1344</v>
      </c>
      <c r="D232" s="416" t="s">
        <v>938</v>
      </c>
      <c r="E232" s="217" t="s">
        <v>1426</v>
      </c>
      <c r="F232" s="218" t="s">
        <v>1417</v>
      </c>
      <c r="G232" s="116">
        <v>990</v>
      </c>
      <c r="H232" s="1776" t="s">
        <v>1349</v>
      </c>
      <c r="J232" s="224"/>
      <c r="K232" s="34" t="s">
        <v>25</v>
      </c>
      <c r="L232" s="475"/>
      <c r="M232" s="224"/>
      <c r="N232" s="224"/>
      <c r="O232" s="902" t="s">
        <v>6395</v>
      </c>
    </row>
    <row r="233" spans="1:15" x14ac:dyDescent="0.3">
      <c r="A233" s="2402">
        <v>227</v>
      </c>
      <c r="B233" s="1122" t="s">
        <v>1416</v>
      </c>
      <c r="C233" s="1117" t="s">
        <v>1344</v>
      </c>
      <c r="D233" s="416" t="s">
        <v>938</v>
      </c>
      <c r="E233" s="217" t="s">
        <v>1427</v>
      </c>
      <c r="F233" s="218" t="s">
        <v>1417</v>
      </c>
      <c r="G233" s="116">
        <v>990</v>
      </c>
      <c r="H233" s="1776" t="s">
        <v>1349</v>
      </c>
      <c r="J233" s="224"/>
      <c r="K233" s="34" t="s">
        <v>25</v>
      </c>
      <c r="L233" s="475"/>
      <c r="M233" s="224"/>
      <c r="N233" s="224"/>
      <c r="O233" s="902" t="s">
        <v>6395</v>
      </c>
    </row>
    <row r="234" spans="1:15" x14ac:dyDescent="0.3">
      <c r="A234" s="2401">
        <v>228</v>
      </c>
      <c r="B234" s="1122" t="s">
        <v>1416</v>
      </c>
      <c r="C234" s="216" t="s">
        <v>1344</v>
      </c>
      <c r="D234" s="416" t="s">
        <v>938</v>
      </c>
      <c r="E234" s="217" t="s">
        <v>1428</v>
      </c>
      <c r="F234" s="218" t="s">
        <v>1417</v>
      </c>
      <c r="G234" s="116">
        <v>990</v>
      </c>
      <c r="H234" s="1776" t="s">
        <v>1349</v>
      </c>
      <c r="J234" s="224"/>
      <c r="K234" s="34" t="s">
        <v>25</v>
      </c>
      <c r="L234" s="475"/>
      <c r="M234" s="224"/>
      <c r="N234" s="224"/>
      <c r="O234" s="902" t="s">
        <v>6395</v>
      </c>
    </row>
    <row r="235" spans="1:15" x14ac:dyDescent="0.3">
      <c r="A235" s="2402">
        <v>229</v>
      </c>
      <c r="B235" s="1122" t="s">
        <v>1416</v>
      </c>
      <c r="C235" s="216" t="s">
        <v>1344</v>
      </c>
      <c r="D235" s="416" t="s">
        <v>938</v>
      </c>
      <c r="E235" s="217" t="s">
        <v>1429</v>
      </c>
      <c r="F235" s="218" t="s">
        <v>1417</v>
      </c>
      <c r="G235" s="116">
        <v>990</v>
      </c>
      <c r="H235" s="1776" t="s">
        <v>1349</v>
      </c>
      <c r="J235" s="224"/>
      <c r="K235" s="34" t="s">
        <v>25</v>
      </c>
      <c r="L235" s="475"/>
      <c r="M235" s="224"/>
      <c r="N235" s="224"/>
      <c r="O235" s="902" t="s">
        <v>6395</v>
      </c>
    </row>
    <row r="236" spans="1:15" x14ac:dyDescent="0.3">
      <c r="A236" s="2402">
        <v>230</v>
      </c>
      <c r="B236" s="1122" t="s">
        <v>1416</v>
      </c>
      <c r="C236" s="216" t="s">
        <v>1344</v>
      </c>
      <c r="D236" s="452" t="s">
        <v>938</v>
      </c>
      <c r="E236" s="217" t="s">
        <v>1430</v>
      </c>
      <c r="F236" s="218" t="s">
        <v>1417</v>
      </c>
      <c r="G236" s="116">
        <v>990</v>
      </c>
      <c r="H236" s="1776" t="s">
        <v>1349</v>
      </c>
      <c r="J236" s="224"/>
      <c r="K236" s="34" t="s">
        <v>25</v>
      </c>
      <c r="L236" s="475"/>
      <c r="M236" s="224"/>
      <c r="N236" s="224"/>
      <c r="O236" s="902" t="s">
        <v>6395</v>
      </c>
    </row>
    <row r="237" spans="1:15" x14ac:dyDescent="0.3">
      <c r="A237" s="2401">
        <v>231</v>
      </c>
      <c r="B237" s="1122" t="s">
        <v>1416</v>
      </c>
      <c r="C237" s="216" t="s">
        <v>1344</v>
      </c>
      <c r="D237" s="793" t="s">
        <v>938</v>
      </c>
      <c r="E237" s="217" t="s">
        <v>1431</v>
      </c>
      <c r="F237" s="218" t="s">
        <v>1417</v>
      </c>
      <c r="G237" s="116">
        <v>990</v>
      </c>
      <c r="H237" s="1776" t="s">
        <v>1349</v>
      </c>
      <c r="J237" s="224"/>
      <c r="K237" s="34" t="s">
        <v>25</v>
      </c>
      <c r="L237" s="475"/>
      <c r="M237" s="224"/>
      <c r="N237" s="224"/>
      <c r="O237" s="902" t="s">
        <v>6395</v>
      </c>
    </row>
    <row r="238" spans="1:15" x14ac:dyDescent="0.3">
      <c r="A238" s="2402">
        <v>232</v>
      </c>
      <c r="B238" s="1122" t="s">
        <v>1416</v>
      </c>
      <c r="C238" s="216" t="s">
        <v>1344</v>
      </c>
      <c r="D238" s="416" t="s">
        <v>938</v>
      </c>
      <c r="E238" s="217" t="s">
        <v>441</v>
      </c>
      <c r="F238" s="218" t="s">
        <v>1417</v>
      </c>
      <c r="G238" s="116">
        <v>990</v>
      </c>
      <c r="H238" s="1776" t="s">
        <v>1349</v>
      </c>
      <c r="J238" s="224"/>
      <c r="K238" s="34" t="s">
        <v>25</v>
      </c>
      <c r="L238" s="475"/>
      <c r="M238" s="224"/>
      <c r="N238" s="224"/>
      <c r="O238" s="902" t="s">
        <v>6395</v>
      </c>
    </row>
    <row r="239" spans="1:15" x14ac:dyDescent="0.3">
      <c r="A239" s="2402">
        <v>233</v>
      </c>
      <c r="B239" s="1122" t="s">
        <v>1416</v>
      </c>
      <c r="C239" s="216" t="s">
        <v>1344</v>
      </c>
      <c r="D239" s="416" t="s">
        <v>938</v>
      </c>
      <c r="E239" s="217" t="s">
        <v>442</v>
      </c>
      <c r="F239" s="218" t="s">
        <v>1417</v>
      </c>
      <c r="G239" s="116">
        <v>990</v>
      </c>
      <c r="H239" s="1776" t="s">
        <v>1349</v>
      </c>
      <c r="J239" s="224"/>
      <c r="K239" s="34" t="s">
        <v>25</v>
      </c>
      <c r="L239" s="475"/>
      <c r="M239" s="224"/>
      <c r="N239" s="224"/>
      <c r="O239" s="902" t="s">
        <v>6395</v>
      </c>
    </row>
    <row r="240" spans="1:15" x14ac:dyDescent="0.3">
      <c r="A240" s="2401">
        <v>234</v>
      </c>
      <c r="B240" s="1122" t="s">
        <v>1416</v>
      </c>
      <c r="C240" s="216" t="s">
        <v>1344</v>
      </c>
      <c r="D240" s="416" t="s">
        <v>938</v>
      </c>
      <c r="E240" s="217" t="s">
        <v>1432</v>
      </c>
      <c r="F240" s="218" t="s">
        <v>1417</v>
      </c>
      <c r="G240" s="116">
        <v>990</v>
      </c>
      <c r="H240" s="1776" t="s">
        <v>1349</v>
      </c>
      <c r="J240" s="224"/>
      <c r="K240" s="34" t="s">
        <v>25</v>
      </c>
      <c r="L240" s="475"/>
      <c r="M240" s="224"/>
      <c r="N240" s="224"/>
      <c r="O240" s="902" t="s">
        <v>6395</v>
      </c>
    </row>
    <row r="241" spans="1:15" x14ac:dyDescent="0.3">
      <c r="A241" s="2402">
        <v>235</v>
      </c>
      <c r="B241" s="1122" t="s">
        <v>1416</v>
      </c>
      <c r="C241" s="216" t="s">
        <v>1344</v>
      </c>
      <c r="D241" s="416" t="s">
        <v>938</v>
      </c>
      <c r="E241" s="217" t="s">
        <v>1433</v>
      </c>
      <c r="F241" s="218" t="s">
        <v>1417</v>
      </c>
      <c r="G241" s="116">
        <v>990</v>
      </c>
      <c r="H241" s="1776" t="s">
        <v>1349</v>
      </c>
      <c r="J241" s="224"/>
      <c r="K241" s="34" t="s">
        <v>25</v>
      </c>
      <c r="L241" s="475"/>
      <c r="M241" s="224"/>
      <c r="N241" s="224"/>
      <c r="O241" s="902" t="s">
        <v>6395</v>
      </c>
    </row>
    <row r="242" spans="1:15" x14ac:dyDescent="0.3">
      <c r="A242" s="2402">
        <v>236</v>
      </c>
      <c r="B242" s="1122" t="s">
        <v>1416</v>
      </c>
      <c r="C242" s="216" t="s">
        <v>1344</v>
      </c>
      <c r="D242" s="452" t="s">
        <v>938</v>
      </c>
      <c r="E242" s="217" t="s">
        <v>1434</v>
      </c>
      <c r="F242" s="218" t="s">
        <v>1417</v>
      </c>
      <c r="G242" s="116">
        <v>990</v>
      </c>
      <c r="H242" s="1776" t="s">
        <v>1349</v>
      </c>
      <c r="J242" s="224"/>
      <c r="K242" s="34" t="s">
        <v>25</v>
      </c>
      <c r="L242" s="475"/>
      <c r="M242" s="224"/>
      <c r="N242" s="224"/>
      <c r="O242" s="902" t="s">
        <v>6395</v>
      </c>
    </row>
    <row r="243" spans="1:15" x14ac:dyDescent="0.3">
      <c r="A243" s="2401">
        <v>237</v>
      </c>
      <c r="B243" s="1122" t="s">
        <v>1416</v>
      </c>
      <c r="C243" s="216" t="s">
        <v>1344</v>
      </c>
      <c r="D243" s="793" t="s">
        <v>938</v>
      </c>
      <c r="E243" s="217" t="s">
        <v>1435</v>
      </c>
      <c r="F243" s="218" t="s">
        <v>1417</v>
      </c>
      <c r="G243" s="116">
        <v>990</v>
      </c>
      <c r="H243" s="1776" t="s">
        <v>1349</v>
      </c>
      <c r="J243" s="224"/>
      <c r="K243" s="34" t="s">
        <v>25</v>
      </c>
      <c r="L243" s="475"/>
      <c r="M243" s="224"/>
      <c r="N243" s="224"/>
      <c r="O243" s="902" t="s">
        <v>6395</v>
      </c>
    </row>
    <row r="244" spans="1:15" x14ac:dyDescent="0.3">
      <c r="A244" s="2402">
        <v>238</v>
      </c>
      <c r="B244" s="1122" t="s">
        <v>1416</v>
      </c>
      <c r="C244" s="1117" t="s">
        <v>1344</v>
      </c>
      <c r="D244" s="416" t="s">
        <v>938</v>
      </c>
      <c r="E244" s="217" t="s">
        <v>1436</v>
      </c>
      <c r="F244" s="218" t="s">
        <v>1417</v>
      </c>
      <c r="G244" s="116">
        <v>990</v>
      </c>
      <c r="H244" s="1776" t="s">
        <v>1349</v>
      </c>
      <c r="J244" s="224"/>
      <c r="K244" s="34" t="s">
        <v>25</v>
      </c>
      <c r="L244" s="475"/>
      <c r="M244" s="224"/>
      <c r="N244" s="224"/>
      <c r="O244" s="902" t="s">
        <v>6395</v>
      </c>
    </row>
    <row r="245" spans="1:15" x14ac:dyDescent="0.3">
      <c r="A245" s="2402">
        <v>239</v>
      </c>
      <c r="B245" s="1122" t="s">
        <v>1416</v>
      </c>
      <c r="C245" s="216" t="s">
        <v>1344</v>
      </c>
      <c r="D245" s="416" t="s">
        <v>938</v>
      </c>
      <c r="E245" s="217" t="s">
        <v>1437</v>
      </c>
      <c r="F245" s="218" t="s">
        <v>1417</v>
      </c>
      <c r="G245" s="116">
        <v>990</v>
      </c>
      <c r="H245" s="1776" t="s">
        <v>1349</v>
      </c>
      <c r="J245" s="224"/>
      <c r="K245" s="34" t="s">
        <v>25</v>
      </c>
      <c r="L245" s="475"/>
      <c r="M245" s="224"/>
      <c r="N245" s="224"/>
      <c r="O245" s="902" t="s">
        <v>6395</v>
      </c>
    </row>
    <row r="246" spans="1:15" x14ac:dyDescent="0.3">
      <c r="A246" s="2401">
        <v>240</v>
      </c>
      <c r="B246" s="1122" t="s">
        <v>1416</v>
      </c>
      <c r="C246" s="216" t="s">
        <v>1344</v>
      </c>
      <c r="D246" s="416" t="s">
        <v>938</v>
      </c>
      <c r="E246" s="217" t="s">
        <v>1438</v>
      </c>
      <c r="F246" s="218" t="s">
        <v>1417</v>
      </c>
      <c r="G246" s="116">
        <v>990</v>
      </c>
      <c r="H246" s="1776" t="s">
        <v>1349</v>
      </c>
      <c r="J246" s="224"/>
      <c r="K246" s="34" t="s">
        <v>25</v>
      </c>
      <c r="L246" s="475"/>
      <c r="M246" s="224"/>
      <c r="N246" s="224"/>
      <c r="O246" s="902" t="s">
        <v>6395</v>
      </c>
    </row>
    <row r="247" spans="1:15" x14ac:dyDescent="0.3">
      <c r="A247" s="2402">
        <v>241</v>
      </c>
      <c r="B247" s="1122" t="s">
        <v>1416</v>
      </c>
      <c r="C247" s="216" t="s">
        <v>1344</v>
      </c>
      <c r="D247" s="416" t="s">
        <v>938</v>
      </c>
      <c r="E247" s="217" t="s">
        <v>1439</v>
      </c>
      <c r="F247" s="218" t="s">
        <v>1417</v>
      </c>
      <c r="G247" s="116">
        <v>990</v>
      </c>
      <c r="H247" s="1776" t="s">
        <v>1349</v>
      </c>
      <c r="J247" s="224"/>
      <c r="K247" s="34" t="s">
        <v>25</v>
      </c>
      <c r="L247" s="475"/>
      <c r="M247" s="224"/>
      <c r="N247" s="224"/>
      <c r="O247" s="902" t="s">
        <v>6395</v>
      </c>
    </row>
    <row r="248" spans="1:15" x14ac:dyDescent="0.3">
      <c r="A248" s="2402">
        <v>242</v>
      </c>
      <c r="B248" s="1122" t="s">
        <v>1416</v>
      </c>
      <c r="C248" s="216" t="s">
        <v>1344</v>
      </c>
      <c r="D248" s="416" t="s">
        <v>938</v>
      </c>
      <c r="E248" s="217" t="s">
        <v>1440</v>
      </c>
      <c r="F248" s="218" t="s">
        <v>1417</v>
      </c>
      <c r="G248" s="116">
        <v>990</v>
      </c>
      <c r="H248" s="1776" t="s">
        <v>1349</v>
      </c>
      <c r="J248" s="224"/>
      <c r="K248" s="34" t="s">
        <v>25</v>
      </c>
      <c r="L248" s="475"/>
      <c r="M248" s="224"/>
      <c r="N248" s="224"/>
      <c r="O248" s="902" t="s">
        <v>6395</v>
      </c>
    </row>
    <row r="249" spans="1:15" x14ac:dyDescent="0.3">
      <c r="A249" s="2401">
        <v>243</v>
      </c>
      <c r="B249" s="1122" t="s">
        <v>1416</v>
      </c>
      <c r="C249" s="216" t="s">
        <v>1344</v>
      </c>
      <c r="D249" s="416" t="s">
        <v>938</v>
      </c>
      <c r="E249" s="217" t="s">
        <v>1441</v>
      </c>
      <c r="F249" s="218" t="s">
        <v>1417</v>
      </c>
      <c r="G249" s="116">
        <v>990</v>
      </c>
      <c r="H249" s="1776" t="s">
        <v>1349</v>
      </c>
      <c r="J249" s="224"/>
      <c r="K249" s="34" t="s">
        <v>25</v>
      </c>
      <c r="L249" s="475"/>
      <c r="M249" s="224"/>
      <c r="N249" s="224"/>
      <c r="O249" s="902" t="s">
        <v>6395</v>
      </c>
    </row>
    <row r="250" spans="1:15" x14ac:dyDescent="0.3">
      <c r="A250" s="2402">
        <v>244</v>
      </c>
      <c r="B250" s="1122" t="s">
        <v>1416</v>
      </c>
      <c r="C250" s="1117" t="s">
        <v>1344</v>
      </c>
      <c r="D250" s="416" t="s">
        <v>938</v>
      </c>
      <c r="E250" s="217" t="s">
        <v>1442</v>
      </c>
      <c r="F250" s="218" t="s">
        <v>1417</v>
      </c>
      <c r="G250" s="116">
        <v>990</v>
      </c>
      <c r="H250" s="1776" t="s">
        <v>1349</v>
      </c>
      <c r="J250" s="224"/>
      <c r="K250" s="34" t="s">
        <v>25</v>
      </c>
      <c r="L250" s="475"/>
      <c r="M250" s="224"/>
      <c r="N250" s="224"/>
      <c r="O250" s="902" t="s">
        <v>6395</v>
      </c>
    </row>
    <row r="251" spans="1:15" x14ac:dyDescent="0.3">
      <c r="A251" s="2402">
        <v>245</v>
      </c>
      <c r="B251" s="1122" t="s">
        <v>1416</v>
      </c>
      <c r="C251" s="216" t="s">
        <v>1344</v>
      </c>
      <c r="D251" s="416" t="s">
        <v>938</v>
      </c>
      <c r="E251" s="217" t="s">
        <v>1443</v>
      </c>
      <c r="F251" s="218" t="s">
        <v>1417</v>
      </c>
      <c r="G251" s="116">
        <v>990</v>
      </c>
      <c r="H251" s="1776" t="s">
        <v>1349</v>
      </c>
      <c r="J251" s="224"/>
      <c r="K251" s="34" t="s">
        <v>25</v>
      </c>
      <c r="L251" s="475"/>
      <c r="M251" s="224"/>
      <c r="N251" s="224"/>
      <c r="O251" s="902" t="s">
        <v>6395</v>
      </c>
    </row>
    <row r="252" spans="1:15" x14ac:dyDescent="0.3">
      <c r="A252" s="2401">
        <v>246</v>
      </c>
      <c r="B252" s="1122" t="s">
        <v>1416</v>
      </c>
      <c r="C252" s="1117" t="s">
        <v>1344</v>
      </c>
      <c r="D252" s="416" t="s">
        <v>938</v>
      </c>
      <c r="E252" s="217" t="s">
        <v>1444</v>
      </c>
      <c r="F252" s="218" t="s">
        <v>1417</v>
      </c>
      <c r="G252" s="116">
        <v>990</v>
      </c>
      <c r="H252" s="1776" t="s">
        <v>1349</v>
      </c>
      <c r="J252" s="224"/>
      <c r="K252" s="34" t="s">
        <v>25</v>
      </c>
      <c r="L252" s="475"/>
      <c r="M252" s="224"/>
      <c r="N252" s="224"/>
      <c r="O252" s="902" t="s">
        <v>6395</v>
      </c>
    </row>
    <row r="253" spans="1:15" x14ac:dyDescent="0.3">
      <c r="A253" s="2402">
        <v>247</v>
      </c>
      <c r="B253" s="1122" t="s">
        <v>1416</v>
      </c>
      <c r="C253" s="216" t="s">
        <v>1344</v>
      </c>
      <c r="D253" s="416" t="s">
        <v>938</v>
      </c>
      <c r="E253" s="217" t="s">
        <v>1445</v>
      </c>
      <c r="F253" s="218" t="s">
        <v>1417</v>
      </c>
      <c r="G253" s="116">
        <v>990</v>
      </c>
      <c r="H253" s="1776" t="s">
        <v>1349</v>
      </c>
      <c r="J253" s="224"/>
      <c r="K253" s="34" t="s">
        <v>25</v>
      </c>
      <c r="L253" s="475"/>
      <c r="M253" s="224"/>
      <c r="N253" s="224"/>
      <c r="O253" s="902" t="s">
        <v>6395</v>
      </c>
    </row>
    <row r="254" spans="1:15" x14ac:dyDescent="0.3">
      <c r="A254" s="2402">
        <v>248</v>
      </c>
      <c r="B254" s="1122" t="s">
        <v>1416</v>
      </c>
      <c r="C254" s="216" t="s">
        <v>1344</v>
      </c>
      <c r="D254" s="416" t="s">
        <v>938</v>
      </c>
      <c r="E254" s="217" t="s">
        <v>1446</v>
      </c>
      <c r="F254" s="218" t="s">
        <v>1417</v>
      </c>
      <c r="G254" s="116">
        <v>990</v>
      </c>
      <c r="H254" s="1776" t="s">
        <v>1349</v>
      </c>
      <c r="J254" s="224"/>
      <c r="K254" s="34" t="s">
        <v>25</v>
      </c>
      <c r="L254" s="475"/>
      <c r="M254" s="224"/>
      <c r="N254" s="224"/>
      <c r="O254" s="902" t="s">
        <v>6395</v>
      </c>
    </row>
    <row r="255" spans="1:15" x14ac:dyDescent="0.3">
      <c r="A255" s="2401">
        <v>249</v>
      </c>
      <c r="B255" s="1122" t="s">
        <v>1416</v>
      </c>
      <c r="C255" s="1117" t="s">
        <v>1344</v>
      </c>
      <c r="D255" s="416" t="s">
        <v>938</v>
      </c>
      <c r="E255" s="217" t="s">
        <v>1079</v>
      </c>
      <c r="F255" s="218" t="s">
        <v>1417</v>
      </c>
      <c r="G255" s="116">
        <v>990</v>
      </c>
      <c r="H255" s="1776" t="s">
        <v>1349</v>
      </c>
      <c r="J255" s="224"/>
      <c r="K255" s="34" t="s">
        <v>25</v>
      </c>
      <c r="L255" s="475"/>
      <c r="M255" s="224"/>
      <c r="N255" s="224"/>
      <c r="O255" s="902" t="s">
        <v>6395</v>
      </c>
    </row>
    <row r="256" spans="1:15" x14ac:dyDescent="0.3">
      <c r="A256" s="2402">
        <v>250</v>
      </c>
      <c r="B256" s="1122" t="s">
        <v>1416</v>
      </c>
      <c r="C256" s="216" t="s">
        <v>1344</v>
      </c>
      <c r="D256" s="416" t="s">
        <v>938</v>
      </c>
      <c r="E256" s="217" t="s">
        <v>1083</v>
      </c>
      <c r="F256" s="218" t="s">
        <v>1417</v>
      </c>
      <c r="G256" s="116">
        <v>990</v>
      </c>
      <c r="H256" s="1776" t="s">
        <v>1349</v>
      </c>
      <c r="J256" s="224"/>
      <c r="K256" s="34" t="s">
        <v>25</v>
      </c>
      <c r="L256" s="475"/>
      <c r="M256" s="224"/>
      <c r="N256" s="224"/>
      <c r="O256" s="902" t="s">
        <v>6395</v>
      </c>
    </row>
    <row r="257" spans="1:15" x14ac:dyDescent="0.3">
      <c r="A257" s="2402">
        <v>251</v>
      </c>
      <c r="B257" s="1122" t="s">
        <v>1416</v>
      </c>
      <c r="C257" s="216" t="s">
        <v>1344</v>
      </c>
      <c r="D257" s="416" t="s">
        <v>938</v>
      </c>
      <c r="E257" s="217" t="s">
        <v>1084</v>
      </c>
      <c r="F257" s="218" t="s">
        <v>1417</v>
      </c>
      <c r="G257" s="116">
        <v>990</v>
      </c>
      <c r="H257" s="1776" t="s">
        <v>1349</v>
      </c>
      <c r="J257" s="224"/>
      <c r="K257" s="34" t="s">
        <v>25</v>
      </c>
      <c r="L257" s="475"/>
      <c r="M257" s="224"/>
      <c r="N257" s="224"/>
      <c r="O257" s="902" t="s">
        <v>6395</v>
      </c>
    </row>
    <row r="258" spans="1:15" x14ac:dyDescent="0.3">
      <c r="A258" s="2401">
        <v>252</v>
      </c>
      <c r="B258" s="1122" t="s">
        <v>1416</v>
      </c>
      <c r="C258" s="216" t="s">
        <v>1344</v>
      </c>
      <c r="D258" s="416" t="s">
        <v>938</v>
      </c>
      <c r="E258" s="217" t="s">
        <v>1447</v>
      </c>
      <c r="F258" s="218" t="s">
        <v>1417</v>
      </c>
      <c r="G258" s="116">
        <v>990</v>
      </c>
      <c r="H258" s="1776" t="s">
        <v>1349</v>
      </c>
      <c r="J258" s="224"/>
      <c r="K258" s="34" t="s">
        <v>25</v>
      </c>
      <c r="L258" s="475"/>
      <c r="M258" s="224"/>
      <c r="N258" s="224"/>
      <c r="O258" s="902" t="s">
        <v>6395</v>
      </c>
    </row>
    <row r="259" spans="1:15" x14ac:dyDescent="0.3">
      <c r="A259" s="2402">
        <v>253</v>
      </c>
      <c r="B259" s="1122" t="s">
        <v>1416</v>
      </c>
      <c r="C259" s="1117" t="s">
        <v>1344</v>
      </c>
      <c r="D259" s="416" t="s">
        <v>938</v>
      </c>
      <c r="E259" s="217" t="s">
        <v>1086</v>
      </c>
      <c r="F259" s="218" t="s">
        <v>1417</v>
      </c>
      <c r="G259" s="116">
        <v>990</v>
      </c>
      <c r="H259" s="1776" t="s">
        <v>1349</v>
      </c>
      <c r="J259" s="224"/>
      <c r="K259" s="34" t="s">
        <v>25</v>
      </c>
      <c r="L259" s="475"/>
      <c r="M259" s="224"/>
      <c r="N259" s="224"/>
      <c r="O259" s="902" t="s">
        <v>6395</v>
      </c>
    </row>
    <row r="260" spans="1:15" x14ac:dyDescent="0.3">
      <c r="A260" s="2402">
        <v>254</v>
      </c>
      <c r="B260" s="1122" t="s">
        <v>1416</v>
      </c>
      <c r="C260" s="216" t="s">
        <v>1344</v>
      </c>
      <c r="D260" s="416" t="s">
        <v>938</v>
      </c>
      <c r="E260" s="217" t="s">
        <v>1089</v>
      </c>
      <c r="F260" s="218" t="s">
        <v>1417</v>
      </c>
      <c r="G260" s="116">
        <v>990</v>
      </c>
      <c r="H260" s="1776" t="s">
        <v>1349</v>
      </c>
      <c r="J260" s="224"/>
      <c r="K260" s="34" t="s">
        <v>25</v>
      </c>
      <c r="L260" s="475"/>
      <c r="M260" s="224"/>
      <c r="N260" s="224"/>
      <c r="O260" s="902" t="s">
        <v>6395</v>
      </c>
    </row>
    <row r="261" spans="1:15" x14ac:dyDescent="0.3">
      <c r="A261" s="2401">
        <v>255</v>
      </c>
      <c r="B261" s="1122" t="s">
        <v>1416</v>
      </c>
      <c r="C261" s="216" t="s">
        <v>1344</v>
      </c>
      <c r="D261" s="416" t="s">
        <v>938</v>
      </c>
      <c r="E261" s="217" t="s">
        <v>1448</v>
      </c>
      <c r="F261" s="218" t="s">
        <v>1417</v>
      </c>
      <c r="G261" s="116">
        <v>990</v>
      </c>
      <c r="H261" s="1776" t="s">
        <v>1349</v>
      </c>
      <c r="J261" s="224"/>
      <c r="K261" s="34" t="s">
        <v>25</v>
      </c>
      <c r="L261" s="475"/>
      <c r="M261" s="224"/>
      <c r="N261" s="224"/>
      <c r="O261" s="902" t="s">
        <v>6395</v>
      </c>
    </row>
    <row r="262" spans="1:15" x14ac:dyDescent="0.3">
      <c r="A262" s="2402">
        <v>256</v>
      </c>
      <c r="B262" s="1122" t="s">
        <v>1416</v>
      </c>
      <c r="C262" s="216" t="s">
        <v>1344</v>
      </c>
      <c r="D262" s="416" t="s">
        <v>938</v>
      </c>
      <c r="E262" s="217" t="s">
        <v>22</v>
      </c>
      <c r="F262" s="218" t="s">
        <v>1417</v>
      </c>
      <c r="G262" s="116">
        <v>990</v>
      </c>
      <c r="H262" s="1776" t="s">
        <v>1349</v>
      </c>
      <c r="J262" s="224"/>
      <c r="K262" s="34" t="s">
        <v>25</v>
      </c>
      <c r="L262" s="475"/>
      <c r="M262" s="224"/>
      <c r="N262" s="224"/>
      <c r="O262" s="902" t="s">
        <v>6395</v>
      </c>
    </row>
    <row r="263" spans="1:15" x14ac:dyDescent="0.3">
      <c r="A263" s="2402">
        <v>257</v>
      </c>
      <c r="B263" s="1122" t="s">
        <v>1416</v>
      </c>
      <c r="C263" s="216" t="s">
        <v>1344</v>
      </c>
      <c r="D263" s="416" t="s">
        <v>938</v>
      </c>
      <c r="E263" s="217" t="s">
        <v>26</v>
      </c>
      <c r="F263" s="218" t="s">
        <v>1417</v>
      </c>
      <c r="G263" s="116">
        <v>990</v>
      </c>
      <c r="H263" s="1776" t="s">
        <v>1349</v>
      </c>
      <c r="J263" s="224"/>
      <c r="K263" s="34" t="s">
        <v>25</v>
      </c>
      <c r="L263" s="475"/>
      <c r="M263" s="224"/>
      <c r="N263" s="224"/>
      <c r="O263" s="902" t="s">
        <v>6395</v>
      </c>
    </row>
    <row r="264" spans="1:15" x14ac:dyDescent="0.3">
      <c r="A264" s="2401">
        <v>258</v>
      </c>
      <c r="B264" s="1122" t="s">
        <v>1416</v>
      </c>
      <c r="C264" s="216" t="s">
        <v>1344</v>
      </c>
      <c r="D264" s="416" t="s">
        <v>938</v>
      </c>
      <c r="E264" s="217" t="s">
        <v>27</v>
      </c>
      <c r="F264" s="218" t="s">
        <v>1417</v>
      </c>
      <c r="G264" s="116">
        <v>990</v>
      </c>
      <c r="H264" s="1776" t="s">
        <v>1349</v>
      </c>
      <c r="J264" s="224"/>
      <c r="K264" s="34" t="s">
        <v>25</v>
      </c>
      <c r="L264" s="475"/>
      <c r="M264" s="224"/>
      <c r="N264" s="224"/>
      <c r="O264" s="902" t="s">
        <v>6395</v>
      </c>
    </row>
    <row r="265" spans="1:15" x14ac:dyDescent="0.3">
      <c r="A265" s="2402">
        <v>259</v>
      </c>
      <c r="B265" s="1122" t="s">
        <v>1416</v>
      </c>
      <c r="C265" s="216" t="s">
        <v>1344</v>
      </c>
      <c r="D265" s="416" t="s">
        <v>938</v>
      </c>
      <c r="E265" s="217" t="s">
        <v>29</v>
      </c>
      <c r="F265" s="218" t="s">
        <v>1417</v>
      </c>
      <c r="G265" s="116">
        <v>990</v>
      </c>
      <c r="H265" s="1776" t="s">
        <v>1349</v>
      </c>
      <c r="J265" s="224"/>
      <c r="K265" s="34" t="s">
        <v>25</v>
      </c>
      <c r="L265" s="475"/>
      <c r="M265" s="224"/>
      <c r="N265" s="224"/>
      <c r="O265" s="902" t="s">
        <v>6395</v>
      </c>
    </row>
    <row r="266" spans="1:15" x14ac:dyDescent="0.3">
      <c r="A266" s="2402">
        <v>260</v>
      </c>
      <c r="B266" s="1122" t="s">
        <v>1416</v>
      </c>
      <c r="C266" s="216" t="s">
        <v>1344</v>
      </c>
      <c r="D266" s="416" t="s">
        <v>938</v>
      </c>
      <c r="E266" s="217" t="s">
        <v>30</v>
      </c>
      <c r="F266" s="218" t="s">
        <v>1417</v>
      </c>
      <c r="G266" s="116">
        <v>990</v>
      </c>
      <c r="H266" s="1776" t="s">
        <v>1349</v>
      </c>
      <c r="J266" s="224"/>
      <c r="K266" s="34" t="s">
        <v>25</v>
      </c>
      <c r="L266" s="475"/>
      <c r="M266" s="224"/>
      <c r="N266" s="224"/>
      <c r="O266" s="902" t="s">
        <v>6395</v>
      </c>
    </row>
    <row r="267" spans="1:15" x14ac:dyDescent="0.3">
      <c r="A267" s="2401">
        <v>261</v>
      </c>
      <c r="B267" s="1122" t="s">
        <v>1416</v>
      </c>
      <c r="C267" s="216" t="s">
        <v>1344</v>
      </c>
      <c r="D267" s="416" t="s">
        <v>938</v>
      </c>
      <c r="E267" s="217" t="s">
        <v>32</v>
      </c>
      <c r="F267" s="218" t="s">
        <v>1417</v>
      </c>
      <c r="G267" s="116">
        <v>990</v>
      </c>
      <c r="H267" s="1776" t="s">
        <v>1349</v>
      </c>
      <c r="J267" s="224"/>
      <c r="K267" s="34" t="s">
        <v>25</v>
      </c>
      <c r="L267" s="475"/>
      <c r="M267" s="224"/>
      <c r="N267" s="224"/>
      <c r="O267" s="902" t="s">
        <v>6395</v>
      </c>
    </row>
    <row r="268" spans="1:15" x14ac:dyDescent="0.3">
      <c r="A268" s="2402">
        <v>262</v>
      </c>
      <c r="B268" s="1122" t="s">
        <v>1416</v>
      </c>
      <c r="C268" s="216" t="s">
        <v>1344</v>
      </c>
      <c r="D268" s="416" t="s">
        <v>938</v>
      </c>
      <c r="E268" s="217" t="s">
        <v>34</v>
      </c>
      <c r="F268" s="218" t="s">
        <v>1417</v>
      </c>
      <c r="G268" s="116">
        <v>990</v>
      </c>
      <c r="H268" s="1776" t="s">
        <v>1349</v>
      </c>
      <c r="J268" s="224"/>
      <c r="K268" s="34" t="s">
        <v>25</v>
      </c>
      <c r="L268" s="475"/>
      <c r="M268" s="224"/>
      <c r="N268" s="224"/>
      <c r="O268" s="902" t="s">
        <v>6395</v>
      </c>
    </row>
    <row r="269" spans="1:15" x14ac:dyDescent="0.3">
      <c r="A269" s="2402">
        <v>263</v>
      </c>
      <c r="B269" s="1122" t="s">
        <v>1416</v>
      </c>
      <c r="C269" s="216" t="s">
        <v>1344</v>
      </c>
      <c r="D269" s="416" t="s">
        <v>938</v>
      </c>
      <c r="E269" s="217" t="s">
        <v>35</v>
      </c>
      <c r="F269" s="218" t="s">
        <v>1417</v>
      </c>
      <c r="G269" s="116">
        <v>990</v>
      </c>
      <c r="H269" s="1776" t="s">
        <v>1349</v>
      </c>
      <c r="J269" s="224"/>
      <c r="K269" s="34" t="s">
        <v>25</v>
      </c>
      <c r="L269" s="475"/>
      <c r="M269" s="224"/>
      <c r="N269" s="224"/>
      <c r="O269" s="902" t="s">
        <v>6395</v>
      </c>
    </row>
    <row r="270" spans="1:15" x14ac:dyDescent="0.3">
      <c r="A270" s="2401">
        <v>264</v>
      </c>
      <c r="B270" s="1122" t="s">
        <v>1416</v>
      </c>
      <c r="C270" s="216" t="s">
        <v>1344</v>
      </c>
      <c r="D270" s="452" t="s">
        <v>938</v>
      </c>
      <c r="E270" s="217" t="s">
        <v>1094</v>
      </c>
      <c r="F270" s="218" t="s">
        <v>1417</v>
      </c>
      <c r="G270" s="116">
        <v>990</v>
      </c>
      <c r="H270" s="1776" t="s">
        <v>1349</v>
      </c>
      <c r="J270" s="224"/>
      <c r="K270" s="34" t="s">
        <v>25</v>
      </c>
      <c r="L270" s="475"/>
      <c r="M270" s="224"/>
      <c r="N270" s="224"/>
      <c r="O270" s="902" t="s">
        <v>6395</v>
      </c>
    </row>
    <row r="271" spans="1:15" x14ac:dyDescent="0.3">
      <c r="A271" s="2402">
        <v>265</v>
      </c>
      <c r="B271" s="1122" t="s">
        <v>1416</v>
      </c>
      <c r="C271" s="216" t="s">
        <v>1344</v>
      </c>
      <c r="D271" s="793" t="s">
        <v>938</v>
      </c>
      <c r="E271" s="217" t="s">
        <v>1449</v>
      </c>
      <c r="F271" s="218" t="s">
        <v>1417</v>
      </c>
      <c r="G271" s="116">
        <v>990</v>
      </c>
      <c r="H271" s="1776" t="s">
        <v>1349</v>
      </c>
      <c r="J271" s="224"/>
      <c r="K271" s="34" t="s">
        <v>25</v>
      </c>
      <c r="L271" s="475"/>
      <c r="M271" s="224"/>
      <c r="N271" s="224"/>
      <c r="O271" s="902" t="s">
        <v>6395</v>
      </c>
    </row>
    <row r="272" spans="1:15" x14ac:dyDescent="0.3">
      <c r="A272" s="2402">
        <v>266</v>
      </c>
      <c r="B272" s="1122" t="s">
        <v>1416</v>
      </c>
      <c r="C272" s="1117" t="s">
        <v>1344</v>
      </c>
      <c r="D272" s="793" t="s">
        <v>938</v>
      </c>
      <c r="E272" s="217" t="s">
        <v>1450</v>
      </c>
      <c r="F272" s="218" t="s">
        <v>1417</v>
      </c>
      <c r="G272" s="116">
        <v>990</v>
      </c>
      <c r="H272" s="1776" t="s">
        <v>1349</v>
      </c>
      <c r="J272" s="224"/>
      <c r="K272" s="34" t="s">
        <v>25</v>
      </c>
      <c r="L272" s="475"/>
      <c r="M272" s="224"/>
      <c r="N272" s="224"/>
      <c r="O272" s="902" t="s">
        <v>6395</v>
      </c>
    </row>
    <row r="273" spans="1:15" x14ac:dyDescent="0.3">
      <c r="A273" s="2401">
        <v>267</v>
      </c>
      <c r="B273" s="1122" t="s">
        <v>1416</v>
      </c>
      <c r="C273" s="216" t="s">
        <v>1344</v>
      </c>
      <c r="D273" s="416" t="s">
        <v>938</v>
      </c>
      <c r="E273" s="217" t="s">
        <v>1451</v>
      </c>
      <c r="F273" s="218" t="s">
        <v>1417</v>
      </c>
      <c r="G273" s="116">
        <v>990</v>
      </c>
      <c r="H273" s="1776" t="s">
        <v>1349</v>
      </c>
      <c r="J273" s="224"/>
      <c r="K273" s="34" t="s">
        <v>25</v>
      </c>
      <c r="L273" s="475"/>
      <c r="M273" s="224"/>
      <c r="N273" s="224"/>
      <c r="O273" s="902" t="s">
        <v>6395</v>
      </c>
    </row>
    <row r="274" spans="1:15" x14ac:dyDescent="0.3">
      <c r="A274" s="2402">
        <v>268</v>
      </c>
      <c r="B274" s="1122" t="s">
        <v>1416</v>
      </c>
      <c r="C274" s="1117" t="s">
        <v>1344</v>
      </c>
      <c r="D274" s="416" t="s">
        <v>938</v>
      </c>
      <c r="E274" s="217" t="s">
        <v>1452</v>
      </c>
      <c r="F274" s="218" t="s">
        <v>1417</v>
      </c>
      <c r="G274" s="116">
        <v>990</v>
      </c>
      <c r="H274" s="1776" t="s">
        <v>1349</v>
      </c>
      <c r="J274" s="224"/>
      <c r="K274" s="34" t="s">
        <v>25</v>
      </c>
      <c r="L274" s="475"/>
      <c r="M274" s="224"/>
      <c r="N274" s="224"/>
      <c r="O274" s="902" t="s">
        <v>6395</v>
      </c>
    </row>
    <row r="275" spans="1:15" x14ac:dyDescent="0.3">
      <c r="A275" s="2402">
        <v>269</v>
      </c>
      <c r="B275" s="1122" t="s">
        <v>1416</v>
      </c>
      <c r="C275" s="216" t="s">
        <v>1344</v>
      </c>
      <c r="D275" s="416" t="s">
        <v>938</v>
      </c>
      <c r="E275" s="217" t="s">
        <v>444</v>
      </c>
      <c r="F275" s="218" t="s">
        <v>1417</v>
      </c>
      <c r="G275" s="116">
        <v>990</v>
      </c>
      <c r="H275" s="1776" t="s">
        <v>1349</v>
      </c>
      <c r="J275" s="224"/>
      <c r="K275" s="34" t="s">
        <v>25</v>
      </c>
      <c r="L275" s="475"/>
      <c r="M275" s="224"/>
      <c r="N275" s="224"/>
      <c r="O275" s="902" t="s">
        <v>6395</v>
      </c>
    </row>
    <row r="276" spans="1:15" x14ac:dyDescent="0.3">
      <c r="A276" s="2401">
        <v>270</v>
      </c>
      <c r="B276" s="1122" t="s">
        <v>1416</v>
      </c>
      <c r="C276" s="216" t="s">
        <v>1344</v>
      </c>
      <c r="D276" s="452" t="s">
        <v>938</v>
      </c>
      <c r="E276" s="217" t="s">
        <v>447</v>
      </c>
      <c r="F276" s="218" t="s">
        <v>1417</v>
      </c>
      <c r="G276" s="116">
        <v>990</v>
      </c>
      <c r="H276" s="1776" t="s">
        <v>1349</v>
      </c>
      <c r="J276" s="224"/>
      <c r="K276" s="34" t="s">
        <v>25</v>
      </c>
      <c r="L276" s="475"/>
      <c r="M276" s="224"/>
      <c r="N276" s="224"/>
      <c r="O276" s="902" t="s">
        <v>6395</v>
      </c>
    </row>
    <row r="277" spans="1:15" x14ac:dyDescent="0.3">
      <c r="A277" s="2402">
        <v>271</v>
      </c>
      <c r="B277" s="1122" t="s">
        <v>1416</v>
      </c>
      <c r="C277" s="216" t="s">
        <v>1344</v>
      </c>
      <c r="D277" s="793" t="s">
        <v>938</v>
      </c>
      <c r="E277" s="217" t="s">
        <v>449</v>
      </c>
      <c r="F277" s="218" t="s">
        <v>1417</v>
      </c>
      <c r="G277" s="116">
        <v>990</v>
      </c>
      <c r="H277" s="1776" t="s">
        <v>1349</v>
      </c>
      <c r="J277" s="224"/>
      <c r="K277" s="34" t="s">
        <v>25</v>
      </c>
      <c r="L277" s="475"/>
      <c r="M277" s="224"/>
      <c r="N277" s="224"/>
      <c r="O277" s="902" t="s">
        <v>6395</v>
      </c>
    </row>
    <row r="278" spans="1:15" x14ac:dyDescent="0.3">
      <c r="A278" s="2402">
        <v>272</v>
      </c>
      <c r="B278" s="1122" t="s">
        <v>1416</v>
      </c>
      <c r="C278" s="1117" t="s">
        <v>1344</v>
      </c>
      <c r="D278" s="793" t="s">
        <v>938</v>
      </c>
      <c r="E278" s="217" t="s">
        <v>450</v>
      </c>
      <c r="F278" s="218" t="s">
        <v>1417</v>
      </c>
      <c r="G278" s="116">
        <v>990</v>
      </c>
      <c r="H278" s="1776" t="s">
        <v>1349</v>
      </c>
      <c r="J278" s="224"/>
      <c r="K278" s="34" t="s">
        <v>25</v>
      </c>
      <c r="L278" s="475"/>
      <c r="M278" s="224"/>
      <c r="N278" s="224"/>
      <c r="O278" s="902" t="s">
        <v>6395</v>
      </c>
    </row>
    <row r="279" spans="1:15" x14ac:dyDescent="0.3">
      <c r="A279" s="2401">
        <v>273</v>
      </c>
      <c r="B279" s="1122" t="s">
        <v>1416</v>
      </c>
      <c r="C279" s="216" t="s">
        <v>1344</v>
      </c>
      <c r="D279" s="416" t="s">
        <v>938</v>
      </c>
      <c r="E279" s="217" t="s">
        <v>451</v>
      </c>
      <c r="F279" s="218" t="s">
        <v>1417</v>
      </c>
      <c r="G279" s="116">
        <v>990</v>
      </c>
      <c r="H279" s="1776" t="s">
        <v>1349</v>
      </c>
      <c r="J279" s="224"/>
      <c r="K279" s="34" t="s">
        <v>25</v>
      </c>
      <c r="L279" s="475"/>
      <c r="M279" s="224"/>
      <c r="N279" s="224"/>
      <c r="O279" s="902" t="s">
        <v>6395</v>
      </c>
    </row>
    <row r="280" spans="1:15" x14ac:dyDescent="0.3">
      <c r="A280" s="2402">
        <v>274</v>
      </c>
      <c r="B280" s="1122" t="s">
        <v>1416</v>
      </c>
      <c r="C280" s="216" t="s">
        <v>1344</v>
      </c>
      <c r="D280" s="416" t="s">
        <v>938</v>
      </c>
      <c r="E280" s="217" t="s">
        <v>452</v>
      </c>
      <c r="F280" s="218" t="s">
        <v>1417</v>
      </c>
      <c r="G280" s="116">
        <v>990</v>
      </c>
      <c r="H280" s="1776" t="s">
        <v>1349</v>
      </c>
      <c r="J280" s="224"/>
      <c r="K280" s="34" t="s">
        <v>25</v>
      </c>
      <c r="L280" s="475"/>
      <c r="M280" s="224"/>
      <c r="N280" s="224"/>
      <c r="O280" s="902" t="s">
        <v>6395</v>
      </c>
    </row>
    <row r="281" spans="1:15" x14ac:dyDescent="0.3">
      <c r="A281" s="2402">
        <v>275</v>
      </c>
      <c r="B281" s="1122" t="s">
        <v>1416</v>
      </c>
      <c r="C281" s="216" t="s">
        <v>1344</v>
      </c>
      <c r="D281" s="416" t="s">
        <v>938</v>
      </c>
      <c r="E281" s="217" t="s">
        <v>1453</v>
      </c>
      <c r="F281" s="218" t="s">
        <v>1417</v>
      </c>
      <c r="G281" s="116">
        <v>990</v>
      </c>
      <c r="H281" s="1776" t="s">
        <v>1349</v>
      </c>
      <c r="J281" s="224"/>
      <c r="K281" s="34" t="s">
        <v>25</v>
      </c>
      <c r="L281" s="475"/>
      <c r="M281" s="224"/>
      <c r="N281" s="224"/>
      <c r="O281" s="902" t="s">
        <v>6395</v>
      </c>
    </row>
    <row r="282" spans="1:15" x14ac:dyDescent="0.3">
      <c r="A282" s="2401">
        <v>276</v>
      </c>
      <c r="B282" s="1122" t="s">
        <v>1416</v>
      </c>
      <c r="C282" s="1117" t="s">
        <v>1344</v>
      </c>
      <c r="D282" s="793" t="s">
        <v>938</v>
      </c>
      <c r="E282" s="217" t="s">
        <v>1454</v>
      </c>
      <c r="F282" s="218" t="s">
        <v>1417</v>
      </c>
      <c r="G282" s="116">
        <v>990</v>
      </c>
      <c r="H282" s="1776" t="s">
        <v>1349</v>
      </c>
      <c r="J282" s="224"/>
      <c r="K282" s="34" t="s">
        <v>25</v>
      </c>
      <c r="L282" s="475"/>
      <c r="M282" s="224"/>
      <c r="N282" s="224"/>
      <c r="O282" s="902" t="s">
        <v>6395</v>
      </c>
    </row>
    <row r="283" spans="1:15" x14ac:dyDescent="0.3">
      <c r="A283" s="2402">
        <v>277</v>
      </c>
      <c r="B283" s="1122" t="s">
        <v>1416</v>
      </c>
      <c r="C283" s="1117" t="s">
        <v>1344</v>
      </c>
      <c r="D283" s="793" t="s">
        <v>938</v>
      </c>
      <c r="E283" s="217" t="s">
        <v>1455</v>
      </c>
      <c r="F283" s="218" t="s">
        <v>1417</v>
      </c>
      <c r="G283" s="116">
        <v>990</v>
      </c>
      <c r="H283" s="1776" t="s">
        <v>1349</v>
      </c>
      <c r="J283" s="224"/>
      <c r="K283" s="34" t="s">
        <v>25</v>
      </c>
      <c r="L283" s="475"/>
      <c r="M283" s="224"/>
      <c r="N283" s="224"/>
      <c r="O283" s="902" t="s">
        <v>6395</v>
      </c>
    </row>
    <row r="284" spans="1:15" x14ac:dyDescent="0.3">
      <c r="A284" s="2402">
        <v>278</v>
      </c>
      <c r="B284" s="1122" t="s">
        <v>1416</v>
      </c>
      <c r="C284" s="1117" t="s">
        <v>1344</v>
      </c>
      <c r="D284" s="416" t="s">
        <v>938</v>
      </c>
      <c r="E284" s="217" t="s">
        <v>467</v>
      </c>
      <c r="F284" s="218" t="s">
        <v>1417</v>
      </c>
      <c r="G284" s="116">
        <v>990</v>
      </c>
      <c r="H284" s="1776" t="s">
        <v>1349</v>
      </c>
      <c r="J284" s="224"/>
      <c r="K284" s="34" t="s">
        <v>25</v>
      </c>
      <c r="L284" s="475"/>
      <c r="M284" s="224"/>
      <c r="N284" s="224"/>
      <c r="O284" s="902" t="s">
        <v>6395</v>
      </c>
    </row>
    <row r="285" spans="1:15" x14ac:dyDescent="0.3">
      <c r="A285" s="2401">
        <v>279</v>
      </c>
      <c r="B285" s="1122" t="s">
        <v>1416</v>
      </c>
      <c r="C285" s="1117" t="s">
        <v>1344</v>
      </c>
      <c r="D285" s="416" t="s">
        <v>938</v>
      </c>
      <c r="E285" s="217" t="s">
        <v>469</v>
      </c>
      <c r="F285" s="218" t="s">
        <v>1417</v>
      </c>
      <c r="G285" s="116">
        <v>990</v>
      </c>
      <c r="H285" s="1776" t="s">
        <v>1349</v>
      </c>
      <c r="J285" s="224"/>
      <c r="K285" s="34" t="s">
        <v>25</v>
      </c>
      <c r="L285" s="475"/>
      <c r="M285" s="224"/>
      <c r="N285" s="224"/>
      <c r="O285" s="902" t="s">
        <v>6395</v>
      </c>
    </row>
    <row r="286" spans="1:15" x14ac:dyDescent="0.3">
      <c r="A286" s="2402">
        <v>280</v>
      </c>
      <c r="B286" s="1122" t="s">
        <v>1416</v>
      </c>
      <c r="C286" s="1117" t="s">
        <v>1344</v>
      </c>
      <c r="D286" s="416" t="s">
        <v>938</v>
      </c>
      <c r="E286" s="217" t="s">
        <v>1456</v>
      </c>
      <c r="F286" s="218" t="s">
        <v>1417</v>
      </c>
      <c r="G286" s="116">
        <v>990</v>
      </c>
      <c r="H286" s="1776" t="s">
        <v>1349</v>
      </c>
      <c r="J286" s="224"/>
      <c r="K286" s="34" t="s">
        <v>25</v>
      </c>
      <c r="L286" s="475"/>
      <c r="M286" s="224"/>
      <c r="N286" s="224"/>
      <c r="O286" s="902" t="s">
        <v>6395</v>
      </c>
    </row>
    <row r="287" spans="1:15" x14ac:dyDescent="0.3">
      <c r="A287" s="2402">
        <v>281</v>
      </c>
      <c r="B287" s="1122" t="s">
        <v>1416</v>
      </c>
      <c r="C287" s="1117" t="s">
        <v>1344</v>
      </c>
      <c r="D287" s="416" t="s">
        <v>938</v>
      </c>
      <c r="E287" s="217" t="s">
        <v>1457</v>
      </c>
      <c r="F287" s="218" t="s">
        <v>1417</v>
      </c>
      <c r="G287" s="116">
        <v>990</v>
      </c>
      <c r="H287" s="1776" t="s">
        <v>1349</v>
      </c>
      <c r="J287" s="224"/>
      <c r="K287" s="34" t="s">
        <v>25</v>
      </c>
      <c r="L287" s="475"/>
      <c r="M287" s="224"/>
      <c r="N287" s="224"/>
      <c r="O287" s="902" t="s">
        <v>6395</v>
      </c>
    </row>
    <row r="288" spans="1:15" x14ac:dyDescent="0.3">
      <c r="A288" s="2401">
        <v>282</v>
      </c>
      <c r="B288" s="1122" t="s">
        <v>1416</v>
      </c>
      <c r="C288" s="216" t="s">
        <v>1344</v>
      </c>
      <c r="D288" s="452" t="s">
        <v>938</v>
      </c>
      <c r="E288" s="217" t="s">
        <v>1458</v>
      </c>
      <c r="F288" s="218" t="s">
        <v>1417</v>
      </c>
      <c r="G288" s="116">
        <v>990</v>
      </c>
      <c r="H288" s="1776" t="s">
        <v>1349</v>
      </c>
      <c r="J288" s="224"/>
      <c r="K288" s="34" t="s">
        <v>25</v>
      </c>
      <c r="L288" s="475"/>
      <c r="M288" s="224"/>
      <c r="N288" s="224"/>
      <c r="O288" s="902" t="s">
        <v>6395</v>
      </c>
    </row>
    <row r="289" spans="1:15" x14ac:dyDescent="0.3">
      <c r="A289" s="2402">
        <v>283</v>
      </c>
      <c r="B289" s="1122" t="s">
        <v>1416</v>
      </c>
      <c r="C289" s="216" t="s">
        <v>1344</v>
      </c>
      <c r="D289" s="793" t="s">
        <v>938</v>
      </c>
      <c r="E289" s="217" t="s">
        <v>1459</v>
      </c>
      <c r="F289" s="218" t="s">
        <v>1417</v>
      </c>
      <c r="G289" s="116">
        <v>990</v>
      </c>
      <c r="H289" s="1776" t="s">
        <v>1349</v>
      </c>
      <c r="J289" s="224"/>
      <c r="K289" s="34" t="s">
        <v>25</v>
      </c>
      <c r="L289" s="475"/>
      <c r="M289" s="224"/>
      <c r="N289" s="224"/>
      <c r="O289" s="902" t="s">
        <v>6395</v>
      </c>
    </row>
    <row r="290" spans="1:15" x14ac:dyDescent="0.3">
      <c r="A290" s="2402">
        <v>284</v>
      </c>
      <c r="B290" s="1122" t="s">
        <v>1416</v>
      </c>
      <c r="C290" s="216" t="s">
        <v>1344</v>
      </c>
      <c r="D290" s="416" t="s">
        <v>938</v>
      </c>
      <c r="E290" s="217" t="s">
        <v>1460</v>
      </c>
      <c r="F290" s="218" t="s">
        <v>1417</v>
      </c>
      <c r="G290" s="116">
        <v>990</v>
      </c>
      <c r="H290" s="1776" t="s">
        <v>1349</v>
      </c>
      <c r="J290" s="224"/>
      <c r="K290" s="34" t="s">
        <v>25</v>
      </c>
      <c r="L290" s="475"/>
      <c r="M290" s="224"/>
      <c r="N290" s="224"/>
      <c r="O290" s="902" t="s">
        <v>6395</v>
      </c>
    </row>
    <row r="291" spans="1:15" x14ac:dyDescent="0.3">
      <c r="A291" s="2401">
        <v>285</v>
      </c>
      <c r="B291" s="1122" t="s">
        <v>1416</v>
      </c>
      <c r="C291" s="216" t="s">
        <v>1344</v>
      </c>
      <c r="D291" s="416" t="s">
        <v>938</v>
      </c>
      <c r="E291" s="217" t="s">
        <v>1461</v>
      </c>
      <c r="F291" s="218" t="s">
        <v>1417</v>
      </c>
      <c r="G291" s="116">
        <v>990</v>
      </c>
      <c r="H291" s="1776" t="s">
        <v>1349</v>
      </c>
      <c r="J291" s="224"/>
      <c r="K291" s="34" t="s">
        <v>25</v>
      </c>
      <c r="L291" s="475"/>
      <c r="M291" s="224"/>
      <c r="N291" s="224"/>
      <c r="O291" s="902" t="s">
        <v>6395</v>
      </c>
    </row>
    <row r="292" spans="1:15" x14ac:dyDescent="0.3">
      <c r="A292" s="2402">
        <v>286</v>
      </c>
      <c r="B292" s="1122" t="s">
        <v>1416</v>
      </c>
      <c r="C292" s="216" t="s">
        <v>1344</v>
      </c>
      <c r="D292" s="416" t="s">
        <v>938</v>
      </c>
      <c r="E292" s="217" t="s">
        <v>1462</v>
      </c>
      <c r="F292" s="218" t="s">
        <v>1417</v>
      </c>
      <c r="G292" s="116">
        <v>990</v>
      </c>
      <c r="H292" s="1776" t="s">
        <v>1349</v>
      </c>
      <c r="J292" s="224"/>
      <c r="K292" s="34" t="s">
        <v>25</v>
      </c>
      <c r="L292" s="475"/>
      <c r="M292" s="224"/>
      <c r="N292" s="224"/>
      <c r="O292" s="902" t="s">
        <v>6395</v>
      </c>
    </row>
    <row r="293" spans="1:15" x14ac:dyDescent="0.3">
      <c r="A293" s="2402">
        <v>287</v>
      </c>
      <c r="B293" s="1122" t="s">
        <v>1416</v>
      </c>
      <c r="C293" s="216" t="s">
        <v>1344</v>
      </c>
      <c r="D293" s="416" t="s">
        <v>938</v>
      </c>
      <c r="E293" s="419" t="s">
        <v>1463</v>
      </c>
      <c r="F293" s="218" t="s">
        <v>1417</v>
      </c>
      <c r="G293" s="116">
        <v>990</v>
      </c>
      <c r="H293" s="1776" t="s">
        <v>1349</v>
      </c>
      <c r="J293" s="224"/>
      <c r="K293" s="34" t="s">
        <v>25</v>
      </c>
      <c r="L293" s="475"/>
      <c r="M293" s="224"/>
      <c r="N293" s="224"/>
      <c r="O293" s="902" t="s">
        <v>6395</v>
      </c>
    </row>
    <row r="294" spans="1:15" x14ac:dyDescent="0.3">
      <c r="A294" s="2401">
        <v>288</v>
      </c>
      <c r="B294" s="1122" t="s">
        <v>1416</v>
      </c>
      <c r="C294" s="1117" t="s">
        <v>1344</v>
      </c>
      <c r="D294" s="416" t="s">
        <v>938</v>
      </c>
      <c r="E294" s="349" t="s">
        <v>1464</v>
      </c>
      <c r="F294" s="218" t="s">
        <v>1417</v>
      </c>
      <c r="G294" s="116">
        <v>990</v>
      </c>
      <c r="H294" s="1776" t="s">
        <v>1349</v>
      </c>
      <c r="J294" s="224"/>
      <c r="K294" s="34" t="s">
        <v>25</v>
      </c>
      <c r="L294" s="475"/>
      <c r="M294" s="224"/>
      <c r="N294" s="224"/>
      <c r="O294" s="902" t="s">
        <v>6395</v>
      </c>
    </row>
    <row r="295" spans="1:15" x14ac:dyDescent="0.3">
      <c r="A295" s="2402">
        <v>289</v>
      </c>
      <c r="B295" s="1122" t="s">
        <v>1416</v>
      </c>
      <c r="C295" s="1117" t="s">
        <v>1344</v>
      </c>
      <c r="D295" s="416" t="s">
        <v>938</v>
      </c>
      <c r="E295" s="217" t="s">
        <v>1465</v>
      </c>
      <c r="F295" s="218" t="s">
        <v>1417</v>
      </c>
      <c r="G295" s="116">
        <v>990</v>
      </c>
      <c r="H295" s="1776" t="s">
        <v>1349</v>
      </c>
      <c r="J295" s="224"/>
      <c r="K295" s="34" t="s">
        <v>25</v>
      </c>
      <c r="L295" s="475"/>
      <c r="M295" s="224"/>
      <c r="N295" s="224"/>
      <c r="O295" s="902" t="s">
        <v>6395</v>
      </c>
    </row>
    <row r="296" spans="1:15" x14ac:dyDescent="0.3">
      <c r="A296" s="2402">
        <v>290</v>
      </c>
      <c r="B296" s="1122" t="s">
        <v>1416</v>
      </c>
      <c r="C296" s="1117" t="s">
        <v>1344</v>
      </c>
      <c r="D296" s="416" t="s">
        <v>938</v>
      </c>
      <c r="E296" s="217" t="s">
        <v>1466</v>
      </c>
      <c r="F296" s="218" t="s">
        <v>1417</v>
      </c>
      <c r="G296" s="116">
        <v>990</v>
      </c>
      <c r="H296" s="1776" t="s">
        <v>1349</v>
      </c>
      <c r="J296" s="224"/>
      <c r="K296" s="34" t="s">
        <v>25</v>
      </c>
      <c r="L296" s="475"/>
      <c r="M296" s="224"/>
      <c r="N296" s="224"/>
      <c r="O296" s="902" t="s">
        <v>6395</v>
      </c>
    </row>
    <row r="297" spans="1:15" x14ac:dyDescent="0.3">
      <c r="A297" s="2401">
        <v>291</v>
      </c>
      <c r="B297" s="1122" t="s">
        <v>1416</v>
      </c>
      <c r="C297" s="216" t="s">
        <v>1344</v>
      </c>
      <c r="D297" s="452" t="s">
        <v>938</v>
      </c>
      <c r="E297" s="217" t="s">
        <v>1467</v>
      </c>
      <c r="F297" s="218" t="s">
        <v>1417</v>
      </c>
      <c r="G297" s="116">
        <v>990</v>
      </c>
      <c r="H297" s="1776" t="s">
        <v>1349</v>
      </c>
      <c r="J297" s="224"/>
      <c r="K297" s="34" t="s">
        <v>25</v>
      </c>
      <c r="L297" s="475"/>
      <c r="M297" s="224"/>
      <c r="N297" s="224"/>
      <c r="O297" s="902" t="s">
        <v>6395</v>
      </c>
    </row>
    <row r="298" spans="1:15" x14ac:dyDescent="0.3">
      <c r="A298" s="2402">
        <v>292</v>
      </c>
      <c r="B298" s="1122" t="s">
        <v>1416</v>
      </c>
      <c r="C298" s="216" t="s">
        <v>1344</v>
      </c>
      <c r="D298" s="793" t="s">
        <v>938</v>
      </c>
      <c r="E298" s="217" t="s">
        <v>1468</v>
      </c>
      <c r="F298" s="218" t="s">
        <v>1417</v>
      </c>
      <c r="G298" s="116">
        <v>990</v>
      </c>
      <c r="H298" s="1776" t="s">
        <v>1349</v>
      </c>
      <c r="J298" s="224"/>
      <c r="K298" s="34" t="s">
        <v>25</v>
      </c>
      <c r="L298" s="475"/>
      <c r="M298" s="224"/>
      <c r="N298" s="224"/>
      <c r="O298" s="902" t="s">
        <v>6395</v>
      </c>
    </row>
    <row r="299" spans="1:15" x14ac:dyDescent="0.3">
      <c r="A299" s="2402">
        <v>293</v>
      </c>
      <c r="B299" s="1122" t="s">
        <v>1416</v>
      </c>
      <c r="C299" s="216" t="s">
        <v>1344</v>
      </c>
      <c r="D299" s="416" t="s">
        <v>938</v>
      </c>
      <c r="E299" s="217" t="s">
        <v>1469</v>
      </c>
      <c r="F299" s="218" t="s">
        <v>1417</v>
      </c>
      <c r="G299" s="116">
        <v>990</v>
      </c>
      <c r="H299" s="1776" t="s">
        <v>1349</v>
      </c>
      <c r="J299" s="224"/>
      <c r="K299" s="34" t="s">
        <v>25</v>
      </c>
      <c r="L299" s="475"/>
      <c r="M299" s="224"/>
      <c r="N299" s="224"/>
      <c r="O299" s="902" t="s">
        <v>6395</v>
      </c>
    </row>
    <row r="300" spans="1:15" x14ac:dyDescent="0.3">
      <c r="A300" s="2401">
        <v>294</v>
      </c>
      <c r="B300" s="1122" t="s">
        <v>1416</v>
      </c>
      <c r="C300" s="216" t="s">
        <v>1344</v>
      </c>
      <c r="D300" s="416" t="s">
        <v>938</v>
      </c>
      <c r="E300" s="217" t="s">
        <v>1470</v>
      </c>
      <c r="F300" s="218" t="s">
        <v>1417</v>
      </c>
      <c r="G300" s="116">
        <v>990</v>
      </c>
      <c r="H300" s="1776" t="s">
        <v>1349</v>
      </c>
      <c r="J300" s="224"/>
      <c r="K300" s="34" t="s">
        <v>25</v>
      </c>
      <c r="L300" s="475"/>
      <c r="M300" s="224"/>
      <c r="N300" s="224"/>
      <c r="O300" s="902" t="s">
        <v>6395</v>
      </c>
    </row>
    <row r="301" spans="1:15" x14ac:dyDescent="0.3">
      <c r="A301" s="2402">
        <v>295</v>
      </c>
      <c r="B301" s="1122" t="s">
        <v>1416</v>
      </c>
      <c r="C301" s="216" t="s">
        <v>1344</v>
      </c>
      <c r="D301" s="416" t="s">
        <v>938</v>
      </c>
      <c r="E301" s="217" t="s">
        <v>1471</v>
      </c>
      <c r="F301" s="218" t="s">
        <v>1417</v>
      </c>
      <c r="G301" s="116">
        <v>990</v>
      </c>
      <c r="H301" s="1776" t="s">
        <v>1349</v>
      </c>
      <c r="J301" s="224"/>
      <c r="K301" s="34" t="s">
        <v>25</v>
      </c>
      <c r="L301" s="475"/>
      <c r="M301" s="224"/>
      <c r="N301" s="224"/>
      <c r="O301" s="902" t="s">
        <v>6395</v>
      </c>
    </row>
    <row r="302" spans="1:15" x14ac:dyDescent="0.3">
      <c r="A302" s="2402">
        <v>296</v>
      </c>
      <c r="B302" s="1122" t="s">
        <v>1416</v>
      </c>
      <c r="C302" s="216" t="s">
        <v>1344</v>
      </c>
      <c r="D302" s="416" t="s">
        <v>938</v>
      </c>
      <c r="E302" s="217" t="s">
        <v>1472</v>
      </c>
      <c r="F302" s="218" t="s">
        <v>1417</v>
      </c>
      <c r="G302" s="116">
        <v>990</v>
      </c>
      <c r="H302" s="1776" t="s">
        <v>1349</v>
      </c>
      <c r="J302" s="224"/>
      <c r="K302" s="34" t="s">
        <v>25</v>
      </c>
      <c r="L302" s="475"/>
      <c r="M302" s="224"/>
      <c r="N302" s="224"/>
      <c r="O302" s="902" t="s">
        <v>6395</v>
      </c>
    </row>
    <row r="303" spans="1:15" x14ac:dyDescent="0.3">
      <c r="A303" s="2401">
        <v>297</v>
      </c>
      <c r="B303" s="1122" t="s">
        <v>1416</v>
      </c>
      <c r="C303" s="216" t="s">
        <v>1344</v>
      </c>
      <c r="D303" s="416" t="s">
        <v>938</v>
      </c>
      <c r="E303" s="217" t="s">
        <v>1473</v>
      </c>
      <c r="F303" s="218" t="s">
        <v>1417</v>
      </c>
      <c r="G303" s="116">
        <v>990</v>
      </c>
      <c r="H303" s="1776" t="s">
        <v>1349</v>
      </c>
      <c r="J303" s="224"/>
      <c r="K303" s="34" t="s">
        <v>25</v>
      </c>
      <c r="L303" s="475"/>
      <c r="M303" s="224"/>
      <c r="N303" s="224"/>
      <c r="O303" s="902" t="s">
        <v>6395</v>
      </c>
    </row>
    <row r="304" spans="1:15" x14ac:dyDescent="0.3">
      <c r="A304" s="2402">
        <v>298</v>
      </c>
      <c r="B304" s="1122" t="s">
        <v>1416</v>
      </c>
      <c r="C304" s="216" t="s">
        <v>1344</v>
      </c>
      <c r="D304" s="416" t="s">
        <v>938</v>
      </c>
      <c r="E304" s="217" t="s">
        <v>1474</v>
      </c>
      <c r="F304" s="218" t="s">
        <v>1417</v>
      </c>
      <c r="G304" s="116">
        <v>990</v>
      </c>
      <c r="H304" s="1776" t="s">
        <v>1349</v>
      </c>
      <c r="J304" s="224"/>
      <c r="K304" s="34" t="s">
        <v>25</v>
      </c>
      <c r="L304" s="475"/>
      <c r="M304" s="224"/>
      <c r="N304" s="224"/>
      <c r="O304" s="902" t="s">
        <v>6395</v>
      </c>
    </row>
    <row r="305" spans="1:15" x14ac:dyDescent="0.3">
      <c r="A305" s="2402">
        <v>299</v>
      </c>
      <c r="B305" s="1122" t="s">
        <v>1416</v>
      </c>
      <c r="C305" s="216" t="s">
        <v>1344</v>
      </c>
      <c r="D305" s="416" t="s">
        <v>938</v>
      </c>
      <c r="E305" s="217" t="s">
        <v>1475</v>
      </c>
      <c r="F305" s="218" t="s">
        <v>1417</v>
      </c>
      <c r="G305" s="116">
        <v>990</v>
      </c>
      <c r="H305" s="1776" t="s">
        <v>1349</v>
      </c>
      <c r="J305" s="224"/>
      <c r="K305" s="34" t="s">
        <v>25</v>
      </c>
      <c r="L305" s="475"/>
      <c r="M305" s="224"/>
      <c r="N305" s="224"/>
      <c r="O305" s="902" t="s">
        <v>6395</v>
      </c>
    </row>
    <row r="306" spans="1:15" x14ac:dyDescent="0.3">
      <c r="A306" s="2401">
        <v>300</v>
      </c>
      <c r="B306" s="1122" t="s">
        <v>1416</v>
      </c>
      <c r="C306" s="216" t="s">
        <v>1344</v>
      </c>
      <c r="D306" s="416" t="s">
        <v>938</v>
      </c>
      <c r="E306" s="217" t="s">
        <v>1476</v>
      </c>
      <c r="F306" s="218" t="s">
        <v>1417</v>
      </c>
      <c r="G306" s="116">
        <v>990</v>
      </c>
      <c r="H306" s="1776" t="s">
        <v>1349</v>
      </c>
      <c r="J306" s="224"/>
      <c r="K306" s="34" t="s">
        <v>25</v>
      </c>
      <c r="L306" s="475"/>
      <c r="M306" s="224"/>
      <c r="N306" s="224"/>
      <c r="O306" s="902" t="s">
        <v>6395</v>
      </c>
    </row>
    <row r="307" spans="1:15" x14ac:dyDescent="0.3">
      <c r="A307" s="2402">
        <v>301</v>
      </c>
      <c r="B307" s="1122" t="s">
        <v>1477</v>
      </c>
      <c r="C307" s="1117" t="s">
        <v>1344</v>
      </c>
      <c r="D307" s="416" t="s">
        <v>938</v>
      </c>
      <c r="E307" s="217" t="s">
        <v>1478</v>
      </c>
      <c r="F307" s="218" t="s">
        <v>1417</v>
      </c>
      <c r="G307" s="116">
        <v>1190</v>
      </c>
      <c r="H307" s="1776" t="s">
        <v>1349</v>
      </c>
      <c r="J307" s="224"/>
      <c r="K307" s="34" t="s">
        <v>25</v>
      </c>
      <c r="L307" s="475"/>
      <c r="M307" s="224"/>
      <c r="N307" s="224"/>
      <c r="O307" s="902" t="s">
        <v>6395</v>
      </c>
    </row>
    <row r="308" spans="1:15" x14ac:dyDescent="0.3">
      <c r="A308" s="2402">
        <v>302</v>
      </c>
      <c r="B308" s="1122" t="s">
        <v>1477</v>
      </c>
      <c r="C308" s="216" t="s">
        <v>1344</v>
      </c>
      <c r="D308" s="416" t="s">
        <v>938</v>
      </c>
      <c r="E308" s="217" t="s">
        <v>1479</v>
      </c>
      <c r="F308" s="218" t="s">
        <v>1417</v>
      </c>
      <c r="G308" s="116">
        <v>1190</v>
      </c>
      <c r="H308" s="1776" t="s">
        <v>1349</v>
      </c>
      <c r="J308" s="224"/>
      <c r="K308" s="34" t="s">
        <v>25</v>
      </c>
      <c r="L308" s="475"/>
      <c r="M308" s="224"/>
      <c r="N308" s="224"/>
      <c r="O308" s="902" t="s">
        <v>6395</v>
      </c>
    </row>
    <row r="309" spans="1:15" x14ac:dyDescent="0.3">
      <c r="A309" s="2401">
        <v>303</v>
      </c>
      <c r="B309" s="1122" t="s">
        <v>1477</v>
      </c>
      <c r="C309" s="216" t="s">
        <v>1344</v>
      </c>
      <c r="D309" s="416" t="s">
        <v>938</v>
      </c>
      <c r="E309" s="217" t="s">
        <v>1480</v>
      </c>
      <c r="F309" s="218" t="s">
        <v>1417</v>
      </c>
      <c r="G309" s="116">
        <v>1190</v>
      </c>
      <c r="H309" s="1776" t="s">
        <v>1349</v>
      </c>
      <c r="J309" s="224"/>
      <c r="K309" s="34" t="s">
        <v>25</v>
      </c>
      <c r="L309" s="475"/>
      <c r="M309" s="224"/>
      <c r="N309" s="224"/>
      <c r="O309" s="902" t="s">
        <v>6395</v>
      </c>
    </row>
    <row r="310" spans="1:15" x14ac:dyDescent="0.3">
      <c r="A310" s="2402">
        <v>304</v>
      </c>
      <c r="B310" s="1122" t="s">
        <v>1477</v>
      </c>
      <c r="C310" s="216" t="s">
        <v>1344</v>
      </c>
      <c r="D310" s="416" t="s">
        <v>938</v>
      </c>
      <c r="E310" s="217" t="s">
        <v>453</v>
      </c>
      <c r="F310" s="218" t="s">
        <v>1417</v>
      </c>
      <c r="G310" s="116">
        <v>1190</v>
      </c>
      <c r="H310" s="1776" t="s">
        <v>1349</v>
      </c>
      <c r="J310" s="224"/>
      <c r="K310" s="34" t="s">
        <v>25</v>
      </c>
      <c r="L310" s="475"/>
      <c r="M310" s="224"/>
      <c r="N310" s="224"/>
      <c r="O310" s="902" t="s">
        <v>6395</v>
      </c>
    </row>
    <row r="311" spans="1:15" x14ac:dyDescent="0.3">
      <c r="A311" s="2402">
        <v>305</v>
      </c>
      <c r="B311" s="1122" t="s">
        <v>1477</v>
      </c>
      <c r="C311" s="216" t="s">
        <v>1344</v>
      </c>
      <c r="D311" s="416" t="s">
        <v>938</v>
      </c>
      <c r="E311" s="217" t="s">
        <v>421</v>
      </c>
      <c r="F311" s="218" t="s">
        <v>1417</v>
      </c>
      <c r="G311" s="116">
        <v>1190</v>
      </c>
      <c r="H311" s="1776" t="s">
        <v>1349</v>
      </c>
      <c r="J311" s="224"/>
      <c r="K311" s="34" t="s">
        <v>25</v>
      </c>
      <c r="L311" s="475"/>
      <c r="M311" s="224"/>
      <c r="N311" s="224"/>
      <c r="O311" s="902" t="s">
        <v>6395</v>
      </c>
    </row>
    <row r="312" spans="1:15" x14ac:dyDescent="0.3">
      <c r="A312" s="2401">
        <v>306</v>
      </c>
      <c r="B312" s="1122" t="s">
        <v>1477</v>
      </c>
      <c r="C312" s="216" t="s">
        <v>1344</v>
      </c>
      <c r="D312" s="416" t="s">
        <v>938</v>
      </c>
      <c r="E312" s="217" t="s">
        <v>423</v>
      </c>
      <c r="F312" s="218" t="s">
        <v>1417</v>
      </c>
      <c r="G312" s="116">
        <v>1190</v>
      </c>
      <c r="H312" s="1776" t="s">
        <v>1349</v>
      </c>
      <c r="J312" s="224"/>
      <c r="K312" s="34" t="s">
        <v>25</v>
      </c>
      <c r="L312" s="475"/>
      <c r="M312" s="224"/>
      <c r="N312" s="224"/>
      <c r="O312" s="902" t="s">
        <v>6395</v>
      </c>
    </row>
    <row r="313" spans="1:15" x14ac:dyDescent="0.3">
      <c r="A313" s="2402">
        <v>307</v>
      </c>
      <c r="B313" s="1122" t="s">
        <v>1477</v>
      </c>
      <c r="C313" s="216" t="s">
        <v>1344</v>
      </c>
      <c r="D313" s="452" t="s">
        <v>938</v>
      </c>
      <c r="E313" s="217" t="s">
        <v>424</v>
      </c>
      <c r="F313" s="218" t="s">
        <v>1417</v>
      </c>
      <c r="G313" s="116">
        <v>1190</v>
      </c>
      <c r="H313" s="1776" t="s">
        <v>1349</v>
      </c>
      <c r="J313" s="224"/>
      <c r="K313" s="34" t="s">
        <v>25</v>
      </c>
      <c r="L313" s="475"/>
      <c r="M313" s="224"/>
      <c r="N313" s="224"/>
      <c r="O313" s="902" t="s">
        <v>6395</v>
      </c>
    </row>
    <row r="314" spans="1:15" x14ac:dyDescent="0.3">
      <c r="A314" s="2402">
        <v>308</v>
      </c>
      <c r="B314" s="1122" t="s">
        <v>1477</v>
      </c>
      <c r="C314" s="216" t="s">
        <v>1344</v>
      </c>
      <c r="D314" s="793" t="s">
        <v>938</v>
      </c>
      <c r="E314" s="217" t="s">
        <v>425</v>
      </c>
      <c r="F314" s="218" t="s">
        <v>1417</v>
      </c>
      <c r="G314" s="116">
        <v>1190</v>
      </c>
      <c r="H314" s="1776" t="s">
        <v>1349</v>
      </c>
      <c r="J314" s="224"/>
      <c r="K314" s="34" t="s">
        <v>25</v>
      </c>
      <c r="L314" s="475"/>
      <c r="M314" s="224"/>
      <c r="N314" s="224"/>
      <c r="O314" s="902" t="s">
        <v>6395</v>
      </c>
    </row>
    <row r="315" spans="1:15" x14ac:dyDescent="0.3">
      <c r="A315" s="2401">
        <v>309</v>
      </c>
      <c r="B315" s="1122" t="s">
        <v>1477</v>
      </c>
      <c r="C315" s="1117" t="s">
        <v>1344</v>
      </c>
      <c r="D315" s="416" t="s">
        <v>938</v>
      </c>
      <c r="E315" s="217" t="s">
        <v>456</v>
      </c>
      <c r="F315" s="218" t="s">
        <v>1417</v>
      </c>
      <c r="G315" s="116">
        <v>1190</v>
      </c>
      <c r="H315" s="1776" t="s">
        <v>1349</v>
      </c>
      <c r="J315" s="224"/>
      <c r="K315" s="34" t="s">
        <v>25</v>
      </c>
      <c r="L315" s="475"/>
      <c r="M315" s="224"/>
      <c r="N315" s="224"/>
      <c r="O315" s="902" t="s">
        <v>6395</v>
      </c>
    </row>
    <row r="316" spans="1:15" x14ac:dyDescent="0.3">
      <c r="A316" s="2402">
        <v>310</v>
      </c>
      <c r="B316" s="1122" t="s">
        <v>1477</v>
      </c>
      <c r="C316" s="216" t="s">
        <v>1344</v>
      </c>
      <c r="D316" s="416" t="s">
        <v>938</v>
      </c>
      <c r="E316" s="217" t="s">
        <v>1481</v>
      </c>
      <c r="F316" s="218" t="s">
        <v>1417</v>
      </c>
      <c r="G316" s="116">
        <v>1190</v>
      </c>
      <c r="H316" s="1776" t="s">
        <v>1349</v>
      </c>
      <c r="J316" s="224"/>
      <c r="K316" s="34" t="s">
        <v>25</v>
      </c>
      <c r="L316" s="475"/>
      <c r="M316" s="224"/>
      <c r="N316" s="224"/>
      <c r="O316" s="902" t="s">
        <v>6395</v>
      </c>
    </row>
    <row r="317" spans="1:15" x14ac:dyDescent="0.3">
      <c r="A317" s="2402">
        <v>311</v>
      </c>
      <c r="B317" s="1122" t="s">
        <v>1477</v>
      </c>
      <c r="C317" s="1117" t="s">
        <v>1344</v>
      </c>
      <c r="D317" s="416" t="s">
        <v>938</v>
      </c>
      <c r="E317" s="217" t="s">
        <v>1482</v>
      </c>
      <c r="F317" s="218" t="s">
        <v>1417</v>
      </c>
      <c r="G317" s="116">
        <v>1190</v>
      </c>
      <c r="H317" s="1776" t="s">
        <v>1349</v>
      </c>
      <c r="J317" s="224"/>
      <c r="K317" s="34" t="s">
        <v>25</v>
      </c>
      <c r="L317" s="475"/>
      <c r="M317" s="224"/>
      <c r="N317" s="224"/>
      <c r="O317" s="902" t="s">
        <v>6395</v>
      </c>
    </row>
    <row r="318" spans="1:15" x14ac:dyDescent="0.3">
      <c r="A318" s="2401">
        <v>312</v>
      </c>
      <c r="B318" s="1122" t="s">
        <v>1477</v>
      </c>
      <c r="C318" s="216" t="s">
        <v>1344</v>
      </c>
      <c r="D318" s="416" t="s">
        <v>938</v>
      </c>
      <c r="E318" s="217" t="s">
        <v>1483</v>
      </c>
      <c r="F318" s="218" t="s">
        <v>1417</v>
      </c>
      <c r="G318" s="116">
        <v>1190</v>
      </c>
      <c r="H318" s="1776" t="s">
        <v>1349</v>
      </c>
      <c r="J318" s="224"/>
      <c r="K318" s="34" t="s">
        <v>25</v>
      </c>
      <c r="L318" s="475"/>
      <c r="M318" s="224"/>
      <c r="N318" s="224"/>
      <c r="O318" s="902" t="s">
        <v>6395</v>
      </c>
    </row>
    <row r="319" spans="1:15" x14ac:dyDescent="0.3">
      <c r="A319" s="2402">
        <v>313</v>
      </c>
      <c r="B319" s="1122" t="s">
        <v>1477</v>
      </c>
      <c r="C319" s="216" t="s">
        <v>1344</v>
      </c>
      <c r="D319" s="416" t="s">
        <v>938</v>
      </c>
      <c r="E319" s="217" t="s">
        <v>1484</v>
      </c>
      <c r="F319" s="218" t="s">
        <v>1417</v>
      </c>
      <c r="G319" s="116">
        <v>1190</v>
      </c>
      <c r="H319" s="1776" t="s">
        <v>1349</v>
      </c>
      <c r="J319" s="224"/>
      <c r="K319" s="34" t="s">
        <v>25</v>
      </c>
      <c r="L319" s="475"/>
      <c r="M319" s="327"/>
      <c r="N319" s="327"/>
      <c r="O319" s="902" t="s">
        <v>6395</v>
      </c>
    </row>
    <row r="320" spans="1:15" x14ac:dyDescent="0.3">
      <c r="A320" s="2402">
        <v>314</v>
      </c>
      <c r="B320" s="1122" t="s">
        <v>1477</v>
      </c>
      <c r="C320" s="216" t="s">
        <v>1344</v>
      </c>
      <c r="D320" s="416" t="s">
        <v>938</v>
      </c>
      <c r="E320" s="217" t="s">
        <v>1485</v>
      </c>
      <c r="F320" s="218" t="s">
        <v>1417</v>
      </c>
      <c r="G320" s="116">
        <v>1190</v>
      </c>
      <c r="H320" s="1776" t="s">
        <v>1349</v>
      </c>
      <c r="J320" s="224"/>
      <c r="K320" s="34" t="s">
        <v>25</v>
      </c>
      <c r="L320" s="475"/>
      <c r="M320" s="1125"/>
      <c r="N320" s="1125"/>
      <c r="O320" s="902" t="s">
        <v>6395</v>
      </c>
    </row>
    <row r="321" spans="1:15" x14ac:dyDescent="0.3">
      <c r="A321" s="2401">
        <v>315</v>
      </c>
      <c r="B321" s="1122" t="s">
        <v>1477</v>
      </c>
      <c r="C321" s="216" t="s">
        <v>1344</v>
      </c>
      <c r="D321" s="416" t="s">
        <v>938</v>
      </c>
      <c r="E321" s="217" t="s">
        <v>1486</v>
      </c>
      <c r="F321" s="218" t="s">
        <v>1417</v>
      </c>
      <c r="G321" s="116">
        <v>1190</v>
      </c>
      <c r="H321" s="1776" t="s">
        <v>1349</v>
      </c>
      <c r="J321" s="224"/>
      <c r="K321" s="34" t="s">
        <v>25</v>
      </c>
      <c r="L321" s="475"/>
      <c r="M321" s="848"/>
      <c r="N321" s="848"/>
      <c r="O321" s="902" t="s">
        <v>6395</v>
      </c>
    </row>
    <row r="322" spans="1:15" x14ac:dyDescent="0.3">
      <c r="A322" s="2402">
        <v>316</v>
      </c>
      <c r="B322" s="1122" t="s">
        <v>1477</v>
      </c>
      <c r="C322" s="1117" t="s">
        <v>1344</v>
      </c>
      <c r="D322" s="416" t="s">
        <v>938</v>
      </c>
      <c r="E322" s="217" t="s">
        <v>1487</v>
      </c>
      <c r="F322" s="218" t="s">
        <v>1417</v>
      </c>
      <c r="G322" s="116">
        <v>1190</v>
      </c>
      <c r="H322" s="1776" t="s">
        <v>1349</v>
      </c>
      <c r="J322" s="224"/>
      <c r="K322" s="34" t="s">
        <v>25</v>
      </c>
      <c r="L322" s="475"/>
      <c r="M322" s="224"/>
      <c r="N322" s="224"/>
      <c r="O322" s="902" t="s">
        <v>6395</v>
      </c>
    </row>
    <row r="323" spans="1:15" x14ac:dyDescent="0.3">
      <c r="A323" s="2402">
        <v>317</v>
      </c>
      <c r="B323" s="1122" t="s">
        <v>1477</v>
      </c>
      <c r="C323" s="216" t="s">
        <v>1344</v>
      </c>
      <c r="D323" s="416" t="s">
        <v>938</v>
      </c>
      <c r="E323" s="217" t="s">
        <v>1488</v>
      </c>
      <c r="F323" s="218" t="s">
        <v>1417</v>
      </c>
      <c r="G323" s="116">
        <v>1190</v>
      </c>
      <c r="H323" s="1776" t="s">
        <v>1349</v>
      </c>
      <c r="J323" s="224"/>
      <c r="K323" s="34" t="s">
        <v>25</v>
      </c>
      <c r="L323" s="475"/>
      <c r="M323" s="224"/>
      <c r="N323" s="224"/>
      <c r="O323" s="902" t="s">
        <v>6395</v>
      </c>
    </row>
    <row r="324" spans="1:15" x14ac:dyDescent="0.3">
      <c r="A324" s="2401">
        <v>318</v>
      </c>
      <c r="B324" s="1122" t="s">
        <v>1477</v>
      </c>
      <c r="C324" s="216" t="s">
        <v>1344</v>
      </c>
      <c r="D324" s="416" t="s">
        <v>938</v>
      </c>
      <c r="E324" s="419" t="s">
        <v>1489</v>
      </c>
      <c r="F324" s="218" t="s">
        <v>1417</v>
      </c>
      <c r="G324" s="116">
        <v>1190</v>
      </c>
      <c r="H324" s="1776" t="s">
        <v>1349</v>
      </c>
      <c r="J324" s="224"/>
      <c r="K324" s="34" t="s">
        <v>25</v>
      </c>
      <c r="L324" s="475"/>
      <c r="M324" s="224"/>
      <c r="N324" s="224"/>
      <c r="O324" s="902" t="s">
        <v>6395</v>
      </c>
    </row>
    <row r="325" spans="1:15" x14ac:dyDescent="0.3">
      <c r="A325" s="2402">
        <v>319</v>
      </c>
      <c r="B325" s="1122" t="s">
        <v>1477</v>
      </c>
      <c r="C325" s="216" t="s">
        <v>1344</v>
      </c>
      <c r="D325" s="416" t="s">
        <v>938</v>
      </c>
      <c r="E325" s="349" t="s">
        <v>1490</v>
      </c>
      <c r="F325" s="218" t="s">
        <v>1417</v>
      </c>
      <c r="G325" s="116">
        <v>1190</v>
      </c>
      <c r="H325" s="1776" t="s">
        <v>1349</v>
      </c>
      <c r="J325" s="224"/>
      <c r="K325" s="34" t="s">
        <v>25</v>
      </c>
      <c r="L325" s="475"/>
      <c r="M325" s="224"/>
      <c r="N325" s="224"/>
      <c r="O325" s="902" t="s">
        <v>6395</v>
      </c>
    </row>
    <row r="326" spans="1:15" x14ac:dyDescent="0.3">
      <c r="A326" s="2402">
        <v>320</v>
      </c>
      <c r="B326" s="1122" t="s">
        <v>1477</v>
      </c>
      <c r="C326" s="1117" t="s">
        <v>1344</v>
      </c>
      <c r="D326" s="416" t="s">
        <v>938</v>
      </c>
      <c r="E326" s="217" t="s">
        <v>1491</v>
      </c>
      <c r="F326" s="218" t="s">
        <v>1417</v>
      </c>
      <c r="G326" s="116">
        <v>1190</v>
      </c>
      <c r="H326" s="1776" t="s">
        <v>1349</v>
      </c>
      <c r="J326" s="224"/>
      <c r="K326" s="34" t="s">
        <v>25</v>
      </c>
      <c r="L326" s="475"/>
      <c r="M326" s="224"/>
      <c r="N326" s="224"/>
      <c r="O326" s="902" t="s">
        <v>6395</v>
      </c>
    </row>
    <row r="327" spans="1:15" x14ac:dyDescent="0.3">
      <c r="A327" s="2401">
        <v>321</v>
      </c>
      <c r="B327" s="1122" t="s">
        <v>1477</v>
      </c>
      <c r="C327" s="1117" t="s">
        <v>1344</v>
      </c>
      <c r="D327" s="416" t="s">
        <v>938</v>
      </c>
      <c r="E327" s="217" t="s">
        <v>1492</v>
      </c>
      <c r="F327" s="218" t="s">
        <v>1417</v>
      </c>
      <c r="G327" s="116">
        <v>1190</v>
      </c>
      <c r="H327" s="1776" t="s">
        <v>1349</v>
      </c>
      <c r="J327" s="224"/>
      <c r="K327" s="34" t="s">
        <v>25</v>
      </c>
      <c r="L327" s="475"/>
      <c r="M327" s="224"/>
      <c r="N327" s="224"/>
      <c r="O327" s="902" t="s">
        <v>6395</v>
      </c>
    </row>
    <row r="328" spans="1:15" x14ac:dyDescent="0.3">
      <c r="A328" s="2402">
        <v>322</v>
      </c>
      <c r="B328" s="1122" t="s">
        <v>1477</v>
      </c>
      <c r="C328" s="216" t="s">
        <v>1344</v>
      </c>
      <c r="D328" s="416" t="s">
        <v>938</v>
      </c>
      <c r="E328" s="217" t="s">
        <v>1493</v>
      </c>
      <c r="F328" s="218" t="s">
        <v>1417</v>
      </c>
      <c r="G328" s="116">
        <v>1190</v>
      </c>
      <c r="H328" s="1776" t="s">
        <v>1349</v>
      </c>
      <c r="J328" s="224"/>
      <c r="K328" s="34" t="s">
        <v>25</v>
      </c>
      <c r="L328" s="475"/>
      <c r="M328" s="224"/>
      <c r="N328" s="224"/>
      <c r="O328" s="902" t="s">
        <v>6395</v>
      </c>
    </row>
    <row r="329" spans="1:15" x14ac:dyDescent="0.3">
      <c r="A329" s="2402">
        <v>323</v>
      </c>
      <c r="B329" s="1122" t="s">
        <v>1477</v>
      </c>
      <c r="C329" s="216" t="s">
        <v>1344</v>
      </c>
      <c r="D329" s="416" t="s">
        <v>938</v>
      </c>
      <c r="E329" s="217" t="s">
        <v>1494</v>
      </c>
      <c r="F329" s="218" t="s">
        <v>1417</v>
      </c>
      <c r="G329" s="116">
        <v>1190</v>
      </c>
      <c r="H329" s="1776" t="s">
        <v>1349</v>
      </c>
      <c r="J329" s="224"/>
      <c r="K329" s="34" t="s">
        <v>25</v>
      </c>
      <c r="L329" s="475"/>
      <c r="M329" s="224"/>
      <c r="N329" s="224"/>
      <c r="O329" s="902" t="s">
        <v>6395</v>
      </c>
    </row>
    <row r="330" spans="1:15" x14ac:dyDescent="0.3">
      <c r="A330" s="2401">
        <v>324</v>
      </c>
      <c r="B330" s="1122" t="s">
        <v>1477</v>
      </c>
      <c r="C330" s="216" t="s">
        <v>1344</v>
      </c>
      <c r="D330" s="416" t="s">
        <v>938</v>
      </c>
      <c r="E330" s="217" t="s">
        <v>1495</v>
      </c>
      <c r="F330" s="218" t="s">
        <v>1417</v>
      </c>
      <c r="G330" s="116">
        <v>1190</v>
      </c>
      <c r="H330" s="1776" t="s">
        <v>1349</v>
      </c>
      <c r="J330" s="224"/>
      <c r="K330" s="34" t="s">
        <v>25</v>
      </c>
      <c r="L330" s="475"/>
      <c r="M330" s="224"/>
      <c r="N330" s="224"/>
      <c r="O330" s="902" t="s">
        <v>6395</v>
      </c>
    </row>
    <row r="331" spans="1:15" x14ac:dyDescent="0.3">
      <c r="A331" s="2402">
        <v>325</v>
      </c>
      <c r="B331" s="1122" t="s">
        <v>1477</v>
      </c>
      <c r="C331" s="216" t="s">
        <v>1344</v>
      </c>
      <c r="D331" s="416" t="s">
        <v>938</v>
      </c>
      <c r="E331" s="217" t="s">
        <v>1496</v>
      </c>
      <c r="F331" s="218" t="s">
        <v>1417</v>
      </c>
      <c r="G331" s="116">
        <v>1190</v>
      </c>
      <c r="H331" s="1776" t="s">
        <v>1349</v>
      </c>
      <c r="J331" s="224"/>
      <c r="K331" s="34" t="s">
        <v>25</v>
      </c>
      <c r="L331" s="475"/>
      <c r="M331" s="475"/>
      <c r="N331" s="475"/>
      <c r="O331" s="902" t="s">
        <v>6395</v>
      </c>
    </row>
    <row r="332" spans="1:15" x14ac:dyDescent="0.3">
      <c r="A332" s="2402">
        <v>326</v>
      </c>
      <c r="B332" s="1122" t="s">
        <v>1477</v>
      </c>
      <c r="C332" s="216" t="s">
        <v>1344</v>
      </c>
      <c r="D332" s="452" t="s">
        <v>938</v>
      </c>
      <c r="E332" s="217" t="s">
        <v>1497</v>
      </c>
      <c r="F332" s="218" t="s">
        <v>1417</v>
      </c>
      <c r="G332" s="116">
        <v>1190</v>
      </c>
      <c r="H332" s="1776" t="s">
        <v>1349</v>
      </c>
      <c r="J332" s="224"/>
      <c r="K332" s="34" t="s">
        <v>25</v>
      </c>
      <c r="L332" s="475"/>
      <c r="M332" s="848"/>
      <c r="N332" s="848"/>
      <c r="O332" s="902" t="s">
        <v>6395</v>
      </c>
    </row>
    <row r="333" spans="1:15" x14ac:dyDescent="0.3">
      <c r="A333" s="2401">
        <v>327</v>
      </c>
      <c r="B333" s="1122" t="s">
        <v>1477</v>
      </c>
      <c r="C333" s="216" t="s">
        <v>1344</v>
      </c>
      <c r="D333" s="793" t="s">
        <v>938</v>
      </c>
      <c r="E333" s="217" t="s">
        <v>1498</v>
      </c>
      <c r="F333" s="218" t="s">
        <v>1417</v>
      </c>
      <c r="G333" s="116">
        <v>1190</v>
      </c>
      <c r="H333" s="1776" t="s">
        <v>1349</v>
      </c>
      <c r="J333" s="224"/>
      <c r="K333" s="34" t="s">
        <v>25</v>
      </c>
      <c r="L333" s="475"/>
      <c r="M333" s="224"/>
      <c r="N333" s="224"/>
      <c r="O333" s="902" t="s">
        <v>6395</v>
      </c>
    </row>
    <row r="334" spans="1:15" x14ac:dyDescent="0.3">
      <c r="A334" s="2402">
        <v>328</v>
      </c>
      <c r="B334" s="1122" t="s">
        <v>1477</v>
      </c>
      <c r="C334" s="216" t="s">
        <v>1344</v>
      </c>
      <c r="D334" s="452" t="s">
        <v>938</v>
      </c>
      <c r="E334" s="217" t="s">
        <v>1499</v>
      </c>
      <c r="F334" s="218" t="s">
        <v>1417</v>
      </c>
      <c r="G334" s="116">
        <v>1190</v>
      </c>
      <c r="H334" s="1776" t="s">
        <v>1349</v>
      </c>
      <c r="J334" s="224"/>
      <c r="K334" s="34" t="s">
        <v>25</v>
      </c>
      <c r="L334" s="475"/>
      <c r="M334" s="224"/>
      <c r="N334" s="224"/>
      <c r="O334" s="902" t="s">
        <v>6395</v>
      </c>
    </row>
    <row r="335" spans="1:15" x14ac:dyDescent="0.3">
      <c r="A335" s="2402">
        <v>329</v>
      </c>
      <c r="B335" s="1122" t="s">
        <v>1477</v>
      </c>
      <c r="C335" s="216" t="s">
        <v>1344</v>
      </c>
      <c r="D335" s="793" t="s">
        <v>938</v>
      </c>
      <c r="E335" s="217" t="s">
        <v>1500</v>
      </c>
      <c r="F335" s="218" t="s">
        <v>1417</v>
      </c>
      <c r="G335" s="116">
        <v>1190</v>
      </c>
      <c r="H335" s="1776" t="s">
        <v>1349</v>
      </c>
      <c r="J335" s="224"/>
      <c r="K335" s="34" t="s">
        <v>25</v>
      </c>
      <c r="L335" s="475"/>
      <c r="M335" s="224"/>
      <c r="N335" s="224"/>
      <c r="O335" s="902" t="s">
        <v>6395</v>
      </c>
    </row>
    <row r="336" spans="1:15" x14ac:dyDescent="0.3">
      <c r="A336" s="2401">
        <v>330</v>
      </c>
      <c r="B336" s="1122" t="s">
        <v>1477</v>
      </c>
      <c r="C336" s="216" t="s">
        <v>1344</v>
      </c>
      <c r="D336" s="416" t="s">
        <v>938</v>
      </c>
      <c r="E336" s="217" t="s">
        <v>1501</v>
      </c>
      <c r="F336" s="218" t="s">
        <v>1417</v>
      </c>
      <c r="G336" s="116">
        <v>1190</v>
      </c>
      <c r="H336" s="1776" t="s">
        <v>1349</v>
      </c>
      <c r="J336" s="224"/>
      <c r="K336" s="34" t="s">
        <v>25</v>
      </c>
      <c r="L336" s="475"/>
      <c r="M336" s="224"/>
      <c r="N336" s="224"/>
      <c r="O336" s="902" t="s">
        <v>6395</v>
      </c>
    </row>
    <row r="337" spans="1:15" x14ac:dyDescent="0.3">
      <c r="A337" s="2402">
        <v>331</v>
      </c>
      <c r="B337" s="1122" t="s">
        <v>1477</v>
      </c>
      <c r="C337" s="216" t="s">
        <v>1344</v>
      </c>
      <c r="D337" s="416" t="s">
        <v>938</v>
      </c>
      <c r="E337" s="217" t="s">
        <v>1502</v>
      </c>
      <c r="F337" s="218" t="s">
        <v>1417</v>
      </c>
      <c r="G337" s="116">
        <v>1190</v>
      </c>
      <c r="H337" s="1776" t="s">
        <v>1349</v>
      </c>
      <c r="J337" s="224"/>
      <c r="K337" s="34" t="s">
        <v>25</v>
      </c>
      <c r="L337" s="475"/>
      <c r="M337" s="224"/>
      <c r="N337" s="224"/>
      <c r="O337" s="902" t="s">
        <v>6395</v>
      </c>
    </row>
    <row r="338" spans="1:15" x14ac:dyDescent="0.3">
      <c r="A338" s="2402">
        <v>332</v>
      </c>
      <c r="B338" s="1122" t="s">
        <v>1477</v>
      </c>
      <c r="C338" s="216" t="s">
        <v>1344</v>
      </c>
      <c r="D338" s="416" t="s">
        <v>938</v>
      </c>
      <c r="E338" s="217" t="s">
        <v>1503</v>
      </c>
      <c r="F338" s="218" t="s">
        <v>1417</v>
      </c>
      <c r="G338" s="116">
        <v>1190</v>
      </c>
      <c r="H338" s="1776" t="s">
        <v>1349</v>
      </c>
      <c r="J338" s="224"/>
      <c r="K338" s="34" t="s">
        <v>25</v>
      </c>
      <c r="L338" s="475"/>
      <c r="M338" s="224"/>
      <c r="N338" s="224"/>
      <c r="O338" s="902" t="s">
        <v>6395</v>
      </c>
    </row>
    <row r="339" spans="1:15" x14ac:dyDescent="0.3">
      <c r="A339" s="2401">
        <v>333</v>
      </c>
      <c r="B339" s="1122" t="s">
        <v>1477</v>
      </c>
      <c r="C339" s="216" t="s">
        <v>1344</v>
      </c>
      <c r="D339" s="416" t="s">
        <v>938</v>
      </c>
      <c r="E339" s="217" t="s">
        <v>1504</v>
      </c>
      <c r="F339" s="218" t="s">
        <v>1417</v>
      </c>
      <c r="G339" s="116">
        <v>1190</v>
      </c>
      <c r="H339" s="1776" t="s">
        <v>1349</v>
      </c>
      <c r="J339" s="224"/>
      <c r="K339" s="34" t="s">
        <v>25</v>
      </c>
      <c r="L339" s="475"/>
      <c r="M339" s="224"/>
      <c r="N339" s="224"/>
      <c r="O339" s="902" t="s">
        <v>6395</v>
      </c>
    </row>
    <row r="340" spans="1:15" x14ac:dyDescent="0.3">
      <c r="A340" s="2402">
        <v>334</v>
      </c>
      <c r="B340" s="1122" t="s">
        <v>1477</v>
      </c>
      <c r="C340" s="216" t="s">
        <v>1344</v>
      </c>
      <c r="D340" s="452" t="s">
        <v>938</v>
      </c>
      <c r="E340" s="217" t="s">
        <v>1505</v>
      </c>
      <c r="F340" s="218" t="s">
        <v>1417</v>
      </c>
      <c r="G340" s="116">
        <v>1190</v>
      </c>
      <c r="H340" s="1776" t="s">
        <v>1349</v>
      </c>
      <c r="J340" s="224"/>
      <c r="K340" s="34" t="s">
        <v>25</v>
      </c>
      <c r="L340" s="475"/>
      <c r="M340" s="224"/>
      <c r="N340" s="224"/>
      <c r="O340" s="902" t="s">
        <v>6395</v>
      </c>
    </row>
    <row r="341" spans="1:15" x14ac:dyDescent="0.3">
      <c r="A341" s="2402">
        <v>335</v>
      </c>
      <c r="B341" s="1122" t="s">
        <v>1477</v>
      </c>
      <c r="C341" s="216" t="s">
        <v>1344</v>
      </c>
      <c r="D341" s="793" t="s">
        <v>938</v>
      </c>
      <c r="E341" s="217" t="s">
        <v>1506</v>
      </c>
      <c r="F341" s="218" t="s">
        <v>1417</v>
      </c>
      <c r="G341" s="116">
        <v>1190</v>
      </c>
      <c r="H341" s="1776" t="s">
        <v>1349</v>
      </c>
      <c r="J341" s="224"/>
      <c r="K341" s="34" t="s">
        <v>25</v>
      </c>
      <c r="L341" s="475"/>
      <c r="M341" s="224"/>
      <c r="N341" s="224"/>
      <c r="O341" s="902" t="s">
        <v>6395</v>
      </c>
    </row>
    <row r="342" spans="1:15" x14ac:dyDescent="0.3">
      <c r="A342" s="2401">
        <v>336</v>
      </c>
      <c r="B342" s="1122" t="s">
        <v>1477</v>
      </c>
      <c r="C342" s="216" t="s">
        <v>1344</v>
      </c>
      <c r="D342" s="416" t="s">
        <v>938</v>
      </c>
      <c r="E342" s="217" t="s">
        <v>1507</v>
      </c>
      <c r="F342" s="218" t="s">
        <v>1417</v>
      </c>
      <c r="G342" s="116">
        <v>1190</v>
      </c>
      <c r="H342" s="1776" t="s">
        <v>1349</v>
      </c>
      <c r="J342" s="224"/>
      <c r="K342" s="34" t="s">
        <v>25</v>
      </c>
      <c r="L342" s="475"/>
      <c r="M342" s="224"/>
      <c r="N342" s="224"/>
      <c r="O342" s="902" t="s">
        <v>6395</v>
      </c>
    </row>
    <row r="343" spans="1:15" x14ac:dyDescent="0.3">
      <c r="A343" s="2402">
        <v>337</v>
      </c>
      <c r="B343" s="1122" t="s">
        <v>1477</v>
      </c>
      <c r="C343" s="216" t="s">
        <v>1344</v>
      </c>
      <c r="D343" s="416" t="s">
        <v>938</v>
      </c>
      <c r="E343" s="217" t="s">
        <v>1508</v>
      </c>
      <c r="F343" s="218" t="s">
        <v>1417</v>
      </c>
      <c r="G343" s="116">
        <v>1190</v>
      </c>
      <c r="H343" s="1776" t="s">
        <v>1349</v>
      </c>
      <c r="J343" s="224"/>
      <c r="K343" s="34" t="s">
        <v>25</v>
      </c>
      <c r="L343" s="475"/>
      <c r="M343" s="224"/>
      <c r="N343" s="224"/>
      <c r="O343" s="902" t="s">
        <v>6395</v>
      </c>
    </row>
    <row r="344" spans="1:15" x14ac:dyDescent="0.3">
      <c r="A344" s="2402">
        <v>338</v>
      </c>
      <c r="B344" s="1122" t="s">
        <v>1477</v>
      </c>
      <c r="C344" s="216" t="s">
        <v>1344</v>
      </c>
      <c r="D344" s="416" t="s">
        <v>938</v>
      </c>
      <c r="E344" s="217" t="s">
        <v>1509</v>
      </c>
      <c r="F344" s="218" t="s">
        <v>1417</v>
      </c>
      <c r="G344" s="116">
        <v>1190</v>
      </c>
      <c r="H344" s="1776" t="s">
        <v>1349</v>
      </c>
      <c r="J344" s="224"/>
      <c r="K344" s="34" t="s">
        <v>25</v>
      </c>
      <c r="L344" s="475"/>
      <c r="M344" s="224"/>
      <c r="N344" s="224"/>
      <c r="O344" s="902" t="s">
        <v>6395</v>
      </c>
    </row>
    <row r="345" spans="1:15" x14ac:dyDescent="0.3">
      <c r="A345" s="2401">
        <v>339</v>
      </c>
      <c r="B345" s="1122" t="s">
        <v>1477</v>
      </c>
      <c r="C345" s="216" t="s">
        <v>1344</v>
      </c>
      <c r="D345" s="416" t="s">
        <v>938</v>
      </c>
      <c r="E345" s="217" t="s">
        <v>1510</v>
      </c>
      <c r="F345" s="218" t="s">
        <v>1417</v>
      </c>
      <c r="G345" s="116">
        <v>1190</v>
      </c>
      <c r="H345" s="1776" t="s">
        <v>1349</v>
      </c>
      <c r="J345" s="224"/>
      <c r="K345" s="34" t="s">
        <v>25</v>
      </c>
      <c r="L345" s="475"/>
      <c r="M345" s="224"/>
      <c r="N345" s="224"/>
      <c r="O345" s="902" t="s">
        <v>6395</v>
      </c>
    </row>
    <row r="346" spans="1:15" x14ac:dyDescent="0.3">
      <c r="A346" s="2402">
        <v>340</v>
      </c>
      <c r="B346" s="1122" t="s">
        <v>1477</v>
      </c>
      <c r="C346" s="216" t="s">
        <v>1344</v>
      </c>
      <c r="D346" s="416" t="s">
        <v>938</v>
      </c>
      <c r="E346" s="217" t="s">
        <v>1511</v>
      </c>
      <c r="F346" s="218" t="s">
        <v>1417</v>
      </c>
      <c r="G346" s="116">
        <v>1190</v>
      </c>
      <c r="H346" s="1776" t="s">
        <v>1349</v>
      </c>
      <c r="J346" s="224"/>
      <c r="K346" s="34" t="s">
        <v>25</v>
      </c>
      <c r="L346" s="475"/>
      <c r="M346" s="224"/>
      <c r="N346" s="224"/>
      <c r="O346" s="902" t="s">
        <v>6395</v>
      </c>
    </row>
    <row r="347" spans="1:15" x14ac:dyDescent="0.3">
      <c r="A347" s="2402">
        <v>341</v>
      </c>
      <c r="B347" s="1122" t="s">
        <v>1477</v>
      </c>
      <c r="C347" s="216" t="s">
        <v>1344</v>
      </c>
      <c r="D347" s="416" t="s">
        <v>938</v>
      </c>
      <c r="E347" s="217" t="s">
        <v>1512</v>
      </c>
      <c r="F347" s="218" t="s">
        <v>1417</v>
      </c>
      <c r="G347" s="116">
        <v>1190</v>
      </c>
      <c r="H347" s="1776" t="s">
        <v>1349</v>
      </c>
      <c r="J347" s="224"/>
      <c r="K347" s="34" t="s">
        <v>25</v>
      </c>
      <c r="L347" s="475"/>
      <c r="M347" s="224"/>
      <c r="N347" s="224"/>
      <c r="O347" s="902" t="s">
        <v>6395</v>
      </c>
    </row>
    <row r="348" spans="1:15" x14ac:dyDescent="0.3">
      <c r="A348" s="2401">
        <v>342</v>
      </c>
      <c r="B348" s="1122" t="s">
        <v>1477</v>
      </c>
      <c r="C348" s="216" t="s">
        <v>1344</v>
      </c>
      <c r="D348" s="416" t="s">
        <v>938</v>
      </c>
      <c r="E348" s="217" t="s">
        <v>1513</v>
      </c>
      <c r="F348" s="218" t="s">
        <v>1417</v>
      </c>
      <c r="G348" s="116">
        <v>1190</v>
      </c>
      <c r="H348" s="1776" t="s">
        <v>1349</v>
      </c>
      <c r="J348" s="224"/>
      <c r="K348" s="34" t="s">
        <v>25</v>
      </c>
      <c r="L348" s="475"/>
      <c r="M348" s="224"/>
      <c r="N348" s="224"/>
      <c r="O348" s="902" t="s">
        <v>6395</v>
      </c>
    </row>
    <row r="349" spans="1:15" x14ac:dyDescent="0.3">
      <c r="A349" s="2402">
        <v>343</v>
      </c>
      <c r="B349" s="1122" t="s">
        <v>1477</v>
      </c>
      <c r="C349" s="216" t="s">
        <v>1344</v>
      </c>
      <c r="D349" s="416" t="s">
        <v>938</v>
      </c>
      <c r="E349" s="217" t="s">
        <v>1514</v>
      </c>
      <c r="F349" s="218" t="s">
        <v>1417</v>
      </c>
      <c r="G349" s="116">
        <v>1190</v>
      </c>
      <c r="H349" s="1776" t="s">
        <v>1349</v>
      </c>
      <c r="J349" s="224"/>
      <c r="K349" s="34" t="s">
        <v>25</v>
      </c>
      <c r="L349" s="475"/>
      <c r="M349" s="224"/>
      <c r="N349" s="224"/>
      <c r="O349" s="902" t="s">
        <v>6395</v>
      </c>
    </row>
    <row r="350" spans="1:15" x14ac:dyDescent="0.3">
      <c r="A350" s="2402">
        <v>344</v>
      </c>
      <c r="B350" s="1122" t="s">
        <v>1477</v>
      </c>
      <c r="C350" s="216" t="s">
        <v>1344</v>
      </c>
      <c r="D350" s="416" t="s">
        <v>938</v>
      </c>
      <c r="E350" s="217" t="s">
        <v>1515</v>
      </c>
      <c r="F350" s="218" t="s">
        <v>1417</v>
      </c>
      <c r="G350" s="116">
        <v>1190</v>
      </c>
      <c r="H350" s="1776" t="s">
        <v>1349</v>
      </c>
      <c r="J350" s="224"/>
      <c r="K350" s="34" t="s">
        <v>25</v>
      </c>
      <c r="L350" s="475"/>
      <c r="M350" s="224"/>
      <c r="N350" s="224"/>
      <c r="O350" s="902" t="s">
        <v>6395</v>
      </c>
    </row>
    <row r="351" spans="1:15" x14ac:dyDescent="0.3">
      <c r="A351" s="2401">
        <v>345</v>
      </c>
      <c r="B351" s="1122" t="s">
        <v>1477</v>
      </c>
      <c r="C351" s="216" t="s">
        <v>1344</v>
      </c>
      <c r="D351" s="416" t="s">
        <v>938</v>
      </c>
      <c r="E351" s="217" t="s">
        <v>1516</v>
      </c>
      <c r="F351" s="218" t="s">
        <v>1417</v>
      </c>
      <c r="G351" s="116">
        <v>1190</v>
      </c>
      <c r="H351" s="1776" t="s">
        <v>1349</v>
      </c>
      <c r="J351" s="224"/>
      <c r="K351" s="34" t="s">
        <v>25</v>
      </c>
      <c r="L351" s="475"/>
      <c r="M351" s="224"/>
      <c r="N351" s="224"/>
      <c r="O351" s="902" t="s">
        <v>6395</v>
      </c>
    </row>
    <row r="352" spans="1:15" x14ac:dyDescent="0.3">
      <c r="A352" s="2402">
        <v>346</v>
      </c>
      <c r="B352" s="1122" t="s">
        <v>1477</v>
      </c>
      <c r="C352" s="216" t="s">
        <v>1344</v>
      </c>
      <c r="D352" s="416" t="s">
        <v>938</v>
      </c>
      <c r="E352" s="217" t="s">
        <v>1517</v>
      </c>
      <c r="F352" s="218" t="s">
        <v>1417</v>
      </c>
      <c r="G352" s="116">
        <v>1190</v>
      </c>
      <c r="H352" s="1776" t="s">
        <v>1349</v>
      </c>
      <c r="J352" s="224"/>
      <c r="K352" s="34" t="s">
        <v>25</v>
      </c>
      <c r="L352" s="475"/>
      <c r="M352" s="224"/>
      <c r="N352" s="224"/>
      <c r="O352" s="902" t="s">
        <v>6395</v>
      </c>
    </row>
    <row r="353" spans="1:15" x14ac:dyDescent="0.3">
      <c r="A353" s="2402">
        <v>347</v>
      </c>
      <c r="B353" s="1122" t="s">
        <v>1477</v>
      </c>
      <c r="C353" s="216" t="s">
        <v>1344</v>
      </c>
      <c r="D353" s="416" t="s">
        <v>938</v>
      </c>
      <c r="E353" s="217" t="s">
        <v>1518</v>
      </c>
      <c r="F353" s="218" t="s">
        <v>1417</v>
      </c>
      <c r="G353" s="116">
        <v>1190</v>
      </c>
      <c r="H353" s="1776" t="s">
        <v>1349</v>
      </c>
      <c r="J353" s="224"/>
      <c r="K353" s="34" t="s">
        <v>25</v>
      </c>
      <c r="L353" s="475"/>
      <c r="M353" s="224"/>
      <c r="N353" s="224"/>
      <c r="O353" s="902" t="s">
        <v>6395</v>
      </c>
    </row>
    <row r="354" spans="1:15" x14ac:dyDescent="0.3">
      <c r="A354" s="2401">
        <v>348</v>
      </c>
      <c r="B354" s="1122" t="s">
        <v>1477</v>
      </c>
      <c r="C354" s="216" t="s">
        <v>1344</v>
      </c>
      <c r="D354" s="416" t="s">
        <v>938</v>
      </c>
      <c r="E354" s="217" t="s">
        <v>1519</v>
      </c>
      <c r="F354" s="218" t="s">
        <v>1417</v>
      </c>
      <c r="G354" s="116">
        <v>1190</v>
      </c>
      <c r="H354" s="1776" t="s">
        <v>1349</v>
      </c>
      <c r="J354" s="224"/>
      <c r="K354" s="34" t="s">
        <v>25</v>
      </c>
      <c r="L354" s="475"/>
      <c r="M354" s="224"/>
      <c r="N354" s="224"/>
      <c r="O354" s="902" t="s">
        <v>6395</v>
      </c>
    </row>
    <row r="355" spans="1:15" x14ac:dyDescent="0.3">
      <c r="A355" s="2402">
        <v>349</v>
      </c>
      <c r="B355" s="1122" t="s">
        <v>1477</v>
      </c>
      <c r="C355" s="1117" t="s">
        <v>1344</v>
      </c>
      <c r="D355" s="416" t="s">
        <v>938</v>
      </c>
      <c r="E355" s="217" t="s">
        <v>1520</v>
      </c>
      <c r="F355" s="218" t="s">
        <v>1417</v>
      </c>
      <c r="G355" s="116">
        <v>1190</v>
      </c>
      <c r="H355" s="1776" t="s">
        <v>1349</v>
      </c>
      <c r="J355" s="224"/>
      <c r="K355" s="34" t="s">
        <v>25</v>
      </c>
      <c r="L355" s="475"/>
      <c r="M355" s="224"/>
      <c r="N355" s="224"/>
      <c r="O355" s="902" t="s">
        <v>6395</v>
      </c>
    </row>
    <row r="356" spans="1:15" x14ac:dyDescent="0.3">
      <c r="A356" s="2402">
        <v>350</v>
      </c>
      <c r="B356" s="1122" t="s">
        <v>1477</v>
      </c>
      <c r="C356" s="1117" t="s">
        <v>1344</v>
      </c>
      <c r="D356" s="416" t="s">
        <v>938</v>
      </c>
      <c r="E356" s="217" t="s">
        <v>1521</v>
      </c>
      <c r="F356" s="218" t="s">
        <v>1417</v>
      </c>
      <c r="G356" s="116">
        <v>1190</v>
      </c>
      <c r="H356" s="1776" t="s">
        <v>1349</v>
      </c>
      <c r="J356" s="224"/>
      <c r="K356" s="34" t="s">
        <v>25</v>
      </c>
      <c r="L356" s="475"/>
      <c r="M356" s="224"/>
      <c r="N356" s="224"/>
      <c r="O356" s="902" t="s">
        <v>6395</v>
      </c>
    </row>
    <row r="357" spans="1:15" x14ac:dyDescent="0.3">
      <c r="A357" s="2401">
        <v>351</v>
      </c>
      <c r="B357" s="1122" t="s">
        <v>1477</v>
      </c>
      <c r="C357" s="1117" t="s">
        <v>1344</v>
      </c>
      <c r="D357" s="416" t="s">
        <v>938</v>
      </c>
      <c r="E357" s="217" t="s">
        <v>1522</v>
      </c>
      <c r="F357" s="218" t="s">
        <v>1417</v>
      </c>
      <c r="G357" s="116">
        <v>1190</v>
      </c>
      <c r="H357" s="1776" t="s">
        <v>1349</v>
      </c>
      <c r="J357" s="224"/>
      <c r="K357" s="34" t="s">
        <v>25</v>
      </c>
      <c r="L357" s="475"/>
      <c r="M357" s="224"/>
      <c r="N357" s="224"/>
      <c r="O357" s="902" t="s">
        <v>6395</v>
      </c>
    </row>
    <row r="358" spans="1:15" x14ac:dyDescent="0.3">
      <c r="A358" s="2402">
        <v>352</v>
      </c>
      <c r="B358" s="1122" t="s">
        <v>1477</v>
      </c>
      <c r="C358" s="1117" t="s">
        <v>1344</v>
      </c>
      <c r="D358" s="416" t="s">
        <v>938</v>
      </c>
      <c r="E358" s="217" t="s">
        <v>1523</v>
      </c>
      <c r="F358" s="218" t="s">
        <v>1417</v>
      </c>
      <c r="G358" s="116">
        <v>1190</v>
      </c>
      <c r="H358" s="1776" t="s">
        <v>1349</v>
      </c>
      <c r="J358" s="224"/>
      <c r="K358" s="34" t="s">
        <v>25</v>
      </c>
      <c r="L358" s="475"/>
      <c r="M358" s="224"/>
      <c r="N358" s="224"/>
      <c r="O358" s="902" t="s">
        <v>6395</v>
      </c>
    </row>
    <row r="359" spans="1:15" x14ac:dyDescent="0.3">
      <c r="A359" s="2402">
        <v>353</v>
      </c>
      <c r="B359" s="1122" t="s">
        <v>1477</v>
      </c>
      <c r="C359" s="1117" t="s">
        <v>1344</v>
      </c>
      <c r="D359" s="416" t="s">
        <v>938</v>
      </c>
      <c r="E359" s="217" t="s">
        <v>1524</v>
      </c>
      <c r="F359" s="218" t="s">
        <v>1417</v>
      </c>
      <c r="G359" s="116">
        <v>1190</v>
      </c>
      <c r="H359" s="1776" t="s">
        <v>1349</v>
      </c>
      <c r="J359" s="224"/>
      <c r="K359" s="34" t="s">
        <v>25</v>
      </c>
      <c r="L359" s="475"/>
      <c r="M359" s="224"/>
      <c r="N359" s="224"/>
      <c r="O359" s="902" t="s">
        <v>6395</v>
      </c>
    </row>
    <row r="360" spans="1:15" x14ac:dyDescent="0.3">
      <c r="A360" s="2401">
        <v>354</v>
      </c>
      <c r="B360" s="1122" t="s">
        <v>1477</v>
      </c>
      <c r="C360" s="1117" t="s">
        <v>1344</v>
      </c>
      <c r="D360" s="416" t="s">
        <v>938</v>
      </c>
      <c r="E360" s="217" t="s">
        <v>1525</v>
      </c>
      <c r="F360" s="218" t="s">
        <v>1417</v>
      </c>
      <c r="G360" s="116">
        <v>1190</v>
      </c>
      <c r="H360" s="1776" t="s">
        <v>1349</v>
      </c>
      <c r="J360" s="224"/>
      <c r="K360" s="34" t="s">
        <v>25</v>
      </c>
      <c r="L360" s="475"/>
      <c r="M360" s="224"/>
      <c r="N360" s="224"/>
      <c r="O360" s="902" t="s">
        <v>6395</v>
      </c>
    </row>
    <row r="361" spans="1:15" x14ac:dyDescent="0.3">
      <c r="A361" s="2402">
        <v>355</v>
      </c>
      <c r="B361" s="1122" t="s">
        <v>1477</v>
      </c>
      <c r="C361" s="1117" t="s">
        <v>1344</v>
      </c>
      <c r="D361" s="416" t="s">
        <v>938</v>
      </c>
      <c r="E361" s="217" t="s">
        <v>1526</v>
      </c>
      <c r="F361" s="218" t="s">
        <v>1417</v>
      </c>
      <c r="G361" s="116">
        <v>1190</v>
      </c>
      <c r="H361" s="1776" t="s">
        <v>1349</v>
      </c>
      <c r="J361" s="224"/>
      <c r="K361" s="34" t="s">
        <v>25</v>
      </c>
      <c r="L361" s="475"/>
      <c r="M361" s="224"/>
      <c r="N361" s="224"/>
      <c r="O361" s="902" t="s">
        <v>6395</v>
      </c>
    </row>
    <row r="362" spans="1:15" x14ac:dyDescent="0.3">
      <c r="A362" s="2402">
        <v>356</v>
      </c>
      <c r="B362" s="1122" t="s">
        <v>1477</v>
      </c>
      <c r="C362" s="1117" t="s">
        <v>1344</v>
      </c>
      <c r="D362" s="416" t="s">
        <v>938</v>
      </c>
      <c r="E362" s="217" t="s">
        <v>1527</v>
      </c>
      <c r="F362" s="218" t="s">
        <v>1417</v>
      </c>
      <c r="G362" s="116">
        <v>1190</v>
      </c>
      <c r="H362" s="1776" t="s">
        <v>1349</v>
      </c>
      <c r="J362" s="224"/>
      <c r="K362" s="34" t="s">
        <v>25</v>
      </c>
      <c r="L362" s="475"/>
      <c r="M362" s="224"/>
      <c r="N362" s="224"/>
      <c r="O362" s="902" t="s">
        <v>6395</v>
      </c>
    </row>
    <row r="363" spans="1:15" x14ac:dyDescent="0.3">
      <c r="A363" s="2401">
        <v>357</v>
      </c>
      <c r="B363" s="1122" t="s">
        <v>1477</v>
      </c>
      <c r="C363" s="1117" t="s">
        <v>1344</v>
      </c>
      <c r="D363" s="416" t="s">
        <v>938</v>
      </c>
      <c r="E363" s="217" t="s">
        <v>1528</v>
      </c>
      <c r="F363" s="218" t="s">
        <v>1417</v>
      </c>
      <c r="G363" s="116">
        <v>1190</v>
      </c>
      <c r="H363" s="1776" t="s">
        <v>1349</v>
      </c>
      <c r="J363" s="224"/>
      <c r="K363" s="34" t="s">
        <v>25</v>
      </c>
      <c r="L363" s="475"/>
      <c r="M363" s="224"/>
      <c r="N363" s="224"/>
      <c r="O363" s="902" t="s">
        <v>6395</v>
      </c>
    </row>
    <row r="364" spans="1:15" x14ac:dyDescent="0.3">
      <c r="A364" s="2402">
        <v>358</v>
      </c>
      <c r="B364" s="1122" t="s">
        <v>1477</v>
      </c>
      <c r="C364" s="1117" t="s">
        <v>1344</v>
      </c>
      <c r="D364" s="416" t="s">
        <v>938</v>
      </c>
      <c r="E364" s="217" t="s">
        <v>1529</v>
      </c>
      <c r="F364" s="218" t="s">
        <v>1417</v>
      </c>
      <c r="G364" s="116">
        <v>1190</v>
      </c>
      <c r="H364" s="1776" t="s">
        <v>1349</v>
      </c>
      <c r="J364" s="224"/>
      <c r="K364" s="34" t="s">
        <v>25</v>
      </c>
      <c r="L364" s="475"/>
      <c r="M364" s="224"/>
      <c r="N364" s="224"/>
      <c r="O364" s="902" t="s">
        <v>6395</v>
      </c>
    </row>
    <row r="365" spans="1:15" x14ac:dyDescent="0.3">
      <c r="A365" s="2402">
        <v>359</v>
      </c>
      <c r="B365" s="1122" t="s">
        <v>1477</v>
      </c>
      <c r="C365" s="1117" t="s">
        <v>1344</v>
      </c>
      <c r="D365" s="416" t="s">
        <v>938</v>
      </c>
      <c r="E365" s="217" t="s">
        <v>1530</v>
      </c>
      <c r="F365" s="218" t="s">
        <v>1417</v>
      </c>
      <c r="G365" s="116">
        <v>1190</v>
      </c>
      <c r="H365" s="1776" t="s">
        <v>1349</v>
      </c>
      <c r="J365" s="224"/>
      <c r="K365" s="34" t="s">
        <v>25</v>
      </c>
      <c r="L365" s="475"/>
      <c r="M365" s="224"/>
      <c r="N365" s="224"/>
      <c r="O365" s="902" t="s">
        <v>6395</v>
      </c>
    </row>
    <row r="366" spans="1:15" x14ac:dyDescent="0.3">
      <c r="A366" s="2401">
        <v>360</v>
      </c>
      <c r="B366" s="1122" t="s">
        <v>1477</v>
      </c>
      <c r="C366" s="1117" t="s">
        <v>1344</v>
      </c>
      <c r="D366" s="416" t="s">
        <v>938</v>
      </c>
      <c r="E366" s="217" t="s">
        <v>1531</v>
      </c>
      <c r="F366" s="218" t="s">
        <v>1417</v>
      </c>
      <c r="G366" s="116">
        <v>1190</v>
      </c>
      <c r="H366" s="1776" t="s">
        <v>1349</v>
      </c>
      <c r="J366" s="224"/>
      <c r="K366" s="34" t="s">
        <v>25</v>
      </c>
      <c r="L366" s="475"/>
      <c r="M366" s="224"/>
      <c r="N366" s="224"/>
      <c r="O366" s="902" t="s">
        <v>6395</v>
      </c>
    </row>
    <row r="367" spans="1:15" x14ac:dyDescent="0.3">
      <c r="A367" s="2402">
        <v>361</v>
      </c>
      <c r="B367" s="1122" t="s">
        <v>1477</v>
      </c>
      <c r="C367" s="1117" t="s">
        <v>1344</v>
      </c>
      <c r="D367" s="416" t="s">
        <v>938</v>
      </c>
      <c r="E367" s="217" t="s">
        <v>1532</v>
      </c>
      <c r="F367" s="218" t="s">
        <v>1417</v>
      </c>
      <c r="G367" s="116">
        <v>1190</v>
      </c>
      <c r="H367" s="1776" t="s">
        <v>1349</v>
      </c>
      <c r="J367" s="224"/>
      <c r="K367" s="34" t="s">
        <v>25</v>
      </c>
      <c r="L367" s="475"/>
      <c r="M367" s="224"/>
      <c r="N367" s="224"/>
      <c r="O367" s="902" t="s">
        <v>6395</v>
      </c>
    </row>
    <row r="368" spans="1:15" x14ac:dyDescent="0.3">
      <c r="A368" s="2402">
        <v>362</v>
      </c>
      <c r="B368" s="1122" t="s">
        <v>1477</v>
      </c>
      <c r="C368" s="1117" t="s">
        <v>1344</v>
      </c>
      <c r="D368" s="416" t="s">
        <v>938</v>
      </c>
      <c r="E368" s="217" t="s">
        <v>1533</v>
      </c>
      <c r="F368" s="218" t="s">
        <v>1417</v>
      </c>
      <c r="G368" s="116">
        <v>1190</v>
      </c>
      <c r="H368" s="1776" t="s">
        <v>1349</v>
      </c>
      <c r="J368" s="224"/>
      <c r="K368" s="34" t="s">
        <v>25</v>
      </c>
      <c r="L368" s="475"/>
      <c r="M368" s="224"/>
      <c r="N368" s="224"/>
      <c r="O368" s="902" t="s">
        <v>6395</v>
      </c>
    </row>
    <row r="369" spans="1:15" x14ac:dyDescent="0.3">
      <c r="A369" s="2401">
        <v>363</v>
      </c>
      <c r="B369" s="1122" t="s">
        <v>1477</v>
      </c>
      <c r="C369" s="1117" t="s">
        <v>1344</v>
      </c>
      <c r="D369" s="416" t="s">
        <v>938</v>
      </c>
      <c r="E369" s="217" t="s">
        <v>1535</v>
      </c>
      <c r="F369" s="218" t="s">
        <v>1417</v>
      </c>
      <c r="G369" s="116">
        <v>1190</v>
      </c>
      <c r="H369" s="1776" t="s">
        <v>1349</v>
      </c>
      <c r="J369" s="224"/>
      <c r="K369" s="34" t="s">
        <v>25</v>
      </c>
      <c r="L369" s="475"/>
      <c r="M369" s="224"/>
      <c r="N369" s="224"/>
      <c r="O369" s="902" t="s">
        <v>6395</v>
      </c>
    </row>
    <row r="370" spans="1:15" x14ac:dyDescent="0.3">
      <c r="A370" s="2402">
        <v>364</v>
      </c>
      <c r="B370" s="1122" t="s">
        <v>1477</v>
      </c>
      <c r="C370" s="1117" t="s">
        <v>1344</v>
      </c>
      <c r="D370" s="416" t="s">
        <v>938</v>
      </c>
      <c r="E370" s="217" t="s">
        <v>1536</v>
      </c>
      <c r="F370" s="218" t="s">
        <v>1417</v>
      </c>
      <c r="G370" s="116">
        <v>1190</v>
      </c>
      <c r="H370" s="1776" t="s">
        <v>1349</v>
      </c>
      <c r="J370" s="224"/>
      <c r="K370" s="34" t="s">
        <v>25</v>
      </c>
      <c r="L370" s="475"/>
      <c r="M370" s="224"/>
      <c r="N370" s="224"/>
      <c r="O370" s="902" t="s">
        <v>6395</v>
      </c>
    </row>
    <row r="371" spans="1:15" x14ac:dyDescent="0.3">
      <c r="A371" s="2402">
        <v>365</v>
      </c>
      <c r="B371" s="1122" t="s">
        <v>1477</v>
      </c>
      <c r="C371" s="1117" t="s">
        <v>1344</v>
      </c>
      <c r="D371" s="416" t="s">
        <v>938</v>
      </c>
      <c r="E371" s="217" t="s">
        <v>1537</v>
      </c>
      <c r="F371" s="218" t="s">
        <v>1417</v>
      </c>
      <c r="G371" s="116">
        <v>1190</v>
      </c>
      <c r="H371" s="1776" t="s">
        <v>1349</v>
      </c>
      <c r="J371" s="224"/>
      <c r="K371" s="34" t="s">
        <v>25</v>
      </c>
      <c r="L371" s="475"/>
      <c r="M371" s="224"/>
      <c r="N371" s="224"/>
      <c r="O371" s="902" t="s">
        <v>6395</v>
      </c>
    </row>
    <row r="372" spans="1:15" x14ac:dyDescent="0.3">
      <c r="A372" s="2401">
        <v>366</v>
      </c>
      <c r="B372" s="1122" t="s">
        <v>1477</v>
      </c>
      <c r="C372" s="1117" t="s">
        <v>1344</v>
      </c>
      <c r="D372" s="416" t="s">
        <v>938</v>
      </c>
      <c r="E372" s="217" t="s">
        <v>1538</v>
      </c>
      <c r="F372" s="218" t="s">
        <v>1417</v>
      </c>
      <c r="G372" s="116">
        <v>1190</v>
      </c>
      <c r="H372" s="1776" t="s">
        <v>1349</v>
      </c>
      <c r="J372" s="224"/>
      <c r="K372" s="34" t="s">
        <v>25</v>
      </c>
      <c r="L372" s="475"/>
      <c r="M372" s="224"/>
      <c r="N372" s="224"/>
      <c r="O372" s="902" t="s">
        <v>6395</v>
      </c>
    </row>
    <row r="373" spans="1:15" x14ac:dyDescent="0.3">
      <c r="A373" s="2402">
        <v>367</v>
      </c>
      <c r="B373" s="1122" t="s">
        <v>1477</v>
      </c>
      <c r="C373" s="1117" t="s">
        <v>1344</v>
      </c>
      <c r="D373" s="416" t="s">
        <v>938</v>
      </c>
      <c r="E373" s="217" t="s">
        <v>1539</v>
      </c>
      <c r="F373" s="218" t="s">
        <v>1417</v>
      </c>
      <c r="G373" s="116">
        <v>1190</v>
      </c>
      <c r="H373" s="1776" t="s">
        <v>1349</v>
      </c>
      <c r="J373" s="224"/>
      <c r="K373" s="34" t="s">
        <v>25</v>
      </c>
      <c r="L373" s="475"/>
      <c r="M373" s="224"/>
      <c r="N373" s="224"/>
      <c r="O373" s="902" t="s">
        <v>6395</v>
      </c>
    </row>
    <row r="374" spans="1:15" x14ac:dyDescent="0.3">
      <c r="A374" s="2402">
        <v>368</v>
      </c>
      <c r="B374" s="1122" t="s">
        <v>1477</v>
      </c>
      <c r="C374" s="1117" t="s">
        <v>1344</v>
      </c>
      <c r="D374" s="416" t="s">
        <v>938</v>
      </c>
      <c r="E374" s="217" t="s">
        <v>1540</v>
      </c>
      <c r="F374" s="218" t="s">
        <v>1417</v>
      </c>
      <c r="G374" s="116">
        <v>1190</v>
      </c>
      <c r="H374" s="1776" t="s">
        <v>1349</v>
      </c>
      <c r="J374" s="224"/>
      <c r="K374" s="34" t="s">
        <v>25</v>
      </c>
      <c r="L374" s="475"/>
      <c r="M374" s="224"/>
      <c r="N374" s="224"/>
      <c r="O374" s="902" t="s">
        <v>6395</v>
      </c>
    </row>
    <row r="375" spans="1:15" x14ac:dyDescent="0.3">
      <c r="A375" s="2401">
        <v>369</v>
      </c>
      <c r="B375" s="1122" t="s">
        <v>1477</v>
      </c>
      <c r="C375" s="1117" t="s">
        <v>1344</v>
      </c>
      <c r="D375" s="452" t="s">
        <v>938</v>
      </c>
      <c r="E375" s="217" t="s">
        <v>1541</v>
      </c>
      <c r="F375" s="218" t="s">
        <v>1417</v>
      </c>
      <c r="G375" s="116">
        <v>1190</v>
      </c>
      <c r="H375" s="1776" t="s">
        <v>1349</v>
      </c>
      <c r="J375" s="224"/>
      <c r="K375" s="34" t="s">
        <v>25</v>
      </c>
      <c r="L375" s="475"/>
      <c r="M375" s="224"/>
      <c r="N375" s="224"/>
      <c r="O375" s="902" t="s">
        <v>6395</v>
      </c>
    </row>
    <row r="376" spans="1:15" x14ac:dyDescent="0.3">
      <c r="A376" s="2402">
        <v>370</v>
      </c>
      <c r="B376" s="1122" t="s">
        <v>1477</v>
      </c>
      <c r="C376" s="216" t="s">
        <v>1344</v>
      </c>
      <c r="D376" s="793" t="s">
        <v>938</v>
      </c>
      <c r="E376" s="217" t="s">
        <v>1542</v>
      </c>
      <c r="F376" s="218" t="s">
        <v>1417</v>
      </c>
      <c r="G376" s="116">
        <v>1190</v>
      </c>
      <c r="H376" s="1776" t="s">
        <v>1349</v>
      </c>
      <c r="J376" s="224"/>
      <c r="K376" s="34" t="s">
        <v>25</v>
      </c>
      <c r="L376" s="475"/>
      <c r="M376" s="224"/>
      <c r="N376" s="224"/>
      <c r="O376" s="902" t="s">
        <v>6395</v>
      </c>
    </row>
    <row r="377" spans="1:15" x14ac:dyDescent="0.3">
      <c r="A377" s="2402">
        <v>371</v>
      </c>
      <c r="B377" s="1122" t="s">
        <v>1477</v>
      </c>
      <c r="C377" s="216" t="s">
        <v>1344</v>
      </c>
      <c r="D377" s="416" t="s">
        <v>938</v>
      </c>
      <c r="E377" s="217" t="s">
        <v>1543</v>
      </c>
      <c r="F377" s="218" t="s">
        <v>1417</v>
      </c>
      <c r="G377" s="116">
        <v>1190</v>
      </c>
      <c r="H377" s="1776" t="s">
        <v>1349</v>
      </c>
      <c r="J377" s="224"/>
      <c r="K377" s="34" t="s">
        <v>25</v>
      </c>
      <c r="L377" s="475"/>
      <c r="M377" s="224"/>
      <c r="N377" s="224"/>
      <c r="O377" s="902" t="s">
        <v>6395</v>
      </c>
    </row>
    <row r="378" spans="1:15" x14ac:dyDescent="0.3">
      <c r="A378" s="2401">
        <v>372</v>
      </c>
      <c r="B378" s="1122" t="s">
        <v>1477</v>
      </c>
      <c r="C378" s="216" t="s">
        <v>1344</v>
      </c>
      <c r="D378" s="416" t="s">
        <v>938</v>
      </c>
      <c r="E378" s="217" t="s">
        <v>1544</v>
      </c>
      <c r="F378" s="218" t="s">
        <v>1417</v>
      </c>
      <c r="G378" s="116">
        <v>1190</v>
      </c>
      <c r="H378" s="1776" t="s">
        <v>1349</v>
      </c>
      <c r="J378" s="224"/>
      <c r="K378" s="34" t="s">
        <v>25</v>
      </c>
      <c r="L378" s="475"/>
      <c r="M378" s="224"/>
      <c r="N378" s="224"/>
      <c r="O378" s="902" t="s">
        <v>6395</v>
      </c>
    </row>
    <row r="379" spans="1:15" x14ac:dyDescent="0.3">
      <c r="A379" s="2402">
        <v>373</v>
      </c>
      <c r="B379" s="1122" t="s">
        <v>1477</v>
      </c>
      <c r="C379" s="216" t="s">
        <v>1344</v>
      </c>
      <c r="D379" s="416" t="s">
        <v>938</v>
      </c>
      <c r="E379" s="217" t="s">
        <v>1545</v>
      </c>
      <c r="F379" s="218" t="s">
        <v>1417</v>
      </c>
      <c r="G379" s="116">
        <v>1190</v>
      </c>
      <c r="H379" s="1776" t="s">
        <v>1349</v>
      </c>
      <c r="J379" s="224"/>
      <c r="K379" s="34" t="s">
        <v>25</v>
      </c>
      <c r="L379" s="475"/>
      <c r="M379" s="224"/>
      <c r="N379" s="224"/>
      <c r="O379" s="902" t="s">
        <v>6395</v>
      </c>
    </row>
    <row r="380" spans="1:15" x14ac:dyDescent="0.3">
      <c r="A380" s="2402">
        <v>374</v>
      </c>
      <c r="B380" s="1122" t="s">
        <v>1477</v>
      </c>
      <c r="C380" s="216" t="s">
        <v>1344</v>
      </c>
      <c r="D380" s="416" t="s">
        <v>938</v>
      </c>
      <c r="E380" s="217" t="s">
        <v>1546</v>
      </c>
      <c r="F380" s="218" t="s">
        <v>1417</v>
      </c>
      <c r="G380" s="116">
        <v>1190</v>
      </c>
      <c r="H380" s="1776" t="s">
        <v>1349</v>
      </c>
      <c r="J380" s="224"/>
      <c r="K380" s="34" t="s">
        <v>25</v>
      </c>
      <c r="L380" s="475"/>
      <c r="M380" s="224"/>
      <c r="N380" s="224"/>
      <c r="O380" s="902" t="s">
        <v>6395</v>
      </c>
    </row>
    <row r="381" spans="1:15" x14ac:dyDescent="0.3">
      <c r="A381" s="2401">
        <v>375</v>
      </c>
      <c r="B381" s="1122" t="s">
        <v>1477</v>
      </c>
      <c r="C381" s="216" t="s">
        <v>1344</v>
      </c>
      <c r="D381" s="416" t="s">
        <v>938</v>
      </c>
      <c r="E381" s="217" t="s">
        <v>331</v>
      </c>
      <c r="F381" s="218" t="s">
        <v>1417</v>
      </c>
      <c r="G381" s="116">
        <v>1190</v>
      </c>
      <c r="H381" s="1776" t="s">
        <v>1349</v>
      </c>
      <c r="J381" s="224"/>
      <c r="K381" s="34" t="s">
        <v>25</v>
      </c>
      <c r="L381" s="475"/>
      <c r="M381" s="224"/>
      <c r="N381" s="224"/>
      <c r="O381" s="902" t="s">
        <v>6395</v>
      </c>
    </row>
    <row r="382" spans="1:15" x14ac:dyDescent="0.3">
      <c r="A382" s="2402">
        <v>376</v>
      </c>
      <c r="B382" s="1122" t="s">
        <v>1477</v>
      </c>
      <c r="C382" s="216" t="s">
        <v>1344</v>
      </c>
      <c r="D382" s="416" t="s">
        <v>938</v>
      </c>
      <c r="E382" s="217" t="s">
        <v>1547</v>
      </c>
      <c r="F382" s="218" t="s">
        <v>1417</v>
      </c>
      <c r="G382" s="116">
        <v>1190</v>
      </c>
      <c r="H382" s="1776" t="s">
        <v>1349</v>
      </c>
      <c r="J382" s="224"/>
      <c r="K382" s="34" t="s">
        <v>25</v>
      </c>
      <c r="L382" s="475"/>
      <c r="M382" s="224"/>
      <c r="N382" s="224"/>
      <c r="O382" s="902" t="s">
        <v>6395</v>
      </c>
    </row>
    <row r="383" spans="1:15" x14ac:dyDescent="0.3">
      <c r="A383" s="2402">
        <v>377</v>
      </c>
      <c r="B383" s="1122" t="s">
        <v>1477</v>
      </c>
      <c r="C383" s="216" t="s">
        <v>1344</v>
      </c>
      <c r="D383" s="416" t="s">
        <v>938</v>
      </c>
      <c r="E383" s="217" t="s">
        <v>1548</v>
      </c>
      <c r="F383" s="218" t="s">
        <v>1417</v>
      </c>
      <c r="G383" s="116">
        <v>1190</v>
      </c>
      <c r="H383" s="1776" t="s">
        <v>1349</v>
      </c>
      <c r="J383" s="224"/>
      <c r="K383" s="34" t="s">
        <v>25</v>
      </c>
      <c r="L383" s="475"/>
      <c r="M383" s="224"/>
      <c r="N383" s="224"/>
      <c r="O383" s="902" t="s">
        <v>6395</v>
      </c>
    </row>
    <row r="384" spans="1:15" x14ac:dyDescent="0.3">
      <c r="A384" s="2401">
        <v>378</v>
      </c>
      <c r="B384" s="1122" t="s">
        <v>1477</v>
      </c>
      <c r="C384" s="216" t="s">
        <v>1344</v>
      </c>
      <c r="D384" s="416" t="s">
        <v>938</v>
      </c>
      <c r="E384" s="217" t="s">
        <v>1549</v>
      </c>
      <c r="F384" s="218" t="s">
        <v>1417</v>
      </c>
      <c r="G384" s="116">
        <v>1190</v>
      </c>
      <c r="H384" s="1776" t="s">
        <v>1349</v>
      </c>
      <c r="J384" s="224"/>
      <c r="K384" s="34" t="s">
        <v>25</v>
      </c>
      <c r="L384" s="475"/>
      <c r="M384" s="224"/>
      <c r="N384" s="224"/>
      <c r="O384" s="902" t="s">
        <v>6395</v>
      </c>
    </row>
    <row r="385" spans="1:15" x14ac:dyDescent="0.3">
      <c r="A385" s="2402">
        <v>379</v>
      </c>
      <c r="B385" s="1122" t="s">
        <v>1477</v>
      </c>
      <c r="C385" s="216" t="s">
        <v>1344</v>
      </c>
      <c r="D385" s="416" t="s">
        <v>938</v>
      </c>
      <c r="E385" s="217" t="s">
        <v>1550</v>
      </c>
      <c r="F385" s="218" t="s">
        <v>1417</v>
      </c>
      <c r="G385" s="116">
        <v>1190</v>
      </c>
      <c r="H385" s="1776" t="s">
        <v>1349</v>
      </c>
      <c r="J385" s="224"/>
      <c r="K385" s="34" t="s">
        <v>25</v>
      </c>
      <c r="L385" s="475"/>
      <c r="M385" s="224"/>
      <c r="N385" s="224"/>
      <c r="O385" s="902" t="s">
        <v>6395</v>
      </c>
    </row>
    <row r="386" spans="1:15" x14ac:dyDescent="0.3">
      <c r="A386" s="2402">
        <v>380</v>
      </c>
      <c r="B386" s="1122" t="s">
        <v>1477</v>
      </c>
      <c r="C386" s="216" t="s">
        <v>1344</v>
      </c>
      <c r="D386" s="416" t="s">
        <v>938</v>
      </c>
      <c r="E386" s="217" t="s">
        <v>1551</v>
      </c>
      <c r="F386" s="218" t="s">
        <v>1417</v>
      </c>
      <c r="G386" s="116">
        <v>1190</v>
      </c>
      <c r="H386" s="1776" t="s">
        <v>1349</v>
      </c>
      <c r="J386" s="224"/>
      <c r="K386" s="34" t="s">
        <v>25</v>
      </c>
      <c r="L386" s="475"/>
      <c r="M386" s="224"/>
      <c r="N386" s="224"/>
      <c r="O386" s="902" t="s">
        <v>6395</v>
      </c>
    </row>
    <row r="387" spans="1:15" x14ac:dyDescent="0.3">
      <c r="A387" s="2401">
        <v>381</v>
      </c>
      <c r="B387" s="1122" t="s">
        <v>1477</v>
      </c>
      <c r="C387" s="216" t="s">
        <v>1344</v>
      </c>
      <c r="D387" s="416" t="s">
        <v>938</v>
      </c>
      <c r="E387" s="217" t="s">
        <v>1552</v>
      </c>
      <c r="F387" s="218" t="s">
        <v>1417</v>
      </c>
      <c r="G387" s="116">
        <v>1190</v>
      </c>
      <c r="H387" s="1776" t="s">
        <v>1349</v>
      </c>
      <c r="J387" s="224"/>
      <c r="K387" s="34" t="s">
        <v>25</v>
      </c>
      <c r="L387" s="475"/>
      <c r="M387" s="224"/>
      <c r="N387" s="224"/>
      <c r="O387" s="902" t="s">
        <v>6395</v>
      </c>
    </row>
    <row r="388" spans="1:15" x14ac:dyDescent="0.3">
      <c r="A388" s="2402">
        <v>382</v>
      </c>
      <c r="B388" s="1122" t="s">
        <v>1477</v>
      </c>
      <c r="C388" s="216" t="s">
        <v>1344</v>
      </c>
      <c r="D388" s="416" t="s">
        <v>938</v>
      </c>
      <c r="E388" s="217" t="s">
        <v>1553</v>
      </c>
      <c r="F388" s="218" t="s">
        <v>1417</v>
      </c>
      <c r="G388" s="116">
        <v>1190</v>
      </c>
      <c r="H388" s="1776" t="s">
        <v>1349</v>
      </c>
      <c r="J388" s="224"/>
      <c r="K388" s="34" t="s">
        <v>25</v>
      </c>
      <c r="L388" s="475"/>
      <c r="M388" s="224"/>
      <c r="N388" s="224"/>
      <c r="O388" s="902" t="s">
        <v>6395</v>
      </c>
    </row>
    <row r="389" spans="1:15" x14ac:dyDescent="0.3">
      <c r="A389" s="2402">
        <v>383</v>
      </c>
      <c r="B389" s="1122" t="s">
        <v>1477</v>
      </c>
      <c r="C389" s="216" t="s">
        <v>1344</v>
      </c>
      <c r="D389" s="416" t="s">
        <v>938</v>
      </c>
      <c r="E389" s="217" t="s">
        <v>1554</v>
      </c>
      <c r="F389" s="218" t="s">
        <v>1417</v>
      </c>
      <c r="G389" s="116">
        <v>1190</v>
      </c>
      <c r="H389" s="1776" t="s">
        <v>1349</v>
      </c>
      <c r="J389" s="224"/>
      <c r="K389" s="34" t="s">
        <v>25</v>
      </c>
      <c r="L389" s="475"/>
      <c r="M389" s="224"/>
      <c r="N389" s="224"/>
      <c r="O389" s="902" t="s">
        <v>6395</v>
      </c>
    </row>
    <row r="390" spans="1:15" x14ac:dyDescent="0.3">
      <c r="A390" s="2401">
        <v>384</v>
      </c>
      <c r="B390" s="1122" t="s">
        <v>1477</v>
      </c>
      <c r="C390" s="216" t="s">
        <v>1344</v>
      </c>
      <c r="D390" s="416" t="s">
        <v>938</v>
      </c>
      <c r="E390" s="217" t="s">
        <v>1555</v>
      </c>
      <c r="F390" s="218" t="s">
        <v>1417</v>
      </c>
      <c r="G390" s="116">
        <v>1190</v>
      </c>
      <c r="H390" s="1776" t="s">
        <v>1349</v>
      </c>
      <c r="J390" s="224"/>
      <c r="K390" s="34" t="s">
        <v>25</v>
      </c>
      <c r="L390" s="475"/>
      <c r="M390" s="224"/>
      <c r="N390" s="224"/>
      <c r="O390" s="902" t="s">
        <v>6395</v>
      </c>
    </row>
    <row r="391" spans="1:15" x14ac:dyDescent="0.3">
      <c r="A391" s="2402">
        <v>385</v>
      </c>
      <c r="B391" s="1122" t="s">
        <v>1477</v>
      </c>
      <c r="C391" s="216" t="s">
        <v>1344</v>
      </c>
      <c r="D391" s="416" t="s">
        <v>938</v>
      </c>
      <c r="E391" s="217" t="s">
        <v>1556</v>
      </c>
      <c r="F391" s="218" t="s">
        <v>1417</v>
      </c>
      <c r="G391" s="116">
        <v>1190</v>
      </c>
      <c r="H391" s="1776" t="s">
        <v>1349</v>
      </c>
      <c r="J391" s="224"/>
      <c r="K391" s="34" t="s">
        <v>25</v>
      </c>
      <c r="L391" s="475"/>
      <c r="M391" s="224"/>
      <c r="N391" s="224"/>
      <c r="O391" s="902" t="s">
        <v>6395</v>
      </c>
    </row>
    <row r="392" spans="1:15" x14ac:dyDescent="0.3">
      <c r="A392" s="2402">
        <v>386</v>
      </c>
      <c r="B392" s="1122" t="s">
        <v>1477</v>
      </c>
      <c r="C392" s="216" t="s">
        <v>1344</v>
      </c>
      <c r="D392" s="416" t="s">
        <v>938</v>
      </c>
      <c r="E392" s="217" t="s">
        <v>1557</v>
      </c>
      <c r="F392" s="218" t="s">
        <v>1417</v>
      </c>
      <c r="G392" s="116">
        <v>1190</v>
      </c>
      <c r="H392" s="1776" t="s">
        <v>1349</v>
      </c>
      <c r="J392" s="224"/>
      <c r="K392" s="34" t="s">
        <v>25</v>
      </c>
      <c r="L392" s="475"/>
      <c r="M392" s="224"/>
      <c r="N392" s="224"/>
      <c r="O392" s="902" t="s">
        <v>6395</v>
      </c>
    </row>
    <row r="393" spans="1:15" x14ac:dyDescent="0.3">
      <c r="A393" s="2401">
        <v>387</v>
      </c>
      <c r="B393" s="1122" t="s">
        <v>1477</v>
      </c>
      <c r="C393" s="216" t="s">
        <v>1344</v>
      </c>
      <c r="D393" s="452" t="s">
        <v>938</v>
      </c>
      <c r="E393" s="217" t="s">
        <v>1558</v>
      </c>
      <c r="F393" s="218" t="s">
        <v>1417</v>
      </c>
      <c r="G393" s="116">
        <v>1190</v>
      </c>
      <c r="H393" s="1776" t="s">
        <v>1349</v>
      </c>
      <c r="J393" s="224"/>
      <c r="K393" s="34" t="s">
        <v>25</v>
      </c>
      <c r="L393" s="475"/>
      <c r="M393" s="224"/>
      <c r="N393" s="224"/>
      <c r="O393" s="902" t="s">
        <v>6395</v>
      </c>
    </row>
    <row r="394" spans="1:15" x14ac:dyDescent="0.3">
      <c r="A394" s="2402">
        <v>388</v>
      </c>
      <c r="B394" s="1122" t="s">
        <v>1477</v>
      </c>
      <c r="C394" s="216" t="s">
        <v>1344</v>
      </c>
      <c r="D394" s="793" t="s">
        <v>938</v>
      </c>
      <c r="E394" s="217" t="s">
        <v>1559</v>
      </c>
      <c r="F394" s="218" t="s">
        <v>1417</v>
      </c>
      <c r="G394" s="116">
        <v>1190</v>
      </c>
      <c r="H394" s="1776" t="s">
        <v>1349</v>
      </c>
      <c r="J394" s="224"/>
      <c r="K394" s="34" t="s">
        <v>25</v>
      </c>
      <c r="L394" s="475"/>
      <c r="M394" s="224"/>
      <c r="N394" s="224"/>
      <c r="O394" s="902" t="s">
        <v>6395</v>
      </c>
    </row>
    <row r="395" spans="1:15" x14ac:dyDescent="0.3">
      <c r="A395" s="2402">
        <v>389</v>
      </c>
      <c r="B395" s="1122" t="s">
        <v>1477</v>
      </c>
      <c r="C395" s="216" t="s">
        <v>1344</v>
      </c>
      <c r="D395" s="416" t="s">
        <v>938</v>
      </c>
      <c r="E395" s="217" t="s">
        <v>1560</v>
      </c>
      <c r="F395" s="218" t="s">
        <v>1417</v>
      </c>
      <c r="G395" s="116">
        <v>1190</v>
      </c>
      <c r="H395" s="1776" t="s">
        <v>1349</v>
      </c>
      <c r="J395" s="224"/>
      <c r="K395" s="34" t="s">
        <v>25</v>
      </c>
      <c r="L395" s="475"/>
      <c r="M395" s="224"/>
      <c r="N395" s="224"/>
      <c r="O395" s="902" t="s">
        <v>6395</v>
      </c>
    </row>
    <row r="396" spans="1:15" x14ac:dyDescent="0.3">
      <c r="A396" s="2401">
        <v>390</v>
      </c>
      <c r="B396" s="1122" t="s">
        <v>1477</v>
      </c>
      <c r="C396" s="216" t="s">
        <v>1344</v>
      </c>
      <c r="D396" s="416" t="s">
        <v>938</v>
      </c>
      <c r="E396" s="217" t="s">
        <v>1561</v>
      </c>
      <c r="F396" s="218" t="s">
        <v>1417</v>
      </c>
      <c r="G396" s="116">
        <v>1190</v>
      </c>
      <c r="H396" s="1776" t="s">
        <v>1349</v>
      </c>
      <c r="J396" s="224"/>
      <c r="K396" s="34" t="s">
        <v>25</v>
      </c>
      <c r="L396" s="475"/>
      <c r="M396" s="224"/>
      <c r="N396" s="224"/>
      <c r="O396" s="902" t="s">
        <v>6395</v>
      </c>
    </row>
    <row r="397" spans="1:15" x14ac:dyDescent="0.3">
      <c r="A397" s="2402">
        <v>391</v>
      </c>
      <c r="B397" s="1122" t="s">
        <v>1477</v>
      </c>
      <c r="C397" s="216" t="s">
        <v>1344</v>
      </c>
      <c r="D397" s="416" t="s">
        <v>938</v>
      </c>
      <c r="E397" s="217" t="s">
        <v>1562</v>
      </c>
      <c r="F397" s="218" t="s">
        <v>1417</v>
      </c>
      <c r="G397" s="116">
        <v>1190</v>
      </c>
      <c r="H397" s="1776" t="s">
        <v>1349</v>
      </c>
      <c r="J397" s="224"/>
      <c r="K397" s="34" t="s">
        <v>25</v>
      </c>
      <c r="L397" s="475"/>
      <c r="M397" s="224"/>
      <c r="N397" s="224"/>
      <c r="O397" s="902" t="s">
        <v>6395</v>
      </c>
    </row>
    <row r="398" spans="1:15" x14ac:dyDescent="0.3">
      <c r="A398" s="2402">
        <v>392</v>
      </c>
      <c r="B398" s="1122" t="s">
        <v>1477</v>
      </c>
      <c r="C398" s="216" t="s">
        <v>1344</v>
      </c>
      <c r="D398" s="416" t="s">
        <v>938</v>
      </c>
      <c r="E398" s="217" t="s">
        <v>1563</v>
      </c>
      <c r="F398" s="218" t="s">
        <v>1417</v>
      </c>
      <c r="G398" s="116">
        <v>1190</v>
      </c>
      <c r="H398" s="1776" t="s">
        <v>1349</v>
      </c>
      <c r="J398" s="224"/>
      <c r="K398" s="34" t="s">
        <v>25</v>
      </c>
      <c r="L398" s="475"/>
      <c r="M398" s="224"/>
      <c r="N398" s="224"/>
      <c r="O398" s="902" t="s">
        <v>6395</v>
      </c>
    </row>
    <row r="399" spans="1:15" x14ac:dyDescent="0.3">
      <c r="A399" s="2401">
        <v>393</v>
      </c>
      <c r="B399" s="1122" t="s">
        <v>1477</v>
      </c>
      <c r="C399" s="216" t="s">
        <v>1344</v>
      </c>
      <c r="D399" s="416" t="s">
        <v>938</v>
      </c>
      <c r="E399" s="217" t="s">
        <v>1564</v>
      </c>
      <c r="F399" s="218" t="s">
        <v>1417</v>
      </c>
      <c r="G399" s="116">
        <v>1190</v>
      </c>
      <c r="H399" s="1776" t="s">
        <v>1349</v>
      </c>
      <c r="J399" s="224"/>
      <c r="K399" s="34" t="s">
        <v>25</v>
      </c>
      <c r="L399" s="475"/>
      <c r="M399" s="224"/>
      <c r="N399" s="224"/>
      <c r="O399" s="902" t="s">
        <v>6395</v>
      </c>
    </row>
    <row r="400" spans="1:15" x14ac:dyDescent="0.3">
      <c r="A400" s="2402">
        <v>394</v>
      </c>
      <c r="B400" s="1122" t="s">
        <v>1477</v>
      </c>
      <c r="C400" s="216" t="s">
        <v>1344</v>
      </c>
      <c r="D400" s="416" t="s">
        <v>938</v>
      </c>
      <c r="E400" s="217" t="s">
        <v>1565</v>
      </c>
      <c r="F400" s="218" t="s">
        <v>1417</v>
      </c>
      <c r="G400" s="116">
        <v>1190</v>
      </c>
      <c r="H400" s="1776" t="s">
        <v>1349</v>
      </c>
      <c r="J400" s="224"/>
      <c r="K400" s="34" t="s">
        <v>25</v>
      </c>
      <c r="L400" s="475"/>
      <c r="M400" s="224"/>
      <c r="N400" s="224"/>
      <c r="O400" s="902" t="s">
        <v>6395</v>
      </c>
    </row>
    <row r="401" spans="1:15" x14ac:dyDescent="0.3">
      <c r="A401" s="2402">
        <v>395</v>
      </c>
      <c r="B401" s="1122" t="s">
        <v>1477</v>
      </c>
      <c r="C401" s="216" t="s">
        <v>1344</v>
      </c>
      <c r="D401" s="416" t="s">
        <v>938</v>
      </c>
      <c r="E401" s="217" t="s">
        <v>1566</v>
      </c>
      <c r="F401" s="218" t="s">
        <v>1417</v>
      </c>
      <c r="G401" s="116">
        <v>1190</v>
      </c>
      <c r="H401" s="1776" t="s">
        <v>1349</v>
      </c>
      <c r="J401" s="224"/>
      <c r="K401" s="34" t="s">
        <v>25</v>
      </c>
      <c r="L401" s="475"/>
      <c r="M401" s="224"/>
      <c r="N401" s="224"/>
      <c r="O401" s="902" t="s">
        <v>6395</v>
      </c>
    </row>
    <row r="402" spans="1:15" x14ac:dyDescent="0.3">
      <c r="A402" s="2401">
        <v>396</v>
      </c>
      <c r="B402" s="1122" t="s">
        <v>1477</v>
      </c>
      <c r="C402" s="216" t="s">
        <v>1344</v>
      </c>
      <c r="D402" s="416" t="s">
        <v>938</v>
      </c>
      <c r="E402" s="217" t="s">
        <v>1567</v>
      </c>
      <c r="F402" s="218" t="s">
        <v>1417</v>
      </c>
      <c r="G402" s="116">
        <v>1190</v>
      </c>
      <c r="H402" s="1776" t="s">
        <v>1349</v>
      </c>
      <c r="J402" s="224"/>
      <c r="K402" s="34" t="s">
        <v>25</v>
      </c>
      <c r="L402" s="475"/>
      <c r="M402" s="224"/>
      <c r="N402" s="224"/>
      <c r="O402" s="902" t="s">
        <v>6395</v>
      </c>
    </row>
    <row r="403" spans="1:15" x14ac:dyDescent="0.3">
      <c r="A403" s="2402">
        <v>397</v>
      </c>
      <c r="B403" s="1122" t="s">
        <v>1477</v>
      </c>
      <c r="C403" s="216" t="s">
        <v>1344</v>
      </c>
      <c r="D403" s="416" t="s">
        <v>938</v>
      </c>
      <c r="E403" s="217" t="s">
        <v>1568</v>
      </c>
      <c r="F403" s="218" t="s">
        <v>1417</v>
      </c>
      <c r="G403" s="116">
        <v>1190</v>
      </c>
      <c r="H403" s="1776" t="s">
        <v>1349</v>
      </c>
      <c r="J403" s="224"/>
      <c r="K403" s="34" t="s">
        <v>25</v>
      </c>
      <c r="L403" s="475"/>
      <c r="M403" s="224"/>
      <c r="N403" s="224"/>
      <c r="O403" s="902" t="s">
        <v>6395</v>
      </c>
    </row>
    <row r="404" spans="1:15" x14ac:dyDescent="0.3">
      <c r="A404" s="2402">
        <v>398</v>
      </c>
      <c r="B404" s="1122" t="s">
        <v>1477</v>
      </c>
      <c r="C404" s="216" t="s">
        <v>1344</v>
      </c>
      <c r="D404" s="416" t="s">
        <v>938</v>
      </c>
      <c r="E404" s="217" t="s">
        <v>1569</v>
      </c>
      <c r="F404" s="218" t="s">
        <v>1417</v>
      </c>
      <c r="G404" s="116">
        <v>1190</v>
      </c>
      <c r="H404" s="1776" t="s">
        <v>1349</v>
      </c>
      <c r="J404" s="224"/>
      <c r="K404" s="34" t="s">
        <v>25</v>
      </c>
      <c r="L404" s="475"/>
      <c r="M404" s="224"/>
      <c r="N404" s="224"/>
      <c r="O404" s="902" t="s">
        <v>6395</v>
      </c>
    </row>
    <row r="405" spans="1:15" x14ac:dyDescent="0.3">
      <c r="A405" s="2401">
        <v>399</v>
      </c>
      <c r="B405" s="1122" t="s">
        <v>1477</v>
      </c>
      <c r="C405" s="216" t="s">
        <v>1344</v>
      </c>
      <c r="D405" s="416" t="s">
        <v>938</v>
      </c>
      <c r="E405" s="217" t="s">
        <v>1570</v>
      </c>
      <c r="F405" s="218" t="s">
        <v>1417</v>
      </c>
      <c r="G405" s="116">
        <v>1190</v>
      </c>
      <c r="H405" s="1776" t="s">
        <v>1349</v>
      </c>
      <c r="J405" s="224"/>
      <c r="K405" s="34" t="s">
        <v>25</v>
      </c>
      <c r="L405" s="475"/>
      <c r="M405" s="224"/>
      <c r="N405" s="224"/>
      <c r="O405" s="902" t="s">
        <v>6395</v>
      </c>
    </row>
    <row r="406" spans="1:15" x14ac:dyDescent="0.3">
      <c r="A406" s="2402">
        <v>400</v>
      </c>
      <c r="B406" s="1122" t="s">
        <v>1477</v>
      </c>
      <c r="C406" s="216" t="s">
        <v>1344</v>
      </c>
      <c r="D406" s="452" t="s">
        <v>938</v>
      </c>
      <c r="E406" s="217" t="s">
        <v>1571</v>
      </c>
      <c r="F406" s="218" t="s">
        <v>1417</v>
      </c>
      <c r="G406" s="116">
        <v>1190</v>
      </c>
      <c r="H406" s="1776" t="s">
        <v>1349</v>
      </c>
      <c r="J406" s="224"/>
      <c r="K406" s="34" t="s">
        <v>25</v>
      </c>
      <c r="L406" s="475"/>
      <c r="M406" s="224"/>
      <c r="N406" s="224"/>
      <c r="O406" s="902" t="s">
        <v>6395</v>
      </c>
    </row>
    <row r="407" spans="1:15" x14ac:dyDescent="0.3">
      <c r="A407" s="2402">
        <v>401</v>
      </c>
      <c r="B407" s="1122" t="s">
        <v>1477</v>
      </c>
      <c r="C407" s="1117" t="s">
        <v>1344</v>
      </c>
      <c r="D407" s="793" t="s">
        <v>938</v>
      </c>
      <c r="E407" s="217" t="s">
        <v>1572</v>
      </c>
      <c r="F407" s="218" t="s">
        <v>1417</v>
      </c>
      <c r="G407" s="116">
        <v>1190</v>
      </c>
      <c r="H407" s="1776" t="s">
        <v>1349</v>
      </c>
      <c r="J407" s="224"/>
      <c r="K407" s="34" t="s">
        <v>25</v>
      </c>
      <c r="L407" s="475"/>
      <c r="M407" s="224"/>
      <c r="N407" s="224"/>
      <c r="O407" s="902" t="s">
        <v>6395</v>
      </c>
    </row>
    <row r="408" spans="1:15" x14ac:dyDescent="0.3">
      <c r="A408" s="2401">
        <v>402</v>
      </c>
      <c r="B408" s="1122" t="s">
        <v>1477</v>
      </c>
      <c r="C408" s="1117" t="s">
        <v>1344</v>
      </c>
      <c r="D408" s="416" t="s">
        <v>938</v>
      </c>
      <c r="E408" s="217" t="s">
        <v>1573</v>
      </c>
      <c r="F408" s="218" t="s">
        <v>1417</v>
      </c>
      <c r="G408" s="116">
        <v>1190</v>
      </c>
      <c r="H408" s="1776" t="s">
        <v>1349</v>
      </c>
      <c r="J408" s="224"/>
      <c r="K408" s="34" t="s">
        <v>25</v>
      </c>
      <c r="L408" s="475"/>
      <c r="M408" s="224"/>
      <c r="N408" s="224"/>
      <c r="O408" s="902" t="s">
        <v>6395</v>
      </c>
    </row>
    <row r="409" spans="1:15" x14ac:dyDescent="0.3">
      <c r="A409" s="2402">
        <v>403</v>
      </c>
      <c r="B409" s="1122" t="s">
        <v>1477</v>
      </c>
      <c r="C409" s="1117" t="s">
        <v>1344</v>
      </c>
      <c r="D409" s="416" t="s">
        <v>938</v>
      </c>
      <c r="E409" s="217" t="s">
        <v>1574</v>
      </c>
      <c r="F409" s="218" t="s">
        <v>1417</v>
      </c>
      <c r="G409" s="116">
        <v>1190</v>
      </c>
      <c r="H409" s="1776" t="s">
        <v>1349</v>
      </c>
      <c r="J409" s="224"/>
      <c r="K409" s="34" t="s">
        <v>25</v>
      </c>
      <c r="L409" s="475"/>
      <c r="M409" s="224"/>
      <c r="N409" s="224"/>
      <c r="O409" s="902" t="s">
        <v>6395</v>
      </c>
    </row>
    <row r="410" spans="1:15" x14ac:dyDescent="0.3">
      <c r="A410" s="2402">
        <v>404</v>
      </c>
      <c r="B410" s="1122" t="s">
        <v>1477</v>
      </c>
      <c r="C410" s="1117" t="s">
        <v>1344</v>
      </c>
      <c r="D410" s="416" t="s">
        <v>938</v>
      </c>
      <c r="E410" s="217" t="s">
        <v>1575</v>
      </c>
      <c r="F410" s="218" t="s">
        <v>1417</v>
      </c>
      <c r="G410" s="116">
        <v>1190</v>
      </c>
      <c r="H410" s="1776" t="s">
        <v>1349</v>
      </c>
      <c r="J410" s="224"/>
      <c r="K410" s="34" t="s">
        <v>25</v>
      </c>
      <c r="L410" s="475"/>
      <c r="M410" s="224"/>
      <c r="N410" s="224"/>
      <c r="O410" s="902" t="s">
        <v>6395</v>
      </c>
    </row>
    <row r="411" spans="1:15" x14ac:dyDescent="0.3">
      <c r="A411" s="2401">
        <v>405</v>
      </c>
      <c r="B411" s="1122" t="s">
        <v>1477</v>
      </c>
      <c r="C411" s="1117" t="s">
        <v>1344</v>
      </c>
      <c r="D411" s="416" t="s">
        <v>938</v>
      </c>
      <c r="E411" s="217" t="s">
        <v>1576</v>
      </c>
      <c r="F411" s="218" t="s">
        <v>1417</v>
      </c>
      <c r="G411" s="116">
        <v>1190</v>
      </c>
      <c r="H411" s="1776" t="s">
        <v>1349</v>
      </c>
      <c r="J411" s="224"/>
      <c r="K411" s="34" t="s">
        <v>25</v>
      </c>
      <c r="L411" s="475"/>
      <c r="M411" s="224"/>
      <c r="N411" s="224"/>
      <c r="O411" s="902" t="s">
        <v>6395</v>
      </c>
    </row>
    <row r="412" spans="1:15" x14ac:dyDescent="0.3">
      <c r="A412" s="2402">
        <v>406</v>
      </c>
      <c r="B412" s="1122" t="s">
        <v>1477</v>
      </c>
      <c r="C412" s="1117" t="s">
        <v>1344</v>
      </c>
      <c r="D412" s="416" t="s">
        <v>938</v>
      </c>
      <c r="E412" s="217" t="s">
        <v>1577</v>
      </c>
      <c r="F412" s="218" t="s">
        <v>1417</v>
      </c>
      <c r="G412" s="116">
        <v>1190</v>
      </c>
      <c r="H412" s="1776" t="s">
        <v>1349</v>
      </c>
      <c r="J412" s="224"/>
      <c r="K412" s="34" t="s">
        <v>25</v>
      </c>
      <c r="L412" s="475"/>
      <c r="M412" s="224"/>
      <c r="N412" s="224"/>
      <c r="O412" s="902" t="s">
        <v>6395</v>
      </c>
    </row>
    <row r="413" spans="1:15" x14ac:dyDescent="0.3">
      <c r="A413" s="2402">
        <v>407</v>
      </c>
      <c r="B413" s="1122" t="s">
        <v>1477</v>
      </c>
      <c r="C413" s="1117" t="s">
        <v>1344</v>
      </c>
      <c r="D413" s="416" t="s">
        <v>938</v>
      </c>
      <c r="E413" s="217" t="s">
        <v>1578</v>
      </c>
      <c r="F413" s="218" t="s">
        <v>1417</v>
      </c>
      <c r="G413" s="116">
        <v>1190</v>
      </c>
      <c r="H413" s="1776" t="s">
        <v>1349</v>
      </c>
      <c r="J413" s="224"/>
      <c r="K413" s="34" t="s">
        <v>25</v>
      </c>
      <c r="L413" s="475"/>
      <c r="M413" s="224"/>
      <c r="N413" s="224"/>
      <c r="O413" s="902" t="s">
        <v>6395</v>
      </c>
    </row>
    <row r="414" spans="1:15" x14ac:dyDescent="0.3">
      <c r="A414" s="2401">
        <v>408</v>
      </c>
      <c r="B414" s="1122" t="s">
        <v>1477</v>
      </c>
      <c r="C414" s="1117" t="s">
        <v>1344</v>
      </c>
      <c r="D414" s="416" t="s">
        <v>938</v>
      </c>
      <c r="E414" s="217" t="s">
        <v>1579</v>
      </c>
      <c r="F414" s="218" t="s">
        <v>1417</v>
      </c>
      <c r="G414" s="116">
        <v>1190</v>
      </c>
      <c r="H414" s="1776" t="s">
        <v>1349</v>
      </c>
      <c r="J414" s="224"/>
      <c r="K414" s="34" t="s">
        <v>25</v>
      </c>
      <c r="L414" s="475"/>
      <c r="M414" s="224"/>
      <c r="N414" s="224"/>
      <c r="O414" s="902" t="s">
        <v>6395</v>
      </c>
    </row>
    <row r="415" spans="1:15" x14ac:dyDescent="0.3">
      <c r="A415" s="2402">
        <v>409</v>
      </c>
      <c r="B415" s="1122" t="s">
        <v>1477</v>
      </c>
      <c r="C415" s="1117" t="s">
        <v>1344</v>
      </c>
      <c r="D415" s="416" t="s">
        <v>938</v>
      </c>
      <c r="E415" s="217" t="s">
        <v>1580</v>
      </c>
      <c r="F415" s="218" t="s">
        <v>1417</v>
      </c>
      <c r="G415" s="116">
        <v>1190</v>
      </c>
      <c r="H415" s="1776" t="s">
        <v>1349</v>
      </c>
      <c r="J415" s="224"/>
      <c r="K415" s="34" t="s">
        <v>25</v>
      </c>
      <c r="L415" s="475"/>
      <c r="M415" s="224"/>
      <c r="N415" s="224"/>
      <c r="O415" s="902" t="s">
        <v>6395</v>
      </c>
    </row>
    <row r="416" spans="1:15" x14ac:dyDescent="0.3">
      <c r="A416" s="2402">
        <v>410</v>
      </c>
      <c r="B416" s="1122" t="s">
        <v>1477</v>
      </c>
      <c r="C416" s="1117" t="s">
        <v>1344</v>
      </c>
      <c r="D416" s="416" t="s">
        <v>938</v>
      </c>
      <c r="E416" s="217" t="s">
        <v>1581</v>
      </c>
      <c r="F416" s="218" t="s">
        <v>1417</v>
      </c>
      <c r="G416" s="116">
        <v>1190</v>
      </c>
      <c r="H416" s="1776" t="s">
        <v>1349</v>
      </c>
      <c r="J416" s="224"/>
      <c r="K416" s="34" t="s">
        <v>25</v>
      </c>
      <c r="L416" s="475"/>
      <c r="M416" s="224"/>
      <c r="N416" s="224"/>
      <c r="O416" s="902" t="s">
        <v>6395</v>
      </c>
    </row>
    <row r="417" spans="1:15" x14ac:dyDescent="0.3">
      <c r="A417" s="2401">
        <v>411</v>
      </c>
      <c r="B417" s="1122" t="s">
        <v>1477</v>
      </c>
      <c r="C417" s="1117" t="s">
        <v>1344</v>
      </c>
      <c r="D417" s="416" t="s">
        <v>938</v>
      </c>
      <c r="E417" s="217" t="s">
        <v>1582</v>
      </c>
      <c r="F417" s="218" t="s">
        <v>1417</v>
      </c>
      <c r="G417" s="116">
        <v>1190</v>
      </c>
      <c r="H417" s="1776" t="s">
        <v>1349</v>
      </c>
      <c r="J417" s="224"/>
      <c r="K417" s="34" t="s">
        <v>25</v>
      </c>
      <c r="L417" s="475"/>
      <c r="M417" s="224"/>
      <c r="N417" s="224"/>
      <c r="O417" s="902" t="s">
        <v>6395</v>
      </c>
    </row>
    <row r="418" spans="1:15" x14ac:dyDescent="0.3">
      <c r="A418" s="2402">
        <v>412</v>
      </c>
      <c r="B418" s="1122" t="s">
        <v>1477</v>
      </c>
      <c r="C418" s="1117" t="s">
        <v>1344</v>
      </c>
      <c r="D418" s="416" t="s">
        <v>938</v>
      </c>
      <c r="E418" s="217" t="s">
        <v>1583</v>
      </c>
      <c r="F418" s="218" t="s">
        <v>1417</v>
      </c>
      <c r="G418" s="116">
        <v>1190</v>
      </c>
      <c r="H418" s="1776" t="s">
        <v>1349</v>
      </c>
      <c r="J418" s="224"/>
      <c r="K418" s="34" t="s">
        <v>25</v>
      </c>
      <c r="L418" s="475"/>
      <c r="M418" s="224"/>
      <c r="N418" s="224"/>
      <c r="O418" s="902" t="s">
        <v>6395</v>
      </c>
    </row>
    <row r="419" spans="1:15" x14ac:dyDescent="0.3">
      <c r="A419" s="2402">
        <v>413</v>
      </c>
      <c r="B419" s="1122" t="s">
        <v>1477</v>
      </c>
      <c r="C419" s="1117" t="s">
        <v>1344</v>
      </c>
      <c r="D419" s="416" t="s">
        <v>938</v>
      </c>
      <c r="E419" s="217" t="s">
        <v>1584</v>
      </c>
      <c r="F419" s="218" t="s">
        <v>1417</v>
      </c>
      <c r="G419" s="116">
        <v>1190</v>
      </c>
      <c r="H419" s="1776" t="s">
        <v>1349</v>
      </c>
      <c r="J419" s="224"/>
      <c r="K419" s="34" t="s">
        <v>25</v>
      </c>
      <c r="L419" s="475"/>
      <c r="M419" s="224"/>
      <c r="N419" s="224"/>
      <c r="O419" s="902" t="s">
        <v>6395</v>
      </c>
    </row>
    <row r="420" spans="1:15" x14ac:dyDescent="0.3">
      <c r="A420" s="2401">
        <v>414</v>
      </c>
      <c r="B420" s="1122" t="s">
        <v>1477</v>
      </c>
      <c r="C420" s="1117" t="s">
        <v>1344</v>
      </c>
      <c r="D420" s="416" t="s">
        <v>938</v>
      </c>
      <c r="E420" s="217" t="s">
        <v>1585</v>
      </c>
      <c r="F420" s="218" t="s">
        <v>1417</v>
      </c>
      <c r="G420" s="116">
        <v>1190</v>
      </c>
      <c r="H420" s="1776" t="s">
        <v>1349</v>
      </c>
      <c r="J420" s="224"/>
      <c r="K420" s="34" t="s">
        <v>25</v>
      </c>
      <c r="L420" s="475"/>
      <c r="M420" s="224"/>
      <c r="N420" s="224"/>
      <c r="O420" s="902" t="s">
        <v>6395</v>
      </c>
    </row>
    <row r="421" spans="1:15" x14ac:dyDescent="0.3">
      <c r="A421" s="2402">
        <v>415</v>
      </c>
      <c r="B421" s="1122" t="s">
        <v>1477</v>
      </c>
      <c r="C421" s="1117" t="s">
        <v>1344</v>
      </c>
      <c r="D421" s="416" t="s">
        <v>938</v>
      </c>
      <c r="E421" s="217" t="s">
        <v>1586</v>
      </c>
      <c r="F421" s="218" t="s">
        <v>1417</v>
      </c>
      <c r="G421" s="116">
        <v>1190</v>
      </c>
      <c r="H421" s="1776" t="s">
        <v>1349</v>
      </c>
      <c r="J421" s="224"/>
      <c r="K421" s="34" t="s">
        <v>25</v>
      </c>
      <c r="L421" s="475"/>
      <c r="M421" s="224"/>
      <c r="N421" s="224"/>
      <c r="O421" s="902" t="s">
        <v>6395</v>
      </c>
    </row>
    <row r="422" spans="1:15" x14ac:dyDescent="0.3">
      <c r="A422" s="2402">
        <v>416</v>
      </c>
      <c r="B422" s="1122" t="s">
        <v>1477</v>
      </c>
      <c r="C422" s="1117" t="s">
        <v>1344</v>
      </c>
      <c r="D422" s="416" t="s">
        <v>938</v>
      </c>
      <c r="E422" s="217" t="s">
        <v>1587</v>
      </c>
      <c r="F422" s="218" t="s">
        <v>1417</v>
      </c>
      <c r="G422" s="116">
        <v>1190</v>
      </c>
      <c r="H422" s="1776" t="s">
        <v>1349</v>
      </c>
      <c r="J422" s="224"/>
      <c r="K422" s="34" t="s">
        <v>25</v>
      </c>
      <c r="L422" s="475"/>
      <c r="M422" s="224"/>
      <c r="N422" s="224"/>
      <c r="O422" s="902" t="s">
        <v>6395</v>
      </c>
    </row>
    <row r="423" spans="1:15" x14ac:dyDescent="0.3">
      <c r="A423" s="2401">
        <v>417</v>
      </c>
      <c r="B423" s="1122" t="s">
        <v>1477</v>
      </c>
      <c r="C423" s="1117" t="s">
        <v>1344</v>
      </c>
      <c r="D423" s="416" t="s">
        <v>938</v>
      </c>
      <c r="E423" s="217" t="s">
        <v>1588</v>
      </c>
      <c r="F423" s="218" t="s">
        <v>1417</v>
      </c>
      <c r="G423" s="116">
        <v>1190</v>
      </c>
      <c r="H423" s="1776" t="s">
        <v>1349</v>
      </c>
      <c r="J423" s="224"/>
      <c r="K423" s="34" t="s">
        <v>25</v>
      </c>
      <c r="L423" s="475"/>
      <c r="M423" s="224"/>
      <c r="N423" s="224"/>
      <c r="O423" s="902" t="s">
        <v>6395</v>
      </c>
    </row>
    <row r="424" spans="1:15" x14ac:dyDescent="0.3">
      <c r="A424" s="2402">
        <v>418</v>
      </c>
      <c r="B424" s="1122" t="s">
        <v>1477</v>
      </c>
      <c r="C424" s="1117" t="s">
        <v>1344</v>
      </c>
      <c r="D424" s="416" t="s">
        <v>938</v>
      </c>
      <c r="E424" s="217" t="s">
        <v>1589</v>
      </c>
      <c r="F424" s="218" t="s">
        <v>1417</v>
      </c>
      <c r="G424" s="116">
        <v>1190</v>
      </c>
      <c r="H424" s="1776" t="s">
        <v>1349</v>
      </c>
      <c r="J424" s="224"/>
      <c r="K424" s="34" t="s">
        <v>25</v>
      </c>
      <c r="L424" s="475"/>
      <c r="M424" s="224"/>
      <c r="N424" s="224"/>
      <c r="O424" s="902" t="s">
        <v>6395</v>
      </c>
    </row>
    <row r="425" spans="1:15" x14ac:dyDescent="0.3">
      <c r="A425" s="2402">
        <v>419</v>
      </c>
      <c r="B425" s="1122" t="s">
        <v>1477</v>
      </c>
      <c r="C425" s="1117" t="s">
        <v>1344</v>
      </c>
      <c r="D425" s="416" t="s">
        <v>938</v>
      </c>
      <c r="E425" s="217" t="s">
        <v>1590</v>
      </c>
      <c r="F425" s="218" t="s">
        <v>1417</v>
      </c>
      <c r="G425" s="116">
        <v>1190</v>
      </c>
      <c r="H425" s="1776" t="s">
        <v>1349</v>
      </c>
      <c r="J425" s="224"/>
      <c r="K425" s="34" t="s">
        <v>25</v>
      </c>
      <c r="L425" s="475"/>
      <c r="M425" s="224"/>
      <c r="N425" s="224"/>
      <c r="O425" s="902" t="s">
        <v>6395</v>
      </c>
    </row>
    <row r="426" spans="1:15" x14ac:dyDescent="0.3">
      <c r="A426" s="2401">
        <v>420</v>
      </c>
      <c r="B426" s="1122" t="s">
        <v>1477</v>
      </c>
      <c r="C426" s="1117" t="s">
        <v>1344</v>
      </c>
      <c r="D426" s="416" t="s">
        <v>938</v>
      </c>
      <c r="E426" s="217" t="s">
        <v>1591</v>
      </c>
      <c r="F426" s="218" t="s">
        <v>1417</v>
      </c>
      <c r="G426" s="116">
        <v>1190</v>
      </c>
      <c r="H426" s="1776" t="s">
        <v>1349</v>
      </c>
      <c r="J426" s="224"/>
      <c r="K426" s="34" t="s">
        <v>25</v>
      </c>
      <c r="L426" s="475"/>
      <c r="M426" s="224"/>
      <c r="N426" s="224"/>
      <c r="O426" s="902" t="s">
        <v>6395</v>
      </c>
    </row>
    <row r="427" spans="1:15" x14ac:dyDescent="0.3">
      <c r="A427" s="2402">
        <v>421</v>
      </c>
      <c r="B427" s="1122" t="s">
        <v>1477</v>
      </c>
      <c r="C427" s="1117" t="s">
        <v>1344</v>
      </c>
      <c r="D427" s="416" t="s">
        <v>938</v>
      </c>
      <c r="E427" s="217" t="s">
        <v>1592</v>
      </c>
      <c r="F427" s="218" t="s">
        <v>1417</v>
      </c>
      <c r="G427" s="116">
        <v>1190</v>
      </c>
      <c r="H427" s="1776" t="s">
        <v>1349</v>
      </c>
      <c r="J427" s="224"/>
      <c r="K427" s="34" t="s">
        <v>25</v>
      </c>
      <c r="L427" s="475"/>
      <c r="M427" s="224"/>
      <c r="N427" s="224"/>
      <c r="O427" s="902" t="s">
        <v>6395</v>
      </c>
    </row>
    <row r="428" spans="1:15" x14ac:dyDescent="0.3">
      <c r="A428" s="2402">
        <v>422</v>
      </c>
      <c r="B428" s="1122" t="s">
        <v>1477</v>
      </c>
      <c r="C428" s="1117" t="s">
        <v>1344</v>
      </c>
      <c r="D428" s="416" t="s">
        <v>938</v>
      </c>
      <c r="E428" s="217" t="s">
        <v>1593</v>
      </c>
      <c r="F428" s="218" t="s">
        <v>1417</v>
      </c>
      <c r="G428" s="116">
        <v>1190</v>
      </c>
      <c r="H428" s="1776" t="s">
        <v>1349</v>
      </c>
      <c r="J428" s="224"/>
      <c r="K428" s="34" t="s">
        <v>25</v>
      </c>
      <c r="L428" s="475"/>
      <c r="M428" s="224"/>
      <c r="N428" s="224"/>
      <c r="O428" s="902" t="s">
        <v>6395</v>
      </c>
    </row>
    <row r="429" spans="1:15" x14ac:dyDescent="0.3">
      <c r="A429" s="2401">
        <v>423</v>
      </c>
      <c r="B429" s="1122" t="s">
        <v>1477</v>
      </c>
      <c r="C429" s="1117" t="s">
        <v>1344</v>
      </c>
      <c r="D429" s="416" t="s">
        <v>938</v>
      </c>
      <c r="E429" s="217" t="s">
        <v>1594</v>
      </c>
      <c r="F429" s="218" t="s">
        <v>1417</v>
      </c>
      <c r="G429" s="116">
        <v>1190</v>
      </c>
      <c r="H429" s="1776" t="s">
        <v>1349</v>
      </c>
      <c r="J429" s="224"/>
      <c r="K429" s="34" t="s">
        <v>25</v>
      </c>
      <c r="L429" s="475"/>
      <c r="M429" s="224"/>
      <c r="N429" s="224"/>
      <c r="O429" s="902" t="s">
        <v>6395</v>
      </c>
    </row>
    <row r="430" spans="1:15" x14ac:dyDescent="0.3">
      <c r="A430" s="2402">
        <v>424</v>
      </c>
      <c r="B430" s="1122" t="s">
        <v>1477</v>
      </c>
      <c r="C430" s="1117" t="s">
        <v>1344</v>
      </c>
      <c r="D430" s="416" t="s">
        <v>938</v>
      </c>
      <c r="E430" s="217" t="s">
        <v>1595</v>
      </c>
      <c r="F430" s="218" t="s">
        <v>1417</v>
      </c>
      <c r="G430" s="116">
        <v>1190</v>
      </c>
      <c r="H430" s="1776" t="s">
        <v>1349</v>
      </c>
      <c r="J430" s="224"/>
      <c r="K430" s="34" t="s">
        <v>25</v>
      </c>
      <c r="L430" s="475"/>
      <c r="M430" s="224"/>
      <c r="N430" s="224"/>
      <c r="O430" s="902" t="s">
        <v>6395</v>
      </c>
    </row>
    <row r="431" spans="1:15" x14ac:dyDescent="0.3">
      <c r="A431" s="2402">
        <v>425</v>
      </c>
      <c r="B431" s="1122" t="s">
        <v>1477</v>
      </c>
      <c r="C431" s="1117" t="s">
        <v>1344</v>
      </c>
      <c r="D431" s="452" t="s">
        <v>938</v>
      </c>
      <c r="E431" s="217" t="s">
        <v>1596</v>
      </c>
      <c r="F431" s="218" t="s">
        <v>1417</v>
      </c>
      <c r="G431" s="116">
        <v>1190</v>
      </c>
      <c r="H431" s="1776" t="s">
        <v>1349</v>
      </c>
      <c r="J431" s="224"/>
      <c r="K431" s="34" t="s">
        <v>25</v>
      </c>
      <c r="L431" s="475"/>
      <c r="M431" s="224"/>
      <c r="N431" s="224"/>
      <c r="O431" s="902" t="s">
        <v>6395</v>
      </c>
    </row>
    <row r="432" spans="1:15" x14ac:dyDescent="0.3">
      <c r="A432" s="2401">
        <v>426</v>
      </c>
      <c r="B432" s="1122" t="s">
        <v>1477</v>
      </c>
      <c r="C432" s="1117" t="s">
        <v>1344</v>
      </c>
      <c r="D432" s="793" t="s">
        <v>938</v>
      </c>
      <c r="E432" s="217" t="s">
        <v>1597</v>
      </c>
      <c r="F432" s="218" t="s">
        <v>1417</v>
      </c>
      <c r="G432" s="116">
        <v>1190</v>
      </c>
      <c r="H432" s="1776" t="s">
        <v>1349</v>
      </c>
      <c r="J432" s="224"/>
      <c r="K432" s="34" t="s">
        <v>25</v>
      </c>
      <c r="L432" s="475"/>
      <c r="M432" s="224"/>
      <c r="N432" s="224"/>
      <c r="O432" s="902" t="s">
        <v>6395</v>
      </c>
    </row>
    <row r="433" spans="1:15" x14ac:dyDescent="0.3">
      <c r="A433" s="2402">
        <v>427</v>
      </c>
      <c r="B433" s="1122" t="s">
        <v>1477</v>
      </c>
      <c r="C433" s="1117" t="s">
        <v>1344</v>
      </c>
      <c r="D433" s="416" t="s">
        <v>938</v>
      </c>
      <c r="E433" s="217" t="s">
        <v>1598</v>
      </c>
      <c r="F433" s="218" t="s">
        <v>1417</v>
      </c>
      <c r="G433" s="116">
        <v>1190</v>
      </c>
      <c r="H433" s="1776" t="s">
        <v>1349</v>
      </c>
      <c r="J433" s="224"/>
      <c r="K433" s="34" t="s">
        <v>25</v>
      </c>
      <c r="L433" s="475"/>
      <c r="M433" s="224"/>
      <c r="N433" s="224"/>
      <c r="O433" s="902" t="s">
        <v>6395</v>
      </c>
    </row>
    <row r="434" spans="1:15" x14ac:dyDescent="0.3">
      <c r="A434" s="2402">
        <v>428</v>
      </c>
      <c r="B434" s="1122" t="s">
        <v>1477</v>
      </c>
      <c r="C434" s="1117" t="s">
        <v>1344</v>
      </c>
      <c r="D434" s="416" t="s">
        <v>938</v>
      </c>
      <c r="E434" s="217" t="s">
        <v>1599</v>
      </c>
      <c r="F434" s="218" t="s">
        <v>1417</v>
      </c>
      <c r="G434" s="116">
        <v>1190</v>
      </c>
      <c r="H434" s="1776" t="s">
        <v>1349</v>
      </c>
      <c r="J434" s="224"/>
      <c r="K434" s="34" t="s">
        <v>25</v>
      </c>
      <c r="L434" s="475"/>
      <c r="M434" s="224"/>
      <c r="N434" s="224"/>
      <c r="O434" s="902" t="s">
        <v>6395</v>
      </c>
    </row>
    <row r="435" spans="1:15" x14ac:dyDescent="0.3">
      <c r="A435" s="2401">
        <v>429</v>
      </c>
      <c r="B435" s="1122" t="s">
        <v>1477</v>
      </c>
      <c r="C435" s="1117" t="s">
        <v>1344</v>
      </c>
      <c r="D435" s="416" t="s">
        <v>938</v>
      </c>
      <c r="E435" s="217" t="s">
        <v>1600</v>
      </c>
      <c r="F435" s="218" t="s">
        <v>1417</v>
      </c>
      <c r="G435" s="116">
        <v>1190</v>
      </c>
      <c r="H435" s="1776" t="s">
        <v>1349</v>
      </c>
      <c r="J435" s="224"/>
      <c r="K435" s="34" t="s">
        <v>25</v>
      </c>
      <c r="L435" s="475"/>
      <c r="M435" s="224"/>
      <c r="N435" s="224"/>
      <c r="O435" s="902" t="s">
        <v>6395</v>
      </c>
    </row>
    <row r="436" spans="1:15" x14ac:dyDescent="0.3">
      <c r="A436" s="2402">
        <v>430</v>
      </c>
      <c r="B436" s="1122" t="s">
        <v>1477</v>
      </c>
      <c r="C436" s="1117" t="s">
        <v>1344</v>
      </c>
      <c r="D436" s="416" t="s">
        <v>938</v>
      </c>
      <c r="E436" s="217" t="s">
        <v>1601</v>
      </c>
      <c r="F436" s="218" t="s">
        <v>1417</v>
      </c>
      <c r="G436" s="116">
        <v>1190</v>
      </c>
      <c r="H436" s="1776" t="s">
        <v>1349</v>
      </c>
      <c r="J436" s="224"/>
      <c r="K436" s="34" t="s">
        <v>25</v>
      </c>
      <c r="L436" s="475"/>
      <c r="M436" s="224"/>
      <c r="N436" s="224"/>
      <c r="O436" s="902" t="s">
        <v>6395</v>
      </c>
    </row>
    <row r="437" spans="1:15" x14ac:dyDescent="0.3">
      <c r="A437" s="2402">
        <v>431</v>
      </c>
      <c r="B437" s="1122" t="s">
        <v>1477</v>
      </c>
      <c r="C437" s="1117" t="s">
        <v>1344</v>
      </c>
      <c r="D437" s="416" t="s">
        <v>938</v>
      </c>
      <c r="E437" s="217" t="s">
        <v>1602</v>
      </c>
      <c r="F437" s="218" t="s">
        <v>1417</v>
      </c>
      <c r="G437" s="116">
        <v>1190</v>
      </c>
      <c r="H437" s="1776" t="s">
        <v>1349</v>
      </c>
      <c r="J437" s="224"/>
      <c r="K437" s="34" t="s">
        <v>25</v>
      </c>
      <c r="L437" s="475"/>
      <c r="M437" s="224"/>
      <c r="N437" s="224"/>
      <c r="O437" s="902" t="s">
        <v>6395</v>
      </c>
    </row>
    <row r="438" spans="1:15" x14ac:dyDescent="0.3">
      <c r="A438" s="2401">
        <v>432</v>
      </c>
      <c r="B438" s="1122" t="s">
        <v>1477</v>
      </c>
      <c r="C438" s="1117" t="s">
        <v>1344</v>
      </c>
      <c r="D438" s="416" t="s">
        <v>938</v>
      </c>
      <c r="E438" s="217" t="s">
        <v>1603</v>
      </c>
      <c r="F438" s="218" t="s">
        <v>1417</v>
      </c>
      <c r="G438" s="116">
        <v>1190</v>
      </c>
      <c r="H438" s="1776" t="s">
        <v>1349</v>
      </c>
      <c r="J438" s="224"/>
      <c r="K438" s="34" t="s">
        <v>25</v>
      </c>
      <c r="L438" s="475"/>
      <c r="M438" s="224"/>
      <c r="N438" s="224"/>
      <c r="O438" s="902" t="s">
        <v>6395</v>
      </c>
    </row>
    <row r="439" spans="1:15" x14ac:dyDescent="0.3">
      <c r="A439" s="2402">
        <v>433</v>
      </c>
      <c r="B439" s="1122" t="s">
        <v>1477</v>
      </c>
      <c r="C439" s="1117" t="s">
        <v>1344</v>
      </c>
      <c r="D439" s="416" t="s">
        <v>938</v>
      </c>
      <c r="E439" s="217" t="s">
        <v>1604</v>
      </c>
      <c r="F439" s="218" t="s">
        <v>1417</v>
      </c>
      <c r="G439" s="116">
        <v>1190</v>
      </c>
      <c r="H439" s="1776" t="s">
        <v>1349</v>
      </c>
      <c r="J439" s="224"/>
      <c r="K439" s="34" t="s">
        <v>25</v>
      </c>
      <c r="L439" s="475"/>
      <c r="M439" s="224"/>
      <c r="N439" s="224"/>
      <c r="O439" s="902" t="s">
        <v>6395</v>
      </c>
    </row>
    <row r="440" spans="1:15" x14ac:dyDescent="0.3">
      <c r="A440" s="2402">
        <v>434</v>
      </c>
      <c r="B440" s="1122" t="s">
        <v>1477</v>
      </c>
      <c r="C440" s="1117" t="s">
        <v>1344</v>
      </c>
      <c r="D440" s="416" t="s">
        <v>938</v>
      </c>
      <c r="E440" s="217" t="s">
        <v>1605</v>
      </c>
      <c r="F440" s="218" t="s">
        <v>1417</v>
      </c>
      <c r="G440" s="116">
        <v>1190</v>
      </c>
      <c r="H440" s="1776" t="s">
        <v>1349</v>
      </c>
      <c r="J440" s="224"/>
      <c r="K440" s="34" t="s">
        <v>25</v>
      </c>
      <c r="L440" s="475"/>
      <c r="M440" s="224"/>
      <c r="N440" s="224"/>
      <c r="O440" s="902" t="s">
        <v>6395</v>
      </c>
    </row>
    <row r="441" spans="1:15" x14ac:dyDescent="0.3">
      <c r="A441" s="2401">
        <v>435</v>
      </c>
      <c r="B441" s="1122" t="s">
        <v>1477</v>
      </c>
      <c r="C441" s="1117" t="s">
        <v>1344</v>
      </c>
      <c r="D441" s="416" t="s">
        <v>938</v>
      </c>
      <c r="E441" s="217" t="s">
        <v>334</v>
      </c>
      <c r="F441" s="218" t="s">
        <v>1417</v>
      </c>
      <c r="G441" s="116">
        <v>1190</v>
      </c>
      <c r="H441" s="1776" t="s">
        <v>1349</v>
      </c>
      <c r="J441" s="224"/>
      <c r="K441" s="34" t="s">
        <v>25</v>
      </c>
      <c r="L441" s="475"/>
      <c r="M441" s="224"/>
      <c r="N441" s="224"/>
      <c r="O441" s="902" t="s">
        <v>6395</v>
      </c>
    </row>
    <row r="442" spans="1:15" x14ac:dyDescent="0.3">
      <c r="A442" s="2402">
        <v>436</v>
      </c>
      <c r="B442" s="1122" t="s">
        <v>1477</v>
      </c>
      <c r="C442" s="1117" t="s">
        <v>1344</v>
      </c>
      <c r="D442" s="416" t="s">
        <v>938</v>
      </c>
      <c r="E442" s="217" t="s">
        <v>1606</v>
      </c>
      <c r="F442" s="218" t="s">
        <v>1417</v>
      </c>
      <c r="G442" s="116">
        <v>1190</v>
      </c>
      <c r="H442" s="1776" t="s">
        <v>1349</v>
      </c>
      <c r="J442" s="224"/>
      <c r="K442" s="34" t="s">
        <v>25</v>
      </c>
      <c r="L442" s="475"/>
      <c r="M442" s="224"/>
      <c r="N442" s="224"/>
      <c r="O442" s="902" t="s">
        <v>6395</v>
      </c>
    </row>
    <row r="443" spans="1:15" x14ac:dyDescent="0.3">
      <c r="A443" s="2402">
        <v>437</v>
      </c>
      <c r="B443" s="1122" t="s">
        <v>1477</v>
      </c>
      <c r="C443" s="1117" t="s">
        <v>1344</v>
      </c>
      <c r="D443" s="416" t="s">
        <v>938</v>
      </c>
      <c r="E443" s="217" t="s">
        <v>1607</v>
      </c>
      <c r="F443" s="218" t="s">
        <v>1417</v>
      </c>
      <c r="G443" s="116">
        <v>1190</v>
      </c>
      <c r="H443" s="1776" t="s">
        <v>1349</v>
      </c>
      <c r="J443" s="224"/>
      <c r="K443" s="34" t="s">
        <v>25</v>
      </c>
      <c r="L443" s="475"/>
      <c r="M443" s="224"/>
      <c r="N443" s="224"/>
      <c r="O443" s="902" t="s">
        <v>6395</v>
      </c>
    </row>
    <row r="444" spans="1:15" x14ac:dyDescent="0.3">
      <c r="A444" s="2401">
        <v>438</v>
      </c>
      <c r="B444" s="1122" t="s">
        <v>1477</v>
      </c>
      <c r="C444" s="1117" t="s">
        <v>1344</v>
      </c>
      <c r="D444" s="416" t="s">
        <v>938</v>
      </c>
      <c r="E444" s="217" t="s">
        <v>1608</v>
      </c>
      <c r="F444" s="218" t="s">
        <v>1417</v>
      </c>
      <c r="G444" s="116">
        <v>1190</v>
      </c>
      <c r="H444" s="1776" t="s">
        <v>1349</v>
      </c>
      <c r="J444" s="224"/>
      <c r="K444" s="34" t="s">
        <v>25</v>
      </c>
      <c r="L444" s="475"/>
      <c r="M444" s="224"/>
      <c r="N444" s="224"/>
      <c r="O444" s="902" t="s">
        <v>6395</v>
      </c>
    </row>
    <row r="445" spans="1:15" x14ac:dyDescent="0.3">
      <c r="A445" s="2402">
        <v>439</v>
      </c>
      <c r="B445" s="1122" t="s">
        <v>1477</v>
      </c>
      <c r="C445" s="1117" t="s">
        <v>1344</v>
      </c>
      <c r="D445" s="416" t="s">
        <v>938</v>
      </c>
      <c r="E445" s="217" t="s">
        <v>1609</v>
      </c>
      <c r="F445" s="218" t="s">
        <v>1417</v>
      </c>
      <c r="G445" s="116">
        <v>1190</v>
      </c>
      <c r="H445" s="1776" t="s">
        <v>1349</v>
      </c>
      <c r="J445" s="224"/>
      <c r="K445" s="34" t="s">
        <v>25</v>
      </c>
      <c r="L445" s="475"/>
      <c r="M445" s="224"/>
      <c r="N445" s="224"/>
      <c r="O445" s="902" t="s">
        <v>6395</v>
      </c>
    </row>
    <row r="446" spans="1:15" x14ac:dyDescent="0.3">
      <c r="A446" s="2402">
        <v>440</v>
      </c>
      <c r="B446" s="1122" t="s">
        <v>1477</v>
      </c>
      <c r="C446" s="1117" t="s">
        <v>1344</v>
      </c>
      <c r="D446" s="416" t="s">
        <v>938</v>
      </c>
      <c r="E446" s="217" t="s">
        <v>471</v>
      </c>
      <c r="F446" s="218" t="s">
        <v>1417</v>
      </c>
      <c r="G446" s="116">
        <v>1190</v>
      </c>
      <c r="H446" s="1776" t="s">
        <v>1349</v>
      </c>
      <c r="J446" s="224"/>
      <c r="K446" s="34" t="s">
        <v>25</v>
      </c>
      <c r="L446" s="475"/>
      <c r="M446" s="224"/>
      <c r="N446" s="224"/>
      <c r="O446" s="902" t="s">
        <v>6395</v>
      </c>
    </row>
    <row r="447" spans="1:15" x14ac:dyDescent="0.3">
      <c r="A447" s="2401">
        <v>441</v>
      </c>
      <c r="B447" s="1122" t="s">
        <v>1477</v>
      </c>
      <c r="C447" s="1117" t="s">
        <v>1344</v>
      </c>
      <c r="D447" s="416" t="s">
        <v>938</v>
      </c>
      <c r="E447" s="217" t="s">
        <v>1610</v>
      </c>
      <c r="F447" s="218" t="s">
        <v>1417</v>
      </c>
      <c r="G447" s="116">
        <v>1190</v>
      </c>
      <c r="H447" s="1776" t="s">
        <v>1349</v>
      </c>
      <c r="J447" s="224"/>
      <c r="K447" s="34" t="s">
        <v>25</v>
      </c>
      <c r="L447" s="475"/>
      <c r="M447" s="224"/>
      <c r="N447" s="224"/>
      <c r="O447" s="902" t="s">
        <v>6395</v>
      </c>
    </row>
    <row r="448" spans="1:15" x14ac:dyDescent="0.3">
      <c r="A448" s="2402">
        <v>442</v>
      </c>
      <c r="B448" s="1122" t="s">
        <v>1477</v>
      </c>
      <c r="C448" s="1117" t="s">
        <v>1344</v>
      </c>
      <c r="D448" s="452" t="s">
        <v>938</v>
      </c>
      <c r="E448" s="217" t="s">
        <v>1611</v>
      </c>
      <c r="F448" s="218" t="s">
        <v>1417</v>
      </c>
      <c r="G448" s="116">
        <v>1190</v>
      </c>
      <c r="H448" s="1776" t="s">
        <v>1349</v>
      </c>
      <c r="J448" s="224"/>
      <c r="K448" s="34" t="s">
        <v>25</v>
      </c>
      <c r="L448" s="475"/>
      <c r="M448" s="224"/>
      <c r="N448" s="224"/>
      <c r="O448" s="902" t="s">
        <v>6395</v>
      </c>
    </row>
    <row r="449" spans="1:15" x14ac:dyDescent="0.3">
      <c r="A449" s="2402">
        <v>443</v>
      </c>
      <c r="B449" s="1122" t="s">
        <v>1477</v>
      </c>
      <c r="C449" s="1117" t="s">
        <v>1344</v>
      </c>
      <c r="D449" s="793" t="s">
        <v>938</v>
      </c>
      <c r="E449" s="217" t="s">
        <v>1612</v>
      </c>
      <c r="F449" s="218" t="s">
        <v>1417</v>
      </c>
      <c r="G449" s="116">
        <v>1190</v>
      </c>
      <c r="H449" s="1776" t="s">
        <v>1349</v>
      </c>
      <c r="J449" s="224"/>
      <c r="K449" s="34" t="s">
        <v>25</v>
      </c>
      <c r="L449" s="475"/>
      <c r="M449" s="224"/>
      <c r="N449" s="224"/>
      <c r="O449" s="902" t="s">
        <v>6395</v>
      </c>
    </row>
    <row r="450" spans="1:15" x14ac:dyDescent="0.3">
      <c r="A450" s="2401">
        <v>444</v>
      </c>
      <c r="B450" s="1122" t="s">
        <v>1477</v>
      </c>
      <c r="C450" s="216" t="s">
        <v>1344</v>
      </c>
      <c r="D450" s="416" t="s">
        <v>938</v>
      </c>
      <c r="E450" s="217" t="s">
        <v>1613</v>
      </c>
      <c r="F450" s="218" t="s">
        <v>1417</v>
      </c>
      <c r="G450" s="116">
        <v>1190</v>
      </c>
      <c r="H450" s="1776" t="s">
        <v>1349</v>
      </c>
      <c r="J450" s="224"/>
      <c r="K450" s="34" t="s">
        <v>25</v>
      </c>
      <c r="L450" s="475"/>
      <c r="M450" s="224"/>
      <c r="N450" s="224"/>
      <c r="O450" s="902" t="s">
        <v>6395</v>
      </c>
    </row>
    <row r="451" spans="1:15" x14ac:dyDescent="0.3">
      <c r="A451" s="2402">
        <v>445</v>
      </c>
      <c r="B451" s="1122" t="s">
        <v>1477</v>
      </c>
      <c r="C451" s="216" t="s">
        <v>1344</v>
      </c>
      <c r="D451" s="416" t="s">
        <v>938</v>
      </c>
      <c r="E451" s="217" t="s">
        <v>1614</v>
      </c>
      <c r="F451" s="218" t="s">
        <v>1417</v>
      </c>
      <c r="G451" s="116">
        <v>1190</v>
      </c>
      <c r="H451" s="1776" t="s">
        <v>1349</v>
      </c>
      <c r="J451" s="224"/>
      <c r="K451" s="34" t="s">
        <v>25</v>
      </c>
      <c r="L451" s="475"/>
      <c r="M451" s="224"/>
      <c r="N451" s="224"/>
      <c r="O451" s="902" t="s">
        <v>6395</v>
      </c>
    </row>
    <row r="452" spans="1:15" x14ac:dyDescent="0.3">
      <c r="A452" s="2402">
        <v>446</v>
      </c>
      <c r="B452" s="1122" t="s">
        <v>1477</v>
      </c>
      <c r="C452" s="216" t="s">
        <v>1344</v>
      </c>
      <c r="D452" s="416" t="s">
        <v>938</v>
      </c>
      <c r="E452" s="217" t="s">
        <v>1615</v>
      </c>
      <c r="F452" s="218" t="s">
        <v>1417</v>
      </c>
      <c r="G452" s="116">
        <v>1190</v>
      </c>
      <c r="H452" s="1776" t="s">
        <v>1349</v>
      </c>
      <c r="J452" s="224"/>
      <c r="K452" s="34" t="s">
        <v>25</v>
      </c>
      <c r="L452" s="475"/>
      <c r="M452" s="224"/>
      <c r="N452" s="224"/>
      <c r="O452" s="902" t="s">
        <v>6395</v>
      </c>
    </row>
    <row r="453" spans="1:15" x14ac:dyDescent="0.3">
      <c r="A453" s="2401">
        <v>447</v>
      </c>
      <c r="B453" s="1122" t="s">
        <v>1477</v>
      </c>
      <c r="C453" s="216" t="s">
        <v>1344</v>
      </c>
      <c r="D453" s="416" t="s">
        <v>938</v>
      </c>
      <c r="E453" s="217" t="s">
        <v>1616</v>
      </c>
      <c r="F453" s="218" t="s">
        <v>1417</v>
      </c>
      <c r="G453" s="116">
        <v>1190</v>
      </c>
      <c r="H453" s="1776" t="s">
        <v>1349</v>
      </c>
      <c r="J453" s="224"/>
      <c r="K453" s="34" t="s">
        <v>25</v>
      </c>
      <c r="L453" s="475"/>
      <c r="M453" s="224"/>
      <c r="N453" s="224"/>
      <c r="O453" s="902" t="s">
        <v>6395</v>
      </c>
    </row>
    <row r="454" spans="1:15" x14ac:dyDescent="0.3">
      <c r="A454" s="2402">
        <v>448</v>
      </c>
      <c r="B454" s="1122" t="s">
        <v>1477</v>
      </c>
      <c r="C454" s="216" t="s">
        <v>1344</v>
      </c>
      <c r="D454" s="416" t="s">
        <v>938</v>
      </c>
      <c r="E454" s="217" t="s">
        <v>1617</v>
      </c>
      <c r="F454" s="218" t="s">
        <v>1417</v>
      </c>
      <c r="G454" s="116">
        <v>1190</v>
      </c>
      <c r="H454" s="1776" t="s">
        <v>1349</v>
      </c>
      <c r="J454" s="224"/>
      <c r="K454" s="34" t="s">
        <v>25</v>
      </c>
      <c r="L454" s="475"/>
      <c r="M454" s="224"/>
      <c r="N454" s="224"/>
      <c r="O454" s="902" t="s">
        <v>6395</v>
      </c>
    </row>
    <row r="455" spans="1:15" x14ac:dyDescent="0.3">
      <c r="A455" s="2402">
        <v>449</v>
      </c>
      <c r="B455" s="1122" t="s">
        <v>1477</v>
      </c>
      <c r="C455" s="216" t="s">
        <v>1344</v>
      </c>
      <c r="D455" s="416" t="s">
        <v>938</v>
      </c>
      <c r="E455" s="217" t="s">
        <v>1618</v>
      </c>
      <c r="F455" s="218" t="s">
        <v>1417</v>
      </c>
      <c r="G455" s="116">
        <v>1190</v>
      </c>
      <c r="H455" s="1776" t="s">
        <v>1349</v>
      </c>
      <c r="J455" s="224"/>
      <c r="K455" s="34" t="s">
        <v>25</v>
      </c>
      <c r="L455" s="475"/>
      <c r="M455" s="224"/>
      <c r="N455" s="224"/>
      <c r="O455" s="902" t="s">
        <v>6395</v>
      </c>
    </row>
    <row r="456" spans="1:15" x14ac:dyDescent="0.3">
      <c r="A456" s="2401">
        <v>450</v>
      </c>
      <c r="B456" s="1122" t="s">
        <v>1477</v>
      </c>
      <c r="C456" s="216" t="s">
        <v>1344</v>
      </c>
      <c r="D456" s="416" t="s">
        <v>938</v>
      </c>
      <c r="E456" s="217" t="s">
        <v>1619</v>
      </c>
      <c r="F456" s="218" t="s">
        <v>1417</v>
      </c>
      <c r="G456" s="116">
        <v>1190</v>
      </c>
      <c r="H456" s="1776" t="s">
        <v>1349</v>
      </c>
      <c r="J456" s="224"/>
      <c r="K456" s="34" t="s">
        <v>25</v>
      </c>
      <c r="L456" s="475"/>
      <c r="M456" s="224"/>
      <c r="N456" s="224"/>
      <c r="O456" s="902" t="s">
        <v>6395</v>
      </c>
    </row>
    <row r="457" spans="1:15" x14ac:dyDescent="0.3">
      <c r="A457" s="2402">
        <v>451</v>
      </c>
      <c r="B457" s="1122" t="s">
        <v>1477</v>
      </c>
      <c r="C457" s="216" t="s">
        <v>1344</v>
      </c>
      <c r="D457" s="416" t="s">
        <v>938</v>
      </c>
      <c r="E457" s="217" t="s">
        <v>1620</v>
      </c>
      <c r="F457" s="218" t="s">
        <v>1417</v>
      </c>
      <c r="G457" s="116">
        <v>1190</v>
      </c>
      <c r="H457" s="1776" t="s">
        <v>1349</v>
      </c>
      <c r="J457" s="224"/>
      <c r="K457" s="34" t="s">
        <v>25</v>
      </c>
      <c r="L457" s="475"/>
      <c r="M457" s="224"/>
      <c r="N457" s="224"/>
      <c r="O457" s="902" t="s">
        <v>6395</v>
      </c>
    </row>
    <row r="458" spans="1:15" x14ac:dyDescent="0.3">
      <c r="A458" s="2402">
        <v>452</v>
      </c>
      <c r="B458" s="1122" t="s">
        <v>1477</v>
      </c>
      <c r="C458" s="216" t="s">
        <v>1344</v>
      </c>
      <c r="D458" s="416" t="s">
        <v>938</v>
      </c>
      <c r="E458" s="217" t="s">
        <v>1621</v>
      </c>
      <c r="F458" s="218" t="s">
        <v>1417</v>
      </c>
      <c r="G458" s="116">
        <v>1190</v>
      </c>
      <c r="H458" s="1776" t="s">
        <v>1349</v>
      </c>
      <c r="J458" s="224"/>
      <c r="K458" s="34" t="s">
        <v>25</v>
      </c>
      <c r="L458" s="475"/>
      <c r="M458" s="224"/>
      <c r="N458" s="224"/>
      <c r="O458" s="902" t="s">
        <v>6395</v>
      </c>
    </row>
    <row r="459" spans="1:15" x14ac:dyDescent="0.3">
      <c r="A459" s="2401">
        <v>453</v>
      </c>
      <c r="B459" s="1122" t="s">
        <v>1477</v>
      </c>
      <c r="C459" s="216" t="s">
        <v>1344</v>
      </c>
      <c r="D459" s="416" t="s">
        <v>938</v>
      </c>
      <c r="E459" s="217" t="s">
        <v>1622</v>
      </c>
      <c r="F459" s="218" t="s">
        <v>1417</v>
      </c>
      <c r="G459" s="116">
        <v>1190</v>
      </c>
      <c r="H459" s="1776" t="s">
        <v>1349</v>
      </c>
      <c r="J459" s="224"/>
      <c r="K459" s="34" t="s">
        <v>25</v>
      </c>
      <c r="L459" s="475"/>
      <c r="M459" s="224"/>
      <c r="N459" s="224"/>
      <c r="O459" s="902" t="s">
        <v>6395</v>
      </c>
    </row>
    <row r="460" spans="1:15" x14ac:dyDescent="0.3">
      <c r="A460" s="2402">
        <v>454</v>
      </c>
      <c r="B460" s="1122" t="s">
        <v>1477</v>
      </c>
      <c r="C460" s="216" t="s">
        <v>1344</v>
      </c>
      <c r="D460" s="416" t="s">
        <v>938</v>
      </c>
      <c r="E460" s="217" t="s">
        <v>1623</v>
      </c>
      <c r="F460" s="218" t="s">
        <v>1417</v>
      </c>
      <c r="G460" s="116">
        <v>1190</v>
      </c>
      <c r="H460" s="1776" t="s">
        <v>1349</v>
      </c>
      <c r="J460" s="224"/>
      <c r="K460" s="34" t="s">
        <v>25</v>
      </c>
      <c r="L460" s="475"/>
      <c r="M460" s="224"/>
      <c r="N460" s="224"/>
      <c r="O460" s="902" t="s">
        <v>6395</v>
      </c>
    </row>
    <row r="461" spans="1:15" x14ac:dyDescent="0.3">
      <c r="A461" s="2402">
        <v>455</v>
      </c>
      <c r="B461" s="1122" t="s">
        <v>1477</v>
      </c>
      <c r="C461" s="216" t="s">
        <v>1344</v>
      </c>
      <c r="D461" s="452" t="s">
        <v>938</v>
      </c>
      <c r="E461" s="217" t="s">
        <v>1624</v>
      </c>
      <c r="F461" s="218" t="s">
        <v>1417</v>
      </c>
      <c r="G461" s="116">
        <v>1190</v>
      </c>
      <c r="H461" s="1776" t="s">
        <v>1349</v>
      </c>
      <c r="J461" s="224"/>
      <c r="K461" s="34" t="s">
        <v>25</v>
      </c>
      <c r="L461" s="475"/>
      <c r="M461" s="224"/>
      <c r="N461" s="224"/>
      <c r="O461" s="902" t="s">
        <v>6395</v>
      </c>
    </row>
    <row r="462" spans="1:15" x14ac:dyDescent="0.3">
      <c r="A462" s="2401">
        <v>456</v>
      </c>
      <c r="B462" s="1122" t="s">
        <v>1477</v>
      </c>
      <c r="C462" s="216" t="s">
        <v>1344</v>
      </c>
      <c r="D462" s="495" t="s">
        <v>938</v>
      </c>
      <c r="E462" s="217" t="s">
        <v>1625</v>
      </c>
      <c r="F462" s="218" t="s">
        <v>1417</v>
      </c>
      <c r="G462" s="116">
        <v>1190</v>
      </c>
      <c r="H462" s="1776" t="s">
        <v>1349</v>
      </c>
      <c r="J462" s="224"/>
      <c r="K462" s="34" t="s">
        <v>25</v>
      </c>
      <c r="L462" s="475"/>
      <c r="M462" s="224"/>
      <c r="N462" s="224"/>
      <c r="O462" s="902" t="s">
        <v>6395</v>
      </c>
    </row>
    <row r="463" spans="1:15" x14ac:dyDescent="0.3">
      <c r="A463" s="2402">
        <v>457</v>
      </c>
      <c r="B463" s="1122" t="s">
        <v>1477</v>
      </c>
      <c r="C463" s="216" t="s">
        <v>1344</v>
      </c>
      <c r="D463" s="793" t="s">
        <v>938</v>
      </c>
      <c r="E463" s="217" t="s">
        <v>1626</v>
      </c>
      <c r="F463" s="218" t="s">
        <v>1417</v>
      </c>
      <c r="G463" s="116">
        <v>1190</v>
      </c>
      <c r="H463" s="1776" t="s">
        <v>1349</v>
      </c>
      <c r="J463" s="224"/>
      <c r="K463" s="34" t="s">
        <v>25</v>
      </c>
      <c r="L463" s="475"/>
      <c r="M463" s="224"/>
      <c r="N463" s="224"/>
      <c r="O463" s="902" t="s">
        <v>6395</v>
      </c>
    </row>
    <row r="464" spans="1:15" x14ac:dyDescent="0.3">
      <c r="A464" s="2402">
        <v>458</v>
      </c>
      <c r="B464" s="1122" t="s">
        <v>1477</v>
      </c>
      <c r="C464" s="216" t="s">
        <v>1344</v>
      </c>
      <c r="D464" s="452" t="s">
        <v>938</v>
      </c>
      <c r="E464" s="217" t="s">
        <v>1627</v>
      </c>
      <c r="F464" s="218" t="s">
        <v>1417</v>
      </c>
      <c r="G464" s="116">
        <v>1190</v>
      </c>
      <c r="H464" s="1776" t="s">
        <v>1349</v>
      </c>
      <c r="J464" s="224"/>
      <c r="K464" s="34" t="s">
        <v>25</v>
      </c>
      <c r="L464" s="475"/>
      <c r="M464" s="224"/>
      <c r="N464" s="224"/>
      <c r="O464" s="902" t="s">
        <v>6395</v>
      </c>
    </row>
    <row r="465" spans="1:15" x14ac:dyDescent="0.3">
      <c r="A465" s="2401">
        <v>459</v>
      </c>
      <c r="B465" s="1122" t="s">
        <v>1477</v>
      </c>
      <c r="C465" s="216" t="s">
        <v>1344</v>
      </c>
      <c r="D465" s="793" t="s">
        <v>938</v>
      </c>
      <c r="E465" s="217" t="s">
        <v>1628</v>
      </c>
      <c r="F465" s="218" t="s">
        <v>1417</v>
      </c>
      <c r="G465" s="116">
        <v>1190</v>
      </c>
      <c r="H465" s="1776" t="s">
        <v>1349</v>
      </c>
      <c r="J465" s="224"/>
      <c r="K465" s="34" t="s">
        <v>25</v>
      </c>
      <c r="L465" s="475"/>
      <c r="M465" s="224"/>
      <c r="N465" s="224"/>
      <c r="O465" s="902" t="s">
        <v>6395</v>
      </c>
    </row>
    <row r="466" spans="1:15" x14ac:dyDescent="0.3">
      <c r="A466" s="2402">
        <v>460</v>
      </c>
      <c r="B466" s="1122" t="s">
        <v>1477</v>
      </c>
      <c r="C466" s="216" t="s">
        <v>1344</v>
      </c>
      <c r="D466" s="416" t="s">
        <v>938</v>
      </c>
      <c r="E466" s="217" t="s">
        <v>1629</v>
      </c>
      <c r="F466" s="218" t="s">
        <v>1417</v>
      </c>
      <c r="G466" s="116">
        <v>1190</v>
      </c>
      <c r="H466" s="1776" t="s">
        <v>1349</v>
      </c>
      <c r="J466" s="224"/>
      <c r="K466" s="34" t="s">
        <v>25</v>
      </c>
      <c r="L466" s="475"/>
      <c r="M466" s="224"/>
      <c r="N466" s="224"/>
      <c r="O466" s="902" t="s">
        <v>6395</v>
      </c>
    </row>
    <row r="467" spans="1:15" x14ac:dyDescent="0.3">
      <c r="A467" s="2402">
        <v>461</v>
      </c>
      <c r="B467" s="1122" t="s">
        <v>1477</v>
      </c>
      <c r="C467" s="216" t="s">
        <v>1344</v>
      </c>
      <c r="D467" s="416" t="s">
        <v>938</v>
      </c>
      <c r="E467" s="217" t="s">
        <v>1630</v>
      </c>
      <c r="F467" s="218" t="s">
        <v>1417</v>
      </c>
      <c r="G467" s="116">
        <v>1190</v>
      </c>
      <c r="H467" s="1776" t="s">
        <v>1349</v>
      </c>
      <c r="J467" s="224"/>
      <c r="K467" s="34" t="s">
        <v>25</v>
      </c>
      <c r="L467" s="475"/>
      <c r="M467" s="224"/>
      <c r="N467" s="224"/>
      <c r="O467" s="902" t="s">
        <v>6395</v>
      </c>
    </row>
    <row r="468" spans="1:15" x14ac:dyDescent="0.3">
      <c r="A468" s="2401">
        <v>462</v>
      </c>
      <c r="B468" s="1122" t="s">
        <v>1477</v>
      </c>
      <c r="C468" s="216" t="s">
        <v>1344</v>
      </c>
      <c r="D468" s="416" t="s">
        <v>938</v>
      </c>
      <c r="E468" s="217" t="s">
        <v>1631</v>
      </c>
      <c r="F468" s="218" t="s">
        <v>1417</v>
      </c>
      <c r="G468" s="116">
        <v>1190</v>
      </c>
      <c r="H468" s="1776" t="s">
        <v>1349</v>
      </c>
      <c r="J468" s="224"/>
      <c r="K468" s="34" t="s">
        <v>25</v>
      </c>
      <c r="L468" s="475"/>
      <c r="M468" s="224"/>
      <c r="N468" s="224"/>
      <c r="O468" s="902" t="s">
        <v>6395</v>
      </c>
    </row>
    <row r="469" spans="1:15" x14ac:dyDescent="0.3">
      <c r="A469" s="2402">
        <v>463</v>
      </c>
      <c r="B469" s="1122" t="s">
        <v>1477</v>
      </c>
      <c r="C469" s="216" t="s">
        <v>1344</v>
      </c>
      <c r="D469" s="416" t="s">
        <v>938</v>
      </c>
      <c r="E469" s="217" t="s">
        <v>1632</v>
      </c>
      <c r="F469" s="218" t="s">
        <v>1417</v>
      </c>
      <c r="G469" s="116">
        <v>1190</v>
      </c>
      <c r="H469" s="1776" t="s">
        <v>1349</v>
      </c>
      <c r="J469" s="224"/>
      <c r="K469" s="34" t="s">
        <v>25</v>
      </c>
      <c r="L469" s="475"/>
      <c r="M469" s="224"/>
      <c r="N469" s="224"/>
      <c r="O469" s="902" t="s">
        <v>6395</v>
      </c>
    </row>
    <row r="470" spans="1:15" x14ac:dyDescent="0.3">
      <c r="A470" s="2402">
        <v>464</v>
      </c>
      <c r="B470" s="1122" t="s">
        <v>1477</v>
      </c>
      <c r="C470" s="216" t="s">
        <v>1344</v>
      </c>
      <c r="D470" s="416" t="s">
        <v>938</v>
      </c>
      <c r="E470" s="217" t="s">
        <v>1633</v>
      </c>
      <c r="F470" s="218" t="s">
        <v>1417</v>
      </c>
      <c r="G470" s="116">
        <v>1190</v>
      </c>
      <c r="H470" s="1776" t="s">
        <v>1349</v>
      </c>
      <c r="J470" s="224"/>
      <c r="K470" s="34" t="s">
        <v>25</v>
      </c>
      <c r="L470" s="475"/>
      <c r="M470" s="224"/>
      <c r="N470" s="224"/>
      <c r="O470" s="902" t="s">
        <v>6395</v>
      </c>
    </row>
    <row r="471" spans="1:15" x14ac:dyDescent="0.3">
      <c r="A471" s="2401">
        <v>465</v>
      </c>
      <c r="B471" s="1122" t="s">
        <v>1477</v>
      </c>
      <c r="C471" s="216" t="s">
        <v>1344</v>
      </c>
      <c r="D471" s="416" t="s">
        <v>938</v>
      </c>
      <c r="E471" s="217" t="s">
        <v>459</v>
      </c>
      <c r="F471" s="218" t="s">
        <v>1417</v>
      </c>
      <c r="G471" s="116">
        <v>1190</v>
      </c>
      <c r="H471" s="1776" t="s">
        <v>1349</v>
      </c>
      <c r="J471" s="224"/>
      <c r="K471" s="34" t="s">
        <v>25</v>
      </c>
      <c r="L471" s="475"/>
      <c r="M471" s="224"/>
      <c r="N471" s="224"/>
      <c r="O471" s="902" t="s">
        <v>6395</v>
      </c>
    </row>
    <row r="472" spans="1:15" x14ac:dyDescent="0.3">
      <c r="A472" s="2402">
        <v>466</v>
      </c>
      <c r="B472" s="1122" t="s">
        <v>1477</v>
      </c>
      <c r="C472" s="216" t="s">
        <v>1344</v>
      </c>
      <c r="D472" s="416" t="s">
        <v>938</v>
      </c>
      <c r="E472" s="217" t="s">
        <v>462</v>
      </c>
      <c r="F472" s="218" t="s">
        <v>1417</v>
      </c>
      <c r="G472" s="116">
        <v>1190</v>
      </c>
      <c r="H472" s="1776" t="s">
        <v>1349</v>
      </c>
      <c r="J472" s="224"/>
      <c r="K472" s="34" t="s">
        <v>25</v>
      </c>
      <c r="L472" s="475"/>
      <c r="M472" s="224"/>
      <c r="N472" s="224"/>
      <c r="O472" s="902" t="s">
        <v>6395</v>
      </c>
    </row>
    <row r="473" spans="1:15" x14ac:dyDescent="0.3">
      <c r="A473" s="2402">
        <v>467</v>
      </c>
      <c r="B473" s="1122" t="s">
        <v>1477</v>
      </c>
      <c r="C473" s="216" t="s">
        <v>1344</v>
      </c>
      <c r="D473" s="416" t="s">
        <v>938</v>
      </c>
      <c r="E473" s="217" t="s">
        <v>463</v>
      </c>
      <c r="F473" s="218" t="s">
        <v>1417</v>
      </c>
      <c r="G473" s="116">
        <v>1190</v>
      </c>
      <c r="H473" s="1776" t="s">
        <v>1349</v>
      </c>
      <c r="J473" s="224"/>
      <c r="K473" s="34" t="s">
        <v>25</v>
      </c>
      <c r="L473" s="475"/>
      <c r="M473" s="224"/>
      <c r="N473" s="224"/>
      <c r="O473" s="902" t="s">
        <v>6395</v>
      </c>
    </row>
    <row r="474" spans="1:15" x14ac:dyDescent="0.3">
      <c r="A474" s="2401">
        <v>468</v>
      </c>
      <c r="B474" s="1122" t="s">
        <v>1477</v>
      </c>
      <c r="C474" s="216" t="s">
        <v>1344</v>
      </c>
      <c r="D474" s="416" t="s">
        <v>938</v>
      </c>
      <c r="E474" s="217" t="s">
        <v>464</v>
      </c>
      <c r="F474" s="218" t="s">
        <v>1417</v>
      </c>
      <c r="G474" s="116">
        <v>1190</v>
      </c>
      <c r="H474" s="1776" t="s">
        <v>1349</v>
      </c>
      <c r="J474" s="224"/>
      <c r="K474" s="34" t="s">
        <v>25</v>
      </c>
      <c r="L474" s="475"/>
      <c r="M474" s="224"/>
      <c r="N474" s="224"/>
      <c r="O474" s="902" t="s">
        <v>6395</v>
      </c>
    </row>
    <row r="475" spans="1:15" x14ac:dyDescent="0.3">
      <c r="A475" s="2402">
        <v>469</v>
      </c>
      <c r="B475" s="1122" t="s">
        <v>1477</v>
      </c>
      <c r="C475" s="216" t="s">
        <v>1344</v>
      </c>
      <c r="D475" s="416" t="s">
        <v>938</v>
      </c>
      <c r="E475" s="217" t="s">
        <v>1634</v>
      </c>
      <c r="F475" s="218" t="s">
        <v>1417</v>
      </c>
      <c r="G475" s="116">
        <v>1190</v>
      </c>
      <c r="H475" s="1776" t="s">
        <v>1349</v>
      </c>
      <c r="J475" s="224"/>
      <c r="K475" s="34" t="s">
        <v>25</v>
      </c>
      <c r="L475" s="475"/>
      <c r="M475" s="224"/>
      <c r="N475" s="224"/>
      <c r="O475" s="902" t="s">
        <v>6395</v>
      </c>
    </row>
    <row r="476" spans="1:15" x14ac:dyDescent="0.3">
      <c r="A476" s="2402">
        <v>470</v>
      </c>
      <c r="B476" s="1122" t="s">
        <v>1477</v>
      </c>
      <c r="C476" s="216" t="s">
        <v>1344</v>
      </c>
      <c r="D476" s="452" t="s">
        <v>938</v>
      </c>
      <c r="E476" s="217" t="s">
        <v>1635</v>
      </c>
      <c r="F476" s="218" t="s">
        <v>1417</v>
      </c>
      <c r="G476" s="116">
        <v>1190</v>
      </c>
      <c r="H476" s="1776" t="s">
        <v>1349</v>
      </c>
      <c r="J476" s="224"/>
      <c r="K476" s="34" t="s">
        <v>25</v>
      </c>
      <c r="L476" s="475"/>
      <c r="M476" s="224"/>
      <c r="N476" s="224"/>
      <c r="O476" s="902" t="s">
        <v>6395</v>
      </c>
    </row>
    <row r="477" spans="1:15" x14ac:dyDescent="0.3">
      <c r="A477" s="2401">
        <v>471</v>
      </c>
      <c r="B477" s="1122" t="s">
        <v>1477</v>
      </c>
      <c r="C477" s="1117" t="s">
        <v>1344</v>
      </c>
      <c r="D477" s="495" t="s">
        <v>938</v>
      </c>
      <c r="E477" s="217" t="s">
        <v>1636</v>
      </c>
      <c r="F477" s="218" t="s">
        <v>1417</v>
      </c>
      <c r="G477" s="116">
        <v>1190</v>
      </c>
      <c r="H477" s="1776" t="s">
        <v>1349</v>
      </c>
      <c r="J477" s="224"/>
      <c r="K477" s="34" t="s">
        <v>25</v>
      </c>
      <c r="L477" s="475"/>
      <c r="M477" s="224"/>
      <c r="N477" s="224"/>
      <c r="O477" s="902" t="s">
        <v>6395</v>
      </c>
    </row>
    <row r="478" spans="1:15" x14ac:dyDescent="0.3">
      <c r="A478" s="2402">
        <v>472</v>
      </c>
      <c r="B478" s="1122" t="s">
        <v>1477</v>
      </c>
      <c r="C478" s="1117" t="s">
        <v>1344</v>
      </c>
      <c r="D478" s="793" t="s">
        <v>938</v>
      </c>
      <c r="E478" s="217" t="s">
        <v>1637</v>
      </c>
      <c r="F478" s="218" t="s">
        <v>1417</v>
      </c>
      <c r="G478" s="116">
        <v>1190</v>
      </c>
      <c r="H478" s="1776" t="s">
        <v>1349</v>
      </c>
      <c r="J478" s="224"/>
      <c r="K478" s="34" t="s">
        <v>25</v>
      </c>
      <c r="L478" s="475"/>
      <c r="M478" s="224"/>
      <c r="N478" s="224"/>
      <c r="O478" s="902" t="s">
        <v>6395</v>
      </c>
    </row>
    <row r="479" spans="1:15" x14ac:dyDescent="0.3">
      <c r="A479" s="2402">
        <v>473</v>
      </c>
      <c r="B479" s="1122" t="s">
        <v>1477</v>
      </c>
      <c r="C479" s="1117" t="s">
        <v>1344</v>
      </c>
      <c r="D479" s="416" t="s">
        <v>938</v>
      </c>
      <c r="E479" s="217" t="s">
        <v>1638</v>
      </c>
      <c r="F479" s="218" t="s">
        <v>1417</v>
      </c>
      <c r="G479" s="116">
        <v>1190</v>
      </c>
      <c r="H479" s="1776" t="s">
        <v>1349</v>
      </c>
      <c r="J479" s="224"/>
      <c r="K479" s="34" t="s">
        <v>25</v>
      </c>
      <c r="L479" s="475"/>
      <c r="M479" s="224"/>
      <c r="N479" s="224"/>
      <c r="O479" s="902" t="s">
        <v>6395</v>
      </c>
    </row>
    <row r="480" spans="1:15" x14ac:dyDescent="0.3">
      <c r="A480" s="2401">
        <v>474</v>
      </c>
      <c r="B480" s="1122" t="s">
        <v>1477</v>
      </c>
      <c r="C480" s="1117" t="s">
        <v>1344</v>
      </c>
      <c r="D480" s="416" t="s">
        <v>938</v>
      </c>
      <c r="E480" s="217" t="s">
        <v>1639</v>
      </c>
      <c r="F480" s="218" t="s">
        <v>1417</v>
      </c>
      <c r="G480" s="116">
        <v>1190</v>
      </c>
      <c r="H480" s="1776" t="s">
        <v>1349</v>
      </c>
      <c r="J480" s="224"/>
      <c r="K480" s="34" t="s">
        <v>25</v>
      </c>
      <c r="L480" s="475"/>
      <c r="M480" s="224"/>
      <c r="N480" s="224"/>
      <c r="O480" s="902" t="s">
        <v>6395</v>
      </c>
    </row>
    <row r="481" spans="1:15" x14ac:dyDescent="0.3">
      <c r="A481" s="2402">
        <v>475</v>
      </c>
      <c r="B481" s="1122" t="s">
        <v>1477</v>
      </c>
      <c r="C481" s="1117" t="s">
        <v>1344</v>
      </c>
      <c r="D481" s="416" t="s">
        <v>938</v>
      </c>
      <c r="E481" s="217" t="s">
        <v>1640</v>
      </c>
      <c r="F481" s="218" t="s">
        <v>1417</v>
      </c>
      <c r="G481" s="116">
        <v>1190</v>
      </c>
      <c r="H481" s="1776" t="s">
        <v>1349</v>
      </c>
      <c r="J481" s="224"/>
      <c r="K481" s="34" t="s">
        <v>25</v>
      </c>
      <c r="L481" s="475"/>
      <c r="M481" s="224"/>
      <c r="N481" s="224"/>
      <c r="O481" s="902" t="s">
        <v>6395</v>
      </c>
    </row>
    <row r="482" spans="1:15" x14ac:dyDescent="0.3">
      <c r="A482" s="2402">
        <v>476</v>
      </c>
      <c r="B482" s="1122" t="s">
        <v>1477</v>
      </c>
      <c r="C482" s="1117" t="s">
        <v>1344</v>
      </c>
      <c r="D482" s="416" t="s">
        <v>938</v>
      </c>
      <c r="E482" s="217" t="s">
        <v>1641</v>
      </c>
      <c r="F482" s="218" t="s">
        <v>1417</v>
      </c>
      <c r="G482" s="116">
        <v>1190</v>
      </c>
      <c r="H482" s="1776" t="s">
        <v>1349</v>
      </c>
      <c r="J482" s="224"/>
      <c r="K482" s="34" t="s">
        <v>25</v>
      </c>
      <c r="L482" s="475"/>
      <c r="M482" s="224"/>
      <c r="N482" s="224"/>
      <c r="O482" s="902" t="s">
        <v>6395</v>
      </c>
    </row>
    <row r="483" spans="1:15" x14ac:dyDescent="0.3">
      <c r="A483" s="2401">
        <v>477</v>
      </c>
      <c r="B483" s="1122" t="s">
        <v>1477</v>
      </c>
      <c r="C483" s="1117" t="s">
        <v>1344</v>
      </c>
      <c r="D483" s="416" t="s">
        <v>938</v>
      </c>
      <c r="E483" s="217" t="s">
        <v>1642</v>
      </c>
      <c r="F483" s="218" t="s">
        <v>1417</v>
      </c>
      <c r="G483" s="116">
        <v>1190</v>
      </c>
      <c r="H483" s="1776" t="s">
        <v>1349</v>
      </c>
      <c r="J483" s="224"/>
      <c r="K483" s="34" t="s">
        <v>25</v>
      </c>
      <c r="L483" s="475"/>
      <c r="M483" s="224"/>
      <c r="N483" s="224"/>
      <c r="O483" s="902" t="s">
        <v>6395</v>
      </c>
    </row>
    <row r="484" spans="1:15" x14ac:dyDescent="0.3">
      <c r="A484" s="2402">
        <v>478</v>
      </c>
      <c r="B484" s="1122" t="s">
        <v>1477</v>
      </c>
      <c r="C484" s="1117" t="s">
        <v>1344</v>
      </c>
      <c r="D484" s="416" t="s">
        <v>938</v>
      </c>
      <c r="E484" s="217" t="s">
        <v>1643</v>
      </c>
      <c r="F484" s="218" t="s">
        <v>1417</v>
      </c>
      <c r="G484" s="116">
        <v>1190</v>
      </c>
      <c r="H484" s="1776" t="s">
        <v>1349</v>
      </c>
      <c r="J484" s="224"/>
      <c r="K484" s="34" t="s">
        <v>25</v>
      </c>
      <c r="L484" s="475"/>
      <c r="M484" s="224"/>
      <c r="N484" s="224"/>
      <c r="O484" s="902" t="s">
        <v>6395</v>
      </c>
    </row>
    <row r="485" spans="1:15" x14ac:dyDescent="0.3">
      <c r="A485" s="2402">
        <v>479</v>
      </c>
      <c r="B485" s="1122" t="s">
        <v>1477</v>
      </c>
      <c r="C485" s="1117" t="s">
        <v>1344</v>
      </c>
      <c r="D485" s="416" t="s">
        <v>938</v>
      </c>
      <c r="E485" s="217" t="s">
        <v>1644</v>
      </c>
      <c r="F485" s="218" t="s">
        <v>1417</v>
      </c>
      <c r="G485" s="116">
        <v>1190</v>
      </c>
      <c r="H485" s="1776" t="s">
        <v>1349</v>
      </c>
      <c r="J485" s="224"/>
      <c r="K485" s="34" t="s">
        <v>25</v>
      </c>
      <c r="L485" s="475"/>
      <c r="M485" s="224"/>
      <c r="N485" s="224"/>
      <c r="O485" s="902" t="s">
        <v>6395</v>
      </c>
    </row>
    <row r="486" spans="1:15" x14ac:dyDescent="0.3">
      <c r="A486" s="2401">
        <v>480</v>
      </c>
      <c r="B486" s="1122" t="s">
        <v>1477</v>
      </c>
      <c r="C486" s="216" t="s">
        <v>1344</v>
      </c>
      <c r="D486" s="452" t="s">
        <v>938</v>
      </c>
      <c r="E486" s="217" t="s">
        <v>1645</v>
      </c>
      <c r="F486" s="218" t="s">
        <v>1417</v>
      </c>
      <c r="G486" s="116">
        <v>1190</v>
      </c>
      <c r="H486" s="1776" t="s">
        <v>1349</v>
      </c>
      <c r="J486" s="224"/>
      <c r="K486" s="34" t="s">
        <v>25</v>
      </c>
      <c r="L486" s="475"/>
      <c r="M486" s="224"/>
      <c r="N486" s="224"/>
      <c r="O486" s="902" t="s">
        <v>6395</v>
      </c>
    </row>
    <row r="487" spans="1:15" x14ac:dyDescent="0.3">
      <c r="A487" s="2402">
        <v>481</v>
      </c>
      <c r="B487" s="1122" t="s">
        <v>1477</v>
      </c>
      <c r="C487" s="216" t="s">
        <v>1344</v>
      </c>
      <c r="D487" s="495" t="s">
        <v>938</v>
      </c>
      <c r="E487" s="217" t="s">
        <v>1646</v>
      </c>
      <c r="F487" s="218" t="s">
        <v>1417</v>
      </c>
      <c r="G487" s="116">
        <v>1190</v>
      </c>
      <c r="H487" s="1776" t="s">
        <v>1349</v>
      </c>
      <c r="J487" s="224"/>
      <c r="K487" s="34" t="s">
        <v>25</v>
      </c>
      <c r="L487" s="475"/>
      <c r="M487" s="224"/>
      <c r="N487" s="224"/>
      <c r="O487" s="902" t="s">
        <v>6395</v>
      </c>
    </row>
    <row r="488" spans="1:15" x14ac:dyDescent="0.3">
      <c r="A488" s="2402">
        <v>482</v>
      </c>
      <c r="B488" s="1122" t="s">
        <v>1477</v>
      </c>
      <c r="C488" s="216" t="s">
        <v>1344</v>
      </c>
      <c r="D488" s="793" t="s">
        <v>938</v>
      </c>
      <c r="E488" s="217" t="s">
        <v>1647</v>
      </c>
      <c r="F488" s="218" t="s">
        <v>1417</v>
      </c>
      <c r="G488" s="116">
        <v>1190</v>
      </c>
      <c r="H488" s="1776" t="s">
        <v>1349</v>
      </c>
      <c r="J488" s="224"/>
      <c r="K488" s="34" t="s">
        <v>25</v>
      </c>
      <c r="L488" s="475"/>
      <c r="M488" s="224"/>
      <c r="N488" s="224"/>
      <c r="O488" s="902" t="s">
        <v>6395</v>
      </c>
    </row>
    <row r="489" spans="1:15" x14ac:dyDescent="0.3">
      <c r="A489" s="2401">
        <v>483</v>
      </c>
      <c r="B489" s="1122" t="s">
        <v>1477</v>
      </c>
      <c r="C489" s="216" t="s">
        <v>1344</v>
      </c>
      <c r="D489" s="416" t="s">
        <v>938</v>
      </c>
      <c r="E489" s="217" t="s">
        <v>1648</v>
      </c>
      <c r="F489" s="218" t="s">
        <v>1417</v>
      </c>
      <c r="G489" s="116">
        <v>1190</v>
      </c>
      <c r="H489" s="1776" t="s">
        <v>1349</v>
      </c>
      <c r="J489" s="224"/>
      <c r="K489" s="34" t="s">
        <v>25</v>
      </c>
      <c r="L489" s="475"/>
      <c r="M489" s="224"/>
      <c r="N489" s="224"/>
      <c r="O489" s="902" t="s">
        <v>6395</v>
      </c>
    </row>
    <row r="490" spans="1:15" x14ac:dyDescent="0.3">
      <c r="A490" s="2402">
        <v>484</v>
      </c>
      <c r="B490" s="1122" t="s">
        <v>1477</v>
      </c>
      <c r="C490" s="216" t="s">
        <v>1344</v>
      </c>
      <c r="D490" s="416" t="s">
        <v>938</v>
      </c>
      <c r="E490" s="217" t="s">
        <v>1649</v>
      </c>
      <c r="F490" s="218" t="s">
        <v>1417</v>
      </c>
      <c r="G490" s="116">
        <v>1190</v>
      </c>
      <c r="H490" s="1776" t="s">
        <v>1349</v>
      </c>
      <c r="J490" s="224"/>
      <c r="K490" s="34" t="s">
        <v>25</v>
      </c>
      <c r="L490" s="475"/>
      <c r="M490" s="224"/>
      <c r="N490" s="224"/>
      <c r="O490" s="902" t="s">
        <v>6395</v>
      </c>
    </row>
    <row r="491" spans="1:15" x14ac:dyDescent="0.3">
      <c r="A491" s="2402">
        <v>485</v>
      </c>
      <c r="B491" s="1122" t="s">
        <v>1477</v>
      </c>
      <c r="C491" s="216" t="s">
        <v>1344</v>
      </c>
      <c r="D491" s="416" t="s">
        <v>938</v>
      </c>
      <c r="E491" s="217" t="s">
        <v>1650</v>
      </c>
      <c r="F491" s="218" t="s">
        <v>1417</v>
      </c>
      <c r="G491" s="116">
        <v>1190</v>
      </c>
      <c r="H491" s="1776" t="s">
        <v>1349</v>
      </c>
      <c r="J491" s="224"/>
      <c r="K491" s="34" t="s">
        <v>25</v>
      </c>
      <c r="L491" s="475"/>
      <c r="M491" s="224"/>
      <c r="N491" s="224"/>
      <c r="O491" s="902" t="s">
        <v>6395</v>
      </c>
    </row>
    <row r="492" spans="1:15" x14ac:dyDescent="0.3">
      <c r="A492" s="2401">
        <v>486</v>
      </c>
      <c r="B492" s="1122" t="s">
        <v>1477</v>
      </c>
      <c r="C492" s="216" t="s">
        <v>1344</v>
      </c>
      <c r="D492" s="416" t="s">
        <v>938</v>
      </c>
      <c r="E492" s="217" t="s">
        <v>1651</v>
      </c>
      <c r="F492" s="218" t="s">
        <v>1417</v>
      </c>
      <c r="G492" s="116">
        <v>1190</v>
      </c>
      <c r="H492" s="1776" t="s">
        <v>1349</v>
      </c>
      <c r="J492" s="224"/>
      <c r="K492" s="34" t="s">
        <v>25</v>
      </c>
      <c r="L492" s="475"/>
      <c r="M492" s="224"/>
      <c r="N492" s="224"/>
      <c r="O492" s="902" t="s">
        <v>6395</v>
      </c>
    </row>
    <row r="493" spans="1:15" x14ac:dyDescent="0.3">
      <c r="A493" s="2402">
        <v>487</v>
      </c>
      <c r="B493" s="1122" t="s">
        <v>1477</v>
      </c>
      <c r="C493" s="216" t="s">
        <v>1344</v>
      </c>
      <c r="D493" s="416" t="s">
        <v>938</v>
      </c>
      <c r="E493" s="217" t="s">
        <v>1652</v>
      </c>
      <c r="F493" s="218" t="s">
        <v>1417</v>
      </c>
      <c r="G493" s="116">
        <v>1190</v>
      </c>
      <c r="H493" s="1776" t="s">
        <v>1349</v>
      </c>
      <c r="J493" s="224"/>
      <c r="K493" s="34" t="s">
        <v>25</v>
      </c>
      <c r="L493" s="475"/>
      <c r="M493" s="224"/>
      <c r="N493" s="224"/>
      <c r="O493" s="902" t="s">
        <v>6395</v>
      </c>
    </row>
    <row r="494" spans="1:15" x14ac:dyDescent="0.3">
      <c r="A494" s="2402">
        <v>488</v>
      </c>
      <c r="B494" s="1122" t="s">
        <v>1477</v>
      </c>
      <c r="C494" s="216" t="s">
        <v>1344</v>
      </c>
      <c r="D494" s="416" t="s">
        <v>938</v>
      </c>
      <c r="E494" s="217" t="s">
        <v>1653</v>
      </c>
      <c r="F494" s="218" t="s">
        <v>1417</v>
      </c>
      <c r="G494" s="116">
        <v>1190</v>
      </c>
      <c r="H494" s="1776" t="s">
        <v>1349</v>
      </c>
      <c r="J494" s="224"/>
      <c r="K494" s="34" t="s">
        <v>25</v>
      </c>
      <c r="L494" s="475"/>
      <c r="M494" s="224"/>
      <c r="N494" s="224"/>
      <c r="O494" s="902" t="s">
        <v>6395</v>
      </c>
    </row>
    <row r="495" spans="1:15" x14ac:dyDescent="0.3">
      <c r="A495" s="2401">
        <v>489</v>
      </c>
      <c r="B495" s="1122" t="s">
        <v>1477</v>
      </c>
      <c r="C495" s="216" t="s">
        <v>1344</v>
      </c>
      <c r="D495" s="416" t="s">
        <v>938</v>
      </c>
      <c r="E495" s="217" t="s">
        <v>1654</v>
      </c>
      <c r="F495" s="218" t="s">
        <v>1417</v>
      </c>
      <c r="G495" s="116">
        <v>1190</v>
      </c>
      <c r="H495" s="1776" t="s">
        <v>1349</v>
      </c>
      <c r="J495" s="224"/>
      <c r="K495" s="34" t="s">
        <v>25</v>
      </c>
      <c r="L495" s="475"/>
      <c r="M495" s="224"/>
      <c r="N495" s="224"/>
      <c r="O495" s="902" t="s">
        <v>6395</v>
      </c>
    </row>
    <row r="496" spans="1:15" x14ac:dyDescent="0.3">
      <c r="A496" s="2402">
        <v>490</v>
      </c>
      <c r="B496" s="1122" t="s">
        <v>1477</v>
      </c>
      <c r="C496" s="216" t="s">
        <v>1344</v>
      </c>
      <c r="D496" s="416" t="s">
        <v>938</v>
      </c>
      <c r="E496" s="217" t="s">
        <v>1655</v>
      </c>
      <c r="F496" s="218" t="s">
        <v>1417</v>
      </c>
      <c r="G496" s="116">
        <v>1190</v>
      </c>
      <c r="H496" s="1776" t="s">
        <v>1349</v>
      </c>
      <c r="J496" s="224"/>
      <c r="K496" s="34" t="s">
        <v>25</v>
      </c>
      <c r="L496" s="475"/>
      <c r="M496" s="224"/>
      <c r="N496" s="224"/>
      <c r="O496" s="902" t="s">
        <v>6395</v>
      </c>
    </row>
    <row r="497" spans="1:15" x14ac:dyDescent="0.3">
      <c r="A497" s="2402">
        <v>491</v>
      </c>
      <c r="B497" s="1122" t="s">
        <v>1477</v>
      </c>
      <c r="C497" s="216" t="s">
        <v>1344</v>
      </c>
      <c r="D497" s="416" t="s">
        <v>938</v>
      </c>
      <c r="E497" s="217" t="s">
        <v>1656</v>
      </c>
      <c r="F497" s="218" t="s">
        <v>1417</v>
      </c>
      <c r="G497" s="116">
        <v>1190</v>
      </c>
      <c r="H497" s="1776" t="s">
        <v>1349</v>
      </c>
      <c r="J497" s="224"/>
      <c r="K497" s="34" t="s">
        <v>25</v>
      </c>
      <c r="L497" s="475"/>
      <c r="M497" s="224"/>
      <c r="N497" s="224"/>
      <c r="O497" s="902" t="s">
        <v>6395</v>
      </c>
    </row>
    <row r="498" spans="1:15" x14ac:dyDescent="0.3">
      <c r="A498" s="2401">
        <v>492</v>
      </c>
      <c r="B498" s="1122" t="s">
        <v>1477</v>
      </c>
      <c r="C498" s="216" t="s">
        <v>1344</v>
      </c>
      <c r="D498" s="416" t="s">
        <v>938</v>
      </c>
      <c r="E498" s="217" t="s">
        <v>1657</v>
      </c>
      <c r="F498" s="218" t="s">
        <v>1417</v>
      </c>
      <c r="G498" s="116">
        <v>1190</v>
      </c>
      <c r="H498" s="1776" t="s">
        <v>1349</v>
      </c>
      <c r="J498" s="224"/>
      <c r="K498" s="34" t="s">
        <v>25</v>
      </c>
      <c r="L498" s="475"/>
      <c r="M498" s="224"/>
      <c r="N498" s="224"/>
      <c r="O498" s="902" t="s">
        <v>6395</v>
      </c>
    </row>
    <row r="499" spans="1:15" x14ac:dyDescent="0.3">
      <c r="A499" s="2402">
        <v>493</v>
      </c>
      <c r="B499" s="1122" t="s">
        <v>1477</v>
      </c>
      <c r="C499" s="216" t="s">
        <v>1344</v>
      </c>
      <c r="D499" s="416" t="s">
        <v>938</v>
      </c>
      <c r="E499" s="217" t="s">
        <v>1658</v>
      </c>
      <c r="F499" s="218" t="s">
        <v>1417</v>
      </c>
      <c r="G499" s="116">
        <v>1190</v>
      </c>
      <c r="H499" s="1776" t="s">
        <v>1349</v>
      </c>
      <c r="J499" s="224"/>
      <c r="K499" s="34" t="s">
        <v>25</v>
      </c>
      <c r="L499" s="475"/>
      <c r="M499" s="224"/>
      <c r="N499" s="224"/>
      <c r="O499" s="902" t="s">
        <v>6395</v>
      </c>
    </row>
    <row r="500" spans="1:15" x14ac:dyDescent="0.3">
      <c r="A500" s="2402">
        <v>494</v>
      </c>
      <c r="B500" s="1122" t="s">
        <v>1477</v>
      </c>
      <c r="C500" s="216" t="s">
        <v>1344</v>
      </c>
      <c r="D500" s="452" t="s">
        <v>938</v>
      </c>
      <c r="E500" s="217" t="s">
        <v>1659</v>
      </c>
      <c r="F500" s="218" t="s">
        <v>1417</v>
      </c>
      <c r="G500" s="116">
        <v>1190</v>
      </c>
      <c r="H500" s="1776" t="s">
        <v>1349</v>
      </c>
      <c r="J500" s="224"/>
      <c r="K500" s="34" t="s">
        <v>25</v>
      </c>
      <c r="L500" s="475"/>
      <c r="M500" s="224"/>
      <c r="N500" s="224"/>
      <c r="O500" s="902" t="s">
        <v>6395</v>
      </c>
    </row>
    <row r="501" spans="1:15" x14ac:dyDescent="0.3">
      <c r="A501" s="2401">
        <v>495</v>
      </c>
      <c r="B501" s="1122" t="s">
        <v>1477</v>
      </c>
      <c r="C501" s="216" t="s">
        <v>1344</v>
      </c>
      <c r="D501" s="495" t="s">
        <v>938</v>
      </c>
      <c r="E501" s="217" t="s">
        <v>1660</v>
      </c>
      <c r="F501" s="218" t="s">
        <v>1417</v>
      </c>
      <c r="G501" s="116">
        <v>1190</v>
      </c>
      <c r="H501" s="1776" t="s">
        <v>1349</v>
      </c>
      <c r="J501" s="224"/>
      <c r="K501" s="34" t="s">
        <v>25</v>
      </c>
      <c r="L501" s="475"/>
      <c r="M501" s="224"/>
      <c r="N501" s="224"/>
      <c r="O501" s="902" t="s">
        <v>6395</v>
      </c>
    </row>
    <row r="502" spans="1:15" x14ac:dyDescent="0.3">
      <c r="A502" s="2402">
        <v>496</v>
      </c>
      <c r="B502" s="1122" t="s">
        <v>1477</v>
      </c>
      <c r="C502" s="216" t="s">
        <v>1344</v>
      </c>
      <c r="D502" s="793" t="s">
        <v>938</v>
      </c>
      <c r="E502" s="217" t="s">
        <v>1661</v>
      </c>
      <c r="F502" s="218" t="s">
        <v>1417</v>
      </c>
      <c r="G502" s="116">
        <v>1190</v>
      </c>
      <c r="H502" s="1776" t="s">
        <v>1349</v>
      </c>
      <c r="J502" s="224"/>
      <c r="K502" s="34" t="s">
        <v>25</v>
      </c>
      <c r="L502" s="475"/>
      <c r="M502" s="224"/>
      <c r="N502" s="224"/>
      <c r="O502" s="902" t="s">
        <v>6395</v>
      </c>
    </row>
    <row r="503" spans="1:15" x14ac:dyDescent="0.3">
      <c r="A503" s="2402">
        <v>497</v>
      </c>
      <c r="B503" s="1122" t="s">
        <v>1477</v>
      </c>
      <c r="C503" s="216" t="s">
        <v>1344</v>
      </c>
      <c r="D503" s="416" t="s">
        <v>938</v>
      </c>
      <c r="E503" s="217" t="s">
        <v>1662</v>
      </c>
      <c r="F503" s="218" t="s">
        <v>1417</v>
      </c>
      <c r="G503" s="116">
        <v>1190</v>
      </c>
      <c r="H503" s="1776" t="s">
        <v>1349</v>
      </c>
      <c r="J503" s="224"/>
      <c r="K503" s="34" t="s">
        <v>25</v>
      </c>
      <c r="L503" s="475"/>
      <c r="M503" s="224"/>
      <c r="N503" s="224"/>
      <c r="O503" s="902" t="s">
        <v>6395</v>
      </c>
    </row>
    <row r="504" spans="1:15" x14ac:dyDescent="0.3">
      <c r="A504" s="2401">
        <v>498</v>
      </c>
      <c r="B504" s="1122" t="s">
        <v>1477</v>
      </c>
      <c r="C504" s="216" t="s">
        <v>1344</v>
      </c>
      <c r="D504" s="416" t="s">
        <v>938</v>
      </c>
      <c r="E504" s="217" t="s">
        <v>1663</v>
      </c>
      <c r="F504" s="218" t="s">
        <v>1417</v>
      </c>
      <c r="G504" s="116">
        <v>1190</v>
      </c>
      <c r="H504" s="1776" t="s">
        <v>1349</v>
      </c>
      <c r="J504" s="224"/>
      <c r="K504" s="34" t="s">
        <v>25</v>
      </c>
      <c r="L504" s="475"/>
      <c r="M504" s="224"/>
      <c r="N504" s="224"/>
      <c r="O504" s="902" t="s">
        <v>6395</v>
      </c>
    </row>
    <row r="505" spans="1:15" x14ac:dyDescent="0.3">
      <c r="A505" s="2402">
        <v>499</v>
      </c>
      <c r="B505" s="1122" t="s">
        <v>1477</v>
      </c>
      <c r="C505" s="216" t="s">
        <v>1344</v>
      </c>
      <c r="D505" s="416" t="s">
        <v>938</v>
      </c>
      <c r="E505" s="217" t="s">
        <v>1664</v>
      </c>
      <c r="F505" s="218" t="s">
        <v>1417</v>
      </c>
      <c r="G505" s="116">
        <v>1190</v>
      </c>
      <c r="H505" s="1776" t="s">
        <v>1349</v>
      </c>
      <c r="J505" s="224"/>
      <c r="K505" s="34" t="s">
        <v>25</v>
      </c>
      <c r="L505" s="475"/>
      <c r="M505" s="224"/>
      <c r="N505" s="224"/>
      <c r="O505" s="902" t="s">
        <v>6395</v>
      </c>
    </row>
    <row r="506" spans="1:15" x14ac:dyDescent="0.3">
      <c r="A506" s="2402">
        <v>500</v>
      </c>
      <c r="B506" s="1122" t="s">
        <v>1477</v>
      </c>
      <c r="C506" s="216" t="s">
        <v>1344</v>
      </c>
      <c r="D506" s="416" t="s">
        <v>938</v>
      </c>
      <c r="E506" s="217" t="s">
        <v>1665</v>
      </c>
      <c r="F506" s="218" t="s">
        <v>1417</v>
      </c>
      <c r="G506" s="116">
        <v>1190</v>
      </c>
      <c r="H506" s="1776" t="s">
        <v>1349</v>
      </c>
      <c r="J506" s="224"/>
      <c r="K506" s="34" t="s">
        <v>25</v>
      </c>
      <c r="L506" s="475"/>
      <c r="M506" s="224"/>
      <c r="N506" s="224"/>
      <c r="O506" s="902" t="s">
        <v>6395</v>
      </c>
    </row>
    <row r="507" spans="1:15" x14ac:dyDescent="0.3">
      <c r="A507" s="2401">
        <v>501</v>
      </c>
      <c r="B507" s="1122" t="s">
        <v>1666</v>
      </c>
      <c r="C507" s="216" t="s">
        <v>1344</v>
      </c>
      <c r="D507" s="416" t="s">
        <v>938</v>
      </c>
      <c r="E507" s="217" t="s">
        <v>1667</v>
      </c>
      <c r="F507" s="218" t="s">
        <v>1668</v>
      </c>
      <c r="G507" s="116">
        <v>1630</v>
      </c>
      <c r="H507" s="1776" t="s">
        <v>1349</v>
      </c>
      <c r="J507" s="224"/>
      <c r="K507" s="34" t="s">
        <v>25</v>
      </c>
      <c r="L507" s="475"/>
      <c r="M507" s="224"/>
      <c r="N507" s="224"/>
      <c r="O507" s="902" t="s">
        <v>6395</v>
      </c>
    </row>
    <row r="508" spans="1:15" x14ac:dyDescent="0.3">
      <c r="A508" s="2402">
        <v>502</v>
      </c>
      <c r="B508" s="1122" t="s">
        <v>1666</v>
      </c>
      <c r="C508" s="216" t="s">
        <v>1344</v>
      </c>
      <c r="D508" s="416" t="s">
        <v>938</v>
      </c>
      <c r="E508" s="217" t="s">
        <v>1669</v>
      </c>
      <c r="F508" s="218" t="s">
        <v>1668</v>
      </c>
      <c r="G508" s="116">
        <v>1630</v>
      </c>
      <c r="H508" s="1776" t="s">
        <v>1349</v>
      </c>
      <c r="J508" s="224"/>
      <c r="K508" s="34" t="s">
        <v>25</v>
      </c>
      <c r="L508" s="475"/>
      <c r="M508" s="224"/>
      <c r="N508" s="224"/>
      <c r="O508" s="902" t="s">
        <v>6395</v>
      </c>
    </row>
    <row r="509" spans="1:15" x14ac:dyDescent="0.3">
      <c r="A509" s="2402">
        <v>503</v>
      </c>
      <c r="B509" s="1122" t="s">
        <v>1666</v>
      </c>
      <c r="C509" s="216" t="s">
        <v>1344</v>
      </c>
      <c r="D509" s="416" t="s">
        <v>938</v>
      </c>
      <c r="E509" s="217" t="s">
        <v>1670</v>
      </c>
      <c r="F509" s="218" t="s">
        <v>1668</v>
      </c>
      <c r="G509" s="116">
        <v>1630</v>
      </c>
      <c r="H509" s="1776" t="s">
        <v>1349</v>
      </c>
      <c r="J509" s="224"/>
      <c r="K509" s="34" t="s">
        <v>25</v>
      </c>
      <c r="L509" s="475"/>
      <c r="M509" s="224"/>
      <c r="N509" s="224"/>
      <c r="O509" s="902" t="s">
        <v>6395</v>
      </c>
    </row>
    <row r="510" spans="1:15" x14ac:dyDescent="0.3">
      <c r="A510" s="2401">
        <v>504</v>
      </c>
      <c r="B510" s="1122" t="s">
        <v>1671</v>
      </c>
      <c r="C510" s="216" t="s">
        <v>1344</v>
      </c>
      <c r="D510" s="416" t="s">
        <v>947</v>
      </c>
      <c r="E510" s="217" t="s">
        <v>1672</v>
      </c>
      <c r="F510" s="218" t="s">
        <v>1673</v>
      </c>
      <c r="G510" s="116">
        <v>3948</v>
      </c>
      <c r="H510" s="1776" t="s">
        <v>1349</v>
      </c>
      <c r="J510" s="224"/>
      <c r="K510" s="34" t="s">
        <v>25</v>
      </c>
      <c r="L510" s="475"/>
      <c r="M510" s="224"/>
      <c r="N510" s="224"/>
      <c r="O510" s="902" t="s">
        <v>6395</v>
      </c>
    </row>
    <row r="511" spans="1:15" x14ac:dyDescent="0.3">
      <c r="A511" s="2402">
        <v>505</v>
      </c>
      <c r="B511" s="1122" t="s">
        <v>1671</v>
      </c>
      <c r="C511" s="216" t="s">
        <v>1344</v>
      </c>
      <c r="D511" s="416" t="s">
        <v>947</v>
      </c>
      <c r="E511" s="217" t="s">
        <v>1674</v>
      </c>
      <c r="F511" s="218" t="s">
        <v>1673</v>
      </c>
      <c r="G511" s="116">
        <v>3948</v>
      </c>
      <c r="H511" s="1776" t="s">
        <v>1349</v>
      </c>
      <c r="J511" s="224"/>
      <c r="K511" s="34" t="s">
        <v>25</v>
      </c>
      <c r="L511" s="475"/>
      <c r="M511" s="224"/>
      <c r="N511" s="224"/>
      <c r="O511" s="902" t="s">
        <v>6395</v>
      </c>
    </row>
    <row r="512" spans="1:15" x14ac:dyDescent="0.3">
      <c r="A512" s="2402">
        <v>506</v>
      </c>
      <c r="B512" s="1122" t="s">
        <v>1671</v>
      </c>
      <c r="C512" s="216" t="s">
        <v>1344</v>
      </c>
      <c r="D512" s="416" t="s">
        <v>947</v>
      </c>
      <c r="E512" s="217" t="s">
        <v>1675</v>
      </c>
      <c r="F512" s="218" t="s">
        <v>1673</v>
      </c>
      <c r="G512" s="116">
        <v>3948</v>
      </c>
      <c r="H512" s="1776" t="s">
        <v>1349</v>
      </c>
      <c r="J512" s="224"/>
      <c r="K512" s="34" t="s">
        <v>25</v>
      </c>
      <c r="L512" s="475"/>
      <c r="M512" s="224"/>
      <c r="N512" s="224"/>
      <c r="O512" s="902" t="s">
        <v>6395</v>
      </c>
    </row>
    <row r="513" spans="1:15" x14ac:dyDescent="0.3">
      <c r="A513" s="2401">
        <v>507</v>
      </c>
      <c r="B513" s="1122" t="s">
        <v>1671</v>
      </c>
      <c r="C513" s="216" t="s">
        <v>1344</v>
      </c>
      <c r="D513" s="416" t="s">
        <v>947</v>
      </c>
      <c r="E513" s="217" t="s">
        <v>1676</v>
      </c>
      <c r="F513" s="218" t="s">
        <v>1673</v>
      </c>
      <c r="G513" s="116">
        <v>3948</v>
      </c>
      <c r="H513" s="1776" t="s">
        <v>1349</v>
      </c>
      <c r="J513" s="224"/>
      <c r="K513" s="34" t="s">
        <v>25</v>
      </c>
      <c r="L513" s="475"/>
      <c r="M513" s="224"/>
      <c r="N513" s="224"/>
      <c r="O513" s="902" t="s">
        <v>6395</v>
      </c>
    </row>
    <row r="514" spans="1:15" x14ac:dyDescent="0.3">
      <c r="A514" s="2402">
        <v>508</v>
      </c>
      <c r="B514" s="1122" t="s">
        <v>1671</v>
      </c>
      <c r="C514" s="216" t="s">
        <v>1344</v>
      </c>
      <c r="D514" s="416" t="s">
        <v>947</v>
      </c>
      <c r="E514" s="217" t="s">
        <v>1677</v>
      </c>
      <c r="F514" s="218" t="s">
        <v>1673</v>
      </c>
      <c r="G514" s="116">
        <v>3948</v>
      </c>
      <c r="H514" s="1776" t="s">
        <v>1349</v>
      </c>
      <c r="J514" s="224"/>
      <c r="K514" s="34" t="s">
        <v>25</v>
      </c>
      <c r="L514" s="475"/>
      <c r="M514" s="224"/>
      <c r="N514" s="224"/>
      <c r="O514" s="902" t="s">
        <v>6395</v>
      </c>
    </row>
    <row r="515" spans="1:15" x14ac:dyDescent="0.3">
      <c r="A515" s="2402">
        <v>509</v>
      </c>
      <c r="B515" s="1122" t="s">
        <v>1671</v>
      </c>
      <c r="C515" s="216" t="s">
        <v>1344</v>
      </c>
      <c r="D515" s="416" t="s">
        <v>947</v>
      </c>
      <c r="E515" s="217" t="s">
        <v>1678</v>
      </c>
      <c r="F515" s="218" t="s">
        <v>1673</v>
      </c>
      <c r="G515" s="116">
        <v>3948</v>
      </c>
      <c r="H515" s="1776" t="s">
        <v>1349</v>
      </c>
      <c r="J515" s="224"/>
      <c r="K515" s="34" t="s">
        <v>25</v>
      </c>
      <c r="L515" s="475"/>
      <c r="M515" s="224"/>
      <c r="N515" s="224"/>
      <c r="O515" s="902" t="s">
        <v>6395</v>
      </c>
    </row>
    <row r="516" spans="1:15" x14ac:dyDescent="0.3">
      <c r="A516" s="2401">
        <v>510</v>
      </c>
      <c r="B516" s="1122" t="s">
        <v>1671</v>
      </c>
      <c r="C516" s="216" t="s">
        <v>1344</v>
      </c>
      <c r="D516" s="416" t="s">
        <v>947</v>
      </c>
      <c r="E516" s="217" t="s">
        <v>1679</v>
      </c>
      <c r="F516" s="218" t="s">
        <v>1673</v>
      </c>
      <c r="G516" s="116">
        <v>3948</v>
      </c>
      <c r="H516" s="1776" t="s">
        <v>1349</v>
      </c>
      <c r="J516" s="224"/>
      <c r="K516" s="34" t="s">
        <v>25</v>
      </c>
      <c r="L516" s="475"/>
      <c r="M516" s="224"/>
      <c r="N516" s="224"/>
      <c r="O516" s="902" t="s">
        <v>6395</v>
      </c>
    </row>
    <row r="517" spans="1:15" x14ac:dyDescent="0.3">
      <c r="A517" s="2402">
        <v>511</v>
      </c>
      <c r="B517" s="1122" t="s">
        <v>1671</v>
      </c>
      <c r="C517" s="216" t="s">
        <v>1344</v>
      </c>
      <c r="D517" s="452" t="s">
        <v>947</v>
      </c>
      <c r="E517" s="217" t="s">
        <v>1680</v>
      </c>
      <c r="F517" s="218" t="s">
        <v>1673</v>
      </c>
      <c r="G517" s="116">
        <v>3948</v>
      </c>
      <c r="H517" s="1776" t="s">
        <v>1349</v>
      </c>
      <c r="J517" s="224"/>
      <c r="K517" s="34" t="s">
        <v>25</v>
      </c>
      <c r="L517" s="475"/>
      <c r="M517" s="224"/>
      <c r="N517" s="224"/>
      <c r="O517" s="902" t="s">
        <v>6395</v>
      </c>
    </row>
    <row r="518" spans="1:15" x14ac:dyDescent="0.3">
      <c r="A518" s="2402">
        <v>512</v>
      </c>
      <c r="B518" s="1122" t="s">
        <v>1671</v>
      </c>
      <c r="C518" s="216" t="s">
        <v>1344</v>
      </c>
      <c r="D518" s="495" t="s">
        <v>947</v>
      </c>
      <c r="E518" s="217" t="s">
        <v>1681</v>
      </c>
      <c r="F518" s="218" t="s">
        <v>1673</v>
      </c>
      <c r="G518" s="116">
        <v>3948</v>
      </c>
      <c r="H518" s="1776" t="s">
        <v>1349</v>
      </c>
      <c r="J518" s="224"/>
      <c r="K518" s="34" t="s">
        <v>25</v>
      </c>
      <c r="L518" s="475"/>
      <c r="M518" s="224"/>
      <c r="N518" s="224"/>
      <c r="O518" s="902" t="s">
        <v>6395</v>
      </c>
    </row>
    <row r="519" spans="1:15" x14ac:dyDescent="0.3">
      <c r="A519" s="2401">
        <v>513</v>
      </c>
      <c r="B519" s="1122" t="s">
        <v>1671</v>
      </c>
      <c r="C519" s="216" t="s">
        <v>1344</v>
      </c>
      <c r="D519" s="793" t="s">
        <v>947</v>
      </c>
      <c r="E519" s="217" t="s">
        <v>1682</v>
      </c>
      <c r="F519" s="218" t="s">
        <v>1673</v>
      </c>
      <c r="G519" s="116">
        <v>3948</v>
      </c>
      <c r="H519" s="1776" t="s">
        <v>1349</v>
      </c>
      <c r="J519" s="224"/>
      <c r="K519" s="34" t="s">
        <v>25</v>
      </c>
      <c r="L519" s="475"/>
      <c r="M519" s="224"/>
      <c r="N519" s="224"/>
      <c r="O519" s="902" t="s">
        <v>6395</v>
      </c>
    </row>
    <row r="520" spans="1:15" x14ac:dyDescent="0.3">
      <c r="A520" s="2402">
        <v>514</v>
      </c>
      <c r="B520" s="1122" t="s">
        <v>1683</v>
      </c>
      <c r="C520" s="216" t="s">
        <v>1344</v>
      </c>
      <c r="D520" s="416" t="s">
        <v>947</v>
      </c>
      <c r="E520" s="217" t="s">
        <v>1684</v>
      </c>
      <c r="F520" s="218" t="s">
        <v>1673</v>
      </c>
      <c r="G520" s="116">
        <v>17946</v>
      </c>
      <c r="H520" s="1776" t="s">
        <v>1349</v>
      </c>
      <c r="J520" s="224"/>
      <c r="K520" s="34" t="s">
        <v>25</v>
      </c>
      <c r="L520" s="475"/>
      <c r="M520" s="224"/>
      <c r="N520" s="224"/>
      <c r="O520" s="902" t="s">
        <v>6395</v>
      </c>
    </row>
    <row r="521" spans="1:15" x14ac:dyDescent="0.3">
      <c r="A521" s="2402">
        <v>515</v>
      </c>
      <c r="B521" s="1122" t="s">
        <v>1685</v>
      </c>
      <c r="C521" s="216" t="s">
        <v>1344</v>
      </c>
      <c r="D521" s="416" t="s">
        <v>947</v>
      </c>
      <c r="E521" s="217" t="s">
        <v>1686</v>
      </c>
      <c r="F521" s="218" t="s">
        <v>1673</v>
      </c>
      <c r="G521" s="116">
        <v>17946</v>
      </c>
      <c r="H521" s="1776" t="s">
        <v>1349</v>
      </c>
      <c r="J521" s="224"/>
      <c r="K521" s="34" t="s">
        <v>25</v>
      </c>
      <c r="L521" s="475"/>
      <c r="M521" s="224"/>
      <c r="N521" s="224"/>
      <c r="O521" s="902" t="s">
        <v>6395</v>
      </c>
    </row>
    <row r="522" spans="1:15" x14ac:dyDescent="0.3">
      <c r="A522" s="2401">
        <v>516</v>
      </c>
      <c r="B522" s="1122" t="s">
        <v>1685</v>
      </c>
      <c r="C522" s="216" t="s">
        <v>1344</v>
      </c>
      <c r="D522" s="416" t="s">
        <v>947</v>
      </c>
      <c r="E522" s="217" t="s">
        <v>1687</v>
      </c>
      <c r="F522" s="218" t="s">
        <v>1673</v>
      </c>
      <c r="G522" s="116">
        <v>17946</v>
      </c>
      <c r="H522" s="1776" t="s">
        <v>1349</v>
      </c>
      <c r="J522" s="224"/>
      <c r="K522" s="34" t="s">
        <v>25</v>
      </c>
      <c r="L522" s="475"/>
      <c r="M522" s="224"/>
      <c r="N522" s="224"/>
      <c r="O522" s="902" t="s">
        <v>6395</v>
      </c>
    </row>
    <row r="523" spans="1:15" x14ac:dyDescent="0.3">
      <c r="A523" s="2402">
        <v>517</v>
      </c>
      <c r="B523" s="1122" t="s">
        <v>1685</v>
      </c>
      <c r="C523" s="216" t="s">
        <v>1344</v>
      </c>
      <c r="D523" s="416" t="s">
        <v>947</v>
      </c>
      <c r="E523" s="217" t="s">
        <v>1688</v>
      </c>
      <c r="F523" s="218" t="s">
        <v>1673</v>
      </c>
      <c r="G523" s="116">
        <v>17946</v>
      </c>
      <c r="H523" s="1776" t="s">
        <v>1349</v>
      </c>
      <c r="J523" s="224"/>
      <c r="K523" s="34" t="s">
        <v>25</v>
      </c>
      <c r="L523" s="475"/>
      <c r="M523" s="224"/>
      <c r="N523" s="224"/>
      <c r="O523" s="902" t="s">
        <v>6395</v>
      </c>
    </row>
    <row r="524" spans="1:15" x14ac:dyDescent="0.3">
      <c r="A524" s="2402">
        <v>518</v>
      </c>
      <c r="B524" s="1122" t="s">
        <v>1685</v>
      </c>
      <c r="C524" s="216" t="s">
        <v>1344</v>
      </c>
      <c r="D524" s="416" t="s">
        <v>947</v>
      </c>
      <c r="E524" s="217" t="s">
        <v>1689</v>
      </c>
      <c r="F524" s="218" t="s">
        <v>1673</v>
      </c>
      <c r="G524" s="116">
        <v>17946</v>
      </c>
      <c r="H524" s="1776" t="s">
        <v>1349</v>
      </c>
      <c r="J524" s="224"/>
      <c r="K524" s="34" t="s">
        <v>25</v>
      </c>
      <c r="L524" s="475"/>
      <c r="M524" s="224"/>
      <c r="N524" s="224"/>
      <c r="O524" s="902" t="s">
        <v>6395</v>
      </c>
    </row>
    <row r="525" spans="1:15" x14ac:dyDescent="0.3">
      <c r="A525" s="2401">
        <v>519</v>
      </c>
      <c r="B525" s="1122" t="s">
        <v>1690</v>
      </c>
      <c r="C525" s="216" t="s">
        <v>1344</v>
      </c>
      <c r="D525" s="416" t="s">
        <v>947</v>
      </c>
      <c r="E525" s="217" t="s">
        <v>1691</v>
      </c>
      <c r="F525" s="218" t="s">
        <v>1692</v>
      </c>
      <c r="G525" s="116">
        <v>5992</v>
      </c>
      <c r="H525" s="1776" t="s">
        <v>1349</v>
      </c>
      <c r="J525" s="224"/>
      <c r="K525" s="34" t="s">
        <v>25</v>
      </c>
      <c r="L525" s="475"/>
      <c r="M525" s="224"/>
      <c r="N525" s="224"/>
      <c r="O525" s="902" t="s">
        <v>6395</v>
      </c>
    </row>
    <row r="526" spans="1:15" x14ac:dyDescent="0.3">
      <c r="A526" s="2402">
        <v>520</v>
      </c>
      <c r="B526" s="1122" t="s">
        <v>1690</v>
      </c>
      <c r="C526" s="216" t="s">
        <v>1344</v>
      </c>
      <c r="D526" s="416" t="s">
        <v>947</v>
      </c>
      <c r="E526" s="217" t="s">
        <v>1693</v>
      </c>
      <c r="F526" s="218" t="s">
        <v>1692</v>
      </c>
      <c r="G526" s="116">
        <v>5992</v>
      </c>
      <c r="H526" s="1776" t="s">
        <v>1349</v>
      </c>
      <c r="J526" s="224"/>
      <c r="K526" s="34" t="s">
        <v>25</v>
      </c>
      <c r="L526" s="475"/>
      <c r="M526" s="224"/>
      <c r="N526" s="224"/>
      <c r="O526" s="902" t="s">
        <v>6395</v>
      </c>
    </row>
    <row r="527" spans="1:15" x14ac:dyDescent="0.3">
      <c r="A527" s="2402">
        <v>521</v>
      </c>
      <c r="B527" s="1122" t="s">
        <v>1690</v>
      </c>
      <c r="C527" s="216" t="s">
        <v>1344</v>
      </c>
      <c r="D527" s="416" t="s">
        <v>947</v>
      </c>
      <c r="E527" s="217" t="s">
        <v>1694</v>
      </c>
      <c r="F527" s="218" t="s">
        <v>1692</v>
      </c>
      <c r="G527" s="116">
        <v>5992</v>
      </c>
      <c r="H527" s="1776" t="s">
        <v>1349</v>
      </c>
      <c r="J527" s="224"/>
      <c r="K527" s="34" t="s">
        <v>25</v>
      </c>
      <c r="L527" s="475"/>
      <c r="M527" s="224"/>
      <c r="N527" s="224"/>
      <c r="O527" s="902" t="s">
        <v>6395</v>
      </c>
    </row>
    <row r="528" spans="1:15" x14ac:dyDescent="0.3">
      <c r="A528" s="2401">
        <v>522</v>
      </c>
      <c r="B528" s="1122" t="s">
        <v>1690</v>
      </c>
      <c r="C528" s="216" t="s">
        <v>1344</v>
      </c>
      <c r="D528" s="416" t="s">
        <v>947</v>
      </c>
      <c r="E528" s="217" t="s">
        <v>1695</v>
      </c>
      <c r="F528" s="218" t="s">
        <v>1692</v>
      </c>
      <c r="G528" s="116">
        <v>5992</v>
      </c>
      <c r="H528" s="1776" t="s">
        <v>1349</v>
      </c>
      <c r="J528" s="224"/>
      <c r="K528" s="34" t="s">
        <v>25</v>
      </c>
      <c r="L528" s="475"/>
      <c r="M528" s="224"/>
      <c r="N528" s="224"/>
      <c r="O528" s="902" t="s">
        <v>6395</v>
      </c>
    </row>
    <row r="529" spans="1:15" x14ac:dyDescent="0.3">
      <c r="A529" s="2402">
        <v>523</v>
      </c>
      <c r="B529" s="1122" t="s">
        <v>1690</v>
      </c>
      <c r="C529" s="216" t="s">
        <v>1344</v>
      </c>
      <c r="D529" s="416" t="s">
        <v>947</v>
      </c>
      <c r="E529" s="217" t="s">
        <v>1696</v>
      </c>
      <c r="F529" s="218" t="s">
        <v>1692</v>
      </c>
      <c r="G529" s="116">
        <v>5992</v>
      </c>
      <c r="H529" s="1776" t="s">
        <v>1349</v>
      </c>
      <c r="J529" s="224"/>
      <c r="K529" s="34" t="s">
        <v>25</v>
      </c>
      <c r="L529" s="475"/>
      <c r="M529" s="224"/>
      <c r="N529" s="224"/>
      <c r="O529" s="902" t="s">
        <v>6395</v>
      </c>
    </row>
    <row r="530" spans="1:15" x14ac:dyDescent="0.3">
      <c r="A530" s="2402">
        <v>524</v>
      </c>
      <c r="B530" s="1122" t="s">
        <v>1690</v>
      </c>
      <c r="C530" s="216" t="s">
        <v>1344</v>
      </c>
      <c r="D530" s="416" t="s">
        <v>947</v>
      </c>
      <c r="E530" s="217" t="s">
        <v>1697</v>
      </c>
      <c r="F530" s="218" t="s">
        <v>1692</v>
      </c>
      <c r="G530" s="116">
        <v>5992</v>
      </c>
      <c r="H530" s="1776" t="s">
        <v>1349</v>
      </c>
      <c r="J530" s="224"/>
      <c r="K530" s="34" t="s">
        <v>25</v>
      </c>
      <c r="L530" s="475"/>
      <c r="M530" s="224"/>
      <c r="N530" s="224"/>
      <c r="O530" s="902" t="s">
        <v>6395</v>
      </c>
    </row>
    <row r="531" spans="1:15" x14ac:dyDescent="0.3">
      <c r="A531" s="2401">
        <v>525</v>
      </c>
      <c r="B531" s="1122" t="s">
        <v>1690</v>
      </c>
      <c r="C531" s="216" t="s">
        <v>1344</v>
      </c>
      <c r="D531" s="416" t="s">
        <v>947</v>
      </c>
      <c r="E531" s="217" t="s">
        <v>1698</v>
      </c>
      <c r="F531" s="218" t="s">
        <v>1692</v>
      </c>
      <c r="G531" s="116">
        <v>5992</v>
      </c>
      <c r="H531" s="1776" t="s">
        <v>1349</v>
      </c>
      <c r="J531" s="224"/>
      <c r="K531" s="34" t="s">
        <v>25</v>
      </c>
      <c r="L531" s="475"/>
      <c r="M531" s="224"/>
      <c r="N531" s="224"/>
      <c r="O531" s="902" t="s">
        <v>6395</v>
      </c>
    </row>
    <row r="532" spans="1:15" x14ac:dyDescent="0.3">
      <c r="A532" s="2402">
        <v>526</v>
      </c>
      <c r="B532" s="1122" t="s">
        <v>1690</v>
      </c>
      <c r="C532" s="216" t="s">
        <v>1344</v>
      </c>
      <c r="D532" s="452" t="s">
        <v>947</v>
      </c>
      <c r="E532" s="217" t="s">
        <v>475</v>
      </c>
      <c r="F532" s="218" t="s">
        <v>1692</v>
      </c>
      <c r="G532" s="116">
        <v>5992</v>
      </c>
      <c r="H532" s="1776" t="s">
        <v>1349</v>
      </c>
      <c r="J532" s="224"/>
      <c r="K532" s="34" t="s">
        <v>25</v>
      </c>
      <c r="L532" s="475"/>
      <c r="M532" s="224"/>
      <c r="N532" s="224"/>
      <c r="O532" s="902" t="s">
        <v>6395</v>
      </c>
    </row>
    <row r="533" spans="1:15" x14ac:dyDescent="0.3">
      <c r="A533" s="2402">
        <v>527</v>
      </c>
      <c r="B533" s="1122" t="s">
        <v>1690</v>
      </c>
      <c r="C533" s="216" t="s">
        <v>1344</v>
      </c>
      <c r="D533" s="495" t="s">
        <v>947</v>
      </c>
      <c r="E533" s="217" t="s">
        <v>1699</v>
      </c>
      <c r="F533" s="218" t="s">
        <v>1692</v>
      </c>
      <c r="G533" s="116">
        <v>5992</v>
      </c>
      <c r="H533" s="1776" t="s">
        <v>1349</v>
      </c>
      <c r="J533" s="224"/>
      <c r="K533" s="34" t="s">
        <v>25</v>
      </c>
      <c r="L533" s="475"/>
      <c r="M533" s="224"/>
      <c r="N533" s="224"/>
      <c r="O533" s="902" t="s">
        <v>6395</v>
      </c>
    </row>
    <row r="534" spans="1:15" x14ac:dyDescent="0.3">
      <c r="A534" s="2401">
        <v>528</v>
      </c>
      <c r="B534" s="1122" t="s">
        <v>1690</v>
      </c>
      <c r="C534" s="216" t="s">
        <v>1344</v>
      </c>
      <c r="D534" s="793" t="s">
        <v>947</v>
      </c>
      <c r="E534" s="217" t="s">
        <v>1700</v>
      </c>
      <c r="F534" s="218" t="s">
        <v>1692</v>
      </c>
      <c r="G534" s="116">
        <v>5992</v>
      </c>
      <c r="H534" s="1776" t="s">
        <v>1349</v>
      </c>
      <c r="J534" s="224"/>
      <c r="K534" s="34" t="s">
        <v>25</v>
      </c>
      <c r="L534" s="475"/>
      <c r="M534" s="224"/>
      <c r="N534" s="224"/>
      <c r="O534" s="902" t="s">
        <v>6395</v>
      </c>
    </row>
    <row r="535" spans="1:15" x14ac:dyDescent="0.3">
      <c r="A535" s="2402">
        <v>529</v>
      </c>
      <c r="B535" s="1122" t="s">
        <v>1690</v>
      </c>
      <c r="C535" s="216" t="s">
        <v>1344</v>
      </c>
      <c r="D535" s="416" t="s">
        <v>947</v>
      </c>
      <c r="E535" s="217" t="s">
        <v>1701</v>
      </c>
      <c r="F535" s="218" t="s">
        <v>1692</v>
      </c>
      <c r="G535" s="116">
        <v>5992</v>
      </c>
      <c r="H535" s="1776" t="s">
        <v>1349</v>
      </c>
      <c r="J535" s="224"/>
      <c r="K535" s="34" t="s">
        <v>25</v>
      </c>
      <c r="L535" s="475"/>
      <c r="M535" s="224"/>
      <c r="N535" s="224"/>
      <c r="O535" s="902" t="s">
        <v>6395</v>
      </c>
    </row>
    <row r="536" spans="1:15" x14ac:dyDescent="0.3">
      <c r="A536" s="2402">
        <v>530</v>
      </c>
      <c r="B536" s="1122" t="s">
        <v>1690</v>
      </c>
      <c r="C536" s="216" t="s">
        <v>1344</v>
      </c>
      <c r="D536" s="416" t="s">
        <v>947</v>
      </c>
      <c r="E536" s="217" t="s">
        <v>1702</v>
      </c>
      <c r="F536" s="218" t="s">
        <v>1692</v>
      </c>
      <c r="G536" s="116">
        <v>5992</v>
      </c>
      <c r="H536" s="1776" t="s">
        <v>1349</v>
      </c>
      <c r="J536" s="224"/>
      <c r="K536" s="34" t="s">
        <v>25</v>
      </c>
      <c r="L536" s="475"/>
      <c r="M536" s="224"/>
      <c r="N536" s="224"/>
      <c r="O536" s="902" t="s">
        <v>6395</v>
      </c>
    </row>
    <row r="537" spans="1:15" x14ac:dyDescent="0.3">
      <c r="A537" s="2401">
        <v>531</v>
      </c>
      <c r="B537" s="1122" t="s">
        <v>1690</v>
      </c>
      <c r="C537" s="216" t="s">
        <v>1344</v>
      </c>
      <c r="D537" s="416" t="s">
        <v>947</v>
      </c>
      <c r="E537" s="217" t="s">
        <v>1703</v>
      </c>
      <c r="F537" s="218" t="s">
        <v>1692</v>
      </c>
      <c r="G537" s="116">
        <v>5992</v>
      </c>
      <c r="H537" s="1776" t="s">
        <v>1349</v>
      </c>
      <c r="J537" s="224"/>
      <c r="K537" s="34" t="s">
        <v>25</v>
      </c>
      <c r="L537" s="475"/>
      <c r="M537" s="224"/>
      <c r="N537" s="224"/>
      <c r="O537" s="902" t="s">
        <v>6395</v>
      </c>
    </row>
    <row r="538" spans="1:15" x14ac:dyDescent="0.3">
      <c r="A538" s="2402">
        <v>532</v>
      </c>
      <c r="B538" s="1122" t="s">
        <v>1690</v>
      </c>
      <c r="C538" s="216" t="s">
        <v>1344</v>
      </c>
      <c r="D538" s="416" t="s">
        <v>947</v>
      </c>
      <c r="E538" s="217" t="s">
        <v>1704</v>
      </c>
      <c r="F538" s="218" t="s">
        <v>1692</v>
      </c>
      <c r="G538" s="116">
        <v>5992</v>
      </c>
      <c r="H538" s="1776" t="s">
        <v>1349</v>
      </c>
      <c r="J538" s="224"/>
      <c r="K538" s="34" t="s">
        <v>25</v>
      </c>
      <c r="L538" s="475"/>
      <c r="M538" s="224"/>
      <c r="N538" s="224"/>
      <c r="O538" s="902" t="s">
        <v>6395</v>
      </c>
    </row>
    <row r="539" spans="1:15" x14ac:dyDescent="0.3">
      <c r="A539" s="2402">
        <v>533</v>
      </c>
      <c r="B539" s="1122" t="s">
        <v>1690</v>
      </c>
      <c r="C539" s="216" t="s">
        <v>1344</v>
      </c>
      <c r="D539" s="416" t="s">
        <v>947</v>
      </c>
      <c r="E539" s="217" t="s">
        <v>1705</v>
      </c>
      <c r="F539" s="218" t="s">
        <v>1692</v>
      </c>
      <c r="G539" s="116">
        <v>5992</v>
      </c>
      <c r="H539" s="1776" t="s">
        <v>1349</v>
      </c>
      <c r="J539" s="224"/>
      <c r="K539" s="34" t="s">
        <v>25</v>
      </c>
      <c r="L539" s="475"/>
      <c r="M539" s="224"/>
      <c r="N539" s="224"/>
      <c r="O539" s="902" t="s">
        <v>6395</v>
      </c>
    </row>
    <row r="540" spans="1:15" x14ac:dyDescent="0.3">
      <c r="A540" s="2401">
        <v>534</v>
      </c>
      <c r="B540" s="1122" t="s">
        <v>1690</v>
      </c>
      <c r="C540" s="216" t="s">
        <v>1344</v>
      </c>
      <c r="D540" s="416" t="s">
        <v>947</v>
      </c>
      <c r="E540" s="217" t="s">
        <v>1706</v>
      </c>
      <c r="F540" s="218" t="s">
        <v>1692</v>
      </c>
      <c r="G540" s="116">
        <v>5992</v>
      </c>
      <c r="H540" s="1776" t="s">
        <v>1349</v>
      </c>
      <c r="J540" s="224"/>
      <c r="K540" s="34" t="s">
        <v>25</v>
      </c>
      <c r="L540" s="475"/>
      <c r="M540" s="224"/>
      <c r="N540" s="224"/>
      <c r="O540" s="902" t="s">
        <v>6395</v>
      </c>
    </row>
    <row r="541" spans="1:15" x14ac:dyDescent="0.3">
      <c r="A541" s="2402">
        <v>535</v>
      </c>
      <c r="B541" s="1122" t="s">
        <v>1690</v>
      </c>
      <c r="C541" s="216" t="s">
        <v>1344</v>
      </c>
      <c r="D541" s="416" t="s">
        <v>947</v>
      </c>
      <c r="E541" s="217" t="s">
        <v>1707</v>
      </c>
      <c r="F541" s="218" t="s">
        <v>1692</v>
      </c>
      <c r="G541" s="116">
        <v>5992</v>
      </c>
      <c r="H541" s="1776" t="s">
        <v>1349</v>
      </c>
      <c r="J541" s="224"/>
      <c r="K541" s="34" t="s">
        <v>25</v>
      </c>
      <c r="L541" s="475"/>
      <c r="M541" s="224"/>
      <c r="N541" s="224"/>
      <c r="O541" s="902" t="s">
        <v>6395</v>
      </c>
    </row>
    <row r="542" spans="1:15" x14ac:dyDescent="0.3">
      <c r="A542" s="2402">
        <v>536</v>
      </c>
      <c r="B542" s="1122" t="s">
        <v>1690</v>
      </c>
      <c r="C542" s="216" t="s">
        <v>1344</v>
      </c>
      <c r="D542" s="416" t="s">
        <v>947</v>
      </c>
      <c r="E542" s="217" t="s">
        <v>1708</v>
      </c>
      <c r="F542" s="218" t="s">
        <v>1692</v>
      </c>
      <c r="G542" s="116">
        <v>5992</v>
      </c>
      <c r="H542" s="1776" t="s">
        <v>1349</v>
      </c>
      <c r="J542" s="224"/>
      <c r="K542" s="34" t="s">
        <v>25</v>
      </c>
      <c r="L542" s="475"/>
      <c r="M542" s="224"/>
      <c r="N542" s="224"/>
      <c r="O542" s="902" t="s">
        <v>6395</v>
      </c>
    </row>
    <row r="543" spans="1:15" x14ac:dyDescent="0.3">
      <c r="A543" s="2401">
        <v>537</v>
      </c>
      <c r="B543" s="1122" t="s">
        <v>1690</v>
      </c>
      <c r="C543" s="216" t="s">
        <v>1344</v>
      </c>
      <c r="D543" s="416" t="s">
        <v>947</v>
      </c>
      <c r="E543" s="217" t="s">
        <v>1709</v>
      </c>
      <c r="F543" s="218" t="s">
        <v>1692</v>
      </c>
      <c r="G543" s="116">
        <v>5992</v>
      </c>
      <c r="H543" s="1776" t="s">
        <v>1349</v>
      </c>
      <c r="J543" s="224"/>
      <c r="K543" s="34" t="s">
        <v>25</v>
      </c>
      <c r="L543" s="475"/>
      <c r="M543" s="224"/>
      <c r="N543" s="224"/>
      <c r="O543" s="902" t="s">
        <v>6395</v>
      </c>
    </row>
    <row r="544" spans="1:15" x14ac:dyDescent="0.3">
      <c r="A544" s="2402">
        <v>538</v>
      </c>
      <c r="B544" s="1122" t="s">
        <v>1690</v>
      </c>
      <c r="C544" s="216" t="s">
        <v>1344</v>
      </c>
      <c r="D544" s="416" t="s">
        <v>947</v>
      </c>
      <c r="E544" s="217" t="s">
        <v>339</v>
      </c>
      <c r="F544" s="218" t="s">
        <v>1692</v>
      </c>
      <c r="G544" s="116">
        <v>5992</v>
      </c>
      <c r="H544" s="1776" t="s">
        <v>1349</v>
      </c>
      <c r="J544" s="224"/>
      <c r="K544" s="34" t="s">
        <v>25</v>
      </c>
      <c r="L544" s="475"/>
      <c r="M544" s="224"/>
      <c r="N544" s="224"/>
      <c r="O544" s="902" t="s">
        <v>6395</v>
      </c>
    </row>
    <row r="545" spans="1:15" x14ac:dyDescent="0.3">
      <c r="A545" s="2402">
        <v>539</v>
      </c>
      <c r="B545" s="1122" t="s">
        <v>1690</v>
      </c>
      <c r="C545" s="216" t="s">
        <v>1344</v>
      </c>
      <c r="D545" s="416" t="s">
        <v>947</v>
      </c>
      <c r="E545" s="217" t="s">
        <v>1710</v>
      </c>
      <c r="F545" s="218" t="s">
        <v>1692</v>
      </c>
      <c r="G545" s="116">
        <v>5992</v>
      </c>
      <c r="H545" s="1776" t="s">
        <v>1349</v>
      </c>
      <c r="J545" s="224"/>
      <c r="K545" s="34" t="s">
        <v>25</v>
      </c>
      <c r="L545" s="475"/>
      <c r="M545" s="224"/>
      <c r="N545" s="224"/>
      <c r="O545" s="902" t="s">
        <v>6395</v>
      </c>
    </row>
    <row r="546" spans="1:15" x14ac:dyDescent="0.3">
      <c r="A546" s="2401">
        <v>540</v>
      </c>
      <c r="B546" s="1122" t="s">
        <v>1690</v>
      </c>
      <c r="C546" s="216" t="s">
        <v>1344</v>
      </c>
      <c r="D546" s="416" t="s">
        <v>947</v>
      </c>
      <c r="E546" s="217" t="s">
        <v>1711</v>
      </c>
      <c r="F546" s="218" t="s">
        <v>1692</v>
      </c>
      <c r="G546" s="116">
        <v>5992</v>
      </c>
      <c r="H546" s="1776" t="s">
        <v>1349</v>
      </c>
      <c r="J546" s="224"/>
      <c r="K546" s="34" t="s">
        <v>25</v>
      </c>
      <c r="L546" s="475"/>
      <c r="M546" s="224"/>
      <c r="N546" s="224"/>
      <c r="O546" s="902" t="s">
        <v>6395</v>
      </c>
    </row>
    <row r="547" spans="1:15" x14ac:dyDescent="0.3">
      <c r="A547" s="2402">
        <v>541</v>
      </c>
      <c r="B547" s="1122" t="s">
        <v>1690</v>
      </c>
      <c r="C547" s="216" t="s">
        <v>1344</v>
      </c>
      <c r="D547" s="416" t="s">
        <v>947</v>
      </c>
      <c r="E547" s="217" t="s">
        <v>1712</v>
      </c>
      <c r="F547" s="218" t="s">
        <v>1692</v>
      </c>
      <c r="G547" s="116">
        <v>5992</v>
      </c>
      <c r="H547" s="1776" t="s">
        <v>1349</v>
      </c>
      <c r="J547" s="224"/>
      <c r="K547" s="34" t="s">
        <v>25</v>
      </c>
      <c r="L547" s="475"/>
      <c r="M547" s="224"/>
      <c r="N547" s="224"/>
      <c r="O547" s="902" t="s">
        <v>6395</v>
      </c>
    </row>
    <row r="548" spans="1:15" x14ac:dyDescent="0.3">
      <c r="A548" s="2402">
        <v>542</v>
      </c>
      <c r="B548" s="1122" t="s">
        <v>1690</v>
      </c>
      <c r="C548" s="216" t="s">
        <v>1344</v>
      </c>
      <c r="D548" s="452" t="s">
        <v>947</v>
      </c>
      <c r="E548" s="217" t="s">
        <v>1713</v>
      </c>
      <c r="F548" s="218" t="s">
        <v>1692</v>
      </c>
      <c r="G548" s="116">
        <v>5992</v>
      </c>
      <c r="H548" s="1776" t="s">
        <v>1349</v>
      </c>
      <c r="J548" s="224"/>
      <c r="K548" s="34" t="s">
        <v>25</v>
      </c>
      <c r="L548" s="475"/>
      <c r="M548" s="224"/>
      <c r="N548" s="224"/>
      <c r="O548" s="902" t="s">
        <v>6395</v>
      </c>
    </row>
    <row r="549" spans="1:15" x14ac:dyDescent="0.3">
      <c r="A549" s="2401">
        <v>543</v>
      </c>
      <c r="B549" s="1122" t="s">
        <v>1690</v>
      </c>
      <c r="C549" s="216" t="s">
        <v>1344</v>
      </c>
      <c r="D549" s="495" t="s">
        <v>947</v>
      </c>
      <c r="E549" s="217" t="s">
        <v>1714</v>
      </c>
      <c r="F549" s="218" t="s">
        <v>1692</v>
      </c>
      <c r="G549" s="116">
        <v>5992</v>
      </c>
      <c r="H549" s="1776" t="s">
        <v>1349</v>
      </c>
      <c r="J549" s="224"/>
      <c r="K549" s="34" t="s">
        <v>25</v>
      </c>
      <c r="L549" s="475"/>
      <c r="M549" s="224"/>
      <c r="N549" s="224"/>
      <c r="O549" s="902" t="s">
        <v>6395</v>
      </c>
    </row>
    <row r="550" spans="1:15" x14ac:dyDescent="0.3">
      <c r="A550" s="2402">
        <v>544</v>
      </c>
      <c r="B550" s="1122" t="s">
        <v>1690</v>
      </c>
      <c r="C550" s="216" t="s">
        <v>1344</v>
      </c>
      <c r="D550" s="793" t="s">
        <v>947</v>
      </c>
      <c r="E550" s="217" t="s">
        <v>1715</v>
      </c>
      <c r="F550" s="218" t="s">
        <v>1692</v>
      </c>
      <c r="G550" s="116">
        <v>5992</v>
      </c>
      <c r="H550" s="1776" t="s">
        <v>1349</v>
      </c>
      <c r="J550" s="224"/>
      <c r="K550" s="34" t="s">
        <v>25</v>
      </c>
      <c r="L550" s="475"/>
      <c r="M550" s="224"/>
      <c r="N550" s="224"/>
      <c r="O550" s="902" t="s">
        <v>6395</v>
      </c>
    </row>
    <row r="551" spans="1:15" x14ac:dyDescent="0.3">
      <c r="A551" s="2402">
        <v>545</v>
      </c>
      <c r="B551" s="1122" t="s">
        <v>1690</v>
      </c>
      <c r="C551" s="216" t="s">
        <v>1344</v>
      </c>
      <c r="D551" s="416" t="s">
        <v>947</v>
      </c>
      <c r="E551" s="217" t="s">
        <v>1716</v>
      </c>
      <c r="F551" s="218" t="s">
        <v>1692</v>
      </c>
      <c r="G551" s="116">
        <v>5992</v>
      </c>
      <c r="H551" s="1776" t="s">
        <v>1349</v>
      </c>
      <c r="J551" s="224"/>
      <c r="K551" s="34" t="s">
        <v>25</v>
      </c>
      <c r="L551" s="475"/>
      <c r="M551" s="224"/>
      <c r="N551" s="224"/>
      <c r="O551" s="902" t="s">
        <v>6395</v>
      </c>
    </row>
    <row r="552" spans="1:15" x14ac:dyDescent="0.3">
      <c r="A552" s="2401">
        <v>546</v>
      </c>
      <c r="B552" s="1122" t="s">
        <v>1690</v>
      </c>
      <c r="C552" s="216" t="s">
        <v>1344</v>
      </c>
      <c r="D552" s="416" t="s">
        <v>947</v>
      </c>
      <c r="E552" s="217" t="s">
        <v>1717</v>
      </c>
      <c r="F552" s="218" t="s">
        <v>1692</v>
      </c>
      <c r="G552" s="116">
        <v>5992</v>
      </c>
      <c r="H552" s="1776" t="s">
        <v>1349</v>
      </c>
      <c r="J552" s="224"/>
      <c r="K552" s="34" t="s">
        <v>25</v>
      </c>
      <c r="L552" s="475"/>
      <c r="M552" s="224"/>
      <c r="N552" s="224"/>
      <c r="O552" s="902" t="s">
        <v>6395</v>
      </c>
    </row>
    <row r="553" spans="1:15" x14ac:dyDescent="0.3">
      <c r="A553" s="2402">
        <v>547</v>
      </c>
      <c r="B553" s="1122" t="s">
        <v>1690</v>
      </c>
      <c r="C553" s="216" t="s">
        <v>1344</v>
      </c>
      <c r="D553" s="416" t="s">
        <v>947</v>
      </c>
      <c r="E553" s="217" t="s">
        <v>1718</v>
      </c>
      <c r="F553" s="218" t="s">
        <v>1692</v>
      </c>
      <c r="G553" s="116">
        <v>5992</v>
      </c>
      <c r="H553" s="1776" t="s">
        <v>1349</v>
      </c>
      <c r="J553" s="224"/>
      <c r="K553" s="34" t="s">
        <v>25</v>
      </c>
      <c r="L553" s="475"/>
      <c r="M553" s="224"/>
      <c r="N553" s="224"/>
      <c r="O553" s="902" t="s">
        <v>6395</v>
      </c>
    </row>
    <row r="554" spans="1:15" x14ac:dyDescent="0.3">
      <c r="A554" s="2402">
        <v>548</v>
      </c>
      <c r="B554" s="1122" t="s">
        <v>1690</v>
      </c>
      <c r="C554" s="216" t="s">
        <v>1344</v>
      </c>
      <c r="D554" s="416" t="s">
        <v>947</v>
      </c>
      <c r="E554" s="217" t="s">
        <v>1719</v>
      </c>
      <c r="F554" s="218" t="s">
        <v>1692</v>
      </c>
      <c r="G554" s="116">
        <v>5992</v>
      </c>
      <c r="H554" s="1776" t="s">
        <v>1349</v>
      </c>
      <c r="J554" s="224"/>
      <c r="K554" s="34" t="s">
        <v>25</v>
      </c>
      <c r="L554" s="475"/>
      <c r="M554" s="224"/>
      <c r="N554" s="224"/>
      <c r="O554" s="902" t="s">
        <v>6395</v>
      </c>
    </row>
    <row r="555" spans="1:15" x14ac:dyDescent="0.3">
      <c r="A555" s="2401">
        <v>549</v>
      </c>
      <c r="B555" s="1122" t="s">
        <v>1690</v>
      </c>
      <c r="C555" s="216" t="s">
        <v>1344</v>
      </c>
      <c r="D555" s="416" t="s">
        <v>947</v>
      </c>
      <c r="E555" s="217" t="s">
        <v>1720</v>
      </c>
      <c r="F555" s="218" t="s">
        <v>1692</v>
      </c>
      <c r="G555" s="116">
        <v>5992</v>
      </c>
      <c r="H555" s="1776" t="s">
        <v>1349</v>
      </c>
      <c r="J555" s="224"/>
      <c r="K555" s="34" t="s">
        <v>25</v>
      </c>
      <c r="L555" s="475"/>
      <c r="M555" s="224"/>
      <c r="N555" s="224"/>
      <c r="O555" s="902" t="s">
        <v>6395</v>
      </c>
    </row>
    <row r="556" spans="1:15" x14ac:dyDescent="0.3">
      <c r="A556" s="2402">
        <v>550</v>
      </c>
      <c r="B556" s="1122" t="s">
        <v>1690</v>
      </c>
      <c r="C556" s="216" t="s">
        <v>1344</v>
      </c>
      <c r="D556" s="416" t="s">
        <v>947</v>
      </c>
      <c r="E556" s="217" t="s">
        <v>1721</v>
      </c>
      <c r="F556" s="218" t="s">
        <v>1692</v>
      </c>
      <c r="G556" s="116">
        <v>5992</v>
      </c>
      <c r="H556" s="1776" t="s">
        <v>1349</v>
      </c>
      <c r="J556" s="224"/>
      <c r="K556" s="34" t="s">
        <v>25</v>
      </c>
      <c r="L556" s="475"/>
      <c r="M556" s="224"/>
      <c r="N556" s="224"/>
      <c r="O556" s="902" t="s">
        <v>6395</v>
      </c>
    </row>
    <row r="557" spans="1:15" x14ac:dyDescent="0.3">
      <c r="A557" s="2402">
        <v>551</v>
      </c>
      <c r="B557" s="1122" t="s">
        <v>1690</v>
      </c>
      <c r="C557" s="216" t="s">
        <v>1344</v>
      </c>
      <c r="D557" s="416" t="s">
        <v>947</v>
      </c>
      <c r="E557" s="217" t="s">
        <v>1722</v>
      </c>
      <c r="F557" s="218" t="s">
        <v>1692</v>
      </c>
      <c r="G557" s="116">
        <v>5992</v>
      </c>
      <c r="H557" s="1776" t="s">
        <v>1349</v>
      </c>
      <c r="J557" s="224"/>
      <c r="K557" s="34" t="s">
        <v>25</v>
      </c>
      <c r="L557" s="475"/>
      <c r="M557" s="224"/>
      <c r="N557" s="224"/>
      <c r="O557" s="902" t="s">
        <v>6395</v>
      </c>
    </row>
    <row r="558" spans="1:15" x14ac:dyDescent="0.3">
      <c r="A558" s="2401">
        <v>552</v>
      </c>
      <c r="B558" s="1122" t="s">
        <v>1690</v>
      </c>
      <c r="C558" s="216" t="s">
        <v>1344</v>
      </c>
      <c r="D558" s="416" t="s">
        <v>947</v>
      </c>
      <c r="E558" s="217" t="s">
        <v>1723</v>
      </c>
      <c r="F558" s="218" t="s">
        <v>1692</v>
      </c>
      <c r="G558" s="116">
        <v>5992</v>
      </c>
      <c r="H558" s="1776" t="s">
        <v>1349</v>
      </c>
      <c r="J558" s="224"/>
      <c r="K558" s="34" t="s">
        <v>25</v>
      </c>
      <c r="L558" s="475"/>
      <c r="M558" s="224"/>
      <c r="N558" s="224"/>
      <c r="O558" s="902" t="s">
        <v>6395</v>
      </c>
    </row>
    <row r="559" spans="1:15" x14ac:dyDescent="0.3">
      <c r="A559" s="2402">
        <v>553</v>
      </c>
      <c r="B559" s="1122" t="s">
        <v>1690</v>
      </c>
      <c r="C559" s="216" t="s">
        <v>1344</v>
      </c>
      <c r="D559" s="416" t="s">
        <v>947</v>
      </c>
      <c r="E559" s="217" t="s">
        <v>1724</v>
      </c>
      <c r="F559" s="218" t="s">
        <v>1692</v>
      </c>
      <c r="G559" s="116">
        <v>5992</v>
      </c>
      <c r="H559" s="1776" t="s">
        <v>1349</v>
      </c>
      <c r="J559" s="224"/>
      <c r="K559" s="34" t="s">
        <v>25</v>
      </c>
      <c r="L559" s="475"/>
      <c r="M559" s="224"/>
      <c r="N559" s="224"/>
      <c r="O559" s="902" t="s">
        <v>6395</v>
      </c>
    </row>
    <row r="560" spans="1:15" x14ac:dyDescent="0.3">
      <c r="A560" s="2402">
        <v>554</v>
      </c>
      <c r="B560" s="1122" t="s">
        <v>1690</v>
      </c>
      <c r="C560" s="216" t="s">
        <v>1344</v>
      </c>
      <c r="D560" s="416" t="s">
        <v>947</v>
      </c>
      <c r="E560" s="217" t="s">
        <v>1725</v>
      </c>
      <c r="F560" s="218" t="s">
        <v>1692</v>
      </c>
      <c r="G560" s="116">
        <v>5992</v>
      </c>
      <c r="H560" s="1776" t="s">
        <v>1349</v>
      </c>
      <c r="J560" s="224"/>
      <c r="K560" s="34" t="s">
        <v>25</v>
      </c>
      <c r="L560" s="475"/>
      <c r="M560" s="224"/>
      <c r="N560" s="224"/>
      <c r="O560" s="902" t="s">
        <v>6395</v>
      </c>
    </row>
    <row r="561" spans="1:15" x14ac:dyDescent="0.3">
      <c r="A561" s="2401">
        <v>555</v>
      </c>
      <c r="B561" s="1122" t="s">
        <v>1690</v>
      </c>
      <c r="C561" s="216" t="s">
        <v>1344</v>
      </c>
      <c r="D561" s="416" t="s">
        <v>947</v>
      </c>
      <c r="E561" s="217" t="s">
        <v>1726</v>
      </c>
      <c r="F561" s="218" t="s">
        <v>1692</v>
      </c>
      <c r="G561" s="116">
        <v>5992</v>
      </c>
      <c r="H561" s="1776" t="s">
        <v>1349</v>
      </c>
      <c r="J561" s="224"/>
      <c r="K561" s="34" t="s">
        <v>25</v>
      </c>
      <c r="L561" s="475"/>
      <c r="M561" s="224"/>
      <c r="N561" s="224"/>
      <c r="O561" s="902" t="s">
        <v>6395</v>
      </c>
    </row>
    <row r="562" spans="1:15" x14ac:dyDescent="0.3">
      <c r="A562" s="2402">
        <v>556</v>
      </c>
      <c r="B562" s="1122" t="s">
        <v>1690</v>
      </c>
      <c r="C562" s="216" t="s">
        <v>1344</v>
      </c>
      <c r="D562" s="416" t="s">
        <v>947</v>
      </c>
      <c r="E562" s="217" t="s">
        <v>1727</v>
      </c>
      <c r="F562" s="218" t="s">
        <v>1692</v>
      </c>
      <c r="G562" s="116">
        <v>5992</v>
      </c>
      <c r="H562" s="1776" t="s">
        <v>1349</v>
      </c>
      <c r="J562" s="224"/>
      <c r="K562" s="34" t="s">
        <v>25</v>
      </c>
      <c r="L562" s="475"/>
      <c r="M562" s="224"/>
      <c r="N562" s="224"/>
      <c r="O562" s="902" t="s">
        <v>6395</v>
      </c>
    </row>
    <row r="563" spans="1:15" x14ac:dyDescent="0.3">
      <c r="A563" s="2402">
        <v>557</v>
      </c>
      <c r="B563" s="1122" t="s">
        <v>1690</v>
      </c>
      <c r="C563" s="216" t="s">
        <v>1344</v>
      </c>
      <c r="D563" s="416" t="s">
        <v>947</v>
      </c>
      <c r="E563" s="217" t="s">
        <v>1728</v>
      </c>
      <c r="F563" s="218" t="s">
        <v>1692</v>
      </c>
      <c r="G563" s="116">
        <v>5992</v>
      </c>
      <c r="H563" s="1776" t="s">
        <v>1349</v>
      </c>
      <c r="J563" s="224"/>
      <c r="K563" s="34" t="s">
        <v>25</v>
      </c>
      <c r="L563" s="475"/>
      <c r="M563" s="224"/>
      <c r="N563" s="224"/>
      <c r="O563" s="902" t="s">
        <v>6395</v>
      </c>
    </row>
    <row r="564" spans="1:15" x14ac:dyDescent="0.3">
      <c r="A564" s="2401">
        <v>558</v>
      </c>
      <c r="B564" s="1122" t="s">
        <v>1690</v>
      </c>
      <c r="C564" s="216" t="s">
        <v>1344</v>
      </c>
      <c r="D564" s="416" t="s">
        <v>947</v>
      </c>
      <c r="E564" s="217" t="s">
        <v>1729</v>
      </c>
      <c r="F564" s="218" t="s">
        <v>1692</v>
      </c>
      <c r="G564" s="116">
        <v>5992</v>
      </c>
      <c r="H564" s="1776" t="s">
        <v>1349</v>
      </c>
      <c r="J564" s="224"/>
      <c r="K564" s="34" t="s">
        <v>25</v>
      </c>
      <c r="L564" s="475"/>
      <c r="M564" s="224"/>
      <c r="N564" s="224"/>
      <c r="O564" s="902" t="s">
        <v>6395</v>
      </c>
    </row>
    <row r="565" spans="1:15" x14ac:dyDescent="0.3">
      <c r="A565" s="2402">
        <v>559</v>
      </c>
      <c r="B565" s="1122" t="s">
        <v>1690</v>
      </c>
      <c r="C565" s="216" t="s">
        <v>1344</v>
      </c>
      <c r="D565" s="416" t="s">
        <v>947</v>
      </c>
      <c r="E565" s="217" t="s">
        <v>1730</v>
      </c>
      <c r="F565" s="218" t="s">
        <v>1692</v>
      </c>
      <c r="G565" s="116">
        <v>5992</v>
      </c>
      <c r="H565" s="1776" t="s">
        <v>1349</v>
      </c>
      <c r="J565" s="224"/>
      <c r="K565" s="34" t="s">
        <v>25</v>
      </c>
      <c r="L565" s="475"/>
      <c r="M565" s="224"/>
      <c r="N565" s="224"/>
      <c r="O565" s="902" t="s">
        <v>6395</v>
      </c>
    </row>
    <row r="566" spans="1:15" x14ac:dyDescent="0.3">
      <c r="A566" s="2402">
        <v>560</v>
      </c>
      <c r="B566" s="1122" t="s">
        <v>1690</v>
      </c>
      <c r="C566" s="216" t="s">
        <v>1344</v>
      </c>
      <c r="D566" s="416" t="s">
        <v>947</v>
      </c>
      <c r="E566" s="217" t="s">
        <v>1731</v>
      </c>
      <c r="F566" s="218" t="s">
        <v>1692</v>
      </c>
      <c r="G566" s="116">
        <v>5992</v>
      </c>
      <c r="H566" s="1776" t="s">
        <v>1349</v>
      </c>
      <c r="J566" s="224"/>
      <c r="K566" s="34" t="s">
        <v>25</v>
      </c>
      <c r="L566" s="475"/>
      <c r="M566" s="224"/>
      <c r="N566" s="224"/>
      <c r="O566" s="902" t="s">
        <v>6395</v>
      </c>
    </row>
    <row r="567" spans="1:15" x14ac:dyDescent="0.3">
      <c r="A567" s="2401">
        <v>561</v>
      </c>
      <c r="B567" s="1122" t="s">
        <v>1690</v>
      </c>
      <c r="C567" s="216" t="s">
        <v>1344</v>
      </c>
      <c r="D567" s="416" t="s">
        <v>947</v>
      </c>
      <c r="E567" s="217" t="s">
        <v>1732</v>
      </c>
      <c r="F567" s="218" t="s">
        <v>1692</v>
      </c>
      <c r="G567" s="116">
        <v>5992</v>
      </c>
      <c r="H567" s="1776" t="s">
        <v>1349</v>
      </c>
      <c r="J567" s="224"/>
      <c r="K567" s="34" t="s">
        <v>25</v>
      </c>
      <c r="L567" s="475"/>
      <c r="M567" s="224"/>
      <c r="N567" s="224"/>
      <c r="O567" s="902" t="s">
        <v>6395</v>
      </c>
    </row>
    <row r="568" spans="1:15" x14ac:dyDescent="0.3">
      <c r="A568" s="2402">
        <v>562</v>
      </c>
      <c r="B568" s="1122" t="s">
        <v>1690</v>
      </c>
      <c r="C568" s="216" t="s">
        <v>1344</v>
      </c>
      <c r="D568" s="416" t="s">
        <v>947</v>
      </c>
      <c r="E568" s="217" t="s">
        <v>1733</v>
      </c>
      <c r="F568" s="218" t="s">
        <v>1692</v>
      </c>
      <c r="G568" s="116">
        <v>5992</v>
      </c>
      <c r="H568" s="1776" t="s">
        <v>1349</v>
      </c>
      <c r="J568" s="224"/>
      <c r="K568" s="34" t="s">
        <v>25</v>
      </c>
      <c r="L568" s="475"/>
      <c r="M568" s="224"/>
      <c r="N568" s="224"/>
      <c r="O568" s="902" t="s">
        <v>6395</v>
      </c>
    </row>
    <row r="569" spans="1:15" x14ac:dyDescent="0.3">
      <c r="A569" s="2402">
        <v>563</v>
      </c>
      <c r="B569" s="1122" t="s">
        <v>1690</v>
      </c>
      <c r="C569" s="216" t="s">
        <v>1344</v>
      </c>
      <c r="D569" s="416" t="s">
        <v>947</v>
      </c>
      <c r="E569" s="217" t="s">
        <v>1734</v>
      </c>
      <c r="F569" s="218" t="s">
        <v>1692</v>
      </c>
      <c r="G569" s="116">
        <v>5992</v>
      </c>
      <c r="H569" s="1776" t="s">
        <v>1349</v>
      </c>
      <c r="J569" s="224"/>
      <c r="K569" s="34" t="s">
        <v>25</v>
      </c>
      <c r="L569" s="475"/>
      <c r="M569" s="224"/>
      <c r="N569" s="224"/>
      <c r="O569" s="902" t="s">
        <v>6395</v>
      </c>
    </row>
    <row r="570" spans="1:15" x14ac:dyDescent="0.3">
      <c r="A570" s="2401">
        <v>564</v>
      </c>
      <c r="B570" s="1122" t="s">
        <v>1690</v>
      </c>
      <c r="C570" s="216" t="s">
        <v>1344</v>
      </c>
      <c r="D570" s="416" t="s">
        <v>947</v>
      </c>
      <c r="E570" s="217" t="s">
        <v>1735</v>
      </c>
      <c r="F570" s="218" t="s">
        <v>1692</v>
      </c>
      <c r="G570" s="116">
        <v>5992</v>
      </c>
      <c r="H570" s="1776" t="s">
        <v>1349</v>
      </c>
      <c r="J570" s="224"/>
      <c r="K570" s="34" t="s">
        <v>25</v>
      </c>
      <c r="L570" s="475"/>
      <c r="M570" s="224"/>
      <c r="N570" s="224"/>
      <c r="O570" s="902" t="s">
        <v>6395</v>
      </c>
    </row>
    <row r="571" spans="1:15" x14ac:dyDescent="0.3">
      <c r="A571" s="2402">
        <v>565</v>
      </c>
      <c r="B571" s="1122" t="s">
        <v>1690</v>
      </c>
      <c r="C571" s="216" t="s">
        <v>1344</v>
      </c>
      <c r="D571" s="416" t="s">
        <v>947</v>
      </c>
      <c r="E571" s="217" t="s">
        <v>1736</v>
      </c>
      <c r="F571" s="218" t="s">
        <v>1692</v>
      </c>
      <c r="G571" s="116">
        <v>5992</v>
      </c>
      <c r="H571" s="1776" t="s">
        <v>1349</v>
      </c>
      <c r="J571" s="224"/>
      <c r="K571" s="34" t="s">
        <v>25</v>
      </c>
      <c r="L571" s="475"/>
      <c r="M571" s="224"/>
      <c r="N571" s="224"/>
      <c r="O571" s="902" t="s">
        <v>6395</v>
      </c>
    </row>
    <row r="572" spans="1:15" x14ac:dyDescent="0.3">
      <c r="A572" s="2402">
        <v>566</v>
      </c>
      <c r="B572" s="1122" t="s">
        <v>1690</v>
      </c>
      <c r="C572" s="216" t="s">
        <v>1344</v>
      </c>
      <c r="D572" s="416" t="s">
        <v>947</v>
      </c>
      <c r="E572" s="217" t="s">
        <v>1737</v>
      </c>
      <c r="F572" s="218" t="s">
        <v>1692</v>
      </c>
      <c r="G572" s="116">
        <v>5992</v>
      </c>
      <c r="H572" s="1776" t="s">
        <v>1349</v>
      </c>
      <c r="J572" s="224"/>
      <c r="K572" s="34" t="s">
        <v>25</v>
      </c>
      <c r="L572" s="475"/>
      <c r="M572" s="224"/>
      <c r="N572" s="224"/>
      <c r="O572" s="902" t="s">
        <v>6395</v>
      </c>
    </row>
    <row r="573" spans="1:15" x14ac:dyDescent="0.3">
      <c r="A573" s="2401">
        <v>567</v>
      </c>
      <c r="B573" s="1122" t="s">
        <v>1690</v>
      </c>
      <c r="C573" s="216" t="s">
        <v>1344</v>
      </c>
      <c r="D573" s="416" t="s">
        <v>947</v>
      </c>
      <c r="E573" s="217" t="s">
        <v>1738</v>
      </c>
      <c r="F573" s="218" t="s">
        <v>1692</v>
      </c>
      <c r="G573" s="116">
        <v>5992</v>
      </c>
      <c r="H573" s="1776" t="s">
        <v>1349</v>
      </c>
      <c r="J573" s="224"/>
      <c r="K573" s="34" t="s">
        <v>25</v>
      </c>
      <c r="L573" s="475"/>
      <c r="M573" s="224"/>
      <c r="N573" s="224"/>
      <c r="O573" s="902" t="s">
        <v>6395</v>
      </c>
    </row>
    <row r="574" spans="1:15" x14ac:dyDescent="0.3">
      <c r="A574" s="2402">
        <v>568</v>
      </c>
      <c r="B574" s="1122" t="s">
        <v>1690</v>
      </c>
      <c r="C574" s="216" t="s">
        <v>1344</v>
      </c>
      <c r="D574" s="416" t="s">
        <v>947</v>
      </c>
      <c r="E574" s="217" t="s">
        <v>1739</v>
      </c>
      <c r="F574" s="218" t="s">
        <v>1692</v>
      </c>
      <c r="G574" s="116">
        <v>5992</v>
      </c>
      <c r="H574" s="1776" t="s">
        <v>1349</v>
      </c>
      <c r="J574" s="224"/>
      <c r="K574" s="34" t="s">
        <v>25</v>
      </c>
      <c r="L574" s="475"/>
      <c r="M574" s="224"/>
      <c r="N574" s="224"/>
      <c r="O574" s="902" t="s">
        <v>6395</v>
      </c>
    </row>
    <row r="575" spans="1:15" x14ac:dyDescent="0.3">
      <c r="A575" s="2402">
        <v>569</v>
      </c>
      <c r="B575" s="1122" t="s">
        <v>1690</v>
      </c>
      <c r="C575" s="216" t="s">
        <v>1344</v>
      </c>
      <c r="D575" s="452" t="s">
        <v>947</v>
      </c>
      <c r="E575" s="217" t="s">
        <v>1740</v>
      </c>
      <c r="F575" s="218" t="s">
        <v>1692</v>
      </c>
      <c r="G575" s="116">
        <v>5992</v>
      </c>
      <c r="H575" s="1776" t="s">
        <v>1349</v>
      </c>
      <c r="J575" s="224"/>
      <c r="K575" s="34" t="s">
        <v>25</v>
      </c>
      <c r="L575" s="475"/>
      <c r="M575" s="224"/>
      <c r="N575" s="224"/>
      <c r="O575" s="902" t="s">
        <v>6395</v>
      </c>
    </row>
    <row r="576" spans="1:15" x14ac:dyDescent="0.3">
      <c r="A576" s="2401">
        <v>570</v>
      </c>
      <c r="B576" s="1122" t="s">
        <v>1690</v>
      </c>
      <c r="C576" s="216" t="s">
        <v>1344</v>
      </c>
      <c r="D576" s="793" t="s">
        <v>947</v>
      </c>
      <c r="E576" s="217" t="s">
        <v>1741</v>
      </c>
      <c r="F576" s="218" t="s">
        <v>1692</v>
      </c>
      <c r="G576" s="116">
        <v>5992</v>
      </c>
      <c r="H576" s="1776" t="s">
        <v>1349</v>
      </c>
      <c r="J576" s="224"/>
      <c r="K576" s="34" t="s">
        <v>25</v>
      </c>
      <c r="L576" s="475"/>
      <c r="M576" s="224"/>
      <c r="N576" s="224"/>
      <c r="O576" s="902" t="s">
        <v>6395</v>
      </c>
    </row>
    <row r="577" spans="1:15" x14ac:dyDescent="0.3">
      <c r="A577" s="2402">
        <v>571</v>
      </c>
      <c r="B577" s="1122" t="s">
        <v>1690</v>
      </c>
      <c r="C577" s="216" t="s">
        <v>1344</v>
      </c>
      <c r="D577" s="416" t="s">
        <v>947</v>
      </c>
      <c r="E577" s="217" t="s">
        <v>1742</v>
      </c>
      <c r="F577" s="218" t="s">
        <v>1692</v>
      </c>
      <c r="G577" s="116">
        <v>5992</v>
      </c>
      <c r="H577" s="1776" t="s">
        <v>1349</v>
      </c>
      <c r="J577" s="224"/>
      <c r="K577" s="34" t="s">
        <v>25</v>
      </c>
      <c r="L577" s="475"/>
      <c r="M577" s="224"/>
      <c r="N577" s="224"/>
      <c r="O577" s="902" t="s">
        <v>6395</v>
      </c>
    </row>
    <row r="578" spans="1:15" x14ac:dyDescent="0.3">
      <c r="A578" s="2402">
        <v>572</v>
      </c>
      <c r="B578" s="1122" t="s">
        <v>1690</v>
      </c>
      <c r="C578" s="216" t="s">
        <v>1344</v>
      </c>
      <c r="D578" s="416" t="s">
        <v>947</v>
      </c>
      <c r="E578" s="217" t="s">
        <v>1743</v>
      </c>
      <c r="F578" s="218" t="s">
        <v>1692</v>
      </c>
      <c r="G578" s="116">
        <v>5992</v>
      </c>
      <c r="H578" s="1776" t="s">
        <v>1349</v>
      </c>
      <c r="J578" s="224"/>
      <c r="K578" s="34" t="s">
        <v>25</v>
      </c>
      <c r="L578" s="475"/>
      <c r="M578" s="224"/>
      <c r="N578" s="224"/>
      <c r="O578" s="902" t="s">
        <v>6395</v>
      </c>
    </row>
    <row r="579" spans="1:15" x14ac:dyDescent="0.3">
      <c r="A579" s="2401">
        <v>573</v>
      </c>
      <c r="B579" s="1122" t="s">
        <v>1690</v>
      </c>
      <c r="C579" s="216" t="s">
        <v>1344</v>
      </c>
      <c r="D579" s="416" t="s">
        <v>947</v>
      </c>
      <c r="E579" s="217" t="s">
        <v>1744</v>
      </c>
      <c r="F579" s="218" t="s">
        <v>1692</v>
      </c>
      <c r="G579" s="116">
        <v>5992</v>
      </c>
      <c r="H579" s="1776" t="s">
        <v>1349</v>
      </c>
      <c r="J579" s="224"/>
      <c r="K579" s="34" t="s">
        <v>25</v>
      </c>
      <c r="L579" s="475"/>
      <c r="M579" s="224"/>
      <c r="N579" s="224"/>
      <c r="O579" s="902" t="s">
        <v>6395</v>
      </c>
    </row>
    <row r="580" spans="1:15" x14ac:dyDescent="0.3">
      <c r="A580" s="2402">
        <v>574</v>
      </c>
      <c r="B580" s="1122" t="s">
        <v>1690</v>
      </c>
      <c r="C580" s="216" t="s">
        <v>1344</v>
      </c>
      <c r="D580" s="416" t="s">
        <v>947</v>
      </c>
      <c r="E580" s="217" t="s">
        <v>1745</v>
      </c>
      <c r="F580" s="218" t="s">
        <v>1692</v>
      </c>
      <c r="G580" s="116">
        <v>5992</v>
      </c>
      <c r="H580" s="1776" t="s">
        <v>1349</v>
      </c>
      <c r="J580" s="224"/>
      <c r="K580" s="34" t="s">
        <v>25</v>
      </c>
      <c r="L580" s="475"/>
      <c r="M580" s="224"/>
      <c r="N580" s="224"/>
      <c r="O580" s="902" t="s">
        <v>6395</v>
      </c>
    </row>
    <row r="581" spans="1:15" x14ac:dyDescent="0.3">
      <c r="A581" s="2402">
        <v>575</v>
      </c>
      <c r="B581" s="1122" t="s">
        <v>1690</v>
      </c>
      <c r="C581" s="216" t="s">
        <v>1344</v>
      </c>
      <c r="D581" s="416" t="s">
        <v>947</v>
      </c>
      <c r="E581" s="217" t="s">
        <v>1746</v>
      </c>
      <c r="F581" s="218" t="s">
        <v>1692</v>
      </c>
      <c r="G581" s="116">
        <v>5992</v>
      </c>
      <c r="H581" s="1776" t="s">
        <v>1349</v>
      </c>
      <c r="J581" s="224"/>
      <c r="K581" s="34" t="s">
        <v>25</v>
      </c>
      <c r="L581" s="475"/>
      <c r="M581" s="224"/>
      <c r="N581" s="224"/>
      <c r="O581" s="902" t="s">
        <v>6395</v>
      </c>
    </row>
    <row r="582" spans="1:15" x14ac:dyDescent="0.3">
      <c r="A582" s="2401">
        <v>576</v>
      </c>
      <c r="B582" s="1122" t="s">
        <v>1690</v>
      </c>
      <c r="C582" s="216" t="s">
        <v>1344</v>
      </c>
      <c r="D582" s="416" t="s">
        <v>947</v>
      </c>
      <c r="E582" s="217" t="s">
        <v>1747</v>
      </c>
      <c r="F582" s="218" t="s">
        <v>1692</v>
      </c>
      <c r="G582" s="116">
        <v>5992</v>
      </c>
      <c r="H582" s="1776" t="s">
        <v>1349</v>
      </c>
      <c r="J582" s="224"/>
      <c r="K582" s="34" t="s">
        <v>25</v>
      </c>
      <c r="L582" s="475"/>
      <c r="M582" s="224"/>
      <c r="N582" s="224"/>
      <c r="O582" s="902" t="s">
        <v>6395</v>
      </c>
    </row>
    <row r="583" spans="1:15" x14ac:dyDescent="0.3">
      <c r="A583" s="2402">
        <v>577</v>
      </c>
      <c r="B583" s="1122" t="s">
        <v>1690</v>
      </c>
      <c r="C583" s="216" t="s">
        <v>1344</v>
      </c>
      <c r="D583" s="416" t="s">
        <v>947</v>
      </c>
      <c r="E583" s="217" t="s">
        <v>1748</v>
      </c>
      <c r="F583" s="218" t="s">
        <v>1692</v>
      </c>
      <c r="G583" s="116">
        <v>5992</v>
      </c>
      <c r="H583" s="1776" t="s">
        <v>1349</v>
      </c>
      <c r="J583" s="224"/>
      <c r="K583" s="34" t="s">
        <v>25</v>
      </c>
      <c r="L583" s="475"/>
      <c r="M583" s="224"/>
      <c r="N583" s="224"/>
      <c r="O583" s="902" t="s">
        <v>6395</v>
      </c>
    </row>
    <row r="584" spans="1:15" x14ac:dyDescent="0.3">
      <c r="A584" s="2402">
        <v>578</v>
      </c>
      <c r="B584" s="1122" t="s">
        <v>1690</v>
      </c>
      <c r="C584" s="216" t="s">
        <v>1344</v>
      </c>
      <c r="D584" s="416" t="s">
        <v>947</v>
      </c>
      <c r="E584" s="217" t="s">
        <v>1749</v>
      </c>
      <c r="F584" s="218" t="s">
        <v>1692</v>
      </c>
      <c r="G584" s="116">
        <v>5992</v>
      </c>
      <c r="H584" s="1776" t="s">
        <v>1349</v>
      </c>
      <c r="J584" s="224"/>
      <c r="K584" s="34" t="s">
        <v>25</v>
      </c>
      <c r="L584" s="475"/>
      <c r="M584" s="224"/>
      <c r="N584" s="224"/>
      <c r="O584" s="902" t="s">
        <v>6395</v>
      </c>
    </row>
    <row r="585" spans="1:15" x14ac:dyDescent="0.3">
      <c r="A585" s="2401">
        <v>579</v>
      </c>
      <c r="B585" s="1122" t="s">
        <v>1690</v>
      </c>
      <c r="C585" s="216" t="s">
        <v>1344</v>
      </c>
      <c r="D585" s="416" t="s">
        <v>947</v>
      </c>
      <c r="E585" s="217" t="s">
        <v>1750</v>
      </c>
      <c r="F585" s="218" t="s">
        <v>1692</v>
      </c>
      <c r="G585" s="116">
        <v>5992</v>
      </c>
      <c r="H585" s="1776" t="s">
        <v>1349</v>
      </c>
      <c r="J585" s="224"/>
      <c r="K585" s="34" t="s">
        <v>25</v>
      </c>
      <c r="L585" s="475"/>
      <c r="M585" s="224"/>
      <c r="N585" s="224"/>
      <c r="O585" s="902" t="s">
        <v>6395</v>
      </c>
    </row>
    <row r="586" spans="1:15" x14ac:dyDescent="0.3">
      <c r="A586" s="2402">
        <v>580</v>
      </c>
      <c r="B586" s="1122" t="s">
        <v>1690</v>
      </c>
      <c r="C586" s="216" t="s">
        <v>1344</v>
      </c>
      <c r="D586" s="416" t="s">
        <v>947</v>
      </c>
      <c r="E586" s="217" t="s">
        <v>1751</v>
      </c>
      <c r="F586" s="218" t="s">
        <v>1692</v>
      </c>
      <c r="G586" s="116">
        <v>5992</v>
      </c>
      <c r="H586" s="1776" t="s">
        <v>1349</v>
      </c>
      <c r="J586" s="224"/>
      <c r="K586" s="34" t="s">
        <v>25</v>
      </c>
      <c r="L586" s="475"/>
      <c r="M586" s="224"/>
      <c r="N586" s="224"/>
      <c r="O586" s="902" t="s">
        <v>6395</v>
      </c>
    </row>
    <row r="587" spans="1:15" x14ac:dyDescent="0.3">
      <c r="A587" s="2402">
        <v>581</v>
      </c>
      <c r="B587" s="1122" t="s">
        <v>1690</v>
      </c>
      <c r="C587" s="216" t="s">
        <v>1344</v>
      </c>
      <c r="D587" s="416" t="s">
        <v>947</v>
      </c>
      <c r="E587" s="217" t="s">
        <v>1752</v>
      </c>
      <c r="F587" s="218" t="s">
        <v>1692</v>
      </c>
      <c r="G587" s="116">
        <v>5992</v>
      </c>
      <c r="H587" s="1776" t="s">
        <v>1349</v>
      </c>
      <c r="J587" s="224"/>
      <c r="K587" s="34" t="s">
        <v>25</v>
      </c>
      <c r="L587" s="475"/>
      <c r="M587" s="224"/>
      <c r="N587" s="224"/>
      <c r="O587" s="902" t="s">
        <v>6395</v>
      </c>
    </row>
    <row r="588" spans="1:15" x14ac:dyDescent="0.3">
      <c r="A588" s="2401">
        <v>582</v>
      </c>
      <c r="B588" s="1122" t="s">
        <v>1690</v>
      </c>
      <c r="C588" s="216" t="s">
        <v>1344</v>
      </c>
      <c r="D588" s="416" t="s">
        <v>947</v>
      </c>
      <c r="E588" s="217" t="s">
        <v>1753</v>
      </c>
      <c r="F588" s="218" t="s">
        <v>1692</v>
      </c>
      <c r="G588" s="116">
        <v>5992</v>
      </c>
      <c r="H588" s="1776" t="s">
        <v>1349</v>
      </c>
      <c r="J588" s="224"/>
      <c r="K588" s="34" t="s">
        <v>25</v>
      </c>
      <c r="L588" s="475"/>
      <c r="M588" s="224"/>
      <c r="N588" s="224"/>
      <c r="O588" s="902" t="s">
        <v>6395</v>
      </c>
    </row>
    <row r="589" spans="1:15" x14ac:dyDescent="0.3">
      <c r="A589" s="2402">
        <v>583</v>
      </c>
      <c r="B589" s="1122" t="s">
        <v>1690</v>
      </c>
      <c r="C589" s="216" t="s">
        <v>1344</v>
      </c>
      <c r="D589" s="416" t="s">
        <v>947</v>
      </c>
      <c r="E589" s="217" t="s">
        <v>1754</v>
      </c>
      <c r="F589" s="218" t="s">
        <v>1692</v>
      </c>
      <c r="G589" s="116">
        <v>5992</v>
      </c>
      <c r="H589" s="1776" t="s">
        <v>1349</v>
      </c>
      <c r="J589" s="224"/>
      <c r="K589" s="34" t="s">
        <v>25</v>
      </c>
      <c r="L589" s="475"/>
      <c r="M589" s="224"/>
      <c r="N589" s="224"/>
      <c r="O589" s="902" t="s">
        <v>6395</v>
      </c>
    </row>
    <row r="590" spans="1:15" x14ac:dyDescent="0.3">
      <c r="A590" s="2402">
        <v>584</v>
      </c>
      <c r="B590" s="1122" t="s">
        <v>1690</v>
      </c>
      <c r="C590" s="216" t="s">
        <v>1344</v>
      </c>
      <c r="D590" s="416" t="s">
        <v>947</v>
      </c>
      <c r="E590" s="217" t="s">
        <v>1755</v>
      </c>
      <c r="F590" s="218" t="s">
        <v>1692</v>
      </c>
      <c r="G590" s="116">
        <v>5992</v>
      </c>
      <c r="H590" s="1776" t="s">
        <v>1349</v>
      </c>
      <c r="J590" s="224"/>
      <c r="K590" s="34" t="s">
        <v>25</v>
      </c>
      <c r="L590" s="475"/>
      <c r="M590" s="224"/>
      <c r="N590" s="224"/>
      <c r="O590" s="902" t="s">
        <v>6395</v>
      </c>
    </row>
    <row r="591" spans="1:15" x14ac:dyDescent="0.3">
      <c r="A591" s="2401">
        <v>585</v>
      </c>
      <c r="B591" s="1122" t="s">
        <v>1690</v>
      </c>
      <c r="C591" s="216" t="s">
        <v>1344</v>
      </c>
      <c r="D591" s="416" t="s">
        <v>947</v>
      </c>
      <c r="E591" s="217" t="s">
        <v>1756</v>
      </c>
      <c r="F591" s="218" t="s">
        <v>1692</v>
      </c>
      <c r="G591" s="116">
        <v>5992</v>
      </c>
      <c r="H591" s="1776" t="s">
        <v>1349</v>
      </c>
      <c r="J591" s="224"/>
      <c r="K591" s="34" t="s">
        <v>25</v>
      </c>
      <c r="L591" s="475"/>
      <c r="M591" s="224"/>
      <c r="N591" s="224"/>
      <c r="O591" s="902" t="s">
        <v>6395</v>
      </c>
    </row>
    <row r="592" spans="1:15" x14ac:dyDescent="0.3">
      <c r="A592" s="2402">
        <v>586</v>
      </c>
      <c r="B592" s="1122" t="s">
        <v>1690</v>
      </c>
      <c r="C592" s="216" t="s">
        <v>1344</v>
      </c>
      <c r="D592" s="416" t="s">
        <v>947</v>
      </c>
      <c r="E592" s="217" t="s">
        <v>1757</v>
      </c>
      <c r="F592" s="218" t="s">
        <v>1692</v>
      </c>
      <c r="G592" s="116">
        <v>5992</v>
      </c>
      <c r="H592" s="1776" t="s">
        <v>1349</v>
      </c>
      <c r="J592" s="224"/>
      <c r="K592" s="34" t="s">
        <v>25</v>
      </c>
      <c r="L592" s="475"/>
      <c r="M592" s="224"/>
      <c r="N592" s="224"/>
      <c r="O592" s="902" t="s">
        <v>6395</v>
      </c>
    </row>
    <row r="593" spans="1:15" x14ac:dyDescent="0.3">
      <c r="A593" s="2402">
        <v>587</v>
      </c>
      <c r="B593" s="1122" t="s">
        <v>1690</v>
      </c>
      <c r="C593" s="216" t="s">
        <v>1344</v>
      </c>
      <c r="D593" s="416" t="s">
        <v>947</v>
      </c>
      <c r="E593" s="217" t="s">
        <v>1758</v>
      </c>
      <c r="F593" s="218" t="s">
        <v>1692</v>
      </c>
      <c r="G593" s="116">
        <v>5992</v>
      </c>
      <c r="H593" s="1776" t="s">
        <v>1349</v>
      </c>
      <c r="J593" s="224"/>
      <c r="K593" s="34" t="s">
        <v>25</v>
      </c>
      <c r="L593" s="475"/>
      <c r="M593" s="224"/>
      <c r="N593" s="224"/>
      <c r="O593" s="902" t="s">
        <v>6395</v>
      </c>
    </row>
    <row r="594" spans="1:15" x14ac:dyDescent="0.3">
      <c r="A594" s="2401">
        <v>588</v>
      </c>
      <c r="B594" s="1122" t="s">
        <v>1690</v>
      </c>
      <c r="C594" s="216" t="s">
        <v>1344</v>
      </c>
      <c r="D594" s="416" t="s">
        <v>947</v>
      </c>
      <c r="E594" s="217" t="s">
        <v>1759</v>
      </c>
      <c r="F594" s="218" t="s">
        <v>1692</v>
      </c>
      <c r="G594" s="116">
        <v>5992</v>
      </c>
      <c r="H594" s="1776" t="s">
        <v>1349</v>
      </c>
      <c r="J594" s="224"/>
      <c r="K594" s="34" t="s">
        <v>25</v>
      </c>
      <c r="L594" s="475"/>
      <c r="M594" s="224"/>
      <c r="N594" s="224"/>
      <c r="O594" s="902" t="s">
        <v>6395</v>
      </c>
    </row>
    <row r="595" spans="1:15" x14ac:dyDescent="0.3">
      <c r="A595" s="2402">
        <v>589</v>
      </c>
      <c r="B595" s="1122" t="s">
        <v>1690</v>
      </c>
      <c r="C595" s="216" t="s">
        <v>1344</v>
      </c>
      <c r="D595" s="416" t="s">
        <v>947</v>
      </c>
      <c r="E595" s="217" t="s">
        <v>336</v>
      </c>
      <c r="F595" s="218" t="s">
        <v>1692</v>
      </c>
      <c r="G595" s="116">
        <v>5992</v>
      </c>
      <c r="H595" s="1776" t="s">
        <v>1349</v>
      </c>
      <c r="J595" s="224"/>
      <c r="K595" s="34" t="s">
        <v>25</v>
      </c>
      <c r="L595" s="475"/>
      <c r="M595" s="224"/>
      <c r="N595" s="224"/>
      <c r="O595" s="902" t="s">
        <v>6395</v>
      </c>
    </row>
    <row r="596" spans="1:15" x14ac:dyDescent="0.3">
      <c r="A596" s="2402">
        <v>590</v>
      </c>
      <c r="B596" s="1122" t="s">
        <v>1690</v>
      </c>
      <c r="C596" s="216" t="s">
        <v>1344</v>
      </c>
      <c r="D596" s="416" t="s">
        <v>947</v>
      </c>
      <c r="E596" s="217" t="s">
        <v>337</v>
      </c>
      <c r="F596" s="218" t="s">
        <v>1692</v>
      </c>
      <c r="G596" s="116">
        <v>5992</v>
      </c>
      <c r="H596" s="1776" t="s">
        <v>1349</v>
      </c>
      <c r="J596" s="224"/>
      <c r="K596" s="34" t="s">
        <v>25</v>
      </c>
      <c r="L596" s="475"/>
      <c r="M596" s="224"/>
      <c r="N596" s="224"/>
      <c r="O596" s="902" t="s">
        <v>6395</v>
      </c>
    </row>
    <row r="597" spans="1:15" x14ac:dyDescent="0.3">
      <c r="A597" s="2401">
        <v>591</v>
      </c>
      <c r="B597" s="1122" t="s">
        <v>1690</v>
      </c>
      <c r="C597" s="216" t="s">
        <v>1344</v>
      </c>
      <c r="D597" s="416" t="s">
        <v>947</v>
      </c>
      <c r="E597" s="217" t="s">
        <v>1760</v>
      </c>
      <c r="F597" s="218" t="s">
        <v>1692</v>
      </c>
      <c r="G597" s="116">
        <v>5992</v>
      </c>
      <c r="H597" s="1776" t="s">
        <v>1349</v>
      </c>
      <c r="J597" s="224"/>
      <c r="K597" s="34" t="s">
        <v>25</v>
      </c>
      <c r="L597" s="475"/>
      <c r="M597" s="224"/>
      <c r="N597" s="224"/>
      <c r="O597" s="902" t="s">
        <v>6395</v>
      </c>
    </row>
    <row r="598" spans="1:15" x14ac:dyDescent="0.3">
      <c r="A598" s="2402">
        <v>592</v>
      </c>
      <c r="B598" s="1122" t="s">
        <v>1690</v>
      </c>
      <c r="C598" s="216" t="s">
        <v>1344</v>
      </c>
      <c r="D598" s="416" t="s">
        <v>947</v>
      </c>
      <c r="E598" s="217" t="s">
        <v>1761</v>
      </c>
      <c r="F598" s="218" t="s">
        <v>1692</v>
      </c>
      <c r="G598" s="116">
        <v>5992</v>
      </c>
      <c r="H598" s="1776" t="s">
        <v>1349</v>
      </c>
      <c r="J598" s="224"/>
      <c r="K598" s="34" t="s">
        <v>25</v>
      </c>
      <c r="L598" s="475"/>
      <c r="M598" s="224"/>
      <c r="N598" s="224"/>
      <c r="O598" s="902" t="s">
        <v>6395</v>
      </c>
    </row>
    <row r="599" spans="1:15" x14ac:dyDescent="0.3">
      <c r="A599" s="2402">
        <v>593</v>
      </c>
      <c r="B599" s="1122" t="s">
        <v>1690</v>
      </c>
      <c r="C599" s="216" t="s">
        <v>1344</v>
      </c>
      <c r="D599" s="416" t="s">
        <v>947</v>
      </c>
      <c r="E599" s="217" t="s">
        <v>1762</v>
      </c>
      <c r="F599" s="218" t="s">
        <v>1692</v>
      </c>
      <c r="G599" s="116">
        <v>5992</v>
      </c>
      <c r="H599" s="1776" t="s">
        <v>1349</v>
      </c>
      <c r="J599" s="224"/>
      <c r="K599" s="34" t="s">
        <v>25</v>
      </c>
      <c r="L599" s="475"/>
      <c r="M599" s="224"/>
      <c r="N599" s="224"/>
      <c r="O599" s="902" t="s">
        <v>6395</v>
      </c>
    </row>
    <row r="600" spans="1:15" x14ac:dyDescent="0.3">
      <c r="A600" s="2401">
        <v>594</v>
      </c>
      <c r="B600" s="1122" t="s">
        <v>1690</v>
      </c>
      <c r="C600" s="216" t="s">
        <v>1344</v>
      </c>
      <c r="D600" s="416" t="s">
        <v>947</v>
      </c>
      <c r="E600" s="217" t="s">
        <v>1763</v>
      </c>
      <c r="F600" s="218" t="s">
        <v>1692</v>
      </c>
      <c r="G600" s="116">
        <v>5992</v>
      </c>
      <c r="H600" s="1776" t="s">
        <v>1349</v>
      </c>
      <c r="J600" s="224"/>
      <c r="K600" s="34" t="s">
        <v>25</v>
      </c>
      <c r="L600" s="475"/>
      <c r="M600" s="224"/>
      <c r="N600" s="224"/>
      <c r="O600" s="902" t="s">
        <v>6395</v>
      </c>
    </row>
    <row r="601" spans="1:15" x14ac:dyDescent="0.3">
      <c r="A601" s="2402">
        <v>595</v>
      </c>
      <c r="B601" s="1122" t="s">
        <v>1690</v>
      </c>
      <c r="C601" s="216" t="s">
        <v>1344</v>
      </c>
      <c r="D601" s="416" t="s">
        <v>947</v>
      </c>
      <c r="E601" s="217" t="s">
        <v>390</v>
      </c>
      <c r="F601" s="218" t="s">
        <v>1692</v>
      </c>
      <c r="G601" s="116">
        <v>5992</v>
      </c>
      <c r="H601" s="1776" t="s">
        <v>1349</v>
      </c>
      <c r="J601" s="224"/>
      <c r="K601" s="34" t="s">
        <v>25</v>
      </c>
      <c r="L601" s="475"/>
      <c r="M601" s="224"/>
      <c r="N601" s="224"/>
      <c r="O601" s="902" t="s">
        <v>6395</v>
      </c>
    </row>
    <row r="602" spans="1:15" x14ac:dyDescent="0.3">
      <c r="A602" s="2402">
        <v>596</v>
      </c>
      <c r="B602" s="1122" t="s">
        <v>1690</v>
      </c>
      <c r="C602" s="216" t="s">
        <v>1344</v>
      </c>
      <c r="D602" s="416" t="s">
        <v>947</v>
      </c>
      <c r="E602" s="217" t="s">
        <v>340</v>
      </c>
      <c r="F602" s="218" t="s">
        <v>1692</v>
      </c>
      <c r="G602" s="116">
        <v>5992</v>
      </c>
      <c r="H602" s="1776" t="s">
        <v>1349</v>
      </c>
      <c r="J602" s="224"/>
      <c r="K602" s="34" t="s">
        <v>25</v>
      </c>
      <c r="L602" s="475"/>
      <c r="M602" s="224"/>
      <c r="N602" s="224"/>
      <c r="O602" s="902" t="s">
        <v>6395</v>
      </c>
    </row>
    <row r="603" spans="1:15" x14ac:dyDescent="0.3">
      <c r="A603" s="2401">
        <v>597</v>
      </c>
      <c r="B603" s="1122" t="s">
        <v>1690</v>
      </c>
      <c r="C603" s="216" t="s">
        <v>1344</v>
      </c>
      <c r="D603" s="416" t="s">
        <v>947</v>
      </c>
      <c r="E603" s="217" t="s">
        <v>342</v>
      </c>
      <c r="F603" s="218" t="s">
        <v>1692</v>
      </c>
      <c r="G603" s="116">
        <v>5992</v>
      </c>
      <c r="H603" s="1776" t="s">
        <v>1349</v>
      </c>
      <c r="J603" s="224"/>
      <c r="K603" s="34" t="s">
        <v>25</v>
      </c>
      <c r="L603" s="475"/>
      <c r="M603" s="224"/>
      <c r="N603" s="224"/>
      <c r="O603" s="902" t="s">
        <v>6395</v>
      </c>
    </row>
    <row r="604" spans="1:15" x14ac:dyDescent="0.3">
      <c r="A604" s="2402">
        <v>598</v>
      </c>
      <c r="B604" s="1122" t="s">
        <v>1690</v>
      </c>
      <c r="C604" s="216" t="s">
        <v>1344</v>
      </c>
      <c r="D604" s="452" t="s">
        <v>947</v>
      </c>
      <c r="E604" s="217" t="s">
        <v>392</v>
      </c>
      <c r="F604" s="218" t="s">
        <v>1692</v>
      </c>
      <c r="G604" s="116">
        <v>5992</v>
      </c>
      <c r="H604" s="1776" t="s">
        <v>1349</v>
      </c>
      <c r="J604" s="224"/>
      <c r="K604" s="34" t="s">
        <v>25</v>
      </c>
      <c r="L604" s="475"/>
      <c r="M604" s="224"/>
      <c r="N604" s="224"/>
      <c r="O604" s="902" t="s">
        <v>6395</v>
      </c>
    </row>
    <row r="605" spans="1:15" x14ac:dyDescent="0.3">
      <c r="A605" s="2402">
        <v>599</v>
      </c>
      <c r="B605" s="1122" t="s">
        <v>1690</v>
      </c>
      <c r="C605" s="216" t="s">
        <v>1344</v>
      </c>
      <c r="D605" s="495" t="s">
        <v>947</v>
      </c>
      <c r="E605" s="217" t="s">
        <v>1764</v>
      </c>
      <c r="F605" s="218" t="s">
        <v>1692</v>
      </c>
      <c r="G605" s="116">
        <v>5992</v>
      </c>
      <c r="H605" s="1776" t="s">
        <v>1349</v>
      </c>
      <c r="J605" s="224"/>
      <c r="K605" s="34" t="s">
        <v>25</v>
      </c>
      <c r="L605" s="475"/>
      <c r="M605" s="224"/>
      <c r="N605" s="224"/>
      <c r="O605" s="902" t="s">
        <v>6395</v>
      </c>
    </row>
    <row r="606" spans="1:15" x14ac:dyDescent="0.3">
      <c r="A606" s="2401">
        <v>600</v>
      </c>
      <c r="B606" s="1122" t="s">
        <v>1690</v>
      </c>
      <c r="C606" s="216" t="s">
        <v>1344</v>
      </c>
      <c r="D606" s="793" t="s">
        <v>947</v>
      </c>
      <c r="E606" s="217" t="s">
        <v>1765</v>
      </c>
      <c r="F606" s="218" t="s">
        <v>1692</v>
      </c>
      <c r="G606" s="116">
        <v>5992</v>
      </c>
      <c r="H606" s="1776" t="s">
        <v>1349</v>
      </c>
      <c r="J606" s="224"/>
      <c r="K606" s="34" t="s">
        <v>25</v>
      </c>
      <c r="L606" s="475"/>
      <c r="M606" s="224"/>
      <c r="N606" s="224"/>
      <c r="O606" s="902" t="s">
        <v>6395</v>
      </c>
    </row>
    <row r="607" spans="1:15" x14ac:dyDescent="0.3">
      <c r="A607" s="2402">
        <v>601</v>
      </c>
      <c r="B607" s="1122" t="s">
        <v>1690</v>
      </c>
      <c r="C607" s="216" t="s">
        <v>1344</v>
      </c>
      <c r="D607" s="416" t="s">
        <v>947</v>
      </c>
      <c r="E607" s="217" t="s">
        <v>1766</v>
      </c>
      <c r="F607" s="218" t="s">
        <v>1692</v>
      </c>
      <c r="G607" s="116">
        <v>5992</v>
      </c>
      <c r="H607" s="1776" t="s">
        <v>1349</v>
      </c>
      <c r="J607" s="224"/>
      <c r="K607" s="34" t="s">
        <v>25</v>
      </c>
      <c r="L607" s="475"/>
      <c r="M607" s="224"/>
      <c r="N607" s="224"/>
      <c r="O607" s="902" t="s">
        <v>6395</v>
      </c>
    </row>
    <row r="608" spans="1:15" x14ac:dyDescent="0.3">
      <c r="A608" s="2402">
        <v>602</v>
      </c>
      <c r="B608" s="1122" t="s">
        <v>1690</v>
      </c>
      <c r="C608" s="216" t="s">
        <v>1344</v>
      </c>
      <c r="D608" s="416" t="s">
        <v>947</v>
      </c>
      <c r="E608" s="217" t="s">
        <v>1767</v>
      </c>
      <c r="F608" s="218" t="s">
        <v>1692</v>
      </c>
      <c r="G608" s="116">
        <v>5992</v>
      </c>
      <c r="H608" s="1776" t="s">
        <v>1349</v>
      </c>
      <c r="J608" s="224"/>
      <c r="K608" s="34" t="s">
        <v>25</v>
      </c>
      <c r="L608" s="475"/>
      <c r="M608" s="224"/>
      <c r="N608" s="224"/>
      <c r="O608" s="902" t="s">
        <v>6395</v>
      </c>
    </row>
    <row r="609" spans="1:15" x14ac:dyDescent="0.3">
      <c r="A609" s="2401">
        <v>603</v>
      </c>
      <c r="B609" s="1122" t="s">
        <v>1690</v>
      </c>
      <c r="C609" s="216" t="s">
        <v>1344</v>
      </c>
      <c r="D609" s="416" t="s">
        <v>947</v>
      </c>
      <c r="E609" s="217" t="s">
        <v>1768</v>
      </c>
      <c r="F609" s="218" t="s">
        <v>1692</v>
      </c>
      <c r="G609" s="116">
        <v>5992</v>
      </c>
      <c r="H609" s="1776" t="s">
        <v>1349</v>
      </c>
      <c r="J609" s="224"/>
      <c r="K609" s="34" t="s">
        <v>25</v>
      </c>
      <c r="L609" s="475"/>
      <c r="M609" s="224"/>
      <c r="N609" s="224"/>
      <c r="O609" s="902" t="s">
        <v>6395</v>
      </c>
    </row>
    <row r="610" spans="1:15" x14ac:dyDescent="0.3">
      <c r="A610" s="2402">
        <v>604</v>
      </c>
      <c r="B610" s="1122" t="s">
        <v>1690</v>
      </c>
      <c r="C610" s="216" t="s">
        <v>1344</v>
      </c>
      <c r="D610" s="416" t="s">
        <v>947</v>
      </c>
      <c r="E610" s="217" t="s">
        <v>397</v>
      </c>
      <c r="F610" s="218" t="s">
        <v>1692</v>
      </c>
      <c r="G610" s="116">
        <v>5992</v>
      </c>
      <c r="H610" s="1776" t="s">
        <v>1349</v>
      </c>
      <c r="J610" s="224"/>
      <c r="K610" s="34" t="s">
        <v>25</v>
      </c>
      <c r="L610" s="475"/>
      <c r="M610" s="224"/>
      <c r="N610" s="224"/>
      <c r="O610" s="902" t="s">
        <v>6395</v>
      </c>
    </row>
    <row r="611" spans="1:15" x14ac:dyDescent="0.3">
      <c r="A611" s="2402">
        <v>605</v>
      </c>
      <c r="B611" s="1122" t="s">
        <v>1690</v>
      </c>
      <c r="C611" s="216" t="s">
        <v>1344</v>
      </c>
      <c r="D611" s="416" t="s">
        <v>947</v>
      </c>
      <c r="E611" s="217" t="s">
        <v>1769</v>
      </c>
      <c r="F611" s="218" t="s">
        <v>1692</v>
      </c>
      <c r="G611" s="116">
        <v>5992</v>
      </c>
      <c r="H611" s="1776" t="s">
        <v>1349</v>
      </c>
      <c r="J611" s="224"/>
      <c r="K611" s="34" t="s">
        <v>25</v>
      </c>
      <c r="L611" s="475"/>
      <c r="M611" s="224"/>
      <c r="N611" s="224"/>
      <c r="O611" s="902" t="s">
        <v>6395</v>
      </c>
    </row>
    <row r="612" spans="1:15" x14ac:dyDescent="0.3">
      <c r="A612" s="2401">
        <v>606</v>
      </c>
      <c r="B612" s="1122" t="s">
        <v>1690</v>
      </c>
      <c r="C612" s="216" t="s">
        <v>1344</v>
      </c>
      <c r="D612" s="416" t="s">
        <v>947</v>
      </c>
      <c r="E612" s="217" t="s">
        <v>1770</v>
      </c>
      <c r="F612" s="218" t="s">
        <v>1692</v>
      </c>
      <c r="G612" s="116">
        <v>5992</v>
      </c>
      <c r="H612" s="1776" t="s">
        <v>1349</v>
      </c>
      <c r="J612" s="224"/>
      <c r="K612" s="34" t="s">
        <v>25</v>
      </c>
      <c r="L612" s="475"/>
      <c r="M612" s="224"/>
      <c r="N612" s="224"/>
      <c r="O612" s="902" t="s">
        <v>6395</v>
      </c>
    </row>
    <row r="613" spans="1:15" x14ac:dyDescent="0.3">
      <c r="A613" s="2402">
        <v>607</v>
      </c>
      <c r="B613" s="1122" t="s">
        <v>1690</v>
      </c>
      <c r="C613" s="216" t="s">
        <v>1344</v>
      </c>
      <c r="D613" s="416" t="s">
        <v>947</v>
      </c>
      <c r="E613" s="217" t="s">
        <v>1771</v>
      </c>
      <c r="F613" s="218" t="s">
        <v>1692</v>
      </c>
      <c r="G613" s="116">
        <v>5992</v>
      </c>
      <c r="H613" s="1776" t="s">
        <v>1349</v>
      </c>
      <c r="J613" s="224"/>
      <c r="K613" s="34" t="s">
        <v>25</v>
      </c>
      <c r="L613" s="475"/>
      <c r="M613" s="224"/>
      <c r="N613" s="224"/>
      <c r="O613" s="902" t="s">
        <v>6395</v>
      </c>
    </row>
    <row r="614" spans="1:15" x14ac:dyDescent="0.3">
      <c r="A614" s="2402">
        <v>608</v>
      </c>
      <c r="B614" s="1122" t="s">
        <v>1690</v>
      </c>
      <c r="C614" s="216" t="s">
        <v>1344</v>
      </c>
      <c r="D614" s="416" t="s">
        <v>947</v>
      </c>
      <c r="E614" s="217" t="s">
        <v>1772</v>
      </c>
      <c r="F614" s="218" t="s">
        <v>1692</v>
      </c>
      <c r="G614" s="116">
        <v>5992</v>
      </c>
      <c r="H614" s="1776" t="s">
        <v>1349</v>
      </c>
      <c r="J614" s="224"/>
      <c r="K614" s="34" t="s">
        <v>25</v>
      </c>
      <c r="L614" s="475"/>
      <c r="M614" s="224"/>
      <c r="N614" s="224"/>
      <c r="O614" s="902" t="s">
        <v>6395</v>
      </c>
    </row>
    <row r="615" spans="1:15" x14ac:dyDescent="0.3">
      <c r="A615" s="2401">
        <v>609</v>
      </c>
      <c r="B615" s="1122" t="s">
        <v>1690</v>
      </c>
      <c r="C615" s="216" t="s">
        <v>1344</v>
      </c>
      <c r="D615" s="416" t="s">
        <v>947</v>
      </c>
      <c r="E615" s="217" t="s">
        <v>1773</v>
      </c>
      <c r="F615" s="218" t="s">
        <v>1692</v>
      </c>
      <c r="G615" s="116">
        <v>5992</v>
      </c>
      <c r="H615" s="1776" t="s">
        <v>1349</v>
      </c>
      <c r="J615" s="224"/>
      <c r="K615" s="34" t="s">
        <v>25</v>
      </c>
      <c r="L615" s="475"/>
      <c r="M615" s="224"/>
      <c r="N615" s="224"/>
      <c r="O615" s="902" t="s">
        <v>6395</v>
      </c>
    </row>
    <row r="616" spans="1:15" x14ac:dyDescent="0.3">
      <c r="A616" s="2402">
        <v>610</v>
      </c>
      <c r="B616" s="1122" t="s">
        <v>1690</v>
      </c>
      <c r="C616" s="216" t="s">
        <v>1344</v>
      </c>
      <c r="D616" s="416" t="s">
        <v>947</v>
      </c>
      <c r="E616" s="217" t="s">
        <v>1774</v>
      </c>
      <c r="F616" s="218" t="s">
        <v>1692</v>
      </c>
      <c r="G616" s="116">
        <v>5992</v>
      </c>
      <c r="H616" s="1776" t="s">
        <v>1349</v>
      </c>
      <c r="J616" s="224"/>
      <c r="K616" s="34" t="s">
        <v>25</v>
      </c>
      <c r="L616" s="475"/>
      <c r="M616" s="224"/>
      <c r="N616" s="224"/>
      <c r="O616" s="902" t="s">
        <v>6395</v>
      </c>
    </row>
    <row r="617" spans="1:15" x14ac:dyDescent="0.3">
      <c r="A617" s="2402">
        <v>611</v>
      </c>
      <c r="B617" s="1122" t="s">
        <v>1690</v>
      </c>
      <c r="C617" s="216" t="s">
        <v>1344</v>
      </c>
      <c r="D617" s="416" t="s">
        <v>947</v>
      </c>
      <c r="E617" s="217" t="s">
        <v>1775</v>
      </c>
      <c r="F617" s="218" t="s">
        <v>1692</v>
      </c>
      <c r="G617" s="116">
        <v>5992</v>
      </c>
      <c r="H617" s="1776" t="s">
        <v>1349</v>
      </c>
      <c r="J617" s="224"/>
      <c r="K617" s="34" t="s">
        <v>25</v>
      </c>
      <c r="L617" s="475"/>
      <c r="M617" s="224"/>
      <c r="N617" s="224"/>
      <c r="O617" s="902" t="s">
        <v>6395</v>
      </c>
    </row>
    <row r="618" spans="1:15" x14ac:dyDescent="0.3">
      <c r="A618" s="2401">
        <v>612</v>
      </c>
      <c r="B618" s="1122" t="s">
        <v>1690</v>
      </c>
      <c r="C618" s="216" t="s">
        <v>1344</v>
      </c>
      <c r="D618" s="416" t="s">
        <v>947</v>
      </c>
      <c r="E618" s="217" t="s">
        <v>1776</v>
      </c>
      <c r="F618" s="218" t="s">
        <v>1692</v>
      </c>
      <c r="G618" s="116">
        <v>5992</v>
      </c>
      <c r="H618" s="1776" t="s">
        <v>1349</v>
      </c>
      <c r="J618" s="224"/>
      <c r="K618" s="34" t="s">
        <v>25</v>
      </c>
      <c r="L618" s="475"/>
      <c r="M618" s="224"/>
      <c r="N618" s="224"/>
      <c r="O618" s="902" t="s">
        <v>6395</v>
      </c>
    </row>
    <row r="619" spans="1:15" x14ac:dyDescent="0.3">
      <c r="A619" s="2402">
        <v>613</v>
      </c>
      <c r="B619" s="1122" t="s">
        <v>1690</v>
      </c>
      <c r="C619" s="216" t="s">
        <v>1344</v>
      </c>
      <c r="D619" s="416" t="s">
        <v>947</v>
      </c>
      <c r="E619" s="217" t="s">
        <v>1777</v>
      </c>
      <c r="F619" s="218" t="s">
        <v>1692</v>
      </c>
      <c r="G619" s="116">
        <v>5992</v>
      </c>
      <c r="H619" s="1776" t="s">
        <v>1349</v>
      </c>
      <c r="J619" s="224"/>
      <c r="K619" s="34" t="s">
        <v>25</v>
      </c>
      <c r="L619" s="475"/>
      <c r="M619" s="224"/>
      <c r="N619" s="224"/>
      <c r="O619" s="902" t="s">
        <v>6395</v>
      </c>
    </row>
    <row r="620" spans="1:15" x14ac:dyDescent="0.3">
      <c r="A620" s="2402">
        <v>614</v>
      </c>
      <c r="B620" s="1122" t="s">
        <v>1690</v>
      </c>
      <c r="C620" s="216" t="s">
        <v>1344</v>
      </c>
      <c r="D620" s="416" t="s">
        <v>947</v>
      </c>
      <c r="E620" s="217" t="s">
        <v>1778</v>
      </c>
      <c r="F620" s="218" t="s">
        <v>1692</v>
      </c>
      <c r="G620" s="116">
        <v>5992</v>
      </c>
      <c r="H620" s="1776" t="s">
        <v>1349</v>
      </c>
      <c r="J620" s="224"/>
      <c r="K620" s="34" t="s">
        <v>25</v>
      </c>
      <c r="L620" s="475"/>
      <c r="M620" s="224"/>
      <c r="N620" s="224"/>
      <c r="O620" s="902" t="s">
        <v>6395</v>
      </c>
    </row>
    <row r="621" spans="1:15" x14ac:dyDescent="0.3">
      <c r="A621" s="2401">
        <v>615</v>
      </c>
      <c r="B621" s="1122" t="s">
        <v>1690</v>
      </c>
      <c r="C621" s="216" t="s">
        <v>1344</v>
      </c>
      <c r="D621" s="416" t="s">
        <v>947</v>
      </c>
      <c r="E621" s="217" t="s">
        <v>1779</v>
      </c>
      <c r="F621" s="218" t="s">
        <v>1692</v>
      </c>
      <c r="G621" s="116">
        <v>5992</v>
      </c>
      <c r="H621" s="1776" t="s">
        <v>1349</v>
      </c>
      <c r="J621" s="224"/>
      <c r="K621" s="34" t="s">
        <v>25</v>
      </c>
      <c r="L621" s="475"/>
      <c r="M621" s="224"/>
      <c r="N621" s="224"/>
      <c r="O621" s="902" t="s">
        <v>6395</v>
      </c>
    </row>
    <row r="622" spans="1:15" x14ac:dyDescent="0.3">
      <c r="A622" s="2402">
        <v>616</v>
      </c>
      <c r="B622" s="1122" t="s">
        <v>1690</v>
      </c>
      <c r="C622" s="216" t="s">
        <v>1344</v>
      </c>
      <c r="D622" s="416" t="s">
        <v>947</v>
      </c>
      <c r="E622" s="217" t="s">
        <v>1780</v>
      </c>
      <c r="F622" s="218" t="s">
        <v>1692</v>
      </c>
      <c r="G622" s="116">
        <v>5992</v>
      </c>
      <c r="H622" s="1776" t="s">
        <v>1349</v>
      </c>
      <c r="J622" s="224"/>
      <c r="K622" s="34" t="s">
        <v>25</v>
      </c>
      <c r="L622" s="475"/>
      <c r="M622" s="224"/>
      <c r="N622" s="224"/>
      <c r="O622" s="902" t="s">
        <v>6395</v>
      </c>
    </row>
    <row r="623" spans="1:15" x14ac:dyDescent="0.3">
      <c r="A623" s="2402">
        <v>617</v>
      </c>
      <c r="B623" s="1122" t="s">
        <v>1690</v>
      </c>
      <c r="C623" s="216" t="s">
        <v>1344</v>
      </c>
      <c r="D623" s="416" t="s">
        <v>947</v>
      </c>
      <c r="E623" s="217" t="s">
        <v>1781</v>
      </c>
      <c r="F623" s="218" t="s">
        <v>1692</v>
      </c>
      <c r="G623" s="116">
        <v>5992</v>
      </c>
      <c r="H623" s="1776" t="s">
        <v>1349</v>
      </c>
      <c r="J623" s="224"/>
      <c r="K623" s="34" t="s">
        <v>25</v>
      </c>
      <c r="L623" s="475"/>
      <c r="M623" s="224"/>
      <c r="N623" s="224"/>
      <c r="O623" s="902" t="s">
        <v>6395</v>
      </c>
    </row>
    <row r="624" spans="1:15" x14ac:dyDescent="0.3">
      <c r="A624" s="2401">
        <v>618</v>
      </c>
      <c r="B624" s="1122" t="s">
        <v>1690</v>
      </c>
      <c r="C624" s="216" t="s">
        <v>1344</v>
      </c>
      <c r="D624" s="416" t="s">
        <v>947</v>
      </c>
      <c r="E624" s="217" t="s">
        <v>1782</v>
      </c>
      <c r="F624" s="218" t="s">
        <v>1692</v>
      </c>
      <c r="G624" s="116">
        <v>5992</v>
      </c>
      <c r="H624" s="1776" t="s">
        <v>1349</v>
      </c>
      <c r="J624" s="224"/>
      <c r="K624" s="34" t="s">
        <v>25</v>
      </c>
      <c r="L624" s="475"/>
      <c r="M624" s="224"/>
      <c r="N624" s="224"/>
      <c r="O624" s="902" t="s">
        <v>6395</v>
      </c>
    </row>
    <row r="625" spans="1:15" x14ac:dyDescent="0.3">
      <c r="A625" s="2402">
        <v>619</v>
      </c>
      <c r="B625" s="1122" t="s">
        <v>1690</v>
      </c>
      <c r="C625" s="216" t="s">
        <v>1344</v>
      </c>
      <c r="D625" s="416" t="s">
        <v>947</v>
      </c>
      <c r="E625" s="217" t="s">
        <v>1783</v>
      </c>
      <c r="F625" s="218" t="s">
        <v>1692</v>
      </c>
      <c r="G625" s="116">
        <v>5992</v>
      </c>
      <c r="H625" s="1776" t="s">
        <v>1349</v>
      </c>
      <c r="J625" s="224"/>
      <c r="K625" s="34" t="s">
        <v>25</v>
      </c>
      <c r="L625" s="475"/>
      <c r="M625" s="224"/>
      <c r="N625" s="224"/>
      <c r="O625" s="902" t="s">
        <v>6395</v>
      </c>
    </row>
    <row r="626" spans="1:15" x14ac:dyDescent="0.3">
      <c r="A626" s="2402">
        <v>620</v>
      </c>
      <c r="B626" s="1122" t="s">
        <v>1690</v>
      </c>
      <c r="C626" s="216" t="s">
        <v>1344</v>
      </c>
      <c r="D626" s="416" t="s">
        <v>947</v>
      </c>
      <c r="E626" s="217" t="s">
        <v>1784</v>
      </c>
      <c r="F626" s="218" t="s">
        <v>1692</v>
      </c>
      <c r="G626" s="116">
        <v>5992</v>
      </c>
      <c r="H626" s="1776" t="s">
        <v>1349</v>
      </c>
      <c r="J626" s="224"/>
      <c r="K626" s="34" t="s">
        <v>25</v>
      </c>
      <c r="L626" s="475"/>
      <c r="M626" s="224"/>
      <c r="N626" s="224"/>
      <c r="O626" s="902" t="s">
        <v>6395</v>
      </c>
    </row>
    <row r="627" spans="1:15" x14ac:dyDescent="0.3">
      <c r="A627" s="2401">
        <v>621</v>
      </c>
      <c r="B627" s="1122" t="s">
        <v>1690</v>
      </c>
      <c r="C627" s="216" t="s">
        <v>1344</v>
      </c>
      <c r="D627" s="416" t="s">
        <v>947</v>
      </c>
      <c r="E627" s="217" t="s">
        <v>1785</v>
      </c>
      <c r="F627" s="218" t="s">
        <v>1692</v>
      </c>
      <c r="G627" s="116">
        <v>5992</v>
      </c>
      <c r="H627" s="1776" t="s">
        <v>1349</v>
      </c>
      <c r="J627" s="224"/>
      <c r="K627" s="34" t="s">
        <v>25</v>
      </c>
      <c r="L627" s="475"/>
      <c r="M627" s="224"/>
      <c r="N627" s="224"/>
      <c r="O627" s="902" t="s">
        <v>6395</v>
      </c>
    </row>
    <row r="628" spans="1:15" x14ac:dyDescent="0.3">
      <c r="A628" s="2402">
        <v>622</v>
      </c>
      <c r="B628" s="1122" t="s">
        <v>1690</v>
      </c>
      <c r="C628" s="216" t="s">
        <v>1344</v>
      </c>
      <c r="D628" s="416" t="s">
        <v>947</v>
      </c>
      <c r="E628" s="217" t="s">
        <v>1786</v>
      </c>
      <c r="F628" s="218" t="s">
        <v>1692</v>
      </c>
      <c r="G628" s="116">
        <v>5992</v>
      </c>
      <c r="H628" s="1776" t="s">
        <v>1349</v>
      </c>
      <c r="J628" s="224"/>
      <c r="K628" s="34" t="s">
        <v>25</v>
      </c>
      <c r="L628" s="475"/>
      <c r="M628" s="224"/>
      <c r="N628" s="224"/>
      <c r="O628" s="902" t="s">
        <v>6395</v>
      </c>
    </row>
    <row r="629" spans="1:15" x14ac:dyDescent="0.3">
      <c r="A629" s="2402">
        <v>623</v>
      </c>
      <c r="B629" s="1122" t="s">
        <v>1690</v>
      </c>
      <c r="C629" s="216" t="s">
        <v>1344</v>
      </c>
      <c r="D629" s="416" t="s">
        <v>947</v>
      </c>
      <c r="E629" s="217" t="s">
        <v>1787</v>
      </c>
      <c r="F629" s="218" t="s">
        <v>1692</v>
      </c>
      <c r="G629" s="116">
        <v>5992</v>
      </c>
      <c r="H629" s="1776" t="s">
        <v>1349</v>
      </c>
      <c r="J629" s="224"/>
      <c r="K629" s="34" t="s">
        <v>25</v>
      </c>
      <c r="L629" s="475"/>
      <c r="M629" s="224"/>
      <c r="N629" s="224"/>
      <c r="O629" s="902" t="s">
        <v>6395</v>
      </c>
    </row>
    <row r="630" spans="1:15" x14ac:dyDescent="0.3">
      <c r="A630" s="2401">
        <v>624</v>
      </c>
      <c r="B630" s="1122" t="s">
        <v>1690</v>
      </c>
      <c r="C630" s="216" t="s">
        <v>1344</v>
      </c>
      <c r="D630" s="416" t="s">
        <v>947</v>
      </c>
      <c r="E630" s="217" t="s">
        <v>1788</v>
      </c>
      <c r="F630" s="218" t="s">
        <v>1692</v>
      </c>
      <c r="G630" s="116">
        <v>5992</v>
      </c>
      <c r="H630" s="1776" t="s">
        <v>1349</v>
      </c>
      <c r="J630" s="224"/>
      <c r="K630" s="34" t="s">
        <v>25</v>
      </c>
      <c r="L630" s="475"/>
      <c r="M630" s="224"/>
      <c r="N630" s="224"/>
      <c r="O630" s="902" t="s">
        <v>6395</v>
      </c>
    </row>
    <row r="631" spans="1:15" x14ac:dyDescent="0.3">
      <c r="A631" s="2402">
        <v>625</v>
      </c>
      <c r="B631" s="1122" t="s">
        <v>1690</v>
      </c>
      <c r="C631" s="216" t="s">
        <v>1344</v>
      </c>
      <c r="D631" s="416" t="s">
        <v>947</v>
      </c>
      <c r="E631" s="217" t="s">
        <v>1789</v>
      </c>
      <c r="F631" s="218" t="s">
        <v>1692</v>
      </c>
      <c r="G631" s="116">
        <v>5992</v>
      </c>
      <c r="H631" s="1776" t="s">
        <v>1349</v>
      </c>
      <c r="J631" s="224"/>
      <c r="K631" s="34" t="s">
        <v>25</v>
      </c>
      <c r="L631" s="475"/>
      <c r="M631" s="224"/>
      <c r="N631" s="224"/>
      <c r="O631" s="902" t="s">
        <v>6395</v>
      </c>
    </row>
    <row r="632" spans="1:15" x14ac:dyDescent="0.3">
      <c r="A632" s="2402">
        <v>626</v>
      </c>
      <c r="B632" s="1122" t="s">
        <v>1690</v>
      </c>
      <c r="C632" s="216" t="s">
        <v>1344</v>
      </c>
      <c r="D632" s="416" t="s">
        <v>947</v>
      </c>
      <c r="E632" s="217" t="s">
        <v>1790</v>
      </c>
      <c r="F632" s="218" t="s">
        <v>1692</v>
      </c>
      <c r="G632" s="116">
        <v>5992</v>
      </c>
      <c r="H632" s="1776" t="s">
        <v>1349</v>
      </c>
      <c r="J632" s="224"/>
      <c r="K632" s="34" t="s">
        <v>25</v>
      </c>
      <c r="L632" s="475"/>
      <c r="M632" s="224"/>
      <c r="N632" s="224"/>
      <c r="O632" s="902" t="s">
        <v>6395</v>
      </c>
    </row>
    <row r="633" spans="1:15" x14ac:dyDescent="0.3">
      <c r="A633" s="2401">
        <v>627</v>
      </c>
      <c r="B633" s="1122" t="s">
        <v>1690</v>
      </c>
      <c r="C633" s="216" t="s">
        <v>1344</v>
      </c>
      <c r="D633" s="416" t="s">
        <v>947</v>
      </c>
      <c r="E633" s="217" t="s">
        <v>1791</v>
      </c>
      <c r="F633" s="218" t="s">
        <v>1692</v>
      </c>
      <c r="G633" s="116">
        <v>5992</v>
      </c>
      <c r="H633" s="1776" t="s">
        <v>1349</v>
      </c>
      <c r="J633" s="224"/>
      <c r="K633" s="34" t="s">
        <v>25</v>
      </c>
      <c r="L633" s="475"/>
      <c r="M633" s="224"/>
      <c r="N633" s="224"/>
      <c r="O633" s="902" t="s">
        <v>6395</v>
      </c>
    </row>
    <row r="634" spans="1:15" x14ac:dyDescent="0.3">
      <c r="A634" s="2402">
        <v>628</v>
      </c>
      <c r="B634" s="1122" t="s">
        <v>1690</v>
      </c>
      <c r="C634" s="216" t="s">
        <v>1344</v>
      </c>
      <c r="D634" s="416" t="s">
        <v>947</v>
      </c>
      <c r="E634" s="217" t="s">
        <v>344</v>
      </c>
      <c r="F634" s="218" t="s">
        <v>1692</v>
      </c>
      <c r="G634" s="116">
        <v>5992</v>
      </c>
      <c r="H634" s="1776" t="s">
        <v>1349</v>
      </c>
      <c r="J634" s="224"/>
      <c r="K634" s="34" t="s">
        <v>25</v>
      </c>
      <c r="L634" s="475"/>
      <c r="M634" s="224"/>
      <c r="N634" s="224"/>
      <c r="O634" s="902" t="s">
        <v>6395</v>
      </c>
    </row>
    <row r="635" spans="1:15" x14ac:dyDescent="0.3">
      <c r="A635" s="2402">
        <v>629</v>
      </c>
      <c r="B635" s="1122" t="s">
        <v>1690</v>
      </c>
      <c r="C635" s="216" t="s">
        <v>1344</v>
      </c>
      <c r="D635" s="416" t="s">
        <v>947</v>
      </c>
      <c r="E635" s="217" t="s">
        <v>345</v>
      </c>
      <c r="F635" s="218" t="s">
        <v>1692</v>
      </c>
      <c r="G635" s="116">
        <v>5992</v>
      </c>
      <c r="H635" s="1776" t="s">
        <v>1349</v>
      </c>
      <c r="J635" s="224"/>
      <c r="K635" s="34" t="s">
        <v>25</v>
      </c>
      <c r="L635" s="475"/>
      <c r="M635" s="224"/>
      <c r="N635" s="224"/>
      <c r="O635" s="902" t="s">
        <v>6395</v>
      </c>
    </row>
    <row r="636" spans="1:15" x14ac:dyDescent="0.3">
      <c r="A636" s="2401">
        <v>630</v>
      </c>
      <c r="B636" s="1122" t="s">
        <v>1690</v>
      </c>
      <c r="C636" s="216" t="s">
        <v>1344</v>
      </c>
      <c r="D636" s="416" t="s">
        <v>947</v>
      </c>
      <c r="E636" s="217" t="s">
        <v>346</v>
      </c>
      <c r="F636" s="218" t="s">
        <v>1692</v>
      </c>
      <c r="G636" s="116">
        <v>5992</v>
      </c>
      <c r="H636" s="1776" t="s">
        <v>1349</v>
      </c>
      <c r="J636" s="224"/>
      <c r="K636" s="34" t="s">
        <v>25</v>
      </c>
      <c r="L636" s="475"/>
      <c r="M636" s="224"/>
      <c r="N636" s="224"/>
      <c r="O636" s="902" t="s">
        <v>6395</v>
      </c>
    </row>
    <row r="637" spans="1:15" x14ac:dyDescent="0.3">
      <c r="A637" s="2402">
        <v>631</v>
      </c>
      <c r="B637" s="1122" t="s">
        <v>1690</v>
      </c>
      <c r="C637" s="216" t="s">
        <v>1344</v>
      </c>
      <c r="D637" s="416" t="s">
        <v>947</v>
      </c>
      <c r="E637" s="217" t="s">
        <v>486</v>
      </c>
      <c r="F637" s="218" t="s">
        <v>1692</v>
      </c>
      <c r="G637" s="116">
        <v>5992</v>
      </c>
      <c r="H637" s="1776" t="s">
        <v>1349</v>
      </c>
      <c r="J637" s="224"/>
      <c r="K637" s="34" t="s">
        <v>25</v>
      </c>
      <c r="L637" s="475"/>
      <c r="M637" s="224"/>
      <c r="N637" s="224"/>
      <c r="O637" s="902" t="s">
        <v>6395</v>
      </c>
    </row>
    <row r="638" spans="1:15" x14ac:dyDescent="0.3">
      <c r="A638" s="2402">
        <v>632</v>
      </c>
      <c r="B638" s="1122" t="s">
        <v>1690</v>
      </c>
      <c r="C638" s="216" t="s">
        <v>1344</v>
      </c>
      <c r="D638" s="452" t="s">
        <v>947</v>
      </c>
      <c r="E638" s="217" t="s">
        <v>1792</v>
      </c>
      <c r="F638" s="218" t="s">
        <v>1692</v>
      </c>
      <c r="G638" s="116">
        <v>5992</v>
      </c>
      <c r="H638" s="1776" t="s">
        <v>1349</v>
      </c>
      <c r="J638" s="224"/>
      <c r="K638" s="34" t="s">
        <v>25</v>
      </c>
      <c r="L638" s="475"/>
      <c r="M638" s="224"/>
      <c r="N638" s="224"/>
      <c r="O638" s="902" t="s">
        <v>6395</v>
      </c>
    </row>
    <row r="639" spans="1:15" x14ac:dyDescent="0.3">
      <c r="A639" s="2401">
        <v>633</v>
      </c>
      <c r="B639" s="1122" t="s">
        <v>1690</v>
      </c>
      <c r="C639" s="216" t="s">
        <v>1344</v>
      </c>
      <c r="D639" s="793" t="s">
        <v>947</v>
      </c>
      <c r="E639" s="217" t="s">
        <v>1793</v>
      </c>
      <c r="F639" s="218" t="s">
        <v>1692</v>
      </c>
      <c r="G639" s="116">
        <v>5992</v>
      </c>
      <c r="H639" s="1776" t="s">
        <v>1349</v>
      </c>
      <c r="J639" s="224"/>
      <c r="K639" s="34" t="s">
        <v>25</v>
      </c>
      <c r="L639" s="475"/>
      <c r="M639" s="224"/>
      <c r="N639" s="224"/>
      <c r="O639" s="902" t="s">
        <v>6395</v>
      </c>
    </row>
    <row r="640" spans="1:15" x14ac:dyDescent="0.3">
      <c r="A640" s="2402">
        <v>634</v>
      </c>
      <c r="B640" s="1122" t="s">
        <v>1690</v>
      </c>
      <c r="C640" s="216" t="s">
        <v>1344</v>
      </c>
      <c r="D640" s="416" t="s">
        <v>947</v>
      </c>
      <c r="E640" s="217" t="s">
        <v>1794</v>
      </c>
      <c r="F640" s="218" t="s">
        <v>1692</v>
      </c>
      <c r="G640" s="116">
        <v>5992</v>
      </c>
      <c r="H640" s="1776" t="s">
        <v>1349</v>
      </c>
      <c r="J640" s="224"/>
      <c r="K640" s="34" t="s">
        <v>25</v>
      </c>
      <c r="L640" s="475"/>
      <c r="M640" s="224"/>
      <c r="N640" s="224"/>
      <c r="O640" s="902" t="s">
        <v>6395</v>
      </c>
    </row>
    <row r="641" spans="1:15" x14ac:dyDescent="0.3">
      <c r="A641" s="2402">
        <v>635</v>
      </c>
      <c r="B641" s="1122" t="s">
        <v>1690</v>
      </c>
      <c r="C641" s="216" t="s">
        <v>1344</v>
      </c>
      <c r="D641" s="416" t="s">
        <v>947</v>
      </c>
      <c r="E641" s="217" t="s">
        <v>1795</v>
      </c>
      <c r="F641" s="218" t="s">
        <v>1692</v>
      </c>
      <c r="G641" s="116">
        <v>5992</v>
      </c>
      <c r="H641" s="1776" t="s">
        <v>1349</v>
      </c>
      <c r="J641" s="224"/>
      <c r="K641" s="34" t="s">
        <v>25</v>
      </c>
      <c r="L641" s="475"/>
      <c r="M641" s="224"/>
      <c r="N641" s="224"/>
      <c r="O641" s="902" t="s">
        <v>6395</v>
      </c>
    </row>
    <row r="642" spans="1:15" x14ac:dyDescent="0.3">
      <c r="A642" s="2401">
        <v>636</v>
      </c>
      <c r="B642" s="1122" t="s">
        <v>1690</v>
      </c>
      <c r="C642" s="216" t="s">
        <v>1344</v>
      </c>
      <c r="D642" s="416" t="s">
        <v>947</v>
      </c>
      <c r="E642" s="217" t="s">
        <v>1796</v>
      </c>
      <c r="F642" s="218" t="s">
        <v>1692</v>
      </c>
      <c r="G642" s="116">
        <v>5992</v>
      </c>
      <c r="H642" s="1776" t="s">
        <v>1349</v>
      </c>
      <c r="J642" s="224"/>
      <c r="K642" s="34" t="s">
        <v>25</v>
      </c>
      <c r="L642" s="475"/>
      <c r="M642" s="224"/>
      <c r="N642" s="224"/>
      <c r="O642" s="902" t="s">
        <v>6395</v>
      </c>
    </row>
    <row r="643" spans="1:15" x14ac:dyDescent="0.3">
      <c r="A643" s="2402">
        <v>637</v>
      </c>
      <c r="B643" s="1122" t="s">
        <v>1690</v>
      </c>
      <c r="C643" s="216" t="s">
        <v>1344</v>
      </c>
      <c r="D643" s="416" t="s">
        <v>947</v>
      </c>
      <c r="E643" s="217" t="s">
        <v>1797</v>
      </c>
      <c r="F643" s="218" t="s">
        <v>1692</v>
      </c>
      <c r="G643" s="116">
        <v>5992</v>
      </c>
      <c r="H643" s="1776" t="s">
        <v>1349</v>
      </c>
      <c r="J643" s="224"/>
      <c r="K643" s="34" t="s">
        <v>25</v>
      </c>
      <c r="L643" s="475"/>
      <c r="M643" s="224"/>
      <c r="N643" s="224"/>
      <c r="O643" s="902" t="s">
        <v>6395</v>
      </c>
    </row>
    <row r="644" spans="1:15" x14ac:dyDescent="0.3">
      <c r="A644" s="2402">
        <v>638</v>
      </c>
      <c r="B644" s="1122" t="s">
        <v>1690</v>
      </c>
      <c r="C644" s="216" t="s">
        <v>1344</v>
      </c>
      <c r="D644" s="416" t="s">
        <v>947</v>
      </c>
      <c r="E644" s="217" t="s">
        <v>1798</v>
      </c>
      <c r="F644" s="218" t="s">
        <v>1692</v>
      </c>
      <c r="G644" s="116">
        <v>5992</v>
      </c>
      <c r="H644" s="1776" t="s">
        <v>1349</v>
      </c>
      <c r="J644" s="224"/>
      <c r="K644" s="34" t="s">
        <v>25</v>
      </c>
      <c r="L644" s="475"/>
      <c r="M644" s="224"/>
      <c r="N644" s="224"/>
      <c r="O644" s="902" t="s">
        <v>6395</v>
      </c>
    </row>
    <row r="645" spans="1:15" x14ac:dyDescent="0.3">
      <c r="A645" s="2401">
        <v>639</v>
      </c>
      <c r="B645" s="1122" t="s">
        <v>1690</v>
      </c>
      <c r="C645" s="216" t="s">
        <v>1344</v>
      </c>
      <c r="D645" s="416" t="s">
        <v>947</v>
      </c>
      <c r="E645" s="217" t="s">
        <v>1799</v>
      </c>
      <c r="F645" s="218" t="s">
        <v>1692</v>
      </c>
      <c r="G645" s="116">
        <v>5992</v>
      </c>
      <c r="H645" s="1776" t="s">
        <v>1349</v>
      </c>
      <c r="J645" s="224"/>
      <c r="K645" s="34" t="s">
        <v>25</v>
      </c>
      <c r="L645" s="475"/>
      <c r="M645" s="224"/>
      <c r="N645" s="224"/>
      <c r="O645" s="902" t="s">
        <v>6395</v>
      </c>
    </row>
    <row r="646" spans="1:15" x14ac:dyDescent="0.3">
      <c r="A646" s="2402">
        <v>640</v>
      </c>
      <c r="B646" s="1122" t="s">
        <v>1690</v>
      </c>
      <c r="C646" s="216" t="s">
        <v>1344</v>
      </c>
      <c r="D646" s="416" t="s">
        <v>947</v>
      </c>
      <c r="E646" s="217" t="s">
        <v>1800</v>
      </c>
      <c r="F646" s="218" t="s">
        <v>1692</v>
      </c>
      <c r="G646" s="116">
        <v>5992</v>
      </c>
      <c r="H646" s="1776" t="s">
        <v>1349</v>
      </c>
      <c r="J646" s="224"/>
      <c r="K646" s="34" t="s">
        <v>25</v>
      </c>
      <c r="L646" s="475"/>
      <c r="M646" s="224"/>
      <c r="N646" s="224"/>
      <c r="O646" s="902" t="s">
        <v>6395</v>
      </c>
    </row>
    <row r="647" spans="1:15" x14ac:dyDescent="0.3">
      <c r="A647" s="2402">
        <v>641</v>
      </c>
      <c r="B647" s="1122" t="s">
        <v>1690</v>
      </c>
      <c r="C647" s="216" t="s">
        <v>1344</v>
      </c>
      <c r="D647" s="416" t="s">
        <v>947</v>
      </c>
      <c r="E647" s="217" t="s">
        <v>1801</v>
      </c>
      <c r="F647" s="218" t="s">
        <v>1692</v>
      </c>
      <c r="G647" s="116">
        <v>5992</v>
      </c>
      <c r="H647" s="1776" t="s">
        <v>1349</v>
      </c>
      <c r="J647" s="224"/>
      <c r="K647" s="34" t="s">
        <v>25</v>
      </c>
      <c r="L647" s="475"/>
      <c r="M647" s="224"/>
      <c r="N647" s="224"/>
      <c r="O647" s="902" t="s">
        <v>6395</v>
      </c>
    </row>
    <row r="648" spans="1:15" x14ac:dyDescent="0.3">
      <c r="A648" s="2401">
        <v>642</v>
      </c>
      <c r="B648" s="1122" t="s">
        <v>1690</v>
      </c>
      <c r="C648" s="216" t="s">
        <v>1344</v>
      </c>
      <c r="D648" s="416" t="s">
        <v>947</v>
      </c>
      <c r="E648" s="217" t="s">
        <v>1802</v>
      </c>
      <c r="F648" s="218" t="s">
        <v>1692</v>
      </c>
      <c r="G648" s="116">
        <v>5992</v>
      </c>
      <c r="H648" s="1776" t="s">
        <v>1349</v>
      </c>
      <c r="J648" s="224"/>
      <c r="K648" s="34" t="s">
        <v>25</v>
      </c>
      <c r="L648" s="475"/>
      <c r="M648" s="224"/>
      <c r="N648" s="224"/>
      <c r="O648" s="902" t="s">
        <v>6395</v>
      </c>
    </row>
    <row r="649" spans="1:15" x14ac:dyDescent="0.3">
      <c r="A649" s="2402">
        <v>643</v>
      </c>
      <c r="B649" s="1122" t="s">
        <v>1690</v>
      </c>
      <c r="C649" s="216" t="s">
        <v>1344</v>
      </c>
      <c r="D649" s="416" t="s">
        <v>947</v>
      </c>
      <c r="E649" s="217" t="s">
        <v>1803</v>
      </c>
      <c r="F649" s="218" t="s">
        <v>1692</v>
      </c>
      <c r="G649" s="116">
        <v>5992</v>
      </c>
      <c r="H649" s="1776" t="s">
        <v>1349</v>
      </c>
      <c r="J649" s="224"/>
      <c r="K649" s="34" t="s">
        <v>25</v>
      </c>
      <c r="L649" s="475"/>
      <c r="M649" s="224"/>
      <c r="N649" s="224"/>
      <c r="O649" s="902" t="s">
        <v>6395</v>
      </c>
    </row>
    <row r="650" spans="1:15" x14ac:dyDescent="0.3">
      <c r="A650" s="2402">
        <v>644</v>
      </c>
      <c r="B650" s="1122" t="s">
        <v>1690</v>
      </c>
      <c r="C650" s="216" t="s">
        <v>1344</v>
      </c>
      <c r="D650" s="416" t="s">
        <v>947</v>
      </c>
      <c r="E650" s="217" t="s">
        <v>1804</v>
      </c>
      <c r="F650" s="218" t="s">
        <v>1692</v>
      </c>
      <c r="G650" s="116">
        <v>5992</v>
      </c>
      <c r="H650" s="1776" t="s">
        <v>1349</v>
      </c>
      <c r="J650" s="224"/>
      <c r="K650" s="34" t="s">
        <v>25</v>
      </c>
      <c r="L650" s="475"/>
      <c r="M650" s="224"/>
      <c r="N650" s="224"/>
      <c r="O650" s="902" t="s">
        <v>6395</v>
      </c>
    </row>
    <row r="651" spans="1:15" x14ac:dyDescent="0.3">
      <c r="A651" s="2401">
        <v>645</v>
      </c>
      <c r="B651" s="1122" t="s">
        <v>1690</v>
      </c>
      <c r="C651" s="216" t="s">
        <v>1344</v>
      </c>
      <c r="D651" s="416" t="s">
        <v>947</v>
      </c>
      <c r="E651" s="217" t="s">
        <v>1805</v>
      </c>
      <c r="F651" s="218" t="s">
        <v>1692</v>
      </c>
      <c r="G651" s="116">
        <v>5992</v>
      </c>
      <c r="H651" s="1776" t="s">
        <v>1349</v>
      </c>
      <c r="J651" s="224"/>
      <c r="K651" s="34" t="s">
        <v>25</v>
      </c>
      <c r="L651" s="475"/>
      <c r="M651" s="224"/>
      <c r="N651" s="224"/>
      <c r="O651" s="902" t="s">
        <v>6395</v>
      </c>
    </row>
    <row r="652" spans="1:15" x14ac:dyDescent="0.3">
      <c r="A652" s="2402">
        <v>646</v>
      </c>
      <c r="B652" s="1122" t="s">
        <v>1690</v>
      </c>
      <c r="C652" s="216" t="s">
        <v>1344</v>
      </c>
      <c r="D652" s="416" t="s">
        <v>947</v>
      </c>
      <c r="E652" s="217" t="s">
        <v>1806</v>
      </c>
      <c r="F652" s="218" t="s">
        <v>1692</v>
      </c>
      <c r="G652" s="116">
        <v>5992</v>
      </c>
      <c r="H652" s="1776" t="s">
        <v>1349</v>
      </c>
      <c r="J652" s="224"/>
      <c r="K652" s="34" t="s">
        <v>25</v>
      </c>
      <c r="L652" s="475"/>
      <c r="M652" s="224"/>
      <c r="N652" s="224"/>
      <c r="O652" s="902" t="s">
        <v>6395</v>
      </c>
    </row>
    <row r="653" spans="1:15" x14ac:dyDescent="0.3">
      <c r="A653" s="2402">
        <v>647</v>
      </c>
      <c r="B653" s="1122" t="s">
        <v>1690</v>
      </c>
      <c r="C653" s="216" t="s">
        <v>1344</v>
      </c>
      <c r="D653" s="416" t="s">
        <v>947</v>
      </c>
      <c r="E653" s="217" t="s">
        <v>1807</v>
      </c>
      <c r="F653" s="218" t="s">
        <v>1692</v>
      </c>
      <c r="G653" s="116">
        <v>5992</v>
      </c>
      <c r="H653" s="1776" t="s">
        <v>1349</v>
      </c>
      <c r="J653" s="224"/>
      <c r="K653" s="34" t="s">
        <v>25</v>
      </c>
      <c r="L653" s="475"/>
      <c r="M653" s="224"/>
      <c r="N653" s="224"/>
      <c r="O653" s="902" t="s">
        <v>6395</v>
      </c>
    </row>
    <row r="654" spans="1:15" x14ac:dyDescent="0.3">
      <c r="A654" s="2401">
        <v>648</v>
      </c>
      <c r="B654" s="1122" t="s">
        <v>1690</v>
      </c>
      <c r="C654" s="216" t="s">
        <v>1344</v>
      </c>
      <c r="D654" s="416" t="s">
        <v>947</v>
      </c>
      <c r="E654" s="217" t="s">
        <v>1808</v>
      </c>
      <c r="F654" s="218" t="s">
        <v>1692</v>
      </c>
      <c r="G654" s="116">
        <v>5992</v>
      </c>
      <c r="H654" s="1776" t="s">
        <v>1349</v>
      </c>
      <c r="J654" s="224"/>
      <c r="K654" s="34" t="s">
        <v>25</v>
      </c>
      <c r="L654" s="475"/>
      <c r="M654" s="224"/>
      <c r="N654" s="224"/>
      <c r="O654" s="902" t="s">
        <v>6395</v>
      </c>
    </row>
    <row r="655" spans="1:15" x14ac:dyDescent="0.3">
      <c r="A655" s="2402">
        <v>649</v>
      </c>
      <c r="B655" s="1122" t="s">
        <v>1690</v>
      </c>
      <c r="C655" s="216" t="s">
        <v>1344</v>
      </c>
      <c r="D655" s="416" t="s">
        <v>947</v>
      </c>
      <c r="E655" s="217" t="s">
        <v>1809</v>
      </c>
      <c r="F655" s="218" t="s">
        <v>1692</v>
      </c>
      <c r="G655" s="116">
        <v>5992</v>
      </c>
      <c r="H655" s="1776" t="s">
        <v>1349</v>
      </c>
      <c r="J655" s="224"/>
      <c r="K655" s="34" t="s">
        <v>25</v>
      </c>
      <c r="L655" s="475"/>
      <c r="M655" s="224"/>
      <c r="N655" s="224"/>
      <c r="O655" s="902" t="s">
        <v>6395</v>
      </c>
    </row>
    <row r="656" spans="1:15" x14ac:dyDescent="0.3">
      <c r="A656" s="2402">
        <v>650</v>
      </c>
      <c r="B656" s="1122" t="s">
        <v>1690</v>
      </c>
      <c r="C656" s="216" t="s">
        <v>1344</v>
      </c>
      <c r="D656" s="452" t="s">
        <v>947</v>
      </c>
      <c r="E656" s="217" t="s">
        <v>1810</v>
      </c>
      <c r="F656" s="218" t="s">
        <v>1692</v>
      </c>
      <c r="G656" s="116">
        <v>5992</v>
      </c>
      <c r="H656" s="1776" t="s">
        <v>1349</v>
      </c>
      <c r="J656" s="224"/>
      <c r="K656" s="34" t="s">
        <v>25</v>
      </c>
      <c r="L656" s="475"/>
      <c r="M656" s="224"/>
      <c r="N656" s="224"/>
      <c r="O656" s="902" t="s">
        <v>6395</v>
      </c>
    </row>
    <row r="657" spans="1:15" x14ac:dyDescent="0.3">
      <c r="A657" s="2401">
        <v>651</v>
      </c>
      <c r="B657" s="1122" t="s">
        <v>1690</v>
      </c>
      <c r="C657" s="216" t="s">
        <v>1344</v>
      </c>
      <c r="D657" s="495" t="s">
        <v>947</v>
      </c>
      <c r="E657" s="217" t="s">
        <v>1811</v>
      </c>
      <c r="F657" s="218" t="s">
        <v>1692</v>
      </c>
      <c r="G657" s="116">
        <v>5992</v>
      </c>
      <c r="H657" s="1776" t="s">
        <v>1349</v>
      </c>
      <c r="J657" s="224"/>
      <c r="K657" s="34" t="s">
        <v>25</v>
      </c>
      <c r="L657" s="475"/>
      <c r="M657" s="224"/>
      <c r="N657" s="224"/>
      <c r="O657" s="902" t="s">
        <v>6395</v>
      </c>
    </row>
    <row r="658" spans="1:15" x14ac:dyDescent="0.3">
      <c r="A658" s="2402">
        <v>652</v>
      </c>
      <c r="B658" s="1122" t="s">
        <v>1690</v>
      </c>
      <c r="C658" s="216" t="s">
        <v>1344</v>
      </c>
      <c r="D658" s="793" t="s">
        <v>947</v>
      </c>
      <c r="E658" s="217" t="s">
        <v>1812</v>
      </c>
      <c r="F658" s="218" t="s">
        <v>1692</v>
      </c>
      <c r="G658" s="116">
        <v>5992</v>
      </c>
      <c r="H658" s="1776" t="s">
        <v>1349</v>
      </c>
      <c r="J658" s="224"/>
      <c r="K658" s="34" t="s">
        <v>25</v>
      </c>
      <c r="L658" s="475"/>
      <c r="M658" s="224"/>
      <c r="N658" s="224"/>
      <c r="O658" s="902" t="s">
        <v>6395</v>
      </c>
    </row>
    <row r="659" spans="1:15" x14ac:dyDescent="0.3">
      <c r="A659" s="2402">
        <v>653</v>
      </c>
      <c r="B659" s="1122" t="s">
        <v>1690</v>
      </c>
      <c r="C659" s="216" t="s">
        <v>1344</v>
      </c>
      <c r="D659" s="416" t="s">
        <v>947</v>
      </c>
      <c r="E659" s="217" t="s">
        <v>1813</v>
      </c>
      <c r="F659" s="218" t="s">
        <v>1692</v>
      </c>
      <c r="G659" s="116">
        <v>5992</v>
      </c>
      <c r="H659" s="1776" t="s">
        <v>1349</v>
      </c>
      <c r="J659" s="224"/>
      <c r="K659" s="34" t="s">
        <v>25</v>
      </c>
      <c r="L659" s="475"/>
      <c r="M659" s="224"/>
      <c r="N659" s="224"/>
      <c r="O659" s="902" t="s">
        <v>6395</v>
      </c>
    </row>
    <row r="660" spans="1:15" x14ac:dyDescent="0.3">
      <c r="A660" s="2401">
        <v>654</v>
      </c>
      <c r="B660" s="1122" t="s">
        <v>1690</v>
      </c>
      <c r="C660" s="216" t="s">
        <v>1344</v>
      </c>
      <c r="D660" s="416" t="s">
        <v>947</v>
      </c>
      <c r="E660" s="217" t="s">
        <v>1814</v>
      </c>
      <c r="F660" s="218" t="s">
        <v>1692</v>
      </c>
      <c r="G660" s="116">
        <v>5992</v>
      </c>
      <c r="H660" s="1776" t="s">
        <v>1349</v>
      </c>
      <c r="J660" s="224"/>
      <c r="K660" s="34" t="s">
        <v>25</v>
      </c>
      <c r="L660" s="475"/>
      <c r="M660" s="224"/>
      <c r="N660" s="224"/>
      <c r="O660" s="902" t="s">
        <v>6395</v>
      </c>
    </row>
    <row r="661" spans="1:15" x14ac:dyDescent="0.3">
      <c r="A661" s="2402">
        <v>655</v>
      </c>
      <c r="B661" s="1122" t="s">
        <v>1690</v>
      </c>
      <c r="C661" s="216" t="s">
        <v>1344</v>
      </c>
      <c r="D661" s="416" t="s">
        <v>947</v>
      </c>
      <c r="E661" s="217" t="s">
        <v>1815</v>
      </c>
      <c r="F661" s="218" t="s">
        <v>1692</v>
      </c>
      <c r="G661" s="116">
        <v>5992</v>
      </c>
      <c r="H661" s="1776" t="s">
        <v>1349</v>
      </c>
      <c r="J661" s="224"/>
      <c r="K661" s="34" t="s">
        <v>25</v>
      </c>
      <c r="L661" s="475"/>
      <c r="M661" s="224"/>
      <c r="N661" s="224"/>
      <c r="O661" s="902" t="s">
        <v>6395</v>
      </c>
    </row>
    <row r="662" spans="1:15" x14ac:dyDescent="0.3">
      <c r="A662" s="2402">
        <v>656</v>
      </c>
      <c r="B662" s="1122" t="s">
        <v>1690</v>
      </c>
      <c r="C662" s="216" t="s">
        <v>1344</v>
      </c>
      <c r="D662" s="416" t="s">
        <v>947</v>
      </c>
      <c r="E662" s="217" t="s">
        <v>1816</v>
      </c>
      <c r="F662" s="218" t="s">
        <v>1692</v>
      </c>
      <c r="G662" s="116">
        <v>5992</v>
      </c>
      <c r="H662" s="1776" t="s">
        <v>1349</v>
      </c>
      <c r="J662" s="224"/>
      <c r="K662" s="34" t="s">
        <v>25</v>
      </c>
      <c r="L662" s="475"/>
      <c r="M662" s="224"/>
      <c r="N662" s="224"/>
      <c r="O662" s="902" t="s">
        <v>6395</v>
      </c>
    </row>
    <row r="663" spans="1:15" x14ac:dyDescent="0.3">
      <c r="A663" s="2401">
        <v>657</v>
      </c>
      <c r="B663" s="1122" t="s">
        <v>1690</v>
      </c>
      <c r="C663" s="216" t="s">
        <v>1344</v>
      </c>
      <c r="D663" s="416" t="s">
        <v>947</v>
      </c>
      <c r="E663" s="217" t="s">
        <v>1817</v>
      </c>
      <c r="F663" s="218" t="s">
        <v>1692</v>
      </c>
      <c r="G663" s="116">
        <v>5992</v>
      </c>
      <c r="H663" s="1776" t="s">
        <v>1349</v>
      </c>
      <c r="J663" s="224"/>
      <c r="K663" s="34" t="s">
        <v>25</v>
      </c>
      <c r="L663" s="475"/>
      <c r="M663" s="224"/>
      <c r="N663" s="224"/>
      <c r="O663" s="902" t="s">
        <v>6395</v>
      </c>
    </row>
    <row r="664" spans="1:15" x14ac:dyDescent="0.3">
      <c r="A664" s="2402">
        <v>658</v>
      </c>
      <c r="B664" s="1122" t="s">
        <v>1818</v>
      </c>
      <c r="C664" s="216" t="s">
        <v>1344</v>
      </c>
      <c r="D664" s="416" t="s">
        <v>954</v>
      </c>
      <c r="E664" s="217" t="s">
        <v>1819</v>
      </c>
      <c r="F664" s="218" t="s">
        <v>1820</v>
      </c>
      <c r="G664" s="116">
        <v>7276</v>
      </c>
      <c r="H664" s="1776" t="s">
        <v>1349</v>
      </c>
      <c r="J664" s="224"/>
      <c r="K664" s="34" t="s">
        <v>25</v>
      </c>
      <c r="L664" s="475"/>
      <c r="M664" s="224"/>
      <c r="N664" s="224"/>
      <c r="O664" s="902" t="s">
        <v>6395</v>
      </c>
    </row>
    <row r="665" spans="1:15" x14ac:dyDescent="0.3">
      <c r="A665" s="2402">
        <v>659</v>
      </c>
      <c r="B665" s="1122" t="s">
        <v>1818</v>
      </c>
      <c r="C665" s="216" t="s">
        <v>1344</v>
      </c>
      <c r="D665" s="416" t="s">
        <v>954</v>
      </c>
      <c r="E665" s="217" t="s">
        <v>1821</v>
      </c>
      <c r="F665" s="218" t="s">
        <v>1820</v>
      </c>
      <c r="G665" s="116">
        <v>7276</v>
      </c>
      <c r="H665" s="1776" t="s">
        <v>1349</v>
      </c>
      <c r="J665" s="224"/>
      <c r="K665" s="34" t="s">
        <v>25</v>
      </c>
      <c r="L665" s="475"/>
      <c r="M665" s="224"/>
      <c r="N665" s="224"/>
      <c r="O665" s="902" t="s">
        <v>6395</v>
      </c>
    </row>
    <row r="666" spans="1:15" x14ac:dyDescent="0.3">
      <c r="A666" s="2401">
        <v>660</v>
      </c>
      <c r="B666" s="1122" t="s">
        <v>1818</v>
      </c>
      <c r="C666" s="216" t="s">
        <v>1344</v>
      </c>
      <c r="D666" s="416" t="s">
        <v>954</v>
      </c>
      <c r="E666" s="217" t="s">
        <v>1822</v>
      </c>
      <c r="F666" s="218" t="s">
        <v>1820</v>
      </c>
      <c r="G666" s="116">
        <v>7276</v>
      </c>
      <c r="H666" s="1776" t="s">
        <v>1349</v>
      </c>
      <c r="J666" s="224"/>
      <c r="K666" s="34" t="s">
        <v>25</v>
      </c>
      <c r="L666" s="475"/>
      <c r="M666" s="224"/>
      <c r="N666" s="224"/>
      <c r="O666" s="902" t="s">
        <v>6395</v>
      </c>
    </row>
    <row r="667" spans="1:15" x14ac:dyDescent="0.3">
      <c r="A667" s="2402">
        <v>661</v>
      </c>
      <c r="B667" s="1122" t="s">
        <v>1818</v>
      </c>
      <c r="C667" s="216" t="s">
        <v>1344</v>
      </c>
      <c r="D667" s="416" t="s">
        <v>954</v>
      </c>
      <c r="E667" s="217" t="s">
        <v>1823</v>
      </c>
      <c r="F667" s="218" t="s">
        <v>1820</v>
      </c>
      <c r="G667" s="116">
        <v>7276</v>
      </c>
      <c r="H667" s="1776" t="s">
        <v>1349</v>
      </c>
      <c r="J667" s="224"/>
      <c r="K667" s="34" t="s">
        <v>25</v>
      </c>
      <c r="L667" s="475"/>
      <c r="M667" s="224"/>
      <c r="N667" s="224"/>
      <c r="O667" s="902" t="s">
        <v>6395</v>
      </c>
    </row>
    <row r="668" spans="1:15" x14ac:dyDescent="0.3">
      <c r="A668" s="2402">
        <v>662</v>
      </c>
      <c r="B668" s="1122" t="s">
        <v>1818</v>
      </c>
      <c r="C668" s="216" t="s">
        <v>1344</v>
      </c>
      <c r="D668" s="416" t="s">
        <v>954</v>
      </c>
      <c r="E668" s="217" t="s">
        <v>1824</v>
      </c>
      <c r="F668" s="218" t="s">
        <v>1820</v>
      </c>
      <c r="G668" s="116">
        <v>7276</v>
      </c>
      <c r="H668" s="1776" t="s">
        <v>1349</v>
      </c>
      <c r="J668" s="224"/>
      <c r="K668" s="34" t="s">
        <v>25</v>
      </c>
      <c r="L668" s="475"/>
      <c r="M668" s="224"/>
      <c r="N668" s="224"/>
      <c r="O668" s="902" t="s">
        <v>6395</v>
      </c>
    </row>
    <row r="669" spans="1:15" x14ac:dyDescent="0.3">
      <c r="A669" s="2401">
        <v>663</v>
      </c>
      <c r="B669" s="1122" t="s">
        <v>1818</v>
      </c>
      <c r="C669" s="216" t="s">
        <v>1344</v>
      </c>
      <c r="D669" s="416" t="s">
        <v>954</v>
      </c>
      <c r="E669" s="217" t="s">
        <v>1825</v>
      </c>
      <c r="F669" s="218" t="s">
        <v>1820</v>
      </c>
      <c r="G669" s="116">
        <v>7276</v>
      </c>
      <c r="H669" s="1776" t="s">
        <v>1349</v>
      </c>
      <c r="J669" s="224"/>
      <c r="K669" s="34" t="s">
        <v>25</v>
      </c>
      <c r="L669" s="475"/>
      <c r="M669" s="224"/>
      <c r="N669" s="224"/>
      <c r="O669" s="902" t="s">
        <v>6395</v>
      </c>
    </row>
    <row r="670" spans="1:15" x14ac:dyDescent="0.3">
      <c r="A670" s="2402">
        <v>664</v>
      </c>
      <c r="B670" s="1122" t="s">
        <v>1818</v>
      </c>
      <c r="C670" s="216" t="s">
        <v>1344</v>
      </c>
      <c r="D670" s="452" t="s">
        <v>954</v>
      </c>
      <c r="E670" s="217" t="s">
        <v>1826</v>
      </c>
      <c r="F670" s="218" t="s">
        <v>1820</v>
      </c>
      <c r="G670" s="116">
        <v>7276</v>
      </c>
      <c r="H670" s="1776" t="s">
        <v>1349</v>
      </c>
      <c r="J670" s="224"/>
      <c r="K670" s="34" t="s">
        <v>25</v>
      </c>
      <c r="L670" s="475"/>
      <c r="M670" s="224"/>
      <c r="N670" s="224"/>
      <c r="O670" s="902" t="s">
        <v>6395</v>
      </c>
    </row>
    <row r="671" spans="1:15" x14ac:dyDescent="0.3">
      <c r="A671" s="2402">
        <v>665</v>
      </c>
      <c r="B671" s="1122" t="s">
        <v>1818</v>
      </c>
      <c r="C671" s="216" t="s">
        <v>1344</v>
      </c>
      <c r="D671" s="793" t="s">
        <v>954</v>
      </c>
      <c r="E671" s="217" t="s">
        <v>1827</v>
      </c>
      <c r="F671" s="218" t="s">
        <v>1820</v>
      </c>
      <c r="G671" s="116">
        <v>7276</v>
      </c>
      <c r="H671" s="1776" t="s">
        <v>1349</v>
      </c>
      <c r="J671" s="224"/>
      <c r="K671" s="34" t="s">
        <v>25</v>
      </c>
      <c r="L671" s="475"/>
      <c r="M671" s="224"/>
      <c r="N671" s="224"/>
      <c r="O671" s="902" t="s">
        <v>6395</v>
      </c>
    </row>
    <row r="672" spans="1:15" x14ac:dyDescent="0.3">
      <c r="A672" s="2401">
        <v>666</v>
      </c>
      <c r="B672" s="1122" t="s">
        <v>1818</v>
      </c>
      <c r="C672" s="216" t="s">
        <v>1344</v>
      </c>
      <c r="D672" s="452" t="s">
        <v>954</v>
      </c>
      <c r="E672" s="217" t="s">
        <v>1828</v>
      </c>
      <c r="F672" s="218" t="s">
        <v>1820</v>
      </c>
      <c r="G672" s="116">
        <v>7276</v>
      </c>
      <c r="H672" s="1776" t="s">
        <v>1349</v>
      </c>
      <c r="J672" s="224"/>
      <c r="K672" s="34" t="s">
        <v>25</v>
      </c>
      <c r="L672" s="475"/>
      <c r="M672" s="224"/>
      <c r="N672" s="224"/>
      <c r="O672" s="902" t="s">
        <v>6395</v>
      </c>
    </row>
    <row r="673" spans="1:15" x14ac:dyDescent="0.3">
      <c r="A673" s="2402">
        <v>667</v>
      </c>
      <c r="B673" s="1122" t="s">
        <v>1818</v>
      </c>
      <c r="C673" s="216" t="s">
        <v>1344</v>
      </c>
      <c r="D673" s="793" t="s">
        <v>954</v>
      </c>
      <c r="E673" s="217" t="s">
        <v>1829</v>
      </c>
      <c r="F673" s="218" t="s">
        <v>1820</v>
      </c>
      <c r="G673" s="116">
        <v>7276</v>
      </c>
      <c r="H673" s="1776" t="s">
        <v>1349</v>
      </c>
      <c r="J673" s="224"/>
      <c r="K673" s="34" t="s">
        <v>25</v>
      </c>
      <c r="L673" s="475"/>
      <c r="M673" s="224"/>
      <c r="N673" s="224"/>
      <c r="O673" s="902" t="s">
        <v>6395</v>
      </c>
    </row>
    <row r="674" spans="1:15" x14ac:dyDescent="0.3">
      <c r="A674" s="2402">
        <v>668</v>
      </c>
      <c r="B674" s="1122" t="s">
        <v>1818</v>
      </c>
      <c r="C674" s="216" t="s">
        <v>1344</v>
      </c>
      <c r="D674" s="416" t="s">
        <v>954</v>
      </c>
      <c r="E674" s="217" t="s">
        <v>1830</v>
      </c>
      <c r="F674" s="218" t="s">
        <v>1820</v>
      </c>
      <c r="G674" s="116">
        <v>7276</v>
      </c>
      <c r="H674" s="1776" t="s">
        <v>1349</v>
      </c>
      <c r="J674" s="224"/>
      <c r="K674" s="34" t="s">
        <v>25</v>
      </c>
      <c r="L674" s="475"/>
      <c r="M674" s="224"/>
      <c r="N674" s="224"/>
      <c r="O674" s="902" t="s">
        <v>6395</v>
      </c>
    </row>
    <row r="675" spans="1:15" x14ac:dyDescent="0.3">
      <c r="A675" s="2401">
        <v>669</v>
      </c>
      <c r="B675" s="1122" t="s">
        <v>1818</v>
      </c>
      <c r="C675" s="216" t="s">
        <v>1344</v>
      </c>
      <c r="D675" s="416" t="s">
        <v>954</v>
      </c>
      <c r="E675" s="217" t="s">
        <v>1831</v>
      </c>
      <c r="F675" s="218" t="s">
        <v>1820</v>
      </c>
      <c r="G675" s="116">
        <v>7276</v>
      </c>
      <c r="H675" s="1776" t="s">
        <v>1349</v>
      </c>
      <c r="J675" s="224"/>
      <c r="K675" s="34" t="s">
        <v>25</v>
      </c>
      <c r="L675" s="475"/>
      <c r="M675" s="224"/>
      <c r="N675" s="224"/>
      <c r="O675" s="902" t="s">
        <v>6395</v>
      </c>
    </row>
    <row r="676" spans="1:15" x14ac:dyDescent="0.3">
      <c r="A676" s="2402">
        <v>670</v>
      </c>
      <c r="B676" s="1122" t="s">
        <v>1818</v>
      </c>
      <c r="C676" s="216" t="s">
        <v>1344</v>
      </c>
      <c r="D676" s="416" t="s">
        <v>954</v>
      </c>
      <c r="E676" s="217" t="s">
        <v>1832</v>
      </c>
      <c r="F676" s="218" t="s">
        <v>1820</v>
      </c>
      <c r="G676" s="116">
        <v>7276</v>
      </c>
      <c r="H676" s="1776" t="s">
        <v>1349</v>
      </c>
      <c r="J676" s="224"/>
      <c r="K676" s="34" t="s">
        <v>25</v>
      </c>
      <c r="L676" s="475"/>
      <c r="M676" s="224"/>
      <c r="N676" s="224"/>
      <c r="O676" s="902" t="s">
        <v>6395</v>
      </c>
    </row>
    <row r="677" spans="1:15" x14ac:dyDescent="0.3">
      <c r="A677" s="2402">
        <v>671</v>
      </c>
      <c r="B677" s="1122" t="s">
        <v>1818</v>
      </c>
      <c r="C677" s="216" t="s">
        <v>1344</v>
      </c>
      <c r="D677" s="416" t="s">
        <v>954</v>
      </c>
      <c r="E677" s="217" t="s">
        <v>1833</v>
      </c>
      <c r="F677" s="218" t="s">
        <v>1820</v>
      </c>
      <c r="G677" s="116">
        <v>7276</v>
      </c>
      <c r="H677" s="1776" t="s">
        <v>1349</v>
      </c>
      <c r="J677" s="224"/>
      <c r="K677" s="34" t="s">
        <v>25</v>
      </c>
      <c r="L677" s="475"/>
      <c r="M677" s="224"/>
      <c r="N677" s="224"/>
      <c r="O677" s="902" t="s">
        <v>6395</v>
      </c>
    </row>
    <row r="678" spans="1:15" x14ac:dyDescent="0.3">
      <c r="A678" s="2401">
        <v>672</v>
      </c>
      <c r="B678" s="1122" t="s">
        <v>1818</v>
      </c>
      <c r="C678" s="216" t="s">
        <v>1344</v>
      </c>
      <c r="D678" s="416" t="s">
        <v>954</v>
      </c>
      <c r="E678" s="217" t="s">
        <v>1834</v>
      </c>
      <c r="F678" s="218" t="s">
        <v>1820</v>
      </c>
      <c r="G678" s="116">
        <v>7276</v>
      </c>
      <c r="H678" s="1776" t="s">
        <v>1349</v>
      </c>
      <c r="J678" s="224"/>
      <c r="K678" s="34" t="s">
        <v>25</v>
      </c>
      <c r="L678" s="475"/>
      <c r="M678" s="224"/>
      <c r="N678" s="224"/>
      <c r="O678" s="902" t="s">
        <v>6395</v>
      </c>
    </row>
    <row r="679" spans="1:15" x14ac:dyDescent="0.3">
      <c r="A679" s="2402">
        <v>673</v>
      </c>
      <c r="B679" s="1122" t="s">
        <v>1818</v>
      </c>
      <c r="C679" s="216" t="s">
        <v>1344</v>
      </c>
      <c r="D679" s="416" t="s">
        <v>954</v>
      </c>
      <c r="E679" s="217" t="s">
        <v>1835</v>
      </c>
      <c r="F679" s="218" t="s">
        <v>1820</v>
      </c>
      <c r="G679" s="116">
        <v>7276</v>
      </c>
      <c r="H679" s="1776" t="s">
        <v>1349</v>
      </c>
      <c r="J679" s="224"/>
      <c r="K679" s="34" t="s">
        <v>25</v>
      </c>
      <c r="L679" s="475"/>
      <c r="M679" s="224"/>
      <c r="N679" s="224"/>
      <c r="O679" s="902" t="s">
        <v>6395</v>
      </c>
    </row>
    <row r="680" spans="1:15" x14ac:dyDescent="0.3">
      <c r="A680" s="2402">
        <v>674</v>
      </c>
      <c r="B680" s="1122" t="s">
        <v>1818</v>
      </c>
      <c r="C680" s="216" t="s">
        <v>1344</v>
      </c>
      <c r="D680" s="416" t="s">
        <v>954</v>
      </c>
      <c r="E680" s="217" t="s">
        <v>1836</v>
      </c>
      <c r="F680" s="218" t="s">
        <v>1820</v>
      </c>
      <c r="G680" s="116">
        <v>7276</v>
      </c>
      <c r="H680" s="1776" t="s">
        <v>1349</v>
      </c>
      <c r="J680" s="224"/>
      <c r="K680" s="34" t="s">
        <v>25</v>
      </c>
      <c r="L680" s="475"/>
      <c r="M680" s="224"/>
      <c r="N680" s="224"/>
      <c r="O680" s="902" t="s">
        <v>6395</v>
      </c>
    </row>
    <row r="681" spans="1:15" x14ac:dyDescent="0.3">
      <c r="A681" s="2401">
        <v>675</v>
      </c>
      <c r="B681" s="1122" t="s">
        <v>1818</v>
      </c>
      <c r="C681" s="216" t="s">
        <v>1344</v>
      </c>
      <c r="D681" s="416" t="s">
        <v>954</v>
      </c>
      <c r="E681" s="217" t="s">
        <v>1837</v>
      </c>
      <c r="F681" s="218" t="s">
        <v>1820</v>
      </c>
      <c r="G681" s="116">
        <v>7276</v>
      </c>
      <c r="H681" s="1776" t="s">
        <v>1349</v>
      </c>
      <c r="J681" s="224"/>
      <c r="K681" s="34" t="s">
        <v>25</v>
      </c>
      <c r="L681" s="475"/>
      <c r="M681" s="224"/>
      <c r="N681" s="224"/>
      <c r="O681" s="902" t="s">
        <v>6395</v>
      </c>
    </row>
    <row r="682" spans="1:15" x14ac:dyDescent="0.3">
      <c r="A682" s="2402">
        <v>676</v>
      </c>
      <c r="B682" s="1122" t="s">
        <v>1818</v>
      </c>
      <c r="C682" s="216" t="s">
        <v>1344</v>
      </c>
      <c r="D682" s="416" t="s">
        <v>954</v>
      </c>
      <c r="E682" s="217" t="s">
        <v>100</v>
      </c>
      <c r="F682" s="218" t="s">
        <v>1820</v>
      </c>
      <c r="G682" s="116">
        <v>7276</v>
      </c>
      <c r="H682" s="1776" t="s">
        <v>1349</v>
      </c>
      <c r="J682" s="224"/>
      <c r="K682" s="34" t="s">
        <v>25</v>
      </c>
      <c r="L682" s="475"/>
      <c r="M682" s="224"/>
      <c r="N682" s="224"/>
      <c r="O682" s="902" t="s">
        <v>6395</v>
      </c>
    </row>
    <row r="683" spans="1:15" x14ac:dyDescent="0.3">
      <c r="A683" s="2402">
        <v>677</v>
      </c>
      <c r="B683" s="1122" t="s">
        <v>1818</v>
      </c>
      <c r="C683" s="216" t="s">
        <v>1344</v>
      </c>
      <c r="D683" s="416" t="s">
        <v>954</v>
      </c>
      <c r="E683" s="217" t="s">
        <v>1838</v>
      </c>
      <c r="F683" s="218" t="s">
        <v>1820</v>
      </c>
      <c r="G683" s="116">
        <v>7276</v>
      </c>
      <c r="H683" s="1776" t="s">
        <v>1349</v>
      </c>
      <c r="J683" s="224"/>
      <c r="K683" s="34" t="s">
        <v>25</v>
      </c>
      <c r="L683" s="475"/>
      <c r="M683" s="224"/>
      <c r="N683" s="224"/>
      <c r="O683" s="902" t="s">
        <v>6395</v>
      </c>
    </row>
    <row r="684" spans="1:15" x14ac:dyDescent="0.3">
      <c r="A684" s="2401">
        <v>678</v>
      </c>
      <c r="B684" s="1122" t="s">
        <v>1818</v>
      </c>
      <c r="C684" s="216" t="s">
        <v>1344</v>
      </c>
      <c r="D684" s="416" t="s">
        <v>954</v>
      </c>
      <c r="E684" s="217" t="s">
        <v>1839</v>
      </c>
      <c r="F684" s="218" t="s">
        <v>1820</v>
      </c>
      <c r="G684" s="116">
        <v>7276</v>
      </c>
      <c r="H684" s="1776" t="s">
        <v>1349</v>
      </c>
      <c r="J684" s="224"/>
      <c r="K684" s="34" t="s">
        <v>25</v>
      </c>
      <c r="L684" s="475"/>
      <c r="M684" s="224"/>
      <c r="N684" s="224"/>
      <c r="O684" s="902" t="s">
        <v>6395</v>
      </c>
    </row>
    <row r="685" spans="1:15" x14ac:dyDescent="0.3">
      <c r="A685" s="2402">
        <v>679</v>
      </c>
      <c r="B685" s="1122" t="s">
        <v>1818</v>
      </c>
      <c r="C685" s="216" t="s">
        <v>1344</v>
      </c>
      <c r="D685" s="416" t="s">
        <v>954</v>
      </c>
      <c r="E685" s="217" t="s">
        <v>1840</v>
      </c>
      <c r="F685" s="218" t="s">
        <v>1820</v>
      </c>
      <c r="G685" s="116">
        <v>7276</v>
      </c>
      <c r="H685" s="1776" t="s">
        <v>1349</v>
      </c>
      <c r="J685" s="224"/>
      <c r="K685" s="34" t="s">
        <v>25</v>
      </c>
      <c r="L685" s="475"/>
      <c r="M685" s="224"/>
      <c r="N685" s="224"/>
      <c r="O685" s="902" t="s">
        <v>6395</v>
      </c>
    </row>
    <row r="686" spans="1:15" x14ac:dyDescent="0.3">
      <c r="A686" s="2402">
        <v>680</v>
      </c>
      <c r="B686" s="1122" t="s">
        <v>1818</v>
      </c>
      <c r="C686" s="216" t="s">
        <v>1344</v>
      </c>
      <c r="D686" s="452" t="s">
        <v>954</v>
      </c>
      <c r="E686" s="217" t="s">
        <v>1841</v>
      </c>
      <c r="F686" s="218" t="s">
        <v>1820</v>
      </c>
      <c r="G686" s="116">
        <v>7276</v>
      </c>
      <c r="H686" s="1776" t="s">
        <v>1349</v>
      </c>
      <c r="J686" s="224"/>
      <c r="K686" s="34" t="s">
        <v>25</v>
      </c>
      <c r="L686" s="475"/>
      <c r="M686" s="224"/>
      <c r="N686" s="224"/>
      <c r="O686" s="902" t="s">
        <v>6395</v>
      </c>
    </row>
    <row r="687" spans="1:15" x14ac:dyDescent="0.3">
      <c r="A687" s="2401">
        <v>681</v>
      </c>
      <c r="B687" s="1122" t="s">
        <v>1818</v>
      </c>
      <c r="C687" s="216" t="s">
        <v>1344</v>
      </c>
      <c r="D687" s="495" t="s">
        <v>954</v>
      </c>
      <c r="E687" s="217" t="s">
        <v>1842</v>
      </c>
      <c r="F687" s="218" t="s">
        <v>1820</v>
      </c>
      <c r="G687" s="116">
        <v>7276</v>
      </c>
      <c r="H687" s="1776" t="s">
        <v>1349</v>
      </c>
      <c r="J687" s="224"/>
      <c r="K687" s="34" t="s">
        <v>25</v>
      </c>
      <c r="L687" s="475"/>
      <c r="M687" s="224"/>
      <c r="N687" s="224"/>
      <c r="O687" s="902" t="s">
        <v>6395</v>
      </c>
    </row>
    <row r="688" spans="1:15" x14ac:dyDescent="0.3">
      <c r="A688" s="2402">
        <v>682</v>
      </c>
      <c r="B688" s="1122" t="s">
        <v>1818</v>
      </c>
      <c r="C688" s="216" t="s">
        <v>1344</v>
      </c>
      <c r="D688" s="495" t="s">
        <v>954</v>
      </c>
      <c r="E688" s="217" t="s">
        <v>1843</v>
      </c>
      <c r="F688" s="218" t="s">
        <v>1820</v>
      </c>
      <c r="G688" s="116">
        <v>7276</v>
      </c>
      <c r="H688" s="1776" t="s">
        <v>1349</v>
      </c>
      <c r="J688" s="224"/>
      <c r="K688" s="34" t="s">
        <v>25</v>
      </c>
      <c r="L688" s="475"/>
      <c r="M688" s="224"/>
      <c r="N688" s="224"/>
      <c r="O688" s="902" t="s">
        <v>6395</v>
      </c>
    </row>
    <row r="689" spans="1:15" x14ac:dyDescent="0.3">
      <c r="A689" s="2402">
        <v>683</v>
      </c>
      <c r="B689" s="1122" t="s">
        <v>1818</v>
      </c>
      <c r="C689" s="216" t="s">
        <v>1344</v>
      </c>
      <c r="D689" s="793" t="s">
        <v>954</v>
      </c>
      <c r="E689" s="217" t="s">
        <v>1844</v>
      </c>
      <c r="F689" s="218" t="s">
        <v>1820</v>
      </c>
      <c r="G689" s="116">
        <v>7276</v>
      </c>
      <c r="H689" s="1776" t="s">
        <v>1349</v>
      </c>
      <c r="J689" s="224"/>
      <c r="K689" s="34" t="s">
        <v>25</v>
      </c>
      <c r="L689" s="475"/>
      <c r="M689" s="224"/>
      <c r="N689" s="224"/>
      <c r="O689" s="902" t="s">
        <v>6395</v>
      </c>
    </row>
    <row r="690" spans="1:15" x14ac:dyDescent="0.3">
      <c r="A690" s="2401">
        <v>684</v>
      </c>
      <c r="B690" s="1122" t="s">
        <v>1818</v>
      </c>
      <c r="C690" s="216" t="s">
        <v>1344</v>
      </c>
      <c r="D690" s="452" t="s">
        <v>954</v>
      </c>
      <c r="E690" s="217" t="s">
        <v>1845</v>
      </c>
      <c r="F690" s="218" t="s">
        <v>1820</v>
      </c>
      <c r="G690" s="116">
        <v>7276</v>
      </c>
      <c r="H690" s="1776" t="s">
        <v>1349</v>
      </c>
      <c r="J690" s="224"/>
      <c r="K690" s="34" t="s">
        <v>25</v>
      </c>
      <c r="L690" s="475"/>
      <c r="M690" s="224"/>
      <c r="N690" s="224"/>
      <c r="O690" s="902" t="s">
        <v>6395</v>
      </c>
    </row>
    <row r="691" spans="1:15" x14ac:dyDescent="0.3">
      <c r="A691" s="2402">
        <v>685</v>
      </c>
      <c r="B691" s="1122" t="s">
        <v>1818</v>
      </c>
      <c r="C691" s="216" t="s">
        <v>1344</v>
      </c>
      <c r="D691" s="793" t="s">
        <v>954</v>
      </c>
      <c r="E691" s="217" t="s">
        <v>1846</v>
      </c>
      <c r="F691" s="218" t="s">
        <v>1820</v>
      </c>
      <c r="G691" s="116">
        <v>7276</v>
      </c>
      <c r="H691" s="1776" t="s">
        <v>1349</v>
      </c>
      <c r="J691" s="224"/>
      <c r="K691" s="34" t="s">
        <v>25</v>
      </c>
      <c r="L691" s="475"/>
      <c r="M691" s="224"/>
      <c r="N691" s="224"/>
      <c r="O691" s="902" t="s">
        <v>6395</v>
      </c>
    </row>
    <row r="692" spans="1:15" x14ac:dyDescent="0.3">
      <c r="A692" s="2402">
        <v>686</v>
      </c>
      <c r="B692" s="1122" t="s">
        <v>1818</v>
      </c>
      <c r="C692" s="216" t="s">
        <v>1344</v>
      </c>
      <c r="D692" s="416" t="s">
        <v>954</v>
      </c>
      <c r="E692" s="217" t="s">
        <v>1847</v>
      </c>
      <c r="F692" s="218" t="s">
        <v>1820</v>
      </c>
      <c r="G692" s="116">
        <v>7276</v>
      </c>
      <c r="H692" s="1776" t="s">
        <v>1349</v>
      </c>
      <c r="J692" s="224"/>
      <c r="K692" s="34" t="s">
        <v>25</v>
      </c>
      <c r="L692" s="475"/>
      <c r="M692" s="224"/>
      <c r="N692" s="224"/>
      <c r="O692" s="902" t="s">
        <v>6395</v>
      </c>
    </row>
    <row r="693" spans="1:15" x14ac:dyDescent="0.3">
      <c r="A693" s="2401">
        <v>687</v>
      </c>
      <c r="B693" s="1122" t="s">
        <v>1818</v>
      </c>
      <c r="C693" s="216" t="s">
        <v>1344</v>
      </c>
      <c r="D693" s="416" t="s">
        <v>954</v>
      </c>
      <c r="E693" s="217" t="s">
        <v>1848</v>
      </c>
      <c r="F693" s="218" t="s">
        <v>1820</v>
      </c>
      <c r="G693" s="116">
        <v>7276</v>
      </c>
      <c r="H693" s="1776" t="s">
        <v>1349</v>
      </c>
      <c r="J693" s="224"/>
      <c r="K693" s="34" t="s">
        <v>25</v>
      </c>
      <c r="L693" s="475"/>
      <c r="M693" s="224"/>
      <c r="N693" s="224"/>
      <c r="O693" s="902" t="s">
        <v>6395</v>
      </c>
    </row>
    <row r="694" spans="1:15" x14ac:dyDescent="0.3">
      <c r="A694" s="2402">
        <v>688</v>
      </c>
      <c r="B694" s="1122" t="s">
        <v>1818</v>
      </c>
      <c r="C694" s="216" t="s">
        <v>1344</v>
      </c>
      <c r="D694" s="416" t="s">
        <v>954</v>
      </c>
      <c r="E694" s="217" t="s">
        <v>1849</v>
      </c>
      <c r="F694" s="218" t="s">
        <v>1820</v>
      </c>
      <c r="G694" s="116">
        <v>7276</v>
      </c>
      <c r="H694" s="1776" t="s">
        <v>1349</v>
      </c>
      <c r="J694" s="224"/>
      <c r="K694" s="34" t="s">
        <v>25</v>
      </c>
      <c r="L694" s="475"/>
      <c r="M694" s="224"/>
      <c r="N694" s="224"/>
      <c r="O694" s="902" t="s">
        <v>6395</v>
      </c>
    </row>
    <row r="695" spans="1:15" x14ac:dyDescent="0.3">
      <c r="A695" s="2402">
        <v>689</v>
      </c>
      <c r="B695" s="1122" t="s">
        <v>1818</v>
      </c>
      <c r="C695" s="216" t="s">
        <v>1344</v>
      </c>
      <c r="D695" s="416" t="s">
        <v>954</v>
      </c>
      <c r="E695" s="217" t="s">
        <v>1850</v>
      </c>
      <c r="F695" s="218" t="s">
        <v>1820</v>
      </c>
      <c r="G695" s="116">
        <v>7276</v>
      </c>
      <c r="H695" s="1776" t="s">
        <v>1349</v>
      </c>
      <c r="J695" s="224"/>
      <c r="K695" s="34" t="s">
        <v>25</v>
      </c>
      <c r="L695" s="475"/>
      <c r="M695" s="224"/>
      <c r="N695" s="224"/>
      <c r="O695" s="902" t="s">
        <v>6395</v>
      </c>
    </row>
    <row r="696" spans="1:15" x14ac:dyDescent="0.3">
      <c r="A696" s="2401">
        <v>690</v>
      </c>
      <c r="B696" s="1122" t="s">
        <v>1818</v>
      </c>
      <c r="C696" s="216" t="s">
        <v>1344</v>
      </c>
      <c r="D696" s="416" t="s">
        <v>954</v>
      </c>
      <c r="E696" s="217" t="s">
        <v>1851</v>
      </c>
      <c r="F696" s="218" t="s">
        <v>1820</v>
      </c>
      <c r="G696" s="116">
        <v>7276</v>
      </c>
      <c r="H696" s="1776" t="s">
        <v>1349</v>
      </c>
      <c r="J696" s="224"/>
      <c r="K696" s="34" t="s">
        <v>25</v>
      </c>
      <c r="L696" s="475"/>
      <c r="M696" s="224"/>
      <c r="N696" s="224"/>
      <c r="O696" s="902" t="s">
        <v>6395</v>
      </c>
    </row>
    <row r="697" spans="1:15" x14ac:dyDescent="0.3">
      <c r="A697" s="2402">
        <v>691</v>
      </c>
      <c r="B697" s="1122" t="s">
        <v>1818</v>
      </c>
      <c r="C697" s="216" t="s">
        <v>1344</v>
      </c>
      <c r="D697" s="416" t="s">
        <v>954</v>
      </c>
      <c r="E697" s="217" t="s">
        <v>1852</v>
      </c>
      <c r="F697" s="218" t="s">
        <v>1820</v>
      </c>
      <c r="G697" s="116">
        <v>7276</v>
      </c>
      <c r="H697" s="1776" t="s">
        <v>1349</v>
      </c>
      <c r="J697" s="224"/>
      <c r="K697" s="34" t="s">
        <v>25</v>
      </c>
      <c r="L697" s="475"/>
      <c r="M697" s="224"/>
      <c r="N697" s="224"/>
      <c r="O697" s="902" t="s">
        <v>6395</v>
      </c>
    </row>
    <row r="698" spans="1:15" x14ac:dyDescent="0.3">
      <c r="A698" s="2402">
        <v>692</v>
      </c>
      <c r="B698" s="1122" t="s">
        <v>1818</v>
      </c>
      <c r="C698" s="216" t="s">
        <v>1344</v>
      </c>
      <c r="D698" s="416" t="s">
        <v>954</v>
      </c>
      <c r="E698" s="217" t="s">
        <v>1853</v>
      </c>
      <c r="F698" s="218" t="s">
        <v>1820</v>
      </c>
      <c r="G698" s="116">
        <v>7276</v>
      </c>
      <c r="H698" s="1776" t="s">
        <v>1349</v>
      </c>
      <c r="J698" s="224"/>
      <c r="K698" s="34" t="s">
        <v>25</v>
      </c>
      <c r="L698" s="475"/>
      <c r="M698" s="224"/>
      <c r="N698" s="224"/>
      <c r="O698" s="902" t="s">
        <v>6395</v>
      </c>
    </row>
    <row r="699" spans="1:15" x14ac:dyDescent="0.3">
      <c r="A699" s="2401">
        <v>693</v>
      </c>
      <c r="B699" s="1122" t="s">
        <v>1818</v>
      </c>
      <c r="C699" s="216" t="s">
        <v>1344</v>
      </c>
      <c r="D699" s="416" t="s">
        <v>954</v>
      </c>
      <c r="E699" s="217" t="s">
        <v>1854</v>
      </c>
      <c r="F699" s="218" t="s">
        <v>1820</v>
      </c>
      <c r="G699" s="116">
        <v>7276</v>
      </c>
      <c r="H699" s="1776" t="s">
        <v>1349</v>
      </c>
      <c r="J699" s="224"/>
      <c r="K699" s="34" t="s">
        <v>25</v>
      </c>
      <c r="L699" s="475"/>
      <c r="M699" s="224"/>
      <c r="N699" s="224"/>
      <c r="O699" s="902" t="s">
        <v>6395</v>
      </c>
    </row>
    <row r="700" spans="1:15" x14ac:dyDescent="0.3">
      <c r="A700" s="2402">
        <v>694</v>
      </c>
      <c r="B700" s="1122" t="s">
        <v>1818</v>
      </c>
      <c r="C700" s="216" t="s">
        <v>1344</v>
      </c>
      <c r="D700" s="416" t="s">
        <v>954</v>
      </c>
      <c r="E700" s="217" t="s">
        <v>1855</v>
      </c>
      <c r="F700" s="218" t="s">
        <v>1820</v>
      </c>
      <c r="G700" s="116">
        <v>7276</v>
      </c>
      <c r="H700" s="1776" t="s">
        <v>1349</v>
      </c>
      <c r="J700" s="224"/>
      <c r="K700" s="34" t="s">
        <v>25</v>
      </c>
      <c r="L700" s="475"/>
      <c r="M700" s="224"/>
      <c r="N700" s="224"/>
      <c r="O700" s="902" t="s">
        <v>6395</v>
      </c>
    </row>
    <row r="701" spans="1:15" x14ac:dyDescent="0.3">
      <c r="A701" s="2402">
        <v>695</v>
      </c>
      <c r="B701" s="1122" t="s">
        <v>1818</v>
      </c>
      <c r="C701" s="216" t="s">
        <v>1344</v>
      </c>
      <c r="D701" s="452" t="s">
        <v>954</v>
      </c>
      <c r="E701" s="217" t="s">
        <v>1856</v>
      </c>
      <c r="F701" s="218" t="s">
        <v>1820</v>
      </c>
      <c r="G701" s="116">
        <v>7276</v>
      </c>
      <c r="H701" s="1776" t="s">
        <v>1349</v>
      </c>
      <c r="J701" s="224"/>
      <c r="K701" s="34" t="s">
        <v>25</v>
      </c>
      <c r="L701" s="475"/>
      <c r="M701" s="224"/>
      <c r="N701" s="224"/>
      <c r="O701" s="902" t="s">
        <v>6395</v>
      </c>
    </row>
    <row r="702" spans="1:15" x14ac:dyDescent="0.3">
      <c r="A702" s="2401">
        <v>696</v>
      </c>
      <c r="B702" s="1122" t="s">
        <v>1818</v>
      </c>
      <c r="C702" s="216" t="s">
        <v>1344</v>
      </c>
      <c r="D702" s="793" t="s">
        <v>954</v>
      </c>
      <c r="E702" s="217" t="s">
        <v>488</v>
      </c>
      <c r="F702" s="218" t="s">
        <v>1820</v>
      </c>
      <c r="G702" s="116">
        <v>7276</v>
      </c>
      <c r="H702" s="1776" t="s">
        <v>1349</v>
      </c>
      <c r="J702" s="224"/>
      <c r="K702" s="34" t="s">
        <v>25</v>
      </c>
      <c r="L702" s="475"/>
      <c r="M702" s="224"/>
      <c r="N702" s="224"/>
      <c r="O702" s="902" t="s">
        <v>6395</v>
      </c>
    </row>
    <row r="703" spans="1:15" x14ac:dyDescent="0.3">
      <c r="A703" s="2402">
        <v>697</v>
      </c>
      <c r="B703" s="1122" t="s">
        <v>1818</v>
      </c>
      <c r="C703" s="216" t="s">
        <v>1344</v>
      </c>
      <c r="D703" s="452" t="s">
        <v>954</v>
      </c>
      <c r="E703" s="217" t="s">
        <v>491</v>
      </c>
      <c r="F703" s="218" t="s">
        <v>1820</v>
      </c>
      <c r="G703" s="116">
        <v>7276</v>
      </c>
      <c r="H703" s="1776" t="s">
        <v>1349</v>
      </c>
      <c r="J703" s="224"/>
      <c r="K703" s="34" t="s">
        <v>25</v>
      </c>
      <c r="L703" s="475"/>
      <c r="M703" s="224"/>
      <c r="N703" s="224"/>
      <c r="O703" s="902" t="s">
        <v>6395</v>
      </c>
    </row>
    <row r="704" spans="1:15" x14ac:dyDescent="0.3">
      <c r="A704" s="2402">
        <v>698</v>
      </c>
      <c r="B704" s="1122" t="s">
        <v>1818</v>
      </c>
      <c r="C704" s="216" t="s">
        <v>1344</v>
      </c>
      <c r="D704" s="793" t="s">
        <v>954</v>
      </c>
      <c r="E704" s="217" t="s">
        <v>492</v>
      </c>
      <c r="F704" s="218" t="s">
        <v>1820</v>
      </c>
      <c r="G704" s="116">
        <v>7276</v>
      </c>
      <c r="H704" s="1776" t="s">
        <v>1349</v>
      </c>
      <c r="J704" s="224"/>
      <c r="K704" s="34" t="s">
        <v>25</v>
      </c>
      <c r="L704" s="475"/>
      <c r="M704" s="224"/>
      <c r="N704" s="224"/>
      <c r="O704" s="902" t="s">
        <v>6395</v>
      </c>
    </row>
    <row r="705" spans="1:15" x14ac:dyDescent="0.3">
      <c r="A705" s="2401">
        <v>699</v>
      </c>
      <c r="B705" s="1122" t="s">
        <v>1818</v>
      </c>
      <c r="C705" s="216" t="s">
        <v>1344</v>
      </c>
      <c r="D705" s="416" t="s">
        <v>954</v>
      </c>
      <c r="E705" s="217" t="s">
        <v>495</v>
      </c>
      <c r="F705" s="218" t="s">
        <v>1820</v>
      </c>
      <c r="G705" s="116">
        <v>7276</v>
      </c>
      <c r="H705" s="1776" t="s">
        <v>1349</v>
      </c>
      <c r="J705" s="224"/>
      <c r="K705" s="34" t="s">
        <v>25</v>
      </c>
      <c r="L705" s="475"/>
      <c r="M705" s="224"/>
      <c r="N705" s="224"/>
      <c r="O705" s="902" t="s">
        <v>6395</v>
      </c>
    </row>
    <row r="706" spans="1:15" x14ac:dyDescent="0.3">
      <c r="A706" s="2402">
        <v>700</v>
      </c>
      <c r="B706" s="1122" t="s">
        <v>1818</v>
      </c>
      <c r="C706" s="216" t="s">
        <v>1344</v>
      </c>
      <c r="D706" s="416" t="s">
        <v>954</v>
      </c>
      <c r="E706" s="217" t="s">
        <v>1857</v>
      </c>
      <c r="F706" s="218" t="s">
        <v>1820</v>
      </c>
      <c r="G706" s="116">
        <v>7276</v>
      </c>
      <c r="H706" s="1776" t="s">
        <v>1349</v>
      </c>
      <c r="J706" s="224"/>
      <c r="K706" s="34" t="s">
        <v>25</v>
      </c>
      <c r="L706" s="475"/>
      <c r="M706" s="224"/>
      <c r="N706" s="224"/>
      <c r="O706" s="902" t="s">
        <v>6395</v>
      </c>
    </row>
    <row r="707" spans="1:15" x14ac:dyDescent="0.3">
      <c r="A707" s="2402">
        <v>701</v>
      </c>
      <c r="B707" s="1122" t="s">
        <v>1818</v>
      </c>
      <c r="C707" s="216" t="s">
        <v>1344</v>
      </c>
      <c r="D707" s="416" t="s">
        <v>954</v>
      </c>
      <c r="E707" s="217" t="s">
        <v>1858</v>
      </c>
      <c r="F707" s="218" t="s">
        <v>1820</v>
      </c>
      <c r="G707" s="116">
        <v>7276</v>
      </c>
      <c r="H707" s="1776" t="s">
        <v>1349</v>
      </c>
      <c r="J707" s="224"/>
      <c r="K707" s="34" t="s">
        <v>25</v>
      </c>
      <c r="L707" s="475"/>
      <c r="M707" s="224"/>
      <c r="N707" s="224"/>
      <c r="O707" s="902" t="s">
        <v>6395</v>
      </c>
    </row>
    <row r="708" spans="1:15" x14ac:dyDescent="0.3">
      <c r="A708" s="2401">
        <v>702</v>
      </c>
      <c r="B708" s="1122" t="s">
        <v>1818</v>
      </c>
      <c r="C708" s="216" t="s">
        <v>1344</v>
      </c>
      <c r="D708" s="416" t="s">
        <v>954</v>
      </c>
      <c r="E708" s="217" t="s">
        <v>1859</v>
      </c>
      <c r="F708" s="218" t="s">
        <v>1820</v>
      </c>
      <c r="G708" s="116">
        <v>7276</v>
      </c>
      <c r="H708" s="1776" t="s">
        <v>1349</v>
      </c>
      <c r="J708" s="224"/>
      <c r="K708" s="34" t="s">
        <v>25</v>
      </c>
      <c r="L708" s="475"/>
      <c r="M708" s="224"/>
      <c r="N708" s="224"/>
      <c r="O708" s="902" t="s">
        <v>6395</v>
      </c>
    </row>
    <row r="709" spans="1:15" x14ac:dyDescent="0.3">
      <c r="A709" s="2402">
        <v>703</v>
      </c>
      <c r="B709" s="1122" t="s">
        <v>1818</v>
      </c>
      <c r="C709" s="216" t="s">
        <v>1344</v>
      </c>
      <c r="D709" s="416" t="s">
        <v>954</v>
      </c>
      <c r="E709" s="217" t="s">
        <v>1860</v>
      </c>
      <c r="F709" s="218" t="s">
        <v>1820</v>
      </c>
      <c r="G709" s="116">
        <v>7276</v>
      </c>
      <c r="H709" s="1776" t="s">
        <v>1349</v>
      </c>
      <c r="J709" s="224"/>
      <c r="K709" s="34" t="s">
        <v>25</v>
      </c>
      <c r="L709" s="475"/>
      <c r="M709" s="224"/>
      <c r="N709" s="224"/>
      <c r="O709" s="902" t="s">
        <v>6395</v>
      </c>
    </row>
    <row r="710" spans="1:15" x14ac:dyDescent="0.3">
      <c r="A710" s="2402">
        <v>704</v>
      </c>
      <c r="B710" s="1122" t="s">
        <v>1818</v>
      </c>
      <c r="C710" s="216" t="s">
        <v>1344</v>
      </c>
      <c r="D710" s="416" t="s">
        <v>954</v>
      </c>
      <c r="E710" s="217" t="s">
        <v>1861</v>
      </c>
      <c r="F710" s="218" t="s">
        <v>1820</v>
      </c>
      <c r="G710" s="116">
        <v>7276</v>
      </c>
      <c r="H710" s="1776" t="s">
        <v>1349</v>
      </c>
      <c r="J710" s="224"/>
      <c r="K710" s="34" t="s">
        <v>25</v>
      </c>
      <c r="L710" s="475"/>
      <c r="M710" s="224"/>
      <c r="N710" s="224"/>
      <c r="O710" s="902" t="s">
        <v>6395</v>
      </c>
    </row>
    <row r="711" spans="1:15" x14ac:dyDescent="0.3">
      <c r="A711" s="2401">
        <v>705</v>
      </c>
      <c r="B711" s="1122" t="s">
        <v>1818</v>
      </c>
      <c r="C711" s="216" t="s">
        <v>1344</v>
      </c>
      <c r="D711" s="416" t="s">
        <v>954</v>
      </c>
      <c r="E711" s="217" t="s">
        <v>1862</v>
      </c>
      <c r="F711" s="218" t="s">
        <v>1820</v>
      </c>
      <c r="G711" s="116">
        <v>7276</v>
      </c>
      <c r="H711" s="1776" t="s">
        <v>1349</v>
      </c>
      <c r="J711" s="224"/>
      <c r="K711" s="34" t="s">
        <v>25</v>
      </c>
      <c r="L711" s="475"/>
      <c r="M711" s="224"/>
      <c r="N711" s="224"/>
      <c r="O711" s="902" t="s">
        <v>6395</v>
      </c>
    </row>
    <row r="712" spans="1:15" x14ac:dyDescent="0.3">
      <c r="A712" s="2402">
        <v>706</v>
      </c>
      <c r="B712" s="1122" t="s">
        <v>1818</v>
      </c>
      <c r="C712" s="216" t="s">
        <v>1344</v>
      </c>
      <c r="D712" s="416" t="s">
        <v>954</v>
      </c>
      <c r="E712" s="217" t="s">
        <v>1863</v>
      </c>
      <c r="F712" s="218" t="s">
        <v>1820</v>
      </c>
      <c r="G712" s="116">
        <v>7276</v>
      </c>
      <c r="H712" s="1776" t="s">
        <v>1349</v>
      </c>
      <c r="J712" s="224"/>
      <c r="K712" s="34" t="s">
        <v>25</v>
      </c>
      <c r="L712" s="475"/>
      <c r="M712" s="224"/>
      <c r="N712" s="224"/>
      <c r="O712" s="902" t="s">
        <v>6395</v>
      </c>
    </row>
    <row r="713" spans="1:15" x14ac:dyDescent="0.3">
      <c r="A713" s="2402">
        <v>707</v>
      </c>
      <c r="B713" s="1122" t="s">
        <v>1818</v>
      </c>
      <c r="C713" s="216" t="s">
        <v>1344</v>
      </c>
      <c r="D713" s="416" t="s">
        <v>954</v>
      </c>
      <c r="E713" s="217" t="s">
        <v>1864</v>
      </c>
      <c r="F713" s="218" t="s">
        <v>1820</v>
      </c>
      <c r="G713" s="116">
        <v>7276</v>
      </c>
      <c r="H713" s="1776" t="s">
        <v>1349</v>
      </c>
      <c r="J713" s="224"/>
      <c r="K713" s="34" t="s">
        <v>25</v>
      </c>
      <c r="L713" s="475"/>
      <c r="M713" s="224"/>
      <c r="N713" s="224"/>
      <c r="O713" s="902" t="s">
        <v>6395</v>
      </c>
    </row>
    <row r="714" spans="1:15" x14ac:dyDescent="0.3">
      <c r="A714" s="2401">
        <v>708</v>
      </c>
      <c r="B714" s="1122" t="s">
        <v>1818</v>
      </c>
      <c r="C714" s="216" t="s">
        <v>1344</v>
      </c>
      <c r="D714" s="416" t="s">
        <v>954</v>
      </c>
      <c r="E714" s="217" t="s">
        <v>1865</v>
      </c>
      <c r="F714" s="218" t="s">
        <v>1820</v>
      </c>
      <c r="G714" s="116">
        <v>7276</v>
      </c>
      <c r="H714" s="1776" t="s">
        <v>1349</v>
      </c>
      <c r="J714" s="224"/>
      <c r="K714" s="34" t="s">
        <v>25</v>
      </c>
      <c r="L714" s="475"/>
      <c r="M714" s="224"/>
      <c r="N714" s="224"/>
      <c r="O714" s="902" t="s">
        <v>6395</v>
      </c>
    </row>
    <row r="715" spans="1:15" x14ac:dyDescent="0.3">
      <c r="A715" s="2402">
        <v>709</v>
      </c>
      <c r="B715" s="1122" t="s">
        <v>1818</v>
      </c>
      <c r="C715" s="216" t="s">
        <v>1344</v>
      </c>
      <c r="D715" s="416" t="s">
        <v>954</v>
      </c>
      <c r="E715" s="217" t="s">
        <v>1866</v>
      </c>
      <c r="F715" s="218" t="s">
        <v>1820</v>
      </c>
      <c r="G715" s="116">
        <v>7276</v>
      </c>
      <c r="H715" s="1776" t="s">
        <v>1349</v>
      </c>
      <c r="J715" s="224"/>
      <c r="K715" s="34" t="s">
        <v>25</v>
      </c>
      <c r="L715" s="475"/>
      <c r="M715" s="224"/>
      <c r="N715" s="224"/>
      <c r="O715" s="902" t="s">
        <v>6395</v>
      </c>
    </row>
    <row r="716" spans="1:15" x14ac:dyDescent="0.3">
      <c r="A716" s="2402">
        <v>710</v>
      </c>
      <c r="B716" s="1122" t="s">
        <v>1818</v>
      </c>
      <c r="C716" s="216" t="s">
        <v>1344</v>
      </c>
      <c r="D716" s="416" t="s">
        <v>954</v>
      </c>
      <c r="E716" s="217" t="s">
        <v>1867</v>
      </c>
      <c r="F716" s="218" t="s">
        <v>1820</v>
      </c>
      <c r="G716" s="116">
        <v>7276</v>
      </c>
      <c r="H716" s="1776" t="s">
        <v>1349</v>
      </c>
      <c r="J716" s="224"/>
      <c r="K716" s="34" t="s">
        <v>25</v>
      </c>
      <c r="L716" s="475"/>
      <c r="M716" s="224"/>
      <c r="N716" s="224"/>
      <c r="O716" s="902" t="s">
        <v>6395</v>
      </c>
    </row>
    <row r="717" spans="1:15" x14ac:dyDescent="0.3">
      <c r="A717" s="2401">
        <v>711</v>
      </c>
      <c r="B717" s="1122" t="s">
        <v>1818</v>
      </c>
      <c r="C717" s="216" t="s">
        <v>1344</v>
      </c>
      <c r="D717" s="416" t="s">
        <v>954</v>
      </c>
      <c r="E717" s="217" t="s">
        <v>1868</v>
      </c>
      <c r="F717" s="218" t="s">
        <v>1820</v>
      </c>
      <c r="G717" s="116">
        <v>7276</v>
      </c>
      <c r="H717" s="1776" t="s">
        <v>1349</v>
      </c>
      <c r="J717" s="224"/>
      <c r="K717" s="34" t="s">
        <v>25</v>
      </c>
      <c r="L717" s="475"/>
      <c r="M717" s="224"/>
      <c r="N717" s="224"/>
      <c r="O717" s="902" t="s">
        <v>6395</v>
      </c>
    </row>
    <row r="718" spans="1:15" x14ac:dyDescent="0.3">
      <c r="A718" s="2402">
        <v>712</v>
      </c>
      <c r="B718" s="1122" t="s">
        <v>1818</v>
      </c>
      <c r="C718" s="216" t="s">
        <v>1344</v>
      </c>
      <c r="D718" s="416" t="s">
        <v>954</v>
      </c>
      <c r="E718" s="217" t="s">
        <v>1869</v>
      </c>
      <c r="F718" s="218" t="s">
        <v>1820</v>
      </c>
      <c r="G718" s="116">
        <v>7276</v>
      </c>
      <c r="H718" s="1776" t="s">
        <v>1349</v>
      </c>
      <c r="J718" s="224"/>
      <c r="K718" s="34" t="s">
        <v>25</v>
      </c>
      <c r="L718" s="475"/>
      <c r="M718" s="224"/>
      <c r="N718" s="224"/>
      <c r="O718" s="902" t="s">
        <v>6395</v>
      </c>
    </row>
    <row r="719" spans="1:15" x14ac:dyDescent="0.3">
      <c r="A719" s="2402">
        <v>713</v>
      </c>
      <c r="B719" s="1122" t="s">
        <v>1818</v>
      </c>
      <c r="C719" s="216" t="s">
        <v>1344</v>
      </c>
      <c r="D719" s="416" t="s">
        <v>954</v>
      </c>
      <c r="E719" s="217" t="s">
        <v>1870</v>
      </c>
      <c r="F719" s="218" t="s">
        <v>1820</v>
      </c>
      <c r="G719" s="116">
        <v>7276</v>
      </c>
      <c r="H719" s="1776" t="s">
        <v>1349</v>
      </c>
      <c r="J719" s="224"/>
      <c r="K719" s="34" t="s">
        <v>25</v>
      </c>
      <c r="L719" s="475"/>
      <c r="M719" s="224"/>
      <c r="N719" s="224"/>
      <c r="O719" s="902" t="s">
        <v>6395</v>
      </c>
    </row>
    <row r="720" spans="1:15" x14ac:dyDescent="0.3">
      <c r="A720" s="2401">
        <v>714</v>
      </c>
      <c r="B720" s="1122" t="s">
        <v>1818</v>
      </c>
      <c r="C720" s="216" t="s">
        <v>1344</v>
      </c>
      <c r="D720" s="452" t="s">
        <v>954</v>
      </c>
      <c r="E720" s="217" t="s">
        <v>1871</v>
      </c>
      <c r="F720" s="218" t="s">
        <v>1820</v>
      </c>
      <c r="G720" s="116">
        <v>7276</v>
      </c>
      <c r="H720" s="1776" t="s">
        <v>1349</v>
      </c>
      <c r="J720" s="224"/>
      <c r="K720" s="34" t="s">
        <v>25</v>
      </c>
      <c r="L720" s="475"/>
      <c r="M720" s="224"/>
      <c r="N720" s="224"/>
      <c r="O720" s="902" t="s">
        <v>6395</v>
      </c>
    </row>
    <row r="721" spans="1:15" x14ac:dyDescent="0.3">
      <c r="A721" s="2402">
        <v>715</v>
      </c>
      <c r="B721" s="1122" t="s">
        <v>1818</v>
      </c>
      <c r="C721" s="1117" t="s">
        <v>1344</v>
      </c>
      <c r="D721" s="793" t="s">
        <v>954</v>
      </c>
      <c r="E721" s="217" t="s">
        <v>1872</v>
      </c>
      <c r="F721" s="218" t="s">
        <v>1820</v>
      </c>
      <c r="G721" s="116">
        <v>7276</v>
      </c>
      <c r="H721" s="1776" t="s">
        <v>1349</v>
      </c>
      <c r="J721" s="224"/>
      <c r="K721" s="34" t="s">
        <v>25</v>
      </c>
      <c r="L721" s="475"/>
      <c r="M721" s="224"/>
      <c r="N721" s="224"/>
      <c r="O721" s="902" t="s">
        <v>6395</v>
      </c>
    </row>
    <row r="722" spans="1:15" x14ac:dyDescent="0.3">
      <c r="A722" s="2402">
        <v>716</v>
      </c>
      <c r="B722" s="1122" t="s">
        <v>1818</v>
      </c>
      <c r="C722" s="1117" t="s">
        <v>1344</v>
      </c>
      <c r="D722" s="416" t="s">
        <v>954</v>
      </c>
      <c r="E722" s="217" t="s">
        <v>1873</v>
      </c>
      <c r="F722" s="218" t="s">
        <v>1820</v>
      </c>
      <c r="G722" s="116">
        <v>7276</v>
      </c>
      <c r="H722" s="1776" t="s">
        <v>1349</v>
      </c>
      <c r="J722" s="224"/>
      <c r="K722" s="34" t="s">
        <v>25</v>
      </c>
      <c r="L722" s="475"/>
      <c r="M722" s="224"/>
      <c r="N722" s="224"/>
      <c r="O722" s="902" t="s">
        <v>6395</v>
      </c>
    </row>
    <row r="723" spans="1:15" x14ac:dyDescent="0.3">
      <c r="A723" s="2401">
        <v>717</v>
      </c>
      <c r="B723" s="1122" t="s">
        <v>1818</v>
      </c>
      <c r="C723" s="1117" t="s">
        <v>1344</v>
      </c>
      <c r="D723" s="416" t="s">
        <v>954</v>
      </c>
      <c r="E723" s="217" t="s">
        <v>1874</v>
      </c>
      <c r="F723" s="218" t="s">
        <v>1820</v>
      </c>
      <c r="G723" s="116">
        <v>7276</v>
      </c>
      <c r="H723" s="1776" t="s">
        <v>1349</v>
      </c>
      <c r="J723" s="224"/>
      <c r="K723" s="34" t="s">
        <v>25</v>
      </c>
      <c r="L723" s="475"/>
      <c r="M723" s="224"/>
      <c r="N723" s="224"/>
      <c r="O723" s="902" t="s">
        <v>6395</v>
      </c>
    </row>
    <row r="724" spans="1:15" x14ac:dyDescent="0.3">
      <c r="A724" s="2402">
        <v>718</v>
      </c>
      <c r="B724" s="1122" t="s">
        <v>1818</v>
      </c>
      <c r="C724" s="1117" t="s">
        <v>1344</v>
      </c>
      <c r="D724" s="416" t="s">
        <v>954</v>
      </c>
      <c r="E724" s="217" t="s">
        <v>1875</v>
      </c>
      <c r="F724" s="218" t="s">
        <v>1820</v>
      </c>
      <c r="G724" s="116">
        <v>7276</v>
      </c>
      <c r="H724" s="1776" t="s">
        <v>1349</v>
      </c>
      <c r="J724" s="224"/>
      <c r="K724" s="34" t="s">
        <v>25</v>
      </c>
      <c r="L724" s="475"/>
      <c r="M724" s="224"/>
      <c r="N724" s="224"/>
      <c r="O724" s="902" t="s">
        <v>6395</v>
      </c>
    </row>
    <row r="725" spans="1:15" x14ac:dyDescent="0.3">
      <c r="A725" s="2402">
        <v>719</v>
      </c>
      <c r="B725" s="1122" t="s">
        <v>1818</v>
      </c>
      <c r="C725" s="1117" t="s">
        <v>1344</v>
      </c>
      <c r="D725" s="416" t="s">
        <v>954</v>
      </c>
      <c r="E725" s="217" t="s">
        <v>1876</v>
      </c>
      <c r="F725" s="218" t="s">
        <v>1820</v>
      </c>
      <c r="G725" s="116">
        <v>7276</v>
      </c>
      <c r="H725" s="1776" t="s">
        <v>1349</v>
      </c>
      <c r="J725" s="224"/>
      <c r="K725" s="34" t="s">
        <v>25</v>
      </c>
      <c r="L725" s="475"/>
      <c r="M725" s="224"/>
      <c r="N725" s="224"/>
      <c r="O725" s="902" t="s">
        <v>6395</v>
      </c>
    </row>
    <row r="726" spans="1:15" x14ac:dyDescent="0.3">
      <c r="A726" s="2401">
        <v>720</v>
      </c>
      <c r="B726" s="1122" t="s">
        <v>1818</v>
      </c>
      <c r="C726" s="1117" t="s">
        <v>1344</v>
      </c>
      <c r="D726" s="416" t="s">
        <v>954</v>
      </c>
      <c r="E726" s="217" t="s">
        <v>1877</v>
      </c>
      <c r="F726" s="218" t="s">
        <v>1820</v>
      </c>
      <c r="G726" s="116">
        <v>7276</v>
      </c>
      <c r="H726" s="1776" t="s">
        <v>1349</v>
      </c>
      <c r="J726" s="224"/>
      <c r="K726" s="34" t="s">
        <v>25</v>
      </c>
      <c r="L726" s="475"/>
      <c r="M726" s="224"/>
      <c r="N726" s="224"/>
      <c r="O726" s="902" t="s">
        <v>6395</v>
      </c>
    </row>
    <row r="727" spans="1:15" x14ac:dyDescent="0.3">
      <c r="A727" s="2402">
        <v>721</v>
      </c>
      <c r="B727" s="1122" t="s">
        <v>1818</v>
      </c>
      <c r="C727" s="1117" t="s">
        <v>1344</v>
      </c>
      <c r="D727" s="416" t="s">
        <v>954</v>
      </c>
      <c r="E727" s="217" t="s">
        <v>1878</v>
      </c>
      <c r="F727" s="218" t="s">
        <v>1820</v>
      </c>
      <c r="G727" s="116">
        <v>7276</v>
      </c>
      <c r="H727" s="1776" t="s">
        <v>1349</v>
      </c>
      <c r="J727" s="224"/>
      <c r="K727" s="34" t="s">
        <v>25</v>
      </c>
      <c r="L727" s="475"/>
      <c r="M727" s="224"/>
      <c r="N727" s="224"/>
      <c r="O727" s="902" t="s">
        <v>6395</v>
      </c>
    </row>
    <row r="728" spans="1:15" x14ac:dyDescent="0.3">
      <c r="A728" s="2402">
        <v>722</v>
      </c>
      <c r="B728" s="1122" t="s">
        <v>1818</v>
      </c>
      <c r="C728" s="1117" t="s">
        <v>1344</v>
      </c>
      <c r="D728" s="416" t="s">
        <v>954</v>
      </c>
      <c r="E728" s="217" t="s">
        <v>1879</v>
      </c>
      <c r="F728" s="218" t="s">
        <v>1820</v>
      </c>
      <c r="G728" s="116">
        <v>7276</v>
      </c>
      <c r="H728" s="1776" t="s">
        <v>1349</v>
      </c>
      <c r="J728" s="224"/>
      <c r="K728" s="34" t="s">
        <v>25</v>
      </c>
      <c r="L728" s="475"/>
      <c r="M728" s="224"/>
      <c r="N728" s="224"/>
      <c r="O728" s="902" t="s">
        <v>6395</v>
      </c>
    </row>
    <row r="729" spans="1:15" x14ac:dyDescent="0.3">
      <c r="A729" s="2401">
        <v>723</v>
      </c>
      <c r="B729" s="1122" t="s">
        <v>1818</v>
      </c>
      <c r="C729" s="1117" t="s">
        <v>1344</v>
      </c>
      <c r="D729" s="416" t="s">
        <v>954</v>
      </c>
      <c r="E729" s="217" t="s">
        <v>1880</v>
      </c>
      <c r="F729" s="218" t="s">
        <v>1820</v>
      </c>
      <c r="G729" s="116">
        <v>7276</v>
      </c>
      <c r="H729" s="1776" t="s">
        <v>1349</v>
      </c>
      <c r="J729" s="224"/>
      <c r="K729" s="34" t="s">
        <v>25</v>
      </c>
      <c r="L729" s="475"/>
      <c r="M729" s="224"/>
      <c r="N729" s="224"/>
      <c r="O729" s="902" t="s">
        <v>6395</v>
      </c>
    </row>
    <row r="730" spans="1:15" x14ac:dyDescent="0.3">
      <c r="A730" s="2402">
        <v>724</v>
      </c>
      <c r="B730" s="1122" t="s">
        <v>1818</v>
      </c>
      <c r="C730" s="1117" t="s">
        <v>1344</v>
      </c>
      <c r="D730" s="416" t="s">
        <v>954</v>
      </c>
      <c r="E730" s="217" t="s">
        <v>1881</v>
      </c>
      <c r="F730" s="218" t="s">
        <v>1820</v>
      </c>
      <c r="G730" s="116">
        <v>7276</v>
      </c>
      <c r="H730" s="1776" t="s">
        <v>1349</v>
      </c>
      <c r="J730" s="224"/>
      <c r="K730" s="34" t="s">
        <v>25</v>
      </c>
      <c r="L730" s="475"/>
      <c r="M730" s="224"/>
      <c r="N730" s="224"/>
      <c r="O730" s="902" t="s">
        <v>6395</v>
      </c>
    </row>
    <row r="731" spans="1:15" x14ac:dyDescent="0.3">
      <c r="A731" s="2402">
        <v>725</v>
      </c>
      <c r="B731" s="1122" t="s">
        <v>1818</v>
      </c>
      <c r="C731" s="1117" t="s">
        <v>1344</v>
      </c>
      <c r="D731" s="416" t="s">
        <v>954</v>
      </c>
      <c r="E731" s="217" t="s">
        <v>1882</v>
      </c>
      <c r="F731" s="218" t="s">
        <v>1820</v>
      </c>
      <c r="G731" s="116">
        <v>7276</v>
      </c>
      <c r="H731" s="1776" t="s">
        <v>1349</v>
      </c>
      <c r="J731" s="224"/>
      <c r="K731" s="34" t="s">
        <v>25</v>
      </c>
      <c r="L731" s="475"/>
      <c r="M731" s="224"/>
      <c r="N731" s="224"/>
      <c r="O731" s="902" t="s">
        <v>6395</v>
      </c>
    </row>
    <row r="732" spans="1:15" x14ac:dyDescent="0.3">
      <c r="A732" s="2401">
        <v>726</v>
      </c>
      <c r="B732" s="1122" t="s">
        <v>1818</v>
      </c>
      <c r="C732" s="1117" t="s">
        <v>1344</v>
      </c>
      <c r="D732" s="416" t="s">
        <v>954</v>
      </c>
      <c r="E732" s="217" t="s">
        <v>1883</v>
      </c>
      <c r="F732" s="218" t="s">
        <v>1820</v>
      </c>
      <c r="G732" s="116">
        <v>7276</v>
      </c>
      <c r="H732" s="1776" t="s">
        <v>1349</v>
      </c>
      <c r="J732" s="224"/>
      <c r="K732" s="34" t="s">
        <v>25</v>
      </c>
      <c r="L732" s="475"/>
      <c r="M732" s="224"/>
      <c r="N732" s="224"/>
      <c r="O732" s="902" t="s">
        <v>6395</v>
      </c>
    </row>
    <row r="733" spans="1:15" x14ac:dyDescent="0.3">
      <c r="A733" s="2402">
        <v>727</v>
      </c>
      <c r="B733" s="1122" t="s">
        <v>1818</v>
      </c>
      <c r="C733" s="1117" t="s">
        <v>1344</v>
      </c>
      <c r="D733" s="452" t="s">
        <v>954</v>
      </c>
      <c r="E733" s="217" t="s">
        <v>1884</v>
      </c>
      <c r="F733" s="218" t="s">
        <v>1820</v>
      </c>
      <c r="G733" s="116">
        <v>7276</v>
      </c>
      <c r="H733" s="1776" t="s">
        <v>1349</v>
      </c>
      <c r="J733" s="224"/>
      <c r="K733" s="34" t="s">
        <v>25</v>
      </c>
      <c r="L733" s="475"/>
      <c r="M733" s="224"/>
      <c r="N733" s="224"/>
      <c r="O733" s="902" t="s">
        <v>6395</v>
      </c>
    </row>
    <row r="734" spans="1:15" x14ac:dyDescent="0.3">
      <c r="A734" s="2402">
        <v>728</v>
      </c>
      <c r="B734" s="1122" t="s">
        <v>1818</v>
      </c>
      <c r="C734" s="1117" t="s">
        <v>1344</v>
      </c>
      <c r="D734" s="793" t="s">
        <v>954</v>
      </c>
      <c r="E734" s="217" t="s">
        <v>1885</v>
      </c>
      <c r="F734" s="218" t="s">
        <v>1820</v>
      </c>
      <c r="G734" s="116">
        <v>7276</v>
      </c>
      <c r="H734" s="1776" t="s">
        <v>1349</v>
      </c>
      <c r="J734" s="224"/>
      <c r="K734" s="34" t="s">
        <v>25</v>
      </c>
      <c r="L734" s="475"/>
      <c r="M734" s="224"/>
      <c r="N734" s="224"/>
      <c r="O734" s="902" t="s">
        <v>6395</v>
      </c>
    </row>
    <row r="735" spans="1:15" x14ac:dyDescent="0.3">
      <c r="A735" s="2401">
        <v>729</v>
      </c>
      <c r="B735" s="1122" t="s">
        <v>1818</v>
      </c>
      <c r="C735" s="1117" t="s">
        <v>1344</v>
      </c>
      <c r="D735" s="416" t="s">
        <v>954</v>
      </c>
      <c r="E735" s="217" t="s">
        <v>1886</v>
      </c>
      <c r="F735" s="218" t="s">
        <v>1820</v>
      </c>
      <c r="G735" s="116">
        <v>7276</v>
      </c>
      <c r="H735" s="1776" t="s">
        <v>1349</v>
      </c>
      <c r="J735" s="224"/>
      <c r="K735" s="34" t="s">
        <v>25</v>
      </c>
      <c r="L735" s="475"/>
      <c r="M735" s="224"/>
      <c r="N735" s="224"/>
      <c r="O735" s="902" t="s">
        <v>6395</v>
      </c>
    </row>
    <row r="736" spans="1:15" x14ac:dyDescent="0.3">
      <c r="A736" s="2402">
        <v>730</v>
      </c>
      <c r="B736" s="1122" t="s">
        <v>1818</v>
      </c>
      <c r="C736" s="1117" t="s">
        <v>1344</v>
      </c>
      <c r="D736" s="416" t="s">
        <v>954</v>
      </c>
      <c r="E736" s="217" t="s">
        <v>1887</v>
      </c>
      <c r="F736" s="218" t="s">
        <v>1820</v>
      </c>
      <c r="G736" s="116">
        <v>7276</v>
      </c>
      <c r="H736" s="1776" t="s">
        <v>1349</v>
      </c>
      <c r="J736" s="224"/>
      <c r="K736" s="34" t="s">
        <v>25</v>
      </c>
      <c r="L736" s="475"/>
      <c r="M736" s="224"/>
      <c r="N736" s="224"/>
      <c r="O736" s="902" t="s">
        <v>6395</v>
      </c>
    </row>
    <row r="737" spans="1:15" x14ac:dyDescent="0.3">
      <c r="A737" s="2402">
        <v>731</v>
      </c>
      <c r="B737" s="1122" t="s">
        <v>1818</v>
      </c>
      <c r="C737" s="1117" t="s">
        <v>1344</v>
      </c>
      <c r="D737" s="416" t="s">
        <v>954</v>
      </c>
      <c r="E737" s="217" t="s">
        <v>1888</v>
      </c>
      <c r="F737" s="218" t="s">
        <v>1820</v>
      </c>
      <c r="G737" s="116">
        <v>7276</v>
      </c>
      <c r="H737" s="1776" t="s">
        <v>1349</v>
      </c>
      <c r="J737" s="224"/>
      <c r="K737" s="34" t="s">
        <v>25</v>
      </c>
      <c r="L737" s="475"/>
      <c r="M737" s="224"/>
      <c r="N737" s="224"/>
      <c r="O737" s="902" t="s">
        <v>6395</v>
      </c>
    </row>
    <row r="738" spans="1:15" x14ac:dyDescent="0.3">
      <c r="A738" s="2401">
        <v>732</v>
      </c>
      <c r="B738" s="1122" t="s">
        <v>1818</v>
      </c>
      <c r="C738" s="1117" t="s">
        <v>1344</v>
      </c>
      <c r="D738" s="416" t="s">
        <v>954</v>
      </c>
      <c r="E738" s="217" t="s">
        <v>1889</v>
      </c>
      <c r="F738" s="218" t="s">
        <v>1820</v>
      </c>
      <c r="G738" s="116">
        <v>7276</v>
      </c>
      <c r="H738" s="1776" t="s">
        <v>1349</v>
      </c>
      <c r="J738" s="224"/>
      <c r="K738" s="34" t="s">
        <v>25</v>
      </c>
      <c r="L738" s="475"/>
      <c r="M738" s="224"/>
      <c r="N738" s="224"/>
      <c r="O738" s="902" t="s">
        <v>6395</v>
      </c>
    </row>
    <row r="739" spans="1:15" x14ac:dyDescent="0.3">
      <c r="A739" s="2402">
        <v>733</v>
      </c>
      <c r="B739" s="1122" t="s">
        <v>1818</v>
      </c>
      <c r="C739" s="1117" t="s">
        <v>1344</v>
      </c>
      <c r="D739" s="416" t="s">
        <v>954</v>
      </c>
      <c r="E739" s="217" t="s">
        <v>199</v>
      </c>
      <c r="F739" s="218" t="s">
        <v>1820</v>
      </c>
      <c r="G739" s="116">
        <v>7276</v>
      </c>
      <c r="H739" s="1776" t="s">
        <v>1349</v>
      </c>
      <c r="J739" s="224"/>
      <c r="K739" s="34" t="s">
        <v>25</v>
      </c>
      <c r="L739" s="475"/>
      <c r="M739" s="224"/>
      <c r="N739" s="224"/>
      <c r="O739" s="902" t="s">
        <v>6395</v>
      </c>
    </row>
    <row r="740" spans="1:15" x14ac:dyDescent="0.3">
      <c r="A740" s="2402">
        <v>734</v>
      </c>
      <c r="B740" s="1122" t="s">
        <v>1818</v>
      </c>
      <c r="C740" s="1117" t="s">
        <v>1344</v>
      </c>
      <c r="D740" s="416" t="s">
        <v>954</v>
      </c>
      <c r="E740" s="217" t="s">
        <v>201</v>
      </c>
      <c r="F740" s="218" t="s">
        <v>1820</v>
      </c>
      <c r="G740" s="116">
        <v>7276</v>
      </c>
      <c r="H740" s="1776" t="s">
        <v>1349</v>
      </c>
      <c r="J740" s="224"/>
      <c r="K740" s="34" t="s">
        <v>25</v>
      </c>
      <c r="L740" s="475"/>
      <c r="M740" s="224"/>
      <c r="N740" s="224"/>
      <c r="O740" s="902" t="s">
        <v>6395</v>
      </c>
    </row>
    <row r="741" spans="1:15" x14ac:dyDescent="0.3">
      <c r="A741" s="2401">
        <v>735</v>
      </c>
      <c r="B741" s="1122" t="s">
        <v>1818</v>
      </c>
      <c r="C741" s="1117" t="s">
        <v>1344</v>
      </c>
      <c r="D741" s="416" t="s">
        <v>954</v>
      </c>
      <c r="E741" s="217" t="s">
        <v>203</v>
      </c>
      <c r="F741" s="218" t="s">
        <v>1820</v>
      </c>
      <c r="G741" s="116">
        <v>7276</v>
      </c>
      <c r="H741" s="1776" t="s">
        <v>1349</v>
      </c>
      <c r="J741" s="224"/>
      <c r="K741" s="34" t="s">
        <v>25</v>
      </c>
      <c r="L741" s="475"/>
      <c r="M741" s="224"/>
      <c r="N741" s="224"/>
      <c r="O741" s="902" t="s">
        <v>6395</v>
      </c>
    </row>
    <row r="742" spans="1:15" x14ac:dyDescent="0.3">
      <c r="A742" s="2402">
        <v>736</v>
      </c>
      <c r="B742" s="1122" t="s">
        <v>1818</v>
      </c>
      <c r="C742" s="1117" t="s">
        <v>1344</v>
      </c>
      <c r="D742" s="416" t="s">
        <v>954</v>
      </c>
      <c r="E742" s="217" t="s">
        <v>204</v>
      </c>
      <c r="F742" s="218" t="s">
        <v>1820</v>
      </c>
      <c r="G742" s="116">
        <v>7276</v>
      </c>
      <c r="H742" s="1776" t="s">
        <v>1349</v>
      </c>
      <c r="J742" s="224"/>
      <c r="K742" s="34" t="s">
        <v>25</v>
      </c>
      <c r="L742" s="475"/>
      <c r="M742" s="224"/>
      <c r="N742" s="224"/>
      <c r="O742" s="902" t="s">
        <v>6395</v>
      </c>
    </row>
    <row r="743" spans="1:15" x14ac:dyDescent="0.3">
      <c r="A743" s="2402">
        <v>737</v>
      </c>
      <c r="B743" s="1122" t="s">
        <v>1818</v>
      </c>
      <c r="C743" s="1117" t="s">
        <v>1344</v>
      </c>
      <c r="D743" s="416" t="s">
        <v>954</v>
      </c>
      <c r="E743" s="217" t="s">
        <v>205</v>
      </c>
      <c r="F743" s="218" t="s">
        <v>1820</v>
      </c>
      <c r="G743" s="116">
        <v>7276</v>
      </c>
      <c r="H743" s="1776" t="s">
        <v>1349</v>
      </c>
      <c r="J743" s="224"/>
      <c r="K743" s="34" t="s">
        <v>25</v>
      </c>
      <c r="L743" s="475"/>
      <c r="M743" s="224"/>
      <c r="N743" s="224"/>
      <c r="O743" s="902" t="s">
        <v>6395</v>
      </c>
    </row>
    <row r="744" spans="1:15" x14ac:dyDescent="0.3">
      <c r="A744" s="2401">
        <v>738</v>
      </c>
      <c r="B744" s="1122" t="s">
        <v>1818</v>
      </c>
      <c r="C744" s="1117" t="s">
        <v>1344</v>
      </c>
      <c r="D744" s="416" t="s">
        <v>954</v>
      </c>
      <c r="E744" s="217" t="s">
        <v>206</v>
      </c>
      <c r="F744" s="218" t="s">
        <v>1820</v>
      </c>
      <c r="G744" s="116">
        <v>7276</v>
      </c>
      <c r="H744" s="1776" t="s">
        <v>1349</v>
      </c>
      <c r="J744" s="224"/>
      <c r="K744" s="34" t="s">
        <v>25</v>
      </c>
      <c r="L744" s="475"/>
      <c r="M744" s="224"/>
      <c r="N744" s="224"/>
      <c r="O744" s="902" t="s">
        <v>6395</v>
      </c>
    </row>
    <row r="745" spans="1:15" x14ac:dyDescent="0.3">
      <c r="A745" s="2402">
        <v>739</v>
      </c>
      <c r="B745" s="1122" t="s">
        <v>1818</v>
      </c>
      <c r="C745" s="1117" t="s">
        <v>1344</v>
      </c>
      <c r="D745" s="416" t="s">
        <v>954</v>
      </c>
      <c r="E745" s="217" t="s">
        <v>207</v>
      </c>
      <c r="F745" s="218" t="s">
        <v>1820</v>
      </c>
      <c r="G745" s="116">
        <v>7276</v>
      </c>
      <c r="H745" s="1776" t="s">
        <v>1349</v>
      </c>
      <c r="J745" s="224"/>
      <c r="K745" s="34" t="s">
        <v>25</v>
      </c>
      <c r="L745" s="475"/>
      <c r="M745" s="224"/>
      <c r="N745" s="224"/>
      <c r="O745" s="902" t="s">
        <v>6395</v>
      </c>
    </row>
    <row r="746" spans="1:15" x14ac:dyDescent="0.3">
      <c r="A746" s="2402">
        <v>740</v>
      </c>
      <c r="B746" s="1122" t="s">
        <v>1818</v>
      </c>
      <c r="C746" s="1117" t="s">
        <v>1344</v>
      </c>
      <c r="D746" s="416" t="s">
        <v>954</v>
      </c>
      <c r="E746" s="217" t="s">
        <v>208</v>
      </c>
      <c r="F746" s="218" t="s">
        <v>1820</v>
      </c>
      <c r="G746" s="116">
        <v>7276</v>
      </c>
      <c r="H746" s="1776" t="s">
        <v>1349</v>
      </c>
      <c r="J746" s="224"/>
      <c r="K746" s="34" t="s">
        <v>25</v>
      </c>
      <c r="L746" s="475"/>
      <c r="M746" s="224"/>
      <c r="N746" s="224"/>
      <c r="O746" s="902" t="s">
        <v>6395</v>
      </c>
    </row>
    <row r="747" spans="1:15" x14ac:dyDescent="0.3">
      <c r="A747" s="2401">
        <v>741</v>
      </c>
      <c r="B747" s="1122" t="s">
        <v>1818</v>
      </c>
      <c r="C747" s="1117" t="s">
        <v>1344</v>
      </c>
      <c r="D747" s="416" t="s">
        <v>954</v>
      </c>
      <c r="E747" s="217" t="s">
        <v>209</v>
      </c>
      <c r="F747" s="218" t="s">
        <v>1820</v>
      </c>
      <c r="G747" s="116">
        <v>7276</v>
      </c>
      <c r="H747" s="1776" t="s">
        <v>1349</v>
      </c>
      <c r="J747" s="224"/>
      <c r="K747" s="34" t="s">
        <v>25</v>
      </c>
      <c r="L747" s="475"/>
      <c r="M747" s="224"/>
      <c r="N747" s="224"/>
      <c r="O747" s="902" t="s">
        <v>6395</v>
      </c>
    </row>
    <row r="748" spans="1:15" x14ac:dyDescent="0.3">
      <c r="A748" s="2402">
        <v>742</v>
      </c>
      <c r="B748" s="1122" t="s">
        <v>1818</v>
      </c>
      <c r="C748" s="1117" t="s">
        <v>1344</v>
      </c>
      <c r="D748" s="416" t="s">
        <v>954</v>
      </c>
      <c r="E748" s="217" t="s">
        <v>1890</v>
      </c>
      <c r="F748" s="218" t="s">
        <v>1820</v>
      </c>
      <c r="G748" s="116">
        <v>7276</v>
      </c>
      <c r="H748" s="1776" t="s">
        <v>1349</v>
      </c>
      <c r="J748" s="224"/>
      <c r="K748" s="34" t="s">
        <v>25</v>
      </c>
      <c r="L748" s="475"/>
      <c r="M748" s="224"/>
      <c r="N748" s="224"/>
      <c r="O748" s="902" t="s">
        <v>6395</v>
      </c>
    </row>
    <row r="749" spans="1:15" x14ac:dyDescent="0.3">
      <c r="A749" s="2402">
        <v>743</v>
      </c>
      <c r="B749" s="1122" t="s">
        <v>1818</v>
      </c>
      <c r="C749" s="216" t="s">
        <v>1344</v>
      </c>
      <c r="D749" s="452" t="s">
        <v>954</v>
      </c>
      <c r="E749" s="217" t="s">
        <v>211</v>
      </c>
      <c r="F749" s="218" t="s">
        <v>1820</v>
      </c>
      <c r="G749" s="116">
        <v>7276</v>
      </c>
      <c r="H749" s="1776" t="s">
        <v>1349</v>
      </c>
      <c r="J749" s="224"/>
      <c r="K749" s="34" t="s">
        <v>25</v>
      </c>
      <c r="L749" s="475"/>
      <c r="M749" s="224"/>
      <c r="N749" s="224"/>
      <c r="O749" s="902" t="s">
        <v>6395</v>
      </c>
    </row>
    <row r="750" spans="1:15" x14ac:dyDescent="0.3">
      <c r="A750" s="2401">
        <v>744</v>
      </c>
      <c r="B750" s="1122" t="s">
        <v>1818</v>
      </c>
      <c r="C750" s="216" t="s">
        <v>1344</v>
      </c>
      <c r="D750" s="793" t="s">
        <v>954</v>
      </c>
      <c r="E750" s="217" t="s">
        <v>212</v>
      </c>
      <c r="F750" s="218" t="s">
        <v>1820</v>
      </c>
      <c r="G750" s="116">
        <v>7276</v>
      </c>
      <c r="H750" s="1776" t="s">
        <v>1349</v>
      </c>
      <c r="J750" s="224"/>
      <c r="K750" s="34" t="s">
        <v>25</v>
      </c>
      <c r="L750" s="475"/>
      <c r="M750" s="224"/>
      <c r="N750" s="224"/>
      <c r="O750" s="902" t="s">
        <v>6395</v>
      </c>
    </row>
    <row r="751" spans="1:15" x14ac:dyDescent="0.3">
      <c r="A751" s="2402">
        <v>745</v>
      </c>
      <c r="B751" s="1122" t="s">
        <v>1818</v>
      </c>
      <c r="C751" s="216" t="s">
        <v>1344</v>
      </c>
      <c r="D751" s="416" t="s">
        <v>954</v>
      </c>
      <c r="E751" s="217" t="s">
        <v>213</v>
      </c>
      <c r="F751" s="218" t="s">
        <v>1820</v>
      </c>
      <c r="G751" s="116">
        <v>7276</v>
      </c>
      <c r="H751" s="1776" t="s">
        <v>1349</v>
      </c>
      <c r="J751" s="224"/>
      <c r="K751" s="34" t="s">
        <v>25</v>
      </c>
      <c r="L751" s="475"/>
      <c r="M751" s="224"/>
      <c r="N751" s="224"/>
      <c r="O751" s="902" t="s">
        <v>6395</v>
      </c>
    </row>
    <row r="752" spans="1:15" x14ac:dyDescent="0.3">
      <c r="A752" s="2402">
        <v>746</v>
      </c>
      <c r="B752" s="1122" t="s">
        <v>1818</v>
      </c>
      <c r="C752" s="216" t="s">
        <v>1344</v>
      </c>
      <c r="D752" s="416" t="s">
        <v>954</v>
      </c>
      <c r="E752" s="217" t="s">
        <v>1891</v>
      </c>
      <c r="F752" s="218" t="s">
        <v>1820</v>
      </c>
      <c r="G752" s="116">
        <v>7276</v>
      </c>
      <c r="H752" s="1776" t="s">
        <v>1349</v>
      </c>
      <c r="J752" s="224"/>
      <c r="K752" s="34" t="s">
        <v>25</v>
      </c>
      <c r="L752" s="475"/>
      <c r="M752" s="224"/>
      <c r="N752" s="224"/>
      <c r="O752" s="902" t="s">
        <v>6395</v>
      </c>
    </row>
    <row r="753" spans="1:15" x14ac:dyDescent="0.3">
      <c r="A753" s="2401">
        <v>747</v>
      </c>
      <c r="B753" s="1122" t="s">
        <v>1818</v>
      </c>
      <c r="C753" s="216" t="s">
        <v>1344</v>
      </c>
      <c r="D753" s="416" t="s">
        <v>954</v>
      </c>
      <c r="E753" s="217" t="s">
        <v>214</v>
      </c>
      <c r="F753" s="218" t="s">
        <v>1820</v>
      </c>
      <c r="G753" s="116">
        <v>7276</v>
      </c>
      <c r="H753" s="1776" t="s">
        <v>1349</v>
      </c>
      <c r="J753" s="224"/>
      <c r="K753" s="34" t="s">
        <v>25</v>
      </c>
      <c r="L753" s="475"/>
      <c r="M753" s="224"/>
      <c r="N753" s="224"/>
      <c r="O753" s="902" t="s">
        <v>6395</v>
      </c>
    </row>
    <row r="754" spans="1:15" x14ac:dyDescent="0.3">
      <c r="A754" s="2402">
        <v>748</v>
      </c>
      <c r="B754" s="1122" t="s">
        <v>1818</v>
      </c>
      <c r="C754" s="216" t="s">
        <v>1344</v>
      </c>
      <c r="D754" s="416" t="s">
        <v>954</v>
      </c>
      <c r="E754" s="217" t="s">
        <v>1892</v>
      </c>
      <c r="F754" s="218" t="s">
        <v>1820</v>
      </c>
      <c r="G754" s="116">
        <v>7276</v>
      </c>
      <c r="H754" s="1776" t="s">
        <v>1349</v>
      </c>
      <c r="J754" s="224"/>
      <c r="K754" s="34" t="s">
        <v>25</v>
      </c>
      <c r="L754" s="475"/>
      <c r="M754" s="224"/>
      <c r="N754" s="224"/>
      <c r="O754" s="902" t="s">
        <v>6395</v>
      </c>
    </row>
    <row r="755" spans="1:15" x14ac:dyDescent="0.3">
      <c r="A755" s="2402">
        <v>749</v>
      </c>
      <c r="B755" s="1122" t="s">
        <v>1818</v>
      </c>
      <c r="C755" s="216" t="s">
        <v>1344</v>
      </c>
      <c r="D755" s="416" t="s">
        <v>954</v>
      </c>
      <c r="E755" s="217" t="s">
        <v>216</v>
      </c>
      <c r="F755" s="218" t="s">
        <v>1820</v>
      </c>
      <c r="G755" s="116">
        <v>7276</v>
      </c>
      <c r="H755" s="1776" t="s">
        <v>1349</v>
      </c>
      <c r="J755" s="224"/>
      <c r="K755" s="34" t="s">
        <v>25</v>
      </c>
      <c r="L755" s="475"/>
      <c r="M755" s="224"/>
      <c r="N755" s="224"/>
      <c r="O755" s="902" t="s">
        <v>6395</v>
      </c>
    </row>
    <row r="756" spans="1:15" x14ac:dyDescent="0.3">
      <c r="A756" s="2401">
        <v>750</v>
      </c>
      <c r="B756" s="1122" t="s">
        <v>1818</v>
      </c>
      <c r="C756" s="216" t="s">
        <v>1344</v>
      </c>
      <c r="D756" s="416" t="s">
        <v>954</v>
      </c>
      <c r="E756" s="217" t="s">
        <v>217</v>
      </c>
      <c r="F756" s="218" t="s">
        <v>1820</v>
      </c>
      <c r="G756" s="116">
        <v>7276</v>
      </c>
      <c r="H756" s="1776" t="s">
        <v>1349</v>
      </c>
      <c r="J756" s="224"/>
      <c r="K756" s="34" t="s">
        <v>25</v>
      </c>
      <c r="L756" s="475"/>
      <c r="M756" s="224"/>
      <c r="N756" s="224"/>
      <c r="O756" s="902" t="s">
        <v>6395</v>
      </c>
    </row>
    <row r="757" spans="1:15" x14ac:dyDescent="0.3">
      <c r="A757" s="2402">
        <v>751</v>
      </c>
      <c r="B757" s="1122" t="s">
        <v>1818</v>
      </c>
      <c r="C757" s="216" t="s">
        <v>1344</v>
      </c>
      <c r="D757" s="416" t="s">
        <v>954</v>
      </c>
      <c r="E757" s="217" t="s">
        <v>218</v>
      </c>
      <c r="F757" s="218" t="s">
        <v>1820</v>
      </c>
      <c r="G757" s="116">
        <v>7276</v>
      </c>
      <c r="H757" s="1776" t="s">
        <v>1349</v>
      </c>
      <c r="J757" s="224"/>
      <c r="K757" s="34" t="s">
        <v>25</v>
      </c>
      <c r="L757" s="475"/>
      <c r="M757" s="224"/>
      <c r="N757" s="224"/>
      <c r="O757" s="902" t="s">
        <v>6395</v>
      </c>
    </row>
    <row r="758" spans="1:15" x14ac:dyDescent="0.3">
      <c r="A758" s="2402">
        <v>752</v>
      </c>
      <c r="B758" s="1122" t="s">
        <v>1818</v>
      </c>
      <c r="C758" s="216" t="s">
        <v>1344</v>
      </c>
      <c r="D758" s="416" t="s">
        <v>954</v>
      </c>
      <c r="E758" s="217" t="s">
        <v>219</v>
      </c>
      <c r="F758" s="218" t="s">
        <v>1820</v>
      </c>
      <c r="G758" s="116">
        <v>7276</v>
      </c>
      <c r="H758" s="1776" t="s">
        <v>1349</v>
      </c>
      <c r="J758" s="224"/>
      <c r="K758" s="34" t="s">
        <v>25</v>
      </c>
      <c r="L758" s="475"/>
      <c r="M758" s="224"/>
      <c r="N758" s="224"/>
      <c r="O758" s="902" t="s">
        <v>6395</v>
      </c>
    </row>
    <row r="759" spans="1:15" x14ac:dyDescent="0.3">
      <c r="A759" s="2401">
        <v>753</v>
      </c>
      <c r="B759" s="1122" t="s">
        <v>1818</v>
      </c>
      <c r="C759" s="216" t="s">
        <v>1344</v>
      </c>
      <c r="D759" s="416" t="s">
        <v>954</v>
      </c>
      <c r="E759" s="217" t="s">
        <v>220</v>
      </c>
      <c r="F759" s="218" t="s">
        <v>1820</v>
      </c>
      <c r="G759" s="116">
        <v>7276</v>
      </c>
      <c r="H759" s="1776" t="s">
        <v>1349</v>
      </c>
      <c r="J759" s="224"/>
      <c r="K759" s="34" t="s">
        <v>25</v>
      </c>
      <c r="L759" s="475"/>
      <c r="M759" s="224"/>
      <c r="N759" s="224"/>
      <c r="O759" s="902" t="s">
        <v>6395</v>
      </c>
    </row>
    <row r="760" spans="1:15" x14ac:dyDescent="0.3">
      <c r="A760" s="2402">
        <v>754</v>
      </c>
      <c r="B760" s="1122" t="s">
        <v>1818</v>
      </c>
      <c r="C760" s="216" t="s">
        <v>1344</v>
      </c>
      <c r="D760" s="416" t="s">
        <v>954</v>
      </c>
      <c r="E760" s="217" t="s">
        <v>221</v>
      </c>
      <c r="F760" s="218" t="s">
        <v>1820</v>
      </c>
      <c r="G760" s="116">
        <v>7276</v>
      </c>
      <c r="H760" s="1776" t="s">
        <v>1349</v>
      </c>
      <c r="J760" s="224"/>
      <c r="K760" s="34" t="s">
        <v>25</v>
      </c>
      <c r="L760" s="475"/>
      <c r="M760" s="224"/>
      <c r="N760" s="224"/>
      <c r="O760" s="902" t="s">
        <v>6395</v>
      </c>
    </row>
    <row r="761" spans="1:15" x14ac:dyDescent="0.3">
      <c r="A761" s="2402">
        <v>755</v>
      </c>
      <c r="B761" s="1122" t="s">
        <v>1818</v>
      </c>
      <c r="C761" s="216" t="s">
        <v>1344</v>
      </c>
      <c r="D761" s="416" t="s">
        <v>954</v>
      </c>
      <c r="E761" s="217" t="s">
        <v>222</v>
      </c>
      <c r="F761" s="218" t="s">
        <v>1820</v>
      </c>
      <c r="G761" s="116">
        <v>7276</v>
      </c>
      <c r="H761" s="1776" t="s">
        <v>1349</v>
      </c>
      <c r="J761" s="224"/>
      <c r="K761" s="34" t="s">
        <v>25</v>
      </c>
      <c r="L761" s="475"/>
      <c r="M761" s="224"/>
      <c r="N761" s="224"/>
      <c r="O761" s="902" t="s">
        <v>6395</v>
      </c>
    </row>
    <row r="762" spans="1:15" x14ac:dyDescent="0.3">
      <c r="A762" s="2401">
        <v>756</v>
      </c>
      <c r="B762" s="1122" t="s">
        <v>1818</v>
      </c>
      <c r="C762" s="216" t="s">
        <v>1344</v>
      </c>
      <c r="D762" s="416" t="s">
        <v>954</v>
      </c>
      <c r="E762" s="217" t="s">
        <v>223</v>
      </c>
      <c r="F762" s="218" t="s">
        <v>1820</v>
      </c>
      <c r="G762" s="116">
        <v>7276</v>
      </c>
      <c r="H762" s="1776" t="s">
        <v>1349</v>
      </c>
      <c r="J762" s="224"/>
      <c r="K762" s="34" t="s">
        <v>25</v>
      </c>
      <c r="L762" s="475"/>
      <c r="M762" s="224"/>
      <c r="N762" s="224"/>
      <c r="O762" s="902" t="s">
        <v>6395</v>
      </c>
    </row>
    <row r="763" spans="1:15" x14ac:dyDescent="0.3">
      <c r="A763" s="2402">
        <v>757</v>
      </c>
      <c r="B763" s="1122" t="s">
        <v>1818</v>
      </c>
      <c r="C763" s="216" t="s">
        <v>1344</v>
      </c>
      <c r="D763" s="416" t="s">
        <v>954</v>
      </c>
      <c r="E763" s="217" t="s">
        <v>224</v>
      </c>
      <c r="F763" s="218" t="s">
        <v>1820</v>
      </c>
      <c r="G763" s="116">
        <v>7276</v>
      </c>
      <c r="H763" s="1776" t="s">
        <v>1349</v>
      </c>
      <c r="J763" s="224"/>
      <c r="K763" s="34" t="s">
        <v>25</v>
      </c>
      <c r="L763" s="475"/>
      <c r="M763" s="224"/>
      <c r="N763" s="224"/>
      <c r="O763" s="902" t="s">
        <v>6395</v>
      </c>
    </row>
    <row r="764" spans="1:15" x14ac:dyDescent="0.3">
      <c r="A764" s="2402">
        <v>758</v>
      </c>
      <c r="B764" s="1122" t="s">
        <v>1818</v>
      </c>
      <c r="C764" s="216" t="s">
        <v>1344</v>
      </c>
      <c r="D764" s="416" t="s">
        <v>954</v>
      </c>
      <c r="E764" s="217" t="s">
        <v>225</v>
      </c>
      <c r="F764" s="218" t="s">
        <v>1820</v>
      </c>
      <c r="G764" s="116">
        <v>7276</v>
      </c>
      <c r="H764" s="1776" t="s">
        <v>1349</v>
      </c>
      <c r="J764" s="224"/>
      <c r="K764" s="34" t="s">
        <v>25</v>
      </c>
      <c r="L764" s="475"/>
      <c r="M764" s="224"/>
      <c r="N764" s="224"/>
      <c r="O764" s="902" t="s">
        <v>6395</v>
      </c>
    </row>
    <row r="765" spans="1:15" x14ac:dyDescent="0.3">
      <c r="A765" s="2401">
        <v>759</v>
      </c>
      <c r="B765" s="1122" t="s">
        <v>1818</v>
      </c>
      <c r="C765" s="216" t="s">
        <v>1344</v>
      </c>
      <c r="D765" s="416" t="s">
        <v>954</v>
      </c>
      <c r="E765" s="217" t="s">
        <v>226</v>
      </c>
      <c r="F765" s="218" t="s">
        <v>1820</v>
      </c>
      <c r="G765" s="116">
        <v>7276</v>
      </c>
      <c r="H765" s="1776" t="s">
        <v>1349</v>
      </c>
      <c r="J765" s="224"/>
      <c r="K765" s="34" t="s">
        <v>25</v>
      </c>
      <c r="L765" s="475"/>
      <c r="M765" s="224"/>
      <c r="N765" s="224"/>
      <c r="O765" s="902" t="s">
        <v>6395</v>
      </c>
    </row>
    <row r="766" spans="1:15" x14ac:dyDescent="0.3">
      <c r="A766" s="2402">
        <v>760</v>
      </c>
      <c r="B766" s="1122" t="s">
        <v>1818</v>
      </c>
      <c r="C766" s="216" t="s">
        <v>1344</v>
      </c>
      <c r="D766" s="416" t="s">
        <v>954</v>
      </c>
      <c r="E766" s="217" t="s">
        <v>227</v>
      </c>
      <c r="F766" s="218" t="s">
        <v>1820</v>
      </c>
      <c r="G766" s="116">
        <v>7276</v>
      </c>
      <c r="H766" s="1776" t="s">
        <v>1349</v>
      </c>
      <c r="J766" s="224"/>
      <c r="K766" s="34" t="s">
        <v>25</v>
      </c>
      <c r="L766" s="475"/>
      <c r="M766" s="224"/>
      <c r="N766" s="224"/>
      <c r="O766" s="902" t="s">
        <v>6395</v>
      </c>
    </row>
    <row r="767" spans="1:15" x14ac:dyDescent="0.3">
      <c r="A767" s="2402">
        <v>761</v>
      </c>
      <c r="B767" s="1122" t="s">
        <v>1818</v>
      </c>
      <c r="C767" s="216" t="s">
        <v>1344</v>
      </c>
      <c r="D767" s="416" t="s">
        <v>954</v>
      </c>
      <c r="E767" s="217" t="s">
        <v>228</v>
      </c>
      <c r="F767" s="218" t="s">
        <v>1820</v>
      </c>
      <c r="G767" s="116">
        <v>7276</v>
      </c>
      <c r="H767" s="1776" t="s">
        <v>1349</v>
      </c>
      <c r="J767" s="224"/>
      <c r="K767" s="34" t="s">
        <v>25</v>
      </c>
      <c r="L767" s="475"/>
      <c r="M767" s="224"/>
      <c r="N767" s="224"/>
      <c r="O767" s="902" t="s">
        <v>6395</v>
      </c>
    </row>
    <row r="768" spans="1:15" x14ac:dyDescent="0.3">
      <c r="A768" s="2401">
        <v>762</v>
      </c>
      <c r="B768" s="1122" t="s">
        <v>1818</v>
      </c>
      <c r="C768" s="216" t="s">
        <v>1344</v>
      </c>
      <c r="D768" s="452" t="s">
        <v>954</v>
      </c>
      <c r="E768" s="217" t="s">
        <v>229</v>
      </c>
      <c r="F768" s="218" t="s">
        <v>1820</v>
      </c>
      <c r="G768" s="116">
        <v>7276</v>
      </c>
      <c r="H768" s="1776" t="s">
        <v>1349</v>
      </c>
      <c r="J768" s="224"/>
      <c r="K768" s="34" t="s">
        <v>25</v>
      </c>
      <c r="L768" s="475"/>
      <c r="M768" s="224"/>
      <c r="N768" s="224"/>
      <c r="O768" s="902" t="s">
        <v>6395</v>
      </c>
    </row>
    <row r="769" spans="1:15" x14ac:dyDescent="0.3">
      <c r="A769" s="2402">
        <v>763</v>
      </c>
      <c r="B769" s="1122" t="s">
        <v>1818</v>
      </c>
      <c r="C769" s="216" t="s">
        <v>1344</v>
      </c>
      <c r="D769" s="793" t="s">
        <v>954</v>
      </c>
      <c r="E769" s="217" t="s">
        <v>230</v>
      </c>
      <c r="F769" s="218" t="s">
        <v>1820</v>
      </c>
      <c r="G769" s="116">
        <v>7276</v>
      </c>
      <c r="H769" s="1776" t="s">
        <v>1349</v>
      </c>
      <c r="J769" s="224"/>
      <c r="K769" s="34" t="s">
        <v>25</v>
      </c>
      <c r="L769" s="475"/>
      <c r="M769" s="224"/>
      <c r="N769" s="224"/>
      <c r="O769" s="902" t="s">
        <v>6395</v>
      </c>
    </row>
    <row r="770" spans="1:15" x14ac:dyDescent="0.3">
      <c r="A770" s="2402">
        <v>764</v>
      </c>
      <c r="B770" s="1122" t="s">
        <v>1818</v>
      </c>
      <c r="C770" s="216" t="s">
        <v>1344</v>
      </c>
      <c r="D770" s="416" t="s">
        <v>954</v>
      </c>
      <c r="E770" s="217" t="s">
        <v>231</v>
      </c>
      <c r="F770" s="218" t="s">
        <v>1820</v>
      </c>
      <c r="G770" s="116">
        <v>7276</v>
      </c>
      <c r="H770" s="1776" t="s">
        <v>1349</v>
      </c>
      <c r="J770" s="224"/>
      <c r="K770" s="34" t="s">
        <v>25</v>
      </c>
      <c r="L770" s="475"/>
      <c r="M770" s="224"/>
      <c r="N770" s="224"/>
      <c r="O770" s="902" t="s">
        <v>6395</v>
      </c>
    </row>
    <row r="771" spans="1:15" x14ac:dyDescent="0.3">
      <c r="A771" s="2401">
        <v>765</v>
      </c>
      <c r="B771" s="1122" t="s">
        <v>1818</v>
      </c>
      <c r="C771" s="216" t="s">
        <v>1344</v>
      </c>
      <c r="D771" s="416" t="s">
        <v>954</v>
      </c>
      <c r="E771" s="217" t="s">
        <v>232</v>
      </c>
      <c r="F771" s="218" t="s">
        <v>1820</v>
      </c>
      <c r="G771" s="116">
        <v>7276</v>
      </c>
      <c r="H771" s="1776" t="s">
        <v>1349</v>
      </c>
      <c r="J771" s="224"/>
      <c r="K771" s="34" t="s">
        <v>25</v>
      </c>
      <c r="L771" s="475"/>
      <c r="M771" s="224"/>
      <c r="N771" s="224"/>
      <c r="O771" s="902" t="s">
        <v>6395</v>
      </c>
    </row>
    <row r="772" spans="1:15" x14ac:dyDescent="0.3">
      <c r="A772" s="2402">
        <v>766</v>
      </c>
      <c r="B772" s="1122" t="s">
        <v>1818</v>
      </c>
      <c r="C772" s="216" t="s">
        <v>1344</v>
      </c>
      <c r="D772" s="416" t="s">
        <v>954</v>
      </c>
      <c r="E772" s="217" t="s">
        <v>233</v>
      </c>
      <c r="F772" s="218" t="s">
        <v>1820</v>
      </c>
      <c r="G772" s="116">
        <v>7276</v>
      </c>
      <c r="H772" s="1776" t="s">
        <v>1349</v>
      </c>
      <c r="J772" s="224"/>
      <c r="K772" s="34" t="s">
        <v>25</v>
      </c>
      <c r="L772" s="475"/>
      <c r="M772" s="224"/>
      <c r="N772" s="224"/>
      <c r="O772" s="902" t="s">
        <v>6395</v>
      </c>
    </row>
    <row r="773" spans="1:15" x14ac:dyDescent="0.3">
      <c r="A773" s="2402">
        <v>767</v>
      </c>
      <c r="B773" s="1122" t="s">
        <v>1818</v>
      </c>
      <c r="C773" s="216" t="s">
        <v>1344</v>
      </c>
      <c r="D773" s="416" t="s">
        <v>954</v>
      </c>
      <c r="E773" s="217" t="s">
        <v>234</v>
      </c>
      <c r="F773" s="218" t="s">
        <v>1820</v>
      </c>
      <c r="G773" s="116">
        <v>7276</v>
      </c>
      <c r="H773" s="1776" t="s">
        <v>1349</v>
      </c>
      <c r="J773" s="224"/>
      <c r="K773" s="34" t="s">
        <v>25</v>
      </c>
      <c r="L773" s="475"/>
      <c r="M773" s="224"/>
      <c r="N773" s="224"/>
      <c r="O773" s="902" t="s">
        <v>6395</v>
      </c>
    </row>
    <row r="774" spans="1:15" x14ac:dyDescent="0.3">
      <c r="A774" s="2401">
        <v>768</v>
      </c>
      <c r="B774" s="1122" t="s">
        <v>1818</v>
      </c>
      <c r="C774" s="216" t="s">
        <v>1344</v>
      </c>
      <c r="D774" s="416" t="s">
        <v>954</v>
      </c>
      <c r="E774" s="217" t="s">
        <v>1893</v>
      </c>
      <c r="F774" s="218" t="s">
        <v>1820</v>
      </c>
      <c r="G774" s="116">
        <v>7276</v>
      </c>
      <c r="H774" s="1776" t="s">
        <v>1349</v>
      </c>
      <c r="J774" s="224"/>
      <c r="K774" s="34" t="s">
        <v>25</v>
      </c>
      <c r="L774" s="475"/>
      <c r="M774" s="224"/>
      <c r="N774" s="224"/>
      <c r="O774" s="902" t="s">
        <v>6395</v>
      </c>
    </row>
    <row r="775" spans="1:15" x14ac:dyDescent="0.3">
      <c r="A775" s="2402">
        <v>769</v>
      </c>
      <c r="B775" s="1122" t="s">
        <v>1818</v>
      </c>
      <c r="C775" s="216" t="s">
        <v>1344</v>
      </c>
      <c r="D775" s="416" t="s">
        <v>954</v>
      </c>
      <c r="E775" s="217" t="s">
        <v>1894</v>
      </c>
      <c r="F775" s="218" t="s">
        <v>1820</v>
      </c>
      <c r="G775" s="116">
        <v>7276</v>
      </c>
      <c r="H775" s="1776" t="s">
        <v>1349</v>
      </c>
      <c r="J775" s="224"/>
      <c r="K775" s="34" t="s">
        <v>25</v>
      </c>
      <c r="L775" s="475"/>
      <c r="M775" s="224"/>
      <c r="N775" s="224"/>
      <c r="O775" s="902" t="s">
        <v>6395</v>
      </c>
    </row>
    <row r="776" spans="1:15" x14ac:dyDescent="0.3">
      <c r="A776" s="2402">
        <v>770</v>
      </c>
      <c r="B776" s="1122" t="s">
        <v>1818</v>
      </c>
      <c r="C776" s="216" t="s">
        <v>1344</v>
      </c>
      <c r="D776" s="416" t="s">
        <v>954</v>
      </c>
      <c r="E776" s="217" t="s">
        <v>235</v>
      </c>
      <c r="F776" s="218" t="s">
        <v>1820</v>
      </c>
      <c r="G776" s="116">
        <v>7276</v>
      </c>
      <c r="H776" s="1776" t="s">
        <v>1349</v>
      </c>
      <c r="J776" s="224"/>
      <c r="K776" s="34" t="s">
        <v>25</v>
      </c>
      <c r="L776" s="475"/>
      <c r="M776" s="224"/>
      <c r="N776" s="224"/>
      <c r="O776" s="902" t="s">
        <v>6395</v>
      </c>
    </row>
    <row r="777" spans="1:15" x14ac:dyDescent="0.3">
      <c r="A777" s="2401">
        <v>771</v>
      </c>
      <c r="B777" s="1122" t="s">
        <v>1818</v>
      </c>
      <c r="C777" s="216" t="s">
        <v>1344</v>
      </c>
      <c r="D777" s="416" t="s">
        <v>954</v>
      </c>
      <c r="E777" s="217" t="s">
        <v>1895</v>
      </c>
      <c r="F777" s="218" t="s">
        <v>1820</v>
      </c>
      <c r="G777" s="116">
        <v>7276</v>
      </c>
      <c r="H777" s="1776" t="s">
        <v>1349</v>
      </c>
      <c r="J777" s="224"/>
      <c r="K777" s="34" t="s">
        <v>25</v>
      </c>
      <c r="L777" s="475"/>
      <c r="M777" s="224"/>
      <c r="N777" s="224"/>
      <c r="O777" s="902" t="s">
        <v>6395</v>
      </c>
    </row>
    <row r="778" spans="1:15" x14ac:dyDescent="0.3">
      <c r="A778" s="2402">
        <v>772</v>
      </c>
      <c r="B778" s="1122" t="s">
        <v>1818</v>
      </c>
      <c r="C778" s="216" t="s">
        <v>1344</v>
      </c>
      <c r="D778" s="416" t="s">
        <v>954</v>
      </c>
      <c r="E778" s="217" t="s">
        <v>237</v>
      </c>
      <c r="F778" s="218" t="s">
        <v>1820</v>
      </c>
      <c r="G778" s="116">
        <v>7276</v>
      </c>
      <c r="H778" s="1776" t="s">
        <v>1349</v>
      </c>
      <c r="J778" s="224"/>
      <c r="K778" s="34" t="s">
        <v>25</v>
      </c>
      <c r="L778" s="475"/>
      <c r="M778" s="224"/>
      <c r="N778" s="224"/>
      <c r="O778" s="902" t="s">
        <v>6395</v>
      </c>
    </row>
    <row r="779" spans="1:15" x14ac:dyDescent="0.3">
      <c r="A779" s="2402">
        <v>773</v>
      </c>
      <c r="B779" s="1122" t="s">
        <v>1818</v>
      </c>
      <c r="C779" s="216" t="s">
        <v>1344</v>
      </c>
      <c r="D779" s="416" t="s">
        <v>954</v>
      </c>
      <c r="E779" s="217" t="s">
        <v>1896</v>
      </c>
      <c r="F779" s="218" t="s">
        <v>1820</v>
      </c>
      <c r="G779" s="116">
        <v>7276</v>
      </c>
      <c r="H779" s="1776" t="s">
        <v>1349</v>
      </c>
      <c r="J779" s="224"/>
      <c r="K779" s="34" t="s">
        <v>25</v>
      </c>
      <c r="L779" s="475"/>
      <c r="M779" s="224"/>
      <c r="N779" s="224"/>
      <c r="O779" s="902" t="s">
        <v>6395</v>
      </c>
    </row>
    <row r="780" spans="1:15" x14ac:dyDescent="0.3">
      <c r="A780" s="2401">
        <v>774</v>
      </c>
      <c r="B780" s="1122" t="s">
        <v>1818</v>
      </c>
      <c r="C780" s="216" t="s">
        <v>1344</v>
      </c>
      <c r="D780" s="416" t="s">
        <v>954</v>
      </c>
      <c r="E780" s="217" t="s">
        <v>240</v>
      </c>
      <c r="F780" s="218" t="s">
        <v>1820</v>
      </c>
      <c r="G780" s="116">
        <v>7276</v>
      </c>
      <c r="H780" s="1776" t="s">
        <v>1349</v>
      </c>
      <c r="J780" s="224"/>
      <c r="K780" s="34" t="s">
        <v>25</v>
      </c>
      <c r="L780" s="475"/>
      <c r="M780" s="224"/>
      <c r="N780" s="224"/>
      <c r="O780" s="902" t="s">
        <v>6395</v>
      </c>
    </row>
    <row r="781" spans="1:15" x14ac:dyDescent="0.3">
      <c r="A781" s="2402">
        <v>775</v>
      </c>
      <c r="B781" s="1122" t="s">
        <v>1818</v>
      </c>
      <c r="C781" s="216" t="s">
        <v>1344</v>
      </c>
      <c r="D781" s="416" t="s">
        <v>954</v>
      </c>
      <c r="E781" s="217" t="s">
        <v>243</v>
      </c>
      <c r="F781" s="218" t="s">
        <v>1820</v>
      </c>
      <c r="G781" s="116">
        <v>7276</v>
      </c>
      <c r="H781" s="1776" t="s">
        <v>1349</v>
      </c>
      <c r="J781" s="224"/>
      <c r="K781" s="34" t="s">
        <v>25</v>
      </c>
      <c r="L781" s="475"/>
      <c r="M781" s="224"/>
      <c r="N781" s="224"/>
      <c r="O781" s="902" t="s">
        <v>6395</v>
      </c>
    </row>
    <row r="782" spans="1:15" x14ac:dyDescent="0.3">
      <c r="A782" s="2402">
        <v>776</v>
      </c>
      <c r="B782" s="1122" t="s">
        <v>1818</v>
      </c>
      <c r="C782" s="216" t="s">
        <v>1344</v>
      </c>
      <c r="D782" s="416" t="s">
        <v>954</v>
      </c>
      <c r="E782" s="217" t="s">
        <v>244</v>
      </c>
      <c r="F782" s="218" t="s">
        <v>1820</v>
      </c>
      <c r="G782" s="116">
        <v>7276</v>
      </c>
      <c r="H782" s="1776" t="s">
        <v>1349</v>
      </c>
      <c r="J782" s="224"/>
      <c r="K782" s="34" t="s">
        <v>25</v>
      </c>
      <c r="L782" s="475"/>
      <c r="M782" s="224"/>
      <c r="N782" s="224"/>
      <c r="O782" s="902" t="s">
        <v>6395</v>
      </c>
    </row>
    <row r="783" spans="1:15" x14ac:dyDescent="0.3">
      <c r="A783" s="2401">
        <v>777</v>
      </c>
      <c r="B783" s="1122" t="s">
        <v>1818</v>
      </c>
      <c r="C783" s="216" t="s">
        <v>1344</v>
      </c>
      <c r="D783" s="452" t="s">
        <v>954</v>
      </c>
      <c r="E783" s="217" t="s">
        <v>245</v>
      </c>
      <c r="F783" s="218" t="s">
        <v>1820</v>
      </c>
      <c r="G783" s="116">
        <v>7276</v>
      </c>
      <c r="H783" s="1776" t="s">
        <v>1349</v>
      </c>
      <c r="J783" s="224"/>
      <c r="K783" s="34" t="s">
        <v>25</v>
      </c>
      <c r="L783" s="475"/>
      <c r="M783" s="224"/>
      <c r="N783" s="224"/>
      <c r="O783" s="902" t="s">
        <v>6395</v>
      </c>
    </row>
    <row r="784" spans="1:15" x14ac:dyDescent="0.3">
      <c r="A784" s="2402">
        <v>778</v>
      </c>
      <c r="B784" s="1122" t="s">
        <v>1818</v>
      </c>
      <c r="C784" s="216" t="s">
        <v>1344</v>
      </c>
      <c r="D784" s="495" t="s">
        <v>954</v>
      </c>
      <c r="E784" s="217" t="s">
        <v>246</v>
      </c>
      <c r="F784" s="218" t="s">
        <v>1820</v>
      </c>
      <c r="G784" s="116">
        <v>7276</v>
      </c>
      <c r="H784" s="1776" t="s">
        <v>1349</v>
      </c>
      <c r="J784" s="224"/>
      <c r="K784" s="34" t="s">
        <v>25</v>
      </c>
      <c r="L784" s="475"/>
      <c r="M784" s="224"/>
      <c r="N784" s="224"/>
      <c r="O784" s="902" t="s">
        <v>6395</v>
      </c>
    </row>
    <row r="785" spans="1:15" x14ac:dyDescent="0.3">
      <c r="A785" s="2402">
        <v>779</v>
      </c>
      <c r="B785" s="1122" t="s">
        <v>1818</v>
      </c>
      <c r="C785" s="216" t="s">
        <v>1344</v>
      </c>
      <c r="D785" s="793" t="s">
        <v>954</v>
      </c>
      <c r="E785" s="217" t="s">
        <v>247</v>
      </c>
      <c r="F785" s="218" t="s">
        <v>1820</v>
      </c>
      <c r="G785" s="116">
        <v>7276</v>
      </c>
      <c r="H785" s="1776" t="s">
        <v>1349</v>
      </c>
      <c r="J785" s="224"/>
      <c r="K785" s="34" t="s">
        <v>25</v>
      </c>
      <c r="L785" s="475"/>
      <c r="M785" s="224"/>
      <c r="N785" s="224"/>
      <c r="O785" s="902" t="s">
        <v>6395</v>
      </c>
    </row>
    <row r="786" spans="1:15" x14ac:dyDescent="0.3">
      <c r="A786" s="2401">
        <v>780</v>
      </c>
      <c r="B786" s="1122" t="s">
        <v>1818</v>
      </c>
      <c r="C786" s="216" t="s">
        <v>1344</v>
      </c>
      <c r="D786" s="416" t="s">
        <v>954</v>
      </c>
      <c r="E786" s="217" t="s">
        <v>249</v>
      </c>
      <c r="F786" s="218" t="s">
        <v>1820</v>
      </c>
      <c r="G786" s="116">
        <v>7276</v>
      </c>
      <c r="H786" s="1776" t="s">
        <v>1349</v>
      </c>
      <c r="J786" s="224"/>
      <c r="K786" s="34" t="s">
        <v>25</v>
      </c>
      <c r="L786" s="475"/>
      <c r="M786" s="224"/>
      <c r="N786" s="224"/>
      <c r="O786" s="902" t="s">
        <v>6395</v>
      </c>
    </row>
    <row r="787" spans="1:15" x14ac:dyDescent="0.3">
      <c r="A787" s="2402">
        <v>781</v>
      </c>
      <c r="B787" s="1122" t="s">
        <v>1818</v>
      </c>
      <c r="C787" s="216" t="s">
        <v>1344</v>
      </c>
      <c r="D787" s="416" t="s">
        <v>954</v>
      </c>
      <c r="E787" s="217" t="s">
        <v>250</v>
      </c>
      <c r="F787" s="218" t="s">
        <v>1820</v>
      </c>
      <c r="G787" s="116">
        <v>7276</v>
      </c>
      <c r="H787" s="1776" t="s">
        <v>1349</v>
      </c>
      <c r="J787" s="224"/>
      <c r="K787" s="34" t="s">
        <v>25</v>
      </c>
      <c r="L787" s="475"/>
      <c r="M787" s="224"/>
      <c r="N787" s="224"/>
      <c r="O787" s="902" t="s">
        <v>6395</v>
      </c>
    </row>
    <row r="788" spans="1:15" x14ac:dyDescent="0.3">
      <c r="A788" s="2402">
        <v>782</v>
      </c>
      <c r="B788" s="1122" t="s">
        <v>1818</v>
      </c>
      <c r="C788" s="216" t="s">
        <v>1344</v>
      </c>
      <c r="D788" s="416" t="s">
        <v>954</v>
      </c>
      <c r="E788" s="217" t="s">
        <v>252</v>
      </c>
      <c r="F788" s="218" t="s">
        <v>1820</v>
      </c>
      <c r="G788" s="116">
        <v>7276</v>
      </c>
      <c r="H788" s="1776" t="s">
        <v>1349</v>
      </c>
      <c r="J788" s="224"/>
      <c r="K788" s="34" t="s">
        <v>25</v>
      </c>
      <c r="L788" s="475"/>
      <c r="M788" s="224"/>
      <c r="N788" s="224"/>
      <c r="O788" s="902" t="s">
        <v>6395</v>
      </c>
    </row>
    <row r="789" spans="1:15" x14ac:dyDescent="0.3">
      <c r="A789" s="2401">
        <v>783</v>
      </c>
      <c r="B789" s="1122" t="s">
        <v>1818</v>
      </c>
      <c r="C789" s="216" t="s">
        <v>1344</v>
      </c>
      <c r="D789" s="416" t="s">
        <v>954</v>
      </c>
      <c r="E789" s="217" t="s">
        <v>255</v>
      </c>
      <c r="F789" s="218" t="s">
        <v>1820</v>
      </c>
      <c r="G789" s="116">
        <v>7276</v>
      </c>
      <c r="H789" s="1776" t="s">
        <v>1349</v>
      </c>
      <c r="J789" s="224"/>
      <c r="K789" s="34" t="s">
        <v>25</v>
      </c>
      <c r="L789" s="475"/>
      <c r="M789" s="224"/>
      <c r="N789" s="224"/>
      <c r="O789" s="902" t="s">
        <v>6395</v>
      </c>
    </row>
    <row r="790" spans="1:15" x14ac:dyDescent="0.3">
      <c r="A790" s="2402">
        <v>784</v>
      </c>
      <c r="B790" s="1122" t="s">
        <v>1818</v>
      </c>
      <c r="C790" s="216" t="s">
        <v>1344</v>
      </c>
      <c r="D790" s="416" t="s">
        <v>954</v>
      </c>
      <c r="E790" s="217" t="s">
        <v>256</v>
      </c>
      <c r="F790" s="218" t="s">
        <v>1820</v>
      </c>
      <c r="G790" s="116">
        <v>7276</v>
      </c>
      <c r="H790" s="1776" t="s">
        <v>1349</v>
      </c>
      <c r="J790" s="224"/>
      <c r="K790" s="34" t="s">
        <v>25</v>
      </c>
      <c r="L790" s="475"/>
      <c r="M790" s="224"/>
      <c r="N790" s="224"/>
      <c r="O790" s="902" t="s">
        <v>6395</v>
      </c>
    </row>
    <row r="791" spans="1:15" x14ac:dyDescent="0.3">
      <c r="A791" s="2402">
        <v>785</v>
      </c>
      <c r="B791" s="1122" t="s">
        <v>1818</v>
      </c>
      <c r="C791" s="216" t="s">
        <v>1344</v>
      </c>
      <c r="D791" s="416" t="s">
        <v>954</v>
      </c>
      <c r="E791" s="217" t="s">
        <v>257</v>
      </c>
      <c r="F791" s="218" t="s">
        <v>1820</v>
      </c>
      <c r="G791" s="116">
        <v>7276</v>
      </c>
      <c r="H791" s="1776" t="s">
        <v>1349</v>
      </c>
      <c r="J791" s="224"/>
      <c r="K791" s="34" t="s">
        <v>25</v>
      </c>
      <c r="L791" s="475"/>
      <c r="M791" s="224"/>
      <c r="N791" s="224"/>
      <c r="O791" s="902" t="s">
        <v>6395</v>
      </c>
    </row>
    <row r="792" spans="1:15" x14ac:dyDescent="0.3">
      <c r="A792" s="2401">
        <v>786</v>
      </c>
      <c r="B792" s="1122" t="s">
        <v>1818</v>
      </c>
      <c r="C792" s="216" t="s">
        <v>1344</v>
      </c>
      <c r="D792" s="416" t="s">
        <v>954</v>
      </c>
      <c r="E792" s="217" t="s">
        <v>258</v>
      </c>
      <c r="F792" s="218" t="s">
        <v>1820</v>
      </c>
      <c r="G792" s="116">
        <v>7276</v>
      </c>
      <c r="H792" s="1776" t="s">
        <v>1349</v>
      </c>
      <c r="J792" s="224"/>
      <c r="K792" s="34" t="s">
        <v>25</v>
      </c>
      <c r="L792" s="475"/>
      <c r="M792" s="224"/>
      <c r="N792" s="224"/>
      <c r="O792" s="902" t="s">
        <v>6395</v>
      </c>
    </row>
    <row r="793" spans="1:15" x14ac:dyDescent="0.3">
      <c r="A793" s="2402">
        <v>787</v>
      </c>
      <c r="B793" s="1122" t="s">
        <v>1818</v>
      </c>
      <c r="C793" s="216" t="s">
        <v>1344</v>
      </c>
      <c r="D793" s="416" t="s">
        <v>954</v>
      </c>
      <c r="E793" s="217" t="s">
        <v>1897</v>
      </c>
      <c r="F793" s="218" t="s">
        <v>1820</v>
      </c>
      <c r="G793" s="116">
        <v>7276</v>
      </c>
      <c r="H793" s="1776" t="s">
        <v>1349</v>
      </c>
      <c r="J793" s="224"/>
      <c r="K793" s="34" t="s">
        <v>25</v>
      </c>
      <c r="L793" s="475"/>
      <c r="M793" s="224"/>
      <c r="N793" s="224"/>
      <c r="O793" s="902" t="s">
        <v>6395</v>
      </c>
    </row>
    <row r="794" spans="1:15" x14ac:dyDescent="0.3">
      <c r="A794" s="2402">
        <v>788</v>
      </c>
      <c r="B794" s="1122" t="s">
        <v>1818</v>
      </c>
      <c r="C794" s="216" t="s">
        <v>1344</v>
      </c>
      <c r="D794" s="416" t="s">
        <v>954</v>
      </c>
      <c r="E794" s="217" t="s">
        <v>1898</v>
      </c>
      <c r="F794" s="218" t="s">
        <v>1820</v>
      </c>
      <c r="G794" s="116">
        <v>7276</v>
      </c>
      <c r="H794" s="1776" t="s">
        <v>1349</v>
      </c>
      <c r="J794" s="224"/>
      <c r="K794" s="34" t="s">
        <v>25</v>
      </c>
      <c r="L794" s="475"/>
      <c r="M794" s="224"/>
      <c r="N794" s="224"/>
      <c r="O794" s="902" t="s">
        <v>6395</v>
      </c>
    </row>
    <row r="795" spans="1:15" x14ac:dyDescent="0.3">
      <c r="A795" s="2401">
        <v>789</v>
      </c>
      <c r="B795" s="1122" t="s">
        <v>1818</v>
      </c>
      <c r="C795" s="216" t="s">
        <v>1344</v>
      </c>
      <c r="D795" s="416" t="s">
        <v>954</v>
      </c>
      <c r="E795" s="217" t="s">
        <v>1899</v>
      </c>
      <c r="F795" s="218" t="s">
        <v>1820</v>
      </c>
      <c r="G795" s="116">
        <v>7276</v>
      </c>
      <c r="H795" s="1776" t="s">
        <v>1349</v>
      </c>
      <c r="J795" s="224"/>
      <c r="K795" s="34" t="s">
        <v>25</v>
      </c>
      <c r="L795" s="475"/>
      <c r="M795" s="224"/>
      <c r="N795" s="224"/>
      <c r="O795" s="902" t="s">
        <v>6395</v>
      </c>
    </row>
    <row r="796" spans="1:15" x14ac:dyDescent="0.3">
      <c r="A796" s="2402">
        <v>790</v>
      </c>
      <c r="B796" s="1122" t="s">
        <v>1818</v>
      </c>
      <c r="C796" s="216" t="s">
        <v>1344</v>
      </c>
      <c r="D796" s="416" t="s">
        <v>954</v>
      </c>
      <c r="E796" s="217" t="s">
        <v>1900</v>
      </c>
      <c r="F796" s="218" t="s">
        <v>1820</v>
      </c>
      <c r="G796" s="116">
        <v>7276</v>
      </c>
      <c r="H796" s="1776" t="s">
        <v>1349</v>
      </c>
      <c r="J796" s="224"/>
      <c r="K796" s="34" t="s">
        <v>25</v>
      </c>
      <c r="L796" s="475"/>
      <c r="M796" s="224"/>
      <c r="N796" s="224"/>
      <c r="O796" s="902" t="s">
        <v>6395</v>
      </c>
    </row>
    <row r="797" spans="1:15" x14ac:dyDescent="0.3">
      <c r="A797" s="2402">
        <v>791</v>
      </c>
      <c r="B797" s="1122" t="s">
        <v>1818</v>
      </c>
      <c r="C797" s="216" t="s">
        <v>1344</v>
      </c>
      <c r="D797" s="416" t="s">
        <v>954</v>
      </c>
      <c r="E797" s="217" t="s">
        <v>1901</v>
      </c>
      <c r="F797" s="218" t="s">
        <v>1820</v>
      </c>
      <c r="G797" s="116">
        <v>7276</v>
      </c>
      <c r="H797" s="1776" t="s">
        <v>1349</v>
      </c>
      <c r="J797" s="224"/>
      <c r="K797" s="34" t="s">
        <v>25</v>
      </c>
      <c r="L797" s="475"/>
      <c r="M797" s="224"/>
      <c r="N797" s="224"/>
      <c r="O797" s="902" t="s">
        <v>6395</v>
      </c>
    </row>
    <row r="798" spans="1:15" x14ac:dyDescent="0.3">
      <c r="A798" s="2401">
        <v>792</v>
      </c>
      <c r="B798" s="1122" t="s">
        <v>1818</v>
      </c>
      <c r="C798" s="1117" t="s">
        <v>1344</v>
      </c>
      <c r="D798" s="452" t="s">
        <v>954</v>
      </c>
      <c r="E798" s="217" t="s">
        <v>1902</v>
      </c>
      <c r="F798" s="218" t="s">
        <v>1820</v>
      </c>
      <c r="G798" s="116">
        <v>7276</v>
      </c>
      <c r="H798" s="1776" t="s">
        <v>1349</v>
      </c>
      <c r="J798" s="224"/>
      <c r="K798" s="34" t="s">
        <v>25</v>
      </c>
      <c r="L798" s="475"/>
      <c r="M798" s="224"/>
      <c r="N798" s="224"/>
      <c r="O798" s="902" t="s">
        <v>6395</v>
      </c>
    </row>
    <row r="799" spans="1:15" x14ac:dyDescent="0.3">
      <c r="A799" s="2402">
        <v>793</v>
      </c>
      <c r="B799" s="1122" t="s">
        <v>1818</v>
      </c>
      <c r="C799" s="1117" t="s">
        <v>1344</v>
      </c>
      <c r="D799" s="793" t="s">
        <v>954</v>
      </c>
      <c r="E799" s="217" t="s">
        <v>1903</v>
      </c>
      <c r="F799" s="218" t="s">
        <v>1820</v>
      </c>
      <c r="G799" s="116">
        <v>7276</v>
      </c>
      <c r="H799" s="1776" t="s">
        <v>1349</v>
      </c>
      <c r="J799" s="224"/>
      <c r="K799" s="34" t="s">
        <v>25</v>
      </c>
      <c r="L799" s="475"/>
      <c r="M799" s="224"/>
      <c r="N799" s="224"/>
      <c r="O799" s="902" t="s">
        <v>6395</v>
      </c>
    </row>
    <row r="800" spans="1:15" x14ac:dyDescent="0.3">
      <c r="A800" s="2402">
        <v>794</v>
      </c>
      <c r="B800" s="1122" t="s">
        <v>1818</v>
      </c>
      <c r="C800" s="1117" t="s">
        <v>1344</v>
      </c>
      <c r="D800" s="416" t="s">
        <v>954</v>
      </c>
      <c r="E800" s="217" t="s">
        <v>1904</v>
      </c>
      <c r="F800" s="218" t="s">
        <v>1820</v>
      </c>
      <c r="G800" s="116">
        <v>7276</v>
      </c>
      <c r="H800" s="1776" t="s">
        <v>1349</v>
      </c>
      <c r="J800" s="224"/>
      <c r="K800" s="34" t="s">
        <v>25</v>
      </c>
      <c r="L800" s="475"/>
      <c r="M800" s="224"/>
      <c r="N800" s="224"/>
      <c r="O800" s="902" t="s">
        <v>6395</v>
      </c>
    </row>
    <row r="801" spans="1:15" x14ac:dyDescent="0.3">
      <c r="A801" s="2401">
        <v>795</v>
      </c>
      <c r="B801" s="1122" t="s">
        <v>1818</v>
      </c>
      <c r="C801" s="1117" t="s">
        <v>1344</v>
      </c>
      <c r="D801" s="416" t="s">
        <v>954</v>
      </c>
      <c r="E801" s="217" t="s">
        <v>1905</v>
      </c>
      <c r="F801" s="218" t="s">
        <v>1820</v>
      </c>
      <c r="G801" s="116">
        <v>7276</v>
      </c>
      <c r="H801" s="1776" t="s">
        <v>1349</v>
      </c>
      <c r="J801" s="224"/>
      <c r="K801" s="34" t="s">
        <v>25</v>
      </c>
      <c r="L801" s="475"/>
      <c r="M801" s="224"/>
      <c r="N801" s="224"/>
      <c r="O801" s="902" t="s">
        <v>6395</v>
      </c>
    </row>
    <row r="802" spans="1:15" x14ac:dyDescent="0.3">
      <c r="A802" s="2402">
        <v>796</v>
      </c>
      <c r="B802" s="1122" t="s">
        <v>1818</v>
      </c>
      <c r="C802" s="1117" t="s">
        <v>1344</v>
      </c>
      <c r="D802" s="416" t="s">
        <v>954</v>
      </c>
      <c r="E802" s="217" t="s">
        <v>1906</v>
      </c>
      <c r="F802" s="218" t="s">
        <v>1820</v>
      </c>
      <c r="G802" s="116">
        <v>7276</v>
      </c>
      <c r="H802" s="1776" t="s">
        <v>1349</v>
      </c>
      <c r="J802" s="224"/>
      <c r="K802" s="34" t="s">
        <v>25</v>
      </c>
      <c r="L802" s="475"/>
      <c r="M802" s="224"/>
      <c r="N802" s="224"/>
      <c r="O802" s="902" t="s">
        <v>6395</v>
      </c>
    </row>
    <row r="803" spans="1:15" x14ac:dyDescent="0.3">
      <c r="A803" s="2402">
        <v>797</v>
      </c>
      <c r="B803" s="1122" t="s">
        <v>1818</v>
      </c>
      <c r="C803" s="1117" t="s">
        <v>1344</v>
      </c>
      <c r="D803" s="416" t="s">
        <v>954</v>
      </c>
      <c r="E803" s="217" t="s">
        <v>1907</v>
      </c>
      <c r="F803" s="218" t="s">
        <v>1820</v>
      </c>
      <c r="G803" s="116">
        <v>7276</v>
      </c>
      <c r="H803" s="1776" t="s">
        <v>1349</v>
      </c>
      <c r="J803" s="224"/>
      <c r="K803" s="34" t="s">
        <v>25</v>
      </c>
      <c r="L803" s="475"/>
      <c r="M803" s="224"/>
      <c r="N803" s="224"/>
      <c r="O803" s="902" t="s">
        <v>6395</v>
      </c>
    </row>
    <row r="804" spans="1:15" x14ac:dyDescent="0.3">
      <c r="A804" s="2401">
        <v>798</v>
      </c>
      <c r="B804" s="1122" t="s">
        <v>1818</v>
      </c>
      <c r="C804" s="1117" t="s">
        <v>1344</v>
      </c>
      <c r="D804" s="416" t="s">
        <v>954</v>
      </c>
      <c r="E804" s="217" t="s">
        <v>1908</v>
      </c>
      <c r="F804" s="218" t="s">
        <v>1820</v>
      </c>
      <c r="G804" s="116">
        <v>7276</v>
      </c>
      <c r="H804" s="1776" t="s">
        <v>1349</v>
      </c>
      <c r="J804" s="224"/>
      <c r="K804" s="34" t="s">
        <v>25</v>
      </c>
      <c r="L804" s="475"/>
      <c r="M804" s="224"/>
      <c r="N804" s="224"/>
      <c r="O804" s="902" t="s">
        <v>6395</v>
      </c>
    </row>
    <row r="805" spans="1:15" x14ac:dyDescent="0.3">
      <c r="A805" s="2402">
        <v>799</v>
      </c>
      <c r="B805" s="1122" t="s">
        <v>1909</v>
      </c>
      <c r="C805" s="1117" t="s">
        <v>1344</v>
      </c>
      <c r="D805" s="416" t="s">
        <v>954</v>
      </c>
      <c r="E805" s="217" t="s">
        <v>1910</v>
      </c>
      <c r="F805" s="218" t="s">
        <v>1911</v>
      </c>
      <c r="G805" s="116">
        <v>6634</v>
      </c>
      <c r="H805" s="1776" t="s">
        <v>1349</v>
      </c>
      <c r="J805" s="224"/>
      <c r="K805" s="34" t="s">
        <v>25</v>
      </c>
      <c r="L805" s="475"/>
      <c r="M805" s="224"/>
      <c r="N805" s="224"/>
      <c r="O805" s="902" t="s">
        <v>6395</v>
      </c>
    </row>
    <row r="806" spans="1:15" x14ac:dyDescent="0.3">
      <c r="A806" s="2402">
        <v>800</v>
      </c>
      <c r="B806" s="1122" t="s">
        <v>1909</v>
      </c>
      <c r="C806" s="1117" t="s">
        <v>1344</v>
      </c>
      <c r="D806" s="416" t="s">
        <v>954</v>
      </c>
      <c r="E806" s="217" t="s">
        <v>1912</v>
      </c>
      <c r="F806" s="218" t="s">
        <v>1911</v>
      </c>
      <c r="G806" s="116">
        <v>6634</v>
      </c>
      <c r="H806" s="1776" t="s">
        <v>1349</v>
      </c>
      <c r="J806" s="224"/>
      <c r="K806" s="34" t="s">
        <v>25</v>
      </c>
      <c r="L806" s="475"/>
      <c r="M806" s="224"/>
      <c r="N806" s="224"/>
      <c r="O806" s="902" t="s">
        <v>6395</v>
      </c>
    </row>
    <row r="807" spans="1:15" x14ac:dyDescent="0.3">
      <c r="A807" s="2401">
        <v>801</v>
      </c>
      <c r="B807" s="1122" t="s">
        <v>1909</v>
      </c>
      <c r="C807" s="1117" t="s">
        <v>1344</v>
      </c>
      <c r="D807" s="416" t="s">
        <v>954</v>
      </c>
      <c r="E807" s="217" t="s">
        <v>1913</v>
      </c>
      <c r="F807" s="218" t="s">
        <v>1911</v>
      </c>
      <c r="G807" s="116">
        <v>6634</v>
      </c>
      <c r="H807" s="1776" t="s">
        <v>1349</v>
      </c>
      <c r="J807" s="224"/>
      <c r="K807" s="34" t="s">
        <v>25</v>
      </c>
      <c r="L807" s="475"/>
      <c r="M807" s="224"/>
      <c r="N807" s="224"/>
      <c r="O807" s="902" t="s">
        <v>6395</v>
      </c>
    </row>
    <row r="808" spans="1:15" x14ac:dyDescent="0.3">
      <c r="A808" s="2402">
        <v>802</v>
      </c>
      <c r="B808" s="1122" t="s">
        <v>1909</v>
      </c>
      <c r="C808" s="1117" t="s">
        <v>1344</v>
      </c>
      <c r="D808" s="416" t="s">
        <v>954</v>
      </c>
      <c r="E808" s="217" t="s">
        <v>1914</v>
      </c>
      <c r="F808" s="218" t="s">
        <v>1911</v>
      </c>
      <c r="G808" s="116">
        <v>6634</v>
      </c>
      <c r="H808" s="1776" t="s">
        <v>1349</v>
      </c>
      <c r="J808" s="224"/>
      <c r="K808" s="34" t="s">
        <v>25</v>
      </c>
      <c r="L808" s="475"/>
      <c r="M808" s="224"/>
      <c r="N808" s="224"/>
      <c r="O808" s="902" t="s">
        <v>6395</v>
      </c>
    </row>
    <row r="809" spans="1:15" x14ac:dyDescent="0.3">
      <c r="A809" s="2402">
        <v>803</v>
      </c>
      <c r="B809" s="1122" t="s">
        <v>1909</v>
      </c>
      <c r="C809" s="1117" t="s">
        <v>1344</v>
      </c>
      <c r="D809" s="416" t="s">
        <v>954</v>
      </c>
      <c r="E809" s="217" t="s">
        <v>1915</v>
      </c>
      <c r="F809" s="218" t="s">
        <v>1911</v>
      </c>
      <c r="G809" s="116">
        <v>6634</v>
      </c>
      <c r="H809" s="1776" t="s">
        <v>1349</v>
      </c>
      <c r="J809" s="224"/>
      <c r="K809" s="34" t="s">
        <v>25</v>
      </c>
      <c r="L809" s="475"/>
      <c r="M809" s="224"/>
      <c r="N809" s="224"/>
      <c r="O809" s="902" t="s">
        <v>6395</v>
      </c>
    </row>
    <row r="810" spans="1:15" x14ac:dyDescent="0.3">
      <c r="A810" s="2401">
        <v>804</v>
      </c>
      <c r="B810" s="1122" t="s">
        <v>1909</v>
      </c>
      <c r="C810" s="1117" t="s">
        <v>1344</v>
      </c>
      <c r="D810" s="416" t="s">
        <v>954</v>
      </c>
      <c r="E810" s="217" t="s">
        <v>1916</v>
      </c>
      <c r="F810" s="218" t="s">
        <v>1911</v>
      </c>
      <c r="G810" s="116">
        <v>6634</v>
      </c>
      <c r="H810" s="1776" t="s">
        <v>1349</v>
      </c>
      <c r="J810" s="224"/>
      <c r="K810" s="34" t="s">
        <v>25</v>
      </c>
      <c r="L810" s="475"/>
      <c r="M810" s="224"/>
      <c r="N810" s="224"/>
      <c r="O810" s="902" t="s">
        <v>6395</v>
      </c>
    </row>
    <row r="811" spans="1:15" x14ac:dyDescent="0.3">
      <c r="A811" s="2402">
        <v>805</v>
      </c>
      <c r="B811" s="1122" t="s">
        <v>1909</v>
      </c>
      <c r="C811" s="1117" t="s">
        <v>1344</v>
      </c>
      <c r="D811" s="416" t="s">
        <v>954</v>
      </c>
      <c r="E811" s="217" t="s">
        <v>1917</v>
      </c>
      <c r="F811" s="218" t="s">
        <v>1911</v>
      </c>
      <c r="G811" s="116">
        <v>6634</v>
      </c>
      <c r="H811" s="1776" t="s">
        <v>1349</v>
      </c>
      <c r="J811" s="224"/>
      <c r="K811" s="34" t="s">
        <v>25</v>
      </c>
      <c r="L811" s="475"/>
      <c r="M811" s="224"/>
      <c r="N811" s="224"/>
      <c r="O811" s="902" t="s">
        <v>6395</v>
      </c>
    </row>
    <row r="812" spans="1:15" x14ac:dyDescent="0.3">
      <c r="A812" s="2402">
        <v>806</v>
      </c>
      <c r="B812" s="1122" t="s">
        <v>1909</v>
      </c>
      <c r="C812" s="1117" t="s">
        <v>1344</v>
      </c>
      <c r="D812" s="452" t="s">
        <v>954</v>
      </c>
      <c r="E812" s="217" t="s">
        <v>1918</v>
      </c>
      <c r="F812" s="218" t="s">
        <v>1911</v>
      </c>
      <c r="G812" s="116">
        <v>6634</v>
      </c>
      <c r="H812" s="1776" t="s">
        <v>1349</v>
      </c>
      <c r="J812" s="224"/>
      <c r="K812" s="34" t="s">
        <v>25</v>
      </c>
      <c r="L812" s="475"/>
      <c r="M812" s="224"/>
      <c r="N812" s="224"/>
      <c r="O812" s="902" t="s">
        <v>6395</v>
      </c>
    </row>
    <row r="813" spans="1:15" x14ac:dyDescent="0.3">
      <c r="A813" s="2401">
        <v>807</v>
      </c>
      <c r="B813" s="1122" t="s">
        <v>1909</v>
      </c>
      <c r="C813" s="1117" t="s">
        <v>1344</v>
      </c>
      <c r="D813" s="793" t="s">
        <v>954</v>
      </c>
      <c r="E813" s="217" t="s">
        <v>1919</v>
      </c>
      <c r="F813" s="218" t="s">
        <v>1911</v>
      </c>
      <c r="G813" s="116">
        <v>6634</v>
      </c>
      <c r="H813" s="1776" t="s">
        <v>1349</v>
      </c>
      <c r="J813" s="224"/>
      <c r="K813" s="34" t="s">
        <v>25</v>
      </c>
      <c r="L813" s="475"/>
      <c r="M813" s="224"/>
      <c r="N813" s="224"/>
      <c r="O813" s="902" t="s">
        <v>6395</v>
      </c>
    </row>
    <row r="814" spans="1:15" x14ac:dyDescent="0.3">
      <c r="A814" s="2402">
        <v>808</v>
      </c>
      <c r="B814" s="1122" t="s">
        <v>1909</v>
      </c>
      <c r="C814" s="216" t="s">
        <v>1344</v>
      </c>
      <c r="D814" s="416" t="s">
        <v>954</v>
      </c>
      <c r="E814" s="217" t="s">
        <v>498</v>
      </c>
      <c r="F814" s="218" t="s">
        <v>1911</v>
      </c>
      <c r="G814" s="116">
        <v>6634</v>
      </c>
      <c r="H814" s="1776" t="s">
        <v>1349</v>
      </c>
      <c r="J814" s="224"/>
      <c r="K814" s="34" t="s">
        <v>25</v>
      </c>
      <c r="L814" s="475"/>
      <c r="M814" s="224"/>
      <c r="N814" s="224"/>
      <c r="O814" s="902" t="s">
        <v>6395</v>
      </c>
    </row>
    <row r="815" spans="1:15" x14ac:dyDescent="0.3">
      <c r="A815" s="2402">
        <v>809</v>
      </c>
      <c r="B815" s="1122" t="s">
        <v>1909</v>
      </c>
      <c r="C815" s="216" t="s">
        <v>1344</v>
      </c>
      <c r="D815" s="416" t="s">
        <v>954</v>
      </c>
      <c r="E815" s="217" t="s">
        <v>500</v>
      </c>
      <c r="F815" s="218" t="s">
        <v>1911</v>
      </c>
      <c r="G815" s="116">
        <v>6634</v>
      </c>
      <c r="H815" s="1776" t="s">
        <v>1349</v>
      </c>
      <c r="J815" s="224"/>
      <c r="K815" s="34" t="s">
        <v>25</v>
      </c>
      <c r="L815" s="475"/>
      <c r="M815" s="224"/>
      <c r="N815" s="224"/>
      <c r="O815" s="902" t="s">
        <v>6395</v>
      </c>
    </row>
    <row r="816" spans="1:15" x14ac:dyDescent="0.3">
      <c r="A816" s="2401">
        <v>810</v>
      </c>
      <c r="B816" s="1122" t="s">
        <v>1909</v>
      </c>
      <c r="C816" s="216" t="s">
        <v>1344</v>
      </c>
      <c r="D816" s="416" t="s">
        <v>954</v>
      </c>
      <c r="E816" s="217" t="s">
        <v>501</v>
      </c>
      <c r="F816" s="218" t="s">
        <v>1911</v>
      </c>
      <c r="G816" s="116">
        <v>6634</v>
      </c>
      <c r="H816" s="1776" t="s">
        <v>1349</v>
      </c>
      <c r="J816" s="224"/>
      <c r="K816" s="34" t="s">
        <v>25</v>
      </c>
      <c r="L816" s="475"/>
      <c r="M816" s="224"/>
      <c r="N816" s="224"/>
      <c r="O816" s="902" t="s">
        <v>6395</v>
      </c>
    </row>
    <row r="817" spans="1:15" x14ac:dyDescent="0.3">
      <c r="A817" s="2402">
        <v>811</v>
      </c>
      <c r="B817" s="1122" t="s">
        <v>1909</v>
      </c>
      <c r="C817" s="216" t="s">
        <v>1344</v>
      </c>
      <c r="D817" s="416" t="s">
        <v>954</v>
      </c>
      <c r="E817" s="217" t="s">
        <v>502</v>
      </c>
      <c r="F817" s="218" t="s">
        <v>1911</v>
      </c>
      <c r="G817" s="116">
        <v>6634</v>
      </c>
      <c r="H817" s="1776" t="s">
        <v>1349</v>
      </c>
      <c r="J817" s="224"/>
      <c r="K817" s="34" t="s">
        <v>25</v>
      </c>
      <c r="L817" s="475"/>
      <c r="M817" s="224"/>
      <c r="N817" s="224"/>
      <c r="O817" s="902" t="s">
        <v>6395</v>
      </c>
    </row>
    <row r="818" spans="1:15" x14ac:dyDescent="0.3">
      <c r="A818" s="2402">
        <v>812</v>
      </c>
      <c r="B818" s="1122" t="s">
        <v>1909</v>
      </c>
      <c r="C818" s="216" t="s">
        <v>1344</v>
      </c>
      <c r="D818" s="416" t="s">
        <v>954</v>
      </c>
      <c r="E818" s="217" t="s">
        <v>1920</v>
      </c>
      <c r="F818" s="218" t="s">
        <v>1911</v>
      </c>
      <c r="G818" s="116">
        <v>6634</v>
      </c>
      <c r="H818" s="1776" t="s">
        <v>1349</v>
      </c>
      <c r="J818" s="224"/>
      <c r="K818" s="34" t="s">
        <v>25</v>
      </c>
      <c r="L818" s="475"/>
      <c r="M818" s="224"/>
      <c r="N818" s="224"/>
      <c r="O818" s="902" t="s">
        <v>6395</v>
      </c>
    </row>
    <row r="819" spans="1:15" x14ac:dyDescent="0.3">
      <c r="A819" s="2401">
        <v>813</v>
      </c>
      <c r="B819" s="1122" t="s">
        <v>1909</v>
      </c>
      <c r="C819" s="216" t="s">
        <v>1344</v>
      </c>
      <c r="D819" s="416" t="s">
        <v>954</v>
      </c>
      <c r="E819" s="217" t="s">
        <v>260</v>
      </c>
      <c r="F819" s="218" t="s">
        <v>1911</v>
      </c>
      <c r="G819" s="116">
        <v>6634</v>
      </c>
      <c r="H819" s="1776" t="s">
        <v>1349</v>
      </c>
      <c r="J819" s="224"/>
      <c r="K819" s="34" t="s">
        <v>25</v>
      </c>
      <c r="L819" s="475"/>
      <c r="M819" s="224"/>
      <c r="N819" s="224"/>
      <c r="O819" s="902" t="s">
        <v>6395</v>
      </c>
    </row>
    <row r="820" spans="1:15" x14ac:dyDescent="0.3">
      <c r="A820" s="2402">
        <v>814</v>
      </c>
      <c r="B820" s="1122" t="s">
        <v>1909</v>
      </c>
      <c r="C820" s="216" t="s">
        <v>1344</v>
      </c>
      <c r="D820" s="416" t="s">
        <v>954</v>
      </c>
      <c r="E820" s="217" t="s">
        <v>263</v>
      </c>
      <c r="F820" s="218" t="s">
        <v>1911</v>
      </c>
      <c r="G820" s="116">
        <v>6634</v>
      </c>
      <c r="H820" s="1776" t="s">
        <v>1349</v>
      </c>
      <c r="J820" s="224"/>
      <c r="K820" s="34" t="s">
        <v>25</v>
      </c>
      <c r="L820" s="475"/>
      <c r="M820" s="224"/>
      <c r="N820" s="224"/>
      <c r="O820" s="902" t="s">
        <v>6395</v>
      </c>
    </row>
    <row r="821" spans="1:15" x14ac:dyDescent="0.3">
      <c r="A821" s="2402">
        <v>815</v>
      </c>
      <c r="B821" s="1122" t="s">
        <v>1909</v>
      </c>
      <c r="C821" s="216" t="s">
        <v>1344</v>
      </c>
      <c r="D821" s="416" t="s">
        <v>954</v>
      </c>
      <c r="E821" s="217" t="s">
        <v>264</v>
      </c>
      <c r="F821" s="218" t="s">
        <v>1911</v>
      </c>
      <c r="G821" s="116">
        <v>6634</v>
      </c>
      <c r="H821" s="1776" t="s">
        <v>1349</v>
      </c>
      <c r="J821" s="224"/>
      <c r="K821" s="34" t="s">
        <v>25</v>
      </c>
      <c r="L821" s="475"/>
      <c r="M821" s="224"/>
      <c r="N821" s="224"/>
      <c r="O821" s="902" t="s">
        <v>6395</v>
      </c>
    </row>
    <row r="822" spans="1:15" x14ac:dyDescent="0.3">
      <c r="A822" s="2401">
        <v>816</v>
      </c>
      <c r="B822" s="1122" t="s">
        <v>1909</v>
      </c>
      <c r="C822" s="216" t="s">
        <v>1344</v>
      </c>
      <c r="D822" s="416" t="s">
        <v>954</v>
      </c>
      <c r="E822" s="217" t="s">
        <v>265</v>
      </c>
      <c r="F822" s="218" t="s">
        <v>1911</v>
      </c>
      <c r="G822" s="116">
        <v>6634</v>
      </c>
      <c r="H822" s="1776" t="s">
        <v>1349</v>
      </c>
      <c r="J822" s="224"/>
      <c r="K822" s="34" t="s">
        <v>25</v>
      </c>
      <c r="L822" s="475"/>
      <c r="M822" s="224"/>
      <c r="N822" s="224"/>
      <c r="O822" s="902" t="s">
        <v>6395</v>
      </c>
    </row>
    <row r="823" spans="1:15" x14ac:dyDescent="0.3">
      <c r="A823" s="2402">
        <v>817</v>
      </c>
      <c r="B823" s="1122" t="s">
        <v>1909</v>
      </c>
      <c r="C823" s="216" t="s">
        <v>1344</v>
      </c>
      <c r="D823" s="416" t="s">
        <v>954</v>
      </c>
      <c r="E823" s="217" t="s">
        <v>266</v>
      </c>
      <c r="F823" s="218" t="s">
        <v>1911</v>
      </c>
      <c r="G823" s="116">
        <v>6634</v>
      </c>
      <c r="H823" s="1776" t="s">
        <v>1349</v>
      </c>
      <c r="J823" s="224"/>
      <c r="K823" s="34" t="s">
        <v>25</v>
      </c>
      <c r="L823" s="475"/>
      <c r="M823" s="224"/>
      <c r="N823" s="224"/>
      <c r="O823" s="902" t="s">
        <v>6395</v>
      </c>
    </row>
    <row r="824" spans="1:15" x14ac:dyDescent="0.3">
      <c r="A824" s="2402">
        <v>818</v>
      </c>
      <c r="B824" s="1122" t="s">
        <v>1909</v>
      </c>
      <c r="C824" s="216" t="s">
        <v>1344</v>
      </c>
      <c r="D824" s="416" t="s">
        <v>954</v>
      </c>
      <c r="E824" s="217" t="s">
        <v>267</v>
      </c>
      <c r="F824" s="218" t="s">
        <v>1911</v>
      </c>
      <c r="G824" s="116">
        <v>6634</v>
      </c>
      <c r="H824" s="1776" t="s">
        <v>1349</v>
      </c>
      <c r="J824" s="224"/>
      <c r="K824" s="34" t="s">
        <v>25</v>
      </c>
      <c r="L824" s="475"/>
      <c r="M824" s="224"/>
      <c r="N824" s="224"/>
      <c r="O824" s="902" t="s">
        <v>6395</v>
      </c>
    </row>
    <row r="825" spans="1:15" x14ac:dyDescent="0.3">
      <c r="A825" s="2401">
        <v>819</v>
      </c>
      <c r="B825" s="1122" t="s">
        <v>1909</v>
      </c>
      <c r="C825" s="216" t="s">
        <v>1344</v>
      </c>
      <c r="D825" s="416" t="s">
        <v>954</v>
      </c>
      <c r="E825" s="217" t="s">
        <v>269</v>
      </c>
      <c r="F825" s="218" t="s">
        <v>1911</v>
      </c>
      <c r="G825" s="116">
        <v>6634</v>
      </c>
      <c r="H825" s="1776" t="s">
        <v>1349</v>
      </c>
      <c r="J825" s="224"/>
      <c r="K825" s="34" t="s">
        <v>25</v>
      </c>
      <c r="L825" s="475"/>
      <c r="M825" s="224"/>
      <c r="N825" s="224"/>
      <c r="O825" s="902" t="s">
        <v>6395</v>
      </c>
    </row>
    <row r="826" spans="1:15" x14ac:dyDescent="0.3">
      <c r="A826" s="2402">
        <v>820</v>
      </c>
      <c r="B826" s="1122" t="s">
        <v>1909</v>
      </c>
      <c r="C826" s="216" t="s">
        <v>1344</v>
      </c>
      <c r="D826" s="416" t="s">
        <v>954</v>
      </c>
      <c r="E826" s="217" t="s">
        <v>270</v>
      </c>
      <c r="F826" s="218" t="s">
        <v>1911</v>
      </c>
      <c r="G826" s="116">
        <v>6634</v>
      </c>
      <c r="H826" s="1776" t="s">
        <v>1349</v>
      </c>
      <c r="J826" s="224"/>
      <c r="K826" s="34" t="s">
        <v>25</v>
      </c>
      <c r="L826" s="475"/>
      <c r="M826" s="224"/>
      <c r="N826" s="224"/>
      <c r="O826" s="902" t="s">
        <v>6395</v>
      </c>
    </row>
    <row r="827" spans="1:15" x14ac:dyDescent="0.3">
      <c r="A827" s="2402">
        <v>821</v>
      </c>
      <c r="B827" s="1122" t="s">
        <v>1909</v>
      </c>
      <c r="C827" s="216" t="s">
        <v>1344</v>
      </c>
      <c r="D827" s="452" t="s">
        <v>954</v>
      </c>
      <c r="E827" s="217" t="s">
        <v>1921</v>
      </c>
      <c r="F827" s="218" t="s">
        <v>1911</v>
      </c>
      <c r="G827" s="116">
        <v>6634</v>
      </c>
      <c r="H827" s="1776" t="s">
        <v>1349</v>
      </c>
      <c r="J827" s="224"/>
      <c r="K827" s="34" t="s">
        <v>25</v>
      </c>
      <c r="L827" s="475"/>
      <c r="M827" s="224"/>
      <c r="N827" s="224"/>
      <c r="O827" s="902" t="s">
        <v>6395</v>
      </c>
    </row>
    <row r="828" spans="1:15" x14ac:dyDescent="0.3">
      <c r="A828" s="2401">
        <v>822</v>
      </c>
      <c r="B828" s="1122" t="s">
        <v>1909</v>
      </c>
      <c r="C828" s="216" t="s">
        <v>1344</v>
      </c>
      <c r="D828" s="495" t="s">
        <v>954</v>
      </c>
      <c r="E828" s="217" t="s">
        <v>271</v>
      </c>
      <c r="F828" s="218" t="s">
        <v>1911</v>
      </c>
      <c r="G828" s="116">
        <v>6634</v>
      </c>
      <c r="H828" s="1776" t="s">
        <v>1349</v>
      </c>
      <c r="J828" s="224"/>
      <c r="K828" s="34" t="s">
        <v>25</v>
      </c>
      <c r="L828" s="475"/>
      <c r="M828" s="224"/>
      <c r="N828" s="224"/>
      <c r="O828" s="902" t="s">
        <v>6395</v>
      </c>
    </row>
    <row r="829" spans="1:15" x14ac:dyDescent="0.3">
      <c r="A829" s="2402">
        <v>823</v>
      </c>
      <c r="B829" s="1122" t="s">
        <v>1909</v>
      </c>
      <c r="C829" s="216" t="s">
        <v>1344</v>
      </c>
      <c r="D829" s="793" t="s">
        <v>954</v>
      </c>
      <c r="E829" s="217" t="s">
        <v>272</v>
      </c>
      <c r="F829" s="218" t="s">
        <v>1911</v>
      </c>
      <c r="G829" s="116">
        <v>6634</v>
      </c>
      <c r="H829" s="1776" t="s">
        <v>1349</v>
      </c>
      <c r="J829" s="224"/>
      <c r="K829" s="34" t="s">
        <v>25</v>
      </c>
      <c r="L829" s="475"/>
      <c r="M829" s="224"/>
      <c r="N829" s="224"/>
      <c r="O829" s="902" t="s">
        <v>6395</v>
      </c>
    </row>
    <row r="830" spans="1:15" x14ac:dyDescent="0.3">
      <c r="A830" s="2402">
        <v>824</v>
      </c>
      <c r="B830" s="1122" t="s">
        <v>1909</v>
      </c>
      <c r="C830" s="216" t="s">
        <v>1344</v>
      </c>
      <c r="D830" s="416" t="s">
        <v>954</v>
      </c>
      <c r="E830" s="217" t="s">
        <v>273</v>
      </c>
      <c r="F830" s="218" t="s">
        <v>1911</v>
      </c>
      <c r="G830" s="116">
        <v>6634</v>
      </c>
      <c r="H830" s="1776" t="s">
        <v>1349</v>
      </c>
      <c r="J830" s="224"/>
      <c r="K830" s="34" t="s">
        <v>25</v>
      </c>
      <c r="L830" s="475"/>
      <c r="M830" s="224"/>
      <c r="N830" s="224"/>
      <c r="O830" s="902" t="s">
        <v>6395</v>
      </c>
    </row>
    <row r="831" spans="1:15" x14ac:dyDescent="0.3">
      <c r="A831" s="2401">
        <v>825</v>
      </c>
      <c r="B831" s="1122" t="s">
        <v>1909</v>
      </c>
      <c r="C831" s="216" t="s">
        <v>1344</v>
      </c>
      <c r="D831" s="416" t="s">
        <v>954</v>
      </c>
      <c r="E831" s="217" t="s">
        <v>1922</v>
      </c>
      <c r="F831" s="218" t="s">
        <v>1911</v>
      </c>
      <c r="G831" s="116">
        <v>6634</v>
      </c>
      <c r="H831" s="1776" t="s">
        <v>1349</v>
      </c>
      <c r="J831" s="224"/>
      <c r="K831" s="34" t="s">
        <v>25</v>
      </c>
      <c r="L831" s="475"/>
      <c r="M831" s="224"/>
      <c r="N831" s="224"/>
      <c r="O831" s="902" t="s">
        <v>6395</v>
      </c>
    </row>
    <row r="832" spans="1:15" x14ac:dyDescent="0.3">
      <c r="A832" s="2402">
        <v>826</v>
      </c>
      <c r="B832" s="1122" t="s">
        <v>1909</v>
      </c>
      <c r="C832" s="216" t="s">
        <v>1344</v>
      </c>
      <c r="D832" s="416" t="s">
        <v>954</v>
      </c>
      <c r="E832" s="217" t="s">
        <v>274</v>
      </c>
      <c r="F832" s="218" t="s">
        <v>1911</v>
      </c>
      <c r="G832" s="116">
        <v>6634</v>
      </c>
      <c r="H832" s="1776" t="s">
        <v>1349</v>
      </c>
      <c r="J832" s="224"/>
      <c r="K832" s="34" t="s">
        <v>25</v>
      </c>
      <c r="L832" s="475"/>
      <c r="M832" s="224"/>
      <c r="N832" s="224"/>
      <c r="O832" s="902" t="s">
        <v>6395</v>
      </c>
    </row>
    <row r="833" spans="1:15" x14ac:dyDescent="0.3">
      <c r="A833" s="2402">
        <v>827</v>
      </c>
      <c r="B833" s="1122" t="s">
        <v>1909</v>
      </c>
      <c r="C833" s="216" t="s">
        <v>1344</v>
      </c>
      <c r="D833" s="416" t="s">
        <v>954</v>
      </c>
      <c r="E833" s="217" t="s">
        <v>276</v>
      </c>
      <c r="F833" s="218" t="s">
        <v>1911</v>
      </c>
      <c r="G833" s="116">
        <v>6634</v>
      </c>
      <c r="H833" s="1776" t="s">
        <v>1349</v>
      </c>
      <c r="J833" s="224"/>
      <c r="K833" s="34" t="s">
        <v>25</v>
      </c>
      <c r="L833" s="475"/>
      <c r="M833" s="224"/>
      <c r="N833" s="224"/>
      <c r="O833" s="902" t="s">
        <v>6395</v>
      </c>
    </row>
    <row r="834" spans="1:15" x14ac:dyDescent="0.3">
      <c r="A834" s="2401">
        <v>828</v>
      </c>
      <c r="B834" s="1122" t="s">
        <v>1909</v>
      </c>
      <c r="C834" s="216" t="s">
        <v>1344</v>
      </c>
      <c r="D834" s="416" t="s">
        <v>954</v>
      </c>
      <c r="E834" s="217" t="s">
        <v>277</v>
      </c>
      <c r="F834" s="218" t="s">
        <v>1911</v>
      </c>
      <c r="G834" s="116">
        <v>6634</v>
      </c>
      <c r="H834" s="1776" t="s">
        <v>1349</v>
      </c>
      <c r="J834" s="224"/>
      <c r="K834" s="34" t="s">
        <v>25</v>
      </c>
      <c r="L834" s="475"/>
      <c r="M834" s="224"/>
      <c r="N834" s="224"/>
      <c r="O834" s="902" t="s">
        <v>6395</v>
      </c>
    </row>
    <row r="835" spans="1:15" x14ac:dyDescent="0.3">
      <c r="A835" s="2402">
        <v>829</v>
      </c>
      <c r="B835" s="1122" t="s">
        <v>1909</v>
      </c>
      <c r="C835" s="216" t="s">
        <v>1344</v>
      </c>
      <c r="D835" s="416" t="s">
        <v>954</v>
      </c>
      <c r="E835" s="217" t="s">
        <v>278</v>
      </c>
      <c r="F835" s="218" t="s">
        <v>1911</v>
      </c>
      <c r="G835" s="116">
        <v>6634</v>
      </c>
      <c r="H835" s="1776" t="s">
        <v>1349</v>
      </c>
      <c r="J835" s="224"/>
      <c r="K835" s="34" t="s">
        <v>25</v>
      </c>
      <c r="L835" s="475"/>
      <c r="M835" s="224"/>
      <c r="N835" s="224"/>
      <c r="O835" s="902" t="s">
        <v>6395</v>
      </c>
    </row>
    <row r="836" spans="1:15" x14ac:dyDescent="0.3">
      <c r="A836" s="2402">
        <v>830</v>
      </c>
      <c r="B836" s="1122" t="s">
        <v>1909</v>
      </c>
      <c r="C836" s="216" t="s">
        <v>1344</v>
      </c>
      <c r="D836" s="416" t="s">
        <v>954</v>
      </c>
      <c r="E836" s="217" t="s">
        <v>279</v>
      </c>
      <c r="F836" s="218" t="s">
        <v>1911</v>
      </c>
      <c r="G836" s="116">
        <v>6634</v>
      </c>
      <c r="H836" s="1776" t="s">
        <v>1349</v>
      </c>
      <c r="J836" s="224"/>
      <c r="K836" s="34" t="s">
        <v>25</v>
      </c>
      <c r="L836" s="475"/>
      <c r="M836" s="224"/>
      <c r="N836" s="224"/>
      <c r="O836" s="902" t="s">
        <v>6395</v>
      </c>
    </row>
    <row r="837" spans="1:15" x14ac:dyDescent="0.3">
      <c r="A837" s="2401">
        <v>831</v>
      </c>
      <c r="B837" s="1122" t="s">
        <v>1909</v>
      </c>
      <c r="C837" s="216" t="s">
        <v>1344</v>
      </c>
      <c r="D837" s="416" t="s">
        <v>954</v>
      </c>
      <c r="E837" s="217" t="s">
        <v>280</v>
      </c>
      <c r="F837" s="218" t="s">
        <v>1911</v>
      </c>
      <c r="G837" s="116">
        <v>6634</v>
      </c>
      <c r="H837" s="1776" t="s">
        <v>1349</v>
      </c>
      <c r="J837" s="224"/>
      <c r="K837" s="34" t="s">
        <v>25</v>
      </c>
      <c r="L837" s="475"/>
      <c r="M837" s="224"/>
      <c r="N837" s="224"/>
      <c r="O837" s="902" t="s">
        <v>6395</v>
      </c>
    </row>
    <row r="838" spans="1:15" x14ac:dyDescent="0.3">
      <c r="A838" s="2402">
        <v>832</v>
      </c>
      <c r="B838" s="1122" t="s">
        <v>1909</v>
      </c>
      <c r="C838" s="216" t="s">
        <v>1344</v>
      </c>
      <c r="D838" s="416" t="s">
        <v>954</v>
      </c>
      <c r="E838" s="217" t="s">
        <v>281</v>
      </c>
      <c r="F838" s="218" t="s">
        <v>1911</v>
      </c>
      <c r="G838" s="116">
        <v>6634</v>
      </c>
      <c r="H838" s="1776" t="s">
        <v>1349</v>
      </c>
      <c r="J838" s="224"/>
      <c r="K838" s="34" t="s">
        <v>25</v>
      </c>
      <c r="L838" s="475"/>
      <c r="M838" s="224"/>
      <c r="N838" s="224"/>
      <c r="O838" s="902" t="s">
        <v>6395</v>
      </c>
    </row>
    <row r="839" spans="1:15" x14ac:dyDescent="0.3">
      <c r="A839" s="2402">
        <v>833</v>
      </c>
      <c r="B839" s="1122" t="s">
        <v>1909</v>
      </c>
      <c r="C839" s="216" t="s">
        <v>1344</v>
      </c>
      <c r="D839" s="416" t="s">
        <v>954</v>
      </c>
      <c r="E839" s="217" t="s">
        <v>282</v>
      </c>
      <c r="F839" s="218" t="s">
        <v>1911</v>
      </c>
      <c r="G839" s="116">
        <v>6634</v>
      </c>
      <c r="H839" s="1776" t="s">
        <v>1349</v>
      </c>
      <c r="J839" s="224"/>
      <c r="K839" s="34" t="s">
        <v>25</v>
      </c>
      <c r="L839" s="475"/>
      <c r="M839" s="224"/>
      <c r="N839" s="224"/>
      <c r="O839" s="902" t="s">
        <v>6395</v>
      </c>
    </row>
    <row r="840" spans="1:15" x14ac:dyDescent="0.3">
      <c r="A840" s="2401">
        <v>834</v>
      </c>
      <c r="B840" s="1122" t="s">
        <v>1909</v>
      </c>
      <c r="C840" s="216" t="s">
        <v>1344</v>
      </c>
      <c r="D840" s="416" t="s">
        <v>954</v>
      </c>
      <c r="E840" s="217" t="s">
        <v>283</v>
      </c>
      <c r="F840" s="218" t="s">
        <v>1911</v>
      </c>
      <c r="G840" s="116">
        <v>6634</v>
      </c>
      <c r="H840" s="1776" t="s">
        <v>1349</v>
      </c>
      <c r="J840" s="224"/>
      <c r="K840" s="34" t="s">
        <v>25</v>
      </c>
      <c r="L840" s="475"/>
      <c r="M840" s="224"/>
      <c r="N840" s="224"/>
      <c r="O840" s="902" t="s">
        <v>6395</v>
      </c>
    </row>
    <row r="841" spans="1:15" x14ac:dyDescent="0.3">
      <c r="A841" s="2402">
        <v>835</v>
      </c>
      <c r="B841" s="1122" t="s">
        <v>1909</v>
      </c>
      <c r="C841" s="216" t="s">
        <v>1344</v>
      </c>
      <c r="D841" s="416" t="s">
        <v>954</v>
      </c>
      <c r="E841" s="217" t="s">
        <v>284</v>
      </c>
      <c r="F841" s="218" t="s">
        <v>1911</v>
      </c>
      <c r="G841" s="116">
        <v>6634</v>
      </c>
      <c r="H841" s="1776" t="s">
        <v>1349</v>
      </c>
      <c r="J841" s="224"/>
      <c r="K841" s="34" t="s">
        <v>25</v>
      </c>
      <c r="L841" s="475"/>
      <c r="M841" s="224"/>
      <c r="N841" s="224"/>
      <c r="O841" s="902" t="s">
        <v>6395</v>
      </c>
    </row>
    <row r="842" spans="1:15" x14ac:dyDescent="0.3">
      <c r="A842" s="2402">
        <v>836</v>
      </c>
      <c r="B842" s="1122" t="s">
        <v>1909</v>
      </c>
      <c r="C842" s="216" t="s">
        <v>1344</v>
      </c>
      <c r="D842" s="416" t="s">
        <v>954</v>
      </c>
      <c r="E842" s="217" t="s">
        <v>285</v>
      </c>
      <c r="F842" s="218" t="s">
        <v>1911</v>
      </c>
      <c r="G842" s="116">
        <v>6634</v>
      </c>
      <c r="H842" s="1776" t="s">
        <v>1349</v>
      </c>
      <c r="J842" s="224"/>
      <c r="K842" s="34" t="s">
        <v>25</v>
      </c>
      <c r="L842" s="475"/>
      <c r="M842" s="224"/>
      <c r="N842" s="224"/>
      <c r="O842" s="902" t="s">
        <v>6395</v>
      </c>
    </row>
    <row r="843" spans="1:15" x14ac:dyDescent="0.3">
      <c r="A843" s="2401">
        <v>837</v>
      </c>
      <c r="B843" s="1122" t="s">
        <v>1909</v>
      </c>
      <c r="C843" s="216" t="s">
        <v>1344</v>
      </c>
      <c r="D843" s="416" t="s">
        <v>954</v>
      </c>
      <c r="E843" s="217" t="s">
        <v>286</v>
      </c>
      <c r="F843" s="218" t="s">
        <v>1911</v>
      </c>
      <c r="G843" s="116">
        <v>6634</v>
      </c>
      <c r="H843" s="1776" t="s">
        <v>1349</v>
      </c>
      <c r="J843" s="224"/>
      <c r="K843" s="34" t="s">
        <v>25</v>
      </c>
      <c r="L843" s="475"/>
      <c r="M843" s="224"/>
      <c r="N843" s="224"/>
      <c r="O843" s="902" t="s">
        <v>6395</v>
      </c>
    </row>
    <row r="844" spans="1:15" x14ac:dyDescent="0.3">
      <c r="A844" s="2402">
        <v>838</v>
      </c>
      <c r="B844" s="1122" t="s">
        <v>1909</v>
      </c>
      <c r="C844" s="216" t="s">
        <v>1344</v>
      </c>
      <c r="D844" s="452" t="s">
        <v>954</v>
      </c>
      <c r="E844" s="217" t="s">
        <v>287</v>
      </c>
      <c r="F844" s="218" t="s">
        <v>1911</v>
      </c>
      <c r="G844" s="116">
        <v>6634</v>
      </c>
      <c r="H844" s="1776" t="s">
        <v>1349</v>
      </c>
      <c r="J844" s="224"/>
      <c r="K844" s="34" t="s">
        <v>25</v>
      </c>
      <c r="L844" s="475"/>
      <c r="M844" s="224"/>
      <c r="N844" s="224"/>
      <c r="O844" s="902" t="s">
        <v>6395</v>
      </c>
    </row>
    <row r="845" spans="1:15" x14ac:dyDescent="0.3">
      <c r="A845" s="2402">
        <v>839</v>
      </c>
      <c r="B845" s="1122" t="s">
        <v>1909</v>
      </c>
      <c r="C845" s="216" t="s">
        <v>1344</v>
      </c>
      <c r="D845" s="495" t="s">
        <v>954</v>
      </c>
      <c r="E845" s="217" t="s">
        <v>289</v>
      </c>
      <c r="F845" s="218" t="s">
        <v>1911</v>
      </c>
      <c r="G845" s="116">
        <v>6634</v>
      </c>
      <c r="H845" s="1776" t="s">
        <v>1349</v>
      </c>
      <c r="J845" s="224"/>
      <c r="K845" s="34" t="s">
        <v>25</v>
      </c>
      <c r="L845" s="475"/>
      <c r="M845" s="224"/>
      <c r="N845" s="224"/>
      <c r="O845" s="902" t="s">
        <v>6395</v>
      </c>
    </row>
    <row r="846" spans="1:15" x14ac:dyDescent="0.3">
      <c r="A846" s="2401">
        <v>840</v>
      </c>
      <c r="B846" s="1122" t="s">
        <v>1909</v>
      </c>
      <c r="C846" s="216" t="s">
        <v>1344</v>
      </c>
      <c r="D846" s="793" t="s">
        <v>954</v>
      </c>
      <c r="E846" s="217" t="s">
        <v>290</v>
      </c>
      <c r="F846" s="218" t="s">
        <v>1911</v>
      </c>
      <c r="G846" s="116">
        <v>6634</v>
      </c>
      <c r="H846" s="1776" t="s">
        <v>1349</v>
      </c>
      <c r="J846" s="224"/>
      <c r="K846" s="34" t="s">
        <v>25</v>
      </c>
      <c r="L846" s="475"/>
      <c r="M846" s="224"/>
      <c r="N846" s="224"/>
      <c r="O846" s="902" t="s">
        <v>6395</v>
      </c>
    </row>
    <row r="847" spans="1:15" x14ac:dyDescent="0.3">
      <c r="A847" s="2402">
        <v>841</v>
      </c>
      <c r="B847" s="1122" t="s">
        <v>1909</v>
      </c>
      <c r="C847" s="216" t="s">
        <v>1344</v>
      </c>
      <c r="D847" s="416" t="s">
        <v>954</v>
      </c>
      <c r="E847" s="217" t="s">
        <v>292</v>
      </c>
      <c r="F847" s="218" t="s">
        <v>1911</v>
      </c>
      <c r="G847" s="116">
        <v>6634</v>
      </c>
      <c r="H847" s="1776" t="s">
        <v>1349</v>
      </c>
      <c r="J847" s="224"/>
      <c r="K847" s="34" t="s">
        <v>25</v>
      </c>
      <c r="L847" s="475"/>
      <c r="M847" s="224"/>
      <c r="N847" s="224"/>
      <c r="O847" s="902" t="s">
        <v>6395</v>
      </c>
    </row>
    <row r="848" spans="1:15" x14ac:dyDescent="0.3">
      <c r="A848" s="2402">
        <v>842</v>
      </c>
      <c r="B848" s="1122" t="s">
        <v>1909</v>
      </c>
      <c r="C848" s="216" t="s">
        <v>1344</v>
      </c>
      <c r="D848" s="416" t="s">
        <v>954</v>
      </c>
      <c r="E848" s="217" t="s">
        <v>1923</v>
      </c>
      <c r="F848" s="218" t="s">
        <v>1911</v>
      </c>
      <c r="G848" s="116">
        <v>6634</v>
      </c>
      <c r="H848" s="1776" t="s">
        <v>1349</v>
      </c>
      <c r="J848" s="224"/>
      <c r="K848" s="34" t="s">
        <v>25</v>
      </c>
      <c r="L848" s="475"/>
      <c r="M848" s="224"/>
      <c r="N848" s="224"/>
      <c r="O848" s="902" t="s">
        <v>6395</v>
      </c>
    </row>
    <row r="849" spans="1:15" x14ac:dyDescent="0.3">
      <c r="A849" s="2401">
        <v>843</v>
      </c>
      <c r="B849" s="1122" t="s">
        <v>1909</v>
      </c>
      <c r="C849" s="216" t="s">
        <v>1344</v>
      </c>
      <c r="D849" s="416" t="s">
        <v>954</v>
      </c>
      <c r="E849" s="217" t="s">
        <v>293</v>
      </c>
      <c r="F849" s="218" t="s">
        <v>1911</v>
      </c>
      <c r="G849" s="116">
        <v>6634</v>
      </c>
      <c r="H849" s="1776" t="s">
        <v>1349</v>
      </c>
      <c r="J849" s="224"/>
      <c r="K849" s="34" t="s">
        <v>25</v>
      </c>
      <c r="L849" s="475"/>
      <c r="M849" s="224"/>
      <c r="N849" s="224"/>
      <c r="O849" s="902" t="s">
        <v>6395</v>
      </c>
    </row>
    <row r="850" spans="1:15" x14ac:dyDescent="0.3">
      <c r="A850" s="2402">
        <v>844</v>
      </c>
      <c r="B850" s="1122" t="s">
        <v>1909</v>
      </c>
      <c r="C850" s="216" t="s">
        <v>1344</v>
      </c>
      <c r="D850" s="416" t="s">
        <v>954</v>
      </c>
      <c r="E850" s="217" t="s">
        <v>294</v>
      </c>
      <c r="F850" s="218" t="s">
        <v>1911</v>
      </c>
      <c r="G850" s="116">
        <v>6634</v>
      </c>
      <c r="H850" s="1776" t="s">
        <v>1349</v>
      </c>
      <c r="J850" s="224"/>
      <c r="K850" s="34" t="s">
        <v>25</v>
      </c>
      <c r="L850" s="475"/>
      <c r="M850" s="224"/>
      <c r="N850" s="224"/>
      <c r="O850" s="902" t="s">
        <v>6395</v>
      </c>
    </row>
    <row r="851" spans="1:15" x14ac:dyDescent="0.3">
      <c r="A851" s="2402">
        <v>845</v>
      </c>
      <c r="B851" s="1122" t="s">
        <v>1909</v>
      </c>
      <c r="C851" s="216" t="s">
        <v>1344</v>
      </c>
      <c r="D851" s="416" t="s">
        <v>954</v>
      </c>
      <c r="E851" s="217" t="s">
        <v>296</v>
      </c>
      <c r="F851" s="218" t="s">
        <v>1911</v>
      </c>
      <c r="G851" s="116">
        <v>6634</v>
      </c>
      <c r="H851" s="1776" t="s">
        <v>1349</v>
      </c>
      <c r="J851" s="224"/>
      <c r="K851" s="34" t="s">
        <v>25</v>
      </c>
      <c r="L851" s="475"/>
      <c r="M851" s="224"/>
      <c r="N851" s="224"/>
      <c r="O851" s="902" t="s">
        <v>6395</v>
      </c>
    </row>
    <row r="852" spans="1:15" x14ac:dyDescent="0.3">
      <c r="A852" s="2401">
        <v>846</v>
      </c>
      <c r="B852" s="1122" t="s">
        <v>1909</v>
      </c>
      <c r="C852" s="216" t="s">
        <v>1344</v>
      </c>
      <c r="D852" s="416" t="s">
        <v>954</v>
      </c>
      <c r="E852" s="217" t="s">
        <v>299</v>
      </c>
      <c r="F852" s="218" t="s">
        <v>1911</v>
      </c>
      <c r="G852" s="116">
        <v>6634</v>
      </c>
      <c r="H852" s="1776" t="s">
        <v>1349</v>
      </c>
      <c r="J852" s="224"/>
      <c r="K852" s="34" t="s">
        <v>25</v>
      </c>
      <c r="L852" s="475"/>
      <c r="M852" s="224"/>
      <c r="N852" s="224"/>
      <c r="O852" s="902" t="s">
        <v>6395</v>
      </c>
    </row>
    <row r="853" spans="1:15" x14ac:dyDescent="0.3">
      <c r="A853" s="2402">
        <v>847</v>
      </c>
      <c r="B853" s="1122" t="s">
        <v>1909</v>
      </c>
      <c r="C853" s="216" t="s">
        <v>1344</v>
      </c>
      <c r="D853" s="416" t="s">
        <v>954</v>
      </c>
      <c r="E853" s="217" t="s">
        <v>300</v>
      </c>
      <c r="F853" s="218" t="s">
        <v>1911</v>
      </c>
      <c r="G853" s="116">
        <v>6634</v>
      </c>
      <c r="H853" s="1776" t="s">
        <v>1349</v>
      </c>
      <c r="J853" s="224"/>
      <c r="K853" s="34" t="s">
        <v>25</v>
      </c>
      <c r="L853" s="475"/>
      <c r="M853" s="224"/>
      <c r="N853" s="224"/>
      <c r="O853" s="902" t="s">
        <v>6395</v>
      </c>
    </row>
    <row r="854" spans="1:15" x14ac:dyDescent="0.3">
      <c r="A854" s="2402">
        <v>848</v>
      </c>
      <c r="B854" s="1122" t="s">
        <v>1909</v>
      </c>
      <c r="C854" s="216" t="s">
        <v>1344</v>
      </c>
      <c r="D854" s="416" t="s">
        <v>954</v>
      </c>
      <c r="E854" s="217" t="s">
        <v>301</v>
      </c>
      <c r="F854" s="218" t="s">
        <v>1911</v>
      </c>
      <c r="G854" s="116">
        <v>6634</v>
      </c>
      <c r="H854" s="1776" t="s">
        <v>1349</v>
      </c>
      <c r="J854" s="224"/>
      <c r="K854" s="34" t="s">
        <v>25</v>
      </c>
      <c r="L854" s="475"/>
      <c r="M854" s="224"/>
      <c r="N854" s="224"/>
      <c r="O854" s="902" t="s">
        <v>6395</v>
      </c>
    </row>
    <row r="855" spans="1:15" x14ac:dyDescent="0.3">
      <c r="A855" s="2401">
        <v>849</v>
      </c>
      <c r="B855" s="1122" t="s">
        <v>1909</v>
      </c>
      <c r="C855" s="216" t="s">
        <v>1344</v>
      </c>
      <c r="D855" s="416" t="s">
        <v>954</v>
      </c>
      <c r="E855" s="217" t="s">
        <v>302</v>
      </c>
      <c r="F855" s="218" t="s">
        <v>1911</v>
      </c>
      <c r="G855" s="116">
        <v>6634</v>
      </c>
      <c r="H855" s="1776" t="s">
        <v>1349</v>
      </c>
      <c r="J855" s="224"/>
      <c r="K855" s="34" t="s">
        <v>25</v>
      </c>
      <c r="L855" s="475"/>
      <c r="M855" s="224"/>
      <c r="N855" s="224"/>
      <c r="O855" s="902" t="s">
        <v>6395</v>
      </c>
    </row>
    <row r="856" spans="1:15" x14ac:dyDescent="0.3">
      <c r="A856" s="2402">
        <v>850</v>
      </c>
      <c r="B856" s="1122" t="s">
        <v>1909</v>
      </c>
      <c r="C856" s="216" t="s">
        <v>1344</v>
      </c>
      <c r="D856" s="416" t="s">
        <v>954</v>
      </c>
      <c r="E856" s="217" t="s">
        <v>303</v>
      </c>
      <c r="F856" s="218" t="s">
        <v>1911</v>
      </c>
      <c r="G856" s="116">
        <v>6634</v>
      </c>
      <c r="H856" s="1776" t="s">
        <v>1349</v>
      </c>
      <c r="J856" s="224"/>
      <c r="K856" s="34" t="s">
        <v>25</v>
      </c>
      <c r="L856" s="475"/>
      <c r="M856" s="224"/>
      <c r="N856" s="224"/>
      <c r="O856" s="902" t="s">
        <v>6395</v>
      </c>
    </row>
    <row r="857" spans="1:15" x14ac:dyDescent="0.3">
      <c r="A857" s="2402">
        <v>851</v>
      </c>
      <c r="B857" s="1122" t="s">
        <v>1909</v>
      </c>
      <c r="C857" s="216" t="s">
        <v>1344</v>
      </c>
      <c r="D857" s="452" t="s">
        <v>954</v>
      </c>
      <c r="E857" s="217" t="s">
        <v>1924</v>
      </c>
      <c r="F857" s="218" t="s">
        <v>1911</v>
      </c>
      <c r="G857" s="116">
        <v>6634</v>
      </c>
      <c r="H857" s="1776" t="s">
        <v>1349</v>
      </c>
      <c r="J857" s="224"/>
      <c r="K857" s="34" t="s">
        <v>25</v>
      </c>
      <c r="L857" s="475"/>
      <c r="M857" s="224"/>
      <c r="N857" s="224"/>
      <c r="O857" s="902" t="s">
        <v>6395</v>
      </c>
    </row>
    <row r="858" spans="1:15" x14ac:dyDescent="0.3">
      <c r="A858" s="2401">
        <v>852</v>
      </c>
      <c r="B858" s="1122" t="s">
        <v>1909</v>
      </c>
      <c r="C858" s="216" t="s">
        <v>1344</v>
      </c>
      <c r="D858" s="793" t="s">
        <v>954</v>
      </c>
      <c r="E858" s="217" t="s">
        <v>1925</v>
      </c>
      <c r="F858" s="218" t="s">
        <v>1911</v>
      </c>
      <c r="G858" s="116">
        <v>6634</v>
      </c>
      <c r="H858" s="1776" t="s">
        <v>1349</v>
      </c>
      <c r="J858" s="224"/>
      <c r="K858" s="34" t="s">
        <v>25</v>
      </c>
      <c r="L858" s="475"/>
      <c r="M858" s="224"/>
      <c r="N858" s="224"/>
      <c r="O858" s="902" t="s">
        <v>6395</v>
      </c>
    </row>
    <row r="859" spans="1:15" x14ac:dyDescent="0.3">
      <c r="A859" s="2402">
        <v>853</v>
      </c>
      <c r="B859" s="1122" t="s">
        <v>1909</v>
      </c>
      <c r="C859" s="216" t="s">
        <v>1344</v>
      </c>
      <c r="D859" s="452" t="s">
        <v>954</v>
      </c>
      <c r="E859" s="217" t="s">
        <v>1926</v>
      </c>
      <c r="F859" s="218" t="s">
        <v>1911</v>
      </c>
      <c r="G859" s="116">
        <v>6634</v>
      </c>
      <c r="H859" s="1776" t="s">
        <v>1349</v>
      </c>
      <c r="J859" s="224"/>
      <c r="K859" s="34" t="s">
        <v>25</v>
      </c>
      <c r="L859" s="475"/>
      <c r="M859" s="224"/>
      <c r="N859" s="224"/>
      <c r="O859" s="902" t="s">
        <v>6395</v>
      </c>
    </row>
    <row r="860" spans="1:15" x14ac:dyDescent="0.3">
      <c r="A860" s="2402">
        <v>854</v>
      </c>
      <c r="B860" s="1122" t="s">
        <v>1909</v>
      </c>
      <c r="C860" s="216" t="s">
        <v>1344</v>
      </c>
      <c r="D860" s="793" t="s">
        <v>954</v>
      </c>
      <c r="E860" s="217" t="s">
        <v>1927</v>
      </c>
      <c r="F860" s="218" t="s">
        <v>1911</v>
      </c>
      <c r="G860" s="116">
        <v>6634</v>
      </c>
      <c r="H860" s="1776" t="s">
        <v>1349</v>
      </c>
      <c r="J860" s="224"/>
      <c r="K860" s="34" t="s">
        <v>25</v>
      </c>
      <c r="L860" s="475"/>
      <c r="M860" s="224"/>
      <c r="N860" s="224"/>
      <c r="O860" s="902" t="s">
        <v>6395</v>
      </c>
    </row>
    <row r="861" spans="1:15" x14ac:dyDescent="0.3">
      <c r="A861" s="2401">
        <v>855</v>
      </c>
      <c r="B861" s="1122" t="s">
        <v>1909</v>
      </c>
      <c r="C861" s="216" t="s">
        <v>1344</v>
      </c>
      <c r="D861" s="416" t="s">
        <v>954</v>
      </c>
      <c r="E861" s="217" t="s">
        <v>1928</v>
      </c>
      <c r="F861" s="218" t="s">
        <v>1911</v>
      </c>
      <c r="G861" s="116">
        <v>6634</v>
      </c>
      <c r="H861" s="1776" t="s">
        <v>1349</v>
      </c>
      <c r="J861" s="224"/>
      <c r="K861" s="34" t="s">
        <v>25</v>
      </c>
      <c r="L861" s="475"/>
      <c r="M861" s="224"/>
      <c r="N861" s="224"/>
      <c r="O861" s="902" t="s">
        <v>6395</v>
      </c>
    </row>
    <row r="862" spans="1:15" x14ac:dyDescent="0.3">
      <c r="A862" s="2402">
        <v>856</v>
      </c>
      <c r="B862" s="1122" t="s">
        <v>1909</v>
      </c>
      <c r="C862" s="216" t="s">
        <v>1344</v>
      </c>
      <c r="D862" s="416" t="s">
        <v>954</v>
      </c>
      <c r="E862" s="217" t="s">
        <v>1929</v>
      </c>
      <c r="F862" s="218" t="s">
        <v>1911</v>
      </c>
      <c r="G862" s="116">
        <v>6634</v>
      </c>
      <c r="H862" s="1776" t="s">
        <v>1349</v>
      </c>
      <c r="J862" s="224"/>
      <c r="K862" s="34" t="s">
        <v>25</v>
      </c>
      <c r="L862" s="475"/>
      <c r="M862" s="224"/>
      <c r="N862" s="224"/>
      <c r="O862" s="902" t="s">
        <v>6395</v>
      </c>
    </row>
    <row r="863" spans="1:15" x14ac:dyDescent="0.3">
      <c r="A863" s="2402">
        <v>857</v>
      </c>
      <c r="B863" s="1122" t="s">
        <v>1909</v>
      </c>
      <c r="C863" s="216" t="s">
        <v>1344</v>
      </c>
      <c r="D863" s="416" t="s">
        <v>954</v>
      </c>
      <c r="E863" s="217" t="s">
        <v>1930</v>
      </c>
      <c r="F863" s="218" t="s">
        <v>1911</v>
      </c>
      <c r="G863" s="116">
        <v>6634</v>
      </c>
      <c r="H863" s="1776" t="s">
        <v>1349</v>
      </c>
      <c r="J863" s="224"/>
      <c r="K863" s="34" t="s">
        <v>25</v>
      </c>
      <c r="L863" s="475"/>
      <c r="M863" s="224"/>
      <c r="N863" s="224"/>
      <c r="O863" s="902" t="s">
        <v>6395</v>
      </c>
    </row>
    <row r="864" spans="1:15" x14ac:dyDescent="0.3">
      <c r="A864" s="2401">
        <v>858</v>
      </c>
      <c r="B864" s="1122" t="s">
        <v>1909</v>
      </c>
      <c r="C864" s="216" t="s">
        <v>1344</v>
      </c>
      <c r="D864" s="416" t="s">
        <v>954</v>
      </c>
      <c r="E864" s="217" t="s">
        <v>348</v>
      </c>
      <c r="F864" s="218" t="s">
        <v>1911</v>
      </c>
      <c r="G864" s="116">
        <v>6634</v>
      </c>
      <c r="H864" s="1776" t="s">
        <v>1349</v>
      </c>
      <c r="J864" s="224"/>
      <c r="K864" s="34" t="s">
        <v>25</v>
      </c>
      <c r="L864" s="475"/>
      <c r="M864" s="224"/>
      <c r="N864" s="224"/>
      <c r="O864" s="902" t="s">
        <v>6395</v>
      </c>
    </row>
    <row r="865" spans="1:15" x14ac:dyDescent="0.3">
      <c r="A865" s="2402">
        <v>859</v>
      </c>
      <c r="B865" s="1122" t="s">
        <v>1909</v>
      </c>
      <c r="C865" s="216" t="s">
        <v>1344</v>
      </c>
      <c r="D865" s="416" t="s">
        <v>954</v>
      </c>
      <c r="E865" s="217" t="s">
        <v>350</v>
      </c>
      <c r="F865" s="218" t="s">
        <v>1911</v>
      </c>
      <c r="G865" s="116">
        <v>6634</v>
      </c>
      <c r="H865" s="1776" t="s">
        <v>1349</v>
      </c>
      <c r="J865" s="224"/>
      <c r="K865" s="34" t="s">
        <v>25</v>
      </c>
      <c r="L865" s="475"/>
      <c r="M865" s="224"/>
      <c r="N865" s="224"/>
      <c r="O865" s="902" t="s">
        <v>6395</v>
      </c>
    </row>
    <row r="866" spans="1:15" x14ac:dyDescent="0.3">
      <c r="A866" s="2402">
        <v>860</v>
      </c>
      <c r="B866" s="1122" t="s">
        <v>1909</v>
      </c>
      <c r="C866" s="216" t="s">
        <v>1344</v>
      </c>
      <c r="D866" s="416" t="s">
        <v>954</v>
      </c>
      <c r="E866" s="217" t="s">
        <v>351</v>
      </c>
      <c r="F866" s="218" t="s">
        <v>1911</v>
      </c>
      <c r="G866" s="116">
        <v>6634</v>
      </c>
      <c r="H866" s="1776" t="s">
        <v>1349</v>
      </c>
      <c r="J866" s="224"/>
      <c r="K866" s="34" t="s">
        <v>25</v>
      </c>
      <c r="L866" s="475"/>
      <c r="M866" s="224"/>
      <c r="N866" s="224"/>
      <c r="O866" s="902" t="s">
        <v>6395</v>
      </c>
    </row>
    <row r="867" spans="1:15" x14ac:dyDescent="0.3">
      <c r="A867" s="2401">
        <v>861</v>
      </c>
      <c r="B867" s="1122" t="s">
        <v>1909</v>
      </c>
      <c r="C867" s="216" t="s">
        <v>1344</v>
      </c>
      <c r="D867" s="416" t="s">
        <v>954</v>
      </c>
      <c r="E867" s="217" t="s">
        <v>1931</v>
      </c>
      <c r="F867" s="218" t="s">
        <v>1911</v>
      </c>
      <c r="G867" s="116">
        <v>6634</v>
      </c>
      <c r="H867" s="1776" t="s">
        <v>1349</v>
      </c>
      <c r="J867" s="224"/>
      <c r="K867" s="34" t="s">
        <v>25</v>
      </c>
      <c r="L867" s="475"/>
      <c r="M867" s="224"/>
      <c r="N867" s="224"/>
      <c r="O867" s="902" t="s">
        <v>6395</v>
      </c>
    </row>
    <row r="868" spans="1:15" x14ac:dyDescent="0.3">
      <c r="A868" s="2402">
        <v>862</v>
      </c>
      <c r="B868" s="1122" t="s">
        <v>1909</v>
      </c>
      <c r="C868" s="216" t="s">
        <v>1344</v>
      </c>
      <c r="D868" s="416" t="s">
        <v>954</v>
      </c>
      <c r="E868" s="217" t="s">
        <v>1932</v>
      </c>
      <c r="F868" s="218" t="s">
        <v>1911</v>
      </c>
      <c r="G868" s="116">
        <v>6634</v>
      </c>
      <c r="H868" s="1776" t="s">
        <v>1349</v>
      </c>
      <c r="J868" s="224"/>
      <c r="K868" s="34" t="s">
        <v>25</v>
      </c>
      <c r="L868" s="475"/>
      <c r="M868" s="224"/>
      <c r="N868" s="224"/>
      <c r="O868" s="902" t="s">
        <v>6395</v>
      </c>
    </row>
    <row r="869" spans="1:15" x14ac:dyDescent="0.3">
      <c r="A869" s="2402">
        <v>863</v>
      </c>
      <c r="B869" s="1122" t="s">
        <v>1909</v>
      </c>
      <c r="C869" s="216" t="s">
        <v>1344</v>
      </c>
      <c r="D869" s="416" t="s">
        <v>954</v>
      </c>
      <c r="E869" s="217" t="s">
        <v>1933</v>
      </c>
      <c r="F869" s="218" t="s">
        <v>1911</v>
      </c>
      <c r="G869" s="116">
        <v>6634</v>
      </c>
      <c r="H869" s="1776" t="s">
        <v>1349</v>
      </c>
      <c r="J869" s="224"/>
      <c r="K869" s="34" t="s">
        <v>25</v>
      </c>
      <c r="L869" s="475"/>
      <c r="M869" s="224"/>
      <c r="N869" s="224"/>
      <c r="O869" s="902" t="s">
        <v>6395</v>
      </c>
    </row>
    <row r="870" spans="1:15" x14ac:dyDescent="0.3">
      <c r="A870" s="2401">
        <v>864</v>
      </c>
      <c r="B870" s="1122" t="s">
        <v>1909</v>
      </c>
      <c r="C870" s="216" t="s">
        <v>1344</v>
      </c>
      <c r="D870" s="416" t="s">
        <v>954</v>
      </c>
      <c r="E870" s="217" t="s">
        <v>1934</v>
      </c>
      <c r="F870" s="218" t="s">
        <v>1911</v>
      </c>
      <c r="G870" s="116">
        <v>6634</v>
      </c>
      <c r="H870" s="1776" t="s">
        <v>1349</v>
      </c>
      <c r="J870" s="224"/>
      <c r="K870" s="34" t="s">
        <v>25</v>
      </c>
      <c r="L870" s="475"/>
      <c r="M870" s="224"/>
      <c r="N870" s="224"/>
      <c r="O870" s="902" t="s">
        <v>6395</v>
      </c>
    </row>
    <row r="871" spans="1:15" x14ac:dyDescent="0.3">
      <c r="A871" s="2402">
        <v>865</v>
      </c>
      <c r="B871" s="1122" t="s">
        <v>1909</v>
      </c>
      <c r="C871" s="216" t="s">
        <v>1344</v>
      </c>
      <c r="D871" s="416" t="s">
        <v>954</v>
      </c>
      <c r="E871" s="217" t="s">
        <v>1935</v>
      </c>
      <c r="F871" s="218" t="s">
        <v>1911</v>
      </c>
      <c r="G871" s="116">
        <v>6634</v>
      </c>
      <c r="H871" s="1776" t="s">
        <v>1349</v>
      </c>
      <c r="J871" s="224"/>
      <c r="K871" s="34" t="s">
        <v>25</v>
      </c>
      <c r="L871" s="475"/>
      <c r="M871" s="224"/>
      <c r="N871" s="224"/>
      <c r="O871" s="902" t="s">
        <v>6395</v>
      </c>
    </row>
    <row r="872" spans="1:15" x14ac:dyDescent="0.3">
      <c r="A872" s="2402">
        <v>866</v>
      </c>
      <c r="B872" s="1122" t="s">
        <v>1909</v>
      </c>
      <c r="C872" s="216" t="s">
        <v>1344</v>
      </c>
      <c r="D872" s="416" t="s">
        <v>954</v>
      </c>
      <c r="E872" s="217" t="s">
        <v>1936</v>
      </c>
      <c r="F872" s="218" t="s">
        <v>1911</v>
      </c>
      <c r="G872" s="116">
        <v>6634</v>
      </c>
      <c r="H872" s="1776" t="s">
        <v>1349</v>
      </c>
      <c r="J872" s="224"/>
      <c r="K872" s="34" t="s">
        <v>25</v>
      </c>
      <c r="L872" s="475"/>
      <c r="M872" s="224"/>
      <c r="N872" s="224"/>
      <c r="O872" s="902" t="s">
        <v>6395</v>
      </c>
    </row>
    <row r="873" spans="1:15" x14ac:dyDescent="0.3">
      <c r="A873" s="2401">
        <v>867</v>
      </c>
      <c r="B873" s="1122" t="s">
        <v>1909</v>
      </c>
      <c r="C873" s="216" t="s">
        <v>1344</v>
      </c>
      <c r="D873" s="416" t="s">
        <v>954</v>
      </c>
      <c r="E873" s="217" t="s">
        <v>1937</v>
      </c>
      <c r="F873" s="218" t="s">
        <v>1911</v>
      </c>
      <c r="G873" s="116">
        <v>6634</v>
      </c>
      <c r="H873" s="1776" t="s">
        <v>1349</v>
      </c>
      <c r="J873" s="224"/>
      <c r="K873" s="34" t="s">
        <v>25</v>
      </c>
      <c r="L873" s="475"/>
      <c r="M873" s="224"/>
      <c r="N873" s="224"/>
      <c r="O873" s="902" t="s">
        <v>6395</v>
      </c>
    </row>
    <row r="874" spans="1:15" x14ac:dyDescent="0.3">
      <c r="A874" s="2402">
        <v>868</v>
      </c>
      <c r="B874" s="1122" t="s">
        <v>1909</v>
      </c>
      <c r="C874" s="216" t="s">
        <v>1344</v>
      </c>
      <c r="D874" s="416" t="s">
        <v>954</v>
      </c>
      <c r="E874" s="217" t="s">
        <v>1938</v>
      </c>
      <c r="F874" s="218" t="s">
        <v>1911</v>
      </c>
      <c r="G874" s="116">
        <v>6634</v>
      </c>
      <c r="H874" s="1776" t="s">
        <v>1349</v>
      </c>
      <c r="J874" s="224"/>
      <c r="K874" s="34" t="s">
        <v>25</v>
      </c>
      <c r="L874" s="475"/>
      <c r="M874" s="224"/>
      <c r="N874" s="224"/>
      <c r="O874" s="902" t="s">
        <v>6395</v>
      </c>
    </row>
    <row r="875" spans="1:15" x14ac:dyDescent="0.3">
      <c r="A875" s="2402">
        <v>869</v>
      </c>
      <c r="B875" s="1122" t="s">
        <v>1909</v>
      </c>
      <c r="C875" s="216" t="s">
        <v>1344</v>
      </c>
      <c r="D875" s="416" t="s">
        <v>954</v>
      </c>
      <c r="E875" s="217" t="s">
        <v>1939</v>
      </c>
      <c r="F875" s="218" t="s">
        <v>1911</v>
      </c>
      <c r="G875" s="116">
        <v>6634</v>
      </c>
      <c r="H875" s="1776" t="s">
        <v>1349</v>
      </c>
      <c r="J875" s="224"/>
      <c r="K875" s="34" t="s">
        <v>25</v>
      </c>
      <c r="L875" s="475"/>
      <c r="M875" s="224"/>
      <c r="N875" s="224"/>
      <c r="O875" s="902" t="s">
        <v>6395</v>
      </c>
    </row>
    <row r="876" spans="1:15" x14ac:dyDescent="0.3">
      <c r="A876" s="2401">
        <v>870</v>
      </c>
      <c r="B876" s="1122" t="s">
        <v>1909</v>
      </c>
      <c r="C876" s="216" t="s">
        <v>1344</v>
      </c>
      <c r="D876" s="452" t="s">
        <v>954</v>
      </c>
      <c r="E876" s="217" t="s">
        <v>1940</v>
      </c>
      <c r="F876" s="218" t="s">
        <v>1911</v>
      </c>
      <c r="G876" s="116">
        <v>6634</v>
      </c>
      <c r="H876" s="1776" t="s">
        <v>1349</v>
      </c>
      <c r="J876" s="224"/>
      <c r="K876" s="34" t="s">
        <v>25</v>
      </c>
      <c r="L876" s="475"/>
      <c r="M876" s="224"/>
      <c r="N876" s="224"/>
      <c r="O876" s="902" t="s">
        <v>6395</v>
      </c>
    </row>
    <row r="877" spans="1:15" x14ac:dyDescent="0.3">
      <c r="A877" s="2402">
        <v>871</v>
      </c>
      <c r="B877" s="1122" t="s">
        <v>1909</v>
      </c>
      <c r="C877" s="216" t="s">
        <v>1344</v>
      </c>
      <c r="D877" s="495" t="s">
        <v>954</v>
      </c>
      <c r="E877" s="217" t="s">
        <v>1941</v>
      </c>
      <c r="F877" s="218" t="s">
        <v>1911</v>
      </c>
      <c r="G877" s="116">
        <v>6634</v>
      </c>
      <c r="H877" s="1776" t="s">
        <v>1349</v>
      </c>
      <c r="J877" s="224"/>
      <c r="K877" s="34" t="s">
        <v>25</v>
      </c>
      <c r="L877" s="475"/>
      <c r="M877" s="224"/>
      <c r="N877" s="224"/>
      <c r="O877" s="902" t="s">
        <v>6395</v>
      </c>
    </row>
    <row r="878" spans="1:15" x14ac:dyDescent="0.3">
      <c r="A878" s="2402">
        <v>872</v>
      </c>
      <c r="B878" s="1122" t="s">
        <v>1909</v>
      </c>
      <c r="C878" s="216" t="s">
        <v>1344</v>
      </c>
      <c r="D878" s="793" t="s">
        <v>954</v>
      </c>
      <c r="E878" s="217" t="s">
        <v>1942</v>
      </c>
      <c r="F878" s="218" t="s">
        <v>1911</v>
      </c>
      <c r="G878" s="116">
        <v>6634</v>
      </c>
      <c r="H878" s="1776" t="s">
        <v>1349</v>
      </c>
      <c r="J878" s="224"/>
      <c r="K878" s="34" t="s">
        <v>25</v>
      </c>
      <c r="L878" s="475"/>
      <c r="M878" s="224"/>
      <c r="N878" s="224"/>
      <c r="O878" s="902" t="s">
        <v>6395</v>
      </c>
    </row>
    <row r="879" spans="1:15" x14ac:dyDescent="0.3">
      <c r="A879" s="2401">
        <v>873</v>
      </c>
      <c r="B879" s="1122" t="s">
        <v>1909</v>
      </c>
      <c r="C879" s="216" t="s">
        <v>1344</v>
      </c>
      <c r="D879" s="416" t="s">
        <v>954</v>
      </c>
      <c r="E879" s="217" t="s">
        <v>1943</v>
      </c>
      <c r="F879" s="218" t="s">
        <v>1911</v>
      </c>
      <c r="G879" s="116">
        <v>6634</v>
      </c>
      <c r="H879" s="1776" t="s">
        <v>1349</v>
      </c>
      <c r="J879" s="224"/>
      <c r="K879" s="34" t="s">
        <v>25</v>
      </c>
      <c r="L879" s="475"/>
      <c r="M879" s="224"/>
      <c r="N879" s="224"/>
      <c r="O879" s="902" t="s">
        <v>6395</v>
      </c>
    </row>
    <row r="880" spans="1:15" x14ac:dyDescent="0.3">
      <c r="A880" s="2402">
        <v>874</v>
      </c>
      <c r="B880" s="1122" t="s">
        <v>1909</v>
      </c>
      <c r="C880" s="216" t="s">
        <v>1344</v>
      </c>
      <c r="D880" s="416" t="s">
        <v>954</v>
      </c>
      <c r="E880" s="217" t="s">
        <v>1944</v>
      </c>
      <c r="F880" s="218" t="s">
        <v>1911</v>
      </c>
      <c r="G880" s="116">
        <v>6634</v>
      </c>
      <c r="H880" s="1776" t="s">
        <v>1349</v>
      </c>
      <c r="J880" s="224"/>
      <c r="K880" s="34" t="s">
        <v>25</v>
      </c>
      <c r="L880" s="475"/>
      <c r="M880" s="224"/>
      <c r="N880" s="224"/>
      <c r="O880" s="902" t="s">
        <v>6395</v>
      </c>
    </row>
    <row r="881" spans="1:15" x14ac:dyDescent="0.3">
      <c r="A881" s="2402">
        <v>875</v>
      </c>
      <c r="B881" s="1122" t="s">
        <v>1909</v>
      </c>
      <c r="C881" s="216" t="s">
        <v>1344</v>
      </c>
      <c r="D881" s="416" t="s">
        <v>954</v>
      </c>
      <c r="E881" s="217" t="s">
        <v>1945</v>
      </c>
      <c r="F881" s="218" t="s">
        <v>1911</v>
      </c>
      <c r="G881" s="116">
        <v>6634</v>
      </c>
      <c r="H881" s="1776" t="s">
        <v>1349</v>
      </c>
      <c r="J881" s="224"/>
      <c r="K881" s="34" t="s">
        <v>25</v>
      </c>
      <c r="L881" s="475"/>
      <c r="M881" s="224"/>
      <c r="N881" s="224"/>
      <c r="O881" s="902" t="s">
        <v>6395</v>
      </c>
    </row>
    <row r="882" spans="1:15" x14ac:dyDescent="0.3">
      <c r="A882" s="2401">
        <v>876</v>
      </c>
      <c r="B882" s="1122" t="s">
        <v>1909</v>
      </c>
      <c r="C882" s="216" t="s">
        <v>1344</v>
      </c>
      <c r="D882" s="416" t="s">
        <v>954</v>
      </c>
      <c r="E882" s="217" t="s">
        <v>1946</v>
      </c>
      <c r="F882" s="218" t="s">
        <v>1911</v>
      </c>
      <c r="G882" s="116">
        <v>6634</v>
      </c>
      <c r="H882" s="1776" t="s">
        <v>1349</v>
      </c>
      <c r="J882" s="224"/>
      <c r="K882" s="34" t="s">
        <v>25</v>
      </c>
      <c r="L882" s="475"/>
      <c r="M882" s="224"/>
      <c r="N882" s="224"/>
      <c r="O882" s="902" t="s">
        <v>6395</v>
      </c>
    </row>
    <row r="883" spans="1:15" x14ac:dyDescent="0.3">
      <c r="A883" s="2402">
        <v>877</v>
      </c>
      <c r="B883" s="1122" t="s">
        <v>1909</v>
      </c>
      <c r="C883" s="216" t="s">
        <v>1344</v>
      </c>
      <c r="D883" s="416" t="s">
        <v>954</v>
      </c>
      <c r="E883" s="217" t="s">
        <v>1947</v>
      </c>
      <c r="F883" s="218" t="s">
        <v>1911</v>
      </c>
      <c r="G883" s="116">
        <v>6634</v>
      </c>
      <c r="H883" s="1776" t="s">
        <v>1349</v>
      </c>
      <c r="J883" s="224"/>
      <c r="K883" s="34" t="s">
        <v>25</v>
      </c>
      <c r="L883" s="475"/>
      <c r="M883" s="224"/>
      <c r="N883" s="224"/>
      <c r="O883" s="902" t="s">
        <v>6395</v>
      </c>
    </row>
    <row r="884" spans="1:15" x14ac:dyDescent="0.3">
      <c r="A884" s="2402">
        <v>878</v>
      </c>
      <c r="B884" s="1122" t="s">
        <v>1909</v>
      </c>
      <c r="C884" s="216" t="s">
        <v>1344</v>
      </c>
      <c r="D884" s="416" t="s">
        <v>954</v>
      </c>
      <c r="E884" s="217" t="s">
        <v>1948</v>
      </c>
      <c r="F884" s="218" t="s">
        <v>1911</v>
      </c>
      <c r="G884" s="116">
        <v>6634</v>
      </c>
      <c r="H884" s="1776" t="s">
        <v>1349</v>
      </c>
      <c r="J884" s="224"/>
      <c r="K884" s="34" t="s">
        <v>25</v>
      </c>
      <c r="L884" s="475"/>
      <c r="M884" s="224"/>
      <c r="N884" s="224"/>
      <c r="O884" s="902" t="s">
        <v>6395</v>
      </c>
    </row>
    <row r="885" spans="1:15" x14ac:dyDescent="0.3">
      <c r="A885" s="2401">
        <v>879</v>
      </c>
      <c r="B885" s="1122" t="s">
        <v>1909</v>
      </c>
      <c r="C885" s="216" t="s">
        <v>1344</v>
      </c>
      <c r="D885" s="416" t="s">
        <v>954</v>
      </c>
      <c r="E885" s="217" t="s">
        <v>1949</v>
      </c>
      <c r="F885" s="218" t="s">
        <v>1911</v>
      </c>
      <c r="G885" s="116">
        <v>6634</v>
      </c>
      <c r="H885" s="1776" t="s">
        <v>1349</v>
      </c>
      <c r="J885" s="224"/>
      <c r="K885" s="34" t="s">
        <v>25</v>
      </c>
      <c r="L885" s="475"/>
      <c r="M885" s="224"/>
      <c r="N885" s="224"/>
      <c r="O885" s="902" t="s">
        <v>6395</v>
      </c>
    </row>
    <row r="886" spans="1:15" x14ac:dyDescent="0.3">
      <c r="A886" s="2402">
        <v>880</v>
      </c>
      <c r="B886" s="1122" t="s">
        <v>1909</v>
      </c>
      <c r="C886" s="216" t="s">
        <v>1344</v>
      </c>
      <c r="D886" s="416" t="s">
        <v>954</v>
      </c>
      <c r="E886" s="217" t="s">
        <v>1950</v>
      </c>
      <c r="F886" s="218" t="s">
        <v>1911</v>
      </c>
      <c r="G886" s="116">
        <v>6634</v>
      </c>
      <c r="H886" s="1776" t="s">
        <v>1349</v>
      </c>
      <c r="J886" s="224"/>
      <c r="K886" s="34" t="s">
        <v>25</v>
      </c>
      <c r="L886" s="475"/>
      <c r="M886" s="224"/>
      <c r="N886" s="224"/>
      <c r="O886" s="902" t="s">
        <v>6395</v>
      </c>
    </row>
    <row r="887" spans="1:15" x14ac:dyDescent="0.3">
      <c r="A887" s="2402">
        <v>881</v>
      </c>
      <c r="B887" s="1122" t="s">
        <v>1909</v>
      </c>
      <c r="C887" s="216" t="s">
        <v>1344</v>
      </c>
      <c r="D887" s="416" t="s">
        <v>954</v>
      </c>
      <c r="E887" s="217" t="s">
        <v>1951</v>
      </c>
      <c r="F887" s="218" t="s">
        <v>1911</v>
      </c>
      <c r="G887" s="116">
        <v>6634</v>
      </c>
      <c r="H887" s="1776" t="s">
        <v>1349</v>
      </c>
      <c r="J887" s="224"/>
      <c r="K887" s="34" t="s">
        <v>25</v>
      </c>
      <c r="L887" s="475"/>
      <c r="M887" s="224"/>
      <c r="N887" s="224"/>
      <c r="O887" s="902" t="s">
        <v>6395</v>
      </c>
    </row>
    <row r="888" spans="1:15" x14ac:dyDescent="0.3">
      <c r="A888" s="2401">
        <v>882</v>
      </c>
      <c r="B888" s="1122" t="s">
        <v>1909</v>
      </c>
      <c r="C888" s="216" t="s">
        <v>1344</v>
      </c>
      <c r="D888" s="416" t="s">
        <v>954</v>
      </c>
      <c r="E888" s="217" t="s">
        <v>1952</v>
      </c>
      <c r="F888" s="218" t="s">
        <v>1911</v>
      </c>
      <c r="G888" s="116">
        <v>6634</v>
      </c>
      <c r="H888" s="1776" t="s">
        <v>1349</v>
      </c>
      <c r="J888" s="224"/>
      <c r="K888" s="34" t="s">
        <v>25</v>
      </c>
      <c r="L888" s="475"/>
      <c r="M888" s="224"/>
      <c r="N888" s="224"/>
      <c r="O888" s="902" t="s">
        <v>6395</v>
      </c>
    </row>
    <row r="889" spans="1:15" x14ac:dyDescent="0.3">
      <c r="A889" s="2402">
        <v>883</v>
      </c>
      <c r="B889" s="1122" t="s">
        <v>1909</v>
      </c>
      <c r="C889" s="216" t="s">
        <v>1344</v>
      </c>
      <c r="D889" s="416" t="s">
        <v>954</v>
      </c>
      <c r="E889" s="217" t="s">
        <v>1953</v>
      </c>
      <c r="F889" s="218" t="s">
        <v>1911</v>
      </c>
      <c r="G889" s="116">
        <v>6634</v>
      </c>
      <c r="H889" s="1776" t="s">
        <v>1349</v>
      </c>
      <c r="J889" s="224"/>
      <c r="K889" s="34" t="s">
        <v>25</v>
      </c>
      <c r="L889" s="475"/>
      <c r="M889" s="224"/>
      <c r="N889" s="224"/>
      <c r="O889" s="902" t="s">
        <v>6395</v>
      </c>
    </row>
    <row r="890" spans="1:15" x14ac:dyDescent="0.3">
      <c r="A890" s="2402">
        <v>884</v>
      </c>
      <c r="B890" s="1122" t="s">
        <v>1909</v>
      </c>
      <c r="C890" s="216" t="s">
        <v>1344</v>
      </c>
      <c r="D890" s="416" t="s">
        <v>954</v>
      </c>
      <c r="E890" s="217" t="s">
        <v>1954</v>
      </c>
      <c r="F890" s="218" t="s">
        <v>1911</v>
      </c>
      <c r="G890" s="116">
        <v>6634</v>
      </c>
      <c r="H890" s="1776" t="s">
        <v>1349</v>
      </c>
      <c r="J890" s="224"/>
      <c r="K890" s="34" t="s">
        <v>25</v>
      </c>
      <c r="L890" s="475"/>
      <c r="M890" s="224"/>
      <c r="N890" s="224"/>
      <c r="O890" s="902" t="s">
        <v>6395</v>
      </c>
    </row>
    <row r="891" spans="1:15" x14ac:dyDescent="0.3">
      <c r="A891" s="2401">
        <v>885</v>
      </c>
      <c r="B891" s="1122" t="s">
        <v>1909</v>
      </c>
      <c r="C891" s="216" t="s">
        <v>1344</v>
      </c>
      <c r="D891" s="452" t="s">
        <v>954</v>
      </c>
      <c r="E891" s="217" t="s">
        <v>1955</v>
      </c>
      <c r="F891" s="218" t="s">
        <v>1911</v>
      </c>
      <c r="G891" s="116">
        <v>6634</v>
      </c>
      <c r="H891" s="1776" t="s">
        <v>1349</v>
      </c>
      <c r="J891" s="224"/>
      <c r="K891" s="34" t="s">
        <v>25</v>
      </c>
      <c r="L891" s="475"/>
      <c r="M891" s="224"/>
      <c r="N891" s="224"/>
      <c r="O891" s="902" t="s">
        <v>6395</v>
      </c>
    </row>
    <row r="892" spans="1:15" x14ac:dyDescent="0.3">
      <c r="A892" s="2402">
        <v>886</v>
      </c>
      <c r="B892" s="1122" t="s">
        <v>1909</v>
      </c>
      <c r="C892" s="216" t="s">
        <v>1344</v>
      </c>
      <c r="D892" s="793" t="s">
        <v>954</v>
      </c>
      <c r="E892" s="217" t="s">
        <v>354</v>
      </c>
      <c r="F892" s="218" t="s">
        <v>1911</v>
      </c>
      <c r="G892" s="116">
        <v>6634</v>
      </c>
      <c r="H892" s="1776" t="s">
        <v>1349</v>
      </c>
      <c r="J892" s="224"/>
      <c r="K892" s="34" t="s">
        <v>25</v>
      </c>
      <c r="L892" s="475"/>
      <c r="M892" s="224"/>
      <c r="N892" s="224"/>
      <c r="O892" s="902" t="s">
        <v>6395</v>
      </c>
    </row>
    <row r="893" spans="1:15" x14ac:dyDescent="0.3">
      <c r="A893" s="2402">
        <v>887</v>
      </c>
      <c r="B893" s="1122" t="s">
        <v>1909</v>
      </c>
      <c r="C893" s="216" t="s">
        <v>1344</v>
      </c>
      <c r="D893" s="416" t="s">
        <v>954</v>
      </c>
      <c r="E893" s="217" t="s">
        <v>1956</v>
      </c>
      <c r="F893" s="218" t="s">
        <v>1911</v>
      </c>
      <c r="G893" s="116">
        <v>6634</v>
      </c>
      <c r="H893" s="1776" t="s">
        <v>1349</v>
      </c>
      <c r="J893" s="224"/>
      <c r="K893" s="34" t="s">
        <v>25</v>
      </c>
      <c r="L893" s="475"/>
      <c r="M893" s="224"/>
      <c r="N893" s="224"/>
      <c r="O893" s="902" t="s">
        <v>6395</v>
      </c>
    </row>
    <row r="894" spans="1:15" x14ac:dyDescent="0.3">
      <c r="A894" s="2401">
        <v>888</v>
      </c>
      <c r="B894" s="1122" t="s">
        <v>1909</v>
      </c>
      <c r="C894" s="216" t="s">
        <v>1344</v>
      </c>
      <c r="D894" s="416" t="s">
        <v>954</v>
      </c>
      <c r="E894" s="217" t="s">
        <v>356</v>
      </c>
      <c r="F894" s="218" t="s">
        <v>1911</v>
      </c>
      <c r="G894" s="116">
        <v>6634</v>
      </c>
      <c r="H894" s="1776" t="s">
        <v>1349</v>
      </c>
      <c r="J894" s="224"/>
      <c r="K894" s="34" t="s">
        <v>25</v>
      </c>
      <c r="L894" s="475"/>
      <c r="M894" s="224"/>
      <c r="N894" s="224"/>
      <c r="O894" s="902" t="s">
        <v>6395</v>
      </c>
    </row>
    <row r="895" spans="1:15" x14ac:dyDescent="0.3">
      <c r="A895" s="2402">
        <v>889</v>
      </c>
      <c r="B895" s="1122" t="s">
        <v>1909</v>
      </c>
      <c r="C895" s="216" t="s">
        <v>1344</v>
      </c>
      <c r="D895" s="416" t="s">
        <v>954</v>
      </c>
      <c r="E895" s="217" t="s">
        <v>358</v>
      </c>
      <c r="F895" s="218" t="s">
        <v>1911</v>
      </c>
      <c r="G895" s="116">
        <v>6634</v>
      </c>
      <c r="H895" s="1776" t="s">
        <v>1349</v>
      </c>
      <c r="J895" s="224"/>
      <c r="K895" s="34" t="s">
        <v>25</v>
      </c>
      <c r="L895" s="475"/>
      <c r="M895" s="224"/>
      <c r="N895" s="224"/>
      <c r="O895" s="902" t="s">
        <v>6395</v>
      </c>
    </row>
    <row r="896" spans="1:15" x14ac:dyDescent="0.3">
      <c r="A896" s="2402">
        <v>890</v>
      </c>
      <c r="B896" s="1122" t="s">
        <v>1909</v>
      </c>
      <c r="C896" s="216" t="s">
        <v>1344</v>
      </c>
      <c r="D896" s="416" t="s">
        <v>954</v>
      </c>
      <c r="E896" s="217" t="s">
        <v>1957</v>
      </c>
      <c r="F896" s="218" t="s">
        <v>1911</v>
      </c>
      <c r="G896" s="116">
        <v>6634</v>
      </c>
      <c r="H896" s="1776" t="s">
        <v>1349</v>
      </c>
      <c r="J896" s="224"/>
      <c r="K896" s="34" t="s">
        <v>25</v>
      </c>
      <c r="L896" s="475"/>
      <c r="M896" s="224"/>
      <c r="N896" s="224"/>
      <c r="O896" s="902" t="s">
        <v>6395</v>
      </c>
    </row>
    <row r="897" spans="1:15" x14ac:dyDescent="0.3">
      <c r="A897" s="2401">
        <v>891</v>
      </c>
      <c r="B897" s="1122" t="s">
        <v>1909</v>
      </c>
      <c r="C897" s="216" t="s">
        <v>1344</v>
      </c>
      <c r="D897" s="416" t="s">
        <v>954</v>
      </c>
      <c r="E897" s="217" t="s">
        <v>360</v>
      </c>
      <c r="F897" s="218" t="s">
        <v>1911</v>
      </c>
      <c r="G897" s="116">
        <v>6634</v>
      </c>
      <c r="H897" s="1776" t="s">
        <v>1349</v>
      </c>
      <c r="J897" s="224"/>
      <c r="K897" s="34" t="s">
        <v>25</v>
      </c>
      <c r="L897" s="475"/>
      <c r="M897" s="224"/>
      <c r="N897" s="224"/>
      <c r="O897" s="902" t="s">
        <v>6395</v>
      </c>
    </row>
    <row r="898" spans="1:15" x14ac:dyDescent="0.3">
      <c r="A898" s="2402">
        <v>892</v>
      </c>
      <c r="B898" s="1122" t="s">
        <v>1909</v>
      </c>
      <c r="C898" s="216" t="s">
        <v>1344</v>
      </c>
      <c r="D898" s="416" t="s">
        <v>954</v>
      </c>
      <c r="E898" s="217" t="s">
        <v>361</v>
      </c>
      <c r="F898" s="218" t="s">
        <v>1911</v>
      </c>
      <c r="G898" s="116">
        <v>6634</v>
      </c>
      <c r="H898" s="1776" t="s">
        <v>1349</v>
      </c>
      <c r="J898" s="224"/>
      <c r="K898" s="34" t="s">
        <v>25</v>
      </c>
      <c r="L898" s="475"/>
      <c r="M898" s="224"/>
      <c r="N898" s="224"/>
      <c r="O898" s="902" t="s">
        <v>6395</v>
      </c>
    </row>
    <row r="899" spans="1:15" x14ac:dyDescent="0.3">
      <c r="A899" s="2402">
        <v>893</v>
      </c>
      <c r="B899" s="1122" t="s">
        <v>1909</v>
      </c>
      <c r="C899" s="216" t="s">
        <v>1344</v>
      </c>
      <c r="D899" s="416" t="s">
        <v>954</v>
      </c>
      <c r="E899" s="217" t="s">
        <v>1958</v>
      </c>
      <c r="F899" s="218" t="s">
        <v>1911</v>
      </c>
      <c r="G899" s="116">
        <v>6634</v>
      </c>
      <c r="H899" s="1776" t="s">
        <v>1349</v>
      </c>
      <c r="J899" s="224"/>
      <c r="K899" s="34" t="s">
        <v>25</v>
      </c>
      <c r="L899" s="475"/>
      <c r="M899" s="224"/>
      <c r="N899" s="224"/>
      <c r="O899" s="902" t="s">
        <v>6395</v>
      </c>
    </row>
    <row r="900" spans="1:15" x14ac:dyDescent="0.3">
      <c r="A900" s="2401">
        <v>894</v>
      </c>
      <c r="B900" s="1122" t="s">
        <v>1909</v>
      </c>
      <c r="C900" s="216" t="s">
        <v>1344</v>
      </c>
      <c r="D900" s="416" t="s">
        <v>954</v>
      </c>
      <c r="E900" s="217" t="s">
        <v>1959</v>
      </c>
      <c r="F900" s="218" t="s">
        <v>1911</v>
      </c>
      <c r="G900" s="116">
        <v>6634</v>
      </c>
      <c r="H900" s="1776" t="s">
        <v>1349</v>
      </c>
      <c r="J900" s="224"/>
      <c r="K900" s="34" t="s">
        <v>25</v>
      </c>
      <c r="L900" s="475"/>
      <c r="M900" s="224"/>
      <c r="N900" s="224"/>
      <c r="O900" s="902" t="s">
        <v>6395</v>
      </c>
    </row>
    <row r="901" spans="1:15" x14ac:dyDescent="0.3">
      <c r="A901" s="2402">
        <v>895</v>
      </c>
      <c r="B901" s="1122" t="s">
        <v>1909</v>
      </c>
      <c r="C901" s="216" t="s">
        <v>1344</v>
      </c>
      <c r="D901" s="416" t="s">
        <v>954</v>
      </c>
      <c r="E901" s="217" t="s">
        <v>1960</v>
      </c>
      <c r="F901" s="218" t="s">
        <v>1911</v>
      </c>
      <c r="G901" s="116">
        <v>6634</v>
      </c>
      <c r="H901" s="1776" t="s">
        <v>1349</v>
      </c>
      <c r="J901" s="224"/>
      <c r="K901" s="34" t="s">
        <v>25</v>
      </c>
      <c r="L901" s="475"/>
      <c r="M901" s="224"/>
      <c r="N901" s="224"/>
      <c r="O901" s="902" t="s">
        <v>6395</v>
      </c>
    </row>
    <row r="902" spans="1:15" x14ac:dyDescent="0.3">
      <c r="A902" s="2402">
        <v>896</v>
      </c>
      <c r="B902" s="1122" t="s">
        <v>1909</v>
      </c>
      <c r="C902" s="216" t="s">
        <v>1344</v>
      </c>
      <c r="D902" s="416" t="s">
        <v>954</v>
      </c>
      <c r="E902" s="217" t="s">
        <v>1961</v>
      </c>
      <c r="F902" s="218" t="s">
        <v>1911</v>
      </c>
      <c r="G902" s="116">
        <v>6634</v>
      </c>
      <c r="H902" s="1776" t="s">
        <v>1349</v>
      </c>
      <c r="J902" s="224"/>
      <c r="K902" s="34" t="s">
        <v>25</v>
      </c>
      <c r="L902" s="475"/>
      <c r="M902" s="224"/>
      <c r="N902" s="224"/>
      <c r="O902" s="902" t="s">
        <v>6395</v>
      </c>
    </row>
    <row r="903" spans="1:15" x14ac:dyDescent="0.3">
      <c r="A903" s="2401">
        <v>897</v>
      </c>
      <c r="B903" s="1122" t="s">
        <v>1909</v>
      </c>
      <c r="C903" s="216" t="s">
        <v>1344</v>
      </c>
      <c r="D903" s="416" t="s">
        <v>954</v>
      </c>
      <c r="E903" s="217" t="s">
        <v>1962</v>
      </c>
      <c r="F903" s="218" t="s">
        <v>1911</v>
      </c>
      <c r="G903" s="116">
        <v>6634</v>
      </c>
      <c r="H903" s="1776" t="s">
        <v>1349</v>
      </c>
      <c r="J903" s="224"/>
      <c r="K903" s="34" t="s">
        <v>25</v>
      </c>
      <c r="L903" s="475"/>
      <c r="M903" s="224"/>
      <c r="N903" s="224"/>
      <c r="O903" s="902" t="s">
        <v>6395</v>
      </c>
    </row>
    <row r="904" spans="1:15" x14ac:dyDescent="0.3">
      <c r="A904" s="2402">
        <v>898</v>
      </c>
      <c r="B904" s="1122" t="s">
        <v>1909</v>
      </c>
      <c r="C904" s="216" t="s">
        <v>1344</v>
      </c>
      <c r="D904" s="416" t="s">
        <v>954</v>
      </c>
      <c r="E904" s="217" t="s">
        <v>1963</v>
      </c>
      <c r="F904" s="218" t="s">
        <v>1911</v>
      </c>
      <c r="G904" s="116">
        <v>6634</v>
      </c>
      <c r="H904" s="1776" t="s">
        <v>1349</v>
      </c>
      <c r="J904" s="224"/>
      <c r="K904" s="34" t="s">
        <v>25</v>
      </c>
      <c r="L904" s="475"/>
      <c r="M904" s="224"/>
      <c r="N904" s="224"/>
      <c r="O904" s="902" t="s">
        <v>6395</v>
      </c>
    </row>
    <row r="905" spans="1:15" x14ac:dyDescent="0.3">
      <c r="A905" s="2402">
        <v>899</v>
      </c>
      <c r="B905" s="1122" t="s">
        <v>1909</v>
      </c>
      <c r="C905" s="216" t="s">
        <v>1344</v>
      </c>
      <c r="D905" s="416" t="s">
        <v>954</v>
      </c>
      <c r="E905" s="217" t="s">
        <v>1964</v>
      </c>
      <c r="F905" s="218" t="s">
        <v>1911</v>
      </c>
      <c r="G905" s="116">
        <v>6634</v>
      </c>
      <c r="H905" s="1776" t="s">
        <v>1349</v>
      </c>
      <c r="J905" s="224"/>
      <c r="K905" s="34" t="s">
        <v>25</v>
      </c>
      <c r="L905" s="475"/>
      <c r="M905" s="224"/>
      <c r="N905" s="224"/>
      <c r="O905" s="902" t="s">
        <v>6395</v>
      </c>
    </row>
    <row r="906" spans="1:15" x14ac:dyDescent="0.3">
      <c r="A906" s="2401">
        <v>900</v>
      </c>
      <c r="B906" s="1122" t="s">
        <v>1909</v>
      </c>
      <c r="C906" s="216" t="s">
        <v>1344</v>
      </c>
      <c r="D906" s="416" t="s">
        <v>954</v>
      </c>
      <c r="E906" s="217" t="s">
        <v>1965</v>
      </c>
      <c r="F906" s="218" t="s">
        <v>1911</v>
      </c>
      <c r="G906" s="116">
        <v>6634</v>
      </c>
      <c r="H906" s="1776" t="s">
        <v>1349</v>
      </c>
      <c r="J906" s="224"/>
      <c r="K906" s="34" t="s">
        <v>25</v>
      </c>
      <c r="L906" s="475"/>
      <c r="M906" s="224"/>
      <c r="N906" s="224"/>
      <c r="O906" s="902" t="s">
        <v>6395</v>
      </c>
    </row>
    <row r="907" spans="1:15" x14ac:dyDescent="0.3">
      <c r="A907" s="2402">
        <v>901</v>
      </c>
      <c r="B907" s="1122" t="s">
        <v>1909</v>
      </c>
      <c r="C907" s="216" t="s">
        <v>1344</v>
      </c>
      <c r="D907" s="416" t="s">
        <v>954</v>
      </c>
      <c r="E907" s="217" t="s">
        <v>1966</v>
      </c>
      <c r="F907" s="218" t="s">
        <v>1911</v>
      </c>
      <c r="G907" s="116">
        <v>6634</v>
      </c>
      <c r="H907" s="1776" t="s">
        <v>1349</v>
      </c>
      <c r="J907" s="224"/>
      <c r="K907" s="34" t="s">
        <v>25</v>
      </c>
      <c r="L907" s="475"/>
      <c r="M907" s="224"/>
      <c r="N907" s="224"/>
      <c r="O907" s="902" t="s">
        <v>6395</v>
      </c>
    </row>
    <row r="908" spans="1:15" x14ac:dyDescent="0.3">
      <c r="A908" s="2402">
        <v>902</v>
      </c>
      <c r="B908" s="1122" t="s">
        <v>1909</v>
      </c>
      <c r="C908" s="216" t="s">
        <v>1344</v>
      </c>
      <c r="D908" s="416" t="s">
        <v>954</v>
      </c>
      <c r="E908" s="217" t="s">
        <v>1967</v>
      </c>
      <c r="F908" s="218" t="s">
        <v>1911</v>
      </c>
      <c r="G908" s="116">
        <v>6634</v>
      </c>
      <c r="H908" s="1776" t="s">
        <v>1349</v>
      </c>
      <c r="J908" s="224"/>
      <c r="K908" s="34" t="s">
        <v>25</v>
      </c>
      <c r="L908" s="475"/>
      <c r="M908" s="224"/>
      <c r="N908" s="224"/>
      <c r="O908" s="902" t="s">
        <v>6395</v>
      </c>
    </row>
    <row r="909" spans="1:15" x14ac:dyDescent="0.3">
      <c r="A909" s="2401">
        <v>903</v>
      </c>
      <c r="B909" s="1122" t="s">
        <v>1968</v>
      </c>
      <c r="C909" s="216" t="s">
        <v>1344</v>
      </c>
      <c r="D909" s="416" t="s">
        <v>966</v>
      </c>
      <c r="E909" s="217" t="s">
        <v>1969</v>
      </c>
      <c r="F909" s="218" t="s">
        <v>1970</v>
      </c>
      <c r="G909" s="116">
        <v>8410</v>
      </c>
      <c r="H909" s="1776" t="s">
        <v>1349</v>
      </c>
      <c r="I909" s="34" t="s">
        <v>25</v>
      </c>
      <c r="J909" s="224"/>
      <c r="K909" s="147"/>
      <c r="L909" s="475"/>
      <c r="M909" s="224"/>
      <c r="N909" s="224"/>
      <c r="O909" s="314" t="s">
        <v>1971</v>
      </c>
    </row>
    <row r="910" spans="1:15" x14ac:dyDescent="0.3">
      <c r="A910" s="2402">
        <v>904</v>
      </c>
      <c r="B910" s="1122" t="s">
        <v>1968</v>
      </c>
      <c r="C910" s="216" t="s">
        <v>1344</v>
      </c>
      <c r="D910" s="452" t="s">
        <v>966</v>
      </c>
      <c r="E910" s="217" t="s">
        <v>1972</v>
      </c>
      <c r="F910" s="218" t="s">
        <v>1970</v>
      </c>
      <c r="G910" s="116">
        <v>8410</v>
      </c>
      <c r="H910" s="1776" t="s">
        <v>1349</v>
      </c>
      <c r="I910" s="34" t="s">
        <v>25</v>
      </c>
      <c r="J910" s="224"/>
      <c r="K910" s="147"/>
      <c r="L910" s="475"/>
      <c r="M910" s="224"/>
      <c r="N910" s="224"/>
      <c r="O910" s="314" t="s">
        <v>1971</v>
      </c>
    </row>
    <row r="911" spans="1:15" x14ac:dyDescent="0.3">
      <c r="A911" s="2402">
        <v>905</v>
      </c>
      <c r="B911" s="1122" t="s">
        <v>1968</v>
      </c>
      <c r="C911" s="216" t="s">
        <v>1344</v>
      </c>
      <c r="D911" s="495" t="s">
        <v>966</v>
      </c>
      <c r="E911" s="217" t="s">
        <v>1973</v>
      </c>
      <c r="F911" s="218" t="s">
        <v>1970</v>
      </c>
      <c r="G911" s="116">
        <v>8410</v>
      </c>
      <c r="H911" s="1776" t="s">
        <v>1349</v>
      </c>
      <c r="I911" s="34" t="s">
        <v>25</v>
      </c>
      <c r="J911" s="224"/>
      <c r="K911" s="147"/>
      <c r="L911" s="475"/>
      <c r="M911" s="224"/>
      <c r="N911" s="224"/>
      <c r="O911" s="314" t="s">
        <v>1971</v>
      </c>
    </row>
    <row r="912" spans="1:15" x14ac:dyDescent="0.3">
      <c r="A912" s="2401">
        <v>906</v>
      </c>
      <c r="B912" s="1122" t="s">
        <v>1968</v>
      </c>
      <c r="C912" s="216" t="s">
        <v>1344</v>
      </c>
      <c r="D912" s="793" t="s">
        <v>966</v>
      </c>
      <c r="E912" s="217" t="s">
        <v>1974</v>
      </c>
      <c r="F912" s="218" t="s">
        <v>1970</v>
      </c>
      <c r="G912" s="116">
        <v>8410</v>
      </c>
      <c r="H912" s="1776" t="s">
        <v>1349</v>
      </c>
      <c r="I912" s="34" t="s">
        <v>25</v>
      </c>
      <c r="J912" s="224"/>
      <c r="K912" s="147"/>
      <c r="L912" s="475"/>
      <c r="M912" s="224"/>
      <c r="N912" s="224"/>
      <c r="O912" s="314" t="s">
        <v>1971</v>
      </c>
    </row>
    <row r="913" spans="1:15" x14ac:dyDescent="0.3">
      <c r="A913" s="2402">
        <v>907</v>
      </c>
      <c r="B913" s="1122" t="s">
        <v>1968</v>
      </c>
      <c r="C913" s="216" t="s">
        <v>1344</v>
      </c>
      <c r="D913" s="416" t="s">
        <v>966</v>
      </c>
      <c r="E913" s="217" t="s">
        <v>1975</v>
      </c>
      <c r="F913" s="218" t="s">
        <v>1970</v>
      </c>
      <c r="G913" s="116">
        <v>8410</v>
      </c>
      <c r="H913" s="1776" t="s">
        <v>1349</v>
      </c>
      <c r="I913" s="34" t="s">
        <v>25</v>
      </c>
      <c r="J913" s="224"/>
      <c r="K913" s="147"/>
      <c r="L913" s="475"/>
      <c r="M913" s="224"/>
      <c r="N913" s="224"/>
      <c r="O913" s="314" t="s">
        <v>1971</v>
      </c>
    </row>
    <row r="914" spans="1:15" x14ac:dyDescent="0.3">
      <c r="A914" s="2402">
        <v>908</v>
      </c>
      <c r="B914" s="1122" t="s">
        <v>1968</v>
      </c>
      <c r="C914" s="216" t="s">
        <v>1344</v>
      </c>
      <c r="D914" s="416" t="s">
        <v>966</v>
      </c>
      <c r="E914" s="217" t="s">
        <v>1976</v>
      </c>
      <c r="F914" s="218" t="s">
        <v>1970</v>
      </c>
      <c r="G914" s="116">
        <v>8410</v>
      </c>
      <c r="H914" s="1776" t="s">
        <v>1349</v>
      </c>
      <c r="I914" s="34" t="s">
        <v>25</v>
      </c>
      <c r="J914" s="224"/>
      <c r="K914" s="147"/>
      <c r="L914" s="475"/>
      <c r="M914" s="224"/>
      <c r="N914" s="224"/>
      <c r="O914" s="314" t="s">
        <v>1971</v>
      </c>
    </row>
    <row r="915" spans="1:15" x14ac:dyDescent="0.3">
      <c r="A915" s="2401">
        <v>909</v>
      </c>
      <c r="B915" s="1122" t="s">
        <v>1968</v>
      </c>
      <c r="C915" s="216" t="s">
        <v>1344</v>
      </c>
      <c r="D915" s="416" t="s">
        <v>966</v>
      </c>
      <c r="E915" s="217" t="s">
        <v>1977</v>
      </c>
      <c r="F915" s="218" t="s">
        <v>1970</v>
      </c>
      <c r="G915" s="116">
        <v>8410</v>
      </c>
      <c r="H915" s="1776" t="s">
        <v>1349</v>
      </c>
      <c r="I915" s="34" t="s">
        <v>25</v>
      </c>
      <c r="J915" s="224"/>
      <c r="K915" s="147"/>
      <c r="L915" s="475"/>
      <c r="M915" s="224"/>
      <c r="N915" s="224"/>
      <c r="O915" s="314" t="s">
        <v>1971</v>
      </c>
    </row>
    <row r="916" spans="1:15" x14ac:dyDescent="0.3">
      <c r="A916" s="2402">
        <v>910</v>
      </c>
      <c r="B916" s="1122" t="s">
        <v>1968</v>
      </c>
      <c r="C916" s="216" t="s">
        <v>1344</v>
      </c>
      <c r="D916" s="416" t="s">
        <v>966</v>
      </c>
      <c r="E916" s="217" t="s">
        <v>1978</v>
      </c>
      <c r="F916" s="218" t="s">
        <v>1970</v>
      </c>
      <c r="G916" s="116">
        <v>8410</v>
      </c>
      <c r="H916" s="1776" t="s">
        <v>1349</v>
      </c>
      <c r="I916" s="34" t="s">
        <v>25</v>
      </c>
      <c r="J916" s="224"/>
      <c r="K916" s="147"/>
      <c r="L916" s="475"/>
      <c r="M916" s="224"/>
      <c r="N916" s="224"/>
      <c r="O916" s="314" t="s">
        <v>1971</v>
      </c>
    </row>
    <row r="917" spans="1:15" x14ac:dyDescent="0.3">
      <c r="A917" s="2402">
        <v>911</v>
      </c>
      <c r="B917" s="1122" t="s">
        <v>1968</v>
      </c>
      <c r="C917" s="216" t="s">
        <v>1344</v>
      </c>
      <c r="D917" s="416" t="s">
        <v>966</v>
      </c>
      <c r="E917" s="217" t="s">
        <v>1979</v>
      </c>
      <c r="F917" s="218" t="s">
        <v>1970</v>
      </c>
      <c r="G917" s="116">
        <v>8410</v>
      </c>
      <c r="H917" s="1776" t="s">
        <v>1349</v>
      </c>
      <c r="I917" s="34" t="s">
        <v>25</v>
      </c>
      <c r="J917" s="224"/>
      <c r="K917" s="147"/>
      <c r="L917" s="475"/>
      <c r="M917" s="224"/>
      <c r="N917" s="224"/>
      <c r="O917" s="314" t="s">
        <v>1971</v>
      </c>
    </row>
    <row r="918" spans="1:15" x14ac:dyDescent="0.3">
      <c r="A918" s="2401">
        <v>912</v>
      </c>
      <c r="B918" s="1122" t="s">
        <v>1968</v>
      </c>
      <c r="C918" s="216" t="s">
        <v>1344</v>
      </c>
      <c r="D918" s="416" t="s">
        <v>966</v>
      </c>
      <c r="E918" s="217" t="s">
        <v>1980</v>
      </c>
      <c r="F918" s="218" t="s">
        <v>1970</v>
      </c>
      <c r="G918" s="116">
        <v>8410</v>
      </c>
      <c r="H918" s="1776" t="s">
        <v>1349</v>
      </c>
      <c r="I918" s="34" t="s">
        <v>25</v>
      </c>
      <c r="J918" s="224"/>
      <c r="K918" s="147"/>
      <c r="L918" s="475"/>
      <c r="M918" s="224"/>
      <c r="N918" s="224"/>
      <c r="O918" s="314" t="s">
        <v>1971</v>
      </c>
    </row>
    <row r="919" spans="1:15" x14ac:dyDescent="0.3">
      <c r="A919" s="2402">
        <v>913</v>
      </c>
      <c r="B919" s="1122" t="s">
        <v>1968</v>
      </c>
      <c r="C919" s="216" t="s">
        <v>1344</v>
      </c>
      <c r="D919" s="416" t="s">
        <v>966</v>
      </c>
      <c r="E919" s="217" t="s">
        <v>1981</v>
      </c>
      <c r="F919" s="218" t="s">
        <v>1970</v>
      </c>
      <c r="G919" s="116">
        <v>8410</v>
      </c>
      <c r="H919" s="1776" t="s">
        <v>1349</v>
      </c>
      <c r="I919" s="34" t="s">
        <v>25</v>
      </c>
      <c r="J919" s="224"/>
      <c r="K919" s="147"/>
      <c r="L919" s="475"/>
      <c r="M919" s="224"/>
      <c r="N919" s="224"/>
      <c r="O919" s="314" t="s">
        <v>1971</v>
      </c>
    </row>
    <row r="920" spans="1:15" x14ac:dyDescent="0.3">
      <c r="A920" s="2402">
        <v>914</v>
      </c>
      <c r="B920" s="1122" t="s">
        <v>1968</v>
      </c>
      <c r="C920" s="216" t="s">
        <v>1344</v>
      </c>
      <c r="D920" s="416" t="s">
        <v>966</v>
      </c>
      <c r="E920" s="217" t="s">
        <v>1982</v>
      </c>
      <c r="F920" s="218" t="s">
        <v>1970</v>
      </c>
      <c r="G920" s="116">
        <v>8410</v>
      </c>
      <c r="H920" s="1776" t="s">
        <v>1349</v>
      </c>
      <c r="I920" s="34" t="s">
        <v>25</v>
      </c>
      <c r="J920" s="224"/>
      <c r="K920" s="147"/>
      <c r="L920" s="475"/>
      <c r="M920" s="224"/>
      <c r="N920" s="224"/>
      <c r="O920" s="314" t="s">
        <v>1971</v>
      </c>
    </row>
    <row r="921" spans="1:15" x14ac:dyDescent="0.3">
      <c r="A921" s="2401">
        <v>915</v>
      </c>
      <c r="B921" s="1122" t="s">
        <v>1968</v>
      </c>
      <c r="C921" s="216" t="s">
        <v>1344</v>
      </c>
      <c r="D921" s="416" t="s">
        <v>966</v>
      </c>
      <c r="E921" s="217" t="s">
        <v>1983</v>
      </c>
      <c r="F921" s="218" t="s">
        <v>1970</v>
      </c>
      <c r="G921" s="116">
        <v>8410</v>
      </c>
      <c r="H921" s="1776" t="s">
        <v>1349</v>
      </c>
      <c r="I921" s="34" t="s">
        <v>25</v>
      </c>
      <c r="J921" s="224"/>
      <c r="K921" s="147"/>
      <c r="L921" s="475"/>
      <c r="M921" s="224"/>
      <c r="N921" s="224"/>
      <c r="O921" s="314" t="s">
        <v>1971</v>
      </c>
    </row>
    <row r="922" spans="1:15" x14ac:dyDescent="0.3">
      <c r="A922" s="2402">
        <v>916</v>
      </c>
      <c r="B922" s="1122" t="s">
        <v>1968</v>
      </c>
      <c r="C922" s="216" t="s">
        <v>1344</v>
      </c>
      <c r="D922" s="416" t="s">
        <v>966</v>
      </c>
      <c r="E922" s="217" t="s">
        <v>1984</v>
      </c>
      <c r="F922" s="218" t="s">
        <v>1970</v>
      </c>
      <c r="G922" s="116">
        <v>8410</v>
      </c>
      <c r="H922" s="1776" t="s">
        <v>1349</v>
      </c>
      <c r="I922" s="34" t="s">
        <v>25</v>
      </c>
      <c r="J922" s="224"/>
      <c r="K922" s="147"/>
      <c r="L922" s="475"/>
      <c r="M922" s="224"/>
      <c r="N922" s="224"/>
      <c r="O922" s="314" t="s">
        <v>1971</v>
      </c>
    </row>
    <row r="923" spans="1:15" x14ac:dyDescent="0.3">
      <c r="A923" s="2402">
        <v>917</v>
      </c>
      <c r="B923" s="1122" t="s">
        <v>1968</v>
      </c>
      <c r="C923" s="216" t="s">
        <v>1344</v>
      </c>
      <c r="D923" s="416" t="s">
        <v>966</v>
      </c>
      <c r="E923" s="217" t="s">
        <v>1985</v>
      </c>
      <c r="F923" s="218" t="s">
        <v>1970</v>
      </c>
      <c r="G923" s="116">
        <v>8410</v>
      </c>
      <c r="H923" s="1776" t="s">
        <v>1349</v>
      </c>
      <c r="I923" s="34" t="s">
        <v>25</v>
      </c>
      <c r="J923" s="224"/>
      <c r="K923" s="147"/>
      <c r="L923" s="475"/>
      <c r="M923" s="224"/>
      <c r="N923" s="224"/>
      <c r="O923" s="314" t="s">
        <v>1971</v>
      </c>
    </row>
    <row r="924" spans="1:15" x14ac:dyDescent="0.3">
      <c r="A924" s="2401">
        <v>918</v>
      </c>
      <c r="B924" s="1122" t="s">
        <v>1968</v>
      </c>
      <c r="C924" s="216" t="s">
        <v>1344</v>
      </c>
      <c r="D924" s="416" t="s">
        <v>966</v>
      </c>
      <c r="E924" s="217" t="s">
        <v>1986</v>
      </c>
      <c r="F924" s="218" t="s">
        <v>1970</v>
      </c>
      <c r="G924" s="116">
        <v>8410</v>
      </c>
      <c r="H924" s="1776" t="s">
        <v>1349</v>
      </c>
      <c r="I924" s="34" t="s">
        <v>25</v>
      </c>
      <c r="J924" s="224"/>
      <c r="K924" s="147"/>
      <c r="L924" s="475"/>
      <c r="M924" s="224"/>
      <c r="N924" s="224"/>
      <c r="O924" s="314" t="s">
        <v>1971</v>
      </c>
    </row>
    <row r="925" spans="1:15" x14ac:dyDescent="0.3">
      <c r="A925" s="2402">
        <v>919</v>
      </c>
      <c r="B925" s="1122" t="s">
        <v>1968</v>
      </c>
      <c r="C925" s="216" t="s">
        <v>1344</v>
      </c>
      <c r="D925" s="416" t="s">
        <v>966</v>
      </c>
      <c r="E925" s="217" t="s">
        <v>1987</v>
      </c>
      <c r="F925" s="218" t="s">
        <v>1970</v>
      </c>
      <c r="G925" s="116">
        <v>8410</v>
      </c>
      <c r="H925" s="1776" t="s">
        <v>1349</v>
      </c>
      <c r="I925" s="34" t="s">
        <v>25</v>
      </c>
      <c r="J925" s="224"/>
      <c r="K925" s="147"/>
      <c r="L925" s="475"/>
      <c r="M925" s="224"/>
      <c r="N925" s="224"/>
      <c r="O925" s="314" t="s">
        <v>1971</v>
      </c>
    </row>
    <row r="926" spans="1:15" x14ac:dyDescent="0.3">
      <c r="A926" s="2402">
        <v>920</v>
      </c>
      <c r="B926" s="1122" t="s">
        <v>1968</v>
      </c>
      <c r="C926" s="216" t="s">
        <v>1344</v>
      </c>
      <c r="D926" s="416" t="s">
        <v>966</v>
      </c>
      <c r="E926" s="217" t="s">
        <v>1988</v>
      </c>
      <c r="F926" s="218" t="s">
        <v>1970</v>
      </c>
      <c r="G926" s="116">
        <v>8410</v>
      </c>
      <c r="H926" s="1776" t="s">
        <v>1349</v>
      </c>
      <c r="I926" s="34" t="s">
        <v>25</v>
      </c>
      <c r="J926" s="224"/>
      <c r="K926" s="147"/>
      <c r="L926" s="475"/>
      <c r="M926" s="224"/>
      <c r="N926" s="224"/>
      <c r="O926" s="314" t="s">
        <v>1971</v>
      </c>
    </row>
    <row r="927" spans="1:15" x14ac:dyDescent="0.3">
      <c r="A927" s="2401">
        <v>921</v>
      </c>
      <c r="B927" s="1122" t="s">
        <v>1968</v>
      </c>
      <c r="C927" s="216" t="s">
        <v>1344</v>
      </c>
      <c r="D927" s="416" t="s">
        <v>966</v>
      </c>
      <c r="E927" s="217" t="s">
        <v>1989</v>
      </c>
      <c r="F927" s="218" t="s">
        <v>1970</v>
      </c>
      <c r="G927" s="116">
        <v>8410</v>
      </c>
      <c r="H927" s="1776" t="s">
        <v>1349</v>
      </c>
      <c r="I927" s="34" t="s">
        <v>25</v>
      </c>
      <c r="J927" s="224"/>
      <c r="K927" s="147"/>
      <c r="L927" s="475"/>
      <c r="M927" s="224"/>
      <c r="N927" s="224"/>
      <c r="O927" s="314" t="s">
        <v>1971</v>
      </c>
    </row>
    <row r="928" spans="1:15" x14ac:dyDescent="0.3">
      <c r="A928" s="2402">
        <v>922</v>
      </c>
      <c r="B928" s="1122" t="s">
        <v>1968</v>
      </c>
      <c r="C928" s="216" t="s">
        <v>1344</v>
      </c>
      <c r="D928" s="416" t="s">
        <v>966</v>
      </c>
      <c r="E928" s="217" t="s">
        <v>1990</v>
      </c>
      <c r="F928" s="218" t="s">
        <v>1970</v>
      </c>
      <c r="G928" s="116">
        <v>8410</v>
      </c>
      <c r="H928" s="1776" t="s">
        <v>1349</v>
      </c>
      <c r="I928" s="34" t="s">
        <v>25</v>
      </c>
      <c r="J928" s="224"/>
      <c r="K928" s="147"/>
      <c r="L928" s="475"/>
      <c r="M928" s="224"/>
      <c r="N928" s="224"/>
      <c r="O928" s="314" t="s">
        <v>1971</v>
      </c>
    </row>
    <row r="929" spans="1:15" x14ac:dyDescent="0.3">
      <c r="A929" s="2402">
        <v>923</v>
      </c>
      <c r="B929" s="1122" t="s">
        <v>1968</v>
      </c>
      <c r="C929" s="216" t="s">
        <v>1344</v>
      </c>
      <c r="D929" s="416" t="s">
        <v>966</v>
      </c>
      <c r="E929" s="217" t="s">
        <v>1991</v>
      </c>
      <c r="F929" s="218" t="s">
        <v>1970</v>
      </c>
      <c r="G929" s="116">
        <v>8410</v>
      </c>
      <c r="H929" s="1776" t="s">
        <v>1349</v>
      </c>
      <c r="I929" s="34" t="s">
        <v>25</v>
      </c>
      <c r="J929" s="224"/>
      <c r="K929" s="147"/>
      <c r="L929" s="475"/>
      <c r="M929" s="224"/>
      <c r="N929" s="224"/>
      <c r="O929" s="314" t="s">
        <v>1971</v>
      </c>
    </row>
    <row r="930" spans="1:15" x14ac:dyDescent="0.3">
      <c r="A930" s="2401">
        <v>924</v>
      </c>
      <c r="B930" s="1122" t="s">
        <v>1968</v>
      </c>
      <c r="C930" s="216" t="s">
        <v>1344</v>
      </c>
      <c r="D930" s="416" t="s">
        <v>966</v>
      </c>
      <c r="E930" s="217" t="s">
        <v>1992</v>
      </c>
      <c r="F930" s="218" t="s">
        <v>1970</v>
      </c>
      <c r="G930" s="116">
        <v>8410</v>
      </c>
      <c r="H930" s="1776" t="s">
        <v>1349</v>
      </c>
      <c r="I930" s="34" t="s">
        <v>25</v>
      </c>
      <c r="J930" s="224"/>
      <c r="K930" s="147"/>
      <c r="L930" s="475"/>
      <c r="M930" s="224"/>
      <c r="N930" s="224"/>
      <c r="O930" s="314" t="s">
        <v>1971</v>
      </c>
    </row>
    <row r="931" spans="1:15" x14ac:dyDescent="0.3">
      <c r="A931" s="2402">
        <v>925</v>
      </c>
      <c r="B931" s="1122" t="s">
        <v>1968</v>
      </c>
      <c r="C931" s="216" t="s">
        <v>1344</v>
      </c>
      <c r="D931" s="452" t="s">
        <v>966</v>
      </c>
      <c r="E931" s="217" t="s">
        <v>1993</v>
      </c>
      <c r="F931" s="218" t="s">
        <v>1970</v>
      </c>
      <c r="G931" s="116">
        <v>8410</v>
      </c>
      <c r="H931" s="1776" t="s">
        <v>1349</v>
      </c>
      <c r="I931" s="34" t="s">
        <v>25</v>
      </c>
      <c r="J931" s="224"/>
      <c r="K931" s="147"/>
      <c r="L931" s="475"/>
      <c r="M931" s="224"/>
      <c r="N931" s="224"/>
      <c r="O931" s="314" t="s">
        <v>1971</v>
      </c>
    </row>
    <row r="932" spans="1:15" x14ac:dyDescent="0.3">
      <c r="A932" s="2402">
        <v>926</v>
      </c>
      <c r="B932" s="1122" t="s">
        <v>1968</v>
      </c>
      <c r="C932" s="216" t="s">
        <v>1344</v>
      </c>
      <c r="D932" s="793" t="s">
        <v>966</v>
      </c>
      <c r="E932" s="217" t="s">
        <v>1994</v>
      </c>
      <c r="F932" s="218" t="s">
        <v>1970</v>
      </c>
      <c r="G932" s="116">
        <v>8410</v>
      </c>
      <c r="H932" s="1776" t="s">
        <v>1349</v>
      </c>
      <c r="I932" s="34" t="s">
        <v>25</v>
      </c>
      <c r="J932" s="224"/>
      <c r="K932" s="147"/>
      <c r="L932" s="475"/>
      <c r="M932" s="224"/>
      <c r="N932" s="224"/>
      <c r="O932" s="314" t="s">
        <v>1971</v>
      </c>
    </row>
    <row r="933" spans="1:15" x14ac:dyDescent="0.3">
      <c r="A933" s="2401">
        <v>927</v>
      </c>
      <c r="B933" s="1122" t="s">
        <v>1968</v>
      </c>
      <c r="C933" s="216" t="s">
        <v>1344</v>
      </c>
      <c r="D933" s="452" t="s">
        <v>966</v>
      </c>
      <c r="E933" s="217" t="s">
        <v>1995</v>
      </c>
      <c r="F933" s="218" t="s">
        <v>1970</v>
      </c>
      <c r="G933" s="116">
        <v>8410</v>
      </c>
      <c r="H933" s="1776" t="s">
        <v>1349</v>
      </c>
      <c r="I933" s="34" t="s">
        <v>25</v>
      </c>
      <c r="J933" s="224"/>
      <c r="K933" s="147"/>
      <c r="L933" s="475"/>
      <c r="M933" s="224"/>
      <c r="N933" s="224"/>
      <c r="O933" s="314" t="s">
        <v>1971</v>
      </c>
    </row>
    <row r="934" spans="1:15" x14ac:dyDescent="0.3">
      <c r="A934" s="2402">
        <v>928</v>
      </c>
      <c r="B934" s="1122" t="s">
        <v>1968</v>
      </c>
      <c r="C934" s="216" t="s">
        <v>1344</v>
      </c>
      <c r="D934" s="793" t="s">
        <v>966</v>
      </c>
      <c r="E934" s="217" t="s">
        <v>1996</v>
      </c>
      <c r="F934" s="218" t="s">
        <v>1970</v>
      </c>
      <c r="G934" s="116">
        <v>8410</v>
      </c>
      <c r="H934" s="1776" t="s">
        <v>1349</v>
      </c>
      <c r="I934" s="34" t="s">
        <v>25</v>
      </c>
      <c r="J934" s="224"/>
      <c r="K934" s="147"/>
      <c r="L934" s="475"/>
      <c r="M934" s="224"/>
      <c r="N934" s="224"/>
      <c r="O934" s="314" t="s">
        <v>1971</v>
      </c>
    </row>
    <row r="935" spans="1:15" x14ac:dyDescent="0.3">
      <c r="A935" s="2402">
        <v>929</v>
      </c>
      <c r="B935" s="1122" t="s">
        <v>1968</v>
      </c>
      <c r="C935" s="216" t="s">
        <v>1344</v>
      </c>
      <c r="D935" s="416" t="s">
        <v>966</v>
      </c>
      <c r="E935" s="217" t="s">
        <v>1997</v>
      </c>
      <c r="F935" s="218" t="s">
        <v>1970</v>
      </c>
      <c r="G935" s="116">
        <v>8410</v>
      </c>
      <c r="H935" s="1776" t="s">
        <v>1349</v>
      </c>
      <c r="I935" s="34" t="s">
        <v>25</v>
      </c>
      <c r="J935" s="224"/>
      <c r="K935" s="147"/>
      <c r="L935" s="475"/>
      <c r="M935" s="224"/>
      <c r="N935" s="224"/>
      <c r="O935" s="314" t="s">
        <v>1971</v>
      </c>
    </row>
    <row r="936" spans="1:15" x14ac:dyDescent="0.3">
      <c r="A936" s="2401">
        <v>930</v>
      </c>
      <c r="B936" s="1122" t="s">
        <v>1968</v>
      </c>
      <c r="C936" s="216" t="s">
        <v>1344</v>
      </c>
      <c r="D936" s="416" t="s">
        <v>966</v>
      </c>
      <c r="E936" s="217" t="s">
        <v>1998</v>
      </c>
      <c r="F936" s="218" t="s">
        <v>1970</v>
      </c>
      <c r="G936" s="116">
        <v>8410</v>
      </c>
      <c r="H936" s="1776" t="s">
        <v>1349</v>
      </c>
      <c r="I936" s="34" t="s">
        <v>25</v>
      </c>
      <c r="J936" s="224"/>
      <c r="K936" s="147"/>
      <c r="L936" s="475"/>
      <c r="M936" s="224"/>
      <c r="N936" s="224"/>
      <c r="O936" s="314" t="s">
        <v>1971</v>
      </c>
    </row>
    <row r="937" spans="1:15" x14ac:dyDescent="0.3">
      <c r="A937" s="2402">
        <v>931</v>
      </c>
      <c r="B937" s="1122" t="s">
        <v>1968</v>
      </c>
      <c r="C937" s="216" t="s">
        <v>1344</v>
      </c>
      <c r="D937" s="416" t="s">
        <v>966</v>
      </c>
      <c r="E937" s="217" t="s">
        <v>1999</v>
      </c>
      <c r="F937" s="218" t="s">
        <v>1970</v>
      </c>
      <c r="G937" s="116">
        <v>8410</v>
      </c>
      <c r="H937" s="1776" t="s">
        <v>1349</v>
      </c>
      <c r="I937" s="34" t="s">
        <v>25</v>
      </c>
      <c r="J937" s="224"/>
      <c r="K937" s="147"/>
      <c r="L937" s="475"/>
      <c r="M937" s="224"/>
      <c r="N937" s="224"/>
      <c r="O937" s="314" t="s">
        <v>1971</v>
      </c>
    </row>
    <row r="938" spans="1:15" x14ac:dyDescent="0.3">
      <c r="A938" s="2402">
        <v>932</v>
      </c>
      <c r="B938" s="1122" t="s">
        <v>1968</v>
      </c>
      <c r="C938" s="216" t="s">
        <v>1344</v>
      </c>
      <c r="D938" s="416" t="s">
        <v>966</v>
      </c>
      <c r="E938" s="217" t="s">
        <v>2000</v>
      </c>
      <c r="F938" s="218" t="s">
        <v>1970</v>
      </c>
      <c r="G938" s="116">
        <v>8410</v>
      </c>
      <c r="H938" s="1776" t="s">
        <v>1349</v>
      </c>
      <c r="I938" s="34" t="s">
        <v>25</v>
      </c>
      <c r="J938" s="224"/>
      <c r="K938" s="147"/>
      <c r="L938" s="475"/>
      <c r="M938" s="224"/>
      <c r="N938" s="224"/>
      <c r="O938" s="314" t="s">
        <v>1971</v>
      </c>
    </row>
    <row r="939" spans="1:15" x14ac:dyDescent="0.3">
      <c r="A939" s="2401">
        <v>933</v>
      </c>
      <c r="B939" s="1122" t="s">
        <v>1968</v>
      </c>
      <c r="C939" s="216" t="s">
        <v>1344</v>
      </c>
      <c r="D939" s="416" t="s">
        <v>966</v>
      </c>
      <c r="E939" s="217" t="s">
        <v>2001</v>
      </c>
      <c r="F939" s="218" t="s">
        <v>1970</v>
      </c>
      <c r="G939" s="116">
        <v>8410</v>
      </c>
      <c r="H939" s="1776" t="s">
        <v>1349</v>
      </c>
      <c r="I939" s="34" t="s">
        <v>25</v>
      </c>
      <c r="J939" s="224"/>
      <c r="K939" s="147"/>
      <c r="L939" s="475"/>
      <c r="M939" s="224"/>
      <c r="N939" s="224"/>
      <c r="O939" s="314" t="s">
        <v>1971</v>
      </c>
    </row>
    <row r="940" spans="1:15" x14ac:dyDescent="0.3">
      <c r="A940" s="2402">
        <v>934</v>
      </c>
      <c r="B940" s="1122" t="s">
        <v>1968</v>
      </c>
      <c r="C940" s="216" t="s">
        <v>1344</v>
      </c>
      <c r="D940" s="416" t="s">
        <v>966</v>
      </c>
      <c r="E940" s="217" t="s">
        <v>2002</v>
      </c>
      <c r="F940" s="218" t="s">
        <v>1970</v>
      </c>
      <c r="G940" s="116">
        <v>8410</v>
      </c>
      <c r="H940" s="1776" t="s">
        <v>1349</v>
      </c>
      <c r="I940" s="34" t="s">
        <v>25</v>
      </c>
      <c r="J940" s="224"/>
      <c r="K940" s="147"/>
      <c r="L940" s="475"/>
      <c r="M940" s="224"/>
      <c r="N940" s="224"/>
      <c r="O940" s="314" t="s">
        <v>1971</v>
      </c>
    </row>
    <row r="941" spans="1:15" x14ac:dyDescent="0.3">
      <c r="A941" s="2402">
        <v>935</v>
      </c>
      <c r="B941" s="1122" t="s">
        <v>1968</v>
      </c>
      <c r="C941" s="216" t="s">
        <v>1344</v>
      </c>
      <c r="D941" s="416" t="s">
        <v>966</v>
      </c>
      <c r="E941" s="217" t="s">
        <v>2003</v>
      </c>
      <c r="F941" s="218" t="s">
        <v>1970</v>
      </c>
      <c r="G941" s="116">
        <v>8410</v>
      </c>
      <c r="H941" s="1776" t="s">
        <v>1349</v>
      </c>
      <c r="I941" s="34" t="s">
        <v>25</v>
      </c>
      <c r="J941" s="224"/>
      <c r="K941" s="147"/>
      <c r="L941" s="475"/>
      <c r="M941" s="224"/>
      <c r="N941" s="224"/>
      <c r="O941" s="314" t="s">
        <v>1971</v>
      </c>
    </row>
    <row r="942" spans="1:15" x14ac:dyDescent="0.3">
      <c r="A942" s="2401">
        <v>936</v>
      </c>
      <c r="B942" s="1122" t="s">
        <v>1968</v>
      </c>
      <c r="C942" s="216" t="s">
        <v>1344</v>
      </c>
      <c r="D942" s="416" t="s">
        <v>966</v>
      </c>
      <c r="E942" s="217" t="s">
        <v>2004</v>
      </c>
      <c r="F942" s="218" t="s">
        <v>1970</v>
      </c>
      <c r="G942" s="116">
        <v>8410</v>
      </c>
      <c r="H942" s="1776" t="s">
        <v>1349</v>
      </c>
      <c r="I942" s="34" t="s">
        <v>25</v>
      </c>
      <c r="J942" s="224"/>
      <c r="K942" s="147"/>
      <c r="L942" s="475"/>
      <c r="M942" s="224"/>
      <c r="N942" s="224"/>
      <c r="O942" s="314" t="s">
        <v>1971</v>
      </c>
    </row>
    <row r="943" spans="1:15" x14ac:dyDescent="0.3">
      <c r="A943" s="2402">
        <v>937</v>
      </c>
      <c r="B943" s="1122" t="s">
        <v>1968</v>
      </c>
      <c r="C943" s="216" t="s">
        <v>1344</v>
      </c>
      <c r="D943" s="416" t="s">
        <v>966</v>
      </c>
      <c r="E943" s="217" t="s">
        <v>2005</v>
      </c>
      <c r="F943" s="218" t="s">
        <v>1970</v>
      </c>
      <c r="G943" s="116">
        <v>8410</v>
      </c>
      <c r="H943" s="1776" t="s">
        <v>1349</v>
      </c>
      <c r="I943" s="34" t="s">
        <v>25</v>
      </c>
      <c r="J943" s="224"/>
      <c r="K943" s="147"/>
      <c r="L943" s="475"/>
      <c r="M943" s="224"/>
      <c r="N943" s="224"/>
      <c r="O943" s="314" t="s">
        <v>1971</v>
      </c>
    </row>
    <row r="944" spans="1:15" x14ac:dyDescent="0.3">
      <c r="A944" s="2402">
        <v>938</v>
      </c>
      <c r="B944" s="1122" t="s">
        <v>1968</v>
      </c>
      <c r="C944" s="216" t="s">
        <v>1344</v>
      </c>
      <c r="D944" s="416" t="s">
        <v>966</v>
      </c>
      <c r="E944" s="217" t="s">
        <v>2006</v>
      </c>
      <c r="F944" s="218" t="s">
        <v>1970</v>
      </c>
      <c r="G944" s="116">
        <v>8410</v>
      </c>
      <c r="H944" s="1776" t="s">
        <v>1349</v>
      </c>
      <c r="I944" s="34" t="s">
        <v>25</v>
      </c>
      <c r="J944" s="224"/>
      <c r="K944" s="147"/>
      <c r="L944" s="475"/>
      <c r="M944" s="224"/>
      <c r="N944" s="224"/>
      <c r="O944" s="314" t="s">
        <v>1971</v>
      </c>
    </row>
    <row r="945" spans="1:15" x14ac:dyDescent="0.3">
      <c r="A945" s="2401">
        <v>939</v>
      </c>
      <c r="B945" s="1122" t="s">
        <v>1968</v>
      </c>
      <c r="C945" s="216" t="s">
        <v>1344</v>
      </c>
      <c r="D945" s="416" t="s">
        <v>966</v>
      </c>
      <c r="E945" s="217" t="s">
        <v>2007</v>
      </c>
      <c r="F945" s="218" t="s">
        <v>1970</v>
      </c>
      <c r="G945" s="116">
        <v>8410</v>
      </c>
      <c r="H945" s="1776" t="s">
        <v>1349</v>
      </c>
      <c r="I945" s="34" t="s">
        <v>25</v>
      </c>
      <c r="J945" s="224"/>
      <c r="K945" s="147"/>
      <c r="L945" s="475"/>
      <c r="M945" s="224"/>
      <c r="N945" s="224"/>
      <c r="O945" s="314" t="s">
        <v>1971</v>
      </c>
    </row>
    <row r="946" spans="1:15" x14ac:dyDescent="0.3">
      <c r="A946" s="2402">
        <v>940</v>
      </c>
      <c r="B946" s="1122" t="s">
        <v>1968</v>
      </c>
      <c r="C946" s="216" t="s">
        <v>1344</v>
      </c>
      <c r="D946" s="416" t="s">
        <v>966</v>
      </c>
      <c r="E946" s="217" t="s">
        <v>2008</v>
      </c>
      <c r="F946" s="218" t="s">
        <v>1970</v>
      </c>
      <c r="G946" s="116">
        <v>8410</v>
      </c>
      <c r="H946" s="1776" t="s">
        <v>1349</v>
      </c>
      <c r="I946" s="34" t="s">
        <v>25</v>
      </c>
      <c r="J946" s="224"/>
      <c r="K946" s="147"/>
      <c r="L946" s="475"/>
      <c r="M946" s="224"/>
      <c r="N946" s="224"/>
      <c r="O946" s="314" t="s">
        <v>1971</v>
      </c>
    </row>
    <row r="947" spans="1:15" x14ac:dyDescent="0.3">
      <c r="A947" s="2402">
        <v>941</v>
      </c>
      <c r="B947" s="1122" t="s">
        <v>1968</v>
      </c>
      <c r="C947" s="216" t="s">
        <v>1344</v>
      </c>
      <c r="D947" s="416" t="s">
        <v>966</v>
      </c>
      <c r="E947" s="217" t="s">
        <v>2009</v>
      </c>
      <c r="F947" s="218" t="s">
        <v>1970</v>
      </c>
      <c r="G947" s="116">
        <v>8410</v>
      </c>
      <c r="H947" s="1776" t="s">
        <v>1349</v>
      </c>
      <c r="I947" s="34" t="s">
        <v>25</v>
      </c>
      <c r="J947" s="224"/>
      <c r="K947" s="147"/>
      <c r="L947" s="475"/>
      <c r="M947" s="224"/>
      <c r="N947" s="224"/>
      <c r="O947" s="314" t="s">
        <v>1971</v>
      </c>
    </row>
    <row r="948" spans="1:15" x14ac:dyDescent="0.3">
      <c r="A948" s="2401">
        <v>942</v>
      </c>
      <c r="B948" s="1122" t="s">
        <v>1968</v>
      </c>
      <c r="C948" s="216" t="s">
        <v>1344</v>
      </c>
      <c r="D948" s="416" t="s">
        <v>966</v>
      </c>
      <c r="E948" s="217" t="s">
        <v>2010</v>
      </c>
      <c r="F948" s="218" t="s">
        <v>1970</v>
      </c>
      <c r="G948" s="116">
        <v>8410</v>
      </c>
      <c r="H948" s="1776" t="s">
        <v>1349</v>
      </c>
      <c r="I948" s="34" t="s">
        <v>25</v>
      </c>
      <c r="J948" s="224"/>
      <c r="K948" s="147"/>
      <c r="L948" s="475"/>
      <c r="M948" s="224"/>
      <c r="N948" s="224"/>
      <c r="O948" s="314" t="s">
        <v>1971</v>
      </c>
    </row>
    <row r="949" spans="1:15" x14ac:dyDescent="0.3">
      <c r="A949" s="2402">
        <v>943</v>
      </c>
      <c r="B949" s="1122" t="s">
        <v>1968</v>
      </c>
      <c r="C949" s="216" t="s">
        <v>1344</v>
      </c>
      <c r="D949" s="416" t="s">
        <v>966</v>
      </c>
      <c r="E949" s="217" t="s">
        <v>2011</v>
      </c>
      <c r="F949" s="218" t="s">
        <v>1970</v>
      </c>
      <c r="G949" s="116">
        <v>8410</v>
      </c>
      <c r="H949" s="1776" t="s">
        <v>1349</v>
      </c>
      <c r="I949" s="34" t="s">
        <v>25</v>
      </c>
      <c r="J949" s="224"/>
      <c r="K949" s="147"/>
      <c r="L949" s="475"/>
      <c r="M949" s="224"/>
      <c r="N949" s="224"/>
      <c r="O949" s="314" t="s">
        <v>2012</v>
      </c>
    </row>
    <row r="950" spans="1:15" x14ac:dyDescent="0.3">
      <c r="A950" s="2402">
        <v>944</v>
      </c>
      <c r="B950" s="1122" t="s">
        <v>1968</v>
      </c>
      <c r="C950" s="216" t="s">
        <v>1344</v>
      </c>
      <c r="D950" s="452" t="s">
        <v>966</v>
      </c>
      <c r="E950" s="217" t="s">
        <v>2013</v>
      </c>
      <c r="F950" s="218" t="s">
        <v>1970</v>
      </c>
      <c r="G950" s="116">
        <v>8410</v>
      </c>
      <c r="H950" s="1776" t="s">
        <v>1349</v>
      </c>
      <c r="I950" s="34" t="s">
        <v>25</v>
      </c>
      <c r="J950" s="224"/>
      <c r="K950" s="147"/>
      <c r="L950" s="475"/>
      <c r="M950" s="224"/>
      <c r="N950" s="224"/>
      <c r="O950" s="314" t="s">
        <v>2012</v>
      </c>
    </row>
    <row r="951" spans="1:15" x14ac:dyDescent="0.3">
      <c r="A951" s="2401">
        <v>945</v>
      </c>
      <c r="B951" s="1122" t="s">
        <v>1968</v>
      </c>
      <c r="C951" s="216" t="s">
        <v>1344</v>
      </c>
      <c r="D951" s="495" t="s">
        <v>966</v>
      </c>
      <c r="E951" s="217" t="s">
        <v>394</v>
      </c>
      <c r="F951" s="218" t="s">
        <v>1970</v>
      </c>
      <c r="G951" s="116">
        <v>8410</v>
      </c>
      <c r="H951" s="1776" t="s">
        <v>1349</v>
      </c>
      <c r="I951" s="34" t="s">
        <v>25</v>
      </c>
      <c r="J951" s="224"/>
      <c r="K951" s="147"/>
      <c r="L951" s="475"/>
      <c r="M951" s="224"/>
      <c r="N951" s="224"/>
      <c r="O951" s="314" t="s">
        <v>2012</v>
      </c>
    </row>
    <row r="952" spans="1:15" x14ac:dyDescent="0.3">
      <c r="A952" s="2402">
        <v>946</v>
      </c>
      <c r="B952" s="1122" t="s">
        <v>1968</v>
      </c>
      <c r="C952" s="216" t="s">
        <v>1344</v>
      </c>
      <c r="D952" s="793" t="s">
        <v>966</v>
      </c>
      <c r="E952" s="217" t="s">
        <v>2014</v>
      </c>
      <c r="F952" s="218" t="s">
        <v>1970</v>
      </c>
      <c r="G952" s="116">
        <v>8410</v>
      </c>
      <c r="H952" s="1776" t="s">
        <v>1349</v>
      </c>
      <c r="I952" s="34" t="s">
        <v>25</v>
      </c>
      <c r="J952" s="224"/>
      <c r="K952" s="147"/>
      <c r="L952" s="475"/>
      <c r="M952" s="224"/>
      <c r="N952" s="224"/>
      <c r="O952" s="314" t="s">
        <v>2012</v>
      </c>
    </row>
    <row r="953" spans="1:15" x14ac:dyDescent="0.3">
      <c r="A953" s="2402">
        <v>947</v>
      </c>
      <c r="B953" s="1122" t="s">
        <v>1968</v>
      </c>
      <c r="C953" s="216" t="s">
        <v>1344</v>
      </c>
      <c r="D953" s="416" t="s">
        <v>966</v>
      </c>
      <c r="E953" s="217" t="s">
        <v>396</v>
      </c>
      <c r="F953" s="218" t="s">
        <v>1970</v>
      </c>
      <c r="G953" s="116">
        <v>8410</v>
      </c>
      <c r="H953" s="1776" t="s">
        <v>1349</v>
      </c>
      <c r="I953" s="34" t="s">
        <v>25</v>
      </c>
      <c r="J953" s="224"/>
      <c r="K953" s="147"/>
      <c r="L953" s="475"/>
      <c r="M953" s="224"/>
      <c r="N953" s="224"/>
      <c r="O953" s="314" t="s">
        <v>2012</v>
      </c>
    </row>
    <row r="954" spans="1:15" x14ac:dyDescent="0.3">
      <c r="A954" s="2401">
        <v>948</v>
      </c>
      <c r="B954" s="1122" t="s">
        <v>1968</v>
      </c>
      <c r="C954" s="216" t="s">
        <v>1344</v>
      </c>
      <c r="D954" s="416" t="s">
        <v>966</v>
      </c>
      <c r="E954" s="217" t="s">
        <v>2015</v>
      </c>
      <c r="F954" s="218" t="s">
        <v>1970</v>
      </c>
      <c r="G954" s="116">
        <v>8410</v>
      </c>
      <c r="H954" s="1776" t="s">
        <v>1349</v>
      </c>
      <c r="I954" s="34" t="s">
        <v>25</v>
      </c>
      <c r="J954" s="224"/>
      <c r="K954" s="147"/>
      <c r="L954" s="475"/>
      <c r="M954" s="224"/>
      <c r="N954" s="224"/>
      <c r="O954" s="314" t="s">
        <v>2012</v>
      </c>
    </row>
    <row r="955" spans="1:15" x14ac:dyDescent="0.3">
      <c r="A955" s="2402">
        <v>949</v>
      </c>
      <c r="B955" s="1122" t="s">
        <v>1968</v>
      </c>
      <c r="C955" s="216" t="s">
        <v>1344</v>
      </c>
      <c r="D955" s="416" t="s">
        <v>966</v>
      </c>
      <c r="E955" s="217" t="s">
        <v>2016</v>
      </c>
      <c r="F955" s="218" t="s">
        <v>1970</v>
      </c>
      <c r="G955" s="116">
        <v>8410</v>
      </c>
      <c r="H955" s="1776" t="s">
        <v>1349</v>
      </c>
      <c r="I955" s="34" t="s">
        <v>25</v>
      </c>
      <c r="J955" s="224"/>
      <c r="K955" s="147"/>
      <c r="L955" s="475"/>
      <c r="M955" s="224"/>
      <c r="N955" s="224"/>
      <c r="O955" s="314" t="s">
        <v>2012</v>
      </c>
    </row>
    <row r="956" spans="1:15" x14ac:dyDescent="0.3">
      <c r="A956" s="2402">
        <v>950</v>
      </c>
      <c r="B956" s="1122" t="s">
        <v>1968</v>
      </c>
      <c r="C956" s="216" t="s">
        <v>1344</v>
      </c>
      <c r="D956" s="416" t="s">
        <v>966</v>
      </c>
      <c r="E956" s="217" t="s">
        <v>2017</v>
      </c>
      <c r="F956" s="218" t="s">
        <v>1970</v>
      </c>
      <c r="G956" s="116">
        <v>8410</v>
      </c>
      <c r="H956" s="1776" t="s">
        <v>1349</v>
      </c>
      <c r="I956" s="34" t="s">
        <v>25</v>
      </c>
      <c r="J956" s="224"/>
      <c r="K956" s="147"/>
      <c r="L956" s="475"/>
      <c r="M956" s="224"/>
      <c r="N956" s="224"/>
      <c r="O956" s="314" t="s">
        <v>2012</v>
      </c>
    </row>
    <row r="957" spans="1:15" x14ac:dyDescent="0.3">
      <c r="A957" s="2401">
        <v>951</v>
      </c>
      <c r="B957" s="1122" t="s">
        <v>1968</v>
      </c>
      <c r="C957" s="216" t="s">
        <v>1344</v>
      </c>
      <c r="D957" s="416" t="s">
        <v>966</v>
      </c>
      <c r="E957" s="217" t="s">
        <v>2018</v>
      </c>
      <c r="F957" s="218" t="s">
        <v>1970</v>
      </c>
      <c r="G957" s="116">
        <v>8410</v>
      </c>
      <c r="H957" s="1776" t="s">
        <v>1349</v>
      </c>
      <c r="I957" s="34" t="s">
        <v>25</v>
      </c>
      <c r="J957" s="224"/>
      <c r="K957" s="147"/>
      <c r="L957" s="475"/>
      <c r="M957" s="224"/>
      <c r="N957" s="224"/>
      <c r="O957" s="314" t="s">
        <v>2012</v>
      </c>
    </row>
    <row r="958" spans="1:15" x14ac:dyDescent="0.3">
      <c r="A958" s="2402">
        <v>952</v>
      </c>
      <c r="B958" s="1122" t="s">
        <v>1968</v>
      </c>
      <c r="C958" s="216" t="s">
        <v>1344</v>
      </c>
      <c r="D958" s="416" t="s">
        <v>966</v>
      </c>
      <c r="E958" s="217" t="s">
        <v>2019</v>
      </c>
      <c r="F958" s="218" t="s">
        <v>1970</v>
      </c>
      <c r="G958" s="116">
        <v>8410</v>
      </c>
      <c r="H958" s="1776" t="s">
        <v>1349</v>
      </c>
      <c r="I958" s="34" t="s">
        <v>25</v>
      </c>
      <c r="J958" s="224"/>
      <c r="K958" s="147"/>
      <c r="L958" s="475"/>
      <c r="M958" s="224"/>
      <c r="N958" s="224"/>
      <c r="O958" s="314" t="s">
        <v>2012</v>
      </c>
    </row>
    <row r="959" spans="1:15" x14ac:dyDescent="0.3">
      <c r="A959" s="2402">
        <v>953</v>
      </c>
      <c r="B959" s="1122" t="s">
        <v>1968</v>
      </c>
      <c r="C959" s="216" t="s">
        <v>1344</v>
      </c>
      <c r="D959" s="416" t="s">
        <v>966</v>
      </c>
      <c r="E959" s="217" t="s">
        <v>2020</v>
      </c>
      <c r="F959" s="218" t="s">
        <v>1970</v>
      </c>
      <c r="G959" s="116">
        <v>8410</v>
      </c>
      <c r="H959" s="1776" t="s">
        <v>1349</v>
      </c>
      <c r="I959" s="34" t="s">
        <v>25</v>
      </c>
      <c r="J959" s="224"/>
      <c r="K959" s="147"/>
      <c r="L959" s="475"/>
      <c r="M959" s="224"/>
      <c r="N959" s="224"/>
      <c r="O959" s="314" t="s">
        <v>2012</v>
      </c>
    </row>
    <row r="960" spans="1:15" x14ac:dyDescent="0.3">
      <c r="A960" s="2401">
        <v>954</v>
      </c>
      <c r="B960" s="1122" t="s">
        <v>1968</v>
      </c>
      <c r="C960" s="216" t="s">
        <v>1344</v>
      </c>
      <c r="D960" s="416" t="s">
        <v>966</v>
      </c>
      <c r="E960" s="217" t="s">
        <v>2021</v>
      </c>
      <c r="F960" s="218" t="s">
        <v>1970</v>
      </c>
      <c r="G960" s="116">
        <v>8410</v>
      </c>
      <c r="H960" s="1776" t="s">
        <v>1349</v>
      </c>
      <c r="I960" s="34" t="s">
        <v>25</v>
      </c>
      <c r="J960" s="224"/>
      <c r="K960" s="147"/>
      <c r="L960" s="475"/>
      <c r="M960" s="224"/>
      <c r="N960" s="224"/>
      <c r="O960" s="314" t="s">
        <v>2012</v>
      </c>
    </row>
    <row r="961" spans="1:15" x14ac:dyDescent="0.3">
      <c r="A961" s="2402">
        <v>955</v>
      </c>
      <c r="B961" s="1122" t="s">
        <v>1968</v>
      </c>
      <c r="C961" s="216" t="s">
        <v>1344</v>
      </c>
      <c r="D961" s="416" t="s">
        <v>966</v>
      </c>
      <c r="E961" s="217" t="s">
        <v>2022</v>
      </c>
      <c r="F961" s="218" t="s">
        <v>1970</v>
      </c>
      <c r="G961" s="116">
        <v>8410</v>
      </c>
      <c r="H961" s="1776" t="s">
        <v>1349</v>
      </c>
      <c r="I961" s="34" t="s">
        <v>25</v>
      </c>
      <c r="J961" s="224"/>
      <c r="K961" s="147"/>
      <c r="L961" s="475"/>
      <c r="M961" s="224"/>
      <c r="N961" s="224"/>
      <c r="O961" s="314" t="s">
        <v>2012</v>
      </c>
    </row>
    <row r="962" spans="1:15" x14ac:dyDescent="0.3">
      <c r="A962" s="2402">
        <v>956</v>
      </c>
      <c r="B962" s="1122" t="s">
        <v>1968</v>
      </c>
      <c r="C962" s="216" t="s">
        <v>1344</v>
      </c>
      <c r="D962" s="416" t="s">
        <v>966</v>
      </c>
      <c r="E962" s="217" t="s">
        <v>2023</v>
      </c>
      <c r="F962" s="218" t="s">
        <v>1970</v>
      </c>
      <c r="G962" s="116">
        <v>8410</v>
      </c>
      <c r="H962" s="1776" t="s">
        <v>1349</v>
      </c>
      <c r="I962" s="34" t="s">
        <v>25</v>
      </c>
      <c r="J962" s="224"/>
      <c r="K962" s="147"/>
      <c r="L962" s="475"/>
      <c r="M962" s="224"/>
      <c r="N962" s="224"/>
      <c r="O962" s="314" t="s">
        <v>2012</v>
      </c>
    </row>
    <row r="963" spans="1:15" x14ac:dyDescent="0.3">
      <c r="A963" s="2401">
        <v>957</v>
      </c>
      <c r="B963" s="1122" t="s">
        <v>1968</v>
      </c>
      <c r="C963" s="216" t="s">
        <v>1344</v>
      </c>
      <c r="D963" s="416" t="s">
        <v>966</v>
      </c>
      <c r="E963" s="217" t="s">
        <v>2024</v>
      </c>
      <c r="F963" s="218" t="s">
        <v>1970</v>
      </c>
      <c r="G963" s="116">
        <v>8410</v>
      </c>
      <c r="H963" s="1776" t="s">
        <v>1349</v>
      </c>
      <c r="I963" s="34" t="s">
        <v>25</v>
      </c>
      <c r="J963" s="224"/>
      <c r="K963" s="147"/>
      <c r="L963" s="475"/>
      <c r="M963" s="224"/>
      <c r="N963" s="224"/>
      <c r="O963" s="314" t="s">
        <v>2012</v>
      </c>
    </row>
    <row r="964" spans="1:15" x14ac:dyDescent="0.3">
      <c r="A964" s="2402">
        <v>958</v>
      </c>
      <c r="B964" s="1122" t="s">
        <v>1968</v>
      </c>
      <c r="C964" s="216" t="s">
        <v>1344</v>
      </c>
      <c r="D964" s="416" t="s">
        <v>966</v>
      </c>
      <c r="E964" s="217" t="s">
        <v>362</v>
      </c>
      <c r="F964" s="218" t="s">
        <v>1970</v>
      </c>
      <c r="G964" s="116">
        <v>8410</v>
      </c>
      <c r="H964" s="1776" t="s">
        <v>1349</v>
      </c>
      <c r="I964" s="34" t="s">
        <v>25</v>
      </c>
      <c r="J964" s="224"/>
      <c r="K964" s="147"/>
      <c r="L964" s="475"/>
      <c r="M964" s="224"/>
      <c r="N964" s="224"/>
      <c r="O964" s="314" t="s">
        <v>2012</v>
      </c>
    </row>
    <row r="965" spans="1:15" x14ac:dyDescent="0.3">
      <c r="A965" s="2402">
        <v>959</v>
      </c>
      <c r="B965" s="1122" t="s">
        <v>1968</v>
      </c>
      <c r="C965" s="216" t="s">
        <v>1344</v>
      </c>
      <c r="D965" s="416" t="s">
        <v>966</v>
      </c>
      <c r="E965" s="217" t="s">
        <v>2025</v>
      </c>
      <c r="F965" s="218" t="s">
        <v>1970</v>
      </c>
      <c r="G965" s="116">
        <v>8410</v>
      </c>
      <c r="H965" s="1776" t="s">
        <v>1349</v>
      </c>
      <c r="I965" s="34" t="s">
        <v>25</v>
      </c>
      <c r="J965" s="224"/>
      <c r="K965" s="147"/>
      <c r="L965" s="475"/>
      <c r="M965" s="224"/>
      <c r="N965" s="224"/>
      <c r="O965" s="314" t="s">
        <v>2012</v>
      </c>
    </row>
    <row r="966" spans="1:15" x14ac:dyDescent="0.3">
      <c r="A966" s="2401">
        <v>960</v>
      </c>
      <c r="B966" s="1122" t="s">
        <v>1968</v>
      </c>
      <c r="C966" s="216" t="s">
        <v>1344</v>
      </c>
      <c r="D966" s="452" t="s">
        <v>966</v>
      </c>
      <c r="E966" s="217" t="s">
        <v>2026</v>
      </c>
      <c r="F966" s="218" t="s">
        <v>1970</v>
      </c>
      <c r="G966" s="116">
        <v>8410</v>
      </c>
      <c r="H966" s="1776" t="s">
        <v>1349</v>
      </c>
      <c r="I966" s="34" t="s">
        <v>25</v>
      </c>
      <c r="J966" s="224"/>
      <c r="K966" s="147"/>
      <c r="L966" s="475"/>
      <c r="M966" s="224"/>
      <c r="N966" s="224"/>
      <c r="O966" s="314" t="s">
        <v>2012</v>
      </c>
    </row>
    <row r="967" spans="1:15" x14ac:dyDescent="0.3">
      <c r="A967" s="2402">
        <v>961</v>
      </c>
      <c r="B967" s="1122" t="s">
        <v>1968</v>
      </c>
      <c r="C967" s="216" t="s">
        <v>1344</v>
      </c>
      <c r="D967" s="495" t="s">
        <v>966</v>
      </c>
      <c r="E967" s="217" t="s">
        <v>2027</v>
      </c>
      <c r="F967" s="218" t="s">
        <v>1970</v>
      </c>
      <c r="G967" s="116">
        <v>8410</v>
      </c>
      <c r="H967" s="1776" t="s">
        <v>1349</v>
      </c>
      <c r="I967" s="34" t="s">
        <v>25</v>
      </c>
      <c r="J967" s="224"/>
      <c r="K967" s="147"/>
      <c r="L967" s="475"/>
      <c r="M967" s="224"/>
      <c r="N967" s="224"/>
      <c r="O967" s="314" t="s">
        <v>2012</v>
      </c>
    </row>
    <row r="968" spans="1:15" x14ac:dyDescent="0.3">
      <c r="A968" s="2402">
        <v>962</v>
      </c>
      <c r="B968" s="1122" t="s">
        <v>1968</v>
      </c>
      <c r="C968" s="216" t="s">
        <v>1344</v>
      </c>
      <c r="D968" s="793" t="s">
        <v>966</v>
      </c>
      <c r="E968" s="217" t="s">
        <v>2028</v>
      </c>
      <c r="F968" s="218" t="s">
        <v>1970</v>
      </c>
      <c r="G968" s="116">
        <v>8410</v>
      </c>
      <c r="H968" s="1776" t="s">
        <v>1349</v>
      </c>
      <c r="I968" s="34" t="s">
        <v>25</v>
      </c>
      <c r="J968" s="224"/>
      <c r="K968" s="147"/>
      <c r="L968" s="475"/>
      <c r="M968" s="224"/>
      <c r="N968" s="224"/>
      <c r="O968" s="314" t="s">
        <v>2012</v>
      </c>
    </row>
    <row r="969" spans="1:15" x14ac:dyDescent="0.3">
      <c r="A969" s="2401">
        <v>963</v>
      </c>
      <c r="B969" s="1122" t="s">
        <v>1968</v>
      </c>
      <c r="C969" s="216" t="s">
        <v>1344</v>
      </c>
      <c r="D969" s="416" t="s">
        <v>966</v>
      </c>
      <c r="E969" s="217" t="s">
        <v>363</v>
      </c>
      <c r="F969" s="218" t="s">
        <v>1970</v>
      </c>
      <c r="G969" s="116">
        <v>8410</v>
      </c>
      <c r="H969" s="1776" t="s">
        <v>1349</v>
      </c>
      <c r="I969" s="34" t="s">
        <v>25</v>
      </c>
      <c r="J969" s="224"/>
      <c r="K969" s="147"/>
      <c r="L969" s="475"/>
      <c r="M969" s="224"/>
      <c r="N969" s="224"/>
      <c r="O969" s="314" t="s">
        <v>2012</v>
      </c>
    </row>
    <row r="970" spans="1:15" x14ac:dyDescent="0.3">
      <c r="A970" s="2402">
        <v>964</v>
      </c>
      <c r="B970" s="1122" t="s">
        <v>1968</v>
      </c>
      <c r="C970" s="216" t="s">
        <v>1344</v>
      </c>
      <c r="D970" s="416" t="s">
        <v>966</v>
      </c>
      <c r="E970" s="217" t="s">
        <v>364</v>
      </c>
      <c r="F970" s="218" t="s">
        <v>1970</v>
      </c>
      <c r="G970" s="116">
        <v>8410</v>
      </c>
      <c r="H970" s="1776" t="s">
        <v>1349</v>
      </c>
      <c r="I970" s="34" t="s">
        <v>25</v>
      </c>
      <c r="J970" s="224"/>
      <c r="K970" s="147"/>
      <c r="L970" s="475"/>
      <c r="M970" s="224"/>
      <c r="N970" s="224"/>
      <c r="O970" s="314" t="s">
        <v>2012</v>
      </c>
    </row>
    <row r="971" spans="1:15" x14ac:dyDescent="0.3">
      <c r="A971" s="2402">
        <v>965</v>
      </c>
      <c r="B971" s="1122" t="s">
        <v>1968</v>
      </c>
      <c r="C971" s="216" t="s">
        <v>1344</v>
      </c>
      <c r="D971" s="416" t="s">
        <v>966</v>
      </c>
      <c r="E971" s="217" t="s">
        <v>2029</v>
      </c>
      <c r="F971" s="218" t="s">
        <v>1970</v>
      </c>
      <c r="G971" s="116">
        <v>8410</v>
      </c>
      <c r="H971" s="1776" t="s">
        <v>1349</v>
      </c>
      <c r="I971" s="34" t="s">
        <v>25</v>
      </c>
      <c r="J971" s="224"/>
      <c r="K971" s="147"/>
      <c r="L971" s="475"/>
      <c r="M971" s="224"/>
      <c r="N971" s="224"/>
      <c r="O971" s="314" t="s">
        <v>2012</v>
      </c>
    </row>
    <row r="972" spans="1:15" x14ac:dyDescent="0.3">
      <c r="A972" s="2401">
        <v>966</v>
      </c>
      <c r="B972" s="1122" t="s">
        <v>1968</v>
      </c>
      <c r="C972" s="216" t="s">
        <v>1344</v>
      </c>
      <c r="D972" s="416" t="s">
        <v>966</v>
      </c>
      <c r="E972" s="217" t="s">
        <v>2030</v>
      </c>
      <c r="F972" s="218" t="s">
        <v>1970</v>
      </c>
      <c r="G972" s="116">
        <v>8410</v>
      </c>
      <c r="H972" s="1776" t="s">
        <v>1349</v>
      </c>
      <c r="I972" s="34" t="s">
        <v>25</v>
      </c>
      <c r="J972" s="224"/>
      <c r="K972" s="147"/>
      <c r="L972" s="475"/>
      <c r="M972" s="224"/>
      <c r="N972" s="224"/>
      <c r="O972" s="314" t="s">
        <v>2012</v>
      </c>
    </row>
    <row r="973" spans="1:15" x14ac:dyDescent="0.3">
      <c r="A973" s="2402">
        <v>967</v>
      </c>
      <c r="B973" s="1122" t="s">
        <v>1968</v>
      </c>
      <c r="C973" s="216" t="s">
        <v>1344</v>
      </c>
      <c r="D973" s="416" t="s">
        <v>966</v>
      </c>
      <c r="E973" s="217" t="s">
        <v>2031</v>
      </c>
      <c r="F973" s="218" t="s">
        <v>1970</v>
      </c>
      <c r="G973" s="116">
        <v>8410</v>
      </c>
      <c r="H973" s="1776" t="s">
        <v>1349</v>
      </c>
      <c r="I973" s="34" t="s">
        <v>25</v>
      </c>
      <c r="J973" s="224"/>
      <c r="K973" s="147"/>
      <c r="L973" s="475"/>
      <c r="M973" s="224"/>
      <c r="N973" s="224"/>
      <c r="O973" s="314" t="s">
        <v>2012</v>
      </c>
    </row>
    <row r="974" spans="1:15" x14ac:dyDescent="0.3">
      <c r="A974" s="2402">
        <v>968</v>
      </c>
      <c r="B974" s="1122" t="s">
        <v>1968</v>
      </c>
      <c r="C974" s="216" t="s">
        <v>1344</v>
      </c>
      <c r="D974" s="416" t="s">
        <v>966</v>
      </c>
      <c r="E974" s="217" t="s">
        <v>2032</v>
      </c>
      <c r="F974" s="218" t="s">
        <v>1970</v>
      </c>
      <c r="G974" s="116">
        <v>8410</v>
      </c>
      <c r="H974" s="1776" t="s">
        <v>1349</v>
      </c>
      <c r="I974" s="34" t="s">
        <v>25</v>
      </c>
      <c r="J974" s="224"/>
      <c r="K974" s="147"/>
      <c r="L974" s="475"/>
      <c r="M974" s="224"/>
      <c r="N974" s="224"/>
      <c r="O974" s="314" t="s">
        <v>2033</v>
      </c>
    </row>
    <row r="975" spans="1:15" x14ac:dyDescent="0.3">
      <c r="A975" s="2401">
        <v>969</v>
      </c>
      <c r="B975" s="1122" t="s">
        <v>1968</v>
      </c>
      <c r="C975" s="216" t="s">
        <v>1344</v>
      </c>
      <c r="D975" s="416" t="s">
        <v>966</v>
      </c>
      <c r="E975" s="217" t="s">
        <v>2034</v>
      </c>
      <c r="F975" s="218" t="s">
        <v>1970</v>
      </c>
      <c r="G975" s="116">
        <v>8410</v>
      </c>
      <c r="H975" s="1776" t="s">
        <v>1349</v>
      </c>
      <c r="I975" s="34" t="s">
        <v>25</v>
      </c>
      <c r="J975" s="224"/>
      <c r="K975" s="147"/>
      <c r="L975" s="475"/>
      <c r="M975" s="224"/>
      <c r="N975" s="224"/>
      <c r="O975" s="314" t="s">
        <v>2033</v>
      </c>
    </row>
    <row r="976" spans="1:15" x14ac:dyDescent="0.3">
      <c r="A976" s="2402">
        <v>970</v>
      </c>
      <c r="B976" s="1122" t="s">
        <v>1968</v>
      </c>
      <c r="C976" s="216" t="s">
        <v>1344</v>
      </c>
      <c r="D976" s="416" t="s">
        <v>966</v>
      </c>
      <c r="E976" s="217" t="s">
        <v>2035</v>
      </c>
      <c r="F976" s="218" t="s">
        <v>1970</v>
      </c>
      <c r="G976" s="116">
        <v>8410</v>
      </c>
      <c r="H976" s="1776" t="s">
        <v>1349</v>
      </c>
      <c r="I976" s="34" t="s">
        <v>25</v>
      </c>
      <c r="J976" s="224"/>
      <c r="K976" s="147"/>
      <c r="L976" s="475"/>
      <c r="M976" s="224"/>
      <c r="N976" s="224"/>
      <c r="O976" s="314" t="s">
        <v>2033</v>
      </c>
    </row>
    <row r="977" spans="1:15" x14ac:dyDescent="0.3">
      <c r="A977" s="2402">
        <v>971</v>
      </c>
      <c r="B977" s="1122" t="s">
        <v>1968</v>
      </c>
      <c r="C977" s="216" t="s">
        <v>1344</v>
      </c>
      <c r="D977" s="416" t="s">
        <v>966</v>
      </c>
      <c r="E977" s="217" t="s">
        <v>2036</v>
      </c>
      <c r="F977" s="218" t="s">
        <v>1970</v>
      </c>
      <c r="G977" s="116">
        <v>8410</v>
      </c>
      <c r="H977" s="1776" t="s">
        <v>1349</v>
      </c>
      <c r="I977" s="34" t="s">
        <v>25</v>
      </c>
      <c r="J977" s="224"/>
      <c r="K977" s="147"/>
      <c r="L977" s="475"/>
      <c r="M977" s="224"/>
      <c r="N977" s="224"/>
      <c r="O977" s="314" t="s">
        <v>2033</v>
      </c>
    </row>
    <row r="978" spans="1:15" x14ac:dyDescent="0.3">
      <c r="A978" s="2401">
        <v>972</v>
      </c>
      <c r="B978" s="1122" t="s">
        <v>1968</v>
      </c>
      <c r="C978" s="216" t="s">
        <v>1344</v>
      </c>
      <c r="D978" s="416" t="s">
        <v>966</v>
      </c>
      <c r="E978" s="217" t="s">
        <v>2037</v>
      </c>
      <c r="F978" s="218" t="s">
        <v>1970</v>
      </c>
      <c r="G978" s="116">
        <v>8410</v>
      </c>
      <c r="H978" s="1776" t="s">
        <v>1349</v>
      </c>
      <c r="I978" s="34" t="s">
        <v>25</v>
      </c>
      <c r="J978" s="224"/>
      <c r="K978" s="147"/>
      <c r="L978" s="475"/>
      <c r="M978" s="224"/>
      <c r="N978" s="224"/>
      <c r="O978" s="314" t="s">
        <v>2033</v>
      </c>
    </row>
    <row r="979" spans="1:15" x14ac:dyDescent="0.3">
      <c r="A979" s="2402">
        <v>973</v>
      </c>
      <c r="B979" s="1122" t="s">
        <v>1968</v>
      </c>
      <c r="C979" s="216" t="s">
        <v>1344</v>
      </c>
      <c r="D979" s="416" t="s">
        <v>966</v>
      </c>
      <c r="E979" s="217" t="s">
        <v>2038</v>
      </c>
      <c r="F979" s="218" t="s">
        <v>1970</v>
      </c>
      <c r="G979" s="116">
        <v>8410</v>
      </c>
      <c r="H979" s="1776" t="s">
        <v>1349</v>
      </c>
      <c r="I979" s="34" t="s">
        <v>25</v>
      </c>
      <c r="J979" s="224"/>
      <c r="K979" s="147"/>
      <c r="L979" s="475"/>
      <c r="M979" s="224"/>
      <c r="N979" s="224"/>
      <c r="O979" s="314" t="s">
        <v>2033</v>
      </c>
    </row>
    <row r="980" spans="1:15" x14ac:dyDescent="0.3">
      <c r="A980" s="2402">
        <v>974</v>
      </c>
      <c r="B980" s="1122" t="s">
        <v>1968</v>
      </c>
      <c r="C980" s="216" t="s">
        <v>1344</v>
      </c>
      <c r="D980" s="452" t="s">
        <v>966</v>
      </c>
      <c r="E980" s="217" t="s">
        <v>365</v>
      </c>
      <c r="F980" s="218" t="s">
        <v>1970</v>
      </c>
      <c r="G980" s="116">
        <v>8410</v>
      </c>
      <c r="H980" s="1776" t="s">
        <v>1349</v>
      </c>
      <c r="I980" s="34" t="s">
        <v>25</v>
      </c>
      <c r="J980" s="224"/>
      <c r="K980" s="147"/>
      <c r="L980" s="475"/>
      <c r="M980" s="224"/>
      <c r="N980" s="224"/>
      <c r="O980" s="314" t="s">
        <v>2033</v>
      </c>
    </row>
    <row r="981" spans="1:15" x14ac:dyDescent="0.3">
      <c r="A981" s="2401">
        <v>975</v>
      </c>
      <c r="B981" s="1122" t="s">
        <v>1968</v>
      </c>
      <c r="C981" s="216" t="s">
        <v>1344</v>
      </c>
      <c r="D981" s="793" t="s">
        <v>966</v>
      </c>
      <c r="E981" s="217" t="s">
        <v>366</v>
      </c>
      <c r="F981" s="218" t="s">
        <v>1970</v>
      </c>
      <c r="G981" s="116">
        <v>8410</v>
      </c>
      <c r="H981" s="1776" t="s">
        <v>1349</v>
      </c>
      <c r="I981" s="34" t="s">
        <v>25</v>
      </c>
      <c r="J981" s="224"/>
      <c r="K981" s="147"/>
      <c r="L981" s="475"/>
      <c r="M981" s="224"/>
      <c r="N981" s="224"/>
      <c r="O981" s="314" t="s">
        <v>2033</v>
      </c>
    </row>
    <row r="982" spans="1:15" x14ac:dyDescent="0.3">
      <c r="A982" s="2402">
        <v>976</v>
      </c>
      <c r="B982" s="1122" t="s">
        <v>1968</v>
      </c>
      <c r="C982" s="216" t="s">
        <v>1344</v>
      </c>
      <c r="D982" s="452" t="s">
        <v>966</v>
      </c>
      <c r="E982" s="217" t="s">
        <v>2039</v>
      </c>
      <c r="F982" s="218" t="s">
        <v>1970</v>
      </c>
      <c r="G982" s="116">
        <v>8410</v>
      </c>
      <c r="H982" s="1776" t="s">
        <v>1349</v>
      </c>
      <c r="I982" s="34" t="s">
        <v>25</v>
      </c>
      <c r="J982" s="224"/>
      <c r="K982" s="147"/>
      <c r="L982" s="475"/>
      <c r="M982" s="224"/>
      <c r="N982" s="224"/>
      <c r="O982" s="314" t="s">
        <v>2033</v>
      </c>
    </row>
    <row r="983" spans="1:15" x14ac:dyDescent="0.3">
      <c r="A983" s="2402">
        <v>977</v>
      </c>
      <c r="B983" s="1122" t="s">
        <v>1968</v>
      </c>
      <c r="C983" s="216" t="s">
        <v>1344</v>
      </c>
      <c r="D983" s="793" t="s">
        <v>966</v>
      </c>
      <c r="E983" s="217" t="s">
        <v>2040</v>
      </c>
      <c r="F983" s="218" t="s">
        <v>1970</v>
      </c>
      <c r="G983" s="116">
        <v>8410</v>
      </c>
      <c r="H983" s="1776" t="s">
        <v>1349</v>
      </c>
      <c r="I983" s="34" t="s">
        <v>25</v>
      </c>
      <c r="J983" s="224"/>
      <c r="K983" s="147"/>
      <c r="L983" s="475"/>
      <c r="M983" s="224"/>
      <c r="N983" s="224"/>
      <c r="O983" s="314" t="s">
        <v>2033</v>
      </c>
    </row>
    <row r="984" spans="1:15" x14ac:dyDescent="0.3">
      <c r="A984" s="2401">
        <v>978</v>
      </c>
      <c r="B984" s="1122" t="s">
        <v>1968</v>
      </c>
      <c r="C984" s="216" t="s">
        <v>1344</v>
      </c>
      <c r="D984" s="416" t="s">
        <v>966</v>
      </c>
      <c r="E984" s="217" t="s">
        <v>2041</v>
      </c>
      <c r="F984" s="218" t="s">
        <v>1970</v>
      </c>
      <c r="G984" s="116">
        <v>8410</v>
      </c>
      <c r="H984" s="1776" t="s">
        <v>1349</v>
      </c>
      <c r="I984" s="34" t="s">
        <v>25</v>
      </c>
      <c r="J984" s="224"/>
      <c r="K984" s="147"/>
      <c r="L984" s="475"/>
      <c r="M984" s="224"/>
      <c r="N984" s="224"/>
      <c r="O984" s="314" t="s">
        <v>2033</v>
      </c>
    </row>
    <row r="985" spans="1:15" x14ac:dyDescent="0.3">
      <c r="A985" s="2402">
        <v>979</v>
      </c>
      <c r="B985" s="1122" t="s">
        <v>1968</v>
      </c>
      <c r="C985" s="216" t="s">
        <v>1344</v>
      </c>
      <c r="D985" s="416" t="s">
        <v>966</v>
      </c>
      <c r="E985" s="217" t="s">
        <v>2042</v>
      </c>
      <c r="F985" s="218" t="s">
        <v>1970</v>
      </c>
      <c r="G985" s="116">
        <v>8410</v>
      </c>
      <c r="H985" s="1776" t="s">
        <v>1349</v>
      </c>
      <c r="I985" s="34" t="s">
        <v>25</v>
      </c>
      <c r="J985" s="224"/>
      <c r="K985" s="147"/>
      <c r="L985" s="475"/>
      <c r="M985" s="224"/>
      <c r="N985" s="224"/>
      <c r="O985" s="314" t="s">
        <v>2033</v>
      </c>
    </row>
    <row r="986" spans="1:15" x14ac:dyDescent="0.3">
      <c r="A986" s="2402">
        <v>980</v>
      </c>
      <c r="B986" s="1122" t="s">
        <v>1968</v>
      </c>
      <c r="C986" s="216" t="s">
        <v>1344</v>
      </c>
      <c r="D986" s="416" t="s">
        <v>966</v>
      </c>
      <c r="E986" s="217" t="s">
        <v>2043</v>
      </c>
      <c r="F986" s="218" t="s">
        <v>1970</v>
      </c>
      <c r="G986" s="116">
        <v>8410</v>
      </c>
      <c r="H986" s="1776" t="s">
        <v>1349</v>
      </c>
      <c r="I986" s="34" t="s">
        <v>25</v>
      </c>
      <c r="J986" s="224"/>
      <c r="K986" s="147"/>
      <c r="L986" s="475"/>
      <c r="M986" s="224"/>
      <c r="N986" s="224"/>
      <c r="O986" s="314" t="s">
        <v>2033</v>
      </c>
    </row>
    <row r="987" spans="1:15" x14ac:dyDescent="0.3">
      <c r="A987" s="2401">
        <v>981</v>
      </c>
      <c r="B987" s="1122" t="s">
        <v>1968</v>
      </c>
      <c r="C987" s="216" t="s">
        <v>1344</v>
      </c>
      <c r="D987" s="416" t="s">
        <v>966</v>
      </c>
      <c r="E987" s="217" t="s">
        <v>2044</v>
      </c>
      <c r="F987" s="218" t="s">
        <v>1970</v>
      </c>
      <c r="G987" s="116">
        <v>8410</v>
      </c>
      <c r="H987" s="1776" t="s">
        <v>1349</v>
      </c>
      <c r="I987" s="34" t="s">
        <v>25</v>
      </c>
      <c r="J987" s="224"/>
      <c r="K987" s="147"/>
      <c r="L987" s="475"/>
      <c r="M987" s="224"/>
      <c r="N987" s="224"/>
      <c r="O987" s="314" t="s">
        <v>2033</v>
      </c>
    </row>
    <row r="988" spans="1:15" x14ac:dyDescent="0.3">
      <c r="A988" s="2402">
        <v>982</v>
      </c>
      <c r="B988" s="1122" t="s">
        <v>1968</v>
      </c>
      <c r="C988" s="216" t="s">
        <v>1344</v>
      </c>
      <c r="D988" s="416" t="s">
        <v>966</v>
      </c>
      <c r="E988" s="217" t="s">
        <v>2045</v>
      </c>
      <c r="F988" s="218" t="s">
        <v>1970</v>
      </c>
      <c r="G988" s="116">
        <v>8410</v>
      </c>
      <c r="H988" s="1776" t="s">
        <v>1349</v>
      </c>
      <c r="I988" s="34" t="s">
        <v>25</v>
      </c>
      <c r="J988" s="224"/>
      <c r="K988" s="147"/>
      <c r="L988" s="475"/>
      <c r="M988" s="224"/>
      <c r="N988" s="224"/>
      <c r="O988" s="314" t="s">
        <v>2033</v>
      </c>
    </row>
    <row r="989" spans="1:15" x14ac:dyDescent="0.3">
      <c r="A989" s="2402">
        <v>983</v>
      </c>
      <c r="B989" s="1122" t="s">
        <v>1968</v>
      </c>
      <c r="C989" s="216" t="s">
        <v>1344</v>
      </c>
      <c r="D989" s="416" t="s">
        <v>966</v>
      </c>
      <c r="E989" s="217" t="s">
        <v>2046</v>
      </c>
      <c r="F989" s="218" t="s">
        <v>1970</v>
      </c>
      <c r="G989" s="116">
        <v>8410</v>
      </c>
      <c r="H989" s="1776" t="s">
        <v>1349</v>
      </c>
      <c r="I989" s="34" t="s">
        <v>25</v>
      </c>
      <c r="J989" s="224"/>
      <c r="K989" s="147"/>
      <c r="L989" s="475"/>
      <c r="M989" s="224"/>
      <c r="N989" s="224"/>
      <c r="O989" s="314" t="s">
        <v>2033</v>
      </c>
    </row>
    <row r="990" spans="1:15" x14ac:dyDescent="0.3">
      <c r="A990" s="2401">
        <v>984</v>
      </c>
      <c r="B990" s="1122" t="s">
        <v>1968</v>
      </c>
      <c r="C990" s="216" t="s">
        <v>1344</v>
      </c>
      <c r="D990" s="416" t="s">
        <v>966</v>
      </c>
      <c r="E990" s="217" t="s">
        <v>2047</v>
      </c>
      <c r="F990" s="218" t="s">
        <v>1970</v>
      </c>
      <c r="G990" s="116">
        <v>8410</v>
      </c>
      <c r="H990" s="1776" t="s">
        <v>1349</v>
      </c>
      <c r="I990" s="34" t="s">
        <v>25</v>
      </c>
      <c r="J990" s="224"/>
      <c r="K990" s="147"/>
      <c r="L990" s="475"/>
      <c r="M990" s="224"/>
      <c r="N990" s="224"/>
      <c r="O990" s="314" t="s">
        <v>2033</v>
      </c>
    </row>
    <row r="991" spans="1:15" x14ac:dyDescent="0.3">
      <c r="A991" s="2402">
        <v>985</v>
      </c>
      <c r="B991" s="1122" t="s">
        <v>1968</v>
      </c>
      <c r="C991" s="216" t="s">
        <v>1344</v>
      </c>
      <c r="D991" s="452" t="s">
        <v>966</v>
      </c>
      <c r="E991" s="217" t="s">
        <v>2048</v>
      </c>
      <c r="F991" s="218" t="s">
        <v>1970</v>
      </c>
      <c r="G991" s="116">
        <v>8410</v>
      </c>
      <c r="H991" s="1776" t="s">
        <v>1349</v>
      </c>
      <c r="I991" s="34" t="s">
        <v>25</v>
      </c>
      <c r="J991" s="224"/>
      <c r="K991" s="147"/>
      <c r="L991" s="475"/>
      <c r="M991" s="224"/>
      <c r="N991" s="224"/>
      <c r="O991" s="314" t="s">
        <v>2033</v>
      </c>
    </row>
    <row r="992" spans="1:15" x14ac:dyDescent="0.3">
      <c r="A992" s="2402">
        <v>986</v>
      </c>
      <c r="B992" s="1122" t="s">
        <v>1968</v>
      </c>
      <c r="C992" s="216" t="s">
        <v>1344</v>
      </c>
      <c r="D992" s="495" t="s">
        <v>966</v>
      </c>
      <c r="E992" s="217" t="s">
        <v>2049</v>
      </c>
      <c r="F992" s="218" t="s">
        <v>1970</v>
      </c>
      <c r="G992" s="116">
        <v>8410</v>
      </c>
      <c r="H992" s="1776" t="s">
        <v>1349</v>
      </c>
      <c r="I992" s="34" t="s">
        <v>25</v>
      </c>
      <c r="J992" s="224"/>
      <c r="K992" s="147"/>
      <c r="L992" s="475"/>
      <c r="M992" s="224"/>
      <c r="N992" s="224"/>
      <c r="O992" s="314" t="s">
        <v>2033</v>
      </c>
    </row>
    <row r="993" spans="1:15" x14ac:dyDescent="0.3">
      <c r="A993" s="2401">
        <v>987</v>
      </c>
      <c r="B993" s="1122" t="s">
        <v>1968</v>
      </c>
      <c r="C993" s="216" t="s">
        <v>1344</v>
      </c>
      <c r="D993" s="793" t="s">
        <v>966</v>
      </c>
      <c r="E993" s="217" t="s">
        <v>2050</v>
      </c>
      <c r="F993" s="218" t="s">
        <v>1970</v>
      </c>
      <c r="G993" s="116">
        <v>8410</v>
      </c>
      <c r="H993" s="1776" t="s">
        <v>1349</v>
      </c>
      <c r="I993" s="34" t="s">
        <v>25</v>
      </c>
      <c r="J993" s="224"/>
      <c r="K993" s="147"/>
      <c r="L993" s="475"/>
      <c r="M993" s="224"/>
      <c r="N993" s="224"/>
      <c r="O993" s="314" t="s">
        <v>2033</v>
      </c>
    </row>
    <row r="994" spans="1:15" x14ac:dyDescent="0.3">
      <c r="A994" s="2402">
        <v>988</v>
      </c>
      <c r="B994" s="1122" t="s">
        <v>1968</v>
      </c>
      <c r="C994" s="216" t="s">
        <v>1344</v>
      </c>
      <c r="D994" s="416" t="s">
        <v>966</v>
      </c>
      <c r="E994" s="217" t="s">
        <v>2051</v>
      </c>
      <c r="F994" s="218" t="s">
        <v>1970</v>
      </c>
      <c r="G994" s="116">
        <v>8410</v>
      </c>
      <c r="H994" s="1776" t="s">
        <v>1349</v>
      </c>
      <c r="I994" s="34" t="s">
        <v>25</v>
      </c>
      <c r="J994" s="224"/>
      <c r="K994" s="147"/>
      <c r="L994" s="475"/>
      <c r="M994" s="224"/>
      <c r="N994" s="224"/>
      <c r="O994" s="314" t="s">
        <v>2033</v>
      </c>
    </row>
    <row r="995" spans="1:15" x14ac:dyDescent="0.3">
      <c r="A995" s="2402">
        <v>989</v>
      </c>
      <c r="B995" s="1122" t="s">
        <v>1968</v>
      </c>
      <c r="C995" s="216" t="s">
        <v>1344</v>
      </c>
      <c r="D995" s="416" t="s">
        <v>966</v>
      </c>
      <c r="E995" s="217" t="s">
        <v>2052</v>
      </c>
      <c r="F995" s="218" t="s">
        <v>1970</v>
      </c>
      <c r="G995" s="116">
        <v>8410</v>
      </c>
      <c r="H995" s="1776" t="s">
        <v>1349</v>
      </c>
      <c r="I995" s="34" t="s">
        <v>25</v>
      </c>
      <c r="J995" s="224"/>
      <c r="K995" s="147"/>
      <c r="L995" s="475"/>
      <c r="M995" s="224"/>
      <c r="N995" s="224"/>
      <c r="O995" s="314" t="s">
        <v>2033</v>
      </c>
    </row>
    <row r="996" spans="1:15" x14ac:dyDescent="0.3">
      <c r="A996" s="2401">
        <v>990</v>
      </c>
      <c r="B996" s="1122" t="s">
        <v>1968</v>
      </c>
      <c r="C996" s="216" t="s">
        <v>1344</v>
      </c>
      <c r="D996" s="416" t="s">
        <v>966</v>
      </c>
      <c r="E996" s="217" t="s">
        <v>2053</v>
      </c>
      <c r="F996" s="218" t="s">
        <v>1970</v>
      </c>
      <c r="G996" s="116">
        <v>8410</v>
      </c>
      <c r="H996" s="1776" t="s">
        <v>1349</v>
      </c>
      <c r="I996" s="34" t="s">
        <v>25</v>
      </c>
      <c r="J996" s="224"/>
      <c r="K996" s="147"/>
      <c r="L996" s="475"/>
      <c r="M996" s="224"/>
      <c r="N996" s="224"/>
      <c r="O996" s="314" t="s">
        <v>2033</v>
      </c>
    </row>
    <row r="997" spans="1:15" x14ac:dyDescent="0.3">
      <c r="A997" s="2402">
        <v>991</v>
      </c>
      <c r="B997" s="1122" t="s">
        <v>1968</v>
      </c>
      <c r="C997" s="216" t="s">
        <v>1344</v>
      </c>
      <c r="D997" s="416" t="s">
        <v>966</v>
      </c>
      <c r="E997" s="217" t="s">
        <v>2054</v>
      </c>
      <c r="F997" s="218" t="s">
        <v>1970</v>
      </c>
      <c r="G997" s="116">
        <v>8410</v>
      </c>
      <c r="H997" s="1776" t="s">
        <v>1349</v>
      </c>
      <c r="I997" s="34" t="s">
        <v>25</v>
      </c>
      <c r="J997" s="224"/>
      <c r="K997" s="147"/>
      <c r="L997" s="475"/>
      <c r="M997" s="224"/>
      <c r="N997" s="224"/>
      <c r="O997" s="314" t="s">
        <v>2033</v>
      </c>
    </row>
    <row r="998" spans="1:15" x14ac:dyDescent="0.3">
      <c r="A998" s="2402">
        <v>992</v>
      </c>
      <c r="B998" s="1122" t="s">
        <v>1968</v>
      </c>
      <c r="C998" s="216" t="s">
        <v>1344</v>
      </c>
      <c r="D998" s="416" t="s">
        <v>966</v>
      </c>
      <c r="E998" s="217" t="s">
        <v>2055</v>
      </c>
      <c r="F998" s="218" t="s">
        <v>1970</v>
      </c>
      <c r="G998" s="116">
        <v>8410</v>
      </c>
      <c r="H998" s="1776" t="s">
        <v>1349</v>
      </c>
      <c r="I998" s="34" t="s">
        <v>25</v>
      </c>
      <c r="J998" s="224"/>
      <c r="K998" s="147"/>
      <c r="L998" s="475"/>
      <c r="M998" s="224"/>
      <c r="N998" s="224"/>
      <c r="O998" s="314" t="s">
        <v>2033</v>
      </c>
    </row>
    <row r="999" spans="1:15" x14ac:dyDescent="0.3">
      <c r="A999" s="2401">
        <v>993</v>
      </c>
      <c r="B999" s="1122" t="s">
        <v>1968</v>
      </c>
      <c r="C999" s="216" t="s">
        <v>1344</v>
      </c>
      <c r="D999" s="416" t="s">
        <v>966</v>
      </c>
      <c r="E999" s="217" t="s">
        <v>2056</v>
      </c>
      <c r="F999" s="218" t="s">
        <v>1970</v>
      </c>
      <c r="G999" s="116">
        <v>8410</v>
      </c>
      <c r="H999" s="1776" t="s">
        <v>1349</v>
      </c>
      <c r="I999" s="34" t="s">
        <v>25</v>
      </c>
      <c r="J999" s="224"/>
      <c r="K999" s="147"/>
      <c r="L999" s="475"/>
      <c r="M999" s="224"/>
      <c r="N999" s="224"/>
      <c r="O999" s="314" t="s">
        <v>2033</v>
      </c>
    </row>
    <row r="1000" spans="1:15" x14ac:dyDescent="0.3">
      <c r="A1000" s="2402">
        <v>994</v>
      </c>
      <c r="B1000" s="1122" t="s">
        <v>1968</v>
      </c>
      <c r="C1000" s="216" t="s">
        <v>1344</v>
      </c>
      <c r="D1000" s="416" t="s">
        <v>966</v>
      </c>
      <c r="E1000" s="217" t="s">
        <v>2057</v>
      </c>
      <c r="F1000" s="218" t="s">
        <v>1970</v>
      </c>
      <c r="G1000" s="116">
        <v>8410</v>
      </c>
      <c r="H1000" s="1776" t="s">
        <v>1349</v>
      </c>
      <c r="I1000" s="34" t="s">
        <v>25</v>
      </c>
      <c r="J1000" s="224"/>
      <c r="K1000" s="147"/>
      <c r="L1000" s="475"/>
      <c r="M1000" s="224"/>
      <c r="N1000" s="224"/>
      <c r="O1000" s="314" t="s">
        <v>2033</v>
      </c>
    </row>
    <row r="1001" spans="1:15" x14ac:dyDescent="0.3">
      <c r="A1001" s="2402">
        <v>995</v>
      </c>
      <c r="B1001" s="1122" t="s">
        <v>1968</v>
      </c>
      <c r="C1001" s="216" t="s">
        <v>1344</v>
      </c>
      <c r="D1001" s="416" t="s">
        <v>966</v>
      </c>
      <c r="E1001" s="217" t="s">
        <v>2058</v>
      </c>
      <c r="F1001" s="218" t="s">
        <v>1970</v>
      </c>
      <c r="G1001" s="116">
        <v>8410</v>
      </c>
      <c r="H1001" s="1776" t="s">
        <v>1349</v>
      </c>
      <c r="I1001" s="34" t="s">
        <v>25</v>
      </c>
      <c r="J1001" s="224"/>
      <c r="K1001" s="147"/>
      <c r="L1001" s="475"/>
      <c r="M1001" s="224"/>
      <c r="N1001" s="224"/>
      <c r="O1001" s="314" t="s">
        <v>2033</v>
      </c>
    </row>
    <row r="1002" spans="1:15" x14ac:dyDescent="0.3">
      <c r="A1002" s="2401">
        <v>996</v>
      </c>
      <c r="B1002" s="1122" t="s">
        <v>1968</v>
      </c>
      <c r="C1002" s="216" t="s">
        <v>1344</v>
      </c>
      <c r="D1002" s="452" t="s">
        <v>966</v>
      </c>
      <c r="E1002" s="217" t="s">
        <v>2059</v>
      </c>
      <c r="F1002" s="218" t="s">
        <v>1970</v>
      </c>
      <c r="G1002" s="116">
        <v>8410</v>
      </c>
      <c r="H1002" s="1776" t="s">
        <v>1349</v>
      </c>
      <c r="I1002" s="34" t="s">
        <v>25</v>
      </c>
      <c r="J1002" s="224"/>
      <c r="K1002" s="147"/>
      <c r="L1002" s="475"/>
      <c r="M1002" s="224"/>
      <c r="N1002" s="224"/>
      <c r="O1002" s="314" t="s">
        <v>2033</v>
      </c>
    </row>
    <row r="1003" spans="1:15" x14ac:dyDescent="0.3">
      <c r="A1003" s="2402">
        <v>997</v>
      </c>
      <c r="B1003" s="1122" t="s">
        <v>1968</v>
      </c>
      <c r="C1003" s="216" t="s">
        <v>1344</v>
      </c>
      <c r="D1003" s="793" t="s">
        <v>966</v>
      </c>
      <c r="E1003" s="217" t="s">
        <v>2060</v>
      </c>
      <c r="F1003" s="218" t="s">
        <v>1970</v>
      </c>
      <c r="G1003" s="116">
        <v>8410</v>
      </c>
      <c r="H1003" s="1776" t="s">
        <v>1349</v>
      </c>
      <c r="I1003" s="34" t="s">
        <v>25</v>
      </c>
      <c r="J1003" s="224"/>
      <c r="K1003" s="147"/>
      <c r="L1003" s="475"/>
      <c r="M1003" s="224"/>
      <c r="N1003" s="224"/>
      <c r="O1003" s="314" t="s">
        <v>2033</v>
      </c>
    </row>
    <row r="1004" spans="1:15" x14ac:dyDescent="0.3">
      <c r="A1004" s="2402">
        <v>998</v>
      </c>
      <c r="B1004" s="1122" t="s">
        <v>1968</v>
      </c>
      <c r="C1004" s="216" t="s">
        <v>1344</v>
      </c>
      <c r="D1004" s="416" t="s">
        <v>966</v>
      </c>
      <c r="E1004" s="217" t="s">
        <v>2061</v>
      </c>
      <c r="F1004" s="218" t="s">
        <v>1970</v>
      </c>
      <c r="G1004" s="116">
        <v>8410</v>
      </c>
      <c r="H1004" s="1776" t="s">
        <v>1349</v>
      </c>
      <c r="I1004" s="34" t="s">
        <v>25</v>
      </c>
      <c r="J1004" s="224"/>
      <c r="K1004" s="147"/>
      <c r="L1004" s="475"/>
      <c r="M1004" s="224"/>
      <c r="N1004" s="224"/>
      <c r="O1004" s="314" t="s">
        <v>2033</v>
      </c>
    </row>
    <row r="1005" spans="1:15" x14ac:dyDescent="0.3">
      <c r="A1005" s="2401">
        <v>999</v>
      </c>
      <c r="B1005" s="1122" t="s">
        <v>1968</v>
      </c>
      <c r="C1005" s="216" t="s">
        <v>1344</v>
      </c>
      <c r="D1005" s="416" t="s">
        <v>966</v>
      </c>
      <c r="E1005" s="217" t="s">
        <v>2062</v>
      </c>
      <c r="F1005" s="218" t="s">
        <v>1970</v>
      </c>
      <c r="G1005" s="116">
        <v>8410</v>
      </c>
      <c r="H1005" s="1776" t="s">
        <v>1349</v>
      </c>
      <c r="I1005" s="34" t="s">
        <v>25</v>
      </c>
      <c r="J1005" s="224"/>
      <c r="K1005" s="147"/>
      <c r="L1005" s="475"/>
      <c r="M1005" s="224"/>
      <c r="N1005" s="224"/>
      <c r="O1005" s="314" t="s">
        <v>2033</v>
      </c>
    </row>
    <row r="1006" spans="1:15" x14ac:dyDescent="0.3">
      <c r="A1006" s="2402">
        <v>1000</v>
      </c>
      <c r="B1006" s="1122" t="s">
        <v>1968</v>
      </c>
      <c r="C1006" s="216" t="s">
        <v>1344</v>
      </c>
      <c r="D1006" s="416" t="s">
        <v>966</v>
      </c>
      <c r="E1006" s="217" t="s">
        <v>2063</v>
      </c>
      <c r="F1006" s="218" t="s">
        <v>1970</v>
      </c>
      <c r="G1006" s="116">
        <v>8410</v>
      </c>
      <c r="H1006" s="1776" t="s">
        <v>1349</v>
      </c>
      <c r="I1006" s="34" t="s">
        <v>25</v>
      </c>
      <c r="J1006" s="224"/>
      <c r="K1006" s="147"/>
      <c r="L1006" s="475"/>
      <c r="M1006" s="224"/>
      <c r="N1006" s="224"/>
      <c r="O1006" s="314" t="s">
        <v>2033</v>
      </c>
    </row>
    <row r="1007" spans="1:15" x14ac:dyDescent="0.3">
      <c r="A1007" s="2402">
        <v>1001</v>
      </c>
      <c r="B1007" s="1122" t="s">
        <v>1968</v>
      </c>
      <c r="C1007" s="216" t="s">
        <v>1344</v>
      </c>
      <c r="D1007" s="416" t="s">
        <v>966</v>
      </c>
      <c r="E1007" s="217" t="s">
        <v>2064</v>
      </c>
      <c r="F1007" s="218" t="s">
        <v>1970</v>
      </c>
      <c r="G1007" s="116">
        <v>8410</v>
      </c>
      <c r="H1007" s="1776" t="s">
        <v>1349</v>
      </c>
      <c r="I1007" s="34" t="s">
        <v>25</v>
      </c>
      <c r="J1007" s="224"/>
      <c r="K1007" s="147"/>
      <c r="L1007" s="475"/>
      <c r="M1007" s="224"/>
      <c r="N1007" s="224"/>
      <c r="O1007" s="314" t="s">
        <v>2033</v>
      </c>
    </row>
    <row r="1008" spans="1:15" x14ac:dyDescent="0.3">
      <c r="A1008" s="2401">
        <v>1002</v>
      </c>
      <c r="B1008" s="1122" t="s">
        <v>1968</v>
      </c>
      <c r="C1008" s="216" t="s">
        <v>1344</v>
      </c>
      <c r="D1008" s="416" t="s">
        <v>966</v>
      </c>
      <c r="E1008" s="217" t="s">
        <v>2065</v>
      </c>
      <c r="F1008" s="218" t="s">
        <v>1970</v>
      </c>
      <c r="G1008" s="116">
        <v>8410</v>
      </c>
      <c r="H1008" s="1776" t="s">
        <v>1349</v>
      </c>
      <c r="I1008" s="34" t="s">
        <v>25</v>
      </c>
      <c r="J1008" s="224"/>
      <c r="K1008" s="147"/>
      <c r="L1008" s="475"/>
      <c r="M1008" s="224"/>
      <c r="N1008" s="224"/>
      <c r="O1008" s="314" t="s">
        <v>2033</v>
      </c>
    </row>
    <row r="1009" spans="1:15" x14ac:dyDescent="0.3">
      <c r="A1009" s="2402">
        <v>1003</v>
      </c>
      <c r="B1009" s="1122" t="s">
        <v>1968</v>
      </c>
      <c r="C1009" s="216" t="s">
        <v>1344</v>
      </c>
      <c r="D1009" s="416" t="s">
        <v>966</v>
      </c>
      <c r="E1009" s="217" t="s">
        <v>2066</v>
      </c>
      <c r="F1009" s="218" t="s">
        <v>1970</v>
      </c>
      <c r="G1009" s="116">
        <v>8410</v>
      </c>
      <c r="H1009" s="1776" t="s">
        <v>1349</v>
      </c>
      <c r="I1009" s="34" t="s">
        <v>25</v>
      </c>
      <c r="J1009" s="224"/>
      <c r="K1009" s="147"/>
      <c r="L1009" s="475"/>
      <c r="M1009" s="224"/>
      <c r="N1009" s="224"/>
      <c r="O1009" s="314" t="s">
        <v>2033</v>
      </c>
    </row>
    <row r="1010" spans="1:15" x14ac:dyDescent="0.3">
      <c r="A1010" s="2402">
        <v>1004</v>
      </c>
      <c r="B1010" s="1122" t="s">
        <v>1968</v>
      </c>
      <c r="C1010" s="216" t="s">
        <v>1344</v>
      </c>
      <c r="D1010" s="416" t="s">
        <v>966</v>
      </c>
      <c r="E1010" s="217" t="s">
        <v>2067</v>
      </c>
      <c r="F1010" s="218" t="s">
        <v>1970</v>
      </c>
      <c r="G1010" s="116">
        <v>8410</v>
      </c>
      <c r="H1010" s="1776" t="s">
        <v>1349</v>
      </c>
      <c r="I1010" s="34" t="s">
        <v>25</v>
      </c>
      <c r="J1010" s="224"/>
      <c r="K1010" s="147"/>
      <c r="L1010" s="475"/>
      <c r="M1010" s="224"/>
      <c r="N1010" s="224"/>
      <c r="O1010" s="314" t="s">
        <v>2033</v>
      </c>
    </row>
    <row r="1011" spans="1:15" x14ac:dyDescent="0.3">
      <c r="A1011" s="2401">
        <v>1005</v>
      </c>
      <c r="B1011" s="1122" t="s">
        <v>1968</v>
      </c>
      <c r="C1011" s="216" t="s">
        <v>1344</v>
      </c>
      <c r="D1011" s="416" t="s">
        <v>966</v>
      </c>
      <c r="E1011" s="217" t="s">
        <v>2068</v>
      </c>
      <c r="F1011" s="218" t="s">
        <v>1970</v>
      </c>
      <c r="G1011" s="116">
        <v>8410</v>
      </c>
      <c r="H1011" s="1776" t="s">
        <v>1349</v>
      </c>
      <c r="I1011" s="34" t="s">
        <v>25</v>
      </c>
      <c r="J1011" s="224"/>
      <c r="K1011" s="147"/>
      <c r="L1011" s="475"/>
      <c r="M1011" s="224"/>
      <c r="N1011" s="224"/>
      <c r="O1011" s="314" t="s">
        <v>2033</v>
      </c>
    </row>
    <row r="1012" spans="1:15" x14ac:dyDescent="0.3">
      <c r="A1012" s="2402">
        <v>1006</v>
      </c>
      <c r="B1012" s="1122" t="s">
        <v>1968</v>
      </c>
      <c r="C1012" s="216" t="s">
        <v>1344</v>
      </c>
      <c r="D1012" s="416" t="s">
        <v>966</v>
      </c>
      <c r="E1012" s="217" t="s">
        <v>2069</v>
      </c>
      <c r="F1012" s="218" t="s">
        <v>1970</v>
      </c>
      <c r="G1012" s="116">
        <v>8410</v>
      </c>
      <c r="H1012" s="1776" t="s">
        <v>1349</v>
      </c>
      <c r="I1012" s="34" t="s">
        <v>25</v>
      </c>
      <c r="J1012" s="224"/>
      <c r="K1012" s="147"/>
      <c r="L1012" s="475"/>
      <c r="M1012" s="224"/>
      <c r="N1012" s="224"/>
      <c r="O1012" s="314" t="s">
        <v>2033</v>
      </c>
    </row>
    <row r="1013" spans="1:15" x14ac:dyDescent="0.3">
      <c r="A1013" s="2402">
        <v>1007</v>
      </c>
      <c r="B1013" s="1122" t="s">
        <v>1968</v>
      </c>
      <c r="C1013" s="216" t="s">
        <v>1344</v>
      </c>
      <c r="D1013" s="416" t="s">
        <v>966</v>
      </c>
      <c r="E1013" s="217" t="s">
        <v>2070</v>
      </c>
      <c r="F1013" s="218" t="s">
        <v>1970</v>
      </c>
      <c r="G1013" s="116">
        <v>8410</v>
      </c>
      <c r="H1013" s="1776" t="s">
        <v>1349</v>
      </c>
      <c r="I1013" s="34" t="s">
        <v>25</v>
      </c>
      <c r="J1013" s="224"/>
      <c r="K1013" s="147"/>
      <c r="L1013" s="475"/>
      <c r="M1013" s="224"/>
      <c r="N1013" s="224"/>
      <c r="O1013" s="314" t="s">
        <v>2033</v>
      </c>
    </row>
    <row r="1014" spans="1:15" x14ac:dyDescent="0.3">
      <c r="A1014" s="2401">
        <v>1008</v>
      </c>
      <c r="B1014" s="1122" t="s">
        <v>1968</v>
      </c>
      <c r="C1014" s="216" t="s">
        <v>1344</v>
      </c>
      <c r="D1014" s="416" t="s">
        <v>966</v>
      </c>
      <c r="E1014" s="217" t="s">
        <v>2071</v>
      </c>
      <c r="F1014" s="218" t="s">
        <v>1970</v>
      </c>
      <c r="G1014" s="116">
        <v>8410</v>
      </c>
      <c r="H1014" s="1776" t="s">
        <v>1349</v>
      </c>
      <c r="I1014" s="34" t="s">
        <v>25</v>
      </c>
      <c r="J1014" s="224"/>
      <c r="K1014" s="147"/>
      <c r="L1014" s="475"/>
      <c r="M1014" s="224"/>
      <c r="N1014" s="224"/>
      <c r="O1014" s="314" t="s">
        <v>2033</v>
      </c>
    </row>
    <row r="1015" spans="1:15" x14ac:dyDescent="0.3">
      <c r="A1015" s="2402">
        <v>1009</v>
      </c>
      <c r="B1015" s="1122" t="s">
        <v>1968</v>
      </c>
      <c r="C1015" s="216" t="s">
        <v>1344</v>
      </c>
      <c r="D1015" s="452" t="s">
        <v>966</v>
      </c>
      <c r="E1015" s="217" t="s">
        <v>2072</v>
      </c>
      <c r="F1015" s="218" t="s">
        <v>1970</v>
      </c>
      <c r="G1015" s="116">
        <v>8410</v>
      </c>
      <c r="H1015" s="1776" t="s">
        <v>1349</v>
      </c>
      <c r="I1015" s="34" t="s">
        <v>25</v>
      </c>
      <c r="J1015" s="224"/>
      <c r="K1015" s="147"/>
      <c r="L1015" s="475"/>
      <c r="M1015" s="224"/>
      <c r="N1015" s="224"/>
      <c r="O1015" s="314" t="s">
        <v>2033</v>
      </c>
    </row>
    <row r="1016" spans="1:15" x14ac:dyDescent="0.3">
      <c r="A1016" s="2402">
        <v>1010</v>
      </c>
      <c r="B1016" s="1122" t="s">
        <v>1968</v>
      </c>
      <c r="C1016" s="216" t="s">
        <v>1344</v>
      </c>
      <c r="D1016" s="495" t="s">
        <v>966</v>
      </c>
      <c r="E1016" s="217" t="s">
        <v>2073</v>
      </c>
      <c r="F1016" s="218" t="s">
        <v>1970</v>
      </c>
      <c r="G1016" s="116">
        <v>8410</v>
      </c>
      <c r="H1016" s="1776" t="s">
        <v>1349</v>
      </c>
      <c r="I1016" s="34" t="s">
        <v>25</v>
      </c>
      <c r="J1016" s="224"/>
      <c r="K1016" s="147"/>
      <c r="L1016" s="475"/>
      <c r="M1016" s="224"/>
      <c r="N1016" s="224"/>
      <c r="O1016" s="314" t="s">
        <v>2033</v>
      </c>
    </row>
    <row r="1017" spans="1:15" x14ac:dyDescent="0.3">
      <c r="A1017" s="2401">
        <v>1011</v>
      </c>
      <c r="B1017" s="1122" t="s">
        <v>1968</v>
      </c>
      <c r="C1017" s="216" t="s">
        <v>1344</v>
      </c>
      <c r="D1017" s="793" t="s">
        <v>966</v>
      </c>
      <c r="E1017" s="217" t="s">
        <v>504</v>
      </c>
      <c r="F1017" s="218" t="s">
        <v>1970</v>
      </c>
      <c r="G1017" s="116">
        <v>8410</v>
      </c>
      <c r="H1017" s="1776" t="s">
        <v>1349</v>
      </c>
      <c r="I1017" s="34" t="s">
        <v>25</v>
      </c>
      <c r="J1017" s="224"/>
      <c r="K1017" s="147"/>
      <c r="L1017" s="475"/>
      <c r="M1017" s="224"/>
      <c r="N1017" s="224"/>
      <c r="O1017" s="314" t="s">
        <v>2033</v>
      </c>
    </row>
    <row r="1018" spans="1:15" x14ac:dyDescent="0.3">
      <c r="A1018" s="2402">
        <v>1012</v>
      </c>
      <c r="B1018" s="1122" t="s">
        <v>1968</v>
      </c>
      <c r="C1018" s="216" t="s">
        <v>1344</v>
      </c>
      <c r="D1018" s="416" t="s">
        <v>966</v>
      </c>
      <c r="E1018" s="217" t="s">
        <v>506</v>
      </c>
      <c r="F1018" s="218" t="s">
        <v>1970</v>
      </c>
      <c r="G1018" s="116">
        <v>8410</v>
      </c>
      <c r="H1018" s="1776" t="s">
        <v>1349</v>
      </c>
      <c r="I1018" s="34" t="s">
        <v>25</v>
      </c>
      <c r="J1018" s="224"/>
      <c r="K1018" s="147"/>
      <c r="L1018" s="475"/>
      <c r="M1018" s="224"/>
      <c r="N1018" s="224"/>
      <c r="O1018" s="314" t="s">
        <v>2033</v>
      </c>
    </row>
    <row r="1019" spans="1:15" x14ac:dyDescent="0.3">
      <c r="A1019" s="2402">
        <v>1013</v>
      </c>
      <c r="B1019" s="1122" t="s">
        <v>1968</v>
      </c>
      <c r="C1019" s="216" t="s">
        <v>1344</v>
      </c>
      <c r="D1019" s="416" t="s">
        <v>966</v>
      </c>
      <c r="E1019" s="217" t="s">
        <v>507</v>
      </c>
      <c r="F1019" s="218" t="s">
        <v>1970</v>
      </c>
      <c r="G1019" s="116">
        <v>8410</v>
      </c>
      <c r="H1019" s="1776" t="s">
        <v>1349</v>
      </c>
      <c r="I1019" s="34" t="s">
        <v>25</v>
      </c>
      <c r="J1019" s="224"/>
      <c r="K1019" s="147"/>
      <c r="L1019" s="475"/>
      <c r="M1019" s="224"/>
      <c r="N1019" s="224"/>
      <c r="O1019" s="314" t="s">
        <v>2033</v>
      </c>
    </row>
    <row r="1020" spans="1:15" x14ac:dyDescent="0.3">
      <c r="A1020" s="2401">
        <v>1014</v>
      </c>
      <c r="B1020" s="1122" t="s">
        <v>1968</v>
      </c>
      <c r="C1020" s="216" t="s">
        <v>1344</v>
      </c>
      <c r="D1020" s="416" t="s">
        <v>966</v>
      </c>
      <c r="E1020" s="217" t="s">
        <v>508</v>
      </c>
      <c r="F1020" s="218" t="s">
        <v>1970</v>
      </c>
      <c r="G1020" s="116">
        <v>8410</v>
      </c>
      <c r="H1020" s="1776" t="s">
        <v>1349</v>
      </c>
      <c r="I1020" s="34" t="s">
        <v>25</v>
      </c>
      <c r="J1020" s="224"/>
      <c r="K1020" s="147"/>
      <c r="L1020" s="475"/>
      <c r="M1020" s="224"/>
      <c r="N1020" s="224"/>
      <c r="O1020" s="314" t="s">
        <v>2033</v>
      </c>
    </row>
    <row r="1021" spans="1:15" x14ac:dyDescent="0.3">
      <c r="A1021" s="2402">
        <v>1015</v>
      </c>
      <c r="B1021" s="1122" t="s">
        <v>1968</v>
      </c>
      <c r="C1021" s="216" t="s">
        <v>1344</v>
      </c>
      <c r="D1021" s="416" t="s">
        <v>966</v>
      </c>
      <c r="E1021" s="217" t="s">
        <v>509</v>
      </c>
      <c r="F1021" s="218" t="s">
        <v>1970</v>
      </c>
      <c r="G1021" s="116">
        <v>8410</v>
      </c>
      <c r="H1021" s="1776" t="s">
        <v>1349</v>
      </c>
      <c r="I1021" s="34" t="s">
        <v>25</v>
      </c>
      <c r="J1021" s="224"/>
      <c r="K1021" s="147"/>
      <c r="L1021" s="475"/>
      <c r="M1021" s="224"/>
      <c r="N1021" s="224"/>
      <c r="O1021" s="314" t="s">
        <v>2033</v>
      </c>
    </row>
    <row r="1022" spans="1:15" x14ac:dyDescent="0.3">
      <c r="A1022" s="2402">
        <v>1016</v>
      </c>
      <c r="B1022" s="1122" t="s">
        <v>1968</v>
      </c>
      <c r="C1022" s="216" t="s">
        <v>1344</v>
      </c>
      <c r="D1022" s="416" t="s">
        <v>966</v>
      </c>
      <c r="E1022" s="217" t="s">
        <v>510</v>
      </c>
      <c r="F1022" s="218" t="s">
        <v>1970</v>
      </c>
      <c r="G1022" s="116">
        <v>8410</v>
      </c>
      <c r="H1022" s="1776" t="s">
        <v>1349</v>
      </c>
      <c r="I1022" s="34" t="s">
        <v>25</v>
      </c>
      <c r="J1022" s="224"/>
      <c r="K1022" s="147"/>
      <c r="L1022" s="475"/>
      <c r="M1022" s="224"/>
      <c r="N1022" s="224"/>
      <c r="O1022" s="314" t="s">
        <v>2033</v>
      </c>
    </row>
    <row r="1023" spans="1:15" x14ac:dyDescent="0.3">
      <c r="A1023" s="2401">
        <v>1017</v>
      </c>
      <c r="B1023" s="1122" t="s">
        <v>1968</v>
      </c>
      <c r="C1023" s="216" t="s">
        <v>1344</v>
      </c>
      <c r="D1023" s="416" t="s">
        <v>966</v>
      </c>
      <c r="E1023" s="217" t="s">
        <v>512</v>
      </c>
      <c r="F1023" s="218" t="s">
        <v>1970</v>
      </c>
      <c r="G1023" s="116">
        <v>8410</v>
      </c>
      <c r="H1023" s="1776" t="s">
        <v>1349</v>
      </c>
      <c r="I1023" s="34" t="s">
        <v>25</v>
      </c>
      <c r="J1023" s="224"/>
      <c r="K1023" s="147"/>
      <c r="L1023" s="475"/>
      <c r="M1023" s="224"/>
      <c r="N1023" s="224"/>
      <c r="O1023" s="314" t="s">
        <v>2033</v>
      </c>
    </row>
    <row r="1024" spans="1:15" x14ac:dyDescent="0.3">
      <c r="A1024" s="2402">
        <v>1018</v>
      </c>
      <c r="B1024" s="1122" t="s">
        <v>1968</v>
      </c>
      <c r="C1024" s="216" t="s">
        <v>1344</v>
      </c>
      <c r="D1024" s="416" t="s">
        <v>966</v>
      </c>
      <c r="E1024" s="217" t="s">
        <v>513</v>
      </c>
      <c r="F1024" s="218" t="s">
        <v>1970</v>
      </c>
      <c r="G1024" s="116">
        <v>8410</v>
      </c>
      <c r="H1024" s="1776" t="s">
        <v>1349</v>
      </c>
      <c r="I1024" s="34" t="s">
        <v>25</v>
      </c>
      <c r="J1024" s="224"/>
      <c r="K1024" s="147"/>
      <c r="L1024" s="475"/>
      <c r="M1024" s="224"/>
      <c r="N1024" s="224"/>
      <c r="O1024" s="314" t="s">
        <v>1411</v>
      </c>
    </row>
    <row r="1025" spans="1:15" x14ac:dyDescent="0.3">
      <c r="A1025" s="2402">
        <v>1019</v>
      </c>
      <c r="B1025" s="1122" t="s">
        <v>1968</v>
      </c>
      <c r="C1025" s="216" t="s">
        <v>1344</v>
      </c>
      <c r="D1025" s="416" t="s">
        <v>966</v>
      </c>
      <c r="E1025" s="217" t="s">
        <v>514</v>
      </c>
      <c r="F1025" s="218" t="s">
        <v>1970</v>
      </c>
      <c r="G1025" s="116">
        <v>8410</v>
      </c>
      <c r="H1025" s="1776" t="s">
        <v>1349</v>
      </c>
      <c r="I1025" s="34" t="s">
        <v>25</v>
      </c>
      <c r="J1025" s="224"/>
      <c r="K1025" s="147"/>
      <c r="L1025" s="475"/>
      <c r="M1025" s="224"/>
      <c r="N1025" s="224"/>
      <c r="O1025" s="314" t="s">
        <v>1411</v>
      </c>
    </row>
    <row r="1026" spans="1:15" x14ac:dyDescent="0.3">
      <c r="A1026" s="2401">
        <v>1020</v>
      </c>
      <c r="B1026" s="1122" t="s">
        <v>1968</v>
      </c>
      <c r="C1026" s="216" t="s">
        <v>1344</v>
      </c>
      <c r="D1026" s="416" t="s">
        <v>966</v>
      </c>
      <c r="E1026" s="217" t="s">
        <v>515</v>
      </c>
      <c r="F1026" s="218" t="s">
        <v>1970</v>
      </c>
      <c r="G1026" s="116">
        <v>8410</v>
      </c>
      <c r="H1026" s="1776" t="s">
        <v>1349</v>
      </c>
      <c r="I1026" s="34" t="s">
        <v>25</v>
      </c>
      <c r="J1026" s="224"/>
      <c r="K1026" s="147"/>
      <c r="L1026" s="475"/>
      <c r="M1026" s="224"/>
      <c r="N1026" s="224"/>
      <c r="O1026" s="314" t="s">
        <v>1411</v>
      </c>
    </row>
    <row r="1027" spans="1:15" x14ac:dyDescent="0.3">
      <c r="A1027" s="2402">
        <v>1021</v>
      </c>
      <c r="B1027" s="1122" t="s">
        <v>1968</v>
      </c>
      <c r="C1027" s="216" t="s">
        <v>1344</v>
      </c>
      <c r="D1027" s="416" t="s">
        <v>966</v>
      </c>
      <c r="E1027" s="217" t="s">
        <v>518</v>
      </c>
      <c r="F1027" s="218" t="s">
        <v>1970</v>
      </c>
      <c r="G1027" s="116">
        <v>8410</v>
      </c>
      <c r="H1027" s="1776" t="s">
        <v>1349</v>
      </c>
      <c r="I1027" s="34" t="s">
        <v>25</v>
      </c>
      <c r="J1027" s="224"/>
      <c r="K1027" s="147"/>
      <c r="L1027" s="475"/>
      <c r="M1027" s="224"/>
      <c r="N1027" s="224"/>
      <c r="O1027" s="314" t="s">
        <v>1411</v>
      </c>
    </row>
    <row r="1028" spans="1:15" x14ac:dyDescent="0.3">
      <c r="A1028" s="2402">
        <v>1022</v>
      </c>
      <c r="B1028" s="1122" t="s">
        <v>1968</v>
      </c>
      <c r="C1028" s="216" t="s">
        <v>1344</v>
      </c>
      <c r="D1028" s="416" t="s">
        <v>966</v>
      </c>
      <c r="E1028" s="217" t="s">
        <v>519</v>
      </c>
      <c r="F1028" s="218" t="s">
        <v>1970</v>
      </c>
      <c r="G1028" s="116">
        <v>8410</v>
      </c>
      <c r="H1028" s="1776" t="s">
        <v>1349</v>
      </c>
      <c r="I1028" s="34" t="s">
        <v>25</v>
      </c>
      <c r="J1028" s="224"/>
      <c r="K1028" s="147"/>
      <c r="L1028" s="475"/>
      <c r="M1028" s="224"/>
      <c r="N1028" s="224"/>
      <c r="O1028" s="314" t="s">
        <v>1411</v>
      </c>
    </row>
    <row r="1029" spans="1:15" x14ac:dyDescent="0.3">
      <c r="A1029" s="2401">
        <v>1023</v>
      </c>
      <c r="B1029" s="1122" t="s">
        <v>1968</v>
      </c>
      <c r="C1029" s="216" t="s">
        <v>1344</v>
      </c>
      <c r="D1029" s="416" t="s">
        <v>966</v>
      </c>
      <c r="E1029" s="217" t="s">
        <v>521</v>
      </c>
      <c r="F1029" s="218" t="s">
        <v>1970</v>
      </c>
      <c r="G1029" s="116">
        <v>8410</v>
      </c>
      <c r="H1029" s="1776" t="s">
        <v>1349</v>
      </c>
      <c r="I1029" s="34" t="s">
        <v>25</v>
      </c>
      <c r="J1029" s="224"/>
      <c r="K1029" s="147"/>
      <c r="L1029" s="475"/>
      <c r="M1029" s="224"/>
      <c r="N1029" s="224"/>
      <c r="O1029" s="314" t="s">
        <v>1411</v>
      </c>
    </row>
    <row r="1030" spans="1:15" x14ac:dyDescent="0.3">
      <c r="A1030" s="2402">
        <v>1024</v>
      </c>
      <c r="B1030" s="1122" t="s">
        <v>1968</v>
      </c>
      <c r="C1030" s="216" t="s">
        <v>1344</v>
      </c>
      <c r="D1030" s="416" t="s">
        <v>966</v>
      </c>
      <c r="E1030" s="217" t="s">
        <v>522</v>
      </c>
      <c r="F1030" s="218" t="s">
        <v>1970</v>
      </c>
      <c r="G1030" s="116">
        <v>8410</v>
      </c>
      <c r="H1030" s="1776" t="s">
        <v>1349</v>
      </c>
      <c r="I1030" s="34" t="s">
        <v>25</v>
      </c>
      <c r="J1030" s="224"/>
      <c r="K1030" s="147"/>
      <c r="L1030" s="475"/>
      <c r="M1030" s="224"/>
      <c r="N1030" s="224"/>
      <c r="O1030" s="314" t="s">
        <v>1411</v>
      </c>
    </row>
    <row r="1031" spans="1:15" x14ac:dyDescent="0.3">
      <c r="A1031" s="2402">
        <v>1025</v>
      </c>
      <c r="B1031" s="1122" t="s">
        <v>1968</v>
      </c>
      <c r="C1031" s="216" t="s">
        <v>1344</v>
      </c>
      <c r="D1031" s="416" t="s">
        <v>966</v>
      </c>
      <c r="E1031" s="217" t="s">
        <v>523</v>
      </c>
      <c r="F1031" s="218" t="s">
        <v>1970</v>
      </c>
      <c r="G1031" s="116">
        <v>8410</v>
      </c>
      <c r="H1031" s="1776" t="s">
        <v>1349</v>
      </c>
      <c r="I1031" s="34" t="s">
        <v>25</v>
      </c>
      <c r="J1031" s="224"/>
      <c r="K1031" s="147"/>
      <c r="L1031" s="475"/>
      <c r="M1031" s="224"/>
      <c r="N1031" s="224"/>
      <c r="O1031" s="314" t="s">
        <v>1411</v>
      </c>
    </row>
    <row r="1032" spans="1:15" x14ac:dyDescent="0.3">
      <c r="A1032" s="2401">
        <v>1026</v>
      </c>
      <c r="B1032" s="1122" t="s">
        <v>1968</v>
      </c>
      <c r="C1032" s="216" t="s">
        <v>1344</v>
      </c>
      <c r="D1032" s="416" t="s">
        <v>966</v>
      </c>
      <c r="E1032" s="217" t="s">
        <v>524</v>
      </c>
      <c r="F1032" s="218" t="s">
        <v>1970</v>
      </c>
      <c r="G1032" s="116">
        <v>8410</v>
      </c>
      <c r="H1032" s="1776" t="s">
        <v>1349</v>
      </c>
      <c r="I1032" s="34" t="s">
        <v>25</v>
      </c>
      <c r="J1032" s="224"/>
      <c r="K1032" s="147"/>
      <c r="L1032" s="475"/>
      <c r="M1032" s="224"/>
      <c r="N1032" s="224"/>
      <c r="O1032" s="314" t="s">
        <v>1411</v>
      </c>
    </row>
    <row r="1033" spans="1:15" x14ac:dyDescent="0.3">
      <c r="A1033" s="2402">
        <v>1027</v>
      </c>
      <c r="B1033" s="1122" t="s">
        <v>1968</v>
      </c>
      <c r="C1033" s="216" t="s">
        <v>1344</v>
      </c>
      <c r="D1033" s="416" t="s">
        <v>966</v>
      </c>
      <c r="E1033" s="217" t="s">
        <v>525</v>
      </c>
      <c r="F1033" s="218" t="s">
        <v>1970</v>
      </c>
      <c r="G1033" s="116">
        <v>8410</v>
      </c>
      <c r="H1033" s="1776" t="s">
        <v>1349</v>
      </c>
      <c r="I1033" s="34" t="s">
        <v>25</v>
      </c>
      <c r="J1033" s="224"/>
      <c r="K1033" s="147"/>
      <c r="L1033" s="475"/>
      <c r="M1033" s="224"/>
      <c r="N1033" s="224"/>
      <c r="O1033" s="314" t="s">
        <v>1411</v>
      </c>
    </row>
    <row r="1034" spans="1:15" x14ac:dyDescent="0.3">
      <c r="A1034" s="2402">
        <v>1028</v>
      </c>
      <c r="B1034" s="1122" t="s">
        <v>1968</v>
      </c>
      <c r="C1034" s="216" t="s">
        <v>1344</v>
      </c>
      <c r="D1034" s="416" t="s">
        <v>966</v>
      </c>
      <c r="E1034" s="217" t="s">
        <v>526</v>
      </c>
      <c r="F1034" s="218" t="s">
        <v>1970</v>
      </c>
      <c r="G1034" s="116">
        <v>8410</v>
      </c>
      <c r="H1034" s="1776" t="s">
        <v>1349</v>
      </c>
      <c r="I1034" s="34" t="s">
        <v>25</v>
      </c>
      <c r="J1034" s="224"/>
      <c r="K1034" s="147"/>
      <c r="L1034" s="475"/>
      <c r="M1034" s="224"/>
      <c r="N1034" s="224"/>
      <c r="O1034" s="314" t="s">
        <v>1411</v>
      </c>
    </row>
    <row r="1035" spans="1:15" x14ac:dyDescent="0.3">
      <c r="A1035" s="2401">
        <v>1029</v>
      </c>
      <c r="B1035" s="1122" t="s">
        <v>1968</v>
      </c>
      <c r="C1035" s="216" t="s">
        <v>1344</v>
      </c>
      <c r="D1035" s="452" t="s">
        <v>966</v>
      </c>
      <c r="E1035" s="217" t="s">
        <v>527</v>
      </c>
      <c r="F1035" s="218" t="s">
        <v>1970</v>
      </c>
      <c r="G1035" s="116">
        <v>8410</v>
      </c>
      <c r="H1035" s="1776" t="s">
        <v>1349</v>
      </c>
      <c r="I1035" s="34" t="s">
        <v>25</v>
      </c>
      <c r="J1035" s="224"/>
      <c r="K1035" s="147"/>
      <c r="L1035" s="475"/>
      <c r="M1035" s="224"/>
      <c r="N1035" s="224"/>
      <c r="O1035" s="314" t="s">
        <v>1411</v>
      </c>
    </row>
    <row r="1036" spans="1:15" x14ac:dyDescent="0.3">
      <c r="A1036" s="2402">
        <v>1030</v>
      </c>
      <c r="B1036" s="1122" t="s">
        <v>1968</v>
      </c>
      <c r="C1036" s="216" t="s">
        <v>1344</v>
      </c>
      <c r="D1036" s="793" t="s">
        <v>966</v>
      </c>
      <c r="E1036" s="217" t="s">
        <v>528</v>
      </c>
      <c r="F1036" s="218" t="s">
        <v>1970</v>
      </c>
      <c r="G1036" s="116">
        <v>8410</v>
      </c>
      <c r="H1036" s="1776" t="s">
        <v>1349</v>
      </c>
      <c r="I1036" s="34" t="s">
        <v>25</v>
      </c>
      <c r="J1036" s="224"/>
      <c r="K1036" s="147"/>
      <c r="L1036" s="475"/>
      <c r="M1036" s="224"/>
      <c r="N1036" s="224"/>
      <c r="O1036" s="314" t="s">
        <v>1411</v>
      </c>
    </row>
    <row r="1037" spans="1:15" x14ac:dyDescent="0.3">
      <c r="A1037" s="2402">
        <v>1031</v>
      </c>
      <c r="B1037" s="1122" t="s">
        <v>1968</v>
      </c>
      <c r="C1037" s="216" t="s">
        <v>1344</v>
      </c>
      <c r="D1037" s="452" t="s">
        <v>966</v>
      </c>
      <c r="E1037" s="217" t="s">
        <v>529</v>
      </c>
      <c r="F1037" s="218" t="s">
        <v>1970</v>
      </c>
      <c r="G1037" s="116">
        <v>8410</v>
      </c>
      <c r="H1037" s="1776" t="s">
        <v>1349</v>
      </c>
      <c r="I1037" s="34" t="s">
        <v>25</v>
      </c>
      <c r="J1037" s="224"/>
      <c r="K1037" s="147"/>
      <c r="L1037" s="475"/>
      <c r="M1037" s="224"/>
      <c r="N1037" s="224"/>
      <c r="O1037" s="314" t="s">
        <v>1411</v>
      </c>
    </row>
    <row r="1038" spans="1:15" x14ac:dyDescent="0.3">
      <c r="A1038" s="2401">
        <v>1032</v>
      </c>
      <c r="B1038" s="1122" t="s">
        <v>1968</v>
      </c>
      <c r="C1038" s="216" t="s">
        <v>1344</v>
      </c>
      <c r="D1038" s="793" t="s">
        <v>966</v>
      </c>
      <c r="E1038" s="217" t="s">
        <v>530</v>
      </c>
      <c r="F1038" s="218" t="s">
        <v>1970</v>
      </c>
      <c r="G1038" s="116">
        <v>8410</v>
      </c>
      <c r="H1038" s="1776" t="s">
        <v>1349</v>
      </c>
      <c r="I1038" s="34" t="s">
        <v>25</v>
      </c>
      <c r="J1038" s="224"/>
      <c r="K1038" s="147"/>
      <c r="L1038" s="475"/>
      <c r="M1038" s="224"/>
      <c r="N1038" s="224"/>
      <c r="O1038" s="314" t="s">
        <v>1411</v>
      </c>
    </row>
    <row r="1039" spans="1:15" x14ac:dyDescent="0.3">
      <c r="A1039" s="2402">
        <v>1033</v>
      </c>
      <c r="B1039" s="1122" t="s">
        <v>1968</v>
      </c>
      <c r="C1039" s="216" t="s">
        <v>1344</v>
      </c>
      <c r="D1039" s="416" t="s">
        <v>966</v>
      </c>
      <c r="E1039" s="217" t="s">
        <v>2074</v>
      </c>
      <c r="F1039" s="218" t="s">
        <v>1970</v>
      </c>
      <c r="G1039" s="116">
        <v>8410</v>
      </c>
      <c r="H1039" s="1776" t="s">
        <v>1349</v>
      </c>
      <c r="I1039" s="34" t="s">
        <v>25</v>
      </c>
      <c r="J1039" s="224"/>
      <c r="K1039" s="147"/>
      <c r="L1039" s="475"/>
      <c r="M1039" s="224"/>
      <c r="N1039" s="224"/>
      <c r="O1039" s="314" t="s">
        <v>1411</v>
      </c>
    </row>
    <row r="1040" spans="1:15" x14ac:dyDescent="0.3">
      <c r="A1040" s="2402">
        <v>1034</v>
      </c>
      <c r="B1040" s="1122" t="s">
        <v>1968</v>
      </c>
      <c r="C1040" s="216" t="s">
        <v>1344</v>
      </c>
      <c r="D1040" s="416" t="s">
        <v>966</v>
      </c>
      <c r="E1040" s="217" t="s">
        <v>2075</v>
      </c>
      <c r="F1040" s="218" t="s">
        <v>1970</v>
      </c>
      <c r="G1040" s="116">
        <v>8410</v>
      </c>
      <c r="H1040" s="1776" t="s">
        <v>1349</v>
      </c>
      <c r="I1040" s="34" t="s">
        <v>25</v>
      </c>
      <c r="J1040" s="224"/>
      <c r="K1040" s="147"/>
      <c r="L1040" s="475"/>
      <c r="M1040" s="224"/>
      <c r="N1040" s="224"/>
      <c r="O1040" s="314" t="s">
        <v>1411</v>
      </c>
    </row>
    <row r="1041" spans="1:15" x14ac:dyDescent="0.3">
      <c r="A1041" s="2401">
        <v>1035</v>
      </c>
      <c r="B1041" s="1122" t="s">
        <v>1968</v>
      </c>
      <c r="C1041" s="216" t="s">
        <v>1344</v>
      </c>
      <c r="D1041" s="416" t="s">
        <v>966</v>
      </c>
      <c r="E1041" s="217" t="s">
        <v>2076</v>
      </c>
      <c r="F1041" s="218" t="s">
        <v>1970</v>
      </c>
      <c r="G1041" s="116">
        <v>8410</v>
      </c>
      <c r="H1041" s="1776" t="s">
        <v>1349</v>
      </c>
      <c r="I1041" s="34" t="s">
        <v>25</v>
      </c>
      <c r="J1041" s="224"/>
      <c r="K1041" s="147"/>
      <c r="L1041" s="475"/>
      <c r="M1041" s="224"/>
      <c r="N1041" s="224"/>
      <c r="O1041" s="314" t="s">
        <v>1411</v>
      </c>
    </row>
    <row r="1042" spans="1:15" x14ac:dyDescent="0.3">
      <c r="A1042" s="2402">
        <v>1036</v>
      </c>
      <c r="B1042" s="1122" t="s">
        <v>1968</v>
      </c>
      <c r="C1042" s="216" t="s">
        <v>1344</v>
      </c>
      <c r="D1042" s="416" t="s">
        <v>966</v>
      </c>
      <c r="E1042" s="217" t="s">
        <v>2077</v>
      </c>
      <c r="F1042" s="218" t="s">
        <v>1970</v>
      </c>
      <c r="G1042" s="116">
        <v>8410</v>
      </c>
      <c r="H1042" s="1776" t="s">
        <v>1349</v>
      </c>
      <c r="I1042" s="34" t="s">
        <v>25</v>
      </c>
      <c r="J1042" s="224"/>
      <c r="K1042" s="147"/>
      <c r="L1042" s="475"/>
      <c r="M1042" s="224"/>
      <c r="N1042" s="224"/>
      <c r="O1042" s="314" t="s">
        <v>1411</v>
      </c>
    </row>
    <row r="1043" spans="1:15" x14ac:dyDescent="0.3">
      <c r="A1043" s="2402">
        <v>1037</v>
      </c>
      <c r="B1043" s="1122" t="s">
        <v>1968</v>
      </c>
      <c r="C1043" s="216" t="s">
        <v>1344</v>
      </c>
      <c r="D1043" s="416" t="s">
        <v>966</v>
      </c>
      <c r="E1043" s="217" t="s">
        <v>2078</v>
      </c>
      <c r="F1043" s="218" t="s">
        <v>1970</v>
      </c>
      <c r="G1043" s="116">
        <v>8410</v>
      </c>
      <c r="H1043" s="1776" t="s">
        <v>1349</v>
      </c>
      <c r="I1043" s="34" t="s">
        <v>25</v>
      </c>
      <c r="J1043" s="224"/>
      <c r="K1043" s="147"/>
      <c r="L1043" s="475"/>
      <c r="M1043" s="224"/>
      <c r="N1043" s="224"/>
      <c r="O1043" s="314" t="s">
        <v>1411</v>
      </c>
    </row>
    <row r="1044" spans="1:15" x14ac:dyDescent="0.3">
      <c r="A1044" s="2401">
        <v>1038</v>
      </c>
      <c r="B1044" s="1122" t="s">
        <v>1968</v>
      </c>
      <c r="C1044" s="216" t="s">
        <v>1344</v>
      </c>
      <c r="D1044" s="416" t="s">
        <v>966</v>
      </c>
      <c r="E1044" s="217" t="s">
        <v>2079</v>
      </c>
      <c r="F1044" s="218" t="s">
        <v>1970</v>
      </c>
      <c r="G1044" s="116">
        <v>8410</v>
      </c>
      <c r="H1044" s="1776" t="s">
        <v>1349</v>
      </c>
      <c r="I1044" s="34" t="s">
        <v>25</v>
      </c>
      <c r="J1044" s="224"/>
      <c r="K1044" s="147"/>
      <c r="L1044" s="475"/>
      <c r="M1044" s="224"/>
      <c r="N1044" s="224"/>
      <c r="O1044" s="314" t="s">
        <v>1411</v>
      </c>
    </row>
    <row r="1045" spans="1:15" x14ac:dyDescent="0.3">
      <c r="A1045" s="2402">
        <v>1039</v>
      </c>
      <c r="B1045" s="1122" t="s">
        <v>1968</v>
      </c>
      <c r="C1045" s="216" t="s">
        <v>1344</v>
      </c>
      <c r="D1045" s="416" t="s">
        <v>966</v>
      </c>
      <c r="E1045" s="217" t="s">
        <v>2080</v>
      </c>
      <c r="F1045" s="218" t="s">
        <v>1970</v>
      </c>
      <c r="G1045" s="116">
        <v>8410</v>
      </c>
      <c r="H1045" s="1776" t="s">
        <v>1349</v>
      </c>
      <c r="I1045" s="34" t="s">
        <v>25</v>
      </c>
      <c r="J1045" s="224"/>
      <c r="K1045" s="147"/>
      <c r="L1045" s="475"/>
      <c r="M1045" s="224"/>
      <c r="N1045" s="224"/>
      <c r="O1045" s="314" t="s">
        <v>1411</v>
      </c>
    </row>
    <row r="1046" spans="1:15" x14ac:dyDescent="0.3">
      <c r="A1046" s="2402">
        <v>1040</v>
      </c>
      <c r="B1046" s="1122" t="s">
        <v>1968</v>
      </c>
      <c r="C1046" s="216" t="s">
        <v>1344</v>
      </c>
      <c r="D1046" s="416" t="s">
        <v>966</v>
      </c>
      <c r="E1046" s="217" t="s">
        <v>2081</v>
      </c>
      <c r="F1046" s="218" t="s">
        <v>1970</v>
      </c>
      <c r="G1046" s="116">
        <v>8410</v>
      </c>
      <c r="H1046" s="1776" t="s">
        <v>1349</v>
      </c>
      <c r="I1046" s="34" t="s">
        <v>25</v>
      </c>
      <c r="J1046" s="224"/>
      <c r="K1046" s="147"/>
      <c r="L1046" s="475"/>
      <c r="M1046" s="224"/>
      <c r="N1046" s="224"/>
      <c r="O1046" s="314" t="s">
        <v>1411</v>
      </c>
    </row>
    <row r="1047" spans="1:15" x14ac:dyDescent="0.3">
      <c r="A1047" s="2401">
        <v>1041</v>
      </c>
      <c r="B1047" s="1122" t="s">
        <v>1968</v>
      </c>
      <c r="C1047" s="216" t="s">
        <v>1344</v>
      </c>
      <c r="D1047" s="416" t="s">
        <v>966</v>
      </c>
      <c r="E1047" s="217" t="s">
        <v>2082</v>
      </c>
      <c r="F1047" s="218" t="s">
        <v>1970</v>
      </c>
      <c r="G1047" s="116">
        <v>8410</v>
      </c>
      <c r="H1047" s="1776" t="s">
        <v>1349</v>
      </c>
      <c r="I1047" s="34" t="s">
        <v>25</v>
      </c>
      <c r="J1047" s="224"/>
      <c r="K1047" s="147"/>
      <c r="L1047" s="475"/>
      <c r="M1047" s="224"/>
      <c r="N1047" s="224"/>
      <c r="O1047" s="314" t="s">
        <v>1411</v>
      </c>
    </row>
    <row r="1048" spans="1:15" x14ac:dyDescent="0.3">
      <c r="A1048" s="2402">
        <v>1042</v>
      </c>
      <c r="B1048" s="1122" t="s">
        <v>1968</v>
      </c>
      <c r="C1048" s="216" t="s">
        <v>1344</v>
      </c>
      <c r="D1048" s="416" t="s">
        <v>966</v>
      </c>
      <c r="E1048" s="217" t="s">
        <v>2083</v>
      </c>
      <c r="F1048" s="218" t="s">
        <v>1970</v>
      </c>
      <c r="G1048" s="116">
        <v>8410</v>
      </c>
      <c r="H1048" s="1776" t="s">
        <v>1349</v>
      </c>
      <c r="I1048" s="34" t="s">
        <v>25</v>
      </c>
      <c r="J1048" s="224"/>
      <c r="K1048" s="147"/>
      <c r="L1048" s="475"/>
      <c r="M1048" s="224"/>
      <c r="N1048" s="224"/>
      <c r="O1048" s="314" t="s">
        <v>1411</v>
      </c>
    </row>
    <row r="1049" spans="1:15" x14ac:dyDescent="0.3">
      <c r="A1049" s="2402">
        <v>1043</v>
      </c>
      <c r="B1049" s="1122" t="s">
        <v>1968</v>
      </c>
      <c r="C1049" s="216" t="s">
        <v>1344</v>
      </c>
      <c r="D1049" s="452" t="s">
        <v>966</v>
      </c>
      <c r="E1049" s="217" t="s">
        <v>2084</v>
      </c>
      <c r="F1049" s="218" t="s">
        <v>1970</v>
      </c>
      <c r="G1049" s="116">
        <v>8410</v>
      </c>
      <c r="H1049" s="1776" t="s">
        <v>1349</v>
      </c>
      <c r="I1049" s="34" t="s">
        <v>25</v>
      </c>
      <c r="J1049" s="224"/>
      <c r="K1049" s="147"/>
      <c r="L1049" s="475"/>
      <c r="M1049" s="224"/>
      <c r="N1049" s="224"/>
      <c r="O1049" s="314" t="s">
        <v>2085</v>
      </c>
    </row>
    <row r="1050" spans="1:15" x14ac:dyDescent="0.3">
      <c r="A1050" s="2401">
        <v>1044</v>
      </c>
      <c r="B1050" s="1122" t="s">
        <v>1968</v>
      </c>
      <c r="C1050" s="216" t="s">
        <v>1344</v>
      </c>
      <c r="D1050" s="495" t="s">
        <v>966</v>
      </c>
      <c r="E1050" s="217" t="s">
        <v>2086</v>
      </c>
      <c r="F1050" s="218" t="s">
        <v>1970</v>
      </c>
      <c r="G1050" s="116">
        <v>8410</v>
      </c>
      <c r="H1050" s="1776" t="s">
        <v>1349</v>
      </c>
      <c r="I1050" s="34" t="s">
        <v>25</v>
      </c>
      <c r="J1050" s="224"/>
      <c r="K1050" s="147"/>
      <c r="L1050" s="475"/>
      <c r="M1050" s="224"/>
      <c r="N1050" s="224"/>
      <c r="O1050" s="314" t="s">
        <v>2085</v>
      </c>
    </row>
    <row r="1051" spans="1:15" x14ac:dyDescent="0.3">
      <c r="A1051" s="2402">
        <v>1045</v>
      </c>
      <c r="B1051" s="1122" t="s">
        <v>1968</v>
      </c>
      <c r="C1051" s="216" t="s">
        <v>1344</v>
      </c>
      <c r="D1051" s="793" t="s">
        <v>966</v>
      </c>
      <c r="E1051" s="217" t="s">
        <v>2087</v>
      </c>
      <c r="F1051" s="218" t="s">
        <v>1970</v>
      </c>
      <c r="G1051" s="116">
        <v>8410</v>
      </c>
      <c r="H1051" s="1776" t="s">
        <v>1349</v>
      </c>
      <c r="I1051" s="34" t="s">
        <v>25</v>
      </c>
      <c r="J1051" s="224"/>
      <c r="K1051" s="147"/>
      <c r="L1051" s="475"/>
      <c r="M1051" s="224"/>
      <c r="N1051" s="224"/>
      <c r="O1051" s="314" t="s">
        <v>2085</v>
      </c>
    </row>
    <row r="1052" spans="1:15" x14ac:dyDescent="0.3">
      <c r="A1052" s="2402">
        <v>1046</v>
      </c>
      <c r="B1052" s="1122" t="s">
        <v>1968</v>
      </c>
      <c r="C1052" s="216" t="s">
        <v>1344</v>
      </c>
      <c r="D1052" s="416" t="s">
        <v>966</v>
      </c>
      <c r="E1052" s="217" t="s">
        <v>2088</v>
      </c>
      <c r="F1052" s="218" t="s">
        <v>1970</v>
      </c>
      <c r="G1052" s="116">
        <v>8410</v>
      </c>
      <c r="H1052" s="1776" t="s">
        <v>1349</v>
      </c>
      <c r="I1052" s="34" t="s">
        <v>25</v>
      </c>
      <c r="J1052" s="224"/>
      <c r="K1052" s="147"/>
      <c r="L1052" s="475"/>
      <c r="M1052" s="224"/>
      <c r="N1052" s="224"/>
      <c r="O1052" s="314" t="s">
        <v>2085</v>
      </c>
    </row>
    <row r="1053" spans="1:15" x14ac:dyDescent="0.3">
      <c r="A1053" s="2401">
        <v>1047</v>
      </c>
      <c r="B1053" s="1122" t="s">
        <v>1968</v>
      </c>
      <c r="C1053" s="216" t="s">
        <v>1344</v>
      </c>
      <c r="D1053" s="416" t="s">
        <v>966</v>
      </c>
      <c r="E1053" s="217" t="s">
        <v>2089</v>
      </c>
      <c r="F1053" s="218" t="s">
        <v>1970</v>
      </c>
      <c r="G1053" s="116">
        <v>8410</v>
      </c>
      <c r="H1053" s="1776" t="s">
        <v>1349</v>
      </c>
      <c r="I1053" s="34" t="s">
        <v>25</v>
      </c>
      <c r="J1053" s="224"/>
      <c r="K1053" s="147"/>
      <c r="L1053" s="475"/>
      <c r="M1053" s="224"/>
      <c r="N1053" s="224"/>
      <c r="O1053" s="314" t="s">
        <v>2085</v>
      </c>
    </row>
    <row r="1054" spans="1:15" x14ac:dyDescent="0.3">
      <c r="A1054" s="2402">
        <v>1048</v>
      </c>
      <c r="B1054" s="1122" t="s">
        <v>1968</v>
      </c>
      <c r="C1054" s="216" t="s">
        <v>1344</v>
      </c>
      <c r="D1054" s="416" t="s">
        <v>966</v>
      </c>
      <c r="E1054" s="217" t="s">
        <v>2090</v>
      </c>
      <c r="F1054" s="218" t="s">
        <v>1970</v>
      </c>
      <c r="G1054" s="116">
        <v>8410</v>
      </c>
      <c r="H1054" s="1776" t="s">
        <v>1349</v>
      </c>
      <c r="I1054" s="34" t="s">
        <v>25</v>
      </c>
      <c r="J1054" s="224"/>
      <c r="K1054" s="147"/>
      <c r="L1054" s="475"/>
      <c r="M1054" s="224"/>
      <c r="N1054" s="224"/>
      <c r="O1054" s="314" t="s">
        <v>2085</v>
      </c>
    </row>
    <row r="1055" spans="1:15" x14ac:dyDescent="0.3">
      <c r="A1055" s="2402">
        <v>1049</v>
      </c>
      <c r="B1055" s="1122" t="s">
        <v>1968</v>
      </c>
      <c r="C1055" s="216" t="s">
        <v>1344</v>
      </c>
      <c r="D1055" s="416" t="s">
        <v>966</v>
      </c>
      <c r="E1055" s="217" t="s">
        <v>2091</v>
      </c>
      <c r="F1055" s="218" t="s">
        <v>1970</v>
      </c>
      <c r="G1055" s="116">
        <v>8410</v>
      </c>
      <c r="H1055" s="1776" t="s">
        <v>1349</v>
      </c>
      <c r="I1055" s="34" t="s">
        <v>25</v>
      </c>
      <c r="J1055" s="224"/>
      <c r="K1055" s="147"/>
      <c r="L1055" s="475"/>
      <c r="M1055" s="224"/>
      <c r="N1055" s="224"/>
      <c r="O1055" s="314" t="s">
        <v>2085</v>
      </c>
    </row>
    <row r="1056" spans="1:15" x14ac:dyDescent="0.3">
      <c r="A1056" s="2401">
        <v>1050</v>
      </c>
      <c r="B1056" s="1122" t="s">
        <v>1968</v>
      </c>
      <c r="C1056" s="216" t="s">
        <v>1344</v>
      </c>
      <c r="D1056" s="416" t="s">
        <v>966</v>
      </c>
      <c r="E1056" s="217" t="s">
        <v>2092</v>
      </c>
      <c r="F1056" s="218" t="s">
        <v>1970</v>
      </c>
      <c r="G1056" s="116">
        <v>8410</v>
      </c>
      <c r="H1056" s="1776" t="s">
        <v>1349</v>
      </c>
      <c r="I1056" s="34" t="s">
        <v>25</v>
      </c>
      <c r="J1056" s="224"/>
      <c r="K1056" s="147"/>
      <c r="L1056" s="475"/>
      <c r="M1056" s="224"/>
      <c r="N1056" s="224"/>
      <c r="O1056" s="314" t="s">
        <v>2085</v>
      </c>
    </row>
    <row r="1057" spans="1:15" x14ac:dyDescent="0.3">
      <c r="A1057" s="2402">
        <v>1051</v>
      </c>
      <c r="B1057" s="1122" t="s">
        <v>1968</v>
      </c>
      <c r="C1057" s="216" t="s">
        <v>1344</v>
      </c>
      <c r="D1057" s="416" t="s">
        <v>966</v>
      </c>
      <c r="E1057" s="217" t="s">
        <v>2093</v>
      </c>
      <c r="F1057" s="218" t="s">
        <v>1970</v>
      </c>
      <c r="G1057" s="116">
        <v>8410</v>
      </c>
      <c r="H1057" s="1776" t="s">
        <v>1349</v>
      </c>
      <c r="I1057" s="34" t="s">
        <v>25</v>
      </c>
      <c r="J1057" s="224"/>
      <c r="K1057" s="147"/>
      <c r="L1057" s="475"/>
      <c r="M1057" s="224"/>
      <c r="N1057" s="224"/>
      <c r="O1057" s="314" t="s">
        <v>2085</v>
      </c>
    </row>
    <row r="1058" spans="1:15" x14ac:dyDescent="0.3">
      <c r="A1058" s="2402">
        <v>1052</v>
      </c>
      <c r="B1058" s="1122" t="s">
        <v>1968</v>
      </c>
      <c r="C1058" s="216" t="s">
        <v>1344</v>
      </c>
      <c r="D1058" s="416" t="s">
        <v>966</v>
      </c>
      <c r="E1058" s="217" t="s">
        <v>2094</v>
      </c>
      <c r="F1058" s="218" t="s">
        <v>1970</v>
      </c>
      <c r="G1058" s="116">
        <v>8410</v>
      </c>
      <c r="H1058" s="1776" t="s">
        <v>1349</v>
      </c>
      <c r="I1058" s="34" t="s">
        <v>25</v>
      </c>
      <c r="J1058" s="224"/>
      <c r="K1058" s="147"/>
      <c r="L1058" s="475"/>
      <c r="M1058" s="224"/>
      <c r="N1058" s="224"/>
      <c r="O1058" s="314" t="s">
        <v>2085</v>
      </c>
    </row>
    <row r="1059" spans="1:15" x14ac:dyDescent="0.3">
      <c r="A1059" s="2401">
        <v>1053</v>
      </c>
      <c r="B1059" s="1122" t="s">
        <v>1968</v>
      </c>
      <c r="C1059" s="216" t="s">
        <v>1344</v>
      </c>
      <c r="D1059" s="416" t="s">
        <v>966</v>
      </c>
      <c r="E1059" s="217" t="s">
        <v>2095</v>
      </c>
      <c r="F1059" s="218" t="s">
        <v>1970</v>
      </c>
      <c r="G1059" s="116">
        <v>8410</v>
      </c>
      <c r="H1059" s="1776" t="s">
        <v>1349</v>
      </c>
      <c r="I1059" s="34" t="s">
        <v>25</v>
      </c>
      <c r="J1059" s="224"/>
      <c r="K1059" s="147"/>
      <c r="L1059" s="475"/>
      <c r="M1059" s="224"/>
      <c r="N1059" s="224"/>
      <c r="O1059" s="314" t="s">
        <v>2085</v>
      </c>
    </row>
    <row r="1060" spans="1:15" x14ac:dyDescent="0.3">
      <c r="A1060" s="2402">
        <v>1054</v>
      </c>
      <c r="B1060" s="1122" t="s">
        <v>1968</v>
      </c>
      <c r="C1060" s="216" t="s">
        <v>1344</v>
      </c>
      <c r="D1060" s="416" t="s">
        <v>966</v>
      </c>
      <c r="E1060" s="217" t="s">
        <v>2096</v>
      </c>
      <c r="F1060" s="218" t="s">
        <v>1970</v>
      </c>
      <c r="G1060" s="116">
        <v>8410</v>
      </c>
      <c r="H1060" s="1776" t="s">
        <v>1349</v>
      </c>
      <c r="I1060" s="34" t="s">
        <v>25</v>
      </c>
      <c r="J1060" s="224"/>
      <c r="K1060" s="147"/>
      <c r="L1060" s="475"/>
      <c r="M1060" s="224"/>
      <c r="N1060" s="224"/>
      <c r="O1060" s="314" t="s">
        <v>2085</v>
      </c>
    </row>
    <row r="1061" spans="1:15" x14ac:dyDescent="0.3">
      <c r="A1061" s="2402">
        <v>1055</v>
      </c>
      <c r="B1061" s="1122" t="s">
        <v>1968</v>
      </c>
      <c r="C1061" s="216" t="s">
        <v>1344</v>
      </c>
      <c r="D1061" s="416" t="s">
        <v>966</v>
      </c>
      <c r="E1061" s="217" t="s">
        <v>2097</v>
      </c>
      <c r="F1061" s="218" t="s">
        <v>1970</v>
      </c>
      <c r="G1061" s="116">
        <v>8410</v>
      </c>
      <c r="H1061" s="1776" t="s">
        <v>1349</v>
      </c>
      <c r="I1061" s="34" t="s">
        <v>25</v>
      </c>
      <c r="J1061" s="224"/>
      <c r="K1061" s="147"/>
      <c r="L1061" s="475"/>
      <c r="M1061" s="224"/>
      <c r="N1061" s="224"/>
      <c r="O1061" s="314" t="s">
        <v>2085</v>
      </c>
    </row>
    <row r="1062" spans="1:15" x14ac:dyDescent="0.3">
      <c r="A1062" s="2401">
        <v>1056</v>
      </c>
      <c r="B1062" s="1122" t="s">
        <v>1968</v>
      </c>
      <c r="C1062" s="216" t="s">
        <v>1344</v>
      </c>
      <c r="D1062" s="416" t="s">
        <v>966</v>
      </c>
      <c r="E1062" s="217" t="s">
        <v>2098</v>
      </c>
      <c r="F1062" s="218" t="s">
        <v>1970</v>
      </c>
      <c r="G1062" s="116">
        <v>8410</v>
      </c>
      <c r="H1062" s="1776" t="s">
        <v>1349</v>
      </c>
      <c r="I1062" s="34" t="s">
        <v>25</v>
      </c>
      <c r="J1062" s="224"/>
      <c r="K1062" s="147"/>
      <c r="L1062" s="475"/>
      <c r="M1062" s="224"/>
      <c r="N1062" s="224"/>
      <c r="O1062" s="314" t="s">
        <v>2085</v>
      </c>
    </row>
    <row r="1063" spans="1:15" x14ac:dyDescent="0.3">
      <c r="A1063" s="2402">
        <v>1057</v>
      </c>
      <c r="B1063" s="1122" t="s">
        <v>1968</v>
      </c>
      <c r="C1063" s="216" t="s">
        <v>1344</v>
      </c>
      <c r="D1063" s="452" t="s">
        <v>966</v>
      </c>
      <c r="E1063" s="217" t="s">
        <v>2099</v>
      </c>
      <c r="F1063" s="218" t="s">
        <v>1970</v>
      </c>
      <c r="G1063" s="116">
        <v>8410</v>
      </c>
      <c r="H1063" s="1776" t="s">
        <v>1349</v>
      </c>
      <c r="I1063" s="34" t="s">
        <v>25</v>
      </c>
      <c r="J1063" s="224"/>
      <c r="K1063" s="147"/>
      <c r="L1063" s="475"/>
      <c r="M1063" s="224"/>
      <c r="N1063" s="224"/>
      <c r="O1063" s="314" t="s">
        <v>2085</v>
      </c>
    </row>
    <row r="1064" spans="1:15" x14ac:dyDescent="0.3">
      <c r="A1064" s="2402">
        <v>1058</v>
      </c>
      <c r="B1064" s="1122" t="s">
        <v>1968</v>
      </c>
      <c r="C1064" s="216" t="s">
        <v>1344</v>
      </c>
      <c r="D1064" s="495" t="s">
        <v>966</v>
      </c>
      <c r="E1064" s="217" t="s">
        <v>2100</v>
      </c>
      <c r="F1064" s="218" t="s">
        <v>1970</v>
      </c>
      <c r="G1064" s="116">
        <v>8410</v>
      </c>
      <c r="H1064" s="1776" t="s">
        <v>1349</v>
      </c>
      <c r="I1064" s="34" t="s">
        <v>25</v>
      </c>
      <c r="J1064" s="224"/>
      <c r="K1064" s="147"/>
      <c r="L1064" s="475"/>
      <c r="M1064" s="224"/>
      <c r="N1064" s="224"/>
      <c r="O1064" s="314" t="s">
        <v>2085</v>
      </c>
    </row>
    <row r="1065" spans="1:15" x14ac:dyDescent="0.3">
      <c r="A1065" s="2401">
        <v>1059</v>
      </c>
      <c r="B1065" s="1122" t="s">
        <v>1968</v>
      </c>
      <c r="C1065" s="216" t="s">
        <v>1344</v>
      </c>
      <c r="D1065" s="793" t="s">
        <v>966</v>
      </c>
      <c r="E1065" s="217" t="s">
        <v>2101</v>
      </c>
      <c r="F1065" s="218" t="s">
        <v>1970</v>
      </c>
      <c r="G1065" s="116">
        <v>8410</v>
      </c>
      <c r="H1065" s="1776" t="s">
        <v>1349</v>
      </c>
      <c r="I1065" s="34" t="s">
        <v>25</v>
      </c>
      <c r="J1065" s="224"/>
      <c r="K1065" s="147"/>
      <c r="L1065" s="475"/>
      <c r="M1065" s="224"/>
      <c r="N1065" s="224"/>
      <c r="O1065" s="314" t="s">
        <v>2085</v>
      </c>
    </row>
    <row r="1066" spans="1:15" x14ac:dyDescent="0.3">
      <c r="A1066" s="2402">
        <v>1060</v>
      </c>
      <c r="B1066" s="1122" t="s">
        <v>1968</v>
      </c>
      <c r="C1066" s="216" t="s">
        <v>1344</v>
      </c>
      <c r="D1066" s="416" t="s">
        <v>966</v>
      </c>
      <c r="E1066" s="217" t="s">
        <v>2102</v>
      </c>
      <c r="F1066" s="218" t="s">
        <v>1970</v>
      </c>
      <c r="G1066" s="116">
        <v>8410</v>
      </c>
      <c r="H1066" s="1776" t="s">
        <v>1349</v>
      </c>
      <c r="I1066" s="34" t="s">
        <v>25</v>
      </c>
      <c r="J1066" s="224"/>
      <c r="K1066" s="147"/>
      <c r="L1066" s="475"/>
      <c r="M1066" s="224"/>
      <c r="N1066" s="224"/>
      <c r="O1066" s="314" t="s">
        <v>2085</v>
      </c>
    </row>
    <row r="1067" spans="1:15" x14ac:dyDescent="0.3">
      <c r="A1067" s="2402">
        <v>1061</v>
      </c>
      <c r="B1067" s="1122" t="s">
        <v>1968</v>
      </c>
      <c r="C1067" s="216" t="s">
        <v>1344</v>
      </c>
      <c r="D1067" s="416" t="s">
        <v>966</v>
      </c>
      <c r="E1067" s="217" t="s">
        <v>2103</v>
      </c>
      <c r="F1067" s="218" t="s">
        <v>1970</v>
      </c>
      <c r="G1067" s="116">
        <v>8410</v>
      </c>
      <c r="H1067" s="1776" t="s">
        <v>1349</v>
      </c>
      <c r="I1067" s="34" t="s">
        <v>25</v>
      </c>
      <c r="J1067" s="224"/>
      <c r="K1067" s="147"/>
      <c r="L1067" s="475"/>
      <c r="M1067" s="224"/>
      <c r="N1067" s="224"/>
      <c r="O1067" s="314" t="s">
        <v>2085</v>
      </c>
    </row>
    <row r="1068" spans="1:15" x14ac:dyDescent="0.3">
      <c r="A1068" s="2401">
        <v>1062</v>
      </c>
      <c r="B1068" s="1122" t="s">
        <v>1968</v>
      </c>
      <c r="C1068" s="216" t="s">
        <v>1344</v>
      </c>
      <c r="D1068" s="416" t="s">
        <v>966</v>
      </c>
      <c r="E1068" s="217" t="s">
        <v>2104</v>
      </c>
      <c r="F1068" s="218" t="s">
        <v>1970</v>
      </c>
      <c r="G1068" s="116">
        <v>8410</v>
      </c>
      <c r="H1068" s="1776" t="s">
        <v>1349</v>
      </c>
      <c r="I1068" s="34" t="s">
        <v>25</v>
      </c>
      <c r="J1068" s="224"/>
      <c r="K1068" s="147"/>
      <c r="L1068" s="475"/>
      <c r="M1068" s="224"/>
      <c r="N1068" s="224"/>
      <c r="O1068" s="314" t="s">
        <v>2085</v>
      </c>
    </row>
    <row r="1069" spans="1:15" x14ac:dyDescent="0.3">
      <c r="A1069" s="2402">
        <v>1063</v>
      </c>
      <c r="B1069" s="1122" t="s">
        <v>1968</v>
      </c>
      <c r="C1069" s="216" t="s">
        <v>1344</v>
      </c>
      <c r="D1069" s="416" t="s">
        <v>966</v>
      </c>
      <c r="E1069" s="217" t="s">
        <v>2105</v>
      </c>
      <c r="F1069" s="218" t="s">
        <v>1970</v>
      </c>
      <c r="G1069" s="116">
        <v>8410</v>
      </c>
      <c r="H1069" s="1776" t="s">
        <v>1349</v>
      </c>
      <c r="I1069" s="34" t="s">
        <v>25</v>
      </c>
      <c r="J1069" s="224"/>
      <c r="K1069" s="147"/>
      <c r="L1069" s="475"/>
      <c r="M1069" s="224"/>
      <c r="N1069" s="224"/>
      <c r="O1069" s="314" t="s">
        <v>2085</v>
      </c>
    </row>
    <row r="1070" spans="1:15" x14ac:dyDescent="0.3">
      <c r="A1070" s="2402">
        <v>1064</v>
      </c>
      <c r="B1070" s="1122" t="s">
        <v>1968</v>
      </c>
      <c r="C1070" s="216" t="s">
        <v>1344</v>
      </c>
      <c r="D1070" s="416" t="s">
        <v>966</v>
      </c>
      <c r="E1070" s="217" t="s">
        <v>2106</v>
      </c>
      <c r="F1070" s="218" t="s">
        <v>1970</v>
      </c>
      <c r="G1070" s="116">
        <v>8410</v>
      </c>
      <c r="H1070" s="1776" t="s">
        <v>1349</v>
      </c>
      <c r="I1070" s="34" t="s">
        <v>25</v>
      </c>
      <c r="J1070" s="224"/>
      <c r="K1070" s="147"/>
      <c r="L1070" s="475"/>
      <c r="M1070" s="224"/>
      <c r="N1070" s="224"/>
      <c r="O1070" s="314" t="s">
        <v>2085</v>
      </c>
    </row>
    <row r="1071" spans="1:15" x14ac:dyDescent="0.3">
      <c r="A1071" s="2401">
        <v>1065</v>
      </c>
      <c r="B1071" s="1122" t="s">
        <v>1968</v>
      </c>
      <c r="C1071" s="216" t="s">
        <v>1344</v>
      </c>
      <c r="D1071" s="416" t="s">
        <v>966</v>
      </c>
      <c r="E1071" s="217" t="s">
        <v>2107</v>
      </c>
      <c r="F1071" s="218" t="s">
        <v>1970</v>
      </c>
      <c r="G1071" s="116">
        <v>8410</v>
      </c>
      <c r="H1071" s="1776" t="s">
        <v>1349</v>
      </c>
      <c r="I1071" s="34" t="s">
        <v>25</v>
      </c>
      <c r="J1071" s="224"/>
      <c r="K1071" s="147"/>
      <c r="L1071" s="475"/>
      <c r="M1071" s="224"/>
      <c r="N1071" s="224"/>
      <c r="O1071" s="314" t="s">
        <v>2085</v>
      </c>
    </row>
    <row r="1072" spans="1:15" x14ac:dyDescent="0.3">
      <c r="A1072" s="2402">
        <v>1066</v>
      </c>
      <c r="B1072" s="1122" t="s">
        <v>1968</v>
      </c>
      <c r="C1072" s="216" t="s">
        <v>1344</v>
      </c>
      <c r="D1072" s="416" t="s">
        <v>966</v>
      </c>
      <c r="E1072" s="217" t="s">
        <v>2108</v>
      </c>
      <c r="F1072" s="218" t="s">
        <v>1970</v>
      </c>
      <c r="G1072" s="116">
        <v>8410</v>
      </c>
      <c r="H1072" s="1776" t="s">
        <v>1349</v>
      </c>
      <c r="I1072" s="34" t="s">
        <v>25</v>
      </c>
      <c r="J1072" s="224"/>
      <c r="K1072" s="147"/>
      <c r="L1072" s="475"/>
      <c r="M1072" s="224"/>
      <c r="N1072" s="224"/>
      <c r="O1072" s="314" t="s">
        <v>2085</v>
      </c>
    </row>
    <row r="1073" spans="1:15" x14ac:dyDescent="0.3">
      <c r="A1073" s="2402">
        <v>1067</v>
      </c>
      <c r="B1073" s="1122" t="s">
        <v>1968</v>
      </c>
      <c r="C1073" s="216" t="s">
        <v>1344</v>
      </c>
      <c r="D1073" s="416" t="s">
        <v>966</v>
      </c>
      <c r="E1073" s="217" t="s">
        <v>2109</v>
      </c>
      <c r="F1073" s="218" t="s">
        <v>1970</v>
      </c>
      <c r="G1073" s="116">
        <v>8410</v>
      </c>
      <c r="H1073" s="1776" t="s">
        <v>1349</v>
      </c>
      <c r="I1073" s="34" t="s">
        <v>25</v>
      </c>
      <c r="J1073" s="224"/>
      <c r="K1073" s="147"/>
      <c r="L1073" s="475"/>
      <c r="M1073" s="224"/>
      <c r="N1073" s="224"/>
      <c r="O1073" s="314" t="s">
        <v>2085</v>
      </c>
    </row>
    <row r="1074" spans="1:15" x14ac:dyDescent="0.3">
      <c r="A1074" s="2401">
        <v>1068</v>
      </c>
      <c r="B1074" s="1122" t="s">
        <v>1968</v>
      </c>
      <c r="C1074" s="216" t="s">
        <v>1344</v>
      </c>
      <c r="D1074" s="416" t="s">
        <v>966</v>
      </c>
      <c r="E1074" s="217" t="s">
        <v>2110</v>
      </c>
      <c r="F1074" s="218" t="s">
        <v>1970</v>
      </c>
      <c r="G1074" s="116">
        <v>8410</v>
      </c>
      <c r="H1074" s="1776" t="s">
        <v>1349</v>
      </c>
      <c r="I1074" s="34" t="s">
        <v>25</v>
      </c>
      <c r="J1074" s="224"/>
      <c r="K1074" s="147"/>
      <c r="L1074" s="475"/>
      <c r="M1074" s="224"/>
      <c r="N1074" s="224"/>
      <c r="O1074" s="314" t="s">
        <v>2085</v>
      </c>
    </row>
    <row r="1075" spans="1:15" x14ac:dyDescent="0.3">
      <c r="A1075" s="2402">
        <v>1069</v>
      </c>
      <c r="B1075" s="1122" t="s">
        <v>1968</v>
      </c>
      <c r="C1075" s="216" t="s">
        <v>1344</v>
      </c>
      <c r="D1075" s="416" t="s">
        <v>966</v>
      </c>
      <c r="E1075" s="217" t="s">
        <v>2111</v>
      </c>
      <c r="F1075" s="218" t="s">
        <v>1970</v>
      </c>
      <c r="G1075" s="116">
        <v>8410</v>
      </c>
      <c r="H1075" s="1776" t="s">
        <v>1349</v>
      </c>
      <c r="I1075" s="34" t="s">
        <v>25</v>
      </c>
      <c r="J1075" s="224"/>
      <c r="K1075" s="147"/>
      <c r="L1075" s="475"/>
      <c r="M1075" s="224"/>
      <c r="N1075" s="224"/>
      <c r="O1075" s="314" t="s">
        <v>2085</v>
      </c>
    </row>
    <row r="1076" spans="1:15" x14ac:dyDescent="0.3">
      <c r="A1076" s="2402">
        <v>1070</v>
      </c>
      <c r="B1076" s="1122" t="s">
        <v>1968</v>
      </c>
      <c r="C1076" s="216" t="s">
        <v>1344</v>
      </c>
      <c r="D1076" s="416" t="s">
        <v>966</v>
      </c>
      <c r="E1076" s="217" t="s">
        <v>367</v>
      </c>
      <c r="F1076" s="218" t="s">
        <v>1970</v>
      </c>
      <c r="G1076" s="116">
        <v>8410</v>
      </c>
      <c r="H1076" s="1776" t="s">
        <v>1349</v>
      </c>
      <c r="I1076" s="34" t="s">
        <v>25</v>
      </c>
      <c r="J1076" s="224"/>
      <c r="K1076" s="147"/>
      <c r="L1076" s="475"/>
      <c r="M1076" s="224"/>
      <c r="N1076" s="224"/>
      <c r="O1076" s="314" t="s">
        <v>2085</v>
      </c>
    </row>
    <row r="1077" spans="1:15" x14ac:dyDescent="0.3">
      <c r="A1077" s="2401">
        <v>1071</v>
      </c>
      <c r="B1077" s="1122" t="s">
        <v>1968</v>
      </c>
      <c r="C1077" s="216" t="s">
        <v>1344</v>
      </c>
      <c r="D1077" s="416" t="s">
        <v>966</v>
      </c>
      <c r="E1077" s="217" t="s">
        <v>2112</v>
      </c>
      <c r="F1077" s="218" t="s">
        <v>1970</v>
      </c>
      <c r="G1077" s="116">
        <v>8410</v>
      </c>
      <c r="H1077" s="1776" t="s">
        <v>1349</v>
      </c>
      <c r="I1077" s="34" t="s">
        <v>25</v>
      </c>
      <c r="J1077" s="224"/>
      <c r="K1077" s="147"/>
      <c r="L1077" s="475"/>
      <c r="M1077" s="224"/>
      <c r="N1077" s="224"/>
      <c r="O1077" s="314" t="s">
        <v>2085</v>
      </c>
    </row>
    <row r="1078" spans="1:15" x14ac:dyDescent="0.3">
      <c r="A1078" s="2402">
        <v>1072</v>
      </c>
      <c r="B1078" s="1122" t="s">
        <v>1968</v>
      </c>
      <c r="C1078" s="216" t="s">
        <v>1344</v>
      </c>
      <c r="D1078" s="452" t="s">
        <v>966</v>
      </c>
      <c r="E1078" s="217" t="s">
        <v>2113</v>
      </c>
      <c r="F1078" s="218" t="s">
        <v>1970</v>
      </c>
      <c r="G1078" s="116">
        <v>8410</v>
      </c>
      <c r="H1078" s="1776" t="s">
        <v>1349</v>
      </c>
      <c r="I1078" s="34" t="s">
        <v>25</v>
      </c>
      <c r="J1078" s="224"/>
      <c r="K1078" s="147"/>
      <c r="L1078" s="475"/>
      <c r="M1078" s="224"/>
      <c r="N1078" s="224"/>
      <c r="O1078" s="314" t="s">
        <v>2085</v>
      </c>
    </row>
    <row r="1079" spans="1:15" x14ac:dyDescent="0.3">
      <c r="A1079" s="2402">
        <v>1073</v>
      </c>
      <c r="B1079" s="1122" t="s">
        <v>1968</v>
      </c>
      <c r="C1079" s="216" t="s">
        <v>1344</v>
      </c>
      <c r="D1079" s="495" t="s">
        <v>966</v>
      </c>
      <c r="E1079" s="217" t="s">
        <v>369</v>
      </c>
      <c r="F1079" s="218" t="s">
        <v>1970</v>
      </c>
      <c r="G1079" s="116">
        <v>8410</v>
      </c>
      <c r="H1079" s="1776" t="s">
        <v>1349</v>
      </c>
      <c r="I1079" s="34" t="s">
        <v>25</v>
      </c>
      <c r="J1079" s="224"/>
      <c r="K1079" s="147"/>
      <c r="L1079" s="475"/>
      <c r="M1079" s="224"/>
      <c r="N1079" s="224"/>
      <c r="O1079" s="314" t="s">
        <v>2085</v>
      </c>
    </row>
    <row r="1080" spans="1:15" x14ac:dyDescent="0.3">
      <c r="A1080" s="2401">
        <v>1074</v>
      </c>
      <c r="B1080" s="1122" t="s">
        <v>1968</v>
      </c>
      <c r="C1080" s="216" t="s">
        <v>1344</v>
      </c>
      <c r="D1080" s="793" t="s">
        <v>966</v>
      </c>
      <c r="E1080" s="217" t="s">
        <v>2114</v>
      </c>
      <c r="F1080" s="218" t="s">
        <v>1970</v>
      </c>
      <c r="G1080" s="116">
        <v>8410</v>
      </c>
      <c r="H1080" s="1776" t="s">
        <v>1349</v>
      </c>
      <c r="I1080" s="34" t="s">
        <v>25</v>
      </c>
      <c r="J1080" s="224"/>
      <c r="K1080" s="147"/>
      <c r="L1080" s="475"/>
      <c r="M1080" s="224"/>
      <c r="N1080" s="224"/>
      <c r="O1080" s="314" t="s">
        <v>2085</v>
      </c>
    </row>
    <row r="1081" spans="1:15" x14ac:dyDescent="0.3">
      <c r="A1081" s="2402">
        <v>1075</v>
      </c>
      <c r="B1081" s="1122" t="s">
        <v>1968</v>
      </c>
      <c r="C1081" s="216" t="s">
        <v>1344</v>
      </c>
      <c r="D1081" s="416" t="s">
        <v>966</v>
      </c>
      <c r="E1081" s="217" t="s">
        <v>2115</v>
      </c>
      <c r="F1081" s="218" t="s">
        <v>1970</v>
      </c>
      <c r="G1081" s="116">
        <v>8410</v>
      </c>
      <c r="H1081" s="1776" t="s">
        <v>1349</v>
      </c>
      <c r="I1081" s="34" t="s">
        <v>25</v>
      </c>
      <c r="J1081" s="224"/>
      <c r="K1081" s="147"/>
      <c r="L1081" s="475"/>
      <c r="M1081" s="224"/>
      <c r="N1081" s="224"/>
      <c r="O1081" s="314" t="s">
        <v>2085</v>
      </c>
    </row>
    <row r="1082" spans="1:15" x14ac:dyDescent="0.3">
      <c r="A1082" s="2402">
        <v>1076</v>
      </c>
      <c r="B1082" s="1122" t="s">
        <v>1968</v>
      </c>
      <c r="C1082" s="216" t="s">
        <v>1344</v>
      </c>
      <c r="D1082" s="416" t="s">
        <v>966</v>
      </c>
      <c r="E1082" s="217" t="s">
        <v>2116</v>
      </c>
      <c r="F1082" s="218" t="s">
        <v>1970</v>
      </c>
      <c r="G1082" s="116">
        <v>8410</v>
      </c>
      <c r="H1082" s="1776" t="s">
        <v>1349</v>
      </c>
      <c r="I1082" s="34" t="s">
        <v>25</v>
      </c>
      <c r="J1082" s="224"/>
      <c r="K1082" s="147"/>
      <c r="L1082" s="475"/>
      <c r="M1082" s="224"/>
      <c r="N1082" s="224"/>
      <c r="O1082" s="314" t="s">
        <v>2085</v>
      </c>
    </row>
    <row r="1083" spans="1:15" x14ac:dyDescent="0.3">
      <c r="A1083" s="2401">
        <v>1077</v>
      </c>
      <c r="B1083" s="1122" t="s">
        <v>1968</v>
      </c>
      <c r="C1083" s="216" t="s">
        <v>1344</v>
      </c>
      <c r="D1083" s="416" t="s">
        <v>966</v>
      </c>
      <c r="E1083" s="217" t="s">
        <v>2117</v>
      </c>
      <c r="F1083" s="218" t="s">
        <v>1970</v>
      </c>
      <c r="G1083" s="116">
        <v>8410</v>
      </c>
      <c r="H1083" s="1776" t="s">
        <v>1349</v>
      </c>
      <c r="I1083" s="34" t="s">
        <v>25</v>
      </c>
      <c r="J1083" s="224"/>
      <c r="K1083" s="147"/>
      <c r="L1083" s="475"/>
      <c r="M1083" s="224"/>
      <c r="N1083" s="224"/>
      <c r="O1083" s="314" t="s">
        <v>2085</v>
      </c>
    </row>
    <row r="1084" spans="1:15" x14ac:dyDescent="0.3">
      <c r="A1084" s="2402">
        <v>1078</v>
      </c>
      <c r="B1084" s="1122" t="s">
        <v>1968</v>
      </c>
      <c r="C1084" s="216" t="s">
        <v>1344</v>
      </c>
      <c r="D1084" s="416" t="s">
        <v>966</v>
      </c>
      <c r="E1084" s="217" t="s">
        <v>2118</v>
      </c>
      <c r="F1084" s="218" t="s">
        <v>1970</v>
      </c>
      <c r="G1084" s="116">
        <v>8410</v>
      </c>
      <c r="H1084" s="1776" t="s">
        <v>1349</v>
      </c>
      <c r="I1084" s="34" t="s">
        <v>25</v>
      </c>
      <c r="J1084" s="224"/>
      <c r="K1084" s="147"/>
      <c r="L1084" s="475"/>
      <c r="M1084" s="224"/>
      <c r="N1084" s="224"/>
      <c r="O1084" s="314" t="s">
        <v>2085</v>
      </c>
    </row>
    <row r="1085" spans="1:15" x14ac:dyDescent="0.3">
      <c r="A1085" s="2402">
        <v>1079</v>
      </c>
      <c r="B1085" s="1122" t="s">
        <v>1968</v>
      </c>
      <c r="C1085" s="216" t="s">
        <v>1344</v>
      </c>
      <c r="D1085" s="416" t="s">
        <v>966</v>
      </c>
      <c r="E1085" s="217" t="s">
        <v>2119</v>
      </c>
      <c r="F1085" s="218" t="s">
        <v>1970</v>
      </c>
      <c r="G1085" s="116">
        <v>8410</v>
      </c>
      <c r="H1085" s="1776" t="s">
        <v>1349</v>
      </c>
      <c r="I1085" s="34" t="s">
        <v>25</v>
      </c>
      <c r="J1085" s="224"/>
      <c r="K1085" s="147"/>
      <c r="L1085" s="475"/>
      <c r="M1085" s="224"/>
      <c r="N1085" s="224"/>
      <c r="O1085" s="314" t="s">
        <v>2085</v>
      </c>
    </row>
    <row r="1086" spans="1:15" x14ac:dyDescent="0.3">
      <c r="A1086" s="2401">
        <v>1080</v>
      </c>
      <c r="B1086" s="1122" t="s">
        <v>1968</v>
      </c>
      <c r="C1086" s="216" t="s">
        <v>1344</v>
      </c>
      <c r="D1086" s="416" t="s">
        <v>966</v>
      </c>
      <c r="E1086" s="217" t="s">
        <v>2120</v>
      </c>
      <c r="F1086" s="218" t="s">
        <v>1970</v>
      </c>
      <c r="G1086" s="116">
        <v>8410</v>
      </c>
      <c r="H1086" s="1776" t="s">
        <v>1349</v>
      </c>
      <c r="I1086" s="34" t="s">
        <v>25</v>
      </c>
      <c r="J1086" s="224"/>
      <c r="K1086" s="147"/>
      <c r="L1086" s="475"/>
      <c r="M1086" s="224"/>
      <c r="N1086" s="224"/>
      <c r="O1086" s="314" t="s">
        <v>2085</v>
      </c>
    </row>
    <row r="1087" spans="1:15" x14ac:dyDescent="0.3">
      <c r="A1087" s="2402">
        <v>1081</v>
      </c>
      <c r="B1087" s="1122" t="s">
        <v>1968</v>
      </c>
      <c r="C1087" s="216" t="s">
        <v>1344</v>
      </c>
      <c r="D1087" s="416" t="s">
        <v>966</v>
      </c>
      <c r="E1087" s="217" t="s">
        <v>2121</v>
      </c>
      <c r="F1087" s="218" t="s">
        <v>1970</v>
      </c>
      <c r="G1087" s="116">
        <v>8410</v>
      </c>
      <c r="H1087" s="1776" t="s">
        <v>1349</v>
      </c>
      <c r="I1087" s="34" t="s">
        <v>25</v>
      </c>
      <c r="J1087" s="224"/>
      <c r="K1087" s="147"/>
      <c r="L1087" s="475"/>
      <c r="M1087" s="224"/>
      <c r="N1087" s="224"/>
      <c r="O1087" s="314" t="s">
        <v>2085</v>
      </c>
    </row>
    <row r="1088" spans="1:15" x14ac:dyDescent="0.3">
      <c r="A1088" s="2402">
        <v>1082</v>
      </c>
      <c r="B1088" s="1122" t="s">
        <v>1968</v>
      </c>
      <c r="C1088" s="216" t="s">
        <v>1344</v>
      </c>
      <c r="D1088" s="416" t="s">
        <v>966</v>
      </c>
      <c r="E1088" s="217" t="s">
        <v>2122</v>
      </c>
      <c r="F1088" s="218" t="s">
        <v>1970</v>
      </c>
      <c r="G1088" s="116">
        <v>8410</v>
      </c>
      <c r="H1088" s="1776" t="s">
        <v>1349</v>
      </c>
      <c r="I1088" s="34" t="s">
        <v>25</v>
      </c>
      <c r="J1088" s="224"/>
      <c r="K1088" s="147"/>
      <c r="L1088" s="475"/>
      <c r="M1088" s="224"/>
      <c r="N1088" s="224"/>
      <c r="O1088" s="314" t="s">
        <v>2085</v>
      </c>
    </row>
    <row r="1089" spans="1:15" x14ac:dyDescent="0.3">
      <c r="A1089" s="2401">
        <v>1083</v>
      </c>
      <c r="B1089" s="1122" t="s">
        <v>1968</v>
      </c>
      <c r="C1089" s="216" t="s">
        <v>1344</v>
      </c>
      <c r="D1089" s="416" t="s">
        <v>966</v>
      </c>
      <c r="E1089" s="217" t="s">
        <v>2123</v>
      </c>
      <c r="F1089" s="218" t="s">
        <v>1970</v>
      </c>
      <c r="G1089" s="116">
        <v>8410</v>
      </c>
      <c r="H1089" s="1776" t="s">
        <v>1349</v>
      </c>
      <c r="I1089" s="34" t="s">
        <v>25</v>
      </c>
      <c r="J1089" s="224"/>
      <c r="K1089" s="147"/>
      <c r="L1089" s="475"/>
      <c r="M1089" s="224"/>
      <c r="N1089" s="224"/>
      <c r="O1089" s="314" t="s">
        <v>2085</v>
      </c>
    </row>
    <row r="1090" spans="1:15" x14ac:dyDescent="0.3">
      <c r="A1090" s="2402">
        <v>1084</v>
      </c>
      <c r="B1090" s="1122" t="s">
        <v>1968</v>
      </c>
      <c r="C1090" s="216" t="s">
        <v>1344</v>
      </c>
      <c r="D1090" s="416" t="s">
        <v>966</v>
      </c>
      <c r="E1090" s="217" t="s">
        <v>2124</v>
      </c>
      <c r="F1090" s="218" t="s">
        <v>1970</v>
      </c>
      <c r="G1090" s="116">
        <v>8410</v>
      </c>
      <c r="H1090" s="1776" t="s">
        <v>1349</v>
      </c>
      <c r="I1090" s="34" t="s">
        <v>25</v>
      </c>
      <c r="J1090" s="224"/>
      <c r="K1090" s="147"/>
      <c r="L1090" s="475"/>
      <c r="M1090" s="224"/>
      <c r="N1090" s="224"/>
      <c r="O1090" s="314" t="s">
        <v>2085</v>
      </c>
    </row>
    <row r="1091" spans="1:15" x14ac:dyDescent="0.3">
      <c r="A1091" s="2402">
        <v>1085</v>
      </c>
      <c r="B1091" s="1122" t="s">
        <v>1968</v>
      </c>
      <c r="C1091" s="216" t="s">
        <v>1344</v>
      </c>
      <c r="D1091" s="416" t="s">
        <v>966</v>
      </c>
      <c r="E1091" s="217" t="s">
        <v>2125</v>
      </c>
      <c r="F1091" s="218" t="s">
        <v>1970</v>
      </c>
      <c r="G1091" s="116">
        <v>8410</v>
      </c>
      <c r="H1091" s="1776" t="s">
        <v>1349</v>
      </c>
      <c r="I1091" s="34" t="s">
        <v>25</v>
      </c>
      <c r="J1091" s="224"/>
      <c r="K1091" s="147"/>
      <c r="L1091" s="475"/>
      <c r="M1091" s="224"/>
      <c r="N1091" s="224"/>
      <c r="O1091" s="314" t="s">
        <v>2085</v>
      </c>
    </row>
    <row r="1092" spans="1:15" x14ac:dyDescent="0.3">
      <c r="A1092" s="2401">
        <v>1086</v>
      </c>
      <c r="B1092" s="1122" t="s">
        <v>1968</v>
      </c>
      <c r="C1092" s="216" t="s">
        <v>1344</v>
      </c>
      <c r="D1092" s="416" t="s">
        <v>966</v>
      </c>
      <c r="E1092" s="217" t="s">
        <v>2126</v>
      </c>
      <c r="F1092" s="218" t="s">
        <v>1970</v>
      </c>
      <c r="G1092" s="116">
        <v>8410</v>
      </c>
      <c r="H1092" s="1776" t="s">
        <v>1349</v>
      </c>
      <c r="I1092" s="34" t="s">
        <v>25</v>
      </c>
      <c r="J1092" s="224"/>
      <c r="K1092" s="147"/>
      <c r="L1092" s="475"/>
      <c r="M1092" s="224"/>
      <c r="N1092" s="224"/>
      <c r="O1092" s="314" t="s">
        <v>2085</v>
      </c>
    </row>
    <row r="1093" spans="1:15" x14ac:dyDescent="0.3">
      <c r="A1093" s="2402">
        <v>1087</v>
      </c>
      <c r="B1093" s="1122" t="s">
        <v>1968</v>
      </c>
      <c r="C1093" s="216" t="s">
        <v>1344</v>
      </c>
      <c r="D1093" s="416" t="s">
        <v>966</v>
      </c>
      <c r="E1093" s="217" t="s">
        <v>2127</v>
      </c>
      <c r="F1093" s="218" t="s">
        <v>1970</v>
      </c>
      <c r="G1093" s="116">
        <v>8410</v>
      </c>
      <c r="H1093" s="1776" t="s">
        <v>1349</v>
      </c>
      <c r="I1093" s="34" t="s">
        <v>25</v>
      </c>
      <c r="J1093" s="224"/>
      <c r="K1093" s="147"/>
      <c r="L1093" s="475"/>
      <c r="M1093" s="224"/>
      <c r="N1093" s="224"/>
      <c r="O1093" s="314" t="s">
        <v>2085</v>
      </c>
    </row>
    <row r="1094" spans="1:15" x14ac:dyDescent="0.3">
      <c r="A1094" s="2402">
        <v>1088</v>
      </c>
      <c r="B1094" s="1122" t="s">
        <v>1968</v>
      </c>
      <c r="C1094" s="216" t="s">
        <v>1344</v>
      </c>
      <c r="D1094" s="416" t="s">
        <v>966</v>
      </c>
      <c r="E1094" s="217" t="s">
        <v>2128</v>
      </c>
      <c r="F1094" s="218" t="s">
        <v>1970</v>
      </c>
      <c r="G1094" s="116">
        <v>8410</v>
      </c>
      <c r="H1094" s="1776" t="s">
        <v>1349</v>
      </c>
      <c r="I1094" s="34" t="s">
        <v>25</v>
      </c>
      <c r="J1094" s="224"/>
      <c r="K1094" s="147"/>
      <c r="L1094" s="475"/>
      <c r="M1094" s="224"/>
      <c r="N1094" s="224"/>
      <c r="O1094" s="314" t="s">
        <v>2085</v>
      </c>
    </row>
    <row r="1095" spans="1:15" x14ac:dyDescent="0.3">
      <c r="A1095" s="2401">
        <v>1089</v>
      </c>
      <c r="B1095" s="1122" t="s">
        <v>1968</v>
      </c>
      <c r="C1095" s="216" t="s">
        <v>1344</v>
      </c>
      <c r="D1095" s="452" t="s">
        <v>966</v>
      </c>
      <c r="E1095" s="217" t="s">
        <v>2129</v>
      </c>
      <c r="F1095" s="218" t="s">
        <v>1970</v>
      </c>
      <c r="G1095" s="116">
        <v>8410</v>
      </c>
      <c r="H1095" s="1776" t="s">
        <v>1349</v>
      </c>
      <c r="I1095" s="34" t="s">
        <v>25</v>
      </c>
      <c r="J1095" s="224"/>
      <c r="K1095" s="147"/>
      <c r="L1095" s="475"/>
      <c r="M1095" s="224"/>
      <c r="N1095" s="224"/>
      <c r="O1095" s="314" t="s">
        <v>2085</v>
      </c>
    </row>
    <row r="1096" spans="1:15" x14ac:dyDescent="0.3">
      <c r="A1096" s="2402">
        <v>1090</v>
      </c>
      <c r="B1096" s="1122" t="s">
        <v>1968</v>
      </c>
      <c r="C1096" s="216" t="s">
        <v>1344</v>
      </c>
      <c r="D1096" s="495" t="s">
        <v>966</v>
      </c>
      <c r="E1096" s="217" t="s">
        <v>2130</v>
      </c>
      <c r="F1096" s="218" t="s">
        <v>1970</v>
      </c>
      <c r="G1096" s="116">
        <v>8410</v>
      </c>
      <c r="H1096" s="1776" t="s">
        <v>1349</v>
      </c>
      <c r="I1096" s="34" t="s">
        <v>25</v>
      </c>
      <c r="J1096" s="224"/>
      <c r="K1096" s="147"/>
      <c r="L1096" s="475"/>
      <c r="M1096" s="224"/>
      <c r="N1096" s="224"/>
      <c r="O1096" s="314" t="s">
        <v>2085</v>
      </c>
    </row>
    <row r="1097" spans="1:15" x14ac:dyDescent="0.3">
      <c r="A1097" s="2402">
        <v>1091</v>
      </c>
      <c r="B1097" s="1122" t="s">
        <v>1968</v>
      </c>
      <c r="C1097" s="216" t="s">
        <v>1344</v>
      </c>
      <c r="D1097" s="793" t="s">
        <v>966</v>
      </c>
      <c r="E1097" s="217" t="s">
        <v>2131</v>
      </c>
      <c r="F1097" s="218" t="s">
        <v>1970</v>
      </c>
      <c r="G1097" s="116">
        <v>8410</v>
      </c>
      <c r="H1097" s="1776" t="s">
        <v>1349</v>
      </c>
      <c r="I1097" s="34" t="s">
        <v>25</v>
      </c>
      <c r="J1097" s="224"/>
      <c r="K1097" s="147"/>
      <c r="L1097" s="475"/>
      <c r="M1097" s="224"/>
      <c r="N1097" s="224"/>
      <c r="O1097" s="314" t="s">
        <v>2085</v>
      </c>
    </row>
    <row r="1098" spans="1:15" x14ac:dyDescent="0.3">
      <c r="A1098" s="2401">
        <v>1092</v>
      </c>
      <c r="B1098" s="1122" t="s">
        <v>1968</v>
      </c>
      <c r="C1098" s="216" t="s">
        <v>1344</v>
      </c>
      <c r="D1098" s="416" t="s">
        <v>966</v>
      </c>
      <c r="E1098" s="217" t="s">
        <v>2132</v>
      </c>
      <c r="F1098" s="218" t="s">
        <v>1970</v>
      </c>
      <c r="G1098" s="116">
        <v>8410</v>
      </c>
      <c r="H1098" s="1776" t="s">
        <v>1349</v>
      </c>
      <c r="I1098" s="34" t="s">
        <v>25</v>
      </c>
      <c r="J1098" s="224"/>
      <c r="K1098" s="147"/>
      <c r="L1098" s="475"/>
      <c r="M1098" s="224"/>
      <c r="N1098" s="224"/>
      <c r="O1098" s="314" t="s">
        <v>2085</v>
      </c>
    </row>
    <row r="1099" spans="1:15" x14ac:dyDescent="0.3">
      <c r="A1099" s="2402">
        <v>1093</v>
      </c>
      <c r="B1099" s="1122" t="s">
        <v>1968</v>
      </c>
      <c r="C1099" s="216" t="s">
        <v>1344</v>
      </c>
      <c r="D1099" s="416" t="s">
        <v>966</v>
      </c>
      <c r="E1099" s="217" t="s">
        <v>2133</v>
      </c>
      <c r="F1099" s="218" t="s">
        <v>1970</v>
      </c>
      <c r="G1099" s="116">
        <v>8410</v>
      </c>
      <c r="H1099" s="1776" t="s">
        <v>1349</v>
      </c>
      <c r="I1099" s="34" t="s">
        <v>25</v>
      </c>
      <c r="J1099" s="224"/>
      <c r="K1099" s="147"/>
      <c r="L1099" s="475"/>
      <c r="M1099" s="224"/>
      <c r="N1099" s="224"/>
      <c r="O1099" s="314" t="s">
        <v>2085</v>
      </c>
    </row>
    <row r="1100" spans="1:15" x14ac:dyDescent="0.3">
      <c r="A1100" s="2402">
        <v>1094</v>
      </c>
      <c r="B1100" s="1122" t="s">
        <v>1968</v>
      </c>
      <c r="C1100" s="216" t="s">
        <v>1344</v>
      </c>
      <c r="D1100" s="416" t="s">
        <v>966</v>
      </c>
      <c r="E1100" s="217" t="s">
        <v>2134</v>
      </c>
      <c r="F1100" s="218" t="s">
        <v>1970</v>
      </c>
      <c r="G1100" s="116">
        <v>8410</v>
      </c>
      <c r="H1100" s="1776" t="s">
        <v>1349</v>
      </c>
      <c r="I1100" s="34" t="s">
        <v>25</v>
      </c>
      <c r="J1100" s="224"/>
      <c r="K1100" s="147"/>
      <c r="L1100" s="475"/>
      <c r="M1100" s="224"/>
      <c r="N1100" s="224"/>
      <c r="O1100" s="314" t="s">
        <v>2085</v>
      </c>
    </row>
    <row r="1101" spans="1:15" x14ac:dyDescent="0.3">
      <c r="A1101" s="2401">
        <v>1095</v>
      </c>
      <c r="B1101" s="1122" t="s">
        <v>1968</v>
      </c>
      <c r="C1101" s="216" t="s">
        <v>1344</v>
      </c>
      <c r="D1101" s="416" t="s">
        <v>966</v>
      </c>
      <c r="E1101" s="217" t="s">
        <v>2135</v>
      </c>
      <c r="F1101" s="218" t="s">
        <v>1970</v>
      </c>
      <c r="G1101" s="116">
        <v>8410</v>
      </c>
      <c r="H1101" s="1776" t="s">
        <v>1349</v>
      </c>
      <c r="I1101" s="34" t="s">
        <v>25</v>
      </c>
      <c r="J1101" s="224"/>
      <c r="K1101" s="147"/>
      <c r="L1101" s="475"/>
      <c r="M1101" s="224"/>
      <c r="N1101" s="224"/>
      <c r="O1101" s="314" t="s">
        <v>2085</v>
      </c>
    </row>
    <row r="1102" spans="1:15" x14ac:dyDescent="0.3">
      <c r="A1102" s="2402">
        <v>1096</v>
      </c>
      <c r="B1102" s="1122" t="s">
        <v>1968</v>
      </c>
      <c r="C1102" s="216" t="s">
        <v>1344</v>
      </c>
      <c r="D1102" s="416" t="s">
        <v>966</v>
      </c>
      <c r="E1102" s="217" t="s">
        <v>2136</v>
      </c>
      <c r="F1102" s="218" t="s">
        <v>1970</v>
      </c>
      <c r="G1102" s="116">
        <v>8410</v>
      </c>
      <c r="H1102" s="1776" t="s">
        <v>1349</v>
      </c>
      <c r="I1102" s="34" t="s">
        <v>25</v>
      </c>
      <c r="J1102" s="224"/>
      <c r="K1102" s="147"/>
      <c r="L1102" s="475"/>
      <c r="M1102" s="224"/>
      <c r="N1102" s="224"/>
      <c r="O1102" s="314" t="s">
        <v>2085</v>
      </c>
    </row>
    <row r="1103" spans="1:15" x14ac:dyDescent="0.3">
      <c r="A1103" s="2402">
        <v>1097</v>
      </c>
      <c r="B1103" s="1122" t="s">
        <v>1968</v>
      </c>
      <c r="C1103" s="216" t="s">
        <v>1344</v>
      </c>
      <c r="D1103" s="416" t="s">
        <v>966</v>
      </c>
      <c r="E1103" s="217" t="s">
        <v>370</v>
      </c>
      <c r="F1103" s="218" t="s">
        <v>1970</v>
      </c>
      <c r="G1103" s="116">
        <v>8410</v>
      </c>
      <c r="H1103" s="1776" t="s">
        <v>1349</v>
      </c>
      <c r="I1103" s="34" t="s">
        <v>25</v>
      </c>
      <c r="J1103" s="224"/>
      <c r="K1103" s="147"/>
      <c r="L1103" s="475"/>
      <c r="M1103" s="224"/>
      <c r="N1103" s="224"/>
      <c r="O1103" s="314" t="s">
        <v>2085</v>
      </c>
    </row>
    <row r="1104" spans="1:15" x14ac:dyDescent="0.3">
      <c r="A1104" s="2401">
        <v>1098</v>
      </c>
      <c r="B1104" s="1122" t="s">
        <v>1968</v>
      </c>
      <c r="C1104" s="216" t="s">
        <v>1344</v>
      </c>
      <c r="D1104" s="416" t="s">
        <v>966</v>
      </c>
      <c r="E1104" s="217" t="s">
        <v>2137</v>
      </c>
      <c r="F1104" s="218" t="s">
        <v>1970</v>
      </c>
      <c r="G1104" s="116">
        <v>8410</v>
      </c>
      <c r="H1104" s="1776" t="s">
        <v>1349</v>
      </c>
      <c r="I1104" s="34" t="s">
        <v>25</v>
      </c>
      <c r="J1104" s="224"/>
      <c r="K1104" s="147"/>
      <c r="L1104" s="475"/>
      <c r="M1104" s="224"/>
      <c r="N1104" s="224"/>
      <c r="O1104" s="314" t="s">
        <v>2085</v>
      </c>
    </row>
    <row r="1105" spans="1:15" x14ac:dyDescent="0.3">
      <c r="A1105" s="2402">
        <v>1099</v>
      </c>
      <c r="B1105" s="1122" t="s">
        <v>1968</v>
      </c>
      <c r="C1105" s="216" t="s">
        <v>1344</v>
      </c>
      <c r="D1105" s="416" t="s">
        <v>966</v>
      </c>
      <c r="E1105" s="217" t="s">
        <v>371</v>
      </c>
      <c r="F1105" s="218" t="s">
        <v>1970</v>
      </c>
      <c r="G1105" s="116">
        <v>8410</v>
      </c>
      <c r="H1105" s="1776" t="s">
        <v>1349</v>
      </c>
      <c r="I1105" s="34" t="s">
        <v>25</v>
      </c>
      <c r="J1105" s="224"/>
      <c r="K1105" s="147"/>
      <c r="L1105" s="475"/>
      <c r="M1105" s="224"/>
      <c r="N1105" s="224"/>
      <c r="O1105" s="314" t="s">
        <v>2085</v>
      </c>
    </row>
    <row r="1106" spans="1:15" x14ac:dyDescent="0.3">
      <c r="A1106" s="2402">
        <v>1100</v>
      </c>
      <c r="B1106" s="1122" t="s">
        <v>1968</v>
      </c>
      <c r="C1106" s="216" t="s">
        <v>1344</v>
      </c>
      <c r="D1106" s="416" t="s">
        <v>966</v>
      </c>
      <c r="E1106" s="217" t="s">
        <v>372</v>
      </c>
      <c r="F1106" s="218" t="s">
        <v>1970</v>
      </c>
      <c r="G1106" s="116">
        <v>8410</v>
      </c>
      <c r="H1106" s="1776" t="s">
        <v>1349</v>
      </c>
      <c r="I1106" s="34" t="s">
        <v>25</v>
      </c>
      <c r="J1106" s="224"/>
      <c r="K1106" s="147"/>
      <c r="L1106" s="475"/>
      <c r="M1106" s="224"/>
      <c r="N1106" s="224"/>
      <c r="O1106" s="314" t="s">
        <v>2085</v>
      </c>
    </row>
    <row r="1107" spans="1:15" x14ac:dyDescent="0.3">
      <c r="A1107" s="2401">
        <v>1101</v>
      </c>
      <c r="B1107" s="1122" t="s">
        <v>1968</v>
      </c>
      <c r="C1107" s="216" t="s">
        <v>1344</v>
      </c>
      <c r="D1107" s="416" t="s">
        <v>966</v>
      </c>
      <c r="E1107" s="217" t="s">
        <v>2138</v>
      </c>
      <c r="F1107" s="218" t="s">
        <v>1970</v>
      </c>
      <c r="G1107" s="116">
        <v>8410</v>
      </c>
      <c r="H1107" s="1776" t="s">
        <v>1349</v>
      </c>
      <c r="I1107" s="34" t="s">
        <v>25</v>
      </c>
      <c r="J1107" s="224"/>
      <c r="K1107" s="147"/>
      <c r="L1107" s="475"/>
      <c r="M1107" s="224"/>
      <c r="N1107" s="224"/>
      <c r="O1107" s="314" t="s">
        <v>2085</v>
      </c>
    </row>
    <row r="1108" spans="1:15" x14ac:dyDescent="0.3">
      <c r="A1108" s="2402">
        <v>1102</v>
      </c>
      <c r="B1108" s="1122" t="s">
        <v>1968</v>
      </c>
      <c r="C1108" s="216" t="s">
        <v>1344</v>
      </c>
      <c r="D1108" s="416" t="s">
        <v>966</v>
      </c>
      <c r="E1108" s="217" t="s">
        <v>2139</v>
      </c>
      <c r="F1108" s="218" t="s">
        <v>1970</v>
      </c>
      <c r="G1108" s="116">
        <v>8410</v>
      </c>
      <c r="H1108" s="1776" t="s">
        <v>1349</v>
      </c>
      <c r="I1108" s="34" t="s">
        <v>25</v>
      </c>
      <c r="J1108" s="224"/>
      <c r="K1108" s="147"/>
      <c r="L1108" s="475"/>
      <c r="M1108" s="224"/>
      <c r="N1108" s="224"/>
      <c r="O1108" s="314" t="s">
        <v>2085</v>
      </c>
    </row>
    <row r="1109" spans="1:15" x14ac:dyDescent="0.3">
      <c r="A1109" s="2402">
        <v>1103</v>
      </c>
      <c r="B1109" s="1122" t="s">
        <v>1968</v>
      </c>
      <c r="C1109" s="216" t="s">
        <v>1344</v>
      </c>
      <c r="D1109" s="416" t="s">
        <v>966</v>
      </c>
      <c r="E1109" s="217" t="s">
        <v>2140</v>
      </c>
      <c r="F1109" s="218" t="s">
        <v>1970</v>
      </c>
      <c r="G1109" s="116">
        <v>8410</v>
      </c>
      <c r="H1109" s="1776" t="s">
        <v>1349</v>
      </c>
      <c r="I1109" s="34" t="s">
        <v>25</v>
      </c>
      <c r="J1109" s="224"/>
      <c r="K1109" s="147"/>
      <c r="L1109" s="475"/>
      <c r="M1109" s="224"/>
      <c r="N1109" s="224"/>
      <c r="O1109" s="314" t="s">
        <v>2085</v>
      </c>
    </row>
    <row r="1110" spans="1:15" x14ac:dyDescent="0.3">
      <c r="A1110" s="2401">
        <v>1104</v>
      </c>
      <c r="B1110" s="1122" t="s">
        <v>1968</v>
      </c>
      <c r="C1110" s="216" t="s">
        <v>1344</v>
      </c>
      <c r="D1110" s="416" t="s">
        <v>966</v>
      </c>
      <c r="E1110" s="217" t="s">
        <v>2141</v>
      </c>
      <c r="F1110" s="218" t="s">
        <v>1970</v>
      </c>
      <c r="G1110" s="116">
        <v>8410</v>
      </c>
      <c r="H1110" s="1776" t="s">
        <v>1349</v>
      </c>
      <c r="I1110" s="34" t="s">
        <v>25</v>
      </c>
      <c r="J1110" s="224"/>
      <c r="K1110" s="147"/>
      <c r="L1110" s="475"/>
      <c r="M1110" s="224"/>
      <c r="N1110" s="224"/>
      <c r="O1110" s="314" t="s">
        <v>2085</v>
      </c>
    </row>
    <row r="1111" spans="1:15" x14ac:dyDescent="0.3">
      <c r="A1111" s="2402">
        <v>1105</v>
      </c>
      <c r="B1111" s="1122" t="s">
        <v>1968</v>
      </c>
      <c r="C1111" s="216" t="s">
        <v>1344</v>
      </c>
      <c r="D1111" s="416" t="s">
        <v>966</v>
      </c>
      <c r="E1111" s="217" t="s">
        <v>2142</v>
      </c>
      <c r="F1111" s="218" t="s">
        <v>1970</v>
      </c>
      <c r="G1111" s="116">
        <v>8410</v>
      </c>
      <c r="H1111" s="1776" t="s">
        <v>1349</v>
      </c>
      <c r="I1111" s="34" t="s">
        <v>25</v>
      </c>
      <c r="J1111" s="224"/>
      <c r="K1111" s="147"/>
      <c r="L1111" s="475"/>
      <c r="M1111" s="224"/>
      <c r="N1111" s="224"/>
      <c r="O1111" s="314" t="s">
        <v>2085</v>
      </c>
    </row>
    <row r="1112" spans="1:15" x14ac:dyDescent="0.3">
      <c r="A1112" s="2402">
        <v>1106</v>
      </c>
      <c r="B1112" s="1122" t="s">
        <v>1968</v>
      </c>
      <c r="C1112" s="1117" t="s">
        <v>1344</v>
      </c>
      <c r="D1112" s="416" t="s">
        <v>966</v>
      </c>
      <c r="E1112" s="217" t="s">
        <v>2143</v>
      </c>
      <c r="F1112" s="218" t="s">
        <v>1970</v>
      </c>
      <c r="G1112" s="116">
        <v>8410</v>
      </c>
      <c r="H1112" s="1776" t="s">
        <v>1349</v>
      </c>
      <c r="I1112" s="34" t="s">
        <v>25</v>
      </c>
      <c r="J1112" s="224"/>
      <c r="K1112" s="147"/>
      <c r="L1112" s="475"/>
      <c r="M1112" s="224"/>
      <c r="N1112" s="224"/>
      <c r="O1112" s="314" t="s">
        <v>2085</v>
      </c>
    </row>
    <row r="1113" spans="1:15" x14ac:dyDescent="0.3">
      <c r="A1113" s="2401">
        <v>1107</v>
      </c>
      <c r="B1113" s="1122" t="s">
        <v>1968</v>
      </c>
      <c r="C1113" s="1117" t="s">
        <v>1344</v>
      </c>
      <c r="D1113" s="452" t="s">
        <v>966</v>
      </c>
      <c r="E1113" s="217" t="s">
        <v>2144</v>
      </c>
      <c r="F1113" s="218" t="s">
        <v>1970</v>
      </c>
      <c r="G1113" s="116">
        <v>8410</v>
      </c>
      <c r="H1113" s="1776" t="s">
        <v>1349</v>
      </c>
      <c r="I1113" s="34" t="s">
        <v>25</v>
      </c>
      <c r="J1113" s="224"/>
      <c r="K1113" s="147"/>
      <c r="L1113" s="475"/>
      <c r="M1113" s="224"/>
      <c r="N1113" s="224"/>
      <c r="O1113" s="314" t="s">
        <v>2085</v>
      </c>
    </row>
    <row r="1114" spans="1:15" x14ac:dyDescent="0.3">
      <c r="A1114" s="2402">
        <v>1108</v>
      </c>
      <c r="B1114" s="1122" t="s">
        <v>1968</v>
      </c>
      <c r="C1114" s="1117" t="s">
        <v>1344</v>
      </c>
      <c r="D1114" s="793" t="s">
        <v>966</v>
      </c>
      <c r="E1114" s="217" t="s">
        <v>2145</v>
      </c>
      <c r="F1114" s="218" t="s">
        <v>1970</v>
      </c>
      <c r="G1114" s="116">
        <v>8410</v>
      </c>
      <c r="H1114" s="1776" t="s">
        <v>1349</v>
      </c>
      <c r="I1114" s="34" t="s">
        <v>25</v>
      </c>
      <c r="J1114" s="224"/>
      <c r="K1114" s="147"/>
      <c r="L1114" s="475"/>
      <c r="M1114" s="224"/>
      <c r="N1114" s="224"/>
      <c r="O1114" s="314" t="s">
        <v>2085</v>
      </c>
    </row>
    <row r="1115" spans="1:15" x14ac:dyDescent="0.3">
      <c r="A1115" s="2402">
        <v>1109</v>
      </c>
      <c r="B1115" s="1122" t="s">
        <v>1968</v>
      </c>
      <c r="C1115" s="1117" t="s">
        <v>1344</v>
      </c>
      <c r="D1115" s="416" t="s">
        <v>966</v>
      </c>
      <c r="E1115" s="217" t="s">
        <v>2146</v>
      </c>
      <c r="F1115" s="218" t="s">
        <v>1970</v>
      </c>
      <c r="G1115" s="116">
        <v>8410</v>
      </c>
      <c r="H1115" s="1776" t="s">
        <v>1349</v>
      </c>
      <c r="I1115" s="34" t="s">
        <v>25</v>
      </c>
      <c r="J1115" s="224"/>
      <c r="K1115" s="147"/>
      <c r="L1115" s="475"/>
      <c r="M1115" s="224"/>
      <c r="N1115" s="224"/>
      <c r="O1115" s="314" t="s">
        <v>2085</v>
      </c>
    </row>
    <row r="1116" spans="1:15" x14ac:dyDescent="0.3">
      <c r="A1116" s="2401">
        <v>1110</v>
      </c>
      <c r="B1116" s="1122" t="s">
        <v>1968</v>
      </c>
      <c r="C1116" s="1117" t="s">
        <v>1344</v>
      </c>
      <c r="D1116" s="416" t="s">
        <v>966</v>
      </c>
      <c r="E1116" s="217" t="s">
        <v>2147</v>
      </c>
      <c r="F1116" s="218" t="s">
        <v>1970</v>
      </c>
      <c r="G1116" s="116">
        <v>8410</v>
      </c>
      <c r="H1116" s="1776" t="s">
        <v>1349</v>
      </c>
      <c r="I1116" s="34" t="s">
        <v>25</v>
      </c>
      <c r="J1116" s="224"/>
      <c r="K1116" s="147"/>
      <c r="L1116" s="475"/>
      <c r="M1116" s="224"/>
      <c r="N1116" s="224"/>
      <c r="O1116" s="314" t="s">
        <v>2085</v>
      </c>
    </row>
    <row r="1117" spans="1:15" x14ac:dyDescent="0.3">
      <c r="A1117" s="2402">
        <v>1111</v>
      </c>
      <c r="B1117" s="1122" t="s">
        <v>1968</v>
      </c>
      <c r="C1117" s="1117" t="s">
        <v>1344</v>
      </c>
      <c r="D1117" s="416" t="s">
        <v>966</v>
      </c>
      <c r="E1117" s="217" t="s">
        <v>2148</v>
      </c>
      <c r="F1117" s="218" t="s">
        <v>1970</v>
      </c>
      <c r="G1117" s="116">
        <v>8410</v>
      </c>
      <c r="H1117" s="1776" t="s">
        <v>1349</v>
      </c>
      <c r="I1117" s="34" t="s">
        <v>25</v>
      </c>
      <c r="J1117" s="224"/>
      <c r="K1117" s="147"/>
      <c r="L1117" s="475"/>
      <c r="M1117" s="224"/>
      <c r="N1117" s="224"/>
      <c r="O1117" s="314" t="s">
        <v>2085</v>
      </c>
    </row>
    <row r="1118" spans="1:15" x14ac:dyDescent="0.3">
      <c r="A1118" s="2402">
        <v>1112</v>
      </c>
      <c r="B1118" s="1122" t="s">
        <v>1968</v>
      </c>
      <c r="C1118" s="1117" t="s">
        <v>1344</v>
      </c>
      <c r="D1118" s="416" t="s">
        <v>966</v>
      </c>
      <c r="E1118" s="217" t="s">
        <v>373</v>
      </c>
      <c r="F1118" s="218" t="s">
        <v>1970</v>
      </c>
      <c r="G1118" s="116">
        <v>8410</v>
      </c>
      <c r="H1118" s="1776" t="s">
        <v>1349</v>
      </c>
      <c r="I1118" s="34" t="s">
        <v>25</v>
      </c>
      <c r="J1118" s="224"/>
      <c r="K1118" s="147"/>
      <c r="L1118" s="475"/>
      <c r="M1118" s="224"/>
      <c r="N1118" s="224"/>
      <c r="O1118" s="314" t="s">
        <v>2085</v>
      </c>
    </row>
    <row r="1119" spans="1:15" x14ac:dyDescent="0.3">
      <c r="A1119" s="2401">
        <v>1113</v>
      </c>
      <c r="B1119" s="1122" t="s">
        <v>1968</v>
      </c>
      <c r="C1119" s="1117" t="s">
        <v>1344</v>
      </c>
      <c r="D1119" s="416" t="s">
        <v>966</v>
      </c>
      <c r="E1119" s="217" t="s">
        <v>375</v>
      </c>
      <c r="F1119" s="218" t="s">
        <v>1970</v>
      </c>
      <c r="G1119" s="116">
        <v>8410</v>
      </c>
      <c r="H1119" s="1776" t="s">
        <v>1349</v>
      </c>
      <c r="I1119" s="34" t="s">
        <v>25</v>
      </c>
      <c r="J1119" s="224"/>
      <c r="K1119" s="147"/>
      <c r="L1119" s="475"/>
      <c r="M1119" s="224"/>
      <c r="N1119" s="224"/>
      <c r="O1119" s="314" t="s">
        <v>2085</v>
      </c>
    </row>
    <row r="1120" spans="1:15" x14ac:dyDescent="0.3">
      <c r="A1120" s="2402">
        <v>1114</v>
      </c>
      <c r="B1120" s="1122" t="s">
        <v>1968</v>
      </c>
      <c r="C1120" s="1117" t="s">
        <v>1344</v>
      </c>
      <c r="D1120" s="416" t="s">
        <v>966</v>
      </c>
      <c r="E1120" s="217" t="s">
        <v>377</v>
      </c>
      <c r="F1120" s="218" t="s">
        <v>1970</v>
      </c>
      <c r="G1120" s="116">
        <v>8410</v>
      </c>
      <c r="H1120" s="1776" t="s">
        <v>1349</v>
      </c>
      <c r="I1120" s="34" t="s">
        <v>25</v>
      </c>
      <c r="J1120" s="224"/>
      <c r="K1120" s="147"/>
      <c r="L1120" s="475"/>
      <c r="M1120" s="224"/>
      <c r="N1120" s="224"/>
      <c r="O1120" s="314" t="s">
        <v>2085</v>
      </c>
    </row>
    <row r="1121" spans="1:15" x14ac:dyDescent="0.3">
      <c r="A1121" s="2402">
        <v>1115</v>
      </c>
      <c r="B1121" s="1122" t="s">
        <v>1968</v>
      </c>
      <c r="C1121" s="1117" t="s">
        <v>1344</v>
      </c>
      <c r="D1121" s="416" t="s">
        <v>966</v>
      </c>
      <c r="E1121" s="217" t="s">
        <v>2149</v>
      </c>
      <c r="F1121" s="218" t="s">
        <v>1970</v>
      </c>
      <c r="G1121" s="116">
        <v>8410</v>
      </c>
      <c r="H1121" s="1776" t="s">
        <v>1349</v>
      </c>
      <c r="I1121" s="34" t="s">
        <v>25</v>
      </c>
      <c r="J1121" s="224"/>
      <c r="K1121" s="147"/>
      <c r="L1121" s="475"/>
      <c r="M1121" s="224"/>
      <c r="N1121" s="224"/>
      <c r="O1121" s="314" t="s">
        <v>2085</v>
      </c>
    </row>
    <row r="1122" spans="1:15" x14ac:dyDescent="0.3">
      <c r="A1122" s="2401">
        <v>1116</v>
      </c>
      <c r="B1122" s="1122" t="s">
        <v>1968</v>
      </c>
      <c r="C1122" s="1117" t="s">
        <v>1344</v>
      </c>
      <c r="D1122" s="416" t="s">
        <v>966</v>
      </c>
      <c r="E1122" s="217" t="s">
        <v>378</v>
      </c>
      <c r="F1122" s="218" t="s">
        <v>1970</v>
      </c>
      <c r="G1122" s="116">
        <v>8410</v>
      </c>
      <c r="H1122" s="1776" t="s">
        <v>1349</v>
      </c>
      <c r="I1122" s="34" t="s">
        <v>25</v>
      </c>
      <c r="J1122" s="224"/>
      <c r="K1122" s="147"/>
      <c r="L1122" s="475"/>
      <c r="M1122" s="224"/>
      <c r="N1122" s="224"/>
      <c r="O1122" s="314" t="s">
        <v>2085</v>
      </c>
    </row>
    <row r="1123" spans="1:15" x14ac:dyDescent="0.3">
      <c r="A1123" s="2402">
        <v>1117</v>
      </c>
      <c r="B1123" s="1122" t="s">
        <v>1968</v>
      </c>
      <c r="C1123" s="1117" t="s">
        <v>1344</v>
      </c>
      <c r="D1123" s="416" t="s">
        <v>966</v>
      </c>
      <c r="E1123" s="217" t="s">
        <v>2150</v>
      </c>
      <c r="F1123" s="218" t="s">
        <v>1970</v>
      </c>
      <c r="G1123" s="116">
        <v>8410</v>
      </c>
      <c r="H1123" s="1776" t="s">
        <v>1349</v>
      </c>
      <c r="I1123" s="34" t="s">
        <v>25</v>
      </c>
      <c r="J1123" s="224"/>
      <c r="K1123" s="147"/>
      <c r="L1123" s="475"/>
      <c r="M1123" s="224"/>
      <c r="N1123" s="224"/>
      <c r="O1123" s="314" t="s">
        <v>2085</v>
      </c>
    </row>
    <row r="1124" spans="1:15" x14ac:dyDescent="0.3">
      <c r="A1124" s="2402">
        <v>1118</v>
      </c>
      <c r="B1124" s="1122" t="s">
        <v>1968</v>
      </c>
      <c r="C1124" s="1117" t="s">
        <v>1344</v>
      </c>
      <c r="D1124" s="416" t="s">
        <v>966</v>
      </c>
      <c r="E1124" s="217" t="s">
        <v>2151</v>
      </c>
      <c r="F1124" s="218" t="s">
        <v>1970</v>
      </c>
      <c r="G1124" s="116">
        <v>8410</v>
      </c>
      <c r="H1124" s="1776" t="s">
        <v>1349</v>
      </c>
      <c r="I1124" s="34" t="s">
        <v>25</v>
      </c>
      <c r="J1124" s="224"/>
      <c r="K1124" s="147"/>
      <c r="L1124" s="475"/>
      <c r="M1124" s="224"/>
      <c r="N1124" s="224"/>
      <c r="O1124" s="314" t="s">
        <v>1368</v>
      </c>
    </row>
    <row r="1125" spans="1:15" x14ac:dyDescent="0.3">
      <c r="A1125" s="2401">
        <v>1119</v>
      </c>
      <c r="B1125" s="1122" t="s">
        <v>1968</v>
      </c>
      <c r="C1125" s="1117" t="s">
        <v>1344</v>
      </c>
      <c r="D1125" s="416" t="s">
        <v>966</v>
      </c>
      <c r="E1125" s="217" t="s">
        <v>2152</v>
      </c>
      <c r="F1125" s="218" t="s">
        <v>1970</v>
      </c>
      <c r="G1125" s="116">
        <v>8410</v>
      </c>
      <c r="H1125" s="1776" t="s">
        <v>1349</v>
      </c>
      <c r="I1125" s="34" t="s">
        <v>25</v>
      </c>
      <c r="J1125" s="224"/>
      <c r="K1125" s="147"/>
      <c r="L1125" s="475"/>
      <c r="M1125" s="224"/>
      <c r="N1125" s="224"/>
      <c r="O1125" s="314" t="s">
        <v>1368</v>
      </c>
    </row>
    <row r="1126" spans="1:15" x14ac:dyDescent="0.3">
      <c r="A1126" s="2402">
        <v>1120</v>
      </c>
      <c r="B1126" s="1122" t="s">
        <v>1968</v>
      </c>
      <c r="C1126" s="1117" t="s">
        <v>1344</v>
      </c>
      <c r="D1126" s="416" t="s">
        <v>966</v>
      </c>
      <c r="E1126" s="217" t="s">
        <v>2153</v>
      </c>
      <c r="F1126" s="218" t="s">
        <v>1970</v>
      </c>
      <c r="G1126" s="116">
        <v>8410</v>
      </c>
      <c r="H1126" s="1776" t="s">
        <v>1349</v>
      </c>
      <c r="I1126" s="34" t="s">
        <v>25</v>
      </c>
      <c r="J1126" s="224"/>
      <c r="K1126" s="147"/>
      <c r="L1126" s="475"/>
      <c r="M1126" s="224"/>
      <c r="N1126" s="224"/>
      <c r="O1126" s="314" t="s">
        <v>1368</v>
      </c>
    </row>
    <row r="1127" spans="1:15" x14ac:dyDescent="0.3">
      <c r="A1127" s="2402">
        <v>1121</v>
      </c>
      <c r="B1127" s="1122" t="s">
        <v>1968</v>
      </c>
      <c r="C1127" s="1117" t="s">
        <v>1344</v>
      </c>
      <c r="D1127" s="416" t="s">
        <v>966</v>
      </c>
      <c r="E1127" s="217" t="s">
        <v>2154</v>
      </c>
      <c r="F1127" s="218" t="s">
        <v>1970</v>
      </c>
      <c r="G1127" s="116">
        <v>8410</v>
      </c>
      <c r="H1127" s="1776" t="s">
        <v>1349</v>
      </c>
      <c r="I1127" s="34" t="s">
        <v>25</v>
      </c>
      <c r="J1127" s="224"/>
      <c r="K1127" s="147"/>
      <c r="L1127" s="475"/>
      <c r="M1127" s="224"/>
      <c r="N1127" s="224"/>
      <c r="O1127" s="314" t="s">
        <v>1368</v>
      </c>
    </row>
    <row r="1128" spans="1:15" x14ac:dyDescent="0.3">
      <c r="A1128" s="2401">
        <v>1122</v>
      </c>
      <c r="B1128" s="1122" t="s">
        <v>1968</v>
      </c>
      <c r="C1128" s="1117" t="s">
        <v>1344</v>
      </c>
      <c r="D1128" s="416" t="s">
        <v>966</v>
      </c>
      <c r="E1128" s="217" t="s">
        <v>2155</v>
      </c>
      <c r="F1128" s="218" t="s">
        <v>1970</v>
      </c>
      <c r="G1128" s="116">
        <v>8410</v>
      </c>
      <c r="H1128" s="1776" t="s">
        <v>1349</v>
      </c>
      <c r="I1128" s="34" t="s">
        <v>25</v>
      </c>
      <c r="J1128" s="224"/>
      <c r="K1128" s="147"/>
      <c r="L1128" s="475"/>
      <c r="M1128" s="224"/>
      <c r="N1128" s="224"/>
      <c r="O1128" s="314" t="s">
        <v>1368</v>
      </c>
    </row>
    <row r="1129" spans="1:15" x14ac:dyDescent="0.3">
      <c r="A1129" s="2402">
        <v>1123</v>
      </c>
      <c r="B1129" s="1122" t="s">
        <v>1968</v>
      </c>
      <c r="C1129" s="1117" t="s">
        <v>1344</v>
      </c>
      <c r="D1129" s="416" t="s">
        <v>966</v>
      </c>
      <c r="E1129" s="217" t="s">
        <v>2156</v>
      </c>
      <c r="F1129" s="218" t="s">
        <v>1970</v>
      </c>
      <c r="G1129" s="116">
        <v>8410</v>
      </c>
      <c r="H1129" s="1776" t="s">
        <v>1349</v>
      </c>
      <c r="I1129" s="34" t="s">
        <v>25</v>
      </c>
      <c r="J1129" s="224"/>
      <c r="K1129" s="147"/>
      <c r="L1129" s="475"/>
      <c r="M1129" s="224"/>
      <c r="N1129" s="224"/>
      <c r="O1129" s="314" t="s">
        <v>1368</v>
      </c>
    </row>
    <row r="1130" spans="1:15" x14ac:dyDescent="0.3">
      <c r="A1130" s="2402">
        <v>1124</v>
      </c>
      <c r="B1130" s="1122" t="s">
        <v>1968</v>
      </c>
      <c r="C1130" s="1117" t="s">
        <v>1344</v>
      </c>
      <c r="D1130" s="416" t="s">
        <v>966</v>
      </c>
      <c r="E1130" s="217" t="s">
        <v>2157</v>
      </c>
      <c r="F1130" s="218" t="s">
        <v>1970</v>
      </c>
      <c r="G1130" s="116">
        <v>8410</v>
      </c>
      <c r="H1130" s="1776" t="s">
        <v>1349</v>
      </c>
      <c r="I1130" s="34" t="s">
        <v>25</v>
      </c>
      <c r="J1130" s="224"/>
      <c r="K1130" s="147"/>
      <c r="L1130" s="475"/>
      <c r="M1130" s="224"/>
      <c r="N1130" s="224"/>
      <c r="O1130" s="314" t="s">
        <v>1368</v>
      </c>
    </row>
    <row r="1131" spans="1:15" x14ac:dyDescent="0.3">
      <c r="A1131" s="2401">
        <v>1125</v>
      </c>
      <c r="B1131" s="1122" t="s">
        <v>1968</v>
      </c>
      <c r="C1131" s="1117" t="s">
        <v>1344</v>
      </c>
      <c r="D1131" s="452" t="s">
        <v>966</v>
      </c>
      <c r="E1131" s="217" t="s">
        <v>479</v>
      </c>
      <c r="F1131" s="218" t="s">
        <v>1970</v>
      </c>
      <c r="G1131" s="116">
        <v>8410</v>
      </c>
      <c r="H1131" s="1776" t="s">
        <v>1349</v>
      </c>
      <c r="I1131" s="34" t="s">
        <v>25</v>
      </c>
      <c r="J1131" s="224"/>
      <c r="K1131" s="147"/>
      <c r="L1131" s="475"/>
      <c r="M1131" s="224"/>
      <c r="N1131" s="224"/>
      <c r="O1131" s="314" t="s">
        <v>1368</v>
      </c>
    </row>
    <row r="1132" spans="1:15" x14ac:dyDescent="0.3">
      <c r="A1132" s="2402">
        <v>1126</v>
      </c>
      <c r="B1132" s="1122" t="s">
        <v>1968</v>
      </c>
      <c r="C1132" s="1117" t="s">
        <v>1344</v>
      </c>
      <c r="D1132" s="793" t="s">
        <v>966</v>
      </c>
      <c r="E1132" s="217" t="s">
        <v>483</v>
      </c>
      <c r="F1132" s="218" t="s">
        <v>1970</v>
      </c>
      <c r="G1132" s="116">
        <v>8410</v>
      </c>
      <c r="H1132" s="1776" t="s">
        <v>1349</v>
      </c>
      <c r="I1132" s="34" t="s">
        <v>25</v>
      </c>
      <c r="J1132" s="224"/>
      <c r="K1132" s="147"/>
      <c r="L1132" s="475"/>
      <c r="M1132" s="224"/>
      <c r="N1132" s="224"/>
      <c r="O1132" s="314" t="s">
        <v>1368</v>
      </c>
    </row>
    <row r="1133" spans="1:15" x14ac:dyDescent="0.3">
      <c r="A1133" s="2402">
        <v>1127</v>
      </c>
      <c r="B1133" s="1122" t="s">
        <v>1968</v>
      </c>
      <c r="C1133" s="1117" t="s">
        <v>1344</v>
      </c>
      <c r="D1133" s="416" t="s">
        <v>966</v>
      </c>
      <c r="E1133" s="217" t="s">
        <v>2158</v>
      </c>
      <c r="F1133" s="218" t="s">
        <v>1970</v>
      </c>
      <c r="G1133" s="116">
        <v>8410</v>
      </c>
      <c r="H1133" s="1776" t="s">
        <v>1349</v>
      </c>
      <c r="I1133" s="34" t="s">
        <v>25</v>
      </c>
      <c r="J1133" s="224"/>
      <c r="K1133" s="147"/>
      <c r="L1133" s="475"/>
      <c r="M1133" s="224"/>
      <c r="N1133" s="224"/>
      <c r="O1133" s="314" t="s">
        <v>1368</v>
      </c>
    </row>
    <row r="1134" spans="1:15" x14ac:dyDescent="0.3">
      <c r="A1134" s="2401">
        <v>1128</v>
      </c>
      <c r="B1134" s="1122" t="s">
        <v>1968</v>
      </c>
      <c r="C1134" s="1117" t="s">
        <v>1344</v>
      </c>
      <c r="D1134" s="416" t="s">
        <v>966</v>
      </c>
      <c r="E1134" s="217" t="s">
        <v>2159</v>
      </c>
      <c r="F1134" s="218" t="s">
        <v>1970</v>
      </c>
      <c r="G1134" s="116">
        <v>8410</v>
      </c>
      <c r="H1134" s="1776" t="s">
        <v>1349</v>
      </c>
      <c r="I1134" s="34" t="s">
        <v>25</v>
      </c>
      <c r="J1134" s="224"/>
      <c r="K1134" s="147"/>
      <c r="L1134" s="475"/>
      <c r="M1134" s="224"/>
      <c r="N1134" s="224"/>
      <c r="O1134" s="314" t="s">
        <v>1368</v>
      </c>
    </row>
    <row r="1135" spans="1:15" x14ac:dyDescent="0.3">
      <c r="A1135" s="2402">
        <v>1129</v>
      </c>
      <c r="B1135" s="1122" t="s">
        <v>1968</v>
      </c>
      <c r="C1135" s="216" t="s">
        <v>1344</v>
      </c>
      <c r="D1135" s="416" t="s">
        <v>966</v>
      </c>
      <c r="E1135" s="217" t="s">
        <v>2160</v>
      </c>
      <c r="F1135" s="218" t="s">
        <v>1970</v>
      </c>
      <c r="G1135" s="116">
        <v>8410</v>
      </c>
      <c r="H1135" s="1776" t="s">
        <v>1349</v>
      </c>
      <c r="I1135" s="34" t="s">
        <v>25</v>
      </c>
      <c r="J1135" s="224"/>
      <c r="K1135" s="147"/>
      <c r="L1135" s="475"/>
      <c r="M1135" s="224"/>
      <c r="N1135" s="224"/>
      <c r="O1135" s="314" t="s">
        <v>1368</v>
      </c>
    </row>
    <row r="1136" spans="1:15" x14ac:dyDescent="0.3">
      <c r="A1136" s="2402">
        <v>1130</v>
      </c>
      <c r="B1136" s="1122" t="s">
        <v>1968</v>
      </c>
      <c r="C1136" s="216" t="s">
        <v>1344</v>
      </c>
      <c r="D1136" s="416" t="s">
        <v>966</v>
      </c>
      <c r="E1136" s="217" t="s">
        <v>2161</v>
      </c>
      <c r="F1136" s="218" t="s">
        <v>1970</v>
      </c>
      <c r="G1136" s="116">
        <v>8410</v>
      </c>
      <c r="H1136" s="1776" t="s">
        <v>1349</v>
      </c>
      <c r="I1136" s="34" t="s">
        <v>25</v>
      </c>
      <c r="J1136" s="224"/>
      <c r="K1136" s="147"/>
      <c r="L1136" s="475"/>
      <c r="M1136" s="224"/>
      <c r="N1136" s="224"/>
      <c r="O1136" s="314" t="s">
        <v>1368</v>
      </c>
    </row>
    <row r="1137" spans="1:15" x14ac:dyDescent="0.3">
      <c r="A1137" s="2401">
        <v>1131</v>
      </c>
      <c r="B1137" s="1122" t="s">
        <v>1968</v>
      </c>
      <c r="C1137" s="216" t="s">
        <v>1344</v>
      </c>
      <c r="D1137" s="416" t="s">
        <v>966</v>
      </c>
      <c r="E1137" s="217" t="s">
        <v>2162</v>
      </c>
      <c r="F1137" s="218" t="s">
        <v>1970</v>
      </c>
      <c r="G1137" s="116">
        <v>8410</v>
      </c>
      <c r="H1137" s="1776" t="s">
        <v>1349</v>
      </c>
      <c r="I1137" s="34" t="s">
        <v>25</v>
      </c>
      <c r="J1137" s="224"/>
      <c r="K1137" s="147"/>
      <c r="L1137" s="475"/>
      <c r="M1137" s="224"/>
      <c r="N1137" s="224"/>
      <c r="O1137" s="314" t="s">
        <v>1368</v>
      </c>
    </row>
    <row r="1138" spans="1:15" x14ac:dyDescent="0.3">
      <c r="A1138" s="2402">
        <v>1132</v>
      </c>
      <c r="B1138" s="1122" t="s">
        <v>1968</v>
      </c>
      <c r="C1138" s="216" t="s">
        <v>1344</v>
      </c>
      <c r="D1138" s="416" t="s">
        <v>966</v>
      </c>
      <c r="E1138" s="217" t="s">
        <v>2163</v>
      </c>
      <c r="F1138" s="218" t="s">
        <v>1970</v>
      </c>
      <c r="G1138" s="116">
        <v>8410</v>
      </c>
      <c r="H1138" s="1776" t="s">
        <v>1349</v>
      </c>
      <c r="I1138" s="34" t="s">
        <v>25</v>
      </c>
      <c r="J1138" s="224"/>
      <c r="K1138" s="147"/>
      <c r="L1138" s="475"/>
      <c r="M1138" s="224"/>
      <c r="N1138" s="224"/>
      <c r="O1138" s="314" t="s">
        <v>1368</v>
      </c>
    </row>
    <row r="1139" spans="1:15" x14ac:dyDescent="0.3">
      <c r="A1139" s="2402">
        <v>1133</v>
      </c>
      <c r="B1139" s="1122" t="s">
        <v>1968</v>
      </c>
      <c r="C1139" s="216" t="s">
        <v>1344</v>
      </c>
      <c r="D1139" s="416" t="s">
        <v>966</v>
      </c>
      <c r="E1139" s="217" t="s">
        <v>2164</v>
      </c>
      <c r="F1139" s="218" t="s">
        <v>1970</v>
      </c>
      <c r="G1139" s="116">
        <v>8410</v>
      </c>
      <c r="H1139" s="1776" t="s">
        <v>1349</v>
      </c>
      <c r="I1139" s="34" t="s">
        <v>25</v>
      </c>
      <c r="J1139" s="224"/>
      <c r="K1139" s="147"/>
      <c r="L1139" s="475"/>
      <c r="M1139" s="224"/>
      <c r="N1139" s="224"/>
      <c r="O1139" s="314" t="s">
        <v>1368</v>
      </c>
    </row>
    <row r="1140" spans="1:15" x14ac:dyDescent="0.3">
      <c r="A1140" s="2401">
        <v>1134</v>
      </c>
      <c r="B1140" s="1122" t="s">
        <v>1968</v>
      </c>
      <c r="C1140" s="216" t="s">
        <v>1344</v>
      </c>
      <c r="D1140" s="416" t="s">
        <v>966</v>
      </c>
      <c r="E1140" s="217" t="s">
        <v>2165</v>
      </c>
      <c r="F1140" s="218" t="s">
        <v>1970</v>
      </c>
      <c r="G1140" s="116">
        <v>8410</v>
      </c>
      <c r="H1140" s="1776" t="s">
        <v>1349</v>
      </c>
      <c r="I1140" s="34" t="s">
        <v>25</v>
      </c>
      <c r="J1140" s="224"/>
      <c r="K1140" s="147"/>
      <c r="L1140" s="475"/>
      <c r="M1140" s="224"/>
      <c r="N1140" s="224"/>
      <c r="O1140" s="314" t="s">
        <v>1368</v>
      </c>
    </row>
    <row r="1141" spans="1:15" x14ac:dyDescent="0.3">
      <c r="A1141" s="2402">
        <v>1135</v>
      </c>
      <c r="B1141" s="1122" t="s">
        <v>1968</v>
      </c>
      <c r="C1141" s="216" t="s">
        <v>1344</v>
      </c>
      <c r="D1141" s="416" t="s">
        <v>966</v>
      </c>
      <c r="E1141" s="217" t="s">
        <v>2166</v>
      </c>
      <c r="F1141" s="218" t="s">
        <v>1970</v>
      </c>
      <c r="G1141" s="116">
        <v>8410</v>
      </c>
      <c r="H1141" s="1776" t="s">
        <v>1349</v>
      </c>
      <c r="I1141" s="34" t="s">
        <v>25</v>
      </c>
      <c r="J1141" s="224"/>
      <c r="K1141" s="147"/>
      <c r="L1141" s="475"/>
      <c r="M1141" s="224"/>
      <c r="N1141" s="224"/>
      <c r="O1141" s="314" t="s">
        <v>1368</v>
      </c>
    </row>
    <row r="1142" spans="1:15" x14ac:dyDescent="0.3">
      <c r="A1142" s="2402">
        <v>1136</v>
      </c>
      <c r="B1142" s="1122" t="s">
        <v>1968</v>
      </c>
      <c r="C1142" s="216" t="s">
        <v>1344</v>
      </c>
      <c r="D1142" s="416" t="s">
        <v>966</v>
      </c>
      <c r="E1142" s="217" t="s">
        <v>2167</v>
      </c>
      <c r="F1142" s="218" t="s">
        <v>1970</v>
      </c>
      <c r="G1142" s="116">
        <v>8410</v>
      </c>
      <c r="H1142" s="1776" t="s">
        <v>1349</v>
      </c>
      <c r="I1142" s="34" t="s">
        <v>25</v>
      </c>
      <c r="J1142" s="224"/>
      <c r="K1142" s="147"/>
      <c r="L1142" s="475"/>
      <c r="M1142" s="224"/>
      <c r="N1142" s="224"/>
      <c r="O1142" s="314" t="s">
        <v>1368</v>
      </c>
    </row>
    <row r="1143" spans="1:15" x14ac:dyDescent="0.3">
      <c r="A1143" s="2401">
        <v>1137</v>
      </c>
      <c r="B1143" s="1122" t="s">
        <v>2168</v>
      </c>
      <c r="C1143" s="216" t="s">
        <v>1344</v>
      </c>
      <c r="D1143" s="416" t="s">
        <v>968</v>
      </c>
      <c r="E1143" s="217" t="s">
        <v>2169</v>
      </c>
      <c r="F1143" s="218" t="s">
        <v>2170</v>
      </c>
      <c r="G1143" s="116">
        <v>8400</v>
      </c>
      <c r="H1143" s="1776" t="s">
        <v>1349</v>
      </c>
      <c r="J1143" s="224"/>
      <c r="K1143" s="34" t="s">
        <v>25</v>
      </c>
      <c r="L1143" s="475"/>
      <c r="M1143" s="224"/>
      <c r="N1143" s="224"/>
      <c r="O1143" s="902" t="s">
        <v>6395</v>
      </c>
    </row>
    <row r="1144" spans="1:15" x14ac:dyDescent="0.3">
      <c r="A1144" s="2402">
        <v>1138</v>
      </c>
      <c r="B1144" s="1122" t="s">
        <v>2168</v>
      </c>
      <c r="C1144" s="216" t="s">
        <v>1344</v>
      </c>
      <c r="D1144" s="416" t="s">
        <v>968</v>
      </c>
      <c r="E1144" s="217" t="s">
        <v>2171</v>
      </c>
      <c r="F1144" s="218" t="s">
        <v>2170</v>
      </c>
      <c r="G1144" s="116">
        <v>8400</v>
      </c>
      <c r="H1144" s="1776" t="s">
        <v>1349</v>
      </c>
      <c r="J1144" s="224"/>
      <c r="K1144" s="34" t="s">
        <v>25</v>
      </c>
      <c r="L1144" s="475"/>
      <c r="M1144" s="224"/>
      <c r="N1144" s="224"/>
      <c r="O1144" s="902" t="s">
        <v>6395</v>
      </c>
    </row>
    <row r="1145" spans="1:15" x14ac:dyDescent="0.3">
      <c r="A1145" s="2402">
        <v>1139</v>
      </c>
      <c r="B1145" s="1122" t="s">
        <v>2168</v>
      </c>
      <c r="C1145" s="216" t="s">
        <v>1344</v>
      </c>
      <c r="D1145" s="416" t="s">
        <v>968</v>
      </c>
      <c r="E1145" s="217" t="s">
        <v>2172</v>
      </c>
      <c r="F1145" s="218" t="s">
        <v>2170</v>
      </c>
      <c r="G1145" s="116">
        <v>8400</v>
      </c>
      <c r="H1145" s="1776" t="s">
        <v>1349</v>
      </c>
      <c r="J1145" s="224"/>
      <c r="K1145" s="34" t="s">
        <v>25</v>
      </c>
      <c r="L1145" s="475"/>
      <c r="M1145" s="224"/>
      <c r="N1145" s="224"/>
      <c r="O1145" s="902" t="s">
        <v>6395</v>
      </c>
    </row>
    <row r="1146" spans="1:15" x14ac:dyDescent="0.3">
      <c r="A1146" s="2401">
        <v>1140</v>
      </c>
      <c r="B1146" s="1122" t="s">
        <v>2168</v>
      </c>
      <c r="C1146" s="216" t="s">
        <v>1344</v>
      </c>
      <c r="D1146" s="416" t="s">
        <v>968</v>
      </c>
      <c r="E1146" s="217" t="s">
        <v>380</v>
      </c>
      <c r="F1146" s="218" t="s">
        <v>2170</v>
      </c>
      <c r="G1146" s="116">
        <v>8400</v>
      </c>
      <c r="H1146" s="1776" t="s">
        <v>1349</v>
      </c>
      <c r="J1146" s="224"/>
      <c r="K1146" s="34" t="s">
        <v>25</v>
      </c>
      <c r="L1146" s="475"/>
      <c r="M1146" s="224"/>
      <c r="N1146" s="224"/>
      <c r="O1146" s="902" t="s">
        <v>6395</v>
      </c>
    </row>
    <row r="1147" spans="1:15" x14ac:dyDescent="0.3">
      <c r="A1147" s="2402">
        <v>1141</v>
      </c>
      <c r="B1147" s="1122" t="s">
        <v>2168</v>
      </c>
      <c r="C1147" s="216" t="s">
        <v>1344</v>
      </c>
      <c r="D1147" s="416" t="s">
        <v>968</v>
      </c>
      <c r="E1147" s="217" t="s">
        <v>381</v>
      </c>
      <c r="F1147" s="218" t="s">
        <v>2170</v>
      </c>
      <c r="G1147" s="116">
        <v>8400</v>
      </c>
      <c r="H1147" s="1776" t="s">
        <v>1349</v>
      </c>
      <c r="J1147" s="224"/>
      <c r="K1147" s="34" t="s">
        <v>25</v>
      </c>
      <c r="L1147" s="475"/>
      <c r="M1147" s="224"/>
      <c r="N1147" s="224"/>
      <c r="O1147" s="902" t="s">
        <v>6395</v>
      </c>
    </row>
    <row r="1148" spans="1:15" x14ac:dyDescent="0.3">
      <c r="A1148" s="2402">
        <v>1142</v>
      </c>
      <c r="B1148" s="1122" t="s">
        <v>2168</v>
      </c>
      <c r="C1148" s="216" t="s">
        <v>1344</v>
      </c>
      <c r="D1148" s="416" t="s">
        <v>968</v>
      </c>
      <c r="E1148" s="217" t="s">
        <v>2173</v>
      </c>
      <c r="F1148" s="218" t="s">
        <v>2170</v>
      </c>
      <c r="G1148" s="116">
        <v>8400</v>
      </c>
      <c r="H1148" s="1776" t="s">
        <v>1349</v>
      </c>
      <c r="J1148" s="224"/>
      <c r="K1148" s="34" t="s">
        <v>25</v>
      </c>
      <c r="L1148" s="475"/>
      <c r="M1148" s="224"/>
      <c r="N1148" s="224"/>
      <c r="O1148" s="902" t="s">
        <v>6395</v>
      </c>
    </row>
    <row r="1149" spans="1:15" x14ac:dyDescent="0.3">
      <c r="A1149" s="2401">
        <v>1143</v>
      </c>
      <c r="B1149" s="1122" t="s">
        <v>2168</v>
      </c>
      <c r="C1149" s="216" t="s">
        <v>1344</v>
      </c>
      <c r="D1149" s="416" t="s">
        <v>968</v>
      </c>
      <c r="E1149" s="217" t="s">
        <v>2174</v>
      </c>
      <c r="F1149" s="218" t="s">
        <v>2170</v>
      </c>
      <c r="G1149" s="116">
        <v>8400</v>
      </c>
      <c r="H1149" s="1776" t="s">
        <v>1349</v>
      </c>
      <c r="J1149" s="224"/>
      <c r="K1149" s="34" t="s">
        <v>25</v>
      </c>
      <c r="L1149" s="475"/>
      <c r="M1149" s="224"/>
      <c r="N1149" s="224"/>
      <c r="O1149" s="902" t="s">
        <v>6395</v>
      </c>
    </row>
    <row r="1150" spans="1:15" x14ac:dyDescent="0.3">
      <c r="A1150" s="2402">
        <v>1144</v>
      </c>
      <c r="B1150" s="1122" t="s">
        <v>2168</v>
      </c>
      <c r="C1150" s="1117" t="s">
        <v>1344</v>
      </c>
      <c r="D1150" s="452" t="s">
        <v>968</v>
      </c>
      <c r="E1150" s="217" t="s">
        <v>2175</v>
      </c>
      <c r="F1150" s="218" t="s">
        <v>2170</v>
      </c>
      <c r="G1150" s="116">
        <v>8400</v>
      </c>
      <c r="H1150" s="1776" t="s">
        <v>1349</v>
      </c>
      <c r="J1150" s="224"/>
      <c r="K1150" s="34" t="s">
        <v>25</v>
      </c>
      <c r="L1150" s="475"/>
      <c r="M1150" s="224"/>
      <c r="N1150" s="224"/>
      <c r="O1150" s="902" t="s">
        <v>6395</v>
      </c>
    </row>
    <row r="1151" spans="1:15" x14ac:dyDescent="0.3">
      <c r="A1151" s="2402">
        <v>1145</v>
      </c>
      <c r="B1151" s="1122" t="s">
        <v>2168</v>
      </c>
      <c r="C1151" s="1117" t="s">
        <v>1344</v>
      </c>
      <c r="D1151" s="495" t="s">
        <v>968</v>
      </c>
      <c r="E1151" s="217" t="s">
        <v>2176</v>
      </c>
      <c r="F1151" s="218" t="s">
        <v>2170</v>
      </c>
      <c r="G1151" s="116">
        <v>8400</v>
      </c>
      <c r="H1151" s="1776" t="s">
        <v>1349</v>
      </c>
      <c r="J1151" s="224"/>
      <c r="K1151" s="34" t="s">
        <v>25</v>
      </c>
      <c r="L1151" s="475"/>
      <c r="M1151" s="224"/>
      <c r="N1151" s="224"/>
      <c r="O1151" s="902" t="s">
        <v>6395</v>
      </c>
    </row>
    <row r="1152" spans="1:15" x14ac:dyDescent="0.3">
      <c r="A1152" s="2401">
        <v>1146</v>
      </c>
      <c r="B1152" s="1122" t="s">
        <v>2168</v>
      </c>
      <c r="C1152" s="1117" t="s">
        <v>1344</v>
      </c>
      <c r="D1152" s="793" t="s">
        <v>968</v>
      </c>
      <c r="E1152" s="217" t="s">
        <v>2177</v>
      </c>
      <c r="F1152" s="218" t="s">
        <v>2170</v>
      </c>
      <c r="G1152" s="116">
        <v>8400</v>
      </c>
      <c r="H1152" s="1776" t="s">
        <v>1349</v>
      </c>
      <c r="J1152" s="224"/>
      <c r="K1152" s="34" t="s">
        <v>25</v>
      </c>
      <c r="L1152" s="475"/>
      <c r="M1152" s="224"/>
      <c r="N1152" s="224"/>
      <c r="O1152" s="902" t="s">
        <v>6395</v>
      </c>
    </row>
    <row r="1153" spans="1:15" x14ac:dyDescent="0.3">
      <c r="A1153" s="2402">
        <v>1147</v>
      </c>
      <c r="B1153" s="1122" t="s">
        <v>2168</v>
      </c>
      <c r="C1153" s="1117" t="s">
        <v>1344</v>
      </c>
      <c r="D1153" s="416" t="s">
        <v>968</v>
      </c>
      <c r="E1153" s="217" t="s">
        <v>2178</v>
      </c>
      <c r="F1153" s="218" t="s">
        <v>2170</v>
      </c>
      <c r="G1153" s="116">
        <v>8400</v>
      </c>
      <c r="H1153" s="1776" t="s">
        <v>1349</v>
      </c>
      <c r="J1153" s="224"/>
      <c r="K1153" s="34" t="s">
        <v>25</v>
      </c>
      <c r="L1153" s="475"/>
      <c r="M1153" s="224"/>
      <c r="N1153" s="224"/>
      <c r="O1153" s="902" t="s">
        <v>6395</v>
      </c>
    </row>
    <row r="1154" spans="1:15" x14ac:dyDescent="0.3">
      <c r="A1154" s="2402">
        <v>1148</v>
      </c>
      <c r="B1154" s="1122" t="s">
        <v>2168</v>
      </c>
      <c r="C1154" s="1117" t="s">
        <v>1344</v>
      </c>
      <c r="D1154" s="416" t="s">
        <v>968</v>
      </c>
      <c r="E1154" s="217" t="s">
        <v>2179</v>
      </c>
      <c r="F1154" s="218" t="s">
        <v>2170</v>
      </c>
      <c r="G1154" s="116">
        <v>8400</v>
      </c>
      <c r="H1154" s="1776" t="s">
        <v>1349</v>
      </c>
      <c r="J1154" s="224"/>
      <c r="K1154" s="34" t="s">
        <v>25</v>
      </c>
      <c r="L1154" s="475"/>
      <c r="M1154" s="224"/>
      <c r="N1154" s="224"/>
      <c r="O1154" s="902" t="s">
        <v>6395</v>
      </c>
    </row>
    <row r="1155" spans="1:15" x14ac:dyDescent="0.3">
      <c r="A1155" s="2401">
        <v>1149</v>
      </c>
      <c r="B1155" s="1122" t="s">
        <v>2168</v>
      </c>
      <c r="C1155" s="1117" t="s">
        <v>1344</v>
      </c>
      <c r="D1155" s="416" t="s">
        <v>968</v>
      </c>
      <c r="E1155" s="217" t="s">
        <v>2180</v>
      </c>
      <c r="F1155" s="218" t="s">
        <v>2170</v>
      </c>
      <c r="G1155" s="116">
        <v>8400</v>
      </c>
      <c r="H1155" s="1776" t="s">
        <v>1349</v>
      </c>
      <c r="J1155" s="224"/>
      <c r="K1155" s="34" t="s">
        <v>25</v>
      </c>
      <c r="L1155" s="475"/>
      <c r="M1155" s="224"/>
      <c r="N1155" s="224"/>
      <c r="O1155" s="902" t="s">
        <v>6395</v>
      </c>
    </row>
    <row r="1156" spans="1:15" x14ac:dyDescent="0.3">
      <c r="A1156" s="2402">
        <v>1150</v>
      </c>
      <c r="B1156" s="1122" t="s">
        <v>2168</v>
      </c>
      <c r="C1156" s="1117" t="s">
        <v>1344</v>
      </c>
      <c r="D1156" s="416" t="s">
        <v>968</v>
      </c>
      <c r="E1156" s="217" t="s">
        <v>2181</v>
      </c>
      <c r="F1156" s="218" t="s">
        <v>2170</v>
      </c>
      <c r="G1156" s="116">
        <v>8400</v>
      </c>
      <c r="H1156" s="1776" t="s">
        <v>1349</v>
      </c>
      <c r="J1156" s="224"/>
      <c r="K1156" s="34" t="s">
        <v>25</v>
      </c>
      <c r="L1156" s="475"/>
      <c r="M1156" s="224"/>
      <c r="N1156" s="224"/>
      <c r="O1156" s="902" t="s">
        <v>6395</v>
      </c>
    </row>
    <row r="1157" spans="1:15" x14ac:dyDescent="0.3">
      <c r="A1157" s="2402">
        <v>1151</v>
      </c>
      <c r="B1157" s="1122" t="s">
        <v>2168</v>
      </c>
      <c r="C1157" s="1117" t="s">
        <v>1344</v>
      </c>
      <c r="D1157" s="416" t="s">
        <v>968</v>
      </c>
      <c r="E1157" s="217" t="s">
        <v>2182</v>
      </c>
      <c r="F1157" s="218" t="s">
        <v>2170</v>
      </c>
      <c r="G1157" s="116">
        <v>8400</v>
      </c>
      <c r="H1157" s="1776" t="s">
        <v>1349</v>
      </c>
      <c r="J1157" s="224"/>
      <c r="K1157" s="34" t="s">
        <v>25</v>
      </c>
      <c r="L1157" s="475"/>
      <c r="M1157" s="224"/>
      <c r="N1157" s="224"/>
      <c r="O1157" s="902" t="s">
        <v>6395</v>
      </c>
    </row>
    <row r="1158" spans="1:15" x14ac:dyDescent="0.3">
      <c r="A1158" s="2401">
        <v>1152</v>
      </c>
      <c r="B1158" s="1122" t="s">
        <v>2168</v>
      </c>
      <c r="C1158" s="1117" t="s">
        <v>1344</v>
      </c>
      <c r="D1158" s="416" t="s">
        <v>968</v>
      </c>
      <c r="E1158" s="217" t="s">
        <v>2183</v>
      </c>
      <c r="F1158" s="218" t="s">
        <v>2170</v>
      </c>
      <c r="G1158" s="116">
        <v>8400</v>
      </c>
      <c r="H1158" s="1776" t="s">
        <v>1349</v>
      </c>
      <c r="J1158" s="224"/>
      <c r="K1158" s="34" t="s">
        <v>25</v>
      </c>
      <c r="L1158" s="475"/>
      <c r="M1158" s="224"/>
      <c r="N1158" s="224"/>
      <c r="O1158" s="902" t="s">
        <v>6395</v>
      </c>
    </row>
    <row r="1159" spans="1:15" x14ac:dyDescent="0.3">
      <c r="A1159" s="2402">
        <v>1153</v>
      </c>
      <c r="B1159" s="1122" t="s">
        <v>2168</v>
      </c>
      <c r="C1159" s="1117" t="s">
        <v>1344</v>
      </c>
      <c r="D1159" s="416" t="s">
        <v>968</v>
      </c>
      <c r="E1159" s="217" t="s">
        <v>2184</v>
      </c>
      <c r="F1159" s="218" t="s">
        <v>2170</v>
      </c>
      <c r="G1159" s="116">
        <v>8400</v>
      </c>
      <c r="H1159" s="1776" t="s">
        <v>1349</v>
      </c>
      <c r="J1159" s="224"/>
      <c r="K1159" s="34" t="s">
        <v>25</v>
      </c>
      <c r="L1159" s="475"/>
      <c r="M1159" s="224"/>
      <c r="N1159" s="224"/>
      <c r="O1159" s="902" t="s">
        <v>6395</v>
      </c>
    </row>
    <row r="1160" spans="1:15" x14ac:dyDescent="0.3">
      <c r="A1160" s="2402">
        <v>1154</v>
      </c>
      <c r="B1160" s="1122" t="s">
        <v>2168</v>
      </c>
      <c r="C1160" s="1117" t="s">
        <v>1344</v>
      </c>
      <c r="D1160" s="416" t="s">
        <v>968</v>
      </c>
      <c r="E1160" s="217" t="s">
        <v>2185</v>
      </c>
      <c r="F1160" s="218" t="s">
        <v>2170</v>
      </c>
      <c r="G1160" s="116">
        <v>8400</v>
      </c>
      <c r="H1160" s="1776" t="s">
        <v>1349</v>
      </c>
      <c r="J1160" s="224"/>
      <c r="K1160" s="34" t="s">
        <v>25</v>
      </c>
      <c r="L1160" s="475"/>
      <c r="M1160" s="224"/>
      <c r="N1160" s="224"/>
      <c r="O1160" s="902" t="s">
        <v>6395</v>
      </c>
    </row>
    <row r="1161" spans="1:15" x14ac:dyDescent="0.3">
      <c r="A1161" s="2401">
        <v>1155</v>
      </c>
      <c r="B1161" s="1122" t="s">
        <v>2168</v>
      </c>
      <c r="C1161" s="1117" t="s">
        <v>1344</v>
      </c>
      <c r="D1161" s="416" t="s">
        <v>968</v>
      </c>
      <c r="E1161" s="217" t="s">
        <v>2186</v>
      </c>
      <c r="F1161" s="218" t="s">
        <v>2170</v>
      </c>
      <c r="G1161" s="116">
        <v>8400</v>
      </c>
      <c r="H1161" s="1776" t="s">
        <v>1349</v>
      </c>
      <c r="J1161" s="224"/>
      <c r="K1161" s="34" t="s">
        <v>25</v>
      </c>
      <c r="L1161" s="475"/>
      <c r="M1161" s="224"/>
      <c r="N1161" s="224"/>
      <c r="O1161" s="902" t="s">
        <v>6395</v>
      </c>
    </row>
    <row r="1162" spans="1:15" x14ac:dyDescent="0.3">
      <c r="A1162" s="2402">
        <v>1156</v>
      </c>
      <c r="B1162" s="1122" t="s">
        <v>2168</v>
      </c>
      <c r="C1162" s="1117" t="s">
        <v>1344</v>
      </c>
      <c r="D1162" s="452" t="s">
        <v>968</v>
      </c>
      <c r="E1162" s="217" t="s">
        <v>2187</v>
      </c>
      <c r="F1162" s="218" t="s">
        <v>2170</v>
      </c>
      <c r="G1162" s="116">
        <v>8400</v>
      </c>
      <c r="H1162" s="1776" t="s">
        <v>1349</v>
      </c>
      <c r="J1162" s="224"/>
      <c r="K1162" s="34" t="s">
        <v>25</v>
      </c>
      <c r="L1162" s="475"/>
      <c r="M1162" s="224"/>
      <c r="N1162" s="224"/>
      <c r="O1162" s="902" t="s">
        <v>6395</v>
      </c>
    </row>
    <row r="1163" spans="1:15" x14ac:dyDescent="0.3">
      <c r="A1163" s="2402">
        <v>1157</v>
      </c>
      <c r="B1163" s="1122" t="s">
        <v>2168</v>
      </c>
      <c r="C1163" s="1117" t="s">
        <v>1344</v>
      </c>
      <c r="D1163" s="793" t="s">
        <v>968</v>
      </c>
      <c r="E1163" s="217" t="s">
        <v>2188</v>
      </c>
      <c r="F1163" s="218" t="s">
        <v>2170</v>
      </c>
      <c r="G1163" s="116">
        <v>8400</v>
      </c>
      <c r="H1163" s="1776" t="s">
        <v>1349</v>
      </c>
      <c r="J1163" s="224"/>
      <c r="K1163" s="34" t="s">
        <v>25</v>
      </c>
      <c r="L1163" s="475"/>
      <c r="M1163" s="224"/>
      <c r="N1163" s="224"/>
      <c r="O1163" s="902" t="s">
        <v>6395</v>
      </c>
    </row>
    <row r="1164" spans="1:15" x14ac:dyDescent="0.3">
      <c r="A1164" s="2401">
        <v>1158</v>
      </c>
      <c r="B1164" s="1122" t="s">
        <v>2168</v>
      </c>
      <c r="C1164" s="1117" t="s">
        <v>1344</v>
      </c>
      <c r="D1164" s="416" t="s">
        <v>968</v>
      </c>
      <c r="E1164" s="217" t="s">
        <v>382</v>
      </c>
      <c r="F1164" s="218" t="s">
        <v>2170</v>
      </c>
      <c r="G1164" s="116">
        <v>8400</v>
      </c>
      <c r="H1164" s="1776" t="s">
        <v>1349</v>
      </c>
      <c r="J1164" s="224"/>
      <c r="K1164" s="34" t="s">
        <v>25</v>
      </c>
      <c r="L1164" s="475"/>
      <c r="M1164" s="224"/>
      <c r="N1164" s="224"/>
      <c r="O1164" s="902" t="s">
        <v>6395</v>
      </c>
    </row>
    <row r="1165" spans="1:15" x14ac:dyDescent="0.3">
      <c r="A1165" s="2402">
        <v>1159</v>
      </c>
      <c r="B1165" s="1122" t="s">
        <v>2168</v>
      </c>
      <c r="C1165" s="1117" t="s">
        <v>1344</v>
      </c>
      <c r="D1165" s="452" t="s">
        <v>968</v>
      </c>
      <c r="E1165" s="217" t="s">
        <v>2189</v>
      </c>
      <c r="F1165" s="218" t="s">
        <v>2170</v>
      </c>
      <c r="G1165" s="116">
        <v>8400</v>
      </c>
      <c r="H1165" s="1776" t="s">
        <v>1349</v>
      </c>
      <c r="J1165" s="224"/>
      <c r="K1165" s="34" t="s">
        <v>25</v>
      </c>
      <c r="L1165" s="475"/>
      <c r="M1165" s="224"/>
      <c r="N1165" s="224"/>
      <c r="O1165" s="902" t="s">
        <v>6395</v>
      </c>
    </row>
    <row r="1166" spans="1:15" x14ac:dyDescent="0.3">
      <c r="A1166" s="2402">
        <v>1160</v>
      </c>
      <c r="B1166" s="1122" t="s">
        <v>2168</v>
      </c>
      <c r="C1166" s="1117" t="s">
        <v>1344</v>
      </c>
      <c r="D1166" s="793" t="s">
        <v>968</v>
      </c>
      <c r="E1166" s="217" t="s">
        <v>2190</v>
      </c>
      <c r="F1166" s="218" t="s">
        <v>2170</v>
      </c>
      <c r="G1166" s="116">
        <v>8400</v>
      </c>
      <c r="H1166" s="1776" t="s">
        <v>1349</v>
      </c>
      <c r="J1166" s="224"/>
      <c r="K1166" s="34" t="s">
        <v>25</v>
      </c>
      <c r="L1166" s="475"/>
      <c r="M1166" s="224"/>
      <c r="N1166" s="224"/>
      <c r="O1166" s="902" t="s">
        <v>6395</v>
      </c>
    </row>
    <row r="1167" spans="1:15" x14ac:dyDescent="0.3">
      <c r="A1167" s="2401">
        <v>1161</v>
      </c>
      <c r="B1167" s="1122" t="s">
        <v>2168</v>
      </c>
      <c r="C1167" s="216" t="s">
        <v>1344</v>
      </c>
      <c r="D1167" s="416" t="s">
        <v>968</v>
      </c>
      <c r="E1167" s="217" t="s">
        <v>2191</v>
      </c>
      <c r="F1167" s="218" t="s">
        <v>2170</v>
      </c>
      <c r="G1167" s="116">
        <v>8400</v>
      </c>
      <c r="H1167" s="1776" t="s">
        <v>1349</v>
      </c>
      <c r="J1167" s="224"/>
      <c r="K1167" s="34" t="s">
        <v>25</v>
      </c>
      <c r="L1167" s="475"/>
      <c r="M1167" s="224"/>
      <c r="N1167" s="224"/>
      <c r="O1167" s="902" t="s">
        <v>6395</v>
      </c>
    </row>
    <row r="1168" spans="1:15" x14ac:dyDescent="0.3">
      <c r="A1168" s="2402">
        <v>1162</v>
      </c>
      <c r="B1168" s="1122" t="s">
        <v>2168</v>
      </c>
      <c r="C1168" s="216" t="s">
        <v>1344</v>
      </c>
      <c r="D1168" s="416" t="s">
        <v>968</v>
      </c>
      <c r="E1168" s="217" t="s">
        <v>2192</v>
      </c>
      <c r="F1168" s="218" t="s">
        <v>2170</v>
      </c>
      <c r="G1168" s="116">
        <v>8400</v>
      </c>
      <c r="H1168" s="1776" t="s">
        <v>1349</v>
      </c>
      <c r="J1168" s="224"/>
      <c r="K1168" s="34" t="s">
        <v>25</v>
      </c>
      <c r="L1168" s="475"/>
      <c r="M1168" s="224"/>
      <c r="N1168" s="224"/>
      <c r="O1168" s="902" t="s">
        <v>6395</v>
      </c>
    </row>
    <row r="1169" spans="1:15" x14ac:dyDescent="0.3">
      <c r="A1169" s="2402">
        <v>1163</v>
      </c>
      <c r="B1169" s="1122" t="s">
        <v>2168</v>
      </c>
      <c r="C1169" s="216" t="s">
        <v>1344</v>
      </c>
      <c r="D1169" s="416" t="s">
        <v>968</v>
      </c>
      <c r="E1169" s="217" t="s">
        <v>2193</v>
      </c>
      <c r="F1169" s="218" t="s">
        <v>2170</v>
      </c>
      <c r="G1169" s="116">
        <v>8400</v>
      </c>
      <c r="H1169" s="1776" t="s">
        <v>1349</v>
      </c>
      <c r="J1169" s="224"/>
      <c r="K1169" s="34" t="s">
        <v>25</v>
      </c>
      <c r="L1169" s="475"/>
      <c r="M1169" s="224"/>
      <c r="N1169" s="224"/>
      <c r="O1169" s="902" t="s">
        <v>6395</v>
      </c>
    </row>
    <row r="1170" spans="1:15" x14ac:dyDescent="0.3">
      <c r="A1170" s="2401">
        <v>1164</v>
      </c>
      <c r="B1170" s="1122" t="s">
        <v>2168</v>
      </c>
      <c r="C1170" s="216" t="s">
        <v>1344</v>
      </c>
      <c r="D1170" s="416" t="s">
        <v>968</v>
      </c>
      <c r="E1170" s="217" t="s">
        <v>2194</v>
      </c>
      <c r="F1170" s="218" t="s">
        <v>2170</v>
      </c>
      <c r="G1170" s="116">
        <v>8400</v>
      </c>
      <c r="H1170" s="1776" t="s">
        <v>1349</v>
      </c>
      <c r="J1170" s="224"/>
      <c r="K1170" s="34" t="s">
        <v>25</v>
      </c>
      <c r="L1170" s="475"/>
      <c r="M1170" s="224"/>
      <c r="N1170" s="224"/>
      <c r="O1170" s="902" t="s">
        <v>6395</v>
      </c>
    </row>
    <row r="1171" spans="1:15" x14ac:dyDescent="0.3">
      <c r="A1171" s="2402">
        <v>1165</v>
      </c>
      <c r="B1171" s="1122" t="s">
        <v>2168</v>
      </c>
      <c r="C1171" s="216" t="s">
        <v>1344</v>
      </c>
      <c r="D1171" s="416" t="s">
        <v>968</v>
      </c>
      <c r="E1171" s="217" t="s">
        <v>2195</v>
      </c>
      <c r="F1171" s="218" t="s">
        <v>2170</v>
      </c>
      <c r="G1171" s="116">
        <v>8400</v>
      </c>
      <c r="H1171" s="1776" t="s">
        <v>1349</v>
      </c>
      <c r="J1171" s="224"/>
      <c r="K1171" s="34" t="s">
        <v>25</v>
      </c>
      <c r="L1171" s="475"/>
      <c r="M1171" s="224"/>
      <c r="N1171" s="224"/>
      <c r="O1171" s="902" t="s">
        <v>6395</v>
      </c>
    </row>
    <row r="1172" spans="1:15" x14ac:dyDescent="0.3">
      <c r="A1172" s="2402">
        <v>1166</v>
      </c>
      <c r="B1172" s="1122" t="s">
        <v>2168</v>
      </c>
      <c r="C1172" s="216" t="s">
        <v>1344</v>
      </c>
      <c r="D1172" s="416" t="s">
        <v>968</v>
      </c>
      <c r="E1172" s="217" t="s">
        <v>2196</v>
      </c>
      <c r="F1172" s="218" t="s">
        <v>2170</v>
      </c>
      <c r="G1172" s="116">
        <v>8400</v>
      </c>
      <c r="H1172" s="1776" t="s">
        <v>1349</v>
      </c>
      <c r="J1172" s="224"/>
      <c r="K1172" s="34" t="s">
        <v>25</v>
      </c>
      <c r="L1172" s="475"/>
      <c r="M1172" s="224"/>
      <c r="N1172" s="224"/>
      <c r="O1172" s="902" t="s">
        <v>6395</v>
      </c>
    </row>
    <row r="1173" spans="1:15" x14ac:dyDescent="0.3">
      <c r="A1173" s="2401">
        <v>1167</v>
      </c>
      <c r="B1173" s="1122" t="s">
        <v>2168</v>
      </c>
      <c r="C1173" s="216" t="s">
        <v>1344</v>
      </c>
      <c r="D1173" s="416" t="s">
        <v>968</v>
      </c>
      <c r="E1173" s="217" t="s">
        <v>2197</v>
      </c>
      <c r="F1173" s="218" t="s">
        <v>2170</v>
      </c>
      <c r="G1173" s="116">
        <v>8400</v>
      </c>
      <c r="H1173" s="1776" t="s">
        <v>1349</v>
      </c>
      <c r="J1173" s="224"/>
      <c r="K1173" s="34" t="s">
        <v>25</v>
      </c>
      <c r="L1173" s="475"/>
      <c r="M1173" s="224"/>
      <c r="N1173" s="224"/>
      <c r="O1173" s="902" t="s">
        <v>6395</v>
      </c>
    </row>
    <row r="1174" spans="1:15" x14ac:dyDescent="0.3">
      <c r="A1174" s="2402">
        <v>1168</v>
      </c>
      <c r="B1174" s="1122" t="s">
        <v>2168</v>
      </c>
      <c r="C1174" s="216" t="s">
        <v>1344</v>
      </c>
      <c r="D1174" s="416" t="s">
        <v>968</v>
      </c>
      <c r="E1174" s="217" t="s">
        <v>2198</v>
      </c>
      <c r="F1174" s="218" t="s">
        <v>2170</v>
      </c>
      <c r="G1174" s="116">
        <v>8400</v>
      </c>
      <c r="H1174" s="1776" t="s">
        <v>1349</v>
      </c>
      <c r="J1174" s="224"/>
      <c r="K1174" s="34" t="s">
        <v>25</v>
      </c>
      <c r="L1174" s="475"/>
      <c r="M1174" s="224"/>
      <c r="N1174" s="224"/>
      <c r="O1174" s="902" t="s">
        <v>6395</v>
      </c>
    </row>
    <row r="1175" spans="1:15" x14ac:dyDescent="0.3">
      <c r="A1175" s="2402">
        <v>1169</v>
      </c>
      <c r="B1175" s="1122" t="s">
        <v>2168</v>
      </c>
      <c r="C1175" s="216" t="s">
        <v>1344</v>
      </c>
      <c r="D1175" s="416" t="s">
        <v>968</v>
      </c>
      <c r="E1175" s="217" t="s">
        <v>2199</v>
      </c>
      <c r="F1175" s="218" t="s">
        <v>2170</v>
      </c>
      <c r="G1175" s="116">
        <v>8400</v>
      </c>
      <c r="H1175" s="1776" t="s">
        <v>1349</v>
      </c>
      <c r="J1175" s="224"/>
      <c r="K1175" s="34" t="s">
        <v>25</v>
      </c>
      <c r="L1175" s="475"/>
      <c r="M1175" s="224"/>
      <c r="N1175" s="224"/>
      <c r="O1175" s="902" t="s">
        <v>6395</v>
      </c>
    </row>
    <row r="1176" spans="1:15" x14ac:dyDescent="0.3">
      <c r="A1176" s="2401">
        <v>1170</v>
      </c>
      <c r="B1176" s="1122" t="s">
        <v>2168</v>
      </c>
      <c r="C1176" s="216" t="s">
        <v>1344</v>
      </c>
      <c r="D1176" s="416" t="s">
        <v>968</v>
      </c>
      <c r="E1176" s="217" t="s">
        <v>2200</v>
      </c>
      <c r="F1176" s="218" t="s">
        <v>2170</v>
      </c>
      <c r="G1176" s="116">
        <v>8400</v>
      </c>
      <c r="H1176" s="1776" t="s">
        <v>1349</v>
      </c>
      <c r="J1176" s="224"/>
      <c r="K1176" s="34" t="s">
        <v>25</v>
      </c>
      <c r="L1176" s="475"/>
      <c r="M1176" s="224"/>
      <c r="N1176" s="224"/>
      <c r="O1176" s="902" t="s">
        <v>6395</v>
      </c>
    </row>
    <row r="1177" spans="1:15" x14ac:dyDescent="0.3">
      <c r="A1177" s="2402">
        <v>1171</v>
      </c>
      <c r="B1177" s="1122" t="s">
        <v>2168</v>
      </c>
      <c r="C1177" s="216" t="s">
        <v>1344</v>
      </c>
      <c r="D1177" s="452" t="s">
        <v>968</v>
      </c>
      <c r="E1177" s="217" t="s">
        <v>2201</v>
      </c>
      <c r="F1177" s="218" t="s">
        <v>2170</v>
      </c>
      <c r="G1177" s="116">
        <v>8400</v>
      </c>
      <c r="H1177" s="1776" t="s">
        <v>1349</v>
      </c>
      <c r="J1177" s="224"/>
      <c r="K1177" s="34" t="s">
        <v>25</v>
      </c>
      <c r="L1177" s="475"/>
      <c r="M1177" s="224"/>
      <c r="N1177" s="224"/>
      <c r="O1177" s="902" t="s">
        <v>6395</v>
      </c>
    </row>
    <row r="1178" spans="1:15" x14ac:dyDescent="0.3">
      <c r="A1178" s="2402">
        <v>1172</v>
      </c>
      <c r="B1178" s="1122" t="s">
        <v>2168</v>
      </c>
      <c r="C1178" s="216" t="s">
        <v>1344</v>
      </c>
      <c r="D1178" s="495" t="s">
        <v>968</v>
      </c>
      <c r="E1178" s="217" t="s">
        <v>2202</v>
      </c>
      <c r="F1178" s="218" t="s">
        <v>2170</v>
      </c>
      <c r="G1178" s="116">
        <v>8400</v>
      </c>
      <c r="H1178" s="1776" t="s">
        <v>1349</v>
      </c>
      <c r="J1178" s="224"/>
      <c r="K1178" s="34" t="s">
        <v>25</v>
      </c>
      <c r="L1178" s="475"/>
      <c r="M1178" s="224"/>
      <c r="N1178" s="224"/>
      <c r="O1178" s="902" t="s">
        <v>6395</v>
      </c>
    </row>
    <row r="1179" spans="1:15" x14ac:dyDescent="0.3">
      <c r="A1179" s="2401">
        <v>1173</v>
      </c>
      <c r="B1179" s="1122" t="s">
        <v>2168</v>
      </c>
      <c r="C1179" s="216" t="s">
        <v>1344</v>
      </c>
      <c r="D1179" s="793" t="s">
        <v>968</v>
      </c>
      <c r="E1179" s="217" t="s">
        <v>2203</v>
      </c>
      <c r="F1179" s="218" t="s">
        <v>2170</v>
      </c>
      <c r="G1179" s="116">
        <v>8400</v>
      </c>
      <c r="H1179" s="1776" t="s">
        <v>1349</v>
      </c>
      <c r="J1179" s="224"/>
      <c r="K1179" s="34" t="s">
        <v>25</v>
      </c>
      <c r="L1179" s="475"/>
      <c r="M1179" s="224"/>
      <c r="N1179" s="224"/>
      <c r="O1179" s="902" t="s">
        <v>6395</v>
      </c>
    </row>
    <row r="1180" spans="1:15" x14ac:dyDescent="0.3">
      <c r="A1180" s="2402">
        <v>1174</v>
      </c>
      <c r="B1180" s="1122" t="s">
        <v>2168</v>
      </c>
      <c r="C1180" s="216" t="s">
        <v>1344</v>
      </c>
      <c r="D1180" s="416" t="s">
        <v>968</v>
      </c>
      <c r="E1180" s="217" t="s">
        <v>2204</v>
      </c>
      <c r="F1180" s="218" t="s">
        <v>2170</v>
      </c>
      <c r="G1180" s="116">
        <v>8400</v>
      </c>
      <c r="H1180" s="1776" t="s">
        <v>1349</v>
      </c>
      <c r="J1180" s="224"/>
      <c r="K1180" s="34" t="s">
        <v>25</v>
      </c>
      <c r="L1180" s="475"/>
      <c r="M1180" s="224"/>
      <c r="N1180" s="224"/>
      <c r="O1180" s="902" t="s">
        <v>6395</v>
      </c>
    </row>
    <row r="1181" spans="1:15" x14ac:dyDescent="0.3">
      <c r="A1181" s="2402">
        <v>1175</v>
      </c>
      <c r="B1181" s="1122" t="s">
        <v>2168</v>
      </c>
      <c r="C1181" s="216" t="s">
        <v>1344</v>
      </c>
      <c r="D1181" s="416" t="s">
        <v>968</v>
      </c>
      <c r="E1181" s="217" t="s">
        <v>2205</v>
      </c>
      <c r="F1181" s="218" t="s">
        <v>2170</v>
      </c>
      <c r="G1181" s="116">
        <v>8400</v>
      </c>
      <c r="H1181" s="1776" t="s">
        <v>1349</v>
      </c>
      <c r="J1181" s="224"/>
      <c r="K1181" s="34" t="s">
        <v>25</v>
      </c>
      <c r="L1181" s="475"/>
      <c r="M1181" s="224"/>
      <c r="N1181" s="224"/>
      <c r="O1181" s="902" t="s">
        <v>6395</v>
      </c>
    </row>
    <row r="1182" spans="1:15" x14ac:dyDescent="0.3">
      <c r="A1182" s="2401">
        <v>1176</v>
      </c>
      <c r="B1182" s="1122" t="s">
        <v>2168</v>
      </c>
      <c r="C1182" s="216" t="s">
        <v>1344</v>
      </c>
      <c r="D1182" s="416" t="s">
        <v>968</v>
      </c>
      <c r="E1182" s="217" t="s">
        <v>2206</v>
      </c>
      <c r="F1182" s="218" t="s">
        <v>2170</v>
      </c>
      <c r="G1182" s="116">
        <v>8400</v>
      </c>
      <c r="H1182" s="1776" t="s">
        <v>1349</v>
      </c>
      <c r="J1182" s="224"/>
      <c r="K1182" s="34" t="s">
        <v>25</v>
      </c>
      <c r="L1182" s="475"/>
      <c r="M1182" s="224"/>
      <c r="N1182" s="224"/>
      <c r="O1182" s="902" t="s">
        <v>6395</v>
      </c>
    </row>
    <row r="1183" spans="1:15" x14ac:dyDescent="0.3">
      <c r="A1183" s="2402">
        <v>1177</v>
      </c>
      <c r="B1183" s="1122" t="s">
        <v>2168</v>
      </c>
      <c r="C1183" s="216" t="s">
        <v>1344</v>
      </c>
      <c r="D1183" s="416" t="s">
        <v>968</v>
      </c>
      <c r="E1183" s="217" t="s">
        <v>2207</v>
      </c>
      <c r="F1183" s="218" t="s">
        <v>2170</v>
      </c>
      <c r="G1183" s="116">
        <v>8400</v>
      </c>
      <c r="H1183" s="1776" t="s">
        <v>1349</v>
      </c>
      <c r="J1183" s="224"/>
      <c r="K1183" s="34" t="s">
        <v>25</v>
      </c>
      <c r="L1183" s="475"/>
      <c r="M1183" s="224"/>
      <c r="N1183" s="224"/>
      <c r="O1183" s="902" t="s">
        <v>6395</v>
      </c>
    </row>
    <row r="1184" spans="1:15" x14ac:dyDescent="0.3">
      <c r="A1184" s="2402">
        <v>1178</v>
      </c>
      <c r="B1184" s="1122" t="s">
        <v>2168</v>
      </c>
      <c r="C1184" s="216" t="s">
        <v>1344</v>
      </c>
      <c r="D1184" s="416" t="s">
        <v>968</v>
      </c>
      <c r="E1184" s="217" t="s">
        <v>2208</v>
      </c>
      <c r="F1184" s="218" t="s">
        <v>2170</v>
      </c>
      <c r="G1184" s="116">
        <v>8400</v>
      </c>
      <c r="H1184" s="1776" t="s">
        <v>1349</v>
      </c>
      <c r="J1184" s="224"/>
      <c r="K1184" s="34" t="s">
        <v>25</v>
      </c>
      <c r="L1184" s="475"/>
      <c r="M1184" s="224"/>
      <c r="N1184" s="224"/>
      <c r="O1184" s="902" t="s">
        <v>6395</v>
      </c>
    </row>
    <row r="1185" spans="1:15" x14ac:dyDescent="0.3">
      <c r="A1185" s="2401">
        <v>1179</v>
      </c>
      <c r="B1185" s="1122" t="s">
        <v>2168</v>
      </c>
      <c r="C1185" s="216" t="s">
        <v>1344</v>
      </c>
      <c r="D1185" s="416" t="s">
        <v>968</v>
      </c>
      <c r="E1185" s="217" t="s">
        <v>2209</v>
      </c>
      <c r="F1185" s="218" t="s">
        <v>2170</v>
      </c>
      <c r="G1185" s="116">
        <v>8400</v>
      </c>
      <c r="H1185" s="1776" t="s">
        <v>1349</v>
      </c>
      <c r="J1185" s="224"/>
      <c r="K1185" s="34" t="s">
        <v>25</v>
      </c>
      <c r="L1185" s="475"/>
      <c r="M1185" s="224"/>
      <c r="N1185" s="224"/>
      <c r="O1185" s="902" t="s">
        <v>6395</v>
      </c>
    </row>
    <row r="1186" spans="1:15" x14ac:dyDescent="0.3">
      <c r="A1186" s="2402">
        <v>1180</v>
      </c>
      <c r="B1186" s="1122" t="s">
        <v>2168</v>
      </c>
      <c r="C1186" s="216" t="s">
        <v>1344</v>
      </c>
      <c r="D1186" s="416" t="s">
        <v>968</v>
      </c>
      <c r="E1186" s="217" t="s">
        <v>2210</v>
      </c>
      <c r="F1186" s="218" t="s">
        <v>2170</v>
      </c>
      <c r="G1186" s="116">
        <v>8400</v>
      </c>
      <c r="H1186" s="1776" t="s">
        <v>1349</v>
      </c>
      <c r="J1186" s="224"/>
      <c r="K1186" s="34" t="s">
        <v>25</v>
      </c>
      <c r="L1186" s="475"/>
      <c r="M1186" s="224"/>
      <c r="N1186" s="224"/>
      <c r="O1186" s="902" t="s">
        <v>6395</v>
      </c>
    </row>
    <row r="1187" spans="1:15" x14ac:dyDescent="0.3">
      <c r="A1187" s="2402">
        <v>1181</v>
      </c>
      <c r="B1187" s="1122" t="s">
        <v>2168</v>
      </c>
      <c r="C1187" s="216" t="s">
        <v>1344</v>
      </c>
      <c r="D1187" s="416" t="s">
        <v>968</v>
      </c>
      <c r="E1187" s="217" t="s">
        <v>2211</v>
      </c>
      <c r="F1187" s="218" t="s">
        <v>2170</v>
      </c>
      <c r="G1187" s="116">
        <v>8400</v>
      </c>
      <c r="H1187" s="1776" t="s">
        <v>1349</v>
      </c>
      <c r="J1187" s="224"/>
      <c r="K1187" s="34" t="s">
        <v>25</v>
      </c>
      <c r="L1187" s="475"/>
      <c r="M1187" s="224"/>
      <c r="N1187" s="224"/>
      <c r="O1187" s="902" t="s">
        <v>6395</v>
      </c>
    </row>
    <row r="1188" spans="1:15" x14ac:dyDescent="0.3">
      <c r="A1188" s="2401">
        <v>1182</v>
      </c>
      <c r="B1188" s="1122" t="s">
        <v>2168</v>
      </c>
      <c r="C1188" s="216" t="s">
        <v>1344</v>
      </c>
      <c r="D1188" s="416" t="s">
        <v>968</v>
      </c>
      <c r="E1188" s="217" t="s">
        <v>2212</v>
      </c>
      <c r="F1188" s="218" t="s">
        <v>2170</v>
      </c>
      <c r="G1188" s="116">
        <v>8400</v>
      </c>
      <c r="H1188" s="1776" t="s">
        <v>1349</v>
      </c>
      <c r="J1188" s="224"/>
      <c r="K1188" s="34" t="s">
        <v>25</v>
      </c>
      <c r="L1188" s="475"/>
      <c r="M1188" s="224"/>
      <c r="N1188" s="224"/>
      <c r="O1188" s="902" t="s">
        <v>6395</v>
      </c>
    </row>
    <row r="1189" spans="1:15" x14ac:dyDescent="0.3">
      <c r="A1189" s="2402">
        <v>1183</v>
      </c>
      <c r="B1189" s="1122" t="s">
        <v>2168</v>
      </c>
      <c r="C1189" s="216" t="s">
        <v>1344</v>
      </c>
      <c r="D1189" s="416" t="s">
        <v>968</v>
      </c>
      <c r="E1189" s="217" t="s">
        <v>2213</v>
      </c>
      <c r="F1189" s="218" t="s">
        <v>2170</v>
      </c>
      <c r="G1189" s="116">
        <v>8400</v>
      </c>
      <c r="H1189" s="1776" t="s">
        <v>1349</v>
      </c>
      <c r="J1189" s="224"/>
      <c r="K1189" s="34" t="s">
        <v>25</v>
      </c>
      <c r="L1189" s="475"/>
      <c r="M1189" s="224"/>
      <c r="N1189" s="224"/>
      <c r="O1189" s="902" t="s">
        <v>6395</v>
      </c>
    </row>
    <row r="1190" spans="1:15" x14ac:dyDescent="0.3">
      <c r="A1190" s="2402">
        <v>1184</v>
      </c>
      <c r="B1190" s="1122" t="s">
        <v>2168</v>
      </c>
      <c r="C1190" s="216" t="s">
        <v>1344</v>
      </c>
      <c r="D1190" s="452" t="s">
        <v>968</v>
      </c>
      <c r="E1190" s="217" t="s">
        <v>2214</v>
      </c>
      <c r="F1190" s="218" t="s">
        <v>2170</v>
      </c>
      <c r="G1190" s="116">
        <v>8400</v>
      </c>
      <c r="H1190" s="1776" t="s">
        <v>1349</v>
      </c>
      <c r="J1190" s="224"/>
      <c r="K1190" s="34" t="s">
        <v>25</v>
      </c>
      <c r="L1190" s="475"/>
      <c r="M1190" s="224"/>
      <c r="N1190" s="224"/>
      <c r="O1190" s="902" t="s">
        <v>6395</v>
      </c>
    </row>
    <row r="1191" spans="1:15" x14ac:dyDescent="0.3">
      <c r="A1191" s="2401">
        <v>1185</v>
      </c>
      <c r="B1191" s="1122" t="s">
        <v>2168</v>
      </c>
      <c r="C1191" s="216" t="s">
        <v>1344</v>
      </c>
      <c r="D1191" s="793" t="s">
        <v>968</v>
      </c>
      <c r="E1191" s="217" t="s">
        <v>2215</v>
      </c>
      <c r="F1191" s="218" t="s">
        <v>2170</v>
      </c>
      <c r="G1191" s="116">
        <v>8400</v>
      </c>
      <c r="H1191" s="1776" t="s">
        <v>1349</v>
      </c>
      <c r="J1191" s="224"/>
      <c r="K1191" s="34" t="s">
        <v>25</v>
      </c>
      <c r="L1191" s="475"/>
      <c r="M1191" s="224"/>
      <c r="N1191" s="224"/>
      <c r="O1191" s="902" t="s">
        <v>6395</v>
      </c>
    </row>
    <row r="1192" spans="1:15" x14ac:dyDescent="0.3">
      <c r="A1192" s="2402">
        <v>1186</v>
      </c>
      <c r="B1192" s="1122" t="s">
        <v>2168</v>
      </c>
      <c r="C1192" s="216" t="s">
        <v>1344</v>
      </c>
      <c r="D1192" s="416" t="s">
        <v>968</v>
      </c>
      <c r="E1192" s="217" t="s">
        <v>2216</v>
      </c>
      <c r="F1192" s="218" t="s">
        <v>2170</v>
      </c>
      <c r="G1192" s="116">
        <v>8400</v>
      </c>
      <c r="H1192" s="1776" t="s">
        <v>1349</v>
      </c>
      <c r="J1192" s="224"/>
      <c r="K1192" s="34" t="s">
        <v>25</v>
      </c>
      <c r="L1192" s="475"/>
      <c r="M1192" s="224"/>
      <c r="N1192" s="224"/>
      <c r="O1192" s="902" t="s">
        <v>6395</v>
      </c>
    </row>
    <row r="1193" spans="1:15" x14ac:dyDescent="0.3">
      <c r="A1193" s="2402">
        <v>1187</v>
      </c>
      <c r="B1193" s="1122" t="s">
        <v>2168</v>
      </c>
      <c r="C1193" s="216" t="s">
        <v>1344</v>
      </c>
      <c r="D1193" s="416" t="s">
        <v>968</v>
      </c>
      <c r="E1193" s="217" t="s">
        <v>2217</v>
      </c>
      <c r="F1193" s="218" t="s">
        <v>2170</v>
      </c>
      <c r="G1193" s="116">
        <v>8400</v>
      </c>
      <c r="H1193" s="1776" t="s">
        <v>1349</v>
      </c>
      <c r="J1193" s="224"/>
      <c r="K1193" s="34" t="s">
        <v>25</v>
      </c>
      <c r="L1193" s="475"/>
      <c r="M1193" s="224"/>
      <c r="N1193" s="224"/>
      <c r="O1193" s="902" t="s">
        <v>6395</v>
      </c>
    </row>
    <row r="1194" spans="1:15" x14ac:dyDescent="0.3">
      <c r="A1194" s="2401">
        <v>1188</v>
      </c>
      <c r="B1194" s="1122" t="s">
        <v>2168</v>
      </c>
      <c r="C1194" s="216" t="s">
        <v>1344</v>
      </c>
      <c r="D1194" s="416" t="s">
        <v>968</v>
      </c>
      <c r="E1194" s="217" t="s">
        <v>2218</v>
      </c>
      <c r="F1194" s="218" t="s">
        <v>2170</v>
      </c>
      <c r="G1194" s="116">
        <v>8400</v>
      </c>
      <c r="H1194" s="1776" t="s">
        <v>1349</v>
      </c>
      <c r="J1194" s="224"/>
      <c r="K1194" s="34" t="s">
        <v>25</v>
      </c>
      <c r="L1194" s="475"/>
      <c r="M1194" s="224"/>
      <c r="N1194" s="224"/>
      <c r="O1194" s="902" t="s">
        <v>6395</v>
      </c>
    </row>
    <row r="1195" spans="1:15" x14ac:dyDescent="0.3">
      <c r="A1195" s="2402">
        <v>1189</v>
      </c>
      <c r="B1195" s="1122" t="s">
        <v>2168</v>
      </c>
      <c r="C1195" s="216" t="s">
        <v>1344</v>
      </c>
      <c r="D1195" s="416" t="s">
        <v>968</v>
      </c>
      <c r="E1195" s="217" t="s">
        <v>2219</v>
      </c>
      <c r="F1195" s="218" t="s">
        <v>2170</v>
      </c>
      <c r="G1195" s="116">
        <v>8400</v>
      </c>
      <c r="H1195" s="1776" t="s">
        <v>1349</v>
      </c>
      <c r="J1195" s="224"/>
      <c r="K1195" s="34" t="s">
        <v>25</v>
      </c>
      <c r="L1195" s="475"/>
      <c r="M1195" s="224"/>
      <c r="N1195" s="224"/>
      <c r="O1195" s="902" t="s">
        <v>6395</v>
      </c>
    </row>
    <row r="1196" spans="1:15" x14ac:dyDescent="0.3">
      <c r="A1196" s="2402">
        <v>1190</v>
      </c>
      <c r="B1196" s="1122" t="s">
        <v>2168</v>
      </c>
      <c r="C1196" s="216" t="s">
        <v>1344</v>
      </c>
      <c r="D1196" s="416" t="s">
        <v>968</v>
      </c>
      <c r="E1196" s="217" t="s">
        <v>2220</v>
      </c>
      <c r="F1196" s="218" t="s">
        <v>2170</v>
      </c>
      <c r="G1196" s="116">
        <v>8400</v>
      </c>
      <c r="H1196" s="1776" t="s">
        <v>1349</v>
      </c>
      <c r="J1196" s="224"/>
      <c r="K1196" s="34" t="s">
        <v>25</v>
      </c>
      <c r="L1196" s="475"/>
      <c r="M1196" s="224"/>
      <c r="N1196" s="224"/>
      <c r="O1196" s="902" t="s">
        <v>6395</v>
      </c>
    </row>
    <row r="1197" spans="1:15" x14ac:dyDescent="0.3">
      <c r="A1197" s="2401">
        <v>1191</v>
      </c>
      <c r="B1197" s="1122" t="s">
        <v>2168</v>
      </c>
      <c r="C1197" s="216" t="s">
        <v>1344</v>
      </c>
      <c r="D1197" s="416" t="s">
        <v>968</v>
      </c>
      <c r="E1197" s="217" t="s">
        <v>2221</v>
      </c>
      <c r="F1197" s="218" t="s">
        <v>2170</v>
      </c>
      <c r="G1197" s="116">
        <v>8400</v>
      </c>
      <c r="H1197" s="1776" t="s">
        <v>1349</v>
      </c>
      <c r="J1197" s="224"/>
      <c r="K1197" s="34" t="s">
        <v>25</v>
      </c>
      <c r="L1197" s="475"/>
      <c r="M1197" s="224"/>
      <c r="N1197" s="224"/>
      <c r="O1197" s="902" t="s">
        <v>6395</v>
      </c>
    </row>
    <row r="1198" spans="1:15" x14ac:dyDescent="0.3">
      <c r="A1198" s="2402">
        <v>1192</v>
      </c>
      <c r="B1198" s="1122" t="s">
        <v>2168</v>
      </c>
      <c r="C1198" s="216" t="s">
        <v>1344</v>
      </c>
      <c r="D1198" s="416" t="s">
        <v>968</v>
      </c>
      <c r="E1198" s="217" t="s">
        <v>2222</v>
      </c>
      <c r="F1198" s="218" t="s">
        <v>2170</v>
      </c>
      <c r="G1198" s="116">
        <v>8400</v>
      </c>
      <c r="H1198" s="1776" t="s">
        <v>1349</v>
      </c>
      <c r="J1198" s="224"/>
      <c r="K1198" s="34" t="s">
        <v>25</v>
      </c>
      <c r="L1198" s="475"/>
      <c r="M1198" s="224"/>
      <c r="N1198" s="224"/>
      <c r="O1198" s="902" t="s">
        <v>6395</v>
      </c>
    </row>
    <row r="1199" spans="1:15" x14ac:dyDescent="0.3">
      <c r="A1199" s="2402">
        <v>1193</v>
      </c>
      <c r="B1199" s="1122" t="s">
        <v>2168</v>
      </c>
      <c r="C1199" s="216" t="s">
        <v>1344</v>
      </c>
      <c r="D1199" s="416" t="s">
        <v>968</v>
      </c>
      <c r="E1199" s="217" t="s">
        <v>2223</v>
      </c>
      <c r="F1199" s="218" t="s">
        <v>2170</v>
      </c>
      <c r="G1199" s="116">
        <v>8400</v>
      </c>
      <c r="H1199" s="1776" t="s">
        <v>1349</v>
      </c>
      <c r="J1199" s="224"/>
      <c r="K1199" s="34" t="s">
        <v>25</v>
      </c>
      <c r="L1199" s="475"/>
      <c r="M1199" s="224"/>
      <c r="N1199" s="224"/>
      <c r="O1199" s="902" t="s">
        <v>6395</v>
      </c>
    </row>
    <row r="1200" spans="1:15" x14ac:dyDescent="0.3">
      <c r="A1200" s="2401">
        <v>1194</v>
      </c>
      <c r="B1200" s="1122" t="s">
        <v>2168</v>
      </c>
      <c r="C1200" s="216" t="s">
        <v>1344</v>
      </c>
      <c r="D1200" s="416" t="s">
        <v>968</v>
      </c>
      <c r="E1200" s="217" t="s">
        <v>2224</v>
      </c>
      <c r="F1200" s="218" t="s">
        <v>2170</v>
      </c>
      <c r="G1200" s="116">
        <v>8400</v>
      </c>
      <c r="H1200" s="1776" t="s">
        <v>1349</v>
      </c>
      <c r="J1200" s="224"/>
      <c r="K1200" s="34" t="s">
        <v>25</v>
      </c>
      <c r="L1200" s="475"/>
      <c r="M1200" s="224"/>
      <c r="N1200" s="224"/>
      <c r="O1200" s="902" t="s">
        <v>6395</v>
      </c>
    </row>
    <row r="1201" spans="1:15" x14ac:dyDescent="0.3">
      <c r="A1201" s="2402">
        <v>1195</v>
      </c>
      <c r="B1201" s="1122" t="s">
        <v>2168</v>
      </c>
      <c r="C1201" s="216" t="s">
        <v>1344</v>
      </c>
      <c r="D1201" s="416" t="s">
        <v>968</v>
      </c>
      <c r="E1201" s="217" t="s">
        <v>2225</v>
      </c>
      <c r="F1201" s="218" t="s">
        <v>2170</v>
      </c>
      <c r="G1201" s="116">
        <v>8400</v>
      </c>
      <c r="H1201" s="1776" t="s">
        <v>1349</v>
      </c>
      <c r="J1201" s="224"/>
      <c r="K1201" s="34" t="s">
        <v>25</v>
      </c>
      <c r="L1201" s="475"/>
      <c r="M1201" s="224"/>
      <c r="N1201" s="224"/>
      <c r="O1201" s="902" t="s">
        <v>6395</v>
      </c>
    </row>
    <row r="1202" spans="1:15" x14ac:dyDescent="0.3">
      <c r="A1202" s="2402">
        <v>1196</v>
      </c>
      <c r="B1202" s="1122" t="s">
        <v>2168</v>
      </c>
      <c r="C1202" s="216" t="s">
        <v>1344</v>
      </c>
      <c r="D1202" s="416" t="s">
        <v>968</v>
      </c>
      <c r="E1202" s="217" t="s">
        <v>2226</v>
      </c>
      <c r="F1202" s="218" t="s">
        <v>2170</v>
      </c>
      <c r="G1202" s="116">
        <v>8400</v>
      </c>
      <c r="H1202" s="1776" t="s">
        <v>1349</v>
      </c>
      <c r="J1202" s="224"/>
      <c r="K1202" s="34" t="s">
        <v>25</v>
      </c>
      <c r="L1202" s="475"/>
      <c r="M1202" s="224"/>
      <c r="N1202" s="224"/>
      <c r="O1202" s="902" t="s">
        <v>6395</v>
      </c>
    </row>
    <row r="1203" spans="1:15" x14ac:dyDescent="0.3">
      <c r="A1203" s="2401">
        <v>1197</v>
      </c>
      <c r="B1203" s="1122" t="s">
        <v>2168</v>
      </c>
      <c r="C1203" s="216" t="s">
        <v>1344</v>
      </c>
      <c r="D1203" s="452" t="s">
        <v>968</v>
      </c>
      <c r="E1203" s="217" t="s">
        <v>2227</v>
      </c>
      <c r="F1203" s="218" t="s">
        <v>2170</v>
      </c>
      <c r="G1203" s="116">
        <v>8400</v>
      </c>
      <c r="H1203" s="1776" t="s">
        <v>1349</v>
      </c>
      <c r="J1203" s="224"/>
      <c r="K1203" s="34" t="s">
        <v>25</v>
      </c>
      <c r="L1203" s="475"/>
      <c r="M1203" s="224"/>
      <c r="N1203" s="224"/>
      <c r="O1203" s="902" t="s">
        <v>6395</v>
      </c>
    </row>
    <row r="1204" spans="1:15" x14ac:dyDescent="0.3">
      <c r="A1204" s="2402">
        <v>1198</v>
      </c>
      <c r="B1204" s="1122" t="s">
        <v>2168</v>
      </c>
      <c r="C1204" s="216" t="s">
        <v>1344</v>
      </c>
      <c r="D1204" s="495" t="s">
        <v>968</v>
      </c>
      <c r="E1204" s="217" t="s">
        <v>2228</v>
      </c>
      <c r="F1204" s="218" t="s">
        <v>2170</v>
      </c>
      <c r="G1204" s="116">
        <v>8400</v>
      </c>
      <c r="H1204" s="1776" t="s">
        <v>1349</v>
      </c>
      <c r="J1204" s="224"/>
      <c r="K1204" s="34" t="s">
        <v>25</v>
      </c>
      <c r="L1204" s="475"/>
      <c r="M1204" s="224"/>
      <c r="N1204" s="224"/>
      <c r="O1204" s="902" t="s">
        <v>6395</v>
      </c>
    </row>
    <row r="1205" spans="1:15" x14ac:dyDescent="0.3">
      <c r="A1205" s="2402">
        <v>1199</v>
      </c>
      <c r="B1205" s="1122" t="s">
        <v>2168</v>
      </c>
      <c r="C1205" s="216" t="s">
        <v>1344</v>
      </c>
      <c r="D1205" s="793" t="s">
        <v>968</v>
      </c>
      <c r="E1205" s="217" t="s">
        <v>2229</v>
      </c>
      <c r="F1205" s="218" t="s">
        <v>2170</v>
      </c>
      <c r="G1205" s="116">
        <v>8400</v>
      </c>
      <c r="H1205" s="1776" t="s">
        <v>1349</v>
      </c>
      <c r="J1205" s="224"/>
      <c r="K1205" s="34" t="s">
        <v>25</v>
      </c>
      <c r="L1205" s="475"/>
      <c r="M1205" s="224"/>
      <c r="N1205" s="224"/>
      <c r="O1205" s="902" t="s">
        <v>6395</v>
      </c>
    </row>
    <row r="1206" spans="1:15" x14ac:dyDescent="0.3">
      <c r="A1206" s="2401">
        <v>1200</v>
      </c>
      <c r="B1206" s="1122" t="s">
        <v>2168</v>
      </c>
      <c r="C1206" s="216" t="s">
        <v>1344</v>
      </c>
      <c r="D1206" s="416" t="s">
        <v>968</v>
      </c>
      <c r="E1206" s="217" t="s">
        <v>2230</v>
      </c>
      <c r="F1206" s="218" t="s">
        <v>2170</v>
      </c>
      <c r="G1206" s="116">
        <v>8400</v>
      </c>
      <c r="H1206" s="1776" t="s">
        <v>1349</v>
      </c>
      <c r="J1206" s="224"/>
      <c r="K1206" s="34" t="s">
        <v>25</v>
      </c>
      <c r="L1206" s="475"/>
      <c r="M1206" s="224"/>
      <c r="N1206" s="224"/>
      <c r="O1206" s="902" t="s">
        <v>6395</v>
      </c>
    </row>
    <row r="1207" spans="1:15" x14ac:dyDescent="0.3">
      <c r="A1207" s="2402">
        <v>1201</v>
      </c>
      <c r="B1207" s="1122" t="s">
        <v>2168</v>
      </c>
      <c r="C1207" s="216" t="s">
        <v>1344</v>
      </c>
      <c r="D1207" s="416" t="s">
        <v>968</v>
      </c>
      <c r="E1207" s="217" t="s">
        <v>2231</v>
      </c>
      <c r="F1207" s="218" t="s">
        <v>2170</v>
      </c>
      <c r="G1207" s="116">
        <v>8400</v>
      </c>
      <c r="H1207" s="1776" t="s">
        <v>1349</v>
      </c>
      <c r="J1207" s="224"/>
      <c r="K1207" s="34" t="s">
        <v>25</v>
      </c>
      <c r="L1207" s="475"/>
      <c r="M1207" s="224"/>
      <c r="N1207" s="224"/>
      <c r="O1207" s="902" t="s">
        <v>6395</v>
      </c>
    </row>
    <row r="1208" spans="1:15" x14ac:dyDescent="0.3">
      <c r="A1208" s="2402">
        <v>1202</v>
      </c>
      <c r="B1208" s="1122" t="s">
        <v>2168</v>
      </c>
      <c r="C1208" s="216" t="s">
        <v>1344</v>
      </c>
      <c r="D1208" s="416" t="s">
        <v>968</v>
      </c>
      <c r="E1208" s="217" t="s">
        <v>2232</v>
      </c>
      <c r="F1208" s="218" t="s">
        <v>2170</v>
      </c>
      <c r="G1208" s="116">
        <v>8400</v>
      </c>
      <c r="H1208" s="1776" t="s">
        <v>1349</v>
      </c>
      <c r="J1208" s="224"/>
      <c r="K1208" s="34" t="s">
        <v>25</v>
      </c>
      <c r="L1208" s="475"/>
      <c r="M1208" s="224"/>
      <c r="N1208" s="224"/>
      <c r="O1208" s="902" t="s">
        <v>6395</v>
      </c>
    </row>
    <row r="1209" spans="1:15" x14ac:dyDescent="0.3">
      <c r="A1209" s="2401">
        <v>1203</v>
      </c>
      <c r="B1209" s="1122" t="s">
        <v>2168</v>
      </c>
      <c r="C1209" s="216" t="s">
        <v>1344</v>
      </c>
      <c r="D1209" s="416" t="s">
        <v>968</v>
      </c>
      <c r="E1209" s="217" t="s">
        <v>2233</v>
      </c>
      <c r="F1209" s="218" t="s">
        <v>2170</v>
      </c>
      <c r="G1209" s="116">
        <v>8400</v>
      </c>
      <c r="H1209" s="1776" t="s">
        <v>1349</v>
      </c>
      <c r="J1209" s="224"/>
      <c r="K1209" s="34" t="s">
        <v>25</v>
      </c>
      <c r="L1209" s="475"/>
      <c r="M1209" s="224"/>
      <c r="N1209" s="224"/>
      <c r="O1209" s="902" t="s">
        <v>6395</v>
      </c>
    </row>
    <row r="1210" spans="1:15" x14ac:dyDescent="0.3">
      <c r="A1210" s="2402">
        <v>1204</v>
      </c>
      <c r="B1210" s="1122" t="s">
        <v>2168</v>
      </c>
      <c r="C1210" s="216" t="s">
        <v>1344</v>
      </c>
      <c r="D1210" s="416" t="s">
        <v>968</v>
      </c>
      <c r="E1210" s="217" t="s">
        <v>2234</v>
      </c>
      <c r="F1210" s="218" t="s">
        <v>2170</v>
      </c>
      <c r="G1210" s="116">
        <v>8400</v>
      </c>
      <c r="H1210" s="1776" t="s">
        <v>1349</v>
      </c>
      <c r="J1210" s="224"/>
      <c r="K1210" s="34" t="s">
        <v>25</v>
      </c>
      <c r="L1210" s="475"/>
      <c r="M1210" s="224"/>
      <c r="N1210" s="224"/>
      <c r="O1210" s="902" t="s">
        <v>6395</v>
      </c>
    </row>
    <row r="1211" spans="1:15" x14ac:dyDescent="0.3">
      <c r="A1211" s="2402">
        <v>1205</v>
      </c>
      <c r="B1211" s="1122" t="s">
        <v>2168</v>
      </c>
      <c r="C1211" s="216" t="s">
        <v>1344</v>
      </c>
      <c r="D1211" s="416" t="s">
        <v>968</v>
      </c>
      <c r="E1211" s="217" t="s">
        <v>2235</v>
      </c>
      <c r="F1211" s="218" t="s">
        <v>2170</v>
      </c>
      <c r="G1211" s="116">
        <v>8400</v>
      </c>
      <c r="H1211" s="1776" t="s">
        <v>1349</v>
      </c>
      <c r="J1211" s="224"/>
      <c r="K1211" s="34" t="s">
        <v>25</v>
      </c>
      <c r="L1211" s="475"/>
      <c r="M1211" s="224"/>
      <c r="N1211" s="224"/>
      <c r="O1211" s="902" t="s">
        <v>6395</v>
      </c>
    </row>
    <row r="1212" spans="1:15" x14ac:dyDescent="0.3">
      <c r="A1212" s="2401">
        <v>1206</v>
      </c>
      <c r="B1212" s="1122" t="s">
        <v>2168</v>
      </c>
      <c r="C1212" s="216" t="s">
        <v>1344</v>
      </c>
      <c r="D1212" s="416" t="s">
        <v>968</v>
      </c>
      <c r="E1212" s="217" t="s">
        <v>2236</v>
      </c>
      <c r="F1212" s="218" t="s">
        <v>2170</v>
      </c>
      <c r="G1212" s="116">
        <v>8400</v>
      </c>
      <c r="H1212" s="1776" t="s">
        <v>1349</v>
      </c>
      <c r="J1212" s="224"/>
      <c r="K1212" s="34" t="s">
        <v>25</v>
      </c>
      <c r="L1212" s="475"/>
      <c r="M1212" s="224"/>
      <c r="N1212" s="224"/>
      <c r="O1212" s="902" t="s">
        <v>6395</v>
      </c>
    </row>
    <row r="1213" spans="1:15" x14ac:dyDescent="0.3">
      <c r="A1213" s="2402">
        <v>1207</v>
      </c>
      <c r="B1213" s="1122" t="s">
        <v>2168</v>
      </c>
      <c r="C1213" s="216" t="s">
        <v>1344</v>
      </c>
      <c r="D1213" s="416" t="s">
        <v>968</v>
      </c>
      <c r="E1213" s="217" t="s">
        <v>2237</v>
      </c>
      <c r="F1213" s="218" t="s">
        <v>2170</v>
      </c>
      <c r="G1213" s="116">
        <v>8400</v>
      </c>
      <c r="H1213" s="1776" t="s">
        <v>1349</v>
      </c>
      <c r="J1213" s="224"/>
      <c r="K1213" s="34" t="s">
        <v>25</v>
      </c>
      <c r="L1213" s="475"/>
      <c r="M1213" s="224"/>
      <c r="N1213" s="224"/>
      <c r="O1213" s="902" t="s">
        <v>6395</v>
      </c>
    </row>
    <row r="1214" spans="1:15" x14ac:dyDescent="0.3">
      <c r="A1214" s="2402">
        <v>1208</v>
      </c>
      <c r="B1214" s="1122" t="s">
        <v>2168</v>
      </c>
      <c r="C1214" s="216" t="s">
        <v>1344</v>
      </c>
      <c r="D1214" s="416" t="s">
        <v>968</v>
      </c>
      <c r="E1214" s="217" t="s">
        <v>2238</v>
      </c>
      <c r="F1214" s="218" t="s">
        <v>2170</v>
      </c>
      <c r="G1214" s="116">
        <v>8400</v>
      </c>
      <c r="H1214" s="1776" t="s">
        <v>1349</v>
      </c>
      <c r="J1214" s="224"/>
      <c r="K1214" s="34" t="s">
        <v>25</v>
      </c>
      <c r="L1214" s="475"/>
      <c r="M1214" s="224"/>
      <c r="N1214" s="224"/>
      <c r="O1214" s="902" t="s">
        <v>6395</v>
      </c>
    </row>
    <row r="1215" spans="1:15" x14ac:dyDescent="0.3">
      <c r="A1215" s="2401">
        <v>1209</v>
      </c>
      <c r="B1215" s="1122" t="s">
        <v>2168</v>
      </c>
      <c r="C1215" s="216" t="s">
        <v>1344</v>
      </c>
      <c r="D1215" s="416" t="s">
        <v>968</v>
      </c>
      <c r="E1215" s="217" t="s">
        <v>2239</v>
      </c>
      <c r="F1215" s="218" t="s">
        <v>2170</v>
      </c>
      <c r="G1215" s="116">
        <v>8400</v>
      </c>
      <c r="H1215" s="1776" t="s">
        <v>1349</v>
      </c>
      <c r="J1215" s="224"/>
      <c r="K1215" s="34" t="s">
        <v>25</v>
      </c>
      <c r="L1215" s="475"/>
      <c r="M1215" s="224"/>
      <c r="N1215" s="224"/>
      <c r="O1215" s="902" t="s">
        <v>6395</v>
      </c>
    </row>
    <row r="1216" spans="1:15" x14ac:dyDescent="0.3">
      <c r="A1216" s="2402">
        <v>1210</v>
      </c>
      <c r="B1216" s="1122" t="s">
        <v>2168</v>
      </c>
      <c r="C1216" s="216" t="s">
        <v>1344</v>
      </c>
      <c r="D1216" s="416" t="s">
        <v>968</v>
      </c>
      <c r="E1216" s="217" t="s">
        <v>2240</v>
      </c>
      <c r="F1216" s="218" t="s">
        <v>2170</v>
      </c>
      <c r="G1216" s="116">
        <v>8400</v>
      </c>
      <c r="H1216" s="1776" t="s">
        <v>1349</v>
      </c>
      <c r="J1216" s="224"/>
      <c r="K1216" s="34" t="s">
        <v>25</v>
      </c>
      <c r="L1216" s="475"/>
      <c r="M1216" s="224"/>
      <c r="N1216" s="224"/>
      <c r="O1216" s="902" t="s">
        <v>6395</v>
      </c>
    </row>
    <row r="1217" spans="1:15" x14ac:dyDescent="0.3">
      <c r="A1217" s="2402">
        <v>1211</v>
      </c>
      <c r="B1217" s="1122" t="s">
        <v>2168</v>
      </c>
      <c r="C1217" s="216" t="s">
        <v>1344</v>
      </c>
      <c r="D1217" s="416" t="s">
        <v>968</v>
      </c>
      <c r="E1217" s="217" t="s">
        <v>384</v>
      </c>
      <c r="F1217" s="218" t="s">
        <v>2170</v>
      </c>
      <c r="G1217" s="116">
        <v>8400</v>
      </c>
      <c r="H1217" s="1776" t="s">
        <v>1349</v>
      </c>
      <c r="J1217" s="224"/>
      <c r="K1217" s="34" t="s">
        <v>25</v>
      </c>
      <c r="L1217" s="475"/>
      <c r="M1217" s="224"/>
      <c r="N1217" s="224"/>
      <c r="O1217" s="902" t="s">
        <v>6395</v>
      </c>
    </row>
    <row r="1218" spans="1:15" x14ac:dyDescent="0.3">
      <c r="A1218" s="2401">
        <v>1212</v>
      </c>
      <c r="B1218" s="1122" t="s">
        <v>2168</v>
      </c>
      <c r="C1218" s="216" t="s">
        <v>1344</v>
      </c>
      <c r="D1218" s="416" t="s">
        <v>968</v>
      </c>
      <c r="E1218" s="217" t="s">
        <v>385</v>
      </c>
      <c r="F1218" s="218" t="s">
        <v>2170</v>
      </c>
      <c r="G1218" s="116">
        <v>8400</v>
      </c>
      <c r="H1218" s="1776" t="s">
        <v>1349</v>
      </c>
      <c r="J1218" s="224"/>
      <c r="K1218" s="34" t="s">
        <v>25</v>
      </c>
      <c r="L1218" s="475"/>
      <c r="M1218" s="224"/>
      <c r="N1218" s="224"/>
      <c r="O1218" s="902" t="s">
        <v>6395</v>
      </c>
    </row>
    <row r="1219" spans="1:15" x14ac:dyDescent="0.3">
      <c r="A1219" s="2402">
        <v>1213</v>
      </c>
      <c r="B1219" s="1122" t="s">
        <v>2168</v>
      </c>
      <c r="C1219" s="216" t="s">
        <v>1344</v>
      </c>
      <c r="D1219" s="452" t="s">
        <v>968</v>
      </c>
      <c r="E1219" s="217" t="s">
        <v>2241</v>
      </c>
      <c r="F1219" s="218" t="s">
        <v>2170</v>
      </c>
      <c r="G1219" s="116">
        <v>8400</v>
      </c>
      <c r="H1219" s="1776" t="s">
        <v>1349</v>
      </c>
      <c r="J1219" s="224"/>
      <c r="K1219" s="34" t="s">
        <v>25</v>
      </c>
      <c r="L1219" s="475"/>
      <c r="M1219" s="224"/>
      <c r="N1219" s="224"/>
      <c r="O1219" s="902" t="s">
        <v>6395</v>
      </c>
    </row>
    <row r="1220" spans="1:15" x14ac:dyDescent="0.3">
      <c r="A1220" s="2402">
        <v>1214</v>
      </c>
      <c r="B1220" s="1122" t="s">
        <v>2168</v>
      </c>
      <c r="C1220" s="216" t="s">
        <v>1344</v>
      </c>
      <c r="D1220" s="495" t="s">
        <v>968</v>
      </c>
      <c r="E1220" s="217" t="s">
        <v>2242</v>
      </c>
      <c r="F1220" s="218" t="s">
        <v>2170</v>
      </c>
      <c r="G1220" s="116">
        <v>8400</v>
      </c>
      <c r="H1220" s="1776" t="s">
        <v>1349</v>
      </c>
      <c r="J1220" s="224"/>
      <c r="K1220" s="34" t="s">
        <v>25</v>
      </c>
      <c r="L1220" s="475"/>
      <c r="M1220" s="224"/>
      <c r="N1220" s="224"/>
      <c r="O1220" s="902" t="s">
        <v>6395</v>
      </c>
    </row>
    <row r="1221" spans="1:15" x14ac:dyDescent="0.3">
      <c r="A1221" s="2401">
        <v>1215</v>
      </c>
      <c r="B1221" s="1122" t="s">
        <v>2168</v>
      </c>
      <c r="C1221" s="216" t="s">
        <v>1344</v>
      </c>
      <c r="D1221" s="793" t="s">
        <v>968</v>
      </c>
      <c r="E1221" s="217" t="s">
        <v>2243</v>
      </c>
      <c r="F1221" s="218" t="s">
        <v>2170</v>
      </c>
      <c r="G1221" s="116">
        <v>8400</v>
      </c>
      <c r="H1221" s="1776" t="s">
        <v>1349</v>
      </c>
      <c r="J1221" s="224"/>
      <c r="K1221" s="34" t="s">
        <v>25</v>
      </c>
      <c r="L1221" s="475"/>
      <c r="M1221" s="224"/>
      <c r="N1221" s="224"/>
      <c r="O1221" s="902" t="s">
        <v>6395</v>
      </c>
    </row>
    <row r="1222" spans="1:15" x14ac:dyDescent="0.3">
      <c r="A1222" s="2402">
        <v>1216</v>
      </c>
      <c r="B1222" s="1122" t="s">
        <v>2168</v>
      </c>
      <c r="C1222" s="216" t="s">
        <v>1344</v>
      </c>
      <c r="D1222" s="416" t="s">
        <v>968</v>
      </c>
      <c r="E1222" s="217" t="s">
        <v>2244</v>
      </c>
      <c r="F1222" s="218" t="s">
        <v>2170</v>
      </c>
      <c r="G1222" s="116">
        <v>8400</v>
      </c>
      <c r="H1222" s="1776" t="s">
        <v>1349</v>
      </c>
      <c r="J1222" s="224"/>
      <c r="K1222" s="34" t="s">
        <v>25</v>
      </c>
      <c r="L1222" s="475"/>
      <c r="M1222" s="224"/>
      <c r="N1222" s="224"/>
      <c r="O1222" s="902" t="s">
        <v>6395</v>
      </c>
    </row>
    <row r="1223" spans="1:15" x14ac:dyDescent="0.3">
      <c r="A1223" s="2402">
        <v>1217</v>
      </c>
      <c r="B1223" s="1122" t="s">
        <v>2168</v>
      </c>
      <c r="C1223" s="216" t="s">
        <v>1344</v>
      </c>
      <c r="D1223" s="416" t="s">
        <v>968</v>
      </c>
      <c r="E1223" s="217" t="s">
        <v>2245</v>
      </c>
      <c r="F1223" s="218" t="s">
        <v>2170</v>
      </c>
      <c r="G1223" s="116">
        <v>8400</v>
      </c>
      <c r="H1223" s="1776" t="s">
        <v>1349</v>
      </c>
      <c r="J1223" s="224"/>
      <c r="K1223" s="34" t="s">
        <v>25</v>
      </c>
      <c r="L1223" s="475"/>
      <c r="M1223" s="224"/>
      <c r="N1223" s="224"/>
      <c r="O1223" s="902" t="s">
        <v>6395</v>
      </c>
    </row>
    <row r="1224" spans="1:15" x14ac:dyDescent="0.3">
      <c r="A1224" s="2401">
        <v>1218</v>
      </c>
      <c r="B1224" s="1122" t="s">
        <v>2168</v>
      </c>
      <c r="C1224" s="216" t="s">
        <v>1344</v>
      </c>
      <c r="D1224" s="416" t="s">
        <v>968</v>
      </c>
      <c r="E1224" s="217" t="s">
        <v>2246</v>
      </c>
      <c r="F1224" s="218" t="s">
        <v>2170</v>
      </c>
      <c r="G1224" s="116">
        <v>8400</v>
      </c>
      <c r="H1224" s="1776" t="s">
        <v>1349</v>
      </c>
      <c r="J1224" s="224"/>
      <c r="K1224" s="34" t="s">
        <v>25</v>
      </c>
      <c r="L1224" s="475"/>
      <c r="M1224" s="224"/>
      <c r="N1224" s="224"/>
      <c r="O1224" s="902" t="s">
        <v>6395</v>
      </c>
    </row>
    <row r="1225" spans="1:15" x14ac:dyDescent="0.3">
      <c r="A1225" s="2402">
        <v>1219</v>
      </c>
      <c r="B1225" s="1122" t="s">
        <v>2168</v>
      </c>
      <c r="C1225" s="216" t="s">
        <v>1344</v>
      </c>
      <c r="D1225" s="416" t="s">
        <v>968</v>
      </c>
      <c r="E1225" s="217" t="s">
        <v>2247</v>
      </c>
      <c r="F1225" s="218" t="s">
        <v>2170</v>
      </c>
      <c r="G1225" s="116">
        <v>8400</v>
      </c>
      <c r="H1225" s="1776" t="s">
        <v>1349</v>
      </c>
      <c r="J1225" s="224"/>
      <c r="K1225" s="34" t="s">
        <v>25</v>
      </c>
      <c r="L1225" s="475"/>
      <c r="M1225" s="224"/>
      <c r="N1225" s="224"/>
      <c r="O1225" s="902" t="s">
        <v>6395</v>
      </c>
    </row>
    <row r="1226" spans="1:15" x14ac:dyDescent="0.3">
      <c r="A1226" s="2402">
        <v>1220</v>
      </c>
      <c r="B1226" s="1122" t="s">
        <v>2168</v>
      </c>
      <c r="C1226" s="216" t="s">
        <v>1344</v>
      </c>
      <c r="D1226" s="416" t="s">
        <v>968</v>
      </c>
      <c r="E1226" s="217" t="s">
        <v>2248</v>
      </c>
      <c r="F1226" s="218" t="s">
        <v>2170</v>
      </c>
      <c r="G1226" s="116">
        <v>8400</v>
      </c>
      <c r="H1226" s="1776" t="s">
        <v>1349</v>
      </c>
      <c r="J1226" s="224"/>
      <c r="K1226" s="34" t="s">
        <v>25</v>
      </c>
      <c r="L1226" s="475"/>
      <c r="M1226" s="224"/>
      <c r="N1226" s="224"/>
      <c r="O1226" s="902" t="s">
        <v>6395</v>
      </c>
    </row>
    <row r="1227" spans="1:15" x14ac:dyDescent="0.3">
      <c r="A1227" s="2401">
        <v>1221</v>
      </c>
      <c r="B1227" s="1122" t="s">
        <v>2168</v>
      </c>
      <c r="C1227" s="216" t="s">
        <v>1344</v>
      </c>
      <c r="D1227" s="416" t="s">
        <v>968</v>
      </c>
      <c r="E1227" s="217" t="s">
        <v>2249</v>
      </c>
      <c r="F1227" s="218" t="s">
        <v>2170</v>
      </c>
      <c r="G1227" s="116">
        <v>8400</v>
      </c>
      <c r="H1227" s="1776" t="s">
        <v>1349</v>
      </c>
      <c r="J1227" s="224"/>
      <c r="K1227" s="34" t="s">
        <v>25</v>
      </c>
      <c r="L1227" s="475"/>
      <c r="M1227" s="224"/>
      <c r="N1227" s="224"/>
      <c r="O1227" s="902" t="s">
        <v>6395</v>
      </c>
    </row>
    <row r="1228" spans="1:15" x14ac:dyDescent="0.3">
      <c r="A1228" s="2402">
        <v>1222</v>
      </c>
      <c r="B1228" s="1122" t="s">
        <v>2168</v>
      </c>
      <c r="C1228" s="216" t="s">
        <v>1344</v>
      </c>
      <c r="D1228" s="416" t="s">
        <v>968</v>
      </c>
      <c r="E1228" s="217" t="s">
        <v>2250</v>
      </c>
      <c r="F1228" s="218" t="s">
        <v>2170</v>
      </c>
      <c r="G1228" s="116">
        <v>8400</v>
      </c>
      <c r="H1228" s="1776" t="s">
        <v>1349</v>
      </c>
      <c r="J1228" s="224"/>
      <c r="K1228" s="34" t="s">
        <v>25</v>
      </c>
      <c r="L1228" s="475"/>
      <c r="M1228" s="224"/>
      <c r="N1228" s="224"/>
      <c r="O1228" s="902" t="s">
        <v>6395</v>
      </c>
    </row>
    <row r="1229" spans="1:15" x14ac:dyDescent="0.3">
      <c r="A1229" s="2402">
        <v>1223</v>
      </c>
      <c r="B1229" s="1122" t="s">
        <v>2168</v>
      </c>
      <c r="C1229" s="216" t="s">
        <v>1344</v>
      </c>
      <c r="D1229" s="416" t="s">
        <v>968</v>
      </c>
      <c r="E1229" s="217" t="s">
        <v>2251</v>
      </c>
      <c r="F1229" s="218" t="s">
        <v>2170</v>
      </c>
      <c r="G1229" s="116">
        <v>8400</v>
      </c>
      <c r="H1229" s="1776" t="s">
        <v>1349</v>
      </c>
      <c r="J1229" s="224"/>
      <c r="K1229" s="34" t="s">
        <v>25</v>
      </c>
      <c r="L1229" s="475"/>
      <c r="M1229" s="224"/>
      <c r="N1229" s="224"/>
      <c r="O1229" s="902" t="s">
        <v>6395</v>
      </c>
    </row>
    <row r="1230" spans="1:15" x14ac:dyDescent="0.3">
      <c r="A1230" s="2401">
        <v>1224</v>
      </c>
      <c r="B1230" s="1122" t="s">
        <v>2168</v>
      </c>
      <c r="C1230" s="216" t="s">
        <v>1344</v>
      </c>
      <c r="D1230" s="416" t="s">
        <v>968</v>
      </c>
      <c r="E1230" s="217" t="s">
        <v>2252</v>
      </c>
      <c r="F1230" s="218" t="s">
        <v>2170</v>
      </c>
      <c r="G1230" s="116">
        <v>8400</v>
      </c>
      <c r="H1230" s="1776" t="s">
        <v>1349</v>
      </c>
      <c r="J1230" s="224"/>
      <c r="K1230" s="34" t="s">
        <v>25</v>
      </c>
      <c r="L1230" s="475"/>
      <c r="M1230" s="224"/>
      <c r="N1230" s="224"/>
      <c r="O1230" s="902" t="s">
        <v>6395</v>
      </c>
    </row>
    <row r="1231" spans="1:15" x14ac:dyDescent="0.3">
      <c r="A1231" s="2402">
        <v>1225</v>
      </c>
      <c r="B1231" s="1122" t="s">
        <v>2168</v>
      </c>
      <c r="C1231" s="216" t="s">
        <v>1344</v>
      </c>
      <c r="D1231" s="452" t="s">
        <v>968</v>
      </c>
      <c r="E1231" s="217" t="s">
        <v>2253</v>
      </c>
      <c r="F1231" s="218" t="s">
        <v>2170</v>
      </c>
      <c r="G1231" s="116">
        <v>8400</v>
      </c>
      <c r="H1231" s="1776" t="s">
        <v>1349</v>
      </c>
      <c r="J1231" s="224"/>
      <c r="K1231" s="34" t="s">
        <v>25</v>
      </c>
      <c r="L1231" s="475"/>
      <c r="M1231" s="224"/>
      <c r="N1231" s="224"/>
      <c r="O1231" s="902" t="s">
        <v>6395</v>
      </c>
    </row>
    <row r="1232" spans="1:15" x14ac:dyDescent="0.3">
      <c r="A1232" s="2402">
        <v>1226</v>
      </c>
      <c r="B1232" s="1122" t="s">
        <v>2168</v>
      </c>
      <c r="C1232" s="216" t="s">
        <v>1344</v>
      </c>
      <c r="D1232" s="495" t="s">
        <v>968</v>
      </c>
      <c r="E1232" s="217" t="s">
        <v>2254</v>
      </c>
      <c r="F1232" s="218" t="s">
        <v>2170</v>
      </c>
      <c r="G1232" s="116">
        <v>8400</v>
      </c>
      <c r="H1232" s="1776" t="s">
        <v>1349</v>
      </c>
      <c r="J1232" s="224"/>
      <c r="K1232" s="34" t="s">
        <v>25</v>
      </c>
      <c r="L1232" s="475"/>
      <c r="M1232" s="224"/>
      <c r="N1232" s="224"/>
      <c r="O1232" s="902" t="s">
        <v>6395</v>
      </c>
    </row>
    <row r="1233" spans="1:15" x14ac:dyDescent="0.3">
      <c r="A1233" s="2401">
        <v>1227</v>
      </c>
      <c r="B1233" s="1122" t="s">
        <v>2168</v>
      </c>
      <c r="C1233" s="216" t="s">
        <v>1344</v>
      </c>
      <c r="D1233" s="793" t="s">
        <v>968</v>
      </c>
      <c r="E1233" s="217" t="s">
        <v>2255</v>
      </c>
      <c r="F1233" s="218" t="s">
        <v>2170</v>
      </c>
      <c r="G1233" s="116">
        <v>8400</v>
      </c>
      <c r="H1233" s="1776" t="s">
        <v>1349</v>
      </c>
      <c r="J1233" s="224"/>
      <c r="K1233" s="34" t="s">
        <v>25</v>
      </c>
      <c r="L1233" s="475"/>
      <c r="M1233" s="224"/>
      <c r="N1233" s="224"/>
      <c r="O1233" s="902" t="s">
        <v>6395</v>
      </c>
    </row>
    <row r="1234" spans="1:15" x14ac:dyDescent="0.3">
      <c r="A1234" s="2402">
        <v>1228</v>
      </c>
      <c r="B1234" s="1122" t="s">
        <v>2168</v>
      </c>
      <c r="C1234" s="216" t="s">
        <v>1344</v>
      </c>
      <c r="D1234" s="416" t="s">
        <v>968</v>
      </c>
      <c r="E1234" s="217" t="s">
        <v>2256</v>
      </c>
      <c r="F1234" s="218" t="s">
        <v>2170</v>
      </c>
      <c r="G1234" s="116">
        <v>8400</v>
      </c>
      <c r="H1234" s="1776" t="s">
        <v>1349</v>
      </c>
      <c r="J1234" s="224"/>
      <c r="K1234" s="34" t="s">
        <v>25</v>
      </c>
      <c r="L1234" s="475"/>
      <c r="M1234" s="224"/>
      <c r="N1234" s="224"/>
      <c r="O1234" s="902" t="s">
        <v>6395</v>
      </c>
    </row>
    <row r="1235" spans="1:15" x14ac:dyDescent="0.3">
      <c r="A1235" s="2402">
        <v>1229</v>
      </c>
      <c r="B1235" s="1122" t="s">
        <v>2168</v>
      </c>
      <c r="C1235" s="216" t="s">
        <v>1344</v>
      </c>
      <c r="D1235" s="416" t="s">
        <v>968</v>
      </c>
      <c r="E1235" s="217" t="s">
        <v>2257</v>
      </c>
      <c r="F1235" s="218" t="s">
        <v>2170</v>
      </c>
      <c r="G1235" s="116">
        <v>8400</v>
      </c>
      <c r="H1235" s="1776" t="s">
        <v>1349</v>
      </c>
      <c r="J1235" s="224"/>
      <c r="K1235" s="34" t="s">
        <v>25</v>
      </c>
      <c r="L1235" s="475"/>
      <c r="M1235" s="224"/>
      <c r="N1235" s="224"/>
      <c r="O1235" s="902" t="s">
        <v>6395</v>
      </c>
    </row>
    <row r="1236" spans="1:15" x14ac:dyDescent="0.3">
      <c r="A1236" s="2401">
        <v>1230</v>
      </c>
      <c r="B1236" s="1122" t="s">
        <v>2168</v>
      </c>
      <c r="C1236" s="216" t="s">
        <v>1344</v>
      </c>
      <c r="D1236" s="416" t="s">
        <v>968</v>
      </c>
      <c r="E1236" s="217" t="s">
        <v>2258</v>
      </c>
      <c r="F1236" s="218" t="s">
        <v>2170</v>
      </c>
      <c r="G1236" s="116">
        <v>8400</v>
      </c>
      <c r="H1236" s="1776" t="s">
        <v>1349</v>
      </c>
      <c r="J1236" s="224"/>
      <c r="K1236" s="34" t="s">
        <v>25</v>
      </c>
      <c r="L1236" s="475"/>
      <c r="M1236" s="224"/>
      <c r="N1236" s="224"/>
      <c r="O1236" s="902" t="s">
        <v>6395</v>
      </c>
    </row>
    <row r="1237" spans="1:15" x14ac:dyDescent="0.3">
      <c r="A1237" s="2402">
        <v>1231</v>
      </c>
      <c r="B1237" s="1122" t="s">
        <v>2168</v>
      </c>
      <c r="C1237" s="216" t="s">
        <v>1344</v>
      </c>
      <c r="D1237" s="416" t="s">
        <v>968</v>
      </c>
      <c r="E1237" s="217" t="s">
        <v>2259</v>
      </c>
      <c r="F1237" s="218" t="s">
        <v>2170</v>
      </c>
      <c r="G1237" s="116">
        <v>8400</v>
      </c>
      <c r="H1237" s="1776" t="s">
        <v>1349</v>
      </c>
      <c r="J1237" s="224"/>
      <c r="K1237" s="34" t="s">
        <v>25</v>
      </c>
      <c r="L1237" s="475"/>
      <c r="M1237" s="224"/>
      <c r="N1237" s="224"/>
      <c r="O1237" s="902" t="s">
        <v>6395</v>
      </c>
    </row>
    <row r="1238" spans="1:15" x14ac:dyDescent="0.3">
      <c r="A1238" s="2402">
        <v>1232</v>
      </c>
      <c r="B1238" s="1122" t="s">
        <v>2168</v>
      </c>
      <c r="C1238" s="216" t="s">
        <v>1344</v>
      </c>
      <c r="D1238" s="416" t="s">
        <v>968</v>
      </c>
      <c r="E1238" s="217" t="s">
        <v>2260</v>
      </c>
      <c r="F1238" s="218" t="s">
        <v>2170</v>
      </c>
      <c r="G1238" s="116">
        <v>8400</v>
      </c>
      <c r="H1238" s="1776" t="s">
        <v>1349</v>
      </c>
      <c r="J1238" s="224"/>
      <c r="K1238" s="34" t="s">
        <v>25</v>
      </c>
      <c r="L1238" s="475"/>
      <c r="M1238" s="224"/>
      <c r="N1238" s="224"/>
      <c r="O1238" s="902" t="s">
        <v>6395</v>
      </c>
    </row>
    <row r="1239" spans="1:15" x14ac:dyDescent="0.3">
      <c r="A1239" s="2401">
        <v>1233</v>
      </c>
      <c r="B1239" s="1122" t="s">
        <v>2168</v>
      </c>
      <c r="C1239" s="216" t="s">
        <v>1344</v>
      </c>
      <c r="D1239" s="416" t="s">
        <v>968</v>
      </c>
      <c r="E1239" s="217" t="s">
        <v>2261</v>
      </c>
      <c r="F1239" s="218" t="s">
        <v>2170</v>
      </c>
      <c r="G1239" s="116">
        <v>8400</v>
      </c>
      <c r="H1239" s="1776" t="s">
        <v>1349</v>
      </c>
      <c r="J1239" s="224"/>
      <c r="K1239" s="34" t="s">
        <v>25</v>
      </c>
      <c r="L1239" s="475"/>
      <c r="M1239" s="224"/>
      <c r="N1239" s="224"/>
      <c r="O1239" s="902" t="s">
        <v>6395</v>
      </c>
    </row>
    <row r="1240" spans="1:15" x14ac:dyDescent="0.3">
      <c r="A1240" s="2402">
        <v>1234</v>
      </c>
      <c r="B1240" s="1122" t="s">
        <v>2168</v>
      </c>
      <c r="C1240" s="216" t="s">
        <v>1344</v>
      </c>
      <c r="D1240" s="416" t="s">
        <v>968</v>
      </c>
      <c r="E1240" s="217" t="s">
        <v>2262</v>
      </c>
      <c r="F1240" s="218" t="s">
        <v>2170</v>
      </c>
      <c r="G1240" s="116">
        <v>8400</v>
      </c>
      <c r="H1240" s="1776" t="s">
        <v>1349</v>
      </c>
      <c r="J1240" s="224"/>
      <c r="K1240" s="34" t="s">
        <v>25</v>
      </c>
      <c r="L1240" s="475"/>
      <c r="M1240" s="224"/>
      <c r="N1240" s="224"/>
      <c r="O1240" s="902" t="s">
        <v>6395</v>
      </c>
    </row>
    <row r="1241" spans="1:15" x14ac:dyDescent="0.3">
      <c r="A1241" s="2402">
        <v>1235</v>
      </c>
      <c r="B1241" s="1122" t="s">
        <v>2168</v>
      </c>
      <c r="C1241" s="216" t="s">
        <v>1344</v>
      </c>
      <c r="D1241" s="416" t="s">
        <v>968</v>
      </c>
      <c r="E1241" s="217" t="s">
        <v>2263</v>
      </c>
      <c r="F1241" s="218" t="s">
        <v>2170</v>
      </c>
      <c r="G1241" s="116">
        <v>8400</v>
      </c>
      <c r="H1241" s="1776" t="s">
        <v>1349</v>
      </c>
      <c r="J1241" s="224"/>
      <c r="K1241" s="34" t="s">
        <v>25</v>
      </c>
      <c r="L1241" s="475"/>
      <c r="M1241" s="224"/>
      <c r="N1241" s="224"/>
      <c r="O1241" s="902" t="s">
        <v>6395</v>
      </c>
    </row>
    <row r="1242" spans="1:15" x14ac:dyDescent="0.3">
      <c r="A1242" s="2401">
        <v>1236</v>
      </c>
      <c r="B1242" s="1122" t="s">
        <v>2168</v>
      </c>
      <c r="C1242" s="216" t="s">
        <v>1344</v>
      </c>
      <c r="D1242" s="416" t="s">
        <v>968</v>
      </c>
      <c r="E1242" s="217" t="s">
        <v>2264</v>
      </c>
      <c r="F1242" s="218" t="s">
        <v>2170</v>
      </c>
      <c r="G1242" s="116">
        <v>8400</v>
      </c>
      <c r="H1242" s="1776" t="s">
        <v>1349</v>
      </c>
      <c r="J1242" s="224"/>
      <c r="K1242" s="34" t="s">
        <v>25</v>
      </c>
      <c r="L1242" s="475"/>
      <c r="M1242" s="224"/>
      <c r="N1242" s="224"/>
      <c r="O1242" s="902" t="s">
        <v>6395</v>
      </c>
    </row>
    <row r="1243" spans="1:15" x14ac:dyDescent="0.3">
      <c r="A1243" s="2402">
        <v>1237</v>
      </c>
      <c r="B1243" s="1122" t="s">
        <v>2168</v>
      </c>
      <c r="C1243" s="216" t="s">
        <v>1344</v>
      </c>
      <c r="D1243" s="452" t="s">
        <v>968</v>
      </c>
      <c r="E1243" s="217" t="s">
        <v>2265</v>
      </c>
      <c r="F1243" s="218" t="s">
        <v>2170</v>
      </c>
      <c r="G1243" s="116">
        <v>8400</v>
      </c>
      <c r="H1243" s="1776" t="s">
        <v>1349</v>
      </c>
      <c r="J1243" s="224"/>
      <c r="K1243" s="34" t="s">
        <v>25</v>
      </c>
      <c r="L1243" s="475"/>
      <c r="M1243" s="224"/>
      <c r="N1243" s="224"/>
      <c r="O1243" s="902" t="s">
        <v>6395</v>
      </c>
    </row>
    <row r="1244" spans="1:15" x14ac:dyDescent="0.3">
      <c r="A1244" s="2402">
        <v>1238</v>
      </c>
      <c r="B1244" s="1122" t="s">
        <v>2168</v>
      </c>
      <c r="C1244" s="216" t="s">
        <v>1344</v>
      </c>
      <c r="D1244" s="495" t="s">
        <v>968</v>
      </c>
      <c r="E1244" s="217" t="s">
        <v>2266</v>
      </c>
      <c r="F1244" s="218" t="s">
        <v>2170</v>
      </c>
      <c r="G1244" s="116">
        <v>8400</v>
      </c>
      <c r="H1244" s="1776" t="s">
        <v>1349</v>
      </c>
      <c r="J1244" s="224"/>
      <c r="K1244" s="34" t="s">
        <v>25</v>
      </c>
      <c r="L1244" s="475"/>
      <c r="M1244" s="224"/>
      <c r="N1244" s="224"/>
      <c r="O1244" s="902" t="s">
        <v>6395</v>
      </c>
    </row>
    <row r="1245" spans="1:15" x14ac:dyDescent="0.3">
      <c r="A1245" s="2401">
        <v>1239</v>
      </c>
      <c r="B1245" s="1122" t="s">
        <v>2168</v>
      </c>
      <c r="C1245" s="216" t="s">
        <v>1344</v>
      </c>
      <c r="D1245" s="793" t="s">
        <v>968</v>
      </c>
      <c r="E1245" s="217" t="s">
        <v>2267</v>
      </c>
      <c r="F1245" s="218" t="s">
        <v>2170</v>
      </c>
      <c r="G1245" s="116">
        <v>8400</v>
      </c>
      <c r="H1245" s="1776" t="s">
        <v>1349</v>
      </c>
      <c r="J1245" s="224"/>
      <c r="K1245" s="34" t="s">
        <v>25</v>
      </c>
      <c r="L1245" s="475"/>
      <c r="M1245" s="224"/>
      <c r="N1245" s="224"/>
      <c r="O1245" s="902" t="s">
        <v>6395</v>
      </c>
    </row>
    <row r="1246" spans="1:15" x14ac:dyDescent="0.3">
      <c r="A1246" s="2402">
        <v>1240</v>
      </c>
      <c r="B1246" s="1122" t="s">
        <v>2168</v>
      </c>
      <c r="C1246" s="216" t="s">
        <v>1344</v>
      </c>
      <c r="D1246" s="416" t="s">
        <v>968</v>
      </c>
      <c r="E1246" s="217" t="s">
        <v>2268</v>
      </c>
      <c r="F1246" s="218" t="s">
        <v>2170</v>
      </c>
      <c r="G1246" s="116">
        <v>8400</v>
      </c>
      <c r="H1246" s="1776" t="s">
        <v>1349</v>
      </c>
      <c r="J1246" s="224"/>
      <c r="K1246" s="34" t="s">
        <v>25</v>
      </c>
      <c r="L1246" s="475"/>
      <c r="M1246" s="224"/>
      <c r="N1246" s="224"/>
      <c r="O1246" s="902" t="s">
        <v>6395</v>
      </c>
    </row>
    <row r="1247" spans="1:15" x14ac:dyDescent="0.3">
      <c r="A1247" s="2402">
        <v>1241</v>
      </c>
      <c r="B1247" s="1122" t="s">
        <v>2168</v>
      </c>
      <c r="C1247" s="216" t="s">
        <v>1344</v>
      </c>
      <c r="D1247" s="416" t="s">
        <v>968</v>
      </c>
      <c r="E1247" s="217" t="s">
        <v>2269</v>
      </c>
      <c r="F1247" s="218" t="s">
        <v>2170</v>
      </c>
      <c r="G1247" s="116">
        <v>8400</v>
      </c>
      <c r="H1247" s="1776" t="s">
        <v>1349</v>
      </c>
      <c r="J1247" s="224"/>
      <c r="K1247" s="34" t="s">
        <v>25</v>
      </c>
      <c r="L1247" s="475"/>
      <c r="M1247" s="224"/>
      <c r="N1247" s="224"/>
      <c r="O1247" s="902" t="s">
        <v>6395</v>
      </c>
    </row>
    <row r="1248" spans="1:15" x14ac:dyDescent="0.3">
      <c r="A1248" s="2401">
        <v>1242</v>
      </c>
      <c r="B1248" s="1122" t="s">
        <v>2168</v>
      </c>
      <c r="C1248" s="216" t="s">
        <v>1344</v>
      </c>
      <c r="D1248" s="416" t="s">
        <v>968</v>
      </c>
      <c r="E1248" s="217" t="s">
        <v>2270</v>
      </c>
      <c r="F1248" s="218" t="s">
        <v>2170</v>
      </c>
      <c r="G1248" s="116">
        <v>8400</v>
      </c>
      <c r="H1248" s="1776" t="s">
        <v>1349</v>
      </c>
      <c r="J1248" s="224"/>
      <c r="K1248" s="34" t="s">
        <v>25</v>
      </c>
      <c r="L1248" s="475"/>
      <c r="M1248" s="224"/>
      <c r="N1248" s="224"/>
      <c r="O1248" s="902" t="s">
        <v>6395</v>
      </c>
    </row>
    <row r="1249" spans="1:15" x14ac:dyDescent="0.3">
      <c r="A1249" s="2402">
        <v>1243</v>
      </c>
      <c r="B1249" s="1122" t="s">
        <v>2168</v>
      </c>
      <c r="C1249" s="216" t="s">
        <v>1344</v>
      </c>
      <c r="D1249" s="416" t="s">
        <v>968</v>
      </c>
      <c r="E1249" s="217" t="s">
        <v>2271</v>
      </c>
      <c r="F1249" s="218" t="s">
        <v>2170</v>
      </c>
      <c r="G1249" s="116">
        <v>8400</v>
      </c>
      <c r="H1249" s="1776" t="s">
        <v>1349</v>
      </c>
      <c r="J1249" s="224"/>
      <c r="K1249" s="34" t="s">
        <v>25</v>
      </c>
      <c r="L1249" s="475"/>
      <c r="M1249" s="224"/>
      <c r="N1249" s="224"/>
      <c r="O1249" s="902" t="s">
        <v>6395</v>
      </c>
    </row>
    <row r="1250" spans="1:15" x14ac:dyDescent="0.3">
      <c r="A1250" s="2402">
        <v>1244</v>
      </c>
      <c r="B1250" s="1122" t="s">
        <v>2168</v>
      </c>
      <c r="C1250" s="216" t="s">
        <v>1344</v>
      </c>
      <c r="D1250" s="416" t="s">
        <v>968</v>
      </c>
      <c r="E1250" s="217" t="s">
        <v>2272</v>
      </c>
      <c r="F1250" s="218" t="s">
        <v>2170</v>
      </c>
      <c r="G1250" s="116">
        <v>8400</v>
      </c>
      <c r="H1250" s="1776" t="s">
        <v>1349</v>
      </c>
      <c r="J1250" s="224"/>
      <c r="K1250" s="34" t="s">
        <v>25</v>
      </c>
      <c r="L1250" s="475"/>
      <c r="M1250" s="224"/>
      <c r="N1250" s="224"/>
      <c r="O1250" s="902" t="s">
        <v>6395</v>
      </c>
    </row>
    <row r="1251" spans="1:15" x14ac:dyDescent="0.3">
      <c r="A1251" s="2401">
        <v>1245</v>
      </c>
      <c r="B1251" s="1122" t="s">
        <v>2168</v>
      </c>
      <c r="C1251" s="216" t="s">
        <v>1344</v>
      </c>
      <c r="D1251" s="416" t="s">
        <v>968</v>
      </c>
      <c r="E1251" s="217" t="s">
        <v>2273</v>
      </c>
      <c r="F1251" s="218" t="s">
        <v>2170</v>
      </c>
      <c r="G1251" s="116">
        <v>8400</v>
      </c>
      <c r="H1251" s="1776" t="s">
        <v>1349</v>
      </c>
      <c r="J1251" s="224"/>
      <c r="K1251" s="34" t="s">
        <v>25</v>
      </c>
      <c r="L1251" s="475"/>
      <c r="M1251" s="224"/>
      <c r="N1251" s="224"/>
      <c r="O1251" s="902" t="s">
        <v>6395</v>
      </c>
    </row>
    <row r="1252" spans="1:15" x14ac:dyDescent="0.3">
      <c r="A1252" s="2402">
        <v>1246</v>
      </c>
      <c r="B1252" s="1122" t="s">
        <v>2168</v>
      </c>
      <c r="C1252" s="216" t="s">
        <v>1344</v>
      </c>
      <c r="D1252" s="416" t="s">
        <v>968</v>
      </c>
      <c r="E1252" s="217" t="s">
        <v>2274</v>
      </c>
      <c r="F1252" s="218" t="s">
        <v>2170</v>
      </c>
      <c r="G1252" s="116">
        <v>8400</v>
      </c>
      <c r="H1252" s="1776" t="s">
        <v>1349</v>
      </c>
      <c r="J1252" s="224"/>
      <c r="K1252" s="34" t="s">
        <v>25</v>
      </c>
      <c r="L1252" s="475"/>
      <c r="M1252" s="224"/>
      <c r="N1252" s="224"/>
      <c r="O1252" s="902" t="s">
        <v>6395</v>
      </c>
    </row>
    <row r="1253" spans="1:15" x14ac:dyDescent="0.3">
      <c r="A1253" s="2402">
        <v>1247</v>
      </c>
      <c r="B1253" s="1122" t="s">
        <v>2168</v>
      </c>
      <c r="C1253" s="216" t="s">
        <v>1344</v>
      </c>
      <c r="D1253" s="416" t="s">
        <v>968</v>
      </c>
      <c r="E1253" s="217" t="s">
        <v>2275</v>
      </c>
      <c r="F1253" s="218" t="s">
        <v>2170</v>
      </c>
      <c r="G1253" s="116">
        <v>8400</v>
      </c>
      <c r="H1253" s="1776" t="s">
        <v>1349</v>
      </c>
      <c r="J1253" s="224"/>
      <c r="K1253" s="34" t="s">
        <v>25</v>
      </c>
      <c r="L1253" s="475"/>
      <c r="M1253" s="224"/>
      <c r="N1253" s="224"/>
      <c r="O1253" s="902" t="s">
        <v>6395</v>
      </c>
    </row>
    <row r="1254" spans="1:15" x14ac:dyDescent="0.3">
      <c r="A1254" s="2401">
        <v>1248</v>
      </c>
      <c r="B1254" s="1122" t="s">
        <v>2168</v>
      </c>
      <c r="C1254" s="216" t="s">
        <v>1344</v>
      </c>
      <c r="D1254" s="452" t="s">
        <v>968</v>
      </c>
      <c r="E1254" s="217" t="s">
        <v>2276</v>
      </c>
      <c r="F1254" s="218" t="s">
        <v>2170</v>
      </c>
      <c r="G1254" s="116">
        <v>8400</v>
      </c>
      <c r="H1254" s="1776" t="s">
        <v>1349</v>
      </c>
      <c r="J1254" s="224"/>
      <c r="K1254" s="34" t="s">
        <v>25</v>
      </c>
      <c r="L1254" s="475"/>
      <c r="M1254" s="224"/>
      <c r="N1254" s="224"/>
      <c r="O1254" s="902" t="s">
        <v>6395</v>
      </c>
    </row>
    <row r="1255" spans="1:15" x14ac:dyDescent="0.3">
      <c r="A1255" s="2402">
        <v>1249</v>
      </c>
      <c r="B1255" s="1122" t="s">
        <v>2168</v>
      </c>
      <c r="C1255" s="1117" t="s">
        <v>1344</v>
      </c>
      <c r="D1255" s="495" t="s">
        <v>968</v>
      </c>
      <c r="E1255" s="217" t="s">
        <v>2277</v>
      </c>
      <c r="F1255" s="218" t="s">
        <v>2170</v>
      </c>
      <c r="G1255" s="116">
        <v>8400</v>
      </c>
      <c r="H1255" s="1776" t="s">
        <v>1349</v>
      </c>
      <c r="J1255" s="224"/>
      <c r="K1255" s="34" t="s">
        <v>25</v>
      </c>
      <c r="L1255" s="475"/>
      <c r="M1255" s="224"/>
      <c r="N1255" s="224"/>
      <c r="O1255" s="902" t="s">
        <v>6395</v>
      </c>
    </row>
    <row r="1256" spans="1:15" x14ac:dyDescent="0.3">
      <c r="A1256" s="2402">
        <v>1250</v>
      </c>
      <c r="B1256" s="1122" t="s">
        <v>2168</v>
      </c>
      <c r="C1256" s="1117" t="s">
        <v>1344</v>
      </c>
      <c r="D1256" s="793" t="s">
        <v>968</v>
      </c>
      <c r="E1256" s="217" t="s">
        <v>2278</v>
      </c>
      <c r="F1256" s="218" t="s">
        <v>2170</v>
      </c>
      <c r="G1256" s="116">
        <v>8400</v>
      </c>
      <c r="H1256" s="1776" t="s">
        <v>1349</v>
      </c>
      <c r="J1256" s="224"/>
      <c r="K1256" s="34" t="s">
        <v>25</v>
      </c>
      <c r="L1256" s="475"/>
      <c r="M1256" s="224"/>
      <c r="N1256" s="224"/>
      <c r="O1256" s="902" t="s">
        <v>6395</v>
      </c>
    </row>
    <row r="1257" spans="1:15" x14ac:dyDescent="0.3">
      <c r="A1257" s="2401">
        <v>1251</v>
      </c>
      <c r="B1257" s="1122" t="s">
        <v>2168</v>
      </c>
      <c r="C1257" s="1117" t="s">
        <v>1344</v>
      </c>
      <c r="D1257" s="416" t="s">
        <v>968</v>
      </c>
      <c r="E1257" s="217" t="s">
        <v>2279</v>
      </c>
      <c r="F1257" s="218" t="s">
        <v>2170</v>
      </c>
      <c r="G1257" s="116">
        <v>8400</v>
      </c>
      <c r="H1257" s="1776" t="s">
        <v>1349</v>
      </c>
      <c r="J1257" s="224"/>
      <c r="K1257" s="34" t="s">
        <v>25</v>
      </c>
      <c r="L1257" s="475"/>
      <c r="M1257" s="224"/>
      <c r="N1257" s="224"/>
      <c r="O1257" s="902" t="s">
        <v>6395</v>
      </c>
    </row>
    <row r="1258" spans="1:15" x14ac:dyDescent="0.3">
      <c r="A1258" s="2402">
        <v>1252</v>
      </c>
      <c r="B1258" s="1122" t="s">
        <v>2168</v>
      </c>
      <c r="C1258" s="1117" t="s">
        <v>1344</v>
      </c>
      <c r="D1258" s="416" t="s">
        <v>968</v>
      </c>
      <c r="E1258" s="217" t="s">
        <v>2280</v>
      </c>
      <c r="F1258" s="218" t="s">
        <v>2170</v>
      </c>
      <c r="G1258" s="116">
        <v>8400</v>
      </c>
      <c r="H1258" s="1776" t="s">
        <v>1349</v>
      </c>
      <c r="J1258" s="224"/>
      <c r="K1258" s="34" t="s">
        <v>25</v>
      </c>
      <c r="L1258" s="475"/>
      <c r="M1258" s="224"/>
      <c r="N1258" s="224"/>
      <c r="O1258" s="902" t="s">
        <v>6395</v>
      </c>
    </row>
    <row r="1259" spans="1:15" x14ac:dyDescent="0.3">
      <c r="A1259" s="2402">
        <v>1253</v>
      </c>
      <c r="B1259" s="1122" t="s">
        <v>2168</v>
      </c>
      <c r="C1259" s="1117" t="s">
        <v>1344</v>
      </c>
      <c r="D1259" s="416" t="s">
        <v>968</v>
      </c>
      <c r="E1259" s="217" t="s">
        <v>2281</v>
      </c>
      <c r="F1259" s="218" t="s">
        <v>2170</v>
      </c>
      <c r="G1259" s="116">
        <v>8400</v>
      </c>
      <c r="H1259" s="1776" t="s">
        <v>1349</v>
      </c>
      <c r="J1259" s="224"/>
      <c r="K1259" s="34" t="s">
        <v>25</v>
      </c>
      <c r="L1259" s="475"/>
      <c r="M1259" s="224"/>
      <c r="N1259" s="224"/>
      <c r="O1259" s="902" t="s">
        <v>6395</v>
      </c>
    </row>
    <row r="1260" spans="1:15" x14ac:dyDescent="0.3">
      <c r="A1260" s="2402">
        <v>1254</v>
      </c>
      <c r="B1260" s="1122" t="s">
        <v>2168</v>
      </c>
      <c r="C1260" s="1117" t="s">
        <v>1344</v>
      </c>
      <c r="D1260" s="416" t="s">
        <v>968</v>
      </c>
      <c r="E1260" s="217" t="s">
        <v>2282</v>
      </c>
      <c r="F1260" s="218" t="s">
        <v>2170</v>
      </c>
      <c r="G1260" s="116">
        <v>8400</v>
      </c>
      <c r="H1260" s="1776" t="s">
        <v>1349</v>
      </c>
      <c r="J1260" s="224"/>
      <c r="K1260" s="34" t="s">
        <v>25</v>
      </c>
      <c r="L1260" s="475"/>
      <c r="M1260" s="224"/>
      <c r="N1260" s="224"/>
      <c r="O1260" s="902" t="s">
        <v>6395</v>
      </c>
    </row>
    <row r="1261" spans="1:15" x14ac:dyDescent="0.3">
      <c r="A1261" s="2402">
        <v>1255</v>
      </c>
      <c r="B1261" s="1122" t="s">
        <v>2168</v>
      </c>
      <c r="C1261" s="1117" t="s">
        <v>1344</v>
      </c>
      <c r="D1261" s="416" t="s">
        <v>968</v>
      </c>
      <c r="E1261" s="217" t="s">
        <v>2283</v>
      </c>
      <c r="F1261" s="218" t="s">
        <v>2170</v>
      </c>
      <c r="G1261" s="116">
        <v>8400</v>
      </c>
      <c r="H1261" s="1776" t="s">
        <v>1349</v>
      </c>
      <c r="J1261" s="224"/>
      <c r="K1261" s="34" t="s">
        <v>25</v>
      </c>
      <c r="L1261" s="475"/>
      <c r="M1261" s="224"/>
      <c r="N1261" s="224"/>
      <c r="O1261" s="902" t="s">
        <v>6395</v>
      </c>
    </row>
    <row r="1262" spans="1:15" x14ac:dyDescent="0.3">
      <c r="A1262" s="2401">
        <v>1256</v>
      </c>
      <c r="B1262" s="1122" t="s">
        <v>2168</v>
      </c>
      <c r="C1262" s="1117" t="s">
        <v>1344</v>
      </c>
      <c r="D1262" s="416" t="s">
        <v>968</v>
      </c>
      <c r="E1262" s="217" t="s">
        <v>2284</v>
      </c>
      <c r="F1262" s="218" t="s">
        <v>2170</v>
      </c>
      <c r="G1262" s="116">
        <v>8400</v>
      </c>
      <c r="H1262" s="1776" t="s">
        <v>1349</v>
      </c>
      <c r="J1262" s="224"/>
      <c r="K1262" s="34" t="s">
        <v>25</v>
      </c>
      <c r="L1262" s="475"/>
      <c r="M1262" s="224"/>
      <c r="N1262" s="224"/>
      <c r="O1262" s="902" t="s">
        <v>6395</v>
      </c>
    </row>
    <row r="1263" spans="1:15" x14ac:dyDescent="0.3">
      <c r="A1263" s="2402">
        <v>1257</v>
      </c>
      <c r="B1263" s="1122" t="s">
        <v>2168</v>
      </c>
      <c r="C1263" s="1117" t="s">
        <v>1344</v>
      </c>
      <c r="D1263" s="416" t="s">
        <v>968</v>
      </c>
      <c r="E1263" s="217" t="s">
        <v>2285</v>
      </c>
      <c r="F1263" s="218" t="s">
        <v>2170</v>
      </c>
      <c r="G1263" s="116">
        <v>8400</v>
      </c>
      <c r="H1263" s="1776" t="s">
        <v>1349</v>
      </c>
      <c r="J1263" s="224"/>
      <c r="K1263" s="34" t="s">
        <v>25</v>
      </c>
      <c r="L1263" s="475"/>
      <c r="M1263" s="224"/>
      <c r="N1263" s="224"/>
      <c r="O1263" s="902" t="s">
        <v>6395</v>
      </c>
    </row>
    <row r="1264" spans="1:15" x14ac:dyDescent="0.3">
      <c r="A1264" s="2402">
        <v>1258</v>
      </c>
      <c r="B1264" s="1122" t="s">
        <v>2168</v>
      </c>
      <c r="C1264" s="1117" t="s">
        <v>1344</v>
      </c>
      <c r="D1264" s="416" t="s">
        <v>968</v>
      </c>
      <c r="E1264" s="217" t="s">
        <v>2286</v>
      </c>
      <c r="F1264" s="218" t="s">
        <v>2170</v>
      </c>
      <c r="G1264" s="116">
        <v>8400</v>
      </c>
      <c r="H1264" s="1776" t="s">
        <v>1349</v>
      </c>
      <c r="J1264" s="224"/>
      <c r="K1264" s="34" t="s">
        <v>25</v>
      </c>
      <c r="L1264" s="475"/>
      <c r="M1264" s="224"/>
      <c r="N1264" s="224"/>
      <c r="O1264" s="902" t="s">
        <v>6395</v>
      </c>
    </row>
    <row r="1265" spans="1:15" x14ac:dyDescent="0.3">
      <c r="A1265" s="2401">
        <v>1259</v>
      </c>
      <c r="B1265" s="1122" t="s">
        <v>2168</v>
      </c>
      <c r="C1265" s="1117" t="s">
        <v>1344</v>
      </c>
      <c r="D1265" s="416" t="s">
        <v>968</v>
      </c>
      <c r="E1265" s="217" t="s">
        <v>2287</v>
      </c>
      <c r="F1265" s="218" t="s">
        <v>2170</v>
      </c>
      <c r="G1265" s="116">
        <v>8400</v>
      </c>
      <c r="H1265" s="1776" t="s">
        <v>1349</v>
      </c>
      <c r="J1265" s="224"/>
      <c r="K1265" s="34" t="s">
        <v>25</v>
      </c>
      <c r="L1265" s="475"/>
      <c r="M1265" s="224"/>
      <c r="N1265" s="224"/>
      <c r="O1265" s="902" t="s">
        <v>6395</v>
      </c>
    </row>
    <row r="1266" spans="1:15" x14ac:dyDescent="0.3">
      <c r="A1266" s="2402">
        <v>1260</v>
      </c>
      <c r="B1266" s="1122" t="s">
        <v>2288</v>
      </c>
      <c r="C1266" s="1117" t="s">
        <v>1344</v>
      </c>
      <c r="D1266" s="452" t="s">
        <v>968</v>
      </c>
      <c r="E1266" s="217" t="s">
        <v>2289</v>
      </c>
      <c r="F1266" s="218" t="s">
        <v>2170</v>
      </c>
      <c r="G1266" s="116">
        <v>8400</v>
      </c>
      <c r="H1266" s="1776" t="s">
        <v>1349</v>
      </c>
      <c r="J1266" s="224"/>
      <c r="K1266" s="34" t="s">
        <v>25</v>
      </c>
      <c r="L1266" s="475"/>
      <c r="M1266" s="224"/>
      <c r="N1266" s="224"/>
      <c r="O1266" s="902" t="s">
        <v>6395</v>
      </c>
    </row>
    <row r="1267" spans="1:15" x14ac:dyDescent="0.3">
      <c r="A1267" s="2402">
        <v>1261</v>
      </c>
      <c r="B1267" s="1122" t="s">
        <v>2288</v>
      </c>
      <c r="C1267" s="1117" t="s">
        <v>1344</v>
      </c>
      <c r="D1267" s="495" t="s">
        <v>968</v>
      </c>
      <c r="E1267" s="217" t="s">
        <v>2290</v>
      </c>
      <c r="F1267" s="218" t="s">
        <v>2170</v>
      </c>
      <c r="G1267" s="116">
        <v>8400</v>
      </c>
      <c r="H1267" s="1776" t="s">
        <v>1349</v>
      </c>
      <c r="J1267" s="224"/>
      <c r="K1267" s="34" t="s">
        <v>25</v>
      </c>
      <c r="L1267" s="475"/>
      <c r="M1267" s="224"/>
      <c r="N1267" s="224"/>
      <c r="O1267" s="902" t="s">
        <v>6395</v>
      </c>
    </row>
    <row r="1268" spans="1:15" x14ac:dyDescent="0.3">
      <c r="A1268" s="2402">
        <v>1262</v>
      </c>
      <c r="B1268" s="1122" t="s">
        <v>2288</v>
      </c>
      <c r="C1268" s="216" t="s">
        <v>1344</v>
      </c>
      <c r="D1268" s="793" t="s">
        <v>968</v>
      </c>
      <c r="E1268" s="217" t="s">
        <v>2291</v>
      </c>
      <c r="F1268" s="218" t="s">
        <v>2170</v>
      </c>
      <c r="G1268" s="116">
        <v>8400</v>
      </c>
      <c r="H1268" s="1776" t="s">
        <v>1349</v>
      </c>
      <c r="J1268" s="224"/>
      <c r="K1268" s="34" t="s">
        <v>25</v>
      </c>
      <c r="L1268" s="475"/>
      <c r="M1268" s="224"/>
      <c r="N1268" s="224"/>
      <c r="O1268" s="902" t="s">
        <v>6395</v>
      </c>
    </row>
    <row r="1269" spans="1:15" x14ac:dyDescent="0.3">
      <c r="A1269" s="2402">
        <v>1263</v>
      </c>
      <c r="B1269" s="1122" t="s">
        <v>2288</v>
      </c>
      <c r="C1269" s="216" t="s">
        <v>1344</v>
      </c>
      <c r="D1269" s="416" t="s">
        <v>968</v>
      </c>
      <c r="E1269" s="217" t="s">
        <v>2292</v>
      </c>
      <c r="F1269" s="218" t="s">
        <v>2170</v>
      </c>
      <c r="G1269" s="116">
        <v>8400</v>
      </c>
      <c r="H1269" s="1776" t="s">
        <v>1349</v>
      </c>
      <c r="J1269" s="224"/>
      <c r="K1269" s="34" t="s">
        <v>25</v>
      </c>
      <c r="L1269" s="475"/>
      <c r="M1269" s="224"/>
      <c r="N1269" s="224"/>
      <c r="O1269" s="902" t="s">
        <v>6395</v>
      </c>
    </row>
    <row r="1270" spans="1:15" x14ac:dyDescent="0.3">
      <c r="A1270" s="2401">
        <v>1264</v>
      </c>
      <c r="B1270" s="1122" t="s">
        <v>2293</v>
      </c>
      <c r="C1270" s="216" t="s">
        <v>1344</v>
      </c>
      <c r="D1270" s="416" t="s">
        <v>2294</v>
      </c>
      <c r="E1270" s="217" t="s">
        <v>2295</v>
      </c>
      <c r="F1270" s="218" t="s">
        <v>2296</v>
      </c>
      <c r="G1270" s="116">
        <v>4450</v>
      </c>
      <c r="H1270" s="1776" t="s">
        <v>1349</v>
      </c>
      <c r="I1270" s="118" t="s">
        <v>25</v>
      </c>
      <c r="J1270" s="224"/>
      <c r="K1270" s="147"/>
      <c r="L1270" s="475"/>
      <c r="M1270" s="224"/>
      <c r="N1270" s="224"/>
      <c r="O1270" s="225" t="s">
        <v>2297</v>
      </c>
    </row>
    <row r="1271" spans="1:15" x14ac:dyDescent="0.3">
      <c r="A1271" s="2402">
        <v>1265</v>
      </c>
      <c r="B1271" s="1122" t="s">
        <v>2293</v>
      </c>
      <c r="C1271" s="216" t="s">
        <v>1344</v>
      </c>
      <c r="D1271" s="416" t="s">
        <v>2294</v>
      </c>
      <c r="E1271" s="217" t="s">
        <v>2298</v>
      </c>
      <c r="F1271" s="218" t="s">
        <v>2296</v>
      </c>
      <c r="G1271" s="116">
        <v>4450</v>
      </c>
      <c r="H1271" s="1776" t="s">
        <v>1349</v>
      </c>
      <c r="I1271" s="118" t="s">
        <v>25</v>
      </c>
      <c r="J1271" s="119"/>
      <c r="K1271" s="119"/>
      <c r="L1271" s="119"/>
      <c r="M1271" s="119"/>
      <c r="N1271" s="119"/>
      <c r="O1271" s="225" t="s">
        <v>2297</v>
      </c>
    </row>
    <row r="1272" spans="1:15" x14ac:dyDescent="0.3">
      <c r="A1272" s="2402">
        <v>1266</v>
      </c>
      <c r="B1272" s="1122" t="s">
        <v>2293</v>
      </c>
      <c r="C1272" s="216" t="s">
        <v>1344</v>
      </c>
      <c r="D1272" s="416" t="s">
        <v>2294</v>
      </c>
      <c r="E1272" s="217" t="s">
        <v>2299</v>
      </c>
      <c r="F1272" s="218" t="s">
        <v>2296</v>
      </c>
      <c r="G1272" s="116">
        <v>4450</v>
      </c>
      <c r="H1272" s="1776" t="s">
        <v>1349</v>
      </c>
      <c r="I1272" s="118" t="s">
        <v>25</v>
      </c>
      <c r="J1272" s="119"/>
      <c r="K1272" s="119"/>
      <c r="L1272" s="119"/>
      <c r="M1272" s="119"/>
      <c r="N1272" s="119"/>
      <c r="O1272" s="225" t="s">
        <v>2297</v>
      </c>
    </row>
    <row r="1273" spans="1:15" x14ac:dyDescent="0.3">
      <c r="A1273" s="2401">
        <v>1267</v>
      </c>
      <c r="B1273" s="1122" t="s">
        <v>2293</v>
      </c>
      <c r="C1273" s="216" t="s">
        <v>1344</v>
      </c>
      <c r="D1273" s="416" t="s">
        <v>2294</v>
      </c>
      <c r="E1273" s="217" t="s">
        <v>2300</v>
      </c>
      <c r="F1273" s="218" t="s">
        <v>2296</v>
      </c>
      <c r="G1273" s="116">
        <v>4450</v>
      </c>
      <c r="H1273" s="1776" t="s">
        <v>1349</v>
      </c>
      <c r="I1273" s="118" t="s">
        <v>25</v>
      </c>
      <c r="J1273" s="119"/>
      <c r="K1273" s="119"/>
      <c r="L1273" s="119"/>
      <c r="M1273" s="119"/>
      <c r="N1273" s="119"/>
      <c r="O1273" s="191"/>
    </row>
    <row r="1274" spans="1:15" x14ac:dyDescent="0.3">
      <c r="A1274" s="2402">
        <v>1268</v>
      </c>
      <c r="B1274" s="1122" t="s">
        <v>2293</v>
      </c>
      <c r="C1274" s="216" t="s">
        <v>1344</v>
      </c>
      <c r="D1274" s="416" t="s">
        <v>2294</v>
      </c>
      <c r="E1274" s="217" t="s">
        <v>2301</v>
      </c>
      <c r="F1274" s="218" t="s">
        <v>2296</v>
      </c>
      <c r="G1274" s="116">
        <v>4450</v>
      </c>
      <c r="H1274" s="1776" t="s">
        <v>1349</v>
      </c>
      <c r="I1274" s="118" t="s">
        <v>25</v>
      </c>
      <c r="J1274" s="119"/>
      <c r="K1274" s="119"/>
      <c r="L1274" s="119"/>
      <c r="M1274" s="119"/>
      <c r="N1274" s="119"/>
      <c r="O1274" s="191"/>
    </row>
    <row r="1275" spans="1:15" x14ac:dyDescent="0.3">
      <c r="A1275" s="2402">
        <v>1269</v>
      </c>
      <c r="B1275" s="1122" t="s">
        <v>2293</v>
      </c>
      <c r="C1275" s="216" t="s">
        <v>1344</v>
      </c>
      <c r="D1275" s="416" t="s">
        <v>2294</v>
      </c>
      <c r="E1275" s="217" t="s">
        <v>2302</v>
      </c>
      <c r="F1275" s="218" t="s">
        <v>2296</v>
      </c>
      <c r="G1275" s="116">
        <v>4450</v>
      </c>
      <c r="H1275" s="1776" t="s">
        <v>1349</v>
      </c>
      <c r="I1275" s="118" t="s">
        <v>25</v>
      </c>
      <c r="J1275" s="119"/>
      <c r="K1275" s="119"/>
      <c r="L1275" s="119"/>
      <c r="M1275" s="119"/>
      <c r="N1275" s="119"/>
      <c r="O1275" s="191"/>
    </row>
    <row r="1276" spans="1:15" x14ac:dyDescent="0.3">
      <c r="A1276" s="2402">
        <v>1270</v>
      </c>
      <c r="B1276" s="1122" t="s">
        <v>2293</v>
      </c>
      <c r="C1276" s="216" t="s">
        <v>1344</v>
      </c>
      <c r="D1276" s="416" t="s">
        <v>2294</v>
      </c>
      <c r="E1276" s="217" t="s">
        <v>2303</v>
      </c>
      <c r="F1276" s="218" t="s">
        <v>2296</v>
      </c>
      <c r="G1276" s="116">
        <v>4450</v>
      </c>
      <c r="H1276" s="1776" t="s">
        <v>1349</v>
      </c>
      <c r="I1276" s="118" t="s">
        <v>25</v>
      </c>
      <c r="J1276" s="119"/>
      <c r="K1276" s="119"/>
      <c r="L1276" s="119"/>
      <c r="M1276" s="119"/>
      <c r="N1276" s="119"/>
      <c r="O1276" s="191"/>
    </row>
    <row r="1277" spans="1:15" x14ac:dyDescent="0.3">
      <c r="A1277" s="2402">
        <v>1271</v>
      </c>
      <c r="B1277" s="1122" t="s">
        <v>2293</v>
      </c>
      <c r="C1277" s="216" t="s">
        <v>1344</v>
      </c>
      <c r="D1277" s="416" t="s">
        <v>2294</v>
      </c>
      <c r="E1277" s="217" t="s">
        <v>2304</v>
      </c>
      <c r="F1277" s="218" t="s">
        <v>2296</v>
      </c>
      <c r="G1277" s="116">
        <v>4450</v>
      </c>
      <c r="H1277" s="1776" t="s">
        <v>1349</v>
      </c>
      <c r="I1277" s="118" t="s">
        <v>25</v>
      </c>
      <c r="J1277" s="119"/>
      <c r="K1277" s="119"/>
      <c r="L1277" s="119"/>
      <c r="M1277" s="119"/>
      <c r="N1277" s="119"/>
      <c r="O1277" s="191"/>
    </row>
    <row r="1278" spans="1:15" x14ac:dyDescent="0.3">
      <c r="A1278" s="2401">
        <v>1272</v>
      </c>
      <c r="B1278" s="1122" t="s">
        <v>2293</v>
      </c>
      <c r="C1278" s="216" t="s">
        <v>1344</v>
      </c>
      <c r="D1278" s="416" t="s">
        <v>2294</v>
      </c>
      <c r="E1278" s="217" t="s">
        <v>2305</v>
      </c>
      <c r="F1278" s="218" t="s">
        <v>2296</v>
      </c>
      <c r="G1278" s="116">
        <v>4450</v>
      </c>
      <c r="H1278" s="1776" t="s">
        <v>1349</v>
      </c>
      <c r="I1278" s="118" t="s">
        <v>25</v>
      </c>
      <c r="J1278" s="119"/>
      <c r="K1278" s="119"/>
      <c r="L1278" s="119"/>
      <c r="M1278" s="119"/>
      <c r="N1278" s="119"/>
      <c r="O1278" s="191" t="s">
        <v>2297</v>
      </c>
    </row>
    <row r="1279" spans="1:15" x14ac:dyDescent="0.3">
      <c r="A1279" s="2402">
        <v>1273</v>
      </c>
      <c r="B1279" s="1122" t="s">
        <v>2293</v>
      </c>
      <c r="C1279" s="216" t="s">
        <v>1344</v>
      </c>
      <c r="D1279" s="416" t="s">
        <v>2294</v>
      </c>
      <c r="E1279" s="217" t="s">
        <v>2306</v>
      </c>
      <c r="F1279" s="218" t="s">
        <v>2296</v>
      </c>
      <c r="G1279" s="116">
        <v>4450</v>
      </c>
      <c r="H1279" s="1776" t="s">
        <v>1349</v>
      </c>
      <c r="I1279" s="118" t="s">
        <v>25</v>
      </c>
      <c r="J1279" s="119"/>
      <c r="K1279" s="119"/>
      <c r="L1279" s="119"/>
      <c r="M1279" s="119"/>
      <c r="N1279" s="119"/>
      <c r="O1279" s="191"/>
    </row>
    <row r="1280" spans="1:15" x14ac:dyDescent="0.3">
      <c r="A1280" s="2402">
        <v>1274</v>
      </c>
      <c r="B1280" s="1122" t="s">
        <v>2293</v>
      </c>
      <c r="C1280" s="216" t="s">
        <v>1344</v>
      </c>
      <c r="D1280" s="416" t="s">
        <v>2294</v>
      </c>
      <c r="E1280" s="217" t="s">
        <v>2307</v>
      </c>
      <c r="F1280" s="218" t="s">
        <v>2296</v>
      </c>
      <c r="G1280" s="116">
        <v>4450</v>
      </c>
      <c r="H1280" s="1776" t="s">
        <v>1349</v>
      </c>
      <c r="I1280" s="118" t="s">
        <v>25</v>
      </c>
      <c r="J1280" s="119"/>
      <c r="K1280" s="119"/>
      <c r="L1280" s="119"/>
      <c r="M1280" s="119"/>
      <c r="N1280" s="119"/>
      <c r="O1280" s="191" t="s">
        <v>2297</v>
      </c>
    </row>
    <row r="1281" spans="1:15" x14ac:dyDescent="0.3">
      <c r="A1281" s="2401">
        <v>1275</v>
      </c>
      <c r="B1281" s="1122" t="s">
        <v>2293</v>
      </c>
      <c r="C1281" s="216" t="s">
        <v>1344</v>
      </c>
      <c r="D1281" s="452" t="s">
        <v>2294</v>
      </c>
      <c r="E1281" s="217" t="s">
        <v>2308</v>
      </c>
      <c r="F1281" s="218" t="s">
        <v>2296</v>
      </c>
      <c r="G1281" s="116">
        <v>4450</v>
      </c>
      <c r="H1281" s="1776" t="s">
        <v>1349</v>
      </c>
      <c r="I1281" s="118" t="s">
        <v>25</v>
      </c>
      <c r="J1281" s="119"/>
      <c r="K1281" s="119"/>
      <c r="L1281" s="119"/>
      <c r="M1281" s="119"/>
      <c r="N1281" s="119"/>
      <c r="O1281" s="191"/>
    </row>
    <row r="1282" spans="1:15" x14ac:dyDescent="0.3">
      <c r="A1282" s="2402">
        <v>1276</v>
      </c>
      <c r="B1282" s="1122" t="s">
        <v>2293</v>
      </c>
      <c r="C1282" s="216" t="s">
        <v>1344</v>
      </c>
      <c r="D1282" s="793" t="s">
        <v>2294</v>
      </c>
      <c r="E1282" s="217" t="s">
        <v>2309</v>
      </c>
      <c r="F1282" s="218" t="s">
        <v>2296</v>
      </c>
      <c r="G1282" s="116">
        <v>4450</v>
      </c>
      <c r="H1282" s="1776" t="s">
        <v>1349</v>
      </c>
      <c r="I1282" s="118" t="s">
        <v>25</v>
      </c>
      <c r="J1282" s="119"/>
      <c r="K1282" s="119"/>
      <c r="L1282" s="119"/>
      <c r="M1282" s="119"/>
      <c r="N1282" s="119"/>
      <c r="O1282" s="191"/>
    </row>
    <row r="1283" spans="1:15" x14ac:dyDescent="0.3">
      <c r="A1283" s="2402">
        <v>1277</v>
      </c>
      <c r="B1283" s="1122" t="s">
        <v>2293</v>
      </c>
      <c r="C1283" s="216" t="s">
        <v>1344</v>
      </c>
      <c r="D1283" s="416" t="s">
        <v>2294</v>
      </c>
      <c r="E1283" s="217" t="s">
        <v>2310</v>
      </c>
      <c r="F1283" s="218" t="s">
        <v>2296</v>
      </c>
      <c r="G1283" s="116">
        <v>4450</v>
      </c>
      <c r="H1283" s="1776" t="s">
        <v>1349</v>
      </c>
      <c r="I1283" s="118" t="s">
        <v>25</v>
      </c>
      <c r="J1283" s="119"/>
      <c r="K1283" s="119"/>
      <c r="L1283" s="119"/>
      <c r="M1283" s="119"/>
      <c r="N1283" s="119"/>
      <c r="O1283" s="191"/>
    </row>
    <row r="1284" spans="1:15" x14ac:dyDescent="0.3">
      <c r="A1284" s="2402">
        <v>1278</v>
      </c>
      <c r="B1284" s="1122" t="s">
        <v>2293</v>
      </c>
      <c r="C1284" s="216" t="s">
        <v>1344</v>
      </c>
      <c r="D1284" s="416" t="s">
        <v>2294</v>
      </c>
      <c r="E1284" s="217" t="s">
        <v>2311</v>
      </c>
      <c r="F1284" s="218" t="s">
        <v>2296</v>
      </c>
      <c r="G1284" s="116">
        <v>4450</v>
      </c>
      <c r="H1284" s="1776" t="s">
        <v>1349</v>
      </c>
      <c r="I1284" s="118" t="s">
        <v>25</v>
      </c>
      <c r="J1284" s="118"/>
      <c r="K1284" s="118"/>
      <c r="M1284" s="119"/>
      <c r="N1284" s="119"/>
      <c r="O1284" s="191"/>
    </row>
    <row r="1285" spans="1:15" ht="18.75" customHeight="1" x14ac:dyDescent="0.3">
      <c r="A1285" s="2402">
        <v>1279</v>
      </c>
      <c r="B1285" s="1122" t="s">
        <v>2293</v>
      </c>
      <c r="C1285" s="216" t="s">
        <v>1344</v>
      </c>
      <c r="D1285" s="416" t="s">
        <v>2294</v>
      </c>
      <c r="E1285" s="217" t="s">
        <v>2312</v>
      </c>
      <c r="F1285" s="218" t="s">
        <v>2296</v>
      </c>
      <c r="G1285" s="116">
        <v>4450</v>
      </c>
      <c r="H1285" s="1776" t="s">
        <v>1349</v>
      </c>
      <c r="I1285" s="118" t="s">
        <v>25</v>
      </c>
      <c r="J1285" s="118"/>
      <c r="K1285" s="118"/>
      <c r="L1285" s="118"/>
      <c r="M1285" s="119"/>
      <c r="N1285" s="119"/>
      <c r="O1285" s="146"/>
    </row>
    <row r="1286" spans="1:15" ht="18.75" customHeight="1" x14ac:dyDescent="0.3">
      <c r="A1286" s="2401">
        <v>1280</v>
      </c>
      <c r="B1286" s="1122" t="s">
        <v>2293</v>
      </c>
      <c r="C1286" s="216" t="s">
        <v>1344</v>
      </c>
      <c r="D1286" s="416" t="s">
        <v>2294</v>
      </c>
      <c r="E1286" s="217" t="s">
        <v>2313</v>
      </c>
      <c r="F1286" s="218" t="s">
        <v>2296</v>
      </c>
      <c r="G1286" s="116">
        <v>4450</v>
      </c>
      <c r="H1286" s="1776" t="s">
        <v>1349</v>
      </c>
      <c r="I1286" s="118" t="s">
        <v>25</v>
      </c>
      <c r="J1286" s="118"/>
      <c r="K1286" s="118"/>
      <c r="M1286" s="119"/>
      <c r="N1286" s="119"/>
      <c r="O1286" s="146"/>
    </row>
    <row r="1287" spans="1:15" ht="18.75" customHeight="1" x14ac:dyDescent="0.3">
      <c r="A1287" s="2402">
        <v>1281</v>
      </c>
      <c r="B1287" s="1122" t="s">
        <v>2293</v>
      </c>
      <c r="C1287" s="216" t="s">
        <v>1344</v>
      </c>
      <c r="D1287" s="416" t="s">
        <v>2294</v>
      </c>
      <c r="E1287" s="217" t="s">
        <v>2314</v>
      </c>
      <c r="F1287" s="218" t="s">
        <v>2296</v>
      </c>
      <c r="G1287" s="116">
        <v>4450</v>
      </c>
      <c r="H1287" s="1776" t="s">
        <v>1349</v>
      </c>
      <c r="I1287" s="118" t="s">
        <v>25</v>
      </c>
      <c r="J1287" s="119"/>
      <c r="K1287" s="119"/>
      <c r="L1287" s="119"/>
      <c r="M1287" s="119"/>
      <c r="N1287" s="119"/>
      <c r="O1287" s="146"/>
    </row>
    <row r="1288" spans="1:15" ht="18.75" customHeight="1" x14ac:dyDescent="0.3">
      <c r="A1288" s="2402">
        <v>1282</v>
      </c>
      <c r="B1288" s="1122" t="s">
        <v>2293</v>
      </c>
      <c r="C1288" s="216" t="s">
        <v>1344</v>
      </c>
      <c r="D1288" s="416" t="s">
        <v>2294</v>
      </c>
      <c r="E1288" s="217" t="s">
        <v>2315</v>
      </c>
      <c r="F1288" s="218" t="s">
        <v>2296</v>
      </c>
      <c r="G1288" s="116">
        <v>4450</v>
      </c>
      <c r="H1288" s="1776" t="s">
        <v>1349</v>
      </c>
      <c r="I1288" s="118" t="s">
        <v>25</v>
      </c>
      <c r="J1288" s="119"/>
      <c r="K1288" s="119"/>
      <c r="L1288" s="119"/>
      <c r="M1288" s="119"/>
      <c r="N1288" s="119"/>
      <c r="O1288" s="146"/>
    </row>
    <row r="1289" spans="1:15" ht="18.75" customHeight="1" x14ac:dyDescent="0.3">
      <c r="A1289" s="2401">
        <v>1283</v>
      </c>
      <c r="B1289" s="1122" t="s">
        <v>2293</v>
      </c>
      <c r="C1289" s="216" t="s">
        <v>1344</v>
      </c>
      <c r="D1289" s="452" t="s">
        <v>2294</v>
      </c>
      <c r="E1289" s="217" t="s">
        <v>2316</v>
      </c>
      <c r="F1289" s="218" t="s">
        <v>2296</v>
      </c>
      <c r="G1289" s="116">
        <v>4450</v>
      </c>
      <c r="H1289" s="1776" t="s">
        <v>1349</v>
      </c>
      <c r="I1289" s="118" t="s">
        <v>25</v>
      </c>
      <c r="J1289" s="119"/>
      <c r="K1289" s="119"/>
      <c r="L1289" s="119"/>
      <c r="M1289" s="119"/>
      <c r="N1289" s="119"/>
      <c r="O1289" s="146"/>
    </row>
    <row r="1290" spans="1:15" ht="18.75" customHeight="1" x14ac:dyDescent="0.3">
      <c r="A1290" s="2402">
        <v>1284</v>
      </c>
      <c r="B1290" s="1122" t="s">
        <v>2293</v>
      </c>
      <c r="C1290" s="216" t="s">
        <v>1344</v>
      </c>
      <c r="D1290" s="495" t="s">
        <v>2294</v>
      </c>
      <c r="E1290" s="217" t="s">
        <v>2317</v>
      </c>
      <c r="F1290" s="218" t="s">
        <v>2296</v>
      </c>
      <c r="G1290" s="116">
        <v>4450</v>
      </c>
      <c r="H1290" s="1776" t="s">
        <v>1349</v>
      </c>
      <c r="I1290" s="118" t="s">
        <v>25</v>
      </c>
      <c r="J1290" s="119"/>
      <c r="K1290" s="119"/>
      <c r="L1290" s="119"/>
      <c r="M1290" s="119"/>
      <c r="N1290" s="119"/>
      <c r="O1290" s="146"/>
    </row>
    <row r="1291" spans="1:15" ht="18.75" customHeight="1" x14ac:dyDescent="0.3">
      <c r="A1291" s="2402">
        <v>1285</v>
      </c>
      <c r="B1291" s="1122" t="s">
        <v>2293</v>
      </c>
      <c r="C1291" s="216" t="s">
        <v>1344</v>
      </c>
      <c r="D1291" s="793" t="s">
        <v>2294</v>
      </c>
      <c r="E1291" s="217" t="s">
        <v>2318</v>
      </c>
      <c r="F1291" s="218" t="s">
        <v>2296</v>
      </c>
      <c r="G1291" s="116">
        <v>4450</v>
      </c>
      <c r="H1291" s="1776" t="s">
        <v>1349</v>
      </c>
      <c r="I1291" s="118" t="s">
        <v>25</v>
      </c>
      <c r="J1291" s="119"/>
      <c r="K1291" s="119"/>
      <c r="L1291" s="119"/>
      <c r="M1291" s="119"/>
      <c r="N1291" s="119"/>
      <c r="O1291" s="146"/>
    </row>
    <row r="1292" spans="1:15" ht="18.75" customHeight="1" x14ac:dyDescent="0.3">
      <c r="A1292" s="2402">
        <v>1286</v>
      </c>
      <c r="B1292" s="1122" t="s">
        <v>2293</v>
      </c>
      <c r="C1292" s="216" t="s">
        <v>1344</v>
      </c>
      <c r="D1292" s="416" t="s">
        <v>2294</v>
      </c>
      <c r="E1292" s="217" t="s">
        <v>2319</v>
      </c>
      <c r="F1292" s="218" t="s">
        <v>2296</v>
      </c>
      <c r="G1292" s="116">
        <v>4450</v>
      </c>
      <c r="H1292" s="1776" t="s">
        <v>1349</v>
      </c>
      <c r="I1292" s="118" t="s">
        <v>25</v>
      </c>
      <c r="J1292" s="119"/>
      <c r="K1292" s="119"/>
      <c r="L1292" s="119"/>
      <c r="M1292" s="119"/>
      <c r="N1292" s="119"/>
      <c r="O1292" s="146"/>
    </row>
    <row r="1293" spans="1:15" ht="18.75" customHeight="1" x14ac:dyDescent="0.3">
      <c r="A1293" s="2402">
        <v>1287</v>
      </c>
      <c r="B1293" s="1122" t="s">
        <v>2293</v>
      </c>
      <c r="C1293" s="216" t="s">
        <v>1344</v>
      </c>
      <c r="D1293" s="416" t="s">
        <v>2294</v>
      </c>
      <c r="E1293" s="217" t="s">
        <v>2320</v>
      </c>
      <c r="F1293" s="218" t="s">
        <v>2296</v>
      </c>
      <c r="G1293" s="116">
        <v>4450</v>
      </c>
      <c r="H1293" s="1776" t="s">
        <v>1349</v>
      </c>
      <c r="I1293" s="118" t="s">
        <v>25</v>
      </c>
      <c r="J1293" s="119"/>
      <c r="K1293" s="119"/>
      <c r="L1293" s="119"/>
      <c r="M1293" s="119"/>
      <c r="N1293" s="119"/>
      <c r="O1293" s="146"/>
    </row>
    <row r="1294" spans="1:15" ht="18.75" customHeight="1" x14ac:dyDescent="0.3">
      <c r="A1294" s="2401">
        <v>1288</v>
      </c>
      <c r="B1294" s="1122" t="s">
        <v>2321</v>
      </c>
      <c r="C1294" s="216" t="s">
        <v>1344</v>
      </c>
      <c r="D1294" s="416" t="s">
        <v>2322</v>
      </c>
      <c r="E1294" s="217" t="s">
        <v>2323</v>
      </c>
      <c r="F1294" s="218" t="s">
        <v>2324</v>
      </c>
      <c r="G1294" s="116">
        <v>12250</v>
      </c>
      <c r="H1294" s="1776" t="s">
        <v>1349</v>
      </c>
      <c r="J1294" s="1126"/>
      <c r="K1294" s="34" t="s">
        <v>25</v>
      </c>
      <c r="L1294" s="1127"/>
      <c r="M1294" s="1126"/>
      <c r="N1294" s="1126"/>
      <c r="O1294" s="902" t="s">
        <v>6395</v>
      </c>
    </row>
    <row r="1295" spans="1:15" ht="18.75" customHeight="1" x14ac:dyDescent="0.3">
      <c r="A1295" s="2402">
        <v>1289</v>
      </c>
      <c r="B1295" s="1122" t="s">
        <v>2321</v>
      </c>
      <c r="C1295" s="216" t="s">
        <v>1344</v>
      </c>
      <c r="D1295" s="416" t="s">
        <v>2322</v>
      </c>
      <c r="E1295" s="217" t="s">
        <v>2325</v>
      </c>
      <c r="F1295" s="218" t="s">
        <v>2324</v>
      </c>
      <c r="G1295" s="116">
        <v>12250</v>
      </c>
      <c r="H1295" s="1776" t="s">
        <v>1349</v>
      </c>
      <c r="J1295" s="1126"/>
      <c r="K1295" s="34" t="s">
        <v>25</v>
      </c>
      <c r="L1295" s="1127"/>
      <c r="M1295" s="1126"/>
      <c r="N1295" s="1126"/>
      <c r="O1295" s="902" t="s">
        <v>6395</v>
      </c>
    </row>
    <row r="1296" spans="1:15" ht="18.75" customHeight="1" x14ac:dyDescent="0.3">
      <c r="A1296" s="2402">
        <v>1290</v>
      </c>
      <c r="B1296" s="1122" t="s">
        <v>2321</v>
      </c>
      <c r="C1296" s="216" t="s">
        <v>1344</v>
      </c>
      <c r="D1296" s="416" t="s">
        <v>2322</v>
      </c>
      <c r="E1296" s="217" t="s">
        <v>2326</v>
      </c>
      <c r="F1296" s="218" t="s">
        <v>2324</v>
      </c>
      <c r="G1296" s="116">
        <v>12250</v>
      </c>
      <c r="H1296" s="1776" t="s">
        <v>1349</v>
      </c>
      <c r="J1296" s="1126"/>
      <c r="K1296" s="34" t="s">
        <v>25</v>
      </c>
      <c r="L1296" s="1127"/>
      <c r="M1296" s="1126"/>
      <c r="N1296" s="1126"/>
      <c r="O1296" s="902" t="s">
        <v>6395</v>
      </c>
    </row>
    <row r="1297" spans="1:15" ht="18.75" customHeight="1" x14ac:dyDescent="0.3">
      <c r="A1297" s="2401">
        <v>1291</v>
      </c>
      <c r="B1297" s="1122" t="s">
        <v>2321</v>
      </c>
      <c r="C1297" s="216" t="s">
        <v>1344</v>
      </c>
      <c r="D1297" s="416" t="s">
        <v>2322</v>
      </c>
      <c r="E1297" s="217" t="s">
        <v>2327</v>
      </c>
      <c r="F1297" s="218" t="s">
        <v>2324</v>
      </c>
      <c r="G1297" s="116">
        <v>12250</v>
      </c>
      <c r="H1297" s="1776" t="s">
        <v>1349</v>
      </c>
      <c r="J1297" s="1126"/>
      <c r="K1297" s="34" t="s">
        <v>25</v>
      </c>
      <c r="L1297" s="1127"/>
      <c r="M1297" s="1126"/>
      <c r="N1297" s="1126"/>
      <c r="O1297" s="902" t="s">
        <v>6395</v>
      </c>
    </row>
    <row r="1298" spans="1:15" ht="18.75" customHeight="1" x14ac:dyDescent="0.3">
      <c r="A1298" s="2402">
        <v>1292</v>
      </c>
      <c r="B1298" s="1122" t="s">
        <v>2321</v>
      </c>
      <c r="C1298" s="216" t="s">
        <v>1344</v>
      </c>
      <c r="D1298" s="416" t="s">
        <v>2322</v>
      </c>
      <c r="E1298" s="217" t="s">
        <v>2328</v>
      </c>
      <c r="F1298" s="218" t="s">
        <v>2324</v>
      </c>
      <c r="G1298" s="116">
        <v>12250</v>
      </c>
      <c r="H1298" s="1776" t="s">
        <v>1349</v>
      </c>
      <c r="J1298" s="1126"/>
      <c r="K1298" s="34" t="s">
        <v>25</v>
      </c>
      <c r="L1298" s="1127"/>
      <c r="M1298" s="1126"/>
      <c r="N1298" s="1126"/>
      <c r="O1298" s="902" t="s">
        <v>6395</v>
      </c>
    </row>
    <row r="1299" spans="1:15" ht="18.75" customHeight="1" x14ac:dyDescent="0.3">
      <c r="A1299" s="2402">
        <v>1293</v>
      </c>
      <c r="B1299" s="1122" t="s">
        <v>2321</v>
      </c>
      <c r="C1299" s="216" t="s">
        <v>1344</v>
      </c>
      <c r="D1299" s="416" t="s">
        <v>2322</v>
      </c>
      <c r="E1299" s="217" t="s">
        <v>2329</v>
      </c>
      <c r="F1299" s="218" t="s">
        <v>2324</v>
      </c>
      <c r="G1299" s="116">
        <v>12250</v>
      </c>
      <c r="H1299" s="1776" t="s">
        <v>1349</v>
      </c>
      <c r="J1299" s="1126"/>
      <c r="K1299" s="34" t="s">
        <v>25</v>
      </c>
      <c r="L1299" s="1127"/>
      <c r="M1299" s="1126"/>
      <c r="N1299" s="1126"/>
      <c r="O1299" s="902" t="s">
        <v>6395</v>
      </c>
    </row>
    <row r="1300" spans="1:15" ht="18.75" customHeight="1" x14ac:dyDescent="0.3">
      <c r="A1300" s="2402">
        <v>1294</v>
      </c>
      <c r="B1300" s="1122" t="s">
        <v>2321</v>
      </c>
      <c r="C1300" s="216" t="s">
        <v>1344</v>
      </c>
      <c r="D1300" s="416" t="s">
        <v>2322</v>
      </c>
      <c r="E1300" s="217" t="s">
        <v>2330</v>
      </c>
      <c r="F1300" s="218" t="s">
        <v>2324</v>
      </c>
      <c r="G1300" s="116">
        <v>12250</v>
      </c>
      <c r="H1300" s="1776" t="s">
        <v>1349</v>
      </c>
      <c r="J1300" s="1126"/>
      <c r="K1300" s="34" t="s">
        <v>25</v>
      </c>
      <c r="L1300" s="1127"/>
      <c r="M1300" s="1126"/>
      <c r="N1300" s="1126"/>
      <c r="O1300" s="902" t="s">
        <v>6395</v>
      </c>
    </row>
    <row r="1301" spans="1:15" ht="18.75" customHeight="1" x14ac:dyDescent="0.3">
      <c r="A1301" s="2402">
        <v>1295</v>
      </c>
      <c r="B1301" s="1122" t="s">
        <v>2321</v>
      </c>
      <c r="C1301" s="216" t="s">
        <v>1344</v>
      </c>
      <c r="D1301" s="416" t="s">
        <v>2322</v>
      </c>
      <c r="E1301" s="217" t="s">
        <v>2331</v>
      </c>
      <c r="F1301" s="218" t="s">
        <v>2324</v>
      </c>
      <c r="G1301" s="116">
        <v>12250</v>
      </c>
      <c r="H1301" s="1776" t="s">
        <v>1349</v>
      </c>
      <c r="J1301" s="1126"/>
      <c r="K1301" s="34" t="s">
        <v>25</v>
      </c>
      <c r="L1301" s="1127"/>
      <c r="M1301" s="1126"/>
      <c r="N1301" s="1126"/>
      <c r="O1301" s="902" t="s">
        <v>6395</v>
      </c>
    </row>
    <row r="1302" spans="1:15" ht="18.75" customHeight="1" x14ac:dyDescent="0.3">
      <c r="A1302" s="2401">
        <v>1296</v>
      </c>
      <c r="B1302" s="1122" t="s">
        <v>2332</v>
      </c>
      <c r="C1302" s="216" t="s">
        <v>1344</v>
      </c>
      <c r="D1302" s="416" t="s">
        <v>1146</v>
      </c>
      <c r="E1302" s="217" t="s">
        <v>2333</v>
      </c>
      <c r="F1302" s="218" t="s">
        <v>2334</v>
      </c>
      <c r="G1302" s="116">
        <v>4950</v>
      </c>
      <c r="H1302" s="1776" t="s">
        <v>1349</v>
      </c>
      <c r="J1302" s="224"/>
      <c r="K1302" s="34" t="s">
        <v>25</v>
      </c>
      <c r="L1302" s="475"/>
      <c r="M1302" s="224"/>
      <c r="N1302" s="224"/>
      <c r="O1302" s="902" t="s">
        <v>6395</v>
      </c>
    </row>
    <row r="1303" spans="1:15" ht="18.75" customHeight="1" x14ac:dyDescent="0.3">
      <c r="A1303" s="2402">
        <v>1297</v>
      </c>
      <c r="B1303" s="1122" t="s">
        <v>2332</v>
      </c>
      <c r="C1303" s="216" t="s">
        <v>1344</v>
      </c>
      <c r="D1303" s="452" t="s">
        <v>1146</v>
      </c>
      <c r="E1303" s="217" t="s">
        <v>2335</v>
      </c>
      <c r="F1303" s="218" t="s">
        <v>2334</v>
      </c>
      <c r="G1303" s="116">
        <v>4950</v>
      </c>
      <c r="H1303" s="1776" t="s">
        <v>1349</v>
      </c>
      <c r="J1303" s="224"/>
      <c r="K1303" s="34" t="s">
        <v>25</v>
      </c>
      <c r="L1303" s="475"/>
      <c r="M1303" s="224"/>
      <c r="N1303" s="224"/>
      <c r="O1303" s="902" t="s">
        <v>6395</v>
      </c>
    </row>
    <row r="1304" spans="1:15" ht="18.75" customHeight="1" x14ac:dyDescent="0.3">
      <c r="A1304" s="2402">
        <v>1298</v>
      </c>
      <c r="B1304" s="1122" t="s">
        <v>2332</v>
      </c>
      <c r="C1304" s="216" t="s">
        <v>1344</v>
      </c>
      <c r="D1304" s="495" t="s">
        <v>1146</v>
      </c>
      <c r="E1304" s="217" t="s">
        <v>2336</v>
      </c>
      <c r="F1304" s="218" t="s">
        <v>2334</v>
      </c>
      <c r="G1304" s="116">
        <v>4950</v>
      </c>
      <c r="H1304" s="1776" t="s">
        <v>1349</v>
      </c>
      <c r="J1304" s="224"/>
      <c r="K1304" s="34" t="s">
        <v>25</v>
      </c>
      <c r="L1304" s="475"/>
      <c r="M1304" s="224"/>
      <c r="N1304" s="224"/>
      <c r="O1304" s="902" t="s">
        <v>6395</v>
      </c>
    </row>
    <row r="1305" spans="1:15" ht="18.75" customHeight="1" x14ac:dyDescent="0.3">
      <c r="A1305" s="2401">
        <v>1299</v>
      </c>
      <c r="B1305" s="1122" t="s">
        <v>2332</v>
      </c>
      <c r="C1305" s="216" t="s">
        <v>1344</v>
      </c>
      <c r="D1305" s="793" t="s">
        <v>1146</v>
      </c>
      <c r="E1305" s="217" t="s">
        <v>2337</v>
      </c>
      <c r="F1305" s="218" t="s">
        <v>2334</v>
      </c>
      <c r="G1305" s="116">
        <v>4950</v>
      </c>
      <c r="H1305" s="1776" t="s">
        <v>1349</v>
      </c>
      <c r="J1305" s="224"/>
      <c r="K1305" s="34" t="s">
        <v>25</v>
      </c>
      <c r="L1305" s="475"/>
      <c r="M1305" s="224"/>
      <c r="N1305" s="224"/>
      <c r="O1305" s="902" t="s">
        <v>6395</v>
      </c>
    </row>
    <row r="1306" spans="1:15" ht="18.75" customHeight="1" x14ac:dyDescent="0.3">
      <c r="A1306" s="2402">
        <v>1300</v>
      </c>
      <c r="B1306" s="1122" t="s">
        <v>2332</v>
      </c>
      <c r="C1306" s="216" t="s">
        <v>1344</v>
      </c>
      <c r="D1306" s="416" t="s">
        <v>1146</v>
      </c>
      <c r="E1306" s="217" t="s">
        <v>2338</v>
      </c>
      <c r="F1306" s="218" t="s">
        <v>2334</v>
      </c>
      <c r="G1306" s="116">
        <v>4950</v>
      </c>
      <c r="H1306" s="1776" t="s">
        <v>1349</v>
      </c>
      <c r="J1306" s="224"/>
      <c r="K1306" s="34" t="s">
        <v>25</v>
      </c>
      <c r="L1306" s="475"/>
      <c r="M1306" s="224"/>
      <c r="N1306" s="224"/>
      <c r="O1306" s="902" t="s">
        <v>6395</v>
      </c>
    </row>
    <row r="1307" spans="1:15" ht="18.75" customHeight="1" x14ac:dyDescent="0.3">
      <c r="A1307" s="2402">
        <v>1301</v>
      </c>
      <c r="B1307" s="1122" t="s">
        <v>2332</v>
      </c>
      <c r="C1307" s="216" t="s">
        <v>1344</v>
      </c>
      <c r="D1307" s="416" t="s">
        <v>1146</v>
      </c>
      <c r="E1307" s="217" t="s">
        <v>2339</v>
      </c>
      <c r="F1307" s="218" t="s">
        <v>2334</v>
      </c>
      <c r="G1307" s="116">
        <v>4950</v>
      </c>
      <c r="H1307" s="1776" t="s">
        <v>1349</v>
      </c>
      <c r="J1307" s="224"/>
      <c r="K1307" s="34" t="s">
        <v>25</v>
      </c>
      <c r="L1307" s="475"/>
      <c r="M1307" s="224"/>
      <c r="N1307" s="224"/>
      <c r="O1307" s="902" t="s">
        <v>6395</v>
      </c>
    </row>
    <row r="1308" spans="1:15" ht="18.75" customHeight="1" x14ac:dyDescent="0.3">
      <c r="A1308" s="2402">
        <v>1302</v>
      </c>
      <c r="B1308" s="1122" t="s">
        <v>2332</v>
      </c>
      <c r="C1308" s="216" t="s">
        <v>1344</v>
      </c>
      <c r="D1308" s="416" t="s">
        <v>1146</v>
      </c>
      <c r="E1308" s="217" t="s">
        <v>2340</v>
      </c>
      <c r="F1308" s="218" t="s">
        <v>2334</v>
      </c>
      <c r="G1308" s="116">
        <v>4950</v>
      </c>
      <c r="H1308" s="1776" t="s">
        <v>1349</v>
      </c>
      <c r="J1308" s="224"/>
      <c r="K1308" s="34" t="s">
        <v>25</v>
      </c>
      <c r="L1308" s="475"/>
      <c r="M1308" s="224"/>
      <c r="N1308" s="224"/>
      <c r="O1308" s="902" t="s">
        <v>6395</v>
      </c>
    </row>
    <row r="1309" spans="1:15" ht="18.75" customHeight="1" x14ac:dyDescent="0.3">
      <c r="A1309" s="2402">
        <v>1303</v>
      </c>
      <c r="B1309" s="1122" t="s">
        <v>2332</v>
      </c>
      <c r="C1309" s="216" t="s">
        <v>1344</v>
      </c>
      <c r="D1309" s="416" t="s">
        <v>1146</v>
      </c>
      <c r="E1309" s="217" t="s">
        <v>2341</v>
      </c>
      <c r="F1309" s="218" t="s">
        <v>2334</v>
      </c>
      <c r="G1309" s="116">
        <v>4950</v>
      </c>
      <c r="H1309" s="1776" t="s">
        <v>1349</v>
      </c>
      <c r="J1309" s="224"/>
      <c r="K1309" s="34" t="s">
        <v>25</v>
      </c>
      <c r="L1309" s="475"/>
      <c r="M1309" s="224"/>
      <c r="N1309" s="224"/>
      <c r="O1309" s="902" t="s">
        <v>6395</v>
      </c>
    </row>
    <row r="1310" spans="1:15" ht="18.75" customHeight="1" x14ac:dyDescent="0.3">
      <c r="A1310" s="2401">
        <v>1304</v>
      </c>
      <c r="B1310" s="1122" t="s">
        <v>2332</v>
      </c>
      <c r="C1310" s="216" t="s">
        <v>1344</v>
      </c>
      <c r="D1310" s="416" t="s">
        <v>1146</v>
      </c>
      <c r="E1310" s="217" t="s">
        <v>2342</v>
      </c>
      <c r="F1310" s="218" t="s">
        <v>2334</v>
      </c>
      <c r="G1310" s="116">
        <v>4950</v>
      </c>
      <c r="H1310" s="1776" t="s">
        <v>1349</v>
      </c>
      <c r="J1310" s="224"/>
      <c r="K1310" s="34" t="s">
        <v>25</v>
      </c>
      <c r="L1310" s="475"/>
      <c r="M1310" s="224"/>
      <c r="N1310" s="224"/>
      <c r="O1310" s="902" t="s">
        <v>6395</v>
      </c>
    </row>
    <row r="1311" spans="1:15" ht="18.75" customHeight="1" x14ac:dyDescent="0.3">
      <c r="A1311" s="2402">
        <v>1305</v>
      </c>
      <c r="B1311" s="1122" t="s">
        <v>2332</v>
      </c>
      <c r="C1311" s="216" t="s">
        <v>1344</v>
      </c>
      <c r="D1311" s="416" t="s">
        <v>1146</v>
      </c>
      <c r="E1311" s="217" t="s">
        <v>2343</v>
      </c>
      <c r="F1311" s="218" t="s">
        <v>2334</v>
      </c>
      <c r="G1311" s="116">
        <v>4950</v>
      </c>
      <c r="H1311" s="1776" t="s">
        <v>1349</v>
      </c>
      <c r="J1311" s="224"/>
      <c r="K1311" s="34" t="s">
        <v>25</v>
      </c>
      <c r="L1311" s="475"/>
      <c r="M1311" s="224"/>
      <c r="N1311" s="224"/>
      <c r="O1311" s="902" t="s">
        <v>6395</v>
      </c>
    </row>
    <row r="1312" spans="1:15" ht="18.75" customHeight="1" x14ac:dyDescent="0.3">
      <c r="A1312" s="2402">
        <v>1306</v>
      </c>
      <c r="B1312" s="1122" t="s">
        <v>2332</v>
      </c>
      <c r="C1312" s="216" t="s">
        <v>1344</v>
      </c>
      <c r="D1312" s="416" t="s">
        <v>1146</v>
      </c>
      <c r="E1312" s="217" t="s">
        <v>2344</v>
      </c>
      <c r="F1312" s="218" t="s">
        <v>2334</v>
      </c>
      <c r="G1312" s="116">
        <v>4950</v>
      </c>
      <c r="H1312" s="1776" t="s">
        <v>1349</v>
      </c>
      <c r="J1312" s="224"/>
      <c r="K1312" s="34" t="s">
        <v>25</v>
      </c>
      <c r="L1312" s="475"/>
      <c r="M1312" s="224"/>
      <c r="N1312" s="224"/>
      <c r="O1312" s="902" t="s">
        <v>6395</v>
      </c>
    </row>
    <row r="1313" spans="1:15" ht="18.75" customHeight="1" x14ac:dyDescent="0.3">
      <c r="A1313" s="2401">
        <v>1307</v>
      </c>
      <c r="B1313" s="1122" t="s">
        <v>2332</v>
      </c>
      <c r="C1313" s="216" t="s">
        <v>1344</v>
      </c>
      <c r="D1313" s="416" t="s">
        <v>1146</v>
      </c>
      <c r="E1313" s="217" t="s">
        <v>2345</v>
      </c>
      <c r="F1313" s="218" t="s">
        <v>2334</v>
      </c>
      <c r="G1313" s="116">
        <v>4950</v>
      </c>
      <c r="H1313" s="1776" t="s">
        <v>1349</v>
      </c>
      <c r="J1313" s="224"/>
      <c r="K1313" s="34" t="s">
        <v>25</v>
      </c>
      <c r="L1313" s="475"/>
      <c r="M1313" s="224"/>
      <c r="N1313" s="224"/>
      <c r="O1313" s="902" t="s">
        <v>6395</v>
      </c>
    </row>
    <row r="1314" spans="1:15" ht="18.75" customHeight="1" x14ac:dyDescent="0.3">
      <c r="A1314" s="2402">
        <v>1308</v>
      </c>
      <c r="B1314" s="1122" t="s">
        <v>2332</v>
      </c>
      <c r="C1314" s="216" t="s">
        <v>1344</v>
      </c>
      <c r="D1314" s="416" t="s">
        <v>1146</v>
      </c>
      <c r="E1314" s="217" t="s">
        <v>2346</v>
      </c>
      <c r="F1314" s="218" t="s">
        <v>2334</v>
      </c>
      <c r="G1314" s="116">
        <v>4950</v>
      </c>
      <c r="H1314" s="1776" t="s">
        <v>1349</v>
      </c>
      <c r="J1314" s="224"/>
      <c r="K1314" s="34" t="s">
        <v>25</v>
      </c>
      <c r="L1314" s="475"/>
      <c r="M1314" s="224"/>
      <c r="N1314" s="224"/>
      <c r="O1314" s="902" t="s">
        <v>6395</v>
      </c>
    </row>
    <row r="1315" spans="1:15" ht="18.75" customHeight="1" x14ac:dyDescent="0.3">
      <c r="A1315" s="2402">
        <v>1309</v>
      </c>
      <c r="B1315" s="1122" t="s">
        <v>2332</v>
      </c>
      <c r="C1315" s="216" t="s">
        <v>1344</v>
      </c>
      <c r="D1315" s="416" t="s">
        <v>1146</v>
      </c>
      <c r="E1315" s="217" t="s">
        <v>2347</v>
      </c>
      <c r="F1315" s="218" t="s">
        <v>2334</v>
      </c>
      <c r="G1315" s="116">
        <v>4950</v>
      </c>
      <c r="H1315" s="1776" t="s">
        <v>1349</v>
      </c>
      <c r="J1315" s="224"/>
      <c r="K1315" s="34" t="s">
        <v>25</v>
      </c>
      <c r="L1315" s="475"/>
      <c r="M1315" s="224"/>
      <c r="N1315" s="224"/>
      <c r="O1315" s="902" t="s">
        <v>6395</v>
      </c>
    </row>
    <row r="1316" spans="1:15" ht="18.75" customHeight="1" x14ac:dyDescent="0.3">
      <c r="A1316" s="2402">
        <v>1310</v>
      </c>
      <c r="B1316" s="1122" t="s">
        <v>2332</v>
      </c>
      <c r="C1316" s="216" t="s">
        <v>1344</v>
      </c>
      <c r="D1316" s="416" t="s">
        <v>1146</v>
      </c>
      <c r="E1316" s="217" t="s">
        <v>2348</v>
      </c>
      <c r="F1316" s="218" t="s">
        <v>2334</v>
      </c>
      <c r="G1316" s="116">
        <v>4950</v>
      </c>
      <c r="H1316" s="1776" t="s">
        <v>1349</v>
      </c>
      <c r="J1316" s="224"/>
      <c r="K1316" s="34" t="s">
        <v>25</v>
      </c>
      <c r="L1316" s="475"/>
      <c r="M1316" s="224"/>
      <c r="N1316" s="224"/>
      <c r="O1316" s="902" t="s">
        <v>6395</v>
      </c>
    </row>
    <row r="1317" spans="1:15" ht="18.75" customHeight="1" x14ac:dyDescent="0.3">
      <c r="A1317" s="2402">
        <v>1311</v>
      </c>
      <c r="B1317" s="1122" t="s">
        <v>2332</v>
      </c>
      <c r="C1317" s="216" t="s">
        <v>1344</v>
      </c>
      <c r="D1317" s="452" t="s">
        <v>1146</v>
      </c>
      <c r="E1317" s="217" t="s">
        <v>2349</v>
      </c>
      <c r="F1317" s="218" t="s">
        <v>2334</v>
      </c>
      <c r="G1317" s="116">
        <v>4950</v>
      </c>
      <c r="H1317" s="1776" t="s">
        <v>1349</v>
      </c>
      <c r="J1317" s="224"/>
      <c r="K1317" s="34" t="s">
        <v>25</v>
      </c>
      <c r="L1317" s="475"/>
      <c r="M1317" s="224"/>
      <c r="N1317" s="224"/>
      <c r="O1317" s="902" t="s">
        <v>6395</v>
      </c>
    </row>
    <row r="1318" spans="1:15" ht="18.75" customHeight="1" x14ac:dyDescent="0.3">
      <c r="A1318" s="2401">
        <v>1312</v>
      </c>
      <c r="B1318" s="1122" t="s">
        <v>2332</v>
      </c>
      <c r="C1318" s="216" t="s">
        <v>1344</v>
      </c>
      <c r="D1318" s="793" t="s">
        <v>1146</v>
      </c>
      <c r="E1318" s="217" t="s">
        <v>2350</v>
      </c>
      <c r="F1318" s="218" t="s">
        <v>2334</v>
      </c>
      <c r="G1318" s="116">
        <v>4950</v>
      </c>
      <c r="H1318" s="1776" t="s">
        <v>1349</v>
      </c>
      <c r="J1318" s="224"/>
      <c r="K1318" s="34" t="s">
        <v>25</v>
      </c>
      <c r="L1318" s="475"/>
      <c r="M1318" s="224"/>
      <c r="N1318" s="224"/>
      <c r="O1318" s="902" t="s">
        <v>6395</v>
      </c>
    </row>
    <row r="1319" spans="1:15" ht="18.75" customHeight="1" x14ac:dyDescent="0.3">
      <c r="A1319" s="2402">
        <v>1313</v>
      </c>
      <c r="B1319" s="1122" t="s">
        <v>2332</v>
      </c>
      <c r="C1319" s="216" t="s">
        <v>1344</v>
      </c>
      <c r="D1319" s="416" t="s">
        <v>1146</v>
      </c>
      <c r="E1319" s="217" t="s">
        <v>2351</v>
      </c>
      <c r="F1319" s="218" t="s">
        <v>2334</v>
      </c>
      <c r="G1319" s="116">
        <v>4950</v>
      </c>
      <c r="H1319" s="1776" t="s">
        <v>1349</v>
      </c>
      <c r="J1319" s="224"/>
      <c r="K1319" s="34" t="s">
        <v>25</v>
      </c>
      <c r="L1319" s="475"/>
      <c r="M1319" s="224"/>
      <c r="N1319" s="224"/>
      <c r="O1319" s="902" t="s">
        <v>6395</v>
      </c>
    </row>
    <row r="1320" spans="1:15" ht="18.75" customHeight="1" x14ac:dyDescent="0.3">
      <c r="A1320" s="2402">
        <v>1314</v>
      </c>
      <c r="B1320" s="1122" t="s">
        <v>2332</v>
      </c>
      <c r="C1320" s="216" t="s">
        <v>1344</v>
      </c>
      <c r="D1320" s="416" t="s">
        <v>1146</v>
      </c>
      <c r="E1320" s="217" t="s">
        <v>2352</v>
      </c>
      <c r="F1320" s="218" t="s">
        <v>2334</v>
      </c>
      <c r="G1320" s="116">
        <v>4950</v>
      </c>
      <c r="H1320" s="1776" t="s">
        <v>1349</v>
      </c>
      <c r="J1320" s="224"/>
      <c r="K1320" s="34" t="s">
        <v>25</v>
      </c>
      <c r="L1320" s="475"/>
      <c r="M1320" s="224"/>
      <c r="N1320" s="224"/>
      <c r="O1320" s="902" t="s">
        <v>6395</v>
      </c>
    </row>
    <row r="1321" spans="1:15" ht="18.75" customHeight="1" x14ac:dyDescent="0.3">
      <c r="A1321" s="2401">
        <v>1315</v>
      </c>
      <c r="B1321" s="1122" t="s">
        <v>2332</v>
      </c>
      <c r="C1321" s="216" t="s">
        <v>1344</v>
      </c>
      <c r="D1321" s="416" t="s">
        <v>1146</v>
      </c>
      <c r="E1321" s="217" t="s">
        <v>2353</v>
      </c>
      <c r="F1321" s="218" t="s">
        <v>2334</v>
      </c>
      <c r="G1321" s="116">
        <v>4950</v>
      </c>
      <c r="H1321" s="1776" t="s">
        <v>1349</v>
      </c>
      <c r="J1321" s="224"/>
      <c r="K1321" s="34" t="s">
        <v>25</v>
      </c>
      <c r="L1321" s="475"/>
      <c r="M1321" s="224"/>
      <c r="N1321" s="224"/>
      <c r="O1321" s="902" t="s">
        <v>6395</v>
      </c>
    </row>
    <row r="1322" spans="1:15" ht="18.75" customHeight="1" x14ac:dyDescent="0.3">
      <c r="A1322" s="2402">
        <v>1316</v>
      </c>
      <c r="B1322" s="1122" t="s">
        <v>2332</v>
      </c>
      <c r="C1322" s="216" t="s">
        <v>1344</v>
      </c>
      <c r="D1322" s="416" t="s">
        <v>1146</v>
      </c>
      <c r="E1322" s="217" t="s">
        <v>2354</v>
      </c>
      <c r="F1322" s="218" t="s">
        <v>2334</v>
      </c>
      <c r="G1322" s="116">
        <v>4950</v>
      </c>
      <c r="H1322" s="1776" t="s">
        <v>1349</v>
      </c>
      <c r="J1322" s="224"/>
      <c r="K1322" s="34" t="s">
        <v>25</v>
      </c>
      <c r="L1322" s="475"/>
      <c r="M1322" s="224"/>
      <c r="N1322" s="224"/>
      <c r="O1322" s="902" t="s">
        <v>6395</v>
      </c>
    </row>
    <row r="1323" spans="1:15" ht="18.75" customHeight="1" x14ac:dyDescent="0.3">
      <c r="A1323" s="2402">
        <v>1317</v>
      </c>
      <c r="B1323" s="1122" t="s">
        <v>2332</v>
      </c>
      <c r="C1323" s="216" t="s">
        <v>1344</v>
      </c>
      <c r="D1323" s="416" t="s">
        <v>1146</v>
      </c>
      <c r="E1323" s="217" t="s">
        <v>2355</v>
      </c>
      <c r="F1323" s="218" t="s">
        <v>2334</v>
      </c>
      <c r="G1323" s="116">
        <v>4950</v>
      </c>
      <c r="H1323" s="1776" t="s">
        <v>1349</v>
      </c>
      <c r="J1323" s="224"/>
      <c r="K1323" s="34" t="s">
        <v>25</v>
      </c>
      <c r="L1323" s="475"/>
      <c r="M1323" s="224"/>
      <c r="N1323" s="224"/>
      <c r="O1323" s="902" t="s">
        <v>6395</v>
      </c>
    </row>
    <row r="1324" spans="1:15" ht="18.75" customHeight="1" x14ac:dyDescent="0.3">
      <c r="A1324" s="2402">
        <v>1318</v>
      </c>
      <c r="B1324" s="1122" t="s">
        <v>2332</v>
      </c>
      <c r="C1324" s="216" t="s">
        <v>1344</v>
      </c>
      <c r="D1324" s="416" t="s">
        <v>1146</v>
      </c>
      <c r="E1324" s="217" t="s">
        <v>2356</v>
      </c>
      <c r="F1324" s="218" t="s">
        <v>2334</v>
      </c>
      <c r="G1324" s="116">
        <v>4950</v>
      </c>
      <c r="H1324" s="1776" t="s">
        <v>1349</v>
      </c>
      <c r="J1324" s="224"/>
      <c r="K1324" s="34" t="s">
        <v>25</v>
      </c>
      <c r="L1324" s="475"/>
      <c r="M1324" s="224"/>
      <c r="N1324" s="224"/>
      <c r="O1324" s="902" t="s">
        <v>6395</v>
      </c>
    </row>
    <row r="1325" spans="1:15" ht="18.75" customHeight="1" x14ac:dyDescent="0.3">
      <c r="A1325" s="2402">
        <v>1319</v>
      </c>
      <c r="B1325" s="1122" t="s">
        <v>2332</v>
      </c>
      <c r="C1325" s="216" t="s">
        <v>1344</v>
      </c>
      <c r="D1325" s="416" t="s">
        <v>1146</v>
      </c>
      <c r="E1325" s="217" t="s">
        <v>2357</v>
      </c>
      <c r="F1325" s="218" t="s">
        <v>2334</v>
      </c>
      <c r="G1325" s="116">
        <v>4950</v>
      </c>
      <c r="H1325" s="1776" t="s">
        <v>1349</v>
      </c>
      <c r="J1325" s="224"/>
      <c r="K1325" s="34" t="s">
        <v>25</v>
      </c>
      <c r="L1325" s="475"/>
      <c r="M1325" s="224"/>
      <c r="N1325" s="224"/>
      <c r="O1325" s="902" t="s">
        <v>6395</v>
      </c>
    </row>
    <row r="1326" spans="1:15" ht="18.75" customHeight="1" x14ac:dyDescent="0.3">
      <c r="A1326" s="2401">
        <v>1320</v>
      </c>
      <c r="B1326" s="1122" t="s">
        <v>2332</v>
      </c>
      <c r="C1326" s="216" t="s">
        <v>1344</v>
      </c>
      <c r="D1326" s="416" t="s">
        <v>1146</v>
      </c>
      <c r="E1326" s="217" t="s">
        <v>2358</v>
      </c>
      <c r="F1326" s="218" t="s">
        <v>2334</v>
      </c>
      <c r="G1326" s="116">
        <v>4950</v>
      </c>
      <c r="H1326" s="1776" t="s">
        <v>1349</v>
      </c>
      <c r="J1326" s="224"/>
      <c r="K1326" s="34" t="s">
        <v>25</v>
      </c>
      <c r="L1326" s="475"/>
      <c r="M1326" s="224"/>
      <c r="N1326" s="224"/>
      <c r="O1326" s="902" t="s">
        <v>6395</v>
      </c>
    </row>
    <row r="1327" spans="1:15" ht="18.75" customHeight="1" x14ac:dyDescent="0.3">
      <c r="A1327" s="2402">
        <v>1321</v>
      </c>
      <c r="B1327" s="1122" t="s">
        <v>2332</v>
      </c>
      <c r="C1327" s="216" t="s">
        <v>1344</v>
      </c>
      <c r="D1327" s="416" t="s">
        <v>1146</v>
      </c>
      <c r="E1327" s="217" t="s">
        <v>2359</v>
      </c>
      <c r="F1327" s="218" t="s">
        <v>2334</v>
      </c>
      <c r="G1327" s="116">
        <v>4950</v>
      </c>
      <c r="H1327" s="1776" t="s">
        <v>1349</v>
      </c>
      <c r="J1327" s="224"/>
      <c r="K1327" s="34" t="s">
        <v>25</v>
      </c>
      <c r="L1327" s="475"/>
      <c r="M1327" s="224"/>
      <c r="N1327" s="224"/>
      <c r="O1327" s="902" t="s">
        <v>6395</v>
      </c>
    </row>
    <row r="1328" spans="1:15" ht="18.75" customHeight="1" x14ac:dyDescent="0.3">
      <c r="A1328" s="2402">
        <v>1322</v>
      </c>
      <c r="B1328" s="1122" t="s">
        <v>2332</v>
      </c>
      <c r="C1328" s="216" t="s">
        <v>1344</v>
      </c>
      <c r="D1328" s="416" t="s">
        <v>1146</v>
      </c>
      <c r="E1328" s="217" t="s">
        <v>2360</v>
      </c>
      <c r="F1328" s="218" t="s">
        <v>2334</v>
      </c>
      <c r="G1328" s="116">
        <v>4950</v>
      </c>
      <c r="H1328" s="1776" t="s">
        <v>1349</v>
      </c>
      <c r="J1328" s="224"/>
      <c r="K1328" s="34" t="s">
        <v>25</v>
      </c>
      <c r="L1328" s="475"/>
      <c r="M1328" s="224"/>
      <c r="N1328" s="224"/>
      <c r="O1328" s="902" t="s">
        <v>6395</v>
      </c>
    </row>
    <row r="1329" spans="1:15" ht="18.75" customHeight="1" x14ac:dyDescent="0.3">
      <c r="A1329" s="2401">
        <v>1323</v>
      </c>
      <c r="B1329" s="1122" t="s">
        <v>2332</v>
      </c>
      <c r="C1329" s="216" t="s">
        <v>1344</v>
      </c>
      <c r="D1329" s="416" t="s">
        <v>1146</v>
      </c>
      <c r="E1329" s="217" t="s">
        <v>2361</v>
      </c>
      <c r="F1329" s="218" t="s">
        <v>2334</v>
      </c>
      <c r="G1329" s="116">
        <v>4950</v>
      </c>
      <c r="H1329" s="1776" t="s">
        <v>1349</v>
      </c>
      <c r="J1329" s="224"/>
      <c r="K1329" s="34" t="s">
        <v>25</v>
      </c>
      <c r="L1329" s="475"/>
      <c r="M1329" s="224"/>
      <c r="N1329" s="224"/>
      <c r="O1329" s="902" t="s">
        <v>6395</v>
      </c>
    </row>
    <row r="1330" spans="1:15" ht="18.75" customHeight="1" x14ac:dyDescent="0.3">
      <c r="A1330" s="2402">
        <v>1324</v>
      </c>
      <c r="B1330" s="1122" t="s">
        <v>2332</v>
      </c>
      <c r="C1330" s="216" t="s">
        <v>1344</v>
      </c>
      <c r="D1330" s="416" t="s">
        <v>1146</v>
      </c>
      <c r="E1330" s="217" t="s">
        <v>2362</v>
      </c>
      <c r="F1330" s="218" t="s">
        <v>2334</v>
      </c>
      <c r="G1330" s="116">
        <v>4950</v>
      </c>
      <c r="H1330" s="1776" t="s">
        <v>1349</v>
      </c>
      <c r="J1330" s="224"/>
      <c r="K1330" s="34" t="s">
        <v>25</v>
      </c>
      <c r="L1330" s="475"/>
      <c r="M1330" s="224"/>
      <c r="N1330" s="224"/>
      <c r="O1330" s="902" t="s">
        <v>6395</v>
      </c>
    </row>
    <row r="1331" spans="1:15" ht="18.75" customHeight="1" x14ac:dyDescent="0.3">
      <c r="A1331" s="2402">
        <v>1325</v>
      </c>
      <c r="B1331" s="1122" t="s">
        <v>2332</v>
      </c>
      <c r="C1331" s="216" t="s">
        <v>1344</v>
      </c>
      <c r="D1331" s="416" t="s">
        <v>1146</v>
      </c>
      <c r="E1331" s="217" t="s">
        <v>2363</v>
      </c>
      <c r="F1331" s="218" t="s">
        <v>2334</v>
      </c>
      <c r="G1331" s="116">
        <v>4950</v>
      </c>
      <c r="H1331" s="1776" t="s">
        <v>1349</v>
      </c>
      <c r="J1331" s="224"/>
      <c r="K1331" s="34" t="s">
        <v>25</v>
      </c>
      <c r="L1331" s="475"/>
      <c r="M1331" s="224"/>
      <c r="N1331" s="224"/>
      <c r="O1331" s="902" t="s">
        <v>6395</v>
      </c>
    </row>
    <row r="1332" spans="1:15" ht="18.75" customHeight="1" x14ac:dyDescent="0.3">
      <c r="A1332" s="2402">
        <v>1326</v>
      </c>
      <c r="B1332" s="1122" t="s">
        <v>2332</v>
      </c>
      <c r="C1332" s="1117" t="s">
        <v>1344</v>
      </c>
      <c r="D1332" s="452" t="s">
        <v>1146</v>
      </c>
      <c r="E1332" s="217" t="s">
        <v>2364</v>
      </c>
      <c r="F1332" s="218" t="s">
        <v>2334</v>
      </c>
      <c r="G1332" s="116">
        <v>4950</v>
      </c>
      <c r="H1332" s="1776" t="s">
        <v>1349</v>
      </c>
      <c r="J1332" s="224"/>
      <c r="K1332" s="34" t="s">
        <v>25</v>
      </c>
      <c r="L1332" s="475"/>
      <c r="M1332" s="224"/>
      <c r="N1332" s="224"/>
      <c r="O1332" s="902" t="s">
        <v>6395</v>
      </c>
    </row>
    <row r="1333" spans="1:15" ht="18.75" customHeight="1" x14ac:dyDescent="0.3">
      <c r="A1333" s="2402">
        <v>1327</v>
      </c>
      <c r="B1333" s="1122" t="s">
        <v>2332</v>
      </c>
      <c r="C1333" s="1117" t="s">
        <v>1344</v>
      </c>
      <c r="D1333" s="793" t="s">
        <v>1146</v>
      </c>
      <c r="E1333" s="217" t="s">
        <v>2365</v>
      </c>
      <c r="F1333" s="218" t="s">
        <v>2334</v>
      </c>
      <c r="G1333" s="116">
        <v>4950</v>
      </c>
      <c r="H1333" s="1776" t="s">
        <v>1349</v>
      </c>
      <c r="J1333" s="224"/>
      <c r="K1333" s="34" t="s">
        <v>25</v>
      </c>
      <c r="L1333" s="475"/>
      <c r="M1333" s="224"/>
      <c r="N1333" s="224"/>
      <c r="O1333" s="902" t="s">
        <v>6395</v>
      </c>
    </row>
    <row r="1334" spans="1:15" ht="18.75" customHeight="1" x14ac:dyDescent="0.3">
      <c r="A1334" s="2401">
        <v>1328</v>
      </c>
      <c r="B1334" s="1122" t="s">
        <v>2332</v>
      </c>
      <c r="C1334" s="1117" t="s">
        <v>1344</v>
      </c>
      <c r="D1334" s="416" t="s">
        <v>1146</v>
      </c>
      <c r="E1334" s="217" t="s">
        <v>2366</v>
      </c>
      <c r="F1334" s="218" t="s">
        <v>2334</v>
      </c>
      <c r="G1334" s="116">
        <v>4950</v>
      </c>
      <c r="H1334" s="1776" t="s">
        <v>1349</v>
      </c>
      <c r="J1334" s="224"/>
      <c r="K1334" s="34" t="s">
        <v>25</v>
      </c>
      <c r="L1334" s="475"/>
      <c r="M1334" s="224"/>
      <c r="N1334" s="224"/>
      <c r="O1334" s="902" t="s">
        <v>6395</v>
      </c>
    </row>
    <row r="1335" spans="1:15" ht="18.75" customHeight="1" x14ac:dyDescent="0.3">
      <c r="A1335" s="2402">
        <v>1329</v>
      </c>
      <c r="B1335" s="1122" t="s">
        <v>2332</v>
      </c>
      <c r="C1335" s="1117" t="s">
        <v>1344</v>
      </c>
      <c r="D1335" s="416" t="s">
        <v>1146</v>
      </c>
      <c r="E1335" s="217" t="s">
        <v>2367</v>
      </c>
      <c r="F1335" s="218" t="s">
        <v>2334</v>
      </c>
      <c r="G1335" s="116">
        <v>4950</v>
      </c>
      <c r="H1335" s="1776" t="s">
        <v>1349</v>
      </c>
      <c r="J1335" s="224"/>
      <c r="K1335" s="34" t="s">
        <v>25</v>
      </c>
      <c r="L1335" s="475"/>
      <c r="M1335" s="224"/>
      <c r="N1335" s="224"/>
      <c r="O1335" s="902" t="s">
        <v>6395</v>
      </c>
    </row>
    <row r="1336" spans="1:15" ht="18.75" customHeight="1" x14ac:dyDescent="0.3">
      <c r="A1336" s="2402">
        <v>1330</v>
      </c>
      <c r="B1336" s="1122" t="s">
        <v>2332</v>
      </c>
      <c r="C1336" s="1117" t="s">
        <v>1344</v>
      </c>
      <c r="D1336" s="416" t="s">
        <v>1146</v>
      </c>
      <c r="E1336" s="217" t="s">
        <v>2368</v>
      </c>
      <c r="F1336" s="218" t="s">
        <v>2334</v>
      </c>
      <c r="G1336" s="116">
        <v>4950</v>
      </c>
      <c r="H1336" s="1776" t="s">
        <v>1349</v>
      </c>
      <c r="J1336" s="224"/>
      <c r="K1336" s="34" t="s">
        <v>25</v>
      </c>
      <c r="L1336" s="475"/>
      <c r="M1336" s="224"/>
      <c r="N1336" s="224"/>
      <c r="O1336" s="902" t="s">
        <v>6395</v>
      </c>
    </row>
    <row r="1337" spans="1:15" ht="18.75" customHeight="1" x14ac:dyDescent="0.3">
      <c r="A1337" s="2401">
        <v>1331</v>
      </c>
      <c r="B1337" s="1122" t="s">
        <v>2332</v>
      </c>
      <c r="C1337" s="1117" t="s">
        <v>1344</v>
      </c>
      <c r="D1337" s="416" t="s">
        <v>1146</v>
      </c>
      <c r="E1337" s="217" t="s">
        <v>2369</v>
      </c>
      <c r="F1337" s="218" t="s">
        <v>2334</v>
      </c>
      <c r="G1337" s="116">
        <v>4950</v>
      </c>
      <c r="H1337" s="1776" t="s">
        <v>1349</v>
      </c>
      <c r="J1337" s="224"/>
      <c r="K1337" s="34" t="s">
        <v>25</v>
      </c>
      <c r="L1337" s="475"/>
      <c r="M1337" s="224"/>
      <c r="N1337" s="224"/>
      <c r="O1337" s="902" t="s">
        <v>6395</v>
      </c>
    </row>
    <row r="1338" spans="1:15" ht="18.75" customHeight="1" x14ac:dyDescent="0.3">
      <c r="A1338" s="2402">
        <v>1332</v>
      </c>
      <c r="B1338" s="1122" t="s">
        <v>2332</v>
      </c>
      <c r="C1338" s="1117" t="s">
        <v>1344</v>
      </c>
      <c r="D1338" s="416" t="s">
        <v>1146</v>
      </c>
      <c r="E1338" s="217" t="s">
        <v>2370</v>
      </c>
      <c r="F1338" s="218" t="s">
        <v>2334</v>
      </c>
      <c r="G1338" s="116">
        <v>4950</v>
      </c>
      <c r="H1338" s="1776" t="s">
        <v>1349</v>
      </c>
      <c r="J1338" s="224"/>
      <c r="K1338" s="34" t="s">
        <v>25</v>
      </c>
      <c r="L1338" s="475"/>
      <c r="M1338" s="224"/>
      <c r="N1338" s="224"/>
      <c r="O1338" s="902" t="s">
        <v>6395</v>
      </c>
    </row>
    <row r="1339" spans="1:15" ht="18.75" customHeight="1" x14ac:dyDescent="0.3">
      <c r="A1339" s="2402">
        <v>1333</v>
      </c>
      <c r="B1339" s="1122" t="s">
        <v>2332</v>
      </c>
      <c r="C1339" s="1117" t="s">
        <v>1344</v>
      </c>
      <c r="D1339" s="416" t="s">
        <v>1146</v>
      </c>
      <c r="E1339" s="217" t="s">
        <v>2371</v>
      </c>
      <c r="F1339" s="218" t="s">
        <v>2334</v>
      </c>
      <c r="G1339" s="116">
        <v>4950</v>
      </c>
      <c r="H1339" s="1776" t="s">
        <v>1349</v>
      </c>
      <c r="J1339" s="224"/>
      <c r="K1339" s="34" t="s">
        <v>25</v>
      </c>
      <c r="L1339" s="475"/>
      <c r="M1339" s="224"/>
      <c r="N1339" s="224"/>
      <c r="O1339" s="902" t="s">
        <v>6395</v>
      </c>
    </row>
    <row r="1340" spans="1:15" ht="18.75" customHeight="1" x14ac:dyDescent="0.3">
      <c r="A1340" s="2402">
        <v>1334</v>
      </c>
      <c r="B1340" s="1122" t="s">
        <v>2332</v>
      </c>
      <c r="C1340" s="1117" t="s">
        <v>1344</v>
      </c>
      <c r="D1340" s="416" t="s">
        <v>1146</v>
      </c>
      <c r="E1340" s="217" t="s">
        <v>2372</v>
      </c>
      <c r="F1340" s="218" t="s">
        <v>2334</v>
      </c>
      <c r="G1340" s="116">
        <v>4950</v>
      </c>
      <c r="H1340" s="1776" t="s">
        <v>1349</v>
      </c>
      <c r="J1340" s="224"/>
      <c r="K1340" s="34" t="s">
        <v>25</v>
      </c>
      <c r="L1340" s="475"/>
      <c r="M1340" s="224"/>
      <c r="N1340" s="224"/>
      <c r="O1340" s="902" t="s">
        <v>6395</v>
      </c>
    </row>
    <row r="1341" spans="1:15" ht="18.75" customHeight="1" x14ac:dyDescent="0.3">
      <c r="A1341" s="2402">
        <v>1335</v>
      </c>
      <c r="B1341" s="1122" t="s">
        <v>2332</v>
      </c>
      <c r="C1341" s="1117" t="s">
        <v>1344</v>
      </c>
      <c r="D1341" s="416" t="s">
        <v>1146</v>
      </c>
      <c r="E1341" s="217" t="s">
        <v>2373</v>
      </c>
      <c r="F1341" s="218" t="s">
        <v>2334</v>
      </c>
      <c r="G1341" s="116">
        <v>4950</v>
      </c>
      <c r="H1341" s="1776" t="s">
        <v>1349</v>
      </c>
      <c r="J1341" s="224"/>
      <c r="K1341" s="34" t="s">
        <v>25</v>
      </c>
      <c r="L1341" s="475"/>
      <c r="M1341" s="224"/>
      <c r="N1341" s="224"/>
      <c r="O1341" s="902" t="s">
        <v>6395</v>
      </c>
    </row>
    <row r="1342" spans="1:15" ht="18.75" customHeight="1" x14ac:dyDescent="0.3">
      <c r="A1342" s="2401">
        <v>1336</v>
      </c>
      <c r="B1342" s="1122" t="s">
        <v>2332</v>
      </c>
      <c r="C1342" s="1117" t="s">
        <v>1344</v>
      </c>
      <c r="D1342" s="416" t="s">
        <v>1146</v>
      </c>
      <c r="E1342" s="217" t="s">
        <v>2374</v>
      </c>
      <c r="F1342" s="218" t="s">
        <v>2334</v>
      </c>
      <c r="G1342" s="116">
        <v>4950</v>
      </c>
      <c r="H1342" s="1776" t="s">
        <v>1349</v>
      </c>
      <c r="J1342" s="224"/>
      <c r="K1342" s="34" t="s">
        <v>25</v>
      </c>
      <c r="L1342" s="475"/>
      <c r="M1342" s="224"/>
      <c r="N1342" s="224"/>
      <c r="O1342" s="902" t="s">
        <v>6395</v>
      </c>
    </row>
    <row r="1343" spans="1:15" ht="18.75" customHeight="1" x14ac:dyDescent="0.3">
      <c r="A1343" s="2402">
        <v>1337</v>
      </c>
      <c r="B1343" s="1122" t="s">
        <v>2332</v>
      </c>
      <c r="C1343" s="1117" t="s">
        <v>1344</v>
      </c>
      <c r="D1343" s="416" t="s">
        <v>1146</v>
      </c>
      <c r="E1343" s="217" t="s">
        <v>2375</v>
      </c>
      <c r="F1343" s="218" t="s">
        <v>2334</v>
      </c>
      <c r="G1343" s="116">
        <v>4950</v>
      </c>
      <c r="H1343" s="1776" t="s">
        <v>1349</v>
      </c>
      <c r="J1343" s="224"/>
      <c r="K1343" s="34" t="s">
        <v>25</v>
      </c>
      <c r="L1343" s="475"/>
      <c r="M1343" s="224"/>
      <c r="N1343" s="224"/>
      <c r="O1343" s="902" t="s">
        <v>6395</v>
      </c>
    </row>
    <row r="1344" spans="1:15" ht="18.75" customHeight="1" x14ac:dyDescent="0.3">
      <c r="A1344" s="2402">
        <v>1338</v>
      </c>
      <c r="B1344" s="1122" t="s">
        <v>2332</v>
      </c>
      <c r="C1344" s="1117" t="s">
        <v>1344</v>
      </c>
      <c r="D1344" s="452" t="s">
        <v>1146</v>
      </c>
      <c r="E1344" s="217" t="s">
        <v>2376</v>
      </c>
      <c r="F1344" s="218" t="s">
        <v>2334</v>
      </c>
      <c r="G1344" s="116">
        <v>4950</v>
      </c>
      <c r="H1344" s="1776" t="s">
        <v>1349</v>
      </c>
      <c r="J1344" s="224"/>
      <c r="K1344" s="34" t="s">
        <v>25</v>
      </c>
      <c r="L1344" s="475"/>
      <c r="M1344" s="224"/>
      <c r="N1344" s="224"/>
      <c r="O1344" s="902" t="s">
        <v>6395</v>
      </c>
    </row>
    <row r="1345" spans="1:15" ht="18.75" customHeight="1" x14ac:dyDescent="0.3">
      <c r="A1345" s="2401">
        <v>1339</v>
      </c>
      <c r="B1345" s="1122" t="s">
        <v>2332</v>
      </c>
      <c r="C1345" s="1117" t="s">
        <v>1344</v>
      </c>
      <c r="D1345" s="793" t="s">
        <v>1146</v>
      </c>
      <c r="E1345" s="217" t="s">
        <v>2377</v>
      </c>
      <c r="F1345" s="218" t="s">
        <v>2334</v>
      </c>
      <c r="G1345" s="116">
        <v>4950</v>
      </c>
      <c r="H1345" s="1776" t="s">
        <v>1349</v>
      </c>
      <c r="J1345" s="224"/>
      <c r="K1345" s="34" t="s">
        <v>25</v>
      </c>
      <c r="L1345" s="475"/>
      <c r="M1345" s="224"/>
      <c r="N1345" s="224"/>
      <c r="O1345" s="902" t="s">
        <v>6395</v>
      </c>
    </row>
    <row r="1346" spans="1:15" ht="18.75" customHeight="1" x14ac:dyDescent="0.3">
      <c r="A1346" s="2402">
        <v>1340</v>
      </c>
      <c r="B1346" s="1122" t="s">
        <v>2332</v>
      </c>
      <c r="C1346" s="216" t="s">
        <v>1344</v>
      </c>
      <c r="D1346" s="416" t="s">
        <v>1146</v>
      </c>
      <c r="E1346" s="217" t="s">
        <v>2378</v>
      </c>
      <c r="F1346" s="218" t="s">
        <v>2334</v>
      </c>
      <c r="G1346" s="116">
        <v>4950</v>
      </c>
      <c r="H1346" s="1776" t="s">
        <v>1349</v>
      </c>
      <c r="J1346" s="224"/>
      <c r="K1346" s="34" t="s">
        <v>25</v>
      </c>
      <c r="L1346" s="475"/>
      <c r="M1346" s="224"/>
      <c r="N1346" s="224"/>
      <c r="O1346" s="902" t="s">
        <v>6395</v>
      </c>
    </row>
    <row r="1347" spans="1:15" ht="18.75" customHeight="1" x14ac:dyDescent="0.3">
      <c r="A1347" s="2402">
        <v>1341</v>
      </c>
      <c r="B1347" s="1122" t="s">
        <v>2332</v>
      </c>
      <c r="C1347" s="216" t="s">
        <v>1344</v>
      </c>
      <c r="D1347" s="416" t="s">
        <v>1146</v>
      </c>
      <c r="E1347" s="217" t="s">
        <v>2379</v>
      </c>
      <c r="F1347" s="218" t="s">
        <v>2334</v>
      </c>
      <c r="G1347" s="116">
        <v>4950</v>
      </c>
      <c r="H1347" s="1776" t="s">
        <v>1349</v>
      </c>
      <c r="J1347" s="224"/>
      <c r="K1347" s="34" t="s">
        <v>25</v>
      </c>
      <c r="L1347" s="475"/>
      <c r="M1347" s="224"/>
      <c r="N1347" s="224"/>
      <c r="O1347" s="902" t="s">
        <v>6395</v>
      </c>
    </row>
    <row r="1348" spans="1:15" ht="18.75" customHeight="1" x14ac:dyDescent="0.3">
      <c r="A1348" s="2402">
        <v>1342</v>
      </c>
      <c r="B1348" s="1122" t="s">
        <v>2332</v>
      </c>
      <c r="C1348" s="216" t="s">
        <v>1344</v>
      </c>
      <c r="D1348" s="416" t="s">
        <v>1146</v>
      </c>
      <c r="E1348" s="217" t="s">
        <v>2380</v>
      </c>
      <c r="F1348" s="218" t="s">
        <v>2334</v>
      </c>
      <c r="G1348" s="116">
        <v>4950</v>
      </c>
      <c r="H1348" s="1776" t="s">
        <v>1349</v>
      </c>
      <c r="J1348" s="224"/>
      <c r="K1348" s="34" t="s">
        <v>25</v>
      </c>
      <c r="L1348" s="475"/>
      <c r="M1348" s="224"/>
      <c r="N1348" s="224"/>
      <c r="O1348" s="902" t="s">
        <v>6395</v>
      </c>
    </row>
    <row r="1349" spans="1:15" ht="18.75" customHeight="1" x14ac:dyDescent="0.3">
      <c r="A1349" s="2402">
        <v>1343</v>
      </c>
      <c r="B1349" s="1122" t="s">
        <v>2332</v>
      </c>
      <c r="C1349" s="216" t="s">
        <v>1344</v>
      </c>
      <c r="D1349" s="416" t="s">
        <v>1146</v>
      </c>
      <c r="E1349" s="217" t="s">
        <v>2381</v>
      </c>
      <c r="F1349" s="218" t="s">
        <v>2334</v>
      </c>
      <c r="G1349" s="116">
        <v>4950</v>
      </c>
      <c r="H1349" s="1776" t="s">
        <v>1349</v>
      </c>
      <c r="J1349" s="224"/>
      <c r="K1349" s="34" t="s">
        <v>25</v>
      </c>
      <c r="L1349" s="475"/>
      <c r="M1349" s="224"/>
      <c r="N1349" s="224"/>
      <c r="O1349" s="902" t="s">
        <v>6395</v>
      </c>
    </row>
    <row r="1350" spans="1:15" ht="18.75" customHeight="1" x14ac:dyDescent="0.3">
      <c r="A1350" s="2401">
        <v>1344</v>
      </c>
      <c r="B1350" s="1122" t="s">
        <v>2332</v>
      </c>
      <c r="C1350" s="216" t="s">
        <v>1344</v>
      </c>
      <c r="D1350" s="416" t="s">
        <v>1146</v>
      </c>
      <c r="E1350" s="217" t="s">
        <v>2382</v>
      </c>
      <c r="F1350" s="218" t="s">
        <v>2334</v>
      </c>
      <c r="G1350" s="116">
        <v>4950</v>
      </c>
      <c r="H1350" s="1776" t="s">
        <v>1349</v>
      </c>
      <c r="J1350" s="224"/>
      <c r="K1350" s="34" t="s">
        <v>25</v>
      </c>
      <c r="L1350" s="475"/>
      <c r="M1350" s="224"/>
      <c r="N1350" s="224"/>
      <c r="O1350" s="902" t="s">
        <v>6395</v>
      </c>
    </row>
    <row r="1351" spans="1:15" ht="18.75" customHeight="1" x14ac:dyDescent="0.3">
      <c r="A1351" s="2402">
        <v>1345</v>
      </c>
      <c r="B1351" s="1122" t="s">
        <v>2332</v>
      </c>
      <c r="C1351" s="216" t="s">
        <v>1344</v>
      </c>
      <c r="D1351" s="416" t="s">
        <v>1146</v>
      </c>
      <c r="E1351" s="217" t="s">
        <v>2383</v>
      </c>
      <c r="F1351" s="218" t="s">
        <v>2334</v>
      </c>
      <c r="G1351" s="116">
        <v>4950</v>
      </c>
      <c r="H1351" s="1776" t="s">
        <v>1349</v>
      </c>
      <c r="J1351" s="224"/>
      <c r="K1351" s="34" t="s">
        <v>25</v>
      </c>
      <c r="L1351" s="475"/>
      <c r="M1351" s="224"/>
      <c r="N1351" s="224"/>
      <c r="O1351" s="902" t="s">
        <v>6395</v>
      </c>
    </row>
    <row r="1352" spans="1:15" ht="18.75" customHeight="1" x14ac:dyDescent="0.3">
      <c r="A1352" s="2402">
        <v>1346</v>
      </c>
      <c r="B1352" s="1122" t="s">
        <v>2332</v>
      </c>
      <c r="C1352" s="216" t="s">
        <v>1344</v>
      </c>
      <c r="D1352" s="416" t="s">
        <v>1146</v>
      </c>
      <c r="E1352" s="217" t="s">
        <v>2384</v>
      </c>
      <c r="F1352" s="218" t="s">
        <v>2334</v>
      </c>
      <c r="G1352" s="116">
        <v>4950</v>
      </c>
      <c r="H1352" s="1776" t="s">
        <v>1349</v>
      </c>
      <c r="J1352" s="224"/>
      <c r="K1352" s="34" t="s">
        <v>25</v>
      </c>
      <c r="L1352" s="475"/>
      <c r="M1352" s="224"/>
      <c r="N1352" s="224"/>
      <c r="O1352" s="902" t="s">
        <v>6395</v>
      </c>
    </row>
    <row r="1353" spans="1:15" ht="18.75" customHeight="1" x14ac:dyDescent="0.3">
      <c r="A1353" s="2401">
        <v>1347</v>
      </c>
      <c r="B1353" s="1122" t="s">
        <v>2332</v>
      </c>
      <c r="C1353" s="216" t="s">
        <v>1344</v>
      </c>
      <c r="D1353" s="416" t="s">
        <v>1146</v>
      </c>
      <c r="E1353" s="217" t="s">
        <v>2385</v>
      </c>
      <c r="F1353" s="218" t="s">
        <v>2334</v>
      </c>
      <c r="G1353" s="116">
        <v>4950</v>
      </c>
      <c r="H1353" s="1776" t="s">
        <v>1349</v>
      </c>
      <c r="J1353" s="224"/>
      <c r="K1353" s="34" t="s">
        <v>25</v>
      </c>
      <c r="L1353" s="475"/>
      <c r="M1353" s="224"/>
      <c r="N1353" s="224"/>
      <c r="O1353" s="902" t="s">
        <v>6395</v>
      </c>
    </row>
    <row r="1354" spans="1:15" ht="18.75" customHeight="1" x14ac:dyDescent="0.3">
      <c r="A1354" s="2402">
        <v>1348</v>
      </c>
      <c r="B1354" s="1122" t="s">
        <v>2332</v>
      </c>
      <c r="C1354" s="216" t="s">
        <v>1344</v>
      </c>
      <c r="D1354" s="416" t="s">
        <v>1146</v>
      </c>
      <c r="E1354" s="217" t="s">
        <v>2386</v>
      </c>
      <c r="F1354" s="218" t="s">
        <v>2334</v>
      </c>
      <c r="G1354" s="116">
        <v>4950</v>
      </c>
      <c r="H1354" s="1776" t="s">
        <v>1349</v>
      </c>
      <c r="J1354" s="224"/>
      <c r="K1354" s="34" t="s">
        <v>25</v>
      </c>
      <c r="L1354" s="475"/>
      <c r="M1354" s="224"/>
      <c r="N1354" s="224"/>
      <c r="O1354" s="902" t="s">
        <v>6395</v>
      </c>
    </row>
    <row r="1355" spans="1:15" ht="18.75" customHeight="1" x14ac:dyDescent="0.3">
      <c r="A1355" s="2402">
        <v>1349</v>
      </c>
      <c r="B1355" s="1122" t="s">
        <v>2332</v>
      </c>
      <c r="C1355" s="216" t="s">
        <v>1344</v>
      </c>
      <c r="D1355" s="416" t="s">
        <v>1146</v>
      </c>
      <c r="E1355" s="217" t="s">
        <v>2387</v>
      </c>
      <c r="F1355" s="218" t="s">
        <v>2334</v>
      </c>
      <c r="G1355" s="116">
        <v>4950</v>
      </c>
      <c r="H1355" s="1776" t="s">
        <v>1349</v>
      </c>
      <c r="J1355" s="224"/>
      <c r="K1355" s="34" t="s">
        <v>25</v>
      </c>
      <c r="L1355" s="475"/>
      <c r="M1355" s="224"/>
      <c r="N1355" s="224"/>
      <c r="O1355" s="902" t="s">
        <v>6395</v>
      </c>
    </row>
    <row r="1356" spans="1:15" ht="18.75" customHeight="1" x14ac:dyDescent="0.3">
      <c r="A1356" s="2402">
        <v>1350</v>
      </c>
      <c r="B1356" s="1122" t="s">
        <v>2332</v>
      </c>
      <c r="C1356" s="216" t="s">
        <v>1344</v>
      </c>
      <c r="D1356" s="416" t="s">
        <v>1146</v>
      </c>
      <c r="E1356" s="217" t="s">
        <v>2388</v>
      </c>
      <c r="F1356" s="218" t="s">
        <v>2334</v>
      </c>
      <c r="G1356" s="116">
        <v>4950</v>
      </c>
      <c r="H1356" s="1776" t="s">
        <v>1349</v>
      </c>
      <c r="J1356" s="224"/>
      <c r="K1356" s="34" t="s">
        <v>25</v>
      </c>
      <c r="L1356" s="475"/>
      <c r="M1356" s="224"/>
      <c r="N1356" s="224"/>
      <c r="O1356" s="902" t="s">
        <v>6395</v>
      </c>
    </row>
    <row r="1357" spans="1:15" ht="18.75" customHeight="1" x14ac:dyDescent="0.3">
      <c r="A1357" s="2402">
        <v>1351</v>
      </c>
      <c r="B1357" s="1122" t="s">
        <v>2332</v>
      </c>
      <c r="C1357" s="216" t="s">
        <v>1344</v>
      </c>
      <c r="D1357" s="416" t="s">
        <v>1146</v>
      </c>
      <c r="E1357" s="217" t="s">
        <v>2389</v>
      </c>
      <c r="F1357" s="218" t="s">
        <v>2334</v>
      </c>
      <c r="G1357" s="116">
        <v>4950</v>
      </c>
      <c r="H1357" s="1776" t="s">
        <v>1349</v>
      </c>
      <c r="J1357" s="224"/>
      <c r="K1357" s="34" t="s">
        <v>25</v>
      </c>
      <c r="L1357" s="475"/>
      <c r="M1357" s="224"/>
      <c r="N1357" s="224"/>
      <c r="O1357" s="902" t="s">
        <v>6395</v>
      </c>
    </row>
    <row r="1358" spans="1:15" ht="18.75" customHeight="1" x14ac:dyDescent="0.3">
      <c r="A1358" s="2401">
        <v>1352</v>
      </c>
      <c r="B1358" s="1122" t="s">
        <v>2332</v>
      </c>
      <c r="C1358" s="216" t="s">
        <v>1344</v>
      </c>
      <c r="D1358" s="416" t="s">
        <v>1146</v>
      </c>
      <c r="E1358" s="217" t="s">
        <v>2390</v>
      </c>
      <c r="F1358" s="218" t="s">
        <v>2334</v>
      </c>
      <c r="G1358" s="116">
        <v>4950</v>
      </c>
      <c r="H1358" s="1776" t="s">
        <v>1349</v>
      </c>
      <c r="J1358" s="224"/>
      <c r="K1358" s="34" t="s">
        <v>25</v>
      </c>
      <c r="L1358" s="475"/>
      <c r="M1358" s="224"/>
      <c r="N1358" s="224"/>
      <c r="O1358" s="902" t="s">
        <v>6395</v>
      </c>
    </row>
    <row r="1359" spans="1:15" ht="18.75" customHeight="1" x14ac:dyDescent="0.3">
      <c r="A1359" s="2402">
        <v>1353</v>
      </c>
      <c r="B1359" s="1122" t="s">
        <v>2332</v>
      </c>
      <c r="C1359" s="216" t="s">
        <v>1344</v>
      </c>
      <c r="D1359" s="452" t="s">
        <v>1146</v>
      </c>
      <c r="E1359" s="217" t="s">
        <v>2391</v>
      </c>
      <c r="F1359" s="218" t="s">
        <v>2334</v>
      </c>
      <c r="G1359" s="116">
        <v>4950</v>
      </c>
      <c r="H1359" s="1776" t="s">
        <v>1349</v>
      </c>
      <c r="J1359" s="224"/>
      <c r="K1359" s="34" t="s">
        <v>25</v>
      </c>
      <c r="L1359" s="475"/>
      <c r="M1359" s="224"/>
      <c r="N1359" s="224"/>
      <c r="O1359" s="902" t="s">
        <v>6395</v>
      </c>
    </row>
    <row r="1360" spans="1:15" ht="18.75" customHeight="1" x14ac:dyDescent="0.3">
      <c r="A1360" s="2402">
        <v>1354</v>
      </c>
      <c r="B1360" s="1122" t="s">
        <v>2332</v>
      </c>
      <c r="C1360" s="216" t="s">
        <v>1344</v>
      </c>
      <c r="D1360" s="793" t="s">
        <v>1146</v>
      </c>
      <c r="E1360" s="217" t="s">
        <v>2393</v>
      </c>
      <c r="F1360" s="218" t="s">
        <v>2334</v>
      </c>
      <c r="G1360" s="116">
        <v>4950</v>
      </c>
      <c r="H1360" s="1776" t="s">
        <v>1349</v>
      </c>
      <c r="J1360" s="224"/>
      <c r="K1360" s="34" t="s">
        <v>25</v>
      </c>
      <c r="L1360" s="475"/>
      <c r="M1360" s="224"/>
      <c r="N1360" s="224"/>
      <c r="O1360" s="902" t="s">
        <v>6395</v>
      </c>
    </row>
    <row r="1361" spans="1:15" ht="18.75" customHeight="1" x14ac:dyDescent="0.3">
      <c r="A1361" s="2401">
        <v>1355</v>
      </c>
      <c r="B1361" s="1122" t="s">
        <v>2332</v>
      </c>
      <c r="C1361" s="216" t="s">
        <v>1344</v>
      </c>
      <c r="D1361" s="416" t="s">
        <v>1146</v>
      </c>
      <c r="E1361" s="217" t="s">
        <v>2394</v>
      </c>
      <c r="F1361" s="218" t="s">
        <v>2334</v>
      </c>
      <c r="G1361" s="116">
        <v>4950</v>
      </c>
      <c r="H1361" s="1776" t="s">
        <v>1349</v>
      </c>
      <c r="J1361" s="224"/>
      <c r="K1361" s="34" t="s">
        <v>25</v>
      </c>
      <c r="L1361" s="475"/>
      <c r="M1361" s="224"/>
      <c r="N1361" s="224"/>
      <c r="O1361" s="902" t="s">
        <v>6395</v>
      </c>
    </row>
    <row r="1362" spans="1:15" ht="18.75" customHeight="1" x14ac:dyDescent="0.3">
      <c r="A1362" s="2402">
        <v>1356</v>
      </c>
      <c r="B1362" s="1122" t="s">
        <v>2332</v>
      </c>
      <c r="C1362" s="216" t="s">
        <v>1344</v>
      </c>
      <c r="D1362" s="416" t="s">
        <v>1146</v>
      </c>
      <c r="E1362" s="217" t="s">
        <v>2395</v>
      </c>
      <c r="F1362" s="218" t="s">
        <v>2334</v>
      </c>
      <c r="G1362" s="116">
        <v>4950</v>
      </c>
      <c r="H1362" s="1776" t="s">
        <v>1349</v>
      </c>
      <c r="J1362" s="224"/>
      <c r="K1362" s="34" t="s">
        <v>25</v>
      </c>
      <c r="L1362" s="475"/>
      <c r="M1362" s="224"/>
      <c r="N1362" s="224"/>
      <c r="O1362" s="902" t="s">
        <v>6395</v>
      </c>
    </row>
    <row r="1363" spans="1:15" ht="18.75" customHeight="1" x14ac:dyDescent="0.3">
      <c r="A1363" s="2402">
        <v>1357</v>
      </c>
      <c r="B1363" s="1122" t="s">
        <v>2332</v>
      </c>
      <c r="C1363" s="216" t="s">
        <v>1344</v>
      </c>
      <c r="D1363" s="416" t="s">
        <v>1146</v>
      </c>
      <c r="E1363" s="217" t="s">
        <v>2396</v>
      </c>
      <c r="F1363" s="218" t="s">
        <v>2334</v>
      </c>
      <c r="G1363" s="116">
        <v>4950</v>
      </c>
      <c r="H1363" s="1776" t="s">
        <v>1349</v>
      </c>
      <c r="J1363" s="224"/>
      <c r="K1363" s="34" t="s">
        <v>25</v>
      </c>
      <c r="L1363" s="475"/>
      <c r="M1363" s="224"/>
      <c r="N1363" s="224"/>
      <c r="O1363" s="902" t="s">
        <v>6395</v>
      </c>
    </row>
    <row r="1364" spans="1:15" ht="18.75" customHeight="1" x14ac:dyDescent="0.3">
      <c r="A1364" s="2402">
        <v>1358</v>
      </c>
      <c r="B1364" s="1122" t="s">
        <v>2332</v>
      </c>
      <c r="C1364" s="216" t="s">
        <v>1344</v>
      </c>
      <c r="D1364" s="416" t="s">
        <v>1146</v>
      </c>
      <c r="E1364" s="217" t="s">
        <v>2397</v>
      </c>
      <c r="F1364" s="218" t="s">
        <v>2334</v>
      </c>
      <c r="G1364" s="116">
        <v>4950</v>
      </c>
      <c r="H1364" s="1776" t="s">
        <v>1349</v>
      </c>
      <c r="J1364" s="224"/>
      <c r="K1364" s="34" t="s">
        <v>25</v>
      </c>
      <c r="L1364" s="475"/>
      <c r="M1364" s="224"/>
      <c r="N1364" s="224"/>
      <c r="O1364" s="902" t="s">
        <v>6395</v>
      </c>
    </row>
    <row r="1365" spans="1:15" ht="18.75" customHeight="1" x14ac:dyDescent="0.3">
      <c r="A1365" s="2402">
        <v>1359</v>
      </c>
      <c r="B1365" s="1122" t="s">
        <v>2332</v>
      </c>
      <c r="C1365" s="216" t="s">
        <v>1344</v>
      </c>
      <c r="D1365" s="416" t="s">
        <v>1146</v>
      </c>
      <c r="E1365" s="217" t="s">
        <v>2398</v>
      </c>
      <c r="F1365" s="218" t="s">
        <v>2334</v>
      </c>
      <c r="G1365" s="116">
        <v>4950</v>
      </c>
      <c r="H1365" s="1776" t="s">
        <v>1349</v>
      </c>
      <c r="J1365" s="224"/>
      <c r="K1365" s="34" t="s">
        <v>25</v>
      </c>
      <c r="L1365" s="475"/>
      <c r="M1365" s="224"/>
      <c r="N1365" s="224"/>
      <c r="O1365" s="902" t="s">
        <v>6395</v>
      </c>
    </row>
    <row r="1366" spans="1:15" ht="18.75" customHeight="1" x14ac:dyDescent="0.3">
      <c r="A1366" s="2401">
        <v>1360</v>
      </c>
      <c r="B1366" s="1122" t="s">
        <v>2332</v>
      </c>
      <c r="C1366" s="216" t="s">
        <v>1344</v>
      </c>
      <c r="D1366" s="416" t="s">
        <v>1146</v>
      </c>
      <c r="E1366" s="217" t="s">
        <v>2399</v>
      </c>
      <c r="F1366" s="218" t="s">
        <v>2334</v>
      </c>
      <c r="G1366" s="116">
        <v>4950</v>
      </c>
      <c r="H1366" s="1776" t="s">
        <v>1349</v>
      </c>
      <c r="J1366" s="224"/>
      <c r="K1366" s="34" t="s">
        <v>25</v>
      </c>
      <c r="L1366" s="475"/>
      <c r="M1366" s="224"/>
      <c r="N1366" s="224"/>
      <c r="O1366" s="902" t="s">
        <v>6395</v>
      </c>
    </row>
    <row r="1367" spans="1:15" ht="18.75" customHeight="1" x14ac:dyDescent="0.3">
      <c r="A1367" s="2402">
        <v>1361</v>
      </c>
      <c r="B1367" s="1122" t="s">
        <v>2332</v>
      </c>
      <c r="C1367" s="216" t="s">
        <v>1344</v>
      </c>
      <c r="D1367" s="416" t="s">
        <v>1146</v>
      </c>
      <c r="E1367" s="217" t="s">
        <v>2400</v>
      </c>
      <c r="F1367" s="218" t="s">
        <v>2334</v>
      </c>
      <c r="G1367" s="116">
        <v>4950</v>
      </c>
      <c r="H1367" s="1776" t="s">
        <v>1349</v>
      </c>
      <c r="J1367" s="224"/>
      <c r="K1367" s="34" t="s">
        <v>25</v>
      </c>
      <c r="L1367" s="475"/>
      <c r="M1367" s="224"/>
      <c r="N1367" s="224"/>
      <c r="O1367" s="902" t="s">
        <v>6395</v>
      </c>
    </row>
    <row r="1368" spans="1:15" ht="18.75" customHeight="1" x14ac:dyDescent="0.3">
      <c r="A1368" s="2402">
        <v>1362</v>
      </c>
      <c r="B1368" s="1122" t="s">
        <v>2332</v>
      </c>
      <c r="C1368" s="216" t="s">
        <v>1344</v>
      </c>
      <c r="D1368" s="416" t="s">
        <v>1146</v>
      </c>
      <c r="E1368" s="217" t="s">
        <v>2401</v>
      </c>
      <c r="F1368" s="218" t="s">
        <v>2334</v>
      </c>
      <c r="G1368" s="116">
        <v>4950</v>
      </c>
      <c r="H1368" s="1776" t="s">
        <v>1349</v>
      </c>
      <c r="J1368" s="224"/>
      <c r="K1368" s="34" t="s">
        <v>25</v>
      </c>
      <c r="L1368" s="475"/>
      <c r="M1368" s="224"/>
      <c r="N1368" s="224"/>
      <c r="O1368" s="902" t="s">
        <v>6395</v>
      </c>
    </row>
    <row r="1369" spans="1:15" ht="18.75" customHeight="1" x14ac:dyDescent="0.3">
      <c r="A1369" s="2401">
        <v>1363</v>
      </c>
      <c r="B1369" s="1122" t="s">
        <v>2332</v>
      </c>
      <c r="C1369" s="216" t="s">
        <v>1344</v>
      </c>
      <c r="D1369" s="416" t="s">
        <v>1146</v>
      </c>
      <c r="E1369" s="217" t="s">
        <v>2402</v>
      </c>
      <c r="F1369" s="218" t="s">
        <v>2334</v>
      </c>
      <c r="G1369" s="116">
        <v>4950</v>
      </c>
      <c r="H1369" s="1776" t="s">
        <v>1349</v>
      </c>
      <c r="J1369" s="224"/>
      <c r="K1369" s="34" t="s">
        <v>25</v>
      </c>
      <c r="L1369" s="475"/>
      <c r="M1369" s="224"/>
      <c r="N1369" s="224"/>
      <c r="O1369" s="902" t="s">
        <v>6395</v>
      </c>
    </row>
    <row r="1370" spans="1:15" ht="18.75" customHeight="1" x14ac:dyDescent="0.3">
      <c r="A1370" s="2402">
        <v>1364</v>
      </c>
      <c r="B1370" s="1122" t="s">
        <v>2332</v>
      </c>
      <c r="C1370" s="216" t="s">
        <v>1344</v>
      </c>
      <c r="D1370" s="416" t="s">
        <v>1146</v>
      </c>
      <c r="E1370" s="217" t="s">
        <v>2403</v>
      </c>
      <c r="F1370" s="218" t="s">
        <v>2334</v>
      </c>
      <c r="G1370" s="116">
        <v>4950</v>
      </c>
      <c r="H1370" s="1776" t="s">
        <v>1349</v>
      </c>
      <c r="J1370" s="224"/>
      <c r="K1370" s="34" t="s">
        <v>25</v>
      </c>
      <c r="L1370" s="475"/>
      <c r="M1370" s="224"/>
      <c r="N1370" s="224"/>
      <c r="O1370" s="902" t="s">
        <v>6395</v>
      </c>
    </row>
    <row r="1371" spans="1:15" ht="18.75" customHeight="1" x14ac:dyDescent="0.3">
      <c r="A1371" s="2402">
        <v>1365</v>
      </c>
      <c r="B1371" s="1122" t="s">
        <v>2332</v>
      </c>
      <c r="C1371" s="216" t="s">
        <v>1344</v>
      </c>
      <c r="D1371" s="416" t="s">
        <v>1146</v>
      </c>
      <c r="E1371" s="217" t="s">
        <v>2404</v>
      </c>
      <c r="F1371" s="218" t="s">
        <v>2334</v>
      </c>
      <c r="G1371" s="116">
        <v>4950</v>
      </c>
      <c r="H1371" s="1776" t="s">
        <v>1349</v>
      </c>
      <c r="J1371" s="224"/>
      <c r="K1371" s="34" t="s">
        <v>25</v>
      </c>
      <c r="L1371" s="475"/>
      <c r="M1371" s="224"/>
      <c r="N1371" s="224"/>
      <c r="O1371" s="902" t="s">
        <v>6395</v>
      </c>
    </row>
    <row r="1372" spans="1:15" ht="18.75" customHeight="1" x14ac:dyDescent="0.3">
      <c r="A1372" s="2402">
        <v>1366</v>
      </c>
      <c r="B1372" s="1122" t="s">
        <v>2332</v>
      </c>
      <c r="C1372" s="216" t="s">
        <v>1344</v>
      </c>
      <c r="D1372" s="416" t="s">
        <v>1146</v>
      </c>
      <c r="E1372" s="217" t="s">
        <v>2405</v>
      </c>
      <c r="F1372" s="218" t="s">
        <v>2334</v>
      </c>
      <c r="G1372" s="116">
        <v>4950</v>
      </c>
      <c r="H1372" s="1776" t="s">
        <v>1349</v>
      </c>
      <c r="J1372" s="224"/>
      <c r="K1372" s="34" t="s">
        <v>25</v>
      </c>
      <c r="L1372" s="475"/>
      <c r="M1372" s="224"/>
      <c r="N1372" s="224"/>
      <c r="O1372" s="902" t="s">
        <v>6395</v>
      </c>
    </row>
    <row r="1373" spans="1:15" ht="18.75" customHeight="1" x14ac:dyDescent="0.3">
      <c r="A1373" s="2402">
        <v>1367</v>
      </c>
      <c r="B1373" s="1122" t="s">
        <v>2332</v>
      </c>
      <c r="C1373" s="216" t="s">
        <v>1344</v>
      </c>
      <c r="D1373" s="452" t="s">
        <v>1146</v>
      </c>
      <c r="E1373" s="217" t="s">
        <v>2406</v>
      </c>
      <c r="F1373" s="218" t="s">
        <v>2334</v>
      </c>
      <c r="G1373" s="116">
        <v>4950</v>
      </c>
      <c r="H1373" s="1776" t="s">
        <v>1349</v>
      </c>
      <c r="J1373" s="224"/>
      <c r="K1373" s="34" t="s">
        <v>25</v>
      </c>
      <c r="L1373" s="475"/>
      <c r="M1373" s="224"/>
      <c r="N1373" s="224"/>
      <c r="O1373" s="902" t="s">
        <v>6395</v>
      </c>
    </row>
    <row r="1374" spans="1:15" ht="18.75" customHeight="1" x14ac:dyDescent="0.3">
      <c r="A1374" s="2401">
        <v>1368</v>
      </c>
      <c r="B1374" s="1122" t="s">
        <v>2332</v>
      </c>
      <c r="C1374" s="216" t="s">
        <v>1344</v>
      </c>
      <c r="D1374" s="793" t="s">
        <v>1146</v>
      </c>
      <c r="E1374" s="217" t="s">
        <v>2407</v>
      </c>
      <c r="F1374" s="218" t="s">
        <v>2334</v>
      </c>
      <c r="G1374" s="116">
        <v>4950</v>
      </c>
      <c r="H1374" s="1776" t="s">
        <v>1349</v>
      </c>
      <c r="J1374" s="224"/>
      <c r="K1374" s="34" t="s">
        <v>25</v>
      </c>
      <c r="L1374" s="475"/>
      <c r="M1374" s="224"/>
      <c r="N1374" s="224"/>
      <c r="O1374" s="902" t="s">
        <v>6395</v>
      </c>
    </row>
    <row r="1375" spans="1:15" ht="18.75" customHeight="1" x14ac:dyDescent="0.3">
      <c r="A1375" s="2402">
        <v>1369</v>
      </c>
      <c r="B1375" s="1122" t="s">
        <v>2332</v>
      </c>
      <c r="C1375" s="216" t="s">
        <v>1344</v>
      </c>
      <c r="D1375" s="416" t="s">
        <v>1146</v>
      </c>
      <c r="E1375" s="217" t="s">
        <v>2408</v>
      </c>
      <c r="F1375" s="218" t="s">
        <v>2334</v>
      </c>
      <c r="G1375" s="116">
        <v>4950</v>
      </c>
      <c r="H1375" s="1776" t="s">
        <v>1349</v>
      </c>
      <c r="J1375" s="224"/>
      <c r="K1375" s="34" t="s">
        <v>25</v>
      </c>
      <c r="L1375" s="475"/>
      <c r="M1375" s="224"/>
      <c r="N1375" s="224"/>
      <c r="O1375" s="902" t="s">
        <v>6395</v>
      </c>
    </row>
    <row r="1376" spans="1:15" ht="18.75" customHeight="1" x14ac:dyDescent="0.3">
      <c r="A1376" s="2402">
        <v>1370</v>
      </c>
      <c r="B1376" s="1122" t="s">
        <v>2332</v>
      </c>
      <c r="C1376" s="216" t="s">
        <v>1344</v>
      </c>
      <c r="D1376" s="416" t="s">
        <v>1146</v>
      </c>
      <c r="E1376" s="217" t="s">
        <v>2409</v>
      </c>
      <c r="F1376" s="218" t="s">
        <v>2334</v>
      </c>
      <c r="G1376" s="116">
        <v>4950</v>
      </c>
      <c r="H1376" s="1776" t="s">
        <v>1349</v>
      </c>
      <c r="J1376" s="224"/>
      <c r="K1376" s="34" t="s">
        <v>25</v>
      </c>
      <c r="L1376" s="475"/>
      <c r="M1376" s="224"/>
      <c r="N1376" s="224"/>
      <c r="O1376" s="902" t="s">
        <v>6395</v>
      </c>
    </row>
    <row r="1377" spans="1:15" ht="18.75" customHeight="1" x14ac:dyDescent="0.3">
      <c r="A1377" s="2401">
        <v>1371</v>
      </c>
      <c r="B1377" s="1122" t="s">
        <v>2332</v>
      </c>
      <c r="C1377" s="216" t="s">
        <v>1344</v>
      </c>
      <c r="D1377" s="416" t="s">
        <v>1146</v>
      </c>
      <c r="E1377" s="217" t="s">
        <v>2410</v>
      </c>
      <c r="F1377" s="218" t="s">
        <v>2334</v>
      </c>
      <c r="G1377" s="116">
        <v>4950</v>
      </c>
      <c r="H1377" s="1776" t="s">
        <v>1349</v>
      </c>
      <c r="J1377" s="224"/>
      <c r="K1377" s="34" t="s">
        <v>25</v>
      </c>
      <c r="L1377" s="475"/>
      <c r="M1377" s="224"/>
      <c r="N1377" s="224"/>
      <c r="O1377" s="902" t="s">
        <v>6395</v>
      </c>
    </row>
    <row r="1378" spans="1:15" ht="18.75" customHeight="1" x14ac:dyDescent="0.3">
      <c r="A1378" s="2402">
        <v>1372</v>
      </c>
      <c r="B1378" s="1122" t="s">
        <v>2332</v>
      </c>
      <c r="C1378" s="216" t="s">
        <v>1344</v>
      </c>
      <c r="D1378" s="416" t="s">
        <v>1146</v>
      </c>
      <c r="E1378" s="217" t="s">
        <v>2411</v>
      </c>
      <c r="F1378" s="218" t="s">
        <v>2334</v>
      </c>
      <c r="G1378" s="116">
        <v>4950</v>
      </c>
      <c r="H1378" s="1776" t="s">
        <v>1349</v>
      </c>
      <c r="J1378" s="224"/>
      <c r="K1378" s="34" t="s">
        <v>25</v>
      </c>
      <c r="L1378" s="475"/>
      <c r="M1378" s="224"/>
      <c r="N1378" s="224"/>
      <c r="O1378" s="902" t="s">
        <v>6395</v>
      </c>
    </row>
    <row r="1379" spans="1:15" ht="18.75" customHeight="1" x14ac:dyDescent="0.3">
      <c r="A1379" s="2402">
        <v>1373</v>
      </c>
      <c r="B1379" s="1122" t="s">
        <v>2332</v>
      </c>
      <c r="C1379" s="216" t="s">
        <v>1344</v>
      </c>
      <c r="D1379" s="416" t="s">
        <v>1146</v>
      </c>
      <c r="E1379" s="217" t="s">
        <v>2412</v>
      </c>
      <c r="F1379" s="218" t="s">
        <v>2334</v>
      </c>
      <c r="G1379" s="116">
        <v>4950</v>
      </c>
      <c r="H1379" s="1776" t="s">
        <v>1349</v>
      </c>
      <c r="J1379" s="224"/>
      <c r="K1379" s="34" t="s">
        <v>25</v>
      </c>
      <c r="L1379" s="475"/>
      <c r="M1379" s="224"/>
      <c r="N1379" s="224"/>
      <c r="O1379" s="902" t="s">
        <v>6395</v>
      </c>
    </row>
    <row r="1380" spans="1:15" ht="18.75" customHeight="1" x14ac:dyDescent="0.3">
      <c r="A1380" s="2402">
        <v>1374</v>
      </c>
      <c r="B1380" s="1122" t="s">
        <v>2332</v>
      </c>
      <c r="C1380" s="216" t="s">
        <v>1344</v>
      </c>
      <c r="D1380" s="416" t="s">
        <v>1146</v>
      </c>
      <c r="E1380" s="217" t="s">
        <v>2413</v>
      </c>
      <c r="F1380" s="218" t="s">
        <v>2334</v>
      </c>
      <c r="G1380" s="116">
        <v>4950</v>
      </c>
      <c r="H1380" s="1776" t="s">
        <v>1349</v>
      </c>
      <c r="J1380" s="224"/>
      <c r="K1380" s="34" t="s">
        <v>25</v>
      </c>
      <c r="L1380" s="475"/>
      <c r="M1380" s="224"/>
      <c r="N1380" s="224"/>
      <c r="O1380" s="902" t="s">
        <v>6395</v>
      </c>
    </row>
    <row r="1381" spans="1:15" ht="18.75" customHeight="1" x14ac:dyDescent="0.3">
      <c r="A1381" s="2402">
        <v>1375</v>
      </c>
      <c r="B1381" s="1122" t="s">
        <v>2332</v>
      </c>
      <c r="C1381" s="216" t="s">
        <v>1344</v>
      </c>
      <c r="D1381" s="416" t="s">
        <v>1146</v>
      </c>
      <c r="E1381" s="217" t="s">
        <v>2414</v>
      </c>
      <c r="F1381" s="218" t="s">
        <v>2334</v>
      </c>
      <c r="G1381" s="116">
        <v>4950</v>
      </c>
      <c r="H1381" s="1776" t="s">
        <v>1349</v>
      </c>
      <c r="J1381" s="224"/>
      <c r="K1381" s="34" t="s">
        <v>25</v>
      </c>
      <c r="L1381" s="475"/>
      <c r="M1381" s="224"/>
      <c r="N1381" s="224"/>
      <c r="O1381" s="902" t="s">
        <v>6395</v>
      </c>
    </row>
    <row r="1382" spans="1:15" ht="18.75" customHeight="1" x14ac:dyDescent="0.3">
      <c r="A1382" s="2401">
        <v>1376</v>
      </c>
      <c r="B1382" s="1122" t="s">
        <v>2332</v>
      </c>
      <c r="C1382" s="216" t="s">
        <v>1344</v>
      </c>
      <c r="D1382" s="416" t="s">
        <v>1146</v>
      </c>
      <c r="E1382" s="217" t="s">
        <v>2415</v>
      </c>
      <c r="F1382" s="218" t="s">
        <v>2334</v>
      </c>
      <c r="G1382" s="116">
        <v>4950</v>
      </c>
      <c r="H1382" s="1776" t="s">
        <v>1349</v>
      </c>
      <c r="J1382" s="224"/>
      <c r="K1382" s="34" t="s">
        <v>25</v>
      </c>
      <c r="L1382" s="475"/>
      <c r="M1382" s="224"/>
      <c r="N1382" s="224"/>
      <c r="O1382" s="902" t="s">
        <v>6395</v>
      </c>
    </row>
    <row r="1383" spans="1:15" ht="18.75" customHeight="1" x14ac:dyDescent="0.3">
      <c r="A1383" s="2402">
        <v>1377</v>
      </c>
      <c r="B1383" s="1122" t="s">
        <v>2332</v>
      </c>
      <c r="C1383" s="216" t="s">
        <v>1344</v>
      </c>
      <c r="D1383" s="416" t="s">
        <v>1146</v>
      </c>
      <c r="E1383" s="217" t="s">
        <v>2416</v>
      </c>
      <c r="F1383" s="218" t="s">
        <v>2334</v>
      </c>
      <c r="G1383" s="116">
        <v>4950</v>
      </c>
      <c r="H1383" s="1776" t="s">
        <v>1349</v>
      </c>
      <c r="J1383" s="224"/>
      <c r="K1383" s="34" t="s">
        <v>25</v>
      </c>
      <c r="L1383" s="475"/>
      <c r="M1383" s="224"/>
      <c r="N1383" s="224"/>
      <c r="O1383" s="902" t="s">
        <v>6395</v>
      </c>
    </row>
    <row r="1384" spans="1:15" ht="18.75" customHeight="1" x14ac:dyDescent="0.3">
      <c r="A1384" s="2402">
        <v>1378</v>
      </c>
      <c r="B1384" s="1122" t="s">
        <v>2332</v>
      </c>
      <c r="C1384" s="216" t="s">
        <v>1344</v>
      </c>
      <c r="D1384" s="416" t="s">
        <v>1146</v>
      </c>
      <c r="E1384" s="217" t="s">
        <v>2417</v>
      </c>
      <c r="F1384" s="218" t="s">
        <v>2334</v>
      </c>
      <c r="G1384" s="116">
        <v>4950</v>
      </c>
      <c r="H1384" s="1776" t="s">
        <v>1349</v>
      </c>
      <c r="J1384" s="224"/>
      <c r="K1384" s="34" t="s">
        <v>25</v>
      </c>
      <c r="L1384" s="475"/>
      <c r="M1384" s="224"/>
      <c r="N1384" s="224"/>
      <c r="O1384" s="902" t="s">
        <v>6395</v>
      </c>
    </row>
    <row r="1385" spans="1:15" ht="18.75" customHeight="1" x14ac:dyDescent="0.3">
      <c r="A1385" s="2401">
        <v>1379</v>
      </c>
      <c r="B1385" s="1122" t="s">
        <v>2332</v>
      </c>
      <c r="C1385" s="216" t="s">
        <v>1344</v>
      </c>
      <c r="D1385" s="416" t="s">
        <v>1146</v>
      </c>
      <c r="E1385" s="217" t="s">
        <v>2418</v>
      </c>
      <c r="F1385" s="218" t="s">
        <v>2334</v>
      </c>
      <c r="G1385" s="116">
        <v>4950</v>
      </c>
      <c r="H1385" s="1776" t="s">
        <v>1349</v>
      </c>
      <c r="J1385" s="224"/>
      <c r="K1385" s="34" t="s">
        <v>25</v>
      </c>
      <c r="L1385" s="475"/>
      <c r="M1385" s="224"/>
      <c r="N1385" s="224"/>
      <c r="O1385" s="902" t="s">
        <v>6395</v>
      </c>
    </row>
    <row r="1386" spans="1:15" ht="18.75" customHeight="1" x14ac:dyDescent="0.3">
      <c r="A1386" s="2402">
        <v>1380</v>
      </c>
      <c r="B1386" s="1122" t="s">
        <v>2332</v>
      </c>
      <c r="C1386" s="216" t="s">
        <v>1344</v>
      </c>
      <c r="D1386" s="416" t="s">
        <v>1146</v>
      </c>
      <c r="E1386" s="217" t="s">
        <v>2419</v>
      </c>
      <c r="F1386" s="218" t="s">
        <v>2334</v>
      </c>
      <c r="G1386" s="116">
        <v>4950</v>
      </c>
      <c r="H1386" s="1776" t="s">
        <v>1349</v>
      </c>
      <c r="J1386" s="224"/>
      <c r="K1386" s="34" t="s">
        <v>25</v>
      </c>
      <c r="L1386" s="475"/>
      <c r="M1386" s="224"/>
      <c r="N1386" s="224"/>
      <c r="O1386" s="902" t="s">
        <v>6395</v>
      </c>
    </row>
    <row r="1387" spans="1:15" ht="18.75" customHeight="1" x14ac:dyDescent="0.3">
      <c r="A1387" s="2402">
        <v>1381</v>
      </c>
      <c r="B1387" s="1122" t="s">
        <v>2332</v>
      </c>
      <c r="C1387" s="216" t="s">
        <v>1344</v>
      </c>
      <c r="D1387" s="416" t="s">
        <v>1146</v>
      </c>
      <c r="E1387" s="217" t="s">
        <v>2420</v>
      </c>
      <c r="F1387" s="218" t="s">
        <v>2334</v>
      </c>
      <c r="G1387" s="116">
        <v>4950</v>
      </c>
      <c r="H1387" s="1776" t="s">
        <v>1349</v>
      </c>
      <c r="J1387" s="224"/>
      <c r="K1387" s="34" t="s">
        <v>25</v>
      </c>
      <c r="L1387" s="475"/>
      <c r="M1387" s="224"/>
      <c r="N1387" s="224"/>
      <c r="O1387" s="902" t="s">
        <v>6395</v>
      </c>
    </row>
    <row r="1388" spans="1:15" ht="18.75" customHeight="1" x14ac:dyDescent="0.3">
      <c r="A1388" s="2402">
        <v>1382</v>
      </c>
      <c r="B1388" s="1122" t="s">
        <v>2332</v>
      </c>
      <c r="C1388" s="216" t="s">
        <v>1344</v>
      </c>
      <c r="D1388" s="416" t="s">
        <v>1146</v>
      </c>
      <c r="E1388" s="217" t="s">
        <v>2421</v>
      </c>
      <c r="F1388" s="218" t="s">
        <v>2334</v>
      </c>
      <c r="G1388" s="116">
        <v>4950</v>
      </c>
      <c r="H1388" s="1776" t="s">
        <v>1349</v>
      </c>
      <c r="J1388" s="224"/>
      <c r="K1388" s="34" t="s">
        <v>25</v>
      </c>
      <c r="L1388" s="475"/>
      <c r="M1388" s="224"/>
      <c r="N1388" s="224"/>
      <c r="O1388" s="902" t="s">
        <v>6395</v>
      </c>
    </row>
    <row r="1389" spans="1:15" ht="18.75" customHeight="1" x14ac:dyDescent="0.3">
      <c r="A1389" s="2402">
        <v>1383</v>
      </c>
      <c r="B1389" s="1122" t="s">
        <v>2332</v>
      </c>
      <c r="C1389" s="216" t="s">
        <v>1344</v>
      </c>
      <c r="D1389" s="452" t="s">
        <v>1146</v>
      </c>
      <c r="E1389" s="217" t="s">
        <v>2422</v>
      </c>
      <c r="F1389" s="218" t="s">
        <v>2334</v>
      </c>
      <c r="G1389" s="116">
        <v>4950</v>
      </c>
      <c r="H1389" s="1776" t="s">
        <v>1349</v>
      </c>
      <c r="J1389" s="224"/>
      <c r="K1389" s="34" t="s">
        <v>25</v>
      </c>
      <c r="L1389" s="475"/>
      <c r="M1389" s="224"/>
      <c r="N1389" s="224"/>
      <c r="O1389" s="902" t="s">
        <v>6395</v>
      </c>
    </row>
    <row r="1390" spans="1:15" ht="18.75" customHeight="1" x14ac:dyDescent="0.3">
      <c r="A1390" s="2401">
        <v>1384</v>
      </c>
      <c r="B1390" s="1122" t="s">
        <v>2332</v>
      </c>
      <c r="C1390" s="216" t="s">
        <v>1344</v>
      </c>
      <c r="D1390" s="495" t="s">
        <v>1146</v>
      </c>
      <c r="E1390" s="217" t="s">
        <v>2423</v>
      </c>
      <c r="F1390" s="218" t="s">
        <v>2334</v>
      </c>
      <c r="G1390" s="116">
        <v>4950</v>
      </c>
      <c r="H1390" s="1776" t="s">
        <v>1349</v>
      </c>
      <c r="J1390" s="224"/>
      <c r="K1390" s="34" t="s">
        <v>25</v>
      </c>
      <c r="L1390" s="475"/>
      <c r="M1390" s="224"/>
      <c r="N1390" s="224"/>
      <c r="O1390" s="902" t="s">
        <v>6395</v>
      </c>
    </row>
    <row r="1391" spans="1:15" ht="18.75" customHeight="1" x14ac:dyDescent="0.3">
      <c r="A1391" s="2402">
        <v>1385</v>
      </c>
      <c r="B1391" s="1122" t="s">
        <v>2332</v>
      </c>
      <c r="C1391" s="216" t="s">
        <v>1344</v>
      </c>
      <c r="D1391" s="793" t="s">
        <v>1146</v>
      </c>
      <c r="E1391" s="217" t="s">
        <v>2424</v>
      </c>
      <c r="F1391" s="218" t="s">
        <v>2334</v>
      </c>
      <c r="G1391" s="116">
        <v>4950</v>
      </c>
      <c r="H1391" s="1776" t="s">
        <v>1349</v>
      </c>
      <c r="J1391" s="224"/>
      <c r="K1391" s="34" t="s">
        <v>25</v>
      </c>
      <c r="L1391" s="475"/>
      <c r="M1391" s="224"/>
      <c r="N1391" s="224"/>
      <c r="O1391" s="902" t="s">
        <v>6395</v>
      </c>
    </row>
    <row r="1392" spans="1:15" ht="18.75" customHeight="1" x14ac:dyDescent="0.3">
      <c r="A1392" s="2402">
        <v>1386</v>
      </c>
      <c r="B1392" s="1122" t="s">
        <v>2332</v>
      </c>
      <c r="C1392" s="216" t="s">
        <v>1344</v>
      </c>
      <c r="D1392" s="416" t="s">
        <v>1146</v>
      </c>
      <c r="E1392" s="217" t="s">
        <v>2425</v>
      </c>
      <c r="F1392" s="218" t="s">
        <v>2334</v>
      </c>
      <c r="G1392" s="116">
        <v>4950</v>
      </c>
      <c r="H1392" s="1776" t="s">
        <v>1349</v>
      </c>
      <c r="J1392" s="224"/>
      <c r="K1392" s="34" t="s">
        <v>25</v>
      </c>
      <c r="L1392" s="475"/>
      <c r="M1392" s="224"/>
      <c r="N1392" s="224"/>
      <c r="O1392" s="902" t="s">
        <v>6395</v>
      </c>
    </row>
    <row r="1393" spans="1:15" ht="18.75" customHeight="1" x14ac:dyDescent="0.3">
      <c r="A1393" s="2401">
        <v>1387</v>
      </c>
      <c r="B1393" s="1122" t="s">
        <v>2332</v>
      </c>
      <c r="C1393" s="216" t="s">
        <v>1344</v>
      </c>
      <c r="D1393" s="416" t="s">
        <v>1146</v>
      </c>
      <c r="E1393" s="217" t="s">
        <v>2426</v>
      </c>
      <c r="F1393" s="218" t="s">
        <v>2334</v>
      </c>
      <c r="G1393" s="116">
        <v>4950</v>
      </c>
      <c r="H1393" s="1776" t="s">
        <v>1349</v>
      </c>
      <c r="J1393" s="224"/>
      <c r="K1393" s="34" t="s">
        <v>25</v>
      </c>
      <c r="L1393" s="475"/>
      <c r="M1393" s="224"/>
      <c r="N1393" s="224"/>
      <c r="O1393" s="902" t="s">
        <v>6395</v>
      </c>
    </row>
    <row r="1394" spans="1:15" ht="18.75" customHeight="1" x14ac:dyDescent="0.3">
      <c r="A1394" s="2402">
        <v>1388</v>
      </c>
      <c r="B1394" s="1122" t="s">
        <v>2332</v>
      </c>
      <c r="C1394" s="216" t="s">
        <v>1344</v>
      </c>
      <c r="D1394" s="416" t="s">
        <v>1146</v>
      </c>
      <c r="E1394" s="217" t="s">
        <v>2427</v>
      </c>
      <c r="F1394" s="218" t="s">
        <v>2334</v>
      </c>
      <c r="G1394" s="116">
        <v>4950</v>
      </c>
      <c r="H1394" s="1776" t="s">
        <v>1349</v>
      </c>
      <c r="J1394" s="224"/>
      <c r="K1394" s="34" t="s">
        <v>25</v>
      </c>
      <c r="L1394" s="475"/>
      <c r="M1394" s="224"/>
      <c r="N1394" s="224"/>
      <c r="O1394" s="902" t="s">
        <v>6395</v>
      </c>
    </row>
    <row r="1395" spans="1:15" ht="18.75" customHeight="1" x14ac:dyDescent="0.3">
      <c r="A1395" s="2402">
        <v>1389</v>
      </c>
      <c r="B1395" s="1122" t="s">
        <v>2332</v>
      </c>
      <c r="C1395" s="216" t="s">
        <v>1344</v>
      </c>
      <c r="D1395" s="416" t="s">
        <v>1146</v>
      </c>
      <c r="E1395" s="217" t="s">
        <v>2428</v>
      </c>
      <c r="F1395" s="218" t="s">
        <v>2334</v>
      </c>
      <c r="G1395" s="116">
        <v>4950</v>
      </c>
      <c r="H1395" s="1776" t="s">
        <v>1349</v>
      </c>
      <c r="J1395" s="224"/>
      <c r="K1395" s="34" t="s">
        <v>25</v>
      </c>
      <c r="L1395" s="475"/>
      <c r="M1395" s="224"/>
      <c r="N1395" s="224"/>
      <c r="O1395" s="902" t="s">
        <v>6395</v>
      </c>
    </row>
    <row r="1396" spans="1:15" ht="18.75" customHeight="1" x14ac:dyDescent="0.3">
      <c r="A1396" s="2402">
        <v>1390</v>
      </c>
      <c r="B1396" s="1122" t="s">
        <v>2332</v>
      </c>
      <c r="C1396" s="216" t="s">
        <v>1344</v>
      </c>
      <c r="D1396" s="416" t="s">
        <v>1146</v>
      </c>
      <c r="E1396" s="217" t="s">
        <v>2429</v>
      </c>
      <c r="F1396" s="218" t="s">
        <v>2334</v>
      </c>
      <c r="G1396" s="116">
        <v>4950</v>
      </c>
      <c r="H1396" s="1776" t="s">
        <v>1349</v>
      </c>
      <c r="J1396" s="224"/>
      <c r="K1396" s="34" t="s">
        <v>25</v>
      </c>
      <c r="L1396" s="475"/>
      <c r="M1396" s="224"/>
      <c r="N1396" s="224"/>
      <c r="O1396" s="902" t="s">
        <v>6395</v>
      </c>
    </row>
    <row r="1397" spans="1:15" ht="18.75" customHeight="1" x14ac:dyDescent="0.3">
      <c r="A1397" s="2402">
        <v>1391</v>
      </c>
      <c r="B1397" s="1122" t="s">
        <v>2332</v>
      </c>
      <c r="C1397" s="216" t="s">
        <v>1344</v>
      </c>
      <c r="D1397" s="416" t="s">
        <v>1146</v>
      </c>
      <c r="E1397" s="217" t="s">
        <v>2430</v>
      </c>
      <c r="F1397" s="218" t="s">
        <v>2334</v>
      </c>
      <c r="G1397" s="116">
        <v>4950</v>
      </c>
      <c r="H1397" s="1776" t="s">
        <v>1349</v>
      </c>
      <c r="J1397" s="224"/>
      <c r="K1397" s="34" t="s">
        <v>25</v>
      </c>
      <c r="L1397" s="475"/>
      <c r="M1397" s="224"/>
      <c r="N1397" s="224"/>
      <c r="O1397" s="902" t="s">
        <v>6395</v>
      </c>
    </row>
    <row r="1398" spans="1:15" ht="18.75" customHeight="1" x14ac:dyDescent="0.3">
      <c r="A1398" s="2401">
        <v>1392</v>
      </c>
      <c r="B1398" s="1122" t="s">
        <v>2332</v>
      </c>
      <c r="C1398" s="216" t="s">
        <v>1344</v>
      </c>
      <c r="D1398" s="416" t="s">
        <v>1146</v>
      </c>
      <c r="E1398" s="217" t="s">
        <v>2431</v>
      </c>
      <c r="F1398" s="218" t="s">
        <v>2334</v>
      </c>
      <c r="G1398" s="116">
        <v>4950</v>
      </c>
      <c r="H1398" s="1776" t="s">
        <v>1349</v>
      </c>
      <c r="J1398" s="224"/>
      <c r="K1398" s="34" t="s">
        <v>25</v>
      </c>
      <c r="L1398" s="475"/>
      <c r="M1398" s="224"/>
      <c r="N1398" s="224"/>
      <c r="O1398" s="902" t="s">
        <v>6395</v>
      </c>
    </row>
    <row r="1399" spans="1:15" ht="18.75" customHeight="1" x14ac:dyDescent="0.3">
      <c r="A1399" s="2402">
        <v>1393</v>
      </c>
      <c r="B1399" s="1122" t="s">
        <v>2332</v>
      </c>
      <c r="C1399" s="216" t="s">
        <v>1344</v>
      </c>
      <c r="D1399" s="416" t="s">
        <v>1146</v>
      </c>
      <c r="E1399" s="217" t="s">
        <v>2432</v>
      </c>
      <c r="F1399" s="218" t="s">
        <v>2334</v>
      </c>
      <c r="G1399" s="116">
        <v>4950</v>
      </c>
      <c r="H1399" s="1776" t="s">
        <v>1349</v>
      </c>
      <c r="J1399" s="224"/>
      <c r="K1399" s="34" t="s">
        <v>25</v>
      </c>
      <c r="L1399" s="475"/>
      <c r="M1399" s="224"/>
      <c r="N1399" s="224"/>
      <c r="O1399" s="902" t="s">
        <v>6395</v>
      </c>
    </row>
    <row r="1400" spans="1:15" ht="18.75" customHeight="1" x14ac:dyDescent="0.3">
      <c r="A1400" s="2402">
        <v>1394</v>
      </c>
      <c r="B1400" s="1122" t="s">
        <v>2332</v>
      </c>
      <c r="C1400" s="216" t="s">
        <v>1344</v>
      </c>
      <c r="D1400" s="416" t="s">
        <v>1146</v>
      </c>
      <c r="E1400" s="217" t="s">
        <v>2433</v>
      </c>
      <c r="F1400" s="218" t="s">
        <v>2334</v>
      </c>
      <c r="G1400" s="116">
        <v>4950</v>
      </c>
      <c r="H1400" s="1776" t="s">
        <v>1349</v>
      </c>
      <c r="J1400" s="224"/>
      <c r="K1400" s="34" t="s">
        <v>25</v>
      </c>
      <c r="L1400" s="475"/>
      <c r="M1400" s="224"/>
      <c r="N1400" s="224"/>
      <c r="O1400" s="902" t="s">
        <v>6395</v>
      </c>
    </row>
    <row r="1401" spans="1:15" ht="18.75" customHeight="1" x14ac:dyDescent="0.3">
      <c r="A1401" s="2401">
        <v>1395</v>
      </c>
      <c r="B1401" s="1122" t="s">
        <v>2332</v>
      </c>
      <c r="C1401" s="216" t="s">
        <v>1344</v>
      </c>
      <c r="D1401" s="416" t="s">
        <v>1146</v>
      </c>
      <c r="E1401" s="217" t="s">
        <v>2434</v>
      </c>
      <c r="F1401" s="218" t="s">
        <v>2334</v>
      </c>
      <c r="G1401" s="116">
        <v>4950</v>
      </c>
      <c r="H1401" s="1776" t="s">
        <v>1349</v>
      </c>
      <c r="J1401" s="224"/>
      <c r="K1401" s="34" t="s">
        <v>25</v>
      </c>
      <c r="L1401" s="475"/>
      <c r="M1401" s="224"/>
      <c r="N1401" s="224"/>
      <c r="O1401" s="902" t="s">
        <v>6395</v>
      </c>
    </row>
    <row r="1402" spans="1:15" x14ac:dyDescent="0.3">
      <c r="A1402" s="2402">
        <v>1396</v>
      </c>
      <c r="B1402" s="1122" t="s">
        <v>2435</v>
      </c>
      <c r="C1402" s="216" t="s">
        <v>1344</v>
      </c>
      <c r="D1402" s="416" t="s">
        <v>1146</v>
      </c>
      <c r="E1402" s="217" t="s">
        <v>2436</v>
      </c>
      <c r="F1402" s="218" t="s">
        <v>2437</v>
      </c>
      <c r="G1402" s="116">
        <v>2780</v>
      </c>
      <c r="H1402" s="1776" t="s">
        <v>1349</v>
      </c>
      <c r="I1402" s="34" t="s">
        <v>25</v>
      </c>
      <c r="J1402" s="224"/>
      <c r="K1402" s="147"/>
      <c r="L1402" s="475"/>
      <c r="M1402" s="224"/>
      <c r="N1402" s="224"/>
      <c r="O1402" s="314" t="s">
        <v>2438</v>
      </c>
    </row>
    <row r="1403" spans="1:15" x14ac:dyDescent="0.3">
      <c r="A1403" s="2402">
        <v>1397</v>
      </c>
      <c r="B1403" s="1122" t="s">
        <v>2435</v>
      </c>
      <c r="C1403" s="216" t="s">
        <v>1344</v>
      </c>
      <c r="D1403" s="416" t="s">
        <v>1146</v>
      </c>
      <c r="E1403" s="217" t="s">
        <v>2439</v>
      </c>
      <c r="F1403" s="218" t="s">
        <v>2437</v>
      </c>
      <c r="G1403" s="116">
        <v>2780</v>
      </c>
      <c r="H1403" s="1776" t="s">
        <v>1349</v>
      </c>
      <c r="I1403" s="34" t="s">
        <v>25</v>
      </c>
      <c r="J1403" s="224"/>
      <c r="K1403" s="147"/>
      <c r="L1403" s="475"/>
      <c r="M1403" s="224"/>
      <c r="N1403" s="224"/>
      <c r="O1403" s="314" t="s">
        <v>2438</v>
      </c>
    </row>
    <row r="1404" spans="1:15" x14ac:dyDescent="0.3">
      <c r="A1404" s="2402">
        <v>1398</v>
      </c>
      <c r="B1404" s="1122" t="s">
        <v>2435</v>
      </c>
      <c r="C1404" s="216" t="s">
        <v>1344</v>
      </c>
      <c r="D1404" s="452" t="s">
        <v>1146</v>
      </c>
      <c r="E1404" s="217" t="s">
        <v>2440</v>
      </c>
      <c r="F1404" s="218" t="s">
        <v>2437</v>
      </c>
      <c r="G1404" s="116">
        <v>2780</v>
      </c>
      <c r="H1404" s="1776" t="s">
        <v>1349</v>
      </c>
      <c r="I1404" s="34" t="s">
        <v>25</v>
      </c>
      <c r="J1404" s="224"/>
      <c r="K1404" s="147"/>
      <c r="L1404" s="475"/>
      <c r="M1404" s="224"/>
      <c r="N1404" s="224"/>
      <c r="O1404" s="314" t="s">
        <v>2438</v>
      </c>
    </row>
    <row r="1405" spans="1:15" x14ac:dyDescent="0.3">
      <c r="A1405" s="2402">
        <v>1399</v>
      </c>
      <c r="B1405" s="1122" t="s">
        <v>2435</v>
      </c>
      <c r="C1405" s="216" t="s">
        <v>1344</v>
      </c>
      <c r="D1405" s="793" t="s">
        <v>1146</v>
      </c>
      <c r="E1405" s="217" t="s">
        <v>2441</v>
      </c>
      <c r="F1405" s="218" t="s">
        <v>2437</v>
      </c>
      <c r="G1405" s="116">
        <v>2780</v>
      </c>
      <c r="H1405" s="1776" t="s">
        <v>1349</v>
      </c>
      <c r="I1405" s="34" t="s">
        <v>25</v>
      </c>
      <c r="J1405" s="224"/>
      <c r="K1405" s="147"/>
      <c r="L1405" s="475"/>
      <c r="M1405" s="224"/>
      <c r="N1405" s="224"/>
      <c r="O1405" s="314" t="s">
        <v>2438</v>
      </c>
    </row>
    <row r="1406" spans="1:15" x14ac:dyDescent="0.3">
      <c r="A1406" s="2401">
        <v>1400</v>
      </c>
      <c r="B1406" s="1122" t="s">
        <v>2435</v>
      </c>
      <c r="C1406" s="216" t="s">
        <v>1344</v>
      </c>
      <c r="D1406" s="416" t="s">
        <v>1146</v>
      </c>
      <c r="E1406" s="217" t="s">
        <v>2442</v>
      </c>
      <c r="F1406" s="218" t="s">
        <v>2437</v>
      </c>
      <c r="G1406" s="116">
        <v>2780</v>
      </c>
      <c r="H1406" s="1776" t="s">
        <v>1349</v>
      </c>
      <c r="I1406" s="34" t="s">
        <v>25</v>
      </c>
      <c r="J1406" s="224"/>
      <c r="K1406" s="147"/>
      <c r="L1406" s="475"/>
      <c r="M1406" s="224"/>
      <c r="N1406" s="224"/>
      <c r="O1406" s="314" t="s">
        <v>2438</v>
      </c>
    </row>
    <row r="1407" spans="1:15" x14ac:dyDescent="0.3">
      <c r="A1407" s="2402">
        <v>1401</v>
      </c>
      <c r="B1407" s="1122" t="s">
        <v>2435</v>
      </c>
      <c r="C1407" s="216" t="s">
        <v>1344</v>
      </c>
      <c r="D1407" s="416" t="s">
        <v>1146</v>
      </c>
      <c r="E1407" s="217" t="s">
        <v>2443</v>
      </c>
      <c r="F1407" s="218" t="s">
        <v>2437</v>
      </c>
      <c r="G1407" s="116">
        <v>2780</v>
      </c>
      <c r="H1407" s="1776" t="s">
        <v>1349</v>
      </c>
      <c r="I1407" s="34" t="s">
        <v>25</v>
      </c>
      <c r="J1407" s="224"/>
      <c r="K1407" s="147"/>
      <c r="L1407" s="475"/>
      <c r="M1407" s="224"/>
      <c r="N1407" s="224"/>
      <c r="O1407" s="314" t="s">
        <v>2438</v>
      </c>
    </row>
    <row r="1408" spans="1:15" x14ac:dyDescent="0.3">
      <c r="A1408" s="2402">
        <v>1402</v>
      </c>
      <c r="B1408" s="1122" t="s">
        <v>2435</v>
      </c>
      <c r="C1408" s="216" t="s">
        <v>1344</v>
      </c>
      <c r="D1408" s="416" t="s">
        <v>1146</v>
      </c>
      <c r="E1408" s="217" t="s">
        <v>2444</v>
      </c>
      <c r="F1408" s="218" t="s">
        <v>2437</v>
      </c>
      <c r="G1408" s="116">
        <v>2780</v>
      </c>
      <c r="H1408" s="1776" t="s">
        <v>1349</v>
      </c>
      <c r="I1408" s="34" t="s">
        <v>25</v>
      </c>
      <c r="J1408" s="224"/>
      <c r="K1408" s="147"/>
      <c r="L1408" s="475"/>
      <c r="M1408" s="224"/>
      <c r="N1408" s="224"/>
      <c r="O1408" s="314" t="s">
        <v>2392</v>
      </c>
    </row>
    <row r="1409" spans="1:15" x14ac:dyDescent="0.3">
      <c r="A1409" s="2401">
        <v>1403</v>
      </c>
      <c r="B1409" s="1122" t="s">
        <v>2435</v>
      </c>
      <c r="C1409" s="216" t="s">
        <v>1344</v>
      </c>
      <c r="D1409" s="416" t="s">
        <v>1146</v>
      </c>
      <c r="E1409" s="217" t="s">
        <v>2445</v>
      </c>
      <c r="F1409" s="218" t="s">
        <v>2437</v>
      </c>
      <c r="G1409" s="116">
        <v>2780</v>
      </c>
      <c r="H1409" s="1776" t="s">
        <v>1349</v>
      </c>
      <c r="I1409" s="34" t="s">
        <v>25</v>
      </c>
      <c r="J1409" s="224"/>
      <c r="K1409" s="147"/>
      <c r="L1409" s="475"/>
      <c r="M1409" s="224"/>
      <c r="N1409" s="224"/>
      <c r="O1409" s="314" t="s">
        <v>2392</v>
      </c>
    </row>
    <row r="1410" spans="1:15" x14ac:dyDescent="0.3">
      <c r="A1410" s="2402">
        <v>1404</v>
      </c>
      <c r="B1410" s="1122" t="s">
        <v>2435</v>
      </c>
      <c r="C1410" s="216" t="s">
        <v>1344</v>
      </c>
      <c r="D1410" s="416" t="s">
        <v>1146</v>
      </c>
      <c r="E1410" s="217" t="s">
        <v>2446</v>
      </c>
      <c r="F1410" s="218" t="s">
        <v>2437</v>
      </c>
      <c r="G1410" s="116">
        <v>2780</v>
      </c>
      <c r="H1410" s="1776" t="s">
        <v>1349</v>
      </c>
      <c r="I1410" s="34" t="s">
        <v>25</v>
      </c>
      <c r="J1410" s="224"/>
      <c r="K1410" s="147"/>
      <c r="L1410" s="475"/>
      <c r="M1410" s="224"/>
      <c r="N1410" s="224"/>
      <c r="O1410" s="314" t="s">
        <v>2392</v>
      </c>
    </row>
    <row r="1411" spans="1:15" x14ac:dyDescent="0.3">
      <c r="A1411" s="2402">
        <v>1405</v>
      </c>
      <c r="B1411" s="1122" t="s">
        <v>2435</v>
      </c>
      <c r="C1411" s="216" t="s">
        <v>1344</v>
      </c>
      <c r="D1411" s="416" t="s">
        <v>1146</v>
      </c>
      <c r="E1411" s="217" t="s">
        <v>2447</v>
      </c>
      <c r="F1411" s="218" t="s">
        <v>2437</v>
      </c>
      <c r="G1411" s="116">
        <v>2780</v>
      </c>
      <c r="H1411" s="1776" t="s">
        <v>1349</v>
      </c>
      <c r="I1411" s="34" t="s">
        <v>25</v>
      </c>
      <c r="J1411" s="224"/>
      <c r="K1411" s="147"/>
      <c r="L1411" s="475"/>
      <c r="M1411" s="224"/>
      <c r="N1411" s="224"/>
      <c r="O1411" s="314" t="s">
        <v>2392</v>
      </c>
    </row>
    <row r="1412" spans="1:15" x14ac:dyDescent="0.3">
      <c r="A1412" s="2402">
        <v>1406</v>
      </c>
      <c r="B1412" s="1122" t="s">
        <v>2435</v>
      </c>
      <c r="C1412" s="216" t="s">
        <v>1344</v>
      </c>
      <c r="D1412" s="416" t="s">
        <v>1146</v>
      </c>
      <c r="E1412" s="217" t="s">
        <v>2448</v>
      </c>
      <c r="F1412" s="218" t="s">
        <v>2437</v>
      </c>
      <c r="G1412" s="116">
        <v>2780</v>
      </c>
      <c r="H1412" s="1776" t="s">
        <v>1349</v>
      </c>
      <c r="I1412" s="34" t="s">
        <v>25</v>
      </c>
      <c r="J1412" s="224"/>
      <c r="K1412" s="147"/>
      <c r="L1412" s="475"/>
      <c r="M1412" s="224"/>
      <c r="N1412" s="224"/>
      <c r="O1412" s="314" t="s">
        <v>2392</v>
      </c>
    </row>
    <row r="1413" spans="1:15" x14ac:dyDescent="0.3">
      <c r="A1413" s="2402">
        <v>1407</v>
      </c>
      <c r="B1413" s="1122" t="s">
        <v>2435</v>
      </c>
      <c r="C1413" s="216" t="s">
        <v>1344</v>
      </c>
      <c r="D1413" s="416" t="s">
        <v>1146</v>
      </c>
      <c r="E1413" s="217" t="s">
        <v>2449</v>
      </c>
      <c r="F1413" s="218" t="s">
        <v>2437</v>
      </c>
      <c r="G1413" s="116">
        <v>2780</v>
      </c>
      <c r="H1413" s="1776" t="s">
        <v>1349</v>
      </c>
      <c r="I1413" s="34" t="s">
        <v>25</v>
      </c>
      <c r="J1413" s="224"/>
      <c r="K1413" s="147"/>
      <c r="L1413" s="475"/>
      <c r="M1413" s="224"/>
      <c r="N1413" s="224"/>
      <c r="O1413" s="314" t="s">
        <v>2438</v>
      </c>
    </row>
    <row r="1414" spans="1:15" x14ac:dyDescent="0.3">
      <c r="A1414" s="2401">
        <v>1408</v>
      </c>
      <c r="B1414" s="1122" t="s">
        <v>2435</v>
      </c>
      <c r="C1414" s="216" t="s">
        <v>1344</v>
      </c>
      <c r="D1414" s="452" t="s">
        <v>1146</v>
      </c>
      <c r="E1414" s="217" t="s">
        <v>2450</v>
      </c>
      <c r="F1414" s="218" t="s">
        <v>2437</v>
      </c>
      <c r="G1414" s="116">
        <v>2780</v>
      </c>
      <c r="H1414" s="1776" t="s">
        <v>1349</v>
      </c>
      <c r="I1414" s="34" t="s">
        <v>25</v>
      </c>
      <c r="J1414" s="224"/>
      <c r="K1414" s="147"/>
      <c r="L1414" s="475"/>
      <c r="M1414" s="224"/>
      <c r="N1414" s="224"/>
      <c r="O1414" s="314" t="s">
        <v>2438</v>
      </c>
    </row>
    <row r="1415" spans="1:15" x14ac:dyDescent="0.3">
      <c r="A1415" s="2402">
        <v>1409</v>
      </c>
      <c r="B1415" s="1122" t="s">
        <v>2435</v>
      </c>
      <c r="C1415" s="216" t="s">
        <v>1344</v>
      </c>
      <c r="D1415" s="495" t="s">
        <v>1146</v>
      </c>
      <c r="E1415" s="217" t="s">
        <v>2451</v>
      </c>
      <c r="F1415" s="218" t="s">
        <v>2437</v>
      </c>
      <c r="G1415" s="116">
        <v>2780</v>
      </c>
      <c r="H1415" s="1776" t="s">
        <v>1349</v>
      </c>
      <c r="I1415" s="34" t="s">
        <v>25</v>
      </c>
      <c r="J1415" s="224"/>
      <c r="K1415" s="147"/>
      <c r="L1415" s="475"/>
      <c r="M1415" s="224"/>
      <c r="N1415" s="224"/>
      <c r="O1415" s="314" t="s">
        <v>2392</v>
      </c>
    </row>
    <row r="1416" spans="1:15" x14ac:dyDescent="0.3">
      <c r="A1416" s="2402">
        <v>1410</v>
      </c>
      <c r="B1416" s="1122" t="s">
        <v>2435</v>
      </c>
      <c r="C1416" s="216" t="s">
        <v>1344</v>
      </c>
      <c r="D1416" s="793" t="s">
        <v>1146</v>
      </c>
      <c r="E1416" s="217" t="s">
        <v>2452</v>
      </c>
      <c r="F1416" s="218" t="s">
        <v>2437</v>
      </c>
      <c r="G1416" s="116">
        <v>2780</v>
      </c>
      <c r="H1416" s="1776" t="s">
        <v>1349</v>
      </c>
      <c r="I1416" s="34" t="s">
        <v>25</v>
      </c>
      <c r="J1416" s="224"/>
      <c r="K1416" s="147"/>
      <c r="L1416" s="475"/>
      <c r="M1416" s="224"/>
      <c r="N1416" s="224"/>
      <c r="O1416" s="314" t="s">
        <v>2392</v>
      </c>
    </row>
    <row r="1417" spans="1:15" x14ac:dyDescent="0.3">
      <c r="A1417" s="2401">
        <v>1411</v>
      </c>
      <c r="B1417" s="1122" t="s">
        <v>2435</v>
      </c>
      <c r="C1417" s="216" t="s">
        <v>1344</v>
      </c>
      <c r="D1417" s="416" t="s">
        <v>1146</v>
      </c>
      <c r="E1417" s="217" t="s">
        <v>2453</v>
      </c>
      <c r="F1417" s="218" t="s">
        <v>2437</v>
      </c>
      <c r="G1417" s="116">
        <v>2780</v>
      </c>
      <c r="H1417" s="1776" t="s">
        <v>1349</v>
      </c>
      <c r="I1417" s="34" t="s">
        <v>25</v>
      </c>
      <c r="J1417" s="224"/>
      <c r="K1417" s="147"/>
      <c r="L1417" s="475"/>
      <c r="M1417" s="224"/>
      <c r="N1417" s="224"/>
      <c r="O1417" s="314" t="s">
        <v>2392</v>
      </c>
    </row>
    <row r="1418" spans="1:15" x14ac:dyDescent="0.3">
      <c r="A1418" s="2402">
        <v>1412</v>
      </c>
      <c r="B1418" s="1122" t="s">
        <v>2435</v>
      </c>
      <c r="C1418" s="216" t="s">
        <v>1344</v>
      </c>
      <c r="D1418" s="416" t="s">
        <v>1146</v>
      </c>
      <c r="E1418" s="217" t="s">
        <v>2454</v>
      </c>
      <c r="F1418" s="218" t="s">
        <v>2437</v>
      </c>
      <c r="G1418" s="116">
        <v>2780</v>
      </c>
      <c r="H1418" s="1776" t="s">
        <v>1349</v>
      </c>
      <c r="I1418" s="34" t="s">
        <v>25</v>
      </c>
      <c r="J1418" s="224"/>
      <c r="K1418" s="147"/>
      <c r="L1418" s="475"/>
      <c r="M1418" s="224"/>
      <c r="N1418" s="224"/>
      <c r="O1418" s="314" t="s">
        <v>2392</v>
      </c>
    </row>
    <row r="1419" spans="1:15" x14ac:dyDescent="0.3">
      <c r="A1419" s="2402">
        <v>1413</v>
      </c>
      <c r="B1419" s="1122" t="s">
        <v>2435</v>
      </c>
      <c r="C1419" s="216" t="s">
        <v>1344</v>
      </c>
      <c r="D1419" s="416" t="s">
        <v>1146</v>
      </c>
      <c r="E1419" s="217" t="s">
        <v>2455</v>
      </c>
      <c r="F1419" s="218" t="s">
        <v>2437</v>
      </c>
      <c r="G1419" s="116">
        <v>2780</v>
      </c>
      <c r="H1419" s="1776" t="s">
        <v>1349</v>
      </c>
      <c r="I1419" s="34" t="s">
        <v>25</v>
      </c>
      <c r="J1419" s="224"/>
      <c r="K1419" s="147"/>
      <c r="L1419" s="475"/>
      <c r="M1419" s="224"/>
      <c r="N1419" s="224"/>
      <c r="O1419" s="314" t="s">
        <v>2392</v>
      </c>
    </row>
    <row r="1420" spans="1:15" x14ac:dyDescent="0.3">
      <c r="A1420" s="2402">
        <v>1414</v>
      </c>
      <c r="B1420" s="1122" t="s">
        <v>2435</v>
      </c>
      <c r="C1420" s="216" t="s">
        <v>1344</v>
      </c>
      <c r="D1420" s="416" t="s">
        <v>1146</v>
      </c>
      <c r="E1420" s="217" t="s">
        <v>2456</v>
      </c>
      <c r="F1420" s="218" t="s">
        <v>2437</v>
      </c>
      <c r="G1420" s="116">
        <v>2780</v>
      </c>
      <c r="H1420" s="1776" t="s">
        <v>1349</v>
      </c>
      <c r="I1420" s="34" t="s">
        <v>25</v>
      </c>
      <c r="J1420" s="224"/>
      <c r="K1420" s="147"/>
      <c r="L1420" s="475"/>
      <c r="M1420" s="224"/>
      <c r="N1420" s="224"/>
      <c r="O1420" s="314" t="s">
        <v>2392</v>
      </c>
    </row>
    <row r="1421" spans="1:15" x14ac:dyDescent="0.3">
      <c r="A1421" s="2402">
        <v>1415</v>
      </c>
      <c r="B1421" s="1122" t="s">
        <v>2435</v>
      </c>
      <c r="C1421" s="216" t="s">
        <v>1344</v>
      </c>
      <c r="D1421" s="416" t="s">
        <v>1146</v>
      </c>
      <c r="E1421" s="217" t="s">
        <v>2457</v>
      </c>
      <c r="F1421" s="218" t="s">
        <v>2437</v>
      </c>
      <c r="G1421" s="116">
        <v>2780</v>
      </c>
      <c r="H1421" s="1776" t="s">
        <v>1349</v>
      </c>
      <c r="I1421" s="34" t="s">
        <v>25</v>
      </c>
      <c r="J1421" s="224"/>
      <c r="K1421" s="147"/>
      <c r="L1421" s="475"/>
      <c r="M1421" s="224"/>
      <c r="N1421" s="224"/>
      <c r="O1421" s="314" t="s">
        <v>2392</v>
      </c>
    </row>
    <row r="1422" spans="1:15" x14ac:dyDescent="0.3">
      <c r="A1422" s="2401">
        <v>1416</v>
      </c>
      <c r="B1422" s="1122" t="s">
        <v>2435</v>
      </c>
      <c r="C1422" s="216" t="s">
        <v>1344</v>
      </c>
      <c r="D1422" s="416" t="s">
        <v>1146</v>
      </c>
      <c r="E1422" s="217" t="s">
        <v>2458</v>
      </c>
      <c r="F1422" s="218" t="s">
        <v>2437</v>
      </c>
      <c r="G1422" s="116">
        <v>2780</v>
      </c>
      <c r="H1422" s="1776" t="s">
        <v>1349</v>
      </c>
      <c r="I1422" s="34" t="s">
        <v>25</v>
      </c>
      <c r="J1422" s="224"/>
      <c r="K1422" s="147"/>
      <c r="L1422" s="475"/>
      <c r="M1422" s="224"/>
      <c r="N1422" s="224"/>
      <c r="O1422" s="314" t="s">
        <v>2392</v>
      </c>
    </row>
    <row r="1423" spans="1:15" x14ac:dyDescent="0.3">
      <c r="A1423" s="2402">
        <v>1417</v>
      </c>
      <c r="B1423" s="1122" t="s">
        <v>2435</v>
      </c>
      <c r="C1423" s="216" t="s">
        <v>1344</v>
      </c>
      <c r="D1423" s="416" t="s">
        <v>1146</v>
      </c>
      <c r="E1423" s="217" t="s">
        <v>2459</v>
      </c>
      <c r="F1423" s="218" t="s">
        <v>2437</v>
      </c>
      <c r="G1423" s="116">
        <v>2780</v>
      </c>
      <c r="H1423" s="1776" t="s">
        <v>1349</v>
      </c>
      <c r="I1423" s="34" t="s">
        <v>25</v>
      </c>
      <c r="J1423" s="224"/>
      <c r="K1423" s="147"/>
      <c r="L1423" s="475"/>
      <c r="M1423" s="224"/>
      <c r="N1423" s="224"/>
      <c r="O1423" s="314" t="s">
        <v>2392</v>
      </c>
    </row>
    <row r="1424" spans="1:15" x14ac:dyDescent="0.3">
      <c r="A1424" s="2402">
        <v>1418</v>
      </c>
      <c r="B1424" s="1122" t="s">
        <v>2435</v>
      </c>
      <c r="C1424" s="216" t="s">
        <v>1344</v>
      </c>
      <c r="D1424" s="416" t="s">
        <v>1146</v>
      </c>
      <c r="E1424" s="217" t="s">
        <v>2460</v>
      </c>
      <c r="F1424" s="218" t="s">
        <v>2437</v>
      </c>
      <c r="G1424" s="116">
        <v>2780</v>
      </c>
      <c r="H1424" s="1776" t="s">
        <v>1349</v>
      </c>
      <c r="I1424" s="34" t="s">
        <v>25</v>
      </c>
      <c r="J1424" s="224"/>
      <c r="K1424" s="147"/>
      <c r="L1424" s="475"/>
      <c r="M1424" s="224"/>
      <c r="N1424" s="224"/>
      <c r="O1424" s="314" t="s">
        <v>2392</v>
      </c>
    </row>
    <row r="1425" spans="1:15" x14ac:dyDescent="0.3">
      <c r="A1425" s="2401">
        <v>1419</v>
      </c>
      <c r="B1425" s="1122" t="s">
        <v>2435</v>
      </c>
      <c r="C1425" s="216" t="s">
        <v>1344</v>
      </c>
      <c r="D1425" s="416" t="s">
        <v>1146</v>
      </c>
      <c r="E1425" s="217" t="s">
        <v>2461</v>
      </c>
      <c r="F1425" s="218" t="s">
        <v>2437</v>
      </c>
      <c r="G1425" s="116">
        <v>2780</v>
      </c>
      <c r="H1425" s="1776" t="s">
        <v>1349</v>
      </c>
      <c r="I1425" s="34" t="s">
        <v>25</v>
      </c>
      <c r="J1425" s="224"/>
      <c r="K1425" s="147"/>
      <c r="L1425" s="475"/>
      <c r="M1425" s="224"/>
      <c r="N1425" s="224"/>
      <c r="O1425" s="314" t="s">
        <v>2392</v>
      </c>
    </row>
    <row r="1426" spans="1:15" x14ac:dyDescent="0.3">
      <c r="A1426" s="2402">
        <v>1420</v>
      </c>
      <c r="B1426" s="1122" t="s">
        <v>2435</v>
      </c>
      <c r="C1426" s="216" t="s">
        <v>1344</v>
      </c>
      <c r="D1426" s="416" t="s">
        <v>1146</v>
      </c>
      <c r="E1426" s="217" t="s">
        <v>2462</v>
      </c>
      <c r="F1426" s="218" t="s">
        <v>2437</v>
      </c>
      <c r="G1426" s="116">
        <v>2780</v>
      </c>
      <c r="H1426" s="1776" t="s">
        <v>1349</v>
      </c>
      <c r="I1426" s="34" t="s">
        <v>25</v>
      </c>
      <c r="J1426" s="224"/>
      <c r="K1426" s="147"/>
      <c r="L1426" s="475"/>
      <c r="M1426" s="224"/>
      <c r="N1426" s="224"/>
      <c r="O1426" s="314" t="s">
        <v>2392</v>
      </c>
    </row>
    <row r="1427" spans="1:15" x14ac:dyDescent="0.3">
      <c r="A1427" s="2402">
        <v>1421</v>
      </c>
      <c r="B1427" s="1122" t="s">
        <v>2435</v>
      </c>
      <c r="C1427" s="216" t="s">
        <v>1344</v>
      </c>
      <c r="D1427" s="416" t="s">
        <v>1146</v>
      </c>
      <c r="E1427" s="217" t="s">
        <v>2463</v>
      </c>
      <c r="F1427" s="218" t="s">
        <v>2437</v>
      </c>
      <c r="G1427" s="116">
        <v>2780</v>
      </c>
      <c r="H1427" s="1776" t="s">
        <v>1349</v>
      </c>
      <c r="I1427" s="34" t="s">
        <v>25</v>
      </c>
      <c r="J1427" s="224"/>
      <c r="K1427" s="147"/>
      <c r="L1427" s="475"/>
      <c r="M1427" s="224"/>
      <c r="N1427" s="224"/>
      <c r="O1427" s="314" t="s">
        <v>2392</v>
      </c>
    </row>
    <row r="1428" spans="1:15" x14ac:dyDescent="0.3">
      <c r="A1428" s="2402">
        <v>1422</v>
      </c>
      <c r="B1428" s="1122" t="s">
        <v>2435</v>
      </c>
      <c r="C1428" s="216" t="s">
        <v>1344</v>
      </c>
      <c r="D1428" s="416" t="s">
        <v>1146</v>
      </c>
      <c r="E1428" s="217" t="s">
        <v>2464</v>
      </c>
      <c r="F1428" s="218" t="s">
        <v>2437</v>
      </c>
      <c r="G1428" s="116">
        <v>2780</v>
      </c>
      <c r="H1428" s="1776" t="s">
        <v>1349</v>
      </c>
      <c r="I1428" s="34" t="s">
        <v>25</v>
      </c>
      <c r="J1428" s="224"/>
      <c r="K1428" s="147"/>
      <c r="L1428" s="475"/>
      <c r="M1428" s="224"/>
      <c r="N1428" s="224"/>
      <c r="O1428" s="314" t="s">
        <v>2392</v>
      </c>
    </row>
    <row r="1429" spans="1:15" x14ac:dyDescent="0.3">
      <c r="A1429" s="2402">
        <v>1423</v>
      </c>
      <c r="B1429" s="1122" t="s">
        <v>2435</v>
      </c>
      <c r="C1429" s="216" t="s">
        <v>1344</v>
      </c>
      <c r="D1429" s="416" t="s">
        <v>1146</v>
      </c>
      <c r="E1429" s="217" t="s">
        <v>2465</v>
      </c>
      <c r="F1429" s="218" t="s">
        <v>2437</v>
      </c>
      <c r="G1429" s="116">
        <v>2780</v>
      </c>
      <c r="H1429" s="1776" t="s">
        <v>1349</v>
      </c>
      <c r="I1429" s="34" t="s">
        <v>25</v>
      </c>
      <c r="J1429" s="224"/>
      <c r="K1429" s="147"/>
      <c r="L1429" s="475"/>
      <c r="M1429" s="224"/>
      <c r="N1429" s="224"/>
      <c r="O1429" s="314" t="s">
        <v>2392</v>
      </c>
    </row>
    <row r="1430" spans="1:15" x14ac:dyDescent="0.3">
      <c r="A1430" s="2401">
        <v>1424</v>
      </c>
      <c r="B1430" s="1122" t="s">
        <v>2435</v>
      </c>
      <c r="C1430" s="216" t="s">
        <v>1344</v>
      </c>
      <c r="D1430" s="416" t="s">
        <v>1146</v>
      </c>
      <c r="E1430" s="217" t="s">
        <v>2466</v>
      </c>
      <c r="F1430" s="218" t="s">
        <v>2437</v>
      </c>
      <c r="G1430" s="116">
        <v>2780</v>
      </c>
      <c r="H1430" s="1776" t="s">
        <v>1349</v>
      </c>
      <c r="I1430" s="34" t="s">
        <v>25</v>
      </c>
      <c r="J1430" s="224"/>
      <c r="K1430" s="147"/>
      <c r="L1430" s="475"/>
      <c r="M1430" s="224"/>
      <c r="N1430" s="224"/>
      <c r="O1430" s="314" t="s">
        <v>2392</v>
      </c>
    </row>
    <row r="1431" spans="1:15" x14ac:dyDescent="0.3">
      <c r="A1431" s="2402">
        <v>1425</v>
      </c>
      <c r="B1431" s="1122" t="s">
        <v>2435</v>
      </c>
      <c r="C1431" s="216" t="s">
        <v>1344</v>
      </c>
      <c r="D1431" s="416" t="s">
        <v>1146</v>
      </c>
      <c r="E1431" s="217" t="s">
        <v>2467</v>
      </c>
      <c r="F1431" s="218" t="s">
        <v>2437</v>
      </c>
      <c r="G1431" s="116">
        <v>2780</v>
      </c>
      <c r="H1431" s="1776" t="s">
        <v>1349</v>
      </c>
      <c r="I1431" s="34" t="s">
        <v>25</v>
      </c>
      <c r="J1431" s="224"/>
      <c r="K1431" s="147"/>
      <c r="L1431" s="475"/>
      <c r="M1431" s="224"/>
      <c r="N1431" s="224"/>
      <c r="O1431" s="314" t="s">
        <v>2392</v>
      </c>
    </row>
    <row r="1432" spans="1:15" x14ac:dyDescent="0.3">
      <c r="A1432" s="2402">
        <v>1426</v>
      </c>
      <c r="B1432" s="1122" t="s">
        <v>2435</v>
      </c>
      <c r="C1432" s="216" t="s">
        <v>1344</v>
      </c>
      <c r="D1432" s="416" t="s">
        <v>1146</v>
      </c>
      <c r="E1432" s="217" t="s">
        <v>2468</v>
      </c>
      <c r="F1432" s="218" t="s">
        <v>2437</v>
      </c>
      <c r="G1432" s="116">
        <v>2780</v>
      </c>
      <c r="H1432" s="1776" t="s">
        <v>1349</v>
      </c>
      <c r="I1432" s="34" t="s">
        <v>25</v>
      </c>
      <c r="J1432" s="224"/>
      <c r="K1432" s="147"/>
      <c r="L1432" s="475"/>
      <c r="M1432" s="224"/>
      <c r="N1432" s="224"/>
      <c r="O1432" s="314" t="s">
        <v>2392</v>
      </c>
    </row>
    <row r="1433" spans="1:15" x14ac:dyDescent="0.3">
      <c r="A1433" s="2401">
        <v>1427</v>
      </c>
      <c r="B1433" s="1122" t="s">
        <v>2435</v>
      </c>
      <c r="C1433" s="216" t="s">
        <v>1344</v>
      </c>
      <c r="D1433" s="452" t="s">
        <v>1146</v>
      </c>
      <c r="E1433" s="217" t="s">
        <v>2469</v>
      </c>
      <c r="F1433" s="218" t="s">
        <v>2437</v>
      </c>
      <c r="G1433" s="116">
        <v>2780</v>
      </c>
      <c r="H1433" s="1776" t="s">
        <v>1349</v>
      </c>
      <c r="I1433" s="34" t="s">
        <v>25</v>
      </c>
      <c r="J1433" s="224"/>
      <c r="K1433" s="147"/>
      <c r="L1433" s="475"/>
      <c r="M1433" s="224"/>
      <c r="N1433" s="224"/>
      <c r="O1433" s="314" t="s">
        <v>2392</v>
      </c>
    </row>
    <row r="1434" spans="1:15" x14ac:dyDescent="0.3">
      <c r="A1434" s="2402">
        <v>1428</v>
      </c>
      <c r="B1434" s="1122" t="s">
        <v>2435</v>
      </c>
      <c r="C1434" s="216" t="s">
        <v>1344</v>
      </c>
      <c r="D1434" s="495" t="s">
        <v>1146</v>
      </c>
      <c r="E1434" s="217" t="s">
        <v>2470</v>
      </c>
      <c r="F1434" s="218" t="s">
        <v>2437</v>
      </c>
      <c r="G1434" s="116">
        <v>2780</v>
      </c>
      <c r="H1434" s="1776" t="s">
        <v>1349</v>
      </c>
      <c r="I1434" s="34" t="s">
        <v>25</v>
      </c>
      <c r="J1434" s="224"/>
      <c r="K1434" s="147"/>
      <c r="L1434" s="475"/>
      <c r="M1434" s="224"/>
      <c r="N1434" s="224"/>
      <c r="O1434" s="314" t="s">
        <v>2392</v>
      </c>
    </row>
    <row r="1435" spans="1:15" x14ac:dyDescent="0.3">
      <c r="A1435" s="2402">
        <v>1429</v>
      </c>
      <c r="B1435" s="1122" t="s">
        <v>2435</v>
      </c>
      <c r="C1435" s="216" t="s">
        <v>1344</v>
      </c>
      <c r="D1435" s="793" t="s">
        <v>1146</v>
      </c>
      <c r="E1435" s="217" t="s">
        <v>2471</v>
      </c>
      <c r="F1435" s="218" t="s">
        <v>2437</v>
      </c>
      <c r="G1435" s="116">
        <v>2780</v>
      </c>
      <c r="H1435" s="1776" t="s">
        <v>1349</v>
      </c>
      <c r="I1435" s="34" t="s">
        <v>25</v>
      </c>
      <c r="J1435" s="224"/>
      <c r="K1435" s="147"/>
      <c r="L1435" s="475"/>
      <c r="M1435" s="224"/>
      <c r="N1435" s="224"/>
      <c r="O1435" s="314" t="s">
        <v>2392</v>
      </c>
    </row>
    <row r="1436" spans="1:15" x14ac:dyDescent="0.3">
      <c r="A1436" s="2402">
        <v>1430</v>
      </c>
      <c r="B1436" s="1122" t="s">
        <v>2435</v>
      </c>
      <c r="C1436" s="216" t="s">
        <v>1344</v>
      </c>
      <c r="D1436" s="416" t="s">
        <v>1146</v>
      </c>
      <c r="E1436" s="217" t="s">
        <v>2472</v>
      </c>
      <c r="F1436" s="218" t="s">
        <v>2437</v>
      </c>
      <c r="G1436" s="116">
        <v>2780</v>
      </c>
      <c r="H1436" s="1776" t="s">
        <v>1349</v>
      </c>
      <c r="I1436" s="34" t="s">
        <v>25</v>
      </c>
      <c r="J1436" s="224"/>
      <c r="K1436" s="147"/>
      <c r="L1436" s="475"/>
      <c r="M1436" s="224"/>
      <c r="N1436" s="224"/>
      <c r="O1436" s="314" t="s">
        <v>2392</v>
      </c>
    </row>
    <row r="1437" spans="1:15" x14ac:dyDescent="0.3">
      <c r="A1437" s="2402">
        <v>1431</v>
      </c>
      <c r="B1437" s="1122" t="s">
        <v>2435</v>
      </c>
      <c r="C1437" s="216" t="s">
        <v>1344</v>
      </c>
      <c r="D1437" s="416" t="s">
        <v>1146</v>
      </c>
      <c r="E1437" s="217" t="s">
        <v>2473</v>
      </c>
      <c r="F1437" s="218" t="s">
        <v>2437</v>
      </c>
      <c r="G1437" s="116">
        <v>2780</v>
      </c>
      <c r="H1437" s="1776" t="s">
        <v>1349</v>
      </c>
      <c r="I1437" s="34" t="s">
        <v>25</v>
      </c>
      <c r="J1437" s="224"/>
      <c r="K1437" s="147"/>
      <c r="L1437" s="475"/>
      <c r="M1437" s="224"/>
      <c r="N1437" s="224"/>
      <c r="O1437" s="314" t="s">
        <v>2392</v>
      </c>
    </row>
    <row r="1438" spans="1:15" x14ac:dyDescent="0.3">
      <c r="A1438" s="2401">
        <v>1432</v>
      </c>
      <c r="B1438" s="1122" t="s">
        <v>2435</v>
      </c>
      <c r="C1438" s="216" t="s">
        <v>1344</v>
      </c>
      <c r="D1438" s="416" t="s">
        <v>1146</v>
      </c>
      <c r="E1438" s="217" t="s">
        <v>2474</v>
      </c>
      <c r="F1438" s="218" t="s">
        <v>2437</v>
      </c>
      <c r="G1438" s="116">
        <v>2780</v>
      </c>
      <c r="H1438" s="1776" t="s">
        <v>1349</v>
      </c>
      <c r="I1438" s="34" t="s">
        <v>25</v>
      </c>
      <c r="J1438" s="224"/>
      <c r="K1438" s="147"/>
      <c r="L1438" s="475"/>
      <c r="M1438" s="224"/>
      <c r="N1438" s="224"/>
      <c r="O1438" s="314" t="s">
        <v>2392</v>
      </c>
    </row>
    <row r="1439" spans="1:15" x14ac:dyDescent="0.3">
      <c r="A1439" s="2402">
        <v>1433</v>
      </c>
      <c r="B1439" s="1122" t="s">
        <v>2435</v>
      </c>
      <c r="C1439" s="216" t="s">
        <v>1344</v>
      </c>
      <c r="D1439" s="416" t="s">
        <v>1146</v>
      </c>
      <c r="E1439" s="217" t="s">
        <v>2475</v>
      </c>
      <c r="F1439" s="218" t="s">
        <v>2437</v>
      </c>
      <c r="G1439" s="116">
        <v>2780</v>
      </c>
      <c r="H1439" s="1776" t="s">
        <v>1349</v>
      </c>
      <c r="I1439" s="34" t="s">
        <v>25</v>
      </c>
      <c r="J1439" s="224"/>
      <c r="K1439" s="147"/>
      <c r="L1439" s="475"/>
      <c r="M1439" s="224"/>
      <c r="N1439" s="224"/>
      <c r="O1439" s="314" t="s">
        <v>2392</v>
      </c>
    </row>
    <row r="1440" spans="1:15" x14ac:dyDescent="0.3">
      <c r="A1440" s="2402">
        <v>1434</v>
      </c>
      <c r="B1440" s="1122" t="s">
        <v>2435</v>
      </c>
      <c r="C1440" s="216" t="s">
        <v>1344</v>
      </c>
      <c r="D1440" s="416" t="s">
        <v>1146</v>
      </c>
      <c r="E1440" s="217" t="s">
        <v>2476</v>
      </c>
      <c r="F1440" s="218" t="s">
        <v>2437</v>
      </c>
      <c r="G1440" s="116">
        <v>2780</v>
      </c>
      <c r="H1440" s="1776" t="s">
        <v>1349</v>
      </c>
      <c r="I1440" s="34" t="s">
        <v>25</v>
      </c>
      <c r="J1440" s="224"/>
      <c r="K1440" s="147"/>
      <c r="L1440" s="475"/>
      <c r="M1440" s="224"/>
      <c r="N1440" s="224"/>
      <c r="O1440" s="314" t="s">
        <v>2392</v>
      </c>
    </row>
    <row r="1441" spans="1:15" x14ac:dyDescent="0.3">
      <c r="A1441" s="2401">
        <v>1435</v>
      </c>
      <c r="B1441" s="1122" t="s">
        <v>2435</v>
      </c>
      <c r="C1441" s="216" t="s">
        <v>1344</v>
      </c>
      <c r="D1441" s="416" t="s">
        <v>1146</v>
      </c>
      <c r="E1441" s="217" t="s">
        <v>2477</v>
      </c>
      <c r="F1441" s="218" t="s">
        <v>2437</v>
      </c>
      <c r="G1441" s="116">
        <v>2780</v>
      </c>
      <c r="H1441" s="1776" t="s">
        <v>1349</v>
      </c>
      <c r="I1441" s="34" t="s">
        <v>25</v>
      </c>
      <c r="J1441" s="224"/>
      <c r="K1441" s="147"/>
      <c r="L1441" s="475"/>
      <c r="M1441" s="224"/>
      <c r="N1441" s="224"/>
      <c r="O1441" s="314" t="s">
        <v>2392</v>
      </c>
    </row>
    <row r="1442" spans="1:15" x14ac:dyDescent="0.3">
      <c r="A1442" s="2402">
        <v>1436</v>
      </c>
      <c r="B1442" s="1122" t="s">
        <v>2435</v>
      </c>
      <c r="C1442" s="216" t="s">
        <v>1344</v>
      </c>
      <c r="D1442" s="416" t="s">
        <v>1146</v>
      </c>
      <c r="E1442" s="217" t="s">
        <v>2478</v>
      </c>
      <c r="F1442" s="218" t="s">
        <v>2437</v>
      </c>
      <c r="G1442" s="116">
        <v>2780</v>
      </c>
      <c r="H1442" s="1776" t="s">
        <v>1349</v>
      </c>
      <c r="I1442" s="34" t="s">
        <v>25</v>
      </c>
      <c r="J1442" s="224"/>
      <c r="K1442" s="147"/>
      <c r="L1442" s="475"/>
      <c r="M1442" s="224"/>
      <c r="N1442" s="224"/>
      <c r="O1442" s="314" t="s">
        <v>2392</v>
      </c>
    </row>
    <row r="1443" spans="1:15" x14ac:dyDescent="0.3">
      <c r="A1443" s="2402">
        <v>1437</v>
      </c>
      <c r="B1443" s="1122" t="s">
        <v>2435</v>
      </c>
      <c r="C1443" s="216" t="s">
        <v>1344</v>
      </c>
      <c r="D1443" s="416" t="s">
        <v>1146</v>
      </c>
      <c r="E1443" s="217" t="s">
        <v>2479</v>
      </c>
      <c r="F1443" s="218" t="s">
        <v>2437</v>
      </c>
      <c r="G1443" s="116">
        <v>2780</v>
      </c>
      <c r="H1443" s="1776" t="s">
        <v>1349</v>
      </c>
      <c r="I1443" s="34" t="s">
        <v>25</v>
      </c>
      <c r="J1443" s="224"/>
      <c r="K1443" s="147"/>
      <c r="L1443" s="475"/>
      <c r="M1443" s="224"/>
      <c r="N1443" s="224"/>
      <c r="O1443" s="314" t="s">
        <v>2392</v>
      </c>
    </row>
    <row r="1444" spans="1:15" x14ac:dyDescent="0.3">
      <c r="A1444" s="2402">
        <v>1438</v>
      </c>
      <c r="B1444" s="1122" t="s">
        <v>2435</v>
      </c>
      <c r="C1444" s="1117" t="s">
        <v>1344</v>
      </c>
      <c r="D1444" s="452" t="s">
        <v>1146</v>
      </c>
      <c r="E1444" s="217" t="s">
        <v>2480</v>
      </c>
      <c r="F1444" s="218" t="s">
        <v>2437</v>
      </c>
      <c r="G1444" s="116">
        <v>2780</v>
      </c>
      <c r="H1444" s="1776" t="s">
        <v>1349</v>
      </c>
      <c r="I1444" s="34" t="s">
        <v>25</v>
      </c>
      <c r="J1444" s="224"/>
      <c r="K1444" s="147"/>
      <c r="L1444" s="475"/>
      <c r="M1444" s="224"/>
      <c r="N1444" s="224"/>
      <c r="O1444" s="314" t="s">
        <v>2392</v>
      </c>
    </row>
    <row r="1445" spans="1:15" x14ac:dyDescent="0.3">
      <c r="A1445" s="2402">
        <v>1439</v>
      </c>
      <c r="B1445" s="1122" t="s">
        <v>2435</v>
      </c>
      <c r="C1445" s="1117" t="s">
        <v>1344</v>
      </c>
      <c r="D1445" s="793" t="s">
        <v>1146</v>
      </c>
      <c r="E1445" s="217" t="s">
        <v>2481</v>
      </c>
      <c r="F1445" s="218" t="s">
        <v>2437</v>
      </c>
      <c r="G1445" s="116">
        <v>2780</v>
      </c>
      <c r="H1445" s="1776" t="s">
        <v>1349</v>
      </c>
      <c r="I1445" s="34" t="s">
        <v>25</v>
      </c>
      <c r="J1445" s="224"/>
      <c r="K1445" s="147"/>
      <c r="L1445" s="475"/>
      <c r="M1445" s="224"/>
      <c r="N1445" s="224"/>
      <c r="O1445" s="314" t="s">
        <v>2392</v>
      </c>
    </row>
    <row r="1446" spans="1:15" x14ac:dyDescent="0.3">
      <c r="A1446" s="2401">
        <v>1440</v>
      </c>
      <c r="B1446" s="1122" t="s">
        <v>2435</v>
      </c>
      <c r="C1446" s="1117" t="s">
        <v>1344</v>
      </c>
      <c r="D1446" s="416" t="s">
        <v>1146</v>
      </c>
      <c r="E1446" s="217" t="s">
        <v>2482</v>
      </c>
      <c r="F1446" s="218" t="s">
        <v>2437</v>
      </c>
      <c r="G1446" s="116">
        <v>2780</v>
      </c>
      <c r="H1446" s="1776" t="s">
        <v>1349</v>
      </c>
      <c r="I1446" s="34" t="s">
        <v>25</v>
      </c>
      <c r="J1446" s="224"/>
      <c r="K1446" s="147"/>
      <c r="L1446" s="475"/>
      <c r="M1446" s="224"/>
      <c r="N1446" s="224"/>
      <c r="O1446" s="314" t="s">
        <v>2392</v>
      </c>
    </row>
    <row r="1447" spans="1:15" x14ac:dyDescent="0.3">
      <c r="A1447" s="2402">
        <v>1441</v>
      </c>
      <c r="B1447" s="1122" t="s">
        <v>2435</v>
      </c>
      <c r="C1447" s="1117" t="s">
        <v>1344</v>
      </c>
      <c r="D1447" s="416" t="s">
        <v>1146</v>
      </c>
      <c r="E1447" s="217" t="s">
        <v>2483</v>
      </c>
      <c r="F1447" s="218" t="s">
        <v>2437</v>
      </c>
      <c r="G1447" s="116">
        <v>2780</v>
      </c>
      <c r="H1447" s="1776" t="s">
        <v>1349</v>
      </c>
      <c r="I1447" s="34" t="s">
        <v>25</v>
      </c>
      <c r="J1447" s="224"/>
      <c r="K1447" s="147"/>
      <c r="L1447" s="475"/>
      <c r="M1447" s="224"/>
      <c r="N1447" s="224"/>
      <c r="O1447" s="314" t="s">
        <v>2392</v>
      </c>
    </row>
    <row r="1448" spans="1:15" x14ac:dyDescent="0.3">
      <c r="A1448" s="2402">
        <v>1442</v>
      </c>
      <c r="B1448" s="1122" t="s">
        <v>2435</v>
      </c>
      <c r="C1448" s="1117" t="s">
        <v>1344</v>
      </c>
      <c r="D1448" s="416" t="s">
        <v>1146</v>
      </c>
      <c r="E1448" s="217" t="s">
        <v>2484</v>
      </c>
      <c r="F1448" s="218" t="s">
        <v>2437</v>
      </c>
      <c r="G1448" s="116">
        <v>2780</v>
      </c>
      <c r="H1448" s="1776" t="s">
        <v>1349</v>
      </c>
      <c r="I1448" s="34" t="s">
        <v>25</v>
      </c>
      <c r="J1448" s="224"/>
      <c r="K1448" s="147"/>
      <c r="L1448" s="475"/>
      <c r="M1448" s="224"/>
      <c r="N1448" s="224"/>
      <c r="O1448" s="314" t="s">
        <v>2392</v>
      </c>
    </row>
    <row r="1449" spans="1:15" x14ac:dyDescent="0.3">
      <c r="A1449" s="2401">
        <v>1443</v>
      </c>
      <c r="B1449" s="1122" t="s">
        <v>2435</v>
      </c>
      <c r="C1449" s="1117" t="s">
        <v>1344</v>
      </c>
      <c r="D1449" s="416" t="s">
        <v>1146</v>
      </c>
      <c r="E1449" s="217" t="s">
        <v>2485</v>
      </c>
      <c r="F1449" s="218" t="s">
        <v>2437</v>
      </c>
      <c r="G1449" s="116">
        <v>2780</v>
      </c>
      <c r="H1449" s="1776" t="s">
        <v>1349</v>
      </c>
      <c r="I1449" s="34" t="s">
        <v>25</v>
      </c>
      <c r="J1449" s="224"/>
      <c r="K1449" s="147"/>
      <c r="L1449" s="475"/>
      <c r="M1449" s="224"/>
      <c r="N1449" s="224"/>
      <c r="O1449" s="314" t="s">
        <v>2392</v>
      </c>
    </row>
    <row r="1450" spans="1:15" x14ac:dyDescent="0.3">
      <c r="A1450" s="2402">
        <v>1444</v>
      </c>
      <c r="B1450" s="1122" t="s">
        <v>2435</v>
      </c>
      <c r="C1450" s="1117" t="s">
        <v>1344</v>
      </c>
      <c r="D1450" s="416" t="s">
        <v>1146</v>
      </c>
      <c r="E1450" s="217" t="s">
        <v>2486</v>
      </c>
      <c r="F1450" s="218" t="s">
        <v>2437</v>
      </c>
      <c r="G1450" s="116">
        <v>2780</v>
      </c>
      <c r="H1450" s="1776" t="s">
        <v>1349</v>
      </c>
      <c r="I1450" s="34" t="s">
        <v>25</v>
      </c>
      <c r="J1450" s="224"/>
      <c r="K1450" s="147"/>
      <c r="L1450" s="475"/>
      <c r="M1450" s="224"/>
      <c r="N1450" s="224"/>
      <c r="O1450" s="314" t="s">
        <v>2392</v>
      </c>
    </row>
    <row r="1451" spans="1:15" x14ac:dyDescent="0.3">
      <c r="A1451" s="2402">
        <v>1445</v>
      </c>
      <c r="B1451" s="1122" t="s">
        <v>2435</v>
      </c>
      <c r="C1451" s="1117" t="s">
        <v>1344</v>
      </c>
      <c r="D1451" s="416" t="s">
        <v>1146</v>
      </c>
      <c r="E1451" s="217" t="s">
        <v>2487</v>
      </c>
      <c r="F1451" s="218" t="s">
        <v>2437</v>
      </c>
      <c r="G1451" s="116">
        <v>2780</v>
      </c>
      <c r="H1451" s="1776" t="s">
        <v>1349</v>
      </c>
      <c r="I1451" s="34" t="s">
        <v>25</v>
      </c>
      <c r="J1451" s="224"/>
      <c r="K1451" s="147"/>
      <c r="L1451" s="475"/>
      <c r="M1451" s="224"/>
      <c r="N1451" s="224"/>
      <c r="O1451" s="314" t="s">
        <v>2392</v>
      </c>
    </row>
    <row r="1452" spans="1:15" x14ac:dyDescent="0.3">
      <c r="A1452" s="2402">
        <v>1446</v>
      </c>
      <c r="B1452" s="1122" t="s">
        <v>2435</v>
      </c>
      <c r="C1452" s="1117" t="s">
        <v>1344</v>
      </c>
      <c r="D1452" s="416" t="s">
        <v>1146</v>
      </c>
      <c r="E1452" s="217" t="s">
        <v>2488</v>
      </c>
      <c r="F1452" s="218" t="s">
        <v>2437</v>
      </c>
      <c r="G1452" s="116">
        <v>2780</v>
      </c>
      <c r="H1452" s="1776" t="s">
        <v>1349</v>
      </c>
      <c r="I1452" s="34" t="s">
        <v>25</v>
      </c>
      <c r="J1452" s="224"/>
      <c r="K1452" s="147"/>
      <c r="L1452" s="475"/>
      <c r="M1452" s="224"/>
      <c r="N1452" s="224"/>
      <c r="O1452" s="314" t="s">
        <v>2392</v>
      </c>
    </row>
    <row r="1453" spans="1:15" x14ac:dyDescent="0.3">
      <c r="A1453" s="2402">
        <v>1447</v>
      </c>
      <c r="B1453" s="1122" t="s">
        <v>2435</v>
      </c>
      <c r="C1453" s="1117" t="s">
        <v>1344</v>
      </c>
      <c r="D1453" s="416" t="s">
        <v>1146</v>
      </c>
      <c r="E1453" s="217" t="s">
        <v>2489</v>
      </c>
      <c r="F1453" s="218" t="s">
        <v>2437</v>
      </c>
      <c r="G1453" s="116">
        <v>2780</v>
      </c>
      <c r="H1453" s="1776" t="s">
        <v>1349</v>
      </c>
      <c r="I1453" s="34" t="s">
        <v>25</v>
      </c>
      <c r="J1453" s="224"/>
      <c r="K1453" s="147"/>
      <c r="L1453" s="475"/>
      <c r="M1453" s="224"/>
      <c r="N1453" s="224"/>
      <c r="O1453" s="314" t="s">
        <v>2392</v>
      </c>
    </row>
    <row r="1454" spans="1:15" x14ac:dyDescent="0.3">
      <c r="A1454" s="2401">
        <v>1448</v>
      </c>
      <c r="B1454" s="1122" t="s">
        <v>2435</v>
      </c>
      <c r="C1454" s="1117" t="s">
        <v>1344</v>
      </c>
      <c r="D1454" s="416" t="s">
        <v>1146</v>
      </c>
      <c r="E1454" s="217" t="s">
        <v>2490</v>
      </c>
      <c r="F1454" s="218" t="s">
        <v>2437</v>
      </c>
      <c r="G1454" s="116">
        <v>2780</v>
      </c>
      <c r="H1454" s="1776" t="s">
        <v>1349</v>
      </c>
      <c r="I1454" s="34" t="s">
        <v>25</v>
      </c>
      <c r="J1454" s="224"/>
      <c r="K1454" s="147"/>
      <c r="L1454" s="475"/>
      <c r="M1454" s="224"/>
      <c r="N1454" s="224"/>
      <c r="O1454" s="314" t="s">
        <v>1350</v>
      </c>
    </row>
    <row r="1455" spans="1:15" x14ac:dyDescent="0.3">
      <c r="A1455" s="2402">
        <v>1449</v>
      </c>
      <c r="B1455" s="1122" t="s">
        <v>2435</v>
      </c>
      <c r="C1455" s="1117" t="s">
        <v>1344</v>
      </c>
      <c r="D1455" s="416" t="s">
        <v>1146</v>
      </c>
      <c r="E1455" s="217" t="s">
        <v>2491</v>
      </c>
      <c r="F1455" s="218" t="s">
        <v>2437</v>
      </c>
      <c r="G1455" s="116">
        <v>2780</v>
      </c>
      <c r="H1455" s="1776" t="s">
        <v>1349</v>
      </c>
      <c r="I1455" s="34" t="s">
        <v>25</v>
      </c>
      <c r="J1455" s="224"/>
      <c r="K1455" s="147"/>
      <c r="L1455" s="475"/>
      <c r="M1455" s="224"/>
      <c r="N1455" s="224"/>
      <c r="O1455" s="314" t="s">
        <v>2392</v>
      </c>
    </row>
    <row r="1456" spans="1:15" x14ac:dyDescent="0.3">
      <c r="A1456" s="2402">
        <v>1450</v>
      </c>
      <c r="B1456" s="1122" t="s">
        <v>2435</v>
      </c>
      <c r="C1456" s="1117" t="s">
        <v>1344</v>
      </c>
      <c r="D1456" s="452" t="s">
        <v>1146</v>
      </c>
      <c r="E1456" s="217" t="s">
        <v>2492</v>
      </c>
      <c r="F1456" s="218" t="s">
        <v>2437</v>
      </c>
      <c r="G1456" s="116">
        <v>2780</v>
      </c>
      <c r="H1456" s="1776" t="s">
        <v>1349</v>
      </c>
      <c r="I1456" s="34" t="s">
        <v>25</v>
      </c>
      <c r="J1456" s="224"/>
      <c r="K1456" s="147"/>
      <c r="L1456" s="475"/>
      <c r="M1456" s="224"/>
      <c r="N1456" s="224"/>
      <c r="O1456" s="314" t="s">
        <v>2493</v>
      </c>
    </row>
    <row r="1457" spans="1:15" x14ac:dyDescent="0.3">
      <c r="A1457" s="2401">
        <v>1451</v>
      </c>
      <c r="B1457" s="1122" t="s">
        <v>2435</v>
      </c>
      <c r="C1457" s="1117" t="s">
        <v>1344</v>
      </c>
      <c r="D1457" s="495" t="s">
        <v>1146</v>
      </c>
      <c r="E1457" s="217" t="s">
        <v>2494</v>
      </c>
      <c r="F1457" s="218" t="s">
        <v>2437</v>
      </c>
      <c r="G1457" s="116">
        <v>2780</v>
      </c>
      <c r="H1457" s="1776" t="s">
        <v>1349</v>
      </c>
      <c r="I1457" s="34" t="s">
        <v>25</v>
      </c>
      <c r="J1457" s="224"/>
      <c r="K1457" s="147"/>
      <c r="L1457" s="475"/>
      <c r="M1457" s="224"/>
      <c r="N1457" s="224"/>
      <c r="O1457" s="314" t="s">
        <v>2493</v>
      </c>
    </row>
    <row r="1458" spans="1:15" x14ac:dyDescent="0.3">
      <c r="A1458" s="2402">
        <v>1452</v>
      </c>
      <c r="B1458" s="1122" t="s">
        <v>2435</v>
      </c>
      <c r="C1458" s="216" t="s">
        <v>1344</v>
      </c>
      <c r="D1458" s="793" t="s">
        <v>1146</v>
      </c>
      <c r="E1458" s="217" t="s">
        <v>2495</v>
      </c>
      <c r="F1458" s="218" t="s">
        <v>2437</v>
      </c>
      <c r="G1458" s="116">
        <v>2780</v>
      </c>
      <c r="H1458" s="1776" t="s">
        <v>1349</v>
      </c>
      <c r="I1458" s="34" t="s">
        <v>25</v>
      </c>
      <c r="J1458" s="224"/>
      <c r="K1458" s="147"/>
      <c r="L1458" s="475"/>
      <c r="M1458" s="224"/>
      <c r="N1458" s="224"/>
      <c r="O1458" s="314" t="s">
        <v>2392</v>
      </c>
    </row>
    <row r="1459" spans="1:15" x14ac:dyDescent="0.3">
      <c r="A1459" s="2402">
        <v>1453</v>
      </c>
      <c r="B1459" s="1122" t="s">
        <v>2435</v>
      </c>
      <c r="C1459" s="216" t="s">
        <v>1344</v>
      </c>
      <c r="D1459" s="416" t="s">
        <v>1146</v>
      </c>
      <c r="E1459" s="217" t="s">
        <v>2496</v>
      </c>
      <c r="F1459" s="218" t="s">
        <v>2437</v>
      </c>
      <c r="G1459" s="116">
        <v>2780</v>
      </c>
      <c r="H1459" s="1776" t="s">
        <v>1349</v>
      </c>
      <c r="I1459" s="34" t="s">
        <v>25</v>
      </c>
      <c r="J1459" s="224"/>
      <c r="K1459" s="147"/>
      <c r="L1459" s="475"/>
      <c r="M1459" s="224"/>
      <c r="N1459" s="224"/>
      <c r="O1459" s="314" t="s">
        <v>2392</v>
      </c>
    </row>
    <row r="1460" spans="1:15" x14ac:dyDescent="0.3">
      <c r="A1460" s="2402">
        <v>1454</v>
      </c>
      <c r="B1460" s="1122" t="s">
        <v>2435</v>
      </c>
      <c r="C1460" s="216" t="s">
        <v>1344</v>
      </c>
      <c r="D1460" s="416" t="s">
        <v>1146</v>
      </c>
      <c r="E1460" s="217" t="s">
        <v>2497</v>
      </c>
      <c r="F1460" s="218" t="s">
        <v>2437</v>
      </c>
      <c r="G1460" s="116">
        <v>2780</v>
      </c>
      <c r="H1460" s="1776" t="s">
        <v>1349</v>
      </c>
      <c r="I1460" s="34" t="s">
        <v>25</v>
      </c>
      <c r="J1460" s="224"/>
      <c r="K1460" s="147"/>
      <c r="L1460" s="475"/>
      <c r="M1460" s="224"/>
      <c r="N1460" s="224"/>
      <c r="O1460" s="314" t="s">
        <v>2392</v>
      </c>
    </row>
    <row r="1461" spans="1:15" x14ac:dyDescent="0.3">
      <c r="A1461" s="2402">
        <v>1455</v>
      </c>
      <c r="B1461" s="1122" t="s">
        <v>2435</v>
      </c>
      <c r="C1461" s="216" t="s">
        <v>1344</v>
      </c>
      <c r="D1461" s="416" t="s">
        <v>1146</v>
      </c>
      <c r="E1461" s="217" t="s">
        <v>2498</v>
      </c>
      <c r="F1461" s="218" t="s">
        <v>2437</v>
      </c>
      <c r="G1461" s="116">
        <v>2780</v>
      </c>
      <c r="H1461" s="1776" t="s">
        <v>1349</v>
      </c>
      <c r="I1461" s="34" t="s">
        <v>25</v>
      </c>
      <c r="J1461" s="224"/>
      <c r="K1461" s="147"/>
      <c r="L1461" s="475"/>
      <c r="M1461" s="224"/>
      <c r="N1461" s="224"/>
      <c r="O1461" s="314" t="s">
        <v>2392</v>
      </c>
    </row>
    <row r="1462" spans="1:15" x14ac:dyDescent="0.3">
      <c r="A1462" s="2401">
        <v>1456</v>
      </c>
      <c r="B1462" s="1122" t="s">
        <v>2435</v>
      </c>
      <c r="C1462" s="216" t="s">
        <v>1344</v>
      </c>
      <c r="D1462" s="416" t="s">
        <v>1146</v>
      </c>
      <c r="E1462" s="217" t="s">
        <v>2499</v>
      </c>
      <c r="F1462" s="218" t="s">
        <v>2437</v>
      </c>
      <c r="G1462" s="116">
        <v>2780</v>
      </c>
      <c r="H1462" s="1776" t="s">
        <v>1349</v>
      </c>
      <c r="I1462" s="34" t="s">
        <v>25</v>
      </c>
      <c r="J1462" s="224"/>
      <c r="K1462" s="147"/>
      <c r="L1462" s="475"/>
      <c r="M1462" s="224"/>
      <c r="N1462" s="224"/>
      <c r="O1462" s="314" t="s">
        <v>2392</v>
      </c>
    </row>
    <row r="1463" spans="1:15" x14ac:dyDescent="0.3">
      <c r="A1463" s="2402">
        <v>1457</v>
      </c>
      <c r="B1463" s="1122" t="s">
        <v>2435</v>
      </c>
      <c r="C1463" s="216" t="s">
        <v>1344</v>
      </c>
      <c r="D1463" s="416" t="s">
        <v>1146</v>
      </c>
      <c r="E1463" s="217" t="s">
        <v>2500</v>
      </c>
      <c r="F1463" s="218" t="s">
        <v>2437</v>
      </c>
      <c r="G1463" s="116">
        <v>2780</v>
      </c>
      <c r="H1463" s="1776" t="s">
        <v>1349</v>
      </c>
      <c r="I1463" s="34" t="s">
        <v>25</v>
      </c>
      <c r="J1463" s="224"/>
      <c r="K1463" s="147"/>
      <c r="L1463" s="475"/>
      <c r="M1463" s="224"/>
      <c r="N1463" s="224"/>
      <c r="O1463" s="314" t="s">
        <v>2392</v>
      </c>
    </row>
    <row r="1464" spans="1:15" x14ac:dyDescent="0.3">
      <c r="A1464" s="2402">
        <v>1458</v>
      </c>
      <c r="B1464" s="1122" t="s">
        <v>2435</v>
      </c>
      <c r="C1464" s="216" t="s">
        <v>1344</v>
      </c>
      <c r="D1464" s="416" t="s">
        <v>1146</v>
      </c>
      <c r="E1464" s="217" t="s">
        <v>2501</v>
      </c>
      <c r="F1464" s="218" t="s">
        <v>2437</v>
      </c>
      <c r="G1464" s="116">
        <v>2780</v>
      </c>
      <c r="H1464" s="1776" t="s">
        <v>1349</v>
      </c>
      <c r="I1464" s="34" t="s">
        <v>25</v>
      </c>
      <c r="J1464" s="224"/>
      <c r="K1464" s="147"/>
      <c r="L1464" s="475"/>
      <c r="M1464" s="224"/>
      <c r="N1464" s="224"/>
      <c r="O1464" s="314" t="s">
        <v>2493</v>
      </c>
    </row>
    <row r="1465" spans="1:15" x14ac:dyDescent="0.3">
      <c r="A1465" s="2401">
        <v>1459</v>
      </c>
      <c r="B1465" s="1122" t="s">
        <v>2435</v>
      </c>
      <c r="C1465" s="216" t="s">
        <v>1344</v>
      </c>
      <c r="D1465" s="416" t="s">
        <v>1146</v>
      </c>
      <c r="E1465" s="217" t="s">
        <v>2502</v>
      </c>
      <c r="F1465" s="218" t="s">
        <v>2437</v>
      </c>
      <c r="G1465" s="116">
        <v>2780</v>
      </c>
      <c r="H1465" s="1776" t="s">
        <v>1349</v>
      </c>
      <c r="I1465" s="34" t="s">
        <v>25</v>
      </c>
      <c r="J1465" s="224"/>
      <c r="K1465" s="147"/>
      <c r="L1465" s="475"/>
      <c r="M1465" s="224"/>
      <c r="N1465" s="224"/>
      <c r="O1465" s="314" t="s">
        <v>2493</v>
      </c>
    </row>
    <row r="1466" spans="1:15" x14ac:dyDescent="0.3">
      <c r="A1466" s="2402">
        <v>1460</v>
      </c>
      <c r="B1466" s="1122" t="s">
        <v>2435</v>
      </c>
      <c r="C1466" s="216" t="s">
        <v>1344</v>
      </c>
      <c r="D1466" s="416" t="s">
        <v>1146</v>
      </c>
      <c r="E1466" s="217" t="s">
        <v>2503</v>
      </c>
      <c r="F1466" s="218" t="s">
        <v>2437</v>
      </c>
      <c r="G1466" s="116">
        <v>2780</v>
      </c>
      <c r="H1466" s="1776" t="s">
        <v>1349</v>
      </c>
      <c r="I1466" s="34" t="s">
        <v>25</v>
      </c>
      <c r="J1466" s="224"/>
      <c r="K1466" s="147"/>
      <c r="L1466" s="475"/>
      <c r="M1466" s="224"/>
      <c r="N1466" s="224"/>
      <c r="O1466" s="314" t="s">
        <v>2392</v>
      </c>
    </row>
    <row r="1467" spans="1:15" x14ac:dyDescent="0.3">
      <c r="A1467" s="2402">
        <v>1461</v>
      </c>
      <c r="B1467" s="1122" t="s">
        <v>2435</v>
      </c>
      <c r="C1467" s="216" t="s">
        <v>1344</v>
      </c>
      <c r="D1467" s="416" t="s">
        <v>1146</v>
      </c>
      <c r="E1467" s="217" t="s">
        <v>2504</v>
      </c>
      <c r="F1467" s="218" t="s">
        <v>2437</v>
      </c>
      <c r="G1467" s="116">
        <v>2780</v>
      </c>
      <c r="H1467" s="1776" t="s">
        <v>1349</v>
      </c>
      <c r="I1467" s="34" t="s">
        <v>25</v>
      </c>
      <c r="J1467" s="224"/>
      <c r="K1467" s="147"/>
      <c r="L1467" s="475"/>
      <c r="M1467" s="224"/>
      <c r="N1467" s="224"/>
      <c r="O1467" s="314" t="s">
        <v>2392</v>
      </c>
    </row>
    <row r="1468" spans="1:15" x14ac:dyDescent="0.3">
      <c r="A1468" s="2402">
        <v>1462</v>
      </c>
      <c r="B1468" s="1122" t="s">
        <v>2435</v>
      </c>
      <c r="C1468" s="216" t="s">
        <v>1344</v>
      </c>
      <c r="D1468" s="452" t="s">
        <v>1146</v>
      </c>
      <c r="E1468" s="217" t="s">
        <v>2505</v>
      </c>
      <c r="F1468" s="218" t="s">
        <v>2437</v>
      </c>
      <c r="G1468" s="116">
        <v>2780</v>
      </c>
      <c r="H1468" s="1776" t="s">
        <v>1349</v>
      </c>
      <c r="I1468" s="34" t="s">
        <v>25</v>
      </c>
      <c r="J1468" s="224"/>
      <c r="K1468" s="147"/>
      <c r="L1468" s="475"/>
      <c r="M1468" s="224"/>
      <c r="N1468" s="224"/>
      <c r="O1468" s="314" t="s">
        <v>2392</v>
      </c>
    </row>
    <row r="1469" spans="1:15" x14ac:dyDescent="0.3">
      <c r="A1469" s="2402">
        <v>1463</v>
      </c>
      <c r="B1469" s="1122" t="s">
        <v>2435</v>
      </c>
      <c r="C1469" s="216" t="s">
        <v>1344</v>
      </c>
      <c r="D1469" s="793" t="s">
        <v>1146</v>
      </c>
      <c r="E1469" s="217" t="s">
        <v>2506</v>
      </c>
      <c r="F1469" s="218" t="s">
        <v>2437</v>
      </c>
      <c r="G1469" s="116">
        <v>2780</v>
      </c>
      <c r="H1469" s="1776" t="s">
        <v>1349</v>
      </c>
      <c r="I1469" s="34" t="s">
        <v>25</v>
      </c>
      <c r="J1469" s="224"/>
      <c r="K1469" s="147"/>
      <c r="L1469" s="475"/>
      <c r="M1469" s="224"/>
      <c r="N1469" s="224"/>
      <c r="O1469" s="314" t="s">
        <v>2392</v>
      </c>
    </row>
    <row r="1470" spans="1:15" x14ac:dyDescent="0.3">
      <c r="A1470" s="2401">
        <v>1464</v>
      </c>
      <c r="B1470" s="1122" t="s">
        <v>2435</v>
      </c>
      <c r="C1470" s="216" t="s">
        <v>1344</v>
      </c>
      <c r="D1470" s="416" t="s">
        <v>1146</v>
      </c>
      <c r="E1470" s="217" t="s">
        <v>2507</v>
      </c>
      <c r="F1470" s="218" t="s">
        <v>2437</v>
      </c>
      <c r="G1470" s="116">
        <v>2780</v>
      </c>
      <c r="H1470" s="1776" t="s">
        <v>1349</v>
      </c>
      <c r="I1470" s="34" t="s">
        <v>25</v>
      </c>
      <c r="J1470" s="224"/>
      <c r="K1470" s="147"/>
      <c r="L1470" s="475"/>
      <c r="M1470" s="224"/>
      <c r="N1470" s="224"/>
      <c r="O1470" s="314" t="s">
        <v>2392</v>
      </c>
    </row>
    <row r="1471" spans="1:15" x14ac:dyDescent="0.3">
      <c r="A1471" s="2402">
        <v>1465</v>
      </c>
      <c r="B1471" s="1122" t="s">
        <v>2435</v>
      </c>
      <c r="C1471" s="216" t="s">
        <v>1344</v>
      </c>
      <c r="D1471" s="452" t="s">
        <v>1146</v>
      </c>
      <c r="E1471" s="217" t="s">
        <v>2508</v>
      </c>
      <c r="F1471" s="218" t="s">
        <v>2437</v>
      </c>
      <c r="G1471" s="116">
        <v>2780</v>
      </c>
      <c r="H1471" s="1776" t="s">
        <v>1349</v>
      </c>
      <c r="I1471" s="34" t="s">
        <v>25</v>
      </c>
      <c r="J1471" s="224"/>
      <c r="K1471" s="147"/>
      <c r="L1471" s="475"/>
      <c r="M1471" s="224"/>
      <c r="N1471" s="224"/>
      <c r="O1471" s="314" t="s">
        <v>2392</v>
      </c>
    </row>
    <row r="1472" spans="1:15" x14ac:dyDescent="0.3">
      <c r="A1472" s="2402">
        <v>1466</v>
      </c>
      <c r="B1472" s="1122" t="s">
        <v>2435</v>
      </c>
      <c r="C1472" s="216" t="s">
        <v>1344</v>
      </c>
      <c r="D1472" s="793" t="s">
        <v>1146</v>
      </c>
      <c r="E1472" s="217" t="s">
        <v>2509</v>
      </c>
      <c r="F1472" s="218" t="s">
        <v>2437</v>
      </c>
      <c r="G1472" s="116">
        <v>2780</v>
      </c>
      <c r="H1472" s="1776" t="s">
        <v>1349</v>
      </c>
      <c r="I1472" s="34" t="s">
        <v>25</v>
      </c>
      <c r="J1472" s="224"/>
      <c r="K1472" s="147"/>
      <c r="L1472" s="475"/>
      <c r="M1472" s="224"/>
      <c r="N1472" s="224"/>
      <c r="O1472" s="314" t="s">
        <v>2392</v>
      </c>
    </row>
    <row r="1473" spans="1:15" x14ac:dyDescent="0.3">
      <c r="A1473" s="2401">
        <v>1467</v>
      </c>
      <c r="B1473" s="1122" t="s">
        <v>2435</v>
      </c>
      <c r="C1473" s="216" t="s">
        <v>1344</v>
      </c>
      <c r="D1473" s="416" t="s">
        <v>1146</v>
      </c>
      <c r="E1473" s="217" t="s">
        <v>2510</v>
      </c>
      <c r="F1473" s="218" t="s">
        <v>2437</v>
      </c>
      <c r="G1473" s="116">
        <v>2780</v>
      </c>
      <c r="H1473" s="1776" t="s">
        <v>1349</v>
      </c>
      <c r="I1473" s="34" t="s">
        <v>25</v>
      </c>
      <c r="J1473" s="224"/>
      <c r="K1473" s="147"/>
      <c r="L1473" s="475"/>
      <c r="M1473" s="224"/>
      <c r="N1473" s="224"/>
      <c r="O1473" s="314" t="s">
        <v>2392</v>
      </c>
    </row>
    <row r="1474" spans="1:15" x14ac:dyDescent="0.3">
      <c r="A1474" s="2402">
        <v>1468</v>
      </c>
      <c r="B1474" s="1122" t="s">
        <v>2435</v>
      </c>
      <c r="C1474" s="216" t="s">
        <v>1344</v>
      </c>
      <c r="D1474" s="416" t="s">
        <v>1146</v>
      </c>
      <c r="E1474" s="217" t="s">
        <v>2511</v>
      </c>
      <c r="F1474" s="218" t="s">
        <v>2437</v>
      </c>
      <c r="G1474" s="116">
        <v>2780</v>
      </c>
      <c r="H1474" s="1776" t="s">
        <v>1349</v>
      </c>
      <c r="I1474" s="34" t="s">
        <v>25</v>
      </c>
      <c r="J1474" s="224"/>
      <c r="K1474" s="147"/>
      <c r="L1474" s="475"/>
      <c r="M1474" s="224"/>
      <c r="N1474" s="224"/>
      <c r="O1474" s="314" t="s">
        <v>2392</v>
      </c>
    </row>
    <row r="1475" spans="1:15" x14ac:dyDescent="0.3">
      <c r="A1475" s="2402">
        <v>1469</v>
      </c>
      <c r="B1475" s="1122" t="s">
        <v>2435</v>
      </c>
      <c r="C1475" s="216" t="s">
        <v>1344</v>
      </c>
      <c r="D1475" s="416" t="s">
        <v>1146</v>
      </c>
      <c r="E1475" s="217" t="s">
        <v>2512</v>
      </c>
      <c r="F1475" s="218" t="s">
        <v>2437</v>
      </c>
      <c r="G1475" s="116">
        <v>2780</v>
      </c>
      <c r="H1475" s="1776" t="s">
        <v>1349</v>
      </c>
      <c r="I1475" s="34" t="s">
        <v>25</v>
      </c>
      <c r="J1475" s="224"/>
      <c r="K1475" s="147"/>
      <c r="L1475" s="475"/>
      <c r="M1475" s="224"/>
      <c r="N1475" s="224"/>
      <c r="O1475" s="314" t="s">
        <v>2392</v>
      </c>
    </row>
    <row r="1476" spans="1:15" x14ac:dyDescent="0.3">
      <c r="A1476" s="2402">
        <v>1470</v>
      </c>
      <c r="B1476" s="1122" t="s">
        <v>2435</v>
      </c>
      <c r="C1476" s="216" t="s">
        <v>1344</v>
      </c>
      <c r="D1476" s="416" t="s">
        <v>1146</v>
      </c>
      <c r="E1476" s="217" t="s">
        <v>2513</v>
      </c>
      <c r="F1476" s="218" t="s">
        <v>2437</v>
      </c>
      <c r="G1476" s="116">
        <v>2780</v>
      </c>
      <c r="H1476" s="1776" t="s">
        <v>1349</v>
      </c>
      <c r="I1476" s="34" t="s">
        <v>25</v>
      </c>
      <c r="J1476" s="224"/>
      <c r="K1476" s="147"/>
      <c r="L1476" s="475"/>
      <c r="M1476" s="224"/>
      <c r="N1476" s="224"/>
      <c r="O1476" s="314" t="s">
        <v>2392</v>
      </c>
    </row>
    <row r="1477" spans="1:15" x14ac:dyDescent="0.3">
      <c r="A1477" s="2402">
        <v>1471</v>
      </c>
      <c r="B1477" s="1122" t="s">
        <v>2435</v>
      </c>
      <c r="C1477" s="216" t="s">
        <v>1344</v>
      </c>
      <c r="D1477" s="416" t="s">
        <v>1146</v>
      </c>
      <c r="E1477" s="217" t="s">
        <v>2514</v>
      </c>
      <c r="F1477" s="218" t="s">
        <v>2437</v>
      </c>
      <c r="G1477" s="116">
        <v>2780</v>
      </c>
      <c r="H1477" s="1776" t="s">
        <v>1349</v>
      </c>
      <c r="I1477" s="34" t="s">
        <v>25</v>
      </c>
      <c r="J1477" s="224"/>
      <c r="K1477" s="147"/>
      <c r="L1477" s="475"/>
      <c r="M1477" s="224"/>
      <c r="N1477" s="224"/>
      <c r="O1477" s="314" t="s">
        <v>2392</v>
      </c>
    </row>
    <row r="1478" spans="1:15" x14ac:dyDescent="0.3">
      <c r="A1478" s="2401">
        <v>1472</v>
      </c>
      <c r="B1478" s="1122" t="s">
        <v>2435</v>
      </c>
      <c r="C1478" s="216" t="s">
        <v>1344</v>
      </c>
      <c r="D1478" s="416" t="s">
        <v>1146</v>
      </c>
      <c r="E1478" s="217" t="s">
        <v>2515</v>
      </c>
      <c r="F1478" s="218" t="s">
        <v>2437</v>
      </c>
      <c r="G1478" s="116">
        <v>2780</v>
      </c>
      <c r="H1478" s="1776" t="s">
        <v>1349</v>
      </c>
      <c r="I1478" s="34" t="s">
        <v>25</v>
      </c>
      <c r="J1478" s="224"/>
      <c r="K1478" s="147"/>
      <c r="L1478" s="475"/>
      <c r="M1478" s="224"/>
      <c r="N1478" s="224"/>
      <c r="O1478" s="314" t="s">
        <v>2392</v>
      </c>
    </row>
    <row r="1479" spans="1:15" x14ac:dyDescent="0.3">
      <c r="A1479" s="2402">
        <v>1473</v>
      </c>
      <c r="B1479" s="1122" t="s">
        <v>2435</v>
      </c>
      <c r="C1479" s="216" t="s">
        <v>1344</v>
      </c>
      <c r="D1479" s="452" t="s">
        <v>1146</v>
      </c>
      <c r="E1479" s="217" t="s">
        <v>2516</v>
      </c>
      <c r="F1479" s="218" t="s">
        <v>2437</v>
      </c>
      <c r="G1479" s="116">
        <v>2780</v>
      </c>
      <c r="H1479" s="1776" t="s">
        <v>1349</v>
      </c>
      <c r="I1479" s="34" t="s">
        <v>25</v>
      </c>
      <c r="J1479" s="224"/>
      <c r="K1479" s="147"/>
      <c r="L1479" s="475"/>
      <c r="M1479" s="224"/>
      <c r="N1479" s="224"/>
      <c r="O1479" s="314" t="s">
        <v>2493</v>
      </c>
    </row>
    <row r="1480" spans="1:15" x14ac:dyDescent="0.3">
      <c r="A1480" s="2402">
        <v>1474</v>
      </c>
      <c r="B1480" s="1122" t="s">
        <v>2435</v>
      </c>
      <c r="C1480" s="216" t="s">
        <v>1344</v>
      </c>
      <c r="D1480" s="495" t="s">
        <v>1146</v>
      </c>
      <c r="E1480" s="217" t="s">
        <v>2517</v>
      </c>
      <c r="F1480" s="218" t="s">
        <v>2437</v>
      </c>
      <c r="G1480" s="116">
        <v>2780</v>
      </c>
      <c r="H1480" s="1776" t="s">
        <v>1349</v>
      </c>
      <c r="I1480" s="34" t="s">
        <v>25</v>
      </c>
      <c r="J1480" s="224"/>
      <c r="K1480" s="147"/>
      <c r="L1480" s="475"/>
      <c r="M1480" s="224"/>
      <c r="N1480" s="224"/>
      <c r="O1480" s="314" t="s">
        <v>2392</v>
      </c>
    </row>
    <row r="1481" spans="1:15" x14ac:dyDescent="0.3">
      <c r="A1481" s="2401">
        <v>1475</v>
      </c>
      <c r="B1481" s="1122" t="s">
        <v>2435</v>
      </c>
      <c r="C1481" s="216" t="s">
        <v>1344</v>
      </c>
      <c r="D1481" s="793" t="s">
        <v>1146</v>
      </c>
      <c r="E1481" s="217" t="s">
        <v>2518</v>
      </c>
      <c r="F1481" s="218" t="s">
        <v>2437</v>
      </c>
      <c r="G1481" s="116">
        <v>2780</v>
      </c>
      <c r="H1481" s="1776" t="s">
        <v>1349</v>
      </c>
      <c r="I1481" s="34" t="s">
        <v>25</v>
      </c>
      <c r="J1481" s="224"/>
      <c r="K1481" s="147"/>
      <c r="L1481" s="475"/>
      <c r="M1481" s="224"/>
      <c r="N1481" s="224"/>
      <c r="O1481" s="314" t="s">
        <v>2392</v>
      </c>
    </row>
    <row r="1482" spans="1:15" x14ac:dyDescent="0.3">
      <c r="A1482" s="2402">
        <v>1476</v>
      </c>
      <c r="B1482" s="1122" t="s">
        <v>2435</v>
      </c>
      <c r="C1482" s="216" t="s">
        <v>1344</v>
      </c>
      <c r="D1482" s="416" t="s">
        <v>1146</v>
      </c>
      <c r="E1482" s="217" t="s">
        <v>2519</v>
      </c>
      <c r="F1482" s="218" t="s">
        <v>2437</v>
      </c>
      <c r="G1482" s="116">
        <v>2780</v>
      </c>
      <c r="H1482" s="1776" t="s">
        <v>1349</v>
      </c>
      <c r="I1482" s="34" t="s">
        <v>25</v>
      </c>
      <c r="J1482" s="224"/>
      <c r="K1482" s="147"/>
      <c r="L1482" s="475"/>
      <c r="M1482" s="224"/>
      <c r="N1482" s="224"/>
      <c r="O1482" s="314" t="s">
        <v>2392</v>
      </c>
    </row>
    <row r="1483" spans="1:15" x14ac:dyDescent="0.3">
      <c r="A1483" s="2402">
        <v>1477</v>
      </c>
      <c r="B1483" s="1122" t="s">
        <v>2435</v>
      </c>
      <c r="C1483" s="216" t="s">
        <v>1344</v>
      </c>
      <c r="D1483" s="416" t="s">
        <v>1146</v>
      </c>
      <c r="E1483" s="217" t="s">
        <v>2520</v>
      </c>
      <c r="F1483" s="218" t="s">
        <v>2437</v>
      </c>
      <c r="G1483" s="116">
        <v>2780</v>
      </c>
      <c r="H1483" s="1776" t="s">
        <v>1349</v>
      </c>
      <c r="I1483" s="34" t="s">
        <v>25</v>
      </c>
      <c r="J1483" s="224"/>
      <c r="K1483" s="147"/>
      <c r="L1483" s="475"/>
      <c r="M1483" s="224"/>
      <c r="N1483" s="224"/>
      <c r="O1483" s="314" t="s">
        <v>2392</v>
      </c>
    </row>
    <row r="1484" spans="1:15" x14ac:dyDescent="0.3">
      <c r="A1484" s="2402">
        <v>1478</v>
      </c>
      <c r="B1484" s="1122" t="s">
        <v>2435</v>
      </c>
      <c r="C1484" s="216" t="s">
        <v>1344</v>
      </c>
      <c r="D1484" s="416" t="s">
        <v>1146</v>
      </c>
      <c r="E1484" s="217" t="s">
        <v>2521</v>
      </c>
      <c r="F1484" s="218" t="s">
        <v>2437</v>
      </c>
      <c r="G1484" s="116">
        <v>2780</v>
      </c>
      <c r="H1484" s="1776" t="s">
        <v>1349</v>
      </c>
      <c r="I1484" s="34" t="s">
        <v>25</v>
      </c>
      <c r="J1484" s="224"/>
      <c r="K1484" s="147"/>
      <c r="L1484" s="475"/>
      <c r="M1484" s="224"/>
      <c r="N1484" s="224"/>
      <c r="O1484" s="314" t="s">
        <v>1350</v>
      </c>
    </row>
    <row r="1485" spans="1:15" x14ac:dyDescent="0.3">
      <c r="A1485" s="2402">
        <v>1479</v>
      </c>
      <c r="B1485" s="1122" t="s">
        <v>2435</v>
      </c>
      <c r="C1485" s="216" t="s">
        <v>1344</v>
      </c>
      <c r="D1485" s="416" t="s">
        <v>1146</v>
      </c>
      <c r="E1485" s="217" t="s">
        <v>2522</v>
      </c>
      <c r="F1485" s="218" t="s">
        <v>2437</v>
      </c>
      <c r="G1485" s="116">
        <v>2780</v>
      </c>
      <c r="H1485" s="1776" t="s">
        <v>1349</v>
      </c>
      <c r="I1485" s="34" t="s">
        <v>25</v>
      </c>
      <c r="J1485" s="224"/>
      <c r="K1485" s="147"/>
      <c r="L1485" s="475"/>
      <c r="M1485" s="224"/>
      <c r="N1485" s="224"/>
      <c r="O1485" s="314" t="s">
        <v>2392</v>
      </c>
    </row>
    <row r="1486" spans="1:15" x14ac:dyDescent="0.3">
      <c r="A1486" s="2401">
        <v>1480</v>
      </c>
      <c r="B1486" s="1122" t="s">
        <v>2435</v>
      </c>
      <c r="C1486" s="216" t="s">
        <v>1344</v>
      </c>
      <c r="D1486" s="416" t="s">
        <v>1146</v>
      </c>
      <c r="E1486" s="217" t="s">
        <v>2523</v>
      </c>
      <c r="F1486" s="218" t="s">
        <v>2437</v>
      </c>
      <c r="G1486" s="116">
        <v>2780</v>
      </c>
      <c r="H1486" s="1776" t="s">
        <v>1349</v>
      </c>
      <c r="I1486" s="34" t="s">
        <v>25</v>
      </c>
      <c r="J1486" s="224"/>
      <c r="K1486" s="147"/>
      <c r="L1486" s="475"/>
      <c r="M1486" s="224"/>
      <c r="N1486" s="224"/>
      <c r="O1486" s="314" t="s">
        <v>2392</v>
      </c>
    </row>
    <row r="1487" spans="1:15" x14ac:dyDescent="0.3">
      <c r="A1487" s="2402">
        <v>1481</v>
      </c>
      <c r="B1487" s="1122" t="s">
        <v>2435</v>
      </c>
      <c r="C1487" s="216" t="s">
        <v>1344</v>
      </c>
      <c r="D1487" s="416" t="s">
        <v>1146</v>
      </c>
      <c r="E1487" s="217" t="s">
        <v>2524</v>
      </c>
      <c r="F1487" s="218" t="s">
        <v>2437</v>
      </c>
      <c r="G1487" s="116">
        <v>2780</v>
      </c>
      <c r="H1487" s="1776" t="s">
        <v>1349</v>
      </c>
      <c r="I1487" s="34" t="s">
        <v>25</v>
      </c>
      <c r="J1487" s="224"/>
      <c r="K1487" s="147"/>
      <c r="L1487" s="475"/>
      <c r="M1487" s="224"/>
      <c r="N1487" s="224"/>
      <c r="O1487" s="314" t="s">
        <v>2493</v>
      </c>
    </row>
    <row r="1488" spans="1:15" x14ac:dyDescent="0.3">
      <c r="A1488" s="2402">
        <v>1482</v>
      </c>
      <c r="B1488" s="1122" t="s">
        <v>2435</v>
      </c>
      <c r="C1488" s="216" t="s">
        <v>1344</v>
      </c>
      <c r="D1488" s="416" t="s">
        <v>1146</v>
      </c>
      <c r="E1488" s="217" t="s">
        <v>2525</v>
      </c>
      <c r="F1488" s="218" t="s">
        <v>2437</v>
      </c>
      <c r="G1488" s="116">
        <v>2780</v>
      </c>
      <c r="H1488" s="1776" t="s">
        <v>1349</v>
      </c>
      <c r="I1488" s="34" t="s">
        <v>25</v>
      </c>
      <c r="J1488" s="224"/>
      <c r="K1488" s="147"/>
      <c r="L1488" s="475"/>
      <c r="M1488" s="224"/>
      <c r="N1488" s="224"/>
      <c r="O1488" s="314" t="s">
        <v>2493</v>
      </c>
    </row>
    <row r="1489" spans="1:15" x14ac:dyDescent="0.3">
      <c r="A1489" s="2401">
        <v>1483</v>
      </c>
      <c r="B1489" s="1122" t="s">
        <v>2435</v>
      </c>
      <c r="C1489" s="216" t="s">
        <v>1344</v>
      </c>
      <c r="D1489" s="416" t="s">
        <v>1146</v>
      </c>
      <c r="E1489" s="217" t="s">
        <v>2526</v>
      </c>
      <c r="F1489" s="218" t="s">
        <v>2437</v>
      </c>
      <c r="G1489" s="116">
        <v>2780</v>
      </c>
      <c r="H1489" s="1776" t="s">
        <v>1349</v>
      </c>
      <c r="I1489" s="34" t="s">
        <v>25</v>
      </c>
      <c r="J1489" s="224"/>
      <c r="K1489" s="147"/>
      <c r="L1489" s="475"/>
      <c r="M1489" s="224"/>
      <c r="N1489" s="224"/>
      <c r="O1489" s="314" t="s">
        <v>2493</v>
      </c>
    </row>
    <row r="1490" spans="1:15" x14ac:dyDescent="0.3">
      <c r="A1490" s="2402">
        <v>1484</v>
      </c>
      <c r="B1490" s="1122" t="s">
        <v>2435</v>
      </c>
      <c r="C1490" s="216" t="s">
        <v>1344</v>
      </c>
      <c r="D1490" s="416" t="s">
        <v>1146</v>
      </c>
      <c r="E1490" s="217" t="s">
        <v>2527</v>
      </c>
      <c r="F1490" s="218" t="s">
        <v>2437</v>
      </c>
      <c r="G1490" s="116">
        <v>2780</v>
      </c>
      <c r="H1490" s="1776" t="s">
        <v>1349</v>
      </c>
      <c r="I1490" s="34" t="s">
        <v>25</v>
      </c>
      <c r="J1490" s="224"/>
      <c r="K1490" s="147"/>
      <c r="L1490" s="475"/>
      <c r="M1490" s="224"/>
      <c r="N1490" s="224"/>
      <c r="O1490" s="314" t="s">
        <v>2392</v>
      </c>
    </row>
    <row r="1491" spans="1:15" x14ac:dyDescent="0.3">
      <c r="A1491" s="2402">
        <v>1485</v>
      </c>
      <c r="B1491" s="1122" t="s">
        <v>2435</v>
      </c>
      <c r="C1491" s="216" t="s">
        <v>1344</v>
      </c>
      <c r="D1491" s="416" t="s">
        <v>1146</v>
      </c>
      <c r="E1491" s="217" t="s">
        <v>2528</v>
      </c>
      <c r="F1491" s="218" t="s">
        <v>2437</v>
      </c>
      <c r="G1491" s="116">
        <v>2780</v>
      </c>
      <c r="H1491" s="1776" t="s">
        <v>1349</v>
      </c>
      <c r="I1491" s="34" t="s">
        <v>25</v>
      </c>
      <c r="J1491" s="224"/>
      <c r="K1491" s="147"/>
      <c r="L1491" s="475"/>
      <c r="M1491" s="224"/>
      <c r="N1491" s="224"/>
      <c r="O1491" s="314" t="s">
        <v>2392</v>
      </c>
    </row>
    <row r="1492" spans="1:15" x14ac:dyDescent="0.3">
      <c r="A1492" s="2402">
        <v>1486</v>
      </c>
      <c r="B1492" s="1122" t="s">
        <v>2435</v>
      </c>
      <c r="C1492" s="216" t="s">
        <v>1344</v>
      </c>
      <c r="D1492" s="416" t="s">
        <v>1146</v>
      </c>
      <c r="E1492" s="217" t="s">
        <v>2529</v>
      </c>
      <c r="F1492" s="218" t="s">
        <v>2437</v>
      </c>
      <c r="G1492" s="116">
        <v>2780</v>
      </c>
      <c r="H1492" s="1776" t="s">
        <v>1349</v>
      </c>
      <c r="I1492" s="34" t="s">
        <v>25</v>
      </c>
      <c r="J1492" s="224"/>
      <c r="K1492" s="147"/>
      <c r="L1492" s="475"/>
      <c r="M1492" s="224"/>
      <c r="N1492" s="224"/>
      <c r="O1492" s="314" t="s">
        <v>2392</v>
      </c>
    </row>
    <row r="1493" spans="1:15" x14ac:dyDescent="0.3">
      <c r="A1493" s="2402">
        <v>1487</v>
      </c>
      <c r="B1493" s="1122" t="s">
        <v>2435</v>
      </c>
      <c r="C1493" s="216" t="s">
        <v>1344</v>
      </c>
      <c r="D1493" s="416" t="s">
        <v>1146</v>
      </c>
      <c r="E1493" s="217" t="s">
        <v>2530</v>
      </c>
      <c r="F1493" s="218" t="s">
        <v>2437</v>
      </c>
      <c r="G1493" s="116">
        <v>2780</v>
      </c>
      <c r="H1493" s="1776" t="s">
        <v>1349</v>
      </c>
      <c r="I1493" s="34" t="s">
        <v>25</v>
      </c>
      <c r="J1493" s="224"/>
      <c r="K1493" s="147"/>
      <c r="L1493" s="475"/>
      <c r="M1493" s="224"/>
      <c r="N1493" s="224"/>
      <c r="O1493" s="314" t="s">
        <v>2392</v>
      </c>
    </row>
    <row r="1494" spans="1:15" x14ac:dyDescent="0.3">
      <c r="A1494" s="2401">
        <v>1488</v>
      </c>
      <c r="B1494" s="1122" t="s">
        <v>2435</v>
      </c>
      <c r="C1494" s="216" t="s">
        <v>1344</v>
      </c>
      <c r="D1494" s="416" t="s">
        <v>1146</v>
      </c>
      <c r="E1494" s="217" t="s">
        <v>2531</v>
      </c>
      <c r="F1494" s="218" t="s">
        <v>2437</v>
      </c>
      <c r="G1494" s="116">
        <v>2780</v>
      </c>
      <c r="H1494" s="1776" t="s">
        <v>1349</v>
      </c>
      <c r="I1494" s="34" t="s">
        <v>25</v>
      </c>
      <c r="J1494" s="224"/>
      <c r="K1494" s="147"/>
      <c r="L1494" s="475"/>
      <c r="M1494" s="224"/>
      <c r="N1494" s="224"/>
      <c r="O1494" s="314" t="s">
        <v>2532</v>
      </c>
    </row>
    <row r="1495" spans="1:15" x14ac:dyDescent="0.3">
      <c r="A1495" s="2402">
        <v>1489</v>
      </c>
      <c r="B1495" s="1122" t="s">
        <v>2435</v>
      </c>
      <c r="C1495" s="216" t="s">
        <v>1344</v>
      </c>
      <c r="D1495" s="416" t="s">
        <v>1146</v>
      </c>
      <c r="E1495" s="217" t="s">
        <v>2533</v>
      </c>
      <c r="F1495" s="218" t="s">
        <v>2437</v>
      </c>
      <c r="G1495" s="116">
        <v>2780</v>
      </c>
      <c r="H1495" s="1776" t="s">
        <v>1349</v>
      </c>
      <c r="I1495" s="34" t="s">
        <v>25</v>
      </c>
      <c r="J1495" s="224"/>
      <c r="K1495" s="147"/>
      <c r="L1495" s="475"/>
      <c r="M1495" s="224"/>
      <c r="N1495" s="224"/>
      <c r="O1495" s="314" t="s">
        <v>2532</v>
      </c>
    </row>
    <row r="1496" spans="1:15" x14ac:dyDescent="0.3">
      <c r="A1496" s="2402">
        <v>1490</v>
      </c>
      <c r="B1496" s="1122" t="s">
        <v>2435</v>
      </c>
      <c r="C1496" s="216" t="s">
        <v>1344</v>
      </c>
      <c r="D1496" s="416" t="s">
        <v>1146</v>
      </c>
      <c r="E1496" s="217" t="s">
        <v>2534</v>
      </c>
      <c r="F1496" s="218" t="s">
        <v>2437</v>
      </c>
      <c r="G1496" s="116">
        <v>2780</v>
      </c>
      <c r="H1496" s="1776" t="s">
        <v>1349</v>
      </c>
      <c r="I1496" s="34" t="s">
        <v>25</v>
      </c>
      <c r="J1496" s="224"/>
      <c r="K1496" s="147"/>
      <c r="L1496" s="475"/>
      <c r="M1496" s="224"/>
      <c r="N1496" s="224"/>
      <c r="O1496" s="314" t="s">
        <v>2392</v>
      </c>
    </row>
    <row r="1497" spans="1:15" x14ac:dyDescent="0.3">
      <c r="A1497" s="2401">
        <v>1491</v>
      </c>
      <c r="B1497" s="1122" t="s">
        <v>2435</v>
      </c>
      <c r="C1497" s="216" t="s">
        <v>1344</v>
      </c>
      <c r="D1497" s="452" t="s">
        <v>1146</v>
      </c>
      <c r="E1497" s="217" t="s">
        <v>2535</v>
      </c>
      <c r="F1497" s="218" t="s">
        <v>2437</v>
      </c>
      <c r="G1497" s="116">
        <v>2780</v>
      </c>
      <c r="H1497" s="1776" t="s">
        <v>1349</v>
      </c>
      <c r="I1497" s="34" t="s">
        <v>25</v>
      </c>
      <c r="J1497" s="224"/>
      <c r="K1497" s="147"/>
      <c r="L1497" s="475"/>
      <c r="M1497" s="224"/>
      <c r="N1497" s="224"/>
      <c r="O1497" s="314" t="s">
        <v>2392</v>
      </c>
    </row>
    <row r="1498" spans="1:15" ht="18.75" customHeight="1" x14ac:dyDescent="0.3">
      <c r="A1498" s="2402">
        <v>1492</v>
      </c>
      <c r="B1498" s="1122" t="s">
        <v>2435</v>
      </c>
      <c r="C1498" s="216" t="s">
        <v>1344</v>
      </c>
      <c r="D1498" s="793" t="s">
        <v>1146</v>
      </c>
      <c r="E1498" s="217" t="s">
        <v>2536</v>
      </c>
      <c r="F1498" s="218" t="s">
        <v>2437</v>
      </c>
      <c r="G1498" s="116">
        <v>2780</v>
      </c>
      <c r="H1498" s="1776" t="s">
        <v>1349</v>
      </c>
      <c r="I1498" s="34" t="s">
        <v>25</v>
      </c>
      <c r="J1498" s="224"/>
      <c r="K1498" s="147"/>
      <c r="L1498" s="475"/>
      <c r="M1498" s="224"/>
      <c r="N1498" s="224"/>
      <c r="O1498" s="314" t="s">
        <v>2392</v>
      </c>
    </row>
    <row r="1499" spans="1:15" ht="18.75" customHeight="1" x14ac:dyDescent="0.3">
      <c r="A1499" s="2402">
        <v>1493</v>
      </c>
      <c r="B1499" s="1122" t="s">
        <v>2435</v>
      </c>
      <c r="C1499" s="216" t="s">
        <v>1344</v>
      </c>
      <c r="D1499" s="416" t="s">
        <v>1146</v>
      </c>
      <c r="E1499" s="217" t="s">
        <v>2537</v>
      </c>
      <c r="F1499" s="218" t="s">
        <v>2437</v>
      </c>
      <c r="G1499" s="116">
        <v>2780</v>
      </c>
      <c r="H1499" s="1776" t="s">
        <v>1349</v>
      </c>
      <c r="I1499" s="34" t="s">
        <v>25</v>
      </c>
      <c r="J1499" s="224"/>
      <c r="K1499" s="147"/>
      <c r="L1499" s="475"/>
      <c r="M1499" s="224"/>
      <c r="N1499" s="224"/>
      <c r="O1499" s="314" t="s">
        <v>2392</v>
      </c>
    </row>
    <row r="1500" spans="1:15" ht="18.75" customHeight="1" x14ac:dyDescent="0.3">
      <c r="A1500" s="2402">
        <v>1494</v>
      </c>
      <c r="B1500" s="1122" t="s">
        <v>2435</v>
      </c>
      <c r="C1500" s="216" t="s">
        <v>1344</v>
      </c>
      <c r="D1500" s="452" t="s">
        <v>1146</v>
      </c>
      <c r="E1500" s="217" t="s">
        <v>2538</v>
      </c>
      <c r="F1500" s="218" t="s">
        <v>2437</v>
      </c>
      <c r="G1500" s="116">
        <v>2780</v>
      </c>
      <c r="H1500" s="1776" t="s">
        <v>1349</v>
      </c>
      <c r="I1500" s="34" t="s">
        <v>25</v>
      </c>
      <c r="J1500" s="224"/>
      <c r="K1500" s="147"/>
      <c r="L1500" s="475"/>
      <c r="M1500" s="224"/>
      <c r="N1500" s="224"/>
      <c r="O1500" s="314" t="s">
        <v>2392</v>
      </c>
    </row>
    <row r="1501" spans="1:15" ht="18.75" customHeight="1" x14ac:dyDescent="0.3">
      <c r="A1501" s="2402">
        <v>1495</v>
      </c>
      <c r="B1501" s="1122" t="s">
        <v>2435</v>
      </c>
      <c r="C1501" s="216" t="s">
        <v>1344</v>
      </c>
      <c r="D1501" s="793" t="s">
        <v>1146</v>
      </c>
      <c r="E1501" s="217" t="s">
        <v>2539</v>
      </c>
      <c r="F1501" s="218" t="s">
        <v>2437</v>
      </c>
      <c r="G1501" s="116">
        <v>2780</v>
      </c>
      <c r="H1501" s="1776" t="s">
        <v>1349</v>
      </c>
      <c r="I1501" s="34" t="s">
        <v>25</v>
      </c>
      <c r="J1501" s="224"/>
      <c r="K1501" s="147"/>
      <c r="L1501" s="475"/>
      <c r="M1501" s="224"/>
      <c r="N1501" s="224"/>
      <c r="O1501" s="314" t="s">
        <v>2540</v>
      </c>
    </row>
    <row r="1502" spans="1:15" ht="18.75" customHeight="1" x14ac:dyDescent="0.3">
      <c r="A1502" s="2401">
        <v>1496</v>
      </c>
      <c r="B1502" s="1122" t="s">
        <v>2541</v>
      </c>
      <c r="C1502" s="216" t="s">
        <v>1344</v>
      </c>
      <c r="D1502" s="416" t="s">
        <v>1146</v>
      </c>
      <c r="E1502" s="217" t="s">
        <v>2542</v>
      </c>
      <c r="F1502" s="218" t="s">
        <v>2437</v>
      </c>
      <c r="G1502" s="116">
        <v>1260</v>
      </c>
      <c r="H1502" s="1776" t="s">
        <v>1349</v>
      </c>
      <c r="I1502" s="34" t="s">
        <v>25</v>
      </c>
      <c r="J1502" s="224"/>
      <c r="K1502" s="147"/>
      <c r="L1502" s="475"/>
      <c r="M1502" s="224"/>
      <c r="N1502" s="224"/>
      <c r="O1502" s="314" t="s">
        <v>2543</v>
      </c>
    </row>
    <row r="1503" spans="1:15" ht="18.75" customHeight="1" x14ac:dyDescent="0.3">
      <c r="A1503" s="2402">
        <v>1497</v>
      </c>
      <c r="B1503" s="1122" t="s">
        <v>2541</v>
      </c>
      <c r="C1503" s="216" t="s">
        <v>1344</v>
      </c>
      <c r="D1503" s="416" t="s">
        <v>1146</v>
      </c>
      <c r="E1503" s="217" t="s">
        <v>2544</v>
      </c>
      <c r="F1503" s="218" t="s">
        <v>2437</v>
      </c>
      <c r="G1503" s="116">
        <v>1260</v>
      </c>
      <c r="H1503" s="1776" t="s">
        <v>1349</v>
      </c>
      <c r="I1503" s="34" t="s">
        <v>25</v>
      </c>
      <c r="J1503" s="224"/>
      <c r="K1503" s="147"/>
      <c r="L1503" s="475"/>
      <c r="M1503" s="224"/>
      <c r="N1503" s="224"/>
      <c r="O1503" s="314" t="s">
        <v>2545</v>
      </c>
    </row>
    <row r="1504" spans="1:15" ht="18.75" customHeight="1" x14ac:dyDescent="0.3">
      <c r="A1504" s="2402">
        <v>1498</v>
      </c>
      <c r="B1504" s="1122" t="s">
        <v>2541</v>
      </c>
      <c r="C1504" s="216" t="s">
        <v>1344</v>
      </c>
      <c r="D1504" s="416" t="s">
        <v>1146</v>
      </c>
      <c r="E1504" s="217" t="s">
        <v>2546</v>
      </c>
      <c r="F1504" s="218" t="s">
        <v>2437</v>
      </c>
      <c r="G1504" s="116">
        <v>1260</v>
      </c>
      <c r="H1504" s="1776" t="s">
        <v>1349</v>
      </c>
      <c r="I1504" s="34" t="s">
        <v>25</v>
      </c>
      <c r="J1504" s="224"/>
      <c r="K1504" s="147"/>
      <c r="L1504" s="475"/>
      <c r="M1504" s="224"/>
      <c r="N1504" s="224"/>
      <c r="O1504" s="314" t="s">
        <v>2547</v>
      </c>
    </row>
    <row r="1505" spans="1:15" ht="18.75" customHeight="1" x14ac:dyDescent="0.3">
      <c r="A1505" s="2401">
        <v>1499</v>
      </c>
      <c r="B1505" s="1122" t="s">
        <v>2541</v>
      </c>
      <c r="C1505" s="216" t="s">
        <v>1344</v>
      </c>
      <c r="D1505" s="416" t="s">
        <v>1146</v>
      </c>
      <c r="E1505" s="217" t="s">
        <v>2548</v>
      </c>
      <c r="F1505" s="218" t="s">
        <v>2437</v>
      </c>
      <c r="G1505" s="116">
        <v>1260</v>
      </c>
      <c r="H1505" s="1776" t="s">
        <v>1349</v>
      </c>
      <c r="I1505" s="34" t="s">
        <v>25</v>
      </c>
      <c r="J1505" s="224"/>
      <c r="K1505" s="147"/>
      <c r="L1505" s="475"/>
      <c r="M1505" s="224"/>
      <c r="N1505" s="224"/>
      <c r="O1505" s="314" t="s">
        <v>2549</v>
      </c>
    </row>
    <row r="1506" spans="1:15" ht="18.75" customHeight="1" x14ac:dyDescent="0.3">
      <c r="A1506" s="2402">
        <v>1500</v>
      </c>
      <c r="B1506" s="1122" t="s">
        <v>2541</v>
      </c>
      <c r="C1506" s="216" t="s">
        <v>1344</v>
      </c>
      <c r="D1506" s="416" t="s">
        <v>1146</v>
      </c>
      <c r="E1506" s="217" t="s">
        <v>2550</v>
      </c>
      <c r="F1506" s="218" t="s">
        <v>2437</v>
      </c>
      <c r="G1506" s="116">
        <v>1260</v>
      </c>
      <c r="H1506" s="1776" t="s">
        <v>1349</v>
      </c>
      <c r="I1506" s="34" t="s">
        <v>25</v>
      </c>
      <c r="J1506" s="224"/>
      <c r="K1506" s="147"/>
      <c r="L1506" s="475"/>
      <c r="M1506" s="224"/>
      <c r="N1506" s="224"/>
      <c r="O1506" s="314" t="s">
        <v>2551</v>
      </c>
    </row>
    <row r="1507" spans="1:15" ht="18.75" customHeight="1" x14ac:dyDescent="0.3">
      <c r="A1507" s="2402">
        <v>1501</v>
      </c>
      <c r="B1507" s="1122" t="s">
        <v>2541</v>
      </c>
      <c r="C1507" s="216" t="s">
        <v>1344</v>
      </c>
      <c r="D1507" s="416" t="s">
        <v>1146</v>
      </c>
      <c r="E1507" s="217" t="s">
        <v>2552</v>
      </c>
      <c r="F1507" s="218" t="s">
        <v>2437</v>
      </c>
      <c r="G1507" s="116">
        <v>1260</v>
      </c>
      <c r="H1507" s="1776" t="s">
        <v>1349</v>
      </c>
      <c r="I1507" s="34" t="s">
        <v>25</v>
      </c>
      <c r="J1507" s="224"/>
      <c r="K1507" s="147"/>
      <c r="L1507" s="475"/>
      <c r="M1507" s="224"/>
      <c r="N1507" s="224"/>
      <c r="O1507" s="314" t="s">
        <v>2553</v>
      </c>
    </row>
    <row r="1508" spans="1:15" ht="18.75" customHeight="1" x14ac:dyDescent="0.3">
      <c r="A1508" s="2402">
        <v>1502</v>
      </c>
      <c r="B1508" s="1122" t="s">
        <v>2541</v>
      </c>
      <c r="C1508" s="216" t="s">
        <v>1344</v>
      </c>
      <c r="D1508" s="416" t="s">
        <v>1146</v>
      </c>
      <c r="E1508" s="217" t="s">
        <v>2554</v>
      </c>
      <c r="F1508" s="218" t="s">
        <v>2437</v>
      </c>
      <c r="G1508" s="116">
        <v>1260</v>
      </c>
      <c r="H1508" s="1776" t="s">
        <v>1349</v>
      </c>
      <c r="I1508" s="34" t="s">
        <v>25</v>
      </c>
      <c r="J1508" s="224"/>
      <c r="K1508" s="147"/>
      <c r="L1508" s="475"/>
      <c r="M1508" s="224"/>
      <c r="N1508" s="224"/>
      <c r="O1508" s="314" t="s">
        <v>2555</v>
      </c>
    </row>
    <row r="1509" spans="1:15" ht="18.75" customHeight="1" x14ac:dyDescent="0.3">
      <c r="A1509" s="2402">
        <v>1503</v>
      </c>
      <c r="B1509" s="1122" t="s">
        <v>2541</v>
      </c>
      <c r="C1509" s="216" t="s">
        <v>1344</v>
      </c>
      <c r="D1509" s="416" t="s">
        <v>1146</v>
      </c>
      <c r="E1509" s="217" t="s">
        <v>2556</v>
      </c>
      <c r="F1509" s="218" t="s">
        <v>2437</v>
      </c>
      <c r="G1509" s="116">
        <v>1260</v>
      </c>
      <c r="H1509" s="1776" t="s">
        <v>1349</v>
      </c>
      <c r="I1509" s="34" t="s">
        <v>25</v>
      </c>
      <c r="J1509" s="224"/>
      <c r="K1509" s="147"/>
      <c r="L1509" s="475"/>
      <c r="M1509" s="224"/>
      <c r="N1509" s="224"/>
      <c r="O1509" s="314" t="s">
        <v>2557</v>
      </c>
    </row>
    <row r="1510" spans="1:15" ht="18.75" customHeight="1" x14ac:dyDescent="0.3">
      <c r="A1510" s="2401">
        <v>1504</v>
      </c>
      <c r="B1510" s="1122" t="s">
        <v>2541</v>
      </c>
      <c r="C1510" s="216" t="s">
        <v>1344</v>
      </c>
      <c r="D1510" s="416" t="s">
        <v>1146</v>
      </c>
      <c r="E1510" s="217" t="s">
        <v>2558</v>
      </c>
      <c r="F1510" s="218" t="s">
        <v>2437</v>
      </c>
      <c r="G1510" s="116">
        <v>1260</v>
      </c>
      <c r="H1510" s="1776" t="s">
        <v>1349</v>
      </c>
      <c r="I1510" s="34" t="s">
        <v>25</v>
      </c>
      <c r="J1510" s="224"/>
      <c r="K1510" s="147"/>
      <c r="L1510" s="475"/>
      <c r="M1510" s="224"/>
      <c r="N1510" s="224"/>
      <c r="O1510" s="314" t="s">
        <v>2559</v>
      </c>
    </row>
    <row r="1511" spans="1:15" ht="18.75" customHeight="1" x14ac:dyDescent="0.3">
      <c r="A1511" s="2402">
        <v>1505</v>
      </c>
      <c r="B1511" s="1122" t="s">
        <v>2541</v>
      </c>
      <c r="C1511" s="216" t="s">
        <v>1344</v>
      </c>
      <c r="D1511" s="416" t="s">
        <v>1146</v>
      </c>
      <c r="E1511" s="217" t="s">
        <v>2560</v>
      </c>
      <c r="F1511" s="218" t="s">
        <v>2437</v>
      </c>
      <c r="G1511" s="116">
        <v>1260</v>
      </c>
      <c r="H1511" s="1776" t="s">
        <v>1349</v>
      </c>
      <c r="I1511" s="34" t="s">
        <v>25</v>
      </c>
      <c r="J1511" s="224"/>
      <c r="K1511" s="147"/>
      <c r="L1511" s="475"/>
      <c r="M1511" s="224"/>
      <c r="N1511" s="224"/>
      <c r="O1511" s="314" t="s">
        <v>2561</v>
      </c>
    </row>
    <row r="1512" spans="1:15" ht="18.75" customHeight="1" x14ac:dyDescent="0.3">
      <c r="A1512" s="2402">
        <v>1506</v>
      </c>
      <c r="B1512" s="1122" t="s">
        <v>2541</v>
      </c>
      <c r="C1512" s="216" t="s">
        <v>1344</v>
      </c>
      <c r="D1512" s="416" t="s">
        <v>1146</v>
      </c>
      <c r="E1512" s="217" t="s">
        <v>2562</v>
      </c>
      <c r="F1512" s="218" t="s">
        <v>2437</v>
      </c>
      <c r="G1512" s="116">
        <v>1260</v>
      </c>
      <c r="H1512" s="1776" t="s">
        <v>1349</v>
      </c>
      <c r="I1512" s="34" t="s">
        <v>25</v>
      </c>
      <c r="J1512" s="224"/>
      <c r="K1512" s="147"/>
      <c r="L1512" s="475"/>
      <c r="M1512" s="224"/>
      <c r="N1512" s="224"/>
      <c r="O1512" s="314" t="s">
        <v>2563</v>
      </c>
    </row>
    <row r="1513" spans="1:15" ht="18.75" customHeight="1" x14ac:dyDescent="0.3">
      <c r="A1513" s="2401">
        <v>1507</v>
      </c>
      <c r="B1513" s="1122" t="s">
        <v>2541</v>
      </c>
      <c r="C1513" s="216" t="s">
        <v>1344</v>
      </c>
      <c r="D1513" s="452" t="s">
        <v>1146</v>
      </c>
      <c r="E1513" s="217" t="s">
        <v>2564</v>
      </c>
      <c r="F1513" s="218" t="s">
        <v>2437</v>
      </c>
      <c r="G1513" s="116">
        <v>1260</v>
      </c>
      <c r="H1513" s="1776" t="s">
        <v>1349</v>
      </c>
      <c r="I1513" s="34" t="s">
        <v>25</v>
      </c>
      <c r="J1513" s="224"/>
      <c r="K1513" s="147"/>
      <c r="L1513" s="475"/>
      <c r="M1513" s="224"/>
      <c r="N1513" s="224"/>
      <c r="O1513" s="314" t="s">
        <v>2565</v>
      </c>
    </row>
    <row r="1514" spans="1:15" ht="18.75" customHeight="1" x14ac:dyDescent="0.3">
      <c r="A1514" s="2402">
        <v>1508</v>
      </c>
      <c r="B1514" s="1122" t="s">
        <v>2541</v>
      </c>
      <c r="C1514" s="216" t="s">
        <v>1344</v>
      </c>
      <c r="D1514" s="495" t="s">
        <v>1146</v>
      </c>
      <c r="E1514" s="217" t="s">
        <v>2566</v>
      </c>
      <c r="F1514" s="218" t="s">
        <v>2437</v>
      </c>
      <c r="G1514" s="116">
        <v>1260</v>
      </c>
      <c r="H1514" s="1776" t="s">
        <v>1349</v>
      </c>
      <c r="I1514" s="34" t="s">
        <v>25</v>
      </c>
      <c r="J1514" s="224"/>
      <c r="K1514" s="147"/>
      <c r="L1514" s="475"/>
      <c r="M1514" s="224"/>
      <c r="N1514" s="224"/>
      <c r="O1514" s="314" t="s">
        <v>2567</v>
      </c>
    </row>
    <row r="1515" spans="1:15" ht="18.75" customHeight="1" x14ac:dyDescent="0.3">
      <c r="A1515" s="2402">
        <v>1509</v>
      </c>
      <c r="B1515" s="1122" t="s">
        <v>2541</v>
      </c>
      <c r="C1515" s="216" t="s">
        <v>1344</v>
      </c>
      <c r="D1515" s="793" t="s">
        <v>1146</v>
      </c>
      <c r="E1515" s="217" t="s">
        <v>2568</v>
      </c>
      <c r="F1515" s="218" t="s">
        <v>2437</v>
      </c>
      <c r="G1515" s="116">
        <v>1260</v>
      </c>
      <c r="H1515" s="1776" t="s">
        <v>1349</v>
      </c>
      <c r="I1515" s="34" t="s">
        <v>25</v>
      </c>
      <c r="J1515" s="224"/>
      <c r="K1515" s="147"/>
      <c r="L1515" s="475"/>
      <c r="M1515" s="224"/>
      <c r="N1515" s="224"/>
      <c r="O1515" s="314" t="s">
        <v>2569</v>
      </c>
    </row>
    <row r="1516" spans="1:15" ht="18.75" customHeight="1" x14ac:dyDescent="0.3">
      <c r="A1516" s="2402">
        <v>1510</v>
      </c>
      <c r="B1516" s="1122" t="s">
        <v>2541</v>
      </c>
      <c r="C1516" s="216" t="s">
        <v>1344</v>
      </c>
      <c r="D1516" s="416" t="s">
        <v>1146</v>
      </c>
      <c r="E1516" s="217" t="s">
        <v>2570</v>
      </c>
      <c r="F1516" s="218" t="s">
        <v>2437</v>
      </c>
      <c r="G1516" s="116">
        <v>1260</v>
      </c>
      <c r="H1516" s="1776" t="s">
        <v>1349</v>
      </c>
      <c r="I1516" s="34" t="s">
        <v>25</v>
      </c>
      <c r="J1516" s="224"/>
      <c r="K1516" s="147"/>
      <c r="L1516" s="475"/>
      <c r="M1516" s="224"/>
      <c r="N1516" s="224"/>
      <c r="O1516" s="314" t="s">
        <v>2549</v>
      </c>
    </row>
    <row r="1517" spans="1:15" ht="18.75" customHeight="1" x14ac:dyDescent="0.3">
      <c r="A1517" s="2402">
        <v>1511</v>
      </c>
      <c r="B1517" s="1122" t="s">
        <v>2541</v>
      </c>
      <c r="C1517" s="216" t="s">
        <v>1344</v>
      </c>
      <c r="D1517" s="416" t="s">
        <v>1146</v>
      </c>
      <c r="E1517" s="217" t="s">
        <v>2571</v>
      </c>
      <c r="F1517" s="218" t="s">
        <v>2437</v>
      </c>
      <c r="G1517" s="116">
        <v>1260</v>
      </c>
      <c r="H1517" s="1776" t="s">
        <v>1349</v>
      </c>
      <c r="I1517" s="34" t="s">
        <v>25</v>
      </c>
      <c r="J1517" s="224"/>
      <c r="K1517" s="147"/>
      <c r="L1517" s="475"/>
      <c r="M1517" s="224"/>
      <c r="N1517" s="224"/>
      <c r="O1517" s="314" t="s">
        <v>2549</v>
      </c>
    </row>
    <row r="1518" spans="1:15" ht="18.75" customHeight="1" x14ac:dyDescent="0.3">
      <c r="A1518" s="2401">
        <v>1512</v>
      </c>
      <c r="B1518" s="1122" t="s">
        <v>2541</v>
      </c>
      <c r="C1518" s="216" t="s">
        <v>1344</v>
      </c>
      <c r="D1518" s="416" t="s">
        <v>1146</v>
      </c>
      <c r="E1518" s="217" t="s">
        <v>2572</v>
      </c>
      <c r="F1518" s="218" t="s">
        <v>2437</v>
      </c>
      <c r="G1518" s="116">
        <v>1260</v>
      </c>
      <c r="H1518" s="1776" t="s">
        <v>1349</v>
      </c>
      <c r="I1518" s="34" t="s">
        <v>25</v>
      </c>
      <c r="J1518" s="224"/>
      <c r="K1518" s="147"/>
      <c r="L1518" s="475"/>
      <c r="M1518" s="224"/>
      <c r="N1518" s="224"/>
      <c r="O1518" s="314" t="s">
        <v>2573</v>
      </c>
    </row>
    <row r="1519" spans="1:15" ht="18.75" customHeight="1" x14ac:dyDescent="0.3">
      <c r="A1519" s="2402">
        <v>1513</v>
      </c>
      <c r="B1519" s="1122" t="s">
        <v>2541</v>
      </c>
      <c r="C1519" s="216" t="s">
        <v>1344</v>
      </c>
      <c r="D1519" s="416" t="s">
        <v>1146</v>
      </c>
      <c r="E1519" s="217" t="s">
        <v>2574</v>
      </c>
      <c r="F1519" s="218" t="s">
        <v>2437</v>
      </c>
      <c r="G1519" s="116">
        <v>1260</v>
      </c>
      <c r="H1519" s="1776" t="s">
        <v>1349</v>
      </c>
      <c r="I1519" s="34" t="s">
        <v>25</v>
      </c>
      <c r="J1519" s="224"/>
      <c r="K1519" s="147"/>
      <c r="L1519" s="475"/>
      <c r="M1519" s="224"/>
      <c r="N1519" s="224"/>
      <c r="O1519" s="314" t="s">
        <v>2575</v>
      </c>
    </row>
    <row r="1520" spans="1:15" ht="18.75" customHeight="1" x14ac:dyDescent="0.3">
      <c r="A1520" s="2402">
        <v>1514</v>
      </c>
      <c r="B1520" s="1122" t="s">
        <v>2541</v>
      </c>
      <c r="C1520" s="216" t="s">
        <v>1344</v>
      </c>
      <c r="D1520" s="416" t="s">
        <v>1146</v>
      </c>
      <c r="E1520" s="217" t="s">
        <v>2576</v>
      </c>
      <c r="F1520" s="218" t="s">
        <v>2437</v>
      </c>
      <c r="G1520" s="116">
        <v>1260</v>
      </c>
      <c r="H1520" s="1776" t="s">
        <v>1349</v>
      </c>
      <c r="I1520" s="34" t="s">
        <v>25</v>
      </c>
      <c r="J1520" s="224"/>
      <c r="K1520" s="147"/>
      <c r="L1520" s="475"/>
      <c r="M1520" s="224"/>
      <c r="N1520" s="224"/>
      <c r="O1520" s="314" t="s">
        <v>2577</v>
      </c>
    </row>
    <row r="1521" spans="1:15" ht="18.75" customHeight="1" x14ac:dyDescent="0.3">
      <c r="A1521" s="2401">
        <v>1515</v>
      </c>
      <c r="B1521" s="1122" t="s">
        <v>2541</v>
      </c>
      <c r="C1521" s="216" t="s">
        <v>1344</v>
      </c>
      <c r="D1521" s="416" t="s">
        <v>1146</v>
      </c>
      <c r="E1521" s="217" t="s">
        <v>2578</v>
      </c>
      <c r="F1521" s="218" t="s">
        <v>2437</v>
      </c>
      <c r="G1521" s="116">
        <v>1260</v>
      </c>
      <c r="H1521" s="1776" t="s">
        <v>1349</v>
      </c>
      <c r="I1521" s="34" t="s">
        <v>25</v>
      </c>
      <c r="J1521" s="224"/>
      <c r="K1521" s="147"/>
      <c r="L1521" s="475"/>
      <c r="M1521" s="224"/>
      <c r="N1521" s="224"/>
      <c r="O1521" s="314" t="s">
        <v>2579</v>
      </c>
    </row>
    <row r="1522" spans="1:15" ht="18.75" customHeight="1" x14ac:dyDescent="0.3">
      <c r="A1522" s="2402">
        <v>1516</v>
      </c>
      <c r="B1522" s="1122" t="s">
        <v>2541</v>
      </c>
      <c r="C1522" s="216" t="s">
        <v>1344</v>
      </c>
      <c r="D1522" s="416" t="s">
        <v>1146</v>
      </c>
      <c r="E1522" s="217" t="s">
        <v>2580</v>
      </c>
      <c r="F1522" s="218" t="s">
        <v>2437</v>
      </c>
      <c r="G1522" s="116">
        <v>1260</v>
      </c>
      <c r="H1522" s="1776" t="s">
        <v>1349</v>
      </c>
      <c r="I1522" s="34" t="s">
        <v>25</v>
      </c>
      <c r="J1522" s="224"/>
      <c r="K1522" s="147"/>
      <c r="L1522" s="475"/>
      <c r="M1522" s="224"/>
      <c r="N1522" s="224"/>
      <c r="O1522" s="314" t="s">
        <v>2581</v>
      </c>
    </row>
    <row r="1523" spans="1:15" ht="18.75" customHeight="1" x14ac:dyDescent="0.3">
      <c r="A1523" s="2402">
        <v>1517</v>
      </c>
      <c r="B1523" s="1122" t="s">
        <v>2541</v>
      </c>
      <c r="C1523" s="216" t="s">
        <v>1344</v>
      </c>
      <c r="D1523" s="416" t="s">
        <v>1146</v>
      </c>
      <c r="E1523" s="217" t="s">
        <v>2582</v>
      </c>
      <c r="F1523" s="218" t="s">
        <v>2437</v>
      </c>
      <c r="G1523" s="116">
        <v>1260</v>
      </c>
      <c r="H1523" s="1776" t="s">
        <v>1349</v>
      </c>
      <c r="I1523" s="34" t="s">
        <v>25</v>
      </c>
      <c r="J1523" s="224"/>
      <c r="K1523" s="147"/>
      <c r="L1523" s="475"/>
      <c r="M1523" s="224"/>
      <c r="N1523" s="224"/>
      <c r="O1523" s="314" t="s">
        <v>2583</v>
      </c>
    </row>
    <row r="1524" spans="1:15" ht="18.75" customHeight="1" x14ac:dyDescent="0.3">
      <c r="A1524" s="2402">
        <v>1518</v>
      </c>
      <c r="B1524" s="1122" t="s">
        <v>2541</v>
      </c>
      <c r="C1524" s="216" t="s">
        <v>1344</v>
      </c>
      <c r="D1524" s="416" t="s">
        <v>1146</v>
      </c>
      <c r="E1524" s="217" t="s">
        <v>2584</v>
      </c>
      <c r="F1524" s="218" t="s">
        <v>2437</v>
      </c>
      <c r="G1524" s="116">
        <v>1260</v>
      </c>
      <c r="H1524" s="1776" t="s">
        <v>1349</v>
      </c>
      <c r="I1524" s="34" t="s">
        <v>25</v>
      </c>
      <c r="J1524" s="224"/>
      <c r="K1524" s="147"/>
      <c r="L1524" s="475"/>
      <c r="M1524" s="224"/>
      <c r="N1524" s="224"/>
      <c r="O1524" s="314" t="s">
        <v>2585</v>
      </c>
    </row>
    <row r="1525" spans="1:15" ht="18.75" customHeight="1" x14ac:dyDescent="0.3">
      <c r="A1525" s="2402">
        <v>1519</v>
      </c>
      <c r="B1525" s="1122" t="s">
        <v>2541</v>
      </c>
      <c r="C1525" s="216" t="s">
        <v>1344</v>
      </c>
      <c r="D1525" s="416" t="s">
        <v>1146</v>
      </c>
      <c r="E1525" s="217" t="s">
        <v>2586</v>
      </c>
      <c r="F1525" s="218" t="s">
        <v>2437</v>
      </c>
      <c r="G1525" s="116">
        <v>1260</v>
      </c>
      <c r="H1525" s="1776" t="s">
        <v>1349</v>
      </c>
      <c r="I1525" s="34" t="s">
        <v>25</v>
      </c>
      <c r="J1525" s="224"/>
      <c r="K1525" s="147"/>
      <c r="L1525" s="475"/>
      <c r="M1525" s="224"/>
      <c r="N1525" s="224"/>
      <c r="O1525" s="314" t="s">
        <v>2587</v>
      </c>
    </row>
    <row r="1526" spans="1:15" ht="18.75" customHeight="1" x14ac:dyDescent="0.3">
      <c r="A1526" s="2401">
        <v>1520</v>
      </c>
      <c r="B1526" s="1122" t="s">
        <v>2541</v>
      </c>
      <c r="C1526" s="216" t="s">
        <v>1344</v>
      </c>
      <c r="D1526" s="416" t="s">
        <v>1146</v>
      </c>
      <c r="E1526" s="217" t="s">
        <v>2588</v>
      </c>
      <c r="F1526" s="218" t="s">
        <v>2437</v>
      </c>
      <c r="G1526" s="116">
        <v>1260</v>
      </c>
      <c r="H1526" s="1776" t="s">
        <v>1349</v>
      </c>
      <c r="I1526" s="34" t="s">
        <v>25</v>
      </c>
      <c r="J1526" s="224"/>
      <c r="K1526" s="147"/>
      <c r="L1526" s="475"/>
      <c r="M1526" s="224"/>
      <c r="N1526" s="224"/>
      <c r="O1526" s="314" t="s">
        <v>2589</v>
      </c>
    </row>
    <row r="1527" spans="1:15" ht="18.75" customHeight="1" x14ac:dyDescent="0.3">
      <c r="A1527" s="2402">
        <v>1521</v>
      </c>
      <c r="B1527" s="1122" t="s">
        <v>2541</v>
      </c>
      <c r="C1527" s="216" t="s">
        <v>1344</v>
      </c>
      <c r="D1527" s="416" t="s">
        <v>1146</v>
      </c>
      <c r="E1527" s="217" t="s">
        <v>2590</v>
      </c>
      <c r="F1527" s="218" t="s">
        <v>2437</v>
      </c>
      <c r="G1527" s="116">
        <v>1260</v>
      </c>
      <c r="H1527" s="1776" t="s">
        <v>1349</v>
      </c>
      <c r="I1527" s="34" t="s">
        <v>25</v>
      </c>
      <c r="J1527" s="224"/>
      <c r="K1527" s="147"/>
      <c r="L1527" s="475"/>
      <c r="M1527" s="224"/>
      <c r="N1527" s="224"/>
      <c r="O1527" s="314" t="s">
        <v>2589</v>
      </c>
    </row>
    <row r="1528" spans="1:15" ht="18.75" customHeight="1" x14ac:dyDescent="0.3">
      <c r="A1528" s="2402">
        <v>1522</v>
      </c>
      <c r="B1528" s="1122" t="s">
        <v>2541</v>
      </c>
      <c r="C1528" s="216" t="s">
        <v>1344</v>
      </c>
      <c r="D1528" s="416" t="s">
        <v>1146</v>
      </c>
      <c r="E1528" s="217" t="s">
        <v>2591</v>
      </c>
      <c r="F1528" s="218" t="s">
        <v>2437</v>
      </c>
      <c r="G1528" s="116">
        <v>1260</v>
      </c>
      <c r="H1528" s="1776" t="s">
        <v>1349</v>
      </c>
      <c r="I1528" s="34" t="s">
        <v>25</v>
      </c>
      <c r="J1528" s="224"/>
      <c r="K1528" s="147"/>
      <c r="L1528" s="475"/>
      <c r="M1528" s="224"/>
      <c r="N1528" s="224"/>
      <c r="O1528" s="314" t="s">
        <v>2592</v>
      </c>
    </row>
    <row r="1529" spans="1:15" ht="18.75" customHeight="1" x14ac:dyDescent="0.3">
      <c r="A1529" s="2401">
        <v>1523</v>
      </c>
      <c r="B1529" s="1122" t="s">
        <v>2541</v>
      </c>
      <c r="C1529" s="216" t="s">
        <v>1344</v>
      </c>
      <c r="D1529" s="416" t="s">
        <v>1146</v>
      </c>
      <c r="E1529" s="217" t="s">
        <v>2593</v>
      </c>
      <c r="F1529" s="218" t="s">
        <v>2437</v>
      </c>
      <c r="G1529" s="116">
        <v>1260</v>
      </c>
      <c r="H1529" s="1776" t="s">
        <v>1349</v>
      </c>
      <c r="I1529" s="34" t="s">
        <v>25</v>
      </c>
      <c r="J1529" s="224"/>
      <c r="K1529" s="147"/>
      <c r="L1529" s="475"/>
      <c r="M1529" s="224"/>
      <c r="N1529" s="224"/>
      <c r="O1529" s="314" t="s">
        <v>2594</v>
      </c>
    </row>
    <row r="1530" spans="1:15" ht="18.75" customHeight="1" x14ac:dyDescent="0.3">
      <c r="A1530" s="2402">
        <v>1524</v>
      </c>
      <c r="B1530" s="1122" t="s">
        <v>2541</v>
      </c>
      <c r="C1530" s="216" t="s">
        <v>1344</v>
      </c>
      <c r="D1530" s="416" t="s">
        <v>1146</v>
      </c>
      <c r="E1530" s="217" t="s">
        <v>2595</v>
      </c>
      <c r="F1530" s="218" t="s">
        <v>2437</v>
      </c>
      <c r="G1530" s="116">
        <v>1260</v>
      </c>
      <c r="H1530" s="1776" t="s">
        <v>1349</v>
      </c>
      <c r="I1530" s="34" t="s">
        <v>25</v>
      </c>
      <c r="J1530" s="224"/>
      <c r="K1530" s="147"/>
      <c r="L1530" s="475"/>
      <c r="M1530" s="224"/>
      <c r="N1530" s="224"/>
      <c r="O1530" s="314" t="s">
        <v>2596</v>
      </c>
    </row>
    <row r="1531" spans="1:15" ht="18.75" customHeight="1" x14ac:dyDescent="0.3">
      <c r="A1531" s="2402">
        <v>1525</v>
      </c>
      <c r="B1531" s="1122" t="s">
        <v>2541</v>
      </c>
      <c r="C1531" s="1117" t="s">
        <v>1344</v>
      </c>
      <c r="D1531" s="416" t="s">
        <v>1146</v>
      </c>
      <c r="E1531" s="217" t="s">
        <v>2597</v>
      </c>
      <c r="F1531" s="218" t="s">
        <v>2437</v>
      </c>
      <c r="G1531" s="116">
        <v>1260</v>
      </c>
      <c r="H1531" s="1776" t="s">
        <v>1349</v>
      </c>
      <c r="I1531" s="34" t="s">
        <v>25</v>
      </c>
      <c r="J1531" s="224"/>
      <c r="K1531" s="147"/>
      <c r="L1531" s="475"/>
      <c r="M1531" s="224"/>
      <c r="N1531" s="224"/>
      <c r="O1531" s="314" t="s">
        <v>2598</v>
      </c>
    </row>
    <row r="1532" spans="1:15" ht="18.75" customHeight="1" x14ac:dyDescent="0.3">
      <c r="A1532" s="2402">
        <v>1526</v>
      </c>
      <c r="B1532" s="1122" t="s">
        <v>2541</v>
      </c>
      <c r="C1532" s="1117" t="s">
        <v>1344</v>
      </c>
      <c r="D1532" s="452" t="s">
        <v>1146</v>
      </c>
      <c r="E1532" s="217" t="s">
        <v>2599</v>
      </c>
      <c r="F1532" s="218" t="s">
        <v>2437</v>
      </c>
      <c r="G1532" s="116">
        <v>1260</v>
      </c>
      <c r="H1532" s="1776" t="s">
        <v>1349</v>
      </c>
      <c r="I1532" s="34" t="s">
        <v>25</v>
      </c>
      <c r="J1532" s="224"/>
      <c r="K1532" s="147"/>
      <c r="L1532" s="475"/>
      <c r="M1532" s="224"/>
      <c r="N1532" s="224"/>
      <c r="O1532" s="314" t="s">
        <v>2600</v>
      </c>
    </row>
    <row r="1533" spans="1:15" ht="18.75" customHeight="1" x14ac:dyDescent="0.3">
      <c r="A1533" s="2402">
        <v>1527</v>
      </c>
      <c r="B1533" s="1122" t="s">
        <v>2541</v>
      </c>
      <c r="C1533" s="1117" t="s">
        <v>1344</v>
      </c>
      <c r="D1533" s="793" t="s">
        <v>1146</v>
      </c>
      <c r="E1533" s="217" t="s">
        <v>2601</v>
      </c>
      <c r="F1533" s="218" t="s">
        <v>2437</v>
      </c>
      <c r="G1533" s="116">
        <v>1260</v>
      </c>
      <c r="H1533" s="1776" t="s">
        <v>1349</v>
      </c>
      <c r="I1533" s="34" t="s">
        <v>25</v>
      </c>
      <c r="J1533" s="224"/>
      <c r="K1533" s="147"/>
      <c r="L1533" s="475"/>
      <c r="M1533" s="224"/>
      <c r="N1533" s="224"/>
      <c r="O1533" s="314" t="s">
        <v>2602</v>
      </c>
    </row>
    <row r="1534" spans="1:15" ht="18.75" customHeight="1" x14ac:dyDescent="0.3">
      <c r="A1534" s="2401">
        <v>1528</v>
      </c>
      <c r="B1534" s="1122" t="s">
        <v>2541</v>
      </c>
      <c r="C1534" s="1117" t="s">
        <v>1344</v>
      </c>
      <c r="D1534" s="416" t="s">
        <v>1146</v>
      </c>
      <c r="E1534" s="217" t="s">
        <v>2603</v>
      </c>
      <c r="F1534" s="218" t="s">
        <v>2437</v>
      </c>
      <c r="G1534" s="116">
        <v>1260</v>
      </c>
      <c r="H1534" s="1776" t="s">
        <v>1349</v>
      </c>
      <c r="I1534" s="34" t="s">
        <v>25</v>
      </c>
      <c r="J1534" s="224"/>
      <c r="K1534" s="147"/>
      <c r="L1534" s="475"/>
      <c r="M1534" s="224"/>
      <c r="N1534" s="224"/>
      <c r="O1534" s="314" t="s">
        <v>2392</v>
      </c>
    </row>
    <row r="1535" spans="1:15" ht="18.75" customHeight="1" x14ac:dyDescent="0.3">
      <c r="A1535" s="2402">
        <v>1529</v>
      </c>
      <c r="B1535" s="1122" t="s">
        <v>2541</v>
      </c>
      <c r="C1535" s="1117" t="s">
        <v>1344</v>
      </c>
      <c r="D1535" s="416" t="s">
        <v>1146</v>
      </c>
      <c r="E1535" s="217" t="s">
        <v>2604</v>
      </c>
      <c r="F1535" s="218" t="s">
        <v>2437</v>
      </c>
      <c r="G1535" s="116">
        <v>1260</v>
      </c>
      <c r="H1535" s="1776" t="s">
        <v>1349</v>
      </c>
      <c r="I1535" s="34" t="s">
        <v>25</v>
      </c>
      <c r="J1535" s="224"/>
      <c r="K1535" s="147"/>
      <c r="L1535" s="475"/>
      <c r="M1535" s="224"/>
      <c r="N1535" s="224"/>
      <c r="O1535" s="314" t="s">
        <v>2605</v>
      </c>
    </row>
    <row r="1536" spans="1:15" ht="18.75" customHeight="1" x14ac:dyDescent="0.3">
      <c r="A1536" s="2402">
        <v>1530</v>
      </c>
      <c r="B1536" s="1122" t="s">
        <v>2541</v>
      </c>
      <c r="C1536" s="1117" t="s">
        <v>1344</v>
      </c>
      <c r="D1536" s="416" t="s">
        <v>1146</v>
      </c>
      <c r="E1536" s="217" t="s">
        <v>2606</v>
      </c>
      <c r="F1536" s="218" t="s">
        <v>2437</v>
      </c>
      <c r="G1536" s="116">
        <v>1260</v>
      </c>
      <c r="H1536" s="1776" t="s">
        <v>1349</v>
      </c>
      <c r="I1536" s="34" t="s">
        <v>25</v>
      </c>
      <c r="J1536" s="224"/>
      <c r="K1536" s="147"/>
      <c r="L1536" s="475"/>
      <c r="M1536" s="224"/>
      <c r="N1536" s="224"/>
      <c r="O1536" s="314" t="s">
        <v>2392</v>
      </c>
    </row>
    <row r="1537" spans="1:15" ht="18.75" customHeight="1" x14ac:dyDescent="0.3">
      <c r="A1537" s="2401">
        <v>1531</v>
      </c>
      <c r="B1537" s="1122" t="s">
        <v>2541</v>
      </c>
      <c r="C1537" s="1117" t="s">
        <v>1344</v>
      </c>
      <c r="D1537" s="416" t="s">
        <v>1146</v>
      </c>
      <c r="E1537" s="217" t="s">
        <v>2607</v>
      </c>
      <c r="F1537" s="218" t="s">
        <v>2437</v>
      </c>
      <c r="G1537" s="116">
        <v>1260</v>
      </c>
      <c r="H1537" s="1776" t="s">
        <v>1349</v>
      </c>
      <c r="I1537" s="34" t="s">
        <v>25</v>
      </c>
      <c r="J1537" s="224"/>
      <c r="K1537" s="147"/>
      <c r="L1537" s="475"/>
      <c r="M1537" s="224"/>
      <c r="N1537" s="224"/>
      <c r="O1537" s="314" t="s">
        <v>2608</v>
      </c>
    </row>
    <row r="1538" spans="1:15" ht="18.75" customHeight="1" x14ac:dyDescent="0.3">
      <c r="A1538" s="2402">
        <v>1532</v>
      </c>
      <c r="B1538" s="1122" t="s">
        <v>2541</v>
      </c>
      <c r="C1538" s="1117" t="s">
        <v>1344</v>
      </c>
      <c r="D1538" s="416" t="s">
        <v>1146</v>
      </c>
      <c r="E1538" s="217" t="s">
        <v>2609</v>
      </c>
      <c r="F1538" s="218" t="s">
        <v>2437</v>
      </c>
      <c r="G1538" s="116">
        <v>1260</v>
      </c>
      <c r="H1538" s="1776" t="s">
        <v>1349</v>
      </c>
      <c r="I1538" s="34" t="s">
        <v>25</v>
      </c>
      <c r="J1538" s="224"/>
      <c r="K1538" s="147"/>
      <c r="L1538" s="475"/>
      <c r="M1538" s="224"/>
      <c r="N1538" s="224"/>
      <c r="O1538" s="314" t="s">
        <v>2610</v>
      </c>
    </row>
    <row r="1539" spans="1:15" ht="18.75" customHeight="1" x14ac:dyDescent="0.3">
      <c r="A1539" s="2402">
        <v>1533</v>
      </c>
      <c r="B1539" s="1122" t="s">
        <v>2541</v>
      </c>
      <c r="C1539" s="1117" t="s">
        <v>1344</v>
      </c>
      <c r="D1539" s="416" t="s">
        <v>1146</v>
      </c>
      <c r="E1539" s="217" t="s">
        <v>2611</v>
      </c>
      <c r="F1539" s="218" t="s">
        <v>2437</v>
      </c>
      <c r="G1539" s="116">
        <v>1260</v>
      </c>
      <c r="H1539" s="1776" t="s">
        <v>1349</v>
      </c>
      <c r="I1539" s="34" t="s">
        <v>25</v>
      </c>
      <c r="J1539" s="224"/>
      <c r="K1539" s="147"/>
      <c r="L1539" s="475"/>
      <c r="M1539" s="224"/>
      <c r="N1539" s="224"/>
      <c r="O1539" s="314" t="s">
        <v>2612</v>
      </c>
    </row>
    <row r="1540" spans="1:15" ht="18.75" customHeight="1" x14ac:dyDescent="0.3">
      <c r="A1540" s="2402">
        <v>1534</v>
      </c>
      <c r="B1540" s="1122" t="s">
        <v>2541</v>
      </c>
      <c r="C1540" s="1117" t="s">
        <v>1344</v>
      </c>
      <c r="D1540" s="416" t="s">
        <v>1146</v>
      </c>
      <c r="E1540" s="217" t="s">
        <v>2613</v>
      </c>
      <c r="F1540" s="218" t="s">
        <v>2437</v>
      </c>
      <c r="G1540" s="116">
        <v>1260</v>
      </c>
      <c r="H1540" s="1776" t="s">
        <v>1349</v>
      </c>
      <c r="I1540" s="34" t="s">
        <v>25</v>
      </c>
      <c r="J1540" s="224"/>
      <c r="K1540" s="147"/>
      <c r="L1540" s="475"/>
      <c r="M1540" s="224"/>
      <c r="N1540" s="224"/>
      <c r="O1540" s="314" t="s">
        <v>2614</v>
      </c>
    </row>
    <row r="1541" spans="1:15" ht="18.75" customHeight="1" x14ac:dyDescent="0.3">
      <c r="A1541" s="2402">
        <v>1535</v>
      </c>
      <c r="B1541" s="1122" t="s">
        <v>2541</v>
      </c>
      <c r="C1541" s="1117" t="s">
        <v>1344</v>
      </c>
      <c r="D1541" s="416" t="s">
        <v>1146</v>
      </c>
      <c r="E1541" s="217" t="s">
        <v>2615</v>
      </c>
      <c r="F1541" s="218" t="s">
        <v>2437</v>
      </c>
      <c r="G1541" s="116">
        <v>1260</v>
      </c>
      <c r="H1541" s="1776" t="s">
        <v>1349</v>
      </c>
      <c r="I1541" s="34" t="s">
        <v>25</v>
      </c>
      <c r="J1541" s="224"/>
      <c r="K1541" s="147"/>
      <c r="L1541" s="475"/>
      <c r="M1541" s="224"/>
      <c r="N1541" s="224"/>
      <c r="O1541" s="314" t="s">
        <v>2616</v>
      </c>
    </row>
    <row r="1542" spans="1:15" ht="18.75" customHeight="1" x14ac:dyDescent="0.3">
      <c r="A1542" s="2401">
        <v>1536</v>
      </c>
      <c r="B1542" s="1122" t="s">
        <v>2541</v>
      </c>
      <c r="C1542" s="1117" t="s">
        <v>1344</v>
      </c>
      <c r="D1542" s="416" t="s">
        <v>1146</v>
      </c>
      <c r="E1542" s="217" t="s">
        <v>2617</v>
      </c>
      <c r="F1542" s="218" t="s">
        <v>2437</v>
      </c>
      <c r="G1542" s="116">
        <v>1260</v>
      </c>
      <c r="H1542" s="1776" t="s">
        <v>1349</v>
      </c>
      <c r="I1542" s="34" t="s">
        <v>25</v>
      </c>
      <c r="J1542" s="224"/>
      <c r="K1542" s="147"/>
      <c r="L1542" s="475"/>
      <c r="M1542" s="224"/>
      <c r="N1542" s="224"/>
      <c r="O1542" s="314" t="s">
        <v>2618</v>
      </c>
    </row>
    <row r="1543" spans="1:15" ht="18.75" customHeight="1" x14ac:dyDescent="0.3">
      <c r="A1543" s="2402">
        <v>1537</v>
      </c>
      <c r="B1543" s="1122" t="s">
        <v>2541</v>
      </c>
      <c r="C1543" s="1117" t="s">
        <v>1344</v>
      </c>
      <c r="D1543" s="416" t="s">
        <v>1146</v>
      </c>
      <c r="E1543" s="217" t="s">
        <v>2619</v>
      </c>
      <c r="F1543" s="218" t="s">
        <v>2437</v>
      </c>
      <c r="G1543" s="116">
        <v>1260</v>
      </c>
      <c r="H1543" s="1776" t="s">
        <v>1349</v>
      </c>
      <c r="I1543" s="34" t="s">
        <v>25</v>
      </c>
      <c r="J1543" s="224"/>
      <c r="K1543" s="147"/>
      <c r="L1543" s="475"/>
      <c r="M1543" s="224"/>
      <c r="N1543" s="224"/>
      <c r="O1543" s="314" t="s">
        <v>2392</v>
      </c>
    </row>
    <row r="1544" spans="1:15" ht="18.75" customHeight="1" x14ac:dyDescent="0.3">
      <c r="A1544" s="2402">
        <v>1538</v>
      </c>
      <c r="B1544" s="1122" t="s">
        <v>2541</v>
      </c>
      <c r="C1544" s="1117" t="s">
        <v>1344</v>
      </c>
      <c r="D1544" s="416" t="s">
        <v>1146</v>
      </c>
      <c r="E1544" s="217" t="s">
        <v>2620</v>
      </c>
      <c r="F1544" s="218" t="s">
        <v>2437</v>
      </c>
      <c r="G1544" s="116">
        <v>1260</v>
      </c>
      <c r="H1544" s="1776" t="s">
        <v>1349</v>
      </c>
      <c r="I1544" s="34" t="s">
        <v>25</v>
      </c>
      <c r="J1544" s="224"/>
      <c r="K1544" s="147"/>
      <c r="L1544" s="475"/>
      <c r="M1544" s="224"/>
      <c r="N1544" s="224"/>
      <c r="O1544" s="314" t="s">
        <v>2621</v>
      </c>
    </row>
    <row r="1545" spans="1:15" ht="18.75" customHeight="1" x14ac:dyDescent="0.3">
      <c r="A1545" s="2401">
        <v>1539</v>
      </c>
      <c r="B1545" s="1122" t="s">
        <v>2541</v>
      </c>
      <c r="C1545" s="1117" t="s">
        <v>1344</v>
      </c>
      <c r="D1545" s="452" t="s">
        <v>1146</v>
      </c>
      <c r="E1545" s="217" t="s">
        <v>2622</v>
      </c>
      <c r="F1545" s="218" t="s">
        <v>2437</v>
      </c>
      <c r="G1545" s="116">
        <v>1260</v>
      </c>
      <c r="H1545" s="1776" t="s">
        <v>1349</v>
      </c>
      <c r="I1545" s="34" t="s">
        <v>25</v>
      </c>
      <c r="J1545" s="224"/>
      <c r="K1545" s="147"/>
      <c r="L1545" s="475"/>
      <c r="M1545" s="224"/>
      <c r="N1545" s="224"/>
      <c r="O1545" s="314" t="s">
        <v>2392</v>
      </c>
    </row>
    <row r="1546" spans="1:15" ht="18.75" customHeight="1" x14ac:dyDescent="0.3">
      <c r="A1546" s="2402">
        <v>1540</v>
      </c>
      <c r="B1546" s="1122" t="s">
        <v>2541</v>
      </c>
      <c r="C1546" s="1117" t="s">
        <v>1344</v>
      </c>
      <c r="D1546" s="793" t="s">
        <v>1146</v>
      </c>
      <c r="E1546" s="217" t="s">
        <v>2623</v>
      </c>
      <c r="F1546" s="218" t="s">
        <v>2437</v>
      </c>
      <c r="G1546" s="116">
        <v>1260</v>
      </c>
      <c r="H1546" s="1776" t="s">
        <v>1349</v>
      </c>
      <c r="I1546" s="34" t="s">
        <v>25</v>
      </c>
      <c r="J1546" s="224"/>
      <c r="K1546" s="147"/>
      <c r="L1546" s="475"/>
      <c r="M1546" s="224"/>
      <c r="N1546" s="224"/>
      <c r="O1546" s="314" t="s">
        <v>2624</v>
      </c>
    </row>
    <row r="1547" spans="1:15" ht="18.75" customHeight="1" x14ac:dyDescent="0.3">
      <c r="A1547" s="2402">
        <v>1541</v>
      </c>
      <c r="B1547" s="1122" t="s">
        <v>2541</v>
      </c>
      <c r="C1547" s="1117" t="s">
        <v>1344</v>
      </c>
      <c r="D1547" s="416" t="s">
        <v>1146</v>
      </c>
      <c r="E1547" s="217" t="s">
        <v>2625</v>
      </c>
      <c r="F1547" s="218" t="s">
        <v>2437</v>
      </c>
      <c r="G1547" s="116">
        <v>1260</v>
      </c>
      <c r="H1547" s="1776" t="s">
        <v>1349</v>
      </c>
      <c r="I1547" s="34" t="s">
        <v>25</v>
      </c>
      <c r="J1547" s="224"/>
      <c r="K1547" s="147"/>
      <c r="L1547" s="475"/>
      <c r="M1547" s="224"/>
      <c r="N1547" s="224"/>
      <c r="O1547" s="314" t="s">
        <v>2626</v>
      </c>
    </row>
    <row r="1548" spans="1:15" ht="18.75" customHeight="1" x14ac:dyDescent="0.3">
      <c r="A1548" s="2402">
        <v>1542</v>
      </c>
      <c r="B1548" s="1122" t="s">
        <v>2541</v>
      </c>
      <c r="C1548" s="216" t="s">
        <v>1344</v>
      </c>
      <c r="D1548" s="416" t="s">
        <v>1146</v>
      </c>
      <c r="E1548" s="217" t="s">
        <v>2627</v>
      </c>
      <c r="F1548" s="218" t="s">
        <v>2437</v>
      </c>
      <c r="G1548" s="116">
        <v>1260</v>
      </c>
      <c r="H1548" s="1776" t="s">
        <v>1349</v>
      </c>
      <c r="I1548" s="34" t="s">
        <v>25</v>
      </c>
      <c r="J1548" s="224"/>
      <c r="K1548" s="147"/>
      <c r="L1548" s="475"/>
      <c r="M1548" s="224"/>
      <c r="N1548" s="224"/>
      <c r="O1548" s="314" t="s">
        <v>2628</v>
      </c>
    </row>
    <row r="1549" spans="1:15" ht="18.75" customHeight="1" x14ac:dyDescent="0.3">
      <c r="A1549" s="2402">
        <v>1543</v>
      </c>
      <c r="B1549" s="1122" t="s">
        <v>2541</v>
      </c>
      <c r="C1549" s="216" t="s">
        <v>1344</v>
      </c>
      <c r="D1549" s="416" t="s">
        <v>1146</v>
      </c>
      <c r="E1549" s="217" t="s">
        <v>2629</v>
      </c>
      <c r="F1549" s="218" t="s">
        <v>2437</v>
      </c>
      <c r="G1549" s="116">
        <v>1260</v>
      </c>
      <c r="H1549" s="1776" t="s">
        <v>1349</v>
      </c>
      <c r="I1549" s="34" t="s">
        <v>25</v>
      </c>
      <c r="J1549" s="224"/>
      <c r="K1549" s="147"/>
      <c r="L1549" s="475"/>
      <c r="M1549" s="224"/>
      <c r="N1549" s="224"/>
      <c r="O1549" s="314" t="s">
        <v>2630</v>
      </c>
    </row>
    <row r="1550" spans="1:15" ht="18.75" customHeight="1" x14ac:dyDescent="0.3">
      <c r="A1550" s="2401">
        <v>1544</v>
      </c>
      <c r="B1550" s="1122" t="s">
        <v>2541</v>
      </c>
      <c r="C1550" s="216" t="s">
        <v>1344</v>
      </c>
      <c r="D1550" s="416" t="s">
        <v>1146</v>
      </c>
      <c r="E1550" s="217" t="s">
        <v>2631</v>
      </c>
      <c r="F1550" s="218" t="s">
        <v>2437</v>
      </c>
      <c r="G1550" s="116">
        <v>1260</v>
      </c>
      <c r="H1550" s="1776" t="s">
        <v>1349</v>
      </c>
      <c r="I1550" s="34" t="s">
        <v>25</v>
      </c>
      <c r="J1550" s="224"/>
      <c r="K1550" s="147"/>
      <c r="L1550" s="475"/>
      <c r="M1550" s="224"/>
      <c r="N1550" s="224"/>
      <c r="O1550" s="314" t="s">
        <v>2632</v>
      </c>
    </row>
    <row r="1551" spans="1:15" ht="18.75" customHeight="1" x14ac:dyDescent="0.3">
      <c r="A1551" s="2402">
        <v>1545</v>
      </c>
      <c r="B1551" s="1122" t="s">
        <v>2541</v>
      </c>
      <c r="C1551" s="216" t="s">
        <v>1344</v>
      </c>
      <c r="D1551" s="416" t="s">
        <v>1146</v>
      </c>
      <c r="E1551" s="217" t="s">
        <v>2633</v>
      </c>
      <c r="F1551" s="218" t="s">
        <v>2437</v>
      </c>
      <c r="G1551" s="116">
        <v>1260</v>
      </c>
      <c r="H1551" s="1776" t="s">
        <v>1349</v>
      </c>
      <c r="I1551" s="34" t="s">
        <v>25</v>
      </c>
      <c r="J1551" s="224"/>
      <c r="K1551" s="147"/>
      <c r="L1551" s="475"/>
      <c r="M1551" s="224"/>
      <c r="N1551" s="224"/>
      <c r="O1551" s="314" t="s">
        <v>2634</v>
      </c>
    </row>
    <row r="1552" spans="1:15" ht="18.75" customHeight="1" x14ac:dyDescent="0.3">
      <c r="A1552" s="2402">
        <v>1546</v>
      </c>
      <c r="B1552" s="1122" t="s">
        <v>2541</v>
      </c>
      <c r="C1552" s="216" t="s">
        <v>1344</v>
      </c>
      <c r="D1552" s="416" t="s">
        <v>1146</v>
      </c>
      <c r="E1552" s="217" t="s">
        <v>2635</v>
      </c>
      <c r="F1552" s="218" t="s">
        <v>2437</v>
      </c>
      <c r="G1552" s="116">
        <v>1260</v>
      </c>
      <c r="H1552" s="1776" t="s">
        <v>1349</v>
      </c>
      <c r="I1552" s="34" t="s">
        <v>25</v>
      </c>
      <c r="J1552" s="224"/>
      <c r="K1552" s="147"/>
      <c r="L1552" s="475"/>
      <c r="M1552" s="224"/>
      <c r="N1552" s="224"/>
      <c r="O1552" s="314" t="s">
        <v>2392</v>
      </c>
    </row>
    <row r="1553" spans="1:15" ht="18.75" customHeight="1" x14ac:dyDescent="0.3">
      <c r="A1553" s="2401">
        <v>1547</v>
      </c>
      <c r="B1553" s="1122" t="s">
        <v>2541</v>
      </c>
      <c r="C1553" s="216" t="s">
        <v>1344</v>
      </c>
      <c r="D1553" s="416" t="s">
        <v>1146</v>
      </c>
      <c r="E1553" s="217" t="s">
        <v>2636</v>
      </c>
      <c r="F1553" s="218" t="s">
        <v>2437</v>
      </c>
      <c r="G1553" s="116">
        <v>1260</v>
      </c>
      <c r="H1553" s="1776" t="s">
        <v>1349</v>
      </c>
      <c r="I1553" s="34" t="s">
        <v>25</v>
      </c>
      <c r="J1553" s="224"/>
      <c r="K1553" s="147"/>
      <c r="L1553" s="475"/>
      <c r="M1553" s="224"/>
      <c r="N1553" s="224"/>
      <c r="O1553" s="314" t="s">
        <v>2392</v>
      </c>
    </row>
    <row r="1554" spans="1:15" ht="18.75" customHeight="1" x14ac:dyDescent="0.3">
      <c r="A1554" s="2402">
        <v>1548</v>
      </c>
      <c r="B1554" s="1122" t="s">
        <v>2541</v>
      </c>
      <c r="C1554" s="216" t="s">
        <v>1344</v>
      </c>
      <c r="D1554" s="416" t="s">
        <v>1146</v>
      </c>
      <c r="E1554" s="217" t="s">
        <v>2637</v>
      </c>
      <c r="F1554" s="218" t="s">
        <v>2437</v>
      </c>
      <c r="G1554" s="116">
        <v>1260</v>
      </c>
      <c r="H1554" s="1776" t="s">
        <v>1349</v>
      </c>
      <c r="I1554" s="34" t="s">
        <v>25</v>
      </c>
      <c r="J1554" s="224"/>
      <c r="K1554" s="147"/>
      <c r="L1554" s="475"/>
      <c r="M1554" s="224"/>
      <c r="N1554" s="224"/>
      <c r="O1554" s="314" t="s">
        <v>2392</v>
      </c>
    </row>
    <row r="1555" spans="1:15" ht="18.75" customHeight="1" x14ac:dyDescent="0.3">
      <c r="A1555" s="2402">
        <v>1549</v>
      </c>
      <c r="B1555" s="1122" t="s">
        <v>2541</v>
      </c>
      <c r="C1555" s="216" t="s">
        <v>1344</v>
      </c>
      <c r="D1555" s="416" t="s">
        <v>1146</v>
      </c>
      <c r="E1555" s="217" t="s">
        <v>2638</v>
      </c>
      <c r="F1555" s="218" t="s">
        <v>2437</v>
      </c>
      <c r="G1555" s="116">
        <v>1260</v>
      </c>
      <c r="H1555" s="1776" t="s">
        <v>1349</v>
      </c>
      <c r="I1555" s="34" t="s">
        <v>25</v>
      </c>
      <c r="J1555" s="224"/>
      <c r="K1555" s="147"/>
      <c r="L1555" s="475"/>
      <c r="M1555" s="224"/>
      <c r="N1555" s="224"/>
      <c r="O1555" s="314" t="s">
        <v>2639</v>
      </c>
    </row>
    <row r="1556" spans="1:15" ht="18.75" customHeight="1" x14ac:dyDescent="0.3">
      <c r="A1556" s="2402">
        <v>1550</v>
      </c>
      <c r="B1556" s="1122" t="s">
        <v>2541</v>
      </c>
      <c r="C1556" s="216" t="s">
        <v>1344</v>
      </c>
      <c r="D1556" s="416" t="s">
        <v>1146</v>
      </c>
      <c r="E1556" s="217" t="s">
        <v>2640</v>
      </c>
      <c r="F1556" s="218" t="s">
        <v>2437</v>
      </c>
      <c r="G1556" s="116">
        <v>1260</v>
      </c>
      <c r="H1556" s="1776" t="s">
        <v>1349</v>
      </c>
      <c r="I1556" s="34" t="s">
        <v>25</v>
      </c>
      <c r="J1556" s="224"/>
      <c r="K1556" s="147"/>
      <c r="L1556" s="475"/>
      <c r="M1556" s="224"/>
      <c r="N1556" s="224"/>
      <c r="O1556" s="314" t="s">
        <v>2641</v>
      </c>
    </row>
    <row r="1557" spans="1:15" ht="18.75" customHeight="1" x14ac:dyDescent="0.3">
      <c r="A1557" s="2402">
        <v>1551</v>
      </c>
      <c r="B1557" s="1122" t="s">
        <v>2541</v>
      </c>
      <c r="C1557" s="216" t="s">
        <v>1344</v>
      </c>
      <c r="D1557" s="416" t="s">
        <v>1146</v>
      </c>
      <c r="E1557" s="217" t="s">
        <v>2642</v>
      </c>
      <c r="F1557" s="218" t="s">
        <v>2437</v>
      </c>
      <c r="G1557" s="116">
        <v>1260</v>
      </c>
      <c r="H1557" s="1776" t="s">
        <v>1349</v>
      </c>
      <c r="I1557" s="34" t="s">
        <v>25</v>
      </c>
      <c r="J1557" s="224"/>
      <c r="K1557" s="147"/>
      <c r="L1557" s="475"/>
      <c r="M1557" s="224"/>
      <c r="N1557" s="224"/>
      <c r="O1557" s="314" t="s">
        <v>2392</v>
      </c>
    </row>
    <row r="1558" spans="1:15" ht="18.75" customHeight="1" x14ac:dyDescent="0.3">
      <c r="A1558" s="2401">
        <v>1552</v>
      </c>
      <c r="B1558" s="1122" t="s">
        <v>2541</v>
      </c>
      <c r="C1558" s="216" t="s">
        <v>1344</v>
      </c>
      <c r="D1558" s="416" t="s">
        <v>1146</v>
      </c>
      <c r="E1558" s="217" t="s">
        <v>2643</v>
      </c>
      <c r="F1558" s="218" t="s">
        <v>2437</v>
      </c>
      <c r="G1558" s="116">
        <v>1260</v>
      </c>
      <c r="H1558" s="1776" t="s">
        <v>1349</v>
      </c>
      <c r="I1558" s="34" t="s">
        <v>25</v>
      </c>
      <c r="J1558" s="224"/>
      <c r="K1558" s="147"/>
      <c r="L1558" s="475"/>
      <c r="M1558" s="224"/>
      <c r="N1558" s="224"/>
      <c r="O1558" s="314" t="s">
        <v>2644</v>
      </c>
    </row>
    <row r="1559" spans="1:15" ht="18.75" customHeight="1" x14ac:dyDescent="0.3">
      <c r="A1559" s="2402">
        <v>1553</v>
      </c>
      <c r="B1559" s="1122" t="s">
        <v>2541</v>
      </c>
      <c r="C1559" s="216" t="s">
        <v>1344</v>
      </c>
      <c r="D1559" s="416" t="s">
        <v>1146</v>
      </c>
      <c r="E1559" s="217" t="s">
        <v>2645</v>
      </c>
      <c r="F1559" s="218" t="s">
        <v>2437</v>
      </c>
      <c r="G1559" s="116">
        <v>1260</v>
      </c>
      <c r="H1559" s="1776" t="s">
        <v>1349</v>
      </c>
      <c r="I1559" s="34" t="s">
        <v>25</v>
      </c>
      <c r="J1559" s="224"/>
      <c r="K1559" s="147"/>
      <c r="L1559" s="475"/>
      <c r="M1559" s="224"/>
      <c r="N1559" s="224"/>
      <c r="O1559" s="314" t="s">
        <v>2392</v>
      </c>
    </row>
    <row r="1560" spans="1:15" ht="18.75" customHeight="1" x14ac:dyDescent="0.3">
      <c r="A1560" s="2402">
        <v>1554</v>
      </c>
      <c r="B1560" s="1122" t="s">
        <v>2541</v>
      </c>
      <c r="C1560" s="216" t="s">
        <v>1344</v>
      </c>
      <c r="D1560" s="452" t="s">
        <v>1146</v>
      </c>
      <c r="E1560" s="217" t="s">
        <v>2646</v>
      </c>
      <c r="F1560" s="218" t="s">
        <v>2437</v>
      </c>
      <c r="G1560" s="116">
        <v>1260</v>
      </c>
      <c r="H1560" s="1776" t="s">
        <v>1349</v>
      </c>
      <c r="I1560" s="34" t="s">
        <v>25</v>
      </c>
      <c r="J1560" s="224"/>
      <c r="K1560" s="147"/>
      <c r="L1560" s="475"/>
      <c r="M1560" s="224"/>
      <c r="N1560" s="224"/>
      <c r="O1560" s="314" t="s">
        <v>2647</v>
      </c>
    </row>
    <row r="1561" spans="1:15" ht="18.75" customHeight="1" x14ac:dyDescent="0.3">
      <c r="A1561" s="2401">
        <v>1555</v>
      </c>
      <c r="B1561" s="1122" t="s">
        <v>2541</v>
      </c>
      <c r="C1561" s="216" t="s">
        <v>1344</v>
      </c>
      <c r="D1561" s="495" t="s">
        <v>1146</v>
      </c>
      <c r="E1561" s="217" t="s">
        <v>2648</v>
      </c>
      <c r="F1561" s="218" t="s">
        <v>2437</v>
      </c>
      <c r="G1561" s="116">
        <v>1260</v>
      </c>
      <c r="H1561" s="1776" t="s">
        <v>1349</v>
      </c>
      <c r="I1561" s="34" t="s">
        <v>25</v>
      </c>
      <c r="J1561" s="224"/>
      <c r="K1561" s="147"/>
      <c r="L1561" s="475"/>
      <c r="M1561" s="224"/>
      <c r="N1561" s="224"/>
      <c r="O1561" s="314" t="s">
        <v>2392</v>
      </c>
    </row>
    <row r="1562" spans="1:15" ht="18.75" customHeight="1" x14ac:dyDescent="0.3">
      <c r="A1562" s="2402">
        <v>1556</v>
      </c>
      <c r="B1562" s="1122" t="s">
        <v>2541</v>
      </c>
      <c r="C1562" s="216" t="s">
        <v>1344</v>
      </c>
      <c r="D1562" s="793" t="s">
        <v>1146</v>
      </c>
      <c r="E1562" s="217" t="s">
        <v>2649</v>
      </c>
      <c r="F1562" s="218" t="s">
        <v>2437</v>
      </c>
      <c r="G1562" s="116">
        <v>1260</v>
      </c>
      <c r="H1562" s="1776" t="s">
        <v>1349</v>
      </c>
      <c r="I1562" s="34" t="s">
        <v>25</v>
      </c>
      <c r="J1562" s="224"/>
      <c r="K1562" s="147"/>
      <c r="L1562" s="475"/>
      <c r="M1562" s="224"/>
      <c r="N1562" s="224"/>
      <c r="O1562" s="314" t="s">
        <v>2650</v>
      </c>
    </row>
    <row r="1563" spans="1:15" ht="18.75" customHeight="1" x14ac:dyDescent="0.3">
      <c r="A1563" s="2402">
        <v>1557</v>
      </c>
      <c r="B1563" s="1122" t="s">
        <v>2541</v>
      </c>
      <c r="C1563" s="216" t="s">
        <v>1344</v>
      </c>
      <c r="D1563" s="416" t="s">
        <v>1146</v>
      </c>
      <c r="E1563" s="217" t="s">
        <v>2651</v>
      </c>
      <c r="F1563" s="218" t="s">
        <v>2437</v>
      </c>
      <c r="G1563" s="116">
        <v>1260</v>
      </c>
      <c r="H1563" s="1776" t="s">
        <v>1349</v>
      </c>
      <c r="I1563" s="34" t="s">
        <v>25</v>
      </c>
      <c r="J1563" s="224"/>
      <c r="K1563" s="147"/>
      <c r="L1563" s="475"/>
      <c r="M1563" s="224"/>
      <c r="N1563" s="224"/>
      <c r="O1563" s="314" t="s">
        <v>2392</v>
      </c>
    </row>
    <row r="1564" spans="1:15" ht="18.75" customHeight="1" x14ac:dyDescent="0.3">
      <c r="A1564" s="2402">
        <v>1558</v>
      </c>
      <c r="B1564" s="1122" t="s">
        <v>2541</v>
      </c>
      <c r="C1564" s="216" t="s">
        <v>1344</v>
      </c>
      <c r="D1564" s="416" t="s">
        <v>1146</v>
      </c>
      <c r="E1564" s="217" t="s">
        <v>2652</v>
      </c>
      <c r="F1564" s="218" t="s">
        <v>2437</v>
      </c>
      <c r="G1564" s="116">
        <v>1260</v>
      </c>
      <c r="H1564" s="1776" t="s">
        <v>1349</v>
      </c>
      <c r="I1564" s="34" t="s">
        <v>25</v>
      </c>
      <c r="J1564" s="224"/>
      <c r="K1564" s="147"/>
      <c r="L1564" s="475"/>
      <c r="M1564" s="224"/>
      <c r="N1564" s="224"/>
      <c r="O1564" s="314" t="s">
        <v>2653</v>
      </c>
    </row>
    <row r="1565" spans="1:15" ht="18.75" customHeight="1" x14ac:dyDescent="0.3">
      <c r="A1565" s="2402">
        <v>1559</v>
      </c>
      <c r="B1565" s="1122" t="s">
        <v>2541</v>
      </c>
      <c r="C1565" s="216" t="s">
        <v>1344</v>
      </c>
      <c r="D1565" s="416" t="s">
        <v>1146</v>
      </c>
      <c r="E1565" s="217" t="s">
        <v>2654</v>
      </c>
      <c r="F1565" s="218" t="s">
        <v>2437</v>
      </c>
      <c r="G1565" s="116">
        <v>1260</v>
      </c>
      <c r="H1565" s="1776" t="s">
        <v>1349</v>
      </c>
      <c r="I1565" s="34" t="s">
        <v>25</v>
      </c>
      <c r="J1565" s="224"/>
      <c r="K1565" s="147"/>
      <c r="L1565" s="475"/>
      <c r="M1565" s="224"/>
      <c r="N1565" s="224"/>
      <c r="O1565" s="314" t="s">
        <v>2655</v>
      </c>
    </row>
    <row r="1566" spans="1:15" ht="18.75" customHeight="1" x14ac:dyDescent="0.3">
      <c r="A1566" s="2401">
        <v>1560</v>
      </c>
      <c r="B1566" s="1122" t="s">
        <v>2541</v>
      </c>
      <c r="C1566" s="216" t="s">
        <v>1344</v>
      </c>
      <c r="D1566" s="416" t="s">
        <v>1146</v>
      </c>
      <c r="E1566" s="217" t="s">
        <v>2656</v>
      </c>
      <c r="F1566" s="218" t="s">
        <v>2437</v>
      </c>
      <c r="G1566" s="116">
        <v>1260</v>
      </c>
      <c r="H1566" s="1776" t="s">
        <v>1349</v>
      </c>
      <c r="I1566" s="34" t="s">
        <v>25</v>
      </c>
      <c r="J1566" s="224"/>
      <c r="K1566" s="147"/>
      <c r="L1566" s="475"/>
      <c r="M1566" s="224"/>
      <c r="N1566" s="224"/>
      <c r="O1566" s="314" t="s">
        <v>2657</v>
      </c>
    </row>
    <row r="1567" spans="1:15" ht="18.75" customHeight="1" x14ac:dyDescent="0.3">
      <c r="A1567" s="2402">
        <v>1561</v>
      </c>
      <c r="B1567" s="1122" t="s">
        <v>2541</v>
      </c>
      <c r="C1567" s="216" t="s">
        <v>1344</v>
      </c>
      <c r="D1567" s="416" t="s">
        <v>1146</v>
      </c>
      <c r="E1567" s="217" t="s">
        <v>2658</v>
      </c>
      <c r="F1567" s="218" t="s">
        <v>2437</v>
      </c>
      <c r="G1567" s="116">
        <v>1260</v>
      </c>
      <c r="H1567" s="1776" t="s">
        <v>1349</v>
      </c>
      <c r="I1567" s="34" t="s">
        <v>25</v>
      </c>
      <c r="J1567" s="224"/>
      <c r="K1567" s="147"/>
      <c r="L1567" s="475"/>
      <c r="M1567" s="224"/>
      <c r="N1567" s="224"/>
      <c r="O1567" s="314" t="s">
        <v>2659</v>
      </c>
    </row>
    <row r="1568" spans="1:15" ht="18.75" customHeight="1" x14ac:dyDescent="0.3">
      <c r="A1568" s="2402">
        <v>1562</v>
      </c>
      <c r="B1568" s="1122" t="s">
        <v>2541</v>
      </c>
      <c r="C1568" s="216" t="s">
        <v>1344</v>
      </c>
      <c r="D1568" s="416" t="s">
        <v>1146</v>
      </c>
      <c r="E1568" s="217" t="s">
        <v>2660</v>
      </c>
      <c r="F1568" s="218" t="s">
        <v>2437</v>
      </c>
      <c r="G1568" s="116">
        <v>1260</v>
      </c>
      <c r="H1568" s="1776" t="s">
        <v>1349</v>
      </c>
      <c r="I1568" s="34" t="s">
        <v>25</v>
      </c>
      <c r="J1568" s="224"/>
      <c r="K1568" s="147"/>
      <c r="L1568" s="475"/>
      <c r="M1568" s="224"/>
      <c r="N1568" s="224"/>
      <c r="O1568" s="314" t="s">
        <v>2661</v>
      </c>
    </row>
    <row r="1569" spans="1:15" ht="18.75" customHeight="1" x14ac:dyDescent="0.3">
      <c r="A1569" s="2401">
        <v>1563</v>
      </c>
      <c r="B1569" s="1122" t="s">
        <v>2541</v>
      </c>
      <c r="C1569" s="216" t="s">
        <v>1344</v>
      </c>
      <c r="D1569" s="416" t="s">
        <v>1146</v>
      </c>
      <c r="E1569" s="217" t="s">
        <v>2662</v>
      </c>
      <c r="F1569" s="218" t="s">
        <v>2437</v>
      </c>
      <c r="G1569" s="116">
        <v>1260</v>
      </c>
      <c r="H1569" s="1776" t="s">
        <v>1349</v>
      </c>
      <c r="I1569" s="34" t="s">
        <v>25</v>
      </c>
      <c r="J1569" s="224"/>
      <c r="K1569" s="147"/>
      <c r="L1569" s="475"/>
      <c r="M1569" s="224"/>
      <c r="N1569" s="224"/>
      <c r="O1569" s="314" t="s">
        <v>2663</v>
      </c>
    </row>
    <row r="1570" spans="1:15" ht="18.75" customHeight="1" x14ac:dyDescent="0.3">
      <c r="A1570" s="2402">
        <v>1564</v>
      </c>
      <c r="B1570" s="1122" t="s">
        <v>2541</v>
      </c>
      <c r="C1570" s="216" t="s">
        <v>1344</v>
      </c>
      <c r="D1570" s="416" t="s">
        <v>1146</v>
      </c>
      <c r="E1570" s="217" t="s">
        <v>2664</v>
      </c>
      <c r="F1570" s="218" t="s">
        <v>2437</v>
      </c>
      <c r="G1570" s="116">
        <v>1260</v>
      </c>
      <c r="H1570" s="1776" t="s">
        <v>1349</v>
      </c>
      <c r="I1570" s="34" t="s">
        <v>25</v>
      </c>
      <c r="J1570" s="224"/>
      <c r="K1570" s="147"/>
      <c r="L1570" s="475"/>
      <c r="M1570" s="224"/>
      <c r="N1570" s="224"/>
      <c r="O1570" s="314" t="s">
        <v>2665</v>
      </c>
    </row>
    <row r="1571" spans="1:15" ht="18.75" customHeight="1" x14ac:dyDescent="0.3">
      <c r="A1571" s="2402">
        <v>1565</v>
      </c>
      <c r="B1571" s="1122" t="s">
        <v>2541</v>
      </c>
      <c r="C1571" s="216" t="s">
        <v>1344</v>
      </c>
      <c r="D1571" s="416" t="s">
        <v>1146</v>
      </c>
      <c r="E1571" s="217" t="s">
        <v>2666</v>
      </c>
      <c r="F1571" s="218" t="s">
        <v>2437</v>
      </c>
      <c r="G1571" s="116">
        <v>1260</v>
      </c>
      <c r="H1571" s="1776" t="s">
        <v>1349</v>
      </c>
      <c r="I1571" s="34" t="s">
        <v>25</v>
      </c>
      <c r="J1571" s="224"/>
      <c r="K1571" s="147"/>
      <c r="L1571" s="475"/>
      <c r="M1571" s="224"/>
      <c r="N1571" s="224"/>
      <c r="O1571" s="314" t="s">
        <v>2667</v>
      </c>
    </row>
    <row r="1572" spans="1:15" ht="18.75" customHeight="1" x14ac:dyDescent="0.3">
      <c r="A1572" s="2402">
        <v>1566</v>
      </c>
      <c r="B1572" s="1122" t="s">
        <v>2541</v>
      </c>
      <c r="C1572" s="216" t="s">
        <v>1344</v>
      </c>
      <c r="D1572" s="416" t="s">
        <v>1146</v>
      </c>
      <c r="E1572" s="217" t="s">
        <v>2668</v>
      </c>
      <c r="F1572" s="218" t="s">
        <v>2437</v>
      </c>
      <c r="G1572" s="116">
        <v>1260</v>
      </c>
      <c r="H1572" s="1776" t="s">
        <v>1349</v>
      </c>
      <c r="I1572" s="34" t="s">
        <v>25</v>
      </c>
      <c r="J1572" s="224"/>
      <c r="K1572" s="147"/>
      <c r="L1572" s="475"/>
      <c r="M1572" s="224"/>
      <c r="N1572" s="224"/>
      <c r="O1572" s="314" t="s">
        <v>2669</v>
      </c>
    </row>
    <row r="1573" spans="1:15" ht="18.75" customHeight="1" x14ac:dyDescent="0.3">
      <c r="A1573" s="2402">
        <v>1567</v>
      </c>
      <c r="B1573" s="1122" t="s">
        <v>2541</v>
      </c>
      <c r="C1573" s="216" t="s">
        <v>1344</v>
      </c>
      <c r="D1573" s="416" t="s">
        <v>1146</v>
      </c>
      <c r="E1573" s="217" t="s">
        <v>2670</v>
      </c>
      <c r="F1573" s="218" t="s">
        <v>2437</v>
      </c>
      <c r="G1573" s="116">
        <v>1260</v>
      </c>
      <c r="H1573" s="1776" t="s">
        <v>1349</v>
      </c>
      <c r="I1573" s="34" t="s">
        <v>25</v>
      </c>
      <c r="J1573" s="224"/>
      <c r="K1573" s="147"/>
      <c r="L1573" s="475"/>
      <c r="M1573" s="224"/>
      <c r="N1573" s="224"/>
      <c r="O1573" s="314" t="s">
        <v>2671</v>
      </c>
    </row>
    <row r="1574" spans="1:15" ht="18.75" customHeight="1" x14ac:dyDescent="0.3">
      <c r="A1574" s="2401">
        <v>1568</v>
      </c>
      <c r="B1574" s="1122" t="s">
        <v>2541</v>
      </c>
      <c r="C1574" s="216" t="s">
        <v>1344</v>
      </c>
      <c r="D1574" s="416" t="s">
        <v>1146</v>
      </c>
      <c r="E1574" s="217" t="s">
        <v>2672</v>
      </c>
      <c r="F1574" s="218" t="s">
        <v>2437</v>
      </c>
      <c r="G1574" s="116">
        <v>1260</v>
      </c>
      <c r="H1574" s="1776" t="s">
        <v>1349</v>
      </c>
      <c r="I1574" s="34" t="s">
        <v>25</v>
      </c>
      <c r="J1574" s="224"/>
      <c r="K1574" s="147"/>
      <c r="L1574" s="475"/>
      <c r="M1574" s="224"/>
      <c r="N1574" s="224"/>
      <c r="O1574" s="314" t="s">
        <v>2673</v>
      </c>
    </row>
    <row r="1575" spans="1:15" ht="18.75" customHeight="1" x14ac:dyDescent="0.3">
      <c r="A1575" s="2402">
        <v>1569</v>
      </c>
      <c r="B1575" s="1122" t="s">
        <v>2541</v>
      </c>
      <c r="C1575" s="216" t="s">
        <v>1344</v>
      </c>
      <c r="D1575" s="416" t="s">
        <v>1146</v>
      </c>
      <c r="E1575" s="217" t="s">
        <v>2674</v>
      </c>
      <c r="F1575" s="218" t="s">
        <v>2437</v>
      </c>
      <c r="G1575" s="116">
        <v>1260</v>
      </c>
      <c r="H1575" s="1776" t="s">
        <v>1349</v>
      </c>
      <c r="I1575" s="34" t="s">
        <v>25</v>
      </c>
      <c r="J1575" s="224"/>
      <c r="K1575" s="147"/>
      <c r="L1575" s="475"/>
      <c r="M1575" s="224"/>
      <c r="N1575" s="224"/>
      <c r="O1575" s="314" t="s">
        <v>2675</v>
      </c>
    </row>
    <row r="1576" spans="1:15" ht="18.75" customHeight="1" x14ac:dyDescent="0.3">
      <c r="A1576" s="2402">
        <v>1570</v>
      </c>
      <c r="B1576" s="1122" t="s">
        <v>2541</v>
      </c>
      <c r="C1576" s="216" t="s">
        <v>1344</v>
      </c>
      <c r="D1576" s="452" t="s">
        <v>1146</v>
      </c>
      <c r="E1576" s="217" t="s">
        <v>2676</v>
      </c>
      <c r="F1576" s="218" t="s">
        <v>2437</v>
      </c>
      <c r="G1576" s="116">
        <v>1260</v>
      </c>
      <c r="H1576" s="1776" t="s">
        <v>1349</v>
      </c>
      <c r="I1576" s="34" t="s">
        <v>25</v>
      </c>
      <c r="J1576" s="224"/>
      <c r="K1576" s="147"/>
      <c r="L1576" s="475"/>
      <c r="M1576" s="224"/>
      <c r="N1576" s="224"/>
      <c r="O1576" s="314" t="s">
        <v>1387</v>
      </c>
    </row>
    <row r="1577" spans="1:15" ht="18.75" customHeight="1" x14ac:dyDescent="0.3">
      <c r="A1577" s="2401">
        <v>1571</v>
      </c>
      <c r="B1577" s="1122" t="s">
        <v>2541</v>
      </c>
      <c r="C1577" s="216" t="s">
        <v>1344</v>
      </c>
      <c r="D1577" s="495" t="s">
        <v>1146</v>
      </c>
      <c r="E1577" s="217" t="s">
        <v>2677</v>
      </c>
      <c r="F1577" s="218" t="s">
        <v>2437</v>
      </c>
      <c r="G1577" s="116">
        <v>1260</v>
      </c>
      <c r="H1577" s="1776" t="s">
        <v>1349</v>
      </c>
      <c r="I1577" s="34" t="s">
        <v>25</v>
      </c>
      <c r="J1577" s="224"/>
      <c r="K1577" s="147"/>
      <c r="L1577" s="475"/>
      <c r="M1577" s="224"/>
      <c r="N1577" s="224"/>
      <c r="O1577" s="314" t="s">
        <v>2678</v>
      </c>
    </row>
    <row r="1578" spans="1:15" ht="18.75" customHeight="1" x14ac:dyDescent="0.3">
      <c r="A1578" s="2402">
        <v>1572</v>
      </c>
      <c r="B1578" s="1122" t="s">
        <v>2541</v>
      </c>
      <c r="C1578" s="216" t="s">
        <v>1344</v>
      </c>
      <c r="D1578" s="793" t="s">
        <v>1146</v>
      </c>
      <c r="E1578" s="217" t="s">
        <v>2679</v>
      </c>
      <c r="F1578" s="218" t="s">
        <v>2437</v>
      </c>
      <c r="G1578" s="116">
        <v>1260</v>
      </c>
      <c r="H1578" s="1776" t="s">
        <v>1349</v>
      </c>
      <c r="I1578" s="34" t="s">
        <v>25</v>
      </c>
      <c r="J1578" s="224"/>
      <c r="K1578" s="147"/>
      <c r="L1578" s="475"/>
      <c r="M1578" s="224"/>
      <c r="N1578" s="224"/>
      <c r="O1578" s="314" t="s">
        <v>2680</v>
      </c>
    </row>
    <row r="1579" spans="1:15" ht="18.75" customHeight="1" x14ac:dyDescent="0.3">
      <c r="A1579" s="2402">
        <v>1573</v>
      </c>
      <c r="B1579" s="1122" t="s">
        <v>2541</v>
      </c>
      <c r="C1579" s="216" t="s">
        <v>1344</v>
      </c>
      <c r="D1579" s="416" t="s">
        <v>1146</v>
      </c>
      <c r="E1579" s="217" t="s">
        <v>2681</v>
      </c>
      <c r="F1579" s="218" t="s">
        <v>2437</v>
      </c>
      <c r="G1579" s="116">
        <v>1260</v>
      </c>
      <c r="H1579" s="1776" t="s">
        <v>1349</v>
      </c>
      <c r="I1579" s="34" t="s">
        <v>25</v>
      </c>
      <c r="J1579" s="224"/>
      <c r="K1579" s="147"/>
      <c r="L1579" s="475"/>
      <c r="M1579" s="224"/>
      <c r="N1579" s="224"/>
      <c r="O1579" s="314" t="s">
        <v>2682</v>
      </c>
    </row>
    <row r="1580" spans="1:15" ht="18.75" customHeight="1" x14ac:dyDescent="0.3">
      <c r="A1580" s="2402">
        <v>1574</v>
      </c>
      <c r="B1580" s="1122" t="s">
        <v>2541</v>
      </c>
      <c r="C1580" s="216" t="s">
        <v>1344</v>
      </c>
      <c r="D1580" s="416" t="s">
        <v>1146</v>
      </c>
      <c r="E1580" s="217" t="s">
        <v>2683</v>
      </c>
      <c r="F1580" s="218" t="s">
        <v>2437</v>
      </c>
      <c r="G1580" s="116">
        <v>1260</v>
      </c>
      <c r="H1580" s="1776" t="s">
        <v>1349</v>
      </c>
      <c r="I1580" s="34" t="s">
        <v>25</v>
      </c>
      <c r="J1580" s="224"/>
      <c r="K1580" s="147"/>
      <c r="L1580" s="475"/>
      <c r="M1580" s="224"/>
      <c r="N1580" s="224"/>
      <c r="O1580" s="314" t="s">
        <v>2684</v>
      </c>
    </row>
    <row r="1581" spans="1:15" ht="18.75" customHeight="1" x14ac:dyDescent="0.3">
      <c r="A1581" s="2402">
        <v>1575</v>
      </c>
      <c r="B1581" s="1122" t="s">
        <v>2541</v>
      </c>
      <c r="C1581" s="216" t="s">
        <v>1344</v>
      </c>
      <c r="D1581" s="416" t="s">
        <v>1146</v>
      </c>
      <c r="E1581" s="217" t="s">
        <v>2685</v>
      </c>
      <c r="F1581" s="218" t="s">
        <v>2437</v>
      </c>
      <c r="G1581" s="116">
        <v>1260</v>
      </c>
      <c r="H1581" s="1776" t="s">
        <v>1349</v>
      </c>
      <c r="I1581" s="34" t="s">
        <v>25</v>
      </c>
      <c r="J1581" s="224"/>
      <c r="K1581" s="147"/>
      <c r="L1581" s="475"/>
      <c r="M1581" s="224"/>
      <c r="N1581" s="224"/>
      <c r="O1581" s="314" t="s">
        <v>2686</v>
      </c>
    </row>
    <row r="1582" spans="1:15" ht="18.75" customHeight="1" x14ac:dyDescent="0.3">
      <c r="A1582" s="2401">
        <v>1576</v>
      </c>
      <c r="B1582" s="1122" t="s">
        <v>2541</v>
      </c>
      <c r="C1582" s="216" t="s">
        <v>1344</v>
      </c>
      <c r="D1582" s="416" t="s">
        <v>1146</v>
      </c>
      <c r="E1582" s="217" t="s">
        <v>2687</v>
      </c>
      <c r="F1582" s="218" t="s">
        <v>2437</v>
      </c>
      <c r="G1582" s="116">
        <v>1260</v>
      </c>
      <c r="H1582" s="1776" t="s">
        <v>1349</v>
      </c>
      <c r="I1582" s="34" t="s">
        <v>25</v>
      </c>
      <c r="J1582" s="224"/>
      <c r="K1582" s="147"/>
      <c r="L1582" s="475"/>
      <c r="M1582" s="224"/>
      <c r="N1582" s="224"/>
      <c r="O1582" s="314" t="s">
        <v>2688</v>
      </c>
    </row>
    <row r="1583" spans="1:15" ht="18.75" customHeight="1" x14ac:dyDescent="0.3">
      <c r="A1583" s="2402">
        <v>1577</v>
      </c>
      <c r="B1583" s="1122" t="s">
        <v>2541</v>
      </c>
      <c r="C1583" s="216" t="s">
        <v>1344</v>
      </c>
      <c r="D1583" s="416" t="s">
        <v>1146</v>
      </c>
      <c r="E1583" s="217" t="s">
        <v>2689</v>
      </c>
      <c r="F1583" s="218" t="s">
        <v>2437</v>
      </c>
      <c r="G1583" s="116">
        <v>1260</v>
      </c>
      <c r="H1583" s="1776" t="s">
        <v>1349</v>
      </c>
      <c r="I1583" s="34" t="s">
        <v>25</v>
      </c>
      <c r="J1583" s="224"/>
      <c r="K1583" s="147"/>
      <c r="L1583" s="475"/>
      <c r="M1583" s="224"/>
      <c r="N1583" s="224"/>
      <c r="O1583" s="314" t="s">
        <v>2690</v>
      </c>
    </row>
    <row r="1584" spans="1:15" ht="18.75" customHeight="1" x14ac:dyDescent="0.3">
      <c r="A1584" s="2402">
        <v>1578</v>
      </c>
      <c r="B1584" s="1122" t="s">
        <v>2541</v>
      </c>
      <c r="C1584" s="216" t="s">
        <v>1344</v>
      </c>
      <c r="D1584" s="416" t="s">
        <v>1146</v>
      </c>
      <c r="E1584" s="217" t="s">
        <v>2691</v>
      </c>
      <c r="F1584" s="218" t="s">
        <v>2437</v>
      </c>
      <c r="G1584" s="116">
        <v>1260</v>
      </c>
      <c r="H1584" s="1776" t="s">
        <v>1349</v>
      </c>
      <c r="I1584" s="34" t="s">
        <v>25</v>
      </c>
      <c r="J1584" s="224"/>
      <c r="K1584" s="147"/>
      <c r="L1584" s="475"/>
      <c r="M1584" s="224"/>
      <c r="N1584" s="224"/>
      <c r="O1584" s="314" t="s">
        <v>2692</v>
      </c>
    </row>
    <row r="1585" spans="1:15" ht="18.75" customHeight="1" x14ac:dyDescent="0.3">
      <c r="A1585" s="2401">
        <v>1579</v>
      </c>
      <c r="B1585" s="1122" t="s">
        <v>2541</v>
      </c>
      <c r="C1585" s="216" t="s">
        <v>1344</v>
      </c>
      <c r="D1585" s="416" t="s">
        <v>1146</v>
      </c>
      <c r="E1585" s="217" t="s">
        <v>2693</v>
      </c>
      <c r="F1585" s="218" t="s">
        <v>2437</v>
      </c>
      <c r="G1585" s="116">
        <v>1260</v>
      </c>
      <c r="H1585" s="1776" t="s">
        <v>1349</v>
      </c>
      <c r="I1585" s="34" t="s">
        <v>25</v>
      </c>
      <c r="J1585" s="224"/>
      <c r="K1585" s="147"/>
      <c r="L1585" s="475"/>
      <c r="M1585" s="224"/>
      <c r="N1585" s="224"/>
      <c r="O1585" s="314" t="s">
        <v>1534</v>
      </c>
    </row>
    <row r="1586" spans="1:15" ht="18.75" customHeight="1" x14ac:dyDescent="0.3">
      <c r="A1586" s="2402">
        <v>1580</v>
      </c>
      <c r="B1586" s="1122" t="s">
        <v>2541</v>
      </c>
      <c r="C1586" s="216" t="s">
        <v>1344</v>
      </c>
      <c r="D1586" s="416" t="s">
        <v>1146</v>
      </c>
      <c r="E1586" s="217" t="s">
        <v>2694</v>
      </c>
      <c r="F1586" s="218" t="s">
        <v>2437</v>
      </c>
      <c r="G1586" s="116">
        <v>1260</v>
      </c>
      <c r="H1586" s="1776" t="s">
        <v>1349</v>
      </c>
      <c r="I1586" s="34" t="s">
        <v>25</v>
      </c>
      <c r="J1586" s="224"/>
      <c r="K1586" s="147"/>
      <c r="L1586" s="475"/>
      <c r="M1586" s="224"/>
      <c r="N1586" s="224"/>
      <c r="O1586" s="314" t="s">
        <v>2695</v>
      </c>
    </row>
    <row r="1587" spans="1:15" ht="18.75" customHeight="1" x14ac:dyDescent="0.3">
      <c r="A1587" s="2402">
        <v>1581</v>
      </c>
      <c r="B1587" s="1122" t="s">
        <v>2541</v>
      </c>
      <c r="C1587" s="216" t="s">
        <v>1344</v>
      </c>
      <c r="D1587" s="416" t="s">
        <v>1146</v>
      </c>
      <c r="E1587" s="217" t="s">
        <v>2696</v>
      </c>
      <c r="F1587" s="218" t="s">
        <v>2437</v>
      </c>
      <c r="G1587" s="116">
        <v>1260</v>
      </c>
      <c r="H1587" s="1776" t="s">
        <v>1349</v>
      </c>
      <c r="I1587" s="34" t="s">
        <v>25</v>
      </c>
      <c r="J1587" s="224"/>
      <c r="K1587" s="147"/>
      <c r="L1587" s="475"/>
      <c r="M1587" s="224"/>
      <c r="N1587" s="224"/>
      <c r="O1587" s="314" t="s">
        <v>2697</v>
      </c>
    </row>
    <row r="1588" spans="1:15" ht="18.75" customHeight="1" x14ac:dyDescent="0.3">
      <c r="A1588" s="2402">
        <v>1582</v>
      </c>
      <c r="B1588" s="1122" t="s">
        <v>2541</v>
      </c>
      <c r="C1588" s="216" t="s">
        <v>1344</v>
      </c>
      <c r="D1588" s="416" t="s">
        <v>1146</v>
      </c>
      <c r="E1588" s="217" t="s">
        <v>2698</v>
      </c>
      <c r="F1588" s="218" t="s">
        <v>2437</v>
      </c>
      <c r="G1588" s="116">
        <v>1260</v>
      </c>
      <c r="H1588" s="1776" t="s">
        <v>1349</v>
      </c>
      <c r="I1588" s="34" t="s">
        <v>25</v>
      </c>
      <c r="J1588" s="224"/>
      <c r="K1588" s="147"/>
      <c r="L1588" s="475"/>
      <c r="M1588" s="224"/>
      <c r="N1588" s="224"/>
      <c r="O1588" s="314" t="s">
        <v>2699</v>
      </c>
    </row>
    <row r="1589" spans="1:15" ht="18.75" customHeight="1" x14ac:dyDescent="0.3">
      <c r="A1589" s="2402">
        <v>1583</v>
      </c>
      <c r="B1589" s="1122" t="s">
        <v>2541</v>
      </c>
      <c r="C1589" s="216" t="s">
        <v>1344</v>
      </c>
      <c r="D1589" s="416" t="s">
        <v>1146</v>
      </c>
      <c r="E1589" s="217" t="s">
        <v>2700</v>
      </c>
      <c r="F1589" s="218" t="s">
        <v>2437</v>
      </c>
      <c r="G1589" s="116">
        <v>1260</v>
      </c>
      <c r="H1589" s="1776" t="s">
        <v>1349</v>
      </c>
      <c r="I1589" s="34" t="s">
        <v>25</v>
      </c>
      <c r="J1589" s="224"/>
      <c r="K1589" s="147"/>
      <c r="L1589" s="475"/>
      <c r="M1589" s="224"/>
      <c r="N1589" s="224"/>
      <c r="O1589" s="314" t="s">
        <v>1350</v>
      </c>
    </row>
    <row r="1590" spans="1:15" ht="18.75" customHeight="1" x14ac:dyDescent="0.3">
      <c r="A1590" s="2401">
        <v>1584</v>
      </c>
      <c r="B1590" s="1122" t="s">
        <v>2541</v>
      </c>
      <c r="C1590" s="1117" t="s">
        <v>1344</v>
      </c>
      <c r="D1590" s="452" t="s">
        <v>1146</v>
      </c>
      <c r="E1590" s="217" t="s">
        <v>2701</v>
      </c>
      <c r="F1590" s="218" t="s">
        <v>2437</v>
      </c>
      <c r="G1590" s="116">
        <v>1260</v>
      </c>
      <c r="H1590" s="1776" t="s">
        <v>1349</v>
      </c>
      <c r="I1590" s="34" t="s">
        <v>25</v>
      </c>
      <c r="J1590" s="224"/>
      <c r="K1590" s="147"/>
      <c r="L1590" s="475"/>
      <c r="M1590" s="224"/>
      <c r="N1590" s="224"/>
      <c r="O1590" s="314" t="s">
        <v>2702</v>
      </c>
    </row>
    <row r="1591" spans="1:15" ht="18.75" customHeight="1" x14ac:dyDescent="0.3">
      <c r="A1591" s="2402">
        <v>1585</v>
      </c>
      <c r="B1591" s="1122" t="s">
        <v>2541</v>
      </c>
      <c r="C1591" s="1117" t="s">
        <v>1344</v>
      </c>
      <c r="D1591" s="793" t="s">
        <v>1146</v>
      </c>
      <c r="E1591" s="217" t="s">
        <v>2703</v>
      </c>
      <c r="F1591" s="218" t="s">
        <v>2437</v>
      </c>
      <c r="G1591" s="116">
        <v>1260</v>
      </c>
      <c r="H1591" s="1776" t="s">
        <v>1349</v>
      </c>
      <c r="I1591" s="34" t="s">
        <v>25</v>
      </c>
      <c r="J1591" s="224"/>
      <c r="K1591" s="147"/>
      <c r="L1591" s="475"/>
      <c r="M1591" s="224"/>
      <c r="N1591" s="224"/>
      <c r="O1591" s="314" t="s">
        <v>2555</v>
      </c>
    </row>
    <row r="1592" spans="1:15" ht="18.75" customHeight="1" x14ac:dyDescent="0.3">
      <c r="A1592" s="2402">
        <v>1586</v>
      </c>
      <c r="B1592" s="1122" t="s">
        <v>2541</v>
      </c>
      <c r="C1592" s="1117" t="s">
        <v>1344</v>
      </c>
      <c r="D1592" s="416" t="s">
        <v>1146</v>
      </c>
      <c r="E1592" s="217" t="s">
        <v>2704</v>
      </c>
      <c r="F1592" s="218" t="s">
        <v>2437</v>
      </c>
      <c r="G1592" s="116">
        <v>1260</v>
      </c>
      <c r="H1592" s="1776" t="s">
        <v>1349</v>
      </c>
      <c r="I1592" s="34" t="s">
        <v>25</v>
      </c>
      <c r="J1592" s="224"/>
      <c r="K1592" s="147"/>
      <c r="L1592" s="475"/>
      <c r="M1592" s="224"/>
      <c r="N1592" s="224"/>
      <c r="O1592" s="314" t="s">
        <v>2705</v>
      </c>
    </row>
    <row r="1593" spans="1:15" ht="18.75" customHeight="1" x14ac:dyDescent="0.3">
      <c r="A1593" s="2401">
        <v>1587</v>
      </c>
      <c r="B1593" s="1122" t="s">
        <v>2541</v>
      </c>
      <c r="C1593" s="1117" t="s">
        <v>1344</v>
      </c>
      <c r="D1593" s="416" t="s">
        <v>1146</v>
      </c>
      <c r="E1593" s="217" t="s">
        <v>2706</v>
      </c>
      <c r="F1593" s="218" t="s">
        <v>2437</v>
      </c>
      <c r="G1593" s="116">
        <v>1260</v>
      </c>
      <c r="H1593" s="1776" t="s">
        <v>1349</v>
      </c>
      <c r="I1593" s="34" t="s">
        <v>25</v>
      </c>
      <c r="J1593" s="224"/>
      <c r="K1593" s="147"/>
      <c r="L1593" s="475"/>
      <c r="M1593" s="224"/>
      <c r="N1593" s="224"/>
      <c r="O1593" s="314" t="s">
        <v>2707</v>
      </c>
    </row>
    <row r="1594" spans="1:15" ht="18.75" customHeight="1" x14ac:dyDescent="0.3">
      <c r="A1594" s="2402">
        <v>1588</v>
      </c>
      <c r="B1594" s="1122" t="s">
        <v>2541</v>
      </c>
      <c r="C1594" s="1117" t="s">
        <v>1344</v>
      </c>
      <c r="D1594" s="416" t="s">
        <v>1146</v>
      </c>
      <c r="E1594" s="217" t="s">
        <v>2708</v>
      </c>
      <c r="F1594" s="218" t="s">
        <v>2437</v>
      </c>
      <c r="G1594" s="116">
        <v>1260</v>
      </c>
      <c r="H1594" s="1776" t="s">
        <v>1349</v>
      </c>
      <c r="I1594" s="34" t="s">
        <v>25</v>
      </c>
      <c r="J1594" s="224"/>
      <c r="K1594" s="147"/>
      <c r="L1594" s="475"/>
      <c r="M1594" s="224"/>
      <c r="N1594" s="224"/>
      <c r="O1594" s="314" t="s">
        <v>2709</v>
      </c>
    </row>
    <row r="1595" spans="1:15" ht="18.75" customHeight="1" x14ac:dyDescent="0.3">
      <c r="A1595" s="2402">
        <v>1589</v>
      </c>
      <c r="B1595" s="1122" t="s">
        <v>2541</v>
      </c>
      <c r="C1595" s="1117" t="s">
        <v>1344</v>
      </c>
      <c r="D1595" s="416" t="s">
        <v>1146</v>
      </c>
      <c r="E1595" s="217" t="s">
        <v>2710</v>
      </c>
      <c r="F1595" s="218" t="s">
        <v>2437</v>
      </c>
      <c r="G1595" s="116">
        <v>1260</v>
      </c>
      <c r="H1595" s="1776" t="s">
        <v>1349</v>
      </c>
      <c r="I1595" s="34" t="s">
        <v>25</v>
      </c>
      <c r="J1595" s="224"/>
      <c r="K1595" s="147"/>
      <c r="L1595" s="475"/>
      <c r="M1595" s="224"/>
      <c r="N1595" s="224"/>
      <c r="O1595" s="314" t="s">
        <v>2711</v>
      </c>
    </row>
    <row r="1596" spans="1:15" ht="18.75" customHeight="1" x14ac:dyDescent="0.3">
      <c r="A1596" s="2402">
        <v>1590</v>
      </c>
      <c r="B1596" s="1122" t="s">
        <v>2541</v>
      </c>
      <c r="C1596" s="1117" t="s">
        <v>1344</v>
      </c>
      <c r="D1596" s="416" t="s">
        <v>1146</v>
      </c>
      <c r="E1596" s="217" t="s">
        <v>2712</v>
      </c>
      <c r="F1596" s="218" t="s">
        <v>2437</v>
      </c>
      <c r="G1596" s="116">
        <v>1260</v>
      </c>
      <c r="H1596" s="1776" t="s">
        <v>1349</v>
      </c>
      <c r="I1596" s="34" t="s">
        <v>25</v>
      </c>
      <c r="J1596" s="224"/>
      <c r="K1596" s="147"/>
      <c r="L1596" s="475"/>
      <c r="M1596" s="224"/>
      <c r="N1596" s="224"/>
      <c r="O1596" s="314" t="s">
        <v>2713</v>
      </c>
    </row>
    <row r="1597" spans="1:15" ht="18.75" customHeight="1" x14ac:dyDescent="0.3">
      <c r="A1597" s="2402">
        <v>1591</v>
      </c>
      <c r="B1597" s="1122" t="s">
        <v>2541</v>
      </c>
      <c r="C1597" s="1117" t="s">
        <v>1344</v>
      </c>
      <c r="D1597" s="452" t="s">
        <v>1146</v>
      </c>
      <c r="E1597" s="217" t="s">
        <v>2714</v>
      </c>
      <c r="F1597" s="218" t="s">
        <v>2437</v>
      </c>
      <c r="G1597" s="116">
        <v>1260</v>
      </c>
      <c r="H1597" s="1776" t="s">
        <v>1349</v>
      </c>
      <c r="I1597" s="34" t="s">
        <v>25</v>
      </c>
      <c r="J1597" s="224"/>
      <c r="K1597" s="147"/>
      <c r="L1597" s="475"/>
      <c r="M1597" s="224"/>
      <c r="N1597" s="224"/>
      <c r="O1597" s="314" t="s">
        <v>2715</v>
      </c>
    </row>
    <row r="1598" spans="1:15" ht="18.75" customHeight="1" x14ac:dyDescent="0.3">
      <c r="A1598" s="2401">
        <v>1592</v>
      </c>
      <c r="B1598" s="1122" t="s">
        <v>2541</v>
      </c>
      <c r="C1598" s="1117" t="s">
        <v>1344</v>
      </c>
      <c r="D1598" s="793" t="s">
        <v>1146</v>
      </c>
      <c r="E1598" s="217" t="s">
        <v>2716</v>
      </c>
      <c r="F1598" s="218" t="s">
        <v>2437</v>
      </c>
      <c r="G1598" s="116">
        <v>1260</v>
      </c>
      <c r="H1598" s="1776" t="s">
        <v>1349</v>
      </c>
      <c r="I1598" s="34" t="s">
        <v>25</v>
      </c>
      <c r="J1598" s="224"/>
      <c r="K1598" s="147"/>
      <c r="L1598" s="475"/>
      <c r="M1598" s="224"/>
      <c r="N1598" s="224"/>
      <c r="O1598" s="314" t="s">
        <v>2717</v>
      </c>
    </row>
    <row r="1599" spans="1:15" ht="18.75" customHeight="1" x14ac:dyDescent="0.3">
      <c r="A1599" s="2402">
        <v>1593</v>
      </c>
      <c r="B1599" s="1122" t="s">
        <v>2541</v>
      </c>
      <c r="C1599" s="216" t="s">
        <v>1344</v>
      </c>
      <c r="D1599" s="416" t="s">
        <v>1146</v>
      </c>
      <c r="E1599" s="217" t="s">
        <v>2718</v>
      </c>
      <c r="F1599" s="218" t="s">
        <v>2437</v>
      </c>
      <c r="G1599" s="116">
        <v>1260</v>
      </c>
      <c r="H1599" s="1776" t="s">
        <v>1349</v>
      </c>
      <c r="I1599" s="34" t="s">
        <v>25</v>
      </c>
      <c r="J1599" s="224"/>
      <c r="K1599" s="147"/>
      <c r="L1599" s="475"/>
      <c r="M1599" s="224"/>
      <c r="N1599" s="224"/>
      <c r="O1599" s="314" t="s">
        <v>2719</v>
      </c>
    </row>
    <row r="1600" spans="1:15" ht="18.75" customHeight="1" x14ac:dyDescent="0.3">
      <c r="A1600" s="2402">
        <v>1594</v>
      </c>
      <c r="B1600" s="1122" t="s">
        <v>2541</v>
      </c>
      <c r="C1600" s="216" t="s">
        <v>1344</v>
      </c>
      <c r="D1600" s="416" t="s">
        <v>1146</v>
      </c>
      <c r="E1600" s="217" t="s">
        <v>2720</v>
      </c>
      <c r="F1600" s="218" t="s">
        <v>2437</v>
      </c>
      <c r="G1600" s="116">
        <v>1260</v>
      </c>
      <c r="H1600" s="1776" t="s">
        <v>1349</v>
      </c>
      <c r="I1600" s="34" t="s">
        <v>25</v>
      </c>
      <c r="J1600" s="224"/>
      <c r="K1600" s="147"/>
      <c r="L1600" s="475"/>
      <c r="M1600" s="224"/>
      <c r="N1600" s="224"/>
      <c r="O1600" s="314" t="s">
        <v>2721</v>
      </c>
    </row>
    <row r="1601" spans="1:15" ht="18.75" customHeight="1" x14ac:dyDescent="0.3">
      <c r="A1601" s="2401">
        <v>1595</v>
      </c>
      <c r="B1601" s="1122" t="s">
        <v>2541</v>
      </c>
      <c r="C1601" s="216" t="s">
        <v>1344</v>
      </c>
      <c r="D1601" s="416" t="s">
        <v>1146</v>
      </c>
      <c r="E1601" s="217" t="s">
        <v>2722</v>
      </c>
      <c r="F1601" s="218" t="s">
        <v>2437</v>
      </c>
      <c r="G1601" s="116">
        <v>1260</v>
      </c>
      <c r="H1601" s="1776" t="s">
        <v>1349</v>
      </c>
      <c r="I1601" s="34" t="s">
        <v>25</v>
      </c>
      <c r="J1601" s="224"/>
      <c r="K1601" s="147"/>
      <c r="L1601" s="475"/>
      <c r="M1601" s="224"/>
      <c r="N1601" s="224"/>
      <c r="O1601" s="314" t="s">
        <v>2723</v>
      </c>
    </row>
    <row r="1602" spans="1:15" ht="18.75" customHeight="1" x14ac:dyDescent="0.3">
      <c r="A1602" s="2402">
        <v>1596</v>
      </c>
      <c r="B1602" s="1122" t="s">
        <v>2724</v>
      </c>
      <c r="C1602" s="216" t="s">
        <v>1344</v>
      </c>
      <c r="D1602" s="416" t="s">
        <v>1146</v>
      </c>
      <c r="E1602" s="217" t="s">
        <v>2725</v>
      </c>
      <c r="F1602" s="218" t="s">
        <v>2437</v>
      </c>
      <c r="G1602" s="116">
        <v>1400</v>
      </c>
      <c r="H1602" s="1776" t="s">
        <v>1349</v>
      </c>
      <c r="I1602" s="34" t="s">
        <v>25</v>
      </c>
      <c r="J1602" s="224"/>
      <c r="K1602" s="147"/>
      <c r="L1602" s="475"/>
      <c r="M1602" s="224"/>
      <c r="N1602" s="224"/>
      <c r="O1602" s="225"/>
    </row>
    <row r="1603" spans="1:15" ht="18.75" customHeight="1" x14ac:dyDescent="0.3">
      <c r="A1603" s="2402">
        <v>1597</v>
      </c>
      <c r="B1603" s="1122" t="s">
        <v>2724</v>
      </c>
      <c r="C1603" s="216" t="s">
        <v>1344</v>
      </c>
      <c r="D1603" s="416" t="s">
        <v>1146</v>
      </c>
      <c r="E1603" s="217" t="s">
        <v>2726</v>
      </c>
      <c r="F1603" s="218" t="s">
        <v>2437</v>
      </c>
      <c r="G1603" s="116">
        <v>1400</v>
      </c>
      <c r="H1603" s="1776" t="s">
        <v>1349</v>
      </c>
      <c r="I1603" s="34" t="s">
        <v>25</v>
      </c>
      <c r="J1603" s="224"/>
      <c r="K1603" s="147"/>
      <c r="L1603" s="475"/>
      <c r="M1603" s="224"/>
      <c r="N1603" s="224"/>
      <c r="O1603" s="225"/>
    </row>
    <row r="1604" spans="1:15" ht="18.75" customHeight="1" x14ac:dyDescent="0.3">
      <c r="A1604" s="2402">
        <v>1598</v>
      </c>
      <c r="B1604" s="1122" t="s">
        <v>2724</v>
      </c>
      <c r="C1604" s="216" t="s">
        <v>1344</v>
      </c>
      <c r="D1604" s="416" t="s">
        <v>1146</v>
      </c>
      <c r="E1604" s="217" t="s">
        <v>2727</v>
      </c>
      <c r="F1604" s="218" t="s">
        <v>2437</v>
      </c>
      <c r="G1604" s="116">
        <v>1400</v>
      </c>
      <c r="H1604" s="1776" t="s">
        <v>1349</v>
      </c>
      <c r="I1604" s="34" t="s">
        <v>25</v>
      </c>
      <c r="J1604" s="224"/>
      <c r="K1604" s="147"/>
      <c r="L1604" s="475"/>
      <c r="M1604" s="224"/>
      <c r="N1604" s="224"/>
      <c r="O1604" s="225"/>
    </row>
    <row r="1605" spans="1:15" ht="18.75" customHeight="1" x14ac:dyDescent="0.3">
      <c r="A1605" s="2402">
        <v>1599</v>
      </c>
      <c r="B1605" s="1122" t="s">
        <v>2724</v>
      </c>
      <c r="C1605" s="216" t="s">
        <v>1344</v>
      </c>
      <c r="D1605" s="416" t="s">
        <v>1146</v>
      </c>
      <c r="E1605" s="217" t="s">
        <v>2728</v>
      </c>
      <c r="F1605" s="218" t="s">
        <v>2437</v>
      </c>
      <c r="G1605" s="116">
        <v>1400</v>
      </c>
      <c r="H1605" s="1776" t="s">
        <v>1349</v>
      </c>
      <c r="I1605" s="34" t="s">
        <v>25</v>
      </c>
      <c r="J1605" s="224"/>
      <c r="K1605" s="147"/>
      <c r="L1605" s="475"/>
      <c r="M1605" s="224"/>
      <c r="N1605" s="224"/>
      <c r="O1605" s="225"/>
    </row>
    <row r="1606" spans="1:15" ht="18.75" customHeight="1" x14ac:dyDescent="0.3">
      <c r="A1606" s="2401">
        <v>1600</v>
      </c>
      <c r="B1606" s="1122" t="s">
        <v>2724</v>
      </c>
      <c r="C1606" s="216" t="s">
        <v>1344</v>
      </c>
      <c r="D1606" s="416" t="s">
        <v>1146</v>
      </c>
      <c r="E1606" s="217" t="s">
        <v>2729</v>
      </c>
      <c r="F1606" s="218" t="s">
        <v>2437</v>
      </c>
      <c r="G1606" s="116">
        <v>1400</v>
      </c>
      <c r="H1606" s="1776" t="s">
        <v>1349</v>
      </c>
      <c r="I1606" s="34" t="s">
        <v>25</v>
      </c>
      <c r="J1606" s="224"/>
      <c r="K1606" s="147"/>
      <c r="L1606" s="475"/>
      <c r="M1606" s="224"/>
      <c r="N1606" s="224"/>
      <c r="O1606" s="225"/>
    </row>
    <row r="1607" spans="1:15" ht="18.75" customHeight="1" x14ac:dyDescent="0.3">
      <c r="A1607" s="2402">
        <v>1601</v>
      </c>
      <c r="B1607" s="1122" t="s">
        <v>2724</v>
      </c>
      <c r="C1607" s="216" t="s">
        <v>1344</v>
      </c>
      <c r="D1607" s="416" t="s">
        <v>1146</v>
      </c>
      <c r="E1607" s="217" t="s">
        <v>2730</v>
      </c>
      <c r="F1607" s="218" t="s">
        <v>2437</v>
      </c>
      <c r="G1607" s="116">
        <v>1400</v>
      </c>
      <c r="H1607" s="1776" t="s">
        <v>1349</v>
      </c>
      <c r="I1607" s="34" t="s">
        <v>25</v>
      </c>
      <c r="J1607" s="224"/>
      <c r="K1607" s="147"/>
      <c r="L1607" s="475"/>
      <c r="M1607" s="224"/>
      <c r="N1607" s="224"/>
      <c r="O1607" s="225"/>
    </row>
    <row r="1608" spans="1:15" ht="18.75" customHeight="1" x14ac:dyDescent="0.3">
      <c r="A1608" s="2402">
        <v>1602</v>
      </c>
      <c r="B1608" s="1122" t="s">
        <v>2724</v>
      </c>
      <c r="C1608" s="216" t="s">
        <v>1344</v>
      </c>
      <c r="D1608" s="416" t="s">
        <v>1146</v>
      </c>
      <c r="E1608" s="217" t="s">
        <v>2731</v>
      </c>
      <c r="F1608" s="218" t="s">
        <v>2437</v>
      </c>
      <c r="G1608" s="116">
        <v>1400</v>
      </c>
      <c r="H1608" s="1776" t="s">
        <v>1349</v>
      </c>
      <c r="I1608" s="34" t="s">
        <v>25</v>
      </c>
      <c r="J1608" s="224"/>
      <c r="K1608" s="147"/>
      <c r="L1608" s="475"/>
      <c r="M1608" s="224"/>
      <c r="N1608" s="224"/>
      <c r="O1608" s="225"/>
    </row>
    <row r="1609" spans="1:15" ht="18.75" customHeight="1" x14ac:dyDescent="0.3">
      <c r="A1609" s="2401">
        <v>1603</v>
      </c>
      <c r="B1609" s="1122" t="s">
        <v>2724</v>
      </c>
      <c r="C1609" s="216" t="s">
        <v>1344</v>
      </c>
      <c r="D1609" s="452" t="s">
        <v>1146</v>
      </c>
      <c r="E1609" s="217" t="s">
        <v>2732</v>
      </c>
      <c r="F1609" s="218" t="s">
        <v>2437</v>
      </c>
      <c r="G1609" s="116">
        <v>1400</v>
      </c>
      <c r="H1609" s="1776" t="s">
        <v>1349</v>
      </c>
      <c r="I1609" s="34" t="s">
        <v>25</v>
      </c>
      <c r="J1609" s="224"/>
      <c r="K1609" s="147"/>
      <c r="L1609" s="475"/>
      <c r="M1609" s="224"/>
      <c r="N1609" s="224"/>
      <c r="O1609" s="225"/>
    </row>
    <row r="1610" spans="1:15" ht="18.75" customHeight="1" x14ac:dyDescent="0.3">
      <c r="A1610" s="2402">
        <v>1604</v>
      </c>
      <c r="B1610" s="1122" t="s">
        <v>2724</v>
      </c>
      <c r="C1610" s="216" t="s">
        <v>1344</v>
      </c>
      <c r="D1610" s="793" t="s">
        <v>1146</v>
      </c>
      <c r="E1610" s="217" t="s">
        <v>2733</v>
      </c>
      <c r="F1610" s="218" t="s">
        <v>2437</v>
      </c>
      <c r="G1610" s="116">
        <v>1400</v>
      </c>
      <c r="H1610" s="1776" t="s">
        <v>1349</v>
      </c>
      <c r="I1610" s="34" t="s">
        <v>25</v>
      </c>
      <c r="J1610" s="224"/>
      <c r="K1610" s="147"/>
      <c r="L1610" s="475"/>
      <c r="M1610" s="224"/>
      <c r="N1610" s="224"/>
      <c r="O1610" s="225"/>
    </row>
    <row r="1611" spans="1:15" ht="18.75" customHeight="1" x14ac:dyDescent="0.3">
      <c r="A1611" s="2402">
        <v>1605</v>
      </c>
      <c r="B1611" s="1122" t="s">
        <v>2724</v>
      </c>
      <c r="C1611" s="216" t="s">
        <v>1344</v>
      </c>
      <c r="D1611" s="452" t="s">
        <v>1146</v>
      </c>
      <c r="E1611" s="217" t="s">
        <v>2734</v>
      </c>
      <c r="F1611" s="218" t="s">
        <v>2437</v>
      </c>
      <c r="G1611" s="116">
        <v>1400</v>
      </c>
      <c r="H1611" s="1776" t="s">
        <v>1349</v>
      </c>
      <c r="I1611" s="34" t="s">
        <v>25</v>
      </c>
      <c r="J1611" s="224"/>
      <c r="K1611" s="147"/>
      <c r="L1611" s="475"/>
      <c r="M1611" s="224"/>
      <c r="N1611" s="224"/>
      <c r="O1611" s="225"/>
    </row>
    <row r="1612" spans="1:15" ht="18.75" customHeight="1" x14ac:dyDescent="0.3">
      <c r="A1612" s="2402">
        <v>1606</v>
      </c>
      <c r="B1612" s="1122" t="s">
        <v>2724</v>
      </c>
      <c r="C1612" s="216" t="s">
        <v>1344</v>
      </c>
      <c r="D1612" s="793" t="s">
        <v>1146</v>
      </c>
      <c r="E1612" s="217" t="s">
        <v>2735</v>
      </c>
      <c r="F1612" s="218" t="s">
        <v>2437</v>
      </c>
      <c r="G1612" s="116">
        <v>1400</v>
      </c>
      <c r="H1612" s="1776" t="s">
        <v>1349</v>
      </c>
      <c r="I1612" s="34" t="s">
        <v>25</v>
      </c>
      <c r="J1612" s="224"/>
      <c r="K1612" s="147"/>
      <c r="L1612" s="475"/>
      <c r="M1612" s="224"/>
      <c r="N1612" s="224"/>
      <c r="O1612" s="225"/>
    </row>
    <row r="1613" spans="1:15" ht="18.75" customHeight="1" x14ac:dyDescent="0.3">
      <c r="A1613" s="2402">
        <v>1607</v>
      </c>
      <c r="B1613" s="1122" t="s">
        <v>2724</v>
      </c>
      <c r="C1613" s="216" t="s">
        <v>1344</v>
      </c>
      <c r="D1613" s="416" t="s">
        <v>1146</v>
      </c>
      <c r="E1613" s="217" t="s">
        <v>2736</v>
      </c>
      <c r="F1613" s="218" t="s">
        <v>2437</v>
      </c>
      <c r="G1613" s="116">
        <v>1400</v>
      </c>
      <c r="H1613" s="1776" t="s">
        <v>1349</v>
      </c>
      <c r="I1613" s="34" t="s">
        <v>25</v>
      </c>
      <c r="J1613" s="224"/>
      <c r="K1613" s="147"/>
      <c r="L1613" s="475"/>
      <c r="M1613" s="224"/>
      <c r="N1613" s="224"/>
      <c r="O1613" s="225"/>
    </row>
    <row r="1614" spans="1:15" ht="18.75" customHeight="1" x14ac:dyDescent="0.3">
      <c r="A1614" s="2401">
        <v>1608</v>
      </c>
      <c r="B1614" s="1122" t="s">
        <v>2724</v>
      </c>
      <c r="C1614" s="216" t="s">
        <v>1344</v>
      </c>
      <c r="D1614" s="416" t="s">
        <v>1146</v>
      </c>
      <c r="E1614" s="217" t="s">
        <v>2737</v>
      </c>
      <c r="F1614" s="218" t="s">
        <v>2437</v>
      </c>
      <c r="G1614" s="116">
        <v>1400</v>
      </c>
      <c r="H1614" s="1776" t="s">
        <v>1349</v>
      </c>
      <c r="I1614" s="34" t="s">
        <v>25</v>
      </c>
      <c r="J1614" s="224"/>
      <c r="K1614" s="147"/>
      <c r="L1614" s="475"/>
      <c r="M1614" s="224"/>
      <c r="N1614" s="224"/>
      <c r="O1614" s="225"/>
    </row>
    <row r="1615" spans="1:15" ht="18.75" customHeight="1" x14ac:dyDescent="0.3">
      <c r="A1615" s="2402">
        <v>1609</v>
      </c>
      <c r="B1615" s="1122" t="s">
        <v>2724</v>
      </c>
      <c r="C1615" s="216" t="s">
        <v>1344</v>
      </c>
      <c r="D1615" s="416" t="s">
        <v>1146</v>
      </c>
      <c r="E1615" s="217" t="s">
        <v>2738</v>
      </c>
      <c r="F1615" s="218" t="s">
        <v>2437</v>
      </c>
      <c r="G1615" s="116">
        <v>1400</v>
      </c>
      <c r="H1615" s="1776" t="s">
        <v>1349</v>
      </c>
      <c r="I1615" s="34" t="s">
        <v>25</v>
      </c>
      <c r="J1615" s="224"/>
      <c r="K1615" s="147"/>
      <c r="L1615" s="475"/>
      <c r="M1615" s="224"/>
      <c r="N1615" s="224"/>
      <c r="O1615" s="225"/>
    </row>
    <row r="1616" spans="1:15" ht="18.75" customHeight="1" x14ac:dyDescent="0.3">
      <c r="A1616" s="2402">
        <v>1610</v>
      </c>
      <c r="B1616" s="1122" t="s">
        <v>2724</v>
      </c>
      <c r="C1616" s="216" t="s">
        <v>1344</v>
      </c>
      <c r="D1616" s="416" t="s">
        <v>1146</v>
      </c>
      <c r="E1616" s="217" t="s">
        <v>2739</v>
      </c>
      <c r="F1616" s="218" t="s">
        <v>2437</v>
      </c>
      <c r="G1616" s="116">
        <v>1400</v>
      </c>
      <c r="H1616" s="1776" t="s">
        <v>1349</v>
      </c>
      <c r="I1616" s="34" t="s">
        <v>25</v>
      </c>
      <c r="J1616" s="224"/>
      <c r="K1616" s="147"/>
      <c r="L1616" s="475"/>
      <c r="M1616" s="224"/>
      <c r="N1616" s="224"/>
      <c r="O1616" s="225"/>
    </row>
    <row r="1617" spans="1:15" ht="18.75" customHeight="1" x14ac:dyDescent="0.3">
      <c r="A1617" s="2401">
        <v>1611</v>
      </c>
      <c r="B1617" s="1122" t="s">
        <v>2724</v>
      </c>
      <c r="C1617" s="216" t="s">
        <v>1344</v>
      </c>
      <c r="D1617" s="416" t="s">
        <v>1146</v>
      </c>
      <c r="E1617" s="217" t="s">
        <v>2740</v>
      </c>
      <c r="F1617" s="218" t="s">
        <v>2437</v>
      </c>
      <c r="G1617" s="116">
        <v>1400</v>
      </c>
      <c r="H1617" s="1776" t="s">
        <v>1349</v>
      </c>
      <c r="I1617" s="34" t="s">
        <v>25</v>
      </c>
      <c r="J1617" s="224"/>
      <c r="K1617" s="147"/>
      <c r="L1617" s="475"/>
      <c r="M1617" s="224"/>
      <c r="N1617" s="224"/>
      <c r="O1617" s="225"/>
    </row>
    <row r="1618" spans="1:15" ht="18.75" customHeight="1" x14ac:dyDescent="0.3">
      <c r="A1618" s="2402">
        <v>1612</v>
      </c>
      <c r="B1618" s="1122" t="s">
        <v>2724</v>
      </c>
      <c r="C1618" s="216" t="s">
        <v>1344</v>
      </c>
      <c r="D1618" s="416" t="s">
        <v>1146</v>
      </c>
      <c r="E1618" s="217" t="s">
        <v>2741</v>
      </c>
      <c r="F1618" s="218" t="s">
        <v>2437</v>
      </c>
      <c r="G1618" s="116">
        <v>1400</v>
      </c>
      <c r="H1618" s="1776" t="s">
        <v>1349</v>
      </c>
      <c r="I1618" s="34" t="s">
        <v>25</v>
      </c>
      <c r="J1618" s="224"/>
      <c r="K1618" s="147"/>
      <c r="L1618" s="475"/>
      <c r="M1618" s="224"/>
      <c r="N1618" s="224"/>
      <c r="O1618" s="225"/>
    </row>
    <row r="1619" spans="1:15" ht="18.75" customHeight="1" x14ac:dyDescent="0.3">
      <c r="A1619" s="2402">
        <v>1613</v>
      </c>
      <c r="B1619" s="1122" t="s">
        <v>2724</v>
      </c>
      <c r="C1619" s="216" t="s">
        <v>1344</v>
      </c>
      <c r="D1619" s="416" t="s">
        <v>1146</v>
      </c>
      <c r="E1619" s="217" t="s">
        <v>2742</v>
      </c>
      <c r="F1619" s="218" t="s">
        <v>2437</v>
      </c>
      <c r="G1619" s="116">
        <v>1400</v>
      </c>
      <c r="H1619" s="1776" t="s">
        <v>1349</v>
      </c>
      <c r="I1619" s="34" t="s">
        <v>25</v>
      </c>
      <c r="J1619" s="224"/>
      <c r="K1619" s="147"/>
      <c r="L1619" s="475"/>
      <c r="M1619" s="224"/>
      <c r="N1619" s="224"/>
      <c r="O1619" s="225"/>
    </row>
    <row r="1620" spans="1:15" ht="18.75" customHeight="1" x14ac:dyDescent="0.3">
      <c r="A1620" s="2402">
        <v>1614</v>
      </c>
      <c r="B1620" s="1122" t="s">
        <v>2724</v>
      </c>
      <c r="C1620" s="216" t="s">
        <v>1344</v>
      </c>
      <c r="D1620" s="416" t="s">
        <v>1146</v>
      </c>
      <c r="E1620" s="217" t="s">
        <v>2743</v>
      </c>
      <c r="F1620" s="218" t="s">
        <v>2437</v>
      </c>
      <c r="G1620" s="116">
        <v>1400</v>
      </c>
      <c r="H1620" s="1776" t="s">
        <v>1349</v>
      </c>
      <c r="I1620" s="34" t="s">
        <v>25</v>
      </c>
      <c r="J1620" s="224"/>
      <c r="K1620" s="147"/>
      <c r="L1620" s="475"/>
      <c r="M1620" s="224"/>
      <c r="N1620" s="224"/>
      <c r="O1620" s="225"/>
    </row>
    <row r="1621" spans="1:15" ht="18.75" customHeight="1" x14ac:dyDescent="0.3">
      <c r="A1621" s="2402">
        <v>1615</v>
      </c>
      <c r="B1621" s="1122" t="s">
        <v>2724</v>
      </c>
      <c r="C1621" s="216" t="s">
        <v>1344</v>
      </c>
      <c r="D1621" s="452" t="s">
        <v>1146</v>
      </c>
      <c r="E1621" s="217" t="s">
        <v>2744</v>
      </c>
      <c r="F1621" s="218" t="s">
        <v>2437</v>
      </c>
      <c r="G1621" s="116">
        <v>1400</v>
      </c>
      <c r="H1621" s="1776" t="s">
        <v>1349</v>
      </c>
      <c r="I1621" s="34" t="s">
        <v>25</v>
      </c>
      <c r="J1621" s="224"/>
      <c r="K1621" s="147"/>
      <c r="L1621" s="475"/>
      <c r="M1621" s="224"/>
      <c r="N1621" s="224"/>
      <c r="O1621" s="225"/>
    </row>
    <row r="1622" spans="1:15" ht="18.75" customHeight="1" x14ac:dyDescent="0.3">
      <c r="A1622" s="2401">
        <v>1616</v>
      </c>
      <c r="B1622" s="1122" t="s">
        <v>2724</v>
      </c>
      <c r="C1622" s="216" t="s">
        <v>1344</v>
      </c>
      <c r="D1622" s="495" t="s">
        <v>1146</v>
      </c>
      <c r="E1622" s="217" t="s">
        <v>2745</v>
      </c>
      <c r="F1622" s="218" t="s">
        <v>2437</v>
      </c>
      <c r="G1622" s="116">
        <v>1400</v>
      </c>
      <c r="H1622" s="1776" t="s">
        <v>1349</v>
      </c>
      <c r="I1622" s="34" t="s">
        <v>25</v>
      </c>
      <c r="J1622" s="224"/>
      <c r="K1622" s="147"/>
      <c r="L1622" s="475"/>
      <c r="M1622" s="224"/>
      <c r="N1622" s="224"/>
      <c r="O1622" s="225"/>
    </row>
    <row r="1623" spans="1:15" ht="18.75" customHeight="1" x14ac:dyDescent="0.3">
      <c r="A1623" s="2402">
        <v>1617</v>
      </c>
      <c r="B1623" s="1122" t="s">
        <v>2724</v>
      </c>
      <c r="C1623" s="216" t="s">
        <v>1344</v>
      </c>
      <c r="D1623" s="793" t="s">
        <v>1146</v>
      </c>
      <c r="E1623" s="217" t="s">
        <v>2746</v>
      </c>
      <c r="F1623" s="218" t="s">
        <v>2437</v>
      </c>
      <c r="G1623" s="116">
        <v>1400</v>
      </c>
      <c r="H1623" s="1776" t="s">
        <v>1349</v>
      </c>
      <c r="I1623" s="34" t="s">
        <v>25</v>
      </c>
      <c r="J1623" s="224"/>
      <c r="K1623" s="147"/>
      <c r="L1623" s="475"/>
      <c r="M1623" s="224"/>
      <c r="N1623" s="224"/>
      <c r="O1623" s="225"/>
    </row>
    <row r="1624" spans="1:15" ht="18.75" customHeight="1" x14ac:dyDescent="0.3">
      <c r="A1624" s="2402">
        <v>1618</v>
      </c>
      <c r="B1624" s="1122" t="s">
        <v>2724</v>
      </c>
      <c r="C1624" s="216" t="s">
        <v>1344</v>
      </c>
      <c r="D1624" s="416" t="s">
        <v>1146</v>
      </c>
      <c r="E1624" s="217" t="s">
        <v>2747</v>
      </c>
      <c r="F1624" s="218" t="s">
        <v>2437</v>
      </c>
      <c r="G1624" s="116">
        <v>1400</v>
      </c>
      <c r="H1624" s="1776" t="s">
        <v>1349</v>
      </c>
      <c r="I1624" s="34" t="s">
        <v>25</v>
      </c>
      <c r="J1624" s="224"/>
      <c r="K1624" s="147"/>
      <c r="L1624" s="475"/>
      <c r="M1624" s="224"/>
      <c r="N1624" s="224"/>
      <c r="O1624" s="225"/>
    </row>
    <row r="1625" spans="1:15" ht="18.75" customHeight="1" x14ac:dyDescent="0.3">
      <c r="A1625" s="2401">
        <v>1619</v>
      </c>
      <c r="B1625" s="1122" t="s">
        <v>2724</v>
      </c>
      <c r="C1625" s="216" t="s">
        <v>1344</v>
      </c>
      <c r="D1625" s="416" t="s">
        <v>1146</v>
      </c>
      <c r="E1625" s="217" t="s">
        <v>2748</v>
      </c>
      <c r="F1625" s="218" t="s">
        <v>2437</v>
      </c>
      <c r="G1625" s="116">
        <v>1400</v>
      </c>
      <c r="H1625" s="1776" t="s">
        <v>1349</v>
      </c>
      <c r="I1625" s="34" t="s">
        <v>25</v>
      </c>
      <c r="J1625" s="224"/>
      <c r="K1625" s="147"/>
      <c r="L1625" s="475"/>
      <c r="M1625" s="224"/>
      <c r="N1625" s="224"/>
      <c r="O1625" s="225"/>
    </row>
    <row r="1626" spans="1:15" ht="18.75" customHeight="1" x14ac:dyDescent="0.3">
      <c r="A1626" s="2402">
        <v>1620</v>
      </c>
      <c r="B1626" s="1122" t="s">
        <v>2724</v>
      </c>
      <c r="C1626" s="216" t="s">
        <v>1344</v>
      </c>
      <c r="D1626" s="416" t="s">
        <v>1146</v>
      </c>
      <c r="E1626" s="217" t="s">
        <v>2749</v>
      </c>
      <c r="F1626" s="218" t="s">
        <v>2437</v>
      </c>
      <c r="G1626" s="116">
        <v>1400</v>
      </c>
      <c r="H1626" s="1776" t="s">
        <v>1349</v>
      </c>
      <c r="I1626" s="34" t="s">
        <v>25</v>
      </c>
      <c r="J1626" s="224"/>
      <c r="K1626" s="147"/>
      <c r="L1626" s="475"/>
      <c r="M1626" s="224"/>
      <c r="N1626" s="224"/>
      <c r="O1626" s="225"/>
    </row>
    <row r="1627" spans="1:15" ht="18.75" customHeight="1" x14ac:dyDescent="0.3">
      <c r="A1627" s="2402">
        <v>1621</v>
      </c>
      <c r="B1627" s="1122" t="s">
        <v>2724</v>
      </c>
      <c r="C1627" s="216" t="s">
        <v>1344</v>
      </c>
      <c r="D1627" s="416" t="s">
        <v>1146</v>
      </c>
      <c r="E1627" s="217" t="s">
        <v>2750</v>
      </c>
      <c r="F1627" s="218" t="s">
        <v>2437</v>
      </c>
      <c r="G1627" s="116">
        <v>1400</v>
      </c>
      <c r="H1627" s="1776" t="s">
        <v>1349</v>
      </c>
      <c r="I1627" s="34" t="s">
        <v>25</v>
      </c>
      <c r="J1627" s="224"/>
      <c r="K1627" s="147"/>
      <c r="L1627" s="475"/>
      <c r="M1627" s="224"/>
      <c r="N1627" s="224"/>
      <c r="O1627" s="225"/>
    </row>
    <row r="1628" spans="1:15" ht="18.75" customHeight="1" x14ac:dyDescent="0.3">
      <c r="A1628" s="2402">
        <v>1622</v>
      </c>
      <c r="B1628" s="1122" t="s">
        <v>2724</v>
      </c>
      <c r="C1628" s="216" t="s">
        <v>1344</v>
      </c>
      <c r="D1628" s="416" t="s">
        <v>1146</v>
      </c>
      <c r="E1628" s="217" t="s">
        <v>2751</v>
      </c>
      <c r="F1628" s="218" t="s">
        <v>2437</v>
      </c>
      <c r="G1628" s="116">
        <v>1400</v>
      </c>
      <c r="H1628" s="1776" t="s">
        <v>1349</v>
      </c>
      <c r="I1628" s="34" t="s">
        <v>25</v>
      </c>
      <c r="J1628" s="224"/>
      <c r="K1628" s="147"/>
      <c r="L1628" s="475"/>
      <c r="M1628" s="224"/>
      <c r="N1628" s="224"/>
      <c r="O1628" s="225"/>
    </row>
    <row r="1629" spans="1:15" ht="18.75" customHeight="1" x14ac:dyDescent="0.3">
      <c r="A1629" s="2402">
        <v>1623</v>
      </c>
      <c r="B1629" s="1122" t="s">
        <v>2724</v>
      </c>
      <c r="C1629" s="216" t="s">
        <v>1344</v>
      </c>
      <c r="D1629" s="416" t="s">
        <v>1146</v>
      </c>
      <c r="E1629" s="217" t="s">
        <v>2752</v>
      </c>
      <c r="F1629" s="218" t="s">
        <v>2437</v>
      </c>
      <c r="G1629" s="116">
        <v>1400</v>
      </c>
      <c r="H1629" s="1776" t="s">
        <v>1349</v>
      </c>
      <c r="I1629" s="34" t="s">
        <v>25</v>
      </c>
      <c r="J1629" s="224"/>
      <c r="K1629" s="147"/>
      <c r="L1629" s="475"/>
      <c r="M1629" s="224"/>
      <c r="N1629" s="224"/>
      <c r="O1629" s="225"/>
    </row>
    <row r="1630" spans="1:15" ht="18.75" customHeight="1" x14ac:dyDescent="0.3">
      <c r="A1630" s="2401">
        <v>1624</v>
      </c>
      <c r="B1630" s="1122" t="s">
        <v>2724</v>
      </c>
      <c r="C1630" s="216" t="s">
        <v>1344</v>
      </c>
      <c r="D1630" s="416" t="s">
        <v>1146</v>
      </c>
      <c r="E1630" s="217" t="s">
        <v>2753</v>
      </c>
      <c r="F1630" s="218" t="s">
        <v>2437</v>
      </c>
      <c r="G1630" s="116">
        <v>1400</v>
      </c>
      <c r="H1630" s="1776" t="s">
        <v>1349</v>
      </c>
      <c r="I1630" s="34" t="s">
        <v>25</v>
      </c>
      <c r="J1630" s="224"/>
      <c r="K1630" s="147"/>
      <c r="L1630" s="475"/>
      <c r="M1630" s="224"/>
      <c r="N1630" s="224"/>
      <c r="O1630" s="225"/>
    </row>
    <row r="1631" spans="1:15" ht="18.75" customHeight="1" x14ac:dyDescent="0.3">
      <c r="A1631" s="2402">
        <v>1625</v>
      </c>
      <c r="B1631" s="1122" t="s">
        <v>2724</v>
      </c>
      <c r="C1631" s="216" t="s">
        <v>1344</v>
      </c>
      <c r="D1631" s="416" t="s">
        <v>1146</v>
      </c>
      <c r="E1631" s="217" t="s">
        <v>2754</v>
      </c>
      <c r="F1631" s="218" t="s">
        <v>2437</v>
      </c>
      <c r="G1631" s="116">
        <v>1400</v>
      </c>
      <c r="H1631" s="1776" t="s">
        <v>1349</v>
      </c>
      <c r="I1631" s="34" t="s">
        <v>25</v>
      </c>
      <c r="J1631" s="224"/>
      <c r="K1631" s="147"/>
      <c r="L1631" s="475"/>
      <c r="M1631" s="224"/>
      <c r="N1631" s="224"/>
      <c r="O1631" s="225"/>
    </row>
    <row r="1632" spans="1:15" ht="18.75" customHeight="1" x14ac:dyDescent="0.3">
      <c r="A1632" s="2402">
        <v>1626</v>
      </c>
      <c r="B1632" s="1122" t="s">
        <v>2724</v>
      </c>
      <c r="C1632" s="216" t="s">
        <v>1344</v>
      </c>
      <c r="D1632" s="416" t="s">
        <v>1146</v>
      </c>
      <c r="E1632" s="217" t="s">
        <v>2755</v>
      </c>
      <c r="F1632" s="218" t="s">
        <v>2437</v>
      </c>
      <c r="G1632" s="116">
        <v>1400</v>
      </c>
      <c r="H1632" s="1776" t="s">
        <v>1349</v>
      </c>
      <c r="I1632" s="34" t="s">
        <v>25</v>
      </c>
      <c r="J1632" s="224"/>
      <c r="K1632" s="147"/>
      <c r="L1632" s="475"/>
      <c r="M1632" s="224"/>
      <c r="N1632" s="224"/>
      <c r="O1632" s="225"/>
    </row>
    <row r="1633" spans="1:15" ht="18.75" customHeight="1" x14ac:dyDescent="0.3">
      <c r="A1633" s="2401">
        <v>1627</v>
      </c>
      <c r="B1633" s="1122" t="s">
        <v>2724</v>
      </c>
      <c r="C1633" s="216" t="s">
        <v>1344</v>
      </c>
      <c r="D1633" s="416" t="s">
        <v>1146</v>
      </c>
      <c r="E1633" s="217" t="s">
        <v>2756</v>
      </c>
      <c r="F1633" s="218" t="s">
        <v>2437</v>
      </c>
      <c r="G1633" s="116">
        <v>1400</v>
      </c>
      <c r="H1633" s="1776" t="s">
        <v>1349</v>
      </c>
      <c r="I1633" s="34" t="s">
        <v>25</v>
      </c>
      <c r="J1633" s="224"/>
      <c r="K1633" s="147"/>
      <c r="L1633" s="475"/>
      <c r="M1633" s="224"/>
      <c r="N1633" s="224"/>
      <c r="O1633" s="225"/>
    </row>
    <row r="1634" spans="1:15" ht="18.75" customHeight="1" x14ac:dyDescent="0.3">
      <c r="A1634" s="2402">
        <v>1628</v>
      </c>
      <c r="B1634" s="1122" t="s">
        <v>2724</v>
      </c>
      <c r="C1634" s="216" t="s">
        <v>1344</v>
      </c>
      <c r="D1634" s="452" t="s">
        <v>1146</v>
      </c>
      <c r="E1634" s="217" t="s">
        <v>2757</v>
      </c>
      <c r="F1634" s="218" t="s">
        <v>2437</v>
      </c>
      <c r="G1634" s="116">
        <v>1400</v>
      </c>
      <c r="H1634" s="1776" t="s">
        <v>1349</v>
      </c>
      <c r="I1634" s="34" t="s">
        <v>25</v>
      </c>
      <c r="J1634" s="224"/>
      <c r="K1634" s="147"/>
      <c r="L1634" s="475"/>
      <c r="M1634" s="224"/>
      <c r="N1634" s="224"/>
      <c r="O1634" s="225"/>
    </row>
    <row r="1635" spans="1:15" ht="18.75" customHeight="1" x14ac:dyDescent="0.3">
      <c r="A1635" s="2402">
        <v>1629</v>
      </c>
      <c r="B1635" s="1122" t="s">
        <v>2724</v>
      </c>
      <c r="C1635" s="216" t="s">
        <v>1344</v>
      </c>
      <c r="D1635" s="495" t="s">
        <v>1146</v>
      </c>
      <c r="E1635" s="217" t="s">
        <v>2758</v>
      </c>
      <c r="F1635" s="218" t="s">
        <v>2437</v>
      </c>
      <c r="G1635" s="116">
        <v>1400</v>
      </c>
      <c r="H1635" s="1776" t="s">
        <v>1349</v>
      </c>
      <c r="I1635" s="34" t="s">
        <v>25</v>
      </c>
      <c r="J1635" s="224"/>
      <c r="K1635" s="147"/>
      <c r="L1635" s="475"/>
      <c r="M1635" s="224"/>
      <c r="N1635" s="224"/>
      <c r="O1635" s="225"/>
    </row>
    <row r="1636" spans="1:15" ht="18.75" customHeight="1" x14ac:dyDescent="0.3">
      <c r="A1636" s="2402">
        <v>1630</v>
      </c>
      <c r="B1636" s="1122" t="s">
        <v>2724</v>
      </c>
      <c r="C1636" s="216" t="s">
        <v>1344</v>
      </c>
      <c r="D1636" s="793" t="s">
        <v>1146</v>
      </c>
      <c r="E1636" s="217" t="s">
        <v>2759</v>
      </c>
      <c r="F1636" s="218" t="s">
        <v>2437</v>
      </c>
      <c r="G1636" s="116">
        <v>1400</v>
      </c>
      <c r="H1636" s="1776" t="s">
        <v>1349</v>
      </c>
      <c r="I1636" s="34" t="s">
        <v>25</v>
      </c>
      <c r="J1636" s="224"/>
      <c r="K1636" s="147"/>
      <c r="L1636" s="475"/>
      <c r="M1636" s="224"/>
      <c r="N1636" s="224"/>
      <c r="O1636" s="225"/>
    </row>
    <row r="1637" spans="1:15" ht="18.75" customHeight="1" x14ac:dyDescent="0.3">
      <c r="A1637" s="2402">
        <v>1631</v>
      </c>
      <c r="B1637" s="1122" t="s">
        <v>2724</v>
      </c>
      <c r="C1637" s="216" t="s">
        <v>1344</v>
      </c>
      <c r="D1637" s="416" t="s">
        <v>1146</v>
      </c>
      <c r="E1637" s="217" t="s">
        <v>2760</v>
      </c>
      <c r="F1637" s="218" t="s">
        <v>2437</v>
      </c>
      <c r="G1637" s="116">
        <v>1400</v>
      </c>
      <c r="H1637" s="1776" t="s">
        <v>1349</v>
      </c>
      <c r="I1637" s="34" t="s">
        <v>25</v>
      </c>
      <c r="J1637" s="224"/>
      <c r="K1637" s="147"/>
      <c r="L1637" s="475"/>
      <c r="M1637" s="224"/>
      <c r="N1637" s="224"/>
      <c r="O1637" s="225"/>
    </row>
    <row r="1638" spans="1:15" ht="18.75" customHeight="1" x14ac:dyDescent="0.3">
      <c r="A1638" s="2401">
        <v>1632</v>
      </c>
      <c r="B1638" s="1122" t="s">
        <v>2724</v>
      </c>
      <c r="C1638" s="216" t="s">
        <v>1344</v>
      </c>
      <c r="D1638" s="416" t="s">
        <v>1146</v>
      </c>
      <c r="E1638" s="217" t="s">
        <v>2761</v>
      </c>
      <c r="F1638" s="218" t="s">
        <v>2437</v>
      </c>
      <c r="G1638" s="116">
        <v>1400</v>
      </c>
      <c r="H1638" s="1776" t="s">
        <v>1349</v>
      </c>
      <c r="I1638" s="34" t="s">
        <v>25</v>
      </c>
      <c r="J1638" s="224"/>
      <c r="K1638" s="147"/>
      <c r="L1638" s="475"/>
      <c r="M1638" s="224"/>
      <c r="N1638" s="224"/>
      <c r="O1638" s="225"/>
    </row>
    <row r="1639" spans="1:15" ht="18.75" customHeight="1" x14ac:dyDescent="0.3">
      <c r="A1639" s="2402">
        <v>1633</v>
      </c>
      <c r="B1639" s="1122" t="s">
        <v>2724</v>
      </c>
      <c r="C1639" s="216" t="s">
        <v>1344</v>
      </c>
      <c r="D1639" s="416" t="s">
        <v>1146</v>
      </c>
      <c r="E1639" s="217" t="s">
        <v>2762</v>
      </c>
      <c r="F1639" s="218" t="s">
        <v>2437</v>
      </c>
      <c r="G1639" s="116">
        <v>1400</v>
      </c>
      <c r="H1639" s="1776" t="s">
        <v>1349</v>
      </c>
      <c r="I1639" s="34" t="s">
        <v>25</v>
      </c>
      <c r="J1639" s="224"/>
      <c r="K1639" s="147"/>
      <c r="L1639" s="475"/>
      <c r="M1639" s="224"/>
      <c r="N1639" s="224"/>
      <c r="O1639" s="225"/>
    </row>
    <row r="1640" spans="1:15" ht="18.75" customHeight="1" x14ac:dyDescent="0.3">
      <c r="A1640" s="2402">
        <v>1634</v>
      </c>
      <c r="B1640" s="1122" t="s">
        <v>2724</v>
      </c>
      <c r="C1640" s="216" t="s">
        <v>1344</v>
      </c>
      <c r="D1640" s="416" t="s">
        <v>1146</v>
      </c>
      <c r="E1640" s="217" t="s">
        <v>2763</v>
      </c>
      <c r="F1640" s="218" t="s">
        <v>2437</v>
      </c>
      <c r="G1640" s="116">
        <v>1400</v>
      </c>
      <c r="H1640" s="1776" t="s">
        <v>1349</v>
      </c>
      <c r="I1640" s="34" t="s">
        <v>25</v>
      </c>
      <c r="J1640" s="224"/>
      <c r="K1640" s="147"/>
      <c r="L1640" s="475"/>
      <c r="M1640" s="224"/>
      <c r="N1640" s="224"/>
      <c r="O1640" s="225"/>
    </row>
    <row r="1641" spans="1:15" ht="18.75" customHeight="1" x14ac:dyDescent="0.3">
      <c r="A1641" s="2401">
        <v>1635</v>
      </c>
      <c r="B1641" s="1122" t="s">
        <v>2724</v>
      </c>
      <c r="C1641" s="216" t="s">
        <v>1344</v>
      </c>
      <c r="D1641" s="416" t="s">
        <v>1146</v>
      </c>
      <c r="E1641" s="217" t="s">
        <v>2764</v>
      </c>
      <c r="F1641" s="218" t="s">
        <v>2437</v>
      </c>
      <c r="G1641" s="116">
        <v>1400</v>
      </c>
      <c r="H1641" s="1776" t="s">
        <v>1349</v>
      </c>
      <c r="I1641" s="34" t="s">
        <v>25</v>
      </c>
      <c r="J1641" s="224"/>
      <c r="K1641" s="147"/>
      <c r="L1641" s="475"/>
      <c r="M1641" s="224"/>
      <c r="N1641" s="224"/>
      <c r="O1641" s="225"/>
    </row>
    <row r="1642" spans="1:15" ht="18.75" customHeight="1" x14ac:dyDescent="0.3">
      <c r="A1642" s="2402">
        <v>1636</v>
      </c>
      <c r="B1642" s="1122" t="s">
        <v>2724</v>
      </c>
      <c r="C1642" s="216" t="s">
        <v>1344</v>
      </c>
      <c r="D1642" s="416" t="s">
        <v>1146</v>
      </c>
      <c r="E1642" s="217" t="s">
        <v>2765</v>
      </c>
      <c r="F1642" s="218" t="s">
        <v>2437</v>
      </c>
      <c r="G1642" s="116">
        <v>1400</v>
      </c>
      <c r="H1642" s="1776" t="s">
        <v>1349</v>
      </c>
      <c r="I1642" s="34" t="s">
        <v>25</v>
      </c>
      <c r="J1642" s="224"/>
      <c r="K1642" s="147"/>
      <c r="L1642" s="475"/>
      <c r="M1642" s="224"/>
      <c r="N1642" s="224"/>
      <c r="O1642" s="225"/>
    </row>
    <row r="1643" spans="1:15" ht="18.75" customHeight="1" x14ac:dyDescent="0.3">
      <c r="A1643" s="2402">
        <v>1637</v>
      </c>
      <c r="B1643" s="1122" t="s">
        <v>2724</v>
      </c>
      <c r="C1643" s="216" t="s">
        <v>1344</v>
      </c>
      <c r="D1643" s="416" t="s">
        <v>1146</v>
      </c>
      <c r="E1643" s="217" t="s">
        <v>2766</v>
      </c>
      <c r="F1643" s="218" t="s">
        <v>2437</v>
      </c>
      <c r="G1643" s="116">
        <v>1400</v>
      </c>
      <c r="H1643" s="1776" t="s">
        <v>1349</v>
      </c>
      <c r="I1643" s="34" t="s">
        <v>25</v>
      </c>
      <c r="J1643" s="224"/>
      <c r="K1643" s="147"/>
      <c r="L1643" s="475"/>
      <c r="M1643" s="224"/>
      <c r="N1643" s="224"/>
      <c r="O1643" s="225"/>
    </row>
    <row r="1644" spans="1:15" ht="18.75" customHeight="1" x14ac:dyDescent="0.3">
      <c r="A1644" s="2402">
        <v>1638</v>
      </c>
      <c r="B1644" s="1122" t="s">
        <v>2724</v>
      </c>
      <c r="C1644" s="216" t="s">
        <v>1344</v>
      </c>
      <c r="D1644" s="416" t="s">
        <v>1146</v>
      </c>
      <c r="E1644" s="217" t="s">
        <v>2767</v>
      </c>
      <c r="F1644" s="218" t="s">
        <v>2437</v>
      </c>
      <c r="G1644" s="116">
        <v>1400</v>
      </c>
      <c r="H1644" s="1776" t="s">
        <v>1349</v>
      </c>
      <c r="I1644" s="34" t="s">
        <v>25</v>
      </c>
      <c r="J1644" s="224"/>
      <c r="K1644" s="147"/>
      <c r="L1644" s="475"/>
      <c r="M1644" s="224"/>
      <c r="N1644" s="224"/>
      <c r="O1644" s="225"/>
    </row>
    <row r="1645" spans="1:15" ht="18.75" customHeight="1" x14ac:dyDescent="0.3">
      <c r="A1645" s="2402">
        <v>1639</v>
      </c>
      <c r="B1645" s="1122" t="s">
        <v>2724</v>
      </c>
      <c r="C1645" s="216" t="s">
        <v>1344</v>
      </c>
      <c r="D1645" s="416" t="s">
        <v>1146</v>
      </c>
      <c r="E1645" s="217" t="s">
        <v>2768</v>
      </c>
      <c r="F1645" s="218" t="s">
        <v>2437</v>
      </c>
      <c r="G1645" s="116">
        <v>1400</v>
      </c>
      <c r="H1645" s="1776" t="s">
        <v>1349</v>
      </c>
      <c r="I1645" s="34" t="s">
        <v>25</v>
      </c>
      <c r="J1645" s="224"/>
      <c r="K1645" s="147"/>
      <c r="L1645" s="475"/>
      <c r="M1645" s="224"/>
      <c r="N1645" s="224"/>
      <c r="O1645" s="225"/>
    </row>
    <row r="1646" spans="1:15" ht="18.75" customHeight="1" x14ac:dyDescent="0.3">
      <c r="A1646" s="2401">
        <v>1640</v>
      </c>
      <c r="B1646" s="1122" t="s">
        <v>2724</v>
      </c>
      <c r="C1646" s="216" t="s">
        <v>1344</v>
      </c>
      <c r="D1646" s="416" t="s">
        <v>1146</v>
      </c>
      <c r="E1646" s="217" t="s">
        <v>2769</v>
      </c>
      <c r="F1646" s="218" t="s">
        <v>2437</v>
      </c>
      <c r="G1646" s="116">
        <v>1400</v>
      </c>
      <c r="H1646" s="1776" t="s">
        <v>1349</v>
      </c>
      <c r="I1646" s="34" t="s">
        <v>25</v>
      </c>
      <c r="J1646" s="224"/>
      <c r="K1646" s="147"/>
      <c r="L1646" s="475"/>
      <c r="M1646" s="224"/>
      <c r="N1646" s="224"/>
      <c r="O1646" s="225"/>
    </row>
    <row r="1647" spans="1:15" ht="18.75" customHeight="1" x14ac:dyDescent="0.3">
      <c r="A1647" s="2402">
        <v>1641</v>
      </c>
      <c r="B1647" s="1122" t="s">
        <v>2724</v>
      </c>
      <c r="C1647" s="216" t="s">
        <v>1344</v>
      </c>
      <c r="D1647" s="416" t="s">
        <v>1146</v>
      </c>
      <c r="E1647" s="217" t="s">
        <v>2770</v>
      </c>
      <c r="F1647" s="218" t="s">
        <v>2437</v>
      </c>
      <c r="G1647" s="116">
        <v>1400</v>
      </c>
      <c r="H1647" s="1776" t="s">
        <v>1349</v>
      </c>
      <c r="I1647" s="34" t="s">
        <v>25</v>
      </c>
      <c r="J1647" s="224"/>
      <c r="K1647" s="147"/>
      <c r="L1647" s="475"/>
      <c r="M1647" s="224"/>
      <c r="N1647" s="224"/>
      <c r="O1647" s="225"/>
    </row>
    <row r="1648" spans="1:15" ht="18.75" customHeight="1" x14ac:dyDescent="0.3">
      <c r="A1648" s="2402">
        <v>1642</v>
      </c>
      <c r="B1648" s="1122" t="s">
        <v>2724</v>
      </c>
      <c r="C1648" s="216" t="s">
        <v>1344</v>
      </c>
      <c r="D1648" s="452" t="s">
        <v>1146</v>
      </c>
      <c r="E1648" s="217" t="s">
        <v>2771</v>
      </c>
      <c r="F1648" s="218" t="s">
        <v>2437</v>
      </c>
      <c r="G1648" s="116">
        <v>1400</v>
      </c>
      <c r="H1648" s="1776" t="s">
        <v>1349</v>
      </c>
      <c r="I1648" s="34" t="s">
        <v>25</v>
      </c>
      <c r="J1648" s="224"/>
      <c r="K1648" s="147"/>
      <c r="L1648" s="475"/>
      <c r="M1648" s="224"/>
      <c r="N1648" s="224"/>
      <c r="O1648" s="225"/>
    </row>
    <row r="1649" spans="1:15" ht="18.75" customHeight="1" x14ac:dyDescent="0.3">
      <c r="A1649" s="2401">
        <v>1643</v>
      </c>
      <c r="B1649" s="1122" t="s">
        <v>2724</v>
      </c>
      <c r="C1649" s="216" t="s">
        <v>1344</v>
      </c>
      <c r="D1649" s="495" t="s">
        <v>1146</v>
      </c>
      <c r="E1649" s="217" t="s">
        <v>2772</v>
      </c>
      <c r="F1649" s="218" t="s">
        <v>2437</v>
      </c>
      <c r="G1649" s="116">
        <v>1400</v>
      </c>
      <c r="H1649" s="1776" t="s">
        <v>1349</v>
      </c>
      <c r="I1649" s="34" t="s">
        <v>25</v>
      </c>
      <c r="J1649" s="224"/>
      <c r="K1649" s="147"/>
      <c r="L1649" s="475"/>
      <c r="M1649" s="224"/>
      <c r="N1649" s="224"/>
      <c r="O1649" s="225"/>
    </row>
    <row r="1650" spans="1:15" ht="18.75" customHeight="1" x14ac:dyDescent="0.3">
      <c r="A1650" s="2402">
        <v>1644</v>
      </c>
      <c r="B1650" s="1122" t="s">
        <v>2724</v>
      </c>
      <c r="C1650" s="216" t="s">
        <v>1344</v>
      </c>
      <c r="D1650" s="793" t="s">
        <v>1146</v>
      </c>
      <c r="E1650" s="217" t="s">
        <v>2773</v>
      </c>
      <c r="F1650" s="218" t="s">
        <v>2437</v>
      </c>
      <c r="G1650" s="116">
        <v>1400</v>
      </c>
      <c r="H1650" s="1776" t="s">
        <v>1349</v>
      </c>
      <c r="I1650" s="34" t="s">
        <v>25</v>
      </c>
      <c r="J1650" s="224"/>
      <c r="K1650" s="147"/>
      <c r="L1650" s="475"/>
      <c r="M1650" s="224"/>
      <c r="N1650" s="224"/>
      <c r="O1650" s="225"/>
    </row>
    <row r="1651" spans="1:15" ht="18.75" customHeight="1" x14ac:dyDescent="0.3">
      <c r="A1651" s="2402">
        <v>1645</v>
      </c>
      <c r="B1651" s="1122" t="s">
        <v>2724</v>
      </c>
      <c r="C1651" s="216" t="s">
        <v>1344</v>
      </c>
      <c r="D1651" s="416" t="s">
        <v>1146</v>
      </c>
      <c r="E1651" s="217" t="s">
        <v>2774</v>
      </c>
      <c r="F1651" s="218" t="s">
        <v>2437</v>
      </c>
      <c r="G1651" s="116">
        <v>1400</v>
      </c>
      <c r="H1651" s="1776" t="s">
        <v>1349</v>
      </c>
      <c r="I1651" s="34" t="s">
        <v>25</v>
      </c>
      <c r="J1651" s="224"/>
      <c r="K1651" s="147"/>
      <c r="L1651" s="475"/>
      <c r="M1651" s="224"/>
      <c r="N1651" s="224"/>
      <c r="O1651" s="225"/>
    </row>
    <row r="1652" spans="1:15" ht="18.75" customHeight="1" x14ac:dyDescent="0.3">
      <c r="A1652" s="2402">
        <v>1646</v>
      </c>
      <c r="B1652" s="1122" t="s">
        <v>2724</v>
      </c>
      <c r="C1652" s="216" t="s">
        <v>1344</v>
      </c>
      <c r="D1652" s="416" t="s">
        <v>1146</v>
      </c>
      <c r="E1652" s="217" t="s">
        <v>2775</v>
      </c>
      <c r="F1652" s="218" t="s">
        <v>2437</v>
      </c>
      <c r="G1652" s="116">
        <v>1400</v>
      </c>
      <c r="H1652" s="1776" t="s">
        <v>1349</v>
      </c>
      <c r="I1652" s="34" t="s">
        <v>25</v>
      </c>
      <c r="J1652" s="224"/>
      <c r="K1652" s="147"/>
      <c r="L1652" s="475"/>
      <c r="M1652" s="224"/>
      <c r="N1652" s="224"/>
      <c r="O1652" s="225"/>
    </row>
    <row r="1653" spans="1:15" ht="18.75" customHeight="1" x14ac:dyDescent="0.3">
      <c r="A1653" s="2402">
        <v>1647</v>
      </c>
      <c r="B1653" s="1122" t="s">
        <v>2724</v>
      </c>
      <c r="C1653" s="216" t="s">
        <v>1344</v>
      </c>
      <c r="D1653" s="416" t="s">
        <v>1146</v>
      </c>
      <c r="E1653" s="217" t="s">
        <v>2776</v>
      </c>
      <c r="F1653" s="218" t="s">
        <v>2437</v>
      </c>
      <c r="G1653" s="116">
        <v>1400</v>
      </c>
      <c r="H1653" s="1776" t="s">
        <v>1349</v>
      </c>
      <c r="I1653" s="34" t="s">
        <v>25</v>
      </c>
      <c r="J1653" s="224"/>
      <c r="K1653" s="147"/>
      <c r="L1653" s="475"/>
      <c r="M1653" s="224"/>
      <c r="N1653" s="224"/>
      <c r="O1653" s="225"/>
    </row>
    <row r="1654" spans="1:15" ht="18.75" customHeight="1" x14ac:dyDescent="0.3">
      <c r="A1654" s="2401">
        <v>1648</v>
      </c>
      <c r="B1654" s="1122" t="s">
        <v>2724</v>
      </c>
      <c r="C1654" s="216" t="s">
        <v>1344</v>
      </c>
      <c r="D1654" s="416" t="s">
        <v>1146</v>
      </c>
      <c r="E1654" s="217" t="s">
        <v>2777</v>
      </c>
      <c r="F1654" s="218" t="s">
        <v>2437</v>
      </c>
      <c r="G1654" s="116">
        <v>1400</v>
      </c>
      <c r="H1654" s="1776" t="s">
        <v>1349</v>
      </c>
      <c r="I1654" s="34" t="s">
        <v>25</v>
      </c>
      <c r="J1654" s="224"/>
      <c r="K1654" s="147"/>
      <c r="L1654" s="475"/>
      <c r="M1654" s="224"/>
      <c r="N1654" s="224"/>
      <c r="O1654" s="225"/>
    </row>
    <row r="1655" spans="1:15" ht="18.75" customHeight="1" x14ac:dyDescent="0.3">
      <c r="A1655" s="2402">
        <v>1649</v>
      </c>
      <c r="B1655" s="1122" t="s">
        <v>2724</v>
      </c>
      <c r="C1655" s="216" t="s">
        <v>1344</v>
      </c>
      <c r="D1655" s="416" t="s">
        <v>1146</v>
      </c>
      <c r="E1655" s="217" t="s">
        <v>2778</v>
      </c>
      <c r="F1655" s="218" t="s">
        <v>2437</v>
      </c>
      <c r="G1655" s="116">
        <v>1400</v>
      </c>
      <c r="H1655" s="1776" t="s">
        <v>1349</v>
      </c>
      <c r="I1655" s="34" t="s">
        <v>25</v>
      </c>
      <c r="J1655" s="224"/>
      <c r="K1655" s="147"/>
      <c r="L1655" s="475"/>
      <c r="M1655" s="224"/>
      <c r="N1655" s="224"/>
      <c r="O1655" s="225"/>
    </row>
    <row r="1656" spans="1:15" ht="18.75" customHeight="1" x14ac:dyDescent="0.3">
      <c r="A1656" s="2402">
        <v>1650</v>
      </c>
      <c r="B1656" s="1122" t="s">
        <v>2724</v>
      </c>
      <c r="C1656" s="216" t="s">
        <v>1344</v>
      </c>
      <c r="D1656" s="416" t="s">
        <v>1146</v>
      </c>
      <c r="E1656" s="217" t="s">
        <v>2779</v>
      </c>
      <c r="F1656" s="218" t="s">
        <v>2437</v>
      </c>
      <c r="G1656" s="116">
        <v>1400</v>
      </c>
      <c r="H1656" s="1776" t="s">
        <v>1349</v>
      </c>
      <c r="I1656" s="34" t="s">
        <v>25</v>
      </c>
      <c r="J1656" s="224"/>
      <c r="K1656" s="147"/>
      <c r="L1656" s="475"/>
      <c r="M1656" s="224"/>
      <c r="N1656" s="224"/>
      <c r="O1656" s="225"/>
    </row>
    <row r="1657" spans="1:15" ht="18.75" customHeight="1" x14ac:dyDescent="0.3">
      <c r="A1657" s="2401">
        <v>1651</v>
      </c>
      <c r="B1657" s="1122" t="s">
        <v>2724</v>
      </c>
      <c r="C1657" s="216" t="s">
        <v>1344</v>
      </c>
      <c r="D1657" s="416" t="s">
        <v>1146</v>
      </c>
      <c r="E1657" s="217" t="s">
        <v>2780</v>
      </c>
      <c r="F1657" s="218" t="s">
        <v>2437</v>
      </c>
      <c r="G1657" s="116">
        <v>1400</v>
      </c>
      <c r="H1657" s="1776" t="s">
        <v>1349</v>
      </c>
      <c r="I1657" s="34" t="s">
        <v>25</v>
      </c>
      <c r="J1657" s="224"/>
      <c r="K1657" s="147"/>
      <c r="L1657" s="475"/>
      <c r="M1657" s="224"/>
      <c r="N1657" s="224"/>
      <c r="O1657" s="225"/>
    </row>
    <row r="1658" spans="1:15" ht="18.75" customHeight="1" x14ac:dyDescent="0.3">
      <c r="A1658" s="2402">
        <v>1652</v>
      </c>
      <c r="B1658" s="1122" t="s">
        <v>2724</v>
      </c>
      <c r="C1658" s="216" t="s">
        <v>1344</v>
      </c>
      <c r="D1658" s="416" t="s">
        <v>1146</v>
      </c>
      <c r="E1658" s="217" t="s">
        <v>2781</v>
      </c>
      <c r="F1658" s="218" t="s">
        <v>2437</v>
      </c>
      <c r="G1658" s="116">
        <v>1400</v>
      </c>
      <c r="H1658" s="1776" t="s">
        <v>1349</v>
      </c>
      <c r="I1658" s="34" t="s">
        <v>25</v>
      </c>
      <c r="J1658" s="224"/>
      <c r="K1658" s="147"/>
      <c r="L1658" s="475"/>
      <c r="M1658" s="224"/>
      <c r="N1658" s="224"/>
      <c r="O1658" s="225"/>
    </row>
    <row r="1659" spans="1:15" ht="18.75" customHeight="1" x14ac:dyDescent="0.3">
      <c r="A1659" s="2402">
        <v>1653</v>
      </c>
      <c r="B1659" s="1122" t="s">
        <v>2724</v>
      </c>
      <c r="C1659" s="216" t="s">
        <v>1344</v>
      </c>
      <c r="D1659" s="416" t="s">
        <v>1146</v>
      </c>
      <c r="E1659" s="217" t="s">
        <v>2782</v>
      </c>
      <c r="F1659" s="218" t="s">
        <v>2437</v>
      </c>
      <c r="G1659" s="116">
        <v>1400</v>
      </c>
      <c r="H1659" s="1776" t="s">
        <v>1349</v>
      </c>
      <c r="I1659" s="34" t="s">
        <v>25</v>
      </c>
      <c r="J1659" s="224"/>
      <c r="K1659" s="147"/>
      <c r="L1659" s="475"/>
      <c r="M1659" s="224"/>
      <c r="N1659" s="224"/>
      <c r="O1659" s="225"/>
    </row>
    <row r="1660" spans="1:15" ht="18.75" customHeight="1" x14ac:dyDescent="0.3">
      <c r="A1660" s="2402">
        <v>1654</v>
      </c>
      <c r="B1660" s="1122" t="s">
        <v>2724</v>
      </c>
      <c r="C1660" s="216" t="s">
        <v>1344</v>
      </c>
      <c r="D1660" s="416" t="s">
        <v>1146</v>
      </c>
      <c r="E1660" s="217" t="s">
        <v>2783</v>
      </c>
      <c r="F1660" s="218" t="s">
        <v>2437</v>
      </c>
      <c r="G1660" s="116">
        <v>1400</v>
      </c>
      <c r="H1660" s="1776" t="s">
        <v>1349</v>
      </c>
      <c r="I1660" s="34" t="s">
        <v>25</v>
      </c>
      <c r="J1660" s="224"/>
      <c r="K1660" s="147"/>
      <c r="L1660" s="475"/>
      <c r="M1660" s="224"/>
      <c r="N1660" s="224"/>
      <c r="O1660" s="225"/>
    </row>
    <row r="1661" spans="1:15" ht="18.75" customHeight="1" x14ac:dyDescent="0.3">
      <c r="A1661" s="2402">
        <v>1655</v>
      </c>
      <c r="B1661" s="1122" t="s">
        <v>2724</v>
      </c>
      <c r="C1661" s="216" t="s">
        <v>1344</v>
      </c>
      <c r="D1661" s="416" t="s">
        <v>1146</v>
      </c>
      <c r="E1661" s="217" t="s">
        <v>2784</v>
      </c>
      <c r="F1661" s="218" t="s">
        <v>2437</v>
      </c>
      <c r="G1661" s="116">
        <v>1400</v>
      </c>
      <c r="H1661" s="1776" t="s">
        <v>1349</v>
      </c>
      <c r="I1661" s="34" t="s">
        <v>25</v>
      </c>
      <c r="J1661" s="224"/>
      <c r="K1661" s="147"/>
      <c r="L1661" s="475"/>
      <c r="M1661" s="224"/>
      <c r="N1661" s="224"/>
      <c r="O1661" s="225"/>
    </row>
    <row r="1662" spans="1:15" ht="18.75" customHeight="1" x14ac:dyDescent="0.3">
      <c r="A1662" s="2401">
        <v>1656</v>
      </c>
      <c r="B1662" s="1122" t="s">
        <v>2724</v>
      </c>
      <c r="C1662" s="216" t="s">
        <v>1344</v>
      </c>
      <c r="D1662" s="452" t="s">
        <v>1146</v>
      </c>
      <c r="E1662" s="217" t="s">
        <v>2785</v>
      </c>
      <c r="F1662" s="218" t="s">
        <v>2437</v>
      </c>
      <c r="G1662" s="116">
        <v>1400</v>
      </c>
      <c r="H1662" s="1776" t="s">
        <v>1349</v>
      </c>
      <c r="I1662" s="34" t="s">
        <v>25</v>
      </c>
      <c r="J1662" s="224"/>
      <c r="K1662" s="147"/>
      <c r="L1662" s="475"/>
      <c r="M1662" s="224"/>
      <c r="N1662" s="224"/>
      <c r="O1662" s="225"/>
    </row>
    <row r="1663" spans="1:15" ht="18.75" customHeight="1" x14ac:dyDescent="0.3">
      <c r="A1663" s="2402">
        <v>1657</v>
      </c>
      <c r="B1663" s="1122" t="s">
        <v>2724</v>
      </c>
      <c r="C1663" s="216" t="s">
        <v>1344</v>
      </c>
      <c r="D1663" s="495" t="s">
        <v>1146</v>
      </c>
      <c r="E1663" s="217" t="s">
        <v>2786</v>
      </c>
      <c r="F1663" s="218" t="s">
        <v>2437</v>
      </c>
      <c r="G1663" s="116">
        <v>1400</v>
      </c>
      <c r="H1663" s="1776" t="s">
        <v>1349</v>
      </c>
      <c r="I1663" s="34" t="s">
        <v>25</v>
      </c>
      <c r="J1663" s="224"/>
      <c r="K1663" s="147"/>
      <c r="L1663" s="475"/>
      <c r="M1663" s="224"/>
      <c r="N1663" s="224"/>
      <c r="O1663" s="225"/>
    </row>
    <row r="1664" spans="1:15" ht="18.75" customHeight="1" x14ac:dyDescent="0.3">
      <c r="A1664" s="2402">
        <v>1658</v>
      </c>
      <c r="B1664" s="1122" t="s">
        <v>2724</v>
      </c>
      <c r="C1664" s="216" t="s">
        <v>1344</v>
      </c>
      <c r="D1664" s="793" t="s">
        <v>1146</v>
      </c>
      <c r="E1664" s="217" t="s">
        <v>2787</v>
      </c>
      <c r="F1664" s="218" t="s">
        <v>2437</v>
      </c>
      <c r="G1664" s="116">
        <v>1400</v>
      </c>
      <c r="H1664" s="1776" t="s">
        <v>1349</v>
      </c>
      <c r="I1664" s="34" t="s">
        <v>25</v>
      </c>
      <c r="J1664" s="224"/>
      <c r="K1664" s="147"/>
      <c r="L1664" s="475"/>
      <c r="M1664" s="224"/>
      <c r="N1664" s="224"/>
      <c r="O1664" s="225"/>
    </row>
    <row r="1665" spans="1:15" ht="18.75" customHeight="1" x14ac:dyDescent="0.3">
      <c r="A1665" s="2401">
        <v>1659</v>
      </c>
      <c r="B1665" s="1122" t="s">
        <v>2724</v>
      </c>
      <c r="C1665" s="216" t="s">
        <v>1344</v>
      </c>
      <c r="D1665" s="416" t="s">
        <v>1146</v>
      </c>
      <c r="E1665" s="217" t="s">
        <v>2788</v>
      </c>
      <c r="F1665" s="218" t="s">
        <v>2437</v>
      </c>
      <c r="G1665" s="116">
        <v>1400</v>
      </c>
      <c r="H1665" s="1776" t="s">
        <v>1349</v>
      </c>
      <c r="I1665" s="34" t="s">
        <v>25</v>
      </c>
      <c r="J1665" s="224"/>
      <c r="K1665" s="147"/>
      <c r="L1665" s="475"/>
      <c r="M1665" s="224"/>
      <c r="N1665" s="224"/>
      <c r="O1665" s="225"/>
    </row>
    <row r="1666" spans="1:15" ht="18.75" customHeight="1" x14ac:dyDescent="0.3">
      <c r="A1666" s="2402">
        <v>1660</v>
      </c>
      <c r="B1666" s="1122" t="s">
        <v>2724</v>
      </c>
      <c r="C1666" s="216" t="s">
        <v>1344</v>
      </c>
      <c r="D1666" s="416" t="s">
        <v>1146</v>
      </c>
      <c r="E1666" s="217" t="s">
        <v>2789</v>
      </c>
      <c r="F1666" s="218" t="s">
        <v>2437</v>
      </c>
      <c r="G1666" s="116">
        <v>1400</v>
      </c>
      <c r="H1666" s="1776" t="s">
        <v>1349</v>
      </c>
      <c r="I1666" s="34" t="s">
        <v>25</v>
      </c>
      <c r="J1666" s="224"/>
      <c r="K1666" s="147"/>
      <c r="L1666" s="475"/>
      <c r="M1666" s="224"/>
      <c r="N1666" s="224"/>
      <c r="O1666" s="225"/>
    </row>
    <row r="1667" spans="1:15" ht="18.75" customHeight="1" x14ac:dyDescent="0.3">
      <c r="A1667" s="2402">
        <v>1661</v>
      </c>
      <c r="B1667" s="1122" t="s">
        <v>2724</v>
      </c>
      <c r="C1667" s="216" t="s">
        <v>1344</v>
      </c>
      <c r="D1667" s="416" t="s">
        <v>1146</v>
      </c>
      <c r="E1667" s="217" t="s">
        <v>2790</v>
      </c>
      <c r="F1667" s="218" t="s">
        <v>2437</v>
      </c>
      <c r="G1667" s="116">
        <v>1400</v>
      </c>
      <c r="H1667" s="1776" t="s">
        <v>1349</v>
      </c>
      <c r="I1667" s="34" t="s">
        <v>25</v>
      </c>
      <c r="J1667" s="224"/>
      <c r="K1667" s="147"/>
      <c r="L1667" s="475"/>
      <c r="M1667" s="224"/>
      <c r="N1667" s="224"/>
      <c r="O1667" s="225"/>
    </row>
    <row r="1668" spans="1:15" ht="18.75" customHeight="1" x14ac:dyDescent="0.3">
      <c r="A1668" s="2402">
        <v>1662</v>
      </c>
      <c r="B1668" s="1122" t="s">
        <v>2724</v>
      </c>
      <c r="C1668" s="216" t="s">
        <v>1344</v>
      </c>
      <c r="D1668" s="416" t="s">
        <v>1146</v>
      </c>
      <c r="E1668" s="217" t="s">
        <v>2791</v>
      </c>
      <c r="F1668" s="218" t="s">
        <v>2437</v>
      </c>
      <c r="G1668" s="116">
        <v>1400</v>
      </c>
      <c r="H1668" s="1776" t="s">
        <v>1349</v>
      </c>
      <c r="I1668" s="34" t="s">
        <v>25</v>
      </c>
      <c r="J1668" s="224"/>
      <c r="K1668" s="147"/>
      <c r="L1668" s="475"/>
      <c r="M1668" s="224"/>
      <c r="N1668" s="224"/>
      <c r="O1668" s="225"/>
    </row>
    <row r="1669" spans="1:15" ht="18.75" customHeight="1" x14ac:dyDescent="0.3">
      <c r="A1669" s="2402">
        <v>1663</v>
      </c>
      <c r="B1669" s="1122" t="s">
        <v>2724</v>
      </c>
      <c r="C1669" s="216" t="s">
        <v>1344</v>
      </c>
      <c r="D1669" s="416" t="s">
        <v>1146</v>
      </c>
      <c r="E1669" s="217" t="s">
        <v>2792</v>
      </c>
      <c r="F1669" s="218" t="s">
        <v>2437</v>
      </c>
      <c r="G1669" s="116">
        <v>1400</v>
      </c>
      <c r="H1669" s="1776" t="s">
        <v>1349</v>
      </c>
      <c r="I1669" s="34" t="s">
        <v>25</v>
      </c>
      <c r="J1669" s="224"/>
      <c r="K1669" s="147"/>
      <c r="L1669" s="475"/>
      <c r="M1669" s="224"/>
      <c r="N1669" s="224"/>
      <c r="O1669" s="225"/>
    </row>
    <row r="1670" spans="1:15" ht="18.75" customHeight="1" x14ac:dyDescent="0.3">
      <c r="A1670" s="2401">
        <v>1664</v>
      </c>
      <c r="B1670" s="1122" t="s">
        <v>2724</v>
      </c>
      <c r="C1670" s="216" t="s">
        <v>1344</v>
      </c>
      <c r="D1670" s="416" t="s">
        <v>1146</v>
      </c>
      <c r="E1670" s="217" t="s">
        <v>2793</v>
      </c>
      <c r="F1670" s="218" t="s">
        <v>2437</v>
      </c>
      <c r="G1670" s="116">
        <v>1400</v>
      </c>
      <c r="H1670" s="1776" t="s">
        <v>1349</v>
      </c>
      <c r="I1670" s="34" t="s">
        <v>25</v>
      </c>
      <c r="J1670" s="224"/>
      <c r="K1670" s="147"/>
      <c r="L1670" s="475"/>
      <c r="M1670" s="224"/>
      <c r="N1670" s="224"/>
      <c r="O1670" s="225"/>
    </row>
    <row r="1671" spans="1:15" ht="18.75" customHeight="1" x14ac:dyDescent="0.3">
      <c r="A1671" s="2402">
        <v>1665</v>
      </c>
      <c r="B1671" s="1122" t="s">
        <v>2724</v>
      </c>
      <c r="C1671" s="216" t="s">
        <v>1344</v>
      </c>
      <c r="D1671" s="416" t="s">
        <v>1146</v>
      </c>
      <c r="E1671" s="217" t="s">
        <v>2794</v>
      </c>
      <c r="F1671" s="218" t="s">
        <v>2437</v>
      </c>
      <c r="G1671" s="116">
        <v>1400</v>
      </c>
      <c r="H1671" s="1776" t="s">
        <v>1349</v>
      </c>
      <c r="I1671" s="34" t="s">
        <v>25</v>
      </c>
      <c r="J1671" s="224"/>
      <c r="K1671" s="147"/>
      <c r="L1671" s="475"/>
      <c r="M1671" s="224"/>
      <c r="N1671" s="224"/>
      <c r="O1671" s="225"/>
    </row>
    <row r="1672" spans="1:15" ht="18.75" customHeight="1" x14ac:dyDescent="0.3">
      <c r="A1672" s="2402">
        <v>1666</v>
      </c>
      <c r="B1672" s="1122" t="s">
        <v>2724</v>
      </c>
      <c r="C1672" s="216" t="s">
        <v>1344</v>
      </c>
      <c r="D1672" s="416" t="s">
        <v>1146</v>
      </c>
      <c r="E1672" s="217" t="s">
        <v>2795</v>
      </c>
      <c r="F1672" s="218" t="s">
        <v>2437</v>
      </c>
      <c r="G1672" s="116">
        <v>1400</v>
      </c>
      <c r="H1672" s="1776" t="s">
        <v>1349</v>
      </c>
      <c r="I1672" s="34" t="s">
        <v>25</v>
      </c>
      <c r="J1672" s="224"/>
      <c r="K1672" s="147"/>
      <c r="L1672" s="475"/>
      <c r="M1672" s="224"/>
      <c r="N1672" s="224"/>
      <c r="O1672" s="225"/>
    </row>
    <row r="1673" spans="1:15" ht="18.75" customHeight="1" x14ac:dyDescent="0.3">
      <c r="A1673" s="2401">
        <v>1667</v>
      </c>
      <c r="B1673" s="1122" t="s">
        <v>2724</v>
      </c>
      <c r="C1673" s="216" t="s">
        <v>1344</v>
      </c>
      <c r="D1673" s="416" t="s">
        <v>1146</v>
      </c>
      <c r="E1673" s="217" t="s">
        <v>2796</v>
      </c>
      <c r="F1673" s="218" t="s">
        <v>2437</v>
      </c>
      <c r="G1673" s="116">
        <v>1400</v>
      </c>
      <c r="H1673" s="1776" t="s">
        <v>1349</v>
      </c>
      <c r="I1673" s="34" t="s">
        <v>25</v>
      </c>
      <c r="J1673" s="224"/>
      <c r="K1673" s="147"/>
      <c r="L1673" s="475"/>
      <c r="M1673" s="224"/>
      <c r="N1673" s="224"/>
      <c r="O1673" s="225"/>
    </row>
    <row r="1674" spans="1:15" ht="18.75" customHeight="1" x14ac:dyDescent="0.3">
      <c r="A1674" s="2402">
        <v>1668</v>
      </c>
      <c r="B1674" s="1122" t="s">
        <v>2724</v>
      </c>
      <c r="C1674" s="216" t="s">
        <v>1344</v>
      </c>
      <c r="D1674" s="416" t="s">
        <v>1146</v>
      </c>
      <c r="E1674" s="217" t="s">
        <v>2797</v>
      </c>
      <c r="F1674" s="218" t="s">
        <v>2437</v>
      </c>
      <c r="G1674" s="116">
        <v>1400</v>
      </c>
      <c r="H1674" s="1776" t="s">
        <v>1349</v>
      </c>
      <c r="I1674" s="34" t="s">
        <v>25</v>
      </c>
      <c r="J1674" s="224"/>
      <c r="K1674" s="147"/>
      <c r="L1674" s="475"/>
      <c r="M1674" s="224"/>
      <c r="N1674" s="224"/>
      <c r="O1674" s="225"/>
    </row>
    <row r="1675" spans="1:15" ht="18.75" customHeight="1" x14ac:dyDescent="0.3">
      <c r="A1675" s="2402">
        <v>1669</v>
      </c>
      <c r="B1675" s="1122" t="s">
        <v>2724</v>
      </c>
      <c r="C1675" s="216" t="s">
        <v>1344</v>
      </c>
      <c r="D1675" s="416" t="s">
        <v>1146</v>
      </c>
      <c r="E1675" s="217" t="s">
        <v>2798</v>
      </c>
      <c r="F1675" s="218" t="s">
        <v>2437</v>
      </c>
      <c r="G1675" s="116">
        <v>1400</v>
      </c>
      <c r="H1675" s="1776" t="s">
        <v>1349</v>
      </c>
      <c r="I1675" s="34" t="s">
        <v>25</v>
      </c>
      <c r="J1675" s="224"/>
      <c r="K1675" s="147"/>
      <c r="L1675" s="475"/>
      <c r="M1675" s="224"/>
      <c r="N1675" s="224"/>
      <c r="O1675" s="225"/>
    </row>
    <row r="1676" spans="1:15" ht="18.75" customHeight="1" x14ac:dyDescent="0.3">
      <c r="A1676" s="2402">
        <v>1670</v>
      </c>
      <c r="B1676" s="1122" t="s">
        <v>2724</v>
      </c>
      <c r="C1676" s="216" t="s">
        <v>1344</v>
      </c>
      <c r="D1676" s="416" t="s">
        <v>1146</v>
      </c>
      <c r="E1676" s="217" t="s">
        <v>2799</v>
      </c>
      <c r="F1676" s="218" t="s">
        <v>2437</v>
      </c>
      <c r="G1676" s="116">
        <v>1400</v>
      </c>
      <c r="H1676" s="1776" t="s">
        <v>1349</v>
      </c>
      <c r="I1676" s="34" t="s">
        <v>25</v>
      </c>
      <c r="J1676" s="224"/>
      <c r="K1676" s="147"/>
      <c r="L1676" s="475"/>
      <c r="M1676" s="224"/>
      <c r="N1676" s="224"/>
      <c r="O1676" s="225"/>
    </row>
    <row r="1677" spans="1:15" ht="18.75" customHeight="1" x14ac:dyDescent="0.3">
      <c r="A1677" s="2402">
        <v>1671</v>
      </c>
      <c r="B1677" s="1122" t="s">
        <v>2724</v>
      </c>
      <c r="C1677" s="216" t="s">
        <v>1344</v>
      </c>
      <c r="D1677" s="452" t="s">
        <v>1146</v>
      </c>
      <c r="E1677" s="217" t="s">
        <v>2800</v>
      </c>
      <c r="F1677" s="218" t="s">
        <v>2437</v>
      </c>
      <c r="G1677" s="116">
        <v>1400</v>
      </c>
      <c r="H1677" s="1776" t="s">
        <v>1349</v>
      </c>
      <c r="I1677" s="34" t="s">
        <v>25</v>
      </c>
      <c r="J1677" s="224"/>
      <c r="K1677" s="147"/>
      <c r="L1677" s="475"/>
      <c r="M1677" s="224"/>
      <c r="N1677" s="224"/>
      <c r="O1677" s="225"/>
    </row>
    <row r="1678" spans="1:15" ht="18.75" customHeight="1" x14ac:dyDescent="0.3">
      <c r="A1678" s="2401">
        <v>1672</v>
      </c>
      <c r="B1678" s="1122" t="s">
        <v>2724</v>
      </c>
      <c r="C1678" s="216" t="s">
        <v>1344</v>
      </c>
      <c r="D1678" s="495" t="s">
        <v>1146</v>
      </c>
      <c r="E1678" s="217" t="s">
        <v>2801</v>
      </c>
      <c r="F1678" s="218" t="s">
        <v>2437</v>
      </c>
      <c r="G1678" s="116">
        <v>1400</v>
      </c>
      <c r="H1678" s="1776" t="s">
        <v>1349</v>
      </c>
      <c r="I1678" s="34" t="s">
        <v>25</v>
      </c>
      <c r="J1678" s="224"/>
      <c r="K1678" s="147"/>
      <c r="L1678" s="475"/>
      <c r="M1678" s="224"/>
      <c r="N1678" s="224"/>
      <c r="O1678" s="225"/>
    </row>
    <row r="1679" spans="1:15" ht="18.75" customHeight="1" x14ac:dyDescent="0.3">
      <c r="A1679" s="2402">
        <v>1673</v>
      </c>
      <c r="B1679" s="1122" t="s">
        <v>2724</v>
      </c>
      <c r="C1679" s="216" t="s">
        <v>1344</v>
      </c>
      <c r="D1679" s="793" t="s">
        <v>1146</v>
      </c>
      <c r="E1679" s="217" t="s">
        <v>2802</v>
      </c>
      <c r="F1679" s="218" t="s">
        <v>2437</v>
      </c>
      <c r="G1679" s="116">
        <v>1400</v>
      </c>
      <c r="H1679" s="1776" t="s">
        <v>1349</v>
      </c>
      <c r="I1679" s="34" t="s">
        <v>25</v>
      </c>
      <c r="J1679" s="224"/>
      <c r="K1679" s="147"/>
      <c r="L1679" s="475"/>
      <c r="M1679" s="224"/>
      <c r="N1679" s="224"/>
      <c r="O1679" s="225"/>
    </row>
    <row r="1680" spans="1:15" ht="18.75" customHeight="1" x14ac:dyDescent="0.3">
      <c r="A1680" s="2402">
        <v>1674</v>
      </c>
      <c r="B1680" s="1122" t="s">
        <v>2724</v>
      </c>
      <c r="C1680" s="216" t="s">
        <v>1344</v>
      </c>
      <c r="D1680" s="416" t="s">
        <v>1146</v>
      </c>
      <c r="E1680" s="217" t="s">
        <v>2803</v>
      </c>
      <c r="F1680" s="218" t="s">
        <v>2437</v>
      </c>
      <c r="G1680" s="116">
        <v>1400</v>
      </c>
      <c r="H1680" s="1776" t="s">
        <v>1349</v>
      </c>
      <c r="I1680" s="34" t="s">
        <v>25</v>
      </c>
      <c r="J1680" s="224"/>
      <c r="K1680" s="147"/>
      <c r="L1680" s="475"/>
      <c r="M1680" s="224"/>
      <c r="N1680" s="224"/>
      <c r="O1680" s="225"/>
    </row>
    <row r="1681" spans="1:15" ht="18.75" customHeight="1" x14ac:dyDescent="0.3">
      <c r="A1681" s="2401">
        <v>1675</v>
      </c>
      <c r="B1681" s="1122" t="s">
        <v>2724</v>
      </c>
      <c r="C1681" s="216" t="s">
        <v>1344</v>
      </c>
      <c r="D1681" s="416" t="s">
        <v>1146</v>
      </c>
      <c r="E1681" s="217" t="s">
        <v>2804</v>
      </c>
      <c r="F1681" s="218" t="s">
        <v>2437</v>
      </c>
      <c r="G1681" s="116">
        <v>1400</v>
      </c>
      <c r="H1681" s="1776" t="s">
        <v>1349</v>
      </c>
      <c r="I1681" s="34" t="s">
        <v>25</v>
      </c>
      <c r="J1681" s="224"/>
      <c r="K1681" s="147"/>
      <c r="L1681" s="475"/>
      <c r="M1681" s="224"/>
      <c r="N1681" s="224"/>
      <c r="O1681" s="225"/>
    </row>
    <row r="1682" spans="1:15" ht="18.75" customHeight="1" x14ac:dyDescent="0.3">
      <c r="A1682" s="2402">
        <v>1676</v>
      </c>
      <c r="B1682" s="1122" t="s">
        <v>2724</v>
      </c>
      <c r="C1682" s="216" t="s">
        <v>1344</v>
      </c>
      <c r="D1682" s="416" t="s">
        <v>1146</v>
      </c>
      <c r="E1682" s="217" t="s">
        <v>2805</v>
      </c>
      <c r="F1682" s="218" t="s">
        <v>2437</v>
      </c>
      <c r="G1682" s="116">
        <v>1400</v>
      </c>
      <c r="H1682" s="1776" t="s">
        <v>1349</v>
      </c>
      <c r="I1682" s="34" t="s">
        <v>25</v>
      </c>
      <c r="J1682" s="224"/>
      <c r="K1682" s="147"/>
      <c r="L1682" s="475"/>
      <c r="M1682" s="224"/>
      <c r="N1682" s="224"/>
      <c r="O1682" s="225"/>
    </row>
    <row r="1683" spans="1:15" ht="18.75" customHeight="1" x14ac:dyDescent="0.3">
      <c r="A1683" s="2402">
        <v>1677</v>
      </c>
      <c r="B1683" s="1122" t="s">
        <v>2724</v>
      </c>
      <c r="C1683" s="216" t="s">
        <v>1344</v>
      </c>
      <c r="D1683" s="416" t="s">
        <v>1146</v>
      </c>
      <c r="E1683" s="217" t="s">
        <v>2806</v>
      </c>
      <c r="F1683" s="218" t="s">
        <v>2437</v>
      </c>
      <c r="G1683" s="116">
        <v>1400</v>
      </c>
      <c r="H1683" s="1776" t="s">
        <v>1349</v>
      </c>
      <c r="I1683" s="34" t="s">
        <v>25</v>
      </c>
      <c r="J1683" s="224"/>
      <c r="K1683" s="147"/>
      <c r="L1683" s="475"/>
      <c r="M1683" s="224"/>
      <c r="N1683" s="224"/>
      <c r="O1683" s="225"/>
    </row>
    <row r="1684" spans="1:15" ht="18.75" customHeight="1" x14ac:dyDescent="0.3">
      <c r="A1684" s="2402">
        <v>1678</v>
      </c>
      <c r="B1684" s="1122" t="s">
        <v>2724</v>
      </c>
      <c r="C1684" s="216" t="s">
        <v>1344</v>
      </c>
      <c r="D1684" s="416" t="s">
        <v>1146</v>
      </c>
      <c r="E1684" s="217" t="s">
        <v>2807</v>
      </c>
      <c r="F1684" s="218" t="s">
        <v>2437</v>
      </c>
      <c r="G1684" s="116">
        <v>1400</v>
      </c>
      <c r="H1684" s="1776" t="s">
        <v>1349</v>
      </c>
      <c r="I1684" s="34" t="s">
        <v>25</v>
      </c>
      <c r="J1684" s="224"/>
      <c r="K1684" s="147"/>
      <c r="L1684" s="475"/>
      <c r="M1684" s="224"/>
      <c r="N1684" s="224"/>
      <c r="O1684" s="225"/>
    </row>
    <row r="1685" spans="1:15" ht="18.75" customHeight="1" x14ac:dyDescent="0.3">
      <c r="A1685" s="2402">
        <v>1679</v>
      </c>
      <c r="B1685" s="1122" t="s">
        <v>2724</v>
      </c>
      <c r="C1685" s="216" t="s">
        <v>1344</v>
      </c>
      <c r="D1685" s="416" t="s">
        <v>1146</v>
      </c>
      <c r="E1685" s="217" t="s">
        <v>2808</v>
      </c>
      <c r="F1685" s="218" t="s">
        <v>2437</v>
      </c>
      <c r="G1685" s="116">
        <v>1400</v>
      </c>
      <c r="H1685" s="1776" t="s">
        <v>1349</v>
      </c>
      <c r="I1685" s="34" t="s">
        <v>25</v>
      </c>
      <c r="J1685" s="224"/>
      <c r="K1685" s="147"/>
      <c r="L1685" s="475"/>
      <c r="M1685" s="224"/>
      <c r="N1685" s="224"/>
      <c r="O1685" s="225"/>
    </row>
    <row r="1686" spans="1:15" ht="18.75" customHeight="1" x14ac:dyDescent="0.3">
      <c r="A1686" s="2401">
        <v>1680</v>
      </c>
      <c r="B1686" s="1122" t="s">
        <v>2724</v>
      </c>
      <c r="C1686" s="216" t="s">
        <v>1344</v>
      </c>
      <c r="D1686" s="416" t="s">
        <v>1146</v>
      </c>
      <c r="E1686" s="217" t="s">
        <v>2809</v>
      </c>
      <c r="F1686" s="218" t="s">
        <v>2437</v>
      </c>
      <c r="G1686" s="116">
        <v>1400</v>
      </c>
      <c r="H1686" s="1776" t="s">
        <v>1349</v>
      </c>
      <c r="I1686" s="34" t="s">
        <v>25</v>
      </c>
      <c r="J1686" s="224"/>
      <c r="K1686" s="147"/>
      <c r="L1686" s="475"/>
      <c r="M1686" s="224"/>
      <c r="N1686" s="224"/>
      <c r="O1686" s="225"/>
    </row>
    <row r="1687" spans="1:15" ht="18.75" customHeight="1" x14ac:dyDescent="0.3">
      <c r="A1687" s="2402">
        <v>1681</v>
      </c>
      <c r="B1687" s="1122" t="s">
        <v>2724</v>
      </c>
      <c r="C1687" s="216" t="s">
        <v>1344</v>
      </c>
      <c r="D1687" s="416" t="s">
        <v>1146</v>
      </c>
      <c r="E1687" s="217" t="s">
        <v>2810</v>
      </c>
      <c r="F1687" s="218" t="s">
        <v>2437</v>
      </c>
      <c r="G1687" s="116">
        <v>1400</v>
      </c>
      <c r="H1687" s="1776" t="s">
        <v>1349</v>
      </c>
      <c r="I1687" s="34" t="s">
        <v>25</v>
      </c>
      <c r="J1687" s="224"/>
      <c r="K1687" s="147"/>
      <c r="L1687" s="475"/>
      <c r="M1687" s="224"/>
      <c r="N1687" s="224"/>
      <c r="O1687" s="225"/>
    </row>
    <row r="1688" spans="1:15" ht="18.75" customHeight="1" x14ac:dyDescent="0.3">
      <c r="A1688" s="2402">
        <v>1682</v>
      </c>
      <c r="B1688" s="1122" t="s">
        <v>2724</v>
      </c>
      <c r="C1688" s="216" t="s">
        <v>1344</v>
      </c>
      <c r="D1688" s="416" t="s">
        <v>1146</v>
      </c>
      <c r="E1688" s="217" t="s">
        <v>2811</v>
      </c>
      <c r="F1688" s="218" t="s">
        <v>2437</v>
      </c>
      <c r="G1688" s="116">
        <v>1400</v>
      </c>
      <c r="H1688" s="1776" t="s">
        <v>1349</v>
      </c>
      <c r="I1688" s="34" t="s">
        <v>25</v>
      </c>
      <c r="J1688" s="224"/>
      <c r="K1688" s="147"/>
      <c r="L1688" s="475"/>
      <c r="M1688" s="224"/>
      <c r="N1688" s="224"/>
      <c r="O1688" s="225"/>
    </row>
    <row r="1689" spans="1:15" ht="18.75" customHeight="1" x14ac:dyDescent="0.3">
      <c r="A1689" s="2401">
        <v>1683</v>
      </c>
      <c r="B1689" s="1122" t="s">
        <v>2724</v>
      </c>
      <c r="C1689" s="216" t="s">
        <v>1344</v>
      </c>
      <c r="D1689" s="416" t="s">
        <v>1146</v>
      </c>
      <c r="E1689" s="217" t="s">
        <v>2812</v>
      </c>
      <c r="F1689" s="218" t="s">
        <v>2437</v>
      </c>
      <c r="G1689" s="116">
        <v>1400</v>
      </c>
      <c r="H1689" s="1776" t="s">
        <v>1349</v>
      </c>
      <c r="I1689" s="34" t="s">
        <v>25</v>
      </c>
      <c r="J1689" s="224"/>
      <c r="K1689" s="147"/>
      <c r="L1689" s="475"/>
      <c r="M1689" s="224"/>
      <c r="N1689" s="224"/>
      <c r="O1689" s="225"/>
    </row>
    <row r="1690" spans="1:15" ht="18.75" customHeight="1" x14ac:dyDescent="0.3">
      <c r="A1690" s="2402">
        <v>1684</v>
      </c>
      <c r="B1690" s="1122" t="s">
        <v>2724</v>
      </c>
      <c r="C1690" s="216" t="s">
        <v>1344</v>
      </c>
      <c r="D1690" s="416" t="s">
        <v>1146</v>
      </c>
      <c r="E1690" s="217" t="s">
        <v>2813</v>
      </c>
      <c r="F1690" s="218" t="s">
        <v>2437</v>
      </c>
      <c r="G1690" s="116">
        <v>1400</v>
      </c>
      <c r="H1690" s="1776" t="s">
        <v>1349</v>
      </c>
      <c r="I1690" s="34" t="s">
        <v>25</v>
      </c>
      <c r="J1690" s="224"/>
      <c r="K1690" s="147"/>
      <c r="L1690" s="475"/>
      <c r="M1690" s="224"/>
      <c r="N1690" s="224"/>
      <c r="O1690" s="225"/>
    </row>
    <row r="1691" spans="1:15" ht="18.75" customHeight="1" x14ac:dyDescent="0.3">
      <c r="A1691" s="2402">
        <v>1685</v>
      </c>
      <c r="B1691" s="1122" t="s">
        <v>2724</v>
      </c>
      <c r="C1691" s="216" t="s">
        <v>1344</v>
      </c>
      <c r="D1691" s="416" t="s">
        <v>1146</v>
      </c>
      <c r="E1691" s="217" t="s">
        <v>2814</v>
      </c>
      <c r="F1691" s="218" t="s">
        <v>2437</v>
      </c>
      <c r="G1691" s="116">
        <v>1400</v>
      </c>
      <c r="H1691" s="1776" t="s">
        <v>1349</v>
      </c>
      <c r="I1691" s="34" t="s">
        <v>25</v>
      </c>
      <c r="J1691" s="224"/>
      <c r="K1691" s="147"/>
      <c r="L1691" s="475"/>
      <c r="M1691" s="224"/>
      <c r="N1691" s="224"/>
      <c r="O1691" s="225"/>
    </row>
    <row r="1692" spans="1:15" ht="18.75" customHeight="1" x14ac:dyDescent="0.3">
      <c r="A1692" s="2402">
        <v>1686</v>
      </c>
      <c r="B1692" s="1122" t="s">
        <v>2724</v>
      </c>
      <c r="C1692" s="216" t="s">
        <v>1344</v>
      </c>
      <c r="D1692" s="416" t="s">
        <v>1146</v>
      </c>
      <c r="E1692" s="217" t="s">
        <v>2815</v>
      </c>
      <c r="F1692" s="218" t="s">
        <v>2437</v>
      </c>
      <c r="G1692" s="116">
        <v>1400</v>
      </c>
      <c r="H1692" s="1776" t="s">
        <v>1349</v>
      </c>
      <c r="I1692" s="34" t="s">
        <v>25</v>
      </c>
      <c r="J1692" s="224"/>
      <c r="K1692" s="147"/>
      <c r="L1692" s="475"/>
      <c r="M1692" s="224"/>
      <c r="N1692" s="224"/>
      <c r="O1692" s="225"/>
    </row>
    <row r="1693" spans="1:15" ht="18.75" customHeight="1" x14ac:dyDescent="0.3">
      <c r="A1693" s="2402">
        <v>1687</v>
      </c>
      <c r="B1693" s="1122" t="s">
        <v>2724</v>
      </c>
      <c r="C1693" s="216" t="s">
        <v>1344</v>
      </c>
      <c r="D1693" s="416" t="s">
        <v>1146</v>
      </c>
      <c r="E1693" s="217" t="s">
        <v>2816</v>
      </c>
      <c r="F1693" s="218" t="s">
        <v>2437</v>
      </c>
      <c r="G1693" s="116">
        <v>1400</v>
      </c>
      <c r="H1693" s="1776" t="s">
        <v>1349</v>
      </c>
      <c r="I1693" s="34" t="s">
        <v>25</v>
      </c>
      <c r="J1693" s="224"/>
      <c r="K1693" s="147"/>
      <c r="L1693" s="475"/>
      <c r="M1693" s="224"/>
      <c r="N1693" s="224"/>
      <c r="O1693" s="225"/>
    </row>
    <row r="1694" spans="1:15" ht="18.75" customHeight="1" x14ac:dyDescent="0.3">
      <c r="A1694" s="2401">
        <v>1688</v>
      </c>
      <c r="B1694" s="1122" t="s">
        <v>2724</v>
      </c>
      <c r="C1694" s="216" t="s">
        <v>1344</v>
      </c>
      <c r="D1694" s="452" t="s">
        <v>1146</v>
      </c>
      <c r="E1694" s="217" t="s">
        <v>2817</v>
      </c>
      <c r="F1694" s="218" t="s">
        <v>2437</v>
      </c>
      <c r="G1694" s="116">
        <v>1400</v>
      </c>
      <c r="H1694" s="1776" t="s">
        <v>1349</v>
      </c>
      <c r="I1694" s="34" t="s">
        <v>25</v>
      </c>
      <c r="J1694" s="224"/>
      <c r="K1694" s="147"/>
      <c r="L1694" s="475"/>
      <c r="M1694" s="224"/>
      <c r="N1694" s="224"/>
      <c r="O1694" s="225"/>
    </row>
    <row r="1695" spans="1:15" ht="18.75" customHeight="1" x14ac:dyDescent="0.3">
      <c r="A1695" s="2402">
        <v>1689</v>
      </c>
      <c r="B1695" s="1122" t="s">
        <v>2724</v>
      </c>
      <c r="C1695" s="1117" t="s">
        <v>1344</v>
      </c>
      <c r="D1695" s="495" t="s">
        <v>1146</v>
      </c>
      <c r="E1695" s="217" t="s">
        <v>2818</v>
      </c>
      <c r="F1695" s="218" t="s">
        <v>2437</v>
      </c>
      <c r="G1695" s="116">
        <v>1400</v>
      </c>
      <c r="H1695" s="1776" t="s">
        <v>1349</v>
      </c>
      <c r="I1695" s="34" t="s">
        <v>25</v>
      </c>
      <c r="J1695" s="224"/>
      <c r="K1695" s="147"/>
      <c r="L1695" s="475"/>
      <c r="M1695" s="224"/>
      <c r="N1695" s="224"/>
      <c r="O1695" s="225"/>
    </row>
    <row r="1696" spans="1:15" ht="18.75" customHeight="1" x14ac:dyDescent="0.3">
      <c r="A1696" s="2402">
        <v>1690</v>
      </c>
      <c r="B1696" s="1122" t="s">
        <v>2724</v>
      </c>
      <c r="C1696" s="1117" t="s">
        <v>1344</v>
      </c>
      <c r="D1696" s="793" t="s">
        <v>1146</v>
      </c>
      <c r="E1696" s="217" t="s">
        <v>2819</v>
      </c>
      <c r="F1696" s="218" t="s">
        <v>2437</v>
      </c>
      <c r="G1696" s="116">
        <v>1400</v>
      </c>
      <c r="H1696" s="1776" t="s">
        <v>1349</v>
      </c>
      <c r="I1696" s="34" t="s">
        <v>25</v>
      </c>
      <c r="J1696" s="224"/>
      <c r="K1696" s="147"/>
      <c r="L1696" s="475"/>
      <c r="M1696" s="224"/>
      <c r="N1696" s="224"/>
      <c r="O1696" s="225"/>
    </row>
    <row r="1697" spans="1:15" ht="18.75" customHeight="1" x14ac:dyDescent="0.3">
      <c r="A1697" s="2401">
        <v>1691</v>
      </c>
      <c r="B1697" s="1122" t="s">
        <v>2724</v>
      </c>
      <c r="C1697" s="1117" t="s">
        <v>1344</v>
      </c>
      <c r="D1697" s="416" t="s">
        <v>1146</v>
      </c>
      <c r="E1697" s="217" t="s">
        <v>2820</v>
      </c>
      <c r="F1697" s="218" t="s">
        <v>2437</v>
      </c>
      <c r="G1697" s="116">
        <v>1400</v>
      </c>
      <c r="H1697" s="1776" t="s">
        <v>1349</v>
      </c>
      <c r="I1697" s="34" t="s">
        <v>25</v>
      </c>
      <c r="J1697" s="224"/>
      <c r="K1697" s="147"/>
      <c r="L1697" s="475"/>
      <c r="M1697" s="224"/>
      <c r="N1697" s="224"/>
      <c r="O1697" s="225"/>
    </row>
    <row r="1698" spans="1:15" ht="18.75" customHeight="1" x14ac:dyDescent="0.3">
      <c r="A1698" s="2402">
        <v>1692</v>
      </c>
      <c r="B1698" s="1122" t="s">
        <v>2724</v>
      </c>
      <c r="C1698" s="1117" t="s">
        <v>1344</v>
      </c>
      <c r="D1698" s="416" t="s">
        <v>1146</v>
      </c>
      <c r="E1698" s="217" t="s">
        <v>2821</v>
      </c>
      <c r="F1698" s="218" t="s">
        <v>2437</v>
      </c>
      <c r="G1698" s="116">
        <v>1400</v>
      </c>
      <c r="H1698" s="1776" t="s">
        <v>1349</v>
      </c>
      <c r="I1698" s="34" t="s">
        <v>25</v>
      </c>
      <c r="J1698" s="224"/>
      <c r="K1698" s="147"/>
      <c r="L1698" s="475"/>
      <c r="M1698" s="224"/>
      <c r="N1698" s="224"/>
      <c r="O1698" s="225"/>
    </row>
    <row r="1699" spans="1:15" ht="18.75" customHeight="1" x14ac:dyDescent="0.3">
      <c r="A1699" s="2402">
        <v>1693</v>
      </c>
      <c r="B1699" s="1122" t="s">
        <v>2724</v>
      </c>
      <c r="C1699" s="1117" t="s">
        <v>1344</v>
      </c>
      <c r="D1699" s="416" t="s">
        <v>1146</v>
      </c>
      <c r="E1699" s="217" t="s">
        <v>2822</v>
      </c>
      <c r="F1699" s="218" t="s">
        <v>2437</v>
      </c>
      <c r="G1699" s="116">
        <v>1400</v>
      </c>
      <c r="H1699" s="1776" t="s">
        <v>1349</v>
      </c>
      <c r="I1699" s="34" t="s">
        <v>25</v>
      </c>
      <c r="J1699" s="224"/>
      <c r="K1699" s="147"/>
      <c r="L1699" s="475"/>
      <c r="M1699" s="224"/>
      <c r="N1699" s="224"/>
      <c r="O1699" s="225"/>
    </row>
    <row r="1700" spans="1:15" ht="18.75" customHeight="1" x14ac:dyDescent="0.3">
      <c r="A1700" s="2402">
        <v>1694</v>
      </c>
      <c r="B1700" s="1122" t="s">
        <v>2724</v>
      </c>
      <c r="C1700" s="1117" t="s">
        <v>1344</v>
      </c>
      <c r="D1700" s="416" t="s">
        <v>1146</v>
      </c>
      <c r="E1700" s="217" t="s">
        <v>2823</v>
      </c>
      <c r="F1700" s="218" t="s">
        <v>2437</v>
      </c>
      <c r="G1700" s="116">
        <v>1400</v>
      </c>
      <c r="H1700" s="1776" t="s">
        <v>1349</v>
      </c>
      <c r="I1700" s="34" t="s">
        <v>25</v>
      </c>
      <c r="J1700" s="224"/>
      <c r="K1700" s="147"/>
      <c r="L1700" s="475"/>
      <c r="M1700" s="224"/>
      <c r="N1700" s="224"/>
      <c r="O1700" s="225"/>
    </row>
    <row r="1701" spans="1:15" ht="18.75" customHeight="1" x14ac:dyDescent="0.3">
      <c r="A1701" s="2402">
        <v>1695</v>
      </c>
      <c r="B1701" s="1122" t="s">
        <v>2724</v>
      </c>
      <c r="C1701" s="1117" t="s">
        <v>1344</v>
      </c>
      <c r="D1701" s="416" t="s">
        <v>1146</v>
      </c>
      <c r="E1701" s="217" t="s">
        <v>2824</v>
      </c>
      <c r="F1701" s="218" t="s">
        <v>2437</v>
      </c>
      <c r="G1701" s="116">
        <v>1400</v>
      </c>
      <c r="H1701" s="1776" t="s">
        <v>1349</v>
      </c>
      <c r="I1701" s="34" t="s">
        <v>25</v>
      </c>
      <c r="J1701" s="224"/>
      <c r="K1701" s="147"/>
      <c r="L1701" s="475"/>
      <c r="M1701" s="224"/>
      <c r="N1701" s="224"/>
      <c r="O1701" s="225"/>
    </row>
    <row r="1702" spans="1:15" ht="18.75" customHeight="1" x14ac:dyDescent="0.3">
      <c r="A1702" s="2401">
        <v>1696</v>
      </c>
      <c r="B1702" s="1122" t="s">
        <v>2825</v>
      </c>
      <c r="C1702" s="1117" t="s">
        <v>1344</v>
      </c>
      <c r="D1702" s="416" t="s">
        <v>1053</v>
      </c>
      <c r="E1702" s="217" t="s">
        <v>2826</v>
      </c>
      <c r="F1702" s="218" t="s">
        <v>2827</v>
      </c>
      <c r="G1702" s="116">
        <v>1450</v>
      </c>
      <c r="H1702" s="1776" t="s">
        <v>1349</v>
      </c>
      <c r="I1702" s="34" t="s">
        <v>25</v>
      </c>
      <c r="J1702" s="327"/>
      <c r="K1702" s="37"/>
      <c r="L1702" s="1128"/>
      <c r="M1702" s="327"/>
      <c r="N1702" s="327"/>
      <c r="O1702" s="1129"/>
    </row>
    <row r="1703" spans="1:15" ht="18.75" customHeight="1" x14ac:dyDescent="0.3">
      <c r="A1703" s="2402">
        <v>1697</v>
      </c>
      <c r="B1703" s="1122" t="s">
        <v>2825</v>
      </c>
      <c r="C1703" s="1117" t="s">
        <v>1344</v>
      </c>
      <c r="D1703" s="416" t="s">
        <v>1053</v>
      </c>
      <c r="E1703" s="217" t="s">
        <v>2828</v>
      </c>
      <c r="F1703" s="218" t="s">
        <v>2827</v>
      </c>
      <c r="G1703" s="116">
        <v>1450</v>
      </c>
      <c r="H1703" s="1776" t="s">
        <v>1349</v>
      </c>
      <c r="I1703" s="34" t="s">
        <v>25</v>
      </c>
      <c r="J1703" s="327"/>
      <c r="K1703" s="37"/>
      <c r="L1703" s="1128"/>
      <c r="M1703" s="327"/>
      <c r="N1703" s="327"/>
      <c r="O1703" s="1129"/>
    </row>
    <row r="1704" spans="1:15" ht="18.75" customHeight="1" x14ac:dyDescent="0.3">
      <c r="A1704" s="2402">
        <v>1698</v>
      </c>
      <c r="B1704" s="1122" t="s">
        <v>2825</v>
      </c>
      <c r="C1704" s="1117" t="s">
        <v>1344</v>
      </c>
      <c r="D1704" s="416" t="s">
        <v>1053</v>
      </c>
      <c r="E1704" s="217" t="s">
        <v>2829</v>
      </c>
      <c r="F1704" s="218" t="s">
        <v>2827</v>
      </c>
      <c r="G1704" s="116">
        <v>1450</v>
      </c>
      <c r="H1704" s="1776" t="s">
        <v>1349</v>
      </c>
      <c r="I1704" s="34" t="s">
        <v>25</v>
      </c>
      <c r="J1704" s="327"/>
      <c r="K1704" s="37"/>
      <c r="L1704" s="1128"/>
      <c r="M1704" s="327"/>
      <c r="N1704" s="327"/>
      <c r="O1704" s="1129"/>
    </row>
    <row r="1705" spans="1:15" ht="18.75" customHeight="1" x14ac:dyDescent="0.3">
      <c r="A1705" s="2401">
        <v>1699</v>
      </c>
      <c r="B1705" s="1122" t="s">
        <v>2825</v>
      </c>
      <c r="C1705" s="1117" t="s">
        <v>1344</v>
      </c>
      <c r="D1705" s="416" t="s">
        <v>1053</v>
      </c>
      <c r="E1705" s="217" t="s">
        <v>2830</v>
      </c>
      <c r="F1705" s="218" t="s">
        <v>2827</v>
      </c>
      <c r="G1705" s="116">
        <v>1450</v>
      </c>
      <c r="H1705" s="1776" t="s">
        <v>1349</v>
      </c>
      <c r="I1705" s="34" t="s">
        <v>25</v>
      </c>
      <c r="J1705" s="327"/>
      <c r="K1705" s="37"/>
      <c r="L1705" s="1128"/>
      <c r="M1705" s="327"/>
      <c r="N1705" s="327"/>
      <c r="O1705" s="1129"/>
    </row>
    <row r="1706" spans="1:15" ht="18.75" customHeight="1" x14ac:dyDescent="0.3">
      <c r="A1706" s="2402">
        <v>1700</v>
      </c>
      <c r="B1706" s="1122" t="s">
        <v>2825</v>
      </c>
      <c r="C1706" s="1117" t="s">
        <v>1344</v>
      </c>
      <c r="D1706" s="416" t="s">
        <v>1053</v>
      </c>
      <c r="E1706" s="217" t="s">
        <v>2831</v>
      </c>
      <c r="F1706" s="218" t="s">
        <v>2827</v>
      </c>
      <c r="G1706" s="116">
        <v>1450</v>
      </c>
      <c r="H1706" s="1776" t="s">
        <v>1349</v>
      </c>
      <c r="I1706" s="34" t="s">
        <v>25</v>
      </c>
      <c r="J1706" s="327"/>
      <c r="K1706" s="37"/>
      <c r="L1706" s="1128"/>
      <c r="M1706" s="327"/>
      <c r="N1706" s="327"/>
      <c r="O1706" s="1129"/>
    </row>
    <row r="1707" spans="1:15" ht="18.75" customHeight="1" x14ac:dyDescent="0.3">
      <c r="A1707" s="2402">
        <v>1701</v>
      </c>
      <c r="B1707" s="1122" t="s">
        <v>2825</v>
      </c>
      <c r="C1707" s="1117" t="s">
        <v>1344</v>
      </c>
      <c r="D1707" s="416" t="s">
        <v>1053</v>
      </c>
      <c r="E1707" s="217" t="s">
        <v>2832</v>
      </c>
      <c r="F1707" s="218" t="s">
        <v>2827</v>
      </c>
      <c r="G1707" s="116">
        <v>1450</v>
      </c>
      <c r="H1707" s="1776" t="s">
        <v>1349</v>
      </c>
      <c r="I1707" s="34" t="s">
        <v>25</v>
      </c>
      <c r="J1707" s="327"/>
      <c r="K1707" s="37"/>
      <c r="L1707" s="1128"/>
      <c r="M1707" s="327"/>
      <c r="N1707" s="327"/>
      <c r="O1707" s="1129"/>
    </row>
    <row r="1708" spans="1:15" ht="18.75" customHeight="1" x14ac:dyDescent="0.3">
      <c r="A1708" s="2402">
        <v>1702</v>
      </c>
      <c r="B1708" s="1122" t="s">
        <v>2825</v>
      </c>
      <c r="C1708" s="1117" t="s">
        <v>1344</v>
      </c>
      <c r="D1708" s="416" t="s">
        <v>1053</v>
      </c>
      <c r="E1708" s="217" t="s">
        <v>2833</v>
      </c>
      <c r="F1708" s="218" t="s">
        <v>2827</v>
      </c>
      <c r="G1708" s="116">
        <v>1450</v>
      </c>
      <c r="H1708" s="1776" t="s">
        <v>1349</v>
      </c>
      <c r="I1708" s="34" t="s">
        <v>25</v>
      </c>
      <c r="J1708" s="327"/>
      <c r="K1708" s="37"/>
      <c r="L1708" s="1128"/>
      <c r="M1708" s="327"/>
      <c r="N1708" s="327"/>
      <c r="O1708" s="1129"/>
    </row>
    <row r="1709" spans="1:15" ht="18.75" customHeight="1" x14ac:dyDescent="0.3">
      <c r="A1709" s="2402">
        <v>1703</v>
      </c>
      <c r="B1709" s="1122" t="s">
        <v>2825</v>
      </c>
      <c r="C1709" s="1117" t="s">
        <v>1344</v>
      </c>
      <c r="D1709" s="416" t="s">
        <v>1053</v>
      </c>
      <c r="E1709" s="217" t="s">
        <v>2834</v>
      </c>
      <c r="F1709" s="218" t="s">
        <v>2827</v>
      </c>
      <c r="G1709" s="116">
        <v>1450</v>
      </c>
      <c r="H1709" s="1776" t="s">
        <v>1349</v>
      </c>
      <c r="I1709" s="34" t="s">
        <v>25</v>
      </c>
      <c r="J1709" s="327"/>
      <c r="K1709" s="37"/>
      <c r="L1709" s="1128"/>
      <c r="M1709" s="327"/>
      <c r="N1709" s="327"/>
      <c r="O1709" s="1129"/>
    </row>
    <row r="1710" spans="1:15" ht="18.75" customHeight="1" x14ac:dyDescent="0.3">
      <c r="A1710" s="2401">
        <v>1704</v>
      </c>
      <c r="B1710" s="1122" t="s">
        <v>2825</v>
      </c>
      <c r="C1710" s="1117" t="s">
        <v>1344</v>
      </c>
      <c r="D1710" s="452" t="s">
        <v>1053</v>
      </c>
      <c r="E1710" s="217" t="s">
        <v>2835</v>
      </c>
      <c r="F1710" s="218" t="s">
        <v>2827</v>
      </c>
      <c r="G1710" s="116">
        <v>1450</v>
      </c>
      <c r="H1710" s="1776" t="s">
        <v>1349</v>
      </c>
      <c r="I1710" s="34" t="s">
        <v>25</v>
      </c>
      <c r="J1710" s="327"/>
      <c r="K1710" s="37"/>
      <c r="L1710" s="1128"/>
      <c r="M1710" s="327"/>
      <c r="N1710" s="327"/>
      <c r="O1710" s="1129"/>
    </row>
    <row r="1711" spans="1:15" ht="18.75" customHeight="1" x14ac:dyDescent="0.3">
      <c r="A1711" s="2402">
        <v>1705</v>
      </c>
      <c r="B1711" s="1122" t="s">
        <v>2825</v>
      </c>
      <c r="C1711" s="1117" t="s">
        <v>1344</v>
      </c>
      <c r="D1711" s="495" t="s">
        <v>1053</v>
      </c>
      <c r="E1711" s="217" t="s">
        <v>2836</v>
      </c>
      <c r="F1711" s="218" t="s">
        <v>2827</v>
      </c>
      <c r="G1711" s="116">
        <v>1450</v>
      </c>
      <c r="H1711" s="1776" t="s">
        <v>1349</v>
      </c>
      <c r="I1711" s="34" t="s">
        <v>25</v>
      </c>
      <c r="J1711" s="327"/>
      <c r="K1711" s="37"/>
      <c r="L1711" s="1128"/>
      <c r="M1711" s="327"/>
      <c r="N1711" s="327"/>
      <c r="O1711" s="1129"/>
    </row>
    <row r="1712" spans="1:15" ht="18.75" customHeight="1" x14ac:dyDescent="0.3">
      <c r="A1712" s="2402">
        <v>1706</v>
      </c>
      <c r="B1712" s="1122" t="s">
        <v>2825</v>
      </c>
      <c r="C1712" s="216" t="s">
        <v>1344</v>
      </c>
      <c r="D1712" s="793" t="s">
        <v>1053</v>
      </c>
      <c r="E1712" s="217" t="s">
        <v>2837</v>
      </c>
      <c r="F1712" s="218" t="s">
        <v>2827</v>
      </c>
      <c r="G1712" s="116">
        <v>1450</v>
      </c>
      <c r="H1712" s="1776" t="s">
        <v>1349</v>
      </c>
      <c r="I1712" s="34" t="s">
        <v>25</v>
      </c>
      <c r="J1712" s="327"/>
      <c r="K1712" s="37"/>
      <c r="L1712" s="1128"/>
      <c r="M1712" s="327"/>
      <c r="N1712" s="327"/>
      <c r="O1712" s="1129"/>
    </row>
    <row r="1713" spans="1:15" ht="18.75" customHeight="1" x14ac:dyDescent="0.3">
      <c r="A1713" s="2401">
        <v>1707</v>
      </c>
      <c r="B1713" s="1122" t="s">
        <v>2825</v>
      </c>
      <c r="C1713" s="216" t="s">
        <v>1344</v>
      </c>
      <c r="D1713" s="416" t="s">
        <v>1053</v>
      </c>
      <c r="E1713" s="217" t="s">
        <v>2838</v>
      </c>
      <c r="F1713" s="218" t="s">
        <v>2827</v>
      </c>
      <c r="G1713" s="116">
        <v>1450</v>
      </c>
      <c r="H1713" s="1776" t="s">
        <v>1349</v>
      </c>
      <c r="I1713" s="34" t="s">
        <v>25</v>
      </c>
      <c r="J1713" s="327"/>
      <c r="K1713" s="37"/>
      <c r="L1713" s="1128"/>
      <c r="M1713" s="327"/>
      <c r="N1713" s="327"/>
      <c r="O1713" s="1129"/>
    </row>
    <row r="1714" spans="1:15" ht="18.75" customHeight="1" x14ac:dyDescent="0.3">
      <c r="A1714" s="2402">
        <v>1708</v>
      </c>
      <c r="B1714" s="1122" t="s">
        <v>2825</v>
      </c>
      <c r="C1714" s="216" t="s">
        <v>1344</v>
      </c>
      <c r="D1714" s="416" t="s">
        <v>1053</v>
      </c>
      <c r="E1714" s="217" t="s">
        <v>2839</v>
      </c>
      <c r="F1714" s="218" t="s">
        <v>2827</v>
      </c>
      <c r="G1714" s="116">
        <v>1450</v>
      </c>
      <c r="H1714" s="1776" t="s">
        <v>1349</v>
      </c>
      <c r="I1714" s="34" t="s">
        <v>25</v>
      </c>
      <c r="J1714" s="327"/>
      <c r="K1714" s="37"/>
      <c r="L1714" s="1128"/>
      <c r="M1714" s="327"/>
      <c r="N1714" s="327"/>
      <c r="O1714" s="1129"/>
    </row>
    <row r="1715" spans="1:15" ht="18.75" customHeight="1" x14ac:dyDescent="0.3">
      <c r="A1715" s="2402">
        <v>1709</v>
      </c>
      <c r="B1715" s="1122" t="s">
        <v>2825</v>
      </c>
      <c r="C1715" s="216" t="s">
        <v>1344</v>
      </c>
      <c r="D1715" s="416" t="s">
        <v>1053</v>
      </c>
      <c r="E1715" s="217" t="s">
        <v>2840</v>
      </c>
      <c r="F1715" s="218" t="s">
        <v>2827</v>
      </c>
      <c r="G1715" s="116">
        <v>1450</v>
      </c>
      <c r="H1715" s="1776" t="s">
        <v>1349</v>
      </c>
      <c r="I1715" s="34" t="s">
        <v>25</v>
      </c>
      <c r="J1715" s="327"/>
      <c r="K1715" s="37"/>
      <c r="L1715" s="1128"/>
      <c r="M1715" s="327"/>
      <c r="N1715" s="327"/>
      <c r="O1715" s="1129"/>
    </row>
    <row r="1716" spans="1:15" ht="18.75" customHeight="1" x14ac:dyDescent="0.3">
      <c r="A1716" s="2402">
        <v>1710</v>
      </c>
      <c r="B1716" s="1122" t="s">
        <v>2825</v>
      </c>
      <c r="C1716" s="216" t="s">
        <v>1344</v>
      </c>
      <c r="D1716" s="416" t="s">
        <v>1053</v>
      </c>
      <c r="E1716" s="217" t="s">
        <v>2841</v>
      </c>
      <c r="F1716" s="218" t="s">
        <v>2827</v>
      </c>
      <c r="G1716" s="116">
        <v>1450</v>
      </c>
      <c r="H1716" s="1776" t="s">
        <v>1349</v>
      </c>
      <c r="I1716" s="34" t="s">
        <v>25</v>
      </c>
      <c r="J1716" s="327"/>
      <c r="K1716" s="37"/>
      <c r="L1716" s="1128"/>
      <c r="M1716" s="327"/>
      <c r="N1716" s="327"/>
      <c r="O1716" s="1129"/>
    </row>
    <row r="1717" spans="1:15" ht="18.75" customHeight="1" x14ac:dyDescent="0.3">
      <c r="A1717" s="2402">
        <v>1711</v>
      </c>
      <c r="B1717" s="1122" t="s">
        <v>2825</v>
      </c>
      <c r="C1717" s="216" t="s">
        <v>1344</v>
      </c>
      <c r="D1717" s="416" t="s">
        <v>1053</v>
      </c>
      <c r="E1717" s="217" t="s">
        <v>2842</v>
      </c>
      <c r="F1717" s="218" t="s">
        <v>2827</v>
      </c>
      <c r="G1717" s="116">
        <v>1450</v>
      </c>
      <c r="H1717" s="1776" t="s">
        <v>1349</v>
      </c>
      <c r="I1717" s="34" t="s">
        <v>25</v>
      </c>
      <c r="J1717" s="327"/>
      <c r="K1717" s="37"/>
      <c r="L1717" s="1128"/>
      <c r="M1717" s="327"/>
      <c r="N1717" s="327"/>
      <c r="O1717" s="1129"/>
    </row>
    <row r="1718" spans="1:15" ht="18.75" customHeight="1" x14ac:dyDescent="0.3">
      <c r="A1718" s="2401">
        <v>1712</v>
      </c>
      <c r="B1718" s="1122" t="s">
        <v>2825</v>
      </c>
      <c r="C1718" s="216" t="s">
        <v>1344</v>
      </c>
      <c r="D1718" s="416" t="s">
        <v>1053</v>
      </c>
      <c r="E1718" s="217" t="s">
        <v>2843</v>
      </c>
      <c r="F1718" s="218" t="s">
        <v>2827</v>
      </c>
      <c r="G1718" s="116">
        <v>1450</v>
      </c>
      <c r="H1718" s="1776" t="s">
        <v>1349</v>
      </c>
      <c r="I1718" s="34" t="s">
        <v>25</v>
      </c>
      <c r="J1718" s="327"/>
      <c r="K1718" s="37"/>
      <c r="L1718" s="1128"/>
      <c r="M1718" s="327"/>
      <c r="N1718" s="327"/>
      <c r="O1718" s="1129"/>
    </row>
    <row r="1719" spans="1:15" ht="18.75" customHeight="1" x14ac:dyDescent="0.3">
      <c r="A1719" s="2402">
        <v>1713</v>
      </c>
      <c r="B1719" s="1122" t="s">
        <v>2825</v>
      </c>
      <c r="C1719" s="216" t="s">
        <v>1344</v>
      </c>
      <c r="D1719" s="416" t="s">
        <v>1053</v>
      </c>
      <c r="E1719" s="217" t="s">
        <v>2844</v>
      </c>
      <c r="F1719" s="218" t="s">
        <v>2827</v>
      </c>
      <c r="G1719" s="116">
        <v>1450</v>
      </c>
      <c r="H1719" s="1776" t="s">
        <v>1349</v>
      </c>
      <c r="I1719" s="34" t="s">
        <v>25</v>
      </c>
      <c r="J1719" s="327"/>
      <c r="K1719" s="37"/>
      <c r="L1719" s="1128"/>
      <c r="M1719" s="327"/>
      <c r="N1719" s="327"/>
      <c r="O1719" s="1129"/>
    </row>
    <row r="1720" spans="1:15" ht="18.75" customHeight="1" x14ac:dyDescent="0.3">
      <c r="A1720" s="2402">
        <v>1714</v>
      </c>
      <c r="B1720" s="1122" t="s">
        <v>2825</v>
      </c>
      <c r="C1720" s="216" t="s">
        <v>1344</v>
      </c>
      <c r="D1720" s="416" t="s">
        <v>1053</v>
      </c>
      <c r="E1720" s="217" t="s">
        <v>2845</v>
      </c>
      <c r="F1720" s="218" t="s">
        <v>2827</v>
      </c>
      <c r="G1720" s="116">
        <v>1450</v>
      </c>
      <c r="H1720" s="1776" t="s">
        <v>1349</v>
      </c>
      <c r="I1720" s="34" t="s">
        <v>25</v>
      </c>
      <c r="J1720" s="327"/>
      <c r="K1720" s="37"/>
      <c r="L1720" s="1128"/>
      <c r="M1720" s="327"/>
      <c r="N1720" s="327"/>
      <c r="O1720" s="1129"/>
    </row>
    <row r="1721" spans="1:15" ht="18.75" customHeight="1" x14ac:dyDescent="0.3">
      <c r="A1721" s="2401">
        <v>1715</v>
      </c>
      <c r="B1721" s="1122" t="s">
        <v>2825</v>
      </c>
      <c r="C1721" s="216" t="s">
        <v>1344</v>
      </c>
      <c r="D1721" s="416" t="s">
        <v>1053</v>
      </c>
      <c r="E1721" s="217" t="s">
        <v>2846</v>
      </c>
      <c r="F1721" s="218" t="s">
        <v>2827</v>
      </c>
      <c r="G1721" s="116">
        <v>1450</v>
      </c>
      <c r="H1721" s="1776" t="s">
        <v>1349</v>
      </c>
      <c r="I1721" s="34" t="s">
        <v>25</v>
      </c>
      <c r="J1721" s="327"/>
      <c r="K1721" s="37"/>
      <c r="L1721" s="1128"/>
      <c r="M1721" s="327"/>
      <c r="N1721" s="327"/>
      <c r="O1721" s="1129"/>
    </row>
    <row r="1722" spans="1:15" ht="18.75" customHeight="1" x14ac:dyDescent="0.3">
      <c r="A1722" s="2402">
        <v>1716</v>
      </c>
      <c r="B1722" s="1122" t="s">
        <v>2825</v>
      </c>
      <c r="C1722" s="216" t="s">
        <v>1344</v>
      </c>
      <c r="D1722" s="416" t="s">
        <v>1053</v>
      </c>
      <c r="E1722" s="217" t="s">
        <v>2847</v>
      </c>
      <c r="F1722" s="218" t="s">
        <v>2827</v>
      </c>
      <c r="G1722" s="116">
        <v>1450</v>
      </c>
      <c r="H1722" s="1776" t="s">
        <v>1349</v>
      </c>
      <c r="I1722" s="34" t="s">
        <v>25</v>
      </c>
      <c r="J1722" s="327"/>
      <c r="K1722" s="37"/>
      <c r="L1722" s="1128"/>
      <c r="M1722" s="327"/>
      <c r="N1722" s="327"/>
      <c r="O1722" s="1129"/>
    </row>
    <row r="1723" spans="1:15" ht="18.75" customHeight="1" x14ac:dyDescent="0.3">
      <c r="A1723" s="2402">
        <v>1717</v>
      </c>
      <c r="B1723" s="1122" t="s">
        <v>2825</v>
      </c>
      <c r="C1723" s="216" t="s">
        <v>1344</v>
      </c>
      <c r="D1723" s="416" t="s">
        <v>1053</v>
      </c>
      <c r="E1723" s="217" t="s">
        <v>2848</v>
      </c>
      <c r="F1723" s="218" t="s">
        <v>2827</v>
      </c>
      <c r="G1723" s="116">
        <v>1450</v>
      </c>
      <c r="H1723" s="1776" t="s">
        <v>1349</v>
      </c>
      <c r="I1723" s="34" t="s">
        <v>25</v>
      </c>
      <c r="J1723" s="327"/>
      <c r="K1723" s="37"/>
      <c r="L1723" s="1128"/>
      <c r="M1723" s="327"/>
      <c r="N1723" s="327"/>
      <c r="O1723" s="1129"/>
    </row>
    <row r="1724" spans="1:15" ht="18.75" customHeight="1" x14ac:dyDescent="0.3">
      <c r="A1724" s="2402">
        <v>1718</v>
      </c>
      <c r="B1724" s="1122" t="s">
        <v>2825</v>
      </c>
      <c r="C1724" s="216" t="s">
        <v>1344</v>
      </c>
      <c r="D1724" s="416" t="s">
        <v>1053</v>
      </c>
      <c r="E1724" s="217" t="s">
        <v>2849</v>
      </c>
      <c r="F1724" s="218" t="s">
        <v>2827</v>
      </c>
      <c r="G1724" s="116">
        <v>1450</v>
      </c>
      <c r="H1724" s="1776" t="s">
        <v>1349</v>
      </c>
      <c r="I1724" s="34" t="s">
        <v>25</v>
      </c>
      <c r="J1724" s="327"/>
      <c r="K1724" s="37"/>
      <c r="L1724" s="1128"/>
      <c r="M1724" s="327"/>
      <c r="N1724" s="327"/>
      <c r="O1724" s="1129"/>
    </row>
    <row r="1725" spans="1:15" ht="18.75" customHeight="1" x14ac:dyDescent="0.3">
      <c r="A1725" s="2402">
        <v>1719</v>
      </c>
      <c r="B1725" s="1122" t="s">
        <v>2825</v>
      </c>
      <c r="C1725" s="216" t="s">
        <v>1344</v>
      </c>
      <c r="D1725" s="416" t="s">
        <v>1053</v>
      </c>
      <c r="E1725" s="217" t="s">
        <v>2850</v>
      </c>
      <c r="F1725" s="218" t="s">
        <v>2827</v>
      </c>
      <c r="G1725" s="116">
        <v>1450</v>
      </c>
      <c r="H1725" s="1776" t="s">
        <v>1349</v>
      </c>
      <c r="I1725" s="34" t="s">
        <v>25</v>
      </c>
      <c r="J1725" s="327"/>
      <c r="K1725" s="37"/>
      <c r="L1725" s="1128"/>
      <c r="M1725" s="327"/>
      <c r="N1725" s="327"/>
      <c r="O1725" s="1129"/>
    </row>
    <row r="1726" spans="1:15" ht="18.75" customHeight="1" x14ac:dyDescent="0.3">
      <c r="A1726" s="2401">
        <v>1720</v>
      </c>
      <c r="B1726" s="1122" t="s">
        <v>2825</v>
      </c>
      <c r="C1726" s="216" t="s">
        <v>1344</v>
      </c>
      <c r="D1726" s="452" t="s">
        <v>1053</v>
      </c>
      <c r="E1726" s="217" t="s">
        <v>2851</v>
      </c>
      <c r="F1726" s="218" t="s">
        <v>2827</v>
      </c>
      <c r="G1726" s="116">
        <v>1450</v>
      </c>
      <c r="H1726" s="1776" t="s">
        <v>1349</v>
      </c>
      <c r="I1726" s="34" t="s">
        <v>25</v>
      </c>
      <c r="J1726" s="327"/>
      <c r="K1726" s="37"/>
      <c r="L1726" s="1128"/>
      <c r="M1726" s="327"/>
      <c r="N1726" s="327"/>
      <c r="O1726" s="1129"/>
    </row>
    <row r="1727" spans="1:15" ht="18.75" customHeight="1" x14ac:dyDescent="0.3">
      <c r="A1727" s="2402">
        <v>1721</v>
      </c>
      <c r="B1727" s="1122" t="s">
        <v>2825</v>
      </c>
      <c r="C1727" s="216" t="s">
        <v>1344</v>
      </c>
      <c r="D1727" s="495" t="s">
        <v>1053</v>
      </c>
      <c r="E1727" s="217" t="s">
        <v>2852</v>
      </c>
      <c r="F1727" s="218" t="s">
        <v>2827</v>
      </c>
      <c r="G1727" s="116">
        <v>1450</v>
      </c>
      <c r="H1727" s="1776" t="s">
        <v>1349</v>
      </c>
      <c r="I1727" s="34" t="s">
        <v>25</v>
      </c>
      <c r="J1727" s="327"/>
      <c r="K1727" s="37"/>
      <c r="L1727" s="1128"/>
      <c r="M1727" s="327"/>
      <c r="N1727" s="327"/>
      <c r="O1727" s="1129"/>
    </row>
    <row r="1728" spans="1:15" ht="18.75" customHeight="1" x14ac:dyDescent="0.3">
      <c r="A1728" s="2402">
        <v>1722</v>
      </c>
      <c r="B1728" s="1122" t="s">
        <v>2825</v>
      </c>
      <c r="C1728" s="216" t="s">
        <v>1344</v>
      </c>
      <c r="D1728" s="793" t="s">
        <v>1053</v>
      </c>
      <c r="E1728" s="217" t="s">
        <v>2853</v>
      </c>
      <c r="F1728" s="218" t="s">
        <v>2827</v>
      </c>
      <c r="G1728" s="116">
        <v>1450</v>
      </c>
      <c r="H1728" s="1776" t="s">
        <v>1349</v>
      </c>
      <c r="I1728" s="34" t="s">
        <v>25</v>
      </c>
      <c r="J1728" s="327"/>
      <c r="K1728" s="37"/>
      <c r="L1728" s="1128"/>
      <c r="M1728" s="327"/>
      <c r="N1728" s="327"/>
      <c r="O1728" s="1129"/>
    </row>
    <row r="1729" spans="1:15" ht="18.75" customHeight="1" x14ac:dyDescent="0.3">
      <c r="A1729" s="2401">
        <v>1723</v>
      </c>
      <c r="B1729" s="1122" t="s">
        <v>2825</v>
      </c>
      <c r="C1729" s="216" t="s">
        <v>1344</v>
      </c>
      <c r="D1729" s="416" t="s">
        <v>1053</v>
      </c>
      <c r="E1729" s="217" t="s">
        <v>2854</v>
      </c>
      <c r="F1729" s="218" t="s">
        <v>2827</v>
      </c>
      <c r="G1729" s="116">
        <v>1450</v>
      </c>
      <c r="H1729" s="1776" t="s">
        <v>1349</v>
      </c>
      <c r="I1729" s="34" t="s">
        <v>25</v>
      </c>
      <c r="J1729" s="327"/>
      <c r="K1729" s="37"/>
      <c r="L1729" s="1128"/>
      <c r="M1729" s="327"/>
      <c r="N1729" s="327"/>
      <c r="O1729" s="1129"/>
    </row>
    <row r="1730" spans="1:15" ht="18.75" customHeight="1" x14ac:dyDescent="0.3">
      <c r="A1730" s="2402">
        <v>1724</v>
      </c>
      <c r="B1730" s="1122" t="s">
        <v>2825</v>
      </c>
      <c r="C1730" s="216" t="s">
        <v>1344</v>
      </c>
      <c r="D1730" s="416" t="s">
        <v>1053</v>
      </c>
      <c r="E1730" s="217" t="s">
        <v>2855</v>
      </c>
      <c r="F1730" s="218" t="s">
        <v>2827</v>
      </c>
      <c r="G1730" s="116">
        <v>1450</v>
      </c>
      <c r="H1730" s="1776" t="s">
        <v>1349</v>
      </c>
      <c r="I1730" s="34" t="s">
        <v>25</v>
      </c>
      <c r="J1730" s="327"/>
      <c r="K1730" s="37"/>
      <c r="L1730" s="1128"/>
      <c r="M1730" s="327"/>
      <c r="N1730" s="327"/>
      <c r="O1730" s="1129"/>
    </row>
    <row r="1731" spans="1:15" ht="18.75" customHeight="1" x14ac:dyDescent="0.3">
      <c r="A1731" s="2402">
        <v>1725</v>
      </c>
      <c r="B1731" s="1122" t="s">
        <v>2825</v>
      </c>
      <c r="C1731" s="216" t="s">
        <v>1344</v>
      </c>
      <c r="D1731" s="416" t="s">
        <v>1053</v>
      </c>
      <c r="E1731" s="217" t="s">
        <v>2856</v>
      </c>
      <c r="F1731" s="218" t="s">
        <v>2827</v>
      </c>
      <c r="G1731" s="116">
        <v>1450</v>
      </c>
      <c r="H1731" s="1776" t="s">
        <v>1349</v>
      </c>
      <c r="I1731" s="34" t="s">
        <v>25</v>
      </c>
      <c r="J1731" s="327"/>
      <c r="K1731" s="37"/>
      <c r="L1731" s="1128"/>
      <c r="M1731" s="327"/>
      <c r="N1731" s="327"/>
      <c r="O1731" s="1129"/>
    </row>
    <row r="1732" spans="1:15" ht="18.75" customHeight="1" x14ac:dyDescent="0.3">
      <c r="A1732" s="2402">
        <v>1726</v>
      </c>
      <c r="B1732" s="1122" t="s">
        <v>2825</v>
      </c>
      <c r="C1732" s="216" t="s">
        <v>1344</v>
      </c>
      <c r="D1732" s="416" t="s">
        <v>1053</v>
      </c>
      <c r="E1732" s="217" t="s">
        <v>2857</v>
      </c>
      <c r="F1732" s="218" t="s">
        <v>2827</v>
      </c>
      <c r="G1732" s="116">
        <v>1450</v>
      </c>
      <c r="H1732" s="1776" t="s">
        <v>1349</v>
      </c>
      <c r="I1732" s="34" t="s">
        <v>25</v>
      </c>
      <c r="J1732" s="327"/>
      <c r="K1732" s="37"/>
      <c r="L1732" s="1128"/>
      <c r="M1732" s="327"/>
      <c r="N1732" s="327"/>
      <c r="O1732" s="1129"/>
    </row>
    <row r="1733" spans="1:15" ht="18.75" customHeight="1" x14ac:dyDescent="0.3">
      <c r="A1733" s="2402">
        <v>1727</v>
      </c>
      <c r="B1733" s="1122" t="s">
        <v>2825</v>
      </c>
      <c r="C1733" s="216" t="s">
        <v>1344</v>
      </c>
      <c r="D1733" s="416" t="s">
        <v>1053</v>
      </c>
      <c r="E1733" s="217" t="s">
        <v>2858</v>
      </c>
      <c r="F1733" s="218" t="s">
        <v>2827</v>
      </c>
      <c r="G1733" s="116">
        <v>1450</v>
      </c>
      <c r="H1733" s="1776" t="s">
        <v>1349</v>
      </c>
      <c r="I1733" s="34" t="s">
        <v>25</v>
      </c>
      <c r="J1733" s="327"/>
      <c r="K1733" s="37"/>
      <c r="L1733" s="1128"/>
      <c r="M1733" s="327"/>
      <c r="N1733" s="327"/>
      <c r="O1733" s="1129"/>
    </row>
    <row r="1734" spans="1:15" ht="18.75" customHeight="1" x14ac:dyDescent="0.3">
      <c r="A1734" s="2401">
        <v>1728</v>
      </c>
      <c r="B1734" s="1122" t="s">
        <v>2825</v>
      </c>
      <c r="C1734" s="216" t="s">
        <v>1344</v>
      </c>
      <c r="D1734" s="416" t="s">
        <v>1053</v>
      </c>
      <c r="E1734" s="217" t="s">
        <v>2859</v>
      </c>
      <c r="F1734" s="218" t="s">
        <v>2827</v>
      </c>
      <c r="G1734" s="116">
        <v>1450</v>
      </c>
      <c r="H1734" s="1776" t="s">
        <v>1349</v>
      </c>
      <c r="I1734" s="34" t="s">
        <v>25</v>
      </c>
      <c r="J1734" s="327"/>
      <c r="K1734" s="37"/>
      <c r="L1734" s="1128"/>
      <c r="M1734" s="327"/>
      <c r="N1734" s="327"/>
      <c r="O1734" s="1129"/>
    </row>
    <row r="1735" spans="1:15" ht="18.75" customHeight="1" x14ac:dyDescent="0.3">
      <c r="A1735" s="2402">
        <v>1729</v>
      </c>
      <c r="B1735" s="1122" t="s">
        <v>2825</v>
      </c>
      <c r="C1735" s="216" t="s">
        <v>1344</v>
      </c>
      <c r="D1735" s="416" t="s">
        <v>1053</v>
      </c>
      <c r="E1735" s="217" t="s">
        <v>2860</v>
      </c>
      <c r="F1735" s="218" t="s">
        <v>2827</v>
      </c>
      <c r="G1735" s="116">
        <v>1450</v>
      </c>
      <c r="H1735" s="1776" t="s">
        <v>1349</v>
      </c>
      <c r="I1735" s="34" t="s">
        <v>25</v>
      </c>
      <c r="J1735" s="327"/>
      <c r="K1735" s="37"/>
      <c r="L1735" s="1128"/>
      <c r="M1735" s="327"/>
      <c r="N1735" s="327"/>
      <c r="O1735" s="1129"/>
    </row>
    <row r="1736" spans="1:15" ht="18.75" customHeight="1" x14ac:dyDescent="0.3">
      <c r="A1736" s="2402">
        <v>1730</v>
      </c>
      <c r="B1736" s="1122" t="s">
        <v>2825</v>
      </c>
      <c r="C1736" s="216" t="s">
        <v>1344</v>
      </c>
      <c r="D1736" s="416" t="s">
        <v>1053</v>
      </c>
      <c r="E1736" s="217" t="s">
        <v>2861</v>
      </c>
      <c r="F1736" s="218" t="s">
        <v>2827</v>
      </c>
      <c r="G1736" s="116">
        <v>1450</v>
      </c>
      <c r="H1736" s="1776" t="s">
        <v>1349</v>
      </c>
      <c r="I1736" s="34" t="s">
        <v>25</v>
      </c>
      <c r="J1736" s="327"/>
      <c r="K1736" s="37"/>
      <c r="L1736" s="1128"/>
      <c r="M1736" s="327"/>
      <c r="N1736" s="327"/>
      <c r="O1736" s="1129"/>
    </row>
    <row r="1737" spans="1:15" ht="18.75" customHeight="1" x14ac:dyDescent="0.3">
      <c r="A1737" s="2401">
        <v>1731</v>
      </c>
      <c r="B1737" s="1122" t="s">
        <v>2825</v>
      </c>
      <c r="C1737" s="216" t="s">
        <v>1344</v>
      </c>
      <c r="D1737" s="416" t="s">
        <v>1053</v>
      </c>
      <c r="E1737" s="217" t="s">
        <v>2862</v>
      </c>
      <c r="F1737" s="218" t="s">
        <v>2827</v>
      </c>
      <c r="G1737" s="116">
        <v>1450</v>
      </c>
      <c r="H1737" s="1776" t="s">
        <v>1349</v>
      </c>
      <c r="I1737" s="34" t="s">
        <v>25</v>
      </c>
      <c r="J1737" s="327"/>
      <c r="K1737" s="37"/>
      <c r="L1737" s="1128"/>
      <c r="M1737" s="327"/>
      <c r="N1737" s="327"/>
      <c r="O1737" s="1129"/>
    </row>
    <row r="1738" spans="1:15" ht="18.75" customHeight="1" x14ac:dyDescent="0.3">
      <c r="A1738" s="2402">
        <v>1732</v>
      </c>
      <c r="B1738" s="1122" t="s">
        <v>2825</v>
      </c>
      <c r="C1738" s="216" t="s">
        <v>1344</v>
      </c>
      <c r="D1738" s="416" t="s">
        <v>1053</v>
      </c>
      <c r="E1738" s="217" t="s">
        <v>2863</v>
      </c>
      <c r="F1738" s="218" t="s">
        <v>2827</v>
      </c>
      <c r="G1738" s="116">
        <v>1450</v>
      </c>
      <c r="H1738" s="1776" t="s">
        <v>1349</v>
      </c>
      <c r="I1738" s="34" t="s">
        <v>25</v>
      </c>
      <c r="J1738" s="327"/>
      <c r="K1738" s="37"/>
      <c r="L1738" s="1128"/>
      <c r="M1738" s="327"/>
      <c r="N1738" s="327"/>
      <c r="O1738" s="1129"/>
    </row>
    <row r="1739" spans="1:15" ht="18.75" customHeight="1" x14ac:dyDescent="0.3">
      <c r="A1739" s="2402">
        <v>1733</v>
      </c>
      <c r="B1739" s="1122" t="s">
        <v>2825</v>
      </c>
      <c r="C1739" s="216" t="s">
        <v>1344</v>
      </c>
      <c r="D1739" s="416" t="s">
        <v>1053</v>
      </c>
      <c r="E1739" s="217" t="s">
        <v>2864</v>
      </c>
      <c r="F1739" s="218" t="s">
        <v>2827</v>
      </c>
      <c r="G1739" s="116">
        <v>1450</v>
      </c>
      <c r="H1739" s="1776" t="s">
        <v>1349</v>
      </c>
      <c r="I1739" s="34" t="s">
        <v>25</v>
      </c>
      <c r="J1739" s="327"/>
      <c r="K1739" s="37"/>
      <c r="L1739" s="1128"/>
      <c r="M1739" s="327"/>
      <c r="N1739" s="327"/>
      <c r="O1739" s="1129"/>
    </row>
    <row r="1740" spans="1:15" ht="18.75" customHeight="1" x14ac:dyDescent="0.3">
      <c r="A1740" s="2402">
        <v>1734</v>
      </c>
      <c r="B1740" s="1122" t="s">
        <v>2825</v>
      </c>
      <c r="C1740" s="216" t="s">
        <v>1344</v>
      </c>
      <c r="D1740" s="416" t="s">
        <v>1053</v>
      </c>
      <c r="E1740" s="217" t="s">
        <v>2865</v>
      </c>
      <c r="F1740" s="218" t="s">
        <v>2827</v>
      </c>
      <c r="G1740" s="116">
        <v>1450</v>
      </c>
      <c r="H1740" s="1776" t="s">
        <v>1349</v>
      </c>
      <c r="I1740" s="34" t="s">
        <v>25</v>
      </c>
      <c r="J1740" s="327"/>
      <c r="K1740" s="37"/>
      <c r="L1740" s="1128"/>
      <c r="M1740" s="327"/>
      <c r="N1740" s="327"/>
      <c r="O1740" s="1129"/>
    </row>
    <row r="1741" spans="1:15" ht="18.75" customHeight="1" x14ac:dyDescent="0.3">
      <c r="A1741" s="2402">
        <v>1735</v>
      </c>
      <c r="B1741" s="1122" t="s">
        <v>2825</v>
      </c>
      <c r="C1741" s="216" t="s">
        <v>1344</v>
      </c>
      <c r="D1741" s="416" t="s">
        <v>1053</v>
      </c>
      <c r="E1741" s="217" t="s">
        <v>2866</v>
      </c>
      <c r="F1741" s="218" t="s">
        <v>2827</v>
      </c>
      <c r="G1741" s="116">
        <v>1450</v>
      </c>
      <c r="H1741" s="1776" t="s">
        <v>1349</v>
      </c>
      <c r="I1741" s="34" t="s">
        <v>25</v>
      </c>
      <c r="J1741" s="327"/>
      <c r="K1741" s="37"/>
      <c r="L1741" s="1128"/>
      <c r="M1741" s="327"/>
      <c r="N1741" s="327"/>
      <c r="O1741" s="1129"/>
    </row>
    <row r="1742" spans="1:15" ht="18.75" customHeight="1" x14ac:dyDescent="0.3">
      <c r="A1742" s="2401">
        <v>1736</v>
      </c>
      <c r="B1742" s="1122" t="s">
        <v>2825</v>
      </c>
      <c r="C1742" s="216" t="s">
        <v>1344</v>
      </c>
      <c r="D1742" s="416" t="s">
        <v>1053</v>
      </c>
      <c r="E1742" s="217" t="s">
        <v>2867</v>
      </c>
      <c r="F1742" s="218" t="s">
        <v>2827</v>
      </c>
      <c r="G1742" s="116">
        <v>1450</v>
      </c>
      <c r="H1742" s="1776" t="s">
        <v>1349</v>
      </c>
      <c r="I1742" s="34" t="s">
        <v>25</v>
      </c>
      <c r="J1742" s="327"/>
      <c r="K1742" s="37"/>
      <c r="L1742" s="1128"/>
      <c r="M1742" s="327"/>
      <c r="N1742" s="327"/>
      <c r="O1742" s="1129"/>
    </row>
    <row r="1743" spans="1:15" ht="18.75" customHeight="1" x14ac:dyDescent="0.3">
      <c r="A1743" s="2402">
        <v>1737</v>
      </c>
      <c r="B1743" s="1122" t="s">
        <v>2825</v>
      </c>
      <c r="C1743" s="216" t="s">
        <v>1344</v>
      </c>
      <c r="D1743" s="416" t="s">
        <v>1053</v>
      </c>
      <c r="E1743" s="217" t="s">
        <v>2868</v>
      </c>
      <c r="F1743" s="218" t="s">
        <v>2827</v>
      </c>
      <c r="G1743" s="116">
        <v>1450</v>
      </c>
      <c r="H1743" s="1776" t="s">
        <v>1349</v>
      </c>
      <c r="I1743" s="34" t="s">
        <v>25</v>
      </c>
      <c r="J1743" s="327"/>
      <c r="K1743" s="37"/>
      <c r="L1743" s="1128"/>
      <c r="M1743" s="327"/>
      <c r="N1743" s="327"/>
      <c r="O1743" s="1129"/>
    </row>
    <row r="1744" spans="1:15" ht="18.75" customHeight="1" x14ac:dyDescent="0.3">
      <c r="A1744" s="2402">
        <v>1738</v>
      </c>
      <c r="B1744" s="1122" t="s">
        <v>2825</v>
      </c>
      <c r="C1744" s="216" t="s">
        <v>1344</v>
      </c>
      <c r="D1744" s="416" t="s">
        <v>1053</v>
      </c>
      <c r="E1744" s="217" t="s">
        <v>2869</v>
      </c>
      <c r="F1744" s="218" t="s">
        <v>2827</v>
      </c>
      <c r="G1744" s="116">
        <v>1450</v>
      </c>
      <c r="H1744" s="1776" t="s">
        <v>1349</v>
      </c>
      <c r="I1744" s="34" t="s">
        <v>25</v>
      </c>
      <c r="J1744" s="327"/>
      <c r="K1744" s="37"/>
      <c r="L1744" s="1128"/>
      <c r="M1744" s="327"/>
      <c r="N1744" s="327"/>
      <c r="O1744" s="1129"/>
    </row>
    <row r="1745" spans="1:15" ht="18.75" customHeight="1" x14ac:dyDescent="0.3">
      <c r="A1745" s="2401">
        <v>1739</v>
      </c>
      <c r="B1745" s="1122" t="s">
        <v>2825</v>
      </c>
      <c r="C1745" s="216" t="s">
        <v>1344</v>
      </c>
      <c r="D1745" s="416" t="s">
        <v>1053</v>
      </c>
      <c r="E1745" s="217" t="s">
        <v>2870</v>
      </c>
      <c r="F1745" s="218" t="s">
        <v>2827</v>
      </c>
      <c r="G1745" s="116">
        <v>1450</v>
      </c>
      <c r="H1745" s="1776" t="s">
        <v>1349</v>
      </c>
      <c r="I1745" s="34" t="s">
        <v>25</v>
      </c>
      <c r="J1745" s="327"/>
      <c r="K1745" s="37"/>
      <c r="L1745" s="1128"/>
      <c r="M1745" s="327"/>
      <c r="N1745" s="327"/>
      <c r="O1745" s="1129"/>
    </row>
    <row r="1746" spans="1:15" ht="18.75" customHeight="1" x14ac:dyDescent="0.3">
      <c r="A1746" s="2402">
        <v>1740</v>
      </c>
      <c r="B1746" s="1122" t="s">
        <v>2825</v>
      </c>
      <c r="C1746" s="216" t="s">
        <v>1344</v>
      </c>
      <c r="D1746" s="452" t="s">
        <v>1053</v>
      </c>
      <c r="E1746" s="217" t="s">
        <v>2871</v>
      </c>
      <c r="F1746" s="218" t="s">
        <v>2827</v>
      </c>
      <c r="G1746" s="116">
        <v>1450</v>
      </c>
      <c r="H1746" s="1776" t="s">
        <v>1349</v>
      </c>
      <c r="I1746" s="34" t="s">
        <v>25</v>
      </c>
      <c r="J1746" s="327"/>
      <c r="K1746" s="37"/>
      <c r="L1746" s="1128"/>
      <c r="M1746" s="327"/>
      <c r="N1746" s="327"/>
      <c r="O1746" s="1129"/>
    </row>
    <row r="1747" spans="1:15" ht="18.75" customHeight="1" x14ac:dyDescent="0.3">
      <c r="A1747" s="2402">
        <v>1741</v>
      </c>
      <c r="B1747" s="1122" t="s">
        <v>2825</v>
      </c>
      <c r="C1747" s="216" t="s">
        <v>1344</v>
      </c>
      <c r="D1747" s="793" t="s">
        <v>1053</v>
      </c>
      <c r="E1747" s="217" t="s">
        <v>2872</v>
      </c>
      <c r="F1747" s="218" t="s">
        <v>2827</v>
      </c>
      <c r="G1747" s="116">
        <v>1450</v>
      </c>
      <c r="H1747" s="1776" t="s">
        <v>1349</v>
      </c>
      <c r="I1747" s="34" t="s">
        <v>25</v>
      </c>
      <c r="J1747" s="327"/>
      <c r="K1747" s="37"/>
      <c r="L1747" s="1128"/>
      <c r="M1747" s="327"/>
      <c r="N1747" s="327"/>
      <c r="O1747" s="1129"/>
    </row>
    <row r="1748" spans="1:15" ht="18.75" customHeight="1" x14ac:dyDescent="0.3">
      <c r="A1748" s="2402">
        <v>1742</v>
      </c>
      <c r="B1748" s="1122" t="s">
        <v>2825</v>
      </c>
      <c r="C1748" s="216" t="s">
        <v>1344</v>
      </c>
      <c r="D1748" s="452" t="s">
        <v>1053</v>
      </c>
      <c r="E1748" s="217" t="s">
        <v>2873</v>
      </c>
      <c r="F1748" s="218" t="s">
        <v>2827</v>
      </c>
      <c r="G1748" s="116">
        <v>1450</v>
      </c>
      <c r="H1748" s="1776" t="s">
        <v>1349</v>
      </c>
      <c r="I1748" s="34" t="s">
        <v>25</v>
      </c>
      <c r="J1748" s="327"/>
      <c r="K1748" s="37"/>
      <c r="L1748" s="1128"/>
      <c r="M1748" s="327"/>
      <c r="N1748" s="327"/>
      <c r="O1748" s="1129"/>
    </row>
    <row r="1749" spans="1:15" ht="18.75" customHeight="1" x14ac:dyDescent="0.3">
      <c r="A1749" s="2402">
        <v>1743</v>
      </c>
      <c r="B1749" s="1122" t="s">
        <v>2825</v>
      </c>
      <c r="C1749" s="216" t="s">
        <v>1344</v>
      </c>
      <c r="D1749" s="793" t="s">
        <v>1053</v>
      </c>
      <c r="E1749" s="217" t="s">
        <v>2874</v>
      </c>
      <c r="F1749" s="218" t="s">
        <v>2827</v>
      </c>
      <c r="G1749" s="116">
        <v>1450</v>
      </c>
      <c r="H1749" s="1776" t="s">
        <v>1349</v>
      </c>
      <c r="I1749" s="34" t="s">
        <v>25</v>
      </c>
      <c r="J1749" s="327"/>
      <c r="K1749" s="37"/>
      <c r="L1749" s="1128"/>
      <c r="M1749" s="327"/>
      <c r="N1749" s="327"/>
      <c r="O1749" s="1129"/>
    </row>
    <row r="1750" spans="1:15" ht="18.75" customHeight="1" x14ac:dyDescent="0.3">
      <c r="A1750" s="2401">
        <v>1744</v>
      </c>
      <c r="B1750" s="1122" t="s">
        <v>2825</v>
      </c>
      <c r="C1750" s="216" t="s">
        <v>1344</v>
      </c>
      <c r="D1750" s="416" t="s">
        <v>1053</v>
      </c>
      <c r="E1750" s="217" t="s">
        <v>2875</v>
      </c>
      <c r="F1750" s="218" t="s">
        <v>2827</v>
      </c>
      <c r="G1750" s="116">
        <v>1450</v>
      </c>
      <c r="H1750" s="1776" t="s">
        <v>1349</v>
      </c>
      <c r="I1750" s="34" t="s">
        <v>25</v>
      </c>
      <c r="J1750" s="327"/>
      <c r="K1750" s="37"/>
      <c r="L1750" s="1128"/>
      <c r="M1750" s="327"/>
      <c r="N1750" s="327"/>
      <c r="O1750" s="1129"/>
    </row>
    <row r="1751" spans="1:15" ht="18.75" customHeight="1" x14ac:dyDescent="0.3">
      <c r="A1751" s="2402">
        <v>1745</v>
      </c>
      <c r="B1751" s="1122" t="s">
        <v>2825</v>
      </c>
      <c r="C1751" s="216" t="s">
        <v>1344</v>
      </c>
      <c r="D1751" s="416" t="s">
        <v>1053</v>
      </c>
      <c r="E1751" s="217" t="s">
        <v>2876</v>
      </c>
      <c r="F1751" s="218" t="s">
        <v>2827</v>
      </c>
      <c r="G1751" s="116">
        <v>1450</v>
      </c>
      <c r="H1751" s="1776" t="s">
        <v>1349</v>
      </c>
      <c r="I1751" s="34" t="s">
        <v>25</v>
      </c>
      <c r="J1751" s="327"/>
      <c r="K1751" s="37"/>
      <c r="L1751" s="1128"/>
      <c r="M1751" s="327"/>
      <c r="N1751" s="327"/>
      <c r="O1751" s="1129"/>
    </row>
    <row r="1752" spans="1:15" ht="18.75" customHeight="1" x14ac:dyDescent="0.3">
      <c r="A1752" s="2402">
        <v>1746</v>
      </c>
      <c r="B1752" s="1122" t="s">
        <v>2825</v>
      </c>
      <c r="C1752" s="216" t="s">
        <v>1344</v>
      </c>
      <c r="D1752" s="416" t="s">
        <v>1053</v>
      </c>
      <c r="E1752" s="217" t="s">
        <v>2877</v>
      </c>
      <c r="F1752" s="218" t="s">
        <v>2827</v>
      </c>
      <c r="G1752" s="116">
        <v>1450</v>
      </c>
      <c r="H1752" s="1776" t="s">
        <v>1349</v>
      </c>
      <c r="I1752" s="34" t="s">
        <v>25</v>
      </c>
      <c r="J1752" s="327"/>
      <c r="K1752" s="37"/>
      <c r="L1752" s="1128"/>
      <c r="M1752" s="327"/>
      <c r="N1752" s="327"/>
      <c r="O1752" s="1129"/>
    </row>
    <row r="1753" spans="1:15" ht="18.75" customHeight="1" x14ac:dyDescent="0.3">
      <c r="A1753" s="2401">
        <v>1747</v>
      </c>
      <c r="B1753" s="1122" t="s">
        <v>2825</v>
      </c>
      <c r="C1753" s="216" t="s">
        <v>1344</v>
      </c>
      <c r="D1753" s="416" t="s">
        <v>1053</v>
      </c>
      <c r="E1753" s="217" t="s">
        <v>2878</v>
      </c>
      <c r="F1753" s="218" t="s">
        <v>2827</v>
      </c>
      <c r="G1753" s="116">
        <v>1450</v>
      </c>
      <c r="H1753" s="1776" t="s">
        <v>1349</v>
      </c>
      <c r="I1753" s="34" t="s">
        <v>25</v>
      </c>
      <c r="J1753" s="327"/>
      <c r="K1753" s="37"/>
      <c r="L1753" s="1128"/>
      <c r="M1753" s="327"/>
      <c r="N1753" s="327"/>
      <c r="O1753" s="1129"/>
    </row>
    <row r="1754" spans="1:15" ht="18.75" customHeight="1" x14ac:dyDescent="0.3">
      <c r="A1754" s="2402">
        <v>1748</v>
      </c>
      <c r="B1754" s="1122" t="s">
        <v>2825</v>
      </c>
      <c r="C1754" s="216" t="s">
        <v>1344</v>
      </c>
      <c r="D1754" s="416" t="s">
        <v>1053</v>
      </c>
      <c r="E1754" s="217" t="s">
        <v>2879</v>
      </c>
      <c r="F1754" s="218" t="s">
        <v>2827</v>
      </c>
      <c r="G1754" s="116">
        <v>1450</v>
      </c>
      <c r="H1754" s="1776" t="s">
        <v>1349</v>
      </c>
      <c r="I1754" s="34" t="s">
        <v>25</v>
      </c>
      <c r="J1754" s="327"/>
      <c r="K1754" s="37"/>
      <c r="L1754" s="1128"/>
      <c r="M1754" s="327"/>
      <c r="N1754" s="327"/>
      <c r="O1754" s="1129"/>
    </row>
    <row r="1755" spans="1:15" ht="18.75" customHeight="1" x14ac:dyDescent="0.3">
      <c r="A1755" s="2402">
        <v>1749</v>
      </c>
      <c r="B1755" s="1122" t="s">
        <v>2825</v>
      </c>
      <c r="C1755" s="216" t="s">
        <v>1344</v>
      </c>
      <c r="D1755" s="416" t="s">
        <v>1053</v>
      </c>
      <c r="E1755" s="217" t="s">
        <v>2880</v>
      </c>
      <c r="F1755" s="218" t="s">
        <v>2827</v>
      </c>
      <c r="G1755" s="116">
        <v>1450</v>
      </c>
      <c r="H1755" s="1776" t="s">
        <v>1349</v>
      </c>
      <c r="I1755" s="34" t="s">
        <v>25</v>
      </c>
      <c r="J1755" s="327"/>
      <c r="K1755" s="37"/>
      <c r="L1755" s="1128"/>
      <c r="M1755" s="327"/>
      <c r="N1755" s="327"/>
      <c r="O1755" s="1129"/>
    </row>
    <row r="1756" spans="1:15" ht="18.75" customHeight="1" x14ac:dyDescent="0.3">
      <c r="A1756" s="2402">
        <v>1750</v>
      </c>
      <c r="B1756" s="1122" t="s">
        <v>2825</v>
      </c>
      <c r="C1756" s="216" t="s">
        <v>1344</v>
      </c>
      <c r="D1756" s="416" t="s">
        <v>1053</v>
      </c>
      <c r="E1756" s="217" t="s">
        <v>2881</v>
      </c>
      <c r="F1756" s="218" t="s">
        <v>2827</v>
      </c>
      <c r="G1756" s="116">
        <v>1450</v>
      </c>
      <c r="H1756" s="1776" t="s">
        <v>1349</v>
      </c>
      <c r="I1756" s="34" t="s">
        <v>25</v>
      </c>
      <c r="J1756" s="327"/>
      <c r="K1756" s="37"/>
      <c r="L1756" s="1128"/>
      <c r="M1756" s="327"/>
      <c r="N1756" s="327"/>
      <c r="O1756" s="1129"/>
    </row>
    <row r="1757" spans="1:15" ht="18.75" customHeight="1" x14ac:dyDescent="0.3">
      <c r="A1757" s="2402">
        <v>1751</v>
      </c>
      <c r="B1757" s="1122" t="s">
        <v>2825</v>
      </c>
      <c r="C1757" s="216" t="s">
        <v>1344</v>
      </c>
      <c r="D1757" s="416" t="s">
        <v>1053</v>
      </c>
      <c r="E1757" s="217" t="s">
        <v>2882</v>
      </c>
      <c r="F1757" s="218" t="s">
        <v>2827</v>
      </c>
      <c r="G1757" s="116">
        <v>1450</v>
      </c>
      <c r="H1757" s="1776" t="s">
        <v>1349</v>
      </c>
      <c r="I1757" s="34" t="s">
        <v>25</v>
      </c>
      <c r="J1757" s="327"/>
      <c r="K1757" s="37"/>
      <c r="L1757" s="1128"/>
      <c r="M1757" s="327"/>
      <c r="N1757" s="327"/>
      <c r="O1757" s="1129"/>
    </row>
    <row r="1758" spans="1:15" ht="18.75" customHeight="1" x14ac:dyDescent="0.3">
      <c r="A1758" s="2401">
        <v>1752</v>
      </c>
      <c r="B1758" s="1122" t="s">
        <v>2825</v>
      </c>
      <c r="C1758" s="216" t="s">
        <v>1344</v>
      </c>
      <c r="D1758" s="416" t="s">
        <v>1053</v>
      </c>
      <c r="E1758" s="217" t="s">
        <v>2883</v>
      </c>
      <c r="F1758" s="218" t="s">
        <v>2827</v>
      </c>
      <c r="G1758" s="116">
        <v>1450</v>
      </c>
      <c r="H1758" s="1776" t="s">
        <v>1349</v>
      </c>
      <c r="I1758" s="34" t="s">
        <v>25</v>
      </c>
      <c r="J1758" s="327"/>
      <c r="K1758" s="37"/>
      <c r="L1758" s="1128"/>
      <c r="M1758" s="327"/>
      <c r="N1758" s="327"/>
      <c r="O1758" s="1129"/>
    </row>
    <row r="1759" spans="1:15" ht="18.75" customHeight="1" x14ac:dyDescent="0.3">
      <c r="A1759" s="2402">
        <v>1753</v>
      </c>
      <c r="B1759" s="1122" t="s">
        <v>2825</v>
      </c>
      <c r="C1759" s="216" t="s">
        <v>1344</v>
      </c>
      <c r="D1759" s="416" t="s">
        <v>1053</v>
      </c>
      <c r="E1759" s="217" t="s">
        <v>2884</v>
      </c>
      <c r="F1759" s="218" t="s">
        <v>2827</v>
      </c>
      <c r="G1759" s="116">
        <v>1450</v>
      </c>
      <c r="H1759" s="1776" t="s">
        <v>1349</v>
      </c>
      <c r="I1759" s="34" t="s">
        <v>25</v>
      </c>
      <c r="J1759" s="327"/>
      <c r="K1759" s="37"/>
      <c r="L1759" s="1128"/>
      <c r="M1759" s="327"/>
      <c r="N1759" s="327"/>
      <c r="O1759" s="1129"/>
    </row>
    <row r="1760" spans="1:15" ht="18.75" customHeight="1" x14ac:dyDescent="0.3">
      <c r="A1760" s="2402">
        <v>1754</v>
      </c>
      <c r="B1760" s="1122" t="s">
        <v>2825</v>
      </c>
      <c r="C1760" s="216" t="s">
        <v>1344</v>
      </c>
      <c r="D1760" s="416" t="s">
        <v>1053</v>
      </c>
      <c r="E1760" s="217" t="s">
        <v>2885</v>
      </c>
      <c r="F1760" s="218" t="s">
        <v>2827</v>
      </c>
      <c r="G1760" s="116">
        <v>1450</v>
      </c>
      <c r="H1760" s="1776" t="s">
        <v>1349</v>
      </c>
      <c r="I1760" s="34" t="s">
        <v>25</v>
      </c>
      <c r="J1760" s="327"/>
      <c r="K1760" s="37"/>
      <c r="L1760" s="1128"/>
      <c r="M1760" s="327"/>
      <c r="N1760" s="327"/>
      <c r="O1760" s="1129"/>
    </row>
    <row r="1761" spans="1:15" ht="18.75" customHeight="1" x14ac:dyDescent="0.3">
      <c r="A1761" s="2401">
        <v>1755</v>
      </c>
      <c r="B1761" s="1122" t="s">
        <v>2825</v>
      </c>
      <c r="C1761" s="216" t="s">
        <v>1344</v>
      </c>
      <c r="D1761" s="416" t="s">
        <v>1053</v>
      </c>
      <c r="E1761" s="217" t="s">
        <v>2886</v>
      </c>
      <c r="F1761" s="218" t="s">
        <v>2827</v>
      </c>
      <c r="G1761" s="116">
        <v>1450</v>
      </c>
      <c r="H1761" s="1776" t="s">
        <v>1349</v>
      </c>
      <c r="I1761" s="34" t="s">
        <v>25</v>
      </c>
      <c r="J1761" s="327"/>
      <c r="K1761" s="37"/>
      <c r="L1761" s="1128"/>
      <c r="M1761" s="327"/>
      <c r="N1761" s="327"/>
      <c r="O1761" s="1129"/>
    </row>
    <row r="1762" spans="1:15" ht="18.75" customHeight="1" x14ac:dyDescent="0.3">
      <c r="A1762" s="2402">
        <v>1756</v>
      </c>
      <c r="B1762" s="1122" t="s">
        <v>2825</v>
      </c>
      <c r="C1762" s="216" t="s">
        <v>1344</v>
      </c>
      <c r="D1762" s="452" t="s">
        <v>1053</v>
      </c>
      <c r="E1762" s="217" t="s">
        <v>2887</v>
      </c>
      <c r="F1762" s="218" t="s">
        <v>2827</v>
      </c>
      <c r="G1762" s="116">
        <v>1450</v>
      </c>
      <c r="H1762" s="1776" t="s">
        <v>1349</v>
      </c>
      <c r="I1762" s="34" t="s">
        <v>25</v>
      </c>
      <c r="J1762" s="327"/>
      <c r="K1762" s="37"/>
      <c r="L1762" s="1128"/>
      <c r="M1762" s="327"/>
      <c r="N1762" s="327"/>
      <c r="O1762" s="1129"/>
    </row>
    <row r="1763" spans="1:15" ht="18.75" customHeight="1" x14ac:dyDescent="0.3">
      <c r="A1763" s="2402">
        <v>1757</v>
      </c>
      <c r="B1763" s="1122" t="s">
        <v>2825</v>
      </c>
      <c r="C1763" s="1117" t="s">
        <v>1344</v>
      </c>
      <c r="D1763" s="793" t="s">
        <v>1053</v>
      </c>
      <c r="E1763" s="217" t="s">
        <v>2888</v>
      </c>
      <c r="F1763" s="218" t="s">
        <v>2827</v>
      </c>
      <c r="G1763" s="116">
        <v>1450</v>
      </c>
      <c r="H1763" s="1776" t="s">
        <v>1349</v>
      </c>
      <c r="I1763" s="34" t="s">
        <v>25</v>
      </c>
      <c r="J1763" s="327"/>
      <c r="K1763" s="37"/>
      <c r="L1763" s="1128"/>
      <c r="M1763" s="327"/>
      <c r="N1763" s="327"/>
      <c r="O1763" s="1129"/>
    </row>
    <row r="1764" spans="1:15" ht="18.75" customHeight="1" x14ac:dyDescent="0.3">
      <c r="A1764" s="2402">
        <v>1758</v>
      </c>
      <c r="B1764" s="1122" t="s">
        <v>2825</v>
      </c>
      <c r="C1764" s="1117" t="s">
        <v>1344</v>
      </c>
      <c r="D1764" s="416" t="s">
        <v>1053</v>
      </c>
      <c r="E1764" s="217" t="s">
        <v>2889</v>
      </c>
      <c r="F1764" s="218" t="s">
        <v>2827</v>
      </c>
      <c r="G1764" s="116">
        <v>1450</v>
      </c>
      <c r="H1764" s="1776" t="s">
        <v>1349</v>
      </c>
      <c r="I1764" s="34" t="s">
        <v>25</v>
      </c>
      <c r="J1764" s="327"/>
      <c r="K1764" s="37"/>
      <c r="L1764" s="1128"/>
      <c r="M1764" s="327"/>
      <c r="N1764" s="327"/>
      <c r="O1764" s="1129"/>
    </row>
    <row r="1765" spans="1:15" ht="18.75" customHeight="1" x14ac:dyDescent="0.3">
      <c r="A1765" s="2402">
        <v>1759</v>
      </c>
      <c r="B1765" s="1122" t="s">
        <v>2825</v>
      </c>
      <c r="C1765" s="1117" t="s">
        <v>1344</v>
      </c>
      <c r="D1765" s="416" t="s">
        <v>1053</v>
      </c>
      <c r="E1765" s="217" t="s">
        <v>2890</v>
      </c>
      <c r="F1765" s="218" t="s">
        <v>2827</v>
      </c>
      <c r="G1765" s="116">
        <v>1450</v>
      </c>
      <c r="H1765" s="1776" t="s">
        <v>1349</v>
      </c>
      <c r="I1765" s="34" t="s">
        <v>25</v>
      </c>
      <c r="J1765" s="327"/>
      <c r="K1765" s="37"/>
      <c r="L1765" s="1128"/>
      <c r="M1765" s="327"/>
      <c r="N1765" s="327"/>
      <c r="O1765" s="1129"/>
    </row>
    <row r="1766" spans="1:15" ht="18.75" customHeight="1" x14ac:dyDescent="0.3">
      <c r="A1766" s="2401">
        <v>1760</v>
      </c>
      <c r="B1766" s="1122" t="s">
        <v>2825</v>
      </c>
      <c r="C1766" s="1117" t="s">
        <v>1344</v>
      </c>
      <c r="D1766" s="416" t="s">
        <v>1053</v>
      </c>
      <c r="E1766" s="217" t="s">
        <v>2891</v>
      </c>
      <c r="F1766" s="218" t="s">
        <v>2827</v>
      </c>
      <c r="G1766" s="116">
        <v>1450</v>
      </c>
      <c r="H1766" s="1776" t="s">
        <v>1349</v>
      </c>
      <c r="I1766" s="34" t="s">
        <v>25</v>
      </c>
      <c r="J1766" s="327"/>
      <c r="K1766" s="37"/>
      <c r="L1766" s="1128"/>
      <c r="M1766" s="327"/>
      <c r="N1766" s="327"/>
      <c r="O1766" s="1129"/>
    </row>
    <row r="1767" spans="1:15" ht="18.75" customHeight="1" x14ac:dyDescent="0.3">
      <c r="A1767" s="2402">
        <v>1761</v>
      </c>
      <c r="B1767" s="1122" t="s">
        <v>2825</v>
      </c>
      <c r="C1767" s="1117" t="s">
        <v>1344</v>
      </c>
      <c r="D1767" s="416" t="s">
        <v>1053</v>
      </c>
      <c r="E1767" s="217" t="s">
        <v>2892</v>
      </c>
      <c r="F1767" s="218" t="s">
        <v>2827</v>
      </c>
      <c r="G1767" s="116">
        <v>1450</v>
      </c>
      <c r="H1767" s="1776" t="s">
        <v>1349</v>
      </c>
      <c r="I1767" s="34" t="s">
        <v>25</v>
      </c>
      <c r="J1767" s="327"/>
      <c r="K1767" s="37"/>
      <c r="L1767" s="1128"/>
      <c r="M1767" s="327"/>
      <c r="N1767" s="327"/>
      <c r="O1767" s="1129"/>
    </row>
    <row r="1768" spans="1:15" ht="18.75" customHeight="1" x14ac:dyDescent="0.3">
      <c r="A1768" s="2402">
        <v>1762</v>
      </c>
      <c r="B1768" s="1122" t="s">
        <v>2825</v>
      </c>
      <c r="C1768" s="1117" t="s">
        <v>1344</v>
      </c>
      <c r="D1768" s="416" t="s">
        <v>1053</v>
      </c>
      <c r="E1768" s="217" t="s">
        <v>2893</v>
      </c>
      <c r="F1768" s="218" t="s">
        <v>2827</v>
      </c>
      <c r="G1768" s="116">
        <v>1450</v>
      </c>
      <c r="H1768" s="1776" t="s">
        <v>1349</v>
      </c>
      <c r="I1768" s="34" t="s">
        <v>25</v>
      </c>
      <c r="J1768" s="327"/>
      <c r="K1768" s="37"/>
      <c r="L1768" s="1128"/>
      <c r="M1768" s="327"/>
      <c r="N1768" s="327"/>
      <c r="O1768" s="1129"/>
    </row>
    <row r="1769" spans="1:15" ht="18.75" customHeight="1" x14ac:dyDescent="0.3">
      <c r="A1769" s="2401">
        <v>1763</v>
      </c>
      <c r="B1769" s="1122" t="s">
        <v>2825</v>
      </c>
      <c r="C1769" s="1117" t="s">
        <v>1344</v>
      </c>
      <c r="D1769" s="416" t="s">
        <v>1053</v>
      </c>
      <c r="E1769" s="217" t="s">
        <v>2894</v>
      </c>
      <c r="F1769" s="218" t="s">
        <v>2827</v>
      </c>
      <c r="G1769" s="116">
        <v>1450</v>
      </c>
      <c r="H1769" s="1776" t="s">
        <v>1349</v>
      </c>
      <c r="I1769" s="34" t="s">
        <v>25</v>
      </c>
      <c r="J1769" s="327"/>
      <c r="K1769" s="37"/>
      <c r="L1769" s="1128"/>
      <c r="M1769" s="327"/>
      <c r="N1769" s="327"/>
      <c r="O1769" s="1129"/>
    </row>
    <row r="1770" spans="1:15" ht="18.75" customHeight="1" x14ac:dyDescent="0.3">
      <c r="A1770" s="2402">
        <v>1764</v>
      </c>
      <c r="B1770" s="1122" t="s">
        <v>2825</v>
      </c>
      <c r="C1770" s="1117" t="s">
        <v>1344</v>
      </c>
      <c r="D1770" s="416" t="s">
        <v>1053</v>
      </c>
      <c r="E1770" s="217" t="s">
        <v>2895</v>
      </c>
      <c r="F1770" s="218" t="s">
        <v>2827</v>
      </c>
      <c r="G1770" s="116">
        <v>1450</v>
      </c>
      <c r="H1770" s="1776" t="s">
        <v>1349</v>
      </c>
      <c r="I1770" s="34" t="s">
        <v>25</v>
      </c>
      <c r="J1770" s="327"/>
      <c r="K1770" s="37"/>
      <c r="L1770" s="1128"/>
      <c r="M1770" s="327"/>
      <c r="N1770" s="327"/>
      <c r="O1770" s="1129"/>
    </row>
    <row r="1771" spans="1:15" ht="18.75" customHeight="1" x14ac:dyDescent="0.3">
      <c r="A1771" s="2402">
        <v>1765</v>
      </c>
      <c r="B1771" s="1122" t="s">
        <v>2825</v>
      </c>
      <c r="C1771" s="1117" t="s">
        <v>1344</v>
      </c>
      <c r="D1771" s="416" t="s">
        <v>1053</v>
      </c>
      <c r="E1771" s="217" t="s">
        <v>2896</v>
      </c>
      <c r="F1771" s="218" t="s">
        <v>2827</v>
      </c>
      <c r="G1771" s="116">
        <v>1450</v>
      </c>
      <c r="H1771" s="1776" t="s">
        <v>1349</v>
      </c>
      <c r="I1771" s="34" t="s">
        <v>25</v>
      </c>
      <c r="J1771" s="327"/>
      <c r="K1771" s="37"/>
      <c r="L1771" s="1128"/>
      <c r="M1771" s="327"/>
      <c r="N1771" s="327"/>
      <c r="O1771" s="1129"/>
    </row>
    <row r="1772" spans="1:15" ht="18.75" customHeight="1" x14ac:dyDescent="0.3">
      <c r="A1772" s="2402">
        <v>1766</v>
      </c>
      <c r="B1772" s="1122" t="s">
        <v>2825</v>
      </c>
      <c r="C1772" s="1117" t="s">
        <v>1344</v>
      </c>
      <c r="D1772" s="416" t="s">
        <v>1053</v>
      </c>
      <c r="E1772" s="217" t="s">
        <v>2897</v>
      </c>
      <c r="F1772" s="218" t="s">
        <v>2827</v>
      </c>
      <c r="G1772" s="116">
        <v>1450</v>
      </c>
      <c r="H1772" s="1776" t="s">
        <v>1349</v>
      </c>
      <c r="I1772" s="34" t="s">
        <v>25</v>
      </c>
      <c r="J1772" s="327"/>
      <c r="K1772" s="37"/>
      <c r="L1772" s="1128"/>
      <c r="M1772" s="327"/>
      <c r="N1772" s="327"/>
      <c r="O1772" s="1129"/>
    </row>
    <row r="1773" spans="1:15" ht="18.75" customHeight="1" x14ac:dyDescent="0.3">
      <c r="A1773" s="2402">
        <v>1767</v>
      </c>
      <c r="B1773" s="1122" t="s">
        <v>2825</v>
      </c>
      <c r="C1773" s="1117" t="s">
        <v>1344</v>
      </c>
      <c r="D1773" s="416" t="s">
        <v>1053</v>
      </c>
      <c r="E1773" s="217" t="s">
        <v>2898</v>
      </c>
      <c r="F1773" s="218" t="s">
        <v>2827</v>
      </c>
      <c r="G1773" s="116">
        <v>1450</v>
      </c>
      <c r="H1773" s="1776" t="s">
        <v>1349</v>
      </c>
      <c r="I1773" s="34" t="s">
        <v>25</v>
      </c>
      <c r="J1773" s="327"/>
      <c r="K1773" s="37"/>
      <c r="L1773" s="1128"/>
      <c r="M1773" s="327"/>
      <c r="N1773" s="327"/>
      <c r="O1773" s="1129"/>
    </row>
    <row r="1774" spans="1:15" ht="18.75" customHeight="1" x14ac:dyDescent="0.3">
      <c r="A1774" s="2401">
        <v>1768</v>
      </c>
      <c r="B1774" s="1122" t="s">
        <v>2825</v>
      </c>
      <c r="C1774" s="1117" t="s">
        <v>1344</v>
      </c>
      <c r="D1774" s="416" t="s">
        <v>1053</v>
      </c>
      <c r="E1774" s="217" t="s">
        <v>2899</v>
      </c>
      <c r="F1774" s="218" t="s">
        <v>2827</v>
      </c>
      <c r="G1774" s="116">
        <v>1450</v>
      </c>
      <c r="H1774" s="1776" t="s">
        <v>1349</v>
      </c>
      <c r="I1774" s="34" t="s">
        <v>25</v>
      </c>
      <c r="J1774" s="327"/>
      <c r="K1774" s="37"/>
      <c r="L1774" s="1128"/>
      <c r="M1774" s="327"/>
      <c r="N1774" s="327"/>
      <c r="O1774" s="1129"/>
    </row>
    <row r="1775" spans="1:15" ht="18.75" customHeight="1" x14ac:dyDescent="0.3">
      <c r="A1775" s="2402">
        <v>1769</v>
      </c>
      <c r="B1775" s="1122" t="s">
        <v>2825</v>
      </c>
      <c r="C1775" s="1117" t="s">
        <v>1344</v>
      </c>
      <c r="D1775" s="416" t="s">
        <v>1053</v>
      </c>
      <c r="E1775" s="217" t="s">
        <v>2900</v>
      </c>
      <c r="F1775" s="218" t="s">
        <v>2827</v>
      </c>
      <c r="G1775" s="116">
        <v>1450</v>
      </c>
      <c r="H1775" s="1776" t="s">
        <v>1349</v>
      </c>
      <c r="I1775" s="34" t="s">
        <v>25</v>
      </c>
      <c r="J1775" s="327"/>
      <c r="K1775" s="37"/>
      <c r="L1775" s="1128"/>
      <c r="M1775" s="327"/>
      <c r="N1775" s="327"/>
      <c r="O1775" s="1129"/>
    </row>
    <row r="1776" spans="1:15" ht="18.75" customHeight="1" x14ac:dyDescent="0.3">
      <c r="A1776" s="2402">
        <v>1770</v>
      </c>
      <c r="B1776" s="1122" t="s">
        <v>2825</v>
      </c>
      <c r="C1776" s="1117" t="s">
        <v>1344</v>
      </c>
      <c r="D1776" s="416" t="s">
        <v>1053</v>
      </c>
      <c r="E1776" s="217" t="s">
        <v>2901</v>
      </c>
      <c r="F1776" s="218" t="s">
        <v>2827</v>
      </c>
      <c r="G1776" s="116">
        <v>1450</v>
      </c>
      <c r="H1776" s="1776" t="s">
        <v>1349</v>
      </c>
      <c r="I1776" s="34" t="s">
        <v>25</v>
      </c>
      <c r="J1776" s="327"/>
      <c r="K1776" s="37"/>
      <c r="L1776" s="1128"/>
      <c r="M1776" s="327"/>
      <c r="N1776" s="327"/>
      <c r="O1776" s="1129"/>
    </row>
    <row r="1777" spans="1:15" ht="18.75" customHeight="1" x14ac:dyDescent="0.3">
      <c r="A1777" s="2401">
        <v>1771</v>
      </c>
      <c r="B1777" s="1122" t="s">
        <v>2825</v>
      </c>
      <c r="C1777" s="1117" t="s">
        <v>1344</v>
      </c>
      <c r="D1777" s="416" t="s">
        <v>1053</v>
      </c>
      <c r="E1777" s="217" t="s">
        <v>2902</v>
      </c>
      <c r="F1777" s="218" t="s">
        <v>2827</v>
      </c>
      <c r="G1777" s="116">
        <v>1450</v>
      </c>
      <c r="H1777" s="1776" t="s">
        <v>1349</v>
      </c>
      <c r="I1777" s="34" t="s">
        <v>25</v>
      </c>
      <c r="J1777" s="327"/>
      <c r="K1777" s="37"/>
      <c r="L1777" s="1128"/>
      <c r="M1777" s="327"/>
      <c r="N1777" s="327"/>
      <c r="O1777" s="1129"/>
    </row>
    <row r="1778" spans="1:15" ht="18.75" customHeight="1" x14ac:dyDescent="0.3">
      <c r="A1778" s="2402">
        <v>1772</v>
      </c>
      <c r="B1778" s="1122" t="s">
        <v>2825</v>
      </c>
      <c r="C1778" s="1117" t="s">
        <v>1344</v>
      </c>
      <c r="D1778" s="416" t="s">
        <v>1053</v>
      </c>
      <c r="E1778" s="217" t="s">
        <v>2903</v>
      </c>
      <c r="F1778" s="218" t="s">
        <v>2827</v>
      </c>
      <c r="G1778" s="116">
        <v>1450</v>
      </c>
      <c r="H1778" s="1776" t="s">
        <v>1349</v>
      </c>
      <c r="I1778" s="34" t="s">
        <v>25</v>
      </c>
      <c r="J1778" s="327"/>
      <c r="K1778" s="37"/>
      <c r="L1778" s="1128"/>
      <c r="M1778" s="327"/>
      <c r="N1778" s="327"/>
      <c r="O1778" s="1129"/>
    </row>
    <row r="1779" spans="1:15" ht="18.75" customHeight="1" x14ac:dyDescent="0.3">
      <c r="A1779" s="2402">
        <v>1773</v>
      </c>
      <c r="B1779" s="1122" t="s">
        <v>2825</v>
      </c>
      <c r="C1779" s="1117" t="s">
        <v>1344</v>
      </c>
      <c r="D1779" s="416" t="s">
        <v>1053</v>
      </c>
      <c r="E1779" s="217" t="s">
        <v>2904</v>
      </c>
      <c r="F1779" s="218" t="s">
        <v>2827</v>
      </c>
      <c r="G1779" s="116">
        <v>1450</v>
      </c>
      <c r="H1779" s="1776" t="s">
        <v>1349</v>
      </c>
      <c r="I1779" s="34" t="s">
        <v>25</v>
      </c>
      <c r="J1779" s="327"/>
      <c r="K1779" s="37"/>
      <c r="L1779" s="1128"/>
      <c r="M1779" s="327"/>
      <c r="N1779" s="327"/>
      <c r="O1779" s="1129"/>
    </row>
    <row r="1780" spans="1:15" ht="18.75" customHeight="1" x14ac:dyDescent="0.3">
      <c r="A1780" s="2402">
        <v>1774</v>
      </c>
      <c r="B1780" s="1122" t="s">
        <v>2825</v>
      </c>
      <c r="C1780" s="1117" t="s">
        <v>1344</v>
      </c>
      <c r="D1780" s="416" t="s">
        <v>1053</v>
      </c>
      <c r="E1780" s="217" t="s">
        <v>2905</v>
      </c>
      <c r="F1780" s="218" t="s">
        <v>2827</v>
      </c>
      <c r="G1780" s="116">
        <v>1450</v>
      </c>
      <c r="H1780" s="1776" t="s">
        <v>1349</v>
      </c>
      <c r="I1780" s="34" t="s">
        <v>25</v>
      </c>
      <c r="J1780" s="327"/>
      <c r="K1780" s="37"/>
      <c r="L1780" s="1128"/>
      <c r="M1780" s="327"/>
      <c r="N1780" s="327"/>
      <c r="O1780" s="1129"/>
    </row>
    <row r="1781" spans="1:15" ht="18.75" customHeight="1" x14ac:dyDescent="0.3">
      <c r="A1781" s="2402">
        <v>1775</v>
      </c>
      <c r="B1781" s="1122" t="s">
        <v>2825</v>
      </c>
      <c r="C1781" s="1117" t="s">
        <v>1344</v>
      </c>
      <c r="D1781" s="416" t="s">
        <v>1053</v>
      </c>
      <c r="E1781" s="217" t="s">
        <v>2906</v>
      </c>
      <c r="F1781" s="218" t="s">
        <v>2827</v>
      </c>
      <c r="G1781" s="116">
        <v>1450</v>
      </c>
      <c r="H1781" s="1776" t="s">
        <v>1349</v>
      </c>
      <c r="I1781" s="34" t="s">
        <v>25</v>
      </c>
      <c r="J1781" s="327"/>
      <c r="K1781" s="37"/>
      <c r="L1781" s="1128"/>
      <c r="M1781" s="327"/>
      <c r="N1781" s="327"/>
      <c r="O1781" s="1129"/>
    </row>
    <row r="1782" spans="1:15" ht="18.75" customHeight="1" x14ac:dyDescent="0.3">
      <c r="A1782" s="2401">
        <v>1776</v>
      </c>
      <c r="B1782" s="1122" t="s">
        <v>2825</v>
      </c>
      <c r="C1782" s="1117" t="s">
        <v>1344</v>
      </c>
      <c r="D1782" s="416" t="s">
        <v>1053</v>
      </c>
      <c r="E1782" s="217" t="s">
        <v>2907</v>
      </c>
      <c r="F1782" s="218" t="s">
        <v>2827</v>
      </c>
      <c r="G1782" s="116">
        <v>1450</v>
      </c>
      <c r="H1782" s="1776" t="s">
        <v>1349</v>
      </c>
      <c r="I1782" s="34" t="s">
        <v>25</v>
      </c>
      <c r="J1782" s="327"/>
      <c r="K1782" s="37"/>
      <c r="L1782" s="1128"/>
      <c r="M1782" s="327"/>
      <c r="N1782" s="327"/>
      <c r="O1782" s="1129"/>
    </row>
    <row r="1783" spans="1:15" ht="18.75" customHeight="1" x14ac:dyDescent="0.3">
      <c r="A1783" s="2402">
        <v>1777</v>
      </c>
      <c r="B1783" s="1122" t="s">
        <v>2825</v>
      </c>
      <c r="C1783" s="1117" t="s">
        <v>1344</v>
      </c>
      <c r="D1783" s="452" t="s">
        <v>1053</v>
      </c>
      <c r="E1783" s="217" t="s">
        <v>2908</v>
      </c>
      <c r="F1783" s="218" t="s">
        <v>2827</v>
      </c>
      <c r="G1783" s="116">
        <v>1450</v>
      </c>
      <c r="H1783" s="1776" t="s">
        <v>1349</v>
      </c>
      <c r="I1783" s="34" t="s">
        <v>25</v>
      </c>
      <c r="J1783" s="327"/>
      <c r="K1783" s="37"/>
      <c r="L1783" s="1128"/>
      <c r="M1783" s="327"/>
      <c r="N1783" s="327"/>
      <c r="O1783" s="1129"/>
    </row>
    <row r="1784" spans="1:15" ht="18.75" customHeight="1" x14ac:dyDescent="0.3">
      <c r="A1784" s="2402">
        <v>1778</v>
      </c>
      <c r="B1784" s="1122" t="s">
        <v>2825</v>
      </c>
      <c r="C1784" s="1117" t="s">
        <v>1344</v>
      </c>
      <c r="D1784" s="793" t="s">
        <v>1053</v>
      </c>
      <c r="E1784" s="217" t="s">
        <v>2909</v>
      </c>
      <c r="F1784" s="218" t="s">
        <v>2827</v>
      </c>
      <c r="G1784" s="116">
        <v>1450</v>
      </c>
      <c r="H1784" s="1776" t="s">
        <v>1349</v>
      </c>
      <c r="I1784" s="34" t="s">
        <v>25</v>
      </c>
      <c r="J1784" s="327"/>
      <c r="K1784" s="37"/>
      <c r="L1784" s="1128"/>
      <c r="M1784" s="327"/>
      <c r="N1784" s="327"/>
      <c r="O1784" s="1129"/>
    </row>
    <row r="1785" spans="1:15" ht="18.75" customHeight="1" x14ac:dyDescent="0.3">
      <c r="A1785" s="2401">
        <v>1779</v>
      </c>
      <c r="B1785" s="1122" t="s">
        <v>2825</v>
      </c>
      <c r="C1785" s="216" t="s">
        <v>1344</v>
      </c>
      <c r="D1785" s="416" t="s">
        <v>1053</v>
      </c>
      <c r="E1785" s="217" t="s">
        <v>2910</v>
      </c>
      <c r="F1785" s="218" t="s">
        <v>2827</v>
      </c>
      <c r="G1785" s="116">
        <v>1450</v>
      </c>
      <c r="H1785" s="1776" t="s">
        <v>1349</v>
      </c>
      <c r="I1785" s="34" t="s">
        <v>25</v>
      </c>
      <c r="J1785" s="327"/>
      <c r="K1785" s="37"/>
      <c r="L1785" s="1128"/>
      <c r="M1785" s="327"/>
      <c r="N1785" s="327"/>
      <c r="O1785" s="1129"/>
    </row>
    <row r="1786" spans="1:15" ht="18.75" customHeight="1" x14ac:dyDescent="0.3">
      <c r="A1786" s="2402">
        <v>1780</v>
      </c>
      <c r="B1786" s="1122" t="s">
        <v>2825</v>
      </c>
      <c r="C1786" s="216" t="s">
        <v>1344</v>
      </c>
      <c r="D1786" s="416" t="s">
        <v>1053</v>
      </c>
      <c r="E1786" s="217" t="s">
        <v>2911</v>
      </c>
      <c r="F1786" s="218" t="s">
        <v>2827</v>
      </c>
      <c r="G1786" s="116">
        <v>1450</v>
      </c>
      <c r="H1786" s="1776" t="s">
        <v>1349</v>
      </c>
      <c r="I1786" s="34" t="s">
        <v>25</v>
      </c>
      <c r="J1786" s="327"/>
      <c r="K1786" s="37"/>
      <c r="L1786" s="1128"/>
      <c r="M1786" s="327"/>
      <c r="N1786" s="327"/>
      <c r="O1786" s="1129"/>
    </row>
    <row r="1787" spans="1:15" ht="18.75" customHeight="1" x14ac:dyDescent="0.3">
      <c r="A1787" s="2402">
        <v>1781</v>
      </c>
      <c r="B1787" s="1122" t="s">
        <v>2825</v>
      </c>
      <c r="C1787" s="216" t="s">
        <v>1344</v>
      </c>
      <c r="D1787" s="416" t="s">
        <v>1053</v>
      </c>
      <c r="E1787" s="217" t="s">
        <v>2912</v>
      </c>
      <c r="F1787" s="218" t="s">
        <v>2827</v>
      </c>
      <c r="G1787" s="116">
        <v>1450</v>
      </c>
      <c r="H1787" s="1776" t="s">
        <v>1349</v>
      </c>
      <c r="I1787" s="34" t="s">
        <v>25</v>
      </c>
      <c r="J1787" s="327"/>
      <c r="K1787" s="37"/>
      <c r="L1787" s="1128"/>
      <c r="M1787" s="327"/>
      <c r="N1787" s="327"/>
      <c r="O1787" s="1129"/>
    </row>
    <row r="1788" spans="1:15" ht="18.75" customHeight="1" x14ac:dyDescent="0.3">
      <c r="A1788" s="2402">
        <v>1782</v>
      </c>
      <c r="B1788" s="1122" t="s">
        <v>2825</v>
      </c>
      <c r="C1788" s="216" t="s">
        <v>1344</v>
      </c>
      <c r="D1788" s="416" t="s">
        <v>1053</v>
      </c>
      <c r="E1788" s="217" t="s">
        <v>2913</v>
      </c>
      <c r="F1788" s="218" t="s">
        <v>2827</v>
      </c>
      <c r="G1788" s="116">
        <v>1450</v>
      </c>
      <c r="H1788" s="1776" t="s">
        <v>1349</v>
      </c>
      <c r="I1788" s="34" t="s">
        <v>25</v>
      </c>
      <c r="J1788" s="327"/>
      <c r="K1788" s="37"/>
      <c r="L1788" s="1128"/>
      <c r="M1788" s="327"/>
      <c r="N1788" s="327"/>
      <c r="O1788" s="1129"/>
    </row>
    <row r="1789" spans="1:15" ht="18.75" customHeight="1" x14ac:dyDescent="0.3">
      <c r="A1789" s="2402">
        <v>1783</v>
      </c>
      <c r="B1789" s="1122" t="s">
        <v>2825</v>
      </c>
      <c r="C1789" s="216" t="s">
        <v>1344</v>
      </c>
      <c r="D1789" s="416" t="s">
        <v>1053</v>
      </c>
      <c r="E1789" s="217" t="s">
        <v>2914</v>
      </c>
      <c r="F1789" s="218" t="s">
        <v>2827</v>
      </c>
      <c r="G1789" s="116">
        <v>1450</v>
      </c>
      <c r="H1789" s="1776" t="s">
        <v>1349</v>
      </c>
      <c r="I1789" s="34" t="s">
        <v>25</v>
      </c>
      <c r="J1789" s="327"/>
      <c r="K1789" s="37"/>
      <c r="L1789" s="1128"/>
      <c r="M1789" s="327"/>
      <c r="N1789" s="327"/>
      <c r="O1789" s="1129"/>
    </row>
    <row r="1790" spans="1:15" ht="18.75" customHeight="1" x14ac:dyDescent="0.3">
      <c r="A1790" s="2401">
        <v>1784</v>
      </c>
      <c r="B1790" s="1122" t="s">
        <v>2825</v>
      </c>
      <c r="C1790" s="216" t="s">
        <v>1344</v>
      </c>
      <c r="D1790" s="416" t="s">
        <v>1053</v>
      </c>
      <c r="E1790" s="217" t="s">
        <v>2915</v>
      </c>
      <c r="F1790" s="218" t="s">
        <v>2827</v>
      </c>
      <c r="G1790" s="116">
        <v>1450</v>
      </c>
      <c r="H1790" s="1776" t="s">
        <v>1349</v>
      </c>
      <c r="I1790" s="34" t="s">
        <v>25</v>
      </c>
      <c r="J1790" s="327"/>
      <c r="K1790" s="37"/>
      <c r="L1790" s="1128"/>
      <c r="M1790" s="327"/>
      <c r="N1790" s="327"/>
      <c r="O1790" s="1129"/>
    </row>
    <row r="1791" spans="1:15" ht="18.75" customHeight="1" x14ac:dyDescent="0.3">
      <c r="A1791" s="2402">
        <v>1785</v>
      </c>
      <c r="B1791" s="1122" t="s">
        <v>2825</v>
      </c>
      <c r="C1791" s="216" t="s">
        <v>1344</v>
      </c>
      <c r="D1791" s="416" t="s">
        <v>1053</v>
      </c>
      <c r="E1791" s="217" t="s">
        <v>2916</v>
      </c>
      <c r="F1791" s="218" t="s">
        <v>2827</v>
      </c>
      <c r="G1791" s="116">
        <v>1450</v>
      </c>
      <c r="H1791" s="1776" t="s">
        <v>1349</v>
      </c>
      <c r="I1791" s="34" t="s">
        <v>25</v>
      </c>
      <c r="J1791" s="327"/>
      <c r="K1791" s="37"/>
      <c r="L1791" s="1128"/>
      <c r="M1791" s="327"/>
      <c r="N1791" s="327"/>
      <c r="O1791" s="1129"/>
    </row>
    <row r="1792" spans="1:15" ht="18.75" customHeight="1" x14ac:dyDescent="0.3">
      <c r="A1792" s="2402">
        <v>1786</v>
      </c>
      <c r="B1792" s="1122" t="s">
        <v>2825</v>
      </c>
      <c r="C1792" s="216" t="s">
        <v>1344</v>
      </c>
      <c r="D1792" s="416" t="s">
        <v>1053</v>
      </c>
      <c r="E1792" s="217" t="s">
        <v>2917</v>
      </c>
      <c r="F1792" s="218" t="s">
        <v>2827</v>
      </c>
      <c r="G1792" s="116">
        <v>1450</v>
      </c>
      <c r="H1792" s="1776" t="s">
        <v>1349</v>
      </c>
      <c r="I1792" s="34" t="s">
        <v>25</v>
      </c>
      <c r="J1792" s="327"/>
      <c r="K1792" s="37"/>
      <c r="L1792" s="1128"/>
      <c r="M1792" s="327"/>
      <c r="N1792" s="327"/>
      <c r="O1792" s="1129"/>
    </row>
    <row r="1793" spans="1:15" ht="18.75" customHeight="1" x14ac:dyDescent="0.3">
      <c r="A1793" s="2401">
        <v>1787</v>
      </c>
      <c r="B1793" s="1122" t="s">
        <v>2825</v>
      </c>
      <c r="C1793" s="216" t="s">
        <v>1344</v>
      </c>
      <c r="D1793" s="416" t="s">
        <v>1053</v>
      </c>
      <c r="E1793" s="217" t="s">
        <v>2918</v>
      </c>
      <c r="F1793" s="218" t="s">
        <v>2827</v>
      </c>
      <c r="G1793" s="116">
        <v>1450</v>
      </c>
      <c r="H1793" s="1776" t="s">
        <v>1349</v>
      </c>
      <c r="I1793" s="34" t="s">
        <v>25</v>
      </c>
      <c r="J1793" s="327"/>
      <c r="K1793" s="37"/>
      <c r="L1793" s="1128"/>
      <c r="M1793" s="327"/>
      <c r="N1793" s="327"/>
      <c r="O1793" s="1129"/>
    </row>
    <row r="1794" spans="1:15" ht="18.75" customHeight="1" x14ac:dyDescent="0.3">
      <c r="A1794" s="2402">
        <v>1788</v>
      </c>
      <c r="B1794" s="1122" t="s">
        <v>2825</v>
      </c>
      <c r="C1794" s="216" t="s">
        <v>1344</v>
      </c>
      <c r="D1794" s="416" t="s">
        <v>1053</v>
      </c>
      <c r="E1794" s="217" t="s">
        <v>2919</v>
      </c>
      <c r="F1794" s="218" t="s">
        <v>2827</v>
      </c>
      <c r="G1794" s="116">
        <v>1450</v>
      </c>
      <c r="H1794" s="1776" t="s">
        <v>1349</v>
      </c>
      <c r="I1794" s="34" t="s">
        <v>25</v>
      </c>
      <c r="J1794" s="327"/>
      <c r="K1794" s="37"/>
      <c r="L1794" s="1128"/>
      <c r="M1794" s="327"/>
      <c r="N1794" s="327"/>
      <c r="O1794" s="1129"/>
    </row>
    <row r="1795" spans="1:15" ht="18.75" customHeight="1" x14ac:dyDescent="0.3">
      <c r="A1795" s="2402">
        <v>1789</v>
      </c>
      <c r="B1795" s="1122" t="s">
        <v>2825</v>
      </c>
      <c r="C1795" s="216" t="s">
        <v>1344</v>
      </c>
      <c r="D1795" s="416" t="s">
        <v>1053</v>
      </c>
      <c r="E1795" s="217" t="s">
        <v>2920</v>
      </c>
      <c r="F1795" s="218" t="s">
        <v>2827</v>
      </c>
      <c r="G1795" s="116">
        <v>1450</v>
      </c>
      <c r="H1795" s="1776" t="s">
        <v>1349</v>
      </c>
      <c r="I1795" s="34" t="s">
        <v>25</v>
      </c>
      <c r="J1795" s="327"/>
      <c r="K1795" s="37"/>
      <c r="L1795" s="1128"/>
      <c r="M1795" s="327"/>
      <c r="N1795" s="327"/>
      <c r="O1795" s="1129"/>
    </row>
    <row r="1796" spans="1:15" ht="18.75" customHeight="1" x14ac:dyDescent="0.3">
      <c r="A1796" s="2402">
        <v>1790</v>
      </c>
      <c r="B1796" s="1122" t="s">
        <v>2825</v>
      </c>
      <c r="C1796" s="216" t="s">
        <v>1344</v>
      </c>
      <c r="D1796" s="416" t="s">
        <v>1053</v>
      </c>
      <c r="E1796" s="217" t="s">
        <v>2921</v>
      </c>
      <c r="F1796" s="218" t="s">
        <v>2827</v>
      </c>
      <c r="G1796" s="116">
        <v>1450</v>
      </c>
      <c r="H1796" s="1776" t="s">
        <v>1349</v>
      </c>
      <c r="I1796" s="34" t="s">
        <v>25</v>
      </c>
      <c r="J1796" s="327"/>
      <c r="K1796" s="37"/>
      <c r="L1796" s="1128"/>
      <c r="M1796" s="327"/>
      <c r="N1796" s="327"/>
      <c r="O1796" s="1129"/>
    </row>
    <row r="1797" spans="1:15" ht="18.75" customHeight="1" x14ac:dyDescent="0.3">
      <c r="A1797" s="2402">
        <v>1791</v>
      </c>
      <c r="B1797" s="1122" t="s">
        <v>2825</v>
      </c>
      <c r="C1797" s="216" t="s">
        <v>1344</v>
      </c>
      <c r="D1797" s="416" t="s">
        <v>1053</v>
      </c>
      <c r="E1797" s="217" t="s">
        <v>2922</v>
      </c>
      <c r="F1797" s="218" t="s">
        <v>2827</v>
      </c>
      <c r="G1797" s="116">
        <v>1450</v>
      </c>
      <c r="H1797" s="1776" t="s">
        <v>1349</v>
      </c>
      <c r="I1797" s="34" t="s">
        <v>25</v>
      </c>
      <c r="J1797" s="327"/>
      <c r="K1797" s="37"/>
      <c r="L1797" s="1128"/>
      <c r="M1797" s="327"/>
      <c r="N1797" s="327"/>
      <c r="O1797" s="1129"/>
    </row>
    <row r="1798" spans="1:15" ht="18.75" customHeight="1" x14ac:dyDescent="0.3">
      <c r="A1798" s="2401">
        <v>1792</v>
      </c>
      <c r="B1798" s="1122" t="s">
        <v>2825</v>
      </c>
      <c r="C1798" s="216" t="s">
        <v>1344</v>
      </c>
      <c r="D1798" s="416" t="s">
        <v>1053</v>
      </c>
      <c r="E1798" s="217" t="s">
        <v>2923</v>
      </c>
      <c r="F1798" s="218" t="s">
        <v>2827</v>
      </c>
      <c r="G1798" s="116">
        <v>1450</v>
      </c>
      <c r="H1798" s="1776" t="s">
        <v>1349</v>
      </c>
      <c r="I1798" s="34" t="s">
        <v>25</v>
      </c>
      <c r="J1798" s="327"/>
      <c r="K1798" s="37"/>
      <c r="L1798" s="1128"/>
      <c r="M1798" s="327"/>
      <c r="N1798" s="327"/>
      <c r="O1798" s="1129"/>
    </row>
    <row r="1799" spans="1:15" ht="18.75" customHeight="1" x14ac:dyDescent="0.3">
      <c r="A1799" s="2402">
        <v>1793</v>
      </c>
      <c r="B1799" s="1122" t="s">
        <v>2825</v>
      </c>
      <c r="C1799" s="1117" t="s">
        <v>1344</v>
      </c>
      <c r="D1799" s="452" t="s">
        <v>1053</v>
      </c>
      <c r="E1799" s="217" t="s">
        <v>2924</v>
      </c>
      <c r="F1799" s="218" t="s">
        <v>2827</v>
      </c>
      <c r="G1799" s="116">
        <v>1450</v>
      </c>
      <c r="H1799" s="1776" t="s">
        <v>1349</v>
      </c>
      <c r="I1799" s="34" t="s">
        <v>25</v>
      </c>
      <c r="J1799" s="327"/>
      <c r="K1799" s="37"/>
      <c r="L1799" s="1128"/>
      <c r="M1799" s="327"/>
      <c r="N1799" s="327"/>
      <c r="O1799" s="1129"/>
    </row>
    <row r="1800" spans="1:15" ht="18.75" customHeight="1" x14ac:dyDescent="0.3">
      <c r="A1800" s="2402">
        <v>1794</v>
      </c>
      <c r="B1800" s="1122" t="s">
        <v>2825</v>
      </c>
      <c r="C1800" s="1117" t="s">
        <v>1344</v>
      </c>
      <c r="D1800" s="793" t="s">
        <v>1053</v>
      </c>
      <c r="E1800" s="217" t="s">
        <v>2925</v>
      </c>
      <c r="F1800" s="218" t="s">
        <v>2827</v>
      </c>
      <c r="G1800" s="116">
        <v>1450</v>
      </c>
      <c r="H1800" s="1776" t="s">
        <v>1349</v>
      </c>
      <c r="I1800" s="34" t="s">
        <v>25</v>
      </c>
      <c r="J1800" s="327"/>
      <c r="K1800" s="37"/>
      <c r="L1800" s="1128"/>
      <c r="M1800" s="327"/>
      <c r="N1800" s="327"/>
      <c r="O1800" s="1129"/>
    </row>
    <row r="1801" spans="1:15" ht="18.75" customHeight="1" x14ac:dyDescent="0.3">
      <c r="A1801" s="2401">
        <v>1795</v>
      </c>
      <c r="B1801" s="1122" t="s">
        <v>2825</v>
      </c>
      <c r="C1801" s="1117" t="s">
        <v>1344</v>
      </c>
      <c r="D1801" s="416" t="s">
        <v>1053</v>
      </c>
      <c r="E1801" s="217" t="s">
        <v>2926</v>
      </c>
      <c r="F1801" s="218" t="s">
        <v>2827</v>
      </c>
      <c r="G1801" s="116">
        <v>1450</v>
      </c>
      <c r="H1801" s="1776" t="s">
        <v>1349</v>
      </c>
      <c r="I1801" s="34" t="s">
        <v>25</v>
      </c>
      <c r="J1801" s="327"/>
      <c r="K1801" s="37"/>
      <c r="L1801" s="1128"/>
      <c r="M1801" s="327"/>
      <c r="N1801" s="327"/>
      <c r="O1801" s="1129"/>
    </row>
    <row r="1802" spans="1:15" ht="18.75" customHeight="1" x14ac:dyDescent="0.3">
      <c r="A1802" s="2402">
        <v>1796</v>
      </c>
      <c r="B1802" s="1122" t="s">
        <v>2927</v>
      </c>
      <c r="C1802" s="1117" t="s">
        <v>1344</v>
      </c>
      <c r="D1802" s="416" t="s">
        <v>1053</v>
      </c>
      <c r="E1802" s="217" t="s">
        <v>2928</v>
      </c>
      <c r="F1802" s="218" t="s">
        <v>2827</v>
      </c>
      <c r="G1802" s="116">
        <v>1350</v>
      </c>
      <c r="H1802" s="1776" t="s">
        <v>1349</v>
      </c>
      <c r="I1802" s="34" t="s">
        <v>25</v>
      </c>
      <c r="J1802" s="327"/>
      <c r="K1802" s="37"/>
      <c r="L1802" s="1128"/>
      <c r="M1802" s="327"/>
      <c r="N1802" s="327"/>
      <c r="O1802" s="1129"/>
    </row>
    <row r="1803" spans="1:15" ht="18.75" customHeight="1" x14ac:dyDescent="0.3">
      <c r="A1803" s="2402">
        <v>1797</v>
      </c>
      <c r="B1803" s="1122" t="s">
        <v>2927</v>
      </c>
      <c r="C1803" s="1117" t="s">
        <v>1344</v>
      </c>
      <c r="D1803" s="416" t="s">
        <v>1053</v>
      </c>
      <c r="E1803" s="217" t="s">
        <v>2929</v>
      </c>
      <c r="F1803" s="218" t="s">
        <v>2827</v>
      </c>
      <c r="G1803" s="116">
        <v>1350</v>
      </c>
      <c r="H1803" s="1776" t="s">
        <v>1349</v>
      </c>
      <c r="I1803" s="34" t="s">
        <v>25</v>
      </c>
      <c r="J1803" s="327"/>
      <c r="K1803" s="37"/>
      <c r="L1803" s="1128"/>
      <c r="M1803" s="327"/>
      <c r="N1803" s="327"/>
      <c r="O1803" s="1129"/>
    </row>
    <row r="1804" spans="1:15" ht="18.75" customHeight="1" x14ac:dyDescent="0.3">
      <c r="A1804" s="2402">
        <v>1798</v>
      </c>
      <c r="B1804" s="1122" t="s">
        <v>2927</v>
      </c>
      <c r="C1804" s="1117" t="s">
        <v>1344</v>
      </c>
      <c r="D1804" s="416" t="s">
        <v>1053</v>
      </c>
      <c r="E1804" s="217" t="s">
        <v>2930</v>
      </c>
      <c r="F1804" s="218" t="s">
        <v>2827</v>
      </c>
      <c r="G1804" s="116">
        <v>1350</v>
      </c>
      <c r="H1804" s="1776" t="s">
        <v>1349</v>
      </c>
      <c r="I1804" s="34" t="s">
        <v>25</v>
      </c>
      <c r="J1804" s="327"/>
      <c r="K1804" s="37"/>
      <c r="L1804" s="1128"/>
      <c r="M1804" s="327"/>
      <c r="N1804" s="327"/>
      <c r="O1804" s="1129"/>
    </row>
    <row r="1805" spans="1:15" ht="18.75" customHeight="1" x14ac:dyDescent="0.3">
      <c r="A1805" s="2402">
        <v>1799</v>
      </c>
      <c r="B1805" s="1122" t="s">
        <v>2927</v>
      </c>
      <c r="C1805" s="1117" t="s">
        <v>1344</v>
      </c>
      <c r="D1805" s="416" t="s">
        <v>1053</v>
      </c>
      <c r="E1805" s="217" t="s">
        <v>2931</v>
      </c>
      <c r="F1805" s="218" t="s">
        <v>2827</v>
      </c>
      <c r="G1805" s="116">
        <v>1350</v>
      </c>
      <c r="H1805" s="1776" t="s">
        <v>1349</v>
      </c>
      <c r="I1805" s="34" t="s">
        <v>25</v>
      </c>
      <c r="J1805" s="327"/>
      <c r="K1805" s="37"/>
      <c r="L1805" s="1128"/>
      <c r="M1805" s="327"/>
      <c r="N1805" s="327"/>
      <c r="O1805" s="1129"/>
    </row>
    <row r="1806" spans="1:15" ht="18.75" customHeight="1" x14ac:dyDescent="0.3">
      <c r="A1806" s="2401">
        <v>1800</v>
      </c>
      <c r="B1806" s="1122" t="s">
        <v>2927</v>
      </c>
      <c r="C1806" s="1117" t="s">
        <v>1344</v>
      </c>
      <c r="D1806" s="416" t="s">
        <v>1053</v>
      </c>
      <c r="E1806" s="217" t="s">
        <v>2932</v>
      </c>
      <c r="F1806" s="218" t="s">
        <v>2827</v>
      </c>
      <c r="G1806" s="116">
        <v>1350</v>
      </c>
      <c r="H1806" s="1776" t="s">
        <v>1349</v>
      </c>
      <c r="I1806" s="34" t="s">
        <v>25</v>
      </c>
      <c r="J1806" s="327"/>
      <c r="K1806" s="37"/>
      <c r="L1806" s="1128"/>
      <c r="M1806" s="327"/>
      <c r="N1806" s="327"/>
      <c r="O1806" s="1129"/>
    </row>
    <row r="1807" spans="1:15" ht="18.75" customHeight="1" x14ac:dyDescent="0.3">
      <c r="A1807" s="2402">
        <v>1801</v>
      </c>
      <c r="B1807" s="1122" t="s">
        <v>2927</v>
      </c>
      <c r="C1807" s="1117" t="s">
        <v>1344</v>
      </c>
      <c r="D1807" s="416" t="s">
        <v>1053</v>
      </c>
      <c r="E1807" s="217" t="s">
        <v>2933</v>
      </c>
      <c r="F1807" s="218" t="s">
        <v>2827</v>
      </c>
      <c r="G1807" s="116">
        <v>1350</v>
      </c>
      <c r="H1807" s="1776" t="s">
        <v>1349</v>
      </c>
      <c r="I1807" s="34" t="s">
        <v>25</v>
      </c>
      <c r="J1807" s="327"/>
      <c r="K1807" s="37"/>
      <c r="L1807" s="1128"/>
      <c r="M1807" s="327"/>
      <c r="N1807" s="327"/>
      <c r="O1807" s="1129"/>
    </row>
    <row r="1808" spans="1:15" ht="18.75" customHeight="1" x14ac:dyDescent="0.3">
      <c r="A1808" s="2402">
        <v>1802</v>
      </c>
      <c r="B1808" s="1122" t="s">
        <v>2927</v>
      </c>
      <c r="C1808" s="1117" t="s">
        <v>1344</v>
      </c>
      <c r="D1808" s="416" t="s">
        <v>1053</v>
      </c>
      <c r="E1808" s="217" t="s">
        <v>2934</v>
      </c>
      <c r="F1808" s="218" t="s">
        <v>2827</v>
      </c>
      <c r="G1808" s="116">
        <v>1350</v>
      </c>
      <c r="H1808" s="1776" t="s">
        <v>1349</v>
      </c>
      <c r="I1808" s="34" t="s">
        <v>25</v>
      </c>
      <c r="J1808" s="327"/>
      <c r="K1808" s="37"/>
      <c r="L1808" s="1128"/>
      <c r="M1808" s="327"/>
      <c r="N1808" s="327"/>
      <c r="O1808" s="1129"/>
    </row>
    <row r="1809" spans="1:15" ht="18.75" customHeight="1" x14ac:dyDescent="0.3">
      <c r="A1809" s="2401">
        <v>1803</v>
      </c>
      <c r="B1809" s="1122" t="s">
        <v>2927</v>
      </c>
      <c r="C1809" s="1117" t="s">
        <v>1344</v>
      </c>
      <c r="D1809" s="416" t="s">
        <v>1053</v>
      </c>
      <c r="E1809" s="217" t="s">
        <v>2935</v>
      </c>
      <c r="F1809" s="218" t="s">
        <v>2827</v>
      </c>
      <c r="G1809" s="116">
        <v>1350</v>
      </c>
      <c r="H1809" s="1776" t="s">
        <v>1349</v>
      </c>
      <c r="I1809" s="34" t="s">
        <v>25</v>
      </c>
      <c r="J1809" s="327"/>
      <c r="K1809" s="37"/>
      <c r="L1809" s="1128"/>
      <c r="M1809" s="327"/>
      <c r="N1809" s="327"/>
      <c r="O1809" s="1129"/>
    </row>
    <row r="1810" spans="1:15" ht="18.75" customHeight="1" x14ac:dyDescent="0.3">
      <c r="A1810" s="2402">
        <v>1804</v>
      </c>
      <c r="B1810" s="1122" t="s">
        <v>2927</v>
      </c>
      <c r="C1810" s="1117" t="s">
        <v>1344</v>
      </c>
      <c r="D1810" s="416" t="s">
        <v>1053</v>
      </c>
      <c r="E1810" s="217" t="s">
        <v>2936</v>
      </c>
      <c r="F1810" s="218" t="s">
        <v>2827</v>
      </c>
      <c r="G1810" s="116">
        <v>1350</v>
      </c>
      <c r="H1810" s="1776" t="s">
        <v>1349</v>
      </c>
      <c r="I1810" s="34" t="s">
        <v>25</v>
      </c>
      <c r="J1810" s="327"/>
      <c r="K1810" s="37"/>
      <c r="L1810" s="1128"/>
      <c r="M1810" s="327"/>
      <c r="N1810" s="327"/>
      <c r="O1810" s="1129"/>
    </row>
    <row r="1811" spans="1:15" ht="18.75" customHeight="1" x14ac:dyDescent="0.3">
      <c r="A1811" s="2402">
        <v>1805</v>
      </c>
      <c r="B1811" s="1122" t="s">
        <v>2927</v>
      </c>
      <c r="C1811" s="1117" t="s">
        <v>1344</v>
      </c>
      <c r="D1811" s="416" t="s">
        <v>1053</v>
      </c>
      <c r="E1811" s="217" t="s">
        <v>2937</v>
      </c>
      <c r="F1811" s="218" t="s">
        <v>2827</v>
      </c>
      <c r="G1811" s="116">
        <v>1350</v>
      </c>
      <c r="H1811" s="1776" t="s">
        <v>1349</v>
      </c>
      <c r="I1811" s="34" t="s">
        <v>25</v>
      </c>
      <c r="J1811" s="327"/>
      <c r="K1811" s="37"/>
      <c r="L1811" s="1128"/>
      <c r="M1811" s="327"/>
      <c r="N1811" s="327"/>
      <c r="O1811" s="1129"/>
    </row>
    <row r="1812" spans="1:15" ht="18.75" customHeight="1" x14ac:dyDescent="0.3">
      <c r="A1812" s="2402">
        <v>1806</v>
      </c>
      <c r="B1812" s="1122" t="s">
        <v>2927</v>
      </c>
      <c r="C1812" s="1117" t="s">
        <v>1344</v>
      </c>
      <c r="D1812" s="416" t="s">
        <v>1053</v>
      </c>
      <c r="E1812" s="217" t="s">
        <v>2938</v>
      </c>
      <c r="F1812" s="218" t="s">
        <v>2827</v>
      </c>
      <c r="G1812" s="116">
        <v>1350</v>
      </c>
      <c r="H1812" s="1776" t="s">
        <v>1349</v>
      </c>
      <c r="I1812" s="34" t="s">
        <v>25</v>
      </c>
      <c r="J1812" s="327"/>
      <c r="K1812" s="37"/>
      <c r="L1812" s="1128"/>
      <c r="M1812" s="327"/>
      <c r="N1812" s="327"/>
      <c r="O1812" s="1129"/>
    </row>
    <row r="1813" spans="1:15" ht="18.75" customHeight="1" x14ac:dyDescent="0.3">
      <c r="A1813" s="2402">
        <v>1807</v>
      </c>
      <c r="B1813" s="1122" t="s">
        <v>2927</v>
      </c>
      <c r="C1813" s="1117" t="s">
        <v>1344</v>
      </c>
      <c r="D1813" s="416" t="s">
        <v>1053</v>
      </c>
      <c r="E1813" s="217" t="s">
        <v>2939</v>
      </c>
      <c r="F1813" s="218" t="s">
        <v>2827</v>
      </c>
      <c r="G1813" s="116">
        <v>1350</v>
      </c>
      <c r="H1813" s="1776" t="s">
        <v>1349</v>
      </c>
      <c r="I1813" s="34" t="s">
        <v>25</v>
      </c>
      <c r="J1813" s="327"/>
      <c r="K1813" s="37"/>
      <c r="L1813" s="1128"/>
      <c r="M1813" s="327"/>
      <c r="N1813" s="327"/>
      <c r="O1813" s="1129"/>
    </row>
    <row r="1814" spans="1:15" ht="18.75" customHeight="1" x14ac:dyDescent="0.3">
      <c r="A1814" s="2401">
        <v>1808</v>
      </c>
      <c r="B1814" s="1122" t="s">
        <v>2927</v>
      </c>
      <c r="C1814" s="1117" t="s">
        <v>1344</v>
      </c>
      <c r="D1814" s="416" t="s">
        <v>1053</v>
      </c>
      <c r="E1814" s="217" t="s">
        <v>2940</v>
      </c>
      <c r="F1814" s="218" t="s">
        <v>2827</v>
      </c>
      <c r="G1814" s="116">
        <v>1350</v>
      </c>
      <c r="H1814" s="1776" t="s">
        <v>1349</v>
      </c>
      <c r="I1814" s="34" t="s">
        <v>25</v>
      </c>
      <c r="J1814" s="327"/>
      <c r="K1814" s="37"/>
      <c r="L1814" s="1128"/>
      <c r="M1814" s="327"/>
      <c r="N1814" s="327"/>
      <c r="O1814" s="1129"/>
    </row>
    <row r="1815" spans="1:15" ht="18.75" customHeight="1" x14ac:dyDescent="0.3">
      <c r="A1815" s="2402">
        <v>1809</v>
      </c>
      <c r="B1815" s="1122" t="s">
        <v>2927</v>
      </c>
      <c r="C1815" s="1117" t="s">
        <v>1344</v>
      </c>
      <c r="D1815" s="416" t="s">
        <v>1053</v>
      </c>
      <c r="E1815" s="217" t="s">
        <v>2941</v>
      </c>
      <c r="F1815" s="218" t="s">
        <v>2827</v>
      </c>
      <c r="G1815" s="116">
        <v>1350</v>
      </c>
      <c r="H1815" s="1776" t="s">
        <v>1349</v>
      </c>
      <c r="I1815" s="34" t="s">
        <v>25</v>
      </c>
      <c r="J1815" s="327"/>
      <c r="K1815" s="37"/>
      <c r="L1815" s="1128"/>
      <c r="M1815" s="327"/>
      <c r="N1815" s="327"/>
      <c r="O1815" s="1129"/>
    </row>
    <row r="1816" spans="1:15" ht="18.75" customHeight="1" x14ac:dyDescent="0.3">
      <c r="A1816" s="2402">
        <v>1810</v>
      </c>
      <c r="B1816" s="1122" t="s">
        <v>2927</v>
      </c>
      <c r="C1816" s="1117" t="s">
        <v>1344</v>
      </c>
      <c r="D1816" s="452" t="s">
        <v>1053</v>
      </c>
      <c r="E1816" s="217" t="s">
        <v>2942</v>
      </c>
      <c r="F1816" s="218" t="s">
        <v>2827</v>
      </c>
      <c r="G1816" s="116">
        <v>1350</v>
      </c>
      <c r="H1816" s="1776" t="s">
        <v>1349</v>
      </c>
      <c r="I1816" s="34" t="s">
        <v>25</v>
      </c>
      <c r="J1816" s="327"/>
      <c r="K1816" s="37"/>
      <c r="L1816" s="1128"/>
      <c r="M1816" s="327"/>
      <c r="N1816" s="327"/>
      <c r="O1816" s="1129"/>
    </row>
    <row r="1817" spans="1:15" ht="18.75" customHeight="1" x14ac:dyDescent="0.3">
      <c r="A1817" s="2401">
        <v>1811</v>
      </c>
      <c r="B1817" s="1122" t="s">
        <v>2927</v>
      </c>
      <c r="C1817" s="1117" t="s">
        <v>1344</v>
      </c>
      <c r="D1817" s="793" t="s">
        <v>1053</v>
      </c>
      <c r="E1817" s="217" t="s">
        <v>2943</v>
      </c>
      <c r="F1817" s="218" t="s">
        <v>2827</v>
      </c>
      <c r="G1817" s="116">
        <v>1350</v>
      </c>
      <c r="H1817" s="1776" t="s">
        <v>1349</v>
      </c>
      <c r="I1817" s="34" t="s">
        <v>25</v>
      </c>
      <c r="J1817" s="327"/>
      <c r="K1817" s="37"/>
      <c r="L1817" s="1128"/>
      <c r="M1817" s="327"/>
      <c r="N1817" s="327"/>
      <c r="O1817" s="1129"/>
    </row>
    <row r="1818" spans="1:15" ht="18.75" customHeight="1" x14ac:dyDescent="0.3">
      <c r="A1818" s="2402">
        <v>1812</v>
      </c>
      <c r="B1818" s="1122" t="s">
        <v>2927</v>
      </c>
      <c r="C1818" s="1117" t="s">
        <v>1344</v>
      </c>
      <c r="D1818" s="416" t="s">
        <v>1053</v>
      </c>
      <c r="E1818" s="217" t="s">
        <v>2944</v>
      </c>
      <c r="F1818" s="218" t="s">
        <v>2827</v>
      </c>
      <c r="G1818" s="116">
        <v>1350</v>
      </c>
      <c r="H1818" s="1776" t="s">
        <v>1349</v>
      </c>
      <c r="I1818" s="34" t="s">
        <v>25</v>
      </c>
      <c r="J1818" s="327"/>
      <c r="K1818" s="37"/>
      <c r="L1818" s="1128"/>
      <c r="M1818" s="327"/>
      <c r="N1818" s="327"/>
      <c r="O1818" s="1129"/>
    </row>
    <row r="1819" spans="1:15" ht="18.75" customHeight="1" x14ac:dyDescent="0.3">
      <c r="A1819" s="2402">
        <v>1813</v>
      </c>
      <c r="B1819" s="1122" t="s">
        <v>2927</v>
      </c>
      <c r="C1819" s="216" t="s">
        <v>1344</v>
      </c>
      <c r="D1819" s="416" t="s">
        <v>1053</v>
      </c>
      <c r="E1819" s="217" t="s">
        <v>2945</v>
      </c>
      <c r="F1819" s="218" t="s">
        <v>2827</v>
      </c>
      <c r="G1819" s="116">
        <v>1350</v>
      </c>
      <c r="H1819" s="1776" t="s">
        <v>1349</v>
      </c>
      <c r="I1819" s="34" t="s">
        <v>25</v>
      </c>
      <c r="J1819" s="327"/>
      <c r="K1819" s="37"/>
      <c r="L1819" s="1128"/>
      <c r="M1819" s="327"/>
      <c r="N1819" s="327"/>
      <c r="O1819" s="1129"/>
    </row>
    <row r="1820" spans="1:15" ht="18.75" customHeight="1" x14ac:dyDescent="0.3">
      <c r="A1820" s="2402">
        <v>1814</v>
      </c>
      <c r="B1820" s="1122" t="s">
        <v>2927</v>
      </c>
      <c r="C1820" s="216" t="s">
        <v>1344</v>
      </c>
      <c r="D1820" s="416" t="s">
        <v>1053</v>
      </c>
      <c r="E1820" s="217" t="s">
        <v>2946</v>
      </c>
      <c r="F1820" s="218" t="s">
        <v>2827</v>
      </c>
      <c r="G1820" s="116">
        <v>1350</v>
      </c>
      <c r="H1820" s="1776" t="s">
        <v>1349</v>
      </c>
      <c r="I1820" s="34" t="s">
        <v>25</v>
      </c>
      <c r="J1820" s="327"/>
      <c r="K1820" s="37"/>
      <c r="L1820" s="1128"/>
      <c r="M1820" s="327"/>
      <c r="N1820" s="327"/>
      <c r="O1820" s="1129"/>
    </row>
    <row r="1821" spans="1:15" ht="18.75" customHeight="1" x14ac:dyDescent="0.3">
      <c r="A1821" s="2402">
        <v>1815</v>
      </c>
      <c r="B1821" s="1122" t="s">
        <v>2927</v>
      </c>
      <c r="C1821" s="216" t="s">
        <v>1344</v>
      </c>
      <c r="D1821" s="416" t="s">
        <v>1053</v>
      </c>
      <c r="E1821" s="217" t="s">
        <v>2947</v>
      </c>
      <c r="F1821" s="218" t="s">
        <v>2827</v>
      </c>
      <c r="G1821" s="116">
        <v>1350</v>
      </c>
      <c r="H1821" s="1776" t="s">
        <v>1349</v>
      </c>
      <c r="I1821" s="34" t="s">
        <v>25</v>
      </c>
      <c r="J1821" s="327"/>
      <c r="K1821" s="37"/>
      <c r="L1821" s="1128"/>
      <c r="M1821" s="327"/>
      <c r="N1821" s="327"/>
      <c r="O1821" s="1129"/>
    </row>
    <row r="1822" spans="1:15" ht="18.75" customHeight="1" x14ac:dyDescent="0.3">
      <c r="A1822" s="2401">
        <v>1816</v>
      </c>
      <c r="B1822" s="1122" t="s">
        <v>2927</v>
      </c>
      <c r="C1822" s="216" t="s">
        <v>1344</v>
      </c>
      <c r="D1822" s="416" t="s">
        <v>1053</v>
      </c>
      <c r="E1822" s="217" t="s">
        <v>2948</v>
      </c>
      <c r="F1822" s="218" t="s">
        <v>2827</v>
      </c>
      <c r="G1822" s="116">
        <v>1350</v>
      </c>
      <c r="H1822" s="1776" t="s">
        <v>1349</v>
      </c>
      <c r="I1822" s="34" t="s">
        <v>25</v>
      </c>
      <c r="J1822" s="327"/>
      <c r="K1822" s="37"/>
      <c r="L1822" s="1128"/>
      <c r="M1822" s="327"/>
      <c r="N1822" s="327"/>
      <c r="O1822" s="1129"/>
    </row>
    <row r="1823" spans="1:15" ht="18.75" customHeight="1" x14ac:dyDescent="0.3">
      <c r="A1823" s="2402">
        <v>1817</v>
      </c>
      <c r="B1823" s="1122" t="s">
        <v>2927</v>
      </c>
      <c r="C1823" s="216" t="s">
        <v>1344</v>
      </c>
      <c r="D1823" s="416" t="s">
        <v>1053</v>
      </c>
      <c r="E1823" s="217" t="s">
        <v>2949</v>
      </c>
      <c r="F1823" s="218" t="s">
        <v>2827</v>
      </c>
      <c r="G1823" s="116">
        <v>1350</v>
      </c>
      <c r="H1823" s="1776" t="s">
        <v>1349</v>
      </c>
      <c r="I1823" s="34" t="s">
        <v>25</v>
      </c>
      <c r="J1823" s="327"/>
      <c r="K1823" s="37"/>
      <c r="L1823" s="1128"/>
      <c r="M1823" s="327"/>
      <c r="N1823" s="327"/>
      <c r="O1823" s="1129"/>
    </row>
    <row r="1824" spans="1:15" ht="18.75" customHeight="1" x14ac:dyDescent="0.3">
      <c r="A1824" s="2402">
        <v>1818</v>
      </c>
      <c r="B1824" s="1122" t="s">
        <v>2927</v>
      </c>
      <c r="C1824" s="216" t="s">
        <v>1344</v>
      </c>
      <c r="D1824" s="416" t="s">
        <v>1053</v>
      </c>
      <c r="E1824" s="217" t="s">
        <v>2950</v>
      </c>
      <c r="F1824" s="218" t="s">
        <v>2827</v>
      </c>
      <c r="G1824" s="116">
        <v>1350</v>
      </c>
      <c r="H1824" s="1776" t="s">
        <v>1349</v>
      </c>
      <c r="I1824" s="34" t="s">
        <v>25</v>
      </c>
      <c r="J1824" s="327"/>
      <c r="K1824" s="37"/>
      <c r="L1824" s="1128"/>
      <c r="M1824" s="327"/>
      <c r="N1824" s="327"/>
      <c r="O1824" s="1129"/>
    </row>
    <row r="1825" spans="1:15" ht="18.75" customHeight="1" x14ac:dyDescent="0.3">
      <c r="A1825" s="2401">
        <v>1819</v>
      </c>
      <c r="B1825" s="1122" t="s">
        <v>2927</v>
      </c>
      <c r="C1825" s="216" t="s">
        <v>1344</v>
      </c>
      <c r="D1825" s="416" t="s">
        <v>1053</v>
      </c>
      <c r="E1825" s="217" t="s">
        <v>2951</v>
      </c>
      <c r="F1825" s="218" t="s">
        <v>2827</v>
      </c>
      <c r="G1825" s="116">
        <v>1350</v>
      </c>
      <c r="H1825" s="1776" t="s">
        <v>1349</v>
      </c>
      <c r="I1825" s="34" t="s">
        <v>25</v>
      </c>
      <c r="J1825" s="327"/>
      <c r="K1825" s="37"/>
      <c r="L1825" s="1128"/>
      <c r="M1825" s="327"/>
      <c r="N1825" s="327"/>
      <c r="O1825" s="1129"/>
    </row>
    <row r="1826" spans="1:15" ht="18.75" customHeight="1" x14ac:dyDescent="0.3">
      <c r="A1826" s="2402">
        <v>1820</v>
      </c>
      <c r="B1826" s="1122" t="s">
        <v>2927</v>
      </c>
      <c r="C1826" s="216" t="s">
        <v>1344</v>
      </c>
      <c r="D1826" s="416" t="s">
        <v>1053</v>
      </c>
      <c r="E1826" s="217" t="s">
        <v>2952</v>
      </c>
      <c r="F1826" s="218" t="s">
        <v>2827</v>
      </c>
      <c r="G1826" s="116">
        <v>1350</v>
      </c>
      <c r="H1826" s="1776" t="s">
        <v>1349</v>
      </c>
      <c r="I1826" s="34" t="s">
        <v>25</v>
      </c>
      <c r="J1826" s="327"/>
      <c r="K1826" s="37"/>
      <c r="L1826" s="1128"/>
      <c r="M1826" s="327"/>
      <c r="N1826" s="327"/>
      <c r="O1826" s="1129"/>
    </row>
    <row r="1827" spans="1:15" ht="18.75" customHeight="1" x14ac:dyDescent="0.3">
      <c r="A1827" s="2402">
        <v>1821</v>
      </c>
      <c r="B1827" s="1122" t="s">
        <v>2927</v>
      </c>
      <c r="C1827" s="216" t="s">
        <v>1344</v>
      </c>
      <c r="D1827" s="416" t="s">
        <v>1053</v>
      </c>
      <c r="E1827" s="217" t="s">
        <v>2953</v>
      </c>
      <c r="F1827" s="218" t="s">
        <v>2827</v>
      </c>
      <c r="G1827" s="116">
        <v>1350</v>
      </c>
      <c r="H1827" s="1776" t="s">
        <v>1349</v>
      </c>
      <c r="I1827" s="34" t="s">
        <v>25</v>
      </c>
      <c r="J1827" s="327"/>
      <c r="K1827" s="37"/>
      <c r="L1827" s="1128"/>
      <c r="M1827" s="327"/>
      <c r="N1827" s="327"/>
      <c r="O1827" s="1129"/>
    </row>
    <row r="1828" spans="1:15" ht="18.75" customHeight="1" x14ac:dyDescent="0.3">
      <c r="A1828" s="2402">
        <v>1822</v>
      </c>
      <c r="B1828" s="1122" t="s">
        <v>2927</v>
      </c>
      <c r="C1828" s="216" t="s">
        <v>1344</v>
      </c>
      <c r="D1828" s="416" t="s">
        <v>1053</v>
      </c>
      <c r="E1828" s="217" t="s">
        <v>2954</v>
      </c>
      <c r="F1828" s="218" t="s">
        <v>2827</v>
      </c>
      <c r="G1828" s="116">
        <v>1350</v>
      </c>
      <c r="H1828" s="1776" t="s">
        <v>1349</v>
      </c>
      <c r="I1828" s="34" t="s">
        <v>25</v>
      </c>
      <c r="J1828" s="327"/>
      <c r="K1828" s="37"/>
      <c r="L1828" s="1128"/>
      <c r="M1828" s="327"/>
      <c r="N1828" s="327"/>
      <c r="O1828" s="1129"/>
    </row>
    <row r="1829" spans="1:15" ht="18.75" customHeight="1" x14ac:dyDescent="0.3">
      <c r="A1829" s="2402">
        <v>1823</v>
      </c>
      <c r="B1829" s="1122" t="s">
        <v>2927</v>
      </c>
      <c r="C1829" s="216" t="s">
        <v>1344</v>
      </c>
      <c r="D1829" s="416" t="s">
        <v>1053</v>
      </c>
      <c r="E1829" s="217" t="s">
        <v>2955</v>
      </c>
      <c r="F1829" s="218" t="s">
        <v>2827</v>
      </c>
      <c r="G1829" s="116">
        <v>1350</v>
      </c>
      <c r="H1829" s="1776" t="s">
        <v>1349</v>
      </c>
      <c r="I1829" s="34" t="s">
        <v>25</v>
      </c>
      <c r="J1829" s="327"/>
      <c r="K1829" s="37"/>
      <c r="L1829" s="1128"/>
      <c r="M1829" s="327"/>
      <c r="N1829" s="327"/>
      <c r="O1829" s="1129"/>
    </row>
    <row r="1830" spans="1:15" ht="18.75" customHeight="1" x14ac:dyDescent="0.3">
      <c r="A1830" s="2401">
        <v>1824</v>
      </c>
      <c r="B1830" s="1122" t="s">
        <v>2927</v>
      </c>
      <c r="C1830" s="216" t="s">
        <v>1344</v>
      </c>
      <c r="D1830" s="416" t="s">
        <v>1053</v>
      </c>
      <c r="E1830" s="217" t="s">
        <v>2956</v>
      </c>
      <c r="F1830" s="218" t="s">
        <v>2827</v>
      </c>
      <c r="G1830" s="116">
        <v>1350</v>
      </c>
      <c r="H1830" s="1776" t="s">
        <v>1349</v>
      </c>
      <c r="I1830" s="34" t="s">
        <v>25</v>
      </c>
      <c r="J1830" s="327"/>
      <c r="K1830" s="37"/>
      <c r="L1830" s="1128"/>
      <c r="M1830" s="327"/>
      <c r="N1830" s="327"/>
      <c r="O1830" s="1129"/>
    </row>
    <row r="1831" spans="1:15" ht="18.75" customHeight="1" x14ac:dyDescent="0.3">
      <c r="A1831" s="2402">
        <v>1825</v>
      </c>
      <c r="B1831" s="1122" t="s">
        <v>2927</v>
      </c>
      <c r="C1831" s="216" t="s">
        <v>1344</v>
      </c>
      <c r="D1831" s="416" t="s">
        <v>1053</v>
      </c>
      <c r="E1831" s="217" t="s">
        <v>2957</v>
      </c>
      <c r="F1831" s="218" t="s">
        <v>2827</v>
      </c>
      <c r="G1831" s="116">
        <v>1350</v>
      </c>
      <c r="H1831" s="1776" t="s">
        <v>1349</v>
      </c>
      <c r="I1831" s="34" t="s">
        <v>25</v>
      </c>
      <c r="J1831" s="327"/>
      <c r="K1831" s="37"/>
      <c r="L1831" s="1128"/>
      <c r="M1831" s="327"/>
      <c r="N1831" s="327"/>
      <c r="O1831" s="1129"/>
    </row>
    <row r="1832" spans="1:15" ht="18.75" customHeight="1" x14ac:dyDescent="0.3">
      <c r="A1832" s="2402">
        <v>1826</v>
      </c>
      <c r="B1832" s="1122" t="s">
        <v>2927</v>
      </c>
      <c r="C1832" s="216" t="s">
        <v>1344</v>
      </c>
      <c r="D1832" s="416" t="s">
        <v>1053</v>
      </c>
      <c r="E1832" s="217" t="s">
        <v>2958</v>
      </c>
      <c r="F1832" s="218" t="s">
        <v>2827</v>
      </c>
      <c r="G1832" s="116">
        <v>1350</v>
      </c>
      <c r="H1832" s="1776" t="s">
        <v>1349</v>
      </c>
      <c r="I1832" s="34" t="s">
        <v>25</v>
      </c>
      <c r="J1832" s="327"/>
      <c r="K1832" s="37"/>
      <c r="L1832" s="1128"/>
      <c r="M1832" s="327"/>
      <c r="N1832" s="327"/>
      <c r="O1832" s="1129"/>
    </row>
    <row r="1833" spans="1:15" ht="18.75" customHeight="1" x14ac:dyDescent="0.3">
      <c r="A1833" s="2401">
        <v>1827</v>
      </c>
      <c r="B1833" s="1122" t="s">
        <v>2927</v>
      </c>
      <c r="C1833" s="216" t="s">
        <v>1344</v>
      </c>
      <c r="D1833" s="416" t="s">
        <v>1053</v>
      </c>
      <c r="E1833" s="217" t="s">
        <v>2959</v>
      </c>
      <c r="F1833" s="218" t="s">
        <v>2827</v>
      </c>
      <c r="G1833" s="116">
        <v>1350</v>
      </c>
      <c r="H1833" s="1776" t="s">
        <v>1349</v>
      </c>
      <c r="I1833" s="34" t="s">
        <v>25</v>
      </c>
      <c r="J1833" s="327"/>
      <c r="K1833" s="37"/>
      <c r="L1833" s="1128"/>
      <c r="M1833" s="327"/>
      <c r="N1833" s="327"/>
      <c r="O1833" s="1129"/>
    </row>
    <row r="1834" spans="1:15" ht="18.75" customHeight="1" x14ac:dyDescent="0.3">
      <c r="A1834" s="2402">
        <v>1828</v>
      </c>
      <c r="B1834" s="1122" t="s">
        <v>2927</v>
      </c>
      <c r="C1834" s="216" t="s">
        <v>1344</v>
      </c>
      <c r="D1834" s="452" t="s">
        <v>1053</v>
      </c>
      <c r="E1834" s="217" t="s">
        <v>2960</v>
      </c>
      <c r="F1834" s="218" t="s">
        <v>2827</v>
      </c>
      <c r="G1834" s="116">
        <v>1350</v>
      </c>
      <c r="H1834" s="1776" t="s">
        <v>1349</v>
      </c>
      <c r="I1834" s="34" t="s">
        <v>25</v>
      </c>
      <c r="J1834" s="327"/>
      <c r="K1834" s="37"/>
      <c r="L1834" s="1128"/>
      <c r="M1834" s="327"/>
      <c r="N1834" s="327"/>
      <c r="O1834" s="1129"/>
    </row>
    <row r="1835" spans="1:15" ht="18.75" customHeight="1" x14ac:dyDescent="0.3">
      <c r="A1835" s="2402">
        <v>1829</v>
      </c>
      <c r="B1835" s="1122" t="s">
        <v>2927</v>
      </c>
      <c r="C1835" s="216" t="s">
        <v>1344</v>
      </c>
      <c r="D1835" s="495" t="s">
        <v>1053</v>
      </c>
      <c r="E1835" s="217" t="s">
        <v>2961</v>
      </c>
      <c r="F1835" s="218" t="s">
        <v>2827</v>
      </c>
      <c r="G1835" s="116">
        <v>1350</v>
      </c>
      <c r="H1835" s="1776" t="s">
        <v>1349</v>
      </c>
      <c r="I1835" s="34" t="s">
        <v>25</v>
      </c>
      <c r="J1835" s="327"/>
      <c r="K1835" s="37"/>
      <c r="L1835" s="1128"/>
      <c r="M1835" s="327"/>
      <c r="N1835" s="327"/>
      <c r="O1835" s="1129"/>
    </row>
    <row r="1836" spans="1:15" ht="18.75" customHeight="1" x14ac:dyDescent="0.3">
      <c r="A1836" s="2402">
        <v>1830</v>
      </c>
      <c r="B1836" s="1122" t="s">
        <v>2927</v>
      </c>
      <c r="C1836" s="216" t="s">
        <v>1344</v>
      </c>
      <c r="D1836" s="793" t="s">
        <v>1053</v>
      </c>
      <c r="E1836" s="217" t="s">
        <v>2962</v>
      </c>
      <c r="F1836" s="218" t="s">
        <v>2827</v>
      </c>
      <c r="G1836" s="116">
        <v>1350</v>
      </c>
      <c r="H1836" s="1776" t="s">
        <v>1349</v>
      </c>
      <c r="I1836" s="34" t="s">
        <v>25</v>
      </c>
      <c r="J1836" s="327"/>
      <c r="K1836" s="37"/>
      <c r="L1836" s="1128"/>
      <c r="M1836" s="327"/>
      <c r="N1836" s="327"/>
      <c r="O1836" s="1129"/>
    </row>
    <row r="1837" spans="1:15" ht="18.75" customHeight="1" x14ac:dyDescent="0.3">
      <c r="A1837" s="2402">
        <v>1831</v>
      </c>
      <c r="B1837" s="1122" t="s">
        <v>2927</v>
      </c>
      <c r="C1837" s="216" t="s">
        <v>1344</v>
      </c>
      <c r="D1837" s="416" t="s">
        <v>1053</v>
      </c>
      <c r="E1837" s="217" t="s">
        <v>2963</v>
      </c>
      <c r="F1837" s="218" t="s">
        <v>2827</v>
      </c>
      <c r="G1837" s="116">
        <v>1350</v>
      </c>
      <c r="H1837" s="1776" t="s">
        <v>1349</v>
      </c>
      <c r="I1837" s="34" t="s">
        <v>25</v>
      </c>
      <c r="J1837" s="327"/>
      <c r="K1837" s="37"/>
      <c r="L1837" s="1128"/>
      <c r="M1837" s="327"/>
      <c r="N1837" s="327"/>
      <c r="O1837" s="1129"/>
    </row>
    <row r="1838" spans="1:15" ht="18.75" customHeight="1" x14ac:dyDescent="0.3">
      <c r="A1838" s="2401">
        <v>1832</v>
      </c>
      <c r="B1838" s="1122" t="s">
        <v>2927</v>
      </c>
      <c r="C1838" s="216" t="s">
        <v>1344</v>
      </c>
      <c r="D1838" s="416" t="s">
        <v>1053</v>
      </c>
      <c r="E1838" s="217" t="s">
        <v>2964</v>
      </c>
      <c r="F1838" s="218" t="s">
        <v>2827</v>
      </c>
      <c r="G1838" s="116">
        <v>1350</v>
      </c>
      <c r="H1838" s="1776" t="s">
        <v>1349</v>
      </c>
      <c r="I1838" s="34" t="s">
        <v>25</v>
      </c>
      <c r="J1838" s="327"/>
      <c r="K1838" s="37"/>
      <c r="L1838" s="1128"/>
      <c r="M1838" s="327"/>
      <c r="N1838" s="327"/>
      <c r="O1838" s="1129"/>
    </row>
    <row r="1839" spans="1:15" ht="18.75" customHeight="1" x14ac:dyDescent="0.3">
      <c r="A1839" s="2402">
        <v>1833</v>
      </c>
      <c r="B1839" s="1122" t="s">
        <v>2927</v>
      </c>
      <c r="C1839" s="216" t="s">
        <v>1344</v>
      </c>
      <c r="D1839" s="416" t="s">
        <v>1053</v>
      </c>
      <c r="E1839" s="217" t="s">
        <v>2965</v>
      </c>
      <c r="F1839" s="218" t="s">
        <v>2827</v>
      </c>
      <c r="G1839" s="116">
        <v>1350</v>
      </c>
      <c r="H1839" s="1776" t="s">
        <v>1349</v>
      </c>
      <c r="I1839" s="34" t="s">
        <v>25</v>
      </c>
      <c r="J1839" s="327"/>
      <c r="K1839" s="37"/>
      <c r="L1839" s="1128"/>
      <c r="M1839" s="327"/>
      <c r="N1839" s="327"/>
      <c r="O1839" s="1129"/>
    </row>
    <row r="1840" spans="1:15" ht="18.75" customHeight="1" x14ac:dyDescent="0.3">
      <c r="A1840" s="2402">
        <v>1834</v>
      </c>
      <c r="B1840" s="1122" t="s">
        <v>2927</v>
      </c>
      <c r="C1840" s="216" t="s">
        <v>1344</v>
      </c>
      <c r="D1840" s="416" t="s">
        <v>1053</v>
      </c>
      <c r="E1840" s="217" t="s">
        <v>2966</v>
      </c>
      <c r="F1840" s="218" t="s">
        <v>2827</v>
      </c>
      <c r="G1840" s="116">
        <v>1350</v>
      </c>
      <c r="H1840" s="1776" t="s">
        <v>1349</v>
      </c>
      <c r="I1840" s="34" t="s">
        <v>25</v>
      </c>
      <c r="J1840" s="327"/>
      <c r="K1840" s="37"/>
      <c r="L1840" s="1128"/>
      <c r="M1840" s="327"/>
      <c r="N1840" s="327"/>
      <c r="O1840" s="1129"/>
    </row>
    <row r="1841" spans="1:15" ht="18.75" customHeight="1" x14ac:dyDescent="0.3">
      <c r="A1841" s="2401">
        <v>1835</v>
      </c>
      <c r="B1841" s="1122" t="s">
        <v>2927</v>
      </c>
      <c r="C1841" s="216" t="s">
        <v>1344</v>
      </c>
      <c r="D1841" s="416" t="s">
        <v>1053</v>
      </c>
      <c r="E1841" s="217" t="s">
        <v>2967</v>
      </c>
      <c r="F1841" s="218" t="s">
        <v>2827</v>
      </c>
      <c r="G1841" s="116">
        <v>1350</v>
      </c>
      <c r="H1841" s="1776" t="s">
        <v>1349</v>
      </c>
      <c r="I1841" s="34" t="s">
        <v>25</v>
      </c>
      <c r="J1841" s="327"/>
      <c r="K1841" s="37"/>
      <c r="L1841" s="1128"/>
      <c r="M1841" s="327"/>
      <c r="N1841" s="327"/>
      <c r="O1841" s="1129"/>
    </row>
    <row r="1842" spans="1:15" ht="18.75" customHeight="1" x14ac:dyDescent="0.3">
      <c r="A1842" s="2402">
        <v>1836</v>
      </c>
      <c r="B1842" s="1122" t="s">
        <v>2927</v>
      </c>
      <c r="C1842" s="216" t="s">
        <v>1344</v>
      </c>
      <c r="D1842" s="416" t="s">
        <v>1053</v>
      </c>
      <c r="E1842" s="217" t="s">
        <v>2968</v>
      </c>
      <c r="F1842" s="218" t="s">
        <v>2827</v>
      </c>
      <c r="G1842" s="116">
        <v>1350</v>
      </c>
      <c r="H1842" s="1776" t="s">
        <v>1349</v>
      </c>
      <c r="I1842" s="34" t="s">
        <v>25</v>
      </c>
      <c r="J1842" s="327"/>
      <c r="K1842" s="37"/>
      <c r="L1842" s="1128"/>
      <c r="M1842" s="327"/>
      <c r="N1842" s="327"/>
      <c r="O1842" s="1129"/>
    </row>
    <row r="1843" spans="1:15" ht="18.75" customHeight="1" x14ac:dyDescent="0.3">
      <c r="A1843" s="2402">
        <v>1837</v>
      </c>
      <c r="B1843" s="1122" t="s">
        <v>2927</v>
      </c>
      <c r="C1843" s="216" t="s">
        <v>1344</v>
      </c>
      <c r="D1843" s="416" t="s">
        <v>1053</v>
      </c>
      <c r="E1843" s="217" t="s">
        <v>2969</v>
      </c>
      <c r="F1843" s="218" t="s">
        <v>2827</v>
      </c>
      <c r="G1843" s="116">
        <v>1350</v>
      </c>
      <c r="H1843" s="1776" t="s">
        <v>1349</v>
      </c>
      <c r="I1843" s="34" t="s">
        <v>25</v>
      </c>
      <c r="J1843" s="327"/>
      <c r="K1843" s="37"/>
      <c r="L1843" s="1128"/>
      <c r="M1843" s="327"/>
      <c r="N1843" s="327"/>
      <c r="O1843" s="1129"/>
    </row>
    <row r="1844" spans="1:15" ht="18.75" customHeight="1" x14ac:dyDescent="0.3">
      <c r="A1844" s="2402">
        <v>1838</v>
      </c>
      <c r="B1844" s="1122" t="s">
        <v>2927</v>
      </c>
      <c r="C1844" s="216" t="s">
        <v>1344</v>
      </c>
      <c r="D1844" s="416" t="s">
        <v>1053</v>
      </c>
      <c r="E1844" s="217" t="s">
        <v>2970</v>
      </c>
      <c r="F1844" s="218" t="s">
        <v>2827</v>
      </c>
      <c r="G1844" s="116">
        <v>1350</v>
      </c>
      <c r="H1844" s="1776" t="s">
        <v>1349</v>
      </c>
      <c r="I1844" s="34" t="s">
        <v>25</v>
      </c>
      <c r="J1844" s="327"/>
      <c r="K1844" s="37"/>
      <c r="L1844" s="1128"/>
      <c r="M1844" s="327"/>
      <c r="N1844" s="327"/>
      <c r="O1844" s="1129"/>
    </row>
    <row r="1845" spans="1:15" ht="18.75" customHeight="1" x14ac:dyDescent="0.3">
      <c r="A1845" s="2402">
        <v>1839</v>
      </c>
      <c r="B1845" s="1122" t="s">
        <v>2927</v>
      </c>
      <c r="C1845" s="216" t="s">
        <v>1344</v>
      </c>
      <c r="D1845" s="416" t="s">
        <v>1053</v>
      </c>
      <c r="E1845" s="217" t="s">
        <v>2971</v>
      </c>
      <c r="F1845" s="218" t="s">
        <v>2827</v>
      </c>
      <c r="G1845" s="116">
        <v>1350</v>
      </c>
      <c r="H1845" s="1776" t="s">
        <v>1349</v>
      </c>
      <c r="I1845" s="34" t="s">
        <v>25</v>
      </c>
      <c r="J1845" s="327"/>
      <c r="K1845" s="37"/>
      <c r="L1845" s="1128"/>
      <c r="M1845" s="327"/>
      <c r="N1845" s="327"/>
      <c r="O1845" s="1129"/>
    </row>
    <row r="1846" spans="1:15" ht="18.75" customHeight="1" x14ac:dyDescent="0.3">
      <c r="A1846" s="2401">
        <v>1840</v>
      </c>
      <c r="B1846" s="1122" t="s">
        <v>2927</v>
      </c>
      <c r="C1846" s="216" t="s">
        <v>1344</v>
      </c>
      <c r="D1846" s="452" t="s">
        <v>1053</v>
      </c>
      <c r="E1846" s="217" t="s">
        <v>2972</v>
      </c>
      <c r="F1846" s="218" t="s">
        <v>2827</v>
      </c>
      <c r="G1846" s="116">
        <v>1350</v>
      </c>
      <c r="H1846" s="1776" t="s">
        <v>1349</v>
      </c>
      <c r="I1846" s="34" t="s">
        <v>25</v>
      </c>
      <c r="J1846" s="327"/>
      <c r="K1846" s="37"/>
      <c r="L1846" s="1128"/>
      <c r="M1846" s="327"/>
      <c r="N1846" s="327"/>
      <c r="O1846" s="1129"/>
    </row>
    <row r="1847" spans="1:15" ht="18.75" customHeight="1" x14ac:dyDescent="0.3">
      <c r="A1847" s="2402">
        <v>1841</v>
      </c>
      <c r="B1847" s="1122" t="s">
        <v>2927</v>
      </c>
      <c r="C1847" s="216" t="s">
        <v>1344</v>
      </c>
      <c r="D1847" s="495" t="s">
        <v>1053</v>
      </c>
      <c r="E1847" s="217" t="s">
        <v>2973</v>
      </c>
      <c r="F1847" s="218" t="s">
        <v>2827</v>
      </c>
      <c r="G1847" s="116">
        <v>1350</v>
      </c>
      <c r="H1847" s="1776" t="s">
        <v>1349</v>
      </c>
      <c r="I1847" s="34" t="s">
        <v>25</v>
      </c>
      <c r="J1847" s="327"/>
      <c r="K1847" s="37"/>
      <c r="L1847" s="1128"/>
      <c r="M1847" s="327"/>
      <c r="N1847" s="327"/>
      <c r="O1847" s="1129"/>
    </row>
    <row r="1848" spans="1:15" ht="18.75" customHeight="1" x14ac:dyDescent="0.3">
      <c r="A1848" s="2402">
        <v>1842</v>
      </c>
      <c r="B1848" s="1122" t="s">
        <v>2927</v>
      </c>
      <c r="C1848" s="216" t="s">
        <v>1344</v>
      </c>
      <c r="D1848" s="793" t="s">
        <v>1053</v>
      </c>
      <c r="E1848" s="217" t="s">
        <v>2974</v>
      </c>
      <c r="F1848" s="218" t="s">
        <v>2827</v>
      </c>
      <c r="G1848" s="116">
        <v>1350</v>
      </c>
      <c r="H1848" s="1776" t="s">
        <v>1349</v>
      </c>
      <c r="I1848" s="34" t="s">
        <v>25</v>
      </c>
      <c r="J1848" s="327"/>
      <c r="K1848" s="37"/>
      <c r="L1848" s="1128"/>
      <c r="M1848" s="327"/>
      <c r="N1848" s="327"/>
      <c r="O1848" s="1129"/>
    </row>
    <row r="1849" spans="1:15" ht="18.75" customHeight="1" x14ac:dyDescent="0.3">
      <c r="A1849" s="2401">
        <v>1843</v>
      </c>
      <c r="B1849" s="1122" t="s">
        <v>2927</v>
      </c>
      <c r="C1849" s="216" t="s">
        <v>1344</v>
      </c>
      <c r="D1849" s="416" t="s">
        <v>1053</v>
      </c>
      <c r="E1849" s="217" t="s">
        <v>2975</v>
      </c>
      <c r="F1849" s="218" t="s">
        <v>2827</v>
      </c>
      <c r="G1849" s="116">
        <v>1350</v>
      </c>
      <c r="H1849" s="1776" t="s">
        <v>1349</v>
      </c>
      <c r="I1849" s="34" t="s">
        <v>25</v>
      </c>
      <c r="J1849" s="327"/>
      <c r="K1849" s="37"/>
      <c r="L1849" s="1128"/>
      <c r="M1849" s="327"/>
      <c r="N1849" s="327"/>
      <c r="O1849" s="1129"/>
    </row>
    <row r="1850" spans="1:15" ht="18.75" customHeight="1" x14ac:dyDescent="0.3">
      <c r="A1850" s="2402">
        <v>1844</v>
      </c>
      <c r="B1850" s="1122" t="s">
        <v>2927</v>
      </c>
      <c r="C1850" s="216" t="s">
        <v>1344</v>
      </c>
      <c r="D1850" s="416" t="s">
        <v>1053</v>
      </c>
      <c r="E1850" s="217" t="s">
        <v>2976</v>
      </c>
      <c r="F1850" s="218" t="s">
        <v>2827</v>
      </c>
      <c r="G1850" s="116">
        <v>1350</v>
      </c>
      <c r="H1850" s="1776" t="s">
        <v>1349</v>
      </c>
      <c r="I1850" s="34" t="s">
        <v>25</v>
      </c>
      <c r="J1850" s="327"/>
      <c r="K1850" s="37"/>
      <c r="L1850" s="1128"/>
      <c r="M1850" s="327"/>
      <c r="N1850" s="327"/>
      <c r="O1850" s="1129"/>
    </row>
    <row r="1851" spans="1:15" ht="18.75" customHeight="1" x14ac:dyDescent="0.3">
      <c r="A1851" s="2402">
        <v>1845</v>
      </c>
      <c r="B1851" s="1122" t="s">
        <v>2927</v>
      </c>
      <c r="C1851" s="216" t="s">
        <v>1344</v>
      </c>
      <c r="D1851" s="416" t="s">
        <v>1053</v>
      </c>
      <c r="E1851" s="217" t="s">
        <v>2977</v>
      </c>
      <c r="F1851" s="218" t="s">
        <v>2827</v>
      </c>
      <c r="G1851" s="116">
        <v>1350</v>
      </c>
      <c r="H1851" s="1776" t="s">
        <v>1349</v>
      </c>
      <c r="I1851" s="34" t="s">
        <v>25</v>
      </c>
      <c r="J1851" s="327"/>
      <c r="K1851" s="37"/>
      <c r="L1851" s="1128"/>
      <c r="M1851" s="327"/>
      <c r="N1851" s="327"/>
      <c r="O1851" s="1129"/>
    </row>
    <row r="1852" spans="1:15" ht="18.75" customHeight="1" x14ac:dyDescent="0.3">
      <c r="A1852" s="2402">
        <v>1846</v>
      </c>
      <c r="B1852" s="1122" t="s">
        <v>2927</v>
      </c>
      <c r="C1852" s="216" t="s">
        <v>1344</v>
      </c>
      <c r="D1852" s="416" t="s">
        <v>1053</v>
      </c>
      <c r="E1852" s="217" t="s">
        <v>2978</v>
      </c>
      <c r="F1852" s="218" t="s">
        <v>2827</v>
      </c>
      <c r="G1852" s="116">
        <v>1350</v>
      </c>
      <c r="H1852" s="1776" t="s">
        <v>1349</v>
      </c>
      <c r="I1852" s="34" t="s">
        <v>25</v>
      </c>
      <c r="J1852" s="327"/>
      <c r="K1852" s="37"/>
      <c r="L1852" s="1128"/>
      <c r="M1852" s="327"/>
      <c r="N1852" s="327"/>
      <c r="O1852" s="1129"/>
    </row>
    <row r="1853" spans="1:15" ht="18.75" customHeight="1" x14ac:dyDescent="0.3">
      <c r="A1853" s="2402">
        <v>1847</v>
      </c>
      <c r="B1853" s="1122" t="s">
        <v>2927</v>
      </c>
      <c r="C1853" s="216" t="s">
        <v>1344</v>
      </c>
      <c r="D1853" s="416" t="s">
        <v>1053</v>
      </c>
      <c r="E1853" s="217" t="s">
        <v>2979</v>
      </c>
      <c r="F1853" s="218" t="s">
        <v>2827</v>
      </c>
      <c r="G1853" s="116">
        <v>1350</v>
      </c>
      <c r="H1853" s="1776" t="s">
        <v>1349</v>
      </c>
      <c r="I1853" s="34" t="s">
        <v>25</v>
      </c>
      <c r="J1853" s="327"/>
      <c r="K1853" s="37"/>
      <c r="L1853" s="1128"/>
      <c r="M1853" s="327"/>
      <c r="N1853" s="327"/>
      <c r="O1853" s="1129"/>
    </row>
    <row r="1854" spans="1:15" ht="18.75" customHeight="1" x14ac:dyDescent="0.3">
      <c r="A1854" s="2401">
        <v>1848</v>
      </c>
      <c r="B1854" s="1122" t="s">
        <v>2927</v>
      </c>
      <c r="C1854" s="216" t="s">
        <v>1344</v>
      </c>
      <c r="D1854" s="416" t="s">
        <v>1053</v>
      </c>
      <c r="E1854" s="217" t="s">
        <v>2980</v>
      </c>
      <c r="F1854" s="218" t="s">
        <v>2827</v>
      </c>
      <c r="G1854" s="116">
        <v>1350</v>
      </c>
      <c r="H1854" s="1776" t="s">
        <v>1349</v>
      </c>
      <c r="I1854" s="34" t="s">
        <v>25</v>
      </c>
      <c r="J1854" s="327"/>
      <c r="K1854" s="37"/>
      <c r="L1854" s="1128"/>
      <c r="M1854" s="327"/>
      <c r="N1854" s="327"/>
      <c r="O1854" s="1129"/>
    </row>
    <row r="1855" spans="1:15" ht="18.75" customHeight="1" x14ac:dyDescent="0.3">
      <c r="A1855" s="2402">
        <v>1849</v>
      </c>
      <c r="B1855" s="1122" t="s">
        <v>2927</v>
      </c>
      <c r="C1855" s="216" t="s">
        <v>1344</v>
      </c>
      <c r="D1855" s="416" t="s">
        <v>1053</v>
      </c>
      <c r="E1855" s="217" t="s">
        <v>2981</v>
      </c>
      <c r="F1855" s="218" t="s">
        <v>2827</v>
      </c>
      <c r="G1855" s="116">
        <v>1350</v>
      </c>
      <c r="H1855" s="1776" t="s">
        <v>1349</v>
      </c>
      <c r="I1855" s="34" t="s">
        <v>25</v>
      </c>
      <c r="J1855" s="327"/>
      <c r="K1855" s="37"/>
      <c r="L1855" s="1128"/>
      <c r="M1855" s="327"/>
      <c r="N1855" s="327"/>
      <c r="O1855" s="1129"/>
    </row>
    <row r="1856" spans="1:15" ht="18.75" customHeight="1" x14ac:dyDescent="0.3">
      <c r="A1856" s="2402">
        <v>1850</v>
      </c>
      <c r="B1856" s="1122" t="s">
        <v>2927</v>
      </c>
      <c r="C1856" s="216" t="s">
        <v>1344</v>
      </c>
      <c r="D1856" s="416" t="s">
        <v>1053</v>
      </c>
      <c r="E1856" s="217" t="s">
        <v>2982</v>
      </c>
      <c r="F1856" s="218" t="s">
        <v>2827</v>
      </c>
      <c r="G1856" s="116">
        <v>1350</v>
      </c>
      <c r="H1856" s="1776" t="s">
        <v>1349</v>
      </c>
      <c r="I1856" s="34" t="s">
        <v>25</v>
      </c>
      <c r="J1856" s="327"/>
      <c r="K1856" s="37"/>
      <c r="L1856" s="1128"/>
      <c r="M1856" s="327"/>
      <c r="N1856" s="327"/>
      <c r="O1856" s="1129"/>
    </row>
    <row r="1857" spans="1:15" ht="18.75" customHeight="1" x14ac:dyDescent="0.3">
      <c r="A1857" s="2401">
        <v>1851</v>
      </c>
      <c r="B1857" s="1122" t="s">
        <v>2927</v>
      </c>
      <c r="C1857" s="216" t="s">
        <v>1344</v>
      </c>
      <c r="D1857" s="416" t="s">
        <v>1053</v>
      </c>
      <c r="E1857" s="217" t="s">
        <v>2983</v>
      </c>
      <c r="F1857" s="218" t="s">
        <v>2827</v>
      </c>
      <c r="G1857" s="116">
        <v>1350</v>
      </c>
      <c r="H1857" s="1776" t="s">
        <v>1349</v>
      </c>
      <c r="I1857" s="34" t="s">
        <v>25</v>
      </c>
      <c r="J1857" s="327"/>
      <c r="K1857" s="37"/>
      <c r="L1857" s="1128"/>
      <c r="M1857" s="327"/>
      <c r="N1857" s="327"/>
      <c r="O1857" s="1129"/>
    </row>
    <row r="1858" spans="1:15" ht="18.75" customHeight="1" x14ac:dyDescent="0.3">
      <c r="A1858" s="2402">
        <v>1852</v>
      </c>
      <c r="B1858" s="1122" t="s">
        <v>2927</v>
      </c>
      <c r="C1858" s="216" t="s">
        <v>1344</v>
      </c>
      <c r="D1858" s="416" t="s">
        <v>1053</v>
      </c>
      <c r="E1858" s="217" t="s">
        <v>2984</v>
      </c>
      <c r="F1858" s="218" t="s">
        <v>2827</v>
      </c>
      <c r="G1858" s="116">
        <v>1350</v>
      </c>
      <c r="H1858" s="1776" t="s">
        <v>1349</v>
      </c>
      <c r="I1858" s="34" t="s">
        <v>25</v>
      </c>
      <c r="J1858" s="327"/>
      <c r="K1858" s="37"/>
      <c r="L1858" s="1128"/>
      <c r="M1858" s="327"/>
      <c r="N1858" s="327"/>
      <c r="O1858" s="1129"/>
    </row>
    <row r="1859" spans="1:15" ht="18.75" customHeight="1" x14ac:dyDescent="0.3">
      <c r="A1859" s="2402">
        <v>1853</v>
      </c>
      <c r="B1859" s="1122" t="s">
        <v>2927</v>
      </c>
      <c r="C1859" s="216" t="s">
        <v>1344</v>
      </c>
      <c r="D1859" s="416" t="s">
        <v>1053</v>
      </c>
      <c r="E1859" s="217" t="s">
        <v>2985</v>
      </c>
      <c r="F1859" s="218" t="s">
        <v>2827</v>
      </c>
      <c r="G1859" s="116">
        <v>1350</v>
      </c>
      <c r="H1859" s="1776" t="s">
        <v>1349</v>
      </c>
      <c r="I1859" s="34" t="s">
        <v>25</v>
      </c>
      <c r="J1859" s="327"/>
      <c r="K1859" s="37"/>
      <c r="L1859" s="1128"/>
      <c r="M1859" s="327"/>
      <c r="N1859" s="327"/>
      <c r="O1859" s="1129"/>
    </row>
    <row r="1860" spans="1:15" ht="18.75" customHeight="1" x14ac:dyDescent="0.3">
      <c r="A1860" s="2402">
        <v>1854</v>
      </c>
      <c r="B1860" s="1122" t="s">
        <v>2927</v>
      </c>
      <c r="C1860" s="216" t="s">
        <v>1344</v>
      </c>
      <c r="D1860" s="416" t="s">
        <v>1053</v>
      </c>
      <c r="E1860" s="217" t="s">
        <v>2986</v>
      </c>
      <c r="F1860" s="218" t="s">
        <v>2827</v>
      </c>
      <c r="G1860" s="116">
        <v>1350</v>
      </c>
      <c r="H1860" s="1776" t="s">
        <v>1349</v>
      </c>
      <c r="I1860" s="34" t="s">
        <v>25</v>
      </c>
      <c r="J1860" s="327"/>
      <c r="K1860" s="37"/>
      <c r="L1860" s="1128"/>
      <c r="M1860" s="327"/>
      <c r="N1860" s="327"/>
      <c r="O1860" s="1129"/>
    </row>
    <row r="1861" spans="1:15" ht="18.75" customHeight="1" x14ac:dyDescent="0.3">
      <c r="A1861" s="2402">
        <v>1855</v>
      </c>
      <c r="B1861" s="1122" t="s">
        <v>2927</v>
      </c>
      <c r="C1861" s="216" t="s">
        <v>1344</v>
      </c>
      <c r="D1861" s="416" t="s">
        <v>1053</v>
      </c>
      <c r="E1861" s="217" t="s">
        <v>2987</v>
      </c>
      <c r="F1861" s="218" t="s">
        <v>2827</v>
      </c>
      <c r="G1861" s="116">
        <v>1350</v>
      </c>
      <c r="H1861" s="1776" t="s">
        <v>1349</v>
      </c>
      <c r="I1861" s="34" t="s">
        <v>25</v>
      </c>
      <c r="J1861" s="327"/>
      <c r="K1861" s="37"/>
      <c r="L1861" s="1128"/>
      <c r="M1861" s="327"/>
      <c r="N1861" s="327"/>
      <c r="O1861" s="1129"/>
    </row>
    <row r="1862" spans="1:15" ht="18.75" customHeight="1" x14ac:dyDescent="0.3">
      <c r="A1862" s="2401">
        <v>1856</v>
      </c>
      <c r="B1862" s="1122" t="s">
        <v>2927</v>
      </c>
      <c r="C1862" s="216" t="s">
        <v>1344</v>
      </c>
      <c r="D1862" s="452" t="s">
        <v>1053</v>
      </c>
      <c r="E1862" s="217" t="s">
        <v>2988</v>
      </c>
      <c r="F1862" s="218" t="s">
        <v>2827</v>
      </c>
      <c r="G1862" s="116">
        <v>1350</v>
      </c>
      <c r="H1862" s="1776" t="s">
        <v>1349</v>
      </c>
      <c r="I1862" s="34" t="s">
        <v>25</v>
      </c>
      <c r="J1862" s="327"/>
      <c r="K1862" s="37"/>
      <c r="L1862" s="1128"/>
      <c r="M1862" s="327"/>
      <c r="N1862" s="327"/>
      <c r="O1862" s="1129"/>
    </row>
    <row r="1863" spans="1:15" ht="18.75" customHeight="1" x14ac:dyDescent="0.3">
      <c r="A1863" s="2402">
        <v>1857</v>
      </c>
      <c r="B1863" s="1122" t="s">
        <v>2927</v>
      </c>
      <c r="C1863" s="216" t="s">
        <v>1344</v>
      </c>
      <c r="D1863" s="793" t="s">
        <v>1053</v>
      </c>
      <c r="E1863" s="217" t="s">
        <v>2989</v>
      </c>
      <c r="F1863" s="218" t="s">
        <v>2827</v>
      </c>
      <c r="G1863" s="116">
        <v>1350</v>
      </c>
      <c r="H1863" s="1776" t="s">
        <v>1349</v>
      </c>
      <c r="I1863" s="34" t="s">
        <v>25</v>
      </c>
      <c r="J1863" s="327"/>
      <c r="K1863" s="37"/>
      <c r="L1863" s="1128"/>
      <c r="M1863" s="327"/>
      <c r="N1863" s="327"/>
      <c r="O1863" s="1129"/>
    </row>
    <row r="1864" spans="1:15" ht="18.75" customHeight="1" x14ac:dyDescent="0.3">
      <c r="A1864" s="2402">
        <v>1858</v>
      </c>
      <c r="B1864" s="1122" t="s">
        <v>2927</v>
      </c>
      <c r="C1864" s="216" t="s">
        <v>1344</v>
      </c>
      <c r="D1864" s="452" t="s">
        <v>1053</v>
      </c>
      <c r="E1864" s="217" t="s">
        <v>2990</v>
      </c>
      <c r="F1864" s="218" t="s">
        <v>2827</v>
      </c>
      <c r="G1864" s="116">
        <v>1350</v>
      </c>
      <c r="H1864" s="1776" t="s">
        <v>1349</v>
      </c>
      <c r="I1864" s="34" t="s">
        <v>25</v>
      </c>
      <c r="J1864" s="327"/>
      <c r="K1864" s="37"/>
      <c r="L1864" s="1128"/>
      <c r="M1864" s="327"/>
      <c r="N1864" s="327"/>
      <c r="O1864" s="1129"/>
    </row>
    <row r="1865" spans="1:15" ht="18.75" customHeight="1" x14ac:dyDescent="0.3">
      <c r="A1865" s="2401">
        <v>1859</v>
      </c>
      <c r="B1865" s="1122" t="s">
        <v>2927</v>
      </c>
      <c r="C1865" s="216" t="s">
        <v>1344</v>
      </c>
      <c r="D1865" s="793" t="s">
        <v>1053</v>
      </c>
      <c r="E1865" s="217" t="s">
        <v>2991</v>
      </c>
      <c r="F1865" s="218" t="s">
        <v>2827</v>
      </c>
      <c r="G1865" s="116">
        <v>1350</v>
      </c>
      <c r="H1865" s="1776" t="s">
        <v>1349</v>
      </c>
      <c r="I1865" s="34" t="s">
        <v>25</v>
      </c>
      <c r="J1865" s="327"/>
      <c r="K1865" s="37"/>
      <c r="L1865" s="1128"/>
      <c r="M1865" s="327"/>
      <c r="N1865" s="327"/>
      <c r="O1865" s="1129"/>
    </row>
    <row r="1866" spans="1:15" ht="18.75" customHeight="1" x14ac:dyDescent="0.3">
      <c r="A1866" s="2402">
        <v>1860</v>
      </c>
      <c r="B1866" s="1122" t="s">
        <v>2927</v>
      </c>
      <c r="C1866" s="216" t="s">
        <v>1344</v>
      </c>
      <c r="D1866" s="416" t="s">
        <v>1053</v>
      </c>
      <c r="E1866" s="217" t="s">
        <v>2992</v>
      </c>
      <c r="F1866" s="218" t="s">
        <v>2827</v>
      </c>
      <c r="G1866" s="116">
        <v>1350</v>
      </c>
      <c r="H1866" s="1776" t="s">
        <v>1349</v>
      </c>
      <c r="I1866" s="34" t="s">
        <v>25</v>
      </c>
      <c r="J1866" s="327"/>
      <c r="K1866" s="37"/>
      <c r="L1866" s="1128"/>
      <c r="M1866" s="327"/>
      <c r="N1866" s="327"/>
      <c r="O1866" s="1129"/>
    </row>
    <row r="1867" spans="1:15" ht="18.75" customHeight="1" x14ac:dyDescent="0.3">
      <c r="A1867" s="2402">
        <v>1861</v>
      </c>
      <c r="B1867" s="1122" t="s">
        <v>2927</v>
      </c>
      <c r="C1867" s="216" t="s">
        <v>1344</v>
      </c>
      <c r="D1867" s="416" t="s">
        <v>1053</v>
      </c>
      <c r="E1867" s="217" t="s">
        <v>2993</v>
      </c>
      <c r="F1867" s="218" t="s">
        <v>2827</v>
      </c>
      <c r="G1867" s="116">
        <v>1350</v>
      </c>
      <c r="H1867" s="1776" t="s">
        <v>1349</v>
      </c>
      <c r="I1867" s="34" t="s">
        <v>25</v>
      </c>
      <c r="J1867" s="327"/>
      <c r="K1867" s="37"/>
      <c r="L1867" s="1128"/>
      <c r="M1867" s="327"/>
      <c r="N1867" s="327"/>
      <c r="O1867" s="1129"/>
    </row>
    <row r="1868" spans="1:15" ht="18.75" customHeight="1" x14ac:dyDescent="0.3">
      <c r="A1868" s="2402">
        <v>1862</v>
      </c>
      <c r="B1868" s="1122" t="s">
        <v>2927</v>
      </c>
      <c r="C1868" s="216" t="s">
        <v>1344</v>
      </c>
      <c r="D1868" s="416" t="s">
        <v>1053</v>
      </c>
      <c r="E1868" s="217" t="s">
        <v>2994</v>
      </c>
      <c r="F1868" s="218" t="s">
        <v>2827</v>
      </c>
      <c r="G1868" s="116">
        <v>1350</v>
      </c>
      <c r="H1868" s="1776" t="s">
        <v>1349</v>
      </c>
      <c r="I1868" s="34" t="s">
        <v>25</v>
      </c>
      <c r="J1868" s="327"/>
      <c r="K1868" s="37"/>
      <c r="L1868" s="1128"/>
      <c r="M1868" s="327"/>
      <c r="N1868" s="327"/>
      <c r="O1868" s="1129"/>
    </row>
    <row r="1869" spans="1:15" ht="18.75" customHeight="1" x14ac:dyDescent="0.3">
      <c r="A1869" s="2402">
        <v>1863</v>
      </c>
      <c r="B1869" s="1122" t="s">
        <v>2927</v>
      </c>
      <c r="C1869" s="216" t="s">
        <v>1344</v>
      </c>
      <c r="D1869" s="416" t="s">
        <v>1053</v>
      </c>
      <c r="E1869" s="217" t="s">
        <v>2995</v>
      </c>
      <c r="F1869" s="218" t="s">
        <v>2827</v>
      </c>
      <c r="G1869" s="116">
        <v>1350</v>
      </c>
      <c r="H1869" s="1776" t="s">
        <v>1349</v>
      </c>
      <c r="I1869" s="34" t="s">
        <v>25</v>
      </c>
      <c r="J1869" s="327"/>
      <c r="K1869" s="37"/>
      <c r="L1869" s="1128"/>
      <c r="M1869" s="327"/>
      <c r="N1869" s="327"/>
      <c r="O1869" s="1129"/>
    </row>
    <row r="1870" spans="1:15" ht="18.75" customHeight="1" x14ac:dyDescent="0.3">
      <c r="A1870" s="2401">
        <v>1864</v>
      </c>
      <c r="B1870" s="1122" t="s">
        <v>2927</v>
      </c>
      <c r="C1870" s="216" t="s">
        <v>1344</v>
      </c>
      <c r="D1870" s="416" t="s">
        <v>1053</v>
      </c>
      <c r="E1870" s="217" t="s">
        <v>2996</v>
      </c>
      <c r="F1870" s="218" t="s">
        <v>2827</v>
      </c>
      <c r="G1870" s="116">
        <v>1350</v>
      </c>
      <c r="H1870" s="1776" t="s">
        <v>1349</v>
      </c>
      <c r="I1870" s="34" t="s">
        <v>25</v>
      </c>
      <c r="J1870" s="327"/>
      <c r="K1870" s="37"/>
      <c r="L1870" s="1128"/>
      <c r="M1870" s="327"/>
      <c r="N1870" s="327"/>
      <c r="O1870" s="1129"/>
    </row>
    <row r="1871" spans="1:15" ht="18.75" customHeight="1" x14ac:dyDescent="0.3">
      <c r="A1871" s="2402">
        <v>1865</v>
      </c>
      <c r="B1871" s="1122" t="s">
        <v>2927</v>
      </c>
      <c r="C1871" s="216" t="s">
        <v>1344</v>
      </c>
      <c r="D1871" s="416" t="s">
        <v>1053</v>
      </c>
      <c r="E1871" s="217" t="s">
        <v>2997</v>
      </c>
      <c r="F1871" s="218" t="s">
        <v>2827</v>
      </c>
      <c r="G1871" s="116">
        <v>1350</v>
      </c>
      <c r="H1871" s="1776" t="s">
        <v>1349</v>
      </c>
      <c r="I1871" s="34" t="s">
        <v>25</v>
      </c>
      <c r="J1871" s="327"/>
      <c r="K1871" s="37"/>
      <c r="L1871" s="1128"/>
      <c r="M1871" s="327"/>
      <c r="N1871" s="327"/>
      <c r="O1871" s="1129"/>
    </row>
    <row r="1872" spans="1:15" ht="18.75" customHeight="1" x14ac:dyDescent="0.3">
      <c r="A1872" s="2402">
        <v>1866</v>
      </c>
      <c r="B1872" s="1122" t="s">
        <v>2927</v>
      </c>
      <c r="C1872" s="216" t="s">
        <v>1344</v>
      </c>
      <c r="D1872" s="416" t="s">
        <v>1053</v>
      </c>
      <c r="E1872" s="217" t="s">
        <v>2998</v>
      </c>
      <c r="F1872" s="218" t="s">
        <v>2827</v>
      </c>
      <c r="G1872" s="116">
        <v>1350</v>
      </c>
      <c r="H1872" s="1776" t="s">
        <v>1349</v>
      </c>
      <c r="I1872" s="34" t="s">
        <v>25</v>
      </c>
      <c r="J1872" s="327"/>
      <c r="K1872" s="37"/>
      <c r="L1872" s="1128"/>
      <c r="M1872" s="327"/>
      <c r="N1872" s="327"/>
      <c r="O1872" s="1129"/>
    </row>
    <row r="1873" spans="1:15" ht="18.75" customHeight="1" x14ac:dyDescent="0.3">
      <c r="A1873" s="2401">
        <v>1867</v>
      </c>
      <c r="B1873" s="1122" t="s">
        <v>2927</v>
      </c>
      <c r="C1873" s="216" t="s">
        <v>1344</v>
      </c>
      <c r="D1873" s="416" t="s">
        <v>1053</v>
      </c>
      <c r="E1873" s="217" t="s">
        <v>2999</v>
      </c>
      <c r="F1873" s="218" t="s">
        <v>2827</v>
      </c>
      <c r="G1873" s="116">
        <v>1350</v>
      </c>
      <c r="H1873" s="1776" t="s">
        <v>1349</v>
      </c>
      <c r="I1873" s="34" t="s">
        <v>25</v>
      </c>
      <c r="J1873" s="327"/>
      <c r="K1873" s="37"/>
      <c r="L1873" s="1128"/>
      <c r="M1873" s="327"/>
      <c r="N1873" s="327"/>
      <c r="O1873" s="1129"/>
    </row>
    <row r="1874" spans="1:15" ht="18.75" customHeight="1" x14ac:dyDescent="0.3">
      <c r="A1874" s="2402">
        <v>1868</v>
      </c>
      <c r="B1874" s="1122" t="s">
        <v>2927</v>
      </c>
      <c r="C1874" s="216" t="s">
        <v>1344</v>
      </c>
      <c r="D1874" s="416" t="s">
        <v>1053</v>
      </c>
      <c r="E1874" s="217" t="s">
        <v>3000</v>
      </c>
      <c r="F1874" s="218" t="s">
        <v>2827</v>
      </c>
      <c r="G1874" s="116">
        <v>1350</v>
      </c>
      <c r="H1874" s="1776" t="s">
        <v>1349</v>
      </c>
      <c r="I1874" s="34" t="s">
        <v>25</v>
      </c>
      <c r="J1874" s="327"/>
      <c r="K1874" s="37"/>
      <c r="L1874" s="1128"/>
      <c r="M1874" s="327"/>
      <c r="N1874" s="327"/>
      <c r="O1874" s="1129"/>
    </row>
    <row r="1875" spans="1:15" ht="18.75" customHeight="1" x14ac:dyDescent="0.3">
      <c r="A1875" s="2402">
        <v>1869</v>
      </c>
      <c r="B1875" s="1122" t="s">
        <v>2927</v>
      </c>
      <c r="C1875" s="216" t="s">
        <v>1344</v>
      </c>
      <c r="D1875" s="416" t="s">
        <v>1053</v>
      </c>
      <c r="E1875" s="217" t="s">
        <v>3001</v>
      </c>
      <c r="F1875" s="218" t="s">
        <v>2827</v>
      </c>
      <c r="G1875" s="116">
        <v>1350</v>
      </c>
      <c r="H1875" s="1776" t="s">
        <v>1349</v>
      </c>
      <c r="I1875" s="34" t="s">
        <v>25</v>
      </c>
      <c r="J1875" s="327"/>
      <c r="K1875" s="37"/>
      <c r="L1875" s="1128"/>
      <c r="M1875" s="327"/>
      <c r="N1875" s="327"/>
      <c r="O1875" s="1129"/>
    </row>
    <row r="1876" spans="1:15" ht="18.75" customHeight="1" x14ac:dyDescent="0.3">
      <c r="A1876" s="2402">
        <v>1870</v>
      </c>
      <c r="B1876" s="1122" t="s">
        <v>2927</v>
      </c>
      <c r="C1876" s="216" t="s">
        <v>1344</v>
      </c>
      <c r="D1876" s="416" t="s">
        <v>1053</v>
      </c>
      <c r="E1876" s="217" t="s">
        <v>3002</v>
      </c>
      <c r="F1876" s="218" t="s">
        <v>2827</v>
      </c>
      <c r="G1876" s="116">
        <v>1350</v>
      </c>
      <c r="H1876" s="1776" t="s">
        <v>1349</v>
      </c>
      <c r="I1876" s="34" t="s">
        <v>25</v>
      </c>
      <c r="J1876" s="327"/>
      <c r="K1876" s="37"/>
      <c r="L1876" s="1128"/>
      <c r="M1876" s="327"/>
      <c r="N1876" s="327"/>
      <c r="O1876" s="1129"/>
    </row>
    <row r="1877" spans="1:15" ht="18.75" customHeight="1" x14ac:dyDescent="0.3">
      <c r="A1877" s="2402">
        <v>1871</v>
      </c>
      <c r="B1877" s="1122" t="s">
        <v>2927</v>
      </c>
      <c r="C1877" s="216" t="s">
        <v>1344</v>
      </c>
      <c r="D1877" s="416" t="s">
        <v>1053</v>
      </c>
      <c r="E1877" s="217" t="s">
        <v>3003</v>
      </c>
      <c r="F1877" s="218" t="s">
        <v>2827</v>
      </c>
      <c r="G1877" s="116">
        <v>1350</v>
      </c>
      <c r="H1877" s="1776" t="s">
        <v>1349</v>
      </c>
      <c r="I1877" s="34" t="s">
        <v>25</v>
      </c>
      <c r="J1877" s="327"/>
      <c r="K1877" s="37"/>
      <c r="L1877" s="1128"/>
      <c r="M1877" s="327"/>
      <c r="N1877" s="327"/>
      <c r="O1877" s="1129"/>
    </row>
    <row r="1878" spans="1:15" ht="18.75" customHeight="1" x14ac:dyDescent="0.3">
      <c r="A1878" s="2401">
        <v>1872</v>
      </c>
      <c r="B1878" s="1122" t="s">
        <v>2927</v>
      </c>
      <c r="C1878" s="216" t="s">
        <v>1344</v>
      </c>
      <c r="D1878" s="416" t="s">
        <v>1053</v>
      </c>
      <c r="E1878" s="217" t="s">
        <v>3004</v>
      </c>
      <c r="F1878" s="218" t="s">
        <v>2827</v>
      </c>
      <c r="G1878" s="116">
        <v>1350</v>
      </c>
      <c r="H1878" s="1776" t="s">
        <v>1349</v>
      </c>
      <c r="I1878" s="34" t="s">
        <v>25</v>
      </c>
      <c r="J1878" s="327"/>
      <c r="K1878" s="37"/>
      <c r="L1878" s="1128"/>
      <c r="M1878" s="327"/>
      <c r="N1878" s="327"/>
      <c r="O1878" s="1129"/>
    </row>
    <row r="1879" spans="1:15" ht="18.75" customHeight="1" x14ac:dyDescent="0.3">
      <c r="A1879" s="2402">
        <v>1873</v>
      </c>
      <c r="B1879" s="1122" t="s">
        <v>2927</v>
      </c>
      <c r="C1879" s="216" t="s">
        <v>1344</v>
      </c>
      <c r="D1879" s="416" t="s">
        <v>1053</v>
      </c>
      <c r="E1879" s="217" t="s">
        <v>3005</v>
      </c>
      <c r="F1879" s="218" t="s">
        <v>2827</v>
      </c>
      <c r="G1879" s="116">
        <v>1350</v>
      </c>
      <c r="H1879" s="1776" t="s">
        <v>1349</v>
      </c>
      <c r="I1879" s="34" t="s">
        <v>25</v>
      </c>
      <c r="J1879" s="327"/>
      <c r="K1879" s="37"/>
      <c r="L1879" s="1128"/>
      <c r="M1879" s="327"/>
      <c r="N1879" s="327"/>
      <c r="O1879" s="1129"/>
    </row>
    <row r="1880" spans="1:15" ht="18.75" customHeight="1" x14ac:dyDescent="0.3">
      <c r="A1880" s="2402">
        <v>1874</v>
      </c>
      <c r="B1880" s="1122" t="s">
        <v>2927</v>
      </c>
      <c r="C1880" s="216" t="s">
        <v>1344</v>
      </c>
      <c r="D1880" s="416" t="s">
        <v>1053</v>
      </c>
      <c r="E1880" s="217" t="s">
        <v>3006</v>
      </c>
      <c r="F1880" s="218" t="s">
        <v>2827</v>
      </c>
      <c r="G1880" s="116">
        <v>1350</v>
      </c>
      <c r="H1880" s="1776" t="s">
        <v>1349</v>
      </c>
      <c r="I1880" s="34" t="s">
        <v>25</v>
      </c>
      <c r="J1880" s="327"/>
      <c r="K1880" s="37"/>
      <c r="L1880" s="1128"/>
      <c r="M1880" s="327"/>
      <c r="N1880" s="327"/>
      <c r="O1880" s="1129"/>
    </row>
    <row r="1881" spans="1:15" ht="18.75" customHeight="1" x14ac:dyDescent="0.3">
      <c r="A1881" s="2401">
        <v>1875</v>
      </c>
      <c r="B1881" s="1122" t="s">
        <v>2927</v>
      </c>
      <c r="C1881" s="216" t="s">
        <v>1344</v>
      </c>
      <c r="D1881" s="416" t="s">
        <v>1053</v>
      </c>
      <c r="E1881" s="217" t="s">
        <v>3007</v>
      </c>
      <c r="F1881" s="218" t="s">
        <v>2827</v>
      </c>
      <c r="G1881" s="116">
        <v>1350</v>
      </c>
      <c r="H1881" s="1776" t="s">
        <v>1349</v>
      </c>
      <c r="I1881" s="34" t="s">
        <v>25</v>
      </c>
      <c r="J1881" s="327"/>
      <c r="K1881" s="37"/>
      <c r="L1881" s="1128"/>
      <c r="M1881" s="327"/>
      <c r="N1881" s="327"/>
      <c r="O1881" s="1129"/>
    </row>
    <row r="1882" spans="1:15" ht="18.75" customHeight="1" x14ac:dyDescent="0.3">
      <c r="A1882" s="2402">
        <v>1876</v>
      </c>
      <c r="B1882" s="1122" t="s">
        <v>2927</v>
      </c>
      <c r="C1882" s="216" t="s">
        <v>1344</v>
      </c>
      <c r="D1882" s="416" t="s">
        <v>1053</v>
      </c>
      <c r="E1882" s="217" t="s">
        <v>3008</v>
      </c>
      <c r="F1882" s="218" t="s">
        <v>2827</v>
      </c>
      <c r="G1882" s="116">
        <v>1350</v>
      </c>
      <c r="H1882" s="1776" t="s">
        <v>1349</v>
      </c>
      <c r="I1882" s="34" t="s">
        <v>25</v>
      </c>
      <c r="J1882" s="327"/>
      <c r="K1882" s="37"/>
      <c r="L1882" s="1128"/>
      <c r="M1882" s="327"/>
      <c r="N1882" s="327"/>
      <c r="O1882" s="1129"/>
    </row>
    <row r="1883" spans="1:15" ht="18.75" customHeight="1" x14ac:dyDescent="0.3">
      <c r="A1883" s="2402">
        <v>1877</v>
      </c>
      <c r="B1883" s="1122" t="s">
        <v>2927</v>
      </c>
      <c r="C1883" s="216" t="s">
        <v>1344</v>
      </c>
      <c r="D1883" s="416" t="s">
        <v>1053</v>
      </c>
      <c r="E1883" s="217" t="s">
        <v>3009</v>
      </c>
      <c r="F1883" s="218" t="s">
        <v>2827</v>
      </c>
      <c r="G1883" s="116">
        <v>1350</v>
      </c>
      <c r="H1883" s="1776" t="s">
        <v>1349</v>
      </c>
      <c r="I1883" s="34" t="s">
        <v>25</v>
      </c>
      <c r="J1883" s="327"/>
      <c r="K1883" s="37"/>
      <c r="L1883" s="1128"/>
      <c r="M1883" s="327"/>
      <c r="N1883" s="327"/>
      <c r="O1883" s="1129"/>
    </row>
    <row r="1884" spans="1:15" ht="18.75" customHeight="1" x14ac:dyDescent="0.3">
      <c r="A1884" s="2402">
        <v>1878</v>
      </c>
      <c r="B1884" s="1122" t="s">
        <v>2927</v>
      </c>
      <c r="C1884" s="216" t="s">
        <v>1344</v>
      </c>
      <c r="D1884" s="416" t="s">
        <v>1053</v>
      </c>
      <c r="E1884" s="217" t="s">
        <v>3010</v>
      </c>
      <c r="F1884" s="218" t="s">
        <v>2827</v>
      </c>
      <c r="G1884" s="116">
        <v>1350</v>
      </c>
      <c r="H1884" s="1776" t="s">
        <v>1349</v>
      </c>
      <c r="I1884" s="34" t="s">
        <v>25</v>
      </c>
      <c r="J1884" s="327"/>
      <c r="K1884" s="37"/>
      <c r="L1884" s="1128"/>
      <c r="M1884" s="327"/>
      <c r="N1884" s="327"/>
      <c r="O1884" s="1129"/>
    </row>
    <row r="1885" spans="1:15" ht="18.75" customHeight="1" x14ac:dyDescent="0.3">
      <c r="A1885" s="2402">
        <v>1879</v>
      </c>
      <c r="B1885" s="1122" t="s">
        <v>2927</v>
      </c>
      <c r="C1885" s="216" t="s">
        <v>1344</v>
      </c>
      <c r="D1885" s="416" t="s">
        <v>1053</v>
      </c>
      <c r="E1885" s="217" t="s">
        <v>3011</v>
      </c>
      <c r="F1885" s="218" t="s">
        <v>2827</v>
      </c>
      <c r="G1885" s="116">
        <v>1350</v>
      </c>
      <c r="H1885" s="1776" t="s">
        <v>1349</v>
      </c>
      <c r="I1885" s="34" t="s">
        <v>25</v>
      </c>
      <c r="J1885" s="327"/>
      <c r="K1885" s="37"/>
      <c r="L1885" s="1128"/>
      <c r="M1885" s="327"/>
      <c r="N1885" s="327"/>
      <c r="O1885" s="1129"/>
    </row>
    <row r="1886" spans="1:15" ht="18.75" customHeight="1" x14ac:dyDescent="0.3">
      <c r="A1886" s="2401">
        <v>1880</v>
      </c>
      <c r="B1886" s="1122" t="s">
        <v>2927</v>
      </c>
      <c r="C1886" s="216" t="s">
        <v>1344</v>
      </c>
      <c r="D1886" s="416" t="s">
        <v>1053</v>
      </c>
      <c r="E1886" s="217" t="s">
        <v>3012</v>
      </c>
      <c r="F1886" s="218" t="s">
        <v>2827</v>
      </c>
      <c r="G1886" s="116">
        <v>1350</v>
      </c>
      <c r="H1886" s="1776" t="s">
        <v>1349</v>
      </c>
      <c r="I1886" s="34" t="s">
        <v>25</v>
      </c>
      <c r="J1886" s="327"/>
      <c r="K1886" s="37"/>
      <c r="L1886" s="1128"/>
      <c r="M1886" s="327"/>
      <c r="N1886" s="327"/>
      <c r="O1886" s="1129"/>
    </row>
    <row r="1887" spans="1:15" ht="18.75" customHeight="1" x14ac:dyDescent="0.3">
      <c r="A1887" s="2402">
        <v>1881</v>
      </c>
      <c r="B1887" s="1122" t="s">
        <v>2927</v>
      </c>
      <c r="C1887" s="216" t="s">
        <v>1344</v>
      </c>
      <c r="D1887" s="416" t="s">
        <v>1053</v>
      </c>
      <c r="E1887" s="217" t="s">
        <v>3013</v>
      </c>
      <c r="F1887" s="218" t="s">
        <v>2827</v>
      </c>
      <c r="G1887" s="116">
        <v>1350</v>
      </c>
      <c r="H1887" s="1776" t="s">
        <v>1349</v>
      </c>
      <c r="I1887" s="34" t="s">
        <v>25</v>
      </c>
      <c r="J1887" s="327"/>
      <c r="K1887" s="37"/>
      <c r="L1887" s="1128"/>
      <c r="M1887" s="327"/>
      <c r="N1887" s="327"/>
      <c r="O1887" s="1129"/>
    </row>
    <row r="1888" spans="1:15" ht="18.75" customHeight="1" x14ac:dyDescent="0.3">
      <c r="A1888" s="2402">
        <v>1882</v>
      </c>
      <c r="B1888" s="1122" t="s">
        <v>2927</v>
      </c>
      <c r="C1888" s="216" t="s">
        <v>1344</v>
      </c>
      <c r="D1888" s="416" t="s">
        <v>1053</v>
      </c>
      <c r="E1888" s="217" t="s">
        <v>3014</v>
      </c>
      <c r="F1888" s="218" t="s">
        <v>2827</v>
      </c>
      <c r="G1888" s="116">
        <v>1350</v>
      </c>
      <c r="H1888" s="1776" t="s">
        <v>1349</v>
      </c>
      <c r="I1888" s="34" t="s">
        <v>25</v>
      </c>
      <c r="J1888" s="327"/>
      <c r="K1888" s="37"/>
      <c r="L1888" s="1128"/>
      <c r="M1888" s="327"/>
      <c r="N1888" s="327"/>
      <c r="O1888" s="1129"/>
    </row>
    <row r="1889" spans="1:15" ht="18.75" customHeight="1" x14ac:dyDescent="0.3">
      <c r="A1889" s="2401">
        <v>1883</v>
      </c>
      <c r="B1889" s="1122" t="s">
        <v>2927</v>
      </c>
      <c r="C1889" s="216" t="s">
        <v>1344</v>
      </c>
      <c r="D1889" s="416" t="s">
        <v>1053</v>
      </c>
      <c r="E1889" s="217" t="s">
        <v>3015</v>
      </c>
      <c r="F1889" s="218" t="s">
        <v>2827</v>
      </c>
      <c r="G1889" s="116">
        <v>1350</v>
      </c>
      <c r="H1889" s="1776" t="s">
        <v>1349</v>
      </c>
      <c r="I1889" s="34" t="s">
        <v>25</v>
      </c>
      <c r="J1889" s="327"/>
      <c r="K1889" s="37"/>
      <c r="L1889" s="1128"/>
      <c r="M1889" s="327"/>
      <c r="N1889" s="327"/>
      <c r="O1889" s="1129"/>
    </row>
    <row r="1890" spans="1:15" ht="18.75" customHeight="1" x14ac:dyDescent="0.3">
      <c r="A1890" s="2402">
        <v>1884</v>
      </c>
      <c r="B1890" s="1122" t="s">
        <v>2927</v>
      </c>
      <c r="C1890" s="216" t="s">
        <v>1344</v>
      </c>
      <c r="D1890" s="416" t="s">
        <v>1053</v>
      </c>
      <c r="E1890" s="217" t="s">
        <v>3016</v>
      </c>
      <c r="F1890" s="218" t="s">
        <v>2827</v>
      </c>
      <c r="G1890" s="116">
        <v>1350</v>
      </c>
      <c r="H1890" s="1776" t="s">
        <v>1349</v>
      </c>
      <c r="I1890" s="34" t="s">
        <v>25</v>
      </c>
      <c r="J1890" s="327"/>
      <c r="K1890" s="37"/>
      <c r="L1890" s="1128"/>
      <c r="M1890" s="327"/>
      <c r="N1890" s="327"/>
      <c r="O1890" s="1129"/>
    </row>
    <row r="1891" spans="1:15" ht="18.75" customHeight="1" x14ac:dyDescent="0.3">
      <c r="A1891" s="2402">
        <v>1885</v>
      </c>
      <c r="B1891" s="1122" t="s">
        <v>2927</v>
      </c>
      <c r="C1891" s="216" t="s">
        <v>1344</v>
      </c>
      <c r="D1891" s="416" t="s">
        <v>1053</v>
      </c>
      <c r="E1891" s="217" t="s">
        <v>3017</v>
      </c>
      <c r="F1891" s="218" t="s">
        <v>2827</v>
      </c>
      <c r="G1891" s="116">
        <v>1350</v>
      </c>
      <c r="H1891" s="1776" t="s">
        <v>1349</v>
      </c>
      <c r="I1891" s="34" t="s">
        <v>25</v>
      </c>
      <c r="J1891" s="327"/>
      <c r="K1891" s="37"/>
      <c r="L1891" s="1128"/>
      <c r="M1891" s="327"/>
      <c r="N1891" s="327"/>
      <c r="O1891" s="1129"/>
    </row>
    <row r="1892" spans="1:15" ht="18.75" customHeight="1" x14ac:dyDescent="0.3">
      <c r="A1892" s="2402">
        <v>1886</v>
      </c>
      <c r="B1892" s="1122" t="s">
        <v>2927</v>
      </c>
      <c r="C1892" s="216" t="s">
        <v>1344</v>
      </c>
      <c r="D1892" s="416" t="s">
        <v>1053</v>
      </c>
      <c r="E1892" s="217" t="s">
        <v>3018</v>
      </c>
      <c r="F1892" s="218" t="s">
        <v>2827</v>
      </c>
      <c r="G1892" s="116">
        <v>1350</v>
      </c>
      <c r="H1892" s="1776" t="s">
        <v>1349</v>
      </c>
      <c r="I1892" s="34" t="s">
        <v>25</v>
      </c>
      <c r="J1892" s="327"/>
      <c r="K1892" s="37"/>
      <c r="L1892" s="1128"/>
      <c r="M1892" s="327"/>
      <c r="N1892" s="327"/>
      <c r="O1892" s="1129"/>
    </row>
    <row r="1893" spans="1:15" ht="18.75" customHeight="1" x14ac:dyDescent="0.3">
      <c r="A1893" s="2402">
        <v>1887</v>
      </c>
      <c r="B1893" s="1122" t="s">
        <v>2927</v>
      </c>
      <c r="C1893" s="216" t="s">
        <v>1344</v>
      </c>
      <c r="D1893" s="416" t="s">
        <v>1053</v>
      </c>
      <c r="E1893" s="217" t="s">
        <v>3019</v>
      </c>
      <c r="F1893" s="218" t="s">
        <v>2827</v>
      </c>
      <c r="G1893" s="116">
        <v>1350</v>
      </c>
      <c r="H1893" s="1776" t="s">
        <v>1349</v>
      </c>
      <c r="I1893" s="34" t="s">
        <v>25</v>
      </c>
      <c r="J1893" s="327"/>
      <c r="K1893" s="37"/>
      <c r="L1893" s="1128"/>
      <c r="M1893" s="327"/>
      <c r="N1893" s="327"/>
      <c r="O1893" s="1129"/>
    </row>
    <row r="1894" spans="1:15" ht="18.75" customHeight="1" x14ac:dyDescent="0.3">
      <c r="A1894" s="2401">
        <v>1888</v>
      </c>
      <c r="B1894" s="1122" t="s">
        <v>2927</v>
      </c>
      <c r="C1894" s="216" t="s">
        <v>1344</v>
      </c>
      <c r="D1894" s="416" t="s">
        <v>1053</v>
      </c>
      <c r="E1894" s="217" t="s">
        <v>3020</v>
      </c>
      <c r="F1894" s="218" t="s">
        <v>2827</v>
      </c>
      <c r="G1894" s="116">
        <v>1350</v>
      </c>
      <c r="H1894" s="1776" t="s">
        <v>1349</v>
      </c>
      <c r="I1894" s="34" t="s">
        <v>25</v>
      </c>
      <c r="J1894" s="327"/>
      <c r="K1894" s="37"/>
      <c r="L1894" s="1128"/>
      <c r="M1894" s="327"/>
      <c r="N1894" s="327"/>
      <c r="O1894" s="1129"/>
    </row>
    <row r="1895" spans="1:15" ht="18.75" customHeight="1" x14ac:dyDescent="0.3">
      <c r="A1895" s="2402">
        <v>1889</v>
      </c>
      <c r="B1895" s="1122" t="s">
        <v>2927</v>
      </c>
      <c r="C1895" s="216" t="s">
        <v>1344</v>
      </c>
      <c r="D1895" s="416" t="s">
        <v>1053</v>
      </c>
      <c r="E1895" s="217" t="s">
        <v>3021</v>
      </c>
      <c r="F1895" s="218" t="s">
        <v>2827</v>
      </c>
      <c r="G1895" s="116">
        <v>1350</v>
      </c>
      <c r="H1895" s="1776" t="s">
        <v>1349</v>
      </c>
      <c r="I1895" s="34" t="s">
        <v>25</v>
      </c>
      <c r="J1895" s="327"/>
      <c r="K1895" s="37"/>
      <c r="L1895" s="1128"/>
      <c r="M1895" s="327"/>
      <c r="N1895" s="327"/>
      <c r="O1895" s="1129"/>
    </row>
    <row r="1896" spans="1:15" ht="18.75" customHeight="1" x14ac:dyDescent="0.3">
      <c r="A1896" s="2402">
        <v>1890</v>
      </c>
      <c r="B1896" s="1122" t="s">
        <v>2927</v>
      </c>
      <c r="C1896" s="216" t="s">
        <v>1344</v>
      </c>
      <c r="D1896" s="416" t="s">
        <v>1053</v>
      </c>
      <c r="E1896" s="217" t="s">
        <v>3022</v>
      </c>
      <c r="F1896" s="218" t="s">
        <v>2827</v>
      </c>
      <c r="G1896" s="116">
        <v>1350</v>
      </c>
      <c r="H1896" s="1776" t="s">
        <v>1349</v>
      </c>
      <c r="I1896" s="34" t="s">
        <v>25</v>
      </c>
      <c r="J1896" s="327"/>
      <c r="K1896" s="37"/>
      <c r="L1896" s="1128"/>
      <c r="M1896" s="327"/>
      <c r="N1896" s="327"/>
      <c r="O1896" s="1129"/>
    </row>
    <row r="1897" spans="1:15" ht="18.75" customHeight="1" x14ac:dyDescent="0.3">
      <c r="A1897" s="2401">
        <v>1891</v>
      </c>
      <c r="B1897" s="1122" t="s">
        <v>2927</v>
      </c>
      <c r="C1897" s="216" t="s">
        <v>1344</v>
      </c>
      <c r="D1897" s="416" t="s">
        <v>1053</v>
      </c>
      <c r="E1897" s="217" t="s">
        <v>3023</v>
      </c>
      <c r="F1897" s="218" t="s">
        <v>2827</v>
      </c>
      <c r="G1897" s="116">
        <v>1350</v>
      </c>
      <c r="H1897" s="1776" t="s">
        <v>1349</v>
      </c>
      <c r="I1897" s="34" t="s">
        <v>25</v>
      </c>
      <c r="J1897" s="327"/>
      <c r="K1897" s="37"/>
      <c r="L1897" s="1128"/>
      <c r="M1897" s="327"/>
      <c r="N1897" s="327"/>
      <c r="O1897" s="1129"/>
    </row>
    <row r="1898" spans="1:15" ht="18.75" customHeight="1" x14ac:dyDescent="0.3">
      <c r="A1898" s="2402">
        <v>1892</v>
      </c>
      <c r="B1898" s="1122" t="s">
        <v>2927</v>
      </c>
      <c r="C1898" s="216" t="s">
        <v>1344</v>
      </c>
      <c r="D1898" s="416" t="s">
        <v>1053</v>
      </c>
      <c r="E1898" s="217" t="s">
        <v>3024</v>
      </c>
      <c r="F1898" s="218" t="s">
        <v>2827</v>
      </c>
      <c r="G1898" s="116">
        <v>1350</v>
      </c>
      <c r="H1898" s="1776" t="s">
        <v>1349</v>
      </c>
      <c r="I1898" s="34" t="s">
        <v>25</v>
      </c>
      <c r="J1898" s="327"/>
      <c r="K1898" s="37"/>
      <c r="L1898" s="1128"/>
      <c r="M1898" s="327"/>
      <c r="N1898" s="327"/>
      <c r="O1898" s="1129"/>
    </row>
    <row r="1899" spans="1:15" ht="18.75" customHeight="1" x14ac:dyDescent="0.3">
      <c r="A1899" s="2402">
        <v>1893</v>
      </c>
      <c r="B1899" s="1122" t="s">
        <v>2927</v>
      </c>
      <c r="C1899" s="216" t="s">
        <v>1344</v>
      </c>
      <c r="D1899" s="452" t="s">
        <v>1053</v>
      </c>
      <c r="E1899" s="217" t="s">
        <v>3025</v>
      </c>
      <c r="F1899" s="218" t="s">
        <v>2827</v>
      </c>
      <c r="G1899" s="116">
        <v>1350</v>
      </c>
      <c r="H1899" s="1776" t="s">
        <v>1349</v>
      </c>
      <c r="I1899" s="34" t="s">
        <v>25</v>
      </c>
      <c r="J1899" s="327"/>
      <c r="K1899" s="37"/>
      <c r="L1899" s="1128"/>
      <c r="M1899" s="327"/>
      <c r="N1899" s="327"/>
      <c r="O1899" s="1129"/>
    </row>
    <row r="1900" spans="1:15" ht="18.75" customHeight="1" x14ac:dyDescent="0.3">
      <c r="A1900" s="2402">
        <v>1894</v>
      </c>
      <c r="B1900" s="1122" t="s">
        <v>2927</v>
      </c>
      <c r="C1900" s="216" t="s">
        <v>1344</v>
      </c>
      <c r="D1900" s="793" t="s">
        <v>1053</v>
      </c>
      <c r="E1900" s="217" t="s">
        <v>3026</v>
      </c>
      <c r="F1900" s="218" t="s">
        <v>2827</v>
      </c>
      <c r="G1900" s="116">
        <v>1350</v>
      </c>
      <c r="H1900" s="1776" t="s">
        <v>1349</v>
      </c>
      <c r="I1900" s="34" t="s">
        <v>25</v>
      </c>
      <c r="J1900" s="327"/>
      <c r="K1900" s="37"/>
      <c r="L1900" s="1128"/>
      <c r="M1900" s="327"/>
      <c r="N1900" s="327"/>
      <c r="O1900" s="1129"/>
    </row>
    <row r="1901" spans="1:15" ht="18.75" customHeight="1" x14ac:dyDescent="0.3">
      <c r="A1901" s="2402">
        <v>1895</v>
      </c>
      <c r="B1901" s="1122" t="s">
        <v>2927</v>
      </c>
      <c r="C1901" s="216" t="s">
        <v>1344</v>
      </c>
      <c r="D1901" s="452" t="s">
        <v>1053</v>
      </c>
      <c r="E1901" s="217" t="s">
        <v>3027</v>
      </c>
      <c r="F1901" s="218" t="s">
        <v>2827</v>
      </c>
      <c r="G1901" s="116">
        <v>1350</v>
      </c>
      <c r="H1901" s="1776" t="s">
        <v>1349</v>
      </c>
      <c r="I1901" s="34" t="s">
        <v>25</v>
      </c>
      <c r="J1901" s="327"/>
      <c r="K1901" s="37"/>
      <c r="L1901" s="1128"/>
      <c r="M1901" s="327"/>
      <c r="N1901" s="327"/>
      <c r="O1901" s="1129"/>
    </row>
    <row r="1902" spans="1:15" ht="18.75" customHeight="1" x14ac:dyDescent="0.3">
      <c r="A1902" s="2401">
        <v>1896</v>
      </c>
      <c r="B1902" s="1122" t="s">
        <v>3028</v>
      </c>
      <c r="C1902" s="216" t="s">
        <v>1344</v>
      </c>
      <c r="D1902" s="793" t="s">
        <v>1053</v>
      </c>
      <c r="E1902" s="217" t="s">
        <v>3029</v>
      </c>
      <c r="F1902" s="218" t="s">
        <v>2827</v>
      </c>
      <c r="G1902" s="116">
        <v>2000</v>
      </c>
      <c r="H1902" s="1776" t="s">
        <v>1349</v>
      </c>
      <c r="I1902" s="34" t="s">
        <v>25</v>
      </c>
      <c r="J1902" s="327"/>
      <c r="K1902" s="37"/>
      <c r="L1902" s="1128"/>
      <c r="M1902" s="327"/>
      <c r="N1902" s="327"/>
      <c r="O1902" s="1129"/>
    </row>
    <row r="1903" spans="1:15" ht="18.75" customHeight="1" x14ac:dyDescent="0.3">
      <c r="A1903" s="2402">
        <v>1897</v>
      </c>
      <c r="B1903" s="1122" t="s">
        <v>3028</v>
      </c>
      <c r="C1903" s="216" t="s">
        <v>1344</v>
      </c>
      <c r="D1903" s="416" t="s">
        <v>1053</v>
      </c>
      <c r="E1903" s="217" t="s">
        <v>3030</v>
      </c>
      <c r="F1903" s="218" t="s">
        <v>2827</v>
      </c>
      <c r="G1903" s="116">
        <v>2000</v>
      </c>
      <c r="H1903" s="1776" t="s">
        <v>1349</v>
      </c>
      <c r="I1903" s="34" t="s">
        <v>25</v>
      </c>
      <c r="J1903" s="327"/>
      <c r="K1903" s="37"/>
      <c r="L1903" s="1128"/>
      <c r="M1903" s="327"/>
      <c r="N1903" s="327"/>
      <c r="O1903" s="1129"/>
    </row>
    <row r="1904" spans="1:15" ht="18.75" customHeight="1" x14ac:dyDescent="0.3">
      <c r="A1904" s="2402">
        <v>1898</v>
      </c>
      <c r="B1904" s="1122" t="s">
        <v>3028</v>
      </c>
      <c r="C1904" s="216" t="s">
        <v>1344</v>
      </c>
      <c r="D1904" s="416" t="s">
        <v>1053</v>
      </c>
      <c r="E1904" s="217" t="s">
        <v>3031</v>
      </c>
      <c r="F1904" s="218" t="s">
        <v>2827</v>
      </c>
      <c r="G1904" s="116">
        <v>2000</v>
      </c>
      <c r="H1904" s="1776" t="s">
        <v>1349</v>
      </c>
      <c r="I1904" s="34" t="s">
        <v>25</v>
      </c>
      <c r="J1904" s="327"/>
      <c r="K1904" s="37"/>
      <c r="L1904" s="1128"/>
      <c r="M1904" s="327"/>
      <c r="N1904" s="327"/>
      <c r="O1904" s="1129"/>
    </row>
    <row r="1905" spans="1:15" ht="18.75" customHeight="1" x14ac:dyDescent="0.3">
      <c r="A1905" s="2401">
        <v>1899</v>
      </c>
      <c r="B1905" s="1122" t="s">
        <v>3028</v>
      </c>
      <c r="C1905" s="216" t="s">
        <v>1344</v>
      </c>
      <c r="D1905" s="416" t="s">
        <v>1053</v>
      </c>
      <c r="E1905" s="217" t="s">
        <v>3032</v>
      </c>
      <c r="F1905" s="218" t="s">
        <v>2827</v>
      </c>
      <c r="G1905" s="116">
        <v>2000</v>
      </c>
      <c r="H1905" s="1776" t="s">
        <v>1349</v>
      </c>
      <c r="I1905" s="34" t="s">
        <v>25</v>
      </c>
      <c r="J1905" s="327"/>
      <c r="K1905" s="37"/>
      <c r="L1905" s="1128"/>
      <c r="M1905" s="327"/>
      <c r="N1905" s="327"/>
      <c r="O1905" s="1129"/>
    </row>
    <row r="1906" spans="1:15" ht="18.75" customHeight="1" x14ac:dyDescent="0.3">
      <c r="A1906" s="2402">
        <v>1900</v>
      </c>
      <c r="B1906" s="1122" t="s">
        <v>3028</v>
      </c>
      <c r="C1906" s="216" t="s">
        <v>1344</v>
      </c>
      <c r="D1906" s="416" t="s">
        <v>1053</v>
      </c>
      <c r="E1906" s="217" t="s">
        <v>3033</v>
      </c>
      <c r="F1906" s="218" t="s">
        <v>2827</v>
      </c>
      <c r="G1906" s="116">
        <v>2000</v>
      </c>
      <c r="H1906" s="1776" t="s">
        <v>1349</v>
      </c>
      <c r="I1906" s="34" t="s">
        <v>25</v>
      </c>
      <c r="J1906" s="327"/>
      <c r="K1906" s="37"/>
      <c r="L1906" s="1128"/>
      <c r="M1906" s="327"/>
      <c r="N1906" s="327"/>
      <c r="O1906" s="1129"/>
    </row>
    <row r="1907" spans="1:15" ht="18.75" customHeight="1" x14ac:dyDescent="0.3">
      <c r="A1907" s="2402">
        <v>1901</v>
      </c>
      <c r="B1907" s="1122" t="s">
        <v>3028</v>
      </c>
      <c r="C1907" s="216" t="s">
        <v>1344</v>
      </c>
      <c r="D1907" s="416" t="s">
        <v>1053</v>
      </c>
      <c r="E1907" s="217" t="s">
        <v>3034</v>
      </c>
      <c r="F1907" s="218" t="s">
        <v>2827</v>
      </c>
      <c r="G1907" s="116">
        <v>2000</v>
      </c>
      <c r="H1907" s="1776" t="s">
        <v>1349</v>
      </c>
      <c r="I1907" s="34" t="s">
        <v>25</v>
      </c>
      <c r="J1907" s="327"/>
      <c r="K1907" s="37"/>
      <c r="L1907" s="1128"/>
      <c r="M1907" s="327"/>
      <c r="N1907" s="327"/>
      <c r="O1907" s="1129"/>
    </row>
    <row r="1908" spans="1:15" ht="18.75" customHeight="1" x14ac:dyDescent="0.3">
      <c r="A1908" s="2402">
        <v>1902</v>
      </c>
      <c r="B1908" s="1122" t="s">
        <v>3028</v>
      </c>
      <c r="C1908" s="216" t="s">
        <v>1344</v>
      </c>
      <c r="D1908" s="416" t="s">
        <v>1053</v>
      </c>
      <c r="E1908" s="217" t="s">
        <v>3035</v>
      </c>
      <c r="F1908" s="218" t="s">
        <v>2827</v>
      </c>
      <c r="G1908" s="116">
        <v>2000</v>
      </c>
      <c r="H1908" s="1776" t="s">
        <v>1349</v>
      </c>
      <c r="I1908" s="34" t="s">
        <v>25</v>
      </c>
      <c r="J1908" s="327"/>
      <c r="K1908" s="37"/>
      <c r="L1908" s="1128"/>
      <c r="M1908" s="327"/>
      <c r="N1908" s="327"/>
      <c r="O1908" s="1129"/>
    </row>
    <row r="1909" spans="1:15" ht="18.75" customHeight="1" x14ac:dyDescent="0.3">
      <c r="A1909" s="2402">
        <v>1903</v>
      </c>
      <c r="B1909" s="1122" t="s">
        <v>3028</v>
      </c>
      <c r="C1909" s="216" t="s">
        <v>1344</v>
      </c>
      <c r="D1909" s="416" t="s">
        <v>1053</v>
      </c>
      <c r="E1909" s="217" t="s">
        <v>3036</v>
      </c>
      <c r="F1909" s="218" t="s">
        <v>2827</v>
      </c>
      <c r="G1909" s="116">
        <v>2000</v>
      </c>
      <c r="H1909" s="1776" t="s">
        <v>1349</v>
      </c>
      <c r="I1909" s="34" t="s">
        <v>25</v>
      </c>
      <c r="J1909" s="327"/>
      <c r="K1909" s="37"/>
      <c r="L1909" s="1128"/>
      <c r="M1909" s="327"/>
      <c r="N1909" s="327"/>
      <c r="O1909" s="1129"/>
    </row>
    <row r="1910" spans="1:15" ht="18.75" customHeight="1" x14ac:dyDescent="0.3">
      <c r="A1910" s="2401">
        <v>1904</v>
      </c>
      <c r="B1910" s="1122" t="s">
        <v>3028</v>
      </c>
      <c r="C1910" s="216" t="s">
        <v>1344</v>
      </c>
      <c r="D1910" s="416" t="s">
        <v>1053</v>
      </c>
      <c r="E1910" s="217" t="s">
        <v>3037</v>
      </c>
      <c r="F1910" s="218" t="s">
        <v>2827</v>
      </c>
      <c r="G1910" s="116">
        <v>2000</v>
      </c>
      <c r="H1910" s="1776" t="s">
        <v>1349</v>
      </c>
      <c r="I1910" s="34" t="s">
        <v>25</v>
      </c>
      <c r="J1910" s="327"/>
      <c r="K1910" s="37"/>
      <c r="L1910" s="1128"/>
      <c r="M1910" s="327"/>
      <c r="N1910" s="327"/>
      <c r="O1910" s="1129"/>
    </row>
    <row r="1911" spans="1:15" ht="18.75" customHeight="1" x14ac:dyDescent="0.3">
      <c r="A1911" s="2402">
        <v>1905</v>
      </c>
      <c r="B1911" s="1122" t="s">
        <v>3028</v>
      </c>
      <c r="C1911" s="216" t="s">
        <v>1344</v>
      </c>
      <c r="D1911" s="416" t="s">
        <v>1053</v>
      </c>
      <c r="E1911" s="217" t="s">
        <v>3038</v>
      </c>
      <c r="F1911" s="218" t="s">
        <v>2827</v>
      </c>
      <c r="G1911" s="116">
        <v>2000</v>
      </c>
      <c r="H1911" s="1776" t="s">
        <v>1349</v>
      </c>
      <c r="I1911" s="34" t="s">
        <v>25</v>
      </c>
      <c r="J1911" s="327"/>
      <c r="K1911" s="37"/>
      <c r="L1911" s="1128"/>
      <c r="M1911" s="327"/>
      <c r="N1911" s="327"/>
      <c r="O1911" s="1129"/>
    </row>
    <row r="1912" spans="1:15" ht="18.75" customHeight="1" x14ac:dyDescent="0.3">
      <c r="A1912" s="2402">
        <v>1906</v>
      </c>
      <c r="B1912" s="1122" t="s">
        <v>3028</v>
      </c>
      <c r="C1912" s="216" t="s">
        <v>1344</v>
      </c>
      <c r="D1912" s="416" t="s">
        <v>1053</v>
      </c>
      <c r="E1912" s="217" t="s">
        <v>3039</v>
      </c>
      <c r="F1912" s="218" t="s">
        <v>2827</v>
      </c>
      <c r="G1912" s="116">
        <v>2000</v>
      </c>
      <c r="H1912" s="1776" t="s">
        <v>1349</v>
      </c>
      <c r="I1912" s="34" t="s">
        <v>25</v>
      </c>
      <c r="J1912" s="327"/>
      <c r="K1912" s="37"/>
      <c r="L1912" s="1128"/>
      <c r="M1912" s="327"/>
      <c r="N1912" s="327"/>
      <c r="O1912" s="1129"/>
    </row>
    <row r="1913" spans="1:15" ht="18.75" customHeight="1" x14ac:dyDescent="0.3">
      <c r="A1913" s="2401">
        <v>1907</v>
      </c>
      <c r="B1913" s="1122" t="s">
        <v>3028</v>
      </c>
      <c r="C1913" s="216" t="s">
        <v>1344</v>
      </c>
      <c r="D1913" s="416" t="s">
        <v>1053</v>
      </c>
      <c r="E1913" s="217" t="s">
        <v>3040</v>
      </c>
      <c r="F1913" s="218" t="s">
        <v>2827</v>
      </c>
      <c r="G1913" s="116">
        <v>2000</v>
      </c>
      <c r="H1913" s="1776" t="s">
        <v>1349</v>
      </c>
      <c r="I1913" s="34" t="s">
        <v>25</v>
      </c>
      <c r="J1913" s="327"/>
      <c r="K1913" s="37"/>
      <c r="L1913" s="1128"/>
      <c r="M1913" s="327"/>
      <c r="N1913" s="327"/>
      <c r="O1913" s="1129"/>
    </row>
    <row r="1914" spans="1:15" ht="18.75" customHeight="1" x14ac:dyDescent="0.3">
      <c r="A1914" s="2402">
        <v>1908</v>
      </c>
      <c r="B1914" s="1122" t="s">
        <v>3028</v>
      </c>
      <c r="C1914" s="216" t="s">
        <v>1344</v>
      </c>
      <c r="D1914" s="416" t="s">
        <v>1053</v>
      </c>
      <c r="E1914" s="217" t="s">
        <v>3041</v>
      </c>
      <c r="F1914" s="218" t="s">
        <v>2827</v>
      </c>
      <c r="G1914" s="116">
        <v>2000</v>
      </c>
      <c r="H1914" s="1776" t="s">
        <v>1349</v>
      </c>
      <c r="I1914" s="34" t="s">
        <v>25</v>
      </c>
      <c r="J1914" s="327"/>
      <c r="K1914" s="37"/>
      <c r="L1914" s="1128"/>
      <c r="M1914" s="327"/>
      <c r="N1914" s="327"/>
      <c r="O1914" s="1129"/>
    </row>
    <row r="1915" spans="1:15" ht="18.75" customHeight="1" x14ac:dyDescent="0.3">
      <c r="A1915" s="2402">
        <v>1909</v>
      </c>
      <c r="B1915" s="1122" t="s">
        <v>3028</v>
      </c>
      <c r="C1915" s="216" t="s">
        <v>1344</v>
      </c>
      <c r="D1915" s="416" t="s">
        <v>1053</v>
      </c>
      <c r="E1915" s="217" t="s">
        <v>3042</v>
      </c>
      <c r="F1915" s="218" t="s">
        <v>2827</v>
      </c>
      <c r="G1915" s="116">
        <v>2000</v>
      </c>
      <c r="H1915" s="1776" t="s">
        <v>1349</v>
      </c>
      <c r="I1915" s="34" t="s">
        <v>25</v>
      </c>
      <c r="J1915" s="327"/>
      <c r="K1915" s="37"/>
      <c r="L1915" s="1128"/>
      <c r="M1915" s="327"/>
      <c r="N1915" s="327"/>
      <c r="O1915" s="1129"/>
    </row>
    <row r="1916" spans="1:15" ht="18.75" customHeight="1" x14ac:dyDescent="0.3">
      <c r="A1916" s="2402">
        <v>1910</v>
      </c>
      <c r="B1916" s="1122" t="s">
        <v>3028</v>
      </c>
      <c r="C1916" s="216" t="s">
        <v>1344</v>
      </c>
      <c r="D1916" s="416" t="s">
        <v>1053</v>
      </c>
      <c r="E1916" s="217" t="s">
        <v>3043</v>
      </c>
      <c r="F1916" s="218" t="s">
        <v>2827</v>
      </c>
      <c r="G1916" s="116">
        <v>2000</v>
      </c>
      <c r="H1916" s="1776" t="s">
        <v>1349</v>
      </c>
      <c r="I1916" s="34" t="s">
        <v>25</v>
      </c>
      <c r="J1916" s="327"/>
      <c r="K1916" s="37"/>
      <c r="L1916" s="1128"/>
      <c r="M1916" s="327"/>
      <c r="N1916" s="327"/>
      <c r="O1916" s="1129"/>
    </row>
    <row r="1917" spans="1:15" ht="18.75" customHeight="1" x14ac:dyDescent="0.3">
      <c r="A1917" s="2402">
        <v>1911</v>
      </c>
      <c r="B1917" s="1122" t="s">
        <v>3028</v>
      </c>
      <c r="C1917" s="216" t="s">
        <v>1344</v>
      </c>
      <c r="D1917" s="452" t="s">
        <v>1053</v>
      </c>
      <c r="E1917" s="217" t="s">
        <v>3044</v>
      </c>
      <c r="F1917" s="218" t="s">
        <v>2827</v>
      </c>
      <c r="G1917" s="116">
        <v>2000</v>
      </c>
      <c r="H1917" s="1776" t="s">
        <v>1349</v>
      </c>
      <c r="I1917" s="34" t="s">
        <v>25</v>
      </c>
      <c r="J1917" s="327"/>
      <c r="K1917" s="37"/>
      <c r="L1917" s="1128"/>
      <c r="M1917" s="327"/>
      <c r="N1917" s="327"/>
      <c r="O1917" s="1129"/>
    </row>
    <row r="1918" spans="1:15" ht="18.75" customHeight="1" x14ac:dyDescent="0.3">
      <c r="A1918" s="2401">
        <v>1912</v>
      </c>
      <c r="B1918" s="1122" t="s">
        <v>3028</v>
      </c>
      <c r="C1918" s="216" t="s">
        <v>1344</v>
      </c>
      <c r="D1918" s="793" t="s">
        <v>1053</v>
      </c>
      <c r="E1918" s="217" t="s">
        <v>3045</v>
      </c>
      <c r="F1918" s="218" t="s">
        <v>2827</v>
      </c>
      <c r="G1918" s="116">
        <v>2000</v>
      </c>
      <c r="H1918" s="1776" t="s">
        <v>1349</v>
      </c>
      <c r="I1918" s="34" t="s">
        <v>25</v>
      </c>
      <c r="J1918" s="327"/>
      <c r="K1918" s="37"/>
      <c r="L1918" s="1128"/>
      <c r="M1918" s="327"/>
      <c r="N1918" s="327"/>
      <c r="O1918" s="1129"/>
    </row>
    <row r="1919" spans="1:15" ht="18.75" customHeight="1" x14ac:dyDescent="0.3">
      <c r="A1919" s="2402">
        <v>1913</v>
      </c>
      <c r="B1919" s="1122" t="s">
        <v>3028</v>
      </c>
      <c r="C1919" s="216" t="s">
        <v>1344</v>
      </c>
      <c r="D1919" s="416" t="s">
        <v>1053</v>
      </c>
      <c r="E1919" s="217" t="s">
        <v>3046</v>
      </c>
      <c r="F1919" s="218" t="s">
        <v>2827</v>
      </c>
      <c r="G1919" s="116">
        <v>2000</v>
      </c>
      <c r="H1919" s="1776" t="s">
        <v>1349</v>
      </c>
      <c r="I1919" s="34" t="s">
        <v>25</v>
      </c>
      <c r="J1919" s="327"/>
      <c r="K1919" s="37"/>
      <c r="L1919" s="1128"/>
      <c r="M1919" s="327"/>
      <c r="N1919" s="327"/>
      <c r="O1919" s="1129"/>
    </row>
    <row r="1920" spans="1:15" ht="18.75" customHeight="1" x14ac:dyDescent="0.3">
      <c r="A1920" s="2402">
        <v>1914</v>
      </c>
      <c r="B1920" s="1122" t="s">
        <v>3028</v>
      </c>
      <c r="C1920" s="216" t="s">
        <v>1344</v>
      </c>
      <c r="D1920" s="416" t="s">
        <v>1053</v>
      </c>
      <c r="E1920" s="217" t="s">
        <v>3047</v>
      </c>
      <c r="F1920" s="218" t="s">
        <v>2827</v>
      </c>
      <c r="G1920" s="116">
        <v>2000</v>
      </c>
      <c r="H1920" s="1776" t="s">
        <v>1349</v>
      </c>
      <c r="I1920" s="34" t="s">
        <v>25</v>
      </c>
      <c r="J1920" s="327"/>
      <c r="K1920" s="37"/>
      <c r="L1920" s="1128"/>
      <c r="M1920" s="327"/>
      <c r="N1920" s="327"/>
      <c r="O1920" s="1129"/>
    </row>
    <row r="1921" spans="1:15" ht="18.75" customHeight="1" x14ac:dyDescent="0.3">
      <c r="A1921" s="2401">
        <v>1915</v>
      </c>
      <c r="B1921" s="1122" t="s">
        <v>3028</v>
      </c>
      <c r="C1921" s="216" t="s">
        <v>1344</v>
      </c>
      <c r="D1921" s="416" t="s">
        <v>1053</v>
      </c>
      <c r="E1921" s="217" t="s">
        <v>3048</v>
      </c>
      <c r="F1921" s="218" t="s">
        <v>2827</v>
      </c>
      <c r="G1921" s="116">
        <v>2000</v>
      </c>
      <c r="H1921" s="1776" t="s">
        <v>1349</v>
      </c>
      <c r="I1921" s="34" t="s">
        <v>25</v>
      </c>
      <c r="J1921" s="327"/>
      <c r="K1921" s="37"/>
      <c r="L1921" s="1128"/>
      <c r="M1921" s="327"/>
      <c r="N1921" s="327"/>
      <c r="O1921" s="1129"/>
    </row>
    <row r="1922" spans="1:15" ht="18.75" customHeight="1" x14ac:dyDescent="0.3">
      <c r="A1922" s="2402">
        <v>1916</v>
      </c>
      <c r="B1922" s="1122" t="s">
        <v>3028</v>
      </c>
      <c r="C1922" s="216" t="s">
        <v>1344</v>
      </c>
      <c r="D1922" s="416" t="s">
        <v>1053</v>
      </c>
      <c r="E1922" s="217" t="s">
        <v>3049</v>
      </c>
      <c r="F1922" s="218" t="s">
        <v>2827</v>
      </c>
      <c r="G1922" s="116">
        <v>2000</v>
      </c>
      <c r="H1922" s="1776" t="s">
        <v>1349</v>
      </c>
      <c r="I1922" s="34" t="s">
        <v>25</v>
      </c>
      <c r="J1922" s="327"/>
      <c r="K1922" s="37"/>
      <c r="L1922" s="1128"/>
      <c r="M1922" s="327"/>
      <c r="N1922" s="327"/>
      <c r="O1922" s="1129"/>
    </row>
    <row r="1923" spans="1:15" ht="18.75" customHeight="1" x14ac:dyDescent="0.3">
      <c r="A1923" s="2402">
        <v>1917</v>
      </c>
      <c r="B1923" s="1122" t="s">
        <v>3028</v>
      </c>
      <c r="C1923" s="216" t="s">
        <v>1344</v>
      </c>
      <c r="D1923" s="416" t="s">
        <v>1053</v>
      </c>
      <c r="E1923" s="217" t="s">
        <v>3050</v>
      </c>
      <c r="F1923" s="218" t="s">
        <v>2827</v>
      </c>
      <c r="G1923" s="116">
        <v>2000</v>
      </c>
      <c r="H1923" s="1776" t="s">
        <v>1349</v>
      </c>
      <c r="I1923" s="34" t="s">
        <v>25</v>
      </c>
      <c r="J1923" s="327"/>
      <c r="K1923" s="37"/>
      <c r="L1923" s="1128"/>
      <c r="M1923" s="327"/>
      <c r="N1923" s="327"/>
      <c r="O1923" s="1129"/>
    </row>
    <row r="1924" spans="1:15" ht="18.75" customHeight="1" x14ac:dyDescent="0.3">
      <c r="A1924" s="2402">
        <v>1918</v>
      </c>
      <c r="B1924" s="1122" t="s">
        <v>3028</v>
      </c>
      <c r="C1924" s="216" t="s">
        <v>1344</v>
      </c>
      <c r="D1924" s="416" t="s">
        <v>1053</v>
      </c>
      <c r="E1924" s="217" t="s">
        <v>3051</v>
      </c>
      <c r="F1924" s="218" t="s">
        <v>2827</v>
      </c>
      <c r="G1924" s="116">
        <v>2000</v>
      </c>
      <c r="H1924" s="1776" t="s">
        <v>1349</v>
      </c>
      <c r="I1924" s="34" t="s">
        <v>25</v>
      </c>
      <c r="J1924" s="327"/>
      <c r="K1924" s="37"/>
      <c r="L1924" s="1128"/>
      <c r="M1924" s="327"/>
      <c r="N1924" s="327"/>
      <c r="O1924" s="1129"/>
    </row>
    <row r="1925" spans="1:15" ht="18.75" customHeight="1" x14ac:dyDescent="0.3">
      <c r="A1925" s="2402">
        <v>1919</v>
      </c>
      <c r="B1925" s="1122" t="s">
        <v>3028</v>
      </c>
      <c r="C1925" s="216" t="s">
        <v>1344</v>
      </c>
      <c r="D1925" s="416" t="s">
        <v>1053</v>
      </c>
      <c r="E1925" s="217" t="s">
        <v>3052</v>
      </c>
      <c r="F1925" s="218" t="s">
        <v>2827</v>
      </c>
      <c r="G1925" s="116">
        <v>2000</v>
      </c>
      <c r="H1925" s="1776" t="s">
        <v>1349</v>
      </c>
      <c r="I1925" s="34" t="s">
        <v>25</v>
      </c>
      <c r="J1925" s="327"/>
      <c r="K1925" s="37"/>
      <c r="L1925" s="1128"/>
      <c r="M1925" s="327"/>
      <c r="N1925" s="327"/>
      <c r="O1925" s="1129"/>
    </row>
    <row r="1926" spans="1:15" ht="18.75" customHeight="1" x14ac:dyDescent="0.3">
      <c r="A1926" s="2401">
        <v>1920</v>
      </c>
      <c r="B1926" s="1122" t="s">
        <v>3028</v>
      </c>
      <c r="C1926" s="216" t="s">
        <v>1344</v>
      </c>
      <c r="D1926" s="416" t="s">
        <v>1053</v>
      </c>
      <c r="E1926" s="217" t="s">
        <v>3053</v>
      </c>
      <c r="F1926" s="218" t="s">
        <v>2827</v>
      </c>
      <c r="G1926" s="116">
        <v>2000</v>
      </c>
      <c r="H1926" s="1776" t="s">
        <v>1349</v>
      </c>
      <c r="I1926" s="34" t="s">
        <v>25</v>
      </c>
      <c r="J1926" s="327"/>
      <c r="K1926" s="37"/>
      <c r="L1926" s="1128"/>
      <c r="M1926" s="327"/>
      <c r="N1926" s="327"/>
      <c r="O1926" s="1129"/>
    </row>
    <row r="1927" spans="1:15" ht="18.75" customHeight="1" x14ac:dyDescent="0.3">
      <c r="A1927" s="2402">
        <v>1921</v>
      </c>
      <c r="B1927" s="1122" t="s">
        <v>3028</v>
      </c>
      <c r="C1927" s="216" t="s">
        <v>1344</v>
      </c>
      <c r="D1927" s="416" t="s">
        <v>1053</v>
      </c>
      <c r="E1927" s="217" t="s">
        <v>3054</v>
      </c>
      <c r="F1927" s="218" t="s">
        <v>2827</v>
      </c>
      <c r="G1927" s="116">
        <v>2000</v>
      </c>
      <c r="H1927" s="1776" t="s">
        <v>1349</v>
      </c>
      <c r="I1927" s="34" t="s">
        <v>25</v>
      </c>
      <c r="J1927" s="327"/>
      <c r="K1927" s="37"/>
      <c r="L1927" s="1128"/>
      <c r="M1927" s="327"/>
      <c r="N1927" s="327"/>
      <c r="O1927" s="1129"/>
    </row>
    <row r="1928" spans="1:15" ht="18.75" customHeight="1" x14ac:dyDescent="0.3">
      <c r="A1928" s="2402">
        <v>1922</v>
      </c>
      <c r="B1928" s="1122" t="s">
        <v>3028</v>
      </c>
      <c r="C1928" s="216" t="s">
        <v>1344</v>
      </c>
      <c r="D1928" s="416" t="s">
        <v>1053</v>
      </c>
      <c r="E1928" s="217" t="s">
        <v>3055</v>
      </c>
      <c r="F1928" s="218" t="s">
        <v>2827</v>
      </c>
      <c r="G1928" s="116">
        <v>2000</v>
      </c>
      <c r="H1928" s="1776" t="s">
        <v>1349</v>
      </c>
      <c r="I1928" s="34" t="s">
        <v>25</v>
      </c>
      <c r="J1928" s="327"/>
      <c r="K1928" s="37"/>
      <c r="L1928" s="1128"/>
      <c r="M1928" s="327"/>
      <c r="N1928" s="327"/>
      <c r="O1928" s="1129"/>
    </row>
    <row r="1929" spans="1:15" ht="18.75" customHeight="1" x14ac:dyDescent="0.3">
      <c r="A1929" s="2401">
        <v>1923</v>
      </c>
      <c r="B1929" s="1122" t="s">
        <v>3028</v>
      </c>
      <c r="C1929" s="216" t="s">
        <v>1344</v>
      </c>
      <c r="D1929" s="416" t="s">
        <v>1053</v>
      </c>
      <c r="E1929" s="217" t="s">
        <v>3056</v>
      </c>
      <c r="F1929" s="218" t="s">
        <v>2827</v>
      </c>
      <c r="G1929" s="116">
        <v>2000</v>
      </c>
      <c r="H1929" s="1776" t="s">
        <v>1349</v>
      </c>
      <c r="I1929" s="34" t="s">
        <v>25</v>
      </c>
      <c r="J1929" s="327"/>
      <c r="K1929" s="37"/>
      <c r="L1929" s="1128"/>
      <c r="M1929" s="327"/>
      <c r="N1929" s="327"/>
      <c r="O1929" s="1129"/>
    </row>
    <row r="1930" spans="1:15" ht="18.75" customHeight="1" x14ac:dyDescent="0.3">
      <c r="A1930" s="2402">
        <v>1924</v>
      </c>
      <c r="B1930" s="1122" t="s">
        <v>3028</v>
      </c>
      <c r="C1930" s="216" t="s">
        <v>1344</v>
      </c>
      <c r="D1930" s="416" t="s">
        <v>1053</v>
      </c>
      <c r="E1930" s="217" t="s">
        <v>3057</v>
      </c>
      <c r="F1930" s="218" t="s">
        <v>2827</v>
      </c>
      <c r="G1930" s="116">
        <v>2000</v>
      </c>
      <c r="H1930" s="1776" t="s">
        <v>1349</v>
      </c>
      <c r="I1930" s="34" t="s">
        <v>25</v>
      </c>
      <c r="J1930" s="327"/>
      <c r="K1930" s="37"/>
      <c r="L1930" s="1128"/>
      <c r="M1930" s="327"/>
      <c r="N1930" s="327"/>
      <c r="O1930" s="1129"/>
    </row>
    <row r="1931" spans="1:15" ht="18.75" customHeight="1" x14ac:dyDescent="0.3">
      <c r="A1931" s="2402">
        <v>1925</v>
      </c>
      <c r="B1931" s="1122" t="s">
        <v>3028</v>
      </c>
      <c r="C1931" s="216" t="s">
        <v>1344</v>
      </c>
      <c r="D1931" s="416" t="s">
        <v>1053</v>
      </c>
      <c r="E1931" s="217" t="s">
        <v>3058</v>
      </c>
      <c r="F1931" s="218" t="s">
        <v>2827</v>
      </c>
      <c r="G1931" s="116">
        <v>2000</v>
      </c>
      <c r="H1931" s="1776" t="s">
        <v>1349</v>
      </c>
      <c r="I1931" s="34" t="s">
        <v>25</v>
      </c>
      <c r="J1931" s="327"/>
      <c r="K1931" s="37"/>
      <c r="L1931" s="1128"/>
      <c r="M1931" s="327"/>
      <c r="N1931" s="327"/>
      <c r="O1931" s="1129"/>
    </row>
    <row r="1932" spans="1:15" ht="18.75" customHeight="1" x14ac:dyDescent="0.3">
      <c r="A1932" s="2402">
        <v>1926</v>
      </c>
      <c r="B1932" s="1122" t="s">
        <v>3028</v>
      </c>
      <c r="C1932" s="216" t="s">
        <v>1344</v>
      </c>
      <c r="D1932" s="416" t="s">
        <v>1053</v>
      </c>
      <c r="E1932" s="217" t="s">
        <v>3059</v>
      </c>
      <c r="F1932" s="218" t="s">
        <v>2827</v>
      </c>
      <c r="G1932" s="116">
        <v>2000</v>
      </c>
      <c r="H1932" s="1776" t="s">
        <v>1349</v>
      </c>
      <c r="I1932" s="34" t="s">
        <v>25</v>
      </c>
      <c r="J1932" s="327"/>
      <c r="K1932" s="37"/>
      <c r="L1932" s="1128"/>
      <c r="M1932" s="327"/>
      <c r="N1932" s="327"/>
      <c r="O1932" s="1129"/>
    </row>
    <row r="1933" spans="1:15" ht="18.75" customHeight="1" x14ac:dyDescent="0.3">
      <c r="A1933" s="2402">
        <v>1927</v>
      </c>
      <c r="B1933" s="1122" t="s">
        <v>3028</v>
      </c>
      <c r="C1933" s="216" t="s">
        <v>1344</v>
      </c>
      <c r="D1933" s="416" t="s">
        <v>1053</v>
      </c>
      <c r="E1933" s="217" t="s">
        <v>3060</v>
      </c>
      <c r="F1933" s="218" t="s">
        <v>2827</v>
      </c>
      <c r="G1933" s="116">
        <v>2000</v>
      </c>
      <c r="H1933" s="1776" t="s">
        <v>1349</v>
      </c>
      <c r="I1933" s="34" t="s">
        <v>25</v>
      </c>
      <c r="J1933" s="327"/>
      <c r="K1933" s="37"/>
      <c r="L1933" s="1128"/>
      <c r="M1933" s="327"/>
      <c r="N1933" s="327"/>
      <c r="O1933" s="1129"/>
    </row>
    <row r="1934" spans="1:15" ht="18.75" customHeight="1" x14ac:dyDescent="0.3">
      <c r="A1934" s="2401">
        <v>1928</v>
      </c>
      <c r="B1934" s="1122" t="s">
        <v>3028</v>
      </c>
      <c r="C1934" s="216" t="s">
        <v>1344</v>
      </c>
      <c r="D1934" s="416" t="s">
        <v>1053</v>
      </c>
      <c r="E1934" s="217" t="s">
        <v>3061</v>
      </c>
      <c r="F1934" s="218" t="s">
        <v>2827</v>
      </c>
      <c r="G1934" s="116">
        <v>2000</v>
      </c>
      <c r="H1934" s="1776" t="s">
        <v>1349</v>
      </c>
      <c r="I1934" s="34" t="s">
        <v>25</v>
      </c>
      <c r="J1934" s="327"/>
      <c r="K1934" s="37"/>
      <c r="L1934" s="1128"/>
      <c r="M1934" s="327"/>
      <c r="N1934" s="327"/>
      <c r="O1934" s="1129"/>
    </row>
    <row r="1935" spans="1:15" ht="18.75" customHeight="1" x14ac:dyDescent="0.3">
      <c r="A1935" s="2402">
        <v>1929</v>
      </c>
      <c r="B1935" s="1122" t="s">
        <v>3028</v>
      </c>
      <c r="C1935" s="216" t="s">
        <v>1344</v>
      </c>
      <c r="D1935" s="416" t="s">
        <v>1053</v>
      </c>
      <c r="E1935" s="217" t="s">
        <v>3062</v>
      </c>
      <c r="F1935" s="218" t="s">
        <v>2827</v>
      </c>
      <c r="G1935" s="116">
        <v>2000</v>
      </c>
      <c r="H1935" s="1776" t="s">
        <v>1349</v>
      </c>
      <c r="I1935" s="34" t="s">
        <v>25</v>
      </c>
      <c r="J1935" s="327"/>
      <c r="K1935" s="37"/>
      <c r="L1935" s="1128"/>
      <c r="M1935" s="327"/>
      <c r="N1935" s="327"/>
      <c r="O1935" s="1129"/>
    </row>
    <row r="1936" spans="1:15" ht="18.75" customHeight="1" x14ac:dyDescent="0.3">
      <c r="A1936" s="2402">
        <v>1930</v>
      </c>
      <c r="B1936" s="1122" t="s">
        <v>3028</v>
      </c>
      <c r="C1936" s="216" t="s">
        <v>1344</v>
      </c>
      <c r="D1936" s="416" t="s">
        <v>1053</v>
      </c>
      <c r="E1936" s="217" t="s">
        <v>3063</v>
      </c>
      <c r="F1936" s="218" t="s">
        <v>2827</v>
      </c>
      <c r="G1936" s="116">
        <v>2000</v>
      </c>
      <c r="H1936" s="1776" t="s">
        <v>1349</v>
      </c>
      <c r="I1936" s="34" t="s">
        <v>25</v>
      </c>
      <c r="J1936" s="327"/>
      <c r="K1936" s="37"/>
      <c r="L1936" s="1128"/>
      <c r="M1936" s="327"/>
      <c r="N1936" s="327"/>
      <c r="O1936" s="1129"/>
    </row>
    <row r="1937" spans="1:15" ht="18.75" customHeight="1" x14ac:dyDescent="0.3">
      <c r="A1937" s="2401">
        <v>1931</v>
      </c>
      <c r="B1937" s="1122" t="s">
        <v>3028</v>
      </c>
      <c r="C1937" s="216" t="s">
        <v>1344</v>
      </c>
      <c r="D1937" s="416" t="s">
        <v>1053</v>
      </c>
      <c r="E1937" s="217" t="s">
        <v>3064</v>
      </c>
      <c r="F1937" s="218" t="s">
        <v>2827</v>
      </c>
      <c r="G1937" s="116">
        <v>2000</v>
      </c>
      <c r="H1937" s="1776" t="s">
        <v>1349</v>
      </c>
      <c r="I1937" s="34" t="s">
        <v>25</v>
      </c>
      <c r="J1937" s="327"/>
      <c r="K1937" s="37"/>
      <c r="L1937" s="1128"/>
      <c r="M1937" s="327"/>
      <c r="N1937" s="327"/>
      <c r="O1937" s="1129"/>
    </row>
    <row r="1938" spans="1:15" ht="18.75" customHeight="1" x14ac:dyDescent="0.3">
      <c r="A1938" s="2402">
        <v>1932</v>
      </c>
      <c r="B1938" s="1122" t="s">
        <v>3028</v>
      </c>
      <c r="C1938" s="216" t="s">
        <v>1344</v>
      </c>
      <c r="D1938" s="416" t="s">
        <v>1053</v>
      </c>
      <c r="E1938" s="217" t="s">
        <v>3065</v>
      </c>
      <c r="F1938" s="218" t="s">
        <v>2827</v>
      </c>
      <c r="G1938" s="116">
        <v>2000</v>
      </c>
      <c r="H1938" s="1776" t="s">
        <v>1349</v>
      </c>
      <c r="I1938" s="34" t="s">
        <v>25</v>
      </c>
      <c r="J1938" s="327"/>
      <c r="K1938" s="37"/>
      <c r="L1938" s="1128"/>
      <c r="M1938" s="327"/>
      <c r="N1938" s="327"/>
      <c r="O1938" s="1129"/>
    </row>
    <row r="1939" spans="1:15" ht="18.75" customHeight="1" x14ac:dyDescent="0.3">
      <c r="A1939" s="2402">
        <v>1933</v>
      </c>
      <c r="B1939" s="1122" t="s">
        <v>3028</v>
      </c>
      <c r="C1939" s="216" t="s">
        <v>1344</v>
      </c>
      <c r="D1939" s="416" t="s">
        <v>1053</v>
      </c>
      <c r="E1939" s="217" t="s">
        <v>3066</v>
      </c>
      <c r="F1939" s="218" t="s">
        <v>2827</v>
      </c>
      <c r="G1939" s="116">
        <v>2000</v>
      </c>
      <c r="H1939" s="1776" t="s">
        <v>1349</v>
      </c>
      <c r="I1939" s="34" t="s">
        <v>25</v>
      </c>
      <c r="J1939" s="327"/>
      <c r="K1939" s="37"/>
      <c r="L1939" s="1128"/>
      <c r="M1939" s="327"/>
      <c r="N1939" s="327"/>
      <c r="O1939" s="1129"/>
    </row>
    <row r="1940" spans="1:15" ht="18.75" customHeight="1" x14ac:dyDescent="0.3">
      <c r="A1940" s="2402">
        <v>1934</v>
      </c>
      <c r="B1940" s="1122" t="s">
        <v>3028</v>
      </c>
      <c r="C1940" s="216" t="s">
        <v>1344</v>
      </c>
      <c r="D1940" s="416" t="s">
        <v>1053</v>
      </c>
      <c r="E1940" s="217" t="s">
        <v>3067</v>
      </c>
      <c r="F1940" s="218" t="s">
        <v>2827</v>
      </c>
      <c r="G1940" s="116">
        <v>2000</v>
      </c>
      <c r="H1940" s="1776" t="s">
        <v>1349</v>
      </c>
      <c r="I1940" s="34" t="s">
        <v>25</v>
      </c>
      <c r="J1940" s="327"/>
      <c r="K1940" s="37"/>
      <c r="L1940" s="1128"/>
      <c r="M1940" s="327"/>
      <c r="N1940" s="327"/>
      <c r="O1940" s="1129"/>
    </row>
    <row r="1941" spans="1:15" ht="18.75" customHeight="1" x14ac:dyDescent="0.3">
      <c r="A1941" s="2402">
        <v>1935</v>
      </c>
      <c r="B1941" s="1122" t="s">
        <v>3028</v>
      </c>
      <c r="C1941" s="216" t="s">
        <v>1344</v>
      </c>
      <c r="D1941" s="416" t="s">
        <v>1053</v>
      </c>
      <c r="E1941" s="217" t="s">
        <v>3068</v>
      </c>
      <c r="F1941" s="218" t="s">
        <v>2827</v>
      </c>
      <c r="G1941" s="116">
        <v>2000</v>
      </c>
      <c r="H1941" s="1776" t="s">
        <v>1349</v>
      </c>
      <c r="I1941" s="34" t="s">
        <v>25</v>
      </c>
      <c r="J1941" s="327"/>
      <c r="K1941" s="37"/>
      <c r="L1941" s="1128"/>
      <c r="M1941" s="327"/>
      <c r="N1941" s="327"/>
      <c r="O1941" s="1129"/>
    </row>
    <row r="1942" spans="1:15" ht="18.75" customHeight="1" x14ac:dyDescent="0.3">
      <c r="A1942" s="2401">
        <v>1936</v>
      </c>
      <c r="B1942" s="1122" t="s">
        <v>3028</v>
      </c>
      <c r="C1942" s="216" t="s">
        <v>1344</v>
      </c>
      <c r="D1942" s="416" t="s">
        <v>1053</v>
      </c>
      <c r="E1942" s="217" t="s">
        <v>3069</v>
      </c>
      <c r="F1942" s="218" t="s">
        <v>2827</v>
      </c>
      <c r="G1942" s="116">
        <v>2000</v>
      </c>
      <c r="H1942" s="1776" t="s">
        <v>1349</v>
      </c>
      <c r="I1942" s="34" t="s">
        <v>25</v>
      </c>
      <c r="J1942" s="327"/>
      <c r="K1942" s="37"/>
      <c r="L1942" s="1128"/>
      <c r="M1942" s="327"/>
      <c r="N1942" s="327"/>
      <c r="O1942" s="1129"/>
    </row>
    <row r="1943" spans="1:15" ht="18.75" customHeight="1" x14ac:dyDescent="0.3">
      <c r="A1943" s="2402">
        <v>1937</v>
      </c>
      <c r="B1943" s="1122" t="s">
        <v>3028</v>
      </c>
      <c r="C1943" s="216" t="s">
        <v>1344</v>
      </c>
      <c r="D1943" s="416" t="s">
        <v>1053</v>
      </c>
      <c r="E1943" s="217" t="s">
        <v>3070</v>
      </c>
      <c r="F1943" s="218" t="s">
        <v>2827</v>
      </c>
      <c r="G1943" s="116">
        <v>2000</v>
      </c>
      <c r="H1943" s="1776" t="s">
        <v>1349</v>
      </c>
      <c r="I1943" s="34" t="s">
        <v>25</v>
      </c>
      <c r="J1943" s="327"/>
      <c r="K1943" s="37"/>
      <c r="L1943" s="1128"/>
      <c r="M1943" s="327"/>
      <c r="N1943" s="327"/>
      <c r="O1943" s="1129"/>
    </row>
    <row r="1944" spans="1:15" ht="18.75" customHeight="1" x14ac:dyDescent="0.3">
      <c r="A1944" s="2402">
        <v>1938</v>
      </c>
      <c r="B1944" s="1122" t="s">
        <v>3028</v>
      </c>
      <c r="C1944" s="216" t="s">
        <v>1344</v>
      </c>
      <c r="D1944" s="416" t="s">
        <v>1053</v>
      </c>
      <c r="E1944" s="217" t="s">
        <v>3071</v>
      </c>
      <c r="F1944" s="218" t="s">
        <v>2827</v>
      </c>
      <c r="G1944" s="116">
        <v>2000</v>
      </c>
      <c r="H1944" s="1776" t="s">
        <v>1349</v>
      </c>
      <c r="I1944" s="34" t="s">
        <v>25</v>
      </c>
      <c r="J1944" s="327"/>
      <c r="K1944" s="37"/>
      <c r="L1944" s="1128"/>
      <c r="M1944" s="327"/>
      <c r="N1944" s="327"/>
      <c r="O1944" s="1129"/>
    </row>
    <row r="1945" spans="1:15" ht="18.75" customHeight="1" x14ac:dyDescent="0.3">
      <c r="A1945" s="2401">
        <v>1939</v>
      </c>
      <c r="B1945" s="1122" t="s">
        <v>3028</v>
      </c>
      <c r="C1945" s="216" t="s">
        <v>1344</v>
      </c>
      <c r="D1945" s="416" t="s">
        <v>1053</v>
      </c>
      <c r="E1945" s="217" t="s">
        <v>3072</v>
      </c>
      <c r="F1945" s="218" t="s">
        <v>2827</v>
      </c>
      <c r="G1945" s="116">
        <v>2000</v>
      </c>
      <c r="H1945" s="1776" t="s">
        <v>1349</v>
      </c>
      <c r="I1945" s="34" t="s">
        <v>25</v>
      </c>
      <c r="J1945" s="327"/>
      <c r="K1945" s="37"/>
      <c r="L1945" s="1128"/>
      <c r="M1945" s="327"/>
      <c r="N1945" s="327"/>
      <c r="O1945" s="1129"/>
    </row>
    <row r="1946" spans="1:15" ht="18.75" customHeight="1" x14ac:dyDescent="0.3">
      <c r="A1946" s="2402">
        <v>1940</v>
      </c>
      <c r="B1946" s="1122" t="s">
        <v>3028</v>
      </c>
      <c r="C1946" s="216" t="s">
        <v>1344</v>
      </c>
      <c r="D1946" s="416" t="s">
        <v>1053</v>
      </c>
      <c r="E1946" s="217" t="s">
        <v>3073</v>
      </c>
      <c r="F1946" s="218" t="s">
        <v>2827</v>
      </c>
      <c r="G1946" s="116">
        <v>2000</v>
      </c>
      <c r="H1946" s="1776" t="s">
        <v>1349</v>
      </c>
      <c r="I1946" s="34" t="s">
        <v>25</v>
      </c>
      <c r="J1946" s="327"/>
      <c r="K1946" s="37"/>
      <c r="L1946" s="1128"/>
      <c r="M1946" s="327"/>
      <c r="N1946" s="327"/>
      <c r="O1946" s="1129"/>
    </row>
    <row r="1947" spans="1:15" ht="18.75" customHeight="1" x14ac:dyDescent="0.3">
      <c r="A1947" s="2402">
        <v>1941</v>
      </c>
      <c r="B1947" s="1122" t="s">
        <v>3028</v>
      </c>
      <c r="C1947" s="216" t="s">
        <v>1344</v>
      </c>
      <c r="D1947" s="416" t="s">
        <v>1053</v>
      </c>
      <c r="E1947" s="217" t="s">
        <v>3074</v>
      </c>
      <c r="F1947" s="218" t="s">
        <v>2827</v>
      </c>
      <c r="G1947" s="116">
        <v>2000</v>
      </c>
      <c r="H1947" s="1776" t="s">
        <v>1349</v>
      </c>
      <c r="I1947" s="34" t="s">
        <v>25</v>
      </c>
      <c r="J1947" s="327"/>
      <c r="K1947" s="37"/>
      <c r="L1947" s="1128"/>
      <c r="M1947" s="327"/>
      <c r="N1947" s="327"/>
      <c r="O1947" s="1129"/>
    </row>
    <row r="1948" spans="1:15" ht="18.75" customHeight="1" x14ac:dyDescent="0.3">
      <c r="A1948" s="2402">
        <v>1942</v>
      </c>
      <c r="B1948" s="1122" t="s">
        <v>3028</v>
      </c>
      <c r="C1948" s="216" t="s">
        <v>1344</v>
      </c>
      <c r="D1948" s="416" t="s">
        <v>1053</v>
      </c>
      <c r="E1948" s="217" t="s">
        <v>3075</v>
      </c>
      <c r="F1948" s="218" t="s">
        <v>2827</v>
      </c>
      <c r="G1948" s="116">
        <v>2000</v>
      </c>
      <c r="H1948" s="1776" t="s">
        <v>1349</v>
      </c>
      <c r="I1948" s="34" t="s">
        <v>25</v>
      </c>
      <c r="J1948" s="327"/>
      <c r="K1948" s="37"/>
      <c r="L1948" s="1128"/>
      <c r="M1948" s="327"/>
      <c r="N1948" s="327"/>
      <c r="O1948" s="1129"/>
    </row>
    <row r="1949" spans="1:15" ht="18.75" customHeight="1" x14ac:dyDescent="0.3">
      <c r="A1949" s="2402">
        <v>1943</v>
      </c>
      <c r="B1949" s="1122" t="s">
        <v>3028</v>
      </c>
      <c r="C1949" s="216" t="s">
        <v>1344</v>
      </c>
      <c r="D1949" s="416" t="s">
        <v>1053</v>
      </c>
      <c r="E1949" s="217" t="s">
        <v>3076</v>
      </c>
      <c r="F1949" s="218" t="s">
        <v>2827</v>
      </c>
      <c r="G1949" s="116">
        <v>2000</v>
      </c>
      <c r="H1949" s="1776" t="s">
        <v>1349</v>
      </c>
      <c r="I1949" s="34" t="s">
        <v>25</v>
      </c>
      <c r="J1949" s="327"/>
      <c r="K1949" s="37"/>
      <c r="L1949" s="1128"/>
      <c r="M1949" s="327"/>
      <c r="N1949" s="327"/>
      <c r="O1949" s="1129"/>
    </row>
    <row r="1950" spans="1:15" ht="18.75" customHeight="1" x14ac:dyDescent="0.3">
      <c r="A1950" s="2401">
        <v>1944</v>
      </c>
      <c r="B1950" s="1122" t="s">
        <v>3028</v>
      </c>
      <c r="C1950" s="216" t="s">
        <v>1344</v>
      </c>
      <c r="D1950" s="416" t="s">
        <v>1053</v>
      </c>
      <c r="E1950" s="217" t="s">
        <v>3077</v>
      </c>
      <c r="F1950" s="218" t="s">
        <v>2827</v>
      </c>
      <c r="G1950" s="116">
        <v>2000</v>
      </c>
      <c r="H1950" s="1776" t="s">
        <v>1349</v>
      </c>
      <c r="I1950" s="34" t="s">
        <v>25</v>
      </c>
      <c r="J1950" s="327"/>
      <c r="K1950" s="37"/>
      <c r="L1950" s="1128"/>
      <c r="M1950" s="327"/>
      <c r="N1950" s="327"/>
      <c r="O1950" s="1129"/>
    </row>
    <row r="1951" spans="1:15" ht="18.75" customHeight="1" x14ac:dyDescent="0.3">
      <c r="A1951" s="2402">
        <v>1945</v>
      </c>
      <c r="B1951" s="1122" t="s">
        <v>3028</v>
      </c>
      <c r="C1951" s="216" t="s">
        <v>1344</v>
      </c>
      <c r="D1951" s="416" t="s">
        <v>1053</v>
      </c>
      <c r="E1951" s="217" t="s">
        <v>3078</v>
      </c>
      <c r="F1951" s="218" t="s">
        <v>2827</v>
      </c>
      <c r="G1951" s="116">
        <v>2000</v>
      </c>
      <c r="H1951" s="1776" t="s">
        <v>1349</v>
      </c>
      <c r="I1951" s="34" t="s">
        <v>25</v>
      </c>
      <c r="J1951" s="327"/>
      <c r="K1951" s="37"/>
      <c r="L1951" s="1128"/>
      <c r="M1951" s="327"/>
      <c r="N1951" s="327"/>
      <c r="O1951" s="1129"/>
    </row>
    <row r="1952" spans="1:15" ht="18.75" customHeight="1" x14ac:dyDescent="0.3">
      <c r="A1952" s="2402">
        <v>1946</v>
      </c>
      <c r="B1952" s="1130" t="s">
        <v>3079</v>
      </c>
      <c r="C1952" s="216" t="s">
        <v>1344</v>
      </c>
      <c r="D1952" s="416" t="s">
        <v>550</v>
      </c>
      <c r="E1952" s="217" t="s">
        <v>3080</v>
      </c>
      <c r="F1952" s="218" t="s">
        <v>3081</v>
      </c>
      <c r="G1952" s="568">
        <v>1850</v>
      </c>
      <c r="H1952" s="1776" t="s">
        <v>1349</v>
      </c>
      <c r="I1952" s="34" t="s">
        <v>25</v>
      </c>
      <c r="J1952" s="327"/>
      <c r="K1952" s="37"/>
      <c r="L1952" s="1128"/>
      <c r="M1952" s="327"/>
      <c r="N1952" s="327"/>
      <c r="O1952" s="1129"/>
    </row>
    <row r="1953" spans="1:15" ht="18.75" customHeight="1" x14ac:dyDescent="0.3">
      <c r="A1953" s="2401">
        <v>1947</v>
      </c>
      <c r="B1953" s="1130" t="s">
        <v>3079</v>
      </c>
      <c r="C1953" s="216" t="s">
        <v>1344</v>
      </c>
      <c r="D1953" s="416" t="s">
        <v>550</v>
      </c>
      <c r="E1953" s="217" t="s">
        <v>3082</v>
      </c>
      <c r="F1953" s="218" t="s">
        <v>3081</v>
      </c>
      <c r="G1953" s="568">
        <v>1850</v>
      </c>
      <c r="H1953" s="1776" t="s">
        <v>1349</v>
      </c>
      <c r="I1953" s="34" t="s">
        <v>25</v>
      </c>
      <c r="J1953" s="327"/>
      <c r="K1953" s="37"/>
      <c r="L1953" s="1128"/>
      <c r="M1953" s="327"/>
      <c r="N1953" s="327"/>
      <c r="O1953" s="1129"/>
    </row>
    <row r="1954" spans="1:15" ht="18.75" customHeight="1" x14ac:dyDescent="0.3">
      <c r="A1954" s="2402">
        <v>1948</v>
      </c>
      <c r="B1954" s="1130" t="s">
        <v>3079</v>
      </c>
      <c r="C1954" s="216" t="s">
        <v>1344</v>
      </c>
      <c r="D1954" s="416" t="s">
        <v>550</v>
      </c>
      <c r="E1954" s="217" t="s">
        <v>3083</v>
      </c>
      <c r="F1954" s="218" t="s">
        <v>3081</v>
      </c>
      <c r="G1954" s="568">
        <v>1850</v>
      </c>
      <c r="H1954" s="1776" t="s">
        <v>1349</v>
      </c>
      <c r="I1954" s="34" t="s">
        <v>25</v>
      </c>
      <c r="J1954" s="327"/>
      <c r="K1954" s="37"/>
      <c r="L1954" s="1128"/>
      <c r="M1954" s="327"/>
      <c r="N1954" s="327"/>
      <c r="O1954" s="1129"/>
    </row>
    <row r="1955" spans="1:15" ht="18.75" customHeight="1" x14ac:dyDescent="0.3">
      <c r="A1955" s="2402">
        <v>1949</v>
      </c>
      <c r="B1955" s="1130" t="s">
        <v>3079</v>
      </c>
      <c r="C1955" s="216" t="s">
        <v>1344</v>
      </c>
      <c r="D1955" s="416" t="s">
        <v>550</v>
      </c>
      <c r="E1955" s="217" t="s">
        <v>3084</v>
      </c>
      <c r="F1955" s="218" t="s">
        <v>3081</v>
      </c>
      <c r="G1955" s="568">
        <v>1850</v>
      </c>
      <c r="H1955" s="1776" t="s">
        <v>1349</v>
      </c>
      <c r="I1955" s="34" t="s">
        <v>25</v>
      </c>
      <c r="J1955" s="327"/>
      <c r="K1955" s="37"/>
      <c r="L1955" s="1128"/>
      <c r="M1955" s="327"/>
      <c r="N1955" s="327"/>
      <c r="O1955" s="1129"/>
    </row>
    <row r="1956" spans="1:15" ht="18.75" customHeight="1" x14ac:dyDescent="0.3">
      <c r="A1956" s="2402">
        <v>1950</v>
      </c>
      <c r="B1956" s="1130" t="s">
        <v>3079</v>
      </c>
      <c r="C1956" s="216" t="s">
        <v>1344</v>
      </c>
      <c r="D1956" s="416" t="s">
        <v>550</v>
      </c>
      <c r="E1956" s="217" t="s">
        <v>3085</v>
      </c>
      <c r="F1956" s="218" t="s">
        <v>3081</v>
      </c>
      <c r="G1956" s="568">
        <v>1850</v>
      </c>
      <c r="H1956" s="1776" t="s">
        <v>1349</v>
      </c>
      <c r="I1956" s="34" t="s">
        <v>25</v>
      </c>
      <c r="J1956" s="327"/>
      <c r="K1956" s="37"/>
      <c r="L1956" s="1128"/>
      <c r="M1956" s="327"/>
      <c r="N1956" s="327"/>
      <c r="O1956" s="1129"/>
    </row>
    <row r="1957" spans="1:15" ht="18.75" customHeight="1" x14ac:dyDescent="0.3">
      <c r="A1957" s="2402">
        <v>1951</v>
      </c>
      <c r="B1957" s="1130" t="s">
        <v>3079</v>
      </c>
      <c r="C1957" s="216" t="s">
        <v>1344</v>
      </c>
      <c r="D1957" s="416" t="s">
        <v>550</v>
      </c>
      <c r="E1957" s="217" t="s">
        <v>3086</v>
      </c>
      <c r="F1957" s="218" t="s">
        <v>3081</v>
      </c>
      <c r="G1957" s="568">
        <v>1850</v>
      </c>
      <c r="H1957" s="1776" t="s">
        <v>1349</v>
      </c>
      <c r="I1957" s="34" t="s">
        <v>25</v>
      </c>
      <c r="J1957" s="327"/>
      <c r="K1957" s="37"/>
      <c r="L1957" s="1128"/>
      <c r="M1957" s="327"/>
      <c r="N1957" s="327"/>
      <c r="O1957" s="1129"/>
    </row>
    <row r="1958" spans="1:15" ht="18.75" customHeight="1" x14ac:dyDescent="0.3">
      <c r="A1958" s="2401">
        <v>1952</v>
      </c>
      <c r="B1958" s="1130" t="s">
        <v>3079</v>
      </c>
      <c r="C1958" s="216" t="s">
        <v>1344</v>
      </c>
      <c r="D1958" s="416" t="s">
        <v>550</v>
      </c>
      <c r="E1958" s="217" t="s">
        <v>3087</v>
      </c>
      <c r="F1958" s="218" t="s">
        <v>3081</v>
      </c>
      <c r="G1958" s="568">
        <v>1850</v>
      </c>
      <c r="H1958" s="1776" t="s">
        <v>1349</v>
      </c>
      <c r="I1958" s="34" t="s">
        <v>25</v>
      </c>
      <c r="J1958" s="327"/>
      <c r="K1958" s="37"/>
      <c r="L1958" s="1128"/>
      <c r="M1958" s="327"/>
      <c r="N1958" s="327"/>
      <c r="O1958" s="1129"/>
    </row>
    <row r="1959" spans="1:15" ht="18.75" customHeight="1" x14ac:dyDescent="0.3">
      <c r="A1959" s="2402">
        <v>1953</v>
      </c>
      <c r="B1959" s="1130" t="s">
        <v>3079</v>
      </c>
      <c r="C1959" s="216" t="s">
        <v>1344</v>
      </c>
      <c r="D1959" s="416" t="s">
        <v>550</v>
      </c>
      <c r="E1959" s="217" t="s">
        <v>3088</v>
      </c>
      <c r="F1959" s="218" t="s">
        <v>3081</v>
      </c>
      <c r="G1959" s="568">
        <v>1850</v>
      </c>
      <c r="H1959" s="1776" t="s">
        <v>1349</v>
      </c>
      <c r="I1959" s="34" t="s">
        <v>25</v>
      </c>
      <c r="J1959" s="327"/>
      <c r="K1959" s="37"/>
      <c r="L1959" s="1128"/>
      <c r="M1959" s="327"/>
      <c r="N1959" s="327"/>
      <c r="O1959" s="1129"/>
    </row>
    <row r="1960" spans="1:15" ht="18.75" customHeight="1" x14ac:dyDescent="0.3">
      <c r="A1960" s="2402">
        <v>1954</v>
      </c>
      <c r="B1960" s="1130" t="s">
        <v>3079</v>
      </c>
      <c r="C1960" s="216" t="s">
        <v>1344</v>
      </c>
      <c r="D1960" s="416" t="s">
        <v>550</v>
      </c>
      <c r="E1960" s="217" t="s">
        <v>3089</v>
      </c>
      <c r="F1960" s="218" t="s">
        <v>3081</v>
      </c>
      <c r="G1960" s="568">
        <v>1850</v>
      </c>
      <c r="H1960" s="1776" t="s">
        <v>1349</v>
      </c>
      <c r="I1960" s="34" t="s">
        <v>25</v>
      </c>
      <c r="J1960" s="327"/>
      <c r="K1960" s="37"/>
      <c r="L1960" s="1128"/>
      <c r="M1960" s="327"/>
      <c r="N1960" s="327"/>
      <c r="O1960" s="1129"/>
    </row>
    <row r="1961" spans="1:15" ht="18.75" customHeight="1" x14ac:dyDescent="0.3">
      <c r="A1961" s="2401">
        <v>1955</v>
      </c>
      <c r="B1961" s="1130" t="s">
        <v>3079</v>
      </c>
      <c r="C1961" s="216" t="s">
        <v>1344</v>
      </c>
      <c r="D1961" s="416" t="s">
        <v>550</v>
      </c>
      <c r="E1961" s="217" t="s">
        <v>3090</v>
      </c>
      <c r="F1961" s="218" t="s">
        <v>3081</v>
      </c>
      <c r="G1961" s="568">
        <v>1850</v>
      </c>
      <c r="H1961" s="1776" t="s">
        <v>1349</v>
      </c>
      <c r="I1961" s="34" t="s">
        <v>25</v>
      </c>
      <c r="J1961" s="327"/>
      <c r="K1961" s="37"/>
      <c r="L1961" s="1128"/>
      <c r="M1961" s="327"/>
      <c r="N1961" s="327"/>
      <c r="O1961" s="1129"/>
    </row>
    <row r="1962" spans="1:15" ht="18.75" customHeight="1" x14ac:dyDescent="0.3">
      <c r="A1962" s="2402">
        <v>1956</v>
      </c>
      <c r="B1962" s="1130" t="s">
        <v>3079</v>
      </c>
      <c r="C1962" s="216" t="s">
        <v>1344</v>
      </c>
      <c r="D1962" s="416" t="s">
        <v>550</v>
      </c>
      <c r="E1962" s="217" t="s">
        <v>3091</v>
      </c>
      <c r="F1962" s="218" t="s">
        <v>3081</v>
      </c>
      <c r="G1962" s="568">
        <v>1850</v>
      </c>
      <c r="H1962" s="1776" t="s">
        <v>1349</v>
      </c>
      <c r="I1962" s="34" t="s">
        <v>25</v>
      </c>
      <c r="J1962" s="327"/>
      <c r="K1962" s="37"/>
      <c r="L1962" s="1128"/>
      <c r="M1962" s="327"/>
      <c r="N1962" s="327"/>
      <c r="O1962" s="1129"/>
    </row>
    <row r="1963" spans="1:15" ht="18.75" customHeight="1" x14ac:dyDescent="0.3">
      <c r="A1963" s="2402">
        <v>1957</v>
      </c>
      <c r="B1963" s="1130" t="s">
        <v>3079</v>
      </c>
      <c r="C1963" s="216" t="s">
        <v>1344</v>
      </c>
      <c r="D1963" s="416" t="s">
        <v>550</v>
      </c>
      <c r="E1963" s="217" t="s">
        <v>3092</v>
      </c>
      <c r="F1963" s="218" t="s">
        <v>3081</v>
      </c>
      <c r="G1963" s="568">
        <v>1850</v>
      </c>
      <c r="H1963" s="1776" t="s">
        <v>1349</v>
      </c>
      <c r="I1963" s="34" t="s">
        <v>25</v>
      </c>
      <c r="J1963" s="327"/>
      <c r="K1963" s="37"/>
      <c r="L1963" s="1128"/>
      <c r="M1963" s="327"/>
      <c r="N1963" s="327"/>
      <c r="O1963" s="1129"/>
    </row>
    <row r="1964" spans="1:15" ht="18.75" customHeight="1" x14ac:dyDescent="0.3">
      <c r="A1964" s="2402">
        <v>1958</v>
      </c>
      <c r="B1964" s="1130" t="s">
        <v>3079</v>
      </c>
      <c r="C1964" s="216" t="s">
        <v>1344</v>
      </c>
      <c r="D1964" s="416" t="s">
        <v>550</v>
      </c>
      <c r="E1964" s="217" t="s">
        <v>3093</v>
      </c>
      <c r="F1964" s="218" t="s">
        <v>3081</v>
      </c>
      <c r="G1964" s="568">
        <v>1850</v>
      </c>
      <c r="H1964" s="1776" t="s">
        <v>1349</v>
      </c>
      <c r="I1964" s="34" t="s">
        <v>25</v>
      </c>
      <c r="J1964" s="327"/>
      <c r="K1964" s="37"/>
      <c r="L1964" s="1128"/>
      <c r="M1964" s="327"/>
      <c r="N1964" s="327"/>
      <c r="O1964" s="1129"/>
    </row>
    <row r="1965" spans="1:15" ht="18.75" customHeight="1" x14ac:dyDescent="0.3">
      <c r="A1965" s="2402">
        <v>1959</v>
      </c>
      <c r="B1965" s="1130" t="s">
        <v>3079</v>
      </c>
      <c r="C1965" s="216" t="s">
        <v>1344</v>
      </c>
      <c r="D1965" s="416" t="s">
        <v>550</v>
      </c>
      <c r="E1965" s="217" t="s">
        <v>3094</v>
      </c>
      <c r="F1965" s="218" t="s">
        <v>3081</v>
      </c>
      <c r="G1965" s="568">
        <v>1850</v>
      </c>
      <c r="H1965" s="1776" t="s">
        <v>1349</v>
      </c>
      <c r="I1965" s="34" t="s">
        <v>25</v>
      </c>
      <c r="J1965" s="327"/>
      <c r="K1965" s="37"/>
      <c r="L1965" s="1128"/>
      <c r="M1965" s="327"/>
      <c r="N1965" s="327"/>
      <c r="O1965" s="1129"/>
    </row>
    <row r="1966" spans="1:15" ht="18.75" customHeight="1" x14ac:dyDescent="0.3">
      <c r="A1966" s="2401">
        <v>1960</v>
      </c>
      <c r="B1966" s="1130" t="s">
        <v>3079</v>
      </c>
      <c r="C1966" s="216" t="s">
        <v>1344</v>
      </c>
      <c r="D1966" s="416" t="s">
        <v>550</v>
      </c>
      <c r="E1966" s="217" t="s">
        <v>3095</v>
      </c>
      <c r="F1966" s="218" t="s">
        <v>3081</v>
      </c>
      <c r="G1966" s="568">
        <v>1850</v>
      </c>
      <c r="H1966" s="1776" t="s">
        <v>1349</v>
      </c>
      <c r="I1966" s="34" t="s">
        <v>25</v>
      </c>
      <c r="J1966" s="327"/>
      <c r="K1966" s="37"/>
      <c r="L1966" s="1128"/>
      <c r="M1966" s="327"/>
      <c r="N1966" s="327"/>
      <c r="O1966" s="1129"/>
    </row>
    <row r="1967" spans="1:15" ht="18.75" customHeight="1" x14ac:dyDescent="0.3">
      <c r="A1967" s="2402">
        <v>1961</v>
      </c>
      <c r="B1967" s="1130" t="s">
        <v>3079</v>
      </c>
      <c r="C1967" s="216" t="s">
        <v>1344</v>
      </c>
      <c r="D1967" s="416" t="s">
        <v>550</v>
      </c>
      <c r="E1967" s="217" t="s">
        <v>3096</v>
      </c>
      <c r="F1967" s="218" t="s">
        <v>3081</v>
      </c>
      <c r="G1967" s="568">
        <v>1850</v>
      </c>
      <c r="H1967" s="1776" t="s">
        <v>1349</v>
      </c>
      <c r="I1967" s="34" t="s">
        <v>25</v>
      </c>
      <c r="J1967" s="327"/>
      <c r="K1967" s="37"/>
      <c r="L1967" s="1128"/>
      <c r="M1967" s="327"/>
      <c r="N1967" s="327"/>
      <c r="O1967" s="1129"/>
    </row>
    <row r="1968" spans="1:15" ht="18.75" customHeight="1" x14ac:dyDescent="0.3">
      <c r="A1968" s="2402">
        <v>1962</v>
      </c>
      <c r="B1968" s="1130" t="s">
        <v>3079</v>
      </c>
      <c r="C1968" s="216" t="s">
        <v>1344</v>
      </c>
      <c r="D1968" s="416" t="s">
        <v>550</v>
      </c>
      <c r="E1968" s="217" t="s">
        <v>3097</v>
      </c>
      <c r="F1968" s="218" t="s">
        <v>3081</v>
      </c>
      <c r="G1968" s="568">
        <v>1850</v>
      </c>
      <c r="H1968" s="1776" t="s">
        <v>1349</v>
      </c>
      <c r="I1968" s="34" t="s">
        <v>25</v>
      </c>
      <c r="J1968" s="327"/>
      <c r="K1968" s="37"/>
      <c r="L1968" s="1128"/>
      <c r="M1968" s="327"/>
      <c r="N1968" s="327"/>
      <c r="O1968" s="1129"/>
    </row>
    <row r="1969" spans="1:15" ht="18.75" customHeight="1" x14ac:dyDescent="0.3">
      <c r="A1969" s="2401">
        <v>1963</v>
      </c>
      <c r="B1969" s="1130" t="s">
        <v>3079</v>
      </c>
      <c r="C1969" s="216" t="s">
        <v>1344</v>
      </c>
      <c r="D1969" s="416" t="s">
        <v>550</v>
      </c>
      <c r="E1969" s="217" t="s">
        <v>3098</v>
      </c>
      <c r="F1969" s="218" t="s">
        <v>3081</v>
      </c>
      <c r="G1969" s="568">
        <v>1850</v>
      </c>
      <c r="H1969" s="1776" t="s">
        <v>1349</v>
      </c>
      <c r="I1969" s="34" t="s">
        <v>25</v>
      </c>
      <c r="J1969" s="327"/>
      <c r="K1969" s="37"/>
      <c r="L1969" s="1128"/>
      <c r="M1969" s="327"/>
      <c r="N1969" s="327"/>
      <c r="O1969" s="1129"/>
    </row>
    <row r="1970" spans="1:15" ht="18.75" customHeight="1" x14ac:dyDescent="0.3">
      <c r="A1970" s="2402">
        <v>1964</v>
      </c>
      <c r="B1970" s="1130" t="s">
        <v>3079</v>
      </c>
      <c r="C1970" s="216" t="s">
        <v>1344</v>
      </c>
      <c r="D1970" s="416" t="s">
        <v>550</v>
      </c>
      <c r="E1970" s="217" t="s">
        <v>3099</v>
      </c>
      <c r="F1970" s="218" t="s">
        <v>3081</v>
      </c>
      <c r="G1970" s="568">
        <v>1850</v>
      </c>
      <c r="H1970" s="1776" t="s">
        <v>1349</v>
      </c>
      <c r="I1970" s="34" t="s">
        <v>25</v>
      </c>
      <c r="J1970" s="327"/>
      <c r="K1970" s="37"/>
      <c r="L1970" s="1128"/>
      <c r="M1970" s="327"/>
      <c r="N1970" s="327"/>
      <c r="O1970" s="1129"/>
    </row>
    <row r="1971" spans="1:15" ht="18.75" customHeight="1" x14ac:dyDescent="0.3">
      <c r="A1971" s="2402">
        <v>1965</v>
      </c>
      <c r="B1971" s="1130" t="s">
        <v>3079</v>
      </c>
      <c r="C1971" s="216" t="s">
        <v>1344</v>
      </c>
      <c r="D1971" s="416" t="s">
        <v>550</v>
      </c>
      <c r="E1971" s="217" t="s">
        <v>3100</v>
      </c>
      <c r="F1971" s="218" t="s">
        <v>3081</v>
      </c>
      <c r="G1971" s="568">
        <v>1850</v>
      </c>
      <c r="H1971" s="1776" t="s">
        <v>1349</v>
      </c>
      <c r="I1971" s="34" t="s">
        <v>25</v>
      </c>
      <c r="J1971" s="327"/>
      <c r="K1971" s="37"/>
      <c r="L1971" s="1128"/>
      <c r="M1971" s="327"/>
      <c r="N1971" s="327"/>
      <c r="O1971" s="1129"/>
    </row>
    <row r="1972" spans="1:15" ht="18.75" customHeight="1" x14ac:dyDescent="0.3">
      <c r="A1972" s="2402">
        <v>1966</v>
      </c>
      <c r="B1972" s="1130" t="s">
        <v>3079</v>
      </c>
      <c r="C1972" s="216" t="s">
        <v>1344</v>
      </c>
      <c r="D1972" s="416" t="s">
        <v>550</v>
      </c>
      <c r="E1972" s="217" t="s">
        <v>3101</v>
      </c>
      <c r="F1972" s="218" t="s">
        <v>3081</v>
      </c>
      <c r="G1972" s="568">
        <v>1850</v>
      </c>
      <c r="H1972" s="1776" t="s">
        <v>1349</v>
      </c>
      <c r="I1972" s="34" t="s">
        <v>25</v>
      </c>
      <c r="J1972" s="327"/>
      <c r="K1972" s="37"/>
      <c r="L1972" s="1128"/>
      <c r="M1972" s="327"/>
      <c r="N1972" s="327"/>
      <c r="O1972" s="1129"/>
    </row>
    <row r="1973" spans="1:15" ht="18.75" customHeight="1" x14ac:dyDescent="0.3">
      <c r="A1973" s="2402">
        <v>1967</v>
      </c>
      <c r="B1973" s="1130" t="s">
        <v>3079</v>
      </c>
      <c r="C1973" s="216" t="s">
        <v>1344</v>
      </c>
      <c r="D1973" s="416" t="s">
        <v>550</v>
      </c>
      <c r="E1973" s="217" t="s">
        <v>3102</v>
      </c>
      <c r="F1973" s="218" t="s">
        <v>3081</v>
      </c>
      <c r="G1973" s="568">
        <v>1850</v>
      </c>
      <c r="H1973" s="1776" t="s">
        <v>1349</v>
      </c>
      <c r="I1973" s="34" t="s">
        <v>25</v>
      </c>
      <c r="J1973" s="327"/>
      <c r="K1973" s="37"/>
      <c r="L1973" s="1128"/>
      <c r="M1973" s="327"/>
      <c r="N1973" s="327"/>
      <c r="O1973" s="1129"/>
    </row>
    <row r="1974" spans="1:15" ht="18.75" customHeight="1" x14ac:dyDescent="0.3">
      <c r="A1974" s="2401">
        <v>1968</v>
      </c>
      <c r="B1974" s="1130" t="s">
        <v>3079</v>
      </c>
      <c r="C1974" s="216" t="s">
        <v>1344</v>
      </c>
      <c r="D1974" s="416" t="s">
        <v>550</v>
      </c>
      <c r="E1974" s="217" t="s">
        <v>3103</v>
      </c>
      <c r="F1974" s="218" t="s">
        <v>3081</v>
      </c>
      <c r="G1974" s="568">
        <v>1850</v>
      </c>
      <c r="H1974" s="1776" t="s">
        <v>1349</v>
      </c>
      <c r="I1974" s="34" t="s">
        <v>25</v>
      </c>
      <c r="J1974" s="327"/>
      <c r="K1974" s="37"/>
      <c r="L1974" s="1128"/>
      <c r="M1974" s="327"/>
      <c r="N1974" s="327"/>
      <c r="O1974" s="1129"/>
    </row>
    <row r="1975" spans="1:15" ht="18.75" customHeight="1" x14ac:dyDescent="0.3">
      <c r="A1975" s="2402">
        <v>1969</v>
      </c>
      <c r="B1975" s="1130" t="s">
        <v>3079</v>
      </c>
      <c r="C1975" s="216" t="s">
        <v>1344</v>
      </c>
      <c r="D1975" s="416" t="s">
        <v>550</v>
      </c>
      <c r="E1975" s="217" t="s">
        <v>3104</v>
      </c>
      <c r="F1975" s="218" t="s">
        <v>3081</v>
      </c>
      <c r="G1975" s="568">
        <v>1850</v>
      </c>
      <c r="H1975" s="1776" t="s">
        <v>1349</v>
      </c>
      <c r="I1975" s="34" t="s">
        <v>25</v>
      </c>
      <c r="J1975" s="327"/>
      <c r="K1975" s="37"/>
      <c r="L1975" s="1128"/>
      <c r="M1975" s="327"/>
      <c r="N1975" s="327"/>
      <c r="O1975" s="1129"/>
    </row>
    <row r="1976" spans="1:15" ht="18.75" customHeight="1" x14ac:dyDescent="0.3">
      <c r="A1976" s="2402">
        <v>1970</v>
      </c>
      <c r="B1976" s="1130" t="s">
        <v>3079</v>
      </c>
      <c r="C1976" s="216" t="s">
        <v>1344</v>
      </c>
      <c r="D1976" s="416" t="s">
        <v>550</v>
      </c>
      <c r="E1976" s="217" t="s">
        <v>3105</v>
      </c>
      <c r="F1976" s="218" t="s">
        <v>3081</v>
      </c>
      <c r="G1976" s="568">
        <v>1850</v>
      </c>
      <c r="H1976" s="1776" t="s">
        <v>1349</v>
      </c>
      <c r="I1976" s="34" t="s">
        <v>25</v>
      </c>
      <c r="J1976" s="327"/>
      <c r="K1976" s="37"/>
      <c r="L1976" s="1128"/>
      <c r="M1976" s="327"/>
      <c r="N1976" s="327"/>
      <c r="O1976" s="1129"/>
    </row>
    <row r="1977" spans="1:15" ht="18.75" customHeight="1" x14ac:dyDescent="0.3">
      <c r="A1977" s="2401">
        <v>1971</v>
      </c>
      <c r="B1977" s="1130" t="s">
        <v>3079</v>
      </c>
      <c r="C1977" s="216" t="s">
        <v>1344</v>
      </c>
      <c r="D1977" s="416" t="s">
        <v>550</v>
      </c>
      <c r="E1977" s="217" t="s">
        <v>3106</v>
      </c>
      <c r="F1977" s="218" t="s">
        <v>3081</v>
      </c>
      <c r="G1977" s="568">
        <v>1850</v>
      </c>
      <c r="H1977" s="1776" t="s">
        <v>1349</v>
      </c>
      <c r="I1977" s="34" t="s">
        <v>25</v>
      </c>
      <c r="J1977" s="327"/>
      <c r="K1977" s="37"/>
      <c r="L1977" s="1128"/>
      <c r="M1977" s="327"/>
      <c r="N1977" s="327"/>
      <c r="O1977" s="1129"/>
    </row>
    <row r="1978" spans="1:15" ht="18.75" customHeight="1" x14ac:dyDescent="0.3">
      <c r="A1978" s="2402">
        <v>1972</v>
      </c>
      <c r="B1978" s="1130" t="s">
        <v>3079</v>
      </c>
      <c r="C1978" s="216" t="s">
        <v>1344</v>
      </c>
      <c r="D1978" s="416" t="s">
        <v>550</v>
      </c>
      <c r="E1978" s="217" t="s">
        <v>3107</v>
      </c>
      <c r="F1978" s="218" t="s">
        <v>3081</v>
      </c>
      <c r="G1978" s="568">
        <v>1850</v>
      </c>
      <c r="H1978" s="1776" t="s">
        <v>1349</v>
      </c>
      <c r="I1978" s="34" t="s">
        <v>25</v>
      </c>
      <c r="J1978" s="327"/>
      <c r="K1978" s="37"/>
      <c r="L1978" s="1128"/>
      <c r="M1978" s="327"/>
      <c r="N1978" s="327"/>
      <c r="O1978" s="1129"/>
    </row>
    <row r="1979" spans="1:15" ht="18.75" customHeight="1" x14ac:dyDescent="0.3">
      <c r="A1979" s="2402">
        <v>1973</v>
      </c>
      <c r="B1979" s="1130" t="s">
        <v>3079</v>
      </c>
      <c r="C1979" s="216" t="s">
        <v>1344</v>
      </c>
      <c r="D1979" s="416" t="s">
        <v>550</v>
      </c>
      <c r="E1979" s="217" t="s">
        <v>3108</v>
      </c>
      <c r="F1979" s="218" t="s">
        <v>3081</v>
      </c>
      <c r="G1979" s="568">
        <v>1850</v>
      </c>
      <c r="H1979" s="1776" t="s">
        <v>1349</v>
      </c>
      <c r="I1979" s="34" t="s">
        <v>25</v>
      </c>
      <c r="J1979" s="327"/>
      <c r="K1979" s="37"/>
      <c r="L1979" s="1128"/>
      <c r="M1979" s="327"/>
      <c r="N1979" s="327"/>
      <c r="O1979" s="1129"/>
    </row>
    <row r="1980" spans="1:15" ht="18.75" customHeight="1" x14ac:dyDescent="0.3">
      <c r="A1980" s="2402">
        <v>1974</v>
      </c>
      <c r="B1980" s="1130" t="s">
        <v>3079</v>
      </c>
      <c r="C1980" s="216" t="s">
        <v>1344</v>
      </c>
      <c r="D1980" s="416" t="s">
        <v>550</v>
      </c>
      <c r="E1980" s="217" t="s">
        <v>3109</v>
      </c>
      <c r="F1980" s="218" t="s">
        <v>3081</v>
      </c>
      <c r="G1980" s="568">
        <v>1850</v>
      </c>
      <c r="H1980" s="1776" t="s">
        <v>1349</v>
      </c>
      <c r="I1980" s="34" t="s">
        <v>25</v>
      </c>
      <c r="J1980" s="327"/>
      <c r="K1980" s="37"/>
      <c r="L1980" s="1128"/>
      <c r="M1980" s="327"/>
      <c r="N1980" s="327"/>
      <c r="O1980" s="1129"/>
    </row>
    <row r="1981" spans="1:15" ht="18.75" customHeight="1" x14ac:dyDescent="0.3">
      <c r="A1981" s="2402">
        <v>1975</v>
      </c>
      <c r="B1981" s="1130" t="s">
        <v>3079</v>
      </c>
      <c r="C1981" s="216" t="s">
        <v>1344</v>
      </c>
      <c r="D1981" s="416" t="s">
        <v>550</v>
      </c>
      <c r="E1981" s="217" t="s">
        <v>3110</v>
      </c>
      <c r="F1981" s="218" t="s">
        <v>3081</v>
      </c>
      <c r="G1981" s="568">
        <v>1850</v>
      </c>
      <c r="H1981" s="1776" t="s">
        <v>1349</v>
      </c>
      <c r="I1981" s="34" t="s">
        <v>25</v>
      </c>
      <c r="J1981" s="327"/>
      <c r="K1981" s="37"/>
      <c r="L1981" s="1128"/>
      <c r="M1981" s="327"/>
      <c r="N1981" s="327"/>
      <c r="O1981" s="1129"/>
    </row>
    <row r="1982" spans="1:15" ht="18.75" customHeight="1" x14ac:dyDescent="0.3">
      <c r="A1982" s="2401">
        <v>1976</v>
      </c>
      <c r="B1982" s="1130" t="s">
        <v>3079</v>
      </c>
      <c r="C1982" s="216" t="s">
        <v>1344</v>
      </c>
      <c r="D1982" s="416" t="s">
        <v>550</v>
      </c>
      <c r="E1982" s="217" t="s">
        <v>3111</v>
      </c>
      <c r="F1982" s="218" t="s">
        <v>3081</v>
      </c>
      <c r="G1982" s="568">
        <v>1850</v>
      </c>
      <c r="H1982" s="1776" t="s">
        <v>1349</v>
      </c>
      <c r="I1982" s="34" t="s">
        <v>25</v>
      </c>
      <c r="J1982" s="327"/>
      <c r="K1982" s="37"/>
      <c r="L1982" s="1128"/>
      <c r="M1982" s="327"/>
      <c r="N1982" s="327"/>
      <c r="O1982" s="1129"/>
    </row>
    <row r="1983" spans="1:15" ht="18.75" customHeight="1" x14ac:dyDescent="0.3">
      <c r="A1983" s="2402">
        <v>1977</v>
      </c>
      <c r="B1983" s="1130" t="s">
        <v>3079</v>
      </c>
      <c r="C1983" s="216" t="s">
        <v>1344</v>
      </c>
      <c r="D1983" s="416" t="s">
        <v>550</v>
      </c>
      <c r="E1983" s="217" t="s">
        <v>3112</v>
      </c>
      <c r="F1983" s="218" t="s">
        <v>3081</v>
      </c>
      <c r="G1983" s="568">
        <v>1850</v>
      </c>
      <c r="H1983" s="1776" t="s">
        <v>1349</v>
      </c>
      <c r="I1983" s="34" t="s">
        <v>25</v>
      </c>
      <c r="J1983" s="327"/>
      <c r="K1983" s="37"/>
      <c r="L1983" s="1128"/>
      <c r="M1983" s="327"/>
      <c r="N1983" s="327"/>
      <c r="O1983" s="1129"/>
    </row>
    <row r="1984" spans="1:15" ht="18.75" customHeight="1" x14ac:dyDescent="0.3">
      <c r="A1984" s="2402">
        <v>1978</v>
      </c>
      <c r="B1984" s="1130" t="s">
        <v>3079</v>
      </c>
      <c r="C1984" s="216" t="s">
        <v>1344</v>
      </c>
      <c r="D1984" s="416" t="s">
        <v>550</v>
      </c>
      <c r="E1984" s="217" t="s">
        <v>3113</v>
      </c>
      <c r="F1984" s="218" t="s">
        <v>3081</v>
      </c>
      <c r="G1984" s="568">
        <v>1850</v>
      </c>
      <c r="H1984" s="1776" t="s">
        <v>1349</v>
      </c>
      <c r="I1984" s="34" t="s">
        <v>25</v>
      </c>
      <c r="J1984" s="327"/>
      <c r="K1984" s="37"/>
      <c r="L1984" s="1128"/>
      <c r="M1984" s="327"/>
      <c r="N1984" s="327"/>
      <c r="O1984" s="1129"/>
    </row>
    <row r="1985" spans="1:15" ht="18.75" customHeight="1" x14ac:dyDescent="0.3">
      <c r="A1985" s="2401">
        <v>1979</v>
      </c>
      <c r="B1985" s="1130" t="s">
        <v>3079</v>
      </c>
      <c r="C1985" s="216" t="s">
        <v>1344</v>
      </c>
      <c r="D1985" s="416" t="s">
        <v>550</v>
      </c>
      <c r="E1985" s="217" t="s">
        <v>3114</v>
      </c>
      <c r="F1985" s="218" t="s">
        <v>3081</v>
      </c>
      <c r="G1985" s="568">
        <v>1850</v>
      </c>
      <c r="H1985" s="1776" t="s">
        <v>1349</v>
      </c>
      <c r="I1985" s="34" t="s">
        <v>25</v>
      </c>
      <c r="J1985" s="327"/>
      <c r="K1985" s="37"/>
      <c r="L1985" s="1128"/>
      <c r="M1985" s="327"/>
      <c r="N1985" s="327"/>
      <c r="O1985" s="1129"/>
    </row>
    <row r="1986" spans="1:15" ht="18.75" customHeight="1" x14ac:dyDescent="0.3">
      <c r="A1986" s="2402">
        <v>1980</v>
      </c>
      <c r="B1986" s="1130" t="s">
        <v>3079</v>
      </c>
      <c r="C1986" s="216" t="s">
        <v>1344</v>
      </c>
      <c r="D1986" s="416" t="s">
        <v>550</v>
      </c>
      <c r="E1986" s="217" t="s">
        <v>3115</v>
      </c>
      <c r="F1986" s="218" t="s">
        <v>3081</v>
      </c>
      <c r="G1986" s="568">
        <v>1850</v>
      </c>
      <c r="H1986" s="1776" t="s">
        <v>1349</v>
      </c>
      <c r="I1986" s="34" t="s">
        <v>25</v>
      </c>
      <c r="J1986" s="327"/>
      <c r="K1986" s="37"/>
      <c r="L1986" s="1128"/>
      <c r="M1986" s="327"/>
      <c r="N1986" s="327"/>
      <c r="O1986" s="1129"/>
    </row>
    <row r="1987" spans="1:15" ht="18.75" customHeight="1" x14ac:dyDescent="0.3">
      <c r="A1987" s="2402">
        <v>1981</v>
      </c>
      <c r="B1987" s="1130" t="s">
        <v>3079</v>
      </c>
      <c r="C1987" s="216" t="s">
        <v>1344</v>
      </c>
      <c r="D1987" s="416" t="s">
        <v>550</v>
      </c>
      <c r="E1987" s="217" t="s">
        <v>3116</v>
      </c>
      <c r="F1987" s="218" t="s">
        <v>3081</v>
      </c>
      <c r="G1987" s="568">
        <v>1850</v>
      </c>
      <c r="H1987" s="1776" t="s">
        <v>1349</v>
      </c>
      <c r="I1987" s="34" t="s">
        <v>25</v>
      </c>
      <c r="J1987" s="327"/>
      <c r="K1987" s="37"/>
      <c r="L1987" s="1128"/>
      <c r="M1987" s="327"/>
      <c r="N1987" s="327"/>
      <c r="O1987" s="1129"/>
    </row>
    <row r="1988" spans="1:15" ht="18.75" customHeight="1" x14ac:dyDescent="0.3">
      <c r="A1988" s="2402">
        <v>1982</v>
      </c>
      <c r="B1988" s="1130" t="s">
        <v>3079</v>
      </c>
      <c r="C1988" s="216" t="s">
        <v>1344</v>
      </c>
      <c r="D1988" s="416" t="s">
        <v>550</v>
      </c>
      <c r="E1988" s="217" t="s">
        <v>3117</v>
      </c>
      <c r="F1988" s="218" t="s">
        <v>3081</v>
      </c>
      <c r="G1988" s="568">
        <v>1850</v>
      </c>
      <c r="H1988" s="1776" t="s">
        <v>1349</v>
      </c>
      <c r="I1988" s="34" t="s">
        <v>25</v>
      </c>
      <c r="J1988" s="327"/>
      <c r="K1988" s="37"/>
      <c r="L1988" s="1128"/>
      <c r="M1988" s="327"/>
      <c r="N1988" s="327"/>
      <c r="O1988" s="1129"/>
    </row>
    <row r="1989" spans="1:15" ht="18.75" customHeight="1" x14ac:dyDescent="0.3">
      <c r="A1989" s="2402">
        <v>1983</v>
      </c>
      <c r="B1989" s="1130" t="s">
        <v>3079</v>
      </c>
      <c r="C1989" s="216" t="s">
        <v>1344</v>
      </c>
      <c r="D1989" s="416" t="s">
        <v>550</v>
      </c>
      <c r="E1989" s="217" t="s">
        <v>3118</v>
      </c>
      <c r="F1989" s="218" t="s">
        <v>3081</v>
      </c>
      <c r="G1989" s="568">
        <v>1850</v>
      </c>
      <c r="H1989" s="1776" t="s">
        <v>1349</v>
      </c>
      <c r="I1989" s="34" t="s">
        <v>25</v>
      </c>
      <c r="J1989" s="327"/>
      <c r="K1989" s="37"/>
      <c r="L1989" s="1128"/>
      <c r="M1989" s="327"/>
      <c r="N1989" s="327"/>
      <c r="O1989" s="1129"/>
    </row>
    <row r="1990" spans="1:15" ht="18.75" customHeight="1" x14ac:dyDescent="0.3">
      <c r="A1990" s="2401">
        <v>1984</v>
      </c>
      <c r="B1990" s="1130" t="s">
        <v>3079</v>
      </c>
      <c r="C1990" s="216" t="s">
        <v>1344</v>
      </c>
      <c r="D1990" s="416" t="s">
        <v>550</v>
      </c>
      <c r="E1990" s="217" t="s">
        <v>3119</v>
      </c>
      <c r="F1990" s="218" t="s">
        <v>3081</v>
      </c>
      <c r="G1990" s="568">
        <v>1850</v>
      </c>
      <c r="H1990" s="1776" t="s">
        <v>1349</v>
      </c>
      <c r="I1990" s="34" t="s">
        <v>25</v>
      </c>
      <c r="J1990" s="327"/>
      <c r="K1990" s="37"/>
      <c r="L1990" s="1128"/>
      <c r="M1990" s="327"/>
      <c r="N1990" s="327"/>
      <c r="O1990" s="1129"/>
    </row>
    <row r="1991" spans="1:15" ht="18.75" customHeight="1" x14ac:dyDescent="0.3">
      <c r="A1991" s="2402">
        <v>1985</v>
      </c>
      <c r="B1991" s="1130" t="s">
        <v>3079</v>
      </c>
      <c r="C1991" s="216" t="s">
        <v>1344</v>
      </c>
      <c r="D1991" s="416" t="s">
        <v>550</v>
      </c>
      <c r="E1991" s="217" t="s">
        <v>3120</v>
      </c>
      <c r="F1991" s="218" t="s">
        <v>3081</v>
      </c>
      <c r="G1991" s="568">
        <v>1850</v>
      </c>
      <c r="H1991" s="1776" t="s">
        <v>1349</v>
      </c>
      <c r="I1991" s="34" t="s">
        <v>25</v>
      </c>
      <c r="J1991" s="327"/>
      <c r="K1991" s="37"/>
      <c r="L1991" s="1128"/>
      <c r="M1991" s="327"/>
      <c r="N1991" s="327"/>
      <c r="O1991" s="1129"/>
    </row>
    <row r="1992" spans="1:15" ht="18.75" customHeight="1" x14ac:dyDescent="0.3">
      <c r="A1992" s="2402">
        <v>1986</v>
      </c>
      <c r="B1992" s="1130" t="s">
        <v>3079</v>
      </c>
      <c r="C1992" s="216" t="s">
        <v>1344</v>
      </c>
      <c r="D1992" s="416" t="s">
        <v>550</v>
      </c>
      <c r="E1992" s="217" t="s">
        <v>3121</v>
      </c>
      <c r="F1992" s="218" t="s">
        <v>3081</v>
      </c>
      <c r="G1992" s="568">
        <v>1850</v>
      </c>
      <c r="H1992" s="1776" t="s">
        <v>1349</v>
      </c>
      <c r="I1992" s="34" t="s">
        <v>25</v>
      </c>
      <c r="J1992" s="327"/>
      <c r="K1992" s="37"/>
      <c r="L1992" s="1128"/>
      <c r="M1992" s="327"/>
      <c r="N1992" s="327"/>
      <c r="O1992" s="1129"/>
    </row>
    <row r="1993" spans="1:15" ht="18.75" customHeight="1" x14ac:dyDescent="0.3">
      <c r="A1993" s="2401">
        <v>1987</v>
      </c>
      <c r="B1993" s="1130" t="s">
        <v>3079</v>
      </c>
      <c r="C1993" s="216" t="s">
        <v>1344</v>
      </c>
      <c r="D1993" s="416" t="s">
        <v>550</v>
      </c>
      <c r="E1993" s="217" t="s">
        <v>3122</v>
      </c>
      <c r="F1993" s="218" t="s">
        <v>3081</v>
      </c>
      <c r="G1993" s="568">
        <v>1850</v>
      </c>
      <c r="H1993" s="1776" t="s">
        <v>1349</v>
      </c>
      <c r="I1993" s="34" t="s">
        <v>25</v>
      </c>
      <c r="J1993" s="327"/>
      <c r="K1993" s="37"/>
      <c r="L1993" s="1128"/>
      <c r="M1993" s="327"/>
      <c r="N1993" s="327"/>
      <c r="O1993" s="1129"/>
    </row>
    <row r="1994" spans="1:15" ht="18.75" customHeight="1" x14ac:dyDescent="0.3">
      <c r="A1994" s="2402">
        <v>1988</v>
      </c>
      <c r="B1994" s="1130" t="s">
        <v>3079</v>
      </c>
      <c r="C1994" s="216" t="s">
        <v>1344</v>
      </c>
      <c r="D1994" s="452" t="s">
        <v>550</v>
      </c>
      <c r="E1994" s="217" t="s">
        <v>3123</v>
      </c>
      <c r="F1994" s="218" t="s">
        <v>3081</v>
      </c>
      <c r="G1994" s="568">
        <v>1850</v>
      </c>
      <c r="H1994" s="1776" t="s">
        <v>1349</v>
      </c>
      <c r="I1994" s="34" t="s">
        <v>25</v>
      </c>
      <c r="J1994" s="327"/>
      <c r="K1994" s="37"/>
      <c r="L1994" s="1128"/>
      <c r="M1994" s="327"/>
      <c r="N1994" s="327"/>
      <c r="O1994" s="1129"/>
    </row>
    <row r="1995" spans="1:15" ht="18.75" customHeight="1" x14ac:dyDescent="0.3">
      <c r="A1995" s="2402">
        <v>1989</v>
      </c>
      <c r="B1995" s="1130" t="s">
        <v>3079</v>
      </c>
      <c r="C1995" s="216" t="s">
        <v>1344</v>
      </c>
      <c r="D1995" s="495" t="s">
        <v>550</v>
      </c>
      <c r="E1995" s="217" t="s">
        <v>3124</v>
      </c>
      <c r="F1995" s="218" t="s">
        <v>3081</v>
      </c>
      <c r="G1995" s="568">
        <v>1850</v>
      </c>
      <c r="H1995" s="1776" t="s">
        <v>1349</v>
      </c>
      <c r="I1995" s="34" t="s">
        <v>25</v>
      </c>
      <c r="J1995" s="327"/>
      <c r="K1995" s="37"/>
      <c r="L1995" s="1128"/>
      <c r="M1995" s="327"/>
      <c r="N1995" s="327"/>
      <c r="O1995" s="1129"/>
    </row>
    <row r="1996" spans="1:15" ht="18.75" customHeight="1" x14ac:dyDescent="0.3">
      <c r="A1996" s="2402">
        <v>1990</v>
      </c>
      <c r="B1996" s="1130" t="s">
        <v>3079</v>
      </c>
      <c r="C1996" s="216" t="s">
        <v>1344</v>
      </c>
      <c r="D1996" s="793" t="s">
        <v>550</v>
      </c>
      <c r="E1996" s="217" t="s">
        <v>3125</v>
      </c>
      <c r="F1996" s="218" t="s">
        <v>3081</v>
      </c>
      <c r="G1996" s="568">
        <v>1850</v>
      </c>
      <c r="H1996" s="1776" t="s">
        <v>1349</v>
      </c>
      <c r="I1996" s="34" t="s">
        <v>25</v>
      </c>
      <c r="J1996" s="327"/>
      <c r="K1996" s="37"/>
      <c r="L1996" s="1128"/>
      <c r="M1996" s="327"/>
      <c r="N1996" s="327"/>
      <c r="O1996" s="1129"/>
    </row>
    <row r="1997" spans="1:15" ht="18.75" customHeight="1" x14ac:dyDescent="0.3">
      <c r="A1997" s="2402">
        <v>1991</v>
      </c>
      <c r="B1997" s="1130" t="s">
        <v>3079</v>
      </c>
      <c r="C1997" s="216" t="s">
        <v>1344</v>
      </c>
      <c r="D1997" s="416" t="s">
        <v>550</v>
      </c>
      <c r="E1997" s="217" t="s">
        <v>3126</v>
      </c>
      <c r="F1997" s="218" t="s">
        <v>3081</v>
      </c>
      <c r="G1997" s="568">
        <v>1850</v>
      </c>
      <c r="H1997" s="1776" t="s">
        <v>1349</v>
      </c>
      <c r="I1997" s="34" t="s">
        <v>25</v>
      </c>
      <c r="J1997" s="327"/>
      <c r="K1997" s="37"/>
      <c r="L1997" s="1128"/>
      <c r="M1997" s="327"/>
      <c r="N1997" s="327"/>
      <c r="O1997" s="1129"/>
    </row>
    <row r="1998" spans="1:15" ht="18.75" customHeight="1" x14ac:dyDescent="0.3">
      <c r="A1998" s="2401">
        <v>1992</v>
      </c>
      <c r="B1998" s="1130" t="s">
        <v>3079</v>
      </c>
      <c r="C1998" s="216" t="s">
        <v>1344</v>
      </c>
      <c r="D1998" s="416" t="s">
        <v>550</v>
      </c>
      <c r="E1998" s="217" t="s">
        <v>3127</v>
      </c>
      <c r="F1998" s="218" t="s">
        <v>3081</v>
      </c>
      <c r="G1998" s="568">
        <v>1850</v>
      </c>
      <c r="H1998" s="1776" t="s">
        <v>1349</v>
      </c>
      <c r="I1998" s="34" t="s">
        <v>25</v>
      </c>
      <c r="J1998" s="327"/>
      <c r="K1998" s="37"/>
      <c r="L1998" s="1128"/>
      <c r="M1998" s="327"/>
      <c r="N1998" s="327"/>
      <c r="O1998" s="1129"/>
    </row>
    <row r="1999" spans="1:15" ht="18.75" customHeight="1" x14ac:dyDescent="0.3">
      <c r="A1999" s="2402">
        <v>1993</v>
      </c>
      <c r="B1999" s="1130" t="s">
        <v>3079</v>
      </c>
      <c r="C1999" s="216" t="s">
        <v>1344</v>
      </c>
      <c r="D1999" s="416" t="s">
        <v>550</v>
      </c>
      <c r="E1999" s="217" t="s">
        <v>3128</v>
      </c>
      <c r="F1999" s="218" t="s">
        <v>3081</v>
      </c>
      <c r="G1999" s="568">
        <v>1850</v>
      </c>
      <c r="H1999" s="1776" t="s">
        <v>1349</v>
      </c>
      <c r="I1999" s="34" t="s">
        <v>25</v>
      </c>
      <c r="J1999" s="327"/>
      <c r="K1999" s="37"/>
      <c r="L1999" s="1128"/>
      <c r="M1999" s="327"/>
      <c r="N1999" s="327"/>
      <c r="O1999" s="1129"/>
    </row>
    <row r="2000" spans="1:15" ht="18.75" customHeight="1" x14ac:dyDescent="0.3">
      <c r="A2000" s="2402">
        <v>1994</v>
      </c>
      <c r="B2000" s="1130" t="s">
        <v>3079</v>
      </c>
      <c r="C2000" s="216" t="s">
        <v>1344</v>
      </c>
      <c r="D2000" s="416" t="s">
        <v>550</v>
      </c>
      <c r="E2000" s="217" t="s">
        <v>3129</v>
      </c>
      <c r="F2000" s="218" t="s">
        <v>3081</v>
      </c>
      <c r="G2000" s="568">
        <v>1850</v>
      </c>
      <c r="H2000" s="1776" t="s">
        <v>1349</v>
      </c>
      <c r="I2000" s="34" t="s">
        <v>25</v>
      </c>
      <c r="J2000" s="327"/>
      <c r="K2000" s="37"/>
      <c r="L2000" s="1128"/>
      <c r="M2000" s="327"/>
      <c r="N2000" s="327"/>
      <c r="O2000" s="1129"/>
    </row>
    <row r="2001" spans="1:15" ht="18.75" customHeight="1" x14ac:dyDescent="0.3">
      <c r="A2001" s="2401">
        <v>1995</v>
      </c>
      <c r="B2001" s="1130" t="s">
        <v>3079</v>
      </c>
      <c r="C2001" s="216" t="s">
        <v>1344</v>
      </c>
      <c r="D2001" s="416" t="s">
        <v>550</v>
      </c>
      <c r="E2001" s="217" t="s">
        <v>3130</v>
      </c>
      <c r="F2001" s="218" t="s">
        <v>3081</v>
      </c>
      <c r="G2001" s="568">
        <v>1850</v>
      </c>
      <c r="H2001" s="1776" t="s">
        <v>1349</v>
      </c>
      <c r="I2001" s="34" t="s">
        <v>25</v>
      </c>
      <c r="J2001" s="327"/>
      <c r="K2001" s="37"/>
      <c r="L2001" s="1128"/>
      <c r="M2001" s="327"/>
      <c r="N2001" s="327"/>
      <c r="O2001" s="1129"/>
    </row>
    <row r="2002" spans="1:15" ht="18.75" customHeight="1" x14ac:dyDescent="0.3">
      <c r="A2002" s="2402">
        <v>1996</v>
      </c>
      <c r="B2002" s="1130" t="s">
        <v>3079</v>
      </c>
      <c r="C2002" s="216" t="s">
        <v>1344</v>
      </c>
      <c r="D2002" s="416" t="s">
        <v>550</v>
      </c>
      <c r="E2002" s="217" t="s">
        <v>3131</v>
      </c>
      <c r="F2002" s="218" t="s">
        <v>3081</v>
      </c>
      <c r="G2002" s="568">
        <v>1850</v>
      </c>
      <c r="H2002" s="1776" t="s">
        <v>1349</v>
      </c>
      <c r="I2002" s="34" t="s">
        <v>25</v>
      </c>
      <c r="J2002" s="327"/>
      <c r="K2002" s="37"/>
      <c r="L2002" s="1128"/>
      <c r="M2002" s="327"/>
      <c r="N2002" s="327"/>
      <c r="O2002" s="1129"/>
    </row>
    <row r="2003" spans="1:15" ht="18.75" customHeight="1" x14ac:dyDescent="0.3">
      <c r="A2003" s="2402">
        <v>1997</v>
      </c>
      <c r="B2003" s="1130" t="s">
        <v>3079</v>
      </c>
      <c r="C2003" s="216" t="s">
        <v>1344</v>
      </c>
      <c r="D2003" s="416" t="s">
        <v>550</v>
      </c>
      <c r="E2003" s="217" t="s">
        <v>3132</v>
      </c>
      <c r="F2003" s="218" t="s">
        <v>3081</v>
      </c>
      <c r="G2003" s="568">
        <v>1850</v>
      </c>
      <c r="H2003" s="1776" t="s">
        <v>1349</v>
      </c>
      <c r="I2003" s="34" t="s">
        <v>25</v>
      </c>
      <c r="J2003" s="327"/>
      <c r="K2003" s="37"/>
      <c r="L2003" s="1128"/>
      <c r="M2003" s="327"/>
      <c r="N2003" s="327"/>
      <c r="O2003" s="1129"/>
    </row>
    <row r="2004" spans="1:15" ht="18.75" customHeight="1" x14ac:dyDescent="0.3">
      <c r="A2004" s="2402">
        <v>1998</v>
      </c>
      <c r="B2004" s="1130" t="s">
        <v>3079</v>
      </c>
      <c r="C2004" s="216" t="s">
        <v>1344</v>
      </c>
      <c r="D2004" s="416" t="s">
        <v>550</v>
      </c>
      <c r="E2004" s="217" t="s">
        <v>3133</v>
      </c>
      <c r="F2004" s="218" t="s">
        <v>3081</v>
      </c>
      <c r="G2004" s="568">
        <v>1850</v>
      </c>
      <c r="H2004" s="1776" t="s">
        <v>1349</v>
      </c>
      <c r="I2004" s="34" t="s">
        <v>25</v>
      </c>
      <c r="J2004" s="327"/>
      <c r="K2004" s="37"/>
      <c r="L2004" s="1128"/>
      <c r="M2004" s="327"/>
      <c r="N2004" s="327"/>
      <c r="O2004" s="1129"/>
    </row>
    <row r="2005" spans="1:15" ht="18.75" customHeight="1" x14ac:dyDescent="0.3">
      <c r="A2005" s="2402">
        <v>1999</v>
      </c>
      <c r="B2005" s="1130" t="s">
        <v>3079</v>
      </c>
      <c r="C2005" s="216" t="s">
        <v>1344</v>
      </c>
      <c r="D2005" s="416" t="s">
        <v>550</v>
      </c>
      <c r="E2005" s="217" t="s">
        <v>3134</v>
      </c>
      <c r="F2005" s="218" t="s">
        <v>3081</v>
      </c>
      <c r="G2005" s="568">
        <v>1850</v>
      </c>
      <c r="H2005" s="1776" t="s">
        <v>1349</v>
      </c>
      <c r="I2005" s="34" t="s">
        <v>25</v>
      </c>
      <c r="J2005" s="327"/>
      <c r="K2005" s="37"/>
      <c r="L2005" s="1128"/>
      <c r="M2005" s="327"/>
      <c r="N2005" s="327"/>
      <c r="O2005" s="1129"/>
    </row>
    <row r="2006" spans="1:15" ht="18.75" customHeight="1" x14ac:dyDescent="0.3">
      <c r="A2006" s="2401">
        <v>2000</v>
      </c>
      <c r="B2006" s="1130" t="s">
        <v>3079</v>
      </c>
      <c r="C2006" s="216" t="s">
        <v>1344</v>
      </c>
      <c r="D2006" s="416" t="s">
        <v>550</v>
      </c>
      <c r="E2006" s="217" t="s">
        <v>3135</v>
      </c>
      <c r="F2006" s="218" t="s">
        <v>3081</v>
      </c>
      <c r="G2006" s="568">
        <v>1850</v>
      </c>
      <c r="H2006" s="1776" t="s">
        <v>1349</v>
      </c>
      <c r="I2006" s="34" t="s">
        <v>25</v>
      </c>
      <c r="J2006" s="327"/>
      <c r="K2006" s="37"/>
      <c r="L2006" s="1128"/>
      <c r="M2006" s="327"/>
      <c r="N2006" s="327"/>
      <c r="O2006" s="1129"/>
    </row>
    <row r="2007" spans="1:15" ht="18.75" customHeight="1" x14ac:dyDescent="0.3">
      <c r="A2007" s="2402">
        <v>2001</v>
      </c>
      <c r="B2007" s="1130" t="s">
        <v>3079</v>
      </c>
      <c r="C2007" s="216" t="s">
        <v>1344</v>
      </c>
      <c r="D2007" s="416" t="s">
        <v>550</v>
      </c>
      <c r="E2007" s="217" t="s">
        <v>3136</v>
      </c>
      <c r="F2007" s="218" t="s">
        <v>3081</v>
      </c>
      <c r="G2007" s="568">
        <v>1850</v>
      </c>
      <c r="H2007" s="1776" t="s">
        <v>1349</v>
      </c>
      <c r="I2007" s="34" t="s">
        <v>25</v>
      </c>
      <c r="J2007" s="327"/>
      <c r="K2007" s="37"/>
      <c r="L2007" s="1128"/>
      <c r="M2007" s="327"/>
      <c r="N2007" s="327"/>
      <c r="O2007" s="1129"/>
    </row>
    <row r="2008" spans="1:15" ht="18.75" customHeight="1" x14ac:dyDescent="0.3">
      <c r="A2008" s="2402">
        <v>2002</v>
      </c>
      <c r="B2008" s="1130" t="s">
        <v>3079</v>
      </c>
      <c r="C2008" s="216" t="s">
        <v>1344</v>
      </c>
      <c r="D2008" s="416" t="s">
        <v>550</v>
      </c>
      <c r="E2008" s="217" t="s">
        <v>3137</v>
      </c>
      <c r="F2008" s="218" t="s">
        <v>3081</v>
      </c>
      <c r="G2008" s="568">
        <v>1850</v>
      </c>
      <c r="H2008" s="1776" t="s">
        <v>1349</v>
      </c>
      <c r="I2008" s="34" t="s">
        <v>25</v>
      </c>
      <c r="J2008" s="327"/>
      <c r="K2008" s="37"/>
      <c r="L2008" s="1128"/>
      <c r="M2008" s="327"/>
      <c r="N2008" s="327"/>
      <c r="O2008" s="1129"/>
    </row>
    <row r="2009" spans="1:15" ht="18.75" customHeight="1" x14ac:dyDescent="0.3">
      <c r="A2009" s="2401">
        <v>2003</v>
      </c>
      <c r="B2009" s="1130" t="s">
        <v>3079</v>
      </c>
      <c r="C2009" s="216" t="s">
        <v>1344</v>
      </c>
      <c r="D2009" s="416" t="s">
        <v>550</v>
      </c>
      <c r="E2009" s="217" t="s">
        <v>3138</v>
      </c>
      <c r="F2009" s="218" t="s">
        <v>3081</v>
      </c>
      <c r="G2009" s="568">
        <v>1850</v>
      </c>
      <c r="H2009" s="1776" t="s">
        <v>1349</v>
      </c>
      <c r="I2009" s="34" t="s">
        <v>25</v>
      </c>
      <c r="J2009" s="327"/>
      <c r="K2009" s="37"/>
      <c r="L2009" s="1128"/>
      <c r="M2009" s="327"/>
      <c r="N2009" s="327"/>
      <c r="O2009" s="1129"/>
    </row>
    <row r="2010" spans="1:15" ht="18.75" customHeight="1" x14ac:dyDescent="0.3">
      <c r="A2010" s="2402">
        <v>2004</v>
      </c>
      <c r="B2010" s="1130" t="s">
        <v>3079</v>
      </c>
      <c r="C2010" s="216" t="s">
        <v>1344</v>
      </c>
      <c r="D2010" s="416" t="s">
        <v>550</v>
      </c>
      <c r="E2010" s="217" t="s">
        <v>3139</v>
      </c>
      <c r="F2010" s="218" t="s">
        <v>3081</v>
      </c>
      <c r="G2010" s="568">
        <v>1850</v>
      </c>
      <c r="H2010" s="1776" t="s">
        <v>1349</v>
      </c>
      <c r="I2010" s="34" t="s">
        <v>25</v>
      </c>
      <c r="J2010" s="327"/>
      <c r="K2010" s="37"/>
      <c r="L2010" s="1128"/>
      <c r="M2010" s="327"/>
      <c r="N2010" s="327"/>
      <c r="O2010" s="1129"/>
    </row>
    <row r="2011" spans="1:15" ht="18.75" customHeight="1" x14ac:dyDescent="0.3">
      <c r="A2011" s="2402">
        <v>2005</v>
      </c>
      <c r="B2011" s="1130" t="s">
        <v>3079</v>
      </c>
      <c r="C2011" s="216" t="s">
        <v>1344</v>
      </c>
      <c r="D2011" s="416" t="s">
        <v>550</v>
      </c>
      <c r="E2011" s="217" t="s">
        <v>3140</v>
      </c>
      <c r="F2011" s="218" t="s">
        <v>3081</v>
      </c>
      <c r="G2011" s="568">
        <v>1850</v>
      </c>
      <c r="H2011" s="1776" t="s">
        <v>1349</v>
      </c>
      <c r="I2011" s="34" t="s">
        <v>25</v>
      </c>
      <c r="J2011" s="327"/>
      <c r="K2011" s="37"/>
      <c r="L2011" s="1128"/>
      <c r="M2011" s="327"/>
      <c r="N2011" s="327"/>
      <c r="O2011" s="1129"/>
    </row>
    <row r="2012" spans="1:15" ht="18.75" customHeight="1" x14ac:dyDescent="0.3">
      <c r="A2012" s="2402">
        <v>2006</v>
      </c>
      <c r="B2012" s="1130" t="s">
        <v>3079</v>
      </c>
      <c r="C2012" s="216" t="s">
        <v>1344</v>
      </c>
      <c r="D2012" s="416" t="s">
        <v>550</v>
      </c>
      <c r="E2012" s="217" t="s">
        <v>3141</v>
      </c>
      <c r="F2012" s="218" t="s">
        <v>3081</v>
      </c>
      <c r="G2012" s="568">
        <v>1850</v>
      </c>
      <c r="H2012" s="1776" t="s">
        <v>1349</v>
      </c>
      <c r="I2012" s="34" t="s">
        <v>25</v>
      </c>
      <c r="J2012" s="327"/>
      <c r="K2012" s="37"/>
      <c r="L2012" s="1128"/>
      <c r="M2012" s="327"/>
      <c r="N2012" s="327"/>
      <c r="O2012" s="1129"/>
    </row>
    <row r="2013" spans="1:15" ht="18.75" customHeight="1" x14ac:dyDescent="0.3">
      <c r="A2013" s="2402">
        <v>2007</v>
      </c>
      <c r="B2013" s="1130" t="s">
        <v>3079</v>
      </c>
      <c r="C2013" s="216" t="s">
        <v>1344</v>
      </c>
      <c r="D2013" s="416" t="s">
        <v>550</v>
      </c>
      <c r="E2013" s="217" t="s">
        <v>3142</v>
      </c>
      <c r="F2013" s="218" t="s">
        <v>3081</v>
      </c>
      <c r="G2013" s="568">
        <v>1850</v>
      </c>
      <c r="H2013" s="1776" t="s">
        <v>1349</v>
      </c>
      <c r="I2013" s="34" t="s">
        <v>25</v>
      </c>
      <c r="J2013" s="327"/>
      <c r="K2013" s="37"/>
      <c r="L2013" s="1128"/>
      <c r="M2013" s="327"/>
      <c r="N2013" s="327"/>
      <c r="O2013" s="1129"/>
    </row>
    <row r="2014" spans="1:15" ht="18.75" customHeight="1" x14ac:dyDescent="0.3">
      <c r="A2014" s="2401">
        <v>2008</v>
      </c>
      <c r="B2014" s="1130" t="s">
        <v>3079</v>
      </c>
      <c r="C2014" s="216" t="s">
        <v>1344</v>
      </c>
      <c r="D2014" s="416" t="s">
        <v>550</v>
      </c>
      <c r="E2014" s="217" t="s">
        <v>3143</v>
      </c>
      <c r="F2014" s="218" t="s">
        <v>3081</v>
      </c>
      <c r="G2014" s="568">
        <v>1850</v>
      </c>
      <c r="H2014" s="1776" t="s">
        <v>1349</v>
      </c>
      <c r="I2014" s="34" t="s">
        <v>25</v>
      </c>
      <c r="J2014" s="327"/>
      <c r="K2014" s="37"/>
      <c r="L2014" s="1128"/>
      <c r="M2014" s="327"/>
      <c r="N2014" s="327"/>
      <c r="O2014" s="1129"/>
    </row>
    <row r="2015" spans="1:15" ht="18.75" customHeight="1" x14ac:dyDescent="0.3">
      <c r="A2015" s="2402">
        <v>2009</v>
      </c>
      <c r="B2015" s="1130" t="s">
        <v>3079</v>
      </c>
      <c r="C2015" s="216" t="s">
        <v>1344</v>
      </c>
      <c r="D2015" s="416" t="s">
        <v>550</v>
      </c>
      <c r="E2015" s="217" t="s">
        <v>3144</v>
      </c>
      <c r="F2015" s="218" t="s">
        <v>3081</v>
      </c>
      <c r="G2015" s="568">
        <v>1850</v>
      </c>
      <c r="H2015" s="1776" t="s">
        <v>1349</v>
      </c>
      <c r="I2015" s="34" t="s">
        <v>25</v>
      </c>
      <c r="J2015" s="327"/>
      <c r="K2015" s="37"/>
      <c r="L2015" s="1128"/>
      <c r="M2015" s="327"/>
      <c r="N2015" s="327"/>
      <c r="O2015" s="1129"/>
    </row>
    <row r="2016" spans="1:15" ht="18.75" customHeight="1" x14ac:dyDescent="0.3">
      <c r="A2016" s="2402">
        <v>2010</v>
      </c>
      <c r="B2016" s="1130" t="s">
        <v>3079</v>
      </c>
      <c r="C2016" s="216" t="s">
        <v>1344</v>
      </c>
      <c r="D2016" s="416" t="s">
        <v>550</v>
      </c>
      <c r="E2016" s="217" t="s">
        <v>3145</v>
      </c>
      <c r="F2016" s="218" t="s">
        <v>3081</v>
      </c>
      <c r="G2016" s="568">
        <v>1850</v>
      </c>
      <c r="H2016" s="1776" t="s">
        <v>1349</v>
      </c>
      <c r="I2016" s="34" t="s">
        <v>25</v>
      </c>
      <c r="J2016" s="327"/>
      <c r="K2016" s="37"/>
      <c r="L2016" s="1128"/>
      <c r="M2016" s="327"/>
      <c r="N2016" s="327"/>
      <c r="O2016" s="1129"/>
    </row>
    <row r="2017" spans="1:15" ht="18.75" customHeight="1" x14ac:dyDescent="0.3">
      <c r="A2017" s="2401">
        <v>2011</v>
      </c>
      <c r="B2017" s="1130" t="s">
        <v>3079</v>
      </c>
      <c r="C2017" s="216" t="s">
        <v>1344</v>
      </c>
      <c r="D2017" s="416" t="s">
        <v>550</v>
      </c>
      <c r="E2017" s="217" t="s">
        <v>3146</v>
      </c>
      <c r="F2017" s="218" t="s">
        <v>3081</v>
      </c>
      <c r="G2017" s="568">
        <v>1850</v>
      </c>
      <c r="H2017" s="1776" t="s">
        <v>1349</v>
      </c>
      <c r="I2017" s="34" t="s">
        <v>25</v>
      </c>
      <c r="J2017" s="327"/>
      <c r="K2017" s="37"/>
      <c r="L2017" s="1128"/>
      <c r="M2017" s="327"/>
      <c r="N2017" s="327"/>
      <c r="O2017" s="1129"/>
    </row>
    <row r="2018" spans="1:15" ht="18.75" customHeight="1" x14ac:dyDescent="0.3">
      <c r="A2018" s="2402">
        <v>2012</v>
      </c>
      <c r="B2018" s="1130" t="s">
        <v>3079</v>
      </c>
      <c r="C2018" s="216" t="s">
        <v>1344</v>
      </c>
      <c r="D2018" s="416" t="s">
        <v>550</v>
      </c>
      <c r="E2018" s="217" t="s">
        <v>3147</v>
      </c>
      <c r="F2018" s="218" t="s">
        <v>3081</v>
      </c>
      <c r="G2018" s="568">
        <v>1850</v>
      </c>
      <c r="H2018" s="1776" t="s">
        <v>1349</v>
      </c>
      <c r="I2018" s="34" t="s">
        <v>25</v>
      </c>
      <c r="J2018" s="327"/>
      <c r="K2018" s="37"/>
      <c r="L2018" s="1128"/>
      <c r="M2018" s="327"/>
      <c r="N2018" s="327"/>
      <c r="O2018" s="1129"/>
    </row>
    <row r="2019" spans="1:15" ht="18.75" customHeight="1" x14ac:dyDescent="0.3">
      <c r="A2019" s="2402">
        <v>2013</v>
      </c>
      <c r="B2019" s="1130" t="s">
        <v>3079</v>
      </c>
      <c r="C2019" s="216" t="s">
        <v>1344</v>
      </c>
      <c r="D2019" s="416" t="s">
        <v>550</v>
      </c>
      <c r="E2019" s="217" t="s">
        <v>3148</v>
      </c>
      <c r="F2019" s="218" t="s">
        <v>3081</v>
      </c>
      <c r="G2019" s="568">
        <v>1850</v>
      </c>
      <c r="H2019" s="1776" t="s">
        <v>1349</v>
      </c>
      <c r="I2019" s="34" t="s">
        <v>25</v>
      </c>
      <c r="J2019" s="327"/>
      <c r="K2019" s="37"/>
      <c r="L2019" s="1128"/>
      <c r="M2019" s="327"/>
      <c r="N2019" s="327"/>
      <c r="O2019" s="1129"/>
    </row>
    <row r="2020" spans="1:15" ht="18.75" customHeight="1" x14ac:dyDescent="0.3">
      <c r="A2020" s="2402">
        <v>2014</v>
      </c>
      <c r="B2020" s="1130" t="s">
        <v>3079</v>
      </c>
      <c r="C2020" s="216" t="s">
        <v>1344</v>
      </c>
      <c r="D2020" s="416" t="s">
        <v>550</v>
      </c>
      <c r="E2020" s="217" t="s">
        <v>3149</v>
      </c>
      <c r="F2020" s="218" t="s">
        <v>3081</v>
      </c>
      <c r="G2020" s="568">
        <v>1850</v>
      </c>
      <c r="H2020" s="1776" t="s">
        <v>1349</v>
      </c>
      <c r="I2020" s="34" t="s">
        <v>25</v>
      </c>
      <c r="J2020" s="327"/>
      <c r="K2020" s="37"/>
      <c r="L2020" s="1128"/>
      <c r="M2020" s="327"/>
      <c r="N2020" s="327"/>
      <c r="O2020" s="1129"/>
    </row>
    <row r="2021" spans="1:15" ht="18.75" customHeight="1" x14ac:dyDescent="0.3">
      <c r="A2021" s="2402">
        <v>2015</v>
      </c>
      <c r="B2021" s="1130" t="s">
        <v>3079</v>
      </c>
      <c r="C2021" s="216" t="s">
        <v>1344</v>
      </c>
      <c r="D2021" s="416" t="s">
        <v>550</v>
      </c>
      <c r="E2021" s="217" t="s">
        <v>3150</v>
      </c>
      <c r="F2021" s="218" t="s">
        <v>3081</v>
      </c>
      <c r="G2021" s="568">
        <v>1850</v>
      </c>
      <c r="H2021" s="1776" t="s">
        <v>1349</v>
      </c>
      <c r="I2021" s="34" t="s">
        <v>25</v>
      </c>
      <c r="J2021" s="327"/>
      <c r="K2021" s="37"/>
      <c r="L2021" s="1128"/>
      <c r="M2021" s="327"/>
      <c r="N2021" s="327"/>
      <c r="O2021" s="1129"/>
    </row>
    <row r="2022" spans="1:15" ht="18.75" customHeight="1" x14ac:dyDescent="0.3">
      <c r="A2022" s="2401">
        <v>2016</v>
      </c>
      <c r="B2022" s="1130" t="s">
        <v>3079</v>
      </c>
      <c r="C2022" s="216" t="s">
        <v>1344</v>
      </c>
      <c r="D2022" s="416" t="s">
        <v>550</v>
      </c>
      <c r="E2022" s="217" t="s">
        <v>3151</v>
      </c>
      <c r="F2022" s="218" t="s">
        <v>3081</v>
      </c>
      <c r="G2022" s="568">
        <v>1850</v>
      </c>
      <c r="H2022" s="1776" t="s">
        <v>1349</v>
      </c>
      <c r="I2022" s="34" t="s">
        <v>25</v>
      </c>
      <c r="J2022" s="327"/>
      <c r="K2022" s="37"/>
      <c r="L2022" s="1128"/>
      <c r="M2022" s="327"/>
      <c r="N2022" s="327"/>
      <c r="O2022" s="1129"/>
    </row>
    <row r="2023" spans="1:15" ht="18.75" customHeight="1" x14ac:dyDescent="0.3">
      <c r="A2023" s="2402">
        <v>2017</v>
      </c>
      <c r="B2023" s="1130" t="s">
        <v>3079</v>
      </c>
      <c r="C2023" s="216" t="s">
        <v>1344</v>
      </c>
      <c r="D2023" s="416" t="s">
        <v>550</v>
      </c>
      <c r="E2023" s="217" t="s">
        <v>3152</v>
      </c>
      <c r="F2023" s="218" t="s">
        <v>3081</v>
      </c>
      <c r="G2023" s="568">
        <v>1850</v>
      </c>
      <c r="H2023" s="1776" t="s">
        <v>1349</v>
      </c>
      <c r="I2023" s="34" t="s">
        <v>25</v>
      </c>
      <c r="J2023" s="327"/>
      <c r="K2023" s="37"/>
      <c r="L2023" s="1128"/>
      <c r="M2023" s="327"/>
      <c r="N2023" s="327"/>
      <c r="O2023" s="1129"/>
    </row>
    <row r="2024" spans="1:15" ht="18.75" customHeight="1" x14ac:dyDescent="0.3">
      <c r="A2024" s="2402">
        <v>2018</v>
      </c>
      <c r="B2024" s="1130" t="s">
        <v>3079</v>
      </c>
      <c r="C2024" s="216" t="s">
        <v>1344</v>
      </c>
      <c r="D2024" s="416" t="s">
        <v>550</v>
      </c>
      <c r="E2024" s="217" t="s">
        <v>3153</v>
      </c>
      <c r="F2024" s="218" t="s">
        <v>3081</v>
      </c>
      <c r="G2024" s="568">
        <v>1850</v>
      </c>
      <c r="H2024" s="1776" t="s">
        <v>1349</v>
      </c>
      <c r="I2024" s="34" t="s">
        <v>25</v>
      </c>
      <c r="J2024" s="327"/>
      <c r="K2024" s="37"/>
      <c r="L2024" s="1128"/>
      <c r="M2024" s="327"/>
      <c r="N2024" s="327"/>
      <c r="O2024" s="1129"/>
    </row>
    <row r="2025" spans="1:15" ht="18.75" customHeight="1" x14ac:dyDescent="0.3">
      <c r="A2025" s="2401">
        <v>2019</v>
      </c>
      <c r="B2025" s="1130" t="s">
        <v>3079</v>
      </c>
      <c r="C2025" s="216" t="s">
        <v>1344</v>
      </c>
      <c r="D2025" s="416" t="s">
        <v>550</v>
      </c>
      <c r="E2025" s="217" t="s">
        <v>3154</v>
      </c>
      <c r="F2025" s="218" t="s">
        <v>3081</v>
      </c>
      <c r="G2025" s="568">
        <v>1850</v>
      </c>
      <c r="H2025" s="1776" t="s">
        <v>1349</v>
      </c>
      <c r="I2025" s="34" t="s">
        <v>25</v>
      </c>
      <c r="J2025" s="327"/>
      <c r="K2025" s="37"/>
      <c r="L2025" s="1128"/>
      <c r="M2025" s="327"/>
      <c r="N2025" s="327"/>
      <c r="O2025" s="1129"/>
    </row>
    <row r="2026" spans="1:15" ht="18.75" customHeight="1" x14ac:dyDescent="0.3">
      <c r="A2026" s="2402">
        <v>2020</v>
      </c>
      <c r="B2026" s="1130" t="s">
        <v>3079</v>
      </c>
      <c r="C2026" s="216" t="s">
        <v>1344</v>
      </c>
      <c r="D2026" s="416" t="s">
        <v>550</v>
      </c>
      <c r="E2026" s="217" t="s">
        <v>3155</v>
      </c>
      <c r="F2026" s="218" t="s">
        <v>3081</v>
      </c>
      <c r="G2026" s="568">
        <v>1850</v>
      </c>
      <c r="H2026" s="1776" t="s">
        <v>1349</v>
      </c>
      <c r="I2026" s="34" t="s">
        <v>25</v>
      </c>
      <c r="J2026" s="327"/>
      <c r="K2026" s="37"/>
      <c r="L2026" s="1128"/>
      <c r="M2026" s="327"/>
      <c r="N2026" s="327"/>
      <c r="O2026" s="1129"/>
    </row>
    <row r="2027" spans="1:15" ht="18.75" customHeight="1" x14ac:dyDescent="0.3">
      <c r="A2027" s="2402">
        <v>2021</v>
      </c>
      <c r="B2027" s="1130" t="s">
        <v>3079</v>
      </c>
      <c r="C2027" s="216" t="s">
        <v>1344</v>
      </c>
      <c r="D2027" s="416" t="s">
        <v>550</v>
      </c>
      <c r="E2027" s="217" t="s">
        <v>3156</v>
      </c>
      <c r="F2027" s="218" t="s">
        <v>3081</v>
      </c>
      <c r="G2027" s="568">
        <v>1850</v>
      </c>
      <c r="H2027" s="1776" t="s">
        <v>1349</v>
      </c>
      <c r="I2027" s="34" t="s">
        <v>25</v>
      </c>
      <c r="J2027" s="327"/>
      <c r="K2027" s="37"/>
      <c r="L2027" s="1128"/>
      <c r="M2027" s="327"/>
      <c r="N2027" s="327"/>
      <c r="O2027" s="1129"/>
    </row>
    <row r="2028" spans="1:15" ht="18.75" customHeight="1" x14ac:dyDescent="0.3">
      <c r="A2028" s="2402">
        <v>2022</v>
      </c>
      <c r="B2028" s="1130" t="s">
        <v>3079</v>
      </c>
      <c r="C2028" s="216" t="s">
        <v>1344</v>
      </c>
      <c r="D2028" s="416" t="s">
        <v>550</v>
      </c>
      <c r="E2028" s="217" t="s">
        <v>3157</v>
      </c>
      <c r="F2028" s="218" t="s">
        <v>3081</v>
      </c>
      <c r="G2028" s="568">
        <v>1850</v>
      </c>
      <c r="H2028" s="1776" t="s">
        <v>1349</v>
      </c>
      <c r="I2028" s="34" t="s">
        <v>25</v>
      </c>
      <c r="J2028" s="327"/>
      <c r="K2028" s="37"/>
      <c r="L2028" s="1128"/>
      <c r="M2028" s="327"/>
      <c r="N2028" s="327"/>
      <c r="O2028" s="1129"/>
    </row>
    <row r="2029" spans="1:15" ht="18.75" customHeight="1" x14ac:dyDescent="0.3">
      <c r="A2029" s="2402">
        <v>2023</v>
      </c>
      <c r="B2029" s="1130" t="s">
        <v>3079</v>
      </c>
      <c r="C2029" s="216" t="s">
        <v>1344</v>
      </c>
      <c r="D2029" s="452" t="s">
        <v>550</v>
      </c>
      <c r="E2029" s="217" t="s">
        <v>3158</v>
      </c>
      <c r="F2029" s="218" t="s">
        <v>3081</v>
      </c>
      <c r="G2029" s="568">
        <v>1850</v>
      </c>
      <c r="H2029" s="1776" t="s">
        <v>1349</v>
      </c>
      <c r="I2029" s="34" t="s">
        <v>25</v>
      </c>
      <c r="J2029" s="327"/>
      <c r="K2029" s="37"/>
      <c r="L2029" s="1128"/>
      <c r="M2029" s="327"/>
      <c r="N2029" s="327"/>
      <c r="O2029" s="1129"/>
    </row>
    <row r="2030" spans="1:15" ht="18.75" customHeight="1" x14ac:dyDescent="0.3">
      <c r="A2030" s="2401">
        <v>2024</v>
      </c>
      <c r="B2030" s="1130" t="s">
        <v>3079</v>
      </c>
      <c r="C2030" s="216" t="s">
        <v>1344</v>
      </c>
      <c r="D2030" s="495" t="s">
        <v>550</v>
      </c>
      <c r="E2030" s="217" t="s">
        <v>3159</v>
      </c>
      <c r="F2030" s="218" t="s">
        <v>3081</v>
      </c>
      <c r="G2030" s="568">
        <v>1850</v>
      </c>
      <c r="H2030" s="1776" t="s">
        <v>1349</v>
      </c>
      <c r="I2030" s="34" t="s">
        <v>25</v>
      </c>
      <c r="J2030" s="327"/>
      <c r="K2030" s="37"/>
      <c r="L2030" s="1128"/>
      <c r="M2030" s="327"/>
      <c r="N2030" s="327"/>
      <c r="O2030" s="1129"/>
    </row>
    <row r="2031" spans="1:15" ht="18.75" customHeight="1" x14ac:dyDescent="0.3">
      <c r="A2031" s="2402">
        <v>2025</v>
      </c>
      <c r="B2031" s="1130" t="s">
        <v>3079</v>
      </c>
      <c r="C2031" s="216" t="s">
        <v>1344</v>
      </c>
      <c r="D2031" s="793" t="s">
        <v>550</v>
      </c>
      <c r="E2031" s="217" t="s">
        <v>3160</v>
      </c>
      <c r="F2031" s="218" t="s">
        <v>3081</v>
      </c>
      <c r="G2031" s="568">
        <v>1850</v>
      </c>
      <c r="H2031" s="1776" t="s">
        <v>1349</v>
      </c>
      <c r="I2031" s="34" t="s">
        <v>25</v>
      </c>
      <c r="J2031" s="327"/>
      <c r="K2031" s="37"/>
      <c r="L2031" s="1128"/>
      <c r="M2031" s="327"/>
      <c r="N2031" s="327"/>
      <c r="O2031" s="1129"/>
    </row>
    <row r="2032" spans="1:15" ht="18.75" customHeight="1" x14ac:dyDescent="0.3">
      <c r="A2032" s="2402">
        <v>2026</v>
      </c>
      <c r="B2032" s="1130" t="s">
        <v>3079</v>
      </c>
      <c r="C2032" s="216" t="s">
        <v>1344</v>
      </c>
      <c r="D2032" s="416" t="s">
        <v>550</v>
      </c>
      <c r="E2032" s="217" t="s">
        <v>3161</v>
      </c>
      <c r="F2032" s="218" t="s">
        <v>3081</v>
      </c>
      <c r="G2032" s="568">
        <v>1850</v>
      </c>
      <c r="H2032" s="1776" t="s">
        <v>1349</v>
      </c>
      <c r="I2032" s="34" t="s">
        <v>25</v>
      </c>
      <c r="J2032" s="327"/>
      <c r="K2032" s="37"/>
      <c r="L2032" s="1128"/>
      <c r="M2032" s="327"/>
      <c r="N2032" s="327"/>
      <c r="O2032" s="1129"/>
    </row>
    <row r="2033" spans="1:15" ht="18.75" customHeight="1" x14ac:dyDescent="0.3">
      <c r="A2033" s="2401">
        <v>2027</v>
      </c>
      <c r="B2033" s="1130" t="s">
        <v>3079</v>
      </c>
      <c r="C2033" s="216" t="s">
        <v>1344</v>
      </c>
      <c r="D2033" s="416" t="s">
        <v>550</v>
      </c>
      <c r="E2033" s="217" t="s">
        <v>3162</v>
      </c>
      <c r="F2033" s="218" t="s">
        <v>3081</v>
      </c>
      <c r="G2033" s="568">
        <v>1850</v>
      </c>
      <c r="H2033" s="1776" t="s">
        <v>1349</v>
      </c>
      <c r="I2033" s="34" t="s">
        <v>25</v>
      </c>
      <c r="J2033" s="327"/>
      <c r="K2033" s="37"/>
      <c r="L2033" s="1128"/>
      <c r="M2033" s="327"/>
      <c r="N2033" s="327"/>
      <c r="O2033" s="1129"/>
    </row>
    <row r="2034" spans="1:15" ht="18.75" customHeight="1" x14ac:dyDescent="0.3">
      <c r="A2034" s="2402">
        <v>2028</v>
      </c>
      <c r="B2034" s="1130" t="s">
        <v>3079</v>
      </c>
      <c r="C2034" s="216" t="s">
        <v>1344</v>
      </c>
      <c r="D2034" s="416" t="s">
        <v>550</v>
      </c>
      <c r="E2034" s="217" t="s">
        <v>3163</v>
      </c>
      <c r="F2034" s="218" t="s">
        <v>3081</v>
      </c>
      <c r="G2034" s="568">
        <v>1850</v>
      </c>
      <c r="H2034" s="1776" t="s">
        <v>1349</v>
      </c>
      <c r="I2034" s="34" t="s">
        <v>25</v>
      </c>
      <c r="J2034" s="327"/>
      <c r="K2034" s="37"/>
      <c r="L2034" s="1128"/>
      <c r="M2034" s="327"/>
      <c r="N2034" s="327"/>
      <c r="O2034" s="1129"/>
    </row>
    <row r="2035" spans="1:15" ht="18.75" customHeight="1" x14ac:dyDescent="0.3">
      <c r="A2035" s="2402">
        <v>2029</v>
      </c>
      <c r="B2035" s="1130" t="s">
        <v>3079</v>
      </c>
      <c r="C2035" s="216" t="s">
        <v>1344</v>
      </c>
      <c r="D2035" s="416" t="s">
        <v>550</v>
      </c>
      <c r="E2035" s="217" t="s">
        <v>3164</v>
      </c>
      <c r="F2035" s="218" t="s">
        <v>3081</v>
      </c>
      <c r="G2035" s="568">
        <v>1850</v>
      </c>
      <c r="H2035" s="1776" t="s">
        <v>1349</v>
      </c>
      <c r="I2035" s="34" t="s">
        <v>25</v>
      </c>
      <c r="J2035" s="327"/>
      <c r="K2035" s="37"/>
      <c r="L2035" s="1128"/>
      <c r="M2035" s="327"/>
      <c r="N2035" s="327"/>
      <c r="O2035" s="1129"/>
    </row>
    <row r="2036" spans="1:15" ht="18.75" customHeight="1" x14ac:dyDescent="0.3">
      <c r="A2036" s="2402">
        <v>2030</v>
      </c>
      <c r="B2036" s="1130" t="s">
        <v>3079</v>
      </c>
      <c r="C2036" s="216" t="s">
        <v>1344</v>
      </c>
      <c r="D2036" s="416" t="s">
        <v>550</v>
      </c>
      <c r="E2036" s="217" t="s">
        <v>3165</v>
      </c>
      <c r="F2036" s="218" t="s">
        <v>3081</v>
      </c>
      <c r="G2036" s="568">
        <v>1850</v>
      </c>
      <c r="H2036" s="1776" t="s">
        <v>1349</v>
      </c>
      <c r="I2036" s="34" t="s">
        <v>25</v>
      </c>
      <c r="J2036" s="327"/>
      <c r="K2036" s="37"/>
      <c r="L2036" s="1128"/>
      <c r="M2036" s="327"/>
      <c r="N2036" s="327"/>
      <c r="O2036" s="1129"/>
    </row>
    <row r="2037" spans="1:15" ht="18.75" customHeight="1" x14ac:dyDescent="0.3">
      <c r="A2037" s="2402">
        <v>2031</v>
      </c>
      <c r="B2037" s="1130" t="s">
        <v>3079</v>
      </c>
      <c r="C2037" s="216" t="s">
        <v>1344</v>
      </c>
      <c r="D2037" s="416" t="s">
        <v>550</v>
      </c>
      <c r="E2037" s="217" t="s">
        <v>3166</v>
      </c>
      <c r="F2037" s="218" t="s">
        <v>3081</v>
      </c>
      <c r="G2037" s="568">
        <v>1850</v>
      </c>
      <c r="H2037" s="1776" t="s">
        <v>1349</v>
      </c>
      <c r="I2037" s="34" t="s">
        <v>25</v>
      </c>
      <c r="J2037" s="327"/>
      <c r="K2037" s="37"/>
      <c r="L2037" s="1128"/>
      <c r="M2037" s="327"/>
      <c r="N2037" s="327"/>
      <c r="O2037" s="1129"/>
    </row>
    <row r="2038" spans="1:15" ht="18.75" customHeight="1" x14ac:dyDescent="0.3">
      <c r="A2038" s="2401">
        <v>2032</v>
      </c>
      <c r="B2038" s="1130" t="s">
        <v>3079</v>
      </c>
      <c r="C2038" s="216" t="s">
        <v>1344</v>
      </c>
      <c r="D2038" s="416" t="s">
        <v>550</v>
      </c>
      <c r="E2038" s="217" t="s">
        <v>3167</v>
      </c>
      <c r="F2038" s="218" t="s">
        <v>3081</v>
      </c>
      <c r="G2038" s="568">
        <v>1850</v>
      </c>
      <c r="H2038" s="1776" t="s">
        <v>1349</v>
      </c>
      <c r="I2038" s="34" t="s">
        <v>25</v>
      </c>
      <c r="J2038" s="327"/>
      <c r="K2038" s="37"/>
      <c r="L2038" s="1128"/>
      <c r="M2038" s="327"/>
      <c r="N2038" s="327"/>
      <c r="O2038" s="1129"/>
    </row>
    <row r="2039" spans="1:15" ht="18.75" customHeight="1" x14ac:dyDescent="0.3">
      <c r="A2039" s="2402">
        <v>2033</v>
      </c>
      <c r="B2039" s="1130" t="s">
        <v>3079</v>
      </c>
      <c r="C2039" s="216" t="s">
        <v>1344</v>
      </c>
      <c r="D2039" s="416" t="s">
        <v>550</v>
      </c>
      <c r="E2039" s="217" t="s">
        <v>3168</v>
      </c>
      <c r="F2039" s="218" t="s">
        <v>3081</v>
      </c>
      <c r="G2039" s="568">
        <v>1850</v>
      </c>
      <c r="H2039" s="1776" t="s">
        <v>1349</v>
      </c>
      <c r="I2039" s="34" t="s">
        <v>25</v>
      </c>
      <c r="J2039" s="327"/>
      <c r="K2039" s="37"/>
      <c r="L2039" s="1128"/>
      <c r="M2039" s="327"/>
      <c r="N2039" s="327"/>
      <c r="O2039" s="1129"/>
    </row>
    <row r="2040" spans="1:15" ht="18.75" customHeight="1" x14ac:dyDescent="0.3">
      <c r="A2040" s="2402">
        <v>2034</v>
      </c>
      <c r="B2040" s="1130" t="s">
        <v>3079</v>
      </c>
      <c r="C2040" s="216" t="s">
        <v>1344</v>
      </c>
      <c r="D2040" s="416" t="s">
        <v>550</v>
      </c>
      <c r="E2040" s="217" t="s">
        <v>3169</v>
      </c>
      <c r="F2040" s="218" t="s">
        <v>3081</v>
      </c>
      <c r="G2040" s="568">
        <v>1850</v>
      </c>
      <c r="H2040" s="1776" t="s">
        <v>1349</v>
      </c>
      <c r="I2040" s="34" t="s">
        <v>25</v>
      </c>
      <c r="J2040" s="327"/>
      <c r="K2040" s="37"/>
      <c r="L2040" s="1128"/>
      <c r="M2040" s="327"/>
      <c r="N2040" s="327"/>
      <c r="O2040" s="1129"/>
    </row>
    <row r="2041" spans="1:15" ht="18.75" customHeight="1" x14ac:dyDescent="0.3">
      <c r="A2041" s="2401">
        <v>2035</v>
      </c>
      <c r="B2041" s="1130" t="s">
        <v>3079</v>
      </c>
      <c r="C2041" s="216" t="s">
        <v>1344</v>
      </c>
      <c r="D2041" s="416" t="s">
        <v>550</v>
      </c>
      <c r="E2041" s="217" t="s">
        <v>3170</v>
      </c>
      <c r="F2041" s="218" t="s">
        <v>3081</v>
      </c>
      <c r="G2041" s="568">
        <v>1850</v>
      </c>
      <c r="H2041" s="1776" t="s">
        <v>1349</v>
      </c>
      <c r="I2041" s="34" t="s">
        <v>25</v>
      </c>
      <c r="J2041" s="327"/>
      <c r="K2041" s="37"/>
      <c r="L2041" s="1128"/>
      <c r="M2041" s="327"/>
      <c r="N2041" s="327"/>
      <c r="O2041" s="1129"/>
    </row>
    <row r="2042" spans="1:15" ht="18.75" customHeight="1" x14ac:dyDescent="0.3">
      <c r="A2042" s="2402">
        <v>2036</v>
      </c>
      <c r="B2042" s="1130" t="s">
        <v>3079</v>
      </c>
      <c r="C2042" s="216" t="s">
        <v>1344</v>
      </c>
      <c r="D2042" s="416" t="s">
        <v>550</v>
      </c>
      <c r="E2042" s="217" t="s">
        <v>3171</v>
      </c>
      <c r="F2042" s="218" t="s">
        <v>3081</v>
      </c>
      <c r="G2042" s="568">
        <v>1850</v>
      </c>
      <c r="H2042" s="1776" t="s">
        <v>1349</v>
      </c>
      <c r="I2042" s="34" t="s">
        <v>25</v>
      </c>
      <c r="J2042" s="327"/>
      <c r="K2042" s="37"/>
      <c r="L2042" s="1128"/>
      <c r="M2042" s="327"/>
      <c r="N2042" s="327"/>
      <c r="O2042" s="1129"/>
    </row>
    <row r="2043" spans="1:15" ht="18.75" customHeight="1" x14ac:dyDescent="0.3">
      <c r="A2043" s="2402">
        <v>2037</v>
      </c>
      <c r="B2043" s="1130" t="s">
        <v>3079</v>
      </c>
      <c r="C2043" s="216" t="s">
        <v>1344</v>
      </c>
      <c r="D2043" s="416" t="s">
        <v>550</v>
      </c>
      <c r="E2043" s="217" t="s">
        <v>3172</v>
      </c>
      <c r="F2043" s="218" t="s">
        <v>3081</v>
      </c>
      <c r="G2043" s="568">
        <v>1850</v>
      </c>
      <c r="H2043" s="1776" t="s">
        <v>1349</v>
      </c>
      <c r="I2043" s="34" t="s">
        <v>25</v>
      </c>
      <c r="J2043" s="327"/>
      <c r="K2043" s="37"/>
      <c r="L2043" s="1128"/>
      <c r="M2043" s="327"/>
      <c r="N2043" s="327"/>
      <c r="O2043" s="1129"/>
    </row>
    <row r="2044" spans="1:15" ht="18.75" customHeight="1" x14ac:dyDescent="0.3">
      <c r="A2044" s="2402">
        <v>2038</v>
      </c>
      <c r="B2044" s="1130" t="s">
        <v>3079</v>
      </c>
      <c r="C2044" s="216" t="s">
        <v>1344</v>
      </c>
      <c r="D2044" s="416" t="s">
        <v>550</v>
      </c>
      <c r="E2044" s="217" t="s">
        <v>3173</v>
      </c>
      <c r="F2044" s="218" t="s">
        <v>3081</v>
      </c>
      <c r="G2044" s="568">
        <v>1850</v>
      </c>
      <c r="H2044" s="1776" t="s">
        <v>1349</v>
      </c>
      <c r="I2044" s="34" t="s">
        <v>25</v>
      </c>
      <c r="J2044" s="327"/>
      <c r="K2044" s="37"/>
      <c r="L2044" s="1128"/>
      <c r="M2044" s="327"/>
      <c r="N2044" s="327"/>
      <c r="O2044" s="1129"/>
    </row>
    <row r="2045" spans="1:15" ht="18.75" customHeight="1" x14ac:dyDescent="0.3">
      <c r="A2045" s="2402">
        <v>2039</v>
      </c>
      <c r="B2045" s="1130" t="s">
        <v>3079</v>
      </c>
      <c r="C2045" s="216" t="s">
        <v>1344</v>
      </c>
      <c r="D2045" s="416" t="s">
        <v>550</v>
      </c>
      <c r="E2045" s="217" t="s">
        <v>3174</v>
      </c>
      <c r="F2045" s="218" t="s">
        <v>3081</v>
      </c>
      <c r="G2045" s="568">
        <v>1850</v>
      </c>
      <c r="H2045" s="1776" t="s">
        <v>1349</v>
      </c>
      <c r="I2045" s="34" t="s">
        <v>25</v>
      </c>
      <c r="J2045" s="327"/>
      <c r="K2045" s="37"/>
      <c r="L2045" s="1128"/>
      <c r="M2045" s="327"/>
      <c r="N2045" s="327"/>
      <c r="O2045" s="1129"/>
    </row>
    <row r="2046" spans="1:15" ht="18.75" customHeight="1" x14ac:dyDescent="0.3">
      <c r="A2046" s="2401">
        <v>2040</v>
      </c>
      <c r="B2046" s="1130" t="s">
        <v>3079</v>
      </c>
      <c r="C2046" s="216" t="s">
        <v>1344</v>
      </c>
      <c r="D2046" s="416" t="s">
        <v>550</v>
      </c>
      <c r="E2046" s="217" t="s">
        <v>3175</v>
      </c>
      <c r="F2046" s="218" t="s">
        <v>3081</v>
      </c>
      <c r="G2046" s="568">
        <v>1850</v>
      </c>
      <c r="H2046" s="1776" t="s">
        <v>1349</v>
      </c>
      <c r="I2046" s="34" t="s">
        <v>25</v>
      </c>
      <c r="J2046" s="327"/>
      <c r="K2046" s="37"/>
      <c r="L2046" s="1128"/>
      <c r="M2046" s="327"/>
      <c r="N2046" s="327"/>
      <c r="O2046" s="1129"/>
    </row>
    <row r="2047" spans="1:15" ht="18.75" customHeight="1" x14ac:dyDescent="0.3">
      <c r="A2047" s="2402">
        <v>2041</v>
      </c>
      <c r="B2047" s="1130" t="s">
        <v>3079</v>
      </c>
      <c r="C2047" s="216" t="s">
        <v>1344</v>
      </c>
      <c r="D2047" s="416" t="s">
        <v>550</v>
      </c>
      <c r="E2047" s="217" t="s">
        <v>3176</v>
      </c>
      <c r="F2047" s="218" t="s">
        <v>3081</v>
      </c>
      <c r="G2047" s="568">
        <v>1850</v>
      </c>
      <c r="H2047" s="1776" t="s">
        <v>1349</v>
      </c>
      <c r="I2047" s="34" t="s">
        <v>25</v>
      </c>
      <c r="J2047" s="327"/>
      <c r="K2047" s="37"/>
      <c r="L2047" s="1128"/>
      <c r="M2047" s="327"/>
      <c r="N2047" s="327"/>
      <c r="O2047" s="1129"/>
    </row>
    <row r="2048" spans="1:15" ht="18.75" customHeight="1" x14ac:dyDescent="0.3">
      <c r="A2048" s="2402">
        <v>2042</v>
      </c>
      <c r="B2048" s="1130" t="s">
        <v>3079</v>
      </c>
      <c r="C2048" s="216" t="s">
        <v>1344</v>
      </c>
      <c r="D2048" s="416" t="s">
        <v>550</v>
      </c>
      <c r="E2048" s="217" t="s">
        <v>3177</v>
      </c>
      <c r="F2048" s="218" t="s">
        <v>3081</v>
      </c>
      <c r="G2048" s="568">
        <v>1850</v>
      </c>
      <c r="H2048" s="1776" t="s">
        <v>1349</v>
      </c>
      <c r="I2048" s="34" t="s">
        <v>25</v>
      </c>
      <c r="J2048" s="327"/>
      <c r="K2048" s="37"/>
      <c r="L2048" s="1128"/>
      <c r="M2048" s="327"/>
      <c r="N2048" s="327"/>
      <c r="O2048" s="1129"/>
    </row>
    <row r="2049" spans="1:15" ht="18.75" customHeight="1" x14ac:dyDescent="0.3">
      <c r="A2049" s="2401">
        <v>2043</v>
      </c>
      <c r="B2049" s="1130" t="s">
        <v>3079</v>
      </c>
      <c r="C2049" s="216" t="s">
        <v>1344</v>
      </c>
      <c r="D2049" s="416" t="s">
        <v>550</v>
      </c>
      <c r="E2049" s="217" t="s">
        <v>3178</v>
      </c>
      <c r="F2049" s="218" t="s">
        <v>3081</v>
      </c>
      <c r="G2049" s="568">
        <v>1850</v>
      </c>
      <c r="H2049" s="1776" t="s">
        <v>1349</v>
      </c>
      <c r="I2049" s="34" t="s">
        <v>25</v>
      </c>
      <c r="J2049" s="327"/>
      <c r="K2049" s="37"/>
      <c r="L2049" s="1128"/>
      <c r="M2049" s="327"/>
      <c r="N2049" s="327"/>
      <c r="O2049" s="1129"/>
    </row>
    <row r="2050" spans="1:15" ht="18.75" customHeight="1" x14ac:dyDescent="0.3">
      <c r="A2050" s="2402">
        <v>2044</v>
      </c>
      <c r="B2050" s="1130" t="s">
        <v>3079</v>
      </c>
      <c r="C2050" s="216" t="s">
        <v>1344</v>
      </c>
      <c r="D2050" s="416" t="s">
        <v>550</v>
      </c>
      <c r="E2050" s="217" t="s">
        <v>3179</v>
      </c>
      <c r="F2050" s="218" t="s">
        <v>3081</v>
      </c>
      <c r="G2050" s="568">
        <v>1850</v>
      </c>
      <c r="H2050" s="1776" t="s">
        <v>1349</v>
      </c>
      <c r="I2050" s="34" t="s">
        <v>25</v>
      </c>
      <c r="J2050" s="327"/>
      <c r="K2050" s="37"/>
      <c r="L2050" s="1128"/>
      <c r="M2050" s="327"/>
      <c r="N2050" s="327"/>
      <c r="O2050" s="1129"/>
    </row>
    <row r="2051" spans="1:15" ht="18.75" customHeight="1" x14ac:dyDescent="0.3">
      <c r="A2051" s="2402">
        <v>2045</v>
      </c>
      <c r="B2051" s="1130" t="s">
        <v>3079</v>
      </c>
      <c r="C2051" s="216" t="s">
        <v>1344</v>
      </c>
      <c r="D2051" s="452" t="s">
        <v>550</v>
      </c>
      <c r="E2051" s="217" t="s">
        <v>3180</v>
      </c>
      <c r="F2051" s="218" t="s">
        <v>3081</v>
      </c>
      <c r="G2051" s="568">
        <v>1850</v>
      </c>
      <c r="H2051" s="1776" t="s">
        <v>1349</v>
      </c>
      <c r="I2051" s="34" t="s">
        <v>25</v>
      </c>
      <c r="J2051" s="327"/>
      <c r="K2051" s="37"/>
      <c r="L2051" s="1128"/>
      <c r="M2051" s="327"/>
      <c r="N2051" s="327"/>
      <c r="O2051" s="1129"/>
    </row>
    <row r="2052" spans="1:15" ht="18.75" customHeight="1" x14ac:dyDescent="0.3">
      <c r="A2052" s="2402">
        <v>2046</v>
      </c>
      <c r="B2052" s="1130" t="s">
        <v>3181</v>
      </c>
      <c r="C2052" s="216" t="s">
        <v>1344</v>
      </c>
      <c r="D2052" s="495" t="s">
        <v>550</v>
      </c>
      <c r="E2052" s="217" t="s">
        <v>3182</v>
      </c>
      <c r="F2052" s="218" t="s">
        <v>3081</v>
      </c>
      <c r="G2052" s="568">
        <v>2040</v>
      </c>
      <c r="H2052" s="1776" t="s">
        <v>1349</v>
      </c>
      <c r="I2052" s="34" t="s">
        <v>25</v>
      </c>
      <c r="J2052" s="327"/>
      <c r="K2052" s="37"/>
      <c r="L2052" s="1128"/>
      <c r="M2052" s="327"/>
      <c r="N2052" s="327"/>
      <c r="O2052" s="1129"/>
    </row>
    <row r="2053" spans="1:15" ht="18.75" customHeight="1" x14ac:dyDescent="0.3">
      <c r="A2053" s="2402">
        <v>2047</v>
      </c>
      <c r="B2053" s="1130" t="s">
        <v>3181</v>
      </c>
      <c r="C2053" s="216" t="s">
        <v>1344</v>
      </c>
      <c r="D2053" s="793" t="s">
        <v>550</v>
      </c>
      <c r="E2053" s="217" t="s">
        <v>3183</v>
      </c>
      <c r="F2053" s="218" t="s">
        <v>3081</v>
      </c>
      <c r="G2053" s="568">
        <v>2040</v>
      </c>
      <c r="H2053" s="1776" t="s">
        <v>1349</v>
      </c>
      <c r="I2053" s="34" t="s">
        <v>25</v>
      </c>
      <c r="J2053" s="327"/>
      <c r="K2053" s="37"/>
      <c r="L2053" s="1128"/>
      <c r="M2053" s="327"/>
      <c r="N2053" s="327"/>
      <c r="O2053" s="1129"/>
    </row>
    <row r="2054" spans="1:15" ht="18.75" customHeight="1" x14ac:dyDescent="0.3">
      <c r="A2054" s="2401">
        <v>2048</v>
      </c>
      <c r="B2054" s="1130" t="s">
        <v>3181</v>
      </c>
      <c r="C2054" s="216" t="s">
        <v>1344</v>
      </c>
      <c r="D2054" s="416" t="s">
        <v>550</v>
      </c>
      <c r="E2054" s="217" t="s">
        <v>3184</v>
      </c>
      <c r="F2054" s="218" t="s">
        <v>3081</v>
      </c>
      <c r="G2054" s="568">
        <v>2040</v>
      </c>
      <c r="H2054" s="1776" t="s">
        <v>1349</v>
      </c>
      <c r="I2054" s="34" t="s">
        <v>25</v>
      </c>
      <c r="J2054" s="327"/>
      <c r="K2054" s="37"/>
      <c r="L2054" s="1128"/>
      <c r="M2054" s="327"/>
      <c r="N2054" s="327"/>
      <c r="O2054" s="1129"/>
    </row>
    <row r="2055" spans="1:15" ht="18.75" customHeight="1" x14ac:dyDescent="0.3">
      <c r="A2055" s="2402">
        <v>2049</v>
      </c>
      <c r="B2055" s="1130" t="s">
        <v>3181</v>
      </c>
      <c r="C2055" s="216" t="s">
        <v>1344</v>
      </c>
      <c r="D2055" s="416" t="s">
        <v>550</v>
      </c>
      <c r="E2055" s="217" t="s">
        <v>3185</v>
      </c>
      <c r="F2055" s="218" t="s">
        <v>3081</v>
      </c>
      <c r="G2055" s="568">
        <v>2040</v>
      </c>
      <c r="H2055" s="1776" t="s">
        <v>1349</v>
      </c>
      <c r="I2055" s="34" t="s">
        <v>25</v>
      </c>
      <c r="J2055" s="327"/>
      <c r="K2055" s="37"/>
      <c r="L2055" s="1128"/>
      <c r="M2055" s="327"/>
      <c r="N2055" s="327"/>
      <c r="O2055" s="1129"/>
    </row>
    <row r="2056" spans="1:15" ht="18.75" customHeight="1" x14ac:dyDescent="0.3">
      <c r="A2056" s="2402">
        <v>2050</v>
      </c>
      <c r="B2056" s="1130" t="s">
        <v>3181</v>
      </c>
      <c r="C2056" s="216" t="s">
        <v>1344</v>
      </c>
      <c r="D2056" s="416" t="s">
        <v>550</v>
      </c>
      <c r="E2056" s="217" t="s">
        <v>3186</v>
      </c>
      <c r="F2056" s="218" t="s">
        <v>3081</v>
      </c>
      <c r="G2056" s="568">
        <v>2040</v>
      </c>
      <c r="H2056" s="1776" t="s">
        <v>1349</v>
      </c>
      <c r="I2056" s="34" t="s">
        <v>25</v>
      </c>
      <c r="J2056" s="327"/>
      <c r="K2056" s="37"/>
      <c r="L2056" s="1128"/>
      <c r="M2056" s="327"/>
      <c r="N2056" s="327"/>
      <c r="O2056" s="1129"/>
    </row>
    <row r="2057" spans="1:15" ht="18.75" customHeight="1" x14ac:dyDescent="0.3">
      <c r="A2057" s="2401">
        <v>2051</v>
      </c>
      <c r="B2057" s="1130" t="s">
        <v>3181</v>
      </c>
      <c r="C2057" s="216" t="s">
        <v>1344</v>
      </c>
      <c r="D2057" s="416" t="s">
        <v>550</v>
      </c>
      <c r="E2057" s="217" t="s">
        <v>3187</v>
      </c>
      <c r="F2057" s="218" t="s">
        <v>3081</v>
      </c>
      <c r="G2057" s="568">
        <v>2040</v>
      </c>
      <c r="H2057" s="1776" t="s">
        <v>1349</v>
      </c>
      <c r="I2057" s="34" t="s">
        <v>25</v>
      </c>
      <c r="J2057" s="327"/>
      <c r="K2057" s="37"/>
      <c r="L2057" s="1128"/>
      <c r="M2057" s="327"/>
      <c r="N2057" s="327"/>
      <c r="O2057" s="1129"/>
    </row>
    <row r="2058" spans="1:15" ht="18.75" customHeight="1" x14ac:dyDescent="0.3">
      <c r="A2058" s="2402">
        <v>2052</v>
      </c>
      <c r="B2058" s="1130" t="s">
        <v>3181</v>
      </c>
      <c r="C2058" s="216" t="s">
        <v>1344</v>
      </c>
      <c r="D2058" s="416" t="s">
        <v>550</v>
      </c>
      <c r="E2058" s="217" t="s">
        <v>3188</v>
      </c>
      <c r="F2058" s="218" t="s">
        <v>3081</v>
      </c>
      <c r="G2058" s="568">
        <v>2040</v>
      </c>
      <c r="H2058" s="1776" t="s">
        <v>1349</v>
      </c>
      <c r="I2058" s="34" t="s">
        <v>25</v>
      </c>
      <c r="J2058" s="327"/>
      <c r="K2058" s="37"/>
      <c r="L2058" s="1128"/>
      <c r="M2058" s="327"/>
      <c r="N2058" s="327"/>
      <c r="O2058" s="1129"/>
    </row>
    <row r="2059" spans="1:15" ht="18.75" customHeight="1" x14ac:dyDescent="0.3">
      <c r="A2059" s="2402">
        <v>2053</v>
      </c>
      <c r="B2059" s="1130" t="s">
        <v>3181</v>
      </c>
      <c r="C2059" s="216" t="s">
        <v>1344</v>
      </c>
      <c r="D2059" s="416" t="s">
        <v>550</v>
      </c>
      <c r="E2059" s="217" t="s">
        <v>3189</v>
      </c>
      <c r="F2059" s="218" t="s">
        <v>3081</v>
      </c>
      <c r="G2059" s="568">
        <v>2040</v>
      </c>
      <c r="H2059" s="1776" t="s">
        <v>1349</v>
      </c>
      <c r="I2059" s="34" t="s">
        <v>25</v>
      </c>
      <c r="J2059" s="327"/>
      <c r="K2059" s="37"/>
      <c r="L2059" s="1128"/>
      <c r="M2059" s="327"/>
      <c r="N2059" s="327"/>
      <c r="O2059" s="1129"/>
    </row>
    <row r="2060" spans="1:15" ht="18.75" customHeight="1" x14ac:dyDescent="0.3">
      <c r="A2060" s="2402">
        <v>2054</v>
      </c>
      <c r="B2060" s="1130" t="s">
        <v>3181</v>
      </c>
      <c r="C2060" s="216" t="s">
        <v>1344</v>
      </c>
      <c r="D2060" s="416" t="s">
        <v>550</v>
      </c>
      <c r="E2060" s="217" t="s">
        <v>3190</v>
      </c>
      <c r="F2060" s="218" t="s">
        <v>3081</v>
      </c>
      <c r="G2060" s="568">
        <v>2040</v>
      </c>
      <c r="H2060" s="1776" t="s">
        <v>1349</v>
      </c>
      <c r="I2060" s="34" t="s">
        <v>25</v>
      </c>
      <c r="J2060" s="327"/>
      <c r="K2060" s="37"/>
      <c r="L2060" s="1128"/>
      <c r="M2060" s="327"/>
      <c r="N2060" s="327"/>
      <c r="O2060" s="1129"/>
    </row>
    <row r="2061" spans="1:15" ht="18.75" customHeight="1" x14ac:dyDescent="0.3">
      <c r="A2061" s="2402">
        <v>2055</v>
      </c>
      <c r="B2061" s="1130" t="s">
        <v>3181</v>
      </c>
      <c r="C2061" s="216" t="s">
        <v>1344</v>
      </c>
      <c r="D2061" s="416" t="s">
        <v>550</v>
      </c>
      <c r="E2061" s="217" t="s">
        <v>3191</v>
      </c>
      <c r="F2061" s="218" t="s">
        <v>3081</v>
      </c>
      <c r="G2061" s="568">
        <v>2040</v>
      </c>
      <c r="H2061" s="1776" t="s">
        <v>1349</v>
      </c>
      <c r="I2061" s="34" t="s">
        <v>25</v>
      </c>
      <c r="J2061" s="327"/>
      <c r="K2061" s="37"/>
      <c r="L2061" s="1128"/>
      <c r="M2061" s="327"/>
      <c r="N2061" s="327"/>
      <c r="O2061" s="1129"/>
    </row>
    <row r="2062" spans="1:15" ht="18.75" customHeight="1" x14ac:dyDescent="0.3">
      <c r="A2062" s="2401">
        <v>2056</v>
      </c>
      <c r="B2062" s="1130" t="s">
        <v>3181</v>
      </c>
      <c r="C2062" s="216" t="s">
        <v>1344</v>
      </c>
      <c r="D2062" s="416" t="s">
        <v>550</v>
      </c>
      <c r="E2062" s="217" t="s">
        <v>3192</v>
      </c>
      <c r="F2062" s="218" t="s">
        <v>3081</v>
      </c>
      <c r="G2062" s="568">
        <v>2040</v>
      </c>
      <c r="H2062" s="1776" t="s">
        <v>1349</v>
      </c>
      <c r="I2062" s="34" t="s">
        <v>25</v>
      </c>
      <c r="J2062" s="327"/>
      <c r="K2062" s="37"/>
      <c r="L2062" s="1128"/>
      <c r="M2062" s="327"/>
      <c r="N2062" s="327"/>
      <c r="O2062" s="1129"/>
    </row>
    <row r="2063" spans="1:15" ht="18.75" customHeight="1" x14ac:dyDescent="0.3">
      <c r="A2063" s="2402">
        <v>2057</v>
      </c>
      <c r="B2063" s="1130" t="s">
        <v>3181</v>
      </c>
      <c r="C2063" s="216" t="s">
        <v>1344</v>
      </c>
      <c r="D2063" s="416" t="s">
        <v>550</v>
      </c>
      <c r="E2063" s="217" t="s">
        <v>3193</v>
      </c>
      <c r="F2063" s="218" t="s">
        <v>3081</v>
      </c>
      <c r="G2063" s="568">
        <v>2040</v>
      </c>
      <c r="H2063" s="1776" t="s">
        <v>1349</v>
      </c>
      <c r="I2063" s="34" t="s">
        <v>25</v>
      </c>
      <c r="J2063" s="327"/>
      <c r="K2063" s="37"/>
      <c r="L2063" s="1128"/>
      <c r="M2063" s="327"/>
      <c r="N2063" s="327"/>
      <c r="O2063" s="1129"/>
    </row>
    <row r="2064" spans="1:15" ht="18.75" customHeight="1" x14ac:dyDescent="0.3">
      <c r="A2064" s="2402">
        <v>2058</v>
      </c>
      <c r="B2064" s="1130" t="s">
        <v>3181</v>
      </c>
      <c r="C2064" s="216" t="s">
        <v>1344</v>
      </c>
      <c r="D2064" s="416" t="s">
        <v>550</v>
      </c>
      <c r="E2064" s="217" t="s">
        <v>3194</v>
      </c>
      <c r="F2064" s="218" t="s">
        <v>3081</v>
      </c>
      <c r="G2064" s="568">
        <v>2040</v>
      </c>
      <c r="H2064" s="1776" t="s">
        <v>1349</v>
      </c>
      <c r="I2064" s="34" t="s">
        <v>25</v>
      </c>
      <c r="J2064" s="327"/>
      <c r="K2064" s="37"/>
      <c r="L2064" s="1128"/>
      <c r="M2064" s="327"/>
      <c r="N2064" s="327"/>
      <c r="O2064" s="1129"/>
    </row>
    <row r="2065" spans="1:15" ht="18.75" customHeight="1" x14ac:dyDescent="0.3">
      <c r="A2065" s="2401">
        <v>2059</v>
      </c>
      <c r="B2065" s="1130" t="s">
        <v>3181</v>
      </c>
      <c r="C2065" s="216" t="s">
        <v>1344</v>
      </c>
      <c r="D2065" s="416" t="s">
        <v>550</v>
      </c>
      <c r="E2065" s="217" t="s">
        <v>3195</v>
      </c>
      <c r="F2065" s="218" t="s">
        <v>3081</v>
      </c>
      <c r="G2065" s="568">
        <v>2040</v>
      </c>
      <c r="H2065" s="1776" t="s">
        <v>1349</v>
      </c>
      <c r="I2065" s="34" t="s">
        <v>25</v>
      </c>
      <c r="J2065" s="327"/>
      <c r="K2065" s="37"/>
      <c r="L2065" s="1128"/>
      <c r="M2065" s="327"/>
      <c r="N2065" s="327"/>
      <c r="O2065" s="1129"/>
    </row>
    <row r="2066" spans="1:15" ht="18.75" customHeight="1" x14ac:dyDescent="0.3">
      <c r="A2066" s="2402">
        <v>2060</v>
      </c>
      <c r="B2066" s="1130" t="s">
        <v>3181</v>
      </c>
      <c r="C2066" s="216" t="s">
        <v>1344</v>
      </c>
      <c r="D2066" s="416" t="s">
        <v>550</v>
      </c>
      <c r="E2066" s="217" t="s">
        <v>3196</v>
      </c>
      <c r="F2066" s="218" t="s">
        <v>3081</v>
      </c>
      <c r="G2066" s="568">
        <v>2040</v>
      </c>
      <c r="H2066" s="1776" t="s">
        <v>1349</v>
      </c>
      <c r="I2066" s="34" t="s">
        <v>25</v>
      </c>
      <c r="J2066" s="327"/>
      <c r="K2066" s="37"/>
      <c r="L2066" s="1128"/>
      <c r="M2066" s="327"/>
      <c r="N2066" s="327"/>
      <c r="O2066" s="1129"/>
    </row>
    <row r="2067" spans="1:15" ht="18.75" customHeight="1" x14ac:dyDescent="0.3">
      <c r="A2067" s="2402">
        <v>2061</v>
      </c>
      <c r="B2067" s="1130" t="s">
        <v>3181</v>
      </c>
      <c r="C2067" s="216" t="s">
        <v>1344</v>
      </c>
      <c r="D2067" s="416" t="s">
        <v>550</v>
      </c>
      <c r="E2067" s="217" t="s">
        <v>3197</v>
      </c>
      <c r="F2067" s="218" t="s">
        <v>3081</v>
      </c>
      <c r="G2067" s="568">
        <v>2040</v>
      </c>
      <c r="H2067" s="1776" t="s">
        <v>1349</v>
      </c>
      <c r="I2067" s="34" t="s">
        <v>25</v>
      </c>
      <c r="J2067" s="327"/>
      <c r="K2067" s="37"/>
      <c r="L2067" s="1128"/>
      <c r="M2067" s="327"/>
      <c r="N2067" s="327"/>
      <c r="O2067" s="1129"/>
    </row>
    <row r="2068" spans="1:15" ht="18.75" customHeight="1" x14ac:dyDescent="0.3">
      <c r="A2068" s="2402">
        <v>2062</v>
      </c>
      <c r="B2068" s="1130" t="s">
        <v>3181</v>
      </c>
      <c r="C2068" s="216" t="s">
        <v>1344</v>
      </c>
      <c r="D2068" s="416" t="s">
        <v>550</v>
      </c>
      <c r="E2068" s="217" t="s">
        <v>3198</v>
      </c>
      <c r="F2068" s="218" t="s">
        <v>3081</v>
      </c>
      <c r="G2068" s="568">
        <v>2040</v>
      </c>
      <c r="H2068" s="1776" t="s">
        <v>1349</v>
      </c>
      <c r="I2068" s="34" t="s">
        <v>25</v>
      </c>
      <c r="J2068" s="327"/>
      <c r="K2068" s="37"/>
      <c r="L2068" s="1128"/>
      <c r="M2068" s="327"/>
      <c r="N2068" s="327"/>
      <c r="O2068" s="1129"/>
    </row>
    <row r="2069" spans="1:15" ht="18.75" customHeight="1" x14ac:dyDescent="0.3">
      <c r="A2069" s="2402">
        <v>2063</v>
      </c>
      <c r="B2069" s="1130" t="s">
        <v>3181</v>
      </c>
      <c r="C2069" s="216" t="s">
        <v>1344</v>
      </c>
      <c r="D2069" s="416" t="s">
        <v>550</v>
      </c>
      <c r="E2069" s="217" t="s">
        <v>3199</v>
      </c>
      <c r="F2069" s="218" t="s">
        <v>3081</v>
      </c>
      <c r="G2069" s="568">
        <v>2040</v>
      </c>
      <c r="H2069" s="1776" t="s">
        <v>1349</v>
      </c>
      <c r="I2069" s="34" t="s">
        <v>25</v>
      </c>
      <c r="J2069" s="327"/>
      <c r="K2069" s="37"/>
      <c r="L2069" s="1128"/>
      <c r="M2069" s="327"/>
      <c r="N2069" s="327"/>
      <c r="O2069" s="1129"/>
    </row>
    <row r="2070" spans="1:15" ht="18.75" customHeight="1" x14ac:dyDescent="0.3">
      <c r="A2070" s="2401">
        <v>2064</v>
      </c>
      <c r="B2070" s="1130" t="s">
        <v>3181</v>
      </c>
      <c r="C2070" s="216" t="s">
        <v>1344</v>
      </c>
      <c r="D2070" s="452" t="s">
        <v>550</v>
      </c>
      <c r="E2070" s="217" t="s">
        <v>3200</v>
      </c>
      <c r="F2070" s="218" t="s">
        <v>3081</v>
      </c>
      <c r="G2070" s="568">
        <v>2040</v>
      </c>
      <c r="H2070" s="1776" t="s">
        <v>1349</v>
      </c>
      <c r="I2070" s="34" t="s">
        <v>25</v>
      </c>
      <c r="J2070" s="327"/>
      <c r="K2070" s="37"/>
      <c r="L2070" s="1128"/>
      <c r="M2070" s="327"/>
      <c r="N2070" s="327"/>
      <c r="O2070" s="1129"/>
    </row>
    <row r="2071" spans="1:15" ht="18.75" customHeight="1" x14ac:dyDescent="0.3">
      <c r="A2071" s="2402">
        <v>2065</v>
      </c>
      <c r="B2071" s="1130" t="s">
        <v>3181</v>
      </c>
      <c r="C2071" s="216" t="s">
        <v>1344</v>
      </c>
      <c r="D2071" s="793" t="s">
        <v>550</v>
      </c>
      <c r="E2071" s="217" t="s">
        <v>3201</v>
      </c>
      <c r="F2071" s="218" t="s">
        <v>3081</v>
      </c>
      <c r="G2071" s="568">
        <v>2040</v>
      </c>
      <c r="H2071" s="1776" t="s">
        <v>1349</v>
      </c>
      <c r="I2071" s="34" t="s">
        <v>25</v>
      </c>
      <c r="J2071" s="327"/>
      <c r="K2071" s="37"/>
      <c r="L2071" s="1128"/>
      <c r="M2071" s="327"/>
      <c r="N2071" s="327"/>
      <c r="O2071" s="1129"/>
    </row>
    <row r="2072" spans="1:15" ht="18.75" customHeight="1" x14ac:dyDescent="0.3">
      <c r="A2072" s="2402">
        <v>2066</v>
      </c>
      <c r="B2072" s="1130" t="s">
        <v>3181</v>
      </c>
      <c r="C2072" s="216" t="s">
        <v>1344</v>
      </c>
      <c r="D2072" s="452" t="s">
        <v>550</v>
      </c>
      <c r="E2072" s="217" t="s">
        <v>3202</v>
      </c>
      <c r="F2072" s="218" t="s">
        <v>3081</v>
      </c>
      <c r="G2072" s="568">
        <v>2040</v>
      </c>
      <c r="H2072" s="1776" t="s">
        <v>1349</v>
      </c>
      <c r="I2072" s="34" t="s">
        <v>25</v>
      </c>
      <c r="J2072" s="327"/>
      <c r="K2072" s="37"/>
      <c r="L2072" s="1128"/>
      <c r="M2072" s="327"/>
      <c r="N2072" s="327"/>
      <c r="O2072" s="1129"/>
    </row>
    <row r="2073" spans="1:15" ht="18.75" customHeight="1" x14ac:dyDescent="0.3">
      <c r="A2073" s="2401">
        <v>2067</v>
      </c>
      <c r="B2073" s="1130" t="s">
        <v>3181</v>
      </c>
      <c r="C2073" s="216" t="s">
        <v>1344</v>
      </c>
      <c r="D2073" s="793" t="s">
        <v>550</v>
      </c>
      <c r="E2073" s="217" t="s">
        <v>3203</v>
      </c>
      <c r="F2073" s="218" t="s">
        <v>3081</v>
      </c>
      <c r="G2073" s="568">
        <v>2040</v>
      </c>
      <c r="H2073" s="1776" t="s">
        <v>1349</v>
      </c>
      <c r="I2073" s="34" t="s">
        <v>25</v>
      </c>
      <c r="J2073" s="327"/>
      <c r="K2073" s="37"/>
      <c r="L2073" s="1128"/>
      <c r="M2073" s="327"/>
      <c r="N2073" s="327"/>
      <c r="O2073" s="1129"/>
    </row>
    <row r="2074" spans="1:15" ht="18.75" customHeight="1" x14ac:dyDescent="0.3">
      <c r="A2074" s="2402">
        <v>2068</v>
      </c>
      <c r="B2074" s="1130" t="s">
        <v>3181</v>
      </c>
      <c r="C2074" s="216" t="s">
        <v>1344</v>
      </c>
      <c r="D2074" s="416" t="s">
        <v>550</v>
      </c>
      <c r="E2074" s="217" t="s">
        <v>3204</v>
      </c>
      <c r="F2074" s="218" t="s">
        <v>3081</v>
      </c>
      <c r="G2074" s="568">
        <v>2040</v>
      </c>
      <c r="H2074" s="1776" t="s">
        <v>1349</v>
      </c>
      <c r="I2074" s="34" t="s">
        <v>25</v>
      </c>
      <c r="J2074" s="327"/>
      <c r="K2074" s="37"/>
      <c r="L2074" s="1128"/>
      <c r="M2074" s="327"/>
      <c r="N2074" s="327"/>
      <c r="O2074" s="1129"/>
    </row>
    <row r="2075" spans="1:15" ht="18.75" customHeight="1" x14ac:dyDescent="0.3">
      <c r="A2075" s="2402">
        <v>2069</v>
      </c>
      <c r="B2075" s="1130" t="s">
        <v>3181</v>
      </c>
      <c r="C2075" s="216" t="s">
        <v>1344</v>
      </c>
      <c r="D2075" s="416" t="s">
        <v>550</v>
      </c>
      <c r="E2075" s="217" t="s">
        <v>3205</v>
      </c>
      <c r="F2075" s="218" t="s">
        <v>3081</v>
      </c>
      <c r="G2075" s="568">
        <v>2040</v>
      </c>
      <c r="H2075" s="1776" t="s">
        <v>1349</v>
      </c>
      <c r="I2075" s="34" t="s">
        <v>25</v>
      </c>
      <c r="J2075" s="327"/>
      <c r="K2075" s="37"/>
      <c r="L2075" s="1128"/>
      <c r="M2075" s="327"/>
      <c r="N2075" s="327"/>
      <c r="O2075" s="1129"/>
    </row>
    <row r="2076" spans="1:15" ht="18.75" customHeight="1" x14ac:dyDescent="0.3">
      <c r="A2076" s="2402">
        <v>2070</v>
      </c>
      <c r="B2076" s="1130" t="s">
        <v>3181</v>
      </c>
      <c r="C2076" s="216" t="s">
        <v>1344</v>
      </c>
      <c r="D2076" s="416" t="s">
        <v>550</v>
      </c>
      <c r="E2076" s="217" t="s">
        <v>3206</v>
      </c>
      <c r="F2076" s="218" t="s">
        <v>3081</v>
      </c>
      <c r="G2076" s="568">
        <v>2040</v>
      </c>
      <c r="H2076" s="1776" t="s">
        <v>1349</v>
      </c>
      <c r="I2076" s="34" t="s">
        <v>25</v>
      </c>
      <c r="J2076" s="327"/>
      <c r="K2076" s="37"/>
      <c r="L2076" s="1128"/>
      <c r="M2076" s="327"/>
      <c r="N2076" s="327"/>
      <c r="O2076" s="1129"/>
    </row>
    <row r="2077" spans="1:15" ht="18.75" customHeight="1" x14ac:dyDescent="0.3">
      <c r="A2077" s="2402">
        <v>2071</v>
      </c>
      <c r="B2077" s="1130" t="s">
        <v>3181</v>
      </c>
      <c r="C2077" s="216" t="s">
        <v>1344</v>
      </c>
      <c r="D2077" s="416" t="s">
        <v>550</v>
      </c>
      <c r="E2077" s="217" t="s">
        <v>3207</v>
      </c>
      <c r="F2077" s="218" t="s">
        <v>3081</v>
      </c>
      <c r="G2077" s="568">
        <v>2040</v>
      </c>
      <c r="H2077" s="1776" t="s">
        <v>1349</v>
      </c>
      <c r="I2077" s="34" t="s">
        <v>25</v>
      </c>
      <c r="J2077" s="327"/>
      <c r="K2077" s="37"/>
      <c r="L2077" s="1128"/>
      <c r="M2077" s="327"/>
      <c r="N2077" s="327"/>
      <c r="O2077" s="1129"/>
    </row>
    <row r="2078" spans="1:15" ht="18.75" customHeight="1" x14ac:dyDescent="0.3">
      <c r="A2078" s="2401">
        <v>2072</v>
      </c>
      <c r="B2078" s="1130" t="s">
        <v>3181</v>
      </c>
      <c r="C2078" s="216" t="s">
        <v>1344</v>
      </c>
      <c r="D2078" s="416" t="s">
        <v>550</v>
      </c>
      <c r="E2078" s="217" t="s">
        <v>3208</v>
      </c>
      <c r="F2078" s="218" t="s">
        <v>3081</v>
      </c>
      <c r="G2078" s="568">
        <v>2040</v>
      </c>
      <c r="H2078" s="1776" t="s">
        <v>1349</v>
      </c>
      <c r="I2078" s="34" t="s">
        <v>25</v>
      </c>
      <c r="J2078" s="327"/>
      <c r="K2078" s="37"/>
      <c r="L2078" s="1128"/>
      <c r="M2078" s="327"/>
      <c r="N2078" s="327"/>
      <c r="O2078" s="1129"/>
    </row>
    <row r="2079" spans="1:15" ht="18.75" customHeight="1" x14ac:dyDescent="0.3">
      <c r="A2079" s="2402">
        <v>2073</v>
      </c>
      <c r="B2079" s="1130" t="s">
        <v>3181</v>
      </c>
      <c r="C2079" s="216" t="s">
        <v>1344</v>
      </c>
      <c r="D2079" s="416" t="s">
        <v>550</v>
      </c>
      <c r="E2079" s="217" t="s">
        <v>3209</v>
      </c>
      <c r="F2079" s="218" t="s">
        <v>3081</v>
      </c>
      <c r="G2079" s="568">
        <v>2040</v>
      </c>
      <c r="H2079" s="1776" t="s">
        <v>1349</v>
      </c>
      <c r="I2079" s="34" t="s">
        <v>25</v>
      </c>
      <c r="J2079" s="327"/>
      <c r="K2079" s="37"/>
      <c r="L2079" s="1128"/>
      <c r="M2079" s="327"/>
      <c r="N2079" s="327"/>
      <c r="O2079" s="1129"/>
    </row>
    <row r="2080" spans="1:15" ht="18.75" customHeight="1" x14ac:dyDescent="0.3">
      <c r="A2080" s="2402">
        <v>2074</v>
      </c>
      <c r="B2080" s="1130" t="s">
        <v>3181</v>
      </c>
      <c r="C2080" s="216" t="s">
        <v>1344</v>
      </c>
      <c r="D2080" s="416" t="s">
        <v>550</v>
      </c>
      <c r="E2080" s="217" t="s">
        <v>3210</v>
      </c>
      <c r="F2080" s="218" t="s">
        <v>3081</v>
      </c>
      <c r="G2080" s="568">
        <v>2040</v>
      </c>
      <c r="H2080" s="1776" t="s">
        <v>1349</v>
      </c>
      <c r="I2080" s="34" t="s">
        <v>25</v>
      </c>
      <c r="J2080" s="327"/>
      <c r="K2080" s="37"/>
      <c r="L2080" s="1128"/>
      <c r="M2080" s="327"/>
      <c r="N2080" s="327"/>
      <c r="O2080" s="1129"/>
    </row>
    <row r="2081" spans="1:15" ht="18.75" customHeight="1" x14ac:dyDescent="0.3">
      <c r="A2081" s="2401">
        <v>2075</v>
      </c>
      <c r="B2081" s="1130" t="s">
        <v>3181</v>
      </c>
      <c r="C2081" s="216" t="s">
        <v>1344</v>
      </c>
      <c r="D2081" s="416" t="s">
        <v>550</v>
      </c>
      <c r="E2081" s="217" t="s">
        <v>3211</v>
      </c>
      <c r="F2081" s="218" t="s">
        <v>3081</v>
      </c>
      <c r="G2081" s="568">
        <v>2040</v>
      </c>
      <c r="H2081" s="1776" t="s">
        <v>1349</v>
      </c>
      <c r="I2081" s="34" t="s">
        <v>25</v>
      </c>
      <c r="J2081" s="327"/>
      <c r="K2081" s="37"/>
      <c r="L2081" s="1128"/>
      <c r="M2081" s="327"/>
      <c r="N2081" s="327"/>
      <c r="O2081" s="1129"/>
    </row>
    <row r="2082" spans="1:15" ht="18.75" customHeight="1" x14ac:dyDescent="0.3">
      <c r="A2082" s="2402">
        <v>2076</v>
      </c>
      <c r="B2082" s="1130" t="s">
        <v>3181</v>
      </c>
      <c r="C2082" s="216" t="s">
        <v>1344</v>
      </c>
      <c r="D2082" s="416" t="s">
        <v>550</v>
      </c>
      <c r="E2082" s="217" t="s">
        <v>3212</v>
      </c>
      <c r="F2082" s="218" t="s">
        <v>3081</v>
      </c>
      <c r="G2082" s="568">
        <v>2040</v>
      </c>
      <c r="H2082" s="1776" t="s">
        <v>1349</v>
      </c>
      <c r="I2082" s="34" t="s">
        <v>25</v>
      </c>
      <c r="J2082" s="327"/>
      <c r="K2082" s="37"/>
      <c r="L2082" s="1128"/>
      <c r="M2082" s="327"/>
      <c r="N2082" s="327"/>
      <c r="O2082" s="1129"/>
    </row>
    <row r="2083" spans="1:15" ht="18.75" customHeight="1" x14ac:dyDescent="0.3">
      <c r="A2083" s="2402">
        <v>2077</v>
      </c>
      <c r="B2083" s="1130" t="s">
        <v>3181</v>
      </c>
      <c r="C2083" s="216" t="s">
        <v>1344</v>
      </c>
      <c r="D2083" s="416" t="s">
        <v>550</v>
      </c>
      <c r="E2083" s="217" t="s">
        <v>3213</v>
      </c>
      <c r="F2083" s="218" t="s">
        <v>3081</v>
      </c>
      <c r="G2083" s="568">
        <v>2040</v>
      </c>
      <c r="H2083" s="1776" t="s">
        <v>1349</v>
      </c>
      <c r="I2083" s="34" t="s">
        <v>25</v>
      </c>
      <c r="J2083" s="327"/>
      <c r="K2083" s="37"/>
      <c r="L2083" s="1128"/>
      <c r="M2083" s="327"/>
      <c r="N2083" s="327"/>
      <c r="O2083" s="1129"/>
    </row>
    <row r="2084" spans="1:15" ht="18.75" customHeight="1" x14ac:dyDescent="0.3">
      <c r="A2084" s="2402">
        <v>2078</v>
      </c>
      <c r="B2084" s="1130" t="s">
        <v>3181</v>
      </c>
      <c r="C2084" s="216" t="s">
        <v>1344</v>
      </c>
      <c r="D2084" s="416" t="s">
        <v>550</v>
      </c>
      <c r="E2084" s="217" t="s">
        <v>3214</v>
      </c>
      <c r="F2084" s="218" t="s">
        <v>3081</v>
      </c>
      <c r="G2084" s="568">
        <v>2040</v>
      </c>
      <c r="H2084" s="1776" t="s">
        <v>1349</v>
      </c>
      <c r="I2084" s="34" t="s">
        <v>25</v>
      </c>
      <c r="J2084" s="327"/>
      <c r="K2084" s="37"/>
      <c r="L2084" s="1128"/>
      <c r="M2084" s="327"/>
      <c r="N2084" s="327"/>
      <c r="O2084" s="1129"/>
    </row>
    <row r="2085" spans="1:15" ht="18.75" customHeight="1" x14ac:dyDescent="0.3">
      <c r="A2085" s="2402">
        <v>2079</v>
      </c>
      <c r="B2085" s="1130" t="s">
        <v>3181</v>
      </c>
      <c r="C2085" s="216" t="s">
        <v>1344</v>
      </c>
      <c r="D2085" s="416" t="s">
        <v>550</v>
      </c>
      <c r="E2085" s="217" t="s">
        <v>3215</v>
      </c>
      <c r="F2085" s="218" t="s">
        <v>3081</v>
      </c>
      <c r="G2085" s="568">
        <v>2040</v>
      </c>
      <c r="H2085" s="1776" t="s">
        <v>1349</v>
      </c>
      <c r="I2085" s="34" t="s">
        <v>25</v>
      </c>
      <c r="J2085" s="327"/>
      <c r="K2085" s="37"/>
      <c r="L2085" s="1128"/>
      <c r="M2085" s="327"/>
      <c r="N2085" s="327"/>
      <c r="O2085" s="1129"/>
    </row>
    <row r="2086" spans="1:15" ht="18.75" customHeight="1" x14ac:dyDescent="0.3">
      <c r="A2086" s="2401">
        <v>2080</v>
      </c>
      <c r="B2086" s="1130" t="s">
        <v>3181</v>
      </c>
      <c r="C2086" s="216" t="s">
        <v>1344</v>
      </c>
      <c r="D2086" s="416" t="s">
        <v>550</v>
      </c>
      <c r="E2086" s="217" t="s">
        <v>3216</v>
      </c>
      <c r="F2086" s="218" t="s">
        <v>3081</v>
      </c>
      <c r="G2086" s="568">
        <v>2040</v>
      </c>
      <c r="H2086" s="1776" t="s">
        <v>1349</v>
      </c>
      <c r="I2086" s="34" t="s">
        <v>25</v>
      </c>
      <c r="J2086" s="327"/>
      <c r="K2086" s="37"/>
      <c r="L2086" s="1128"/>
      <c r="M2086" s="327"/>
      <c r="N2086" s="327"/>
      <c r="O2086" s="1129"/>
    </row>
    <row r="2087" spans="1:15" ht="18.75" customHeight="1" x14ac:dyDescent="0.3">
      <c r="A2087" s="2402">
        <v>2081</v>
      </c>
      <c r="B2087" s="1130" t="s">
        <v>3181</v>
      </c>
      <c r="C2087" s="216" t="s">
        <v>1344</v>
      </c>
      <c r="D2087" s="416" t="s">
        <v>550</v>
      </c>
      <c r="E2087" s="217" t="s">
        <v>3217</v>
      </c>
      <c r="F2087" s="218" t="s">
        <v>3081</v>
      </c>
      <c r="G2087" s="568">
        <v>2040</v>
      </c>
      <c r="H2087" s="1776" t="s">
        <v>1349</v>
      </c>
      <c r="I2087" s="34" t="s">
        <v>25</v>
      </c>
      <c r="J2087" s="327"/>
      <c r="K2087" s="37"/>
      <c r="L2087" s="1128"/>
      <c r="M2087" s="327"/>
      <c r="N2087" s="327"/>
      <c r="O2087" s="1129"/>
    </row>
    <row r="2088" spans="1:15" ht="18.75" customHeight="1" x14ac:dyDescent="0.3">
      <c r="A2088" s="2402">
        <v>2082</v>
      </c>
      <c r="B2088" s="1130" t="s">
        <v>3181</v>
      </c>
      <c r="C2088" s="216" t="s">
        <v>1344</v>
      </c>
      <c r="D2088" s="416" t="s">
        <v>550</v>
      </c>
      <c r="E2088" s="217" t="s">
        <v>3218</v>
      </c>
      <c r="F2088" s="218" t="s">
        <v>3081</v>
      </c>
      <c r="G2088" s="568">
        <v>2040</v>
      </c>
      <c r="H2088" s="1776" t="s">
        <v>1349</v>
      </c>
      <c r="I2088" s="34" t="s">
        <v>25</v>
      </c>
      <c r="J2088" s="327"/>
      <c r="K2088" s="37"/>
      <c r="L2088" s="1128"/>
      <c r="M2088" s="327"/>
      <c r="N2088" s="327"/>
      <c r="O2088" s="1129"/>
    </row>
    <row r="2089" spans="1:15" ht="18.75" customHeight="1" x14ac:dyDescent="0.3">
      <c r="A2089" s="2401">
        <v>2083</v>
      </c>
      <c r="B2089" s="1130" t="s">
        <v>3181</v>
      </c>
      <c r="C2089" s="1117" t="s">
        <v>1344</v>
      </c>
      <c r="D2089" s="452" t="s">
        <v>550</v>
      </c>
      <c r="E2089" s="217" t="s">
        <v>3219</v>
      </c>
      <c r="F2089" s="218" t="s">
        <v>3081</v>
      </c>
      <c r="G2089" s="568">
        <v>2040</v>
      </c>
      <c r="H2089" s="1776" t="s">
        <v>1349</v>
      </c>
      <c r="I2089" s="34" t="s">
        <v>25</v>
      </c>
      <c r="J2089" s="327"/>
      <c r="K2089" s="37"/>
      <c r="L2089" s="1128"/>
      <c r="M2089" s="327"/>
      <c r="N2089" s="327"/>
      <c r="O2089" s="1129"/>
    </row>
    <row r="2090" spans="1:15" ht="18.75" customHeight="1" x14ac:dyDescent="0.3">
      <c r="A2090" s="2402">
        <v>2084</v>
      </c>
      <c r="B2090" s="1130" t="s">
        <v>3181</v>
      </c>
      <c r="C2090" s="1117" t="s">
        <v>1344</v>
      </c>
      <c r="D2090" s="793" t="s">
        <v>550</v>
      </c>
      <c r="E2090" s="217" t="s">
        <v>3220</v>
      </c>
      <c r="F2090" s="218" t="s">
        <v>3081</v>
      </c>
      <c r="G2090" s="568">
        <v>2040</v>
      </c>
      <c r="H2090" s="1776" t="s">
        <v>1349</v>
      </c>
      <c r="I2090" s="34" t="s">
        <v>25</v>
      </c>
      <c r="J2090" s="327"/>
      <c r="K2090" s="37"/>
      <c r="L2090" s="1128"/>
      <c r="M2090" s="327"/>
      <c r="N2090" s="327"/>
      <c r="O2090" s="1129"/>
    </row>
    <row r="2091" spans="1:15" ht="18.75" customHeight="1" x14ac:dyDescent="0.3">
      <c r="A2091" s="2402">
        <v>2085</v>
      </c>
      <c r="B2091" s="1130" t="s">
        <v>3181</v>
      </c>
      <c r="C2091" s="1117" t="s">
        <v>1344</v>
      </c>
      <c r="D2091" s="416" t="s">
        <v>550</v>
      </c>
      <c r="E2091" s="217" t="s">
        <v>3221</v>
      </c>
      <c r="F2091" s="218" t="s">
        <v>3081</v>
      </c>
      <c r="G2091" s="568">
        <v>2040</v>
      </c>
      <c r="H2091" s="1776" t="s">
        <v>1349</v>
      </c>
      <c r="I2091" s="34" t="s">
        <v>25</v>
      </c>
      <c r="J2091" s="327"/>
      <c r="K2091" s="37"/>
      <c r="L2091" s="1128"/>
      <c r="M2091" s="327"/>
      <c r="N2091" s="327"/>
      <c r="O2091" s="1129"/>
    </row>
    <row r="2092" spans="1:15" ht="18.75" customHeight="1" x14ac:dyDescent="0.3">
      <c r="A2092" s="2402">
        <v>2086</v>
      </c>
      <c r="B2092" s="1130" t="s">
        <v>3181</v>
      </c>
      <c r="C2092" s="1117" t="s">
        <v>1344</v>
      </c>
      <c r="D2092" s="416" t="s">
        <v>550</v>
      </c>
      <c r="E2092" s="217" t="s">
        <v>3222</v>
      </c>
      <c r="F2092" s="218" t="s">
        <v>3081</v>
      </c>
      <c r="G2092" s="568">
        <v>2040</v>
      </c>
      <c r="H2092" s="1776" t="s">
        <v>1349</v>
      </c>
      <c r="I2092" s="34" t="s">
        <v>25</v>
      </c>
      <c r="J2092" s="327"/>
      <c r="K2092" s="37"/>
      <c r="L2092" s="1128"/>
      <c r="M2092" s="327"/>
      <c r="N2092" s="327"/>
      <c r="O2092" s="1129"/>
    </row>
    <row r="2093" spans="1:15" ht="18.75" customHeight="1" x14ac:dyDescent="0.3">
      <c r="A2093" s="2402">
        <v>2087</v>
      </c>
      <c r="B2093" s="1130" t="s">
        <v>3181</v>
      </c>
      <c r="C2093" s="1117" t="s">
        <v>1344</v>
      </c>
      <c r="D2093" s="416" t="s">
        <v>550</v>
      </c>
      <c r="E2093" s="217" t="s">
        <v>3223</v>
      </c>
      <c r="F2093" s="218" t="s">
        <v>3081</v>
      </c>
      <c r="G2093" s="568">
        <v>2040</v>
      </c>
      <c r="H2093" s="1776" t="s">
        <v>1349</v>
      </c>
      <c r="I2093" s="34" t="s">
        <v>25</v>
      </c>
      <c r="J2093" s="327"/>
      <c r="K2093" s="37"/>
      <c r="L2093" s="1128"/>
      <c r="M2093" s="327"/>
      <c r="N2093" s="327"/>
      <c r="O2093" s="1129"/>
    </row>
    <row r="2094" spans="1:15" ht="18.75" customHeight="1" x14ac:dyDescent="0.3">
      <c r="A2094" s="2401">
        <v>2088</v>
      </c>
      <c r="B2094" s="1130" t="s">
        <v>3181</v>
      </c>
      <c r="C2094" s="1117" t="s">
        <v>1344</v>
      </c>
      <c r="D2094" s="416" t="s">
        <v>550</v>
      </c>
      <c r="E2094" s="217" t="s">
        <v>3224</v>
      </c>
      <c r="F2094" s="218" t="s">
        <v>3081</v>
      </c>
      <c r="G2094" s="568">
        <v>2040</v>
      </c>
      <c r="H2094" s="1776" t="s">
        <v>1349</v>
      </c>
      <c r="I2094" s="34" t="s">
        <v>25</v>
      </c>
      <c r="J2094" s="327"/>
      <c r="K2094" s="37"/>
      <c r="L2094" s="1128"/>
      <c r="M2094" s="327"/>
      <c r="N2094" s="327"/>
      <c r="O2094" s="1129"/>
    </row>
    <row r="2095" spans="1:15" ht="18.75" customHeight="1" x14ac:dyDescent="0.3">
      <c r="A2095" s="2402">
        <v>2089</v>
      </c>
      <c r="B2095" s="1130" t="s">
        <v>3181</v>
      </c>
      <c r="C2095" s="1117" t="s">
        <v>1344</v>
      </c>
      <c r="D2095" s="416" t="s">
        <v>550</v>
      </c>
      <c r="E2095" s="217" t="s">
        <v>3225</v>
      </c>
      <c r="F2095" s="218" t="s">
        <v>3081</v>
      </c>
      <c r="G2095" s="568">
        <v>2040</v>
      </c>
      <c r="H2095" s="1776" t="s">
        <v>1349</v>
      </c>
      <c r="I2095" s="34" t="s">
        <v>25</v>
      </c>
      <c r="J2095" s="327"/>
      <c r="K2095" s="37"/>
      <c r="L2095" s="1128"/>
      <c r="M2095" s="327"/>
      <c r="N2095" s="327"/>
      <c r="O2095" s="1129"/>
    </row>
    <row r="2096" spans="1:15" ht="18.75" customHeight="1" x14ac:dyDescent="0.3">
      <c r="A2096" s="2402">
        <v>2090</v>
      </c>
      <c r="B2096" s="1130" t="s">
        <v>3181</v>
      </c>
      <c r="C2096" s="1117" t="s">
        <v>1344</v>
      </c>
      <c r="D2096" s="416" t="s">
        <v>550</v>
      </c>
      <c r="E2096" s="217" t="s">
        <v>3226</v>
      </c>
      <c r="F2096" s="218" t="s">
        <v>3081</v>
      </c>
      <c r="G2096" s="568">
        <v>2040</v>
      </c>
      <c r="H2096" s="1776" t="s">
        <v>1349</v>
      </c>
      <c r="I2096" s="34" t="s">
        <v>25</v>
      </c>
      <c r="J2096" s="327"/>
      <c r="K2096" s="37"/>
      <c r="L2096" s="1128"/>
      <c r="M2096" s="327"/>
      <c r="N2096" s="327"/>
      <c r="O2096" s="1129"/>
    </row>
    <row r="2097" spans="1:15" ht="18.75" customHeight="1" x14ac:dyDescent="0.3">
      <c r="A2097" s="2401">
        <v>2091</v>
      </c>
      <c r="B2097" s="1130" t="s">
        <v>3181</v>
      </c>
      <c r="C2097" s="1117" t="s">
        <v>1344</v>
      </c>
      <c r="D2097" s="416" t="s">
        <v>550</v>
      </c>
      <c r="E2097" s="217" t="s">
        <v>3227</v>
      </c>
      <c r="F2097" s="218" t="s">
        <v>3081</v>
      </c>
      <c r="G2097" s="568">
        <v>2040</v>
      </c>
      <c r="H2097" s="1776" t="s">
        <v>1349</v>
      </c>
      <c r="I2097" s="34" t="s">
        <v>25</v>
      </c>
      <c r="J2097" s="327"/>
      <c r="K2097" s="37"/>
      <c r="L2097" s="1128"/>
      <c r="M2097" s="327"/>
      <c r="N2097" s="327"/>
      <c r="O2097" s="1129"/>
    </row>
    <row r="2098" spans="1:15" ht="18.75" customHeight="1" x14ac:dyDescent="0.3">
      <c r="A2098" s="2402">
        <v>2092</v>
      </c>
      <c r="B2098" s="1130" t="s">
        <v>3181</v>
      </c>
      <c r="C2098" s="1117" t="s">
        <v>1344</v>
      </c>
      <c r="D2098" s="416" t="s">
        <v>550</v>
      </c>
      <c r="E2098" s="217" t="s">
        <v>3228</v>
      </c>
      <c r="F2098" s="218" t="s">
        <v>3081</v>
      </c>
      <c r="G2098" s="568">
        <v>2040</v>
      </c>
      <c r="H2098" s="1776" t="s">
        <v>1349</v>
      </c>
      <c r="I2098" s="34" t="s">
        <v>25</v>
      </c>
      <c r="J2098" s="327"/>
      <c r="K2098" s="37"/>
      <c r="L2098" s="1128"/>
      <c r="M2098" s="327"/>
      <c r="N2098" s="327"/>
      <c r="O2098" s="1129"/>
    </row>
    <row r="2099" spans="1:15" ht="18.75" customHeight="1" x14ac:dyDescent="0.3">
      <c r="A2099" s="2402">
        <v>2093</v>
      </c>
      <c r="B2099" s="1130" t="s">
        <v>3181</v>
      </c>
      <c r="C2099" s="1117" t="s">
        <v>1344</v>
      </c>
      <c r="D2099" s="416" t="s">
        <v>550</v>
      </c>
      <c r="E2099" s="217" t="s">
        <v>3229</v>
      </c>
      <c r="F2099" s="218" t="s">
        <v>3081</v>
      </c>
      <c r="G2099" s="568">
        <v>2040</v>
      </c>
      <c r="H2099" s="1776" t="s">
        <v>1349</v>
      </c>
      <c r="I2099" s="34" t="s">
        <v>25</v>
      </c>
      <c r="J2099" s="327"/>
      <c r="K2099" s="37"/>
      <c r="L2099" s="1128"/>
      <c r="M2099" s="327"/>
      <c r="N2099" s="327"/>
      <c r="O2099" s="1129"/>
    </row>
    <row r="2100" spans="1:15" ht="18.75" customHeight="1" x14ac:dyDescent="0.3">
      <c r="A2100" s="2402">
        <v>2094</v>
      </c>
      <c r="B2100" s="1130" t="s">
        <v>3181</v>
      </c>
      <c r="C2100" s="1117" t="s">
        <v>1344</v>
      </c>
      <c r="D2100" s="416" t="s">
        <v>550</v>
      </c>
      <c r="E2100" s="217" t="s">
        <v>3230</v>
      </c>
      <c r="F2100" s="218" t="s">
        <v>3081</v>
      </c>
      <c r="G2100" s="568">
        <v>2040</v>
      </c>
      <c r="H2100" s="1776" t="s">
        <v>1349</v>
      </c>
      <c r="I2100" s="34" t="s">
        <v>25</v>
      </c>
      <c r="J2100" s="327"/>
      <c r="K2100" s="37"/>
      <c r="L2100" s="1128"/>
      <c r="M2100" s="327"/>
      <c r="N2100" s="327"/>
      <c r="O2100" s="1129"/>
    </row>
    <row r="2101" spans="1:15" ht="18.75" customHeight="1" x14ac:dyDescent="0.3">
      <c r="A2101" s="2402">
        <v>2095</v>
      </c>
      <c r="B2101" s="1130" t="s">
        <v>3181</v>
      </c>
      <c r="C2101" s="1117" t="s">
        <v>1344</v>
      </c>
      <c r="D2101" s="416" t="s">
        <v>550</v>
      </c>
      <c r="E2101" s="217" t="s">
        <v>3231</v>
      </c>
      <c r="F2101" s="218" t="s">
        <v>3081</v>
      </c>
      <c r="G2101" s="568">
        <v>2040</v>
      </c>
      <c r="H2101" s="1776" t="s">
        <v>1349</v>
      </c>
      <c r="I2101" s="34" t="s">
        <v>25</v>
      </c>
      <c r="J2101" s="327"/>
      <c r="K2101" s="37"/>
      <c r="L2101" s="1128"/>
      <c r="M2101" s="327"/>
      <c r="N2101" s="327"/>
      <c r="O2101" s="1129"/>
    </row>
    <row r="2102" spans="1:15" ht="18.75" customHeight="1" x14ac:dyDescent="0.3">
      <c r="A2102" s="2401">
        <v>2096</v>
      </c>
      <c r="B2102" s="1130" t="s">
        <v>3181</v>
      </c>
      <c r="C2102" s="1117" t="s">
        <v>1344</v>
      </c>
      <c r="D2102" s="416" t="s">
        <v>550</v>
      </c>
      <c r="E2102" s="217" t="s">
        <v>3232</v>
      </c>
      <c r="F2102" s="218" t="s">
        <v>3081</v>
      </c>
      <c r="G2102" s="568">
        <v>2040</v>
      </c>
      <c r="H2102" s="1776" t="s">
        <v>1349</v>
      </c>
      <c r="I2102" s="34" t="s">
        <v>25</v>
      </c>
      <c r="J2102" s="327"/>
      <c r="K2102" s="37"/>
      <c r="L2102" s="1128"/>
      <c r="M2102" s="327"/>
      <c r="N2102" s="327"/>
      <c r="O2102" s="1129"/>
    </row>
    <row r="2103" spans="1:15" ht="18.75" customHeight="1" x14ac:dyDescent="0.3">
      <c r="A2103" s="2402">
        <v>2097</v>
      </c>
      <c r="B2103" s="1130" t="s">
        <v>3181</v>
      </c>
      <c r="C2103" s="1117" t="s">
        <v>1344</v>
      </c>
      <c r="D2103" s="416" t="s">
        <v>550</v>
      </c>
      <c r="E2103" s="217" t="s">
        <v>3233</v>
      </c>
      <c r="F2103" s="218" t="s">
        <v>3081</v>
      </c>
      <c r="G2103" s="568">
        <v>2040</v>
      </c>
      <c r="H2103" s="1776" t="s">
        <v>1349</v>
      </c>
      <c r="I2103" s="34" t="s">
        <v>25</v>
      </c>
      <c r="J2103" s="327"/>
      <c r="K2103" s="37"/>
      <c r="L2103" s="1128"/>
      <c r="M2103" s="327"/>
      <c r="N2103" s="327"/>
      <c r="O2103" s="1129"/>
    </row>
    <row r="2104" spans="1:15" ht="18.75" customHeight="1" x14ac:dyDescent="0.3">
      <c r="A2104" s="2402">
        <v>2098</v>
      </c>
      <c r="B2104" s="1130" t="s">
        <v>3181</v>
      </c>
      <c r="C2104" s="1117" t="s">
        <v>1344</v>
      </c>
      <c r="D2104" s="416" t="s">
        <v>550</v>
      </c>
      <c r="E2104" s="217" t="s">
        <v>3234</v>
      </c>
      <c r="F2104" s="218" t="s">
        <v>3081</v>
      </c>
      <c r="G2104" s="568">
        <v>2040</v>
      </c>
      <c r="H2104" s="1776" t="s">
        <v>1349</v>
      </c>
      <c r="I2104" s="34" t="s">
        <v>25</v>
      </c>
      <c r="J2104" s="327"/>
      <c r="K2104" s="37"/>
      <c r="L2104" s="1128"/>
      <c r="M2104" s="327"/>
      <c r="N2104" s="327"/>
      <c r="O2104" s="1129"/>
    </row>
    <row r="2105" spans="1:15" ht="18.75" customHeight="1" x14ac:dyDescent="0.3">
      <c r="A2105" s="2401">
        <v>2099</v>
      </c>
      <c r="B2105" s="1130" t="s">
        <v>3181</v>
      </c>
      <c r="C2105" s="1117" t="s">
        <v>1344</v>
      </c>
      <c r="D2105" s="452" t="s">
        <v>550</v>
      </c>
      <c r="E2105" s="217" t="s">
        <v>3235</v>
      </c>
      <c r="F2105" s="218" t="s">
        <v>3081</v>
      </c>
      <c r="G2105" s="568">
        <v>2040</v>
      </c>
      <c r="H2105" s="1776" t="s">
        <v>1349</v>
      </c>
      <c r="I2105" s="34" t="s">
        <v>25</v>
      </c>
      <c r="J2105" s="327"/>
      <c r="K2105" s="37"/>
      <c r="L2105" s="1128"/>
      <c r="M2105" s="327"/>
      <c r="N2105" s="327"/>
      <c r="O2105" s="1129"/>
    </row>
    <row r="2106" spans="1:15" ht="18.75" customHeight="1" x14ac:dyDescent="0.3">
      <c r="A2106" s="2402">
        <v>2100</v>
      </c>
      <c r="B2106" s="1130" t="s">
        <v>3181</v>
      </c>
      <c r="C2106" s="1117" t="s">
        <v>1344</v>
      </c>
      <c r="D2106" s="793" t="s">
        <v>550</v>
      </c>
      <c r="E2106" s="217" t="s">
        <v>3236</v>
      </c>
      <c r="F2106" s="218" t="s">
        <v>3081</v>
      </c>
      <c r="G2106" s="568">
        <v>2040</v>
      </c>
      <c r="H2106" s="1776" t="s">
        <v>1349</v>
      </c>
      <c r="I2106" s="34" t="s">
        <v>25</v>
      </c>
      <c r="J2106" s="327"/>
      <c r="K2106" s="37"/>
      <c r="L2106" s="1128"/>
      <c r="M2106" s="327"/>
      <c r="N2106" s="327"/>
      <c r="O2106" s="1129"/>
    </row>
    <row r="2107" spans="1:15" ht="18.75" customHeight="1" x14ac:dyDescent="0.3">
      <c r="A2107" s="2402">
        <v>2101</v>
      </c>
      <c r="B2107" s="1130" t="s">
        <v>3181</v>
      </c>
      <c r="C2107" s="1117" t="s">
        <v>1344</v>
      </c>
      <c r="D2107" s="416" t="s">
        <v>550</v>
      </c>
      <c r="E2107" s="217" t="s">
        <v>3237</v>
      </c>
      <c r="F2107" s="218" t="s">
        <v>3081</v>
      </c>
      <c r="G2107" s="568">
        <v>2040</v>
      </c>
      <c r="H2107" s="1776" t="s">
        <v>1349</v>
      </c>
      <c r="I2107" s="34" t="s">
        <v>25</v>
      </c>
      <c r="J2107" s="327"/>
      <c r="K2107" s="37"/>
      <c r="L2107" s="1128"/>
      <c r="M2107" s="327"/>
      <c r="N2107" s="327"/>
      <c r="O2107" s="1129"/>
    </row>
    <row r="2108" spans="1:15" ht="18.75" customHeight="1" x14ac:dyDescent="0.3">
      <c r="A2108" s="2402">
        <v>2102</v>
      </c>
      <c r="B2108" s="1130" t="s">
        <v>3181</v>
      </c>
      <c r="C2108" s="216" t="s">
        <v>1344</v>
      </c>
      <c r="D2108" s="416" t="s">
        <v>550</v>
      </c>
      <c r="E2108" s="217" t="s">
        <v>3238</v>
      </c>
      <c r="F2108" s="218" t="s">
        <v>3081</v>
      </c>
      <c r="G2108" s="568">
        <v>2040</v>
      </c>
      <c r="H2108" s="1776" t="s">
        <v>1349</v>
      </c>
      <c r="I2108" s="34" t="s">
        <v>25</v>
      </c>
      <c r="J2108" s="327"/>
      <c r="K2108" s="37"/>
      <c r="L2108" s="1128"/>
      <c r="M2108" s="327"/>
      <c r="N2108" s="327"/>
      <c r="O2108" s="1129"/>
    </row>
    <row r="2109" spans="1:15" ht="18.75" customHeight="1" x14ac:dyDescent="0.3">
      <c r="A2109" s="2402">
        <v>2103</v>
      </c>
      <c r="B2109" s="1130" t="s">
        <v>3181</v>
      </c>
      <c r="C2109" s="216" t="s">
        <v>1344</v>
      </c>
      <c r="D2109" s="416" t="s">
        <v>550</v>
      </c>
      <c r="E2109" s="217" t="s">
        <v>3239</v>
      </c>
      <c r="F2109" s="218" t="s">
        <v>3081</v>
      </c>
      <c r="G2109" s="568">
        <v>2040</v>
      </c>
      <c r="H2109" s="1776" t="s">
        <v>1349</v>
      </c>
      <c r="I2109" s="34" t="s">
        <v>25</v>
      </c>
      <c r="J2109" s="327"/>
      <c r="K2109" s="37"/>
      <c r="L2109" s="1128"/>
      <c r="M2109" s="327"/>
      <c r="N2109" s="327"/>
      <c r="O2109" s="1129"/>
    </row>
    <row r="2110" spans="1:15" ht="18.75" customHeight="1" x14ac:dyDescent="0.3">
      <c r="A2110" s="2401">
        <v>2104</v>
      </c>
      <c r="B2110" s="1130" t="s">
        <v>3181</v>
      </c>
      <c r="C2110" s="216" t="s">
        <v>1344</v>
      </c>
      <c r="D2110" s="416" t="s">
        <v>550</v>
      </c>
      <c r="E2110" s="217" t="s">
        <v>3240</v>
      </c>
      <c r="F2110" s="218" t="s">
        <v>3081</v>
      </c>
      <c r="G2110" s="568">
        <v>2040</v>
      </c>
      <c r="H2110" s="1776" t="s">
        <v>1349</v>
      </c>
      <c r="I2110" s="34" t="s">
        <v>25</v>
      </c>
      <c r="J2110" s="327"/>
      <c r="K2110" s="37"/>
      <c r="L2110" s="1128"/>
      <c r="M2110" s="327"/>
      <c r="N2110" s="327"/>
      <c r="O2110" s="1129"/>
    </row>
    <row r="2111" spans="1:15" ht="18.75" customHeight="1" x14ac:dyDescent="0.3">
      <c r="A2111" s="2402">
        <v>2105</v>
      </c>
      <c r="B2111" s="1130" t="s">
        <v>3181</v>
      </c>
      <c r="C2111" s="216" t="s">
        <v>1344</v>
      </c>
      <c r="D2111" s="416" t="s">
        <v>550</v>
      </c>
      <c r="E2111" s="217" t="s">
        <v>3241</v>
      </c>
      <c r="F2111" s="218" t="s">
        <v>3081</v>
      </c>
      <c r="G2111" s="568">
        <v>2040</v>
      </c>
      <c r="H2111" s="1776" t="s">
        <v>1349</v>
      </c>
      <c r="I2111" s="34" t="s">
        <v>25</v>
      </c>
      <c r="J2111" s="327"/>
      <c r="K2111" s="37"/>
      <c r="L2111" s="1128"/>
      <c r="M2111" s="327"/>
      <c r="N2111" s="327"/>
      <c r="O2111" s="1129"/>
    </row>
    <row r="2112" spans="1:15" ht="18.75" customHeight="1" x14ac:dyDescent="0.3">
      <c r="A2112" s="2402">
        <v>2106</v>
      </c>
      <c r="B2112" s="1130" t="s">
        <v>3181</v>
      </c>
      <c r="C2112" s="216" t="s">
        <v>1344</v>
      </c>
      <c r="D2112" s="416" t="s">
        <v>550</v>
      </c>
      <c r="E2112" s="217" t="s">
        <v>3242</v>
      </c>
      <c r="F2112" s="218" t="s">
        <v>3081</v>
      </c>
      <c r="G2112" s="568">
        <v>2040</v>
      </c>
      <c r="H2112" s="1776" t="s">
        <v>1349</v>
      </c>
      <c r="I2112" s="34" t="s">
        <v>25</v>
      </c>
      <c r="J2112" s="327"/>
      <c r="K2112" s="37"/>
      <c r="L2112" s="1128"/>
      <c r="M2112" s="327"/>
      <c r="N2112" s="327"/>
      <c r="O2112" s="1129"/>
    </row>
    <row r="2113" spans="1:15" ht="18.75" customHeight="1" x14ac:dyDescent="0.3">
      <c r="A2113" s="2401">
        <v>2107</v>
      </c>
      <c r="B2113" s="1130" t="s">
        <v>3181</v>
      </c>
      <c r="C2113" s="216" t="s">
        <v>1344</v>
      </c>
      <c r="D2113" s="416" t="s">
        <v>550</v>
      </c>
      <c r="E2113" s="217" t="s">
        <v>3243</v>
      </c>
      <c r="F2113" s="218" t="s">
        <v>3081</v>
      </c>
      <c r="G2113" s="568">
        <v>2040</v>
      </c>
      <c r="H2113" s="1776" t="s">
        <v>1349</v>
      </c>
      <c r="I2113" s="34" t="s">
        <v>25</v>
      </c>
      <c r="J2113" s="327"/>
      <c r="K2113" s="37"/>
      <c r="L2113" s="1128"/>
      <c r="M2113" s="327"/>
      <c r="N2113" s="327"/>
      <c r="O2113" s="1129"/>
    </row>
    <row r="2114" spans="1:15" ht="18.75" customHeight="1" x14ac:dyDescent="0.3">
      <c r="A2114" s="2402">
        <v>2108</v>
      </c>
      <c r="B2114" s="1130" t="s">
        <v>3181</v>
      </c>
      <c r="C2114" s="216" t="s">
        <v>1344</v>
      </c>
      <c r="D2114" s="416" t="s">
        <v>550</v>
      </c>
      <c r="E2114" s="217" t="s">
        <v>3244</v>
      </c>
      <c r="F2114" s="218" t="s">
        <v>3081</v>
      </c>
      <c r="G2114" s="568">
        <v>2040</v>
      </c>
      <c r="H2114" s="1776" t="s">
        <v>1349</v>
      </c>
      <c r="I2114" s="34" t="s">
        <v>25</v>
      </c>
      <c r="J2114" s="327"/>
      <c r="K2114" s="37"/>
      <c r="L2114" s="1128"/>
      <c r="M2114" s="327"/>
      <c r="N2114" s="327"/>
      <c r="O2114" s="1129"/>
    </row>
    <row r="2115" spans="1:15" ht="18.75" customHeight="1" x14ac:dyDescent="0.3">
      <c r="A2115" s="2402">
        <v>2109</v>
      </c>
      <c r="B2115" s="1130" t="s">
        <v>3181</v>
      </c>
      <c r="C2115" s="216" t="s">
        <v>1344</v>
      </c>
      <c r="D2115" s="416" t="s">
        <v>550</v>
      </c>
      <c r="E2115" s="217" t="s">
        <v>3245</v>
      </c>
      <c r="F2115" s="218" t="s">
        <v>3081</v>
      </c>
      <c r="G2115" s="568">
        <v>2040</v>
      </c>
      <c r="H2115" s="1776" t="s">
        <v>1349</v>
      </c>
      <c r="I2115" s="34" t="s">
        <v>25</v>
      </c>
      <c r="J2115" s="327"/>
      <c r="K2115" s="37"/>
      <c r="L2115" s="1128"/>
      <c r="M2115" s="327"/>
      <c r="N2115" s="327"/>
      <c r="O2115" s="1129"/>
    </row>
    <row r="2116" spans="1:15" ht="18.75" customHeight="1" x14ac:dyDescent="0.3">
      <c r="A2116" s="2402">
        <v>2110</v>
      </c>
      <c r="B2116" s="1130" t="s">
        <v>3181</v>
      </c>
      <c r="C2116" s="216" t="s">
        <v>1344</v>
      </c>
      <c r="D2116" s="416" t="s">
        <v>550</v>
      </c>
      <c r="E2116" s="217" t="s">
        <v>3246</v>
      </c>
      <c r="F2116" s="218" t="s">
        <v>3081</v>
      </c>
      <c r="G2116" s="568">
        <v>2040</v>
      </c>
      <c r="H2116" s="1776" t="s">
        <v>1349</v>
      </c>
      <c r="I2116" s="34" t="s">
        <v>25</v>
      </c>
      <c r="J2116" s="327"/>
      <c r="K2116" s="37"/>
      <c r="L2116" s="1128"/>
      <c r="M2116" s="327"/>
      <c r="N2116" s="327"/>
      <c r="O2116" s="1129"/>
    </row>
    <row r="2117" spans="1:15" ht="18.75" customHeight="1" x14ac:dyDescent="0.3">
      <c r="A2117" s="2402">
        <v>2111</v>
      </c>
      <c r="B2117" s="1130" t="s">
        <v>3181</v>
      </c>
      <c r="C2117" s="216" t="s">
        <v>1344</v>
      </c>
      <c r="D2117" s="416" t="s">
        <v>550</v>
      </c>
      <c r="E2117" s="217" t="s">
        <v>3247</v>
      </c>
      <c r="F2117" s="218" t="s">
        <v>3081</v>
      </c>
      <c r="G2117" s="568">
        <v>2040</v>
      </c>
      <c r="H2117" s="1776" t="s">
        <v>1349</v>
      </c>
      <c r="I2117" s="34" t="s">
        <v>25</v>
      </c>
      <c r="J2117" s="327"/>
      <c r="K2117" s="37"/>
      <c r="L2117" s="1128"/>
      <c r="M2117" s="327"/>
      <c r="N2117" s="327"/>
      <c r="O2117" s="1129"/>
    </row>
    <row r="2118" spans="1:15" ht="18.75" customHeight="1" x14ac:dyDescent="0.3">
      <c r="A2118" s="2401">
        <v>2112</v>
      </c>
      <c r="B2118" s="1130" t="s">
        <v>3181</v>
      </c>
      <c r="C2118" s="216" t="s">
        <v>1344</v>
      </c>
      <c r="D2118" s="416" t="s">
        <v>550</v>
      </c>
      <c r="E2118" s="217" t="s">
        <v>3248</v>
      </c>
      <c r="F2118" s="218" t="s">
        <v>3081</v>
      </c>
      <c r="G2118" s="568">
        <v>2040</v>
      </c>
      <c r="H2118" s="1776" t="s">
        <v>1349</v>
      </c>
      <c r="I2118" s="34" t="s">
        <v>25</v>
      </c>
      <c r="J2118" s="327"/>
      <c r="K2118" s="37"/>
      <c r="L2118" s="1128"/>
      <c r="M2118" s="327"/>
      <c r="N2118" s="327"/>
      <c r="O2118" s="1129"/>
    </row>
    <row r="2119" spans="1:15" ht="18.75" customHeight="1" x14ac:dyDescent="0.3">
      <c r="A2119" s="2402">
        <v>2113</v>
      </c>
      <c r="B2119" s="1130" t="s">
        <v>3181</v>
      </c>
      <c r="C2119" s="216" t="s">
        <v>1344</v>
      </c>
      <c r="D2119" s="416" t="s">
        <v>550</v>
      </c>
      <c r="E2119" s="217" t="s">
        <v>3249</v>
      </c>
      <c r="F2119" s="218" t="s">
        <v>3081</v>
      </c>
      <c r="G2119" s="568">
        <v>2040</v>
      </c>
      <c r="H2119" s="1776" t="s">
        <v>1349</v>
      </c>
      <c r="I2119" s="34" t="s">
        <v>25</v>
      </c>
      <c r="J2119" s="327"/>
      <c r="K2119" s="37"/>
      <c r="L2119" s="1128"/>
      <c r="M2119" s="327"/>
      <c r="N2119" s="327"/>
      <c r="O2119" s="1129"/>
    </row>
    <row r="2120" spans="1:15" ht="18.75" customHeight="1" x14ac:dyDescent="0.3">
      <c r="A2120" s="2402">
        <v>2114</v>
      </c>
      <c r="B2120" s="1130" t="s">
        <v>3181</v>
      </c>
      <c r="C2120" s="216" t="s">
        <v>1344</v>
      </c>
      <c r="D2120" s="416" t="s">
        <v>550</v>
      </c>
      <c r="E2120" s="217" t="s">
        <v>3250</v>
      </c>
      <c r="F2120" s="218" t="s">
        <v>3081</v>
      </c>
      <c r="G2120" s="568">
        <v>2040</v>
      </c>
      <c r="H2120" s="1776" t="s">
        <v>1349</v>
      </c>
      <c r="I2120" s="34" t="s">
        <v>25</v>
      </c>
      <c r="J2120" s="327"/>
      <c r="K2120" s="37"/>
      <c r="L2120" s="1128"/>
      <c r="M2120" s="327"/>
      <c r="N2120" s="327"/>
      <c r="O2120" s="1129"/>
    </row>
    <row r="2121" spans="1:15" ht="18.75" customHeight="1" x14ac:dyDescent="0.3">
      <c r="A2121" s="2401">
        <v>2115</v>
      </c>
      <c r="B2121" s="1130" t="s">
        <v>3181</v>
      </c>
      <c r="C2121" s="216" t="s">
        <v>1344</v>
      </c>
      <c r="D2121" s="416" t="s">
        <v>550</v>
      </c>
      <c r="E2121" s="217" t="s">
        <v>3251</v>
      </c>
      <c r="F2121" s="218" t="s">
        <v>3081</v>
      </c>
      <c r="G2121" s="568">
        <v>2040</v>
      </c>
      <c r="H2121" s="1776" t="s">
        <v>1349</v>
      </c>
      <c r="I2121" s="34" t="s">
        <v>25</v>
      </c>
      <c r="J2121" s="327"/>
      <c r="K2121" s="37"/>
      <c r="L2121" s="1128"/>
      <c r="M2121" s="327"/>
      <c r="N2121" s="327"/>
      <c r="O2121" s="1129"/>
    </row>
    <row r="2122" spans="1:15" ht="18.75" customHeight="1" x14ac:dyDescent="0.3">
      <c r="A2122" s="2402">
        <v>2116</v>
      </c>
      <c r="B2122" s="1130" t="s">
        <v>3181</v>
      </c>
      <c r="C2122" s="216" t="s">
        <v>1344</v>
      </c>
      <c r="D2122" s="416" t="s">
        <v>550</v>
      </c>
      <c r="E2122" s="217" t="s">
        <v>3252</v>
      </c>
      <c r="F2122" s="218" t="s">
        <v>3081</v>
      </c>
      <c r="G2122" s="568">
        <v>2040</v>
      </c>
      <c r="H2122" s="1776" t="s">
        <v>1349</v>
      </c>
      <c r="I2122" s="34" t="s">
        <v>25</v>
      </c>
      <c r="J2122" s="327"/>
      <c r="K2122" s="37"/>
      <c r="L2122" s="1128"/>
      <c r="M2122" s="327"/>
      <c r="N2122" s="327"/>
      <c r="O2122" s="1129"/>
    </row>
    <row r="2123" spans="1:15" ht="18.75" customHeight="1" x14ac:dyDescent="0.3">
      <c r="A2123" s="2402">
        <v>2117</v>
      </c>
      <c r="B2123" s="1130" t="s">
        <v>3181</v>
      </c>
      <c r="C2123" s="216" t="s">
        <v>1344</v>
      </c>
      <c r="D2123" s="416" t="s">
        <v>550</v>
      </c>
      <c r="E2123" s="217" t="s">
        <v>3253</v>
      </c>
      <c r="F2123" s="218" t="s">
        <v>3081</v>
      </c>
      <c r="G2123" s="568">
        <v>2040</v>
      </c>
      <c r="H2123" s="1776" t="s">
        <v>1349</v>
      </c>
      <c r="I2123" s="34" t="s">
        <v>25</v>
      </c>
      <c r="J2123" s="327"/>
      <c r="K2123" s="37"/>
      <c r="L2123" s="1128"/>
      <c r="M2123" s="327"/>
      <c r="N2123" s="327"/>
      <c r="O2123" s="1129"/>
    </row>
    <row r="2124" spans="1:15" ht="18.75" customHeight="1" x14ac:dyDescent="0.3">
      <c r="A2124" s="2402">
        <v>2118</v>
      </c>
      <c r="B2124" s="1130" t="s">
        <v>3181</v>
      </c>
      <c r="C2124" s="216" t="s">
        <v>1344</v>
      </c>
      <c r="D2124" s="416" t="s">
        <v>550</v>
      </c>
      <c r="E2124" s="217" t="s">
        <v>3254</v>
      </c>
      <c r="F2124" s="218" t="s">
        <v>3081</v>
      </c>
      <c r="G2124" s="568">
        <v>2040</v>
      </c>
      <c r="H2124" s="1776" t="s">
        <v>1349</v>
      </c>
      <c r="I2124" s="34" t="s">
        <v>25</v>
      </c>
      <c r="J2124" s="327"/>
      <c r="K2124" s="37"/>
      <c r="L2124" s="1128"/>
      <c r="M2124" s="327"/>
      <c r="N2124" s="327"/>
      <c r="O2124" s="1129"/>
    </row>
    <row r="2125" spans="1:15" ht="18.75" customHeight="1" x14ac:dyDescent="0.3">
      <c r="A2125" s="2402">
        <v>2119</v>
      </c>
      <c r="B2125" s="1130" t="s">
        <v>3181</v>
      </c>
      <c r="C2125" s="216" t="s">
        <v>1344</v>
      </c>
      <c r="D2125" s="452" t="s">
        <v>550</v>
      </c>
      <c r="E2125" s="217" t="s">
        <v>3255</v>
      </c>
      <c r="F2125" s="218" t="s">
        <v>3081</v>
      </c>
      <c r="G2125" s="568">
        <v>2040</v>
      </c>
      <c r="H2125" s="1776" t="s">
        <v>1349</v>
      </c>
      <c r="I2125" s="34" t="s">
        <v>25</v>
      </c>
      <c r="J2125" s="327"/>
      <c r="K2125" s="37"/>
      <c r="L2125" s="1128"/>
      <c r="M2125" s="327"/>
      <c r="N2125" s="327"/>
      <c r="O2125" s="1129"/>
    </row>
    <row r="2126" spans="1:15" ht="18.75" customHeight="1" x14ac:dyDescent="0.3">
      <c r="A2126" s="2401">
        <v>2120</v>
      </c>
      <c r="B2126" s="1130" t="s">
        <v>3181</v>
      </c>
      <c r="C2126" s="216" t="s">
        <v>1344</v>
      </c>
      <c r="D2126" s="495" t="s">
        <v>550</v>
      </c>
      <c r="E2126" s="217" t="s">
        <v>3256</v>
      </c>
      <c r="F2126" s="218" t="s">
        <v>3081</v>
      </c>
      <c r="G2126" s="568">
        <v>2040</v>
      </c>
      <c r="H2126" s="1776" t="s">
        <v>1349</v>
      </c>
      <c r="I2126" s="34" t="s">
        <v>25</v>
      </c>
      <c r="J2126" s="327"/>
      <c r="K2126" s="37"/>
      <c r="L2126" s="1128"/>
      <c r="M2126" s="327"/>
      <c r="N2126" s="327"/>
      <c r="O2126" s="1129"/>
    </row>
    <row r="2127" spans="1:15" ht="18.75" customHeight="1" x14ac:dyDescent="0.3">
      <c r="A2127" s="2402">
        <v>2121</v>
      </c>
      <c r="B2127" s="1130" t="s">
        <v>3181</v>
      </c>
      <c r="C2127" s="216" t="s">
        <v>1344</v>
      </c>
      <c r="D2127" s="793" t="s">
        <v>550</v>
      </c>
      <c r="E2127" s="217" t="s">
        <v>3257</v>
      </c>
      <c r="F2127" s="218" t="s">
        <v>3081</v>
      </c>
      <c r="G2127" s="568">
        <v>2040</v>
      </c>
      <c r="H2127" s="1776" t="s">
        <v>1349</v>
      </c>
      <c r="I2127" s="34" t="s">
        <v>25</v>
      </c>
      <c r="J2127" s="327"/>
      <c r="K2127" s="37"/>
      <c r="L2127" s="1128"/>
      <c r="M2127" s="327"/>
      <c r="N2127" s="327"/>
      <c r="O2127" s="1129"/>
    </row>
    <row r="2128" spans="1:15" ht="18.75" customHeight="1" x14ac:dyDescent="0.3">
      <c r="A2128" s="2402">
        <v>2122</v>
      </c>
      <c r="B2128" s="1130" t="s">
        <v>3181</v>
      </c>
      <c r="C2128" s="216" t="s">
        <v>1344</v>
      </c>
      <c r="D2128" s="416" t="s">
        <v>550</v>
      </c>
      <c r="E2128" s="217" t="s">
        <v>3258</v>
      </c>
      <c r="F2128" s="218" t="s">
        <v>3081</v>
      </c>
      <c r="G2128" s="568">
        <v>2040</v>
      </c>
      <c r="H2128" s="1776" t="s">
        <v>1349</v>
      </c>
      <c r="I2128" s="34" t="s">
        <v>25</v>
      </c>
      <c r="J2128" s="327"/>
      <c r="K2128" s="37"/>
      <c r="L2128" s="1128"/>
      <c r="M2128" s="327"/>
      <c r="N2128" s="327"/>
      <c r="O2128" s="1129"/>
    </row>
    <row r="2129" spans="1:15" ht="18.75" customHeight="1" x14ac:dyDescent="0.3">
      <c r="A2129" s="2401">
        <v>2123</v>
      </c>
      <c r="B2129" s="1130" t="s">
        <v>3181</v>
      </c>
      <c r="C2129" s="216" t="s">
        <v>1344</v>
      </c>
      <c r="D2129" s="416" t="s">
        <v>550</v>
      </c>
      <c r="E2129" s="217" t="s">
        <v>3259</v>
      </c>
      <c r="F2129" s="218" t="s">
        <v>3081</v>
      </c>
      <c r="G2129" s="568">
        <v>2040</v>
      </c>
      <c r="H2129" s="1776" t="s">
        <v>1349</v>
      </c>
      <c r="I2129" s="34" t="s">
        <v>25</v>
      </c>
      <c r="J2129" s="327"/>
      <c r="K2129" s="37"/>
      <c r="L2129" s="1128"/>
      <c r="M2129" s="327"/>
      <c r="N2129" s="327"/>
      <c r="O2129" s="1129"/>
    </row>
    <row r="2130" spans="1:15" ht="18.75" customHeight="1" x14ac:dyDescent="0.3">
      <c r="A2130" s="2402">
        <v>2124</v>
      </c>
      <c r="B2130" s="1130" t="s">
        <v>3181</v>
      </c>
      <c r="C2130" s="216" t="s">
        <v>1344</v>
      </c>
      <c r="D2130" s="416" t="s">
        <v>550</v>
      </c>
      <c r="E2130" s="217" t="s">
        <v>3260</v>
      </c>
      <c r="F2130" s="218" t="s">
        <v>3081</v>
      </c>
      <c r="G2130" s="568">
        <v>2040</v>
      </c>
      <c r="H2130" s="1776" t="s">
        <v>1349</v>
      </c>
      <c r="I2130" s="34" t="s">
        <v>25</v>
      </c>
      <c r="J2130" s="327"/>
      <c r="K2130" s="37"/>
      <c r="L2130" s="1128"/>
      <c r="M2130" s="327"/>
      <c r="N2130" s="327"/>
      <c r="O2130" s="1129"/>
    </row>
    <row r="2131" spans="1:15" ht="18.75" customHeight="1" x14ac:dyDescent="0.3">
      <c r="A2131" s="2402">
        <v>2125</v>
      </c>
      <c r="B2131" s="1130" t="s">
        <v>3181</v>
      </c>
      <c r="C2131" s="216" t="s">
        <v>1344</v>
      </c>
      <c r="D2131" s="416" t="s">
        <v>550</v>
      </c>
      <c r="E2131" s="217" t="s">
        <v>3261</v>
      </c>
      <c r="F2131" s="218" t="s">
        <v>3081</v>
      </c>
      <c r="G2131" s="568">
        <v>2040</v>
      </c>
      <c r="H2131" s="1776" t="s">
        <v>1349</v>
      </c>
      <c r="I2131" s="34" t="s">
        <v>25</v>
      </c>
      <c r="J2131" s="327"/>
      <c r="K2131" s="37"/>
      <c r="L2131" s="1128"/>
      <c r="M2131" s="327"/>
      <c r="N2131" s="327"/>
      <c r="O2131" s="1129"/>
    </row>
    <row r="2132" spans="1:15" ht="18.75" customHeight="1" x14ac:dyDescent="0.3">
      <c r="A2132" s="2402">
        <v>2126</v>
      </c>
      <c r="B2132" s="1130" t="s">
        <v>3181</v>
      </c>
      <c r="C2132" s="216" t="s">
        <v>1344</v>
      </c>
      <c r="D2132" s="416" t="s">
        <v>550</v>
      </c>
      <c r="E2132" s="217" t="s">
        <v>3262</v>
      </c>
      <c r="F2132" s="218" t="s">
        <v>3081</v>
      </c>
      <c r="G2132" s="568">
        <v>2040</v>
      </c>
      <c r="H2132" s="1776" t="s">
        <v>1349</v>
      </c>
      <c r="I2132" s="34" t="s">
        <v>25</v>
      </c>
      <c r="J2132" s="327"/>
      <c r="K2132" s="37"/>
      <c r="L2132" s="1128"/>
      <c r="M2132" s="327"/>
      <c r="N2132" s="327"/>
      <c r="O2132" s="1129"/>
    </row>
    <row r="2133" spans="1:15" ht="18.75" customHeight="1" x14ac:dyDescent="0.3">
      <c r="A2133" s="2402">
        <v>2127</v>
      </c>
      <c r="B2133" s="1130" t="s">
        <v>3181</v>
      </c>
      <c r="C2133" s="216" t="s">
        <v>1344</v>
      </c>
      <c r="D2133" s="416" t="s">
        <v>550</v>
      </c>
      <c r="E2133" s="217" t="s">
        <v>3263</v>
      </c>
      <c r="F2133" s="218" t="s">
        <v>3081</v>
      </c>
      <c r="G2133" s="568">
        <v>2040</v>
      </c>
      <c r="H2133" s="1776" t="s">
        <v>1349</v>
      </c>
      <c r="I2133" s="34" t="s">
        <v>25</v>
      </c>
      <c r="J2133" s="327"/>
      <c r="K2133" s="37"/>
      <c r="L2133" s="1128"/>
      <c r="M2133" s="327"/>
      <c r="N2133" s="327"/>
      <c r="O2133" s="1129"/>
    </row>
    <row r="2134" spans="1:15" ht="18.75" customHeight="1" x14ac:dyDescent="0.3">
      <c r="A2134" s="2401">
        <v>2128</v>
      </c>
      <c r="B2134" s="1130" t="s">
        <v>3181</v>
      </c>
      <c r="C2134" s="216" t="s">
        <v>1344</v>
      </c>
      <c r="D2134" s="416" t="s">
        <v>550</v>
      </c>
      <c r="E2134" s="217" t="s">
        <v>3264</v>
      </c>
      <c r="F2134" s="218" t="s">
        <v>3081</v>
      </c>
      <c r="G2134" s="568">
        <v>2040</v>
      </c>
      <c r="H2134" s="1776" t="s">
        <v>1349</v>
      </c>
      <c r="I2134" s="34" t="s">
        <v>25</v>
      </c>
      <c r="J2134" s="327"/>
      <c r="K2134" s="37"/>
      <c r="L2134" s="1128"/>
      <c r="M2134" s="327"/>
      <c r="N2134" s="327"/>
      <c r="O2134" s="1129"/>
    </row>
    <row r="2135" spans="1:15" ht="18.75" customHeight="1" x14ac:dyDescent="0.3">
      <c r="A2135" s="2402">
        <v>2129</v>
      </c>
      <c r="B2135" s="1130" t="s">
        <v>3181</v>
      </c>
      <c r="C2135" s="216" t="s">
        <v>1344</v>
      </c>
      <c r="D2135" s="416" t="s">
        <v>550</v>
      </c>
      <c r="E2135" s="217" t="s">
        <v>3265</v>
      </c>
      <c r="F2135" s="218" t="s">
        <v>3081</v>
      </c>
      <c r="G2135" s="568">
        <v>2040</v>
      </c>
      <c r="H2135" s="1776" t="s">
        <v>1349</v>
      </c>
      <c r="I2135" s="34" t="s">
        <v>25</v>
      </c>
      <c r="J2135" s="327"/>
      <c r="K2135" s="37"/>
      <c r="L2135" s="1128"/>
      <c r="M2135" s="327"/>
      <c r="N2135" s="327"/>
      <c r="O2135" s="1129"/>
    </row>
    <row r="2136" spans="1:15" ht="18.75" customHeight="1" x14ac:dyDescent="0.3">
      <c r="A2136" s="2402">
        <v>2130</v>
      </c>
      <c r="B2136" s="1130" t="s">
        <v>3181</v>
      </c>
      <c r="C2136" s="216" t="s">
        <v>1344</v>
      </c>
      <c r="D2136" s="416" t="s">
        <v>550</v>
      </c>
      <c r="E2136" s="217" t="s">
        <v>3266</v>
      </c>
      <c r="F2136" s="218" t="s">
        <v>3081</v>
      </c>
      <c r="G2136" s="568">
        <v>2040</v>
      </c>
      <c r="H2136" s="1776" t="s">
        <v>1349</v>
      </c>
      <c r="I2136" s="34" t="s">
        <v>25</v>
      </c>
      <c r="J2136" s="327"/>
      <c r="K2136" s="37"/>
      <c r="L2136" s="1128"/>
      <c r="M2136" s="327"/>
      <c r="N2136" s="327"/>
      <c r="O2136" s="1129"/>
    </row>
    <row r="2137" spans="1:15" ht="18.75" customHeight="1" x14ac:dyDescent="0.3">
      <c r="A2137" s="2401">
        <v>2131</v>
      </c>
      <c r="B2137" s="1130" t="s">
        <v>3181</v>
      </c>
      <c r="C2137" s="216" t="s">
        <v>1344</v>
      </c>
      <c r="D2137" s="416" t="s">
        <v>550</v>
      </c>
      <c r="E2137" s="217" t="s">
        <v>3267</v>
      </c>
      <c r="F2137" s="218" t="s">
        <v>3081</v>
      </c>
      <c r="G2137" s="568">
        <v>2040</v>
      </c>
      <c r="H2137" s="1776" t="s">
        <v>1349</v>
      </c>
      <c r="I2137" s="34" t="s">
        <v>25</v>
      </c>
      <c r="J2137" s="327"/>
      <c r="K2137" s="37"/>
      <c r="L2137" s="1128"/>
      <c r="M2137" s="327"/>
      <c r="N2137" s="327"/>
      <c r="O2137" s="1129"/>
    </row>
    <row r="2138" spans="1:15" ht="18.75" customHeight="1" x14ac:dyDescent="0.3">
      <c r="A2138" s="2402">
        <v>2132</v>
      </c>
      <c r="B2138" s="1130" t="s">
        <v>3181</v>
      </c>
      <c r="C2138" s="216" t="s">
        <v>1344</v>
      </c>
      <c r="D2138" s="416" t="s">
        <v>550</v>
      </c>
      <c r="E2138" s="217" t="s">
        <v>3268</v>
      </c>
      <c r="F2138" s="218" t="s">
        <v>3081</v>
      </c>
      <c r="G2138" s="568">
        <v>2040</v>
      </c>
      <c r="H2138" s="1776" t="s">
        <v>1349</v>
      </c>
      <c r="I2138" s="34" t="s">
        <v>25</v>
      </c>
      <c r="J2138" s="327"/>
      <c r="K2138" s="37"/>
      <c r="L2138" s="1128"/>
      <c r="M2138" s="327"/>
      <c r="N2138" s="327"/>
      <c r="O2138" s="1129"/>
    </row>
    <row r="2139" spans="1:15" ht="18.75" customHeight="1" x14ac:dyDescent="0.3">
      <c r="A2139" s="2402">
        <v>2133</v>
      </c>
      <c r="B2139" s="1130" t="s">
        <v>3181</v>
      </c>
      <c r="C2139" s="216" t="s">
        <v>1344</v>
      </c>
      <c r="D2139" s="416" t="s">
        <v>550</v>
      </c>
      <c r="E2139" s="217" t="s">
        <v>3269</v>
      </c>
      <c r="F2139" s="218" t="s">
        <v>3081</v>
      </c>
      <c r="G2139" s="568">
        <v>2040</v>
      </c>
      <c r="H2139" s="1776" t="s">
        <v>1349</v>
      </c>
      <c r="I2139" s="34" t="s">
        <v>25</v>
      </c>
      <c r="J2139" s="327"/>
      <c r="K2139" s="37"/>
      <c r="L2139" s="1128"/>
      <c r="M2139" s="327"/>
      <c r="N2139" s="327"/>
      <c r="O2139" s="1129"/>
    </row>
    <row r="2140" spans="1:15" ht="18.75" customHeight="1" x14ac:dyDescent="0.3">
      <c r="A2140" s="2402">
        <v>2134</v>
      </c>
      <c r="B2140" s="1130" t="s">
        <v>3181</v>
      </c>
      <c r="C2140" s="216" t="s">
        <v>1344</v>
      </c>
      <c r="D2140" s="416" t="s">
        <v>550</v>
      </c>
      <c r="E2140" s="217" t="s">
        <v>3270</v>
      </c>
      <c r="F2140" s="218" t="s">
        <v>3081</v>
      </c>
      <c r="G2140" s="568">
        <v>2040</v>
      </c>
      <c r="H2140" s="1776" t="s">
        <v>1349</v>
      </c>
      <c r="I2140" s="34" t="s">
        <v>25</v>
      </c>
      <c r="J2140" s="327"/>
      <c r="K2140" s="37"/>
      <c r="L2140" s="1128"/>
      <c r="M2140" s="327"/>
      <c r="N2140" s="327"/>
      <c r="O2140" s="1129"/>
    </row>
    <row r="2141" spans="1:15" ht="18.75" customHeight="1" x14ac:dyDescent="0.3">
      <c r="A2141" s="2402">
        <v>2135</v>
      </c>
      <c r="B2141" s="1130" t="s">
        <v>3181</v>
      </c>
      <c r="C2141" s="216" t="s">
        <v>1344</v>
      </c>
      <c r="D2141" s="416" t="s">
        <v>550</v>
      </c>
      <c r="E2141" s="217" t="s">
        <v>3271</v>
      </c>
      <c r="F2141" s="218" t="s">
        <v>3081</v>
      </c>
      <c r="G2141" s="568">
        <v>2040</v>
      </c>
      <c r="H2141" s="1776" t="s">
        <v>1349</v>
      </c>
      <c r="I2141" s="34" t="s">
        <v>25</v>
      </c>
      <c r="J2141" s="327"/>
      <c r="K2141" s="37"/>
      <c r="L2141" s="1128"/>
      <c r="M2141" s="327"/>
      <c r="N2141" s="327"/>
      <c r="O2141" s="1129"/>
    </row>
    <row r="2142" spans="1:15" ht="18.75" customHeight="1" x14ac:dyDescent="0.3">
      <c r="A2142" s="2401">
        <v>2136</v>
      </c>
      <c r="B2142" s="1130" t="s">
        <v>3181</v>
      </c>
      <c r="C2142" s="216" t="s">
        <v>1344</v>
      </c>
      <c r="D2142" s="416" t="s">
        <v>550</v>
      </c>
      <c r="E2142" s="217" t="s">
        <v>3272</v>
      </c>
      <c r="F2142" s="218" t="s">
        <v>3081</v>
      </c>
      <c r="G2142" s="568">
        <v>2040</v>
      </c>
      <c r="H2142" s="1776" t="s">
        <v>1349</v>
      </c>
      <c r="I2142" s="34" t="s">
        <v>25</v>
      </c>
      <c r="J2142" s="327"/>
      <c r="K2142" s="37"/>
      <c r="L2142" s="1128"/>
      <c r="M2142" s="327"/>
      <c r="N2142" s="327"/>
      <c r="O2142" s="1129"/>
    </row>
    <row r="2143" spans="1:15" ht="18.75" customHeight="1" x14ac:dyDescent="0.3">
      <c r="A2143" s="2402">
        <v>2137</v>
      </c>
      <c r="B2143" s="1130" t="s">
        <v>3181</v>
      </c>
      <c r="C2143" s="216" t="s">
        <v>1344</v>
      </c>
      <c r="D2143" s="416" t="s">
        <v>550</v>
      </c>
      <c r="E2143" s="217" t="s">
        <v>3273</v>
      </c>
      <c r="F2143" s="218" t="s">
        <v>3081</v>
      </c>
      <c r="G2143" s="568">
        <v>2040</v>
      </c>
      <c r="H2143" s="1776" t="s">
        <v>1349</v>
      </c>
      <c r="I2143" s="34" t="s">
        <v>25</v>
      </c>
      <c r="J2143" s="327"/>
      <c r="K2143" s="37"/>
      <c r="L2143" s="1128"/>
      <c r="M2143" s="327"/>
      <c r="N2143" s="327"/>
      <c r="O2143" s="1129"/>
    </row>
    <row r="2144" spans="1:15" ht="18.75" customHeight="1" x14ac:dyDescent="0.3">
      <c r="A2144" s="2402">
        <v>2138</v>
      </c>
      <c r="B2144" s="1130" t="s">
        <v>3181</v>
      </c>
      <c r="C2144" s="216" t="s">
        <v>1344</v>
      </c>
      <c r="D2144" s="416" t="s">
        <v>550</v>
      </c>
      <c r="E2144" s="217" t="s">
        <v>3274</v>
      </c>
      <c r="F2144" s="218" t="s">
        <v>3081</v>
      </c>
      <c r="G2144" s="568">
        <v>2040</v>
      </c>
      <c r="H2144" s="1776" t="s">
        <v>1349</v>
      </c>
      <c r="I2144" s="34" t="s">
        <v>25</v>
      </c>
      <c r="J2144" s="327"/>
      <c r="K2144" s="37"/>
      <c r="L2144" s="1128"/>
      <c r="M2144" s="327"/>
      <c r="N2144" s="327"/>
      <c r="O2144" s="1129"/>
    </row>
    <row r="2145" spans="1:15" ht="18.75" customHeight="1" x14ac:dyDescent="0.3">
      <c r="A2145" s="2401">
        <v>2139</v>
      </c>
      <c r="B2145" s="1130" t="s">
        <v>3181</v>
      </c>
      <c r="C2145" s="216" t="s">
        <v>1344</v>
      </c>
      <c r="D2145" s="416" t="s">
        <v>550</v>
      </c>
      <c r="E2145" s="217" t="s">
        <v>3275</v>
      </c>
      <c r="F2145" s="218" t="s">
        <v>3081</v>
      </c>
      <c r="G2145" s="568">
        <v>2040</v>
      </c>
      <c r="H2145" s="1776" t="s">
        <v>1349</v>
      </c>
      <c r="I2145" s="34" t="s">
        <v>25</v>
      </c>
      <c r="J2145" s="327"/>
      <c r="K2145" s="37"/>
      <c r="L2145" s="1128"/>
      <c r="M2145" s="327"/>
      <c r="N2145" s="327"/>
      <c r="O2145" s="1129"/>
    </row>
    <row r="2146" spans="1:15" ht="18.75" customHeight="1" x14ac:dyDescent="0.3">
      <c r="A2146" s="2402">
        <v>2140</v>
      </c>
      <c r="B2146" s="1130" t="s">
        <v>3181</v>
      </c>
      <c r="C2146" s="216" t="s">
        <v>1344</v>
      </c>
      <c r="D2146" s="452" t="s">
        <v>550</v>
      </c>
      <c r="E2146" s="217" t="s">
        <v>3276</v>
      </c>
      <c r="F2146" s="218" t="s">
        <v>3081</v>
      </c>
      <c r="G2146" s="568">
        <v>2040</v>
      </c>
      <c r="H2146" s="1776" t="s">
        <v>1349</v>
      </c>
      <c r="I2146" s="34" t="s">
        <v>25</v>
      </c>
      <c r="J2146" s="327"/>
      <c r="K2146" s="37"/>
      <c r="L2146" s="1128"/>
      <c r="M2146" s="327"/>
      <c r="N2146" s="327"/>
      <c r="O2146" s="1129"/>
    </row>
    <row r="2147" spans="1:15" ht="18.75" customHeight="1" x14ac:dyDescent="0.3">
      <c r="A2147" s="2402">
        <v>2141</v>
      </c>
      <c r="B2147" s="1130" t="s">
        <v>3181</v>
      </c>
      <c r="C2147" s="216" t="s">
        <v>1344</v>
      </c>
      <c r="D2147" s="495" t="s">
        <v>550</v>
      </c>
      <c r="E2147" s="217" t="s">
        <v>3277</v>
      </c>
      <c r="F2147" s="218" t="s">
        <v>3081</v>
      </c>
      <c r="G2147" s="568">
        <v>2040</v>
      </c>
      <c r="H2147" s="1776" t="s">
        <v>1349</v>
      </c>
      <c r="I2147" s="34" t="s">
        <v>25</v>
      </c>
      <c r="J2147" s="327"/>
      <c r="K2147" s="37"/>
      <c r="L2147" s="1128"/>
      <c r="M2147" s="327"/>
      <c r="N2147" s="327"/>
      <c r="O2147" s="1129"/>
    </row>
    <row r="2148" spans="1:15" ht="18.75" customHeight="1" x14ac:dyDescent="0.3">
      <c r="A2148" s="2402">
        <v>2142</v>
      </c>
      <c r="B2148" s="1130" t="s">
        <v>3181</v>
      </c>
      <c r="C2148" s="216" t="s">
        <v>1344</v>
      </c>
      <c r="D2148" s="495" t="s">
        <v>550</v>
      </c>
      <c r="E2148" s="217" t="s">
        <v>3278</v>
      </c>
      <c r="F2148" s="218" t="s">
        <v>3081</v>
      </c>
      <c r="G2148" s="568">
        <v>2040</v>
      </c>
      <c r="H2148" s="1776" t="s">
        <v>1349</v>
      </c>
      <c r="I2148" s="34" t="s">
        <v>25</v>
      </c>
      <c r="J2148" s="327"/>
      <c r="K2148" s="37"/>
      <c r="L2148" s="1128"/>
      <c r="M2148" s="327"/>
      <c r="N2148" s="327"/>
      <c r="O2148" s="1129"/>
    </row>
    <row r="2149" spans="1:15" ht="18.75" customHeight="1" x14ac:dyDescent="0.3">
      <c r="A2149" s="2402">
        <v>2143</v>
      </c>
      <c r="B2149" s="1130" t="s">
        <v>3181</v>
      </c>
      <c r="C2149" s="216" t="s">
        <v>1344</v>
      </c>
      <c r="D2149" s="495" t="s">
        <v>550</v>
      </c>
      <c r="E2149" s="217" t="s">
        <v>3279</v>
      </c>
      <c r="F2149" s="218" t="s">
        <v>3081</v>
      </c>
      <c r="G2149" s="568">
        <v>2040</v>
      </c>
      <c r="H2149" s="1776" t="s">
        <v>1349</v>
      </c>
      <c r="I2149" s="34" t="s">
        <v>25</v>
      </c>
      <c r="J2149" s="327"/>
      <c r="K2149" s="37"/>
      <c r="L2149" s="1128"/>
      <c r="M2149" s="327"/>
      <c r="N2149" s="327"/>
      <c r="O2149" s="1129"/>
    </row>
    <row r="2150" spans="1:15" ht="18.75" customHeight="1" x14ac:dyDescent="0.3">
      <c r="A2150" s="2401">
        <v>2144</v>
      </c>
      <c r="B2150" s="1130" t="s">
        <v>3181</v>
      </c>
      <c r="C2150" s="216" t="s">
        <v>1344</v>
      </c>
      <c r="D2150" s="495" t="s">
        <v>550</v>
      </c>
      <c r="E2150" s="217" t="s">
        <v>3280</v>
      </c>
      <c r="F2150" s="218" t="s">
        <v>3081</v>
      </c>
      <c r="G2150" s="568">
        <v>2040</v>
      </c>
      <c r="H2150" s="1776" t="s">
        <v>1349</v>
      </c>
      <c r="I2150" s="34" t="s">
        <v>25</v>
      </c>
      <c r="J2150" s="327"/>
      <c r="K2150" s="37"/>
      <c r="L2150" s="1128"/>
      <c r="M2150" s="327"/>
      <c r="N2150" s="327"/>
      <c r="O2150" s="1129"/>
    </row>
    <row r="2151" spans="1:15" ht="18.75" customHeight="1" x14ac:dyDescent="0.3">
      <c r="A2151" s="2402">
        <v>2145</v>
      </c>
      <c r="B2151" s="1130" t="s">
        <v>3181</v>
      </c>
      <c r="C2151" s="216" t="s">
        <v>1344</v>
      </c>
      <c r="D2151" s="495" t="s">
        <v>550</v>
      </c>
      <c r="E2151" s="217" t="s">
        <v>3281</v>
      </c>
      <c r="F2151" s="218" t="s">
        <v>3081</v>
      </c>
      <c r="G2151" s="568">
        <v>2040</v>
      </c>
      <c r="H2151" s="1776" t="s">
        <v>1349</v>
      </c>
      <c r="I2151" s="34" t="s">
        <v>25</v>
      </c>
      <c r="J2151" s="327"/>
      <c r="K2151" s="37"/>
      <c r="L2151" s="1128"/>
      <c r="M2151" s="327"/>
      <c r="N2151" s="327"/>
      <c r="O2151" s="1129"/>
    </row>
    <row r="2152" spans="1:15" s="505" customFormat="1" ht="18.75" customHeight="1" x14ac:dyDescent="0.35">
      <c r="A2152" s="2402">
        <v>2146</v>
      </c>
      <c r="B2152" s="1130" t="s">
        <v>3282</v>
      </c>
      <c r="C2152" s="216" t="s">
        <v>1344</v>
      </c>
      <c r="D2152" s="495" t="s">
        <v>924</v>
      </c>
      <c r="E2152" s="217" t="s">
        <v>3283</v>
      </c>
      <c r="F2152" s="218" t="s">
        <v>3284</v>
      </c>
      <c r="G2152" s="1131">
        <v>11619</v>
      </c>
      <c r="H2152" s="1776" t="s">
        <v>1349</v>
      </c>
      <c r="I2152" s="1132" t="s">
        <v>25</v>
      </c>
      <c r="J2152" s="1133"/>
      <c r="K2152" s="1134"/>
      <c r="L2152" s="1135"/>
      <c r="M2152" s="1133"/>
      <c r="N2152" s="1133"/>
      <c r="O2152" s="1136" t="s">
        <v>3285</v>
      </c>
    </row>
    <row r="2153" spans="1:15" s="505" customFormat="1" ht="18.75" customHeight="1" x14ac:dyDescent="0.35">
      <c r="A2153" s="2401">
        <v>2147</v>
      </c>
      <c r="B2153" s="1130" t="s">
        <v>3282</v>
      </c>
      <c r="C2153" s="216" t="s">
        <v>1344</v>
      </c>
      <c r="D2153" s="495" t="s">
        <v>924</v>
      </c>
      <c r="E2153" s="217" t="s">
        <v>3286</v>
      </c>
      <c r="F2153" s="218" t="s">
        <v>3284</v>
      </c>
      <c r="G2153" s="1131">
        <v>11619</v>
      </c>
      <c r="H2153" s="1776" t="s">
        <v>1349</v>
      </c>
      <c r="I2153" s="1132" t="s">
        <v>25</v>
      </c>
      <c r="J2153" s="1133"/>
      <c r="K2153" s="1134"/>
      <c r="L2153" s="1135"/>
      <c r="M2153" s="1133"/>
      <c r="N2153" s="1133"/>
      <c r="O2153" s="1136" t="s">
        <v>3285</v>
      </c>
    </row>
    <row r="2154" spans="1:15" s="505" customFormat="1" ht="18.75" customHeight="1" x14ac:dyDescent="0.35">
      <c r="A2154" s="2402">
        <v>2148</v>
      </c>
      <c r="B2154" s="1130" t="s">
        <v>3282</v>
      </c>
      <c r="C2154" s="216" t="s">
        <v>1344</v>
      </c>
      <c r="D2154" s="495" t="s">
        <v>924</v>
      </c>
      <c r="E2154" s="217" t="s">
        <v>3287</v>
      </c>
      <c r="F2154" s="218" t="s">
        <v>3284</v>
      </c>
      <c r="G2154" s="1131">
        <v>11619</v>
      </c>
      <c r="H2154" s="1776" t="s">
        <v>1349</v>
      </c>
      <c r="I2154" s="1132" t="s">
        <v>25</v>
      </c>
      <c r="J2154" s="1133"/>
      <c r="K2154" s="1134"/>
      <c r="L2154" s="1135"/>
      <c r="M2154" s="1133"/>
      <c r="N2154" s="1133"/>
      <c r="O2154" s="1136" t="s">
        <v>3285</v>
      </c>
    </row>
    <row r="2155" spans="1:15" s="505" customFormat="1" ht="18.75" customHeight="1" x14ac:dyDescent="0.35">
      <c r="A2155" s="2402">
        <v>2149</v>
      </c>
      <c r="B2155" s="1130" t="s">
        <v>3282</v>
      </c>
      <c r="C2155" s="216" t="s">
        <v>1344</v>
      </c>
      <c r="D2155" s="495" t="s">
        <v>924</v>
      </c>
      <c r="E2155" s="217" t="s">
        <v>3288</v>
      </c>
      <c r="F2155" s="218" t="s">
        <v>3284</v>
      </c>
      <c r="G2155" s="1131">
        <v>11619</v>
      </c>
      <c r="H2155" s="1776" t="s">
        <v>1349</v>
      </c>
      <c r="I2155" s="1132" t="s">
        <v>25</v>
      </c>
      <c r="J2155" s="1133"/>
      <c r="K2155" s="1134"/>
      <c r="L2155" s="1135"/>
      <c r="M2155" s="1133"/>
      <c r="N2155" s="1133"/>
      <c r="O2155" s="1136" t="s">
        <v>3285</v>
      </c>
    </row>
    <row r="2156" spans="1:15" s="505" customFormat="1" ht="18.75" customHeight="1" x14ac:dyDescent="0.35">
      <c r="A2156" s="2402">
        <v>2150</v>
      </c>
      <c r="B2156" s="1130" t="s">
        <v>3282</v>
      </c>
      <c r="C2156" s="216" t="s">
        <v>1344</v>
      </c>
      <c r="D2156" s="495" t="s">
        <v>924</v>
      </c>
      <c r="E2156" s="217" t="s">
        <v>3289</v>
      </c>
      <c r="F2156" s="218" t="s">
        <v>3284</v>
      </c>
      <c r="G2156" s="1131">
        <v>11619</v>
      </c>
      <c r="H2156" s="1776" t="s">
        <v>1349</v>
      </c>
      <c r="I2156" s="1132" t="s">
        <v>25</v>
      </c>
      <c r="J2156" s="1133"/>
      <c r="K2156" s="1134"/>
      <c r="L2156" s="1135"/>
      <c r="M2156" s="1133"/>
      <c r="N2156" s="1133"/>
      <c r="O2156" s="1136" t="s">
        <v>3285</v>
      </c>
    </row>
    <row r="2157" spans="1:15" s="505" customFormat="1" ht="18.75" customHeight="1" x14ac:dyDescent="0.35">
      <c r="A2157" s="2402">
        <v>2151</v>
      </c>
      <c r="B2157" s="1130" t="s">
        <v>3282</v>
      </c>
      <c r="C2157" s="216" t="s">
        <v>1344</v>
      </c>
      <c r="D2157" s="495" t="s">
        <v>924</v>
      </c>
      <c r="E2157" s="217" t="s">
        <v>3290</v>
      </c>
      <c r="F2157" s="218" t="s">
        <v>3284</v>
      </c>
      <c r="G2157" s="1131">
        <v>11619</v>
      </c>
      <c r="H2157" s="1776" t="s">
        <v>1349</v>
      </c>
      <c r="I2157" s="1132" t="s">
        <v>25</v>
      </c>
      <c r="J2157" s="1133"/>
      <c r="K2157" s="1134"/>
      <c r="L2157" s="1135"/>
      <c r="M2157" s="1133"/>
      <c r="N2157" s="1133"/>
      <c r="O2157" s="1136" t="s">
        <v>3285</v>
      </c>
    </row>
    <row r="2158" spans="1:15" s="505" customFormat="1" ht="18.75" customHeight="1" x14ac:dyDescent="0.35">
      <c r="A2158" s="2401">
        <v>2152</v>
      </c>
      <c r="B2158" s="1130" t="s">
        <v>3282</v>
      </c>
      <c r="C2158" s="216" t="s">
        <v>1344</v>
      </c>
      <c r="D2158" s="495" t="s">
        <v>924</v>
      </c>
      <c r="E2158" s="217" t="s">
        <v>3291</v>
      </c>
      <c r="F2158" s="218" t="s">
        <v>3284</v>
      </c>
      <c r="G2158" s="1131">
        <v>11619</v>
      </c>
      <c r="H2158" s="1776" t="s">
        <v>1349</v>
      </c>
      <c r="I2158" s="1132" t="s">
        <v>25</v>
      </c>
      <c r="J2158" s="1133"/>
      <c r="K2158" s="1134"/>
      <c r="L2158" s="1135"/>
      <c r="M2158" s="1133"/>
      <c r="N2158" s="1133"/>
      <c r="O2158" s="1136" t="s">
        <v>3285</v>
      </c>
    </row>
    <row r="2159" spans="1:15" s="505" customFormat="1" ht="18.75" customHeight="1" x14ac:dyDescent="0.35">
      <c r="A2159" s="2402">
        <v>2153</v>
      </c>
      <c r="B2159" s="1130" t="s">
        <v>3282</v>
      </c>
      <c r="C2159" s="216" t="s">
        <v>1344</v>
      </c>
      <c r="D2159" s="495" t="s">
        <v>924</v>
      </c>
      <c r="E2159" s="217" t="s">
        <v>3292</v>
      </c>
      <c r="F2159" s="218" t="s">
        <v>3284</v>
      </c>
      <c r="G2159" s="1131">
        <v>11619</v>
      </c>
      <c r="H2159" s="1776" t="s">
        <v>1349</v>
      </c>
      <c r="I2159" s="1132" t="s">
        <v>25</v>
      </c>
      <c r="J2159" s="1133"/>
      <c r="K2159" s="1134"/>
      <c r="L2159" s="1135"/>
      <c r="M2159" s="1133"/>
      <c r="N2159" s="1133"/>
      <c r="O2159" s="1136" t="s">
        <v>3285</v>
      </c>
    </row>
    <row r="2160" spans="1:15" s="505" customFormat="1" ht="18.75" customHeight="1" x14ac:dyDescent="0.35">
      <c r="A2160" s="2402">
        <v>2154</v>
      </c>
      <c r="B2160" s="1130" t="s">
        <v>3282</v>
      </c>
      <c r="C2160" s="216" t="s">
        <v>1344</v>
      </c>
      <c r="D2160" s="495" t="s">
        <v>924</v>
      </c>
      <c r="E2160" s="217" t="s">
        <v>3293</v>
      </c>
      <c r="F2160" s="218" t="s">
        <v>3284</v>
      </c>
      <c r="G2160" s="1131">
        <v>11619</v>
      </c>
      <c r="H2160" s="1776" t="s">
        <v>1349</v>
      </c>
      <c r="I2160" s="1132" t="s">
        <v>25</v>
      </c>
      <c r="J2160" s="1133"/>
      <c r="K2160" s="1134"/>
      <c r="L2160" s="1135"/>
      <c r="M2160" s="1133"/>
      <c r="N2160" s="1133"/>
      <c r="O2160" s="1136" t="s">
        <v>3285</v>
      </c>
    </row>
    <row r="2161" spans="1:15" s="505" customFormat="1" ht="18.75" customHeight="1" x14ac:dyDescent="0.35">
      <c r="A2161" s="2401">
        <v>2155</v>
      </c>
      <c r="B2161" s="1130" t="s">
        <v>3282</v>
      </c>
      <c r="C2161" s="216" t="s">
        <v>1344</v>
      </c>
      <c r="D2161" s="1137" t="s">
        <v>924</v>
      </c>
      <c r="E2161" s="217" t="s">
        <v>3294</v>
      </c>
      <c r="F2161" s="218" t="s">
        <v>3284</v>
      </c>
      <c r="G2161" s="1131">
        <v>11619</v>
      </c>
      <c r="H2161" s="1776" t="s">
        <v>1349</v>
      </c>
      <c r="I2161" s="1132" t="s">
        <v>25</v>
      </c>
      <c r="J2161" s="1133"/>
      <c r="K2161" s="1134"/>
      <c r="L2161" s="1135"/>
      <c r="M2161" s="1133"/>
      <c r="N2161" s="1133"/>
      <c r="O2161" s="1136" t="s">
        <v>3285</v>
      </c>
    </row>
    <row r="2162" spans="1:15" s="505" customFormat="1" ht="18.75" customHeight="1" x14ac:dyDescent="0.35">
      <c r="A2162" s="2402">
        <v>2156</v>
      </c>
      <c r="B2162" s="1130" t="s">
        <v>3282</v>
      </c>
      <c r="C2162" s="216" t="s">
        <v>1344</v>
      </c>
      <c r="D2162" s="495" t="s">
        <v>924</v>
      </c>
      <c r="E2162" s="217" t="s">
        <v>3295</v>
      </c>
      <c r="F2162" s="218" t="s">
        <v>3284</v>
      </c>
      <c r="G2162" s="1131">
        <v>11619</v>
      </c>
      <c r="H2162" s="1776" t="s">
        <v>1349</v>
      </c>
      <c r="I2162" s="1132" t="s">
        <v>25</v>
      </c>
      <c r="J2162" s="1133"/>
      <c r="K2162" s="1134"/>
      <c r="L2162" s="1135"/>
      <c r="M2162" s="1133"/>
      <c r="N2162" s="1133"/>
      <c r="O2162" s="1136" t="s">
        <v>3285</v>
      </c>
    </row>
    <row r="2163" spans="1:15" s="505" customFormat="1" ht="18.75" customHeight="1" x14ac:dyDescent="0.35">
      <c r="A2163" s="2402">
        <v>2157</v>
      </c>
      <c r="B2163" s="1130" t="s">
        <v>3282</v>
      </c>
      <c r="C2163" s="216" t="s">
        <v>1344</v>
      </c>
      <c r="D2163" s="495" t="s">
        <v>924</v>
      </c>
      <c r="E2163" s="217" t="s">
        <v>3296</v>
      </c>
      <c r="F2163" s="218" t="s">
        <v>3284</v>
      </c>
      <c r="G2163" s="1131">
        <v>11619</v>
      </c>
      <c r="H2163" s="1776" t="s">
        <v>1349</v>
      </c>
      <c r="I2163" s="1132" t="s">
        <v>25</v>
      </c>
      <c r="J2163" s="1133"/>
      <c r="K2163" s="1134"/>
      <c r="L2163" s="1135"/>
      <c r="M2163" s="1133"/>
      <c r="N2163" s="1133"/>
      <c r="O2163" s="1136" t="s">
        <v>3285</v>
      </c>
    </row>
    <row r="2164" spans="1:15" s="505" customFormat="1" ht="18.75" customHeight="1" x14ac:dyDescent="0.35">
      <c r="A2164" s="2402">
        <v>2158</v>
      </c>
      <c r="B2164" s="1130" t="s">
        <v>3282</v>
      </c>
      <c r="C2164" s="216" t="s">
        <v>1344</v>
      </c>
      <c r="D2164" s="793" t="s">
        <v>924</v>
      </c>
      <c r="E2164" s="217" t="s">
        <v>3297</v>
      </c>
      <c r="F2164" s="218" t="s">
        <v>3284</v>
      </c>
      <c r="G2164" s="1131">
        <v>11619</v>
      </c>
      <c r="H2164" s="1776" t="s">
        <v>1349</v>
      </c>
      <c r="I2164" s="1132" t="s">
        <v>25</v>
      </c>
      <c r="J2164" s="1133"/>
      <c r="K2164" s="1134"/>
      <c r="L2164" s="1135"/>
      <c r="M2164" s="1133"/>
      <c r="N2164" s="1133"/>
      <c r="O2164" s="1136" t="s">
        <v>3285</v>
      </c>
    </row>
    <row r="2165" spans="1:15" s="505" customFormat="1" ht="18.75" customHeight="1" x14ac:dyDescent="0.35">
      <c r="A2165" s="2402">
        <v>2159</v>
      </c>
      <c r="B2165" s="1130" t="s">
        <v>3282</v>
      </c>
      <c r="C2165" s="216" t="s">
        <v>1344</v>
      </c>
      <c r="D2165" s="416" t="s">
        <v>924</v>
      </c>
      <c r="E2165" s="217" t="s">
        <v>3298</v>
      </c>
      <c r="F2165" s="218" t="s">
        <v>3284</v>
      </c>
      <c r="G2165" s="1131">
        <v>11619</v>
      </c>
      <c r="H2165" s="1776" t="s">
        <v>1349</v>
      </c>
      <c r="I2165" s="1132" t="s">
        <v>25</v>
      </c>
      <c r="J2165" s="1133"/>
      <c r="K2165" s="1134"/>
      <c r="L2165" s="1135"/>
      <c r="M2165" s="1133"/>
      <c r="N2165" s="1133"/>
      <c r="O2165" s="1136" t="s">
        <v>3285</v>
      </c>
    </row>
    <row r="2166" spans="1:15" s="505" customFormat="1" ht="18.75" customHeight="1" x14ac:dyDescent="0.35">
      <c r="A2166" s="2401">
        <v>2160</v>
      </c>
      <c r="B2166" s="1130" t="s">
        <v>3282</v>
      </c>
      <c r="C2166" s="216" t="s">
        <v>1344</v>
      </c>
      <c r="D2166" s="416" t="s">
        <v>924</v>
      </c>
      <c r="E2166" s="217" t="s">
        <v>3299</v>
      </c>
      <c r="F2166" s="218" t="s">
        <v>3284</v>
      </c>
      <c r="G2166" s="1131">
        <v>11619</v>
      </c>
      <c r="H2166" s="1776" t="s">
        <v>1349</v>
      </c>
      <c r="I2166" s="1132" t="s">
        <v>25</v>
      </c>
      <c r="J2166" s="1133"/>
      <c r="K2166" s="1134"/>
      <c r="L2166" s="1135"/>
      <c r="M2166" s="1133"/>
      <c r="N2166" s="1133"/>
      <c r="O2166" s="1136" t="s">
        <v>3285</v>
      </c>
    </row>
    <row r="2167" spans="1:15" s="505" customFormat="1" ht="18.75" customHeight="1" x14ac:dyDescent="0.35">
      <c r="A2167" s="2402">
        <v>2161</v>
      </c>
      <c r="B2167" s="1130" t="s">
        <v>3282</v>
      </c>
      <c r="C2167" s="216" t="s">
        <v>1344</v>
      </c>
      <c r="D2167" s="416" t="s">
        <v>924</v>
      </c>
      <c r="E2167" s="217" t="s">
        <v>3300</v>
      </c>
      <c r="F2167" s="218" t="s">
        <v>3284</v>
      </c>
      <c r="G2167" s="1131">
        <v>11619</v>
      </c>
      <c r="H2167" s="1776" t="s">
        <v>1349</v>
      </c>
      <c r="I2167" s="1132" t="s">
        <v>25</v>
      </c>
      <c r="J2167" s="1133"/>
      <c r="K2167" s="1134"/>
      <c r="L2167" s="1135"/>
      <c r="M2167" s="1133"/>
      <c r="N2167" s="1133"/>
      <c r="O2167" s="1136" t="s">
        <v>3285</v>
      </c>
    </row>
    <row r="2168" spans="1:15" s="505" customFormat="1" ht="18.75" customHeight="1" x14ac:dyDescent="0.35">
      <c r="A2168" s="2402">
        <v>2162</v>
      </c>
      <c r="B2168" s="1130" t="s">
        <v>3282</v>
      </c>
      <c r="C2168" s="216" t="s">
        <v>1344</v>
      </c>
      <c r="D2168" s="416" t="s">
        <v>924</v>
      </c>
      <c r="E2168" s="217" t="s">
        <v>3301</v>
      </c>
      <c r="F2168" s="218" t="s">
        <v>3284</v>
      </c>
      <c r="G2168" s="1131">
        <v>11619</v>
      </c>
      <c r="H2168" s="1776" t="s">
        <v>1349</v>
      </c>
      <c r="I2168" s="1132" t="s">
        <v>25</v>
      </c>
      <c r="J2168" s="1133"/>
      <c r="K2168" s="1134"/>
      <c r="L2168" s="1135"/>
      <c r="M2168" s="1133"/>
      <c r="N2168" s="1133"/>
      <c r="O2168" s="1136" t="s">
        <v>3285</v>
      </c>
    </row>
    <row r="2169" spans="1:15" s="505" customFormat="1" ht="18.75" customHeight="1" x14ac:dyDescent="0.35">
      <c r="A2169" s="2401">
        <v>2163</v>
      </c>
      <c r="B2169" s="1130" t="s">
        <v>3282</v>
      </c>
      <c r="C2169" s="216" t="s">
        <v>1344</v>
      </c>
      <c r="D2169" s="416" t="s">
        <v>924</v>
      </c>
      <c r="E2169" s="217" t="s">
        <v>3302</v>
      </c>
      <c r="F2169" s="218" t="s">
        <v>3284</v>
      </c>
      <c r="G2169" s="1131">
        <v>11619</v>
      </c>
      <c r="H2169" s="1776" t="s">
        <v>1349</v>
      </c>
      <c r="I2169" s="1132" t="s">
        <v>25</v>
      </c>
      <c r="J2169" s="1133"/>
      <c r="K2169" s="1134"/>
      <c r="L2169" s="1135"/>
      <c r="M2169" s="1133"/>
      <c r="N2169" s="1133"/>
      <c r="O2169" s="1136" t="s">
        <v>3285</v>
      </c>
    </row>
    <row r="2170" spans="1:15" s="505" customFormat="1" ht="18.75" customHeight="1" x14ac:dyDescent="0.35">
      <c r="A2170" s="2402">
        <v>2164</v>
      </c>
      <c r="B2170" s="1130" t="s">
        <v>3282</v>
      </c>
      <c r="C2170" s="216" t="s">
        <v>1344</v>
      </c>
      <c r="D2170" s="416" t="s">
        <v>924</v>
      </c>
      <c r="E2170" s="217" t="s">
        <v>3303</v>
      </c>
      <c r="F2170" s="218" t="s">
        <v>3284</v>
      </c>
      <c r="G2170" s="1131">
        <v>11619</v>
      </c>
      <c r="H2170" s="1776" t="s">
        <v>1349</v>
      </c>
      <c r="I2170" s="1132" t="s">
        <v>25</v>
      </c>
      <c r="J2170" s="1133"/>
      <c r="K2170" s="1134"/>
      <c r="L2170" s="1135"/>
      <c r="M2170" s="1133"/>
      <c r="N2170" s="1133"/>
      <c r="O2170" s="1136" t="s">
        <v>3285</v>
      </c>
    </row>
    <row r="2171" spans="1:15" s="505" customFormat="1" ht="18.75" customHeight="1" x14ac:dyDescent="0.35">
      <c r="A2171" s="2402">
        <v>2165</v>
      </c>
      <c r="B2171" s="1130" t="s">
        <v>3282</v>
      </c>
      <c r="C2171" s="216" t="s">
        <v>1344</v>
      </c>
      <c r="D2171" s="416" t="s">
        <v>924</v>
      </c>
      <c r="E2171" s="217" t="s">
        <v>3304</v>
      </c>
      <c r="F2171" s="218" t="s">
        <v>3284</v>
      </c>
      <c r="G2171" s="1131">
        <v>11619</v>
      </c>
      <c r="H2171" s="1776" t="s">
        <v>1349</v>
      </c>
      <c r="I2171" s="1132" t="s">
        <v>25</v>
      </c>
      <c r="J2171" s="1133"/>
      <c r="K2171" s="1134"/>
      <c r="L2171" s="1135"/>
      <c r="M2171" s="1133"/>
      <c r="N2171" s="1133"/>
      <c r="O2171" s="1136" t="s">
        <v>3285</v>
      </c>
    </row>
    <row r="2172" spans="1:15" s="505" customFormat="1" ht="18.75" customHeight="1" x14ac:dyDescent="0.35">
      <c r="A2172" s="2402">
        <v>2166</v>
      </c>
      <c r="B2172" s="1130" t="s">
        <v>3282</v>
      </c>
      <c r="C2172" s="216" t="s">
        <v>1344</v>
      </c>
      <c r="D2172" s="416" t="s">
        <v>924</v>
      </c>
      <c r="E2172" s="217" t="s">
        <v>3305</v>
      </c>
      <c r="F2172" s="218" t="s">
        <v>3284</v>
      </c>
      <c r="G2172" s="1131">
        <v>11619</v>
      </c>
      <c r="H2172" s="1776" t="s">
        <v>1349</v>
      </c>
      <c r="I2172" s="1132" t="s">
        <v>25</v>
      </c>
      <c r="J2172" s="1133"/>
      <c r="K2172" s="1134"/>
      <c r="L2172" s="1135"/>
      <c r="M2172" s="1133"/>
      <c r="N2172" s="1133"/>
      <c r="O2172" s="1136" t="s">
        <v>3285</v>
      </c>
    </row>
    <row r="2173" spans="1:15" s="505" customFormat="1" ht="18.75" customHeight="1" x14ac:dyDescent="0.35">
      <c r="A2173" s="2402">
        <v>2167</v>
      </c>
      <c r="B2173" s="1130" t="s">
        <v>3282</v>
      </c>
      <c r="C2173" s="216" t="s">
        <v>1344</v>
      </c>
      <c r="D2173" s="416" t="s">
        <v>924</v>
      </c>
      <c r="E2173" s="217" t="s">
        <v>3306</v>
      </c>
      <c r="F2173" s="218" t="s">
        <v>3284</v>
      </c>
      <c r="G2173" s="1131">
        <v>11619</v>
      </c>
      <c r="H2173" s="1776" t="s">
        <v>1349</v>
      </c>
      <c r="I2173" s="1132" t="s">
        <v>25</v>
      </c>
      <c r="J2173" s="1133"/>
      <c r="K2173" s="1134"/>
      <c r="L2173" s="1135"/>
      <c r="M2173" s="1133"/>
      <c r="N2173" s="1133"/>
      <c r="O2173" s="1136" t="s">
        <v>3285</v>
      </c>
    </row>
    <row r="2174" spans="1:15" s="505" customFormat="1" ht="18.75" customHeight="1" x14ac:dyDescent="0.35">
      <c r="A2174" s="2401">
        <v>2168</v>
      </c>
      <c r="B2174" s="1130" t="s">
        <v>3282</v>
      </c>
      <c r="C2174" s="216" t="s">
        <v>1344</v>
      </c>
      <c r="D2174" s="416" t="s">
        <v>924</v>
      </c>
      <c r="E2174" s="217" t="s">
        <v>3307</v>
      </c>
      <c r="F2174" s="218" t="s">
        <v>3284</v>
      </c>
      <c r="G2174" s="1131">
        <v>11619</v>
      </c>
      <c r="H2174" s="1776" t="s">
        <v>1349</v>
      </c>
      <c r="I2174" s="1132" t="s">
        <v>25</v>
      </c>
      <c r="J2174" s="1133"/>
      <c r="K2174" s="1134"/>
      <c r="L2174" s="1135"/>
      <c r="M2174" s="1133"/>
      <c r="N2174" s="1133"/>
      <c r="O2174" s="1136" t="s">
        <v>3285</v>
      </c>
    </row>
    <row r="2175" spans="1:15" s="505" customFormat="1" ht="18.75" customHeight="1" x14ac:dyDescent="0.35">
      <c r="A2175" s="2402">
        <v>2169</v>
      </c>
      <c r="B2175" s="1130" t="s">
        <v>3282</v>
      </c>
      <c r="C2175" s="216" t="s">
        <v>1344</v>
      </c>
      <c r="D2175" s="416" t="s">
        <v>924</v>
      </c>
      <c r="E2175" s="217" t="s">
        <v>3308</v>
      </c>
      <c r="F2175" s="218" t="s">
        <v>3284</v>
      </c>
      <c r="G2175" s="1131">
        <v>11619</v>
      </c>
      <c r="H2175" s="1776" t="s">
        <v>1349</v>
      </c>
      <c r="I2175" s="1132" t="s">
        <v>25</v>
      </c>
      <c r="J2175" s="1133"/>
      <c r="K2175" s="1134"/>
      <c r="L2175" s="1135"/>
      <c r="M2175" s="1133"/>
      <c r="N2175" s="1133"/>
      <c r="O2175" s="1136" t="s">
        <v>3285</v>
      </c>
    </row>
    <row r="2176" spans="1:15" s="505" customFormat="1" ht="18.75" customHeight="1" x14ac:dyDescent="0.35">
      <c r="A2176" s="2402">
        <v>2170</v>
      </c>
      <c r="B2176" s="1130" t="s">
        <v>3282</v>
      </c>
      <c r="C2176" s="216" t="s">
        <v>1344</v>
      </c>
      <c r="D2176" s="416" t="s">
        <v>924</v>
      </c>
      <c r="E2176" s="217" t="s">
        <v>3309</v>
      </c>
      <c r="F2176" s="218" t="s">
        <v>3284</v>
      </c>
      <c r="G2176" s="1131">
        <v>11619</v>
      </c>
      <c r="H2176" s="1776" t="s">
        <v>1349</v>
      </c>
      <c r="I2176" s="1132" t="s">
        <v>25</v>
      </c>
      <c r="J2176" s="1133"/>
      <c r="K2176" s="1134"/>
      <c r="L2176" s="1135"/>
      <c r="M2176" s="1133"/>
      <c r="N2176" s="1133"/>
      <c r="O2176" s="1136" t="s">
        <v>3285</v>
      </c>
    </row>
    <row r="2177" spans="1:15" s="505" customFormat="1" ht="18.75" customHeight="1" x14ac:dyDescent="0.35">
      <c r="A2177" s="2401">
        <v>2171</v>
      </c>
      <c r="B2177" s="1130" t="s">
        <v>3282</v>
      </c>
      <c r="C2177" s="216" t="s">
        <v>1344</v>
      </c>
      <c r="D2177" s="416" t="s">
        <v>924</v>
      </c>
      <c r="E2177" s="217" t="s">
        <v>3310</v>
      </c>
      <c r="F2177" s="218" t="s">
        <v>3284</v>
      </c>
      <c r="G2177" s="1131">
        <v>11619</v>
      </c>
      <c r="H2177" s="1776" t="s">
        <v>1349</v>
      </c>
      <c r="I2177" s="1132" t="s">
        <v>25</v>
      </c>
      <c r="J2177" s="1133"/>
      <c r="K2177" s="1134"/>
      <c r="L2177" s="1135"/>
      <c r="M2177" s="1133"/>
      <c r="N2177" s="1133"/>
      <c r="O2177" s="1136" t="s">
        <v>3285</v>
      </c>
    </row>
    <row r="2178" spans="1:15" s="505" customFormat="1" ht="18.75" customHeight="1" x14ac:dyDescent="0.35">
      <c r="A2178" s="2402">
        <v>2172</v>
      </c>
      <c r="B2178" s="1130" t="s">
        <v>3282</v>
      </c>
      <c r="C2178" s="216" t="s">
        <v>1344</v>
      </c>
      <c r="D2178" s="416" t="s">
        <v>924</v>
      </c>
      <c r="E2178" s="217" t="s">
        <v>3311</v>
      </c>
      <c r="F2178" s="218" t="s">
        <v>3284</v>
      </c>
      <c r="G2178" s="1131">
        <v>11619</v>
      </c>
      <c r="H2178" s="1776" t="s">
        <v>1349</v>
      </c>
      <c r="I2178" s="1132" t="s">
        <v>25</v>
      </c>
      <c r="J2178" s="1133"/>
      <c r="K2178" s="1134"/>
      <c r="L2178" s="1135"/>
      <c r="M2178" s="1133"/>
      <c r="N2178" s="1133"/>
      <c r="O2178" s="1136" t="s">
        <v>3285</v>
      </c>
    </row>
    <row r="2179" spans="1:15" s="505" customFormat="1" ht="18.75" customHeight="1" x14ac:dyDescent="0.35">
      <c r="A2179" s="2402">
        <v>2173</v>
      </c>
      <c r="B2179" s="1130" t="s">
        <v>3282</v>
      </c>
      <c r="C2179" s="216" t="s">
        <v>1344</v>
      </c>
      <c r="D2179" s="416" t="s">
        <v>924</v>
      </c>
      <c r="E2179" s="217" t="s">
        <v>3312</v>
      </c>
      <c r="F2179" s="218" t="s">
        <v>3284</v>
      </c>
      <c r="G2179" s="1131">
        <v>11619</v>
      </c>
      <c r="H2179" s="1776" t="s">
        <v>1349</v>
      </c>
      <c r="I2179" s="1132" t="s">
        <v>25</v>
      </c>
      <c r="J2179" s="1133"/>
      <c r="K2179" s="1134"/>
      <c r="L2179" s="1135"/>
      <c r="M2179" s="1133"/>
      <c r="N2179" s="1133"/>
      <c r="O2179" s="1136" t="s">
        <v>3285</v>
      </c>
    </row>
    <row r="2180" spans="1:15" s="505" customFormat="1" ht="18.75" customHeight="1" x14ac:dyDescent="0.35">
      <c r="A2180" s="2402">
        <v>2174</v>
      </c>
      <c r="B2180" s="1130" t="s">
        <v>3282</v>
      </c>
      <c r="C2180" s="216" t="s">
        <v>1344</v>
      </c>
      <c r="D2180" s="416" t="s">
        <v>924</v>
      </c>
      <c r="E2180" s="217" t="s">
        <v>3313</v>
      </c>
      <c r="F2180" s="218" t="s">
        <v>3284</v>
      </c>
      <c r="G2180" s="1131">
        <v>11619</v>
      </c>
      <c r="H2180" s="1776" t="s">
        <v>1349</v>
      </c>
      <c r="I2180" s="1132" t="s">
        <v>25</v>
      </c>
      <c r="J2180" s="1133"/>
      <c r="K2180" s="1134"/>
      <c r="L2180" s="1135"/>
      <c r="M2180" s="1133"/>
      <c r="N2180" s="1133"/>
      <c r="O2180" s="1136" t="s">
        <v>3285</v>
      </c>
    </row>
    <row r="2181" spans="1:15" s="505" customFormat="1" ht="18.75" customHeight="1" x14ac:dyDescent="0.35">
      <c r="A2181" s="2402">
        <v>2175</v>
      </c>
      <c r="B2181" s="1130" t="s">
        <v>3282</v>
      </c>
      <c r="C2181" s="216" t="s">
        <v>1344</v>
      </c>
      <c r="D2181" s="416" t="s">
        <v>924</v>
      </c>
      <c r="E2181" s="217" t="s">
        <v>3314</v>
      </c>
      <c r="F2181" s="218" t="s">
        <v>3284</v>
      </c>
      <c r="G2181" s="1131">
        <v>11619</v>
      </c>
      <c r="H2181" s="1776" t="s">
        <v>1349</v>
      </c>
      <c r="I2181" s="1132" t="s">
        <v>25</v>
      </c>
      <c r="J2181" s="1133"/>
      <c r="K2181" s="1134"/>
      <c r="L2181" s="1135"/>
      <c r="M2181" s="1133"/>
      <c r="N2181" s="1133"/>
      <c r="O2181" s="1136" t="s">
        <v>3285</v>
      </c>
    </row>
    <row r="2182" spans="1:15" s="505" customFormat="1" ht="18.75" customHeight="1" x14ac:dyDescent="0.35">
      <c r="A2182" s="2401">
        <v>2176</v>
      </c>
      <c r="B2182" s="1130" t="s">
        <v>3282</v>
      </c>
      <c r="C2182" s="216" t="s">
        <v>1344</v>
      </c>
      <c r="D2182" s="416" t="s">
        <v>924</v>
      </c>
      <c r="E2182" s="217" t="s">
        <v>3315</v>
      </c>
      <c r="F2182" s="218" t="s">
        <v>3284</v>
      </c>
      <c r="G2182" s="1131">
        <v>11619</v>
      </c>
      <c r="H2182" s="1776" t="s">
        <v>1349</v>
      </c>
      <c r="I2182" s="1132" t="s">
        <v>25</v>
      </c>
      <c r="J2182" s="1133"/>
      <c r="K2182" s="1134"/>
      <c r="L2182" s="1135"/>
      <c r="M2182" s="1133"/>
      <c r="N2182" s="1133"/>
      <c r="O2182" s="1136" t="s">
        <v>3285</v>
      </c>
    </row>
    <row r="2183" spans="1:15" s="505" customFormat="1" ht="18.75" customHeight="1" x14ac:dyDescent="0.35">
      <c r="A2183" s="2402">
        <v>2177</v>
      </c>
      <c r="B2183" s="1130" t="s">
        <v>3282</v>
      </c>
      <c r="C2183" s="216" t="s">
        <v>1344</v>
      </c>
      <c r="D2183" s="416" t="s">
        <v>924</v>
      </c>
      <c r="E2183" s="217" t="s">
        <v>3316</v>
      </c>
      <c r="F2183" s="218" t="s">
        <v>3284</v>
      </c>
      <c r="G2183" s="1131">
        <v>11619</v>
      </c>
      <c r="H2183" s="1776" t="s">
        <v>1349</v>
      </c>
      <c r="I2183" s="1132" t="s">
        <v>25</v>
      </c>
      <c r="J2183" s="1133"/>
      <c r="K2183" s="1134"/>
      <c r="L2183" s="1135"/>
      <c r="M2183" s="1133"/>
      <c r="N2183" s="1133"/>
      <c r="O2183" s="1136" t="s">
        <v>3285</v>
      </c>
    </row>
    <row r="2184" spans="1:15" s="505" customFormat="1" ht="18.75" customHeight="1" x14ac:dyDescent="0.35">
      <c r="A2184" s="2402">
        <v>2178</v>
      </c>
      <c r="B2184" s="1130" t="s">
        <v>3282</v>
      </c>
      <c r="C2184" s="216" t="s">
        <v>1344</v>
      </c>
      <c r="D2184" s="416" t="s">
        <v>924</v>
      </c>
      <c r="E2184" s="217" t="s">
        <v>3317</v>
      </c>
      <c r="F2184" s="218" t="s">
        <v>3284</v>
      </c>
      <c r="G2184" s="1131">
        <v>11619</v>
      </c>
      <c r="H2184" s="1776" t="s">
        <v>1349</v>
      </c>
      <c r="I2184" s="1132" t="s">
        <v>25</v>
      </c>
      <c r="J2184" s="1133"/>
      <c r="K2184" s="1134"/>
      <c r="L2184" s="1135"/>
      <c r="M2184" s="1133"/>
      <c r="N2184" s="1133"/>
      <c r="O2184" s="1136" t="s">
        <v>3285</v>
      </c>
    </row>
    <row r="2185" spans="1:15" s="505" customFormat="1" ht="18.75" customHeight="1" x14ac:dyDescent="0.35">
      <c r="A2185" s="2401">
        <v>2179</v>
      </c>
      <c r="B2185" s="1130" t="s">
        <v>3282</v>
      </c>
      <c r="C2185" s="216" t="s">
        <v>1344</v>
      </c>
      <c r="D2185" s="416" t="s">
        <v>924</v>
      </c>
      <c r="E2185" s="217" t="s">
        <v>3318</v>
      </c>
      <c r="F2185" s="218" t="s">
        <v>3284</v>
      </c>
      <c r="G2185" s="1131">
        <v>11619</v>
      </c>
      <c r="H2185" s="1776" t="s">
        <v>1349</v>
      </c>
      <c r="I2185" s="1132" t="s">
        <v>25</v>
      </c>
      <c r="J2185" s="1133"/>
      <c r="K2185" s="1134"/>
      <c r="L2185" s="1135"/>
      <c r="M2185" s="1133"/>
      <c r="N2185" s="1133"/>
      <c r="O2185" s="1136" t="s">
        <v>3285</v>
      </c>
    </row>
    <row r="2186" spans="1:15" s="505" customFormat="1" ht="18.75" customHeight="1" x14ac:dyDescent="0.35">
      <c r="A2186" s="2402">
        <v>2180</v>
      </c>
      <c r="B2186" s="1130" t="s">
        <v>3282</v>
      </c>
      <c r="C2186" s="216" t="s">
        <v>1344</v>
      </c>
      <c r="D2186" s="416" t="s">
        <v>924</v>
      </c>
      <c r="E2186" s="217" t="s">
        <v>3319</v>
      </c>
      <c r="F2186" s="218" t="s">
        <v>3284</v>
      </c>
      <c r="G2186" s="1131">
        <v>11619</v>
      </c>
      <c r="H2186" s="1776" t="s">
        <v>1349</v>
      </c>
      <c r="I2186" s="1132" t="s">
        <v>25</v>
      </c>
      <c r="J2186" s="1133"/>
      <c r="K2186" s="1134"/>
      <c r="L2186" s="1135"/>
      <c r="M2186" s="1133"/>
      <c r="N2186" s="1133"/>
      <c r="O2186" s="1136" t="s">
        <v>3285</v>
      </c>
    </row>
    <row r="2187" spans="1:15" s="505" customFormat="1" ht="18.75" customHeight="1" x14ac:dyDescent="0.35">
      <c r="A2187" s="2402">
        <v>2181</v>
      </c>
      <c r="B2187" s="1130" t="s">
        <v>3282</v>
      </c>
      <c r="C2187" s="216" t="s">
        <v>1344</v>
      </c>
      <c r="D2187" s="416" t="s">
        <v>924</v>
      </c>
      <c r="E2187" s="217" t="s">
        <v>3320</v>
      </c>
      <c r="F2187" s="218" t="s">
        <v>3284</v>
      </c>
      <c r="G2187" s="1131">
        <v>11619</v>
      </c>
      <c r="H2187" s="1776" t="s">
        <v>1349</v>
      </c>
      <c r="I2187" s="1132" t="s">
        <v>25</v>
      </c>
      <c r="J2187" s="1133"/>
      <c r="K2187" s="1134"/>
      <c r="L2187" s="1135"/>
      <c r="M2187" s="1133"/>
      <c r="N2187" s="1133"/>
      <c r="O2187" s="1136" t="s">
        <v>3285</v>
      </c>
    </row>
    <row r="2188" spans="1:15" s="505" customFormat="1" ht="18.75" customHeight="1" x14ac:dyDescent="0.35">
      <c r="A2188" s="2402">
        <v>2182</v>
      </c>
      <c r="B2188" s="1130" t="s">
        <v>3282</v>
      </c>
      <c r="C2188" s="216" t="s">
        <v>1344</v>
      </c>
      <c r="D2188" s="416" t="s">
        <v>924</v>
      </c>
      <c r="E2188" s="217" t="s">
        <v>3321</v>
      </c>
      <c r="F2188" s="218" t="s">
        <v>3284</v>
      </c>
      <c r="G2188" s="1131">
        <v>11619</v>
      </c>
      <c r="H2188" s="1776" t="s">
        <v>1349</v>
      </c>
      <c r="I2188" s="1132" t="s">
        <v>25</v>
      </c>
      <c r="J2188" s="1133"/>
      <c r="K2188" s="1134"/>
      <c r="L2188" s="1135"/>
      <c r="M2188" s="1133"/>
      <c r="N2188" s="1133"/>
      <c r="O2188" s="1136" t="s">
        <v>3285</v>
      </c>
    </row>
    <row r="2189" spans="1:15" s="505" customFormat="1" ht="18.75" customHeight="1" x14ac:dyDescent="0.35">
      <c r="A2189" s="2402">
        <v>2183</v>
      </c>
      <c r="B2189" s="1130" t="s">
        <v>3282</v>
      </c>
      <c r="C2189" s="216" t="s">
        <v>1344</v>
      </c>
      <c r="D2189" s="416" t="s">
        <v>924</v>
      </c>
      <c r="E2189" s="217" t="s">
        <v>3322</v>
      </c>
      <c r="F2189" s="218" t="s">
        <v>3284</v>
      </c>
      <c r="G2189" s="1131">
        <v>11619</v>
      </c>
      <c r="H2189" s="1776" t="s">
        <v>1349</v>
      </c>
      <c r="I2189" s="1132" t="s">
        <v>25</v>
      </c>
      <c r="J2189" s="1133"/>
      <c r="K2189" s="1134"/>
      <c r="L2189" s="1135"/>
      <c r="M2189" s="1133"/>
      <c r="N2189" s="1133"/>
      <c r="O2189" s="1136" t="s">
        <v>3285</v>
      </c>
    </row>
    <row r="2190" spans="1:15" s="505" customFormat="1" ht="18.75" customHeight="1" x14ac:dyDescent="0.35">
      <c r="A2190" s="2401">
        <v>2184</v>
      </c>
      <c r="B2190" s="1130" t="s">
        <v>3282</v>
      </c>
      <c r="C2190" s="216" t="s">
        <v>1344</v>
      </c>
      <c r="D2190" s="416" t="s">
        <v>924</v>
      </c>
      <c r="E2190" s="217" t="s">
        <v>3323</v>
      </c>
      <c r="F2190" s="218" t="s">
        <v>3284</v>
      </c>
      <c r="G2190" s="1131">
        <v>11619</v>
      </c>
      <c r="H2190" s="1776" t="s">
        <v>1349</v>
      </c>
      <c r="I2190" s="1132" t="s">
        <v>25</v>
      </c>
      <c r="J2190" s="1133"/>
      <c r="K2190" s="1134"/>
      <c r="L2190" s="1135"/>
      <c r="M2190" s="1133"/>
      <c r="N2190" s="1133"/>
      <c r="O2190" s="1136" t="s">
        <v>3285</v>
      </c>
    </row>
    <row r="2191" spans="1:15" s="505" customFormat="1" ht="18.75" customHeight="1" x14ac:dyDescent="0.35">
      <c r="A2191" s="2402">
        <v>2185</v>
      </c>
      <c r="B2191" s="1130" t="s">
        <v>3282</v>
      </c>
      <c r="C2191" s="216" t="s">
        <v>1344</v>
      </c>
      <c r="D2191" s="416" t="s">
        <v>924</v>
      </c>
      <c r="E2191" s="217" t="s">
        <v>3324</v>
      </c>
      <c r="F2191" s="218" t="s">
        <v>3284</v>
      </c>
      <c r="G2191" s="1131">
        <v>11619</v>
      </c>
      <c r="H2191" s="1776" t="s">
        <v>1349</v>
      </c>
      <c r="I2191" s="1132" t="s">
        <v>25</v>
      </c>
      <c r="J2191" s="1133"/>
      <c r="K2191" s="1134"/>
      <c r="L2191" s="1135"/>
      <c r="M2191" s="1133"/>
      <c r="N2191" s="1133"/>
      <c r="O2191" s="1136" t="s">
        <v>3285</v>
      </c>
    </row>
    <row r="2192" spans="1:15" s="505" customFormat="1" ht="18.75" customHeight="1" x14ac:dyDescent="0.35">
      <c r="A2192" s="2402">
        <v>2186</v>
      </c>
      <c r="B2192" s="1130" t="s">
        <v>3282</v>
      </c>
      <c r="C2192" s="216" t="s">
        <v>1344</v>
      </c>
      <c r="D2192" s="416" t="s">
        <v>924</v>
      </c>
      <c r="E2192" s="217" t="s">
        <v>3325</v>
      </c>
      <c r="F2192" s="218" t="s">
        <v>3284</v>
      </c>
      <c r="G2192" s="1131">
        <v>11620</v>
      </c>
      <c r="H2192" s="1776" t="s">
        <v>1349</v>
      </c>
      <c r="I2192" s="1132" t="s">
        <v>25</v>
      </c>
      <c r="J2192" s="1133"/>
      <c r="K2192" s="1134"/>
      <c r="L2192" s="1135"/>
      <c r="M2192" s="1133"/>
      <c r="N2192" s="1133"/>
      <c r="O2192" s="1136" t="s">
        <v>3285</v>
      </c>
    </row>
    <row r="2193" spans="1:15" s="505" customFormat="1" ht="18.75" customHeight="1" x14ac:dyDescent="0.35">
      <c r="A2193" s="2401">
        <v>2187</v>
      </c>
      <c r="B2193" s="1130" t="s">
        <v>3282</v>
      </c>
      <c r="C2193" s="216" t="s">
        <v>1344</v>
      </c>
      <c r="D2193" s="416" t="s">
        <v>924</v>
      </c>
      <c r="E2193" s="217" t="s">
        <v>3326</v>
      </c>
      <c r="F2193" s="218" t="s">
        <v>3284</v>
      </c>
      <c r="G2193" s="1131">
        <v>11620</v>
      </c>
      <c r="H2193" s="1776" t="s">
        <v>1349</v>
      </c>
      <c r="I2193" s="1132" t="s">
        <v>25</v>
      </c>
      <c r="J2193" s="1133"/>
      <c r="K2193" s="1134"/>
      <c r="L2193" s="1135"/>
      <c r="M2193" s="1133"/>
      <c r="N2193" s="1133"/>
      <c r="O2193" s="1136" t="s">
        <v>3285</v>
      </c>
    </row>
    <row r="2194" spans="1:15" ht="18.75" customHeight="1" x14ac:dyDescent="0.3">
      <c r="A2194" s="2402">
        <v>2188</v>
      </c>
      <c r="B2194" s="1130" t="s">
        <v>3327</v>
      </c>
      <c r="C2194" s="216" t="s">
        <v>1344</v>
      </c>
      <c r="D2194" s="416" t="s">
        <v>560</v>
      </c>
      <c r="E2194" s="217" t="s">
        <v>3328</v>
      </c>
      <c r="F2194" s="218" t="s">
        <v>3329</v>
      </c>
      <c r="G2194" s="568">
        <v>4868.5</v>
      </c>
      <c r="H2194" s="1776" t="s">
        <v>1349</v>
      </c>
      <c r="I2194" s="34" t="s">
        <v>25</v>
      </c>
      <c r="J2194" s="327"/>
      <c r="K2194" s="37"/>
      <c r="L2194" s="1128"/>
      <c r="M2194" s="327"/>
      <c r="N2194" s="327"/>
      <c r="O2194" s="1129"/>
    </row>
    <row r="2195" spans="1:15" ht="18.75" customHeight="1" x14ac:dyDescent="0.3">
      <c r="A2195" s="2402">
        <v>2189</v>
      </c>
      <c r="B2195" s="1130" t="s">
        <v>3327</v>
      </c>
      <c r="C2195" s="216" t="s">
        <v>1344</v>
      </c>
      <c r="D2195" s="416" t="s">
        <v>560</v>
      </c>
      <c r="E2195" s="217" t="s">
        <v>3330</v>
      </c>
      <c r="F2195" s="218" t="s">
        <v>3329</v>
      </c>
      <c r="G2195" s="568">
        <v>4868.5</v>
      </c>
      <c r="H2195" s="1776" t="s">
        <v>1349</v>
      </c>
      <c r="I2195" s="34" t="s">
        <v>25</v>
      </c>
      <c r="J2195" s="327"/>
      <c r="K2195" s="37"/>
      <c r="L2195" s="1128"/>
      <c r="M2195" s="327"/>
      <c r="N2195" s="327"/>
      <c r="O2195" s="1129"/>
    </row>
    <row r="2196" spans="1:15" ht="18.75" customHeight="1" x14ac:dyDescent="0.3">
      <c r="A2196" s="2402">
        <v>2190</v>
      </c>
      <c r="B2196" s="1130" t="s">
        <v>3327</v>
      </c>
      <c r="C2196" s="216" t="s">
        <v>1344</v>
      </c>
      <c r="D2196" s="416" t="s">
        <v>560</v>
      </c>
      <c r="E2196" s="217" t="s">
        <v>3331</v>
      </c>
      <c r="F2196" s="218" t="s">
        <v>3329</v>
      </c>
      <c r="G2196" s="568">
        <v>4868.5</v>
      </c>
      <c r="H2196" s="1776" t="s">
        <v>1349</v>
      </c>
      <c r="I2196" s="34" t="s">
        <v>25</v>
      </c>
      <c r="J2196" s="327"/>
      <c r="K2196" s="37"/>
      <c r="L2196" s="1128"/>
      <c r="M2196" s="327"/>
      <c r="N2196" s="327"/>
      <c r="O2196" s="1129"/>
    </row>
    <row r="2197" spans="1:15" ht="18.75" customHeight="1" x14ac:dyDescent="0.3">
      <c r="A2197" s="2402">
        <v>2191</v>
      </c>
      <c r="B2197" s="1130" t="s">
        <v>3327</v>
      </c>
      <c r="C2197" s="216" t="s">
        <v>1344</v>
      </c>
      <c r="D2197" s="416" t="s">
        <v>560</v>
      </c>
      <c r="E2197" s="217" t="s">
        <v>3332</v>
      </c>
      <c r="F2197" s="218" t="s">
        <v>3329</v>
      </c>
      <c r="G2197" s="568">
        <v>4868.5</v>
      </c>
      <c r="H2197" s="1776" t="s">
        <v>1349</v>
      </c>
      <c r="I2197" s="34" t="s">
        <v>25</v>
      </c>
      <c r="J2197" s="327"/>
      <c r="K2197" s="37"/>
      <c r="L2197" s="1128"/>
      <c r="M2197" s="327"/>
      <c r="N2197" s="327"/>
      <c r="O2197" s="1129"/>
    </row>
    <row r="2198" spans="1:15" ht="18.75" customHeight="1" x14ac:dyDescent="0.3">
      <c r="A2198" s="2401">
        <v>2192</v>
      </c>
      <c r="B2198" s="1130" t="s">
        <v>3327</v>
      </c>
      <c r="C2198" s="216" t="s">
        <v>1344</v>
      </c>
      <c r="D2198" s="416" t="s">
        <v>560</v>
      </c>
      <c r="E2198" s="217" t="s">
        <v>3333</v>
      </c>
      <c r="F2198" s="218" t="s">
        <v>3329</v>
      </c>
      <c r="G2198" s="568">
        <v>4868.5</v>
      </c>
      <c r="H2198" s="1776" t="s">
        <v>1349</v>
      </c>
      <c r="I2198" s="34" t="s">
        <v>25</v>
      </c>
      <c r="J2198" s="327"/>
      <c r="K2198" s="37"/>
      <c r="L2198" s="1128"/>
      <c r="M2198" s="327"/>
      <c r="N2198" s="327"/>
      <c r="O2198" s="1129"/>
    </row>
    <row r="2199" spans="1:15" ht="18.75" customHeight="1" x14ac:dyDescent="0.3">
      <c r="A2199" s="2402">
        <v>2193</v>
      </c>
      <c r="B2199" s="1130" t="s">
        <v>3327</v>
      </c>
      <c r="C2199" s="216" t="s">
        <v>1344</v>
      </c>
      <c r="D2199" s="416" t="s">
        <v>560</v>
      </c>
      <c r="E2199" s="217" t="s">
        <v>3334</v>
      </c>
      <c r="F2199" s="218" t="s">
        <v>3329</v>
      </c>
      <c r="G2199" s="568">
        <v>4868.5</v>
      </c>
      <c r="H2199" s="1776" t="s">
        <v>1349</v>
      </c>
      <c r="I2199" s="34" t="s">
        <v>25</v>
      </c>
      <c r="J2199" s="327"/>
      <c r="K2199" s="37"/>
      <c r="L2199" s="1128"/>
      <c r="M2199" s="327"/>
      <c r="N2199" s="327"/>
      <c r="O2199" s="1129"/>
    </row>
    <row r="2200" spans="1:15" ht="18.75" customHeight="1" x14ac:dyDescent="0.3">
      <c r="A2200" s="2402">
        <v>2194</v>
      </c>
      <c r="B2200" s="1130" t="s">
        <v>3335</v>
      </c>
      <c r="C2200" s="216" t="s">
        <v>1344</v>
      </c>
      <c r="D2200" s="416" t="s">
        <v>560</v>
      </c>
      <c r="E2200" s="217" t="s">
        <v>3336</v>
      </c>
      <c r="F2200" s="218" t="s">
        <v>3329</v>
      </c>
      <c r="G2200" s="568">
        <v>9597.9</v>
      </c>
      <c r="H2200" s="1776" t="s">
        <v>1349</v>
      </c>
      <c r="I2200" s="34" t="s">
        <v>25</v>
      </c>
      <c r="J2200" s="327"/>
      <c r="K2200" s="37"/>
      <c r="L2200" s="1128"/>
      <c r="M2200" s="327"/>
      <c r="N2200" s="327"/>
      <c r="O2200" s="1129"/>
    </row>
    <row r="2201" spans="1:15" ht="18.75" customHeight="1" x14ac:dyDescent="0.3">
      <c r="A2201" s="2401">
        <v>2195</v>
      </c>
      <c r="B2201" s="1130" t="s">
        <v>3335</v>
      </c>
      <c r="C2201" s="216" t="s">
        <v>1344</v>
      </c>
      <c r="D2201" s="416" t="s">
        <v>560</v>
      </c>
      <c r="E2201" s="217" t="s">
        <v>3337</v>
      </c>
      <c r="F2201" s="218" t="s">
        <v>3329</v>
      </c>
      <c r="G2201" s="568">
        <v>9597.9</v>
      </c>
      <c r="H2201" s="1776" t="s">
        <v>1349</v>
      </c>
      <c r="I2201" s="34" t="s">
        <v>25</v>
      </c>
      <c r="J2201" s="327"/>
      <c r="K2201" s="37"/>
      <c r="L2201" s="1128"/>
      <c r="M2201" s="327"/>
      <c r="N2201" s="327"/>
      <c r="O2201" s="1129"/>
    </row>
    <row r="2202" spans="1:15" ht="18.75" customHeight="1" x14ac:dyDescent="0.3">
      <c r="A2202" s="2402">
        <v>2196</v>
      </c>
      <c r="B2202" s="1130" t="s">
        <v>3335</v>
      </c>
      <c r="C2202" s="216" t="s">
        <v>1344</v>
      </c>
      <c r="D2202" s="416" t="s">
        <v>560</v>
      </c>
      <c r="E2202" s="217" t="s">
        <v>3338</v>
      </c>
      <c r="F2202" s="218" t="s">
        <v>3329</v>
      </c>
      <c r="G2202" s="568">
        <v>9597.9</v>
      </c>
      <c r="H2202" s="1776" t="s">
        <v>1349</v>
      </c>
      <c r="I2202" s="34" t="s">
        <v>25</v>
      </c>
      <c r="J2202" s="327"/>
      <c r="K2202" s="37"/>
      <c r="L2202" s="1128"/>
      <c r="M2202" s="327"/>
      <c r="N2202" s="327"/>
      <c r="O2202" s="1129"/>
    </row>
    <row r="2203" spans="1:15" ht="18.75" customHeight="1" x14ac:dyDescent="0.3">
      <c r="A2203" s="2402">
        <v>2197</v>
      </c>
      <c r="B2203" s="1130" t="s">
        <v>3335</v>
      </c>
      <c r="C2203" s="216" t="s">
        <v>1344</v>
      </c>
      <c r="D2203" s="416" t="s">
        <v>560</v>
      </c>
      <c r="E2203" s="217" t="s">
        <v>3339</v>
      </c>
      <c r="F2203" s="218" t="s">
        <v>3329</v>
      </c>
      <c r="G2203" s="568">
        <v>9597.9</v>
      </c>
      <c r="H2203" s="1776" t="s">
        <v>1349</v>
      </c>
      <c r="I2203" s="34" t="s">
        <v>25</v>
      </c>
      <c r="J2203" s="327"/>
      <c r="K2203" s="37"/>
      <c r="L2203" s="1128"/>
      <c r="M2203" s="327"/>
      <c r="N2203" s="327"/>
      <c r="O2203" s="1129"/>
    </row>
    <row r="2204" spans="1:15" ht="18.75" customHeight="1" x14ac:dyDescent="0.3">
      <c r="A2204" s="2402">
        <v>2198</v>
      </c>
      <c r="B2204" s="1130" t="s">
        <v>3335</v>
      </c>
      <c r="C2204" s="216" t="s">
        <v>1344</v>
      </c>
      <c r="D2204" s="416" t="s">
        <v>560</v>
      </c>
      <c r="E2204" s="217" t="s">
        <v>3340</v>
      </c>
      <c r="F2204" s="218" t="s">
        <v>3329</v>
      </c>
      <c r="G2204" s="568">
        <v>9597.9</v>
      </c>
      <c r="H2204" s="1776" t="s">
        <v>1349</v>
      </c>
      <c r="I2204" s="34" t="s">
        <v>25</v>
      </c>
      <c r="J2204" s="327"/>
      <c r="K2204" s="37"/>
      <c r="L2204" s="1128"/>
      <c r="M2204" s="327"/>
      <c r="N2204" s="327"/>
      <c r="O2204" s="1129"/>
    </row>
    <row r="2205" spans="1:15" ht="18.75" customHeight="1" x14ac:dyDescent="0.3">
      <c r="A2205" s="2402">
        <v>2199</v>
      </c>
      <c r="B2205" s="1130" t="s">
        <v>3335</v>
      </c>
      <c r="C2205" s="216" t="s">
        <v>1344</v>
      </c>
      <c r="D2205" s="416" t="s">
        <v>560</v>
      </c>
      <c r="E2205" s="217" t="s">
        <v>3341</v>
      </c>
      <c r="F2205" s="218" t="s">
        <v>3329</v>
      </c>
      <c r="G2205" s="568">
        <v>9597.9</v>
      </c>
      <c r="H2205" s="1776" t="s">
        <v>1349</v>
      </c>
      <c r="I2205" s="34" t="s">
        <v>25</v>
      </c>
      <c r="J2205" s="327"/>
      <c r="K2205" s="37"/>
      <c r="L2205" s="1128"/>
      <c r="M2205" s="327"/>
      <c r="N2205" s="327"/>
      <c r="O2205" s="1129"/>
    </row>
    <row r="2206" spans="1:15" ht="18.75" customHeight="1" x14ac:dyDescent="0.3">
      <c r="A2206" s="2401">
        <v>2200</v>
      </c>
      <c r="B2206" s="1130" t="s">
        <v>3335</v>
      </c>
      <c r="C2206" s="216" t="s">
        <v>1344</v>
      </c>
      <c r="D2206" s="416" t="s">
        <v>560</v>
      </c>
      <c r="E2206" s="217" t="s">
        <v>3342</v>
      </c>
      <c r="F2206" s="218" t="s">
        <v>3329</v>
      </c>
      <c r="G2206" s="568">
        <v>9597.9</v>
      </c>
      <c r="H2206" s="1776" t="s">
        <v>1349</v>
      </c>
      <c r="I2206" s="34" t="s">
        <v>25</v>
      </c>
      <c r="J2206" s="327"/>
      <c r="K2206" s="37"/>
      <c r="L2206" s="1128"/>
      <c r="M2206" s="327"/>
      <c r="N2206" s="327"/>
      <c r="O2206" s="1129"/>
    </row>
    <row r="2207" spans="1:15" ht="18.75" customHeight="1" x14ac:dyDescent="0.3">
      <c r="A2207" s="2402">
        <v>2201</v>
      </c>
      <c r="B2207" s="1130" t="s">
        <v>3335</v>
      </c>
      <c r="C2207" s="216" t="s">
        <v>1344</v>
      </c>
      <c r="D2207" s="416" t="s">
        <v>560</v>
      </c>
      <c r="E2207" s="217" t="s">
        <v>3343</v>
      </c>
      <c r="F2207" s="218" t="s">
        <v>3329</v>
      </c>
      <c r="G2207" s="568">
        <v>9597.9</v>
      </c>
      <c r="H2207" s="1776" t="s">
        <v>1349</v>
      </c>
      <c r="I2207" s="34" t="s">
        <v>25</v>
      </c>
      <c r="J2207" s="327"/>
      <c r="K2207" s="37"/>
      <c r="L2207" s="1128"/>
      <c r="M2207" s="327"/>
      <c r="N2207" s="327"/>
      <c r="O2207" s="1129"/>
    </row>
    <row r="2208" spans="1:15" ht="18.75" customHeight="1" x14ac:dyDescent="0.3">
      <c r="A2208" s="2402">
        <v>2202</v>
      </c>
      <c r="B2208" s="1130" t="s">
        <v>3335</v>
      </c>
      <c r="C2208" s="216" t="s">
        <v>1344</v>
      </c>
      <c r="D2208" s="416" t="s">
        <v>560</v>
      </c>
      <c r="E2208" s="217" t="s">
        <v>3344</v>
      </c>
      <c r="F2208" s="218" t="s">
        <v>3329</v>
      </c>
      <c r="G2208" s="568">
        <v>9597.9</v>
      </c>
      <c r="H2208" s="1776" t="s">
        <v>1349</v>
      </c>
      <c r="I2208" s="34" t="s">
        <v>25</v>
      </c>
      <c r="J2208" s="327"/>
      <c r="K2208" s="37"/>
      <c r="L2208" s="1128"/>
      <c r="M2208" s="327"/>
      <c r="N2208" s="327"/>
      <c r="O2208" s="1129"/>
    </row>
    <row r="2209" spans="1:15" ht="18.75" customHeight="1" x14ac:dyDescent="0.3">
      <c r="A2209" s="2401">
        <v>2203</v>
      </c>
      <c r="B2209" s="1130" t="s">
        <v>3335</v>
      </c>
      <c r="C2209" s="216" t="s">
        <v>1344</v>
      </c>
      <c r="D2209" s="416" t="s">
        <v>560</v>
      </c>
      <c r="E2209" s="217" t="s">
        <v>3345</v>
      </c>
      <c r="F2209" s="218" t="s">
        <v>3329</v>
      </c>
      <c r="G2209" s="568">
        <v>9597.9</v>
      </c>
      <c r="H2209" s="1776" t="s">
        <v>1349</v>
      </c>
      <c r="I2209" s="34" t="s">
        <v>25</v>
      </c>
      <c r="J2209" s="327"/>
      <c r="K2209" s="37"/>
      <c r="L2209" s="1128"/>
      <c r="M2209" s="327"/>
      <c r="N2209" s="327"/>
      <c r="O2209" s="1129"/>
    </row>
    <row r="2210" spans="1:15" ht="18.75" customHeight="1" x14ac:dyDescent="0.3">
      <c r="A2210" s="2402">
        <v>2204</v>
      </c>
      <c r="B2210" s="1130" t="s">
        <v>3335</v>
      </c>
      <c r="C2210" s="216" t="s">
        <v>1344</v>
      </c>
      <c r="D2210" s="416" t="s">
        <v>560</v>
      </c>
      <c r="E2210" s="217" t="s">
        <v>3346</v>
      </c>
      <c r="F2210" s="218" t="s">
        <v>3329</v>
      </c>
      <c r="G2210" s="568">
        <v>9597.9</v>
      </c>
      <c r="H2210" s="1776" t="s">
        <v>1349</v>
      </c>
      <c r="I2210" s="34" t="s">
        <v>25</v>
      </c>
      <c r="J2210" s="327"/>
      <c r="K2210" s="37"/>
      <c r="L2210" s="1128"/>
      <c r="M2210" s="327"/>
      <c r="N2210" s="327"/>
      <c r="O2210" s="1129"/>
    </row>
    <row r="2211" spans="1:15" ht="18.75" customHeight="1" x14ac:dyDescent="0.3">
      <c r="A2211" s="2402">
        <v>2205</v>
      </c>
      <c r="B2211" s="1130" t="s">
        <v>3335</v>
      </c>
      <c r="C2211" s="216" t="s">
        <v>1344</v>
      </c>
      <c r="D2211" s="416" t="s">
        <v>560</v>
      </c>
      <c r="E2211" s="217" t="s">
        <v>3347</v>
      </c>
      <c r="F2211" s="218" t="s">
        <v>3329</v>
      </c>
      <c r="G2211" s="568">
        <v>9597.9</v>
      </c>
      <c r="H2211" s="1776" t="s">
        <v>1349</v>
      </c>
      <c r="I2211" s="34" t="s">
        <v>25</v>
      </c>
      <c r="J2211" s="327"/>
      <c r="K2211" s="37"/>
      <c r="L2211" s="1128"/>
      <c r="M2211" s="327"/>
      <c r="N2211" s="327"/>
      <c r="O2211" s="1129"/>
    </row>
    <row r="2212" spans="1:15" ht="18.75" customHeight="1" x14ac:dyDescent="0.3">
      <c r="A2212" s="2402">
        <v>2206</v>
      </c>
      <c r="B2212" s="1130" t="s">
        <v>3335</v>
      </c>
      <c r="C2212" s="216" t="s">
        <v>1344</v>
      </c>
      <c r="D2212" s="416" t="s">
        <v>560</v>
      </c>
      <c r="E2212" s="217" t="s">
        <v>3348</v>
      </c>
      <c r="F2212" s="218" t="s">
        <v>3329</v>
      </c>
      <c r="G2212" s="568">
        <v>9597.9</v>
      </c>
      <c r="H2212" s="1776" t="s">
        <v>1349</v>
      </c>
      <c r="I2212" s="34" t="s">
        <v>25</v>
      </c>
      <c r="J2212" s="327"/>
      <c r="K2212" s="37"/>
      <c r="L2212" s="1128"/>
      <c r="M2212" s="327"/>
      <c r="N2212" s="327"/>
      <c r="O2212" s="1129"/>
    </row>
    <row r="2213" spans="1:15" ht="18.75" customHeight="1" x14ac:dyDescent="0.3">
      <c r="A2213" s="2402">
        <v>2207</v>
      </c>
      <c r="B2213" s="1130" t="s">
        <v>3335</v>
      </c>
      <c r="C2213" s="216" t="s">
        <v>1344</v>
      </c>
      <c r="D2213" s="452" t="s">
        <v>560</v>
      </c>
      <c r="E2213" s="217" t="s">
        <v>3349</v>
      </c>
      <c r="F2213" s="218" t="s">
        <v>3329</v>
      </c>
      <c r="G2213" s="568">
        <v>9597.9</v>
      </c>
      <c r="H2213" s="1776" t="s">
        <v>1349</v>
      </c>
      <c r="I2213" s="34" t="s">
        <v>25</v>
      </c>
      <c r="J2213" s="327"/>
      <c r="K2213" s="37"/>
      <c r="L2213" s="1128"/>
      <c r="M2213" s="327"/>
      <c r="N2213" s="327"/>
      <c r="O2213" s="1129"/>
    </row>
    <row r="2214" spans="1:15" ht="18.75" customHeight="1" x14ac:dyDescent="0.3">
      <c r="A2214" s="2401">
        <v>2208</v>
      </c>
      <c r="B2214" s="1130" t="s">
        <v>3335</v>
      </c>
      <c r="C2214" s="216" t="s">
        <v>1344</v>
      </c>
      <c r="D2214" s="495" t="s">
        <v>560</v>
      </c>
      <c r="E2214" s="217" t="s">
        <v>3350</v>
      </c>
      <c r="F2214" s="218" t="s">
        <v>3329</v>
      </c>
      <c r="G2214" s="568">
        <v>9597.9</v>
      </c>
      <c r="H2214" s="1776" t="s">
        <v>1349</v>
      </c>
      <c r="I2214" s="34" t="s">
        <v>25</v>
      </c>
      <c r="J2214" s="327"/>
      <c r="K2214" s="37"/>
      <c r="L2214" s="1128"/>
      <c r="M2214" s="327"/>
      <c r="N2214" s="327"/>
      <c r="O2214" s="1129"/>
    </row>
    <row r="2215" spans="1:15" ht="18.75" customHeight="1" x14ac:dyDescent="0.3">
      <c r="A2215" s="2402">
        <v>2209</v>
      </c>
      <c r="B2215" s="1130" t="s">
        <v>3335</v>
      </c>
      <c r="C2215" s="216" t="s">
        <v>1344</v>
      </c>
      <c r="D2215" s="793" t="s">
        <v>560</v>
      </c>
      <c r="E2215" s="217" t="s">
        <v>3351</v>
      </c>
      <c r="F2215" s="218" t="s">
        <v>3329</v>
      </c>
      <c r="G2215" s="568">
        <v>9597.9</v>
      </c>
      <c r="H2215" s="1776" t="s">
        <v>1349</v>
      </c>
      <c r="I2215" s="34" t="s">
        <v>25</v>
      </c>
      <c r="J2215" s="327"/>
      <c r="K2215" s="37"/>
      <c r="L2215" s="1128"/>
      <c r="M2215" s="327"/>
      <c r="N2215" s="327"/>
      <c r="O2215" s="1129"/>
    </row>
    <row r="2216" spans="1:15" ht="18.75" customHeight="1" x14ac:dyDescent="0.3">
      <c r="A2216" s="2402">
        <v>2210</v>
      </c>
      <c r="B2216" s="1130" t="s">
        <v>3335</v>
      </c>
      <c r="C2216" s="216" t="s">
        <v>1344</v>
      </c>
      <c r="D2216" s="416" t="s">
        <v>560</v>
      </c>
      <c r="E2216" s="217" t="s">
        <v>3352</v>
      </c>
      <c r="F2216" s="218" t="s">
        <v>3329</v>
      </c>
      <c r="G2216" s="568">
        <v>9597.9</v>
      </c>
      <c r="H2216" s="1776" t="s">
        <v>1349</v>
      </c>
      <c r="I2216" s="34" t="s">
        <v>25</v>
      </c>
      <c r="J2216" s="327"/>
      <c r="K2216" s="37"/>
      <c r="L2216" s="1128"/>
      <c r="M2216" s="327"/>
      <c r="N2216" s="327"/>
      <c r="O2216" s="1129"/>
    </row>
    <row r="2217" spans="1:15" ht="18.75" customHeight="1" x14ac:dyDescent="0.3">
      <c r="A2217" s="2401">
        <v>2211</v>
      </c>
      <c r="B2217" s="1130" t="s">
        <v>3335</v>
      </c>
      <c r="C2217" s="216" t="s">
        <v>1344</v>
      </c>
      <c r="D2217" s="416" t="s">
        <v>560</v>
      </c>
      <c r="E2217" s="217" t="s">
        <v>3353</v>
      </c>
      <c r="F2217" s="218" t="s">
        <v>3329</v>
      </c>
      <c r="G2217" s="568">
        <v>9597.9</v>
      </c>
      <c r="H2217" s="1776" t="s">
        <v>1349</v>
      </c>
      <c r="I2217" s="34" t="s">
        <v>25</v>
      </c>
      <c r="J2217" s="327"/>
      <c r="K2217" s="37"/>
      <c r="L2217" s="1128"/>
      <c r="M2217" s="327"/>
      <c r="N2217" s="327"/>
      <c r="O2217" s="1129"/>
    </row>
    <row r="2218" spans="1:15" ht="18.75" customHeight="1" x14ac:dyDescent="0.3">
      <c r="A2218" s="2402">
        <v>2212</v>
      </c>
      <c r="B2218" s="1130" t="s">
        <v>3335</v>
      </c>
      <c r="C2218" s="216" t="s">
        <v>1344</v>
      </c>
      <c r="D2218" s="416" t="s">
        <v>560</v>
      </c>
      <c r="E2218" s="217" t="s">
        <v>3354</v>
      </c>
      <c r="F2218" s="218" t="s">
        <v>3329</v>
      </c>
      <c r="G2218" s="568">
        <v>9597.9</v>
      </c>
      <c r="H2218" s="1776" t="s">
        <v>1349</v>
      </c>
      <c r="I2218" s="34" t="s">
        <v>25</v>
      </c>
      <c r="J2218" s="327"/>
      <c r="K2218" s="37"/>
      <c r="L2218" s="1128"/>
      <c r="M2218" s="327"/>
      <c r="N2218" s="327"/>
      <c r="O2218" s="1129"/>
    </row>
    <row r="2219" spans="1:15" ht="18.75" customHeight="1" x14ac:dyDescent="0.3">
      <c r="A2219" s="2402">
        <v>2213</v>
      </c>
      <c r="B2219" s="1130" t="s">
        <v>3335</v>
      </c>
      <c r="C2219" s="216" t="s">
        <v>1344</v>
      </c>
      <c r="D2219" s="416" t="s">
        <v>560</v>
      </c>
      <c r="E2219" s="217" t="s">
        <v>3355</v>
      </c>
      <c r="F2219" s="218" t="s">
        <v>3329</v>
      </c>
      <c r="G2219" s="1138">
        <v>9597.9</v>
      </c>
      <c r="H2219" s="1776" t="s">
        <v>1349</v>
      </c>
      <c r="I2219" s="34" t="s">
        <v>25</v>
      </c>
      <c r="J2219" s="327"/>
      <c r="K2219" s="37"/>
      <c r="L2219" s="1128"/>
      <c r="M2219" s="327"/>
      <c r="N2219" s="327"/>
      <c r="O2219" s="1129"/>
    </row>
    <row r="2220" spans="1:15" ht="18.75" customHeight="1" x14ac:dyDescent="0.3">
      <c r="A2220" s="2402">
        <v>2214</v>
      </c>
      <c r="B2220" s="1130" t="s">
        <v>3335</v>
      </c>
      <c r="C2220" s="216" t="s">
        <v>1344</v>
      </c>
      <c r="D2220" s="416" t="s">
        <v>560</v>
      </c>
      <c r="E2220" s="217" t="s">
        <v>3356</v>
      </c>
      <c r="F2220" s="218" t="s">
        <v>3329</v>
      </c>
      <c r="G2220" s="568">
        <v>9597.9</v>
      </c>
      <c r="H2220" s="1776" t="s">
        <v>1349</v>
      </c>
      <c r="I2220" s="34" t="s">
        <v>25</v>
      </c>
      <c r="J2220" s="327"/>
      <c r="K2220" s="37"/>
      <c r="L2220" s="1128"/>
      <c r="M2220" s="327"/>
      <c r="N2220" s="327"/>
      <c r="O2220" s="1129"/>
    </row>
    <row r="2221" spans="1:15" ht="18.75" customHeight="1" x14ac:dyDescent="0.3">
      <c r="A2221" s="2402">
        <v>2215</v>
      </c>
      <c r="B2221" s="1130" t="s">
        <v>3335</v>
      </c>
      <c r="C2221" s="216" t="s">
        <v>1344</v>
      </c>
      <c r="D2221" s="416" t="s">
        <v>560</v>
      </c>
      <c r="E2221" s="217" t="s">
        <v>3357</v>
      </c>
      <c r="F2221" s="218" t="s">
        <v>3329</v>
      </c>
      <c r="G2221" s="568">
        <v>9597.9</v>
      </c>
      <c r="H2221" s="1776" t="s">
        <v>1349</v>
      </c>
      <c r="I2221" s="34" t="s">
        <v>25</v>
      </c>
      <c r="J2221" s="327"/>
      <c r="K2221" s="37"/>
      <c r="L2221" s="1128"/>
      <c r="M2221" s="327"/>
      <c r="N2221" s="327"/>
      <c r="O2221" s="1129"/>
    </row>
    <row r="2222" spans="1:15" ht="18.75" customHeight="1" x14ac:dyDescent="0.3">
      <c r="A2222" s="2401">
        <v>2216</v>
      </c>
      <c r="B2222" s="1130" t="s">
        <v>3335</v>
      </c>
      <c r="C2222" s="216" t="s">
        <v>1344</v>
      </c>
      <c r="D2222" s="416" t="s">
        <v>560</v>
      </c>
      <c r="E2222" s="217" t="s">
        <v>3358</v>
      </c>
      <c r="F2222" s="218" t="s">
        <v>3329</v>
      </c>
      <c r="G2222" s="568">
        <v>9597.9</v>
      </c>
      <c r="H2222" s="1776" t="s">
        <v>1349</v>
      </c>
      <c r="I2222" s="34" t="s">
        <v>25</v>
      </c>
      <c r="J2222" s="327"/>
      <c r="K2222" s="37"/>
      <c r="L2222" s="1128"/>
      <c r="M2222" s="327"/>
      <c r="N2222" s="327"/>
      <c r="O2222" s="1129"/>
    </row>
    <row r="2223" spans="1:15" ht="18.75" customHeight="1" x14ac:dyDescent="0.3">
      <c r="A2223" s="2402">
        <v>2217</v>
      </c>
      <c r="B2223" s="1130" t="s">
        <v>3335</v>
      </c>
      <c r="C2223" s="216" t="s">
        <v>1344</v>
      </c>
      <c r="D2223" s="416" t="s">
        <v>560</v>
      </c>
      <c r="E2223" s="217" t="s">
        <v>3359</v>
      </c>
      <c r="F2223" s="218" t="s">
        <v>3329</v>
      </c>
      <c r="G2223" s="568">
        <v>9597.9</v>
      </c>
      <c r="H2223" s="1776" t="s">
        <v>1349</v>
      </c>
      <c r="I2223" s="34" t="s">
        <v>25</v>
      </c>
      <c r="J2223" s="327"/>
      <c r="K2223" s="37"/>
      <c r="L2223" s="1128"/>
      <c r="M2223" s="327"/>
      <c r="N2223" s="327"/>
      <c r="O2223" s="1129"/>
    </row>
    <row r="2224" spans="1:15" ht="18.75" customHeight="1" x14ac:dyDescent="0.3">
      <c r="A2224" s="2402">
        <v>2218</v>
      </c>
      <c r="B2224" s="1130" t="s">
        <v>3335</v>
      </c>
      <c r="C2224" s="216" t="s">
        <v>1344</v>
      </c>
      <c r="D2224" s="416" t="s">
        <v>560</v>
      </c>
      <c r="E2224" s="217" t="s">
        <v>3360</v>
      </c>
      <c r="F2224" s="218" t="s">
        <v>3329</v>
      </c>
      <c r="G2224" s="1138">
        <v>9597.9</v>
      </c>
      <c r="H2224" s="1776" t="s">
        <v>1349</v>
      </c>
      <c r="I2224" s="34" t="s">
        <v>25</v>
      </c>
      <c r="J2224" s="327"/>
      <c r="K2224" s="37"/>
      <c r="L2224" s="1128"/>
      <c r="M2224" s="327"/>
      <c r="N2224" s="327"/>
      <c r="O2224" s="1129"/>
    </row>
    <row r="2225" spans="1:15" ht="18.75" customHeight="1" x14ac:dyDescent="0.3">
      <c r="A2225" s="2401">
        <v>2219</v>
      </c>
      <c r="B2225" s="1130" t="s">
        <v>3335</v>
      </c>
      <c r="C2225" s="216" t="s">
        <v>1344</v>
      </c>
      <c r="D2225" s="416" t="s">
        <v>560</v>
      </c>
      <c r="E2225" s="217" t="s">
        <v>3361</v>
      </c>
      <c r="F2225" s="218" t="s">
        <v>3329</v>
      </c>
      <c r="G2225" s="568">
        <v>9597.9</v>
      </c>
      <c r="H2225" s="1776" t="s">
        <v>1349</v>
      </c>
      <c r="I2225" s="34" t="s">
        <v>25</v>
      </c>
      <c r="J2225" s="327"/>
      <c r="K2225" s="37"/>
      <c r="L2225" s="1128"/>
      <c r="M2225" s="327"/>
      <c r="N2225" s="327"/>
      <c r="O2225" s="1129"/>
    </row>
    <row r="2226" spans="1:15" ht="18.75" customHeight="1" x14ac:dyDescent="0.3">
      <c r="A2226" s="2402">
        <v>2220</v>
      </c>
      <c r="B2226" s="1130" t="s">
        <v>3335</v>
      </c>
      <c r="C2226" s="216" t="s">
        <v>1344</v>
      </c>
      <c r="D2226" s="416" t="s">
        <v>560</v>
      </c>
      <c r="E2226" s="217" t="s">
        <v>3362</v>
      </c>
      <c r="F2226" s="218" t="s">
        <v>3329</v>
      </c>
      <c r="G2226" s="568">
        <v>9597.9</v>
      </c>
      <c r="H2226" s="1776" t="s">
        <v>1349</v>
      </c>
      <c r="I2226" s="34" t="s">
        <v>25</v>
      </c>
      <c r="J2226" s="327"/>
      <c r="K2226" s="37"/>
      <c r="L2226" s="1128"/>
      <c r="M2226" s="327"/>
      <c r="N2226" s="327"/>
      <c r="O2226" s="1129"/>
    </row>
    <row r="2227" spans="1:15" ht="18.75" customHeight="1" x14ac:dyDescent="0.3">
      <c r="A2227" s="2402">
        <v>2221</v>
      </c>
      <c r="B2227" s="1130" t="s">
        <v>3335</v>
      </c>
      <c r="C2227" s="216" t="s">
        <v>1344</v>
      </c>
      <c r="D2227" s="416" t="s">
        <v>560</v>
      </c>
      <c r="E2227" s="217" t="s">
        <v>3363</v>
      </c>
      <c r="F2227" s="218" t="s">
        <v>3329</v>
      </c>
      <c r="G2227" s="568">
        <v>9597.9</v>
      </c>
      <c r="H2227" s="1776" t="s">
        <v>1349</v>
      </c>
      <c r="I2227" s="34" t="s">
        <v>25</v>
      </c>
      <c r="J2227" s="327"/>
      <c r="K2227" s="37"/>
      <c r="L2227" s="1128"/>
      <c r="M2227" s="327"/>
      <c r="N2227" s="327"/>
      <c r="O2227" s="1129"/>
    </row>
    <row r="2228" spans="1:15" ht="18.75" customHeight="1" x14ac:dyDescent="0.3">
      <c r="A2228" s="2402">
        <v>2222</v>
      </c>
      <c r="B2228" s="1130" t="s">
        <v>3335</v>
      </c>
      <c r="C2228" s="216" t="s">
        <v>1344</v>
      </c>
      <c r="D2228" s="416" t="s">
        <v>560</v>
      </c>
      <c r="E2228" s="217" t="s">
        <v>3364</v>
      </c>
      <c r="F2228" s="218" t="s">
        <v>3329</v>
      </c>
      <c r="G2228" s="568">
        <v>9597.9</v>
      </c>
      <c r="H2228" s="1776" t="s">
        <v>1349</v>
      </c>
      <c r="I2228" s="34" t="s">
        <v>25</v>
      </c>
      <c r="J2228" s="327"/>
      <c r="K2228" s="37"/>
      <c r="L2228" s="1128"/>
      <c r="M2228" s="327"/>
      <c r="N2228" s="327"/>
      <c r="O2228" s="1129"/>
    </row>
    <row r="2229" spans="1:15" ht="18.75" customHeight="1" x14ac:dyDescent="0.3">
      <c r="A2229" s="2402">
        <v>2223</v>
      </c>
      <c r="B2229" s="1130" t="s">
        <v>3335</v>
      </c>
      <c r="C2229" s="216" t="s">
        <v>1344</v>
      </c>
      <c r="D2229" s="416" t="s">
        <v>560</v>
      </c>
      <c r="E2229" s="217" t="s">
        <v>3365</v>
      </c>
      <c r="F2229" s="218" t="s">
        <v>3329</v>
      </c>
      <c r="G2229" s="568">
        <v>9597.9</v>
      </c>
      <c r="H2229" s="1776" t="s">
        <v>1349</v>
      </c>
      <c r="I2229" s="34" t="s">
        <v>25</v>
      </c>
      <c r="J2229" s="327"/>
      <c r="K2229" s="37"/>
      <c r="L2229" s="1128"/>
      <c r="M2229" s="327"/>
      <c r="N2229" s="327"/>
      <c r="O2229" s="1129"/>
    </row>
    <row r="2230" spans="1:15" ht="18.75" customHeight="1" x14ac:dyDescent="0.3">
      <c r="A2230" s="2401">
        <v>2224</v>
      </c>
      <c r="B2230" s="1130" t="s">
        <v>3335</v>
      </c>
      <c r="C2230" s="216" t="s">
        <v>1344</v>
      </c>
      <c r="D2230" s="416" t="s">
        <v>560</v>
      </c>
      <c r="E2230" s="217" t="s">
        <v>3366</v>
      </c>
      <c r="F2230" s="218" t="s">
        <v>3329</v>
      </c>
      <c r="G2230" s="568">
        <v>9597.9</v>
      </c>
      <c r="H2230" s="1776" t="s">
        <v>1349</v>
      </c>
      <c r="I2230" s="34" t="s">
        <v>25</v>
      </c>
      <c r="J2230" s="327"/>
      <c r="K2230" s="37"/>
      <c r="L2230" s="1128"/>
      <c r="M2230" s="327"/>
      <c r="N2230" s="327"/>
      <c r="O2230" s="1129"/>
    </row>
    <row r="2231" spans="1:15" ht="18.75" customHeight="1" x14ac:dyDescent="0.3">
      <c r="A2231" s="2402">
        <v>2225</v>
      </c>
      <c r="B2231" s="1130" t="s">
        <v>3335</v>
      </c>
      <c r="C2231" s="216" t="s">
        <v>1344</v>
      </c>
      <c r="D2231" s="416" t="s">
        <v>560</v>
      </c>
      <c r="E2231" s="217" t="s">
        <v>3367</v>
      </c>
      <c r="F2231" s="218" t="s">
        <v>3329</v>
      </c>
      <c r="G2231" s="568">
        <v>9597.9</v>
      </c>
      <c r="H2231" s="1776" t="s">
        <v>1349</v>
      </c>
      <c r="I2231" s="34" t="s">
        <v>25</v>
      </c>
      <c r="J2231" s="327"/>
      <c r="K2231" s="37"/>
      <c r="L2231" s="1128"/>
      <c r="M2231" s="327"/>
      <c r="N2231" s="327"/>
      <c r="O2231" s="1129"/>
    </row>
    <row r="2232" spans="1:15" ht="18.75" customHeight="1" x14ac:dyDescent="0.3">
      <c r="A2232" s="2402">
        <v>2226</v>
      </c>
      <c r="B2232" s="1130" t="s">
        <v>3335</v>
      </c>
      <c r="C2232" s="216" t="s">
        <v>1344</v>
      </c>
      <c r="D2232" s="416" t="s">
        <v>560</v>
      </c>
      <c r="E2232" s="217" t="s">
        <v>3368</v>
      </c>
      <c r="F2232" s="218" t="s">
        <v>3329</v>
      </c>
      <c r="G2232" s="568">
        <v>9597.9</v>
      </c>
      <c r="H2232" s="1776" t="s">
        <v>1349</v>
      </c>
      <c r="I2232" s="34" t="s">
        <v>25</v>
      </c>
      <c r="J2232" s="327"/>
      <c r="K2232" s="37"/>
      <c r="L2232" s="1128"/>
      <c r="M2232" s="327"/>
      <c r="N2232" s="327"/>
      <c r="O2232" s="1129"/>
    </row>
    <row r="2233" spans="1:15" ht="18.75" customHeight="1" x14ac:dyDescent="0.3">
      <c r="A2233" s="2401">
        <v>2227</v>
      </c>
      <c r="B2233" s="1130" t="s">
        <v>3335</v>
      </c>
      <c r="C2233" s="216" t="s">
        <v>1344</v>
      </c>
      <c r="D2233" s="416" t="s">
        <v>560</v>
      </c>
      <c r="E2233" s="217" t="s">
        <v>3369</v>
      </c>
      <c r="F2233" s="218" t="s">
        <v>3329</v>
      </c>
      <c r="G2233" s="568">
        <v>9597.9</v>
      </c>
      <c r="H2233" s="1776" t="s">
        <v>1349</v>
      </c>
      <c r="I2233" s="34" t="s">
        <v>25</v>
      </c>
      <c r="J2233" s="327"/>
      <c r="K2233" s="37"/>
      <c r="L2233" s="1128"/>
      <c r="M2233" s="327"/>
      <c r="N2233" s="327"/>
      <c r="O2233" s="1129"/>
    </row>
    <row r="2234" spans="1:15" ht="18.75" customHeight="1" x14ac:dyDescent="0.3">
      <c r="A2234" s="2402">
        <v>2228</v>
      </c>
      <c r="B2234" s="1130" t="s">
        <v>3335</v>
      </c>
      <c r="C2234" s="216" t="s">
        <v>1344</v>
      </c>
      <c r="D2234" s="416" t="s">
        <v>560</v>
      </c>
      <c r="E2234" s="217" t="s">
        <v>3370</v>
      </c>
      <c r="F2234" s="218" t="s">
        <v>3329</v>
      </c>
      <c r="G2234" s="568">
        <v>9597.9</v>
      </c>
      <c r="H2234" s="1776" t="s">
        <v>1349</v>
      </c>
      <c r="I2234" s="34" t="s">
        <v>25</v>
      </c>
      <c r="J2234" s="327"/>
      <c r="K2234" s="37"/>
      <c r="L2234" s="1128"/>
      <c r="M2234" s="327"/>
      <c r="N2234" s="327"/>
      <c r="O2234" s="1129"/>
    </row>
    <row r="2235" spans="1:15" ht="18.75" customHeight="1" x14ac:dyDescent="0.3">
      <c r="A2235" s="2402">
        <v>2229</v>
      </c>
      <c r="B2235" s="1130" t="s">
        <v>3335</v>
      </c>
      <c r="C2235" s="216" t="s">
        <v>1344</v>
      </c>
      <c r="D2235" s="452" t="s">
        <v>560</v>
      </c>
      <c r="E2235" s="217" t="s">
        <v>3371</v>
      </c>
      <c r="F2235" s="218" t="s">
        <v>3329</v>
      </c>
      <c r="G2235" s="568">
        <v>9597.9</v>
      </c>
      <c r="H2235" s="1776" t="s">
        <v>1349</v>
      </c>
      <c r="I2235" s="34" t="s">
        <v>25</v>
      </c>
      <c r="J2235" s="327"/>
      <c r="K2235" s="37"/>
      <c r="L2235" s="1128"/>
      <c r="M2235" s="327"/>
      <c r="N2235" s="327"/>
      <c r="O2235" s="1129"/>
    </row>
    <row r="2236" spans="1:15" ht="18.75" customHeight="1" x14ac:dyDescent="0.3">
      <c r="A2236" s="2402">
        <v>2230</v>
      </c>
      <c r="B2236" s="1130" t="s">
        <v>3335</v>
      </c>
      <c r="C2236" s="216" t="s">
        <v>1344</v>
      </c>
      <c r="D2236" s="495" t="s">
        <v>560</v>
      </c>
      <c r="E2236" s="217" t="s">
        <v>3372</v>
      </c>
      <c r="F2236" s="218" t="s">
        <v>3329</v>
      </c>
      <c r="G2236" s="568">
        <v>9597.9</v>
      </c>
      <c r="H2236" s="1776" t="s">
        <v>1349</v>
      </c>
      <c r="I2236" s="34" t="s">
        <v>25</v>
      </c>
      <c r="J2236" s="327"/>
      <c r="K2236" s="37"/>
      <c r="L2236" s="1128"/>
      <c r="M2236" s="327"/>
      <c r="N2236" s="327"/>
      <c r="O2236" s="1129"/>
    </row>
    <row r="2237" spans="1:15" ht="18.75" customHeight="1" x14ac:dyDescent="0.3">
      <c r="A2237" s="2402">
        <v>2231</v>
      </c>
      <c r="B2237" s="1130" t="s">
        <v>3335</v>
      </c>
      <c r="C2237" s="216" t="s">
        <v>1344</v>
      </c>
      <c r="D2237" s="793" t="s">
        <v>560</v>
      </c>
      <c r="E2237" s="217" t="s">
        <v>3373</v>
      </c>
      <c r="F2237" s="218" t="s">
        <v>3329</v>
      </c>
      <c r="G2237" s="568">
        <v>9597.9</v>
      </c>
      <c r="H2237" s="1776" t="s">
        <v>1349</v>
      </c>
      <c r="I2237" s="34" t="s">
        <v>25</v>
      </c>
      <c r="J2237" s="327"/>
      <c r="K2237" s="37"/>
      <c r="L2237" s="1128"/>
      <c r="M2237" s="327"/>
      <c r="N2237" s="327"/>
      <c r="O2237" s="1129"/>
    </row>
    <row r="2238" spans="1:15" ht="18.75" customHeight="1" x14ac:dyDescent="0.3">
      <c r="A2238" s="2401">
        <v>2232</v>
      </c>
      <c r="B2238" s="1130" t="s">
        <v>3335</v>
      </c>
      <c r="C2238" s="216" t="s">
        <v>1344</v>
      </c>
      <c r="D2238" s="416" t="s">
        <v>560</v>
      </c>
      <c r="E2238" s="217" t="s">
        <v>3374</v>
      </c>
      <c r="F2238" s="218" t="s">
        <v>3329</v>
      </c>
      <c r="G2238" s="568">
        <v>9597.9</v>
      </c>
      <c r="H2238" s="1776" t="s">
        <v>1349</v>
      </c>
      <c r="I2238" s="34" t="s">
        <v>25</v>
      </c>
      <c r="J2238" s="327"/>
      <c r="K2238" s="37"/>
      <c r="L2238" s="1128"/>
      <c r="M2238" s="327"/>
      <c r="N2238" s="327"/>
      <c r="O2238" s="1129"/>
    </row>
    <row r="2239" spans="1:15" ht="18.75" customHeight="1" x14ac:dyDescent="0.3">
      <c r="A2239" s="2402">
        <v>2233</v>
      </c>
      <c r="B2239" s="1130" t="s">
        <v>3335</v>
      </c>
      <c r="C2239" s="216" t="s">
        <v>1344</v>
      </c>
      <c r="D2239" s="416" t="s">
        <v>560</v>
      </c>
      <c r="E2239" s="217" t="s">
        <v>3375</v>
      </c>
      <c r="F2239" s="218" t="s">
        <v>3329</v>
      </c>
      <c r="G2239" s="568">
        <v>9597.9</v>
      </c>
      <c r="H2239" s="1776" t="s">
        <v>1349</v>
      </c>
      <c r="I2239" s="34" t="s">
        <v>25</v>
      </c>
      <c r="J2239" s="327"/>
      <c r="K2239" s="37"/>
      <c r="L2239" s="1128"/>
      <c r="M2239" s="327"/>
      <c r="N2239" s="327"/>
      <c r="O2239" s="1129"/>
    </row>
    <row r="2240" spans="1:15" ht="18.75" customHeight="1" x14ac:dyDescent="0.3">
      <c r="A2240" s="2402">
        <v>2234</v>
      </c>
      <c r="B2240" s="1130" t="s">
        <v>3335</v>
      </c>
      <c r="C2240" s="216" t="s">
        <v>1344</v>
      </c>
      <c r="D2240" s="416" t="s">
        <v>560</v>
      </c>
      <c r="E2240" s="217" t="s">
        <v>3376</v>
      </c>
      <c r="F2240" s="218" t="s">
        <v>3329</v>
      </c>
      <c r="G2240" s="568">
        <v>9597.9</v>
      </c>
      <c r="H2240" s="1776" t="s">
        <v>1349</v>
      </c>
      <c r="I2240" s="34" t="s">
        <v>25</v>
      </c>
      <c r="J2240" s="327"/>
      <c r="K2240" s="37"/>
      <c r="L2240" s="1128"/>
      <c r="M2240" s="327"/>
      <c r="N2240" s="327"/>
      <c r="O2240" s="1129"/>
    </row>
    <row r="2241" spans="1:15" ht="18.75" customHeight="1" x14ac:dyDescent="0.3">
      <c r="A2241" s="2401">
        <v>2235</v>
      </c>
      <c r="B2241" s="1130" t="s">
        <v>3335</v>
      </c>
      <c r="C2241" s="216" t="s">
        <v>1344</v>
      </c>
      <c r="D2241" s="416" t="s">
        <v>560</v>
      </c>
      <c r="E2241" s="217" t="s">
        <v>3377</v>
      </c>
      <c r="F2241" s="218" t="s">
        <v>3329</v>
      </c>
      <c r="G2241" s="568">
        <v>9597.9</v>
      </c>
      <c r="H2241" s="1776" t="s">
        <v>1349</v>
      </c>
      <c r="I2241" s="34" t="s">
        <v>25</v>
      </c>
      <c r="J2241" s="327"/>
      <c r="K2241" s="37"/>
      <c r="L2241" s="1128"/>
      <c r="M2241" s="327"/>
      <c r="N2241" s="327"/>
      <c r="O2241" s="1129"/>
    </row>
    <row r="2242" spans="1:15" ht="18.75" customHeight="1" x14ac:dyDescent="0.3">
      <c r="A2242" s="2402">
        <v>2236</v>
      </c>
      <c r="B2242" s="1130" t="s">
        <v>3335</v>
      </c>
      <c r="C2242" s="216" t="s">
        <v>1344</v>
      </c>
      <c r="D2242" s="416" t="s">
        <v>560</v>
      </c>
      <c r="E2242" s="217" t="s">
        <v>3378</v>
      </c>
      <c r="F2242" s="218" t="s">
        <v>3329</v>
      </c>
      <c r="G2242" s="568">
        <v>9597.9</v>
      </c>
      <c r="H2242" s="1776" t="s">
        <v>1349</v>
      </c>
      <c r="I2242" s="34" t="s">
        <v>25</v>
      </c>
      <c r="J2242" s="327"/>
      <c r="K2242" s="37"/>
      <c r="L2242" s="1128"/>
      <c r="M2242" s="327"/>
      <c r="N2242" s="327"/>
      <c r="O2242" s="1129"/>
    </row>
    <row r="2243" spans="1:15" ht="18.75" customHeight="1" x14ac:dyDescent="0.3">
      <c r="A2243" s="2402">
        <v>2237</v>
      </c>
      <c r="B2243" s="1130" t="s">
        <v>3335</v>
      </c>
      <c r="C2243" s="216" t="s">
        <v>1344</v>
      </c>
      <c r="D2243" s="416" t="s">
        <v>560</v>
      </c>
      <c r="E2243" s="217" t="s">
        <v>3379</v>
      </c>
      <c r="F2243" s="218" t="s">
        <v>3329</v>
      </c>
      <c r="G2243" s="568">
        <v>9597.9</v>
      </c>
      <c r="H2243" s="1776" t="s">
        <v>1349</v>
      </c>
      <c r="I2243" s="34" t="s">
        <v>25</v>
      </c>
      <c r="J2243" s="327"/>
      <c r="K2243" s="37"/>
      <c r="L2243" s="1128"/>
      <c r="M2243" s="327"/>
      <c r="N2243" s="327"/>
      <c r="O2243" s="1129"/>
    </row>
    <row r="2244" spans="1:15" ht="18.75" customHeight="1" x14ac:dyDescent="0.3">
      <c r="A2244" s="2402">
        <v>2238</v>
      </c>
      <c r="B2244" s="1130" t="s">
        <v>3335</v>
      </c>
      <c r="C2244" s="216" t="s">
        <v>1344</v>
      </c>
      <c r="D2244" s="416" t="s">
        <v>560</v>
      </c>
      <c r="E2244" s="217" t="s">
        <v>3380</v>
      </c>
      <c r="F2244" s="218" t="s">
        <v>3329</v>
      </c>
      <c r="G2244" s="568">
        <v>9597.9</v>
      </c>
      <c r="H2244" s="1776" t="s">
        <v>1349</v>
      </c>
      <c r="I2244" s="34" t="s">
        <v>25</v>
      </c>
      <c r="J2244" s="327"/>
      <c r="K2244" s="37"/>
      <c r="L2244" s="1128"/>
      <c r="M2244" s="327"/>
      <c r="N2244" s="327"/>
      <c r="O2244" s="1129"/>
    </row>
    <row r="2245" spans="1:15" ht="18.75" customHeight="1" x14ac:dyDescent="0.3">
      <c r="A2245" s="2402">
        <v>2239</v>
      </c>
      <c r="B2245" s="1130" t="s">
        <v>3335</v>
      </c>
      <c r="C2245" s="216" t="s">
        <v>1344</v>
      </c>
      <c r="D2245" s="416" t="s">
        <v>560</v>
      </c>
      <c r="E2245" s="217" t="s">
        <v>3381</v>
      </c>
      <c r="F2245" s="218" t="s">
        <v>3329</v>
      </c>
      <c r="G2245" s="568">
        <v>9597.9</v>
      </c>
      <c r="H2245" s="1776" t="s">
        <v>1349</v>
      </c>
      <c r="I2245" s="34" t="s">
        <v>25</v>
      </c>
      <c r="J2245" s="327"/>
      <c r="K2245" s="37"/>
      <c r="L2245" s="1128"/>
      <c r="M2245" s="327"/>
      <c r="N2245" s="327"/>
      <c r="O2245" s="1129"/>
    </row>
    <row r="2246" spans="1:15" ht="18.75" customHeight="1" x14ac:dyDescent="0.3">
      <c r="A2246" s="2401">
        <v>2240</v>
      </c>
      <c r="B2246" s="1130" t="s">
        <v>3335</v>
      </c>
      <c r="C2246" s="216" t="s">
        <v>1344</v>
      </c>
      <c r="D2246" s="416" t="s">
        <v>560</v>
      </c>
      <c r="E2246" s="217" t="s">
        <v>3382</v>
      </c>
      <c r="F2246" s="218" t="s">
        <v>3329</v>
      </c>
      <c r="G2246" s="568">
        <v>9597.9</v>
      </c>
      <c r="H2246" s="1776" t="s">
        <v>1349</v>
      </c>
      <c r="I2246" s="34" t="s">
        <v>25</v>
      </c>
      <c r="J2246" s="327"/>
      <c r="K2246" s="37"/>
      <c r="L2246" s="1128"/>
      <c r="M2246" s="327"/>
      <c r="N2246" s="327"/>
      <c r="O2246" s="1129"/>
    </row>
    <row r="2247" spans="1:15" ht="18.75" customHeight="1" x14ac:dyDescent="0.3">
      <c r="A2247" s="2402">
        <v>2241</v>
      </c>
      <c r="B2247" s="1130" t="s">
        <v>3335</v>
      </c>
      <c r="C2247" s="216" t="s">
        <v>1344</v>
      </c>
      <c r="D2247" s="416" t="s">
        <v>560</v>
      </c>
      <c r="E2247" s="217" t="s">
        <v>3383</v>
      </c>
      <c r="F2247" s="218" t="s">
        <v>3329</v>
      </c>
      <c r="G2247" s="568">
        <v>9597.9</v>
      </c>
      <c r="H2247" s="1776" t="s">
        <v>1349</v>
      </c>
      <c r="I2247" s="34" t="s">
        <v>25</v>
      </c>
      <c r="J2247" s="327"/>
      <c r="K2247" s="37"/>
      <c r="L2247" s="1128"/>
      <c r="M2247" s="327"/>
      <c r="N2247" s="327"/>
      <c r="O2247" s="1129"/>
    </row>
    <row r="2248" spans="1:15" ht="18.75" customHeight="1" x14ac:dyDescent="0.3">
      <c r="A2248" s="2402">
        <v>2242</v>
      </c>
      <c r="B2248" s="1130" t="s">
        <v>3335</v>
      </c>
      <c r="C2248" s="216" t="s">
        <v>1344</v>
      </c>
      <c r="D2248" s="416" t="s">
        <v>560</v>
      </c>
      <c r="E2248" s="217" t="s">
        <v>3384</v>
      </c>
      <c r="F2248" s="218" t="s">
        <v>3329</v>
      </c>
      <c r="G2248" s="568">
        <v>9597.9</v>
      </c>
      <c r="H2248" s="1776" t="s">
        <v>1349</v>
      </c>
      <c r="I2248" s="34" t="s">
        <v>25</v>
      </c>
      <c r="J2248" s="327"/>
      <c r="K2248" s="37"/>
      <c r="L2248" s="1128"/>
      <c r="M2248" s="327"/>
      <c r="N2248" s="327"/>
      <c r="O2248" s="1129"/>
    </row>
    <row r="2249" spans="1:15" ht="18.75" customHeight="1" x14ac:dyDescent="0.3">
      <c r="A2249" s="2401">
        <v>2243</v>
      </c>
      <c r="B2249" s="1130" t="s">
        <v>3335</v>
      </c>
      <c r="C2249" s="216" t="s">
        <v>1344</v>
      </c>
      <c r="D2249" s="416" t="s">
        <v>560</v>
      </c>
      <c r="E2249" s="217" t="s">
        <v>3385</v>
      </c>
      <c r="F2249" s="218" t="s">
        <v>3329</v>
      </c>
      <c r="G2249" s="568">
        <v>9597.9</v>
      </c>
      <c r="H2249" s="1776" t="s">
        <v>1349</v>
      </c>
      <c r="I2249" s="34" t="s">
        <v>25</v>
      </c>
      <c r="J2249" s="327"/>
      <c r="K2249" s="37"/>
      <c r="L2249" s="1128"/>
      <c r="M2249" s="327"/>
      <c r="N2249" s="327"/>
      <c r="O2249" s="1129"/>
    </row>
    <row r="2250" spans="1:15" ht="18.75" customHeight="1" x14ac:dyDescent="0.3">
      <c r="A2250" s="2402">
        <v>2244</v>
      </c>
      <c r="B2250" s="1130" t="s">
        <v>3335</v>
      </c>
      <c r="C2250" s="216" t="s">
        <v>1344</v>
      </c>
      <c r="D2250" s="416" t="s">
        <v>560</v>
      </c>
      <c r="E2250" s="217" t="s">
        <v>3386</v>
      </c>
      <c r="F2250" s="218" t="s">
        <v>3329</v>
      </c>
      <c r="G2250" s="568">
        <v>9597.9</v>
      </c>
      <c r="H2250" s="1776" t="s">
        <v>1349</v>
      </c>
      <c r="I2250" s="34" t="s">
        <v>25</v>
      </c>
      <c r="J2250" s="327"/>
      <c r="K2250" s="37"/>
      <c r="L2250" s="1128"/>
      <c r="M2250" s="327"/>
      <c r="N2250" s="327"/>
      <c r="O2250" s="1129"/>
    </row>
    <row r="2251" spans="1:15" ht="18.75" customHeight="1" x14ac:dyDescent="0.3">
      <c r="A2251" s="2402">
        <v>2245</v>
      </c>
      <c r="B2251" s="1130" t="s">
        <v>3335</v>
      </c>
      <c r="C2251" s="216" t="s">
        <v>1344</v>
      </c>
      <c r="D2251" s="416" t="s">
        <v>560</v>
      </c>
      <c r="E2251" s="217" t="s">
        <v>3387</v>
      </c>
      <c r="F2251" s="218" t="s">
        <v>3329</v>
      </c>
      <c r="G2251" s="568">
        <v>9597.9</v>
      </c>
      <c r="H2251" s="1776" t="s">
        <v>1349</v>
      </c>
      <c r="I2251" s="34" t="s">
        <v>25</v>
      </c>
      <c r="J2251" s="327"/>
      <c r="K2251" s="37"/>
      <c r="L2251" s="1128"/>
      <c r="M2251" s="327"/>
      <c r="N2251" s="327"/>
      <c r="O2251" s="1129"/>
    </row>
    <row r="2252" spans="1:15" ht="18.75" customHeight="1" x14ac:dyDescent="0.3">
      <c r="A2252" s="2402">
        <v>2246</v>
      </c>
      <c r="B2252" s="1130" t="s">
        <v>3335</v>
      </c>
      <c r="C2252" s="216" t="s">
        <v>1344</v>
      </c>
      <c r="D2252" s="416" t="s">
        <v>560</v>
      </c>
      <c r="E2252" s="217" t="s">
        <v>3388</v>
      </c>
      <c r="F2252" s="218" t="s">
        <v>3329</v>
      </c>
      <c r="G2252" s="568">
        <v>9597.9</v>
      </c>
      <c r="H2252" s="1776" t="s">
        <v>1349</v>
      </c>
      <c r="I2252" s="34" t="s">
        <v>25</v>
      </c>
      <c r="J2252" s="327"/>
      <c r="K2252" s="37"/>
      <c r="L2252" s="1128"/>
      <c r="M2252" s="327"/>
      <c r="N2252" s="327"/>
      <c r="O2252" s="1129"/>
    </row>
    <row r="2253" spans="1:15" ht="18.75" customHeight="1" x14ac:dyDescent="0.3">
      <c r="A2253" s="2402">
        <v>2247</v>
      </c>
      <c r="B2253" s="1130" t="s">
        <v>3335</v>
      </c>
      <c r="C2253" s="216" t="s">
        <v>1344</v>
      </c>
      <c r="D2253" s="416" t="s">
        <v>560</v>
      </c>
      <c r="E2253" s="217" t="s">
        <v>3389</v>
      </c>
      <c r="F2253" s="218" t="s">
        <v>3329</v>
      </c>
      <c r="G2253" s="568">
        <v>9597.9</v>
      </c>
      <c r="H2253" s="1776" t="s">
        <v>1349</v>
      </c>
      <c r="I2253" s="34" t="s">
        <v>25</v>
      </c>
      <c r="J2253" s="327"/>
      <c r="K2253" s="37"/>
      <c r="L2253" s="1128"/>
      <c r="M2253" s="327"/>
      <c r="N2253" s="327"/>
      <c r="O2253" s="1129"/>
    </row>
    <row r="2254" spans="1:15" ht="18.75" customHeight="1" x14ac:dyDescent="0.3">
      <c r="A2254" s="2401">
        <v>2248</v>
      </c>
      <c r="B2254" s="1130" t="s">
        <v>3335</v>
      </c>
      <c r="C2254" s="216" t="s">
        <v>1344</v>
      </c>
      <c r="D2254" s="416" t="s">
        <v>560</v>
      </c>
      <c r="E2254" s="217" t="s">
        <v>3390</v>
      </c>
      <c r="F2254" s="218" t="s">
        <v>3329</v>
      </c>
      <c r="G2254" s="568">
        <v>9597.9</v>
      </c>
      <c r="H2254" s="1776" t="s">
        <v>1349</v>
      </c>
      <c r="I2254" s="34" t="s">
        <v>25</v>
      </c>
      <c r="J2254" s="327"/>
      <c r="K2254" s="37"/>
      <c r="L2254" s="1128"/>
      <c r="M2254" s="327"/>
      <c r="N2254" s="327"/>
      <c r="O2254" s="1129"/>
    </row>
    <row r="2255" spans="1:15" ht="18.75" customHeight="1" x14ac:dyDescent="0.3">
      <c r="A2255" s="2402">
        <v>2249</v>
      </c>
      <c r="B2255" s="1130" t="s">
        <v>3335</v>
      </c>
      <c r="C2255" s="216" t="s">
        <v>1344</v>
      </c>
      <c r="D2255" s="452" t="s">
        <v>560</v>
      </c>
      <c r="E2255" s="217" t="s">
        <v>3391</v>
      </c>
      <c r="F2255" s="218" t="s">
        <v>3329</v>
      </c>
      <c r="G2255" s="568">
        <v>9597.9</v>
      </c>
      <c r="H2255" s="1776" t="s">
        <v>1349</v>
      </c>
      <c r="I2255" s="34" t="s">
        <v>25</v>
      </c>
      <c r="J2255" s="327"/>
      <c r="K2255" s="37"/>
      <c r="L2255" s="1128"/>
      <c r="M2255" s="327"/>
      <c r="N2255" s="327"/>
      <c r="O2255" s="1129"/>
    </row>
    <row r="2256" spans="1:15" ht="18.75" customHeight="1" x14ac:dyDescent="0.3">
      <c r="A2256" s="2402">
        <v>2250</v>
      </c>
      <c r="B2256" s="1130" t="s">
        <v>3335</v>
      </c>
      <c r="C2256" s="216" t="s">
        <v>1344</v>
      </c>
      <c r="D2256" s="495" t="s">
        <v>560</v>
      </c>
      <c r="E2256" s="217" t="s">
        <v>3392</v>
      </c>
      <c r="F2256" s="218" t="s">
        <v>3329</v>
      </c>
      <c r="G2256" s="568">
        <v>9597.9</v>
      </c>
      <c r="H2256" s="1776" t="s">
        <v>1349</v>
      </c>
      <c r="I2256" s="34" t="s">
        <v>25</v>
      </c>
      <c r="J2256" s="327"/>
      <c r="K2256" s="37"/>
      <c r="L2256" s="1128"/>
      <c r="M2256" s="327"/>
      <c r="N2256" s="327"/>
      <c r="O2256" s="1129"/>
    </row>
    <row r="2257" spans="1:15" ht="18.75" customHeight="1" x14ac:dyDescent="0.3">
      <c r="A2257" s="2401">
        <v>2251</v>
      </c>
      <c r="B2257" s="1130" t="s">
        <v>3335</v>
      </c>
      <c r="C2257" s="216" t="s">
        <v>1344</v>
      </c>
      <c r="D2257" s="793" t="s">
        <v>560</v>
      </c>
      <c r="E2257" s="217" t="s">
        <v>3393</v>
      </c>
      <c r="F2257" s="218" t="s">
        <v>3329</v>
      </c>
      <c r="G2257" s="568">
        <v>9597.9</v>
      </c>
      <c r="H2257" s="1776" t="s">
        <v>1349</v>
      </c>
      <c r="I2257" s="34" t="s">
        <v>25</v>
      </c>
      <c r="J2257" s="327"/>
      <c r="K2257" s="37"/>
      <c r="L2257" s="1128"/>
      <c r="M2257" s="327"/>
      <c r="N2257" s="327"/>
      <c r="O2257" s="1129"/>
    </row>
    <row r="2258" spans="1:15" ht="18.75" customHeight="1" x14ac:dyDescent="0.3">
      <c r="A2258" s="2402">
        <v>2252</v>
      </c>
      <c r="B2258" s="1130" t="s">
        <v>3335</v>
      </c>
      <c r="C2258" s="216" t="s">
        <v>1344</v>
      </c>
      <c r="D2258" s="452" t="s">
        <v>560</v>
      </c>
      <c r="E2258" s="217" t="s">
        <v>3394</v>
      </c>
      <c r="F2258" s="218" t="s">
        <v>3329</v>
      </c>
      <c r="G2258" s="568">
        <v>9597.9</v>
      </c>
      <c r="H2258" s="1776" t="s">
        <v>1349</v>
      </c>
      <c r="I2258" s="34" t="s">
        <v>25</v>
      </c>
      <c r="J2258" s="327"/>
      <c r="K2258" s="37"/>
      <c r="L2258" s="1128"/>
      <c r="M2258" s="327"/>
      <c r="N2258" s="327"/>
      <c r="O2258" s="1129"/>
    </row>
    <row r="2259" spans="1:15" ht="18.75" customHeight="1" x14ac:dyDescent="0.3">
      <c r="A2259" s="2402">
        <v>2253</v>
      </c>
      <c r="B2259" s="1130" t="s">
        <v>3335</v>
      </c>
      <c r="C2259" s="216" t="s">
        <v>1344</v>
      </c>
      <c r="D2259" s="793" t="s">
        <v>560</v>
      </c>
      <c r="E2259" s="217" t="s">
        <v>3395</v>
      </c>
      <c r="F2259" s="218" t="s">
        <v>3329</v>
      </c>
      <c r="G2259" s="568">
        <v>9597.9</v>
      </c>
      <c r="H2259" s="1776" t="s">
        <v>1349</v>
      </c>
      <c r="I2259" s="34" t="s">
        <v>25</v>
      </c>
      <c r="J2259" s="327"/>
      <c r="K2259" s="37"/>
      <c r="L2259" s="1128"/>
      <c r="M2259" s="327"/>
      <c r="N2259" s="327"/>
      <c r="O2259" s="1129"/>
    </row>
    <row r="2260" spans="1:15" ht="18.75" customHeight="1" x14ac:dyDescent="0.3">
      <c r="A2260" s="2402">
        <v>2254</v>
      </c>
      <c r="B2260" s="1130" t="s">
        <v>3335</v>
      </c>
      <c r="C2260" s="216" t="s">
        <v>1344</v>
      </c>
      <c r="D2260" s="416" t="s">
        <v>560</v>
      </c>
      <c r="E2260" s="217" t="s">
        <v>3396</v>
      </c>
      <c r="F2260" s="218" t="s">
        <v>3329</v>
      </c>
      <c r="G2260" s="568">
        <v>9597.9</v>
      </c>
      <c r="H2260" s="1776" t="s">
        <v>1349</v>
      </c>
      <c r="I2260" s="34" t="s">
        <v>25</v>
      </c>
      <c r="J2260" s="327"/>
      <c r="K2260" s="37"/>
      <c r="L2260" s="1128"/>
      <c r="M2260" s="327"/>
      <c r="N2260" s="327"/>
      <c r="O2260" s="1129"/>
    </row>
    <row r="2261" spans="1:15" ht="18.75" customHeight="1" x14ac:dyDescent="0.3">
      <c r="A2261" s="2402">
        <v>2255</v>
      </c>
      <c r="B2261" s="1130" t="s">
        <v>3335</v>
      </c>
      <c r="C2261" s="216" t="s">
        <v>1344</v>
      </c>
      <c r="D2261" s="452" t="s">
        <v>560</v>
      </c>
      <c r="E2261" s="217" t="s">
        <v>3397</v>
      </c>
      <c r="F2261" s="218" t="s">
        <v>3329</v>
      </c>
      <c r="G2261" s="568">
        <v>9597.9</v>
      </c>
      <c r="H2261" s="1776" t="s">
        <v>1349</v>
      </c>
      <c r="I2261" s="34" t="s">
        <v>25</v>
      </c>
      <c r="J2261" s="327"/>
      <c r="K2261" s="37"/>
      <c r="L2261" s="1128"/>
      <c r="M2261" s="327"/>
      <c r="N2261" s="327"/>
      <c r="O2261" s="1129"/>
    </row>
    <row r="2262" spans="1:15" ht="18.75" customHeight="1" x14ac:dyDescent="0.3">
      <c r="A2262" s="2401">
        <v>2256</v>
      </c>
      <c r="B2262" s="1130" t="s">
        <v>3335</v>
      </c>
      <c r="C2262" s="216" t="s">
        <v>1344</v>
      </c>
      <c r="D2262" s="793" t="s">
        <v>560</v>
      </c>
      <c r="E2262" s="217" t="s">
        <v>3398</v>
      </c>
      <c r="F2262" s="218" t="s">
        <v>3329</v>
      </c>
      <c r="G2262" s="568">
        <v>9597.9</v>
      </c>
      <c r="H2262" s="1776" t="s">
        <v>1349</v>
      </c>
      <c r="I2262" s="34" t="s">
        <v>25</v>
      </c>
      <c r="J2262" s="327"/>
      <c r="K2262" s="37"/>
      <c r="L2262" s="1128"/>
      <c r="M2262" s="327"/>
      <c r="N2262" s="327"/>
      <c r="O2262" s="1129"/>
    </row>
    <row r="2263" spans="1:15" ht="18.75" customHeight="1" x14ac:dyDescent="0.3">
      <c r="A2263" s="2402">
        <v>2257</v>
      </c>
      <c r="B2263" s="1130" t="s">
        <v>3335</v>
      </c>
      <c r="C2263" s="216" t="s">
        <v>1344</v>
      </c>
      <c r="D2263" s="416" t="s">
        <v>560</v>
      </c>
      <c r="E2263" s="217" t="s">
        <v>3399</v>
      </c>
      <c r="F2263" s="218" t="s">
        <v>3329</v>
      </c>
      <c r="G2263" s="568">
        <v>9597.9</v>
      </c>
      <c r="H2263" s="1776" t="s">
        <v>1349</v>
      </c>
      <c r="I2263" s="34" t="s">
        <v>25</v>
      </c>
      <c r="J2263" s="327"/>
      <c r="K2263" s="37"/>
      <c r="L2263" s="1128"/>
      <c r="M2263" s="327"/>
      <c r="N2263" s="327"/>
      <c r="O2263" s="1129"/>
    </row>
    <row r="2264" spans="1:15" ht="18.75" customHeight="1" x14ac:dyDescent="0.3">
      <c r="A2264" s="2402">
        <v>2258</v>
      </c>
      <c r="B2264" s="1130" t="s">
        <v>3335</v>
      </c>
      <c r="C2264" s="216" t="s">
        <v>1344</v>
      </c>
      <c r="D2264" s="416" t="s">
        <v>560</v>
      </c>
      <c r="E2264" s="217" t="s">
        <v>3400</v>
      </c>
      <c r="F2264" s="218" t="s">
        <v>3329</v>
      </c>
      <c r="G2264" s="568">
        <v>9597.9</v>
      </c>
      <c r="H2264" s="1776" t="s">
        <v>1349</v>
      </c>
      <c r="I2264" s="34" t="s">
        <v>25</v>
      </c>
      <c r="J2264" s="327"/>
      <c r="K2264" s="37"/>
      <c r="L2264" s="1128"/>
      <c r="M2264" s="327"/>
      <c r="N2264" s="327"/>
      <c r="O2264" s="1129"/>
    </row>
    <row r="2265" spans="1:15" ht="18.75" customHeight="1" x14ac:dyDescent="0.3">
      <c r="A2265" s="2401">
        <v>2259</v>
      </c>
      <c r="B2265" s="1130" t="s">
        <v>3335</v>
      </c>
      <c r="C2265" s="216" t="s">
        <v>1344</v>
      </c>
      <c r="D2265" s="416" t="s">
        <v>560</v>
      </c>
      <c r="E2265" s="217" t="s">
        <v>3401</v>
      </c>
      <c r="F2265" s="218" t="s">
        <v>3329</v>
      </c>
      <c r="G2265" s="568">
        <v>9597.9</v>
      </c>
      <c r="H2265" s="1776" t="s">
        <v>1349</v>
      </c>
      <c r="I2265" s="34" t="s">
        <v>25</v>
      </c>
      <c r="J2265" s="327"/>
      <c r="K2265" s="37"/>
      <c r="L2265" s="1128"/>
      <c r="M2265" s="327"/>
      <c r="N2265" s="327"/>
      <c r="O2265" s="1129"/>
    </row>
    <row r="2266" spans="1:15" ht="18.75" customHeight="1" x14ac:dyDescent="0.3">
      <c r="A2266" s="2402">
        <v>2260</v>
      </c>
      <c r="B2266" s="1130" t="s">
        <v>3335</v>
      </c>
      <c r="C2266" s="216" t="s">
        <v>1344</v>
      </c>
      <c r="D2266" s="416" t="s">
        <v>560</v>
      </c>
      <c r="E2266" s="217" t="s">
        <v>3402</v>
      </c>
      <c r="F2266" s="218" t="s">
        <v>3329</v>
      </c>
      <c r="G2266" s="568">
        <v>9597.9</v>
      </c>
      <c r="H2266" s="1776" t="s">
        <v>1349</v>
      </c>
      <c r="I2266" s="34" t="s">
        <v>25</v>
      </c>
      <c r="J2266" s="327"/>
      <c r="K2266" s="37"/>
      <c r="L2266" s="1128"/>
      <c r="M2266" s="327"/>
      <c r="N2266" s="327"/>
      <c r="O2266" s="1129"/>
    </row>
    <row r="2267" spans="1:15" ht="18.75" customHeight="1" x14ac:dyDescent="0.3">
      <c r="A2267" s="2402">
        <v>2261</v>
      </c>
      <c r="B2267" s="1130" t="s">
        <v>3335</v>
      </c>
      <c r="C2267" s="216" t="s">
        <v>1344</v>
      </c>
      <c r="D2267" s="416" t="s">
        <v>560</v>
      </c>
      <c r="E2267" s="217" t="s">
        <v>3403</v>
      </c>
      <c r="F2267" s="218" t="s">
        <v>3329</v>
      </c>
      <c r="G2267" s="568">
        <v>9597.9</v>
      </c>
      <c r="H2267" s="1776" t="s">
        <v>1349</v>
      </c>
      <c r="I2267" s="34" t="s">
        <v>25</v>
      </c>
      <c r="J2267" s="327"/>
      <c r="K2267" s="37"/>
      <c r="L2267" s="1128"/>
      <c r="M2267" s="327"/>
      <c r="N2267" s="327"/>
      <c r="O2267" s="1129"/>
    </row>
    <row r="2268" spans="1:15" ht="18.75" customHeight="1" x14ac:dyDescent="0.3">
      <c r="A2268" s="2402">
        <v>2262</v>
      </c>
      <c r="B2268" s="1130" t="s">
        <v>3335</v>
      </c>
      <c r="C2268" s="216" t="s">
        <v>1344</v>
      </c>
      <c r="D2268" s="416" t="s">
        <v>560</v>
      </c>
      <c r="E2268" s="217" t="s">
        <v>3404</v>
      </c>
      <c r="F2268" s="218" t="s">
        <v>3329</v>
      </c>
      <c r="G2268" s="568">
        <v>9597.9</v>
      </c>
      <c r="H2268" s="1776" t="s">
        <v>1349</v>
      </c>
      <c r="I2268" s="34" t="s">
        <v>25</v>
      </c>
      <c r="J2268" s="327"/>
      <c r="K2268" s="37"/>
      <c r="L2268" s="1128"/>
      <c r="M2268" s="327"/>
      <c r="N2268" s="327"/>
      <c r="O2268" s="1129"/>
    </row>
    <row r="2269" spans="1:15" ht="18.75" customHeight="1" x14ac:dyDescent="0.3">
      <c r="A2269" s="2402">
        <v>2263</v>
      </c>
      <c r="B2269" s="1130" t="s">
        <v>3335</v>
      </c>
      <c r="C2269" s="216" t="s">
        <v>1344</v>
      </c>
      <c r="D2269" s="416" t="s">
        <v>560</v>
      </c>
      <c r="E2269" s="217" t="s">
        <v>3405</v>
      </c>
      <c r="F2269" s="218" t="s">
        <v>3329</v>
      </c>
      <c r="G2269" s="568">
        <v>9597.9</v>
      </c>
      <c r="H2269" s="1776" t="s">
        <v>1349</v>
      </c>
      <c r="I2269" s="34" t="s">
        <v>25</v>
      </c>
      <c r="J2269" s="327"/>
      <c r="K2269" s="37"/>
      <c r="L2269" s="1128"/>
      <c r="M2269" s="327"/>
      <c r="N2269" s="327"/>
      <c r="O2269" s="1129"/>
    </row>
    <row r="2270" spans="1:15" ht="18.75" customHeight="1" x14ac:dyDescent="0.3">
      <c r="A2270" s="2401">
        <v>2264</v>
      </c>
      <c r="B2270" s="1130" t="s">
        <v>3335</v>
      </c>
      <c r="C2270" s="216" t="s">
        <v>1344</v>
      </c>
      <c r="D2270" s="416" t="s">
        <v>560</v>
      </c>
      <c r="E2270" s="217" t="s">
        <v>3406</v>
      </c>
      <c r="F2270" s="218" t="s">
        <v>3329</v>
      </c>
      <c r="G2270" s="568">
        <v>9597.9</v>
      </c>
      <c r="H2270" s="1776" t="s">
        <v>1349</v>
      </c>
      <c r="I2270" s="34" t="s">
        <v>25</v>
      </c>
      <c r="J2270" s="327"/>
      <c r="K2270" s="37"/>
      <c r="L2270" s="1128"/>
      <c r="M2270" s="327"/>
      <c r="N2270" s="327"/>
      <c r="O2270" s="1129"/>
    </row>
    <row r="2271" spans="1:15" ht="18.75" customHeight="1" x14ac:dyDescent="0.3">
      <c r="A2271" s="2402">
        <v>2265</v>
      </c>
      <c r="B2271" s="1130" t="s">
        <v>3335</v>
      </c>
      <c r="C2271" s="216" t="s">
        <v>1344</v>
      </c>
      <c r="D2271" s="416" t="s">
        <v>560</v>
      </c>
      <c r="E2271" s="217" t="s">
        <v>3407</v>
      </c>
      <c r="F2271" s="218" t="s">
        <v>3329</v>
      </c>
      <c r="G2271" s="568">
        <v>9597.9</v>
      </c>
      <c r="H2271" s="1776" t="s">
        <v>1349</v>
      </c>
      <c r="I2271" s="34" t="s">
        <v>25</v>
      </c>
      <c r="J2271" s="327"/>
      <c r="K2271" s="37"/>
      <c r="L2271" s="1128"/>
      <c r="M2271" s="327"/>
      <c r="N2271" s="327"/>
      <c r="O2271" s="1129"/>
    </row>
    <row r="2272" spans="1:15" ht="18.75" customHeight="1" x14ac:dyDescent="0.3">
      <c r="A2272" s="2402">
        <v>2266</v>
      </c>
      <c r="B2272" s="1130" t="s">
        <v>3335</v>
      </c>
      <c r="C2272" s="216" t="s">
        <v>1344</v>
      </c>
      <c r="D2272" s="416" t="s">
        <v>560</v>
      </c>
      <c r="E2272" s="217" t="s">
        <v>3408</v>
      </c>
      <c r="F2272" s="218" t="s">
        <v>3329</v>
      </c>
      <c r="G2272" s="568">
        <v>9597.9</v>
      </c>
      <c r="H2272" s="1776" t="s">
        <v>1349</v>
      </c>
      <c r="I2272" s="34" t="s">
        <v>25</v>
      </c>
      <c r="J2272" s="327"/>
      <c r="K2272" s="37"/>
      <c r="L2272" s="1128"/>
      <c r="M2272" s="327"/>
      <c r="N2272" s="327"/>
      <c r="O2272" s="1129"/>
    </row>
    <row r="2273" spans="1:15" ht="18.75" customHeight="1" x14ac:dyDescent="0.3">
      <c r="A2273" s="2401">
        <v>2267</v>
      </c>
      <c r="B2273" s="1130" t="s">
        <v>3335</v>
      </c>
      <c r="C2273" s="216" t="s">
        <v>1344</v>
      </c>
      <c r="D2273" s="416" t="s">
        <v>560</v>
      </c>
      <c r="E2273" s="217" t="s">
        <v>3409</v>
      </c>
      <c r="F2273" s="218" t="s">
        <v>3329</v>
      </c>
      <c r="G2273" s="568">
        <v>9597.9</v>
      </c>
      <c r="H2273" s="1776" t="s">
        <v>1349</v>
      </c>
      <c r="I2273" s="34" t="s">
        <v>25</v>
      </c>
      <c r="J2273" s="327"/>
      <c r="K2273" s="37"/>
      <c r="L2273" s="1128"/>
      <c r="M2273" s="327"/>
      <c r="N2273" s="327"/>
      <c r="O2273" s="1129"/>
    </row>
    <row r="2274" spans="1:15" ht="18.75" customHeight="1" x14ac:dyDescent="0.3">
      <c r="A2274" s="2402">
        <v>2268</v>
      </c>
      <c r="B2274" s="1130" t="s">
        <v>3335</v>
      </c>
      <c r="C2274" s="1117" t="s">
        <v>1344</v>
      </c>
      <c r="D2274" s="416" t="s">
        <v>560</v>
      </c>
      <c r="E2274" s="217" t="s">
        <v>3410</v>
      </c>
      <c r="F2274" s="218" t="s">
        <v>3329</v>
      </c>
      <c r="G2274" s="568">
        <v>9597.9</v>
      </c>
      <c r="H2274" s="1776" t="s">
        <v>1349</v>
      </c>
      <c r="I2274" s="34" t="s">
        <v>25</v>
      </c>
      <c r="J2274" s="327"/>
      <c r="K2274" s="37"/>
      <c r="L2274" s="1128"/>
      <c r="M2274" s="327"/>
      <c r="N2274" s="327"/>
      <c r="O2274" s="1129"/>
    </row>
    <row r="2275" spans="1:15" ht="18.75" customHeight="1" x14ac:dyDescent="0.3">
      <c r="A2275" s="2402">
        <v>2269</v>
      </c>
      <c r="B2275" s="1130" t="s">
        <v>3335</v>
      </c>
      <c r="C2275" s="1117" t="s">
        <v>1344</v>
      </c>
      <c r="D2275" s="452" t="s">
        <v>560</v>
      </c>
      <c r="E2275" s="217" t="s">
        <v>3411</v>
      </c>
      <c r="F2275" s="218" t="s">
        <v>3329</v>
      </c>
      <c r="G2275" s="568">
        <v>9597.9</v>
      </c>
      <c r="H2275" s="1776" t="s">
        <v>1349</v>
      </c>
      <c r="I2275" s="34" t="s">
        <v>25</v>
      </c>
      <c r="J2275" s="327"/>
      <c r="K2275" s="37"/>
      <c r="L2275" s="1128"/>
      <c r="M2275" s="327"/>
      <c r="N2275" s="327"/>
      <c r="O2275" s="1129"/>
    </row>
    <row r="2276" spans="1:15" ht="18.75" customHeight="1" x14ac:dyDescent="0.3">
      <c r="A2276" s="2402">
        <v>2270</v>
      </c>
      <c r="B2276" s="1130" t="s">
        <v>3335</v>
      </c>
      <c r="C2276" s="1117" t="s">
        <v>1344</v>
      </c>
      <c r="D2276" s="793" t="s">
        <v>560</v>
      </c>
      <c r="E2276" s="217" t="s">
        <v>3412</v>
      </c>
      <c r="F2276" s="218" t="s">
        <v>3329</v>
      </c>
      <c r="G2276" s="568">
        <v>9597.9</v>
      </c>
      <c r="H2276" s="1776" t="s">
        <v>1349</v>
      </c>
      <c r="I2276" s="34" t="s">
        <v>25</v>
      </c>
      <c r="J2276" s="327"/>
      <c r="K2276" s="37"/>
      <c r="L2276" s="1128"/>
      <c r="M2276" s="327"/>
      <c r="N2276" s="327"/>
      <c r="O2276" s="1129"/>
    </row>
    <row r="2277" spans="1:15" ht="18.75" customHeight="1" x14ac:dyDescent="0.3">
      <c r="A2277" s="2402">
        <v>2271</v>
      </c>
      <c r="B2277" s="1130" t="s">
        <v>3335</v>
      </c>
      <c r="C2277" s="1117" t="s">
        <v>1344</v>
      </c>
      <c r="D2277" s="416" t="s">
        <v>560</v>
      </c>
      <c r="E2277" s="217" t="s">
        <v>3413</v>
      </c>
      <c r="F2277" s="218" t="s">
        <v>3329</v>
      </c>
      <c r="G2277" s="568">
        <v>9597.9</v>
      </c>
      <c r="H2277" s="1776" t="s">
        <v>1349</v>
      </c>
      <c r="I2277" s="34" t="s">
        <v>25</v>
      </c>
      <c r="J2277" s="327"/>
      <c r="K2277" s="37"/>
      <c r="L2277" s="1128"/>
      <c r="M2277" s="327"/>
      <c r="N2277" s="327"/>
      <c r="O2277" s="1129"/>
    </row>
    <row r="2278" spans="1:15" ht="18.75" customHeight="1" x14ac:dyDescent="0.3">
      <c r="A2278" s="2401">
        <v>2272</v>
      </c>
      <c r="B2278" s="1130" t="s">
        <v>3335</v>
      </c>
      <c r="C2278" s="1117" t="s">
        <v>1344</v>
      </c>
      <c r="D2278" s="416" t="s">
        <v>560</v>
      </c>
      <c r="E2278" s="217" t="s">
        <v>3414</v>
      </c>
      <c r="F2278" s="218" t="s">
        <v>3329</v>
      </c>
      <c r="G2278" s="568">
        <v>9597.9</v>
      </c>
      <c r="H2278" s="1776" t="s">
        <v>1349</v>
      </c>
      <c r="I2278" s="34" t="s">
        <v>25</v>
      </c>
      <c r="J2278" s="327"/>
      <c r="K2278" s="37"/>
      <c r="L2278" s="1128"/>
      <c r="M2278" s="327"/>
      <c r="N2278" s="327"/>
      <c r="O2278" s="1129"/>
    </row>
    <row r="2279" spans="1:15" ht="18.75" customHeight="1" x14ac:dyDescent="0.3">
      <c r="A2279" s="2402">
        <v>2273</v>
      </c>
      <c r="B2279" s="1130" t="s">
        <v>3335</v>
      </c>
      <c r="C2279" s="1117" t="s">
        <v>1344</v>
      </c>
      <c r="D2279" s="416" t="s">
        <v>560</v>
      </c>
      <c r="E2279" s="217" t="s">
        <v>3415</v>
      </c>
      <c r="F2279" s="218" t="s">
        <v>3329</v>
      </c>
      <c r="G2279" s="568">
        <v>9597.9</v>
      </c>
      <c r="H2279" s="1776" t="s">
        <v>1349</v>
      </c>
      <c r="I2279" s="34" t="s">
        <v>25</v>
      </c>
      <c r="J2279" s="327"/>
      <c r="K2279" s="37"/>
      <c r="L2279" s="1128"/>
      <c r="M2279" s="327"/>
      <c r="N2279" s="327"/>
      <c r="O2279" s="1129"/>
    </row>
    <row r="2280" spans="1:15" ht="18.75" customHeight="1" x14ac:dyDescent="0.3">
      <c r="A2280" s="2402">
        <v>2274</v>
      </c>
      <c r="B2280" s="1130" t="s">
        <v>3335</v>
      </c>
      <c r="C2280" s="1117" t="s">
        <v>1344</v>
      </c>
      <c r="D2280" s="416" t="s">
        <v>560</v>
      </c>
      <c r="E2280" s="217" t="s">
        <v>3416</v>
      </c>
      <c r="F2280" s="218" t="s">
        <v>3329</v>
      </c>
      <c r="G2280" s="568">
        <v>9597.9</v>
      </c>
      <c r="H2280" s="1776" t="s">
        <v>1349</v>
      </c>
      <c r="I2280" s="34" t="s">
        <v>25</v>
      </c>
      <c r="J2280" s="327"/>
      <c r="K2280" s="37"/>
      <c r="L2280" s="1128"/>
      <c r="M2280" s="327"/>
      <c r="N2280" s="327"/>
      <c r="O2280" s="1129"/>
    </row>
    <row r="2281" spans="1:15" ht="18.75" customHeight="1" x14ac:dyDescent="0.3">
      <c r="A2281" s="2401">
        <v>2275</v>
      </c>
      <c r="B2281" s="1130" t="s">
        <v>3335</v>
      </c>
      <c r="C2281" s="1117" t="s">
        <v>1344</v>
      </c>
      <c r="D2281" s="416" t="s">
        <v>560</v>
      </c>
      <c r="E2281" s="217" t="s">
        <v>3417</v>
      </c>
      <c r="F2281" s="218" t="s">
        <v>3329</v>
      </c>
      <c r="G2281" s="568">
        <v>9597.9</v>
      </c>
      <c r="H2281" s="1776" t="s">
        <v>1349</v>
      </c>
      <c r="I2281" s="34" t="s">
        <v>25</v>
      </c>
      <c r="J2281" s="327"/>
      <c r="K2281" s="37"/>
      <c r="L2281" s="1128"/>
      <c r="M2281" s="327"/>
      <c r="N2281" s="327"/>
      <c r="O2281" s="1129"/>
    </row>
    <row r="2282" spans="1:15" ht="18.75" customHeight="1" x14ac:dyDescent="0.3">
      <c r="A2282" s="2402">
        <v>2276</v>
      </c>
      <c r="B2282" s="1130" t="s">
        <v>3335</v>
      </c>
      <c r="C2282" s="1117" t="s">
        <v>1344</v>
      </c>
      <c r="D2282" s="416" t="s">
        <v>560</v>
      </c>
      <c r="E2282" s="217" t="s">
        <v>3418</v>
      </c>
      <c r="F2282" s="218" t="s">
        <v>3329</v>
      </c>
      <c r="G2282" s="568">
        <v>9597.9</v>
      </c>
      <c r="H2282" s="1776" t="s">
        <v>1349</v>
      </c>
      <c r="I2282" s="34" t="s">
        <v>25</v>
      </c>
      <c r="J2282" s="327"/>
      <c r="K2282" s="37"/>
      <c r="L2282" s="1128"/>
      <c r="M2282" s="327"/>
      <c r="N2282" s="327"/>
      <c r="O2282" s="1129"/>
    </row>
    <row r="2283" spans="1:15" ht="18.75" customHeight="1" x14ac:dyDescent="0.3">
      <c r="A2283" s="2402">
        <v>2277</v>
      </c>
      <c r="B2283" s="1130" t="s">
        <v>3335</v>
      </c>
      <c r="C2283" s="1117" t="s">
        <v>1344</v>
      </c>
      <c r="D2283" s="416" t="s">
        <v>560</v>
      </c>
      <c r="E2283" s="217" t="s">
        <v>3419</v>
      </c>
      <c r="F2283" s="218" t="s">
        <v>3329</v>
      </c>
      <c r="G2283" s="568">
        <v>9597.9</v>
      </c>
      <c r="H2283" s="1776" t="s">
        <v>1349</v>
      </c>
      <c r="I2283" s="34" t="s">
        <v>25</v>
      </c>
      <c r="J2283" s="327"/>
      <c r="K2283" s="37"/>
      <c r="L2283" s="1128"/>
      <c r="M2283" s="327"/>
      <c r="N2283" s="327"/>
      <c r="O2283" s="1129"/>
    </row>
    <row r="2284" spans="1:15" ht="18.75" customHeight="1" x14ac:dyDescent="0.3">
      <c r="A2284" s="2402">
        <v>2278</v>
      </c>
      <c r="B2284" s="1130" t="s">
        <v>3335</v>
      </c>
      <c r="C2284" s="1117" t="s">
        <v>1344</v>
      </c>
      <c r="D2284" s="416" t="s">
        <v>560</v>
      </c>
      <c r="E2284" s="217" t="s">
        <v>3420</v>
      </c>
      <c r="F2284" s="218" t="s">
        <v>3329</v>
      </c>
      <c r="G2284" s="568">
        <v>9597.9</v>
      </c>
      <c r="H2284" s="1776" t="s">
        <v>1349</v>
      </c>
      <c r="I2284" s="34" t="s">
        <v>25</v>
      </c>
      <c r="J2284" s="327"/>
      <c r="K2284" s="37"/>
      <c r="L2284" s="1128"/>
      <c r="M2284" s="327"/>
      <c r="N2284" s="327"/>
      <c r="O2284" s="1129"/>
    </row>
    <row r="2285" spans="1:15" ht="18.75" customHeight="1" x14ac:dyDescent="0.3">
      <c r="A2285" s="2402">
        <v>2279</v>
      </c>
      <c r="B2285" s="1130" t="s">
        <v>3421</v>
      </c>
      <c r="C2285" s="1117" t="s">
        <v>1344</v>
      </c>
      <c r="D2285" s="416" t="s">
        <v>560</v>
      </c>
      <c r="E2285" s="217" t="s">
        <v>3422</v>
      </c>
      <c r="F2285" s="218" t="s">
        <v>3329</v>
      </c>
      <c r="G2285" s="568">
        <v>28973.62</v>
      </c>
      <c r="H2285" s="1776" t="s">
        <v>1349</v>
      </c>
      <c r="I2285" s="34" t="s">
        <v>25</v>
      </c>
      <c r="J2285" s="327"/>
      <c r="K2285" s="37"/>
      <c r="L2285" s="1128"/>
      <c r="M2285" s="327"/>
      <c r="N2285" s="327"/>
      <c r="O2285" s="1129"/>
    </row>
    <row r="2286" spans="1:15" ht="18.75" customHeight="1" x14ac:dyDescent="0.3">
      <c r="A2286" s="2401">
        <v>2280</v>
      </c>
      <c r="B2286" s="1130" t="s">
        <v>3421</v>
      </c>
      <c r="C2286" s="1117" t="s">
        <v>1344</v>
      </c>
      <c r="D2286" s="416" t="s">
        <v>560</v>
      </c>
      <c r="E2286" s="217" t="s">
        <v>3423</v>
      </c>
      <c r="F2286" s="218" t="s">
        <v>3329</v>
      </c>
      <c r="G2286" s="568">
        <v>28973.62</v>
      </c>
      <c r="H2286" s="1776" t="s">
        <v>1349</v>
      </c>
      <c r="I2286" s="34" t="s">
        <v>25</v>
      </c>
      <c r="J2286" s="327"/>
      <c r="K2286" s="37"/>
      <c r="L2286" s="1128"/>
      <c r="M2286" s="327"/>
      <c r="N2286" s="327"/>
      <c r="O2286" s="1129"/>
    </row>
    <row r="2287" spans="1:15" ht="18.75" customHeight="1" x14ac:dyDescent="0.3">
      <c r="A2287" s="2402">
        <v>2281</v>
      </c>
      <c r="B2287" s="1130" t="s">
        <v>3421</v>
      </c>
      <c r="C2287" s="1117" t="s">
        <v>1344</v>
      </c>
      <c r="D2287" s="416" t="s">
        <v>560</v>
      </c>
      <c r="E2287" s="217" t="s">
        <v>3424</v>
      </c>
      <c r="F2287" s="218" t="s">
        <v>3329</v>
      </c>
      <c r="G2287" s="568">
        <v>28973.62</v>
      </c>
      <c r="H2287" s="1776" t="s">
        <v>1349</v>
      </c>
      <c r="I2287" s="34" t="s">
        <v>25</v>
      </c>
      <c r="J2287" s="327"/>
      <c r="K2287" s="37"/>
      <c r="L2287" s="1128"/>
      <c r="M2287" s="327"/>
      <c r="N2287" s="327"/>
      <c r="O2287" s="1129"/>
    </row>
    <row r="2288" spans="1:15" ht="18.75" customHeight="1" x14ac:dyDescent="0.3">
      <c r="A2288" s="2402">
        <v>2282</v>
      </c>
      <c r="B2288" s="1130" t="s">
        <v>3425</v>
      </c>
      <c r="C2288" s="1117" t="s">
        <v>1344</v>
      </c>
      <c r="D2288" s="416" t="s">
        <v>560</v>
      </c>
      <c r="E2288" s="217" t="s">
        <v>3426</v>
      </c>
      <c r="F2288" s="218" t="s">
        <v>3329</v>
      </c>
      <c r="G2288" s="568">
        <v>22577</v>
      </c>
      <c r="H2288" s="1776" t="s">
        <v>1349</v>
      </c>
      <c r="I2288" s="34" t="s">
        <v>25</v>
      </c>
      <c r="J2288" s="327"/>
      <c r="K2288" s="37"/>
      <c r="L2288" s="1128"/>
      <c r="M2288" s="327"/>
      <c r="N2288" s="327"/>
      <c r="O2288" s="1129"/>
    </row>
    <row r="2289" spans="1:15" ht="18.75" customHeight="1" x14ac:dyDescent="0.3">
      <c r="A2289" s="2401">
        <v>2283</v>
      </c>
      <c r="B2289" s="1130" t="s">
        <v>3421</v>
      </c>
      <c r="C2289" s="1117" t="s">
        <v>1344</v>
      </c>
      <c r="D2289" s="416" t="s">
        <v>560</v>
      </c>
      <c r="E2289" s="217" t="s">
        <v>3427</v>
      </c>
      <c r="F2289" s="218" t="s">
        <v>3329</v>
      </c>
      <c r="G2289" s="568">
        <v>28973.62</v>
      </c>
      <c r="H2289" s="1776" t="s">
        <v>1349</v>
      </c>
      <c r="I2289" s="34" t="s">
        <v>25</v>
      </c>
      <c r="J2289" s="327"/>
      <c r="K2289" s="37"/>
      <c r="L2289" s="1128"/>
      <c r="M2289" s="327"/>
      <c r="N2289" s="327"/>
      <c r="O2289" s="1129"/>
    </row>
    <row r="2290" spans="1:15" ht="18.75" customHeight="1" x14ac:dyDescent="0.3">
      <c r="A2290" s="2402">
        <v>2284</v>
      </c>
      <c r="B2290" s="1130" t="s">
        <v>3425</v>
      </c>
      <c r="C2290" s="1117" t="s">
        <v>1344</v>
      </c>
      <c r="D2290" s="416" t="s">
        <v>560</v>
      </c>
      <c r="E2290" s="217" t="s">
        <v>3428</v>
      </c>
      <c r="F2290" s="218" t="s">
        <v>3329</v>
      </c>
      <c r="G2290" s="568">
        <v>22577</v>
      </c>
      <c r="H2290" s="1776" t="s">
        <v>1349</v>
      </c>
      <c r="I2290" s="34" t="s">
        <v>25</v>
      </c>
      <c r="J2290" s="327"/>
      <c r="K2290" s="37"/>
      <c r="L2290" s="1128"/>
      <c r="M2290" s="327"/>
      <c r="N2290" s="327"/>
      <c r="O2290" s="1129"/>
    </row>
    <row r="2291" spans="1:15" ht="18.75" customHeight="1" x14ac:dyDescent="0.3">
      <c r="A2291" s="2402">
        <v>2285</v>
      </c>
      <c r="B2291" s="1130" t="s">
        <v>3425</v>
      </c>
      <c r="C2291" s="1117" t="s">
        <v>1344</v>
      </c>
      <c r="D2291" s="452" t="s">
        <v>560</v>
      </c>
      <c r="E2291" s="217" t="s">
        <v>3429</v>
      </c>
      <c r="F2291" s="218" t="s">
        <v>3329</v>
      </c>
      <c r="G2291" s="568">
        <v>22577</v>
      </c>
      <c r="H2291" s="1776" t="s">
        <v>1349</v>
      </c>
      <c r="I2291" s="34" t="s">
        <v>25</v>
      </c>
      <c r="J2291" s="327"/>
      <c r="K2291" s="37"/>
      <c r="L2291" s="1128"/>
      <c r="M2291" s="327"/>
      <c r="N2291" s="327"/>
      <c r="O2291" s="1129"/>
    </row>
    <row r="2292" spans="1:15" ht="18.75" customHeight="1" x14ac:dyDescent="0.3">
      <c r="A2292" s="2402">
        <v>2286</v>
      </c>
      <c r="B2292" s="1130" t="s">
        <v>3425</v>
      </c>
      <c r="C2292" s="1117" t="s">
        <v>1344</v>
      </c>
      <c r="D2292" s="793" t="s">
        <v>560</v>
      </c>
      <c r="E2292" s="217" t="s">
        <v>3430</v>
      </c>
      <c r="F2292" s="218" t="s">
        <v>3329</v>
      </c>
      <c r="G2292" s="568">
        <v>22577</v>
      </c>
      <c r="H2292" s="1776" t="s">
        <v>1349</v>
      </c>
      <c r="I2292" s="34" t="s">
        <v>25</v>
      </c>
      <c r="J2292" s="327"/>
      <c r="K2292" s="37"/>
      <c r="L2292" s="1128"/>
      <c r="M2292" s="327"/>
      <c r="N2292" s="327"/>
      <c r="O2292" s="1129"/>
    </row>
    <row r="2293" spans="1:15" ht="18.75" customHeight="1" x14ac:dyDescent="0.3">
      <c r="A2293" s="2402">
        <v>2287</v>
      </c>
      <c r="B2293" s="1130" t="s">
        <v>3431</v>
      </c>
      <c r="C2293" s="216" t="s">
        <v>1344</v>
      </c>
      <c r="D2293" s="416" t="s">
        <v>560</v>
      </c>
      <c r="E2293" s="217" t="s">
        <v>3432</v>
      </c>
      <c r="F2293" s="218" t="s">
        <v>3329</v>
      </c>
      <c r="G2293" s="568">
        <v>10571.6</v>
      </c>
      <c r="H2293" s="1776" t="s">
        <v>1349</v>
      </c>
      <c r="I2293" s="34" t="s">
        <v>25</v>
      </c>
      <c r="J2293" s="327"/>
      <c r="K2293" s="37"/>
      <c r="L2293" s="1128"/>
      <c r="M2293" s="327"/>
      <c r="N2293" s="327"/>
      <c r="O2293" s="1129"/>
    </row>
    <row r="2294" spans="1:15" ht="18.75" customHeight="1" x14ac:dyDescent="0.3">
      <c r="A2294" s="2401">
        <v>2288</v>
      </c>
      <c r="B2294" s="1130" t="s">
        <v>3431</v>
      </c>
      <c r="C2294" s="216" t="s">
        <v>1344</v>
      </c>
      <c r="D2294" s="416" t="s">
        <v>560</v>
      </c>
      <c r="E2294" s="217" t="s">
        <v>3433</v>
      </c>
      <c r="F2294" s="218" t="s">
        <v>3329</v>
      </c>
      <c r="G2294" s="568">
        <v>10571.6</v>
      </c>
      <c r="H2294" s="1776" t="s">
        <v>1349</v>
      </c>
      <c r="I2294" s="34" t="s">
        <v>25</v>
      </c>
      <c r="J2294" s="327"/>
      <c r="K2294" s="37"/>
      <c r="L2294" s="1128"/>
      <c r="M2294" s="327"/>
      <c r="N2294" s="327"/>
      <c r="O2294" s="1129"/>
    </row>
    <row r="2295" spans="1:15" ht="18.75" customHeight="1" x14ac:dyDescent="0.3">
      <c r="A2295" s="2402">
        <v>2289</v>
      </c>
      <c r="B2295" s="1130" t="s">
        <v>3431</v>
      </c>
      <c r="C2295" s="216" t="s">
        <v>1344</v>
      </c>
      <c r="D2295" s="416" t="s">
        <v>560</v>
      </c>
      <c r="E2295" s="217" t="s">
        <v>3434</v>
      </c>
      <c r="F2295" s="218" t="s">
        <v>3329</v>
      </c>
      <c r="G2295" s="568">
        <v>10571.6</v>
      </c>
      <c r="H2295" s="1776" t="s">
        <v>1349</v>
      </c>
      <c r="I2295" s="34" t="s">
        <v>25</v>
      </c>
      <c r="J2295" s="327"/>
      <c r="K2295" s="37"/>
      <c r="L2295" s="1128"/>
      <c r="M2295" s="327"/>
      <c r="N2295" s="327"/>
      <c r="O2295" s="1129"/>
    </row>
    <row r="2296" spans="1:15" ht="18.75" customHeight="1" x14ac:dyDescent="0.3">
      <c r="A2296" s="2402">
        <v>2290</v>
      </c>
      <c r="B2296" s="1130" t="s">
        <v>3431</v>
      </c>
      <c r="C2296" s="216" t="s">
        <v>1344</v>
      </c>
      <c r="D2296" s="416" t="s">
        <v>560</v>
      </c>
      <c r="E2296" s="217" t="s">
        <v>3435</v>
      </c>
      <c r="F2296" s="218" t="s">
        <v>3329</v>
      </c>
      <c r="G2296" s="568">
        <v>10571.6</v>
      </c>
      <c r="H2296" s="1776" t="s">
        <v>1349</v>
      </c>
      <c r="I2296" s="34" t="s">
        <v>25</v>
      </c>
      <c r="J2296" s="327"/>
      <c r="K2296" s="37"/>
      <c r="L2296" s="1128"/>
      <c r="M2296" s="327"/>
      <c r="N2296" s="327"/>
      <c r="O2296" s="1129"/>
    </row>
    <row r="2297" spans="1:15" ht="18.75" customHeight="1" x14ac:dyDescent="0.3">
      <c r="A2297" s="2401">
        <v>2291</v>
      </c>
      <c r="B2297" s="1130" t="s">
        <v>3431</v>
      </c>
      <c r="C2297" s="216" t="s">
        <v>1344</v>
      </c>
      <c r="D2297" s="416" t="s">
        <v>560</v>
      </c>
      <c r="E2297" s="217" t="s">
        <v>3436</v>
      </c>
      <c r="F2297" s="218" t="s">
        <v>3329</v>
      </c>
      <c r="G2297" s="568">
        <v>10571.6</v>
      </c>
      <c r="H2297" s="1776" t="s">
        <v>1349</v>
      </c>
      <c r="I2297" s="34" t="s">
        <v>25</v>
      </c>
      <c r="J2297" s="327"/>
      <c r="K2297" s="37"/>
      <c r="L2297" s="1128"/>
      <c r="M2297" s="327"/>
      <c r="N2297" s="327"/>
      <c r="O2297" s="1129"/>
    </row>
    <row r="2298" spans="1:15" ht="18.75" customHeight="1" x14ac:dyDescent="0.3">
      <c r="A2298" s="2402">
        <v>2292</v>
      </c>
      <c r="B2298" s="1130" t="s">
        <v>3431</v>
      </c>
      <c r="C2298" s="216" t="s">
        <v>1344</v>
      </c>
      <c r="D2298" s="416" t="s">
        <v>560</v>
      </c>
      <c r="E2298" s="217" t="s">
        <v>3437</v>
      </c>
      <c r="F2298" s="218" t="s">
        <v>3329</v>
      </c>
      <c r="G2298" s="568">
        <v>10571.6</v>
      </c>
      <c r="H2298" s="1776" t="s">
        <v>1349</v>
      </c>
      <c r="I2298" s="34" t="s">
        <v>25</v>
      </c>
      <c r="J2298" s="327"/>
      <c r="K2298" s="37"/>
      <c r="L2298" s="1128"/>
      <c r="M2298" s="327"/>
      <c r="N2298" s="327"/>
      <c r="O2298" s="1129"/>
    </row>
    <row r="2299" spans="1:15" ht="18.75" customHeight="1" x14ac:dyDescent="0.3">
      <c r="A2299" s="2402">
        <v>2293</v>
      </c>
      <c r="B2299" s="1130" t="s">
        <v>3431</v>
      </c>
      <c r="C2299" s="216" t="s">
        <v>1344</v>
      </c>
      <c r="D2299" s="416" t="s">
        <v>560</v>
      </c>
      <c r="E2299" s="217" t="s">
        <v>3438</v>
      </c>
      <c r="F2299" s="218" t="s">
        <v>3329</v>
      </c>
      <c r="G2299" s="568">
        <v>10571.6</v>
      </c>
      <c r="H2299" s="1776" t="s">
        <v>1349</v>
      </c>
      <c r="I2299" s="34" t="s">
        <v>25</v>
      </c>
      <c r="J2299" s="327"/>
      <c r="K2299" s="37"/>
      <c r="L2299" s="1128"/>
      <c r="M2299" s="327"/>
      <c r="N2299" s="327"/>
      <c r="O2299" s="1129"/>
    </row>
    <row r="2300" spans="1:15" ht="18.75" customHeight="1" x14ac:dyDescent="0.3">
      <c r="A2300" s="2402">
        <v>2294</v>
      </c>
      <c r="B2300" s="1130" t="s">
        <v>3431</v>
      </c>
      <c r="C2300" s="216" t="s">
        <v>1344</v>
      </c>
      <c r="D2300" s="416" t="s">
        <v>560</v>
      </c>
      <c r="E2300" s="217" t="s">
        <v>3439</v>
      </c>
      <c r="F2300" s="218" t="s">
        <v>3329</v>
      </c>
      <c r="G2300" s="568">
        <v>10571.6</v>
      </c>
      <c r="H2300" s="1776" t="s">
        <v>1349</v>
      </c>
      <c r="I2300" s="34" t="s">
        <v>25</v>
      </c>
      <c r="J2300" s="327"/>
      <c r="K2300" s="37"/>
      <c r="L2300" s="1128"/>
      <c r="M2300" s="327"/>
      <c r="N2300" s="327"/>
      <c r="O2300" s="1129"/>
    </row>
    <row r="2301" spans="1:15" ht="18.75" customHeight="1" x14ac:dyDescent="0.3">
      <c r="A2301" s="2402">
        <v>2295</v>
      </c>
      <c r="B2301" s="1130" t="s">
        <v>3431</v>
      </c>
      <c r="C2301" s="216" t="s">
        <v>1344</v>
      </c>
      <c r="D2301" s="416" t="s">
        <v>560</v>
      </c>
      <c r="E2301" s="217" t="s">
        <v>3440</v>
      </c>
      <c r="F2301" s="218" t="s">
        <v>3329</v>
      </c>
      <c r="G2301" s="568">
        <v>10571.6</v>
      </c>
      <c r="H2301" s="1776" t="s">
        <v>1349</v>
      </c>
      <c r="I2301" s="34" t="s">
        <v>25</v>
      </c>
      <c r="J2301" s="327"/>
      <c r="K2301" s="37"/>
      <c r="L2301" s="1128"/>
      <c r="M2301" s="327"/>
      <c r="N2301" s="327"/>
      <c r="O2301" s="1129"/>
    </row>
    <row r="2302" spans="1:15" ht="18.75" customHeight="1" x14ac:dyDescent="0.3">
      <c r="A2302" s="2401">
        <v>2296</v>
      </c>
      <c r="B2302" s="1130" t="s">
        <v>3431</v>
      </c>
      <c r="C2302" s="216" t="s">
        <v>1344</v>
      </c>
      <c r="D2302" s="416" t="s">
        <v>560</v>
      </c>
      <c r="E2302" s="217" t="s">
        <v>3441</v>
      </c>
      <c r="F2302" s="218" t="s">
        <v>3329</v>
      </c>
      <c r="G2302" s="568">
        <v>10571.6</v>
      </c>
      <c r="H2302" s="1776" t="s">
        <v>1349</v>
      </c>
      <c r="I2302" s="34" t="s">
        <v>25</v>
      </c>
      <c r="J2302" s="327"/>
      <c r="K2302" s="37"/>
      <c r="L2302" s="1128"/>
      <c r="M2302" s="327"/>
      <c r="N2302" s="327"/>
      <c r="O2302" s="1129"/>
    </row>
    <row r="2303" spans="1:15" ht="18.75" customHeight="1" x14ac:dyDescent="0.3">
      <c r="A2303" s="2402">
        <v>2297</v>
      </c>
      <c r="B2303" s="1130" t="s">
        <v>3431</v>
      </c>
      <c r="C2303" s="216" t="s">
        <v>1344</v>
      </c>
      <c r="D2303" s="416" t="s">
        <v>560</v>
      </c>
      <c r="E2303" s="217" t="s">
        <v>3442</v>
      </c>
      <c r="F2303" s="218" t="s">
        <v>3329</v>
      </c>
      <c r="G2303" s="568">
        <v>10571.6</v>
      </c>
      <c r="H2303" s="1776" t="s">
        <v>1349</v>
      </c>
      <c r="I2303" s="34" t="s">
        <v>25</v>
      </c>
      <c r="J2303" s="327"/>
      <c r="K2303" s="37"/>
      <c r="L2303" s="1128"/>
      <c r="M2303" s="327"/>
      <c r="N2303" s="327"/>
      <c r="O2303" s="1129"/>
    </row>
    <row r="2304" spans="1:15" ht="18.75" customHeight="1" x14ac:dyDescent="0.3">
      <c r="A2304" s="2402">
        <v>2298</v>
      </c>
      <c r="B2304" s="1130" t="s">
        <v>3431</v>
      </c>
      <c r="C2304" s="216" t="s">
        <v>1344</v>
      </c>
      <c r="D2304" s="416" t="s">
        <v>560</v>
      </c>
      <c r="E2304" s="217" t="s">
        <v>3443</v>
      </c>
      <c r="F2304" s="218" t="s">
        <v>3329</v>
      </c>
      <c r="G2304" s="568">
        <v>10571.6</v>
      </c>
      <c r="H2304" s="1776" t="s">
        <v>1349</v>
      </c>
      <c r="I2304" s="34" t="s">
        <v>25</v>
      </c>
      <c r="J2304" s="327"/>
      <c r="K2304" s="37"/>
      <c r="L2304" s="1128"/>
      <c r="M2304" s="327"/>
      <c r="N2304" s="327"/>
      <c r="O2304" s="1129"/>
    </row>
    <row r="2305" spans="1:15" ht="18.75" customHeight="1" x14ac:dyDescent="0.3">
      <c r="A2305" s="2401">
        <v>2299</v>
      </c>
      <c r="B2305" s="1130" t="s">
        <v>3431</v>
      </c>
      <c r="C2305" s="216" t="s">
        <v>1344</v>
      </c>
      <c r="D2305" s="416" t="s">
        <v>560</v>
      </c>
      <c r="E2305" s="217" t="s">
        <v>3444</v>
      </c>
      <c r="F2305" s="218" t="s">
        <v>3329</v>
      </c>
      <c r="G2305" s="568">
        <v>10571.6</v>
      </c>
      <c r="H2305" s="1776" t="s">
        <v>1349</v>
      </c>
      <c r="I2305" s="34" t="s">
        <v>25</v>
      </c>
      <c r="J2305" s="327"/>
      <c r="K2305" s="37"/>
      <c r="L2305" s="1128"/>
      <c r="M2305" s="327"/>
      <c r="N2305" s="327"/>
      <c r="O2305" s="1129"/>
    </row>
    <row r="2306" spans="1:15" ht="18.75" customHeight="1" x14ac:dyDescent="0.3">
      <c r="A2306" s="2402">
        <v>2300</v>
      </c>
      <c r="B2306" s="1130" t="s">
        <v>3431</v>
      </c>
      <c r="C2306" s="216" t="s">
        <v>1344</v>
      </c>
      <c r="D2306" s="452" t="s">
        <v>560</v>
      </c>
      <c r="E2306" s="217" t="s">
        <v>3445</v>
      </c>
      <c r="F2306" s="218" t="s">
        <v>3329</v>
      </c>
      <c r="G2306" s="568">
        <v>10571.6</v>
      </c>
      <c r="H2306" s="1776" t="s">
        <v>1349</v>
      </c>
      <c r="I2306" s="34" t="s">
        <v>25</v>
      </c>
      <c r="J2306" s="327"/>
      <c r="K2306" s="37"/>
      <c r="L2306" s="1128"/>
      <c r="M2306" s="327"/>
      <c r="N2306" s="327"/>
      <c r="O2306" s="1129"/>
    </row>
    <row r="2307" spans="1:15" ht="18.75" customHeight="1" x14ac:dyDescent="0.3">
      <c r="A2307" s="2402">
        <v>2301</v>
      </c>
      <c r="B2307" s="1130" t="s">
        <v>3431</v>
      </c>
      <c r="C2307" s="216" t="s">
        <v>1344</v>
      </c>
      <c r="D2307" s="495" t="s">
        <v>560</v>
      </c>
      <c r="E2307" s="217" t="s">
        <v>3446</v>
      </c>
      <c r="F2307" s="218" t="s">
        <v>3329</v>
      </c>
      <c r="G2307" s="568">
        <v>10571.6</v>
      </c>
      <c r="H2307" s="1776" t="s">
        <v>1349</v>
      </c>
      <c r="I2307" s="34" t="s">
        <v>25</v>
      </c>
      <c r="J2307" s="327"/>
      <c r="K2307" s="37"/>
      <c r="L2307" s="1128"/>
      <c r="M2307" s="327"/>
      <c r="N2307" s="327"/>
      <c r="O2307" s="1129"/>
    </row>
    <row r="2308" spans="1:15" ht="18.75" customHeight="1" x14ac:dyDescent="0.3">
      <c r="A2308" s="2402">
        <v>2302</v>
      </c>
      <c r="B2308" s="1130" t="s">
        <v>3431</v>
      </c>
      <c r="C2308" s="216" t="s">
        <v>1344</v>
      </c>
      <c r="D2308" s="793" t="s">
        <v>560</v>
      </c>
      <c r="E2308" s="217" t="s">
        <v>3447</v>
      </c>
      <c r="F2308" s="218" t="s">
        <v>3329</v>
      </c>
      <c r="G2308" s="568">
        <v>10571.6</v>
      </c>
      <c r="H2308" s="1776" t="s">
        <v>1349</v>
      </c>
      <c r="I2308" s="34" t="s">
        <v>25</v>
      </c>
      <c r="J2308" s="327"/>
      <c r="K2308" s="37"/>
      <c r="L2308" s="1128"/>
      <c r="M2308" s="327"/>
      <c r="N2308" s="327"/>
      <c r="O2308" s="1129"/>
    </row>
    <row r="2309" spans="1:15" ht="18.75" customHeight="1" x14ac:dyDescent="0.3">
      <c r="A2309" s="2402">
        <v>2303</v>
      </c>
      <c r="B2309" s="1130" t="s">
        <v>3431</v>
      </c>
      <c r="C2309" s="216" t="s">
        <v>1344</v>
      </c>
      <c r="D2309" s="416" t="s">
        <v>560</v>
      </c>
      <c r="E2309" s="217" t="s">
        <v>3448</v>
      </c>
      <c r="F2309" s="218" t="s">
        <v>3329</v>
      </c>
      <c r="G2309" s="568">
        <v>10571.6</v>
      </c>
      <c r="H2309" s="1776" t="s">
        <v>1349</v>
      </c>
      <c r="I2309" s="34" t="s">
        <v>25</v>
      </c>
      <c r="J2309" s="327"/>
      <c r="K2309" s="37"/>
      <c r="L2309" s="1128"/>
      <c r="M2309" s="327"/>
      <c r="N2309" s="327"/>
      <c r="O2309" s="1129"/>
    </row>
    <row r="2310" spans="1:15" ht="18.75" customHeight="1" x14ac:dyDescent="0.3">
      <c r="A2310" s="2401">
        <v>2304</v>
      </c>
      <c r="B2310" s="1130" t="s">
        <v>3431</v>
      </c>
      <c r="C2310" s="216" t="s">
        <v>1344</v>
      </c>
      <c r="D2310" s="416" t="s">
        <v>560</v>
      </c>
      <c r="E2310" s="217" t="s">
        <v>3449</v>
      </c>
      <c r="F2310" s="218" t="s">
        <v>3329</v>
      </c>
      <c r="G2310" s="568">
        <v>10571.6</v>
      </c>
      <c r="H2310" s="1776" t="s">
        <v>1349</v>
      </c>
      <c r="I2310" s="34" t="s">
        <v>25</v>
      </c>
      <c r="J2310" s="327"/>
      <c r="K2310" s="37"/>
      <c r="L2310" s="1128"/>
      <c r="M2310" s="327"/>
      <c r="N2310" s="327"/>
      <c r="O2310" s="1129"/>
    </row>
    <row r="2311" spans="1:15" ht="18.75" customHeight="1" x14ac:dyDescent="0.3">
      <c r="A2311" s="2402">
        <v>2305</v>
      </c>
      <c r="B2311" s="1130" t="s">
        <v>3425</v>
      </c>
      <c r="C2311" s="216" t="s">
        <v>1344</v>
      </c>
      <c r="D2311" s="416" t="s">
        <v>560</v>
      </c>
      <c r="E2311" s="217" t="s">
        <v>3450</v>
      </c>
      <c r="F2311" s="218" t="s">
        <v>3329</v>
      </c>
      <c r="G2311" s="568">
        <v>22577</v>
      </c>
      <c r="H2311" s="1776" t="s">
        <v>1349</v>
      </c>
      <c r="I2311" s="34" t="s">
        <v>25</v>
      </c>
      <c r="J2311" s="327"/>
      <c r="K2311" s="37"/>
      <c r="L2311" s="1128"/>
      <c r="M2311" s="327"/>
      <c r="N2311" s="327"/>
      <c r="O2311" s="1129"/>
    </row>
    <row r="2312" spans="1:15" ht="18.75" customHeight="1" x14ac:dyDescent="0.3">
      <c r="A2312" s="2402">
        <v>2306</v>
      </c>
      <c r="B2312" s="1130" t="s">
        <v>3421</v>
      </c>
      <c r="C2312" s="216" t="s">
        <v>1344</v>
      </c>
      <c r="D2312" s="416" t="s">
        <v>560</v>
      </c>
      <c r="E2312" s="217" t="s">
        <v>3451</v>
      </c>
      <c r="F2312" s="218" t="s">
        <v>3329</v>
      </c>
      <c r="G2312" s="568">
        <v>28973.62</v>
      </c>
      <c r="H2312" s="1776" t="s">
        <v>1349</v>
      </c>
      <c r="I2312" s="34" t="s">
        <v>25</v>
      </c>
      <c r="J2312" s="327"/>
      <c r="K2312" s="37"/>
      <c r="L2312" s="1128"/>
      <c r="M2312" s="327"/>
      <c r="N2312" s="327"/>
      <c r="O2312" s="1129"/>
    </row>
    <row r="2313" spans="1:15" ht="18.75" customHeight="1" x14ac:dyDescent="0.3">
      <c r="A2313" s="2401">
        <v>2307</v>
      </c>
      <c r="B2313" s="1130" t="s">
        <v>3425</v>
      </c>
      <c r="C2313" s="216" t="s">
        <v>1344</v>
      </c>
      <c r="D2313" s="416" t="s">
        <v>560</v>
      </c>
      <c r="E2313" s="217" t="s">
        <v>3452</v>
      </c>
      <c r="F2313" s="218" t="s">
        <v>3329</v>
      </c>
      <c r="G2313" s="568">
        <v>22577</v>
      </c>
      <c r="H2313" s="1776" t="s">
        <v>1349</v>
      </c>
      <c r="I2313" s="34" t="s">
        <v>25</v>
      </c>
      <c r="J2313" s="327"/>
      <c r="K2313" s="37"/>
      <c r="L2313" s="1128"/>
      <c r="M2313" s="327"/>
      <c r="N2313" s="327"/>
      <c r="O2313" s="1129"/>
    </row>
    <row r="2314" spans="1:15" ht="18.75" customHeight="1" x14ac:dyDescent="0.3">
      <c r="A2314" s="2402">
        <v>2308</v>
      </c>
      <c r="B2314" s="1130" t="s">
        <v>3425</v>
      </c>
      <c r="C2314" s="216" t="s">
        <v>1344</v>
      </c>
      <c r="D2314" s="416" t="s">
        <v>560</v>
      </c>
      <c r="E2314" s="217" t="s">
        <v>3453</v>
      </c>
      <c r="F2314" s="218" t="s">
        <v>3329</v>
      </c>
      <c r="G2314" s="568">
        <v>22577</v>
      </c>
      <c r="H2314" s="1776" t="s">
        <v>1349</v>
      </c>
      <c r="I2314" s="34" t="s">
        <v>25</v>
      </c>
      <c r="J2314" s="327"/>
      <c r="K2314" s="37"/>
      <c r="L2314" s="1128"/>
      <c r="M2314" s="327"/>
      <c r="N2314" s="327"/>
      <c r="O2314" s="1129"/>
    </row>
    <row r="2315" spans="1:15" ht="18.75" customHeight="1" x14ac:dyDescent="0.3">
      <c r="A2315" s="2402">
        <v>2309</v>
      </c>
      <c r="B2315" s="1130" t="s">
        <v>3421</v>
      </c>
      <c r="C2315" s="216" t="s">
        <v>1344</v>
      </c>
      <c r="D2315" s="416" t="s">
        <v>560</v>
      </c>
      <c r="E2315" s="217" t="s">
        <v>3454</v>
      </c>
      <c r="F2315" s="218" t="s">
        <v>3329</v>
      </c>
      <c r="G2315" s="568">
        <v>28973.62</v>
      </c>
      <c r="H2315" s="1776" t="s">
        <v>1349</v>
      </c>
      <c r="I2315" s="34" t="s">
        <v>25</v>
      </c>
      <c r="J2315" s="327"/>
      <c r="K2315" s="37"/>
      <c r="L2315" s="1128"/>
      <c r="M2315" s="327"/>
      <c r="N2315" s="327"/>
      <c r="O2315" s="1129"/>
    </row>
    <row r="2316" spans="1:15" ht="18.75" customHeight="1" x14ac:dyDescent="0.3">
      <c r="A2316" s="2402">
        <v>2310</v>
      </c>
      <c r="B2316" s="1130" t="s">
        <v>3421</v>
      </c>
      <c r="C2316" s="216" t="s">
        <v>1344</v>
      </c>
      <c r="D2316" s="416" t="s">
        <v>560</v>
      </c>
      <c r="E2316" s="217" t="s">
        <v>3455</v>
      </c>
      <c r="F2316" s="218" t="s">
        <v>3329</v>
      </c>
      <c r="G2316" s="568">
        <v>28973.62</v>
      </c>
      <c r="H2316" s="1776" t="s">
        <v>1349</v>
      </c>
      <c r="I2316" s="34" t="s">
        <v>25</v>
      </c>
      <c r="J2316" s="327"/>
      <c r="K2316" s="37"/>
      <c r="L2316" s="1128"/>
      <c r="M2316" s="327"/>
      <c r="N2316" s="327"/>
      <c r="O2316" s="1129"/>
    </row>
    <row r="2317" spans="1:15" ht="18.75" customHeight="1" x14ac:dyDescent="0.3">
      <c r="A2317" s="2402">
        <v>2311</v>
      </c>
      <c r="B2317" s="1130" t="s">
        <v>3421</v>
      </c>
      <c r="C2317" s="216" t="s">
        <v>1344</v>
      </c>
      <c r="D2317" s="416" t="s">
        <v>560</v>
      </c>
      <c r="E2317" s="217" t="s">
        <v>3456</v>
      </c>
      <c r="F2317" s="218" t="s">
        <v>3329</v>
      </c>
      <c r="G2317" s="568">
        <v>28973.62</v>
      </c>
      <c r="H2317" s="1776" t="s">
        <v>1349</v>
      </c>
      <c r="I2317" s="34" t="s">
        <v>25</v>
      </c>
      <c r="J2317" s="327"/>
      <c r="K2317" s="37"/>
      <c r="L2317" s="1128"/>
      <c r="M2317" s="327"/>
      <c r="N2317" s="327"/>
      <c r="O2317" s="1129"/>
    </row>
    <row r="2318" spans="1:15" ht="18.75" customHeight="1" x14ac:dyDescent="0.3">
      <c r="A2318" s="2401">
        <v>2312</v>
      </c>
      <c r="B2318" s="1130" t="s">
        <v>3421</v>
      </c>
      <c r="C2318" s="216" t="s">
        <v>1344</v>
      </c>
      <c r="D2318" s="416" t="s">
        <v>560</v>
      </c>
      <c r="E2318" s="217" t="s">
        <v>3457</v>
      </c>
      <c r="F2318" s="218" t="s">
        <v>3329</v>
      </c>
      <c r="G2318" s="568">
        <v>28973.62</v>
      </c>
      <c r="H2318" s="1776" t="s">
        <v>1349</v>
      </c>
      <c r="I2318" s="34" t="s">
        <v>25</v>
      </c>
      <c r="J2318" s="327"/>
      <c r="K2318" s="37"/>
      <c r="L2318" s="1128"/>
      <c r="M2318" s="327"/>
      <c r="N2318" s="327"/>
      <c r="O2318" s="1129"/>
    </row>
    <row r="2319" spans="1:15" ht="18.75" customHeight="1" x14ac:dyDescent="0.3">
      <c r="A2319" s="2402">
        <v>2313</v>
      </c>
      <c r="B2319" s="1130" t="s">
        <v>3421</v>
      </c>
      <c r="C2319" s="216" t="s">
        <v>1344</v>
      </c>
      <c r="D2319" s="416" t="s">
        <v>560</v>
      </c>
      <c r="E2319" s="217" t="s">
        <v>3458</v>
      </c>
      <c r="F2319" s="218" t="s">
        <v>3329</v>
      </c>
      <c r="G2319" s="568">
        <v>28973.62</v>
      </c>
      <c r="H2319" s="1776" t="s">
        <v>1349</v>
      </c>
      <c r="I2319" s="34" t="s">
        <v>25</v>
      </c>
      <c r="J2319" s="327"/>
      <c r="K2319" s="37"/>
      <c r="L2319" s="1128"/>
      <c r="M2319" s="327"/>
      <c r="N2319" s="327"/>
      <c r="O2319" s="1129"/>
    </row>
    <row r="2320" spans="1:15" ht="18.75" customHeight="1" x14ac:dyDescent="0.3">
      <c r="A2320" s="2402">
        <v>2314</v>
      </c>
      <c r="B2320" s="1130" t="s">
        <v>3421</v>
      </c>
      <c r="C2320" s="216" t="s">
        <v>1344</v>
      </c>
      <c r="D2320" s="416" t="s">
        <v>560</v>
      </c>
      <c r="E2320" s="217" t="s">
        <v>3459</v>
      </c>
      <c r="F2320" s="218" t="s">
        <v>3329</v>
      </c>
      <c r="G2320" s="568">
        <v>28973.62</v>
      </c>
      <c r="H2320" s="1776" t="s">
        <v>1349</v>
      </c>
      <c r="I2320" s="34" t="s">
        <v>25</v>
      </c>
      <c r="J2320" s="327"/>
      <c r="K2320" s="37"/>
      <c r="L2320" s="1128"/>
      <c r="M2320" s="327"/>
      <c r="N2320" s="327"/>
      <c r="O2320" s="1129"/>
    </row>
    <row r="2321" spans="1:15" ht="18.75" customHeight="1" x14ac:dyDescent="0.3">
      <c r="A2321" s="2401">
        <v>2315</v>
      </c>
      <c r="B2321" s="1130" t="s">
        <v>3425</v>
      </c>
      <c r="C2321" s="216" t="s">
        <v>1344</v>
      </c>
      <c r="D2321" s="416" t="s">
        <v>560</v>
      </c>
      <c r="E2321" s="217" t="s">
        <v>3460</v>
      </c>
      <c r="F2321" s="218" t="s">
        <v>3329</v>
      </c>
      <c r="G2321" s="568">
        <v>22577</v>
      </c>
      <c r="H2321" s="1776" t="s">
        <v>1349</v>
      </c>
      <c r="I2321" s="34" t="s">
        <v>25</v>
      </c>
      <c r="J2321" s="327"/>
      <c r="K2321" s="37"/>
      <c r="L2321" s="1128"/>
      <c r="M2321" s="327"/>
      <c r="N2321" s="327"/>
      <c r="O2321" s="1129"/>
    </row>
    <row r="2322" spans="1:15" ht="18.75" customHeight="1" x14ac:dyDescent="0.3">
      <c r="A2322" s="2402">
        <v>2316</v>
      </c>
      <c r="B2322" s="1130" t="s">
        <v>3421</v>
      </c>
      <c r="C2322" s="216" t="s">
        <v>1344</v>
      </c>
      <c r="D2322" s="416" t="s">
        <v>560</v>
      </c>
      <c r="E2322" s="217" t="s">
        <v>3461</v>
      </c>
      <c r="F2322" s="218" t="s">
        <v>3329</v>
      </c>
      <c r="G2322" s="568">
        <v>28973.62</v>
      </c>
      <c r="H2322" s="1776" t="s">
        <v>1349</v>
      </c>
      <c r="I2322" s="34" t="s">
        <v>25</v>
      </c>
      <c r="J2322" s="327"/>
      <c r="K2322" s="37"/>
      <c r="L2322" s="1128"/>
      <c r="M2322" s="327"/>
      <c r="N2322" s="327"/>
      <c r="O2322" s="1129"/>
    </row>
    <row r="2323" spans="1:15" ht="18.75" customHeight="1" x14ac:dyDescent="0.3">
      <c r="A2323" s="2402">
        <v>2317</v>
      </c>
      <c r="B2323" s="1130" t="s">
        <v>3421</v>
      </c>
      <c r="C2323" s="216" t="s">
        <v>1344</v>
      </c>
      <c r="D2323" s="416" t="s">
        <v>560</v>
      </c>
      <c r="E2323" s="217" t="s">
        <v>3462</v>
      </c>
      <c r="F2323" s="218" t="s">
        <v>3329</v>
      </c>
      <c r="G2323" s="568">
        <v>28973.62</v>
      </c>
      <c r="H2323" s="1776" t="s">
        <v>1349</v>
      </c>
      <c r="I2323" s="34" t="s">
        <v>25</v>
      </c>
      <c r="J2323" s="327"/>
      <c r="K2323" s="37"/>
      <c r="L2323" s="1128"/>
      <c r="M2323" s="327"/>
      <c r="N2323" s="327"/>
      <c r="O2323" s="1129"/>
    </row>
    <row r="2324" spans="1:15" ht="18.75" customHeight="1" x14ac:dyDescent="0.3">
      <c r="A2324" s="2402">
        <v>2318</v>
      </c>
      <c r="B2324" s="1130" t="s">
        <v>3421</v>
      </c>
      <c r="C2324" s="216" t="s">
        <v>1344</v>
      </c>
      <c r="D2324" s="452" t="s">
        <v>560</v>
      </c>
      <c r="E2324" s="217" t="s">
        <v>3463</v>
      </c>
      <c r="F2324" s="218" t="s">
        <v>3329</v>
      </c>
      <c r="G2324" s="568">
        <v>28973.62</v>
      </c>
      <c r="H2324" s="1776" t="s">
        <v>1349</v>
      </c>
      <c r="I2324" s="34" t="s">
        <v>25</v>
      </c>
      <c r="J2324" s="327"/>
      <c r="K2324" s="37"/>
      <c r="L2324" s="1128"/>
      <c r="M2324" s="327"/>
      <c r="N2324" s="327"/>
      <c r="O2324" s="1129"/>
    </row>
    <row r="2325" spans="1:15" ht="18.75" customHeight="1" x14ac:dyDescent="0.3">
      <c r="A2325" s="2402">
        <v>2319</v>
      </c>
      <c r="B2325" s="1130" t="s">
        <v>3421</v>
      </c>
      <c r="C2325" s="216" t="s">
        <v>1344</v>
      </c>
      <c r="D2325" s="495" t="s">
        <v>560</v>
      </c>
      <c r="E2325" s="217" t="s">
        <v>3464</v>
      </c>
      <c r="F2325" s="218" t="s">
        <v>3329</v>
      </c>
      <c r="G2325" s="568">
        <v>28973.62</v>
      </c>
      <c r="H2325" s="1776" t="s">
        <v>1349</v>
      </c>
      <c r="I2325" s="34" t="s">
        <v>25</v>
      </c>
      <c r="J2325" s="327"/>
      <c r="K2325" s="37"/>
      <c r="L2325" s="1128"/>
      <c r="M2325" s="327"/>
      <c r="N2325" s="327"/>
      <c r="O2325" s="1129"/>
    </row>
    <row r="2326" spans="1:15" ht="18.75" customHeight="1" x14ac:dyDescent="0.3">
      <c r="A2326" s="2401">
        <v>2320</v>
      </c>
      <c r="B2326" s="1130" t="s">
        <v>3421</v>
      </c>
      <c r="C2326" s="216" t="s">
        <v>1344</v>
      </c>
      <c r="D2326" s="793" t="s">
        <v>560</v>
      </c>
      <c r="E2326" s="217" t="s">
        <v>3465</v>
      </c>
      <c r="F2326" s="218" t="s">
        <v>3329</v>
      </c>
      <c r="G2326" s="568">
        <v>28973.62</v>
      </c>
      <c r="H2326" s="1776" t="s">
        <v>1349</v>
      </c>
      <c r="I2326" s="34" t="s">
        <v>25</v>
      </c>
      <c r="J2326" s="327"/>
      <c r="K2326" s="37"/>
      <c r="L2326" s="1128"/>
      <c r="M2326" s="327"/>
      <c r="N2326" s="327"/>
      <c r="O2326" s="1129"/>
    </row>
    <row r="2327" spans="1:15" ht="18.75" customHeight="1" x14ac:dyDescent="0.3">
      <c r="A2327" s="2402">
        <v>2321</v>
      </c>
      <c r="B2327" s="1130" t="s">
        <v>3421</v>
      </c>
      <c r="C2327" s="216" t="s">
        <v>1344</v>
      </c>
      <c r="D2327" s="416" t="s">
        <v>560</v>
      </c>
      <c r="E2327" s="217" t="s">
        <v>3466</v>
      </c>
      <c r="F2327" s="218" t="s">
        <v>3329</v>
      </c>
      <c r="G2327" s="568">
        <v>28973.62</v>
      </c>
      <c r="H2327" s="1776" t="s">
        <v>1349</v>
      </c>
      <c r="I2327" s="34" t="s">
        <v>25</v>
      </c>
      <c r="J2327" s="327"/>
      <c r="K2327" s="37"/>
      <c r="L2327" s="1128"/>
      <c r="M2327" s="327"/>
      <c r="N2327" s="327"/>
      <c r="O2327" s="1129"/>
    </row>
    <row r="2328" spans="1:15" ht="18.75" customHeight="1" x14ac:dyDescent="0.3">
      <c r="A2328" s="2402">
        <v>2322</v>
      </c>
      <c r="B2328" s="1130" t="s">
        <v>3421</v>
      </c>
      <c r="C2328" s="216" t="s">
        <v>1344</v>
      </c>
      <c r="D2328" s="416" t="s">
        <v>560</v>
      </c>
      <c r="E2328" s="217" t="s">
        <v>3467</v>
      </c>
      <c r="F2328" s="218" t="s">
        <v>3329</v>
      </c>
      <c r="G2328" s="568">
        <v>28973.62</v>
      </c>
      <c r="H2328" s="1776" t="s">
        <v>1349</v>
      </c>
      <c r="I2328" s="34" t="s">
        <v>25</v>
      </c>
      <c r="J2328" s="327"/>
      <c r="K2328" s="37"/>
      <c r="L2328" s="1128"/>
      <c r="M2328" s="327"/>
      <c r="N2328" s="327"/>
      <c r="O2328" s="1129"/>
    </row>
    <row r="2329" spans="1:15" ht="18.75" customHeight="1" x14ac:dyDescent="0.3">
      <c r="A2329" s="2401">
        <v>2323</v>
      </c>
      <c r="B2329" s="1130" t="s">
        <v>3421</v>
      </c>
      <c r="C2329" s="216" t="s">
        <v>1344</v>
      </c>
      <c r="D2329" s="416" t="s">
        <v>560</v>
      </c>
      <c r="E2329" s="217" t="s">
        <v>3468</v>
      </c>
      <c r="F2329" s="218" t="s">
        <v>3329</v>
      </c>
      <c r="G2329" s="568">
        <v>28973.62</v>
      </c>
      <c r="H2329" s="1776" t="s">
        <v>1349</v>
      </c>
      <c r="I2329" s="34" t="s">
        <v>25</v>
      </c>
      <c r="J2329" s="327"/>
      <c r="K2329" s="37"/>
      <c r="L2329" s="1128"/>
      <c r="M2329" s="327"/>
      <c r="N2329" s="327"/>
      <c r="O2329" s="1129"/>
    </row>
    <row r="2330" spans="1:15" ht="18.75" customHeight="1" x14ac:dyDescent="0.3">
      <c r="A2330" s="2402">
        <v>2324</v>
      </c>
      <c r="B2330" s="1130" t="s">
        <v>3421</v>
      </c>
      <c r="C2330" s="216" t="s">
        <v>1344</v>
      </c>
      <c r="D2330" s="416" t="s">
        <v>560</v>
      </c>
      <c r="E2330" s="217" t="s">
        <v>3469</v>
      </c>
      <c r="F2330" s="218" t="s">
        <v>3329</v>
      </c>
      <c r="G2330" s="568">
        <v>28973.62</v>
      </c>
      <c r="H2330" s="1776" t="s">
        <v>1349</v>
      </c>
      <c r="I2330" s="34" t="s">
        <v>25</v>
      </c>
      <c r="J2330" s="327"/>
      <c r="K2330" s="37"/>
      <c r="L2330" s="1128"/>
      <c r="M2330" s="327"/>
      <c r="N2330" s="327"/>
      <c r="O2330" s="1129"/>
    </row>
    <row r="2331" spans="1:15" ht="18.75" customHeight="1" x14ac:dyDescent="0.3">
      <c r="A2331" s="2402">
        <v>2325</v>
      </c>
      <c r="B2331" s="1130" t="s">
        <v>3421</v>
      </c>
      <c r="C2331" s="216" t="s">
        <v>1344</v>
      </c>
      <c r="D2331" s="416" t="s">
        <v>560</v>
      </c>
      <c r="E2331" s="217" t="s">
        <v>3470</v>
      </c>
      <c r="F2331" s="218" t="s">
        <v>3329</v>
      </c>
      <c r="G2331" s="568">
        <v>28973.62</v>
      </c>
      <c r="H2331" s="1776" t="s">
        <v>1349</v>
      </c>
      <c r="I2331" s="34" t="s">
        <v>25</v>
      </c>
      <c r="J2331" s="327"/>
      <c r="K2331" s="37"/>
      <c r="L2331" s="1128"/>
      <c r="M2331" s="327"/>
      <c r="N2331" s="327"/>
      <c r="O2331" s="1129"/>
    </row>
    <row r="2332" spans="1:15" ht="18.75" customHeight="1" x14ac:dyDescent="0.3">
      <c r="A2332" s="2402">
        <v>2326</v>
      </c>
      <c r="B2332" s="1130" t="s">
        <v>3421</v>
      </c>
      <c r="C2332" s="216" t="s">
        <v>1344</v>
      </c>
      <c r="D2332" s="416" t="s">
        <v>560</v>
      </c>
      <c r="E2332" s="217" t="s">
        <v>3471</v>
      </c>
      <c r="F2332" s="218" t="s">
        <v>3329</v>
      </c>
      <c r="G2332" s="568">
        <v>28973.62</v>
      </c>
      <c r="H2332" s="1776" t="s">
        <v>1349</v>
      </c>
      <c r="I2332" s="34" t="s">
        <v>25</v>
      </c>
      <c r="J2332" s="327"/>
      <c r="K2332" s="37"/>
      <c r="L2332" s="1128"/>
      <c r="M2332" s="327"/>
      <c r="N2332" s="327"/>
      <c r="O2332" s="1129"/>
    </row>
    <row r="2333" spans="1:15" ht="18.75" customHeight="1" x14ac:dyDescent="0.3">
      <c r="A2333" s="2402">
        <v>2327</v>
      </c>
      <c r="B2333" s="1130" t="s">
        <v>3421</v>
      </c>
      <c r="C2333" s="216" t="s">
        <v>1344</v>
      </c>
      <c r="D2333" s="416" t="s">
        <v>560</v>
      </c>
      <c r="E2333" s="217" t="s">
        <v>3472</v>
      </c>
      <c r="F2333" s="218" t="s">
        <v>3329</v>
      </c>
      <c r="G2333" s="568">
        <v>28973.62</v>
      </c>
      <c r="H2333" s="1776" t="s">
        <v>1349</v>
      </c>
      <c r="I2333" s="34" t="s">
        <v>25</v>
      </c>
      <c r="J2333" s="327"/>
      <c r="K2333" s="37"/>
      <c r="L2333" s="1128"/>
      <c r="M2333" s="327"/>
      <c r="N2333" s="327"/>
      <c r="O2333" s="1129"/>
    </row>
    <row r="2334" spans="1:15" ht="18.75" customHeight="1" x14ac:dyDescent="0.3">
      <c r="A2334" s="2401">
        <v>2328</v>
      </c>
      <c r="B2334" s="1130" t="s">
        <v>3421</v>
      </c>
      <c r="C2334" s="216" t="s">
        <v>1344</v>
      </c>
      <c r="D2334" s="416" t="s">
        <v>560</v>
      </c>
      <c r="E2334" s="217" t="s">
        <v>3473</v>
      </c>
      <c r="F2334" s="218" t="s">
        <v>3329</v>
      </c>
      <c r="G2334" s="568">
        <v>28973.62</v>
      </c>
      <c r="H2334" s="1776" t="s">
        <v>1349</v>
      </c>
      <c r="I2334" s="34" t="s">
        <v>25</v>
      </c>
      <c r="J2334" s="327"/>
      <c r="K2334" s="37"/>
      <c r="L2334" s="1128"/>
      <c r="M2334" s="327"/>
      <c r="N2334" s="327"/>
      <c r="O2334" s="1129"/>
    </row>
    <row r="2335" spans="1:15" ht="18.75" customHeight="1" x14ac:dyDescent="0.3">
      <c r="A2335" s="2402">
        <v>2329</v>
      </c>
      <c r="B2335" s="1130" t="s">
        <v>3421</v>
      </c>
      <c r="C2335" s="216" t="s">
        <v>1344</v>
      </c>
      <c r="D2335" s="416" t="s">
        <v>560</v>
      </c>
      <c r="E2335" s="217" t="s">
        <v>3474</v>
      </c>
      <c r="F2335" s="218" t="s">
        <v>3329</v>
      </c>
      <c r="G2335" s="568">
        <v>28973.62</v>
      </c>
      <c r="H2335" s="1776" t="s">
        <v>1349</v>
      </c>
      <c r="I2335" s="34" t="s">
        <v>25</v>
      </c>
      <c r="J2335" s="327"/>
      <c r="K2335" s="37"/>
      <c r="L2335" s="1128"/>
      <c r="M2335" s="327"/>
      <c r="N2335" s="327"/>
      <c r="O2335" s="1129"/>
    </row>
    <row r="2336" spans="1:15" ht="18.75" customHeight="1" x14ac:dyDescent="0.3">
      <c r="A2336" s="2402">
        <v>2330</v>
      </c>
      <c r="B2336" s="1130" t="s">
        <v>3421</v>
      </c>
      <c r="C2336" s="216" t="s">
        <v>1344</v>
      </c>
      <c r="D2336" s="416" t="s">
        <v>560</v>
      </c>
      <c r="E2336" s="217" t="s">
        <v>3475</v>
      </c>
      <c r="F2336" s="218" t="s">
        <v>3329</v>
      </c>
      <c r="G2336" s="568">
        <v>28973.62</v>
      </c>
      <c r="H2336" s="1776" t="s">
        <v>1349</v>
      </c>
      <c r="I2336" s="34" t="s">
        <v>25</v>
      </c>
      <c r="J2336" s="327"/>
      <c r="K2336" s="37"/>
      <c r="L2336" s="1128"/>
      <c r="M2336" s="327"/>
      <c r="N2336" s="327"/>
      <c r="O2336" s="1129"/>
    </row>
    <row r="2337" spans="1:15" ht="18.75" customHeight="1" x14ac:dyDescent="0.3">
      <c r="A2337" s="2401">
        <v>2331</v>
      </c>
      <c r="B2337" s="1130" t="s">
        <v>3421</v>
      </c>
      <c r="C2337" s="216" t="s">
        <v>1344</v>
      </c>
      <c r="D2337" s="416" t="s">
        <v>560</v>
      </c>
      <c r="E2337" s="217" t="s">
        <v>3476</v>
      </c>
      <c r="F2337" s="218" t="s">
        <v>3329</v>
      </c>
      <c r="G2337" s="568">
        <v>28973.62</v>
      </c>
      <c r="H2337" s="1776" t="s">
        <v>1349</v>
      </c>
      <c r="I2337" s="34" t="s">
        <v>25</v>
      </c>
      <c r="J2337" s="327"/>
      <c r="K2337" s="37"/>
      <c r="L2337" s="1128"/>
      <c r="M2337" s="327"/>
      <c r="N2337" s="327"/>
      <c r="O2337" s="1129"/>
    </row>
    <row r="2338" spans="1:15" ht="18.75" customHeight="1" x14ac:dyDescent="0.3">
      <c r="A2338" s="2402">
        <v>2332</v>
      </c>
      <c r="B2338" s="1130" t="s">
        <v>3421</v>
      </c>
      <c r="C2338" s="216" t="s">
        <v>1344</v>
      </c>
      <c r="D2338" s="416" t="s">
        <v>560</v>
      </c>
      <c r="E2338" s="217" t="s">
        <v>3477</v>
      </c>
      <c r="F2338" s="218" t="s">
        <v>3329</v>
      </c>
      <c r="G2338" s="568">
        <v>28973.62</v>
      </c>
      <c r="H2338" s="1776" t="s">
        <v>1349</v>
      </c>
      <c r="I2338" s="34" t="s">
        <v>25</v>
      </c>
      <c r="J2338" s="327"/>
      <c r="K2338" s="37"/>
      <c r="L2338" s="1128"/>
      <c r="M2338" s="327"/>
      <c r="N2338" s="327"/>
      <c r="O2338" s="1129"/>
    </row>
    <row r="2339" spans="1:15" ht="18.75" customHeight="1" x14ac:dyDescent="0.3">
      <c r="A2339" s="2402">
        <v>2333</v>
      </c>
      <c r="B2339" s="1130" t="s">
        <v>3421</v>
      </c>
      <c r="C2339" s="216" t="s">
        <v>1344</v>
      </c>
      <c r="D2339" s="416" t="s">
        <v>560</v>
      </c>
      <c r="E2339" s="217" t="s">
        <v>3478</v>
      </c>
      <c r="F2339" s="218" t="s">
        <v>3329</v>
      </c>
      <c r="G2339" s="568">
        <v>28973.62</v>
      </c>
      <c r="H2339" s="1776" t="s">
        <v>1349</v>
      </c>
      <c r="I2339" s="34" t="s">
        <v>25</v>
      </c>
      <c r="J2339" s="327"/>
      <c r="K2339" s="37"/>
      <c r="L2339" s="1128"/>
      <c r="M2339" s="327"/>
      <c r="N2339" s="327"/>
      <c r="O2339" s="1129"/>
    </row>
    <row r="2340" spans="1:15" ht="18.75" customHeight="1" x14ac:dyDescent="0.3">
      <c r="A2340" s="2402">
        <v>2334</v>
      </c>
      <c r="B2340" s="1130" t="s">
        <v>3479</v>
      </c>
      <c r="C2340" s="216" t="s">
        <v>1344</v>
      </c>
      <c r="D2340" s="416" t="s">
        <v>560</v>
      </c>
      <c r="E2340" s="217" t="s">
        <v>3480</v>
      </c>
      <c r="F2340" s="218" t="s">
        <v>3329</v>
      </c>
      <c r="G2340" s="568">
        <v>535608.4</v>
      </c>
      <c r="H2340" s="1776" t="s">
        <v>1349</v>
      </c>
      <c r="I2340" s="34" t="s">
        <v>25</v>
      </c>
      <c r="J2340" s="327"/>
      <c r="K2340" s="37"/>
      <c r="L2340" s="1128"/>
      <c r="M2340" s="327"/>
      <c r="N2340" s="327"/>
      <c r="O2340" s="1129"/>
    </row>
    <row r="2341" spans="1:15" ht="18.75" customHeight="1" x14ac:dyDescent="0.3">
      <c r="A2341" s="1113">
        <v>2335</v>
      </c>
      <c r="B2341" s="1139" t="s">
        <v>3481</v>
      </c>
      <c r="C2341" s="216" t="s">
        <v>1344</v>
      </c>
      <c r="D2341" s="452" t="s">
        <v>21</v>
      </c>
      <c r="E2341" s="217" t="s">
        <v>3482</v>
      </c>
      <c r="F2341" s="218" t="s">
        <v>3483</v>
      </c>
      <c r="G2341" s="805">
        <v>9095</v>
      </c>
      <c r="H2341" s="1777" t="s">
        <v>3484</v>
      </c>
      <c r="I2341" s="34" t="s">
        <v>25</v>
      </c>
      <c r="J2341" s="327"/>
      <c r="K2341" s="37"/>
      <c r="L2341" s="1128"/>
      <c r="M2341" s="327"/>
      <c r="N2341" s="327"/>
      <c r="O2341" s="1129"/>
    </row>
    <row r="2342" spans="1:15" ht="18.75" customHeight="1" x14ac:dyDescent="0.3">
      <c r="A2342" s="1118">
        <v>2336</v>
      </c>
      <c r="B2342" s="1139" t="s">
        <v>3481</v>
      </c>
      <c r="C2342" s="216" t="s">
        <v>1344</v>
      </c>
      <c r="D2342" s="793" t="s">
        <v>21</v>
      </c>
      <c r="E2342" s="217" t="s">
        <v>3485</v>
      </c>
      <c r="F2342" s="218" t="s">
        <v>3483</v>
      </c>
      <c r="G2342" s="805">
        <v>9095</v>
      </c>
      <c r="H2342" s="1777" t="s">
        <v>3484</v>
      </c>
      <c r="I2342" s="34" t="s">
        <v>25</v>
      </c>
      <c r="J2342" s="327"/>
      <c r="K2342" s="37"/>
      <c r="L2342" s="1128"/>
      <c r="M2342" s="327"/>
      <c r="N2342" s="327"/>
      <c r="O2342" s="1129"/>
    </row>
    <row r="2343" spans="1:15" ht="18.75" customHeight="1" x14ac:dyDescent="0.3">
      <c r="A2343" s="1113">
        <v>2337</v>
      </c>
      <c r="B2343" s="1139" t="s">
        <v>3481</v>
      </c>
      <c r="C2343" s="216" t="s">
        <v>1344</v>
      </c>
      <c r="D2343" s="416" t="s">
        <v>21</v>
      </c>
      <c r="E2343" s="217" t="s">
        <v>3486</v>
      </c>
      <c r="F2343" s="218" t="s">
        <v>3483</v>
      </c>
      <c r="G2343" s="805">
        <v>9095</v>
      </c>
      <c r="H2343" s="1777" t="s">
        <v>3484</v>
      </c>
      <c r="I2343" s="34" t="s">
        <v>25</v>
      </c>
      <c r="J2343" s="327"/>
      <c r="K2343" s="37"/>
      <c r="L2343" s="1128"/>
      <c r="M2343" s="327"/>
      <c r="N2343" s="327"/>
      <c r="O2343" s="1129"/>
    </row>
    <row r="2344" spans="1:15" ht="18.75" customHeight="1" x14ac:dyDescent="0.3">
      <c r="A2344" s="1113">
        <v>2338</v>
      </c>
      <c r="B2344" s="1139" t="s">
        <v>3481</v>
      </c>
      <c r="C2344" s="216" t="s">
        <v>1344</v>
      </c>
      <c r="D2344" s="416" t="s">
        <v>21</v>
      </c>
      <c r="E2344" s="217" t="s">
        <v>3487</v>
      </c>
      <c r="F2344" s="218" t="s">
        <v>3483</v>
      </c>
      <c r="G2344" s="805">
        <v>9095</v>
      </c>
      <c r="H2344" s="1777" t="s">
        <v>3484</v>
      </c>
      <c r="I2344" s="34" t="s">
        <v>25</v>
      </c>
      <c r="J2344" s="327"/>
      <c r="K2344" s="37"/>
      <c r="L2344" s="1128"/>
      <c r="M2344" s="327"/>
      <c r="N2344" s="327"/>
      <c r="O2344" s="1129"/>
    </row>
    <row r="2345" spans="1:15" ht="18.75" customHeight="1" x14ac:dyDescent="0.3">
      <c r="A2345" s="2401">
        <v>2339</v>
      </c>
      <c r="B2345" s="1139" t="s">
        <v>3481</v>
      </c>
      <c r="C2345" s="216" t="s">
        <v>1344</v>
      </c>
      <c r="D2345" s="416" t="s">
        <v>21</v>
      </c>
      <c r="E2345" s="217" t="s">
        <v>3488</v>
      </c>
      <c r="F2345" s="218" t="s">
        <v>3483</v>
      </c>
      <c r="G2345" s="805">
        <v>9095</v>
      </c>
      <c r="H2345" s="1777" t="s">
        <v>3484</v>
      </c>
      <c r="I2345" s="34" t="s">
        <v>25</v>
      </c>
      <c r="J2345" s="327"/>
      <c r="K2345" s="37"/>
      <c r="L2345" s="1128"/>
      <c r="M2345" s="327"/>
      <c r="N2345" s="327"/>
      <c r="O2345" s="1129"/>
    </row>
    <row r="2346" spans="1:15" ht="18.75" customHeight="1" x14ac:dyDescent="0.3">
      <c r="A2346" s="2402">
        <v>2340</v>
      </c>
      <c r="B2346" s="1139" t="s">
        <v>3481</v>
      </c>
      <c r="C2346" s="216" t="s">
        <v>1344</v>
      </c>
      <c r="D2346" s="416" t="s">
        <v>21</v>
      </c>
      <c r="E2346" s="217" t="s">
        <v>3489</v>
      </c>
      <c r="F2346" s="218" t="s">
        <v>3483</v>
      </c>
      <c r="G2346" s="805">
        <v>9095</v>
      </c>
      <c r="H2346" s="1777" t="s">
        <v>3484</v>
      </c>
      <c r="I2346" s="34" t="s">
        <v>25</v>
      </c>
      <c r="J2346" s="327"/>
      <c r="K2346" s="37"/>
      <c r="L2346" s="1128"/>
      <c r="M2346" s="327"/>
      <c r="N2346" s="327"/>
      <c r="O2346" s="1129"/>
    </row>
    <row r="2347" spans="1:15" ht="18.75" customHeight="1" x14ac:dyDescent="0.3">
      <c r="A2347" s="2402">
        <v>2341</v>
      </c>
      <c r="B2347" s="1139" t="s">
        <v>3481</v>
      </c>
      <c r="C2347" s="216" t="s">
        <v>1344</v>
      </c>
      <c r="D2347" s="416" t="s">
        <v>21</v>
      </c>
      <c r="E2347" s="217" t="s">
        <v>3490</v>
      </c>
      <c r="F2347" s="218" t="s">
        <v>3483</v>
      </c>
      <c r="G2347" s="805">
        <v>9095</v>
      </c>
      <c r="H2347" s="1777" t="s">
        <v>3484</v>
      </c>
      <c r="I2347" s="34" t="s">
        <v>25</v>
      </c>
      <c r="J2347" s="327"/>
      <c r="K2347" s="37"/>
      <c r="L2347" s="1128"/>
      <c r="M2347" s="327"/>
      <c r="N2347" s="327"/>
      <c r="O2347" s="1129"/>
    </row>
    <row r="2348" spans="1:15" ht="18.75" customHeight="1" x14ac:dyDescent="0.3">
      <c r="A2348" s="2402">
        <v>2342</v>
      </c>
      <c r="B2348" s="1139" t="s">
        <v>3481</v>
      </c>
      <c r="C2348" s="216" t="s">
        <v>1344</v>
      </c>
      <c r="D2348" s="416" t="s">
        <v>21</v>
      </c>
      <c r="E2348" s="217" t="s">
        <v>3491</v>
      </c>
      <c r="F2348" s="218" t="s">
        <v>3483</v>
      </c>
      <c r="G2348" s="805">
        <v>9095</v>
      </c>
      <c r="H2348" s="1777" t="s">
        <v>3484</v>
      </c>
      <c r="I2348" s="34" t="s">
        <v>25</v>
      </c>
      <c r="J2348" s="327"/>
      <c r="K2348" s="37"/>
      <c r="L2348" s="1128"/>
      <c r="M2348" s="327"/>
      <c r="N2348" s="327"/>
      <c r="O2348" s="1129"/>
    </row>
    <row r="2349" spans="1:15" ht="18.75" customHeight="1" x14ac:dyDescent="0.3">
      <c r="A2349" s="2402">
        <v>2343</v>
      </c>
      <c r="B2349" s="1139" t="s">
        <v>3481</v>
      </c>
      <c r="C2349" s="216" t="s">
        <v>1344</v>
      </c>
      <c r="D2349" s="416" t="s">
        <v>21</v>
      </c>
      <c r="E2349" s="217" t="s">
        <v>3492</v>
      </c>
      <c r="F2349" s="218" t="s">
        <v>3483</v>
      </c>
      <c r="G2349" s="805">
        <v>9095</v>
      </c>
      <c r="H2349" s="1777" t="s">
        <v>3484</v>
      </c>
      <c r="I2349" s="34" t="s">
        <v>25</v>
      </c>
      <c r="J2349" s="327"/>
      <c r="K2349" s="37"/>
      <c r="L2349" s="1128"/>
      <c r="M2349" s="327"/>
      <c r="N2349" s="327"/>
      <c r="O2349" s="1129"/>
    </row>
    <row r="2350" spans="1:15" ht="18.75" customHeight="1" x14ac:dyDescent="0.3">
      <c r="A2350" s="2401">
        <v>2344</v>
      </c>
      <c r="B2350" s="1139" t="s">
        <v>3481</v>
      </c>
      <c r="C2350" s="216" t="s">
        <v>1344</v>
      </c>
      <c r="D2350" s="416" t="s">
        <v>21</v>
      </c>
      <c r="E2350" s="217" t="s">
        <v>3493</v>
      </c>
      <c r="F2350" s="218" t="s">
        <v>3483</v>
      </c>
      <c r="G2350" s="805">
        <v>9095</v>
      </c>
      <c r="H2350" s="1777" t="s">
        <v>3484</v>
      </c>
      <c r="I2350" s="34" t="s">
        <v>25</v>
      </c>
      <c r="J2350" s="327"/>
      <c r="K2350" s="37"/>
      <c r="L2350" s="1128"/>
      <c r="M2350" s="327"/>
      <c r="N2350" s="327"/>
      <c r="O2350" s="1129"/>
    </row>
    <row r="2351" spans="1:15" ht="18.75" customHeight="1" x14ac:dyDescent="0.3">
      <c r="A2351" s="2402">
        <v>2345</v>
      </c>
      <c r="B2351" s="1139" t="s">
        <v>3481</v>
      </c>
      <c r="C2351" s="216" t="s">
        <v>1344</v>
      </c>
      <c r="D2351" s="416" t="s">
        <v>21</v>
      </c>
      <c r="E2351" s="217" t="s">
        <v>3494</v>
      </c>
      <c r="F2351" s="218" t="s">
        <v>3483</v>
      </c>
      <c r="G2351" s="805">
        <v>9095</v>
      </c>
      <c r="H2351" s="1777" t="s">
        <v>3484</v>
      </c>
      <c r="I2351" s="34" t="s">
        <v>25</v>
      </c>
      <c r="J2351" s="327"/>
      <c r="K2351" s="37"/>
      <c r="L2351" s="1128"/>
      <c r="M2351" s="327"/>
      <c r="N2351" s="327"/>
      <c r="O2351" s="1129"/>
    </row>
    <row r="2352" spans="1:15" ht="18.75" customHeight="1" x14ac:dyDescent="0.3">
      <c r="A2352" s="2402">
        <v>2346</v>
      </c>
      <c r="B2352" s="1139" t="s">
        <v>3481</v>
      </c>
      <c r="C2352" s="216" t="s">
        <v>1344</v>
      </c>
      <c r="D2352" s="416" t="s">
        <v>21</v>
      </c>
      <c r="E2352" s="217" t="s">
        <v>3495</v>
      </c>
      <c r="F2352" s="218" t="s">
        <v>3483</v>
      </c>
      <c r="G2352" s="805">
        <v>9095</v>
      </c>
      <c r="H2352" s="1777" t="s">
        <v>3484</v>
      </c>
      <c r="I2352" s="34" t="s">
        <v>25</v>
      </c>
      <c r="J2352" s="327"/>
      <c r="K2352" s="37"/>
      <c r="L2352" s="1128"/>
      <c r="M2352" s="327"/>
      <c r="N2352" s="327"/>
      <c r="O2352" s="1129"/>
    </row>
    <row r="2353" spans="1:15" ht="18.75" customHeight="1" x14ac:dyDescent="0.3">
      <c r="A2353" s="2401">
        <v>2347</v>
      </c>
      <c r="B2353" s="1139" t="s">
        <v>3481</v>
      </c>
      <c r="C2353" s="216" t="s">
        <v>1344</v>
      </c>
      <c r="D2353" s="416" t="s">
        <v>21</v>
      </c>
      <c r="E2353" s="217" t="s">
        <v>3496</v>
      </c>
      <c r="F2353" s="218" t="s">
        <v>3483</v>
      </c>
      <c r="G2353" s="805">
        <v>9095</v>
      </c>
      <c r="H2353" s="1777" t="s">
        <v>3484</v>
      </c>
      <c r="I2353" s="34" t="s">
        <v>25</v>
      </c>
      <c r="J2353" s="327"/>
      <c r="K2353" s="37"/>
      <c r="L2353" s="1128"/>
      <c r="M2353" s="327"/>
      <c r="N2353" s="327"/>
      <c r="O2353" s="1129"/>
    </row>
    <row r="2354" spans="1:15" ht="18.75" customHeight="1" x14ac:dyDescent="0.3">
      <c r="A2354" s="2402">
        <v>2348</v>
      </c>
      <c r="B2354" s="1139" t="s">
        <v>3481</v>
      </c>
      <c r="C2354" s="216" t="s">
        <v>1344</v>
      </c>
      <c r="D2354" s="416" t="s">
        <v>21</v>
      </c>
      <c r="E2354" s="217" t="s">
        <v>3497</v>
      </c>
      <c r="F2354" s="218" t="s">
        <v>3483</v>
      </c>
      <c r="G2354" s="805">
        <v>9095</v>
      </c>
      <c r="H2354" s="1777" t="s">
        <v>3484</v>
      </c>
      <c r="I2354" s="34" t="s">
        <v>25</v>
      </c>
      <c r="J2354" s="327"/>
      <c r="K2354" s="37"/>
      <c r="L2354" s="1128"/>
      <c r="M2354" s="327"/>
      <c r="N2354" s="327"/>
      <c r="O2354" s="1129"/>
    </row>
    <row r="2355" spans="1:15" ht="18.75" customHeight="1" x14ac:dyDescent="0.3">
      <c r="A2355" s="2402">
        <v>2349</v>
      </c>
      <c r="B2355" s="1139" t="s">
        <v>3481</v>
      </c>
      <c r="C2355" s="216" t="s">
        <v>1344</v>
      </c>
      <c r="D2355" s="416" t="s">
        <v>21</v>
      </c>
      <c r="E2355" s="217" t="s">
        <v>3498</v>
      </c>
      <c r="F2355" s="218" t="s">
        <v>3483</v>
      </c>
      <c r="G2355" s="805">
        <v>9095</v>
      </c>
      <c r="H2355" s="1777" t="s">
        <v>3484</v>
      </c>
      <c r="I2355" s="34" t="s">
        <v>25</v>
      </c>
      <c r="J2355" s="327"/>
      <c r="K2355" s="37"/>
      <c r="L2355" s="1128"/>
      <c r="M2355" s="327"/>
      <c r="N2355" s="327"/>
      <c r="O2355" s="1129"/>
    </row>
    <row r="2356" spans="1:15" ht="18.75" customHeight="1" x14ac:dyDescent="0.3">
      <c r="A2356" s="2402">
        <v>2350</v>
      </c>
      <c r="B2356" s="1139" t="s">
        <v>3481</v>
      </c>
      <c r="C2356" s="216" t="s">
        <v>1344</v>
      </c>
      <c r="D2356" s="416" t="s">
        <v>21</v>
      </c>
      <c r="E2356" s="217" t="s">
        <v>3499</v>
      </c>
      <c r="F2356" s="218" t="s">
        <v>3483</v>
      </c>
      <c r="G2356" s="805">
        <v>9095</v>
      </c>
      <c r="H2356" s="1777" t="s">
        <v>3484</v>
      </c>
      <c r="I2356" s="34" t="s">
        <v>25</v>
      </c>
      <c r="J2356" s="327"/>
      <c r="K2356" s="37"/>
      <c r="L2356" s="1128"/>
      <c r="M2356" s="327"/>
      <c r="N2356" s="327"/>
      <c r="O2356" s="1129"/>
    </row>
    <row r="2357" spans="1:15" ht="18.75" customHeight="1" x14ac:dyDescent="0.3">
      <c r="A2357" s="2402">
        <v>2351</v>
      </c>
      <c r="B2357" s="1139" t="s">
        <v>3481</v>
      </c>
      <c r="C2357" s="216" t="s">
        <v>1344</v>
      </c>
      <c r="D2357" s="452" t="s">
        <v>21</v>
      </c>
      <c r="E2357" s="217" t="s">
        <v>3500</v>
      </c>
      <c r="F2357" s="218" t="s">
        <v>3483</v>
      </c>
      <c r="G2357" s="805">
        <v>9095</v>
      </c>
      <c r="H2357" s="1777" t="s">
        <v>3484</v>
      </c>
      <c r="I2357" s="34" t="s">
        <v>25</v>
      </c>
      <c r="J2357" s="327"/>
      <c r="K2357" s="37"/>
      <c r="L2357" s="1128"/>
      <c r="M2357" s="327"/>
      <c r="N2357" s="327"/>
      <c r="O2357" s="1129"/>
    </row>
    <row r="2358" spans="1:15" ht="18.75" customHeight="1" x14ac:dyDescent="0.3">
      <c r="A2358" s="2401">
        <v>2352</v>
      </c>
      <c r="B2358" s="1139" t="s">
        <v>3481</v>
      </c>
      <c r="C2358" s="216" t="s">
        <v>1344</v>
      </c>
      <c r="D2358" s="495" t="s">
        <v>21</v>
      </c>
      <c r="E2358" s="217" t="s">
        <v>3501</v>
      </c>
      <c r="F2358" s="218" t="s">
        <v>3483</v>
      </c>
      <c r="G2358" s="805">
        <v>9095</v>
      </c>
      <c r="H2358" s="1777" t="s">
        <v>3484</v>
      </c>
      <c r="I2358" s="34" t="s">
        <v>25</v>
      </c>
      <c r="J2358" s="327"/>
      <c r="K2358" s="37"/>
      <c r="L2358" s="1128"/>
      <c r="M2358" s="327"/>
      <c r="N2358" s="327"/>
      <c r="O2358" s="1129"/>
    </row>
    <row r="2359" spans="1:15" ht="18.75" customHeight="1" x14ac:dyDescent="0.3">
      <c r="A2359" s="2402">
        <v>2353</v>
      </c>
      <c r="B2359" s="1139" t="s">
        <v>3481</v>
      </c>
      <c r="C2359" s="216" t="s">
        <v>1344</v>
      </c>
      <c r="D2359" s="793" t="s">
        <v>21</v>
      </c>
      <c r="E2359" s="217" t="s">
        <v>3502</v>
      </c>
      <c r="F2359" s="218" t="s">
        <v>3483</v>
      </c>
      <c r="G2359" s="805">
        <v>9095</v>
      </c>
      <c r="H2359" s="1777" t="s">
        <v>3484</v>
      </c>
      <c r="I2359" s="34" t="s">
        <v>25</v>
      </c>
      <c r="J2359" s="327"/>
      <c r="K2359" s="37"/>
      <c r="L2359" s="1128"/>
      <c r="M2359" s="327"/>
      <c r="N2359" s="327"/>
      <c r="O2359" s="1129"/>
    </row>
    <row r="2360" spans="1:15" ht="18.75" customHeight="1" x14ac:dyDescent="0.3">
      <c r="A2360" s="2402">
        <v>2354</v>
      </c>
      <c r="B2360" s="1139" t="s">
        <v>3481</v>
      </c>
      <c r="C2360" s="216" t="s">
        <v>1344</v>
      </c>
      <c r="D2360" s="416" t="s">
        <v>21</v>
      </c>
      <c r="E2360" s="217" t="s">
        <v>3503</v>
      </c>
      <c r="F2360" s="218" t="s">
        <v>3483</v>
      </c>
      <c r="G2360" s="805">
        <v>9095</v>
      </c>
      <c r="H2360" s="1777" t="s">
        <v>3484</v>
      </c>
      <c r="I2360" s="34" t="s">
        <v>25</v>
      </c>
      <c r="J2360" s="327"/>
      <c r="K2360" s="37"/>
      <c r="L2360" s="1128"/>
      <c r="M2360" s="327"/>
      <c r="N2360" s="327"/>
      <c r="O2360" s="1129"/>
    </row>
    <row r="2361" spans="1:15" ht="18.75" customHeight="1" x14ac:dyDescent="0.3">
      <c r="A2361" s="2401">
        <v>2355</v>
      </c>
      <c r="B2361" s="1139" t="s">
        <v>3481</v>
      </c>
      <c r="C2361" s="216" t="s">
        <v>1344</v>
      </c>
      <c r="D2361" s="416" t="s">
        <v>21</v>
      </c>
      <c r="E2361" s="217" t="s">
        <v>3504</v>
      </c>
      <c r="F2361" s="218" t="s">
        <v>3483</v>
      </c>
      <c r="G2361" s="805">
        <v>9095</v>
      </c>
      <c r="H2361" s="1777" t="s">
        <v>3484</v>
      </c>
      <c r="I2361" s="34" t="s">
        <v>25</v>
      </c>
      <c r="J2361" s="327"/>
      <c r="K2361" s="37"/>
      <c r="L2361" s="1128"/>
      <c r="M2361" s="327"/>
      <c r="N2361" s="327"/>
      <c r="O2361" s="1129"/>
    </row>
    <row r="2362" spans="1:15" ht="18.75" customHeight="1" x14ac:dyDescent="0.3">
      <c r="A2362" s="2402">
        <v>2356</v>
      </c>
      <c r="B2362" s="1139" t="s">
        <v>3481</v>
      </c>
      <c r="C2362" s="216" t="s">
        <v>1344</v>
      </c>
      <c r="D2362" s="416" t="s">
        <v>21</v>
      </c>
      <c r="E2362" s="217" t="s">
        <v>3505</v>
      </c>
      <c r="F2362" s="218" t="s">
        <v>3483</v>
      </c>
      <c r="G2362" s="805">
        <v>9095</v>
      </c>
      <c r="H2362" s="1777" t="s">
        <v>3484</v>
      </c>
      <c r="I2362" s="34" t="s">
        <v>25</v>
      </c>
      <c r="J2362" s="327"/>
      <c r="K2362" s="37"/>
      <c r="L2362" s="1128"/>
      <c r="M2362" s="327"/>
      <c r="N2362" s="327"/>
      <c r="O2362" s="1129"/>
    </row>
    <row r="2363" spans="1:15" ht="18.75" customHeight="1" x14ac:dyDescent="0.3">
      <c r="A2363" s="2402">
        <v>2357</v>
      </c>
      <c r="B2363" s="1139" t="s">
        <v>3481</v>
      </c>
      <c r="C2363" s="216" t="s">
        <v>1344</v>
      </c>
      <c r="D2363" s="416" t="s">
        <v>21</v>
      </c>
      <c r="E2363" s="217" t="s">
        <v>3506</v>
      </c>
      <c r="F2363" s="218" t="s">
        <v>3483</v>
      </c>
      <c r="G2363" s="805">
        <v>9095</v>
      </c>
      <c r="H2363" s="1777" t="s">
        <v>3484</v>
      </c>
      <c r="I2363" s="34" t="s">
        <v>25</v>
      </c>
      <c r="J2363" s="327"/>
      <c r="K2363" s="37"/>
      <c r="L2363" s="1128"/>
      <c r="M2363" s="327"/>
      <c r="N2363" s="327"/>
      <c r="O2363" s="1129"/>
    </row>
    <row r="2364" spans="1:15" ht="18.75" customHeight="1" x14ac:dyDescent="0.3">
      <c r="A2364" s="2402">
        <v>2358</v>
      </c>
      <c r="B2364" s="1139" t="s">
        <v>3481</v>
      </c>
      <c r="C2364" s="216" t="s">
        <v>1344</v>
      </c>
      <c r="D2364" s="416" t="s">
        <v>21</v>
      </c>
      <c r="E2364" s="217" t="s">
        <v>3507</v>
      </c>
      <c r="F2364" s="218" t="s">
        <v>3483</v>
      </c>
      <c r="G2364" s="805">
        <v>9095</v>
      </c>
      <c r="H2364" s="1777" t="s">
        <v>3484</v>
      </c>
      <c r="I2364" s="34" t="s">
        <v>25</v>
      </c>
      <c r="J2364" s="327"/>
      <c r="K2364" s="37"/>
      <c r="L2364" s="1128"/>
      <c r="M2364" s="327"/>
      <c r="N2364" s="327"/>
      <c r="O2364" s="1129"/>
    </row>
    <row r="2365" spans="1:15" ht="18.75" customHeight="1" x14ac:dyDescent="0.3">
      <c r="A2365" s="2402">
        <v>2359</v>
      </c>
      <c r="B2365" s="1139" t="s">
        <v>3481</v>
      </c>
      <c r="C2365" s="216" t="s">
        <v>1344</v>
      </c>
      <c r="D2365" s="416" t="s">
        <v>21</v>
      </c>
      <c r="E2365" s="217" t="s">
        <v>3508</v>
      </c>
      <c r="F2365" s="218" t="s">
        <v>3483</v>
      </c>
      <c r="G2365" s="805">
        <v>9095</v>
      </c>
      <c r="H2365" s="1777" t="s">
        <v>3484</v>
      </c>
      <c r="I2365" s="34" t="s">
        <v>25</v>
      </c>
      <c r="J2365" s="327"/>
      <c r="K2365" s="37"/>
      <c r="L2365" s="1128"/>
      <c r="M2365" s="327"/>
      <c r="N2365" s="327"/>
      <c r="O2365" s="1129"/>
    </row>
    <row r="2366" spans="1:15" ht="18.75" customHeight="1" x14ac:dyDescent="0.3">
      <c r="A2366" s="2401">
        <v>2360</v>
      </c>
      <c r="B2366" s="1139" t="s">
        <v>3481</v>
      </c>
      <c r="C2366" s="216" t="s">
        <v>1344</v>
      </c>
      <c r="D2366" s="416" t="s">
        <v>21</v>
      </c>
      <c r="E2366" s="217" t="s">
        <v>3509</v>
      </c>
      <c r="F2366" s="218" t="s">
        <v>3483</v>
      </c>
      <c r="G2366" s="805">
        <v>9095</v>
      </c>
      <c r="H2366" s="1777" t="s">
        <v>3484</v>
      </c>
      <c r="I2366" s="34" t="s">
        <v>25</v>
      </c>
      <c r="J2366" s="327"/>
      <c r="K2366" s="37"/>
      <c r="L2366" s="1128"/>
      <c r="M2366" s="327"/>
      <c r="N2366" s="327"/>
      <c r="O2366" s="1129"/>
    </row>
    <row r="2367" spans="1:15" ht="18.75" customHeight="1" x14ac:dyDescent="0.3">
      <c r="A2367" s="2402">
        <v>2361</v>
      </c>
      <c r="B2367" s="1139" t="s">
        <v>3481</v>
      </c>
      <c r="C2367" s="216" t="s">
        <v>1344</v>
      </c>
      <c r="D2367" s="416" t="s">
        <v>21</v>
      </c>
      <c r="E2367" s="217" t="s">
        <v>3510</v>
      </c>
      <c r="F2367" s="218" t="s">
        <v>3483</v>
      </c>
      <c r="G2367" s="805">
        <v>9095</v>
      </c>
      <c r="H2367" s="1777" t="s">
        <v>3484</v>
      </c>
      <c r="I2367" s="34" t="s">
        <v>25</v>
      </c>
      <c r="J2367" s="327"/>
      <c r="K2367" s="37"/>
      <c r="L2367" s="1128"/>
      <c r="M2367" s="327"/>
      <c r="N2367" s="327"/>
      <c r="O2367" s="1129"/>
    </row>
    <row r="2368" spans="1:15" ht="18.75" customHeight="1" x14ac:dyDescent="0.3">
      <c r="A2368" s="2402">
        <v>2362</v>
      </c>
      <c r="B2368" s="1139" t="s">
        <v>3481</v>
      </c>
      <c r="C2368" s="216" t="s">
        <v>1344</v>
      </c>
      <c r="D2368" s="416" t="s">
        <v>21</v>
      </c>
      <c r="E2368" s="217" t="s">
        <v>3511</v>
      </c>
      <c r="F2368" s="218" t="s">
        <v>3483</v>
      </c>
      <c r="G2368" s="805">
        <v>9095</v>
      </c>
      <c r="H2368" s="1777" t="s">
        <v>3484</v>
      </c>
      <c r="I2368" s="34" t="s">
        <v>25</v>
      </c>
      <c r="J2368" s="327"/>
      <c r="K2368" s="37"/>
      <c r="L2368" s="1128"/>
      <c r="M2368" s="327"/>
      <c r="N2368" s="327"/>
      <c r="O2368" s="1129"/>
    </row>
    <row r="2369" spans="1:15" ht="18.75" customHeight="1" x14ac:dyDescent="0.3">
      <c r="A2369" s="2401">
        <v>2363</v>
      </c>
      <c r="B2369" s="1139" t="s">
        <v>3481</v>
      </c>
      <c r="C2369" s="216" t="s">
        <v>1344</v>
      </c>
      <c r="D2369" s="416" t="s">
        <v>21</v>
      </c>
      <c r="E2369" s="217" t="s">
        <v>3512</v>
      </c>
      <c r="F2369" s="218" t="s">
        <v>3483</v>
      </c>
      <c r="G2369" s="805">
        <v>9095</v>
      </c>
      <c r="H2369" s="1777" t="s">
        <v>3484</v>
      </c>
      <c r="I2369" s="34" t="s">
        <v>25</v>
      </c>
      <c r="J2369" s="327"/>
      <c r="K2369" s="37"/>
      <c r="L2369" s="1128"/>
      <c r="M2369" s="327"/>
      <c r="N2369" s="327"/>
      <c r="O2369" s="1129"/>
    </row>
    <row r="2370" spans="1:15" ht="18.75" customHeight="1" x14ac:dyDescent="0.3">
      <c r="A2370" s="2402">
        <v>2364</v>
      </c>
      <c r="B2370" s="1139" t="s">
        <v>3481</v>
      </c>
      <c r="C2370" s="216" t="s">
        <v>1344</v>
      </c>
      <c r="D2370" s="416" t="s">
        <v>21</v>
      </c>
      <c r="E2370" s="217" t="s">
        <v>3513</v>
      </c>
      <c r="F2370" s="218" t="s">
        <v>3483</v>
      </c>
      <c r="G2370" s="805">
        <v>9095</v>
      </c>
      <c r="H2370" s="1777" t="s">
        <v>3484</v>
      </c>
      <c r="I2370" s="34" t="s">
        <v>25</v>
      </c>
      <c r="J2370" s="327"/>
      <c r="K2370" s="37"/>
      <c r="L2370" s="1128"/>
      <c r="M2370" s="327"/>
      <c r="N2370" s="327"/>
      <c r="O2370" s="1129"/>
    </row>
    <row r="2371" spans="1:15" ht="18.75" customHeight="1" x14ac:dyDescent="0.3">
      <c r="A2371" s="2402">
        <v>2365</v>
      </c>
      <c r="B2371" s="1139" t="s">
        <v>3481</v>
      </c>
      <c r="C2371" s="216" t="s">
        <v>1344</v>
      </c>
      <c r="D2371" s="416" t="s">
        <v>21</v>
      </c>
      <c r="E2371" s="217" t="s">
        <v>3514</v>
      </c>
      <c r="F2371" s="218" t="s">
        <v>3483</v>
      </c>
      <c r="G2371" s="805">
        <v>9095</v>
      </c>
      <c r="H2371" s="1777" t="s">
        <v>3484</v>
      </c>
      <c r="I2371" s="34" t="s">
        <v>25</v>
      </c>
      <c r="J2371" s="327"/>
      <c r="K2371" s="37"/>
      <c r="L2371" s="1128"/>
      <c r="M2371" s="327"/>
      <c r="N2371" s="327"/>
      <c r="O2371" s="1129"/>
    </row>
    <row r="2372" spans="1:15" ht="18.75" customHeight="1" x14ac:dyDescent="0.3">
      <c r="A2372" s="2402">
        <v>2366</v>
      </c>
      <c r="B2372" s="1139" t="s">
        <v>3481</v>
      </c>
      <c r="C2372" s="216" t="s">
        <v>1344</v>
      </c>
      <c r="D2372" s="416" t="s">
        <v>21</v>
      </c>
      <c r="E2372" s="217" t="s">
        <v>3515</v>
      </c>
      <c r="F2372" s="218" t="s">
        <v>3483</v>
      </c>
      <c r="G2372" s="805">
        <v>9095</v>
      </c>
      <c r="H2372" s="1777" t="s">
        <v>3484</v>
      </c>
      <c r="I2372" s="34" t="s">
        <v>25</v>
      </c>
      <c r="J2372" s="327"/>
      <c r="K2372" s="37"/>
      <c r="L2372" s="1128"/>
      <c r="M2372" s="327"/>
      <c r="N2372" s="327"/>
      <c r="O2372" s="1129"/>
    </row>
    <row r="2373" spans="1:15" ht="18.75" customHeight="1" x14ac:dyDescent="0.3">
      <c r="A2373" s="2402">
        <v>2367</v>
      </c>
      <c r="B2373" s="1139" t="s">
        <v>3481</v>
      </c>
      <c r="C2373" s="216" t="s">
        <v>1344</v>
      </c>
      <c r="D2373" s="416" t="s">
        <v>21</v>
      </c>
      <c r="E2373" s="217" t="s">
        <v>3516</v>
      </c>
      <c r="F2373" s="218" t="s">
        <v>3483</v>
      </c>
      <c r="G2373" s="805">
        <v>9095</v>
      </c>
      <c r="H2373" s="1777" t="s">
        <v>3484</v>
      </c>
      <c r="I2373" s="34" t="s">
        <v>25</v>
      </c>
      <c r="J2373" s="327"/>
      <c r="K2373" s="37"/>
      <c r="L2373" s="1128"/>
      <c r="M2373" s="327"/>
      <c r="N2373" s="327"/>
      <c r="O2373" s="1129"/>
    </row>
    <row r="2374" spans="1:15" ht="18.75" customHeight="1" x14ac:dyDescent="0.3">
      <c r="A2374" s="2401">
        <v>2368</v>
      </c>
      <c r="B2374" s="1139" t="s">
        <v>3481</v>
      </c>
      <c r="C2374" s="216" t="s">
        <v>1344</v>
      </c>
      <c r="D2374" s="416" t="s">
        <v>21</v>
      </c>
      <c r="E2374" s="217" t="s">
        <v>3517</v>
      </c>
      <c r="F2374" s="218" t="s">
        <v>3483</v>
      </c>
      <c r="G2374" s="805">
        <v>9095</v>
      </c>
      <c r="H2374" s="1777" t="s">
        <v>3484</v>
      </c>
      <c r="I2374" s="34" t="s">
        <v>25</v>
      </c>
      <c r="J2374" s="327"/>
      <c r="K2374" s="37"/>
      <c r="L2374" s="1128"/>
      <c r="M2374" s="327"/>
      <c r="N2374" s="327"/>
      <c r="O2374" s="1129"/>
    </row>
    <row r="2375" spans="1:15" ht="18.75" customHeight="1" x14ac:dyDescent="0.3">
      <c r="A2375" s="2402">
        <v>2369</v>
      </c>
      <c r="B2375" s="1139" t="s">
        <v>3481</v>
      </c>
      <c r="C2375" s="216" t="s">
        <v>1344</v>
      </c>
      <c r="D2375" s="452" t="s">
        <v>21</v>
      </c>
      <c r="E2375" s="217" t="s">
        <v>3518</v>
      </c>
      <c r="F2375" s="218" t="s">
        <v>3483</v>
      </c>
      <c r="G2375" s="805">
        <v>9095</v>
      </c>
      <c r="H2375" s="1777" t="s">
        <v>3484</v>
      </c>
      <c r="I2375" s="34" t="s">
        <v>25</v>
      </c>
      <c r="J2375" s="327"/>
      <c r="K2375" s="37"/>
      <c r="L2375" s="1128"/>
      <c r="M2375" s="327"/>
      <c r="N2375" s="327"/>
      <c r="O2375" s="1129"/>
    </row>
    <row r="2376" spans="1:15" ht="18.75" customHeight="1" x14ac:dyDescent="0.3">
      <c r="A2376" s="2402">
        <v>2370</v>
      </c>
      <c r="B2376" s="1139" t="s">
        <v>3481</v>
      </c>
      <c r="C2376" s="216" t="s">
        <v>1344</v>
      </c>
      <c r="D2376" s="495" t="s">
        <v>21</v>
      </c>
      <c r="E2376" s="217" t="s">
        <v>3519</v>
      </c>
      <c r="F2376" s="218" t="s">
        <v>3483</v>
      </c>
      <c r="G2376" s="805">
        <v>9095</v>
      </c>
      <c r="H2376" s="1777" t="s">
        <v>3484</v>
      </c>
      <c r="I2376" s="34" t="s">
        <v>25</v>
      </c>
      <c r="J2376" s="327"/>
      <c r="K2376" s="37"/>
      <c r="L2376" s="1128"/>
      <c r="M2376" s="327"/>
      <c r="N2376" s="327"/>
      <c r="O2376" s="1129"/>
    </row>
    <row r="2377" spans="1:15" ht="18.75" customHeight="1" x14ac:dyDescent="0.3">
      <c r="A2377" s="2401">
        <v>2371</v>
      </c>
      <c r="B2377" s="1139" t="s">
        <v>3481</v>
      </c>
      <c r="C2377" s="216" t="s">
        <v>1344</v>
      </c>
      <c r="D2377" s="793" t="s">
        <v>21</v>
      </c>
      <c r="E2377" s="217" t="s">
        <v>3520</v>
      </c>
      <c r="F2377" s="218" t="s">
        <v>3483</v>
      </c>
      <c r="G2377" s="805">
        <v>9095</v>
      </c>
      <c r="H2377" s="1777" t="s">
        <v>3484</v>
      </c>
      <c r="I2377" s="34" t="s">
        <v>25</v>
      </c>
      <c r="J2377" s="327"/>
      <c r="K2377" s="37"/>
      <c r="L2377" s="1128"/>
      <c r="M2377" s="327"/>
      <c r="N2377" s="327"/>
      <c r="O2377" s="1129"/>
    </row>
    <row r="2378" spans="1:15" ht="18.75" customHeight="1" x14ac:dyDescent="0.3">
      <c r="A2378" s="2402">
        <v>2372</v>
      </c>
      <c r="B2378" s="1139" t="s">
        <v>3481</v>
      </c>
      <c r="C2378" s="216" t="s">
        <v>1344</v>
      </c>
      <c r="D2378" s="416" t="s">
        <v>21</v>
      </c>
      <c r="E2378" s="217" t="s">
        <v>3521</v>
      </c>
      <c r="F2378" s="218" t="s">
        <v>3483</v>
      </c>
      <c r="G2378" s="1140">
        <v>9095</v>
      </c>
      <c r="H2378" s="1777" t="s">
        <v>3484</v>
      </c>
      <c r="I2378" s="34" t="s">
        <v>25</v>
      </c>
      <c r="J2378" s="327"/>
      <c r="K2378" s="37"/>
      <c r="L2378" s="1128"/>
      <c r="M2378" s="327"/>
      <c r="N2378" s="327"/>
      <c r="O2378" s="1129"/>
    </row>
    <row r="2379" spans="1:15" ht="18.75" customHeight="1" x14ac:dyDescent="0.3">
      <c r="A2379" s="2402">
        <v>2373</v>
      </c>
      <c r="B2379" s="804" t="s">
        <v>3481</v>
      </c>
      <c r="C2379" s="216" t="s">
        <v>1344</v>
      </c>
      <c r="D2379" s="416" t="s">
        <v>21</v>
      </c>
      <c r="E2379" s="217" t="s">
        <v>3522</v>
      </c>
      <c r="F2379" s="218" t="s">
        <v>3483</v>
      </c>
      <c r="G2379" s="805">
        <v>9095</v>
      </c>
      <c r="H2379" s="1777" t="s">
        <v>3484</v>
      </c>
      <c r="I2379" s="34" t="s">
        <v>25</v>
      </c>
      <c r="J2379" s="327"/>
      <c r="K2379" s="37"/>
      <c r="L2379" s="1128"/>
      <c r="M2379" s="327"/>
      <c r="N2379" s="327"/>
      <c r="O2379" s="1129"/>
    </row>
    <row r="2380" spans="1:15" ht="18.75" customHeight="1" x14ac:dyDescent="0.3">
      <c r="A2380" s="2402">
        <v>2374</v>
      </c>
      <c r="B2380" s="804" t="s">
        <v>3481</v>
      </c>
      <c r="C2380" s="216" t="s">
        <v>1344</v>
      </c>
      <c r="D2380" s="416" t="s">
        <v>21</v>
      </c>
      <c r="E2380" s="217" t="s">
        <v>3523</v>
      </c>
      <c r="F2380" s="218" t="s">
        <v>3483</v>
      </c>
      <c r="G2380" s="805">
        <v>9095</v>
      </c>
      <c r="H2380" s="1777" t="s">
        <v>3484</v>
      </c>
      <c r="I2380" s="34" t="s">
        <v>25</v>
      </c>
      <c r="J2380" s="327"/>
      <c r="K2380" s="37"/>
      <c r="L2380" s="1128"/>
      <c r="M2380" s="327"/>
      <c r="N2380" s="327"/>
      <c r="O2380" s="1129"/>
    </row>
    <row r="2381" spans="1:15" ht="18.75" customHeight="1" x14ac:dyDescent="0.3">
      <c r="A2381" s="2402">
        <v>2375</v>
      </c>
      <c r="B2381" s="804" t="s">
        <v>3481</v>
      </c>
      <c r="C2381" s="216" t="s">
        <v>1344</v>
      </c>
      <c r="D2381" s="416" t="s">
        <v>21</v>
      </c>
      <c r="E2381" s="217" t="s">
        <v>3524</v>
      </c>
      <c r="F2381" s="218" t="s">
        <v>3483</v>
      </c>
      <c r="G2381" s="805">
        <v>9095</v>
      </c>
      <c r="H2381" s="1777" t="s">
        <v>3484</v>
      </c>
      <c r="I2381" s="34" t="s">
        <v>25</v>
      </c>
      <c r="J2381" s="327"/>
      <c r="K2381" s="37"/>
      <c r="L2381" s="1128"/>
      <c r="M2381" s="327"/>
      <c r="N2381" s="327"/>
      <c r="O2381" s="1129"/>
    </row>
    <row r="2382" spans="1:15" ht="18.75" customHeight="1" x14ac:dyDescent="0.3">
      <c r="A2382" s="2401">
        <v>2376</v>
      </c>
      <c r="B2382" s="804" t="s">
        <v>3481</v>
      </c>
      <c r="C2382" s="216" t="s">
        <v>1344</v>
      </c>
      <c r="D2382" s="416" t="s">
        <v>21</v>
      </c>
      <c r="E2382" s="217" t="s">
        <v>3525</v>
      </c>
      <c r="F2382" s="218" t="s">
        <v>3483</v>
      </c>
      <c r="G2382" s="805">
        <v>9095</v>
      </c>
      <c r="H2382" s="1777" t="s">
        <v>3484</v>
      </c>
      <c r="I2382" s="34" t="s">
        <v>25</v>
      </c>
      <c r="J2382" s="327"/>
      <c r="K2382" s="37"/>
      <c r="L2382" s="1128"/>
      <c r="M2382" s="327"/>
      <c r="N2382" s="327"/>
      <c r="O2382" s="1129"/>
    </row>
    <row r="2383" spans="1:15" ht="18.75" customHeight="1" x14ac:dyDescent="0.3">
      <c r="A2383" s="2402">
        <v>2377</v>
      </c>
      <c r="B2383" s="804" t="s">
        <v>3481</v>
      </c>
      <c r="C2383" s="216" t="s">
        <v>1344</v>
      </c>
      <c r="D2383" s="416" t="s">
        <v>21</v>
      </c>
      <c r="E2383" s="217" t="s">
        <v>3526</v>
      </c>
      <c r="F2383" s="218" t="s">
        <v>3483</v>
      </c>
      <c r="G2383" s="805">
        <v>9095</v>
      </c>
      <c r="H2383" s="1777" t="s">
        <v>3484</v>
      </c>
      <c r="I2383" s="34" t="s">
        <v>25</v>
      </c>
      <c r="J2383" s="327"/>
      <c r="K2383" s="37"/>
      <c r="L2383" s="1128"/>
      <c r="M2383" s="327"/>
      <c r="N2383" s="327"/>
      <c r="O2383" s="1129"/>
    </row>
    <row r="2384" spans="1:15" ht="18.75" customHeight="1" x14ac:dyDescent="0.3">
      <c r="A2384" s="2402">
        <v>2378</v>
      </c>
      <c r="B2384" s="804" t="s">
        <v>3481</v>
      </c>
      <c r="C2384" s="216" t="s">
        <v>1344</v>
      </c>
      <c r="D2384" s="416" t="s">
        <v>21</v>
      </c>
      <c r="E2384" s="217" t="s">
        <v>3527</v>
      </c>
      <c r="F2384" s="218" t="s">
        <v>3483</v>
      </c>
      <c r="G2384" s="805">
        <v>9095</v>
      </c>
      <c r="H2384" s="1777" t="s">
        <v>3484</v>
      </c>
      <c r="I2384" s="34" t="s">
        <v>25</v>
      </c>
      <c r="J2384" s="327"/>
      <c r="K2384" s="37"/>
      <c r="L2384" s="1128"/>
      <c r="M2384" s="327"/>
      <c r="N2384" s="327"/>
      <c r="O2384" s="1129"/>
    </row>
    <row r="2385" spans="1:15" ht="18.75" customHeight="1" x14ac:dyDescent="0.3">
      <c r="A2385" s="2401">
        <v>2379</v>
      </c>
      <c r="B2385" s="804" t="s">
        <v>3481</v>
      </c>
      <c r="C2385" s="216" t="s">
        <v>1344</v>
      </c>
      <c r="D2385" s="416" t="s">
        <v>21</v>
      </c>
      <c r="E2385" s="217" t="s">
        <v>3528</v>
      </c>
      <c r="F2385" s="218" t="s">
        <v>3483</v>
      </c>
      <c r="G2385" s="805">
        <v>9095</v>
      </c>
      <c r="H2385" s="1777" t="s">
        <v>3484</v>
      </c>
      <c r="I2385" s="34" t="s">
        <v>25</v>
      </c>
      <c r="J2385" s="327"/>
      <c r="K2385" s="37"/>
      <c r="L2385" s="1128"/>
      <c r="M2385" s="327"/>
      <c r="N2385" s="327"/>
      <c r="O2385" s="1129"/>
    </row>
    <row r="2386" spans="1:15" ht="18.75" customHeight="1" x14ac:dyDescent="0.3">
      <c r="A2386" s="2402">
        <v>2380</v>
      </c>
      <c r="B2386" s="804" t="s">
        <v>3481</v>
      </c>
      <c r="C2386" s="216" t="s">
        <v>1344</v>
      </c>
      <c r="D2386" s="416" t="s">
        <v>21</v>
      </c>
      <c r="E2386" s="217" t="s">
        <v>3529</v>
      </c>
      <c r="F2386" s="218" t="s">
        <v>3483</v>
      </c>
      <c r="G2386" s="805">
        <v>9095</v>
      </c>
      <c r="H2386" s="1777" t="s">
        <v>3484</v>
      </c>
      <c r="I2386" s="34" t="s">
        <v>25</v>
      </c>
      <c r="J2386" s="327"/>
      <c r="K2386" s="37"/>
      <c r="L2386" s="1128"/>
      <c r="M2386" s="327"/>
      <c r="N2386" s="327"/>
      <c r="O2386" s="1129"/>
    </row>
    <row r="2387" spans="1:15" ht="18.75" customHeight="1" x14ac:dyDescent="0.3">
      <c r="A2387" s="2402">
        <v>2381</v>
      </c>
      <c r="B2387" s="804" t="s">
        <v>3481</v>
      </c>
      <c r="C2387" s="216" t="s">
        <v>1344</v>
      </c>
      <c r="D2387" s="416" t="s">
        <v>21</v>
      </c>
      <c r="E2387" s="217" t="s">
        <v>3530</v>
      </c>
      <c r="F2387" s="218" t="s">
        <v>3483</v>
      </c>
      <c r="G2387" s="805">
        <v>9095</v>
      </c>
      <c r="H2387" s="1777" t="s">
        <v>3484</v>
      </c>
      <c r="I2387" s="34" t="s">
        <v>25</v>
      </c>
      <c r="J2387" s="327"/>
      <c r="K2387" s="37"/>
      <c r="L2387" s="1128"/>
      <c r="M2387" s="327"/>
      <c r="N2387" s="327"/>
      <c r="O2387" s="1129"/>
    </row>
    <row r="2388" spans="1:15" ht="18.75" customHeight="1" x14ac:dyDescent="0.3">
      <c r="A2388" s="2402">
        <v>2382</v>
      </c>
      <c r="B2388" s="804" t="s">
        <v>3481</v>
      </c>
      <c r="C2388" s="216" t="s">
        <v>1344</v>
      </c>
      <c r="D2388" s="416" t="s">
        <v>21</v>
      </c>
      <c r="E2388" s="217" t="s">
        <v>3531</v>
      </c>
      <c r="F2388" s="218" t="s">
        <v>3483</v>
      </c>
      <c r="G2388" s="805">
        <v>9095</v>
      </c>
      <c r="H2388" s="1777" t="s">
        <v>3484</v>
      </c>
      <c r="I2388" s="34" t="s">
        <v>25</v>
      </c>
      <c r="J2388" s="327"/>
      <c r="K2388" s="37"/>
      <c r="L2388" s="1128"/>
      <c r="M2388" s="327"/>
      <c r="N2388" s="327"/>
      <c r="O2388" s="1129"/>
    </row>
    <row r="2389" spans="1:15" ht="18.75" customHeight="1" x14ac:dyDescent="0.3">
      <c r="A2389" s="2402">
        <v>2383</v>
      </c>
      <c r="B2389" s="804" t="s">
        <v>3481</v>
      </c>
      <c r="C2389" s="216" t="s">
        <v>1344</v>
      </c>
      <c r="D2389" s="416" t="s">
        <v>21</v>
      </c>
      <c r="E2389" s="217" t="s">
        <v>3532</v>
      </c>
      <c r="F2389" s="218" t="s">
        <v>3483</v>
      </c>
      <c r="G2389" s="805">
        <v>9095</v>
      </c>
      <c r="H2389" s="1777" t="s">
        <v>3484</v>
      </c>
      <c r="I2389" s="34" t="s">
        <v>25</v>
      </c>
      <c r="J2389" s="327"/>
      <c r="K2389" s="37"/>
      <c r="L2389" s="1128"/>
      <c r="M2389" s="327"/>
      <c r="N2389" s="327"/>
      <c r="O2389" s="1129"/>
    </row>
    <row r="2390" spans="1:15" ht="18.75" customHeight="1" x14ac:dyDescent="0.3">
      <c r="A2390" s="2401">
        <v>2384</v>
      </c>
      <c r="B2390" s="804" t="s">
        <v>3481</v>
      </c>
      <c r="C2390" s="216" t="s">
        <v>1344</v>
      </c>
      <c r="D2390" s="416" t="s">
        <v>21</v>
      </c>
      <c r="E2390" s="217" t="s">
        <v>3533</v>
      </c>
      <c r="F2390" s="218" t="s">
        <v>3483</v>
      </c>
      <c r="G2390" s="805">
        <v>9095</v>
      </c>
      <c r="H2390" s="1777" t="s">
        <v>3484</v>
      </c>
      <c r="I2390" s="34" t="s">
        <v>25</v>
      </c>
      <c r="J2390" s="327"/>
      <c r="K2390" s="37"/>
      <c r="L2390" s="1128"/>
      <c r="M2390" s="327"/>
      <c r="N2390" s="327"/>
      <c r="O2390" s="1129"/>
    </row>
    <row r="2391" spans="1:15" ht="18.75" customHeight="1" x14ac:dyDescent="0.3">
      <c r="A2391" s="2402">
        <v>2385</v>
      </c>
      <c r="B2391" s="804" t="s">
        <v>3481</v>
      </c>
      <c r="C2391" s="216" t="s">
        <v>1344</v>
      </c>
      <c r="D2391" s="416" t="s">
        <v>21</v>
      </c>
      <c r="E2391" s="217" t="s">
        <v>3534</v>
      </c>
      <c r="F2391" s="218" t="s">
        <v>3483</v>
      </c>
      <c r="G2391" s="805">
        <v>9095</v>
      </c>
      <c r="H2391" s="1777" t="s">
        <v>3484</v>
      </c>
      <c r="I2391" s="34" t="s">
        <v>25</v>
      </c>
      <c r="J2391" s="327"/>
      <c r="K2391" s="37"/>
      <c r="L2391" s="1128"/>
      <c r="M2391" s="327"/>
      <c r="N2391" s="327"/>
      <c r="O2391" s="1129"/>
    </row>
    <row r="2392" spans="1:15" ht="18.75" customHeight="1" x14ac:dyDescent="0.3">
      <c r="A2392" s="2402">
        <v>2386</v>
      </c>
      <c r="B2392" s="804" t="s">
        <v>3481</v>
      </c>
      <c r="C2392" s="216" t="s">
        <v>1344</v>
      </c>
      <c r="D2392" s="416" t="s">
        <v>21</v>
      </c>
      <c r="E2392" s="217" t="s">
        <v>3535</v>
      </c>
      <c r="F2392" s="218" t="s">
        <v>3483</v>
      </c>
      <c r="G2392" s="805">
        <v>9095</v>
      </c>
      <c r="H2392" s="1777" t="s">
        <v>3484</v>
      </c>
      <c r="I2392" s="34" t="s">
        <v>25</v>
      </c>
      <c r="J2392" s="327"/>
      <c r="K2392" s="37"/>
      <c r="L2392" s="1128"/>
      <c r="M2392" s="327"/>
      <c r="N2392" s="327"/>
      <c r="O2392" s="1129"/>
    </row>
    <row r="2393" spans="1:15" ht="18.75" customHeight="1" x14ac:dyDescent="0.3">
      <c r="A2393" s="2401">
        <v>2387</v>
      </c>
      <c r="B2393" s="804" t="s">
        <v>3481</v>
      </c>
      <c r="C2393" s="216" t="s">
        <v>1344</v>
      </c>
      <c r="D2393" s="416" t="s">
        <v>21</v>
      </c>
      <c r="E2393" s="217" t="s">
        <v>3536</v>
      </c>
      <c r="F2393" s="218" t="s">
        <v>3483</v>
      </c>
      <c r="G2393" s="805">
        <v>9095</v>
      </c>
      <c r="H2393" s="1777" t="s">
        <v>3484</v>
      </c>
      <c r="I2393" s="34" t="s">
        <v>25</v>
      </c>
      <c r="J2393" s="327"/>
      <c r="K2393" s="37"/>
      <c r="L2393" s="1128"/>
      <c r="M2393" s="327"/>
      <c r="N2393" s="327"/>
      <c r="O2393" s="1129"/>
    </row>
    <row r="2394" spans="1:15" ht="18.75" customHeight="1" x14ac:dyDescent="0.3">
      <c r="A2394" s="2402">
        <v>2388</v>
      </c>
      <c r="B2394" s="804" t="s">
        <v>3481</v>
      </c>
      <c r="C2394" s="216" t="s">
        <v>1344</v>
      </c>
      <c r="D2394" s="416" t="s">
        <v>21</v>
      </c>
      <c r="E2394" s="217" t="s">
        <v>3537</v>
      </c>
      <c r="F2394" s="218" t="s">
        <v>3483</v>
      </c>
      <c r="G2394" s="805">
        <v>9095</v>
      </c>
      <c r="H2394" s="1777" t="s">
        <v>3484</v>
      </c>
      <c r="I2394" s="34" t="s">
        <v>25</v>
      </c>
      <c r="J2394" s="327"/>
      <c r="K2394" s="37"/>
      <c r="L2394" s="1128"/>
      <c r="M2394" s="327"/>
      <c r="N2394" s="327"/>
      <c r="O2394" s="1129"/>
    </row>
    <row r="2395" spans="1:15" ht="18.75" customHeight="1" x14ac:dyDescent="0.3">
      <c r="A2395" s="2402">
        <v>2389</v>
      </c>
      <c r="B2395" s="804" t="s">
        <v>3481</v>
      </c>
      <c r="C2395" s="216" t="s">
        <v>1344</v>
      </c>
      <c r="D2395" s="452" t="s">
        <v>21</v>
      </c>
      <c r="E2395" s="217" t="s">
        <v>3538</v>
      </c>
      <c r="F2395" s="218" t="s">
        <v>3483</v>
      </c>
      <c r="G2395" s="805">
        <v>9095</v>
      </c>
      <c r="H2395" s="1777" t="s">
        <v>3484</v>
      </c>
      <c r="I2395" s="34" t="s">
        <v>25</v>
      </c>
      <c r="J2395" s="327"/>
      <c r="K2395" s="37"/>
      <c r="L2395" s="1128"/>
      <c r="M2395" s="327"/>
      <c r="N2395" s="327"/>
      <c r="O2395" s="1129"/>
    </row>
    <row r="2396" spans="1:15" ht="18.75" customHeight="1" x14ac:dyDescent="0.3">
      <c r="A2396" s="2402">
        <v>2390</v>
      </c>
      <c r="B2396" s="804" t="s">
        <v>3481</v>
      </c>
      <c r="C2396" s="216" t="s">
        <v>1344</v>
      </c>
      <c r="D2396" s="793" t="s">
        <v>21</v>
      </c>
      <c r="E2396" s="217" t="s">
        <v>3539</v>
      </c>
      <c r="F2396" s="218" t="s">
        <v>3483</v>
      </c>
      <c r="G2396" s="805">
        <v>9095</v>
      </c>
      <c r="H2396" s="1777" t="s">
        <v>3484</v>
      </c>
      <c r="I2396" s="34" t="s">
        <v>25</v>
      </c>
      <c r="J2396" s="327"/>
      <c r="K2396" s="37"/>
      <c r="L2396" s="1128"/>
      <c r="M2396" s="327"/>
      <c r="N2396" s="327"/>
      <c r="O2396" s="1129"/>
    </row>
    <row r="2397" spans="1:15" ht="18.75" customHeight="1" x14ac:dyDescent="0.3">
      <c r="A2397" s="2402">
        <v>2391</v>
      </c>
      <c r="B2397" s="804" t="s">
        <v>3481</v>
      </c>
      <c r="C2397" s="216" t="s">
        <v>1344</v>
      </c>
      <c r="D2397" s="452" t="s">
        <v>21</v>
      </c>
      <c r="E2397" s="217" t="s">
        <v>3540</v>
      </c>
      <c r="F2397" s="218" t="s">
        <v>3483</v>
      </c>
      <c r="G2397" s="805">
        <v>9095</v>
      </c>
      <c r="H2397" s="1777" t="s">
        <v>3484</v>
      </c>
      <c r="I2397" s="34" t="s">
        <v>25</v>
      </c>
      <c r="J2397" s="327"/>
      <c r="K2397" s="37"/>
      <c r="L2397" s="1128"/>
      <c r="M2397" s="327"/>
      <c r="N2397" s="327"/>
      <c r="O2397" s="1129"/>
    </row>
    <row r="2398" spans="1:15" ht="18.75" customHeight="1" x14ac:dyDescent="0.3">
      <c r="A2398" s="2401">
        <v>2392</v>
      </c>
      <c r="B2398" s="804" t="s">
        <v>3481</v>
      </c>
      <c r="C2398" s="216" t="s">
        <v>1344</v>
      </c>
      <c r="D2398" s="793" t="s">
        <v>21</v>
      </c>
      <c r="E2398" s="217" t="s">
        <v>3541</v>
      </c>
      <c r="F2398" s="218" t="s">
        <v>3483</v>
      </c>
      <c r="G2398" s="805">
        <v>9095</v>
      </c>
      <c r="H2398" s="1777" t="s">
        <v>3484</v>
      </c>
      <c r="I2398" s="34" t="s">
        <v>25</v>
      </c>
      <c r="J2398" s="327"/>
      <c r="K2398" s="37"/>
      <c r="L2398" s="1128"/>
      <c r="M2398" s="327"/>
      <c r="N2398" s="327"/>
      <c r="O2398" s="1129"/>
    </row>
    <row r="2399" spans="1:15" ht="18.75" customHeight="1" x14ac:dyDescent="0.3">
      <c r="A2399" s="2402">
        <v>2393</v>
      </c>
      <c r="B2399" s="804" t="s">
        <v>3481</v>
      </c>
      <c r="C2399" s="216" t="s">
        <v>1344</v>
      </c>
      <c r="D2399" s="416" t="s">
        <v>21</v>
      </c>
      <c r="E2399" s="217" t="s">
        <v>3542</v>
      </c>
      <c r="F2399" s="218" t="s">
        <v>3483</v>
      </c>
      <c r="G2399" s="805">
        <v>9095</v>
      </c>
      <c r="H2399" s="1777" t="s">
        <v>3484</v>
      </c>
      <c r="I2399" s="34" t="s">
        <v>25</v>
      </c>
      <c r="J2399" s="327"/>
      <c r="K2399" s="37"/>
      <c r="L2399" s="1128"/>
      <c r="M2399" s="327"/>
      <c r="N2399" s="327"/>
      <c r="O2399" s="1129"/>
    </row>
    <row r="2400" spans="1:15" ht="18.75" customHeight="1" x14ac:dyDescent="0.3">
      <c r="A2400" s="2402">
        <v>2394</v>
      </c>
      <c r="B2400" s="804" t="s">
        <v>3481</v>
      </c>
      <c r="C2400" s="216" t="s">
        <v>1344</v>
      </c>
      <c r="D2400" s="416" t="s">
        <v>21</v>
      </c>
      <c r="E2400" s="217" t="s">
        <v>3543</v>
      </c>
      <c r="F2400" s="218" t="s">
        <v>3483</v>
      </c>
      <c r="G2400" s="805">
        <v>9095</v>
      </c>
      <c r="H2400" s="1777" t="s">
        <v>3484</v>
      </c>
      <c r="I2400" s="34" t="s">
        <v>25</v>
      </c>
      <c r="J2400" s="327"/>
      <c r="K2400" s="37"/>
      <c r="L2400" s="1128"/>
      <c r="M2400" s="327"/>
      <c r="N2400" s="327"/>
      <c r="O2400" s="1129"/>
    </row>
    <row r="2401" spans="1:15" ht="18.75" customHeight="1" x14ac:dyDescent="0.3">
      <c r="A2401" s="2401">
        <v>2395</v>
      </c>
      <c r="B2401" s="804" t="s">
        <v>3481</v>
      </c>
      <c r="C2401" s="216" t="s">
        <v>1344</v>
      </c>
      <c r="D2401" s="416" t="s">
        <v>21</v>
      </c>
      <c r="E2401" s="217" t="s">
        <v>3544</v>
      </c>
      <c r="F2401" s="218" t="s">
        <v>3483</v>
      </c>
      <c r="G2401" s="805">
        <v>9095</v>
      </c>
      <c r="H2401" s="1777" t="s">
        <v>3484</v>
      </c>
      <c r="I2401" s="34" t="s">
        <v>25</v>
      </c>
      <c r="J2401" s="327"/>
      <c r="K2401" s="37"/>
      <c r="L2401" s="1128"/>
      <c r="M2401" s="327"/>
      <c r="N2401" s="327"/>
      <c r="O2401" s="1129"/>
    </row>
    <row r="2402" spans="1:15" ht="18.75" customHeight="1" x14ac:dyDescent="0.3">
      <c r="A2402" s="2402">
        <v>2396</v>
      </c>
      <c r="B2402" s="804" t="s">
        <v>3481</v>
      </c>
      <c r="C2402" s="216" t="s">
        <v>1344</v>
      </c>
      <c r="D2402" s="416" t="s">
        <v>21</v>
      </c>
      <c r="E2402" s="217" t="s">
        <v>3545</v>
      </c>
      <c r="F2402" s="218" t="s">
        <v>3483</v>
      </c>
      <c r="G2402" s="805">
        <v>9095</v>
      </c>
      <c r="H2402" s="1777" t="s">
        <v>3484</v>
      </c>
      <c r="I2402" s="34" t="s">
        <v>25</v>
      </c>
      <c r="J2402" s="327"/>
      <c r="K2402" s="37"/>
      <c r="L2402" s="1128"/>
      <c r="M2402" s="327"/>
      <c r="N2402" s="327"/>
      <c r="O2402" s="1129"/>
    </row>
    <row r="2403" spans="1:15" ht="18.75" customHeight="1" x14ac:dyDescent="0.3">
      <c r="A2403" s="2402">
        <v>2397</v>
      </c>
      <c r="B2403" s="804" t="s">
        <v>3481</v>
      </c>
      <c r="C2403" s="216" t="s">
        <v>1344</v>
      </c>
      <c r="D2403" s="416" t="s">
        <v>21</v>
      </c>
      <c r="E2403" s="217" t="s">
        <v>3546</v>
      </c>
      <c r="F2403" s="218" t="s">
        <v>3483</v>
      </c>
      <c r="G2403" s="805">
        <v>9095</v>
      </c>
      <c r="H2403" s="1777" t="s">
        <v>3484</v>
      </c>
      <c r="I2403" s="34" t="s">
        <v>25</v>
      </c>
      <c r="J2403" s="327"/>
      <c r="K2403" s="37"/>
      <c r="L2403" s="1128"/>
      <c r="M2403" s="327"/>
      <c r="N2403" s="327"/>
      <c r="O2403" s="1129"/>
    </row>
    <row r="2404" spans="1:15" ht="18.75" customHeight="1" x14ac:dyDescent="0.3">
      <c r="A2404" s="2402">
        <v>2398</v>
      </c>
      <c r="B2404" s="804" t="s">
        <v>3481</v>
      </c>
      <c r="C2404" s="216" t="s">
        <v>1344</v>
      </c>
      <c r="D2404" s="416" t="s">
        <v>21</v>
      </c>
      <c r="E2404" s="217" t="s">
        <v>3547</v>
      </c>
      <c r="F2404" s="218" t="s">
        <v>3483</v>
      </c>
      <c r="G2404" s="805">
        <v>9095</v>
      </c>
      <c r="H2404" s="1777" t="s">
        <v>3484</v>
      </c>
      <c r="I2404" s="34" t="s">
        <v>25</v>
      </c>
      <c r="J2404" s="327"/>
      <c r="K2404" s="37"/>
      <c r="L2404" s="1128"/>
      <c r="M2404" s="327"/>
      <c r="N2404" s="327"/>
      <c r="O2404" s="1129"/>
    </row>
    <row r="2405" spans="1:15" ht="18.75" customHeight="1" x14ac:dyDescent="0.3">
      <c r="A2405" s="2402">
        <v>2399</v>
      </c>
      <c r="B2405" s="804" t="s">
        <v>3481</v>
      </c>
      <c r="C2405" s="216" t="s">
        <v>1344</v>
      </c>
      <c r="D2405" s="416" t="s">
        <v>21</v>
      </c>
      <c r="E2405" s="217" t="s">
        <v>3548</v>
      </c>
      <c r="F2405" s="218" t="s">
        <v>3483</v>
      </c>
      <c r="G2405" s="805">
        <v>9095</v>
      </c>
      <c r="H2405" s="1777" t="s">
        <v>3484</v>
      </c>
      <c r="I2405" s="34" t="s">
        <v>25</v>
      </c>
      <c r="J2405" s="327"/>
      <c r="K2405" s="37"/>
      <c r="L2405" s="1128"/>
      <c r="M2405" s="327"/>
      <c r="N2405" s="327"/>
      <c r="O2405" s="1129"/>
    </row>
    <row r="2406" spans="1:15" ht="18.75" customHeight="1" x14ac:dyDescent="0.3">
      <c r="A2406" s="2401">
        <v>2400</v>
      </c>
      <c r="B2406" s="804" t="s">
        <v>3481</v>
      </c>
      <c r="C2406" s="216" t="s">
        <v>1344</v>
      </c>
      <c r="D2406" s="416" t="s">
        <v>21</v>
      </c>
      <c r="E2406" s="217" t="s">
        <v>3549</v>
      </c>
      <c r="F2406" s="218" t="s">
        <v>3483</v>
      </c>
      <c r="G2406" s="805">
        <v>9095</v>
      </c>
      <c r="H2406" s="1777" t="s">
        <v>3484</v>
      </c>
      <c r="I2406" s="34" t="s">
        <v>25</v>
      </c>
      <c r="J2406" s="327"/>
      <c r="K2406" s="37"/>
      <c r="L2406" s="1128"/>
      <c r="M2406" s="327"/>
      <c r="N2406" s="327"/>
      <c r="O2406" s="1129"/>
    </row>
    <row r="2407" spans="1:15" ht="18.75" customHeight="1" x14ac:dyDescent="0.3">
      <c r="A2407" s="2402">
        <v>2401</v>
      </c>
      <c r="B2407" s="804" t="s">
        <v>3481</v>
      </c>
      <c r="C2407" s="216" t="s">
        <v>1344</v>
      </c>
      <c r="D2407" s="416" t="s">
        <v>21</v>
      </c>
      <c r="E2407" s="217" t="s">
        <v>3550</v>
      </c>
      <c r="F2407" s="218" t="s">
        <v>3483</v>
      </c>
      <c r="G2407" s="805">
        <v>9095</v>
      </c>
      <c r="H2407" s="1777" t="s">
        <v>3484</v>
      </c>
      <c r="I2407" s="34" t="s">
        <v>25</v>
      </c>
      <c r="J2407" s="327"/>
      <c r="K2407" s="37"/>
      <c r="L2407" s="1128"/>
      <c r="M2407" s="327"/>
      <c r="N2407" s="327"/>
      <c r="O2407" s="1129"/>
    </row>
    <row r="2408" spans="1:15" ht="18.75" customHeight="1" x14ac:dyDescent="0.3">
      <c r="A2408" s="2402">
        <v>2402</v>
      </c>
      <c r="B2408" s="804" t="s">
        <v>3481</v>
      </c>
      <c r="C2408" s="216" t="s">
        <v>1344</v>
      </c>
      <c r="D2408" s="416" t="s">
        <v>21</v>
      </c>
      <c r="E2408" s="217" t="s">
        <v>3551</v>
      </c>
      <c r="F2408" s="218" t="s">
        <v>3483</v>
      </c>
      <c r="G2408" s="805">
        <v>9095</v>
      </c>
      <c r="H2408" s="1777" t="s">
        <v>3484</v>
      </c>
      <c r="I2408" s="34" t="s">
        <v>25</v>
      </c>
      <c r="J2408" s="327"/>
      <c r="K2408" s="37"/>
      <c r="L2408" s="1128"/>
      <c r="M2408" s="327"/>
      <c r="N2408" s="327"/>
      <c r="O2408" s="1129"/>
    </row>
    <row r="2409" spans="1:15" ht="18.75" customHeight="1" x14ac:dyDescent="0.3">
      <c r="A2409" s="2401">
        <v>2403</v>
      </c>
      <c r="B2409" s="804" t="s">
        <v>3481</v>
      </c>
      <c r="C2409" s="216" t="s">
        <v>1344</v>
      </c>
      <c r="D2409" s="416" t="s">
        <v>21</v>
      </c>
      <c r="E2409" s="217" t="s">
        <v>3552</v>
      </c>
      <c r="F2409" s="218" t="s">
        <v>3483</v>
      </c>
      <c r="G2409" s="805">
        <v>9095</v>
      </c>
      <c r="H2409" s="1777" t="s">
        <v>3484</v>
      </c>
      <c r="I2409" s="34" t="s">
        <v>25</v>
      </c>
      <c r="J2409" s="327"/>
      <c r="K2409" s="37"/>
      <c r="L2409" s="1128"/>
      <c r="M2409" s="327"/>
      <c r="N2409" s="327"/>
      <c r="O2409" s="1129"/>
    </row>
    <row r="2410" spans="1:15" ht="18.75" customHeight="1" x14ac:dyDescent="0.3">
      <c r="A2410" s="2402">
        <v>2404</v>
      </c>
      <c r="B2410" s="804" t="s">
        <v>3481</v>
      </c>
      <c r="C2410" s="216" t="s">
        <v>1344</v>
      </c>
      <c r="D2410" s="416" t="s">
        <v>21</v>
      </c>
      <c r="E2410" s="217" t="s">
        <v>3553</v>
      </c>
      <c r="F2410" s="218" t="s">
        <v>3483</v>
      </c>
      <c r="G2410" s="805">
        <v>9095</v>
      </c>
      <c r="H2410" s="1777" t="s">
        <v>3484</v>
      </c>
      <c r="I2410" s="34" t="s">
        <v>25</v>
      </c>
      <c r="J2410" s="327"/>
      <c r="K2410" s="37"/>
      <c r="L2410" s="1128"/>
      <c r="M2410" s="327"/>
      <c r="N2410" s="327"/>
      <c r="O2410" s="1129"/>
    </row>
    <row r="2411" spans="1:15" ht="18.75" customHeight="1" x14ac:dyDescent="0.3">
      <c r="A2411" s="2402">
        <v>2405</v>
      </c>
      <c r="B2411" s="804" t="s">
        <v>3481</v>
      </c>
      <c r="C2411" s="216" t="s">
        <v>1344</v>
      </c>
      <c r="D2411" s="416" t="s">
        <v>21</v>
      </c>
      <c r="E2411" s="217" t="s">
        <v>3554</v>
      </c>
      <c r="F2411" s="218" t="s">
        <v>3483</v>
      </c>
      <c r="G2411" s="805">
        <v>9095</v>
      </c>
      <c r="H2411" s="1777" t="s">
        <v>3484</v>
      </c>
      <c r="I2411" s="34" t="s">
        <v>25</v>
      </c>
      <c r="J2411" s="327"/>
      <c r="K2411" s="37"/>
      <c r="L2411" s="1128"/>
      <c r="M2411" s="327"/>
      <c r="N2411" s="327"/>
      <c r="O2411" s="1129"/>
    </row>
    <row r="2412" spans="1:15" ht="18.75" customHeight="1" x14ac:dyDescent="0.3">
      <c r="A2412" s="2402">
        <v>2406</v>
      </c>
      <c r="B2412" s="804" t="s">
        <v>3481</v>
      </c>
      <c r="C2412" s="216" t="s">
        <v>1344</v>
      </c>
      <c r="D2412" s="416" t="s">
        <v>21</v>
      </c>
      <c r="E2412" s="217" t="s">
        <v>3555</v>
      </c>
      <c r="F2412" s="218" t="s">
        <v>3483</v>
      </c>
      <c r="G2412" s="805">
        <v>9095</v>
      </c>
      <c r="H2412" s="1777" t="s">
        <v>3484</v>
      </c>
      <c r="I2412" s="34" t="s">
        <v>25</v>
      </c>
      <c r="J2412" s="327"/>
      <c r="K2412" s="37"/>
      <c r="L2412" s="1128"/>
      <c r="M2412" s="327"/>
      <c r="N2412" s="327"/>
      <c r="O2412" s="1129"/>
    </row>
    <row r="2413" spans="1:15" ht="18.75" customHeight="1" x14ac:dyDescent="0.3">
      <c r="A2413" s="2402">
        <v>2407</v>
      </c>
      <c r="B2413" s="804" t="s">
        <v>3481</v>
      </c>
      <c r="C2413" s="216" t="s">
        <v>1344</v>
      </c>
      <c r="D2413" s="416" t="s">
        <v>21</v>
      </c>
      <c r="E2413" s="217" t="s">
        <v>3556</v>
      </c>
      <c r="F2413" s="218" t="s">
        <v>3483</v>
      </c>
      <c r="G2413" s="805">
        <v>9095</v>
      </c>
      <c r="H2413" s="1777" t="s">
        <v>3484</v>
      </c>
      <c r="I2413" s="34" t="s">
        <v>25</v>
      </c>
      <c r="J2413" s="327"/>
      <c r="K2413" s="37"/>
      <c r="L2413" s="1128"/>
      <c r="M2413" s="327"/>
      <c r="N2413" s="327"/>
      <c r="O2413" s="1129"/>
    </row>
    <row r="2414" spans="1:15" ht="18.75" customHeight="1" x14ac:dyDescent="0.3">
      <c r="A2414" s="2401">
        <v>2408</v>
      </c>
      <c r="B2414" s="804" t="s">
        <v>3481</v>
      </c>
      <c r="C2414" s="216" t="s">
        <v>1344</v>
      </c>
      <c r="D2414" s="416" t="s">
        <v>21</v>
      </c>
      <c r="E2414" s="217" t="s">
        <v>3557</v>
      </c>
      <c r="F2414" s="218" t="s">
        <v>3483</v>
      </c>
      <c r="G2414" s="805">
        <v>9095</v>
      </c>
      <c r="H2414" s="1777" t="s">
        <v>3484</v>
      </c>
      <c r="I2414" s="34" t="s">
        <v>25</v>
      </c>
      <c r="J2414" s="327"/>
      <c r="K2414" s="37"/>
      <c r="L2414" s="1128"/>
      <c r="M2414" s="327"/>
      <c r="N2414" s="327"/>
      <c r="O2414" s="1129"/>
    </row>
    <row r="2415" spans="1:15" ht="18.75" customHeight="1" x14ac:dyDescent="0.3">
      <c r="A2415" s="2402">
        <v>2409</v>
      </c>
      <c r="B2415" s="804" t="s">
        <v>3481</v>
      </c>
      <c r="C2415" s="216" t="s">
        <v>1344</v>
      </c>
      <c r="D2415" s="416" t="s">
        <v>21</v>
      </c>
      <c r="E2415" s="217" t="s">
        <v>3558</v>
      </c>
      <c r="F2415" s="218" t="s">
        <v>3483</v>
      </c>
      <c r="G2415" s="805">
        <v>9095</v>
      </c>
      <c r="H2415" s="1777" t="s">
        <v>3484</v>
      </c>
      <c r="I2415" s="34" t="s">
        <v>25</v>
      </c>
      <c r="J2415" s="327"/>
      <c r="K2415" s="37"/>
      <c r="L2415" s="1128"/>
      <c r="M2415" s="327"/>
      <c r="N2415" s="327"/>
      <c r="O2415" s="1129"/>
    </row>
    <row r="2416" spans="1:15" ht="18.75" customHeight="1" x14ac:dyDescent="0.3">
      <c r="A2416" s="2402">
        <v>2410</v>
      </c>
      <c r="B2416" s="804" t="s">
        <v>3559</v>
      </c>
      <c r="C2416" s="216" t="s">
        <v>1344</v>
      </c>
      <c r="D2416" s="416" t="s">
        <v>21</v>
      </c>
      <c r="E2416" s="217" t="s">
        <v>3560</v>
      </c>
      <c r="F2416" s="218" t="s">
        <v>3483</v>
      </c>
      <c r="G2416" s="805">
        <v>1924</v>
      </c>
      <c r="H2416" s="1777" t="s">
        <v>3484</v>
      </c>
      <c r="I2416" s="34" t="s">
        <v>25</v>
      </c>
      <c r="J2416" s="327"/>
      <c r="K2416" s="37"/>
      <c r="L2416" s="1128"/>
      <c r="M2416" s="327"/>
      <c r="N2416" s="327"/>
      <c r="O2416" s="1129"/>
    </row>
    <row r="2417" spans="1:15" ht="18.75" customHeight="1" x14ac:dyDescent="0.3">
      <c r="A2417" s="2401">
        <v>2411</v>
      </c>
      <c r="B2417" s="804" t="s">
        <v>3559</v>
      </c>
      <c r="C2417" s="216" t="s">
        <v>1344</v>
      </c>
      <c r="D2417" s="416" t="s">
        <v>21</v>
      </c>
      <c r="E2417" s="217" t="s">
        <v>3561</v>
      </c>
      <c r="F2417" s="218" t="s">
        <v>3483</v>
      </c>
      <c r="G2417" s="805">
        <v>1924</v>
      </c>
      <c r="H2417" s="1777" t="s">
        <v>3484</v>
      </c>
      <c r="I2417" s="34" t="s">
        <v>25</v>
      </c>
      <c r="J2417" s="327"/>
      <c r="K2417" s="37"/>
      <c r="L2417" s="1128"/>
      <c r="M2417" s="327"/>
      <c r="N2417" s="327"/>
      <c r="O2417" s="1129"/>
    </row>
    <row r="2418" spans="1:15" ht="18.75" customHeight="1" x14ac:dyDescent="0.3">
      <c r="A2418" s="2402">
        <v>2412</v>
      </c>
      <c r="B2418" s="804" t="s">
        <v>3559</v>
      </c>
      <c r="C2418" s="216" t="s">
        <v>1344</v>
      </c>
      <c r="D2418" s="416" t="s">
        <v>21</v>
      </c>
      <c r="E2418" s="217" t="s">
        <v>3562</v>
      </c>
      <c r="F2418" s="218" t="s">
        <v>3483</v>
      </c>
      <c r="G2418" s="805">
        <v>1924</v>
      </c>
      <c r="H2418" s="1777" t="s">
        <v>3484</v>
      </c>
      <c r="I2418" s="34" t="s">
        <v>25</v>
      </c>
      <c r="J2418" s="327"/>
      <c r="K2418" s="37"/>
      <c r="L2418" s="1128"/>
      <c r="M2418" s="327"/>
      <c r="N2418" s="327"/>
      <c r="O2418" s="1129"/>
    </row>
    <row r="2419" spans="1:15" ht="18.75" customHeight="1" x14ac:dyDescent="0.3">
      <c r="A2419" s="2402">
        <v>2413</v>
      </c>
      <c r="B2419" s="804" t="s">
        <v>3559</v>
      </c>
      <c r="C2419" s="216" t="s">
        <v>1344</v>
      </c>
      <c r="D2419" s="416" t="s">
        <v>21</v>
      </c>
      <c r="E2419" s="217" t="s">
        <v>3563</v>
      </c>
      <c r="F2419" s="218" t="s">
        <v>3483</v>
      </c>
      <c r="G2419" s="805">
        <v>1924</v>
      </c>
      <c r="H2419" s="1777" t="s">
        <v>3484</v>
      </c>
      <c r="I2419" s="34" t="s">
        <v>25</v>
      </c>
      <c r="J2419" s="327"/>
      <c r="K2419" s="37"/>
      <c r="L2419" s="1128"/>
      <c r="M2419" s="327"/>
      <c r="N2419" s="327"/>
      <c r="O2419" s="1129"/>
    </row>
    <row r="2420" spans="1:15" ht="18.75" customHeight="1" x14ac:dyDescent="0.3">
      <c r="A2420" s="2402">
        <v>2414</v>
      </c>
      <c r="B2420" s="804" t="s">
        <v>3559</v>
      </c>
      <c r="C2420" s="216" t="s">
        <v>1344</v>
      </c>
      <c r="D2420" s="416" t="s">
        <v>21</v>
      </c>
      <c r="E2420" s="217" t="s">
        <v>3564</v>
      </c>
      <c r="F2420" s="218" t="s">
        <v>3483</v>
      </c>
      <c r="G2420" s="805">
        <v>1924</v>
      </c>
      <c r="H2420" s="1777" t="s">
        <v>3484</v>
      </c>
      <c r="I2420" s="34" t="s">
        <v>25</v>
      </c>
      <c r="J2420" s="327"/>
      <c r="K2420" s="37"/>
      <c r="L2420" s="1128"/>
      <c r="M2420" s="327"/>
      <c r="N2420" s="327"/>
      <c r="O2420" s="1129"/>
    </row>
    <row r="2421" spans="1:15" ht="18.75" customHeight="1" x14ac:dyDescent="0.3">
      <c r="A2421" s="2402">
        <v>2415</v>
      </c>
      <c r="B2421" s="804" t="s">
        <v>3559</v>
      </c>
      <c r="C2421" s="216" t="s">
        <v>1344</v>
      </c>
      <c r="D2421" s="416" t="s">
        <v>21</v>
      </c>
      <c r="E2421" s="217" t="s">
        <v>3565</v>
      </c>
      <c r="F2421" s="218" t="s">
        <v>3483</v>
      </c>
      <c r="G2421" s="805">
        <v>1924</v>
      </c>
      <c r="H2421" s="1777" t="s">
        <v>3484</v>
      </c>
      <c r="I2421" s="34" t="s">
        <v>25</v>
      </c>
      <c r="J2421" s="327"/>
      <c r="K2421" s="37"/>
      <c r="L2421" s="1128"/>
      <c r="M2421" s="327"/>
      <c r="N2421" s="327"/>
      <c r="O2421" s="1129"/>
    </row>
    <row r="2422" spans="1:15" ht="18.75" customHeight="1" x14ac:dyDescent="0.3">
      <c r="A2422" s="2401">
        <v>2416</v>
      </c>
      <c r="B2422" s="804" t="s">
        <v>3559</v>
      </c>
      <c r="C2422" s="216" t="s">
        <v>1344</v>
      </c>
      <c r="D2422" s="416" t="s">
        <v>21</v>
      </c>
      <c r="E2422" s="217" t="s">
        <v>3566</v>
      </c>
      <c r="F2422" s="218" t="s">
        <v>3483</v>
      </c>
      <c r="G2422" s="805">
        <v>1924</v>
      </c>
      <c r="H2422" s="1777" t="s">
        <v>3484</v>
      </c>
      <c r="I2422" s="34" t="s">
        <v>25</v>
      </c>
      <c r="J2422" s="327"/>
      <c r="K2422" s="37"/>
      <c r="L2422" s="1128"/>
      <c r="M2422" s="327"/>
      <c r="N2422" s="327"/>
      <c r="O2422" s="1129"/>
    </row>
    <row r="2423" spans="1:15" ht="18.75" customHeight="1" x14ac:dyDescent="0.3">
      <c r="A2423" s="2402">
        <v>2417</v>
      </c>
      <c r="B2423" s="804" t="s">
        <v>3559</v>
      </c>
      <c r="C2423" s="216" t="s">
        <v>1344</v>
      </c>
      <c r="D2423" s="416" t="s">
        <v>21</v>
      </c>
      <c r="E2423" s="217" t="s">
        <v>3567</v>
      </c>
      <c r="F2423" s="218" t="s">
        <v>3483</v>
      </c>
      <c r="G2423" s="1140">
        <v>1924</v>
      </c>
      <c r="H2423" s="1777" t="s">
        <v>3484</v>
      </c>
      <c r="I2423" s="34" t="s">
        <v>25</v>
      </c>
      <c r="J2423" s="327"/>
      <c r="K2423" s="37"/>
      <c r="L2423" s="1128"/>
      <c r="M2423" s="327"/>
      <c r="N2423" s="327"/>
      <c r="O2423" s="1129"/>
    </row>
    <row r="2424" spans="1:15" ht="18.75" customHeight="1" x14ac:dyDescent="0.3">
      <c r="A2424" s="2402">
        <v>2418</v>
      </c>
      <c r="B2424" s="28" t="s">
        <v>3568</v>
      </c>
      <c r="C2424" s="216" t="s">
        <v>1344</v>
      </c>
      <c r="D2424" s="416" t="s">
        <v>21</v>
      </c>
      <c r="E2424" s="217" t="s">
        <v>3569</v>
      </c>
      <c r="F2424" s="218" t="s">
        <v>3570</v>
      </c>
      <c r="G2424" s="33">
        <v>46314.52</v>
      </c>
      <c r="H2424" s="1762" t="s">
        <v>3571</v>
      </c>
      <c r="I2424" s="34" t="s">
        <v>25</v>
      </c>
      <c r="J2424" s="327"/>
      <c r="K2424" s="37"/>
      <c r="L2424" s="1128"/>
      <c r="M2424" s="327"/>
      <c r="N2424" s="327"/>
      <c r="O2424" s="1129"/>
    </row>
    <row r="2425" spans="1:15" ht="18.75" customHeight="1" x14ac:dyDescent="0.3">
      <c r="A2425" s="2401">
        <v>2419</v>
      </c>
      <c r="B2425" s="28" t="s">
        <v>3572</v>
      </c>
      <c r="C2425" s="216" t="s">
        <v>1344</v>
      </c>
      <c r="D2425" s="452" t="s">
        <v>21</v>
      </c>
      <c r="E2425" s="217" t="s">
        <v>3573</v>
      </c>
      <c r="F2425" s="218" t="s">
        <v>3570</v>
      </c>
      <c r="G2425" s="33">
        <v>24458.92</v>
      </c>
      <c r="H2425" s="1762" t="s">
        <v>3571</v>
      </c>
      <c r="I2425" s="34" t="s">
        <v>25</v>
      </c>
      <c r="J2425" s="327"/>
      <c r="K2425" s="37"/>
      <c r="L2425" s="1128"/>
      <c r="M2425" s="327"/>
      <c r="N2425" s="327"/>
      <c r="O2425" s="1129"/>
    </row>
    <row r="2426" spans="1:15" ht="18.75" customHeight="1" x14ac:dyDescent="0.3">
      <c r="A2426" s="2402">
        <v>2420</v>
      </c>
      <c r="B2426" s="28" t="s">
        <v>3574</v>
      </c>
      <c r="C2426" s="216" t="s">
        <v>1344</v>
      </c>
      <c r="D2426" s="495" t="s">
        <v>21</v>
      </c>
      <c r="E2426" s="217" t="s">
        <v>3575</v>
      </c>
      <c r="F2426" s="218" t="s">
        <v>3570</v>
      </c>
      <c r="G2426" s="33">
        <v>30457.02</v>
      </c>
      <c r="H2426" s="1762" t="s">
        <v>3571</v>
      </c>
      <c r="I2426" s="34" t="s">
        <v>25</v>
      </c>
      <c r="J2426" s="327"/>
      <c r="K2426" s="37"/>
      <c r="L2426" s="1128"/>
      <c r="M2426" s="327"/>
      <c r="N2426" s="327"/>
      <c r="O2426" s="1129"/>
    </row>
    <row r="2427" spans="1:15" ht="18.75" customHeight="1" x14ac:dyDescent="0.3">
      <c r="A2427" s="2402">
        <v>2421</v>
      </c>
      <c r="B2427" s="28" t="s">
        <v>3576</v>
      </c>
      <c r="C2427" s="216" t="s">
        <v>1344</v>
      </c>
      <c r="D2427" s="793" t="s">
        <v>21</v>
      </c>
      <c r="E2427" s="217" t="s">
        <v>3577</v>
      </c>
      <c r="F2427" s="218" t="s">
        <v>3570</v>
      </c>
      <c r="G2427" s="33">
        <v>18190</v>
      </c>
      <c r="H2427" s="1762" t="s">
        <v>3571</v>
      </c>
      <c r="I2427" s="34" t="s">
        <v>25</v>
      </c>
      <c r="J2427" s="327"/>
      <c r="K2427" s="37"/>
      <c r="L2427" s="1128"/>
      <c r="M2427" s="327"/>
      <c r="N2427" s="327"/>
      <c r="O2427" s="1129"/>
    </row>
    <row r="2428" spans="1:15" ht="18.75" customHeight="1" x14ac:dyDescent="0.3">
      <c r="A2428" s="2402">
        <v>2422</v>
      </c>
      <c r="B2428" s="28" t="s">
        <v>3576</v>
      </c>
      <c r="C2428" s="216" t="s">
        <v>1344</v>
      </c>
      <c r="D2428" s="416" t="s">
        <v>21</v>
      </c>
      <c r="E2428" s="217" t="s">
        <v>3578</v>
      </c>
      <c r="F2428" s="218" t="s">
        <v>3570</v>
      </c>
      <c r="G2428" s="33">
        <v>18190</v>
      </c>
      <c r="H2428" s="1762" t="s">
        <v>3571</v>
      </c>
      <c r="I2428" s="34" t="s">
        <v>25</v>
      </c>
      <c r="J2428" s="327"/>
      <c r="K2428" s="37"/>
      <c r="L2428" s="1128"/>
      <c r="M2428" s="327"/>
      <c r="N2428" s="327"/>
      <c r="O2428" s="1129"/>
    </row>
    <row r="2429" spans="1:15" ht="18.75" customHeight="1" x14ac:dyDescent="0.3">
      <c r="A2429" s="2402">
        <v>2423</v>
      </c>
      <c r="B2429" s="28" t="s">
        <v>3576</v>
      </c>
      <c r="C2429" s="216" t="s">
        <v>1344</v>
      </c>
      <c r="D2429" s="416" t="s">
        <v>21</v>
      </c>
      <c r="E2429" s="217" t="s">
        <v>3579</v>
      </c>
      <c r="F2429" s="218" t="s">
        <v>3570</v>
      </c>
      <c r="G2429" s="33">
        <v>18190</v>
      </c>
      <c r="H2429" s="1762" t="s">
        <v>3571</v>
      </c>
      <c r="I2429" s="34" t="s">
        <v>25</v>
      </c>
      <c r="J2429" s="327"/>
      <c r="K2429" s="37"/>
      <c r="L2429" s="1128"/>
      <c r="M2429" s="327"/>
      <c r="N2429" s="327"/>
      <c r="O2429" s="1129"/>
    </row>
    <row r="2430" spans="1:15" ht="18.75" customHeight="1" x14ac:dyDescent="0.3">
      <c r="A2430" s="2401">
        <v>2424</v>
      </c>
      <c r="B2430" s="28" t="s">
        <v>3576</v>
      </c>
      <c r="C2430" s="216" t="s">
        <v>1344</v>
      </c>
      <c r="D2430" s="416" t="s">
        <v>21</v>
      </c>
      <c r="E2430" s="217" t="s">
        <v>3580</v>
      </c>
      <c r="F2430" s="218" t="s">
        <v>3570</v>
      </c>
      <c r="G2430" s="33">
        <v>18190</v>
      </c>
      <c r="H2430" s="1762" t="s">
        <v>3571</v>
      </c>
      <c r="I2430" s="34" t="s">
        <v>25</v>
      </c>
      <c r="J2430" s="327"/>
      <c r="K2430" s="37"/>
      <c r="L2430" s="1128"/>
      <c r="M2430" s="327"/>
      <c r="N2430" s="327"/>
      <c r="O2430" s="1129"/>
    </row>
    <row r="2431" spans="1:15" ht="18.75" customHeight="1" x14ac:dyDescent="0.3">
      <c r="A2431" s="2402">
        <v>2425</v>
      </c>
      <c r="B2431" s="28" t="s">
        <v>3576</v>
      </c>
      <c r="C2431" s="216" t="s">
        <v>1344</v>
      </c>
      <c r="D2431" s="416" t="s">
        <v>21</v>
      </c>
      <c r="E2431" s="217" t="s">
        <v>3581</v>
      </c>
      <c r="F2431" s="218" t="s">
        <v>3570</v>
      </c>
      <c r="G2431" s="33">
        <v>18190</v>
      </c>
      <c r="H2431" s="1762" t="s">
        <v>3571</v>
      </c>
      <c r="I2431" s="34" t="s">
        <v>25</v>
      </c>
      <c r="J2431" s="327"/>
      <c r="K2431" s="37"/>
      <c r="L2431" s="1128"/>
      <c r="M2431" s="327"/>
      <c r="N2431" s="327"/>
      <c r="O2431" s="1129"/>
    </row>
    <row r="2432" spans="1:15" ht="18.75" customHeight="1" x14ac:dyDescent="0.3">
      <c r="A2432" s="2402">
        <v>2426</v>
      </c>
      <c r="B2432" s="28" t="s">
        <v>3576</v>
      </c>
      <c r="C2432" s="216" t="s">
        <v>1344</v>
      </c>
      <c r="D2432" s="416" t="s">
        <v>21</v>
      </c>
      <c r="E2432" s="217" t="s">
        <v>3582</v>
      </c>
      <c r="F2432" s="218" t="s">
        <v>3570</v>
      </c>
      <c r="G2432" s="33">
        <v>18190</v>
      </c>
      <c r="H2432" s="1762" t="s">
        <v>3571</v>
      </c>
      <c r="I2432" s="34" t="s">
        <v>25</v>
      </c>
      <c r="J2432" s="327"/>
      <c r="K2432" s="37"/>
      <c r="L2432" s="1128"/>
      <c r="M2432" s="327"/>
      <c r="N2432" s="327"/>
      <c r="O2432" s="1129"/>
    </row>
    <row r="2433" spans="1:15" ht="18.75" customHeight="1" x14ac:dyDescent="0.3">
      <c r="A2433" s="2401">
        <v>2427</v>
      </c>
      <c r="B2433" s="28" t="s">
        <v>3576</v>
      </c>
      <c r="C2433" s="216" t="s">
        <v>1344</v>
      </c>
      <c r="D2433" s="416" t="s">
        <v>21</v>
      </c>
      <c r="E2433" s="217" t="s">
        <v>3583</v>
      </c>
      <c r="F2433" s="218" t="s">
        <v>3570</v>
      </c>
      <c r="G2433" s="33">
        <v>18190</v>
      </c>
      <c r="H2433" s="1762" t="s">
        <v>3571</v>
      </c>
      <c r="I2433" s="34" t="s">
        <v>25</v>
      </c>
      <c r="J2433" s="327"/>
      <c r="K2433" s="37"/>
      <c r="L2433" s="1128"/>
      <c r="M2433" s="327"/>
      <c r="N2433" s="327"/>
      <c r="O2433" s="1129"/>
    </row>
    <row r="2434" spans="1:15" ht="18.75" customHeight="1" x14ac:dyDescent="0.3">
      <c r="A2434" s="2402">
        <v>2428</v>
      </c>
      <c r="B2434" s="28" t="s">
        <v>3576</v>
      </c>
      <c r="C2434" s="216" t="s">
        <v>1344</v>
      </c>
      <c r="D2434" s="416" t="s">
        <v>21</v>
      </c>
      <c r="E2434" s="217" t="s">
        <v>3584</v>
      </c>
      <c r="F2434" s="218" t="s">
        <v>3570</v>
      </c>
      <c r="G2434" s="33">
        <v>18190</v>
      </c>
      <c r="H2434" s="1762" t="s">
        <v>3571</v>
      </c>
      <c r="I2434" s="34" t="s">
        <v>25</v>
      </c>
      <c r="J2434" s="327"/>
      <c r="K2434" s="37"/>
      <c r="L2434" s="1128"/>
      <c r="M2434" s="327"/>
      <c r="N2434" s="327"/>
      <c r="O2434" s="1129"/>
    </row>
    <row r="2435" spans="1:15" ht="18.75" customHeight="1" x14ac:dyDescent="0.3">
      <c r="A2435" s="2402">
        <v>2429</v>
      </c>
      <c r="B2435" s="28" t="s">
        <v>3576</v>
      </c>
      <c r="C2435" s="216" t="s">
        <v>1344</v>
      </c>
      <c r="D2435" s="416" t="s">
        <v>21</v>
      </c>
      <c r="E2435" s="217" t="s">
        <v>3585</v>
      </c>
      <c r="F2435" s="218" t="s">
        <v>3570</v>
      </c>
      <c r="G2435" s="33">
        <v>18190</v>
      </c>
      <c r="H2435" s="1762" t="s">
        <v>3571</v>
      </c>
      <c r="I2435" s="34" t="s">
        <v>25</v>
      </c>
      <c r="J2435" s="327"/>
      <c r="K2435" s="37"/>
      <c r="L2435" s="1128"/>
      <c r="M2435" s="327"/>
      <c r="N2435" s="327"/>
      <c r="O2435" s="1129"/>
    </row>
    <row r="2436" spans="1:15" ht="18.75" customHeight="1" x14ac:dyDescent="0.3">
      <c r="A2436" s="2402">
        <v>2430</v>
      </c>
      <c r="B2436" s="28" t="s">
        <v>3576</v>
      </c>
      <c r="C2436" s="216" t="s">
        <v>1344</v>
      </c>
      <c r="D2436" s="416" t="s">
        <v>21</v>
      </c>
      <c r="E2436" s="217" t="s">
        <v>3586</v>
      </c>
      <c r="F2436" s="218" t="s">
        <v>3570</v>
      </c>
      <c r="G2436" s="33">
        <v>18190</v>
      </c>
      <c r="H2436" s="1762" t="s">
        <v>3571</v>
      </c>
      <c r="I2436" s="34" t="s">
        <v>25</v>
      </c>
      <c r="J2436" s="327"/>
      <c r="K2436" s="37"/>
      <c r="L2436" s="1128"/>
      <c r="M2436" s="327"/>
      <c r="N2436" s="327"/>
      <c r="O2436" s="1129"/>
    </row>
    <row r="2437" spans="1:15" ht="18.75" customHeight="1" x14ac:dyDescent="0.3">
      <c r="A2437" s="2402">
        <v>2431</v>
      </c>
      <c r="B2437" s="28" t="s">
        <v>3576</v>
      </c>
      <c r="C2437" s="216" t="s">
        <v>1344</v>
      </c>
      <c r="D2437" s="416" t="s">
        <v>21</v>
      </c>
      <c r="E2437" s="217" t="s">
        <v>3587</v>
      </c>
      <c r="F2437" s="218" t="s">
        <v>3570</v>
      </c>
      <c r="G2437" s="33">
        <v>18190</v>
      </c>
      <c r="H2437" s="1762" t="s">
        <v>3571</v>
      </c>
      <c r="I2437" s="34" t="s">
        <v>25</v>
      </c>
      <c r="J2437" s="327"/>
      <c r="K2437" s="37"/>
      <c r="L2437" s="1128"/>
      <c r="M2437" s="327"/>
      <c r="N2437" s="327"/>
      <c r="O2437" s="1129"/>
    </row>
    <row r="2438" spans="1:15" ht="18.75" customHeight="1" x14ac:dyDescent="0.3">
      <c r="A2438" s="2401">
        <v>2432</v>
      </c>
      <c r="B2438" s="28" t="s">
        <v>3576</v>
      </c>
      <c r="C2438" s="216" t="s">
        <v>1344</v>
      </c>
      <c r="D2438" s="416" t="s">
        <v>21</v>
      </c>
      <c r="E2438" s="217" t="s">
        <v>3588</v>
      </c>
      <c r="F2438" s="218" t="s">
        <v>3570</v>
      </c>
      <c r="G2438" s="33">
        <v>18190</v>
      </c>
      <c r="H2438" s="1762" t="s">
        <v>3571</v>
      </c>
      <c r="I2438" s="34" t="s">
        <v>25</v>
      </c>
      <c r="J2438" s="327"/>
      <c r="K2438" s="37"/>
      <c r="L2438" s="1128"/>
      <c r="M2438" s="327"/>
      <c r="N2438" s="327"/>
      <c r="O2438" s="1129"/>
    </row>
    <row r="2439" spans="1:15" ht="18.75" customHeight="1" x14ac:dyDescent="0.3">
      <c r="A2439" s="2402">
        <v>2433</v>
      </c>
      <c r="B2439" s="28" t="s">
        <v>3589</v>
      </c>
      <c r="C2439" s="216" t="s">
        <v>1344</v>
      </c>
      <c r="D2439" s="416" t="s">
        <v>21</v>
      </c>
      <c r="E2439" s="217" t="s">
        <v>3590</v>
      </c>
      <c r="F2439" s="218" t="s">
        <v>3570</v>
      </c>
      <c r="G2439" s="33">
        <v>16836.47</v>
      </c>
      <c r="H2439" s="1762" t="s">
        <v>3571</v>
      </c>
      <c r="I2439" s="34" t="s">
        <v>25</v>
      </c>
      <c r="J2439" s="327"/>
      <c r="K2439" s="37"/>
      <c r="L2439" s="1128"/>
      <c r="M2439" s="327"/>
      <c r="N2439" s="327"/>
      <c r="O2439" s="1129"/>
    </row>
    <row r="2440" spans="1:15" ht="18.75" customHeight="1" x14ac:dyDescent="0.3">
      <c r="A2440" s="2402">
        <v>2434</v>
      </c>
      <c r="B2440" s="28" t="s">
        <v>3589</v>
      </c>
      <c r="C2440" s="216" t="s">
        <v>1344</v>
      </c>
      <c r="D2440" s="416" t="s">
        <v>21</v>
      </c>
      <c r="E2440" s="217" t="s">
        <v>3591</v>
      </c>
      <c r="F2440" s="218" t="s">
        <v>3570</v>
      </c>
      <c r="G2440" s="33">
        <v>16836.47</v>
      </c>
      <c r="H2440" s="1762" t="s">
        <v>3571</v>
      </c>
      <c r="I2440" s="34" t="s">
        <v>25</v>
      </c>
      <c r="J2440" s="327"/>
      <c r="K2440" s="37"/>
      <c r="L2440" s="1128"/>
      <c r="M2440" s="327"/>
      <c r="N2440" s="327"/>
      <c r="O2440" s="1129"/>
    </row>
    <row r="2441" spans="1:15" ht="18.75" customHeight="1" x14ac:dyDescent="0.3">
      <c r="A2441" s="2401">
        <v>2435</v>
      </c>
      <c r="B2441" s="28" t="s">
        <v>3589</v>
      </c>
      <c r="C2441" s="216" t="s">
        <v>1344</v>
      </c>
      <c r="D2441" s="416" t="s">
        <v>21</v>
      </c>
      <c r="E2441" s="217" t="s">
        <v>3592</v>
      </c>
      <c r="F2441" s="218" t="s">
        <v>3570</v>
      </c>
      <c r="G2441" s="33">
        <v>16836.47</v>
      </c>
      <c r="H2441" s="1762" t="s">
        <v>3571</v>
      </c>
      <c r="I2441" s="34" t="s">
        <v>25</v>
      </c>
      <c r="J2441" s="327"/>
      <c r="K2441" s="37"/>
      <c r="L2441" s="1128"/>
      <c r="M2441" s="327"/>
      <c r="N2441" s="327"/>
      <c r="O2441" s="1129"/>
    </row>
    <row r="2442" spans="1:15" ht="18.75" customHeight="1" x14ac:dyDescent="0.3">
      <c r="A2442" s="2402">
        <v>2436</v>
      </c>
      <c r="B2442" s="28" t="s">
        <v>3589</v>
      </c>
      <c r="C2442" s="216" t="s">
        <v>1344</v>
      </c>
      <c r="D2442" s="416" t="s">
        <v>21</v>
      </c>
      <c r="E2442" s="217" t="s">
        <v>3593</v>
      </c>
      <c r="F2442" s="218" t="s">
        <v>3570</v>
      </c>
      <c r="G2442" s="33">
        <v>16836.47</v>
      </c>
      <c r="H2442" s="1762" t="s">
        <v>3571</v>
      </c>
      <c r="I2442" s="34" t="s">
        <v>25</v>
      </c>
      <c r="J2442" s="327"/>
      <c r="K2442" s="37"/>
      <c r="L2442" s="1128"/>
      <c r="M2442" s="327"/>
      <c r="N2442" s="327"/>
      <c r="O2442" s="1129"/>
    </row>
    <row r="2443" spans="1:15" ht="18.75" customHeight="1" x14ac:dyDescent="0.3">
      <c r="A2443" s="2402">
        <v>2437</v>
      </c>
      <c r="B2443" s="28" t="s">
        <v>3589</v>
      </c>
      <c r="C2443" s="216" t="s">
        <v>1344</v>
      </c>
      <c r="D2443" s="416" t="s">
        <v>21</v>
      </c>
      <c r="E2443" s="217" t="s">
        <v>3594</v>
      </c>
      <c r="F2443" s="218" t="s">
        <v>3570</v>
      </c>
      <c r="G2443" s="33">
        <v>16836.47</v>
      </c>
      <c r="H2443" s="1762" t="s">
        <v>3571</v>
      </c>
      <c r="I2443" s="34" t="s">
        <v>25</v>
      </c>
      <c r="J2443" s="327"/>
      <c r="K2443" s="37"/>
      <c r="L2443" s="1128"/>
      <c r="M2443" s="327"/>
      <c r="N2443" s="327"/>
      <c r="O2443" s="1129"/>
    </row>
    <row r="2444" spans="1:15" ht="18.75" customHeight="1" x14ac:dyDescent="0.3">
      <c r="A2444" s="2402">
        <v>2438</v>
      </c>
      <c r="B2444" s="28" t="s">
        <v>3589</v>
      </c>
      <c r="C2444" s="216" t="s">
        <v>1344</v>
      </c>
      <c r="D2444" s="416" t="s">
        <v>21</v>
      </c>
      <c r="E2444" s="217" t="s">
        <v>3595</v>
      </c>
      <c r="F2444" s="218" t="s">
        <v>3570</v>
      </c>
      <c r="G2444" s="33">
        <v>16836.47</v>
      </c>
      <c r="H2444" s="1762" t="s">
        <v>3571</v>
      </c>
      <c r="I2444" s="34" t="s">
        <v>25</v>
      </c>
      <c r="J2444" s="327"/>
      <c r="K2444" s="37"/>
      <c r="L2444" s="1128"/>
      <c r="M2444" s="327"/>
      <c r="N2444" s="327"/>
      <c r="O2444" s="1129"/>
    </row>
    <row r="2445" spans="1:15" ht="18.75" customHeight="1" x14ac:dyDescent="0.3">
      <c r="A2445" s="2402">
        <v>2439</v>
      </c>
      <c r="B2445" s="28" t="s">
        <v>3589</v>
      </c>
      <c r="C2445" s="216" t="s">
        <v>1344</v>
      </c>
      <c r="D2445" s="452" t="s">
        <v>21</v>
      </c>
      <c r="E2445" s="217" t="s">
        <v>3596</v>
      </c>
      <c r="F2445" s="218" t="s">
        <v>3570</v>
      </c>
      <c r="G2445" s="33">
        <v>16836.47</v>
      </c>
      <c r="H2445" s="1762" t="s">
        <v>3571</v>
      </c>
      <c r="I2445" s="34" t="s">
        <v>25</v>
      </c>
      <c r="J2445" s="327"/>
      <c r="K2445" s="37"/>
      <c r="L2445" s="1128"/>
      <c r="M2445" s="327"/>
      <c r="N2445" s="327"/>
      <c r="O2445" s="1129"/>
    </row>
    <row r="2446" spans="1:15" ht="18.75" customHeight="1" x14ac:dyDescent="0.3">
      <c r="A2446" s="2401">
        <v>2440</v>
      </c>
      <c r="B2446" s="28" t="s">
        <v>3589</v>
      </c>
      <c r="C2446" s="216" t="s">
        <v>1344</v>
      </c>
      <c r="D2446" s="495" t="s">
        <v>21</v>
      </c>
      <c r="E2446" s="217" t="s">
        <v>3597</v>
      </c>
      <c r="F2446" s="218" t="s">
        <v>3570</v>
      </c>
      <c r="G2446" s="33">
        <v>16836.47</v>
      </c>
      <c r="H2446" s="1762" t="s">
        <v>3571</v>
      </c>
      <c r="I2446" s="34" t="s">
        <v>25</v>
      </c>
      <c r="J2446" s="327"/>
      <c r="K2446" s="37"/>
      <c r="L2446" s="1128"/>
      <c r="M2446" s="327"/>
      <c r="N2446" s="327"/>
      <c r="O2446" s="1129"/>
    </row>
    <row r="2447" spans="1:15" ht="18.75" customHeight="1" x14ac:dyDescent="0.3">
      <c r="A2447" s="2402">
        <v>2441</v>
      </c>
      <c r="B2447" s="28" t="s">
        <v>3589</v>
      </c>
      <c r="C2447" s="216" t="s">
        <v>1344</v>
      </c>
      <c r="D2447" s="793" t="s">
        <v>21</v>
      </c>
      <c r="E2447" s="217" t="s">
        <v>3598</v>
      </c>
      <c r="F2447" s="218" t="s">
        <v>3570</v>
      </c>
      <c r="G2447" s="33">
        <v>16836.47</v>
      </c>
      <c r="H2447" s="1762" t="s">
        <v>3571</v>
      </c>
      <c r="I2447" s="34" t="s">
        <v>25</v>
      </c>
      <c r="J2447" s="327"/>
      <c r="K2447" s="37"/>
      <c r="L2447" s="1128"/>
      <c r="M2447" s="327"/>
      <c r="N2447" s="327"/>
      <c r="O2447" s="1129"/>
    </row>
    <row r="2448" spans="1:15" ht="18.75" customHeight="1" x14ac:dyDescent="0.3">
      <c r="A2448" s="2402">
        <v>2442</v>
      </c>
      <c r="B2448" s="28" t="s">
        <v>3589</v>
      </c>
      <c r="C2448" s="216" t="s">
        <v>1344</v>
      </c>
      <c r="D2448" s="416" t="s">
        <v>21</v>
      </c>
      <c r="E2448" s="217" t="s">
        <v>3599</v>
      </c>
      <c r="F2448" s="218" t="s">
        <v>3570</v>
      </c>
      <c r="G2448" s="33">
        <v>16836.47</v>
      </c>
      <c r="H2448" s="1762" t="s">
        <v>3571</v>
      </c>
      <c r="I2448" s="34" t="s">
        <v>25</v>
      </c>
      <c r="J2448" s="327"/>
      <c r="K2448" s="37"/>
      <c r="L2448" s="1128"/>
      <c r="M2448" s="327"/>
      <c r="N2448" s="327"/>
      <c r="O2448" s="1129"/>
    </row>
    <row r="2449" spans="1:15" ht="18.75" customHeight="1" x14ac:dyDescent="0.3">
      <c r="A2449" s="2401">
        <v>2443</v>
      </c>
      <c r="B2449" s="28" t="s">
        <v>3589</v>
      </c>
      <c r="C2449" s="216" t="s">
        <v>1344</v>
      </c>
      <c r="D2449" s="416" t="s">
        <v>21</v>
      </c>
      <c r="E2449" s="217" t="s">
        <v>3600</v>
      </c>
      <c r="F2449" s="218" t="s">
        <v>3570</v>
      </c>
      <c r="G2449" s="33">
        <v>16836.47</v>
      </c>
      <c r="H2449" s="1762" t="s">
        <v>3571</v>
      </c>
      <c r="I2449" s="34" t="s">
        <v>25</v>
      </c>
      <c r="J2449" s="327"/>
      <c r="K2449" s="37"/>
      <c r="L2449" s="1128"/>
      <c r="M2449" s="327"/>
      <c r="N2449" s="327"/>
      <c r="O2449" s="1129"/>
    </row>
    <row r="2450" spans="1:15" ht="18.75" customHeight="1" x14ac:dyDescent="0.3">
      <c r="A2450" s="2402">
        <v>2444</v>
      </c>
      <c r="B2450" s="28" t="s">
        <v>3589</v>
      </c>
      <c r="C2450" s="216" t="s">
        <v>1344</v>
      </c>
      <c r="D2450" s="416" t="s">
        <v>21</v>
      </c>
      <c r="E2450" s="217" t="s">
        <v>3601</v>
      </c>
      <c r="F2450" s="218" t="s">
        <v>3570</v>
      </c>
      <c r="G2450" s="33">
        <v>16836.47</v>
      </c>
      <c r="H2450" s="1762" t="s">
        <v>3571</v>
      </c>
      <c r="I2450" s="34" t="s">
        <v>25</v>
      </c>
      <c r="J2450" s="327"/>
      <c r="K2450" s="37"/>
      <c r="L2450" s="1128"/>
      <c r="M2450" s="327"/>
      <c r="N2450" s="327"/>
      <c r="O2450" s="1129"/>
    </row>
    <row r="2451" spans="1:15" ht="18.75" customHeight="1" x14ac:dyDescent="0.3">
      <c r="A2451" s="2402">
        <v>2445</v>
      </c>
      <c r="B2451" s="28" t="s">
        <v>3589</v>
      </c>
      <c r="C2451" s="216" t="s">
        <v>1344</v>
      </c>
      <c r="D2451" s="416" t="s">
        <v>21</v>
      </c>
      <c r="E2451" s="217" t="s">
        <v>3602</v>
      </c>
      <c r="F2451" s="218" t="s">
        <v>3570</v>
      </c>
      <c r="G2451" s="33">
        <v>16836.47</v>
      </c>
      <c r="H2451" s="1762" t="s">
        <v>3571</v>
      </c>
      <c r="I2451" s="34" t="s">
        <v>25</v>
      </c>
      <c r="J2451" s="327"/>
      <c r="K2451" s="37"/>
      <c r="L2451" s="1128"/>
      <c r="M2451" s="327"/>
      <c r="N2451" s="327"/>
      <c r="O2451" s="1129"/>
    </row>
    <row r="2452" spans="1:15" ht="18.75" customHeight="1" x14ac:dyDescent="0.3">
      <c r="A2452" s="2402">
        <v>2446</v>
      </c>
      <c r="B2452" s="28" t="s">
        <v>3589</v>
      </c>
      <c r="C2452" s="216" t="s">
        <v>1344</v>
      </c>
      <c r="D2452" s="416" t="s">
        <v>21</v>
      </c>
      <c r="E2452" s="217" t="s">
        <v>3603</v>
      </c>
      <c r="F2452" s="218" t="s">
        <v>3570</v>
      </c>
      <c r="G2452" s="33">
        <v>16836.47</v>
      </c>
      <c r="H2452" s="1762" t="s">
        <v>3571</v>
      </c>
      <c r="I2452" s="34" t="s">
        <v>25</v>
      </c>
      <c r="J2452" s="327"/>
      <c r="K2452" s="37"/>
      <c r="L2452" s="1128"/>
      <c r="M2452" s="327"/>
      <c r="N2452" s="327"/>
      <c r="O2452" s="1129"/>
    </row>
    <row r="2453" spans="1:15" ht="18.75" customHeight="1" x14ac:dyDescent="0.3">
      <c r="A2453" s="2402">
        <v>2447</v>
      </c>
      <c r="B2453" s="28" t="s">
        <v>3589</v>
      </c>
      <c r="C2453" s="216" t="s">
        <v>1344</v>
      </c>
      <c r="D2453" s="416" t="s">
        <v>21</v>
      </c>
      <c r="E2453" s="217" t="s">
        <v>3604</v>
      </c>
      <c r="F2453" s="218" t="s">
        <v>3570</v>
      </c>
      <c r="G2453" s="33">
        <v>16836.47</v>
      </c>
      <c r="H2453" s="1762" t="s">
        <v>3571</v>
      </c>
      <c r="I2453" s="34" t="s">
        <v>25</v>
      </c>
      <c r="J2453" s="327"/>
      <c r="K2453" s="37"/>
      <c r="L2453" s="1128"/>
      <c r="M2453" s="327"/>
      <c r="N2453" s="327"/>
      <c r="O2453" s="1129"/>
    </row>
    <row r="2454" spans="1:15" ht="18.75" customHeight="1" x14ac:dyDescent="0.3">
      <c r="A2454" s="2401">
        <v>2448</v>
      </c>
      <c r="B2454" s="28" t="s">
        <v>3589</v>
      </c>
      <c r="C2454" s="216" t="s">
        <v>1344</v>
      </c>
      <c r="D2454" s="416" t="s">
        <v>21</v>
      </c>
      <c r="E2454" s="217" t="s">
        <v>3605</v>
      </c>
      <c r="F2454" s="218" t="s">
        <v>3570</v>
      </c>
      <c r="G2454" s="33">
        <v>16836.47</v>
      </c>
      <c r="H2454" s="1762" t="s">
        <v>3571</v>
      </c>
      <c r="I2454" s="34" t="s">
        <v>25</v>
      </c>
      <c r="J2454" s="327"/>
      <c r="K2454" s="37"/>
      <c r="L2454" s="1128"/>
      <c r="M2454" s="327"/>
      <c r="N2454" s="327"/>
      <c r="O2454" s="1129"/>
    </row>
    <row r="2455" spans="1:15" ht="18.75" customHeight="1" x14ac:dyDescent="0.3">
      <c r="A2455" s="2402">
        <v>2449</v>
      </c>
      <c r="B2455" s="28" t="s">
        <v>3589</v>
      </c>
      <c r="C2455" s="216" t="s">
        <v>1344</v>
      </c>
      <c r="D2455" s="416" t="s">
        <v>21</v>
      </c>
      <c r="E2455" s="217" t="s">
        <v>3606</v>
      </c>
      <c r="F2455" s="218" t="s">
        <v>3570</v>
      </c>
      <c r="G2455" s="33">
        <v>16836.47</v>
      </c>
      <c r="H2455" s="1762" t="s">
        <v>3571</v>
      </c>
      <c r="I2455" s="34" t="s">
        <v>25</v>
      </c>
      <c r="J2455" s="327"/>
      <c r="K2455" s="37"/>
      <c r="L2455" s="1128"/>
      <c r="M2455" s="327"/>
      <c r="N2455" s="327"/>
      <c r="O2455" s="1129"/>
    </row>
    <row r="2456" spans="1:15" ht="18.75" customHeight="1" x14ac:dyDescent="0.3">
      <c r="A2456" s="2402">
        <v>2450</v>
      </c>
      <c r="B2456" s="28" t="s">
        <v>3589</v>
      </c>
      <c r="C2456" s="216" t="s">
        <v>1344</v>
      </c>
      <c r="D2456" s="416" t="s">
        <v>21</v>
      </c>
      <c r="E2456" s="217" t="s">
        <v>3607</v>
      </c>
      <c r="F2456" s="218" t="s">
        <v>3570</v>
      </c>
      <c r="G2456" s="33">
        <v>16836.47</v>
      </c>
      <c r="H2456" s="1762" t="s">
        <v>3571</v>
      </c>
      <c r="I2456" s="34" t="s">
        <v>25</v>
      </c>
      <c r="J2456" s="327"/>
      <c r="K2456" s="37"/>
      <c r="L2456" s="1128"/>
      <c r="M2456" s="327"/>
      <c r="N2456" s="327"/>
      <c r="O2456" s="1129"/>
    </row>
    <row r="2457" spans="1:15" ht="18.75" customHeight="1" x14ac:dyDescent="0.3">
      <c r="A2457" s="2401">
        <v>2451</v>
      </c>
      <c r="B2457" s="28" t="s">
        <v>3589</v>
      </c>
      <c r="C2457" s="216" t="s">
        <v>1344</v>
      </c>
      <c r="D2457" s="416" t="s">
        <v>21</v>
      </c>
      <c r="E2457" s="217" t="s">
        <v>3608</v>
      </c>
      <c r="F2457" s="218" t="s">
        <v>3570</v>
      </c>
      <c r="G2457" s="33">
        <v>16836.47</v>
      </c>
      <c r="H2457" s="1762" t="s">
        <v>3571</v>
      </c>
      <c r="I2457" s="34" t="s">
        <v>25</v>
      </c>
      <c r="J2457" s="327"/>
      <c r="K2457" s="37"/>
      <c r="L2457" s="1128"/>
      <c r="M2457" s="327"/>
      <c r="N2457" s="327"/>
      <c r="O2457" s="1129"/>
    </row>
    <row r="2458" spans="1:15" ht="18.75" customHeight="1" x14ac:dyDescent="0.3">
      <c r="A2458" s="2402">
        <v>2452</v>
      </c>
      <c r="B2458" s="28" t="s">
        <v>3589</v>
      </c>
      <c r="C2458" s="216" t="s">
        <v>1344</v>
      </c>
      <c r="D2458" s="416" t="s">
        <v>21</v>
      </c>
      <c r="E2458" s="217" t="s">
        <v>3609</v>
      </c>
      <c r="F2458" s="218" t="s">
        <v>3570</v>
      </c>
      <c r="G2458" s="33">
        <v>16836.47</v>
      </c>
      <c r="H2458" s="1762" t="s">
        <v>3571</v>
      </c>
      <c r="I2458" s="34" t="s">
        <v>25</v>
      </c>
      <c r="J2458" s="327"/>
      <c r="K2458" s="37"/>
      <c r="L2458" s="1128"/>
      <c r="M2458" s="327"/>
      <c r="N2458" s="327"/>
      <c r="O2458" s="1129"/>
    </row>
    <row r="2459" spans="1:15" ht="18.75" customHeight="1" x14ac:dyDescent="0.3">
      <c r="A2459" s="2402">
        <v>2453</v>
      </c>
      <c r="B2459" s="28" t="s">
        <v>3589</v>
      </c>
      <c r="C2459" s="216" t="s">
        <v>1344</v>
      </c>
      <c r="D2459" s="416" t="s">
        <v>21</v>
      </c>
      <c r="E2459" s="217" t="s">
        <v>3610</v>
      </c>
      <c r="F2459" s="218" t="s">
        <v>3570</v>
      </c>
      <c r="G2459" s="33">
        <v>16836.47</v>
      </c>
      <c r="H2459" s="1762" t="s">
        <v>3571</v>
      </c>
      <c r="I2459" s="34" t="s">
        <v>25</v>
      </c>
      <c r="J2459" s="327"/>
      <c r="K2459" s="37"/>
      <c r="L2459" s="1128"/>
      <c r="M2459" s="327"/>
      <c r="N2459" s="327"/>
      <c r="O2459" s="1129"/>
    </row>
    <row r="2460" spans="1:15" ht="18.75" customHeight="1" x14ac:dyDescent="0.3">
      <c r="A2460" s="2402">
        <v>2454</v>
      </c>
      <c r="B2460" s="28" t="s">
        <v>3589</v>
      </c>
      <c r="C2460" s="216" t="s">
        <v>1344</v>
      </c>
      <c r="D2460" s="416" t="s">
        <v>21</v>
      </c>
      <c r="E2460" s="217" t="s">
        <v>3611</v>
      </c>
      <c r="F2460" s="218" t="s">
        <v>3570</v>
      </c>
      <c r="G2460" s="33">
        <v>16836.47</v>
      </c>
      <c r="H2460" s="1762" t="s">
        <v>3571</v>
      </c>
      <c r="I2460" s="34" t="s">
        <v>25</v>
      </c>
      <c r="J2460" s="327"/>
      <c r="K2460" s="37"/>
      <c r="L2460" s="1128"/>
      <c r="M2460" s="327"/>
      <c r="N2460" s="327"/>
      <c r="O2460" s="1129"/>
    </row>
    <row r="2461" spans="1:15" ht="18.75" customHeight="1" x14ac:dyDescent="0.3">
      <c r="A2461" s="2402">
        <v>2455</v>
      </c>
      <c r="B2461" s="28" t="s">
        <v>3589</v>
      </c>
      <c r="C2461" s="216" t="s">
        <v>1344</v>
      </c>
      <c r="D2461" s="416" t="s">
        <v>21</v>
      </c>
      <c r="E2461" s="217" t="s">
        <v>3612</v>
      </c>
      <c r="F2461" s="218" t="s">
        <v>3570</v>
      </c>
      <c r="G2461" s="33">
        <v>16836.47</v>
      </c>
      <c r="H2461" s="1762" t="s">
        <v>3571</v>
      </c>
      <c r="I2461" s="34" t="s">
        <v>25</v>
      </c>
      <c r="J2461" s="327"/>
      <c r="K2461" s="37"/>
      <c r="L2461" s="1128"/>
      <c r="M2461" s="327"/>
      <c r="N2461" s="327"/>
      <c r="O2461" s="1129"/>
    </row>
    <row r="2462" spans="1:15" ht="18.75" customHeight="1" x14ac:dyDescent="0.3">
      <c r="A2462" s="2401">
        <v>2456</v>
      </c>
      <c r="B2462" s="28" t="s">
        <v>3589</v>
      </c>
      <c r="C2462" s="216" t="s">
        <v>1344</v>
      </c>
      <c r="D2462" s="416" t="s">
        <v>21</v>
      </c>
      <c r="E2462" s="217" t="s">
        <v>3613</v>
      </c>
      <c r="F2462" s="218" t="s">
        <v>3570</v>
      </c>
      <c r="G2462" s="33">
        <v>16836.47</v>
      </c>
      <c r="H2462" s="1762" t="s">
        <v>3571</v>
      </c>
      <c r="I2462" s="34" t="s">
        <v>25</v>
      </c>
      <c r="J2462" s="327"/>
      <c r="K2462" s="37"/>
      <c r="L2462" s="1128"/>
      <c r="M2462" s="327"/>
      <c r="N2462" s="327"/>
      <c r="O2462" s="1129"/>
    </row>
    <row r="2463" spans="1:15" ht="18.75" customHeight="1" x14ac:dyDescent="0.3">
      <c r="A2463" s="2402">
        <v>2457</v>
      </c>
      <c r="B2463" s="28" t="s">
        <v>3589</v>
      </c>
      <c r="C2463" s="216" t="s">
        <v>1344</v>
      </c>
      <c r="D2463" s="452" t="s">
        <v>21</v>
      </c>
      <c r="E2463" s="217" t="s">
        <v>3614</v>
      </c>
      <c r="F2463" s="218" t="s">
        <v>3570</v>
      </c>
      <c r="G2463" s="33">
        <v>16836.47</v>
      </c>
      <c r="H2463" s="1762" t="s">
        <v>3571</v>
      </c>
      <c r="I2463" s="34" t="s">
        <v>25</v>
      </c>
      <c r="J2463" s="327"/>
      <c r="K2463" s="37"/>
      <c r="L2463" s="1128"/>
      <c r="M2463" s="327"/>
      <c r="N2463" s="327"/>
      <c r="O2463" s="1129"/>
    </row>
    <row r="2464" spans="1:15" ht="18.75" customHeight="1" x14ac:dyDescent="0.3">
      <c r="A2464" s="2402">
        <v>2458</v>
      </c>
      <c r="B2464" s="28" t="s">
        <v>3589</v>
      </c>
      <c r="C2464" s="216" t="s">
        <v>1344</v>
      </c>
      <c r="D2464" s="495" t="s">
        <v>21</v>
      </c>
      <c r="E2464" s="217" t="s">
        <v>3615</v>
      </c>
      <c r="F2464" s="218" t="s">
        <v>3570</v>
      </c>
      <c r="G2464" s="33">
        <v>16836.47</v>
      </c>
      <c r="H2464" s="1762" t="s">
        <v>3571</v>
      </c>
      <c r="I2464" s="34" t="s">
        <v>25</v>
      </c>
      <c r="J2464" s="327"/>
      <c r="K2464" s="37"/>
      <c r="L2464" s="1128"/>
      <c r="M2464" s="327"/>
      <c r="N2464" s="327"/>
      <c r="O2464" s="1129"/>
    </row>
    <row r="2465" spans="1:15" ht="18.75" customHeight="1" x14ac:dyDescent="0.3">
      <c r="A2465" s="2401">
        <v>2459</v>
      </c>
      <c r="B2465" s="28" t="s">
        <v>3589</v>
      </c>
      <c r="C2465" s="216" t="s">
        <v>1344</v>
      </c>
      <c r="D2465" s="793" t="s">
        <v>21</v>
      </c>
      <c r="E2465" s="217" t="s">
        <v>3616</v>
      </c>
      <c r="F2465" s="218" t="s">
        <v>3570</v>
      </c>
      <c r="G2465" s="33">
        <v>16836.47</v>
      </c>
      <c r="H2465" s="1762" t="s">
        <v>3571</v>
      </c>
      <c r="I2465" s="34" t="s">
        <v>25</v>
      </c>
      <c r="J2465" s="327"/>
      <c r="K2465" s="37"/>
      <c r="L2465" s="1128"/>
      <c r="M2465" s="327"/>
      <c r="N2465" s="327"/>
      <c r="O2465" s="1129"/>
    </row>
    <row r="2466" spans="1:15" ht="18.75" customHeight="1" x14ac:dyDescent="0.3">
      <c r="A2466" s="2402">
        <v>2460</v>
      </c>
      <c r="B2466" s="28" t="s">
        <v>3589</v>
      </c>
      <c r="C2466" s="216" t="s">
        <v>1344</v>
      </c>
      <c r="D2466" s="416" t="s">
        <v>21</v>
      </c>
      <c r="E2466" s="217" t="s">
        <v>3617</v>
      </c>
      <c r="F2466" s="218" t="s">
        <v>3570</v>
      </c>
      <c r="G2466" s="33">
        <v>16836.47</v>
      </c>
      <c r="H2466" s="1762" t="s">
        <v>3571</v>
      </c>
      <c r="I2466" s="34" t="s">
        <v>25</v>
      </c>
      <c r="J2466" s="327"/>
      <c r="K2466" s="37"/>
      <c r="L2466" s="1128"/>
      <c r="M2466" s="327"/>
      <c r="N2466" s="327"/>
      <c r="O2466" s="1129"/>
    </row>
    <row r="2467" spans="1:15" ht="18.75" customHeight="1" x14ac:dyDescent="0.3">
      <c r="A2467" s="2402">
        <v>2461</v>
      </c>
      <c r="B2467" s="28" t="s">
        <v>3589</v>
      </c>
      <c r="C2467" s="216" t="s">
        <v>1344</v>
      </c>
      <c r="D2467" s="416" t="s">
        <v>21</v>
      </c>
      <c r="E2467" s="217" t="s">
        <v>3618</v>
      </c>
      <c r="F2467" s="218" t="s">
        <v>3570</v>
      </c>
      <c r="G2467" s="33">
        <v>16836.47</v>
      </c>
      <c r="H2467" s="1762" t="s">
        <v>3571</v>
      </c>
      <c r="I2467" s="34" t="s">
        <v>25</v>
      </c>
      <c r="J2467" s="327"/>
      <c r="K2467" s="37"/>
      <c r="L2467" s="1128"/>
      <c r="M2467" s="327"/>
      <c r="N2467" s="327"/>
      <c r="O2467" s="1129"/>
    </row>
    <row r="2468" spans="1:15" ht="18.75" customHeight="1" x14ac:dyDescent="0.3">
      <c r="A2468" s="2402">
        <v>2462</v>
      </c>
      <c r="B2468" s="28" t="s">
        <v>3589</v>
      </c>
      <c r="C2468" s="216" t="s">
        <v>1344</v>
      </c>
      <c r="D2468" s="416" t="s">
        <v>21</v>
      </c>
      <c r="E2468" s="217" t="s">
        <v>3619</v>
      </c>
      <c r="F2468" s="218" t="s">
        <v>3570</v>
      </c>
      <c r="G2468" s="1141">
        <v>16836.47</v>
      </c>
      <c r="H2468" s="1762" t="s">
        <v>3571</v>
      </c>
      <c r="I2468" s="34" t="s">
        <v>25</v>
      </c>
      <c r="J2468" s="327"/>
      <c r="K2468" s="37"/>
      <c r="L2468" s="1128"/>
      <c r="M2468" s="327"/>
      <c r="N2468" s="327"/>
      <c r="O2468" s="1129"/>
    </row>
    <row r="2469" spans="1:15" ht="18.75" customHeight="1" x14ac:dyDescent="0.3">
      <c r="A2469" s="2402">
        <v>2463</v>
      </c>
      <c r="B2469" s="28" t="s">
        <v>3589</v>
      </c>
      <c r="C2469" s="216" t="s">
        <v>1344</v>
      </c>
      <c r="D2469" s="416" t="s">
        <v>21</v>
      </c>
      <c r="E2469" s="217" t="s">
        <v>3620</v>
      </c>
      <c r="F2469" s="218" t="s">
        <v>3570</v>
      </c>
      <c r="G2469" s="33">
        <v>16836.47</v>
      </c>
      <c r="H2469" s="1762" t="s">
        <v>3571</v>
      </c>
      <c r="I2469" s="34" t="s">
        <v>25</v>
      </c>
      <c r="J2469" s="327"/>
      <c r="K2469" s="37"/>
      <c r="L2469" s="1128"/>
      <c r="M2469" s="327"/>
      <c r="N2469" s="327"/>
      <c r="O2469" s="1129"/>
    </row>
    <row r="2470" spans="1:15" ht="18.75" customHeight="1" x14ac:dyDescent="0.3">
      <c r="A2470" s="2401">
        <v>2464</v>
      </c>
      <c r="B2470" s="28" t="s">
        <v>3589</v>
      </c>
      <c r="C2470" s="216" t="s">
        <v>1344</v>
      </c>
      <c r="D2470" s="416" t="s">
        <v>21</v>
      </c>
      <c r="E2470" s="217" t="s">
        <v>3621</v>
      </c>
      <c r="F2470" s="218" t="s">
        <v>3570</v>
      </c>
      <c r="G2470" s="33">
        <v>16836.47</v>
      </c>
      <c r="H2470" s="1762" t="s">
        <v>3571</v>
      </c>
      <c r="I2470" s="34" t="s">
        <v>25</v>
      </c>
      <c r="J2470" s="327"/>
      <c r="K2470" s="37"/>
      <c r="L2470" s="1128"/>
      <c r="M2470" s="327"/>
      <c r="N2470" s="327"/>
      <c r="O2470" s="1129"/>
    </row>
    <row r="2471" spans="1:15" ht="18.75" customHeight="1" x14ac:dyDescent="0.3">
      <c r="A2471" s="2402">
        <v>2465</v>
      </c>
      <c r="B2471" s="28" t="s">
        <v>3589</v>
      </c>
      <c r="C2471" s="216" t="s">
        <v>1344</v>
      </c>
      <c r="D2471" s="416" t="s">
        <v>21</v>
      </c>
      <c r="E2471" s="217" t="s">
        <v>3622</v>
      </c>
      <c r="F2471" s="218" t="s">
        <v>3570</v>
      </c>
      <c r="G2471" s="33">
        <v>16836.47</v>
      </c>
      <c r="H2471" s="1762" t="s">
        <v>3571</v>
      </c>
      <c r="I2471" s="34" t="s">
        <v>25</v>
      </c>
      <c r="J2471" s="327"/>
      <c r="K2471" s="37"/>
      <c r="L2471" s="1128"/>
      <c r="M2471" s="327"/>
      <c r="N2471" s="327"/>
      <c r="O2471" s="1129"/>
    </row>
    <row r="2472" spans="1:15" ht="18.75" customHeight="1" x14ac:dyDescent="0.3">
      <c r="A2472" s="2402">
        <v>2466</v>
      </c>
      <c r="B2472" s="28" t="s">
        <v>3589</v>
      </c>
      <c r="C2472" s="216" t="s">
        <v>1344</v>
      </c>
      <c r="D2472" s="416" t="s">
        <v>21</v>
      </c>
      <c r="E2472" s="217" t="s">
        <v>3623</v>
      </c>
      <c r="F2472" s="218" t="s">
        <v>3570</v>
      </c>
      <c r="G2472" s="33">
        <v>16836.47</v>
      </c>
      <c r="H2472" s="1762" t="s">
        <v>3571</v>
      </c>
      <c r="I2472" s="34" t="s">
        <v>25</v>
      </c>
      <c r="J2472" s="327"/>
      <c r="K2472" s="37"/>
      <c r="L2472" s="1128"/>
      <c r="M2472" s="327"/>
      <c r="N2472" s="327"/>
      <c r="O2472" s="1129"/>
    </row>
    <row r="2473" spans="1:15" ht="18.75" customHeight="1" x14ac:dyDescent="0.3">
      <c r="A2473" s="2401">
        <v>2467</v>
      </c>
      <c r="B2473" s="28" t="s">
        <v>3589</v>
      </c>
      <c r="C2473" s="216" t="s">
        <v>1344</v>
      </c>
      <c r="D2473" s="416" t="s">
        <v>21</v>
      </c>
      <c r="E2473" s="217" t="s">
        <v>3624</v>
      </c>
      <c r="F2473" s="218" t="s">
        <v>3570</v>
      </c>
      <c r="G2473" s="33">
        <v>16836.47</v>
      </c>
      <c r="H2473" s="1762" t="s">
        <v>3571</v>
      </c>
      <c r="I2473" s="34" t="s">
        <v>25</v>
      </c>
      <c r="J2473" s="327"/>
      <c r="K2473" s="37"/>
      <c r="L2473" s="1128"/>
      <c r="M2473" s="327"/>
      <c r="N2473" s="327"/>
      <c r="O2473" s="1129"/>
    </row>
    <row r="2474" spans="1:15" ht="18.75" customHeight="1" x14ac:dyDescent="0.3">
      <c r="A2474" s="2402">
        <v>2468</v>
      </c>
      <c r="B2474" s="28" t="s">
        <v>3589</v>
      </c>
      <c r="C2474" s="216" t="s">
        <v>1344</v>
      </c>
      <c r="D2474" s="416" t="s">
        <v>21</v>
      </c>
      <c r="E2474" s="217" t="s">
        <v>3625</v>
      </c>
      <c r="F2474" s="218" t="s">
        <v>3570</v>
      </c>
      <c r="G2474" s="33">
        <v>16836.47</v>
      </c>
      <c r="H2474" s="1762" t="s">
        <v>3571</v>
      </c>
      <c r="I2474" s="34" t="s">
        <v>25</v>
      </c>
      <c r="J2474" s="327"/>
      <c r="K2474" s="37"/>
      <c r="L2474" s="1128"/>
      <c r="M2474" s="327"/>
      <c r="N2474" s="327"/>
      <c r="O2474" s="1129"/>
    </row>
    <row r="2475" spans="1:15" ht="18.75" customHeight="1" x14ac:dyDescent="0.3">
      <c r="A2475" s="2402">
        <v>2469</v>
      </c>
      <c r="B2475" s="28" t="s">
        <v>3589</v>
      </c>
      <c r="C2475" s="216" t="s">
        <v>1344</v>
      </c>
      <c r="D2475" s="416" t="s">
        <v>21</v>
      </c>
      <c r="E2475" s="217" t="s">
        <v>3626</v>
      </c>
      <c r="F2475" s="218" t="s">
        <v>3570</v>
      </c>
      <c r="G2475" s="33">
        <v>16836.47</v>
      </c>
      <c r="H2475" s="1762" t="s">
        <v>3571</v>
      </c>
      <c r="I2475" s="34" t="s">
        <v>25</v>
      </c>
      <c r="J2475" s="327"/>
      <c r="K2475" s="37"/>
      <c r="L2475" s="1128"/>
      <c r="M2475" s="327"/>
      <c r="N2475" s="327"/>
      <c r="O2475" s="1129"/>
    </row>
    <row r="2476" spans="1:15" ht="18.75" customHeight="1" x14ac:dyDescent="0.3">
      <c r="A2476" s="2402">
        <v>2470</v>
      </c>
      <c r="B2476" s="28" t="s">
        <v>3589</v>
      </c>
      <c r="C2476" s="216" t="s">
        <v>1344</v>
      </c>
      <c r="D2476" s="416" t="s">
        <v>21</v>
      </c>
      <c r="E2476" s="217" t="s">
        <v>3627</v>
      </c>
      <c r="F2476" s="218" t="s">
        <v>3570</v>
      </c>
      <c r="G2476" s="33">
        <v>16836.47</v>
      </c>
      <c r="H2476" s="1762" t="s">
        <v>3571</v>
      </c>
      <c r="I2476" s="34" t="s">
        <v>25</v>
      </c>
      <c r="J2476" s="327"/>
      <c r="K2476" s="37"/>
      <c r="L2476" s="1128"/>
      <c r="M2476" s="327"/>
      <c r="N2476" s="327"/>
      <c r="O2476" s="1129"/>
    </row>
    <row r="2477" spans="1:15" ht="18.75" customHeight="1" x14ac:dyDescent="0.3">
      <c r="A2477" s="2402">
        <v>2471</v>
      </c>
      <c r="B2477" s="28" t="s">
        <v>3589</v>
      </c>
      <c r="C2477" s="216" t="s">
        <v>1344</v>
      </c>
      <c r="D2477" s="416" t="s">
        <v>21</v>
      </c>
      <c r="E2477" s="217" t="s">
        <v>3628</v>
      </c>
      <c r="F2477" s="218" t="s">
        <v>3570</v>
      </c>
      <c r="G2477" s="33">
        <v>16836.47</v>
      </c>
      <c r="H2477" s="1762" t="s">
        <v>3571</v>
      </c>
      <c r="I2477" s="34" t="s">
        <v>25</v>
      </c>
      <c r="J2477" s="327"/>
      <c r="K2477" s="37"/>
      <c r="L2477" s="1128"/>
      <c r="M2477" s="327"/>
      <c r="N2477" s="327"/>
      <c r="O2477" s="1129"/>
    </row>
    <row r="2478" spans="1:15" ht="18.75" customHeight="1" x14ac:dyDescent="0.3">
      <c r="A2478" s="2401">
        <v>2472</v>
      </c>
      <c r="B2478" s="28" t="s">
        <v>3589</v>
      </c>
      <c r="C2478" s="216" t="s">
        <v>1344</v>
      </c>
      <c r="D2478" s="416" t="s">
        <v>21</v>
      </c>
      <c r="E2478" s="217" t="s">
        <v>3629</v>
      </c>
      <c r="F2478" s="218" t="s">
        <v>3570</v>
      </c>
      <c r="G2478" s="33">
        <v>16836.47</v>
      </c>
      <c r="H2478" s="1762" t="s">
        <v>3571</v>
      </c>
      <c r="I2478" s="34" t="s">
        <v>25</v>
      </c>
      <c r="J2478" s="327"/>
      <c r="K2478" s="37"/>
      <c r="L2478" s="1128"/>
      <c r="M2478" s="327"/>
      <c r="N2478" s="327"/>
      <c r="O2478" s="1129"/>
    </row>
    <row r="2479" spans="1:15" ht="18.75" customHeight="1" x14ac:dyDescent="0.3">
      <c r="A2479" s="2402">
        <v>2473</v>
      </c>
      <c r="B2479" s="28" t="s">
        <v>3589</v>
      </c>
      <c r="C2479" s="216" t="s">
        <v>1344</v>
      </c>
      <c r="D2479" s="416" t="s">
        <v>21</v>
      </c>
      <c r="E2479" s="217" t="s">
        <v>3630</v>
      </c>
      <c r="F2479" s="218" t="s">
        <v>3570</v>
      </c>
      <c r="G2479" s="33">
        <v>16836.47</v>
      </c>
      <c r="H2479" s="1762" t="s">
        <v>3571</v>
      </c>
      <c r="I2479" s="34" t="s">
        <v>25</v>
      </c>
      <c r="J2479" s="327"/>
      <c r="K2479" s="37"/>
      <c r="L2479" s="1128"/>
      <c r="M2479" s="327"/>
      <c r="N2479" s="327"/>
      <c r="O2479" s="1129"/>
    </row>
    <row r="2480" spans="1:15" ht="18.75" customHeight="1" x14ac:dyDescent="0.3">
      <c r="A2480" s="2402">
        <v>2474</v>
      </c>
      <c r="B2480" s="28" t="s">
        <v>3589</v>
      </c>
      <c r="C2480" s="216" t="s">
        <v>1344</v>
      </c>
      <c r="D2480" s="416" t="s">
        <v>21</v>
      </c>
      <c r="E2480" s="217" t="s">
        <v>3631</v>
      </c>
      <c r="F2480" s="218" t="s">
        <v>3570</v>
      </c>
      <c r="G2480" s="33">
        <v>16836.47</v>
      </c>
      <c r="H2480" s="1762" t="s">
        <v>3571</v>
      </c>
      <c r="I2480" s="34" t="s">
        <v>25</v>
      </c>
      <c r="J2480" s="327"/>
      <c r="K2480" s="37"/>
      <c r="L2480" s="1128"/>
      <c r="M2480" s="327"/>
      <c r="N2480" s="327"/>
      <c r="O2480" s="1129"/>
    </row>
    <row r="2481" spans="1:15" ht="18.75" customHeight="1" x14ac:dyDescent="0.3">
      <c r="A2481" s="2401">
        <v>2475</v>
      </c>
      <c r="B2481" s="28" t="s">
        <v>3589</v>
      </c>
      <c r="C2481" s="216" t="s">
        <v>1344</v>
      </c>
      <c r="D2481" s="452" t="s">
        <v>21</v>
      </c>
      <c r="E2481" s="217" t="s">
        <v>3632</v>
      </c>
      <c r="F2481" s="218" t="s">
        <v>3570</v>
      </c>
      <c r="G2481" s="33">
        <v>16836.47</v>
      </c>
      <c r="H2481" s="1762" t="s">
        <v>3571</v>
      </c>
      <c r="I2481" s="34" t="s">
        <v>25</v>
      </c>
      <c r="J2481" s="327"/>
      <c r="K2481" s="37"/>
      <c r="L2481" s="1128"/>
      <c r="M2481" s="327"/>
      <c r="N2481" s="327"/>
      <c r="O2481" s="1129"/>
    </row>
    <row r="2482" spans="1:15" ht="18.75" customHeight="1" x14ac:dyDescent="0.3">
      <c r="A2482" s="2402">
        <v>2476</v>
      </c>
      <c r="B2482" s="28" t="s">
        <v>3589</v>
      </c>
      <c r="C2482" s="216" t="s">
        <v>1344</v>
      </c>
      <c r="D2482" s="495" t="s">
        <v>21</v>
      </c>
      <c r="E2482" s="217" t="s">
        <v>3633</v>
      </c>
      <c r="F2482" s="218" t="s">
        <v>3570</v>
      </c>
      <c r="G2482" s="33">
        <v>16836.47</v>
      </c>
      <c r="H2482" s="1762" t="s">
        <v>3571</v>
      </c>
      <c r="I2482" s="34" t="s">
        <v>25</v>
      </c>
      <c r="J2482" s="327"/>
      <c r="K2482" s="37"/>
      <c r="L2482" s="1128"/>
      <c r="M2482" s="327"/>
      <c r="N2482" s="327"/>
      <c r="O2482" s="1129"/>
    </row>
    <row r="2483" spans="1:15" ht="18.75" customHeight="1" x14ac:dyDescent="0.3">
      <c r="A2483" s="2402">
        <v>2477</v>
      </c>
      <c r="B2483" s="28" t="s">
        <v>3589</v>
      </c>
      <c r="C2483" s="216" t="s">
        <v>1344</v>
      </c>
      <c r="D2483" s="793" t="s">
        <v>21</v>
      </c>
      <c r="E2483" s="217" t="s">
        <v>3634</v>
      </c>
      <c r="F2483" s="218" t="s">
        <v>3570</v>
      </c>
      <c r="G2483" s="33">
        <v>16836.47</v>
      </c>
      <c r="H2483" s="1762" t="s">
        <v>3571</v>
      </c>
      <c r="I2483" s="34" t="s">
        <v>25</v>
      </c>
      <c r="J2483" s="327"/>
      <c r="K2483" s="37"/>
      <c r="L2483" s="1128"/>
      <c r="M2483" s="327"/>
      <c r="N2483" s="327"/>
      <c r="O2483" s="1129"/>
    </row>
    <row r="2484" spans="1:15" ht="18.75" customHeight="1" x14ac:dyDescent="0.3">
      <c r="A2484" s="2402">
        <v>2478</v>
      </c>
      <c r="B2484" s="28" t="s">
        <v>3589</v>
      </c>
      <c r="C2484" s="216" t="s">
        <v>1344</v>
      </c>
      <c r="D2484" s="416" t="s">
        <v>21</v>
      </c>
      <c r="E2484" s="217" t="s">
        <v>3635</v>
      </c>
      <c r="F2484" s="218" t="s">
        <v>3570</v>
      </c>
      <c r="G2484" s="33">
        <v>16836.47</v>
      </c>
      <c r="H2484" s="1762" t="s">
        <v>3571</v>
      </c>
      <c r="I2484" s="34" t="s">
        <v>25</v>
      </c>
      <c r="J2484" s="327"/>
      <c r="K2484" s="37"/>
      <c r="L2484" s="1128"/>
      <c r="M2484" s="327"/>
      <c r="N2484" s="327"/>
      <c r="O2484" s="1129"/>
    </row>
    <row r="2485" spans="1:15" ht="18.75" customHeight="1" x14ac:dyDescent="0.3">
      <c r="A2485" s="2402">
        <v>2479</v>
      </c>
      <c r="B2485" s="28" t="s">
        <v>3589</v>
      </c>
      <c r="C2485" s="216" t="s">
        <v>1344</v>
      </c>
      <c r="D2485" s="416" t="s">
        <v>21</v>
      </c>
      <c r="E2485" s="217" t="s">
        <v>3636</v>
      </c>
      <c r="F2485" s="218" t="s">
        <v>3570</v>
      </c>
      <c r="G2485" s="33">
        <v>16836.47</v>
      </c>
      <c r="H2485" s="1762" t="s">
        <v>3571</v>
      </c>
      <c r="I2485" s="34" t="s">
        <v>25</v>
      </c>
      <c r="J2485" s="327"/>
      <c r="K2485" s="37"/>
      <c r="L2485" s="1128"/>
      <c r="M2485" s="327"/>
      <c r="N2485" s="327"/>
      <c r="O2485" s="1129"/>
    </row>
    <row r="2486" spans="1:15" ht="18.75" customHeight="1" x14ac:dyDescent="0.3">
      <c r="A2486" s="2401">
        <v>2480</v>
      </c>
      <c r="B2486" s="28" t="s">
        <v>3589</v>
      </c>
      <c r="C2486" s="216" t="s">
        <v>1344</v>
      </c>
      <c r="D2486" s="416" t="s">
        <v>21</v>
      </c>
      <c r="E2486" s="217" t="s">
        <v>3637</v>
      </c>
      <c r="F2486" s="218" t="s">
        <v>3570</v>
      </c>
      <c r="G2486" s="33">
        <v>16836.47</v>
      </c>
      <c r="H2486" s="1762" t="s">
        <v>3571</v>
      </c>
      <c r="I2486" s="34" t="s">
        <v>25</v>
      </c>
      <c r="J2486" s="327"/>
      <c r="K2486" s="37"/>
      <c r="L2486" s="1128"/>
      <c r="M2486" s="327"/>
      <c r="N2486" s="327"/>
      <c r="O2486" s="1129"/>
    </row>
    <row r="2487" spans="1:15" ht="18.75" customHeight="1" x14ac:dyDescent="0.3">
      <c r="A2487" s="2402">
        <v>2481</v>
      </c>
      <c r="B2487" s="28" t="s">
        <v>3589</v>
      </c>
      <c r="C2487" s="216" t="s">
        <v>1344</v>
      </c>
      <c r="D2487" s="416" t="s">
        <v>21</v>
      </c>
      <c r="E2487" s="217" t="s">
        <v>3638</v>
      </c>
      <c r="F2487" s="218" t="s">
        <v>3570</v>
      </c>
      <c r="G2487" s="33">
        <v>16836.47</v>
      </c>
      <c r="H2487" s="1762" t="s">
        <v>3571</v>
      </c>
      <c r="I2487" s="34" t="s">
        <v>25</v>
      </c>
      <c r="J2487" s="327"/>
      <c r="K2487" s="37"/>
      <c r="L2487" s="1128"/>
      <c r="M2487" s="327"/>
      <c r="N2487" s="327"/>
      <c r="O2487" s="1129"/>
    </row>
    <row r="2488" spans="1:15" ht="18.75" customHeight="1" x14ac:dyDescent="0.3">
      <c r="A2488" s="2402">
        <v>2482</v>
      </c>
      <c r="B2488" s="28" t="s">
        <v>3589</v>
      </c>
      <c r="C2488" s="216" t="s">
        <v>1344</v>
      </c>
      <c r="D2488" s="416" t="s">
        <v>21</v>
      </c>
      <c r="E2488" s="217" t="s">
        <v>3639</v>
      </c>
      <c r="F2488" s="218" t="s">
        <v>3570</v>
      </c>
      <c r="G2488" s="33">
        <v>16836.47</v>
      </c>
      <c r="H2488" s="1762" t="s">
        <v>3571</v>
      </c>
      <c r="I2488" s="34" t="s">
        <v>25</v>
      </c>
      <c r="J2488" s="327"/>
      <c r="K2488" s="37"/>
      <c r="L2488" s="1128"/>
      <c r="M2488" s="327"/>
      <c r="N2488" s="327"/>
      <c r="O2488" s="1129"/>
    </row>
    <row r="2489" spans="1:15" ht="18.75" customHeight="1" x14ac:dyDescent="0.3">
      <c r="A2489" s="2401">
        <v>2483</v>
      </c>
      <c r="B2489" s="28" t="s">
        <v>3589</v>
      </c>
      <c r="C2489" s="216" t="s">
        <v>1344</v>
      </c>
      <c r="D2489" s="416" t="s">
        <v>21</v>
      </c>
      <c r="E2489" s="217" t="s">
        <v>3640</v>
      </c>
      <c r="F2489" s="218" t="s">
        <v>3570</v>
      </c>
      <c r="G2489" s="33">
        <v>16836.47</v>
      </c>
      <c r="H2489" s="1762" t="s">
        <v>3571</v>
      </c>
      <c r="I2489" s="34" t="s">
        <v>25</v>
      </c>
      <c r="J2489" s="327"/>
      <c r="K2489" s="37"/>
      <c r="L2489" s="1128"/>
      <c r="M2489" s="327"/>
      <c r="N2489" s="327"/>
      <c r="O2489" s="1129"/>
    </row>
    <row r="2490" spans="1:15" ht="18.75" customHeight="1" x14ac:dyDescent="0.3">
      <c r="A2490" s="2402">
        <v>2484</v>
      </c>
      <c r="B2490" s="28" t="s">
        <v>3589</v>
      </c>
      <c r="C2490" s="216" t="s">
        <v>1344</v>
      </c>
      <c r="D2490" s="416" t="s">
        <v>21</v>
      </c>
      <c r="E2490" s="217" t="s">
        <v>3641</v>
      </c>
      <c r="F2490" s="218" t="s">
        <v>3570</v>
      </c>
      <c r="G2490" s="33">
        <v>16836.47</v>
      </c>
      <c r="H2490" s="1762" t="s">
        <v>3571</v>
      </c>
      <c r="I2490" s="34" t="s">
        <v>25</v>
      </c>
      <c r="J2490" s="327"/>
      <c r="K2490" s="37"/>
      <c r="L2490" s="1128"/>
      <c r="M2490" s="327"/>
      <c r="N2490" s="327"/>
      <c r="O2490" s="1129"/>
    </row>
    <row r="2491" spans="1:15" ht="18.75" customHeight="1" x14ac:dyDescent="0.3">
      <c r="A2491" s="2402">
        <v>2485</v>
      </c>
      <c r="B2491" s="28" t="s">
        <v>3589</v>
      </c>
      <c r="C2491" s="216" t="s">
        <v>1344</v>
      </c>
      <c r="D2491" s="416" t="s">
        <v>21</v>
      </c>
      <c r="E2491" s="217" t="s">
        <v>3642</v>
      </c>
      <c r="F2491" s="218" t="s">
        <v>3570</v>
      </c>
      <c r="G2491" s="33">
        <v>16836.47</v>
      </c>
      <c r="H2491" s="1762" t="s">
        <v>3571</v>
      </c>
      <c r="I2491" s="34" t="s">
        <v>25</v>
      </c>
      <c r="J2491" s="327"/>
      <c r="K2491" s="37"/>
      <c r="L2491" s="1128"/>
      <c r="M2491" s="327"/>
      <c r="N2491" s="327"/>
      <c r="O2491" s="1129"/>
    </row>
    <row r="2492" spans="1:15" ht="18.75" customHeight="1" x14ac:dyDescent="0.3">
      <c r="A2492" s="2402">
        <v>2486</v>
      </c>
      <c r="B2492" s="28" t="s">
        <v>3589</v>
      </c>
      <c r="C2492" s="216" t="s">
        <v>1344</v>
      </c>
      <c r="D2492" s="416" t="s">
        <v>21</v>
      </c>
      <c r="E2492" s="217" t="s">
        <v>3643</v>
      </c>
      <c r="F2492" s="218" t="s">
        <v>3570</v>
      </c>
      <c r="G2492" s="33">
        <v>16836.47</v>
      </c>
      <c r="H2492" s="1762" t="s">
        <v>3571</v>
      </c>
      <c r="I2492" s="34" t="s">
        <v>25</v>
      </c>
      <c r="J2492" s="327"/>
      <c r="K2492" s="37"/>
      <c r="L2492" s="1128"/>
      <c r="M2492" s="327"/>
      <c r="N2492" s="327"/>
      <c r="O2492" s="1129"/>
    </row>
    <row r="2493" spans="1:15" ht="18.75" customHeight="1" x14ac:dyDescent="0.3">
      <c r="A2493" s="2402">
        <v>2487</v>
      </c>
      <c r="B2493" s="28" t="s">
        <v>3589</v>
      </c>
      <c r="C2493" s="216" t="s">
        <v>1344</v>
      </c>
      <c r="D2493" s="416" t="s">
        <v>21</v>
      </c>
      <c r="E2493" s="217" t="s">
        <v>3644</v>
      </c>
      <c r="F2493" s="218" t="s">
        <v>3570</v>
      </c>
      <c r="G2493" s="33">
        <v>16836.47</v>
      </c>
      <c r="H2493" s="1762" t="s">
        <v>3571</v>
      </c>
      <c r="I2493" s="34" t="s">
        <v>25</v>
      </c>
      <c r="J2493" s="327"/>
      <c r="K2493" s="37"/>
      <c r="L2493" s="1128"/>
      <c r="M2493" s="327"/>
      <c r="N2493" s="327"/>
      <c r="O2493" s="1129"/>
    </row>
    <row r="2494" spans="1:15" ht="18.75" customHeight="1" x14ac:dyDescent="0.3">
      <c r="A2494" s="2401">
        <v>2488</v>
      </c>
      <c r="B2494" s="28" t="s">
        <v>3589</v>
      </c>
      <c r="C2494" s="216" t="s">
        <v>1344</v>
      </c>
      <c r="D2494" s="416" t="s">
        <v>21</v>
      </c>
      <c r="E2494" s="217" t="s">
        <v>3645</v>
      </c>
      <c r="F2494" s="218" t="s">
        <v>3570</v>
      </c>
      <c r="G2494" s="33">
        <v>16836.47</v>
      </c>
      <c r="H2494" s="1762" t="s">
        <v>3571</v>
      </c>
      <c r="I2494" s="34" t="s">
        <v>25</v>
      </c>
      <c r="J2494" s="327"/>
      <c r="K2494" s="37"/>
      <c r="L2494" s="1128"/>
      <c r="M2494" s="327"/>
      <c r="N2494" s="327"/>
      <c r="O2494" s="1129"/>
    </row>
    <row r="2495" spans="1:15" ht="18.75" customHeight="1" x14ac:dyDescent="0.3">
      <c r="A2495" s="2402">
        <v>2489</v>
      </c>
      <c r="B2495" s="28" t="s">
        <v>3589</v>
      </c>
      <c r="C2495" s="216" t="s">
        <v>1344</v>
      </c>
      <c r="D2495" s="416" t="s">
        <v>21</v>
      </c>
      <c r="E2495" s="217" t="s">
        <v>3646</v>
      </c>
      <c r="F2495" s="218" t="s">
        <v>3570</v>
      </c>
      <c r="G2495" s="33">
        <v>16836.47</v>
      </c>
      <c r="H2495" s="1762" t="s">
        <v>3571</v>
      </c>
      <c r="I2495" s="34" t="s">
        <v>25</v>
      </c>
      <c r="J2495" s="327"/>
      <c r="K2495" s="37"/>
      <c r="L2495" s="1128"/>
      <c r="M2495" s="327"/>
      <c r="N2495" s="327"/>
      <c r="O2495" s="1129"/>
    </row>
    <row r="2496" spans="1:15" ht="18.75" customHeight="1" x14ac:dyDescent="0.3">
      <c r="A2496" s="2402">
        <v>2490</v>
      </c>
      <c r="B2496" s="28" t="s">
        <v>3589</v>
      </c>
      <c r="C2496" s="216" t="s">
        <v>1344</v>
      </c>
      <c r="D2496" s="416" t="s">
        <v>21</v>
      </c>
      <c r="E2496" s="217" t="s">
        <v>3647</v>
      </c>
      <c r="F2496" s="218" t="s">
        <v>3570</v>
      </c>
      <c r="G2496" s="33">
        <v>16836.47</v>
      </c>
      <c r="H2496" s="1762" t="s">
        <v>3571</v>
      </c>
      <c r="I2496" s="34" t="s">
        <v>25</v>
      </c>
      <c r="J2496" s="327"/>
      <c r="K2496" s="37"/>
      <c r="L2496" s="1128"/>
      <c r="M2496" s="327"/>
      <c r="N2496" s="327"/>
      <c r="O2496" s="1129"/>
    </row>
    <row r="2497" spans="1:15" ht="18.75" customHeight="1" x14ac:dyDescent="0.3">
      <c r="A2497" s="2401">
        <v>2491</v>
      </c>
      <c r="B2497" s="28" t="s">
        <v>3589</v>
      </c>
      <c r="C2497" s="216" t="s">
        <v>1344</v>
      </c>
      <c r="D2497" s="416" t="s">
        <v>21</v>
      </c>
      <c r="E2497" s="217" t="s">
        <v>3648</v>
      </c>
      <c r="F2497" s="218" t="s">
        <v>3570</v>
      </c>
      <c r="G2497" s="33">
        <v>16836.47</v>
      </c>
      <c r="H2497" s="1762" t="s">
        <v>3571</v>
      </c>
      <c r="I2497" s="34" t="s">
        <v>25</v>
      </c>
      <c r="J2497" s="327"/>
      <c r="K2497" s="37"/>
      <c r="L2497" s="1128"/>
      <c r="M2497" s="327"/>
      <c r="N2497" s="327"/>
      <c r="O2497" s="1129"/>
    </row>
    <row r="2498" spans="1:15" ht="18.75" customHeight="1" x14ac:dyDescent="0.3">
      <c r="A2498" s="2402">
        <v>2492</v>
      </c>
      <c r="B2498" s="28" t="s">
        <v>3589</v>
      </c>
      <c r="C2498" s="216" t="s">
        <v>1344</v>
      </c>
      <c r="D2498" s="416" t="s">
        <v>21</v>
      </c>
      <c r="E2498" s="217" t="s">
        <v>3649</v>
      </c>
      <c r="F2498" s="218" t="s">
        <v>3570</v>
      </c>
      <c r="G2498" s="33">
        <v>16836.47</v>
      </c>
      <c r="H2498" s="1762" t="s">
        <v>3571</v>
      </c>
      <c r="I2498" s="34" t="s">
        <v>25</v>
      </c>
      <c r="J2498" s="327"/>
      <c r="K2498" s="37"/>
      <c r="L2498" s="1128"/>
      <c r="M2498" s="327"/>
      <c r="N2498" s="327"/>
      <c r="O2498" s="1129"/>
    </row>
    <row r="2499" spans="1:15" ht="18.75" customHeight="1" x14ac:dyDescent="0.3">
      <c r="A2499" s="2402">
        <v>2493</v>
      </c>
      <c r="B2499" s="28" t="s">
        <v>3589</v>
      </c>
      <c r="C2499" s="216" t="s">
        <v>1344</v>
      </c>
      <c r="D2499" s="416" t="s">
        <v>21</v>
      </c>
      <c r="E2499" s="217" t="s">
        <v>3650</v>
      </c>
      <c r="F2499" s="218" t="s">
        <v>3570</v>
      </c>
      <c r="G2499" s="33">
        <v>16836.47</v>
      </c>
      <c r="H2499" s="1762" t="s">
        <v>3571</v>
      </c>
      <c r="I2499" s="34" t="s">
        <v>25</v>
      </c>
      <c r="J2499" s="327"/>
      <c r="K2499" s="37"/>
      <c r="L2499" s="1128"/>
      <c r="M2499" s="327"/>
      <c r="N2499" s="327"/>
      <c r="O2499" s="1129"/>
    </row>
    <row r="2500" spans="1:15" ht="18.75" customHeight="1" x14ac:dyDescent="0.3">
      <c r="A2500" s="2402">
        <v>2494</v>
      </c>
      <c r="B2500" s="28" t="s">
        <v>3589</v>
      </c>
      <c r="C2500" s="216" t="s">
        <v>1344</v>
      </c>
      <c r="D2500" s="416" t="s">
        <v>21</v>
      </c>
      <c r="E2500" s="217" t="s">
        <v>3651</v>
      </c>
      <c r="F2500" s="218" t="s">
        <v>3570</v>
      </c>
      <c r="G2500" s="33">
        <v>16836.47</v>
      </c>
      <c r="H2500" s="1762" t="s">
        <v>3571</v>
      </c>
      <c r="I2500" s="34" t="s">
        <v>25</v>
      </c>
      <c r="J2500" s="327"/>
      <c r="K2500" s="37"/>
      <c r="L2500" s="1128"/>
      <c r="M2500" s="327"/>
      <c r="N2500" s="327"/>
      <c r="O2500" s="1129"/>
    </row>
    <row r="2501" spans="1:15" ht="18.75" customHeight="1" x14ac:dyDescent="0.3">
      <c r="A2501" s="2402">
        <v>2495</v>
      </c>
      <c r="B2501" s="28" t="s">
        <v>3589</v>
      </c>
      <c r="C2501" s="216" t="s">
        <v>1344</v>
      </c>
      <c r="D2501" s="452" t="s">
        <v>21</v>
      </c>
      <c r="E2501" s="217" t="s">
        <v>3652</v>
      </c>
      <c r="F2501" s="218" t="s">
        <v>3570</v>
      </c>
      <c r="G2501" s="33">
        <v>16836.47</v>
      </c>
      <c r="H2501" s="1762" t="s">
        <v>3571</v>
      </c>
      <c r="I2501" s="34" t="s">
        <v>25</v>
      </c>
      <c r="J2501" s="327"/>
      <c r="K2501" s="37"/>
      <c r="L2501" s="1128"/>
      <c r="M2501" s="327"/>
      <c r="N2501" s="327"/>
      <c r="O2501" s="1129"/>
    </row>
    <row r="2502" spans="1:15" ht="18.75" customHeight="1" x14ac:dyDescent="0.3">
      <c r="A2502" s="2401">
        <v>2496</v>
      </c>
      <c r="B2502" s="28" t="s">
        <v>3589</v>
      </c>
      <c r="C2502" s="216" t="s">
        <v>1344</v>
      </c>
      <c r="D2502" s="793" t="s">
        <v>21</v>
      </c>
      <c r="E2502" s="217" t="s">
        <v>3653</v>
      </c>
      <c r="F2502" s="218" t="s">
        <v>3570</v>
      </c>
      <c r="G2502" s="33">
        <v>16836.47</v>
      </c>
      <c r="H2502" s="1762" t="s">
        <v>3571</v>
      </c>
      <c r="I2502" s="34" t="s">
        <v>25</v>
      </c>
      <c r="J2502" s="327"/>
      <c r="K2502" s="37"/>
      <c r="L2502" s="1128"/>
      <c r="M2502" s="327"/>
      <c r="N2502" s="327"/>
      <c r="O2502" s="1129"/>
    </row>
    <row r="2503" spans="1:15" ht="18.75" customHeight="1" x14ac:dyDescent="0.3">
      <c r="A2503" s="2402">
        <v>2497</v>
      </c>
      <c r="B2503" s="28" t="s">
        <v>3589</v>
      </c>
      <c r="C2503" s="216" t="s">
        <v>1344</v>
      </c>
      <c r="D2503" s="452" t="s">
        <v>21</v>
      </c>
      <c r="E2503" s="217" t="s">
        <v>3654</v>
      </c>
      <c r="F2503" s="218" t="s">
        <v>3570</v>
      </c>
      <c r="G2503" s="33">
        <v>16836.47</v>
      </c>
      <c r="H2503" s="1762" t="s">
        <v>3571</v>
      </c>
      <c r="I2503" s="34" t="s">
        <v>25</v>
      </c>
      <c r="J2503" s="327"/>
      <c r="K2503" s="37"/>
      <c r="L2503" s="1128"/>
      <c r="M2503" s="327"/>
      <c r="N2503" s="327"/>
      <c r="O2503" s="1129"/>
    </row>
    <row r="2504" spans="1:15" ht="18.75" customHeight="1" x14ac:dyDescent="0.3">
      <c r="A2504" s="2402">
        <v>2498</v>
      </c>
      <c r="B2504" s="28" t="s">
        <v>3589</v>
      </c>
      <c r="C2504" s="216" t="s">
        <v>1344</v>
      </c>
      <c r="D2504" s="793" t="s">
        <v>21</v>
      </c>
      <c r="E2504" s="217" t="s">
        <v>3655</v>
      </c>
      <c r="F2504" s="218" t="s">
        <v>3570</v>
      </c>
      <c r="G2504" s="33">
        <v>16836.47</v>
      </c>
      <c r="H2504" s="1762" t="s">
        <v>3571</v>
      </c>
      <c r="I2504" s="34" t="s">
        <v>25</v>
      </c>
      <c r="J2504" s="327"/>
      <c r="K2504" s="37"/>
      <c r="L2504" s="1128"/>
      <c r="M2504" s="327"/>
      <c r="N2504" s="327"/>
      <c r="O2504" s="1129"/>
    </row>
    <row r="2505" spans="1:15" ht="18.75" customHeight="1" x14ac:dyDescent="0.3">
      <c r="A2505" s="2401">
        <v>2499</v>
      </c>
      <c r="B2505" s="28" t="s">
        <v>3589</v>
      </c>
      <c r="C2505" s="216" t="s">
        <v>1344</v>
      </c>
      <c r="D2505" s="416" t="s">
        <v>21</v>
      </c>
      <c r="E2505" s="217" t="s">
        <v>3656</v>
      </c>
      <c r="F2505" s="218" t="s">
        <v>3570</v>
      </c>
      <c r="G2505" s="33">
        <v>16836.47</v>
      </c>
      <c r="H2505" s="1762" t="s">
        <v>3571</v>
      </c>
      <c r="I2505" s="34" t="s">
        <v>25</v>
      </c>
      <c r="J2505" s="327"/>
      <c r="K2505" s="37"/>
      <c r="L2505" s="1128"/>
      <c r="M2505" s="327"/>
      <c r="N2505" s="327"/>
      <c r="O2505" s="1129"/>
    </row>
    <row r="2506" spans="1:15" ht="18.75" customHeight="1" x14ac:dyDescent="0.3">
      <c r="A2506" s="2402">
        <v>2500</v>
      </c>
      <c r="B2506" s="28" t="s">
        <v>3589</v>
      </c>
      <c r="C2506" s="216" t="s">
        <v>1344</v>
      </c>
      <c r="D2506" s="416" t="s">
        <v>21</v>
      </c>
      <c r="E2506" s="217" t="s">
        <v>3657</v>
      </c>
      <c r="F2506" s="218" t="s">
        <v>3570</v>
      </c>
      <c r="G2506" s="33">
        <v>16836.47</v>
      </c>
      <c r="H2506" s="1762" t="s">
        <v>3571</v>
      </c>
      <c r="I2506" s="34" t="s">
        <v>25</v>
      </c>
      <c r="J2506" s="327"/>
      <c r="K2506" s="37"/>
      <c r="L2506" s="1128"/>
      <c r="M2506" s="327"/>
      <c r="N2506" s="327"/>
      <c r="O2506" s="1129"/>
    </row>
    <row r="2507" spans="1:15" ht="18.75" customHeight="1" x14ac:dyDescent="0.3">
      <c r="A2507" s="2402">
        <v>2501</v>
      </c>
      <c r="B2507" s="28" t="s">
        <v>3589</v>
      </c>
      <c r="C2507" s="216" t="s">
        <v>1344</v>
      </c>
      <c r="D2507" s="416" t="s">
        <v>21</v>
      </c>
      <c r="E2507" s="217" t="s">
        <v>3658</v>
      </c>
      <c r="F2507" s="218" t="s">
        <v>3570</v>
      </c>
      <c r="G2507" s="33">
        <v>16836.47</v>
      </c>
      <c r="H2507" s="1762" t="s">
        <v>3571</v>
      </c>
      <c r="I2507" s="34" t="s">
        <v>25</v>
      </c>
      <c r="J2507" s="327"/>
      <c r="K2507" s="37"/>
      <c r="L2507" s="1128"/>
      <c r="M2507" s="327"/>
      <c r="N2507" s="327"/>
      <c r="O2507" s="1129"/>
    </row>
    <row r="2508" spans="1:15" ht="18.75" customHeight="1" x14ac:dyDescent="0.3">
      <c r="A2508" s="2402">
        <v>2502</v>
      </c>
      <c r="B2508" s="1142" t="s">
        <v>3589</v>
      </c>
      <c r="C2508" s="216" t="s">
        <v>1344</v>
      </c>
      <c r="D2508" s="416" t="s">
        <v>21</v>
      </c>
      <c r="E2508" s="217" t="s">
        <v>3659</v>
      </c>
      <c r="F2508" s="218" t="s">
        <v>3570</v>
      </c>
      <c r="G2508" s="1141">
        <v>16836.47</v>
      </c>
      <c r="H2508" s="1762" t="s">
        <v>3571</v>
      </c>
      <c r="I2508" s="34" t="s">
        <v>25</v>
      </c>
      <c r="J2508" s="327"/>
      <c r="K2508" s="37"/>
      <c r="L2508" s="1128"/>
      <c r="M2508" s="327"/>
      <c r="N2508" s="327"/>
      <c r="O2508" s="1129"/>
    </row>
    <row r="2509" spans="1:15" ht="18.75" customHeight="1" x14ac:dyDescent="0.3">
      <c r="A2509" s="2402">
        <v>2503</v>
      </c>
      <c r="B2509" s="28" t="s">
        <v>3589</v>
      </c>
      <c r="C2509" s="216" t="s">
        <v>1344</v>
      </c>
      <c r="D2509" s="416" t="s">
        <v>21</v>
      </c>
      <c r="E2509" s="217" t="s">
        <v>3660</v>
      </c>
      <c r="F2509" s="218" t="s">
        <v>3570</v>
      </c>
      <c r="G2509" s="1141">
        <v>16836.47</v>
      </c>
      <c r="H2509" s="1762" t="s">
        <v>3571</v>
      </c>
      <c r="I2509" s="34" t="s">
        <v>25</v>
      </c>
      <c r="J2509" s="327"/>
      <c r="K2509" s="37"/>
      <c r="L2509" s="1128"/>
      <c r="M2509" s="327"/>
      <c r="N2509" s="327"/>
      <c r="O2509" s="1129"/>
    </row>
    <row r="2510" spans="1:15" ht="18.75" customHeight="1" x14ac:dyDescent="0.3">
      <c r="A2510" s="2401">
        <v>2504</v>
      </c>
      <c r="B2510" s="28" t="s">
        <v>3589</v>
      </c>
      <c r="C2510" s="216" t="s">
        <v>1344</v>
      </c>
      <c r="D2510" s="416" t="s">
        <v>21</v>
      </c>
      <c r="E2510" s="217" t="s">
        <v>3661</v>
      </c>
      <c r="F2510" s="218" t="s">
        <v>3570</v>
      </c>
      <c r="G2510" s="1141">
        <v>16836.47</v>
      </c>
      <c r="H2510" s="1762" t="s">
        <v>3571</v>
      </c>
      <c r="I2510" s="34" t="s">
        <v>25</v>
      </c>
      <c r="J2510" s="327"/>
      <c r="K2510" s="37"/>
      <c r="L2510" s="1128"/>
      <c r="M2510" s="327"/>
      <c r="N2510" s="327"/>
      <c r="O2510" s="1129"/>
    </row>
    <row r="2511" spans="1:15" ht="18.75" customHeight="1" x14ac:dyDescent="0.3">
      <c r="A2511" s="2402">
        <v>2505</v>
      </c>
      <c r="B2511" s="28" t="s">
        <v>3589</v>
      </c>
      <c r="C2511" s="216" t="s">
        <v>1344</v>
      </c>
      <c r="D2511" s="416" t="s">
        <v>21</v>
      </c>
      <c r="E2511" s="217" t="s">
        <v>3662</v>
      </c>
      <c r="F2511" s="218" t="s">
        <v>3570</v>
      </c>
      <c r="G2511" s="33">
        <v>16836.47</v>
      </c>
      <c r="H2511" s="1762" t="s">
        <v>3571</v>
      </c>
      <c r="I2511" s="34" t="s">
        <v>25</v>
      </c>
      <c r="J2511" s="327"/>
      <c r="K2511" s="37"/>
      <c r="L2511" s="1128"/>
      <c r="M2511" s="327"/>
      <c r="N2511" s="327"/>
      <c r="O2511" s="1129"/>
    </row>
    <row r="2512" spans="1:15" ht="18.75" customHeight="1" x14ac:dyDescent="0.3">
      <c r="A2512" s="2402">
        <v>2506</v>
      </c>
      <c r="B2512" s="28" t="s">
        <v>3589</v>
      </c>
      <c r="C2512" s="216" t="s">
        <v>1344</v>
      </c>
      <c r="D2512" s="416" t="s">
        <v>21</v>
      </c>
      <c r="E2512" s="217" t="s">
        <v>3663</v>
      </c>
      <c r="F2512" s="218" t="s">
        <v>3570</v>
      </c>
      <c r="G2512" s="33">
        <v>16836.47</v>
      </c>
      <c r="H2512" s="1762" t="s">
        <v>3571</v>
      </c>
      <c r="I2512" s="34" t="s">
        <v>25</v>
      </c>
      <c r="J2512" s="327"/>
      <c r="K2512" s="37"/>
      <c r="L2512" s="1128"/>
      <c r="M2512" s="327"/>
      <c r="N2512" s="327"/>
      <c r="O2512" s="1129"/>
    </row>
    <row r="2513" spans="1:15" ht="18.75" customHeight="1" x14ac:dyDescent="0.3">
      <c r="A2513" s="2401">
        <v>2507</v>
      </c>
      <c r="B2513" s="28" t="s">
        <v>3589</v>
      </c>
      <c r="C2513" s="216" t="s">
        <v>1344</v>
      </c>
      <c r="D2513" s="452" t="s">
        <v>21</v>
      </c>
      <c r="E2513" s="217" t="s">
        <v>3664</v>
      </c>
      <c r="F2513" s="218" t="s">
        <v>3570</v>
      </c>
      <c r="G2513" s="33">
        <v>16836.47</v>
      </c>
      <c r="H2513" s="1762" t="s">
        <v>3571</v>
      </c>
      <c r="I2513" s="34" t="s">
        <v>25</v>
      </c>
      <c r="J2513" s="327"/>
      <c r="K2513" s="37"/>
      <c r="L2513" s="1128"/>
      <c r="M2513" s="327"/>
      <c r="N2513" s="327"/>
      <c r="O2513" s="1129"/>
    </row>
    <row r="2514" spans="1:15" ht="18.75" customHeight="1" x14ac:dyDescent="0.3">
      <c r="A2514" s="2402">
        <v>2508</v>
      </c>
      <c r="B2514" s="28" t="s">
        <v>3589</v>
      </c>
      <c r="C2514" s="216" t="s">
        <v>1344</v>
      </c>
      <c r="D2514" s="495" t="s">
        <v>21</v>
      </c>
      <c r="E2514" s="217" t="s">
        <v>3665</v>
      </c>
      <c r="F2514" s="218" t="s">
        <v>3570</v>
      </c>
      <c r="G2514" s="33">
        <v>16836.47</v>
      </c>
      <c r="H2514" s="1762" t="s">
        <v>3571</v>
      </c>
      <c r="I2514" s="34" t="s">
        <v>25</v>
      </c>
      <c r="J2514" s="327"/>
      <c r="K2514" s="37"/>
      <c r="L2514" s="1128"/>
      <c r="M2514" s="327"/>
      <c r="N2514" s="327"/>
      <c r="O2514" s="1129"/>
    </row>
    <row r="2515" spans="1:15" ht="18.75" customHeight="1" x14ac:dyDescent="0.3">
      <c r="A2515" s="2402">
        <v>2509</v>
      </c>
      <c r="B2515" s="28" t="s">
        <v>3589</v>
      </c>
      <c r="C2515" s="216" t="s">
        <v>1344</v>
      </c>
      <c r="D2515" s="793" t="s">
        <v>21</v>
      </c>
      <c r="E2515" s="217" t="s">
        <v>3666</v>
      </c>
      <c r="F2515" s="218" t="s">
        <v>3570</v>
      </c>
      <c r="G2515" s="33">
        <v>16836.47</v>
      </c>
      <c r="H2515" s="1762" t="s">
        <v>3571</v>
      </c>
      <c r="I2515" s="34" t="s">
        <v>25</v>
      </c>
      <c r="J2515" s="327"/>
      <c r="K2515" s="37"/>
      <c r="L2515" s="1128"/>
      <c r="M2515" s="327"/>
      <c r="N2515" s="327"/>
      <c r="O2515" s="1129"/>
    </row>
    <row r="2516" spans="1:15" ht="18.75" customHeight="1" x14ac:dyDescent="0.3">
      <c r="A2516" s="2402">
        <v>2510</v>
      </c>
      <c r="B2516" s="28" t="s">
        <v>3589</v>
      </c>
      <c r="C2516" s="216" t="s">
        <v>1344</v>
      </c>
      <c r="D2516" s="416" t="s">
        <v>21</v>
      </c>
      <c r="E2516" s="217" t="s">
        <v>3667</v>
      </c>
      <c r="F2516" s="218" t="s">
        <v>3570</v>
      </c>
      <c r="G2516" s="33">
        <v>16836.47</v>
      </c>
      <c r="H2516" s="1762" t="s">
        <v>3571</v>
      </c>
      <c r="I2516" s="34" t="s">
        <v>25</v>
      </c>
      <c r="J2516" s="327"/>
      <c r="K2516" s="37"/>
      <c r="L2516" s="1128"/>
      <c r="M2516" s="327"/>
      <c r="N2516" s="327"/>
      <c r="O2516" s="1129"/>
    </row>
    <row r="2517" spans="1:15" ht="18.75" customHeight="1" x14ac:dyDescent="0.3">
      <c r="A2517" s="2402">
        <v>2511</v>
      </c>
      <c r="B2517" s="28" t="s">
        <v>3589</v>
      </c>
      <c r="C2517" s="216" t="s">
        <v>1344</v>
      </c>
      <c r="D2517" s="416" t="s">
        <v>21</v>
      </c>
      <c r="E2517" s="217" t="s">
        <v>3668</v>
      </c>
      <c r="F2517" s="218" t="s">
        <v>3570</v>
      </c>
      <c r="G2517" s="33">
        <v>16836.47</v>
      </c>
      <c r="H2517" s="1762" t="s">
        <v>3571</v>
      </c>
      <c r="I2517" s="34" t="s">
        <v>25</v>
      </c>
      <c r="J2517" s="327"/>
      <c r="K2517" s="37"/>
      <c r="L2517" s="1128"/>
      <c r="M2517" s="327"/>
      <c r="N2517" s="327"/>
      <c r="O2517" s="1129"/>
    </row>
    <row r="2518" spans="1:15" ht="18.75" customHeight="1" x14ac:dyDescent="0.3">
      <c r="A2518" s="2401">
        <v>2512</v>
      </c>
      <c r="B2518" s="28" t="s">
        <v>3589</v>
      </c>
      <c r="C2518" s="216" t="s">
        <v>1344</v>
      </c>
      <c r="D2518" s="416" t="s">
        <v>21</v>
      </c>
      <c r="E2518" s="217" t="s">
        <v>3669</v>
      </c>
      <c r="F2518" s="218" t="s">
        <v>3570</v>
      </c>
      <c r="G2518" s="33">
        <v>16836.47</v>
      </c>
      <c r="H2518" s="1762" t="s">
        <v>3571</v>
      </c>
      <c r="I2518" s="34" t="s">
        <v>25</v>
      </c>
      <c r="J2518" s="327"/>
      <c r="K2518" s="37"/>
      <c r="L2518" s="1128"/>
      <c r="M2518" s="327"/>
      <c r="N2518" s="327"/>
      <c r="O2518" s="1129"/>
    </row>
    <row r="2519" spans="1:15" ht="18.75" customHeight="1" x14ac:dyDescent="0.3">
      <c r="A2519" s="2402">
        <v>2513</v>
      </c>
      <c r="B2519" s="1143" t="s">
        <v>3589</v>
      </c>
      <c r="C2519" s="216" t="s">
        <v>1344</v>
      </c>
      <c r="D2519" s="416" t="s">
        <v>21</v>
      </c>
      <c r="E2519" s="217" t="s">
        <v>3670</v>
      </c>
      <c r="F2519" s="218" t="s">
        <v>3570</v>
      </c>
      <c r="G2519" s="1144">
        <v>16836.47</v>
      </c>
      <c r="H2519" s="1762" t="s">
        <v>3571</v>
      </c>
      <c r="I2519" s="34" t="s">
        <v>25</v>
      </c>
      <c r="J2519" s="327"/>
      <c r="K2519" s="37"/>
      <c r="L2519" s="1128"/>
      <c r="M2519" s="327"/>
      <c r="N2519" s="327"/>
      <c r="O2519" s="1129"/>
    </row>
    <row r="2520" spans="1:15" ht="18.75" customHeight="1" x14ac:dyDescent="0.3">
      <c r="A2520" s="2402">
        <v>2514</v>
      </c>
      <c r="B2520" s="458" t="s">
        <v>3671</v>
      </c>
      <c r="C2520" s="216" t="s">
        <v>1344</v>
      </c>
      <c r="D2520" s="416" t="s">
        <v>21</v>
      </c>
      <c r="E2520" s="217" t="s">
        <v>3672</v>
      </c>
      <c r="F2520" s="218" t="s">
        <v>3570</v>
      </c>
      <c r="G2520" s="1145">
        <v>28898.23</v>
      </c>
      <c r="H2520" s="1762" t="s">
        <v>3571</v>
      </c>
      <c r="I2520" s="34" t="s">
        <v>25</v>
      </c>
      <c r="J2520" s="327"/>
      <c r="K2520" s="37"/>
      <c r="L2520" s="1128"/>
      <c r="M2520" s="327"/>
      <c r="N2520" s="327"/>
      <c r="O2520" s="1129"/>
    </row>
    <row r="2521" spans="1:15" ht="18.75" customHeight="1" x14ac:dyDescent="0.3">
      <c r="A2521" s="2401">
        <v>2515</v>
      </c>
      <c r="B2521" s="1146" t="s">
        <v>3671</v>
      </c>
      <c r="C2521" s="416" t="s">
        <v>1344</v>
      </c>
      <c r="D2521" s="416" t="s">
        <v>21</v>
      </c>
      <c r="E2521" s="217" t="s">
        <v>3673</v>
      </c>
      <c r="F2521" s="218" t="s">
        <v>3570</v>
      </c>
      <c r="G2521" s="1144">
        <v>28898.23</v>
      </c>
      <c r="H2521" s="1762" t="s">
        <v>3571</v>
      </c>
      <c r="I2521" s="34" t="s">
        <v>25</v>
      </c>
      <c r="J2521" s="327"/>
      <c r="K2521" s="37"/>
      <c r="L2521" s="1128"/>
      <c r="M2521" s="327"/>
      <c r="N2521" s="327"/>
      <c r="O2521" s="1129"/>
    </row>
    <row r="2522" spans="1:15" ht="18.75" customHeight="1" x14ac:dyDescent="0.3">
      <c r="A2522" s="2402">
        <v>2516</v>
      </c>
      <c r="B2522" s="1146" t="s">
        <v>3671</v>
      </c>
      <c r="C2522" s="416" t="s">
        <v>1344</v>
      </c>
      <c r="D2522" s="416" t="s">
        <v>21</v>
      </c>
      <c r="E2522" s="217" t="s">
        <v>3674</v>
      </c>
      <c r="F2522" s="218" t="s">
        <v>3570</v>
      </c>
      <c r="G2522" s="1144">
        <v>28898.23</v>
      </c>
      <c r="H2522" s="1762" t="s">
        <v>3571</v>
      </c>
      <c r="I2522" s="34" t="s">
        <v>25</v>
      </c>
      <c r="J2522" s="327"/>
      <c r="K2522" s="37"/>
      <c r="L2522" s="1128"/>
      <c r="M2522" s="327"/>
      <c r="N2522" s="327"/>
      <c r="O2522" s="1129"/>
    </row>
    <row r="2523" spans="1:15" ht="18.75" customHeight="1" x14ac:dyDescent="0.3">
      <c r="A2523" s="2402">
        <v>2517</v>
      </c>
      <c r="B2523" s="1146" t="s">
        <v>3671</v>
      </c>
      <c r="C2523" s="416" t="s">
        <v>1344</v>
      </c>
      <c r="D2523" s="416" t="s">
        <v>21</v>
      </c>
      <c r="E2523" s="217" t="s">
        <v>3675</v>
      </c>
      <c r="F2523" s="218" t="s">
        <v>3570</v>
      </c>
      <c r="G2523" s="1144">
        <v>28898.23</v>
      </c>
      <c r="H2523" s="1762" t="s">
        <v>3571</v>
      </c>
      <c r="I2523" s="34" t="s">
        <v>25</v>
      </c>
      <c r="J2523" s="327"/>
      <c r="K2523" s="37"/>
      <c r="L2523" s="1128"/>
      <c r="M2523" s="327"/>
      <c r="N2523" s="327"/>
      <c r="O2523" s="1129"/>
    </row>
    <row r="2524" spans="1:15" ht="18.75" customHeight="1" x14ac:dyDescent="0.3">
      <c r="A2524" s="2402">
        <v>2518</v>
      </c>
      <c r="B2524" s="1147" t="s">
        <v>3671</v>
      </c>
      <c r="C2524" s="416" t="s">
        <v>1344</v>
      </c>
      <c r="D2524" s="416" t="s">
        <v>21</v>
      </c>
      <c r="E2524" s="217" t="s">
        <v>3676</v>
      </c>
      <c r="F2524" s="218" t="s">
        <v>3570</v>
      </c>
      <c r="G2524" s="1144">
        <v>28898.23</v>
      </c>
      <c r="H2524" s="1762" t="s">
        <v>3571</v>
      </c>
      <c r="I2524" s="34" t="s">
        <v>25</v>
      </c>
      <c r="J2524" s="327"/>
      <c r="K2524" s="37"/>
      <c r="L2524" s="1128"/>
      <c r="M2524" s="327"/>
      <c r="N2524" s="327"/>
      <c r="O2524" s="1129"/>
    </row>
    <row r="2525" spans="1:15" ht="18.75" customHeight="1" x14ac:dyDescent="0.3">
      <c r="A2525" s="2402">
        <v>2519</v>
      </c>
      <c r="B2525" s="1148" t="s">
        <v>3671</v>
      </c>
      <c r="C2525" s="416" t="s">
        <v>1344</v>
      </c>
      <c r="D2525" s="416" t="s">
        <v>21</v>
      </c>
      <c r="E2525" s="217" t="s">
        <v>3677</v>
      </c>
      <c r="F2525" s="218" t="s">
        <v>3570</v>
      </c>
      <c r="G2525" s="1145">
        <v>28898.23</v>
      </c>
      <c r="H2525" s="1762" t="s">
        <v>3571</v>
      </c>
      <c r="I2525" s="34" t="s">
        <v>25</v>
      </c>
      <c r="J2525" s="327"/>
      <c r="K2525" s="37"/>
      <c r="L2525" s="1128"/>
      <c r="M2525" s="327"/>
      <c r="N2525" s="327"/>
      <c r="O2525" s="1129"/>
    </row>
    <row r="2526" spans="1:15" ht="18.75" customHeight="1" x14ac:dyDescent="0.3">
      <c r="A2526" s="2401">
        <v>2520</v>
      </c>
      <c r="B2526" s="1146" t="s">
        <v>3671</v>
      </c>
      <c r="C2526" s="416" t="s">
        <v>1344</v>
      </c>
      <c r="D2526" s="416" t="s">
        <v>21</v>
      </c>
      <c r="E2526" s="217" t="s">
        <v>3678</v>
      </c>
      <c r="F2526" s="218" t="s">
        <v>3570</v>
      </c>
      <c r="G2526" s="1144">
        <v>28898.23</v>
      </c>
      <c r="H2526" s="1762" t="s">
        <v>3571</v>
      </c>
      <c r="I2526" s="34" t="s">
        <v>25</v>
      </c>
      <c r="J2526" s="327"/>
      <c r="K2526" s="37"/>
      <c r="L2526" s="1128"/>
      <c r="M2526" s="327"/>
      <c r="N2526" s="327"/>
      <c r="O2526" s="1129"/>
    </row>
    <row r="2527" spans="1:15" ht="18.75" customHeight="1" x14ac:dyDescent="0.3">
      <c r="A2527" s="2402">
        <v>2521</v>
      </c>
      <c r="B2527" s="1143" t="s">
        <v>3671</v>
      </c>
      <c r="C2527" s="216" t="s">
        <v>1344</v>
      </c>
      <c r="D2527" s="452" t="s">
        <v>21</v>
      </c>
      <c r="E2527" s="217" t="s">
        <v>3679</v>
      </c>
      <c r="F2527" s="218" t="s">
        <v>3570</v>
      </c>
      <c r="G2527" s="1144">
        <v>28898.23</v>
      </c>
      <c r="H2527" s="1762" t="s">
        <v>3571</v>
      </c>
      <c r="I2527" s="34" t="s">
        <v>25</v>
      </c>
      <c r="J2527" s="327"/>
      <c r="K2527" s="37"/>
      <c r="L2527" s="1128"/>
      <c r="M2527" s="327"/>
      <c r="N2527" s="327"/>
      <c r="O2527" s="1129"/>
    </row>
    <row r="2528" spans="1:15" ht="18.75" customHeight="1" x14ac:dyDescent="0.3">
      <c r="A2528" s="2402">
        <v>2522</v>
      </c>
      <c r="B2528" s="1143" t="s">
        <v>3671</v>
      </c>
      <c r="C2528" s="216" t="s">
        <v>1344</v>
      </c>
      <c r="D2528" s="793" t="s">
        <v>21</v>
      </c>
      <c r="E2528" s="217" t="s">
        <v>3680</v>
      </c>
      <c r="F2528" s="218" t="s">
        <v>3570</v>
      </c>
      <c r="G2528" s="1145">
        <v>28898.23</v>
      </c>
      <c r="H2528" s="1762" t="s">
        <v>3571</v>
      </c>
      <c r="I2528" s="34" t="s">
        <v>25</v>
      </c>
      <c r="J2528" s="327"/>
      <c r="K2528" s="37"/>
      <c r="L2528" s="1128"/>
      <c r="M2528" s="327"/>
      <c r="N2528" s="327"/>
      <c r="O2528" s="1129"/>
    </row>
    <row r="2529" spans="1:15" ht="18.75" customHeight="1" x14ac:dyDescent="0.3">
      <c r="A2529" s="2401">
        <v>2523</v>
      </c>
      <c r="B2529" s="458" t="s">
        <v>3671</v>
      </c>
      <c r="C2529" s="216" t="s">
        <v>1344</v>
      </c>
      <c r="D2529" s="416" t="s">
        <v>21</v>
      </c>
      <c r="E2529" s="217" t="s">
        <v>3681</v>
      </c>
      <c r="F2529" s="218" t="s">
        <v>3570</v>
      </c>
      <c r="G2529" s="1149">
        <v>28898.23</v>
      </c>
      <c r="H2529" s="1762" t="s">
        <v>3571</v>
      </c>
      <c r="I2529" s="34" t="s">
        <v>25</v>
      </c>
      <c r="J2529" s="327"/>
      <c r="K2529" s="37"/>
      <c r="L2529" s="1128"/>
      <c r="M2529" s="327"/>
      <c r="N2529" s="327"/>
      <c r="O2529" s="1129"/>
    </row>
    <row r="2530" spans="1:15" ht="18.75" customHeight="1" x14ac:dyDescent="0.3">
      <c r="A2530" s="2402">
        <v>2524</v>
      </c>
      <c r="B2530" s="1143" t="s">
        <v>3671</v>
      </c>
      <c r="C2530" s="216" t="s">
        <v>1344</v>
      </c>
      <c r="D2530" s="416" t="s">
        <v>21</v>
      </c>
      <c r="E2530" s="217" t="s">
        <v>3682</v>
      </c>
      <c r="F2530" s="218" t="s">
        <v>3570</v>
      </c>
      <c r="G2530" s="1149">
        <v>28898.23</v>
      </c>
      <c r="H2530" s="1762" t="s">
        <v>3571</v>
      </c>
      <c r="I2530" s="34" t="s">
        <v>25</v>
      </c>
      <c r="J2530" s="327"/>
      <c r="K2530" s="37"/>
      <c r="L2530" s="1128"/>
      <c r="M2530" s="327"/>
      <c r="N2530" s="327"/>
      <c r="O2530" s="1129"/>
    </row>
    <row r="2531" spans="1:15" ht="18.75" customHeight="1" x14ac:dyDescent="0.3">
      <c r="A2531" s="2402">
        <v>2525</v>
      </c>
      <c r="B2531" s="1143" t="s">
        <v>3671</v>
      </c>
      <c r="C2531" s="216" t="s">
        <v>1344</v>
      </c>
      <c r="D2531" s="416" t="s">
        <v>21</v>
      </c>
      <c r="E2531" s="217" t="s">
        <v>3683</v>
      </c>
      <c r="F2531" s="218" t="s">
        <v>3570</v>
      </c>
      <c r="G2531" s="1144">
        <v>28898.23</v>
      </c>
      <c r="H2531" s="1762" t="s">
        <v>3571</v>
      </c>
      <c r="I2531" s="34" t="s">
        <v>25</v>
      </c>
      <c r="J2531" s="327"/>
      <c r="K2531" s="37"/>
      <c r="L2531" s="1128"/>
      <c r="M2531" s="327"/>
      <c r="N2531" s="327"/>
      <c r="O2531" s="1129"/>
    </row>
    <row r="2532" spans="1:15" ht="18.75" customHeight="1" x14ac:dyDescent="0.3">
      <c r="A2532" s="2402">
        <v>2526</v>
      </c>
      <c r="B2532" s="1143" t="s">
        <v>3671</v>
      </c>
      <c r="C2532" s="216" t="s">
        <v>1344</v>
      </c>
      <c r="D2532" s="416" t="s">
        <v>21</v>
      </c>
      <c r="E2532" s="217" t="s">
        <v>3684</v>
      </c>
      <c r="F2532" s="218" t="s">
        <v>3570</v>
      </c>
      <c r="G2532" s="1144">
        <v>28898.23</v>
      </c>
      <c r="H2532" s="1762" t="s">
        <v>3571</v>
      </c>
      <c r="I2532" s="34" t="s">
        <v>25</v>
      </c>
      <c r="J2532" s="327"/>
      <c r="K2532" s="37"/>
      <c r="L2532" s="1128"/>
      <c r="M2532" s="327"/>
      <c r="N2532" s="327"/>
      <c r="O2532" s="1129"/>
    </row>
    <row r="2533" spans="1:15" ht="18.75" customHeight="1" x14ac:dyDescent="0.3">
      <c r="A2533" s="2402">
        <v>2527</v>
      </c>
      <c r="B2533" s="458" t="s">
        <v>3671</v>
      </c>
      <c r="C2533" s="216" t="s">
        <v>1344</v>
      </c>
      <c r="D2533" s="416" t="s">
        <v>21</v>
      </c>
      <c r="E2533" s="217" t="s">
        <v>3685</v>
      </c>
      <c r="F2533" s="218" t="s">
        <v>3570</v>
      </c>
      <c r="G2533" s="1144">
        <v>28898.23</v>
      </c>
      <c r="H2533" s="1762" t="s">
        <v>3571</v>
      </c>
      <c r="I2533" s="34" t="s">
        <v>25</v>
      </c>
      <c r="J2533" s="327"/>
      <c r="K2533" s="37"/>
      <c r="L2533" s="1128"/>
      <c r="M2533" s="327"/>
      <c r="N2533" s="327"/>
      <c r="O2533" s="1129"/>
    </row>
    <row r="2534" spans="1:15" ht="18.75" customHeight="1" x14ac:dyDescent="0.3">
      <c r="A2534" s="2401">
        <v>2528</v>
      </c>
      <c r="B2534" s="1143" t="s">
        <v>3671</v>
      </c>
      <c r="C2534" s="216" t="s">
        <v>1344</v>
      </c>
      <c r="D2534" s="416" t="s">
        <v>21</v>
      </c>
      <c r="E2534" s="217" t="s">
        <v>3686</v>
      </c>
      <c r="F2534" s="218" t="s">
        <v>3570</v>
      </c>
      <c r="G2534" s="1145">
        <v>28898.23</v>
      </c>
      <c r="H2534" s="1762" t="s">
        <v>3571</v>
      </c>
      <c r="I2534" s="34" t="s">
        <v>25</v>
      </c>
      <c r="J2534" s="327"/>
      <c r="K2534" s="37"/>
      <c r="L2534" s="1128"/>
      <c r="M2534" s="327"/>
      <c r="N2534" s="327"/>
      <c r="O2534" s="1129"/>
    </row>
    <row r="2535" spans="1:15" ht="18.75" customHeight="1" x14ac:dyDescent="0.3">
      <c r="A2535" s="2402">
        <v>2529</v>
      </c>
      <c r="B2535" s="1143" t="s">
        <v>3671</v>
      </c>
      <c r="C2535" s="216" t="s">
        <v>1344</v>
      </c>
      <c r="D2535" s="416" t="s">
        <v>21</v>
      </c>
      <c r="E2535" s="217" t="s">
        <v>3687</v>
      </c>
      <c r="F2535" s="218" t="s">
        <v>3570</v>
      </c>
      <c r="G2535" s="1144">
        <v>28898.23</v>
      </c>
      <c r="H2535" s="1762" t="s">
        <v>3571</v>
      </c>
      <c r="I2535" s="34" t="s">
        <v>25</v>
      </c>
      <c r="J2535" s="327"/>
      <c r="K2535" s="37"/>
      <c r="L2535" s="1128"/>
      <c r="M2535" s="327"/>
      <c r="N2535" s="327"/>
      <c r="O2535" s="1129"/>
    </row>
    <row r="2536" spans="1:15" ht="18.75" customHeight="1" x14ac:dyDescent="0.3">
      <c r="A2536" s="2402">
        <v>2530</v>
      </c>
      <c r="B2536" s="458" t="s">
        <v>3671</v>
      </c>
      <c r="C2536" s="216" t="s">
        <v>1344</v>
      </c>
      <c r="D2536" s="416" t="s">
        <v>21</v>
      </c>
      <c r="E2536" s="217" t="s">
        <v>3688</v>
      </c>
      <c r="F2536" s="218" t="s">
        <v>3570</v>
      </c>
      <c r="G2536" s="1145">
        <v>28898.23</v>
      </c>
      <c r="H2536" s="1762" t="s">
        <v>3571</v>
      </c>
      <c r="I2536" s="34" t="s">
        <v>25</v>
      </c>
      <c r="J2536" s="327"/>
      <c r="K2536" s="37"/>
      <c r="L2536" s="1128"/>
      <c r="M2536" s="327"/>
      <c r="N2536" s="327"/>
      <c r="O2536" s="1129"/>
    </row>
    <row r="2537" spans="1:15" ht="18.75" customHeight="1" x14ac:dyDescent="0.3">
      <c r="A2537" s="2401">
        <v>2531</v>
      </c>
      <c r="B2537" s="1143" t="s">
        <v>3671</v>
      </c>
      <c r="C2537" s="216" t="s">
        <v>1344</v>
      </c>
      <c r="D2537" s="452" t="s">
        <v>21</v>
      </c>
      <c r="E2537" s="217" t="s">
        <v>3689</v>
      </c>
      <c r="F2537" s="218" t="s">
        <v>3570</v>
      </c>
      <c r="G2537" s="1144">
        <v>28898.23</v>
      </c>
      <c r="H2537" s="1762" t="s">
        <v>3571</v>
      </c>
      <c r="I2537" s="34" t="s">
        <v>25</v>
      </c>
      <c r="J2537" s="327"/>
      <c r="K2537" s="37"/>
      <c r="L2537" s="1128"/>
      <c r="M2537" s="327"/>
      <c r="N2537" s="327"/>
      <c r="O2537" s="1129"/>
    </row>
    <row r="2538" spans="1:15" ht="18.75" customHeight="1" x14ac:dyDescent="0.3">
      <c r="A2538" s="2402">
        <v>2532</v>
      </c>
      <c r="B2538" s="1143" t="s">
        <v>3671</v>
      </c>
      <c r="C2538" s="216" t="s">
        <v>1344</v>
      </c>
      <c r="D2538" s="793" t="s">
        <v>21</v>
      </c>
      <c r="E2538" s="217" t="s">
        <v>3690</v>
      </c>
      <c r="F2538" s="218" t="s">
        <v>3570</v>
      </c>
      <c r="G2538" s="1144">
        <v>28898.23</v>
      </c>
      <c r="H2538" s="1762" t="s">
        <v>3571</v>
      </c>
      <c r="I2538" s="34" t="s">
        <v>25</v>
      </c>
      <c r="J2538" s="327"/>
      <c r="K2538" s="37"/>
      <c r="L2538" s="1128"/>
      <c r="M2538" s="327"/>
      <c r="N2538" s="327"/>
      <c r="O2538" s="1129"/>
    </row>
    <row r="2539" spans="1:15" ht="18.75" customHeight="1" x14ac:dyDescent="0.3">
      <c r="A2539" s="2402">
        <v>2533</v>
      </c>
      <c r="B2539" s="458" t="s">
        <v>3671</v>
      </c>
      <c r="C2539" s="216" t="s">
        <v>1344</v>
      </c>
      <c r="D2539" s="416" t="s">
        <v>21</v>
      </c>
      <c r="E2539" s="217" t="s">
        <v>3691</v>
      </c>
      <c r="F2539" s="218" t="s">
        <v>3570</v>
      </c>
      <c r="G2539" s="1144">
        <v>28898.23</v>
      </c>
      <c r="H2539" s="1762" t="s">
        <v>3571</v>
      </c>
      <c r="I2539" s="34"/>
      <c r="J2539" s="327"/>
      <c r="K2539" s="37"/>
      <c r="L2539" s="1128"/>
      <c r="M2539" s="327"/>
      <c r="N2539" s="327"/>
      <c r="O2539" s="1129"/>
    </row>
    <row r="2540" spans="1:15" ht="18.75" customHeight="1" x14ac:dyDescent="0.3">
      <c r="A2540" s="2402">
        <v>2534</v>
      </c>
      <c r="B2540" s="1150" t="s">
        <v>3671</v>
      </c>
      <c r="C2540" s="216" t="s">
        <v>1344</v>
      </c>
      <c r="D2540" s="416" t="s">
        <v>21</v>
      </c>
      <c r="E2540" s="217" t="s">
        <v>3692</v>
      </c>
      <c r="F2540" s="218" t="s">
        <v>3570</v>
      </c>
      <c r="G2540" s="1145">
        <v>28898.23</v>
      </c>
      <c r="H2540" s="1762" t="s">
        <v>3571</v>
      </c>
      <c r="I2540" s="34" t="s">
        <v>25</v>
      </c>
      <c r="J2540" s="327"/>
      <c r="K2540" s="37"/>
      <c r="L2540" s="1128"/>
      <c r="M2540" s="327"/>
      <c r="N2540" s="327"/>
      <c r="O2540" s="1129"/>
    </row>
    <row r="2541" spans="1:15" ht="18.75" customHeight="1" x14ac:dyDescent="0.3">
      <c r="A2541" s="2402">
        <v>2535</v>
      </c>
      <c r="B2541" s="1150" t="s">
        <v>3671</v>
      </c>
      <c r="C2541" s="216" t="s">
        <v>1344</v>
      </c>
      <c r="D2541" s="416" t="s">
        <v>21</v>
      </c>
      <c r="E2541" s="217" t="s">
        <v>3693</v>
      </c>
      <c r="F2541" s="218" t="s">
        <v>3570</v>
      </c>
      <c r="G2541" s="1144">
        <v>28898.23</v>
      </c>
      <c r="H2541" s="1762" t="s">
        <v>3571</v>
      </c>
      <c r="I2541" s="34" t="s">
        <v>25</v>
      </c>
      <c r="J2541" s="327"/>
      <c r="K2541" s="37"/>
      <c r="L2541" s="1128"/>
      <c r="M2541" s="327"/>
      <c r="N2541" s="327"/>
      <c r="O2541" s="1129"/>
    </row>
    <row r="2542" spans="1:15" ht="18.75" customHeight="1" x14ac:dyDescent="0.3">
      <c r="A2542" s="2401">
        <v>2536</v>
      </c>
      <c r="B2542" s="1143" t="s">
        <v>3671</v>
      </c>
      <c r="C2542" s="216" t="s">
        <v>1344</v>
      </c>
      <c r="D2542" s="416" t="s">
        <v>21</v>
      </c>
      <c r="E2542" s="217" t="s">
        <v>3694</v>
      </c>
      <c r="F2542" s="218" t="s">
        <v>3570</v>
      </c>
      <c r="G2542" s="1145">
        <v>28898.23</v>
      </c>
      <c r="H2542" s="1762" t="s">
        <v>3571</v>
      </c>
      <c r="I2542" s="34" t="s">
        <v>25</v>
      </c>
      <c r="J2542" s="327"/>
      <c r="K2542" s="37"/>
      <c r="L2542" s="1128"/>
      <c r="M2542" s="327"/>
      <c r="N2542" s="327"/>
      <c r="O2542" s="1129"/>
    </row>
    <row r="2543" spans="1:15" ht="18.75" customHeight="1" x14ac:dyDescent="0.3">
      <c r="A2543" s="2402">
        <v>2537</v>
      </c>
      <c r="B2543" s="1143" t="s">
        <v>3671</v>
      </c>
      <c r="C2543" s="216" t="s">
        <v>1344</v>
      </c>
      <c r="D2543" s="416" t="s">
        <v>21</v>
      </c>
      <c r="E2543" s="217" t="s">
        <v>3695</v>
      </c>
      <c r="F2543" s="218" t="s">
        <v>3570</v>
      </c>
      <c r="G2543" s="1144">
        <v>28898.23</v>
      </c>
      <c r="H2543" s="1762" t="s">
        <v>3571</v>
      </c>
      <c r="I2543" s="34" t="s">
        <v>25</v>
      </c>
      <c r="J2543" s="327"/>
      <c r="K2543" s="37"/>
      <c r="L2543" s="1128"/>
      <c r="M2543" s="327"/>
      <c r="N2543" s="327"/>
      <c r="O2543" s="1129"/>
    </row>
    <row r="2544" spans="1:15" ht="18.75" customHeight="1" x14ac:dyDescent="0.3">
      <c r="A2544" s="2402">
        <v>2538</v>
      </c>
      <c r="B2544" s="1143" t="s">
        <v>3671</v>
      </c>
      <c r="C2544" s="216" t="s">
        <v>1344</v>
      </c>
      <c r="D2544" s="416" t="s">
        <v>21</v>
      </c>
      <c r="E2544" s="217" t="s">
        <v>3696</v>
      </c>
      <c r="F2544" s="218" t="s">
        <v>3570</v>
      </c>
      <c r="G2544" s="1144">
        <v>28898.23</v>
      </c>
      <c r="H2544" s="1762" t="s">
        <v>3571</v>
      </c>
      <c r="I2544" s="34" t="s">
        <v>25</v>
      </c>
      <c r="J2544" s="327"/>
      <c r="K2544" s="37"/>
      <c r="L2544" s="1128"/>
      <c r="M2544" s="327"/>
      <c r="N2544" s="327"/>
      <c r="O2544" s="1129"/>
    </row>
    <row r="2545" spans="1:15" ht="18.75" customHeight="1" x14ac:dyDescent="0.3">
      <c r="A2545" s="2401">
        <v>2539</v>
      </c>
      <c r="B2545" s="458" t="s">
        <v>3671</v>
      </c>
      <c r="C2545" s="216" t="s">
        <v>1344</v>
      </c>
      <c r="D2545" s="416" t="s">
        <v>21</v>
      </c>
      <c r="E2545" s="217" t="s">
        <v>3697</v>
      </c>
      <c r="F2545" s="218" t="s">
        <v>3570</v>
      </c>
      <c r="G2545" s="1145">
        <v>28898.23</v>
      </c>
      <c r="H2545" s="1762" t="s">
        <v>3571</v>
      </c>
      <c r="I2545" s="34" t="s">
        <v>25</v>
      </c>
      <c r="J2545" s="327"/>
      <c r="K2545" s="37"/>
      <c r="L2545" s="1128"/>
      <c r="M2545" s="327"/>
      <c r="N2545" s="327"/>
      <c r="O2545" s="1129"/>
    </row>
    <row r="2546" spans="1:15" ht="18.75" customHeight="1" x14ac:dyDescent="0.3">
      <c r="A2546" s="2402">
        <v>2540</v>
      </c>
      <c r="B2546" s="1143" t="s">
        <v>3671</v>
      </c>
      <c r="C2546" s="216" t="s">
        <v>1344</v>
      </c>
      <c r="D2546" s="416" t="s">
        <v>21</v>
      </c>
      <c r="E2546" s="217" t="s">
        <v>3698</v>
      </c>
      <c r="F2546" s="218" t="s">
        <v>3570</v>
      </c>
      <c r="G2546" s="1149">
        <v>28898.23</v>
      </c>
      <c r="H2546" s="1762" t="s">
        <v>3571</v>
      </c>
      <c r="I2546" s="34" t="s">
        <v>25</v>
      </c>
      <c r="J2546" s="327"/>
      <c r="K2546" s="37"/>
      <c r="L2546" s="1128"/>
      <c r="M2546" s="327"/>
      <c r="N2546" s="327"/>
      <c r="O2546" s="1129"/>
    </row>
    <row r="2547" spans="1:15" ht="18.75" customHeight="1" x14ac:dyDescent="0.3">
      <c r="A2547" s="2402">
        <v>2541</v>
      </c>
      <c r="B2547" s="1143" t="s">
        <v>3671</v>
      </c>
      <c r="C2547" s="216" t="s">
        <v>1344</v>
      </c>
      <c r="D2547" s="452" t="s">
        <v>21</v>
      </c>
      <c r="E2547" s="217" t="s">
        <v>3699</v>
      </c>
      <c r="F2547" s="218" t="s">
        <v>3570</v>
      </c>
      <c r="G2547" s="1149">
        <v>28898.23</v>
      </c>
      <c r="H2547" s="1762" t="s">
        <v>3571</v>
      </c>
      <c r="I2547" s="34" t="s">
        <v>25</v>
      </c>
      <c r="J2547" s="327"/>
      <c r="K2547" s="37"/>
      <c r="L2547" s="1128"/>
      <c r="M2547" s="327"/>
      <c r="N2547" s="327"/>
      <c r="O2547" s="1129"/>
    </row>
    <row r="2548" spans="1:15" ht="18.75" customHeight="1" x14ac:dyDescent="0.3">
      <c r="A2548" s="2402">
        <v>2542</v>
      </c>
      <c r="B2548" s="458" t="s">
        <v>3671</v>
      </c>
      <c r="C2548" s="216" t="s">
        <v>1344</v>
      </c>
      <c r="D2548" s="793" t="s">
        <v>21</v>
      </c>
      <c r="E2548" s="217" t="s">
        <v>3700</v>
      </c>
      <c r="F2548" s="218" t="s">
        <v>3570</v>
      </c>
      <c r="G2548" s="1144">
        <v>28898.23</v>
      </c>
      <c r="H2548" s="1762" t="s">
        <v>3571</v>
      </c>
      <c r="I2548" s="34" t="s">
        <v>25</v>
      </c>
      <c r="J2548" s="327"/>
      <c r="K2548" s="37"/>
      <c r="L2548" s="1128"/>
      <c r="M2548" s="327"/>
      <c r="N2548" s="327"/>
      <c r="O2548" s="1129"/>
    </row>
    <row r="2549" spans="1:15" ht="18.75" customHeight="1" x14ac:dyDescent="0.3">
      <c r="A2549" s="2402">
        <v>2543</v>
      </c>
      <c r="B2549" s="1150" t="s">
        <v>3671</v>
      </c>
      <c r="C2549" s="216" t="s">
        <v>1344</v>
      </c>
      <c r="D2549" s="416" t="s">
        <v>21</v>
      </c>
      <c r="E2549" s="217" t="s">
        <v>3701</v>
      </c>
      <c r="F2549" s="218" t="s">
        <v>3570</v>
      </c>
      <c r="G2549" s="1144">
        <v>28898.23</v>
      </c>
      <c r="H2549" s="1762" t="s">
        <v>3571</v>
      </c>
      <c r="I2549" s="34" t="s">
        <v>25</v>
      </c>
      <c r="J2549" s="327"/>
      <c r="K2549" s="37"/>
      <c r="L2549" s="1128"/>
      <c r="M2549" s="327"/>
      <c r="N2549" s="327"/>
      <c r="O2549" s="1129"/>
    </row>
    <row r="2550" spans="1:15" ht="18.75" customHeight="1" x14ac:dyDescent="0.3">
      <c r="A2550" s="2401">
        <v>2544</v>
      </c>
      <c r="B2550" s="1150" t="s">
        <v>3671</v>
      </c>
      <c r="C2550" s="216" t="s">
        <v>1344</v>
      </c>
      <c r="D2550" s="416" t="s">
        <v>21</v>
      </c>
      <c r="E2550" s="217" t="s">
        <v>3702</v>
      </c>
      <c r="F2550" s="218" t="s">
        <v>3570</v>
      </c>
      <c r="G2550" s="1145">
        <v>28898.23</v>
      </c>
      <c r="H2550" s="1762" t="s">
        <v>3571</v>
      </c>
      <c r="I2550" s="34" t="s">
        <v>25</v>
      </c>
      <c r="J2550" s="327"/>
      <c r="K2550" s="37"/>
      <c r="L2550" s="1128"/>
      <c r="M2550" s="327"/>
      <c r="N2550" s="327"/>
      <c r="O2550" s="1129"/>
    </row>
    <row r="2551" spans="1:15" ht="18.75" customHeight="1" x14ac:dyDescent="0.3">
      <c r="A2551" s="2402">
        <v>2545</v>
      </c>
      <c r="B2551" s="1150" t="s">
        <v>3671</v>
      </c>
      <c r="C2551" s="216" t="s">
        <v>1344</v>
      </c>
      <c r="D2551" s="416" t="s">
        <v>21</v>
      </c>
      <c r="E2551" s="217" t="s">
        <v>3703</v>
      </c>
      <c r="F2551" s="218" t="s">
        <v>3570</v>
      </c>
      <c r="G2551" s="1144">
        <v>28898.23</v>
      </c>
      <c r="H2551" s="1762" t="s">
        <v>3571</v>
      </c>
      <c r="I2551" s="34" t="s">
        <v>25</v>
      </c>
      <c r="J2551" s="327"/>
      <c r="K2551" s="37"/>
      <c r="L2551" s="1128"/>
      <c r="M2551" s="327"/>
      <c r="N2551" s="327"/>
      <c r="O2551" s="1129"/>
    </row>
    <row r="2552" spans="1:15" ht="18.75" customHeight="1" x14ac:dyDescent="0.3">
      <c r="A2552" s="2402">
        <v>2546</v>
      </c>
      <c r="B2552" s="1143" t="s">
        <v>3671</v>
      </c>
      <c r="C2552" s="216" t="s">
        <v>1344</v>
      </c>
      <c r="D2552" s="416" t="s">
        <v>21</v>
      </c>
      <c r="E2552" s="217" t="s">
        <v>3704</v>
      </c>
      <c r="F2552" s="218" t="s">
        <v>3570</v>
      </c>
      <c r="G2552" s="1145">
        <v>28898.23</v>
      </c>
      <c r="H2552" s="1762" t="s">
        <v>3571</v>
      </c>
      <c r="I2552" s="34" t="s">
        <v>25</v>
      </c>
      <c r="J2552" s="327"/>
      <c r="K2552" s="37"/>
      <c r="L2552" s="1128"/>
      <c r="M2552" s="327"/>
      <c r="N2552" s="327"/>
      <c r="O2552" s="1129"/>
    </row>
    <row r="2553" spans="1:15" ht="18.75" customHeight="1" x14ac:dyDescent="0.3">
      <c r="A2553" s="2401">
        <v>2547</v>
      </c>
      <c r="B2553" s="1143" t="s">
        <v>3671</v>
      </c>
      <c r="C2553" s="216" t="s">
        <v>1344</v>
      </c>
      <c r="D2553" s="452" t="s">
        <v>21</v>
      </c>
      <c r="E2553" s="217" t="s">
        <v>3705</v>
      </c>
      <c r="F2553" s="218" t="s">
        <v>3570</v>
      </c>
      <c r="G2553" s="1149">
        <v>28898.23</v>
      </c>
      <c r="H2553" s="1762" t="s">
        <v>3571</v>
      </c>
      <c r="I2553" s="34" t="s">
        <v>25</v>
      </c>
      <c r="J2553" s="327"/>
      <c r="K2553" s="37"/>
      <c r="L2553" s="1128"/>
      <c r="M2553" s="327"/>
      <c r="N2553" s="327"/>
      <c r="O2553" s="1129"/>
    </row>
    <row r="2554" spans="1:15" ht="18.75" customHeight="1" x14ac:dyDescent="0.3">
      <c r="A2554" s="2402">
        <v>2548</v>
      </c>
      <c r="B2554" s="1143" t="s">
        <v>3671</v>
      </c>
      <c r="C2554" s="216" t="s">
        <v>1344</v>
      </c>
      <c r="D2554" s="495" t="s">
        <v>21</v>
      </c>
      <c r="E2554" s="217" t="s">
        <v>3706</v>
      </c>
      <c r="F2554" s="218" t="s">
        <v>3570</v>
      </c>
      <c r="G2554" s="1149">
        <v>28898.23</v>
      </c>
      <c r="H2554" s="1762" t="s">
        <v>3571</v>
      </c>
      <c r="I2554" s="34" t="s">
        <v>25</v>
      </c>
      <c r="J2554" s="327"/>
      <c r="K2554" s="37"/>
      <c r="L2554" s="1128"/>
      <c r="M2554" s="327"/>
      <c r="N2554" s="327"/>
      <c r="O2554" s="1129"/>
    </row>
    <row r="2555" spans="1:15" ht="18.75" customHeight="1" x14ac:dyDescent="0.3">
      <c r="A2555" s="2402">
        <v>2549</v>
      </c>
      <c r="B2555" s="1151" t="s">
        <v>3671</v>
      </c>
      <c r="C2555" s="216" t="s">
        <v>1344</v>
      </c>
      <c r="D2555" s="793" t="s">
        <v>21</v>
      </c>
      <c r="E2555" s="217" t="s">
        <v>3707</v>
      </c>
      <c r="F2555" s="218" t="s">
        <v>3570</v>
      </c>
      <c r="G2555" s="1152">
        <v>28898.23</v>
      </c>
      <c r="H2555" s="1762" t="s">
        <v>3571</v>
      </c>
      <c r="I2555" s="34" t="s">
        <v>25</v>
      </c>
      <c r="J2555" s="327"/>
      <c r="K2555" s="37"/>
      <c r="L2555" s="1128"/>
      <c r="M2555" s="327"/>
      <c r="N2555" s="327"/>
      <c r="O2555" s="1129"/>
    </row>
    <row r="2556" spans="1:15" ht="18.75" customHeight="1" x14ac:dyDescent="0.3">
      <c r="A2556" s="2402">
        <v>2550</v>
      </c>
      <c r="B2556" s="1151" t="s">
        <v>3671</v>
      </c>
      <c r="C2556" s="216" t="s">
        <v>1344</v>
      </c>
      <c r="D2556" s="416" t="s">
        <v>21</v>
      </c>
      <c r="E2556" s="217" t="s">
        <v>3708</v>
      </c>
      <c r="F2556" s="218" t="s">
        <v>3570</v>
      </c>
      <c r="G2556" s="1152">
        <v>28898.23</v>
      </c>
      <c r="H2556" s="1762" t="s">
        <v>3571</v>
      </c>
      <c r="I2556" s="34" t="s">
        <v>25</v>
      </c>
      <c r="J2556" s="327"/>
      <c r="K2556" s="37"/>
      <c r="L2556" s="1128"/>
      <c r="M2556" s="327"/>
      <c r="N2556" s="327"/>
      <c r="O2556" s="1129"/>
    </row>
    <row r="2557" spans="1:15" ht="18.75" customHeight="1" x14ac:dyDescent="0.3">
      <c r="A2557" s="2402">
        <v>2551</v>
      </c>
      <c r="B2557" s="1151" t="s">
        <v>3671</v>
      </c>
      <c r="C2557" s="216" t="s">
        <v>1344</v>
      </c>
      <c r="D2557" s="416" t="s">
        <v>21</v>
      </c>
      <c r="E2557" s="217" t="s">
        <v>3709</v>
      </c>
      <c r="F2557" s="218" t="s">
        <v>3570</v>
      </c>
      <c r="G2557" s="1152">
        <v>28898.23</v>
      </c>
      <c r="H2557" s="1762" t="s">
        <v>3571</v>
      </c>
      <c r="I2557" s="34" t="s">
        <v>25</v>
      </c>
      <c r="J2557" s="327"/>
      <c r="K2557" s="37"/>
      <c r="L2557" s="1128"/>
      <c r="M2557" s="327"/>
      <c r="N2557" s="327"/>
      <c r="O2557" s="1129"/>
    </row>
    <row r="2558" spans="1:15" ht="18.75" customHeight="1" x14ac:dyDescent="0.3">
      <c r="A2558" s="2401">
        <v>2552</v>
      </c>
      <c r="B2558" s="1153" t="s">
        <v>3671</v>
      </c>
      <c r="C2558" s="216" t="s">
        <v>1344</v>
      </c>
      <c r="D2558" s="416" t="s">
        <v>21</v>
      </c>
      <c r="E2558" s="217" t="s">
        <v>3710</v>
      </c>
      <c r="F2558" s="218" t="s">
        <v>3570</v>
      </c>
      <c r="G2558" s="1152">
        <v>28898.23</v>
      </c>
      <c r="H2558" s="1762" t="s">
        <v>3571</v>
      </c>
      <c r="I2558" s="34" t="s">
        <v>25</v>
      </c>
      <c r="J2558" s="327"/>
      <c r="K2558" s="37"/>
      <c r="L2558" s="1128"/>
      <c r="M2558" s="327"/>
      <c r="N2558" s="327"/>
      <c r="O2558" s="1129"/>
    </row>
    <row r="2559" spans="1:15" ht="18.75" customHeight="1" x14ac:dyDescent="0.3">
      <c r="A2559" s="2402">
        <v>2553</v>
      </c>
      <c r="B2559" s="1151" t="s">
        <v>3671</v>
      </c>
      <c r="C2559" s="216" t="s">
        <v>1344</v>
      </c>
      <c r="D2559" s="416" t="s">
        <v>21</v>
      </c>
      <c r="E2559" s="217" t="s">
        <v>3711</v>
      </c>
      <c r="F2559" s="218" t="s">
        <v>3570</v>
      </c>
      <c r="G2559" s="1152">
        <v>28898.23</v>
      </c>
      <c r="H2559" s="1762" t="s">
        <v>3571</v>
      </c>
      <c r="I2559" s="34" t="s">
        <v>25</v>
      </c>
      <c r="J2559" s="327"/>
      <c r="K2559" s="37"/>
      <c r="L2559" s="1128"/>
      <c r="M2559" s="327"/>
      <c r="N2559" s="327"/>
      <c r="O2559" s="1129"/>
    </row>
    <row r="2560" spans="1:15" ht="18.75" customHeight="1" x14ac:dyDescent="0.3">
      <c r="A2560" s="2402">
        <v>2554</v>
      </c>
      <c r="B2560" s="1151" t="s">
        <v>3671</v>
      </c>
      <c r="C2560" s="216" t="s">
        <v>1344</v>
      </c>
      <c r="D2560" s="416" t="s">
        <v>21</v>
      </c>
      <c r="E2560" s="217" t="s">
        <v>3712</v>
      </c>
      <c r="F2560" s="218" t="s">
        <v>3570</v>
      </c>
      <c r="G2560" s="1152">
        <v>28898.23</v>
      </c>
      <c r="H2560" s="1762" t="s">
        <v>3571</v>
      </c>
      <c r="I2560" s="34" t="s">
        <v>25</v>
      </c>
      <c r="J2560" s="327"/>
      <c r="K2560" s="37"/>
      <c r="L2560" s="1128"/>
      <c r="M2560" s="327"/>
      <c r="N2560" s="327"/>
      <c r="O2560" s="1129"/>
    </row>
    <row r="2561" spans="1:15" ht="18.75" customHeight="1" x14ac:dyDescent="0.3">
      <c r="A2561" s="2401">
        <v>2555</v>
      </c>
      <c r="B2561" s="458" t="s">
        <v>3713</v>
      </c>
      <c r="C2561" s="216" t="s">
        <v>1344</v>
      </c>
      <c r="D2561" s="416" t="s">
        <v>21</v>
      </c>
      <c r="E2561" s="217" t="s">
        <v>3714</v>
      </c>
      <c r="F2561" s="218" t="s">
        <v>3570</v>
      </c>
      <c r="G2561" s="1144">
        <v>2022.3</v>
      </c>
      <c r="H2561" s="1762" t="s">
        <v>3571</v>
      </c>
      <c r="I2561" s="34" t="s">
        <v>25</v>
      </c>
      <c r="J2561" s="327"/>
      <c r="K2561" s="37"/>
      <c r="L2561" s="1128"/>
      <c r="M2561" s="327"/>
      <c r="N2561" s="327"/>
      <c r="O2561" s="1129"/>
    </row>
    <row r="2562" spans="1:15" ht="18.75" customHeight="1" x14ac:dyDescent="0.3">
      <c r="A2562" s="2402">
        <v>2556</v>
      </c>
      <c r="B2562" s="1143" t="s">
        <v>3713</v>
      </c>
      <c r="C2562" s="216" t="s">
        <v>1344</v>
      </c>
      <c r="D2562" s="416" t="s">
        <v>21</v>
      </c>
      <c r="E2562" s="217" t="s">
        <v>3715</v>
      </c>
      <c r="F2562" s="218" t="s">
        <v>3570</v>
      </c>
      <c r="G2562" s="1145">
        <v>2022.3</v>
      </c>
      <c r="H2562" s="1762" t="s">
        <v>3571</v>
      </c>
      <c r="I2562" s="34" t="s">
        <v>25</v>
      </c>
      <c r="J2562" s="327"/>
      <c r="K2562" s="37"/>
      <c r="L2562" s="1128"/>
      <c r="M2562" s="327"/>
      <c r="N2562" s="327"/>
      <c r="O2562" s="1129"/>
    </row>
    <row r="2563" spans="1:15" ht="18.75" customHeight="1" x14ac:dyDescent="0.3">
      <c r="A2563" s="2402">
        <v>2557</v>
      </c>
      <c r="B2563" s="1143" t="s">
        <v>3713</v>
      </c>
      <c r="C2563" s="216" t="s">
        <v>1344</v>
      </c>
      <c r="D2563" s="416" t="s">
        <v>21</v>
      </c>
      <c r="E2563" s="217" t="s">
        <v>3716</v>
      </c>
      <c r="F2563" s="218" t="s">
        <v>3570</v>
      </c>
      <c r="G2563" s="1144">
        <v>2022.3</v>
      </c>
      <c r="H2563" s="1762" t="s">
        <v>3571</v>
      </c>
      <c r="I2563" s="34" t="s">
        <v>25</v>
      </c>
      <c r="J2563" s="327"/>
      <c r="K2563" s="37"/>
      <c r="L2563" s="1128"/>
      <c r="M2563" s="327"/>
      <c r="N2563" s="327"/>
      <c r="O2563" s="1129"/>
    </row>
    <row r="2564" spans="1:15" ht="18.75" customHeight="1" x14ac:dyDescent="0.3">
      <c r="A2564" s="2402">
        <v>2558</v>
      </c>
      <c r="B2564" s="1143" t="s">
        <v>3713</v>
      </c>
      <c r="C2564" s="216" t="s">
        <v>1344</v>
      </c>
      <c r="D2564" s="416" t="s">
        <v>21</v>
      </c>
      <c r="E2564" s="217" t="s">
        <v>3717</v>
      </c>
      <c r="F2564" s="218" t="s">
        <v>3570</v>
      </c>
      <c r="G2564" s="1145">
        <v>2022.3</v>
      </c>
      <c r="H2564" s="1762" t="s">
        <v>3571</v>
      </c>
      <c r="I2564" s="34" t="s">
        <v>25</v>
      </c>
      <c r="J2564" s="327"/>
      <c r="K2564" s="37"/>
      <c r="L2564" s="1128"/>
      <c r="M2564" s="327"/>
      <c r="N2564" s="327"/>
      <c r="O2564" s="1129"/>
    </row>
    <row r="2565" spans="1:15" ht="18.75" customHeight="1" x14ac:dyDescent="0.3">
      <c r="A2565" s="2402">
        <v>2559</v>
      </c>
      <c r="B2565" s="1143" t="s">
        <v>3713</v>
      </c>
      <c r="C2565" s="216" t="s">
        <v>1344</v>
      </c>
      <c r="D2565" s="416" t="s">
        <v>21</v>
      </c>
      <c r="E2565" s="217" t="s">
        <v>3718</v>
      </c>
      <c r="F2565" s="218" t="s">
        <v>3570</v>
      </c>
      <c r="G2565" s="1144">
        <v>2022.3</v>
      </c>
      <c r="H2565" s="1762" t="s">
        <v>3571</v>
      </c>
      <c r="I2565" s="34" t="s">
        <v>25</v>
      </c>
      <c r="J2565" s="327"/>
      <c r="K2565" s="37"/>
      <c r="L2565" s="1128"/>
      <c r="M2565" s="327"/>
      <c r="N2565" s="327"/>
      <c r="O2565" s="1129"/>
    </row>
    <row r="2566" spans="1:15" ht="18.75" customHeight="1" x14ac:dyDescent="0.3">
      <c r="A2566" s="2401">
        <v>2560</v>
      </c>
      <c r="B2566" s="1143" t="s">
        <v>3713</v>
      </c>
      <c r="C2566" s="216" t="s">
        <v>1344</v>
      </c>
      <c r="D2566" s="452" t="s">
        <v>21</v>
      </c>
      <c r="E2566" s="217" t="s">
        <v>3719</v>
      </c>
      <c r="F2566" s="218" t="s">
        <v>3570</v>
      </c>
      <c r="G2566" s="1144">
        <v>2022.3</v>
      </c>
      <c r="H2566" s="1762" t="s">
        <v>3571</v>
      </c>
      <c r="I2566" s="34" t="s">
        <v>25</v>
      </c>
      <c r="J2566" s="327"/>
      <c r="K2566" s="37"/>
      <c r="L2566" s="1128"/>
      <c r="M2566" s="327"/>
      <c r="N2566" s="327"/>
      <c r="O2566" s="1129"/>
    </row>
    <row r="2567" spans="1:15" ht="18.75" customHeight="1" x14ac:dyDescent="0.3">
      <c r="A2567" s="2402">
        <v>2561</v>
      </c>
      <c r="B2567" s="1143" t="s">
        <v>3713</v>
      </c>
      <c r="C2567" s="216" t="s">
        <v>1344</v>
      </c>
      <c r="D2567" s="495" t="s">
        <v>21</v>
      </c>
      <c r="E2567" s="217" t="s">
        <v>3720</v>
      </c>
      <c r="F2567" s="218" t="s">
        <v>3570</v>
      </c>
      <c r="G2567" s="1144">
        <v>2022.3</v>
      </c>
      <c r="H2567" s="1762" t="s">
        <v>3571</v>
      </c>
      <c r="I2567" s="34" t="s">
        <v>25</v>
      </c>
      <c r="J2567" s="327"/>
      <c r="K2567" s="37"/>
      <c r="L2567" s="1128"/>
      <c r="M2567" s="327"/>
      <c r="N2567" s="327"/>
      <c r="O2567" s="1129"/>
    </row>
    <row r="2568" spans="1:15" ht="18.75" customHeight="1" x14ac:dyDescent="0.3">
      <c r="A2568" s="2402">
        <v>2562</v>
      </c>
      <c r="B2568" s="458" t="s">
        <v>3713</v>
      </c>
      <c r="C2568" s="216" t="s">
        <v>1344</v>
      </c>
      <c r="D2568" s="793" t="s">
        <v>21</v>
      </c>
      <c r="E2568" s="217" t="s">
        <v>3721</v>
      </c>
      <c r="F2568" s="218" t="s">
        <v>3570</v>
      </c>
      <c r="G2568" s="1144">
        <v>2022.3</v>
      </c>
      <c r="H2568" s="1762" t="s">
        <v>3571</v>
      </c>
      <c r="I2568" s="34" t="s">
        <v>25</v>
      </c>
      <c r="J2568" s="327"/>
      <c r="K2568" s="37"/>
      <c r="L2568" s="1128"/>
      <c r="M2568" s="327"/>
      <c r="N2568" s="327"/>
      <c r="O2568" s="1129"/>
    </row>
    <row r="2569" spans="1:15" ht="18.75" customHeight="1" x14ac:dyDescent="0.3">
      <c r="A2569" s="2401">
        <v>2563</v>
      </c>
      <c r="B2569" s="1143" t="s">
        <v>3713</v>
      </c>
      <c r="C2569" s="216" t="s">
        <v>1344</v>
      </c>
      <c r="D2569" s="416" t="s">
        <v>21</v>
      </c>
      <c r="E2569" s="217" t="s">
        <v>3722</v>
      </c>
      <c r="F2569" s="218" t="s">
        <v>3570</v>
      </c>
      <c r="G2569" s="1145">
        <v>2022.3</v>
      </c>
      <c r="H2569" s="1762" t="s">
        <v>3571</v>
      </c>
      <c r="I2569" s="34" t="s">
        <v>25</v>
      </c>
      <c r="J2569" s="327"/>
      <c r="K2569" s="37"/>
      <c r="L2569" s="1128"/>
      <c r="M2569" s="327"/>
      <c r="N2569" s="327"/>
      <c r="O2569" s="1129"/>
    </row>
    <row r="2570" spans="1:15" ht="18.75" customHeight="1" x14ac:dyDescent="0.3">
      <c r="A2570" s="2402">
        <v>2564</v>
      </c>
      <c r="B2570" s="1143" t="s">
        <v>3713</v>
      </c>
      <c r="C2570" s="216" t="s">
        <v>1344</v>
      </c>
      <c r="D2570" s="416" t="s">
        <v>21</v>
      </c>
      <c r="E2570" s="217" t="s">
        <v>3723</v>
      </c>
      <c r="F2570" s="218" t="s">
        <v>3570</v>
      </c>
      <c r="G2570" s="1144">
        <v>2022.3</v>
      </c>
      <c r="H2570" s="1762" t="s">
        <v>3571</v>
      </c>
      <c r="I2570" s="34" t="s">
        <v>25</v>
      </c>
      <c r="J2570" s="327"/>
      <c r="K2570" s="37"/>
      <c r="L2570" s="1128"/>
      <c r="M2570" s="327"/>
      <c r="N2570" s="327"/>
      <c r="O2570" s="1129"/>
    </row>
    <row r="2571" spans="1:15" ht="18.75" customHeight="1" x14ac:dyDescent="0.3">
      <c r="A2571" s="2402">
        <v>2565</v>
      </c>
      <c r="B2571" s="1143" t="s">
        <v>3713</v>
      </c>
      <c r="C2571" s="216" t="s">
        <v>1344</v>
      </c>
      <c r="D2571" s="416" t="s">
        <v>21</v>
      </c>
      <c r="E2571" s="217" t="s">
        <v>3724</v>
      </c>
      <c r="F2571" s="218" t="s">
        <v>3570</v>
      </c>
      <c r="G2571" s="1144">
        <v>2022.3</v>
      </c>
      <c r="H2571" s="1762" t="s">
        <v>3571</v>
      </c>
      <c r="I2571" s="34" t="s">
        <v>25</v>
      </c>
      <c r="J2571" s="327"/>
      <c r="K2571" s="37"/>
      <c r="L2571" s="1128"/>
      <c r="M2571" s="327"/>
      <c r="N2571" s="327"/>
      <c r="O2571" s="1129"/>
    </row>
    <row r="2572" spans="1:15" ht="18.75" customHeight="1" x14ac:dyDescent="0.3">
      <c r="A2572" s="2402">
        <v>2566</v>
      </c>
      <c r="B2572" s="458" t="s">
        <v>3713</v>
      </c>
      <c r="C2572" s="216" t="s">
        <v>1344</v>
      </c>
      <c r="D2572" s="416" t="s">
        <v>21</v>
      </c>
      <c r="E2572" s="217" t="s">
        <v>3725</v>
      </c>
      <c r="F2572" s="218" t="s">
        <v>3570</v>
      </c>
      <c r="G2572" s="1154">
        <v>2022.3</v>
      </c>
      <c r="H2572" s="1762" t="s">
        <v>3571</v>
      </c>
      <c r="I2572" s="34" t="s">
        <v>25</v>
      </c>
      <c r="J2572" s="327"/>
      <c r="K2572" s="37"/>
      <c r="L2572" s="1128"/>
      <c r="M2572" s="327"/>
      <c r="N2572" s="327"/>
      <c r="O2572" s="1129"/>
    </row>
    <row r="2573" spans="1:15" ht="18.75" customHeight="1" x14ac:dyDescent="0.3">
      <c r="A2573" s="2402">
        <v>2567</v>
      </c>
      <c r="B2573" s="1143" t="s">
        <v>3713</v>
      </c>
      <c r="C2573" s="216" t="s">
        <v>1344</v>
      </c>
      <c r="D2573" s="416" t="s">
        <v>21</v>
      </c>
      <c r="E2573" s="217" t="s">
        <v>3726</v>
      </c>
      <c r="F2573" s="218" t="s">
        <v>3570</v>
      </c>
      <c r="G2573" s="1145">
        <v>2022.3</v>
      </c>
      <c r="H2573" s="1762" t="s">
        <v>3571</v>
      </c>
      <c r="I2573" s="34" t="s">
        <v>25</v>
      </c>
      <c r="J2573" s="327"/>
      <c r="K2573" s="37"/>
      <c r="L2573" s="1128"/>
      <c r="M2573" s="327"/>
      <c r="N2573" s="327"/>
      <c r="O2573" s="1129"/>
    </row>
    <row r="2574" spans="1:15" ht="18.75" customHeight="1" x14ac:dyDescent="0.3">
      <c r="A2574" s="2401">
        <v>2568</v>
      </c>
      <c r="B2574" s="1143" t="s">
        <v>3713</v>
      </c>
      <c r="C2574" s="216" t="s">
        <v>1344</v>
      </c>
      <c r="D2574" s="416" t="s">
        <v>21</v>
      </c>
      <c r="E2574" s="217" t="s">
        <v>3727</v>
      </c>
      <c r="F2574" s="218" t="s">
        <v>3570</v>
      </c>
      <c r="G2574" s="1144">
        <v>2022.3</v>
      </c>
      <c r="H2574" s="1762" t="s">
        <v>3571</v>
      </c>
      <c r="I2574" s="34" t="s">
        <v>25</v>
      </c>
      <c r="J2574" s="327"/>
      <c r="K2574" s="37"/>
      <c r="L2574" s="1128"/>
      <c r="M2574" s="327"/>
      <c r="N2574" s="327"/>
      <c r="O2574" s="1129"/>
    </row>
    <row r="2575" spans="1:15" ht="18.75" customHeight="1" x14ac:dyDescent="0.3">
      <c r="A2575" s="2402">
        <v>2569</v>
      </c>
      <c r="B2575" s="1143" t="s">
        <v>3713</v>
      </c>
      <c r="C2575" s="216" t="s">
        <v>1344</v>
      </c>
      <c r="D2575" s="416" t="s">
        <v>21</v>
      </c>
      <c r="E2575" s="217" t="s">
        <v>3728</v>
      </c>
      <c r="F2575" s="218" t="s">
        <v>3570</v>
      </c>
      <c r="G2575" s="1144">
        <v>2022.3</v>
      </c>
      <c r="H2575" s="1762" t="s">
        <v>3571</v>
      </c>
      <c r="I2575" s="34" t="s">
        <v>25</v>
      </c>
      <c r="J2575" s="327"/>
      <c r="K2575" s="37"/>
      <c r="L2575" s="1128"/>
      <c r="M2575" s="327"/>
      <c r="N2575" s="327"/>
      <c r="O2575" s="1129"/>
    </row>
    <row r="2576" spans="1:15" ht="18.75" customHeight="1" x14ac:dyDescent="0.3">
      <c r="A2576" s="2402">
        <v>2570</v>
      </c>
      <c r="B2576" s="1143" t="s">
        <v>3713</v>
      </c>
      <c r="C2576" s="216" t="s">
        <v>1344</v>
      </c>
      <c r="D2576" s="416" t="s">
        <v>21</v>
      </c>
      <c r="E2576" s="217" t="s">
        <v>3729</v>
      </c>
      <c r="F2576" s="218" t="s">
        <v>3570</v>
      </c>
      <c r="G2576" s="1145">
        <v>2022.3</v>
      </c>
      <c r="H2576" s="1762" t="s">
        <v>3571</v>
      </c>
      <c r="I2576" s="34" t="s">
        <v>25</v>
      </c>
      <c r="J2576" s="327"/>
      <c r="K2576" s="37"/>
      <c r="L2576" s="1128"/>
      <c r="M2576" s="327"/>
      <c r="N2576" s="327"/>
      <c r="O2576" s="1129"/>
    </row>
    <row r="2577" spans="1:15" ht="18.75" customHeight="1" x14ac:dyDescent="0.3">
      <c r="A2577" s="2401">
        <v>2571</v>
      </c>
      <c r="B2577" s="1143" t="s">
        <v>3730</v>
      </c>
      <c r="C2577" s="216" t="s">
        <v>1344</v>
      </c>
      <c r="D2577" s="416" t="s">
        <v>21</v>
      </c>
      <c r="E2577" s="217" t="s">
        <v>3731</v>
      </c>
      <c r="F2577" s="218" t="s">
        <v>3570</v>
      </c>
      <c r="G2577" s="1149">
        <v>4280</v>
      </c>
      <c r="H2577" s="1762" t="s">
        <v>3571</v>
      </c>
      <c r="I2577" s="34" t="s">
        <v>25</v>
      </c>
      <c r="J2577" s="327"/>
      <c r="K2577" s="37"/>
      <c r="L2577" s="1128"/>
      <c r="M2577" s="327"/>
      <c r="N2577" s="327"/>
      <c r="O2577" s="1129"/>
    </row>
    <row r="2578" spans="1:15" ht="18.75" customHeight="1" x14ac:dyDescent="0.3">
      <c r="A2578" s="2402">
        <v>2572</v>
      </c>
      <c r="B2578" s="1143" t="s">
        <v>3730</v>
      </c>
      <c r="C2578" s="216" t="s">
        <v>1344</v>
      </c>
      <c r="D2578" s="452" t="s">
        <v>21</v>
      </c>
      <c r="E2578" s="217" t="s">
        <v>3732</v>
      </c>
      <c r="F2578" s="218" t="s">
        <v>3570</v>
      </c>
      <c r="G2578" s="1149">
        <v>4280</v>
      </c>
      <c r="H2578" s="1762" t="s">
        <v>3571</v>
      </c>
      <c r="I2578" s="34" t="s">
        <v>25</v>
      </c>
      <c r="J2578" s="327"/>
      <c r="K2578" s="37"/>
      <c r="L2578" s="1128"/>
      <c r="M2578" s="327"/>
      <c r="N2578" s="327"/>
      <c r="O2578" s="1129"/>
    </row>
    <row r="2579" spans="1:15" ht="18.75" customHeight="1" x14ac:dyDescent="0.3">
      <c r="A2579" s="2402">
        <v>2573</v>
      </c>
      <c r="B2579" s="1143" t="s">
        <v>3730</v>
      </c>
      <c r="C2579" s="216" t="s">
        <v>1344</v>
      </c>
      <c r="D2579" s="495" t="s">
        <v>21</v>
      </c>
      <c r="E2579" s="217" t="s">
        <v>3733</v>
      </c>
      <c r="F2579" s="218" t="s">
        <v>3570</v>
      </c>
      <c r="G2579" s="1144">
        <v>4280</v>
      </c>
      <c r="H2579" s="1762" t="s">
        <v>3571</v>
      </c>
      <c r="I2579" s="34" t="s">
        <v>25</v>
      </c>
      <c r="J2579" s="327"/>
      <c r="K2579" s="37"/>
      <c r="L2579" s="1128"/>
      <c r="M2579" s="327"/>
      <c r="N2579" s="327"/>
      <c r="O2579" s="1129"/>
    </row>
    <row r="2580" spans="1:15" ht="18.75" customHeight="1" x14ac:dyDescent="0.3">
      <c r="A2580" s="2402">
        <v>2574</v>
      </c>
      <c r="B2580" s="458" t="s">
        <v>3730</v>
      </c>
      <c r="C2580" s="216" t="s">
        <v>1344</v>
      </c>
      <c r="D2580" s="793" t="s">
        <v>21</v>
      </c>
      <c r="E2580" s="217" t="s">
        <v>3734</v>
      </c>
      <c r="F2580" s="218" t="s">
        <v>3570</v>
      </c>
      <c r="G2580" s="1144">
        <v>4280</v>
      </c>
      <c r="H2580" s="1762" t="s">
        <v>3571</v>
      </c>
      <c r="I2580" s="34" t="s">
        <v>25</v>
      </c>
      <c r="J2580" s="327"/>
      <c r="K2580" s="37"/>
      <c r="L2580" s="1128"/>
      <c r="M2580" s="327"/>
      <c r="N2580" s="327"/>
      <c r="O2580" s="1129"/>
    </row>
    <row r="2581" spans="1:15" ht="18.75" customHeight="1" x14ac:dyDescent="0.3">
      <c r="A2581" s="2402">
        <v>2575</v>
      </c>
      <c r="B2581" s="1143" t="s">
        <v>3730</v>
      </c>
      <c r="C2581" s="216" t="s">
        <v>1344</v>
      </c>
      <c r="D2581" s="416" t="s">
        <v>21</v>
      </c>
      <c r="E2581" s="217" t="s">
        <v>3735</v>
      </c>
      <c r="F2581" s="218" t="s">
        <v>3570</v>
      </c>
      <c r="G2581" s="1154">
        <v>4280</v>
      </c>
      <c r="H2581" s="1762" t="s">
        <v>3571</v>
      </c>
      <c r="I2581" s="34" t="s">
        <v>25</v>
      </c>
      <c r="J2581" s="327"/>
      <c r="K2581" s="37"/>
      <c r="L2581" s="1128"/>
      <c r="M2581" s="327"/>
      <c r="N2581" s="327"/>
      <c r="O2581" s="1129"/>
    </row>
    <row r="2582" spans="1:15" ht="18.75" customHeight="1" x14ac:dyDescent="0.3">
      <c r="A2582" s="2401">
        <v>2576</v>
      </c>
      <c r="B2582" s="458" t="s">
        <v>3730</v>
      </c>
      <c r="C2582" s="216" t="s">
        <v>1344</v>
      </c>
      <c r="D2582" s="416" t="s">
        <v>21</v>
      </c>
      <c r="E2582" s="217" t="s">
        <v>3736</v>
      </c>
      <c r="F2582" s="218" t="s">
        <v>3570</v>
      </c>
      <c r="G2582" s="1144">
        <v>4280</v>
      </c>
      <c r="H2582" s="1762" t="s">
        <v>3571</v>
      </c>
      <c r="I2582" s="34" t="s">
        <v>25</v>
      </c>
      <c r="J2582" s="327"/>
      <c r="K2582" s="37"/>
      <c r="L2582" s="1128"/>
      <c r="M2582" s="327"/>
      <c r="N2582" s="327"/>
      <c r="O2582" s="1129"/>
    </row>
    <row r="2583" spans="1:15" ht="18.75" customHeight="1" x14ac:dyDescent="0.3">
      <c r="A2583" s="2402">
        <v>2577</v>
      </c>
      <c r="B2583" s="1150" t="s">
        <v>3730</v>
      </c>
      <c r="C2583" s="216" t="s">
        <v>1344</v>
      </c>
      <c r="D2583" s="416" t="s">
        <v>21</v>
      </c>
      <c r="E2583" s="217" t="s">
        <v>3737</v>
      </c>
      <c r="F2583" s="218" t="s">
        <v>3570</v>
      </c>
      <c r="G2583" s="1144">
        <v>4280</v>
      </c>
      <c r="H2583" s="1762" t="s">
        <v>3571</v>
      </c>
      <c r="I2583" s="34" t="s">
        <v>25</v>
      </c>
      <c r="J2583" s="327"/>
      <c r="K2583" s="37"/>
      <c r="L2583" s="1128"/>
      <c r="M2583" s="327"/>
      <c r="N2583" s="327"/>
      <c r="O2583" s="1129"/>
    </row>
    <row r="2584" spans="1:15" ht="18.75" customHeight="1" x14ac:dyDescent="0.3">
      <c r="A2584" s="2402">
        <v>2578</v>
      </c>
      <c r="B2584" s="1143" t="s">
        <v>3730</v>
      </c>
      <c r="C2584" s="216" t="s">
        <v>1344</v>
      </c>
      <c r="D2584" s="416" t="s">
        <v>21</v>
      </c>
      <c r="E2584" s="217" t="s">
        <v>3738</v>
      </c>
      <c r="F2584" s="218" t="s">
        <v>3570</v>
      </c>
      <c r="G2584" s="1144">
        <v>4280</v>
      </c>
      <c r="H2584" s="1762" t="s">
        <v>3571</v>
      </c>
      <c r="I2584" s="34" t="s">
        <v>25</v>
      </c>
      <c r="J2584" s="327"/>
      <c r="K2584" s="37"/>
      <c r="L2584" s="1128"/>
      <c r="M2584" s="327"/>
      <c r="N2584" s="327"/>
      <c r="O2584" s="1129"/>
    </row>
    <row r="2585" spans="1:15" ht="18.75" customHeight="1" x14ac:dyDescent="0.3">
      <c r="A2585" s="2401">
        <v>2579</v>
      </c>
      <c r="B2585" s="1143" t="s">
        <v>3730</v>
      </c>
      <c r="C2585" s="216" t="s">
        <v>1344</v>
      </c>
      <c r="D2585" s="416" t="s">
        <v>21</v>
      </c>
      <c r="E2585" s="217" t="s">
        <v>3739</v>
      </c>
      <c r="F2585" s="218" t="s">
        <v>3570</v>
      </c>
      <c r="G2585" s="1144">
        <v>4280</v>
      </c>
      <c r="H2585" s="1762" t="s">
        <v>3571</v>
      </c>
      <c r="I2585" s="34" t="s">
        <v>25</v>
      </c>
      <c r="J2585" s="327"/>
      <c r="K2585" s="37"/>
      <c r="L2585" s="1128"/>
      <c r="M2585" s="327"/>
      <c r="N2585" s="327"/>
      <c r="O2585" s="1129"/>
    </row>
    <row r="2586" spans="1:15" ht="18.75" customHeight="1" x14ac:dyDescent="0.3">
      <c r="A2586" s="2402">
        <v>2580</v>
      </c>
      <c r="B2586" s="1143" t="s">
        <v>3730</v>
      </c>
      <c r="C2586" s="216" t="s">
        <v>1344</v>
      </c>
      <c r="D2586" s="416" t="s">
        <v>21</v>
      </c>
      <c r="E2586" s="217" t="s">
        <v>3740</v>
      </c>
      <c r="F2586" s="218" t="s">
        <v>3570</v>
      </c>
      <c r="G2586" s="1144">
        <v>4280</v>
      </c>
      <c r="H2586" s="1762" t="s">
        <v>3571</v>
      </c>
      <c r="I2586" s="34" t="s">
        <v>25</v>
      </c>
      <c r="J2586" s="327"/>
      <c r="K2586" s="37"/>
      <c r="L2586" s="1128"/>
      <c r="M2586" s="327"/>
      <c r="N2586" s="327"/>
      <c r="O2586" s="1129"/>
    </row>
    <row r="2587" spans="1:15" ht="18.75" customHeight="1" x14ac:dyDescent="0.3">
      <c r="A2587" s="2402">
        <v>2581</v>
      </c>
      <c r="B2587" s="1155" t="s">
        <v>3730</v>
      </c>
      <c r="C2587" s="216" t="s">
        <v>1344</v>
      </c>
      <c r="D2587" s="416" t="s">
        <v>21</v>
      </c>
      <c r="E2587" s="217" t="s">
        <v>3741</v>
      </c>
      <c r="F2587" s="218" t="s">
        <v>3570</v>
      </c>
      <c r="G2587" s="1145">
        <v>4280</v>
      </c>
      <c r="H2587" s="1762" t="s">
        <v>3571</v>
      </c>
      <c r="I2587" s="34" t="s">
        <v>25</v>
      </c>
      <c r="J2587" s="327"/>
      <c r="K2587" s="37"/>
      <c r="L2587" s="1128"/>
      <c r="M2587" s="327"/>
      <c r="N2587" s="327"/>
      <c r="O2587" s="1129"/>
    </row>
    <row r="2588" spans="1:15" ht="18.75" customHeight="1" x14ac:dyDescent="0.3">
      <c r="A2588" s="2402">
        <v>2582</v>
      </c>
      <c r="B2588" s="458" t="s">
        <v>3730</v>
      </c>
      <c r="C2588" s="216" t="s">
        <v>1344</v>
      </c>
      <c r="D2588" s="416" t="s">
        <v>21</v>
      </c>
      <c r="E2588" s="217" t="s">
        <v>3742</v>
      </c>
      <c r="F2588" s="218" t="s">
        <v>3570</v>
      </c>
      <c r="G2588" s="1149">
        <v>4280</v>
      </c>
      <c r="H2588" s="1762" t="s">
        <v>3571</v>
      </c>
      <c r="I2588" s="34" t="s">
        <v>25</v>
      </c>
      <c r="J2588" s="327"/>
      <c r="K2588" s="37"/>
      <c r="L2588" s="1128"/>
      <c r="M2588" s="327"/>
      <c r="N2588" s="327"/>
      <c r="O2588" s="1129"/>
    </row>
    <row r="2589" spans="1:15" ht="18.75" customHeight="1" x14ac:dyDescent="0.3">
      <c r="A2589" s="2402">
        <v>2583</v>
      </c>
      <c r="B2589" s="1143" t="s">
        <v>3730</v>
      </c>
      <c r="C2589" s="216" t="s">
        <v>1344</v>
      </c>
      <c r="D2589" s="416" t="s">
        <v>21</v>
      </c>
      <c r="E2589" s="217" t="s">
        <v>3743</v>
      </c>
      <c r="F2589" s="218" t="s">
        <v>3570</v>
      </c>
      <c r="G2589" s="1144">
        <v>4280</v>
      </c>
      <c r="H2589" s="1762" t="s">
        <v>3571</v>
      </c>
      <c r="I2589" s="34" t="s">
        <v>25</v>
      </c>
      <c r="J2589" s="327"/>
      <c r="K2589" s="37"/>
      <c r="L2589" s="1128"/>
      <c r="M2589" s="327"/>
      <c r="N2589" s="327"/>
      <c r="O2589" s="1129"/>
    </row>
    <row r="2590" spans="1:15" ht="18.75" customHeight="1" x14ac:dyDescent="0.3">
      <c r="A2590" s="2401">
        <v>2584</v>
      </c>
      <c r="B2590" s="1143" t="s">
        <v>3730</v>
      </c>
      <c r="C2590" s="216" t="s">
        <v>1344</v>
      </c>
      <c r="D2590" s="416" t="s">
        <v>21</v>
      </c>
      <c r="E2590" s="217" t="s">
        <v>3744</v>
      </c>
      <c r="F2590" s="218" t="s">
        <v>3570</v>
      </c>
      <c r="G2590" s="1144">
        <v>4280</v>
      </c>
      <c r="H2590" s="1762" t="s">
        <v>3571</v>
      </c>
      <c r="I2590" s="34" t="s">
        <v>25</v>
      </c>
      <c r="J2590" s="327"/>
      <c r="K2590" s="37"/>
      <c r="L2590" s="1128"/>
      <c r="M2590" s="327"/>
      <c r="N2590" s="327"/>
      <c r="O2590" s="1129"/>
    </row>
    <row r="2591" spans="1:15" ht="18.75" customHeight="1" x14ac:dyDescent="0.3">
      <c r="A2591" s="2402">
        <v>2585</v>
      </c>
      <c r="B2591" s="1143" t="s">
        <v>3730</v>
      </c>
      <c r="C2591" s="216" t="s">
        <v>1344</v>
      </c>
      <c r="D2591" s="416" t="s">
        <v>21</v>
      </c>
      <c r="E2591" s="217" t="s">
        <v>3745</v>
      </c>
      <c r="F2591" s="218" t="s">
        <v>3570</v>
      </c>
      <c r="G2591" s="1145">
        <v>4280</v>
      </c>
      <c r="H2591" s="1762" t="s">
        <v>3571</v>
      </c>
      <c r="I2591" s="34" t="s">
        <v>25</v>
      </c>
      <c r="J2591" s="327"/>
      <c r="K2591" s="37"/>
      <c r="L2591" s="1128"/>
      <c r="M2591" s="327"/>
      <c r="N2591" s="327"/>
      <c r="O2591" s="1129"/>
    </row>
    <row r="2592" spans="1:15" ht="18.75" customHeight="1" x14ac:dyDescent="0.3">
      <c r="A2592" s="2402">
        <v>2586</v>
      </c>
      <c r="B2592" s="1143" t="s">
        <v>3730</v>
      </c>
      <c r="C2592" s="216" t="s">
        <v>1344</v>
      </c>
      <c r="D2592" s="416" t="s">
        <v>21</v>
      </c>
      <c r="E2592" s="217" t="s">
        <v>3746</v>
      </c>
      <c r="F2592" s="218" t="s">
        <v>3570</v>
      </c>
      <c r="G2592" s="1149">
        <v>4280</v>
      </c>
      <c r="H2592" s="1762" t="s">
        <v>3571</v>
      </c>
      <c r="I2592" s="34" t="s">
        <v>25</v>
      </c>
      <c r="J2592" s="327"/>
      <c r="K2592" s="37"/>
      <c r="L2592" s="1128"/>
      <c r="M2592" s="327"/>
      <c r="N2592" s="327"/>
      <c r="O2592" s="1129"/>
    </row>
    <row r="2593" spans="1:15" ht="18.75" customHeight="1" x14ac:dyDescent="0.3">
      <c r="A2593" s="2401">
        <v>2587</v>
      </c>
      <c r="B2593" s="1143" t="s">
        <v>3730</v>
      </c>
      <c r="C2593" s="216" t="s">
        <v>1344</v>
      </c>
      <c r="D2593" s="416" t="s">
        <v>21</v>
      </c>
      <c r="E2593" s="217" t="s">
        <v>3747</v>
      </c>
      <c r="F2593" s="218" t="s">
        <v>3570</v>
      </c>
      <c r="G2593" s="1144">
        <v>4280</v>
      </c>
      <c r="H2593" s="1762" t="s">
        <v>3571</v>
      </c>
      <c r="I2593" s="34" t="s">
        <v>25</v>
      </c>
      <c r="J2593" s="327"/>
      <c r="K2593" s="37"/>
      <c r="L2593" s="1128"/>
      <c r="M2593" s="327"/>
      <c r="N2593" s="327"/>
      <c r="O2593" s="1129"/>
    </row>
    <row r="2594" spans="1:15" ht="18.75" customHeight="1" x14ac:dyDescent="0.3">
      <c r="A2594" s="2402">
        <v>2588</v>
      </c>
      <c r="B2594" s="1143" t="s">
        <v>3730</v>
      </c>
      <c r="C2594" s="216" t="s">
        <v>1344</v>
      </c>
      <c r="D2594" s="416" t="s">
        <v>21</v>
      </c>
      <c r="E2594" s="217" t="s">
        <v>3748</v>
      </c>
      <c r="F2594" s="218" t="s">
        <v>3570</v>
      </c>
      <c r="G2594" s="1145">
        <v>4280</v>
      </c>
      <c r="H2594" s="1762" t="s">
        <v>3571</v>
      </c>
      <c r="I2594" s="34" t="s">
        <v>25</v>
      </c>
      <c r="J2594" s="327"/>
      <c r="K2594" s="37"/>
      <c r="L2594" s="1128"/>
      <c r="M2594" s="327"/>
      <c r="N2594" s="327"/>
      <c r="O2594" s="1129"/>
    </row>
    <row r="2595" spans="1:15" ht="18.75" customHeight="1" x14ac:dyDescent="0.3">
      <c r="A2595" s="2402">
        <v>2589</v>
      </c>
      <c r="B2595" s="1143" t="s">
        <v>3730</v>
      </c>
      <c r="C2595" s="216" t="s">
        <v>1344</v>
      </c>
      <c r="D2595" s="416" t="s">
        <v>21</v>
      </c>
      <c r="E2595" s="217" t="s">
        <v>3749</v>
      </c>
      <c r="F2595" s="218" t="s">
        <v>3570</v>
      </c>
      <c r="G2595" s="1149">
        <v>4280</v>
      </c>
      <c r="H2595" s="1762" t="s">
        <v>3571</v>
      </c>
      <c r="I2595" s="34" t="s">
        <v>25</v>
      </c>
      <c r="J2595" s="327"/>
      <c r="K2595" s="37"/>
      <c r="L2595" s="1128"/>
      <c r="M2595" s="327"/>
      <c r="N2595" s="327"/>
      <c r="O2595" s="1129"/>
    </row>
    <row r="2596" spans="1:15" ht="18.75" customHeight="1" x14ac:dyDescent="0.3">
      <c r="A2596" s="2402">
        <v>2590</v>
      </c>
      <c r="B2596" s="458" t="s">
        <v>3730</v>
      </c>
      <c r="C2596" s="216" t="s">
        <v>1344</v>
      </c>
      <c r="D2596" s="416" t="s">
        <v>21</v>
      </c>
      <c r="E2596" s="217" t="s">
        <v>3750</v>
      </c>
      <c r="F2596" s="218" t="s">
        <v>3570</v>
      </c>
      <c r="G2596" s="1149">
        <v>4280</v>
      </c>
      <c r="H2596" s="1762" t="s">
        <v>3571</v>
      </c>
      <c r="I2596" s="34" t="s">
        <v>25</v>
      </c>
      <c r="J2596" s="327"/>
      <c r="K2596" s="37"/>
      <c r="L2596" s="1128"/>
      <c r="M2596" s="327"/>
      <c r="N2596" s="327"/>
      <c r="O2596" s="1129"/>
    </row>
    <row r="2597" spans="1:15" ht="18.75" customHeight="1" x14ac:dyDescent="0.3">
      <c r="A2597" s="2402">
        <v>2591</v>
      </c>
      <c r="B2597" s="1143" t="s">
        <v>3730</v>
      </c>
      <c r="C2597" s="216" t="s">
        <v>1344</v>
      </c>
      <c r="D2597" s="416" t="s">
        <v>21</v>
      </c>
      <c r="E2597" s="217" t="s">
        <v>3751</v>
      </c>
      <c r="F2597" s="218" t="s">
        <v>3570</v>
      </c>
      <c r="G2597" s="1149">
        <v>4280</v>
      </c>
      <c r="H2597" s="1762" t="s">
        <v>3571</v>
      </c>
      <c r="I2597" s="34" t="s">
        <v>25</v>
      </c>
      <c r="J2597" s="327"/>
      <c r="K2597" s="37"/>
      <c r="L2597" s="1128"/>
      <c r="M2597" s="327"/>
      <c r="N2597" s="327"/>
      <c r="O2597" s="1129"/>
    </row>
    <row r="2598" spans="1:15" ht="18.75" customHeight="1" x14ac:dyDescent="0.3">
      <c r="A2598" s="2401">
        <v>2592</v>
      </c>
      <c r="B2598" s="458" t="s">
        <v>3730</v>
      </c>
      <c r="C2598" s="216" t="s">
        <v>1344</v>
      </c>
      <c r="D2598" s="452" t="s">
        <v>21</v>
      </c>
      <c r="E2598" s="217" t="s">
        <v>3752</v>
      </c>
      <c r="F2598" s="218" t="s">
        <v>3570</v>
      </c>
      <c r="G2598" s="1144">
        <v>4280</v>
      </c>
      <c r="H2598" s="1762" t="s">
        <v>3571</v>
      </c>
      <c r="I2598" s="34" t="s">
        <v>25</v>
      </c>
      <c r="J2598" s="327"/>
      <c r="K2598" s="37"/>
      <c r="L2598" s="1128"/>
      <c r="M2598" s="327"/>
      <c r="N2598" s="327"/>
      <c r="O2598" s="1129"/>
    </row>
    <row r="2599" spans="1:15" ht="18.75" customHeight="1" x14ac:dyDescent="0.3">
      <c r="A2599" s="2402">
        <v>2593</v>
      </c>
      <c r="B2599" s="1150" t="s">
        <v>3730</v>
      </c>
      <c r="C2599" s="216" t="s">
        <v>1344</v>
      </c>
      <c r="D2599" s="495" t="s">
        <v>21</v>
      </c>
      <c r="E2599" s="217" t="s">
        <v>3753</v>
      </c>
      <c r="F2599" s="218" t="s">
        <v>3570</v>
      </c>
      <c r="G2599" s="1154">
        <v>4280</v>
      </c>
      <c r="H2599" s="1762" t="s">
        <v>3571</v>
      </c>
      <c r="I2599" s="34" t="s">
        <v>25</v>
      </c>
      <c r="J2599" s="327"/>
      <c r="K2599" s="37"/>
      <c r="L2599" s="1128"/>
      <c r="M2599" s="327"/>
      <c r="N2599" s="327"/>
      <c r="O2599" s="1129"/>
    </row>
    <row r="2600" spans="1:15" ht="18.75" customHeight="1" x14ac:dyDescent="0.3">
      <c r="A2600" s="2402">
        <v>2594</v>
      </c>
      <c r="B2600" s="1143" t="s">
        <v>3730</v>
      </c>
      <c r="C2600" s="216" t="s">
        <v>1344</v>
      </c>
      <c r="D2600" s="793" t="s">
        <v>21</v>
      </c>
      <c r="E2600" s="217" t="s">
        <v>3754</v>
      </c>
      <c r="F2600" s="218" t="s">
        <v>3570</v>
      </c>
      <c r="G2600" s="1144">
        <v>4280</v>
      </c>
      <c r="H2600" s="1762" t="s">
        <v>3571</v>
      </c>
      <c r="I2600" s="34" t="s">
        <v>25</v>
      </c>
      <c r="J2600" s="327"/>
      <c r="K2600" s="37"/>
      <c r="L2600" s="1128"/>
      <c r="M2600" s="327"/>
      <c r="N2600" s="327"/>
      <c r="O2600" s="1129"/>
    </row>
    <row r="2601" spans="1:15" ht="18.75" customHeight="1" x14ac:dyDescent="0.3">
      <c r="A2601" s="2401">
        <v>2595</v>
      </c>
      <c r="B2601" s="1143" t="s">
        <v>3730</v>
      </c>
      <c r="C2601" s="216" t="s">
        <v>1344</v>
      </c>
      <c r="D2601" s="416" t="s">
        <v>21</v>
      </c>
      <c r="E2601" s="217" t="s">
        <v>3755</v>
      </c>
      <c r="F2601" s="218" t="s">
        <v>3570</v>
      </c>
      <c r="G2601" s="1145">
        <v>4280</v>
      </c>
      <c r="H2601" s="1762" t="s">
        <v>3571</v>
      </c>
      <c r="I2601" s="34" t="s">
        <v>25</v>
      </c>
      <c r="J2601" s="327"/>
      <c r="K2601" s="37"/>
      <c r="L2601" s="1128"/>
      <c r="M2601" s="327"/>
      <c r="N2601" s="327"/>
      <c r="O2601" s="1129"/>
    </row>
    <row r="2602" spans="1:15" ht="18.75" customHeight="1" x14ac:dyDescent="0.3">
      <c r="A2602" s="2402">
        <v>2596</v>
      </c>
      <c r="B2602" s="1143" t="s">
        <v>3730</v>
      </c>
      <c r="C2602" s="216" t="s">
        <v>1344</v>
      </c>
      <c r="D2602" s="416" t="s">
        <v>21</v>
      </c>
      <c r="E2602" s="217" t="s">
        <v>3756</v>
      </c>
      <c r="F2602" s="218" t="s">
        <v>3570</v>
      </c>
      <c r="G2602" s="1144">
        <v>4280</v>
      </c>
      <c r="H2602" s="1762" t="s">
        <v>3571</v>
      </c>
      <c r="I2602" s="34" t="s">
        <v>25</v>
      </c>
      <c r="J2602" s="327"/>
      <c r="K2602" s="37"/>
      <c r="L2602" s="1128"/>
      <c r="M2602" s="327"/>
      <c r="N2602" s="327"/>
      <c r="O2602" s="1129"/>
    </row>
    <row r="2603" spans="1:15" ht="18.75" customHeight="1" x14ac:dyDescent="0.3">
      <c r="A2603" s="2402">
        <v>2597</v>
      </c>
      <c r="B2603" s="1143" t="s">
        <v>3730</v>
      </c>
      <c r="C2603" s="216" t="s">
        <v>1344</v>
      </c>
      <c r="D2603" s="416" t="s">
        <v>21</v>
      </c>
      <c r="E2603" s="217" t="s">
        <v>3757</v>
      </c>
      <c r="F2603" s="218" t="s">
        <v>3570</v>
      </c>
      <c r="G2603" s="1145">
        <v>4280</v>
      </c>
      <c r="H2603" s="1762" t="s">
        <v>3571</v>
      </c>
      <c r="I2603" s="34" t="s">
        <v>25</v>
      </c>
      <c r="J2603" s="327"/>
      <c r="K2603" s="37"/>
      <c r="L2603" s="1128"/>
      <c r="M2603" s="327"/>
      <c r="N2603" s="327"/>
      <c r="O2603" s="1129"/>
    </row>
    <row r="2604" spans="1:15" ht="18.75" customHeight="1" x14ac:dyDescent="0.3">
      <c r="A2604" s="2402">
        <v>2598</v>
      </c>
      <c r="B2604" s="1143" t="s">
        <v>3730</v>
      </c>
      <c r="C2604" s="216" t="s">
        <v>1344</v>
      </c>
      <c r="D2604" s="416" t="s">
        <v>21</v>
      </c>
      <c r="E2604" s="217" t="s">
        <v>3758</v>
      </c>
      <c r="F2604" s="218" t="s">
        <v>3570</v>
      </c>
      <c r="G2604" s="1149">
        <v>4280</v>
      </c>
      <c r="H2604" s="1762" t="s">
        <v>3571</v>
      </c>
      <c r="I2604" s="34" t="s">
        <v>25</v>
      </c>
      <c r="J2604" s="327"/>
      <c r="K2604" s="37"/>
      <c r="L2604" s="1128"/>
      <c r="M2604" s="327"/>
      <c r="N2604" s="327"/>
      <c r="O2604" s="1129"/>
    </row>
    <row r="2605" spans="1:15" ht="18.75" customHeight="1" x14ac:dyDescent="0.3">
      <c r="A2605" s="2402">
        <v>2599</v>
      </c>
      <c r="B2605" s="1143" t="s">
        <v>3730</v>
      </c>
      <c r="C2605" s="216" t="s">
        <v>1344</v>
      </c>
      <c r="D2605" s="416" t="s">
        <v>21</v>
      </c>
      <c r="E2605" s="217" t="s">
        <v>3759</v>
      </c>
      <c r="F2605" s="218" t="s">
        <v>3570</v>
      </c>
      <c r="G2605" s="1144">
        <v>4280</v>
      </c>
      <c r="H2605" s="1762" t="s">
        <v>3571</v>
      </c>
      <c r="I2605" s="34" t="s">
        <v>25</v>
      </c>
      <c r="J2605" s="327"/>
      <c r="K2605" s="37"/>
      <c r="L2605" s="1128"/>
      <c r="M2605" s="327"/>
      <c r="N2605" s="327"/>
      <c r="O2605" s="1129"/>
    </row>
    <row r="2606" spans="1:15" ht="18.75" customHeight="1" x14ac:dyDescent="0.3">
      <c r="A2606" s="2401">
        <v>2600</v>
      </c>
      <c r="B2606" s="1143" t="s">
        <v>3730</v>
      </c>
      <c r="C2606" s="216" t="s">
        <v>1344</v>
      </c>
      <c r="D2606" s="416" t="s">
        <v>21</v>
      </c>
      <c r="E2606" s="217" t="s">
        <v>3760</v>
      </c>
      <c r="F2606" s="218" t="s">
        <v>3570</v>
      </c>
      <c r="G2606" s="1144">
        <v>4280</v>
      </c>
      <c r="H2606" s="1762" t="s">
        <v>3571</v>
      </c>
      <c r="I2606" s="34" t="s">
        <v>25</v>
      </c>
      <c r="J2606" s="327"/>
      <c r="K2606" s="37"/>
      <c r="L2606" s="1128"/>
      <c r="M2606" s="327"/>
      <c r="N2606" s="327"/>
      <c r="O2606" s="1129"/>
    </row>
    <row r="2607" spans="1:15" ht="18.75" customHeight="1" x14ac:dyDescent="0.3">
      <c r="A2607" s="2402">
        <v>2601</v>
      </c>
      <c r="B2607" s="458" t="s">
        <v>3730</v>
      </c>
      <c r="C2607" s="216" t="s">
        <v>1344</v>
      </c>
      <c r="D2607" s="416" t="s">
        <v>21</v>
      </c>
      <c r="E2607" s="217" t="s">
        <v>3761</v>
      </c>
      <c r="F2607" s="218" t="s">
        <v>3570</v>
      </c>
      <c r="G2607" s="1145">
        <v>4280</v>
      </c>
      <c r="H2607" s="1762" t="s">
        <v>3571</v>
      </c>
      <c r="I2607" s="34" t="s">
        <v>25</v>
      </c>
      <c r="J2607" s="327"/>
      <c r="K2607" s="37"/>
      <c r="L2607" s="1128"/>
      <c r="M2607" s="327"/>
      <c r="N2607" s="327"/>
      <c r="O2607" s="1129"/>
    </row>
    <row r="2608" spans="1:15" ht="18.75" customHeight="1" x14ac:dyDescent="0.3">
      <c r="A2608" s="2402">
        <v>2602</v>
      </c>
      <c r="B2608" s="1143" t="s">
        <v>3730</v>
      </c>
      <c r="C2608" s="216" t="s">
        <v>1344</v>
      </c>
      <c r="D2608" s="416" t="s">
        <v>21</v>
      </c>
      <c r="E2608" s="217" t="s">
        <v>3762</v>
      </c>
      <c r="F2608" s="218" t="s">
        <v>3570</v>
      </c>
      <c r="G2608" s="1144">
        <v>4280</v>
      </c>
      <c r="H2608" s="1762" t="s">
        <v>3571</v>
      </c>
      <c r="I2608" s="34" t="s">
        <v>25</v>
      </c>
      <c r="J2608" s="327"/>
      <c r="K2608" s="37"/>
      <c r="L2608" s="1128"/>
      <c r="M2608" s="327"/>
      <c r="N2608" s="327"/>
      <c r="O2608" s="1129"/>
    </row>
    <row r="2609" spans="1:15" ht="18.75" customHeight="1" x14ac:dyDescent="0.3">
      <c r="A2609" s="2401">
        <v>2603</v>
      </c>
      <c r="B2609" s="1143" t="s">
        <v>3730</v>
      </c>
      <c r="C2609" s="216" t="s">
        <v>1344</v>
      </c>
      <c r="D2609" s="416" t="s">
        <v>21</v>
      </c>
      <c r="E2609" s="217" t="s">
        <v>3763</v>
      </c>
      <c r="F2609" s="218" t="s">
        <v>3570</v>
      </c>
      <c r="G2609" s="1154">
        <v>4280</v>
      </c>
      <c r="H2609" s="1762" t="s">
        <v>3571</v>
      </c>
      <c r="I2609" s="34" t="s">
        <v>25</v>
      </c>
      <c r="J2609" s="327"/>
      <c r="K2609" s="37"/>
      <c r="L2609" s="1128"/>
      <c r="M2609" s="327"/>
      <c r="N2609" s="327"/>
      <c r="O2609" s="1129"/>
    </row>
    <row r="2610" spans="1:15" ht="18.75" customHeight="1" x14ac:dyDescent="0.3">
      <c r="A2610" s="2402">
        <v>2604</v>
      </c>
      <c r="B2610" s="1143" t="s">
        <v>3730</v>
      </c>
      <c r="C2610" s="216" t="s">
        <v>1344</v>
      </c>
      <c r="D2610" s="416" t="s">
        <v>21</v>
      </c>
      <c r="E2610" s="217" t="s">
        <v>3764</v>
      </c>
      <c r="F2610" s="218" t="s">
        <v>3570</v>
      </c>
      <c r="G2610" s="1154">
        <v>4280</v>
      </c>
      <c r="H2610" s="1762" t="s">
        <v>3571</v>
      </c>
      <c r="I2610" s="34" t="s">
        <v>25</v>
      </c>
      <c r="J2610" s="327"/>
      <c r="K2610" s="37"/>
      <c r="L2610" s="1128"/>
      <c r="M2610" s="327"/>
      <c r="N2610" s="327"/>
      <c r="O2610" s="1129"/>
    </row>
    <row r="2611" spans="1:15" ht="18.75" customHeight="1" x14ac:dyDescent="0.3">
      <c r="A2611" s="2402">
        <v>2605</v>
      </c>
      <c r="B2611" s="1143" t="s">
        <v>3730</v>
      </c>
      <c r="C2611" s="216" t="s">
        <v>1344</v>
      </c>
      <c r="D2611" s="416" t="s">
        <v>21</v>
      </c>
      <c r="E2611" s="217" t="s">
        <v>3765</v>
      </c>
      <c r="F2611" s="218" t="s">
        <v>3570</v>
      </c>
      <c r="G2611" s="1145">
        <v>4280</v>
      </c>
      <c r="H2611" s="1762" t="s">
        <v>3571</v>
      </c>
      <c r="I2611" s="34" t="s">
        <v>25</v>
      </c>
      <c r="J2611" s="327"/>
      <c r="K2611" s="37"/>
      <c r="L2611" s="1128"/>
      <c r="M2611" s="327"/>
      <c r="N2611" s="327"/>
      <c r="O2611" s="1129"/>
    </row>
    <row r="2612" spans="1:15" ht="18.75" customHeight="1" x14ac:dyDescent="0.3">
      <c r="A2612" s="2402">
        <v>2606</v>
      </c>
      <c r="B2612" s="1155" t="s">
        <v>3730</v>
      </c>
      <c r="C2612" s="216" t="s">
        <v>1344</v>
      </c>
      <c r="D2612" s="416" t="s">
        <v>21</v>
      </c>
      <c r="E2612" s="217" t="s">
        <v>3766</v>
      </c>
      <c r="F2612" s="218" t="s">
        <v>3570</v>
      </c>
      <c r="G2612" s="1149">
        <v>4280</v>
      </c>
      <c r="H2612" s="1762" t="s">
        <v>3571</v>
      </c>
      <c r="I2612" s="34" t="s">
        <v>25</v>
      </c>
      <c r="J2612" s="327"/>
      <c r="K2612" s="37"/>
      <c r="L2612" s="1128"/>
      <c r="M2612" s="327"/>
      <c r="N2612" s="327"/>
      <c r="O2612" s="1129"/>
    </row>
    <row r="2613" spans="1:15" ht="18.75" customHeight="1" x14ac:dyDescent="0.3">
      <c r="A2613" s="2402">
        <v>2607</v>
      </c>
      <c r="B2613" s="1143" t="s">
        <v>3730</v>
      </c>
      <c r="C2613" s="216" t="s">
        <v>1344</v>
      </c>
      <c r="D2613" s="416" t="s">
        <v>21</v>
      </c>
      <c r="E2613" s="217" t="s">
        <v>3767</v>
      </c>
      <c r="F2613" s="218" t="s">
        <v>3570</v>
      </c>
      <c r="G2613" s="1149">
        <v>4280</v>
      </c>
      <c r="H2613" s="1762" t="s">
        <v>3571</v>
      </c>
      <c r="I2613" s="34" t="s">
        <v>25</v>
      </c>
      <c r="J2613" s="327"/>
      <c r="K2613" s="37"/>
      <c r="L2613" s="1128"/>
      <c r="M2613" s="327"/>
      <c r="N2613" s="327"/>
      <c r="O2613" s="1129"/>
    </row>
    <row r="2614" spans="1:15" x14ac:dyDescent="0.3">
      <c r="A2614" s="2401">
        <v>2608</v>
      </c>
      <c r="B2614" s="1143" t="s">
        <v>3576</v>
      </c>
      <c r="C2614" s="216" t="s">
        <v>1344</v>
      </c>
      <c r="D2614" s="416" t="s">
        <v>21</v>
      </c>
      <c r="E2614" s="217" t="s">
        <v>3768</v>
      </c>
      <c r="F2614" s="218" t="s">
        <v>3570</v>
      </c>
      <c r="G2614" s="1149">
        <v>4280</v>
      </c>
      <c r="H2614" s="1762" t="s">
        <v>3571</v>
      </c>
      <c r="I2614" s="34" t="s">
        <v>25</v>
      </c>
      <c r="J2614" s="327"/>
      <c r="K2614" s="37"/>
      <c r="L2614" s="1128"/>
      <c r="M2614" s="327"/>
      <c r="N2614" s="327"/>
      <c r="O2614" s="1129"/>
    </row>
    <row r="2615" spans="1:15" x14ac:dyDescent="0.3">
      <c r="A2615" s="2402">
        <v>2609</v>
      </c>
      <c r="B2615" s="1143" t="s">
        <v>3576</v>
      </c>
      <c r="C2615" s="216" t="s">
        <v>1344</v>
      </c>
      <c r="D2615" s="416" t="s">
        <v>21</v>
      </c>
      <c r="E2615" s="217" t="s">
        <v>3769</v>
      </c>
      <c r="F2615" s="218" t="s">
        <v>3570</v>
      </c>
      <c r="G2615" s="1149">
        <v>4280</v>
      </c>
      <c r="H2615" s="1762" t="s">
        <v>3571</v>
      </c>
      <c r="I2615" s="34" t="s">
        <v>25</v>
      </c>
      <c r="J2615" s="327"/>
      <c r="K2615" s="37"/>
      <c r="L2615" s="1128"/>
      <c r="M2615" s="327"/>
      <c r="N2615" s="327"/>
      <c r="O2615" s="1129"/>
    </row>
    <row r="2616" spans="1:15" x14ac:dyDescent="0.3">
      <c r="A2616" s="2402">
        <v>2610</v>
      </c>
      <c r="B2616" s="1143" t="s">
        <v>3576</v>
      </c>
      <c r="C2616" s="216" t="s">
        <v>1344</v>
      </c>
      <c r="D2616" s="452" t="s">
        <v>21</v>
      </c>
      <c r="E2616" s="217" t="s">
        <v>3770</v>
      </c>
      <c r="F2616" s="218" t="s">
        <v>3570</v>
      </c>
      <c r="G2616" s="1149">
        <v>4280</v>
      </c>
      <c r="H2616" s="1762" t="s">
        <v>3571</v>
      </c>
      <c r="I2616" s="34" t="s">
        <v>25</v>
      </c>
      <c r="J2616" s="327"/>
      <c r="K2616" s="37"/>
      <c r="L2616" s="1128"/>
      <c r="M2616" s="327"/>
      <c r="N2616" s="327"/>
      <c r="O2616" s="1129"/>
    </row>
    <row r="2617" spans="1:15" ht="18.75" customHeight="1" x14ac:dyDescent="0.3">
      <c r="A2617" s="2401">
        <v>2611</v>
      </c>
      <c r="B2617" s="1143" t="s">
        <v>3576</v>
      </c>
      <c r="C2617" s="216" t="s">
        <v>1344</v>
      </c>
      <c r="D2617" s="495" t="s">
        <v>21</v>
      </c>
      <c r="E2617" s="217" t="s">
        <v>3771</v>
      </c>
      <c r="F2617" s="218" t="s">
        <v>3570</v>
      </c>
      <c r="G2617" s="1144">
        <v>4280</v>
      </c>
      <c r="H2617" s="1762" t="s">
        <v>3571</v>
      </c>
      <c r="I2617" s="34" t="s">
        <v>25</v>
      </c>
      <c r="J2617" s="327"/>
      <c r="K2617" s="37"/>
      <c r="L2617" s="1128"/>
      <c r="M2617" s="327"/>
      <c r="N2617" s="327"/>
      <c r="O2617" s="1129"/>
    </row>
    <row r="2618" spans="1:15" ht="18.75" customHeight="1" x14ac:dyDescent="0.3">
      <c r="A2618" s="2402">
        <v>2612</v>
      </c>
      <c r="B2618" s="1143" t="s">
        <v>3772</v>
      </c>
      <c r="C2618" s="216" t="s">
        <v>1344</v>
      </c>
      <c r="D2618" s="793" t="s">
        <v>21</v>
      </c>
      <c r="E2618" s="217" t="s">
        <v>3773</v>
      </c>
      <c r="F2618" s="218" t="s">
        <v>3570</v>
      </c>
      <c r="G2618" s="1145">
        <v>106174.5</v>
      </c>
      <c r="H2618" s="1762" t="s">
        <v>3571</v>
      </c>
      <c r="I2618" s="34" t="s">
        <v>25</v>
      </c>
      <c r="J2618" s="327"/>
      <c r="K2618" s="37"/>
      <c r="L2618" s="1128"/>
      <c r="M2618" s="327"/>
      <c r="N2618" s="327"/>
      <c r="O2618" s="1129"/>
    </row>
    <row r="2619" spans="1:15" ht="18.75" customHeight="1" x14ac:dyDescent="0.3">
      <c r="A2619" s="2402">
        <v>2613</v>
      </c>
      <c r="B2619" s="1143" t="s">
        <v>3774</v>
      </c>
      <c r="C2619" s="216" t="s">
        <v>1344</v>
      </c>
      <c r="D2619" s="416" t="s">
        <v>21</v>
      </c>
      <c r="E2619" s="217" t="s">
        <v>3775</v>
      </c>
      <c r="F2619" s="218" t="s">
        <v>3570</v>
      </c>
      <c r="G2619" s="1144">
        <v>90041.68</v>
      </c>
      <c r="H2619" s="1762" t="s">
        <v>3571</v>
      </c>
      <c r="I2619" s="34" t="s">
        <v>25</v>
      </c>
      <c r="J2619" s="327"/>
      <c r="K2619" s="37"/>
      <c r="L2619" s="1128"/>
      <c r="M2619" s="327"/>
      <c r="N2619" s="327"/>
      <c r="O2619" s="1129"/>
    </row>
    <row r="2620" spans="1:15" ht="18.75" customHeight="1" x14ac:dyDescent="0.3">
      <c r="A2620" s="2402">
        <v>2614</v>
      </c>
      <c r="B2620" s="1143" t="s">
        <v>3776</v>
      </c>
      <c r="C2620" s="216" t="s">
        <v>1344</v>
      </c>
      <c r="D2620" s="416" t="s">
        <v>21</v>
      </c>
      <c r="E2620" s="217" t="s">
        <v>3777</v>
      </c>
      <c r="F2620" s="218" t="s">
        <v>3570</v>
      </c>
      <c r="G2620" s="1145">
        <v>88165.86</v>
      </c>
      <c r="H2620" s="1762" t="s">
        <v>3571</v>
      </c>
      <c r="I2620" s="34" t="s">
        <v>25</v>
      </c>
      <c r="J2620" s="327"/>
      <c r="K2620" s="37"/>
      <c r="L2620" s="1128"/>
      <c r="M2620" s="327"/>
      <c r="N2620" s="327"/>
      <c r="O2620" s="1129"/>
    </row>
    <row r="2621" spans="1:15" ht="18.75" customHeight="1" x14ac:dyDescent="0.3">
      <c r="A2621" s="2402">
        <v>2615</v>
      </c>
      <c r="B2621" s="458" t="s">
        <v>3778</v>
      </c>
      <c r="C2621" s="216" t="s">
        <v>1344</v>
      </c>
      <c r="D2621" s="416" t="s">
        <v>21</v>
      </c>
      <c r="E2621" s="217" t="s">
        <v>3779</v>
      </c>
      <c r="F2621" s="218" t="s">
        <v>3570</v>
      </c>
      <c r="G2621" s="1144">
        <v>51663.45</v>
      </c>
      <c r="H2621" s="1762" t="s">
        <v>3571</v>
      </c>
      <c r="I2621" s="34" t="s">
        <v>25</v>
      </c>
      <c r="J2621" s="327"/>
      <c r="K2621" s="37"/>
      <c r="L2621" s="1128"/>
      <c r="M2621" s="327"/>
      <c r="N2621" s="327"/>
      <c r="O2621" s="1129"/>
    </row>
    <row r="2622" spans="1:15" ht="18.75" customHeight="1" x14ac:dyDescent="0.3">
      <c r="A2622" s="2401">
        <v>2616</v>
      </c>
      <c r="B2622" s="1156" t="s">
        <v>3780</v>
      </c>
      <c r="C2622" s="250" t="s">
        <v>1344</v>
      </c>
      <c r="D2622" s="1157" t="s">
        <v>560</v>
      </c>
      <c r="E2622" s="251" t="s">
        <v>3781</v>
      </c>
      <c r="F2622" s="252" t="s">
        <v>3782</v>
      </c>
      <c r="G2622" s="563">
        <v>22470</v>
      </c>
      <c r="H2622" s="1778" t="s">
        <v>3783</v>
      </c>
      <c r="I2622" s="34" t="s">
        <v>25</v>
      </c>
      <c r="J2622" s="327"/>
      <c r="K2622" s="37"/>
      <c r="L2622" s="1128"/>
      <c r="M2622" s="327"/>
      <c r="N2622" s="327"/>
      <c r="O2622" s="1129"/>
    </row>
    <row r="2623" spans="1:15" ht="18.75" customHeight="1" x14ac:dyDescent="0.3">
      <c r="A2623" s="2402">
        <v>2617</v>
      </c>
      <c r="B2623" s="1130" t="s">
        <v>3780</v>
      </c>
      <c r="C2623" s="250" t="s">
        <v>1344</v>
      </c>
      <c r="D2623" s="1157" t="s">
        <v>560</v>
      </c>
      <c r="E2623" s="251" t="s">
        <v>3784</v>
      </c>
      <c r="F2623" s="252" t="s">
        <v>3782</v>
      </c>
      <c r="G2623" s="568">
        <v>22470</v>
      </c>
      <c r="H2623" s="1778" t="s">
        <v>3783</v>
      </c>
      <c r="I2623" s="34" t="s">
        <v>25</v>
      </c>
      <c r="J2623" s="327"/>
      <c r="K2623" s="37"/>
      <c r="L2623" s="1128"/>
      <c r="M2623" s="327"/>
      <c r="N2623" s="327"/>
      <c r="O2623" s="1129"/>
    </row>
    <row r="2624" spans="1:15" ht="18.75" customHeight="1" x14ac:dyDescent="0.3">
      <c r="A2624" s="2402">
        <v>2618</v>
      </c>
      <c r="B2624" s="1130" t="s">
        <v>3780</v>
      </c>
      <c r="C2624" s="250" t="s">
        <v>1344</v>
      </c>
      <c r="D2624" s="1157" t="s">
        <v>560</v>
      </c>
      <c r="E2624" s="251" t="s">
        <v>3785</v>
      </c>
      <c r="F2624" s="252" t="s">
        <v>3782</v>
      </c>
      <c r="G2624" s="568">
        <v>22470</v>
      </c>
      <c r="H2624" s="1778" t="s">
        <v>3783</v>
      </c>
      <c r="I2624" s="34" t="s">
        <v>25</v>
      </c>
      <c r="J2624" s="327"/>
      <c r="K2624" s="37"/>
      <c r="L2624" s="1128"/>
      <c r="M2624" s="327"/>
      <c r="N2624" s="327"/>
      <c r="O2624" s="1129"/>
    </row>
    <row r="2625" spans="1:15" ht="18.75" customHeight="1" x14ac:dyDescent="0.3">
      <c r="A2625" s="2401">
        <v>2619</v>
      </c>
      <c r="B2625" s="1130" t="s">
        <v>3780</v>
      </c>
      <c r="C2625" s="250" t="s">
        <v>1344</v>
      </c>
      <c r="D2625" s="1157" t="s">
        <v>560</v>
      </c>
      <c r="E2625" s="251" t="s">
        <v>3786</v>
      </c>
      <c r="F2625" s="252" t="s">
        <v>3782</v>
      </c>
      <c r="G2625" s="568">
        <v>22470</v>
      </c>
      <c r="H2625" s="1778" t="s">
        <v>3783</v>
      </c>
      <c r="I2625" s="34" t="s">
        <v>25</v>
      </c>
      <c r="J2625" s="327"/>
      <c r="K2625" s="37"/>
      <c r="L2625" s="1128"/>
      <c r="M2625" s="327"/>
      <c r="N2625" s="327"/>
      <c r="O2625" s="1129"/>
    </row>
    <row r="2626" spans="1:15" ht="18.75" customHeight="1" x14ac:dyDescent="0.3">
      <c r="A2626" s="2402">
        <v>2620</v>
      </c>
      <c r="B2626" s="1130" t="s">
        <v>3780</v>
      </c>
      <c r="C2626" s="250" t="s">
        <v>1344</v>
      </c>
      <c r="D2626" s="1157" t="s">
        <v>560</v>
      </c>
      <c r="E2626" s="251" t="s">
        <v>3787</v>
      </c>
      <c r="F2626" s="252" t="s">
        <v>3782</v>
      </c>
      <c r="G2626" s="568">
        <v>22470</v>
      </c>
      <c r="H2626" s="1778" t="s">
        <v>3783</v>
      </c>
      <c r="I2626" s="34" t="s">
        <v>25</v>
      </c>
      <c r="J2626" s="327"/>
      <c r="K2626" s="37"/>
      <c r="L2626" s="1128"/>
      <c r="M2626" s="327"/>
      <c r="N2626" s="327"/>
      <c r="O2626" s="1129"/>
    </row>
    <row r="2627" spans="1:15" ht="18.75" customHeight="1" x14ac:dyDescent="0.3">
      <c r="A2627" s="2402">
        <v>2621</v>
      </c>
      <c r="B2627" s="1130" t="s">
        <v>3780</v>
      </c>
      <c r="C2627" s="250" t="s">
        <v>1344</v>
      </c>
      <c r="D2627" s="1157" t="s">
        <v>560</v>
      </c>
      <c r="E2627" s="251" t="s">
        <v>3788</v>
      </c>
      <c r="F2627" s="252" t="s">
        <v>3782</v>
      </c>
      <c r="G2627" s="568">
        <v>22470</v>
      </c>
      <c r="H2627" s="1778" t="s">
        <v>3783</v>
      </c>
      <c r="I2627" s="34" t="s">
        <v>25</v>
      </c>
      <c r="J2627" s="327"/>
      <c r="K2627" s="37"/>
      <c r="L2627" s="1128"/>
      <c r="M2627" s="327"/>
      <c r="N2627" s="327"/>
      <c r="O2627" s="1129"/>
    </row>
    <row r="2628" spans="1:15" ht="18.75" customHeight="1" x14ac:dyDescent="0.3">
      <c r="A2628" s="2402">
        <v>2622</v>
      </c>
      <c r="B2628" s="1130" t="s">
        <v>3780</v>
      </c>
      <c r="C2628" s="250" t="s">
        <v>1344</v>
      </c>
      <c r="D2628" s="1157" t="s">
        <v>560</v>
      </c>
      <c r="E2628" s="251" t="s">
        <v>3789</v>
      </c>
      <c r="F2628" s="252" t="s">
        <v>3782</v>
      </c>
      <c r="G2628" s="568">
        <v>22470</v>
      </c>
      <c r="H2628" s="1778" t="s">
        <v>3783</v>
      </c>
      <c r="I2628" s="34" t="s">
        <v>25</v>
      </c>
      <c r="J2628" s="327"/>
      <c r="K2628" s="37"/>
      <c r="L2628" s="1128"/>
      <c r="M2628" s="327"/>
      <c r="N2628" s="327"/>
      <c r="O2628" s="1129"/>
    </row>
    <row r="2629" spans="1:15" ht="18.75" customHeight="1" x14ac:dyDescent="0.3">
      <c r="A2629" s="2402">
        <v>2623</v>
      </c>
      <c r="B2629" s="1130" t="s">
        <v>3780</v>
      </c>
      <c r="C2629" s="250" t="s">
        <v>1344</v>
      </c>
      <c r="D2629" s="1157" t="s">
        <v>560</v>
      </c>
      <c r="E2629" s="251" t="s">
        <v>3790</v>
      </c>
      <c r="F2629" s="252" t="s">
        <v>3782</v>
      </c>
      <c r="G2629" s="568">
        <v>22470</v>
      </c>
      <c r="H2629" s="1778" t="s">
        <v>3783</v>
      </c>
      <c r="I2629" s="34" t="s">
        <v>25</v>
      </c>
      <c r="J2629" s="327"/>
      <c r="K2629" s="37"/>
      <c r="L2629" s="1128"/>
      <c r="M2629" s="327"/>
      <c r="N2629" s="327"/>
      <c r="O2629" s="1129"/>
    </row>
    <row r="2630" spans="1:15" ht="18.75" customHeight="1" x14ac:dyDescent="0.3">
      <c r="A2630" s="2401">
        <v>2624</v>
      </c>
      <c r="B2630" s="1130" t="s">
        <v>3780</v>
      </c>
      <c r="C2630" s="250" t="s">
        <v>1344</v>
      </c>
      <c r="D2630" s="1157" t="s">
        <v>560</v>
      </c>
      <c r="E2630" s="251" t="s">
        <v>3791</v>
      </c>
      <c r="F2630" s="252" t="s">
        <v>3782</v>
      </c>
      <c r="G2630" s="568">
        <v>22470</v>
      </c>
      <c r="H2630" s="1778" t="s">
        <v>3783</v>
      </c>
      <c r="I2630" s="34" t="s">
        <v>25</v>
      </c>
      <c r="J2630" s="327"/>
      <c r="K2630" s="37"/>
      <c r="L2630" s="1128"/>
      <c r="M2630" s="327"/>
      <c r="N2630" s="327"/>
      <c r="O2630" s="1129"/>
    </row>
    <row r="2631" spans="1:15" ht="18.75" customHeight="1" x14ac:dyDescent="0.3">
      <c r="A2631" s="2402">
        <v>2625</v>
      </c>
      <c r="B2631" s="1130" t="s">
        <v>3780</v>
      </c>
      <c r="C2631" s="250" t="s">
        <v>1344</v>
      </c>
      <c r="D2631" s="1157" t="s">
        <v>560</v>
      </c>
      <c r="E2631" s="251" t="s">
        <v>3792</v>
      </c>
      <c r="F2631" s="252" t="s">
        <v>3782</v>
      </c>
      <c r="G2631" s="568">
        <v>22470</v>
      </c>
      <c r="H2631" s="1778" t="s">
        <v>3783</v>
      </c>
      <c r="I2631" s="34" t="s">
        <v>25</v>
      </c>
      <c r="J2631" s="327"/>
      <c r="K2631" s="37"/>
      <c r="L2631" s="1128"/>
      <c r="M2631" s="327"/>
      <c r="N2631" s="327"/>
      <c r="O2631" s="1129"/>
    </row>
    <row r="2632" spans="1:15" ht="18.75" customHeight="1" x14ac:dyDescent="0.3">
      <c r="A2632" s="2402">
        <v>2626</v>
      </c>
      <c r="B2632" s="1130" t="s">
        <v>3780</v>
      </c>
      <c r="C2632" s="250" t="s">
        <v>1344</v>
      </c>
      <c r="D2632" s="1157" t="s">
        <v>560</v>
      </c>
      <c r="E2632" s="251" t="s">
        <v>3793</v>
      </c>
      <c r="F2632" s="252" t="s">
        <v>3782</v>
      </c>
      <c r="G2632" s="568">
        <v>22470</v>
      </c>
      <c r="H2632" s="1778" t="s">
        <v>3783</v>
      </c>
      <c r="I2632" s="34" t="s">
        <v>25</v>
      </c>
      <c r="J2632" s="327"/>
      <c r="K2632" s="37"/>
      <c r="L2632" s="1128"/>
      <c r="M2632" s="327"/>
      <c r="N2632" s="327"/>
      <c r="O2632" s="1129"/>
    </row>
    <row r="2633" spans="1:15" ht="18.75" customHeight="1" x14ac:dyDescent="0.3">
      <c r="A2633" s="2401">
        <v>2627</v>
      </c>
      <c r="B2633" s="1130" t="s">
        <v>3780</v>
      </c>
      <c r="C2633" s="250" t="s">
        <v>1344</v>
      </c>
      <c r="D2633" s="1157" t="s">
        <v>560</v>
      </c>
      <c r="E2633" s="251" t="s">
        <v>3794</v>
      </c>
      <c r="F2633" s="252" t="s">
        <v>3782</v>
      </c>
      <c r="G2633" s="568">
        <v>22470</v>
      </c>
      <c r="H2633" s="1778" t="s">
        <v>3783</v>
      </c>
      <c r="I2633" s="34" t="s">
        <v>25</v>
      </c>
      <c r="J2633" s="327"/>
      <c r="K2633" s="37"/>
      <c r="L2633" s="1128"/>
      <c r="M2633" s="327"/>
      <c r="N2633" s="327"/>
      <c r="O2633" s="1129"/>
    </row>
    <row r="2634" spans="1:15" ht="18.75" customHeight="1" x14ac:dyDescent="0.3">
      <c r="A2634" s="2402">
        <v>2628</v>
      </c>
      <c r="B2634" s="1130" t="s">
        <v>3780</v>
      </c>
      <c r="C2634" s="250" t="s">
        <v>1344</v>
      </c>
      <c r="D2634" s="1157" t="s">
        <v>560</v>
      </c>
      <c r="E2634" s="251" t="s">
        <v>3795</v>
      </c>
      <c r="F2634" s="252" t="s">
        <v>3782</v>
      </c>
      <c r="G2634" s="568">
        <v>22470</v>
      </c>
      <c r="H2634" s="1778" t="s">
        <v>3783</v>
      </c>
      <c r="I2634" s="34" t="s">
        <v>25</v>
      </c>
      <c r="J2634" s="327"/>
      <c r="K2634" s="37"/>
      <c r="L2634" s="1128"/>
      <c r="M2634" s="327"/>
      <c r="N2634" s="327"/>
      <c r="O2634" s="1129"/>
    </row>
    <row r="2635" spans="1:15" ht="18.75" customHeight="1" x14ac:dyDescent="0.3">
      <c r="A2635" s="2402">
        <v>2629</v>
      </c>
      <c r="B2635" s="1130" t="s">
        <v>3780</v>
      </c>
      <c r="C2635" s="250" t="s">
        <v>1344</v>
      </c>
      <c r="D2635" s="1158" t="s">
        <v>560</v>
      </c>
      <c r="E2635" s="251" t="s">
        <v>3796</v>
      </c>
      <c r="F2635" s="252" t="s">
        <v>3782</v>
      </c>
      <c r="G2635" s="568">
        <v>22470</v>
      </c>
      <c r="H2635" s="1778" t="s">
        <v>3783</v>
      </c>
      <c r="I2635" s="34" t="s">
        <v>25</v>
      </c>
      <c r="J2635" s="327"/>
      <c r="K2635" s="37"/>
      <c r="L2635" s="1128"/>
      <c r="M2635" s="327"/>
      <c r="N2635" s="327"/>
      <c r="O2635" s="1129"/>
    </row>
    <row r="2636" spans="1:15" ht="18.75" customHeight="1" x14ac:dyDescent="0.3">
      <c r="A2636" s="2402">
        <v>2630</v>
      </c>
      <c r="B2636" s="1130" t="s">
        <v>3780</v>
      </c>
      <c r="C2636" s="250" t="s">
        <v>1344</v>
      </c>
      <c r="D2636" s="1159" t="s">
        <v>560</v>
      </c>
      <c r="E2636" s="251" t="s">
        <v>3797</v>
      </c>
      <c r="F2636" s="252" t="s">
        <v>3782</v>
      </c>
      <c r="G2636" s="568">
        <v>22470</v>
      </c>
      <c r="H2636" s="1778" t="s">
        <v>3783</v>
      </c>
      <c r="I2636" s="34" t="s">
        <v>25</v>
      </c>
      <c r="J2636" s="327"/>
      <c r="K2636" s="37"/>
      <c r="L2636" s="1128"/>
      <c r="M2636" s="327"/>
      <c r="N2636" s="327"/>
      <c r="O2636" s="1129"/>
    </row>
    <row r="2637" spans="1:15" ht="18.75" customHeight="1" x14ac:dyDescent="0.3">
      <c r="A2637" s="2402">
        <v>2631</v>
      </c>
      <c r="B2637" s="1130" t="s">
        <v>3780</v>
      </c>
      <c r="C2637" s="250" t="s">
        <v>1344</v>
      </c>
      <c r="D2637" s="1157" t="s">
        <v>560</v>
      </c>
      <c r="E2637" s="251" t="s">
        <v>3798</v>
      </c>
      <c r="F2637" s="252" t="s">
        <v>3782</v>
      </c>
      <c r="G2637" s="568">
        <v>22470</v>
      </c>
      <c r="H2637" s="1778" t="s">
        <v>3783</v>
      </c>
      <c r="I2637" s="34" t="s">
        <v>25</v>
      </c>
      <c r="J2637" s="327"/>
      <c r="K2637" s="37"/>
      <c r="L2637" s="1128"/>
      <c r="M2637" s="327"/>
      <c r="N2637" s="327"/>
      <c r="O2637" s="1129"/>
    </row>
    <row r="2638" spans="1:15" ht="18.75" customHeight="1" x14ac:dyDescent="0.3">
      <c r="A2638" s="2401">
        <v>2632</v>
      </c>
      <c r="B2638" s="1130" t="s">
        <v>3780</v>
      </c>
      <c r="C2638" s="250" t="s">
        <v>1344</v>
      </c>
      <c r="D2638" s="1157" t="s">
        <v>560</v>
      </c>
      <c r="E2638" s="251" t="s">
        <v>3799</v>
      </c>
      <c r="F2638" s="252" t="s">
        <v>3782</v>
      </c>
      <c r="G2638" s="568">
        <v>22470</v>
      </c>
      <c r="H2638" s="1778" t="s">
        <v>3783</v>
      </c>
      <c r="I2638" s="34" t="s">
        <v>25</v>
      </c>
      <c r="J2638" s="327"/>
      <c r="K2638" s="37"/>
      <c r="L2638" s="1128"/>
      <c r="M2638" s="327"/>
      <c r="N2638" s="327"/>
      <c r="O2638" s="1129"/>
    </row>
    <row r="2639" spans="1:15" ht="18.75" customHeight="1" x14ac:dyDescent="0.3">
      <c r="A2639" s="2402">
        <v>2633</v>
      </c>
      <c r="B2639" s="1130" t="s">
        <v>3780</v>
      </c>
      <c r="C2639" s="250" t="s">
        <v>1344</v>
      </c>
      <c r="D2639" s="1157" t="s">
        <v>560</v>
      </c>
      <c r="E2639" s="251" t="s">
        <v>3800</v>
      </c>
      <c r="F2639" s="252" t="s">
        <v>3782</v>
      </c>
      <c r="G2639" s="568">
        <v>22470</v>
      </c>
      <c r="H2639" s="1778" t="s">
        <v>3783</v>
      </c>
      <c r="I2639" s="34" t="s">
        <v>25</v>
      </c>
      <c r="J2639" s="327"/>
      <c r="K2639" s="37"/>
      <c r="L2639" s="1128"/>
      <c r="M2639" s="327"/>
      <c r="N2639" s="327"/>
      <c r="O2639" s="1129"/>
    </row>
    <row r="2640" spans="1:15" ht="18.75" customHeight="1" x14ac:dyDescent="0.3">
      <c r="A2640" s="2402">
        <v>2634</v>
      </c>
      <c r="B2640" s="1130" t="s">
        <v>3780</v>
      </c>
      <c r="C2640" s="250" t="s">
        <v>1344</v>
      </c>
      <c r="D2640" s="1157" t="s">
        <v>560</v>
      </c>
      <c r="E2640" s="251" t="s">
        <v>3801</v>
      </c>
      <c r="F2640" s="252" t="s">
        <v>3782</v>
      </c>
      <c r="G2640" s="568">
        <v>22470</v>
      </c>
      <c r="H2640" s="1778" t="s">
        <v>3783</v>
      </c>
      <c r="I2640" s="34" t="s">
        <v>25</v>
      </c>
      <c r="J2640" s="327"/>
      <c r="K2640" s="37"/>
      <c r="L2640" s="1128"/>
      <c r="M2640" s="327"/>
      <c r="N2640" s="327"/>
      <c r="O2640" s="1129"/>
    </row>
    <row r="2641" spans="1:15" ht="18.75" customHeight="1" x14ac:dyDescent="0.3">
      <c r="A2641" s="2401">
        <v>2635</v>
      </c>
      <c r="B2641" s="1130" t="s">
        <v>3780</v>
      </c>
      <c r="C2641" s="250" t="s">
        <v>1344</v>
      </c>
      <c r="D2641" s="1157" t="s">
        <v>560</v>
      </c>
      <c r="E2641" s="251" t="s">
        <v>3802</v>
      </c>
      <c r="F2641" s="252" t="s">
        <v>3782</v>
      </c>
      <c r="G2641" s="568">
        <v>22470</v>
      </c>
      <c r="H2641" s="1778" t="s">
        <v>3783</v>
      </c>
      <c r="I2641" s="34" t="s">
        <v>25</v>
      </c>
      <c r="J2641" s="327"/>
      <c r="K2641" s="37"/>
      <c r="L2641" s="1128"/>
      <c r="M2641" s="327"/>
      <c r="N2641" s="327"/>
      <c r="O2641" s="1129"/>
    </row>
    <row r="2642" spans="1:15" ht="18.75" customHeight="1" x14ac:dyDescent="0.3">
      <c r="A2642" s="2402">
        <v>2636</v>
      </c>
      <c r="B2642" s="1130" t="s">
        <v>3780</v>
      </c>
      <c r="C2642" s="250" t="s">
        <v>1344</v>
      </c>
      <c r="D2642" s="1157" t="s">
        <v>560</v>
      </c>
      <c r="E2642" s="251" t="s">
        <v>3803</v>
      </c>
      <c r="F2642" s="252" t="s">
        <v>3782</v>
      </c>
      <c r="G2642" s="568">
        <v>22470</v>
      </c>
      <c r="H2642" s="1778" t="s">
        <v>3783</v>
      </c>
      <c r="I2642" s="34" t="s">
        <v>25</v>
      </c>
      <c r="J2642" s="327"/>
      <c r="K2642" s="37"/>
      <c r="L2642" s="1128"/>
      <c r="M2642" s="327"/>
      <c r="N2642" s="327"/>
      <c r="O2642" s="1129"/>
    </row>
    <row r="2643" spans="1:15" ht="18.75" customHeight="1" x14ac:dyDescent="0.3">
      <c r="A2643" s="2402">
        <v>2637</v>
      </c>
      <c r="B2643" s="1130" t="s">
        <v>3780</v>
      </c>
      <c r="C2643" s="250" t="s">
        <v>1344</v>
      </c>
      <c r="D2643" s="1157" t="s">
        <v>560</v>
      </c>
      <c r="E2643" s="251" t="s">
        <v>3804</v>
      </c>
      <c r="F2643" s="252" t="s">
        <v>3782</v>
      </c>
      <c r="G2643" s="568">
        <v>22470</v>
      </c>
      <c r="H2643" s="1778" t="s">
        <v>3783</v>
      </c>
      <c r="I2643" s="34" t="s">
        <v>25</v>
      </c>
      <c r="J2643" s="327"/>
      <c r="K2643" s="37"/>
      <c r="L2643" s="1128"/>
      <c r="M2643" s="327"/>
      <c r="N2643" s="327"/>
      <c r="O2643" s="1129"/>
    </row>
    <row r="2644" spans="1:15" ht="18.75" customHeight="1" x14ac:dyDescent="0.3">
      <c r="A2644" s="2402">
        <v>2638</v>
      </c>
      <c r="B2644" s="1130" t="s">
        <v>3780</v>
      </c>
      <c r="C2644" s="250" t="s">
        <v>1344</v>
      </c>
      <c r="D2644" s="1158" t="s">
        <v>560</v>
      </c>
      <c r="E2644" s="251" t="s">
        <v>3805</v>
      </c>
      <c r="F2644" s="252" t="s">
        <v>3782</v>
      </c>
      <c r="G2644" s="568">
        <v>22470</v>
      </c>
      <c r="H2644" s="1778" t="s">
        <v>3783</v>
      </c>
      <c r="I2644" s="34" t="s">
        <v>25</v>
      </c>
      <c r="J2644" s="327"/>
      <c r="K2644" s="37"/>
      <c r="L2644" s="1128"/>
      <c r="M2644" s="327"/>
      <c r="N2644" s="327"/>
      <c r="O2644" s="1129"/>
    </row>
    <row r="2645" spans="1:15" ht="18.75" customHeight="1" x14ac:dyDescent="0.3">
      <c r="A2645" s="2402">
        <v>2639</v>
      </c>
      <c r="B2645" s="1130" t="s">
        <v>3780</v>
      </c>
      <c r="C2645" s="250" t="s">
        <v>1344</v>
      </c>
      <c r="D2645" s="1160" t="s">
        <v>560</v>
      </c>
      <c r="E2645" s="251" t="s">
        <v>3806</v>
      </c>
      <c r="F2645" s="252" t="s">
        <v>3782</v>
      </c>
      <c r="G2645" s="568">
        <v>22470</v>
      </c>
      <c r="H2645" s="1778" t="s">
        <v>3783</v>
      </c>
      <c r="I2645" s="34" t="s">
        <v>25</v>
      </c>
      <c r="J2645" s="327"/>
      <c r="K2645" s="37"/>
      <c r="L2645" s="1128"/>
      <c r="M2645" s="327"/>
      <c r="N2645" s="327"/>
      <c r="O2645" s="1129"/>
    </row>
    <row r="2646" spans="1:15" ht="18.75" customHeight="1" x14ac:dyDescent="0.3">
      <c r="A2646" s="2401">
        <v>2640</v>
      </c>
      <c r="B2646" s="1130" t="s">
        <v>3780</v>
      </c>
      <c r="C2646" s="250" t="s">
        <v>1344</v>
      </c>
      <c r="D2646" s="1159" t="s">
        <v>560</v>
      </c>
      <c r="E2646" s="251" t="s">
        <v>3807</v>
      </c>
      <c r="F2646" s="252" t="s">
        <v>3782</v>
      </c>
      <c r="G2646" s="568">
        <v>22470</v>
      </c>
      <c r="H2646" s="1778" t="s">
        <v>3783</v>
      </c>
      <c r="I2646" s="34" t="s">
        <v>25</v>
      </c>
      <c r="J2646" s="327"/>
      <c r="K2646" s="37"/>
      <c r="L2646" s="1128"/>
      <c r="M2646" s="327"/>
      <c r="N2646" s="327"/>
      <c r="O2646" s="1129"/>
    </row>
    <row r="2647" spans="1:15" ht="18.75" customHeight="1" x14ac:dyDescent="0.3">
      <c r="A2647" s="2402">
        <v>2641</v>
      </c>
      <c r="B2647" s="1130" t="s">
        <v>3780</v>
      </c>
      <c r="C2647" s="250" t="s">
        <v>1344</v>
      </c>
      <c r="D2647" s="1157" t="s">
        <v>560</v>
      </c>
      <c r="E2647" s="251" t="s">
        <v>3808</v>
      </c>
      <c r="F2647" s="252" t="s">
        <v>3782</v>
      </c>
      <c r="G2647" s="568">
        <v>22470</v>
      </c>
      <c r="H2647" s="1778" t="s">
        <v>3783</v>
      </c>
      <c r="I2647" s="34" t="s">
        <v>25</v>
      </c>
      <c r="J2647" s="327"/>
      <c r="K2647" s="37"/>
      <c r="L2647" s="1128"/>
      <c r="M2647" s="327"/>
      <c r="N2647" s="327"/>
      <c r="O2647" s="1129"/>
    </row>
    <row r="2648" spans="1:15" ht="18.75" customHeight="1" x14ac:dyDescent="0.3">
      <c r="A2648" s="2402">
        <v>2642</v>
      </c>
      <c r="B2648" s="1130" t="s">
        <v>3780</v>
      </c>
      <c r="C2648" s="250" t="s">
        <v>1344</v>
      </c>
      <c r="D2648" s="1157" t="s">
        <v>560</v>
      </c>
      <c r="E2648" s="251" t="s">
        <v>3809</v>
      </c>
      <c r="F2648" s="252" t="s">
        <v>3782</v>
      </c>
      <c r="G2648" s="568">
        <v>22470</v>
      </c>
      <c r="H2648" s="1778" t="s">
        <v>3783</v>
      </c>
      <c r="I2648" s="34" t="s">
        <v>25</v>
      </c>
      <c r="J2648" s="327"/>
      <c r="K2648" s="37"/>
      <c r="L2648" s="1128"/>
      <c r="M2648" s="327"/>
      <c r="N2648" s="327"/>
      <c r="O2648" s="1129"/>
    </row>
    <row r="2649" spans="1:15" ht="18.75" customHeight="1" x14ac:dyDescent="0.3">
      <c r="A2649" s="2401">
        <v>2643</v>
      </c>
      <c r="B2649" s="1130" t="s">
        <v>3780</v>
      </c>
      <c r="C2649" s="250" t="s">
        <v>1344</v>
      </c>
      <c r="D2649" s="1157" t="s">
        <v>560</v>
      </c>
      <c r="E2649" s="251" t="s">
        <v>3810</v>
      </c>
      <c r="F2649" s="252" t="s">
        <v>3782</v>
      </c>
      <c r="G2649" s="568">
        <v>22470</v>
      </c>
      <c r="H2649" s="1778" t="s">
        <v>3783</v>
      </c>
      <c r="I2649" s="34" t="s">
        <v>25</v>
      </c>
      <c r="J2649" s="327"/>
      <c r="K2649" s="37"/>
      <c r="L2649" s="1128"/>
      <c r="M2649" s="327"/>
      <c r="N2649" s="327"/>
      <c r="O2649" s="1129"/>
    </row>
    <row r="2650" spans="1:15" ht="18.75" customHeight="1" x14ac:dyDescent="0.3">
      <c r="A2650" s="2402">
        <v>2644</v>
      </c>
      <c r="B2650" s="1130" t="s">
        <v>3780</v>
      </c>
      <c r="C2650" s="250" t="s">
        <v>1344</v>
      </c>
      <c r="D2650" s="1157" t="s">
        <v>560</v>
      </c>
      <c r="E2650" s="251" t="s">
        <v>3811</v>
      </c>
      <c r="F2650" s="252" t="s">
        <v>3782</v>
      </c>
      <c r="G2650" s="568">
        <v>22470</v>
      </c>
      <c r="H2650" s="1778" t="s">
        <v>3783</v>
      </c>
      <c r="I2650" s="34" t="s">
        <v>25</v>
      </c>
      <c r="J2650" s="327"/>
      <c r="K2650" s="37"/>
      <c r="L2650" s="1128"/>
      <c r="M2650" s="327"/>
      <c r="N2650" s="327"/>
      <c r="O2650" s="1129"/>
    </row>
    <row r="2651" spans="1:15" ht="18.75" customHeight="1" x14ac:dyDescent="0.3">
      <c r="A2651" s="2402">
        <v>2645</v>
      </c>
      <c r="B2651" s="1130" t="s">
        <v>3780</v>
      </c>
      <c r="C2651" s="250" t="s">
        <v>1344</v>
      </c>
      <c r="D2651" s="1157" t="s">
        <v>560</v>
      </c>
      <c r="E2651" s="251" t="s">
        <v>3812</v>
      </c>
      <c r="F2651" s="252" t="s">
        <v>3782</v>
      </c>
      <c r="G2651" s="568">
        <v>22470</v>
      </c>
      <c r="H2651" s="1778" t="s">
        <v>3783</v>
      </c>
      <c r="I2651" s="34" t="s">
        <v>25</v>
      </c>
      <c r="J2651" s="327"/>
      <c r="K2651" s="37"/>
      <c r="L2651" s="1128"/>
      <c r="M2651" s="327"/>
      <c r="N2651" s="327"/>
      <c r="O2651" s="1129"/>
    </row>
    <row r="2652" spans="1:15" ht="18.75" customHeight="1" x14ac:dyDescent="0.3">
      <c r="A2652" s="2402">
        <v>2646</v>
      </c>
      <c r="B2652" s="1130" t="s">
        <v>3780</v>
      </c>
      <c r="C2652" s="250" t="s">
        <v>1344</v>
      </c>
      <c r="D2652" s="1157" t="s">
        <v>560</v>
      </c>
      <c r="E2652" s="251" t="s">
        <v>3813</v>
      </c>
      <c r="F2652" s="252" t="s">
        <v>3782</v>
      </c>
      <c r="G2652" s="568">
        <v>22470</v>
      </c>
      <c r="H2652" s="1778" t="s">
        <v>3783</v>
      </c>
      <c r="I2652" s="34" t="s">
        <v>25</v>
      </c>
      <c r="J2652" s="327"/>
      <c r="K2652" s="37"/>
      <c r="L2652" s="1128"/>
      <c r="M2652" s="327"/>
      <c r="N2652" s="327"/>
      <c r="O2652" s="1129"/>
    </row>
    <row r="2653" spans="1:15" ht="18.75" customHeight="1" x14ac:dyDescent="0.3">
      <c r="A2653" s="2402">
        <v>2647</v>
      </c>
      <c r="B2653" s="1130" t="s">
        <v>3780</v>
      </c>
      <c r="C2653" s="250" t="s">
        <v>1344</v>
      </c>
      <c r="D2653" s="1157" t="s">
        <v>560</v>
      </c>
      <c r="E2653" s="251" t="s">
        <v>3814</v>
      </c>
      <c r="F2653" s="252" t="s">
        <v>3782</v>
      </c>
      <c r="G2653" s="568">
        <v>22470</v>
      </c>
      <c r="H2653" s="1778" t="s">
        <v>3783</v>
      </c>
      <c r="I2653" s="34" t="s">
        <v>25</v>
      </c>
      <c r="J2653" s="327"/>
      <c r="K2653" s="37"/>
      <c r="L2653" s="1128"/>
      <c r="M2653" s="327"/>
      <c r="N2653" s="327"/>
      <c r="O2653" s="1129"/>
    </row>
    <row r="2654" spans="1:15" ht="18.75" customHeight="1" x14ac:dyDescent="0.3">
      <c r="A2654" s="2401">
        <v>2648</v>
      </c>
      <c r="B2654" s="1130" t="s">
        <v>3780</v>
      </c>
      <c r="C2654" s="250" t="s">
        <v>1344</v>
      </c>
      <c r="D2654" s="1157" t="s">
        <v>560</v>
      </c>
      <c r="E2654" s="251" t="s">
        <v>3815</v>
      </c>
      <c r="F2654" s="252" t="s">
        <v>3782</v>
      </c>
      <c r="G2654" s="568">
        <v>22470</v>
      </c>
      <c r="H2654" s="1778" t="s">
        <v>3783</v>
      </c>
      <c r="I2654" s="34" t="s">
        <v>25</v>
      </c>
      <c r="J2654" s="327"/>
      <c r="K2654" s="37"/>
      <c r="L2654" s="1128"/>
      <c r="M2654" s="327"/>
      <c r="N2654" s="327"/>
      <c r="O2654" s="1129"/>
    </row>
    <row r="2655" spans="1:15" ht="18.75" customHeight="1" x14ac:dyDescent="0.3">
      <c r="A2655" s="2402">
        <v>2649</v>
      </c>
      <c r="B2655" s="1130" t="s">
        <v>3780</v>
      </c>
      <c r="C2655" s="250" t="s">
        <v>1344</v>
      </c>
      <c r="D2655" s="1157" t="s">
        <v>560</v>
      </c>
      <c r="E2655" s="251" t="s">
        <v>3816</v>
      </c>
      <c r="F2655" s="252" t="s">
        <v>3782</v>
      </c>
      <c r="G2655" s="568">
        <v>22470</v>
      </c>
      <c r="H2655" s="1778" t="s">
        <v>3783</v>
      </c>
      <c r="I2655" s="34" t="s">
        <v>25</v>
      </c>
      <c r="J2655" s="327"/>
      <c r="K2655" s="37"/>
      <c r="L2655" s="1128"/>
      <c r="M2655" s="327"/>
      <c r="N2655" s="327"/>
      <c r="O2655" s="1129"/>
    </row>
    <row r="2656" spans="1:15" ht="18.75" customHeight="1" x14ac:dyDescent="0.3">
      <c r="A2656" s="2402">
        <v>2650</v>
      </c>
      <c r="B2656" s="249" t="s">
        <v>3817</v>
      </c>
      <c r="C2656" s="250" t="s">
        <v>1344</v>
      </c>
      <c r="D2656" s="1157" t="s">
        <v>21</v>
      </c>
      <c r="E2656" s="251" t="s">
        <v>3818</v>
      </c>
      <c r="F2656" s="252" t="s">
        <v>3819</v>
      </c>
      <c r="G2656" s="1161">
        <v>96201.49</v>
      </c>
      <c r="H2656" s="1779" t="s">
        <v>3820</v>
      </c>
      <c r="I2656" s="34" t="s">
        <v>25</v>
      </c>
      <c r="J2656" s="327"/>
      <c r="K2656" s="37"/>
      <c r="L2656" s="1128"/>
      <c r="M2656" s="327"/>
      <c r="N2656" s="327"/>
      <c r="O2656" s="1129"/>
    </row>
    <row r="2657" spans="1:15" ht="18.75" customHeight="1" x14ac:dyDescent="0.3">
      <c r="A2657" s="2401">
        <v>2651</v>
      </c>
      <c r="B2657" s="249" t="s">
        <v>3817</v>
      </c>
      <c r="C2657" s="250" t="s">
        <v>1344</v>
      </c>
      <c r="D2657" s="1157" t="s">
        <v>21</v>
      </c>
      <c r="E2657" s="251" t="s">
        <v>3821</v>
      </c>
      <c r="F2657" s="252" t="s">
        <v>3819</v>
      </c>
      <c r="G2657" s="1161">
        <v>96201.49</v>
      </c>
      <c r="H2657" s="1779" t="s">
        <v>3820</v>
      </c>
      <c r="I2657" s="34" t="s">
        <v>25</v>
      </c>
      <c r="J2657" s="327"/>
      <c r="K2657" s="37"/>
      <c r="L2657" s="1128"/>
      <c r="M2657" s="327"/>
      <c r="N2657" s="327"/>
      <c r="O2657" s="1129"/>
    </row>
    <row r="2658" spans="1:15" ht="18.75" customHeight="1" x14ac:dyDescent="0.3">
      <c r="A2658" s="2402">
        <v>2652</v>
      </c>
      <c r="B2658" s="249" t="s">
        <v>3817</v>
      </c>
      <c r="C2658" s="250" t="s">
        <v>1344</v>
      </c>
      <c r="D2658" s="1157" t="s">
        <v>21</v>
      </c>
      <c r="E2658" s="251" t="s">
        <v>3822</v>
      </c>
      <c r="F2658" s="252" t="s">
        <v>3819</v>
      </c>
      <c r="G2658" s="1161">
        <v>96201.49</v>
      </c>
      <c r="H2658" s="1779" t="s">
        <v>3820</v>
      </c>
      <c r="I2658" s="34" t="s">
        <v>25</v>
      </c>
      <c r="J2658" s="327"/>
      <c r="K2658" s="37"/>
      <c r="L2658" s="1128"/>
      <c r="M2658" s="327"/>
      <c r="N2658" s="327"/>
      <c r="O2658" s="1129"/>
    </row>
    <row r="2659" spans="1:15" ht="18.75" customHeight="1" x14ac:dyDescent="0.3">
      <c r="A2659" s="2402">
        <v>2653</v>
      </c>
      <c r="B2659" s="249" t="s">
        <v>3817</v>
      </c>
      <c r="C2659" s="250" t="s">
        <v>1344</v>
      </c>
      <c r="D2659" s="1157" t="s">
        <v>21</v>
      </c>
      <c r="E2659" s="251" t="s">
        <v>3823</v>
      </c>
      <c r="F2659" s="252" t="s">
        <v>3819</v>
      </c>
      <c r="G2659" s="1161">
        <v>96201.49</v>
      </c>
      <c r="H2659" s="1779" t="s">
        <v>3820</v>
      </c>
      <c r="I2659" s="34" t="s">
        <v>25</v>
      </c>
      <c r="J2659" s="327"/>
      <c r="K2659" s="37"/>
      <c r="L2659" s="1128"/>
      <c r="M2659" s="327"/>
      <c r="N2659" s="327"/>
      <c r="O2659" s="1129"/>
    </row>
    <row r="2660" spans="1:15" ht="18.75" customHeight="1" x14ac:dyDescent="0.3">
      <c r="A2660" s="2402">
        <v>2654</v>
      </c>
      <c r="B2660" s="249" t="s">
        <v>3817</v>
      </c>
      <c r="C2660" s="250" t="s">
        <v>1344</v>
      </c>
      <c r="D2660" s="1157" t="s">
        <v>21</v>
      </c>
      <c r="E2660" s="251" t="s">
        <v>3824</v>
      </c>
      <c r="F2660" s="252" t="s">
        <v>3819</v>
      </c>
      <c r="G2660" s="1161">
        <v>96201.49</v>
      </c>
      <c r="H2660" s="1779" t="s">
        <v>3820</v>
      </c>
      <c r="I2660" s="34" t="s">
        <v>25</v>
      </c>
      <c r="J2660" s="327"/>
      <c r="K2660" s="37"/>
      <c r="L2660" s="1128"/>
      <c r="M2660" s="327"/>
      <c r="N2660" s="327"/>
      <c r="O2660" s="1129"/>
    </row>
    <row r="2661" spans="1:15" ht="18.75" customHeight="1" x14ac:dyDescent="0.3">
      <c r="A2661" s="2402">
        <v>2655</v>
      </c>
      <c r="B2661" s="249" t="s">
        <v>3817</v>
      </c>
      <c r="C2661" s="250" t="s">
        <v>1344</v>
      </c>
      <c r="D2661" s="1157" t="s">
        <v>21</v>
      </c>
      <c r="E2661" s="251" t="s">
        <v>3825</v>
      </c>
      <c r="F2661" s="252" t="s">
        <v>3819</v>
      </c>
      <c r="G2661" s="1161">
        <v>96201.49</v>
      </c>
      <c r="H2661" s="1779" t="s">
        <v>3820</v>
      </c>
      <c r="I2661" s="34" t="s">
        <v>25</v>
      </c>
      <c r="J2661" s="327"/>
      <c r="K2661" s="37"/>
      <c r="L2661" s="1128"/>
      <c r="M2661" s="327"/>
      <c r="N2661" s="327"/>
      <c r="O2661" s="1129"/>
    </row>
    <row r="2662" spans="1:15" ht="18.75" customHeight="1" x14ac:dyDescent="0.3">
      <c r="A2662" s="2401">
        <v>2656</v>
      </c>
      <c r="B2662" s="249" t="s">
        <v>3817</v>
      </c>
      <c r="C2662" s="250" t="s">
        <v>1344</v>
      </c>
      <c r="D2662" s="1157" t="s">
        <v>21</v>
      </c>
      <c r="E2662" s="251" t="s">
        <v>3826</v>
      </c>
      <c r="F2662" s="252" t="s">
        <v>3819</v>
      </c>
      <c r="G2662" s="1161">
        <v>96201.49</v>
      </c>
      <c r="H2662" s="1779" t="s">
        <v>3820</v>
      </c>
      <c r="I2662" s="34" t="s">
        <v>25</v>
      </c>
      <c r="J2662" s="327"/>
      <c r="K2662" s="37"/>
      <c r="L2662" s="1128"/>
      <c r="M2662" s="327"/>
      <c r="N2662" s="327"/>
      <c r="O2662" s="1129"/>
    </row>
    <row r="2663" spans="1:15" ht="18.75" customHeight="1" x14ac:dyDescent="0.3">
      <c r="A2663" s="2402">
        <v>2657</v>
      </c>
      <c r="B2663" s="249" t="s">
        <v>3827</v>
      </c>
      <c r="C2663" s="250" t="s">
        <v>1344</v>
      </c>
      <c r="D2663" s="1158" t="s">
        <v>21</v>
      </c>
      <c r="E2663" s="251" t="s">
        <v>3828</v>
      </c>
      <c r="F2663" s="252" t="s">
        <v>3819</v>
      </c>
      <c r="G2663" s="1161">
        <v>6958.67</v>
      </c>
      <c r="H2663" s="1779" t="s">
        <v>3829</v>
      </c>
      <c r="I2663" s="34" t="s">
        <v>25</v>
      </c>
      <c r="J2663" s="327"/>
      <c r="K2663" s="37"/>
      <c r="L2663" s="1128"/>
      <c r="M2663" s="327"/>
      <c r="N2663" s="327"/>
      <c r="O2663" s="1129"/>
    </row>
    <row r="2664" spans="1:15" ht="18.75" customHeight="1" x14ac:dyDescent="0.3">
      <c r="A2664" s="2402">
        <v>2658</v>
      </c>
      <c r="B2664" s="249" t="s">
        <v>3827</v>
      </c>
      <c r="C2664" s="250" t="s">
        <v>1344</v>
      </c>
      <c r="D2664" s="1160" t="s">
        <v>21</v>
      </c>
      <c r="E2664" s="251" t="s">
        <v>3830</v>
      </c>
      <c r="F2664" s="252" t="s">
        <v>3819</v>
      </c>
      <c r="G2664" s="1161">
        <v>6958.67</v>
      </c>
      <c r="H2664" s="1779" t="s">
        <v>3829</v>
      </c>
      <c r="I2664" s="34" t="s">
        <v>25</v>
      </c>
      <c r="J2664" s="327"/>
      <c r="K2664" s="37"/>
      <c r="L2664" s="1128"/>
      <c r="M2664" s="327"/>
      <c r="N2664" s="327"/>
      <c r="O2664" s="1129"/>
    </row>
    <row r="2665" spans="1:15" ht="18.75" customHeight="1" x14ac:dyDescent="0.3">
      <c r="A2665" s="2401">
        <v>2659</v>
      </c>
      <c r="B2665" s="249" t="s">
        <v>3827</v>
      </c>
      <c r="C2665" s="250" t="s">
        <v>1344</v>
      </c>
      <c r="D2665" s="1159" t="s">
        <v>21</v>
      </c>
      <c r="E2665" s="251" t="s">
        <v>3831</v>
      </c>
      <c r="F2665" s="252" t="s">
        <v>3819</v>
      </c>
      <c r="G2665" s="1161">
        <v>6958.67</v>
      </c>
      <c r="H2665" s="1779" t="s">
        <v>3829</v>
      </c>
      <c r="I2665" s="34" t="s">
        <v>25</v>
      </c>
      <c r="J2665" s="327"/>
      <c r="K2665" s="37"/>
      <c r="L2665" s="1128"/>
      <c r="M2665" s="327"/>
      <c r="N2665" s="327"/>
      <c r="O2665" s="1129"/>
    </row>
    <row r="2666" spans="1:15" ht="18.75" customHeight="1" x14ac:dyDescent="0.3">
      <c r="A2666" s="2402">
        <v>2660</v>
      </c>
      <c r="B2666" s="249" t="s">
        <v>3827</v>
      </c>
      <c r="C2666" s="250" t="s">
        <v>1344</v>
      </c>
      <c r="D2666" s="1157" t="s">
        <v>21</v>
      </c>
      <c r="E2666" s="251" t="s">
        <v>3832</v>
      </c>
      <c r="F2666" s="252" t="s">
        <v>3819</v>
      </c>
      <c r="G2666" s="1161">
        <v>6958.67</v>
      </c>
      <c r="H2666" s="1779" t="s">
        <v>3829</v>
      </c>
      <c r="I2666" s="34" t="s">
        <v>25</v>
      </c>
      <c r="J2666" s="327"/>
      <c r="K2666" s="37"/>
      <c r="L2666" s="1128"/>
      <c r="M2666" s="327"/>
      <c r="N2666" s="327"/>
      <c r="O2666" s="1129"/>
    </row>
    <row r="2667" spans="1:15" ht="18.75" customHeight="1" x14ac:dyDescent="0.3">
      <c r="A2667" s="2402">
        <v>2661</v>
      </c>
      <c r="B2667" s="249" t="s">
        <v>3827</v>
      </c>
      <c r="C2667" s="250" t="s">
        <v>1344</v>
      </c>
      <c r="D2667" s="1157" t="s">
        <v>21</v>
      </c>
      <c r="E2667" s="251" t="s">
        <v>3833</v>
      </c>
      <c r="F2667" s="252" t="s">
        <v>3819</v>
      </c>
      <c r="G2667" s="1161">
        <v>6958.67</v>
      </c>
      <c r="H2667" s="1779" t="s">
        <v>3829</v>
      </c>
      <c r="I2667" s="34" t="s">
        <v>25</v>
      </c>
      <c r="J2667" s="327"/>
      <c r="K2667" s="37"/>
      <c r="L2667" s="1128"/>
      <c r="M2667" s="327"/>
      <c r="N2667" s="327"/>
      <c r="O2667" s="1129"/>
    </row>
    <row r="2668" spans="1:15" ht="18.75" customHeight="1" x14ac:dyDescent="0.3">
      <c r="A2668" s="2402">
        <v>2662</v>
      </c>
      <c r="B2668" s="249" t="s">
        <v>3827</v>
      </c>
      <c r="C2668" s="250" t="s">
        <v>1344</v>
      </c>
      <c r="D2668" s="1157" t="s">
        <v>21</v>
      </c>
      <c r="E2668" s="251" t="s">
        <v>3834</v>
      </c>
      <c r="F2668" s="252" t="s">
        <v>3819</v>
      </c>
      <c r="G2668" s="1161">
        <v>6958.67</v>
      </c>
      <c r="H2668" s="1779" t="s">
        <v>3829</v>
      </c>
      <c r="I2668" s="34" t="s">
        <v>25</v>
      </c>
      <c r="J2668" s="327"/>
      <c r="K2668" s="37"/>
      <c r="L2668" s="1128"/>
      <c r="M2668" s="327"/>
      <c r="N2668" s="327"/>
      <c r="O2668" s="1129"/>
    </row>
    <row r="2669" spans="1:15" ht="18.75" customHeight="1" x14ac:dyDescent="0.3">
      <c r="A2669" s="2402">
        <v>2663</v>
      </c>
      <c r="B2669" s="249" t="s">
        <v>3827</v>
      </c>
      <c r="C2669" s="250" t="s">
        <v>1344</v>
      </c>
      <c r="D2669" s="1157" t="s">
        <v>21</v>
      </c>
      <c r="E2669" s="251" t="s">
        <v>3835</v>
      </c>
      <c r="F2669" s="252" t="s">
        <v>3819</v>
      </c>
      <c r="G2669" s="1161">
        <v>6958.67</v>
      </c>
      <c r="H2669" s="1779" t="s">
        <v>3829</v>
      </c>
      <c r="I2669" s="34" t="s">
        <v>25</v>
      </c>
      <c r="J2669" s="327"/>
      <c r="K2669" s="37"/>
      <c r="L2669" s="1128"/>
      <c r="M2669" s="327"/>
      <c r="N2669" s="327"/>
      <c r="O2669" s="1129"/>
    </row>
    <row r="2670" spans="1:15" ht="18.75" customHeight="1" x14ac:dyDescent="0.3">
      <c r="A2670" s="2401">
        <v>2664</v>
      </c>
      <c r="B2670" s="249" t="s">
        <v>3827</v>
      </c>
      <c r="C2670" s="250" t="s">
        <v>1344</v>
      </c>
      <c r="D2670" s="1157" t="s">
        <v>21</v>
      </c>
      <c r="E2670" s="251" t="s">
        <v>3836</v>
      </c>
      <c r="F2670" s="252" t="s">
        <v>3819</v>
      </c>
      <c r="G2670" s="1161">
        <v>6958.67</v>
      </c>
      <c r="H2670" s="1779" t="s">
        <v>3829</v>
      </c>
      <c r="I2670" s="34" t="s">
        <v>25</v>
      </c>
      <c r="J2670" s="327"/>
      <c r="K2670" s="37"/>
      <c r="L2670" s="1128"/>
      <c r="M2670" s="327"/>
      <c r="N2670" s="327"/>
      <c r="O2670" s="1129"/>
    </row>
    <row r="2671" spans="1:15" ht="18.75" customHeight="1" x14ac:dyDescent="0.3">
      <c r="A2671" s="2402">
        <v>2665</v>
      </c>
      <c r="B2671" s="249" t="s">
        <v>3827</v>
      </c>
      <c r="C2671" s="250" t="s">
        <v>1344</v>
      </c>
      <c r="D2671" s="1157" t="s">
        <v>21</v>
      </c>
      <c r="E2671" s="251" t="s">
        <v>3837</v>
      </c>
      <c r="F2671" s="252" t="s">
        <v>3819</v>
      </c>
      <c r="G2671" s="1161">
        <v>6958.67</v>
      </c>
      <c r="H2671" s="1779" t="s">
        <v>3829</v>
      </c>
      <c r="I2671" s="34" t="s">
        <v>25</v>
      </c>
      <c r="J2671" s="327"/>
      <c r="K2671" s="37"/>
      <c r="L2671" s="1128"/>
      <c r="M2671" s="327"/>
      <c r="N2671" s="327"/>
      <c r="O2671" s="1129"/>
    </row>
    <row r="2672" spans="1:15" ht="18.75" customHeight="1" x14ac:dyDescent="0.3">
      <c r="A2672" s="2402">
        <v>2666</v>
      </c>
      <c r="B2672" s="249" t="s">
        <v>3827</v>
      </c>
      <c r="C2672" s="250" t="s">
        <v>1344</v>
      </c>
      <c r="D2672" s="1157" t="s">
        <v>21</v>
      </c>
      <c r="E2672" s="251" t="s">
        <v>3838</v>
      </c>
      <c r="F2672" s="252" t="s">
        <v>3819</v>
      </c>
      <c r="G2672" s="1161">
        <v>6958.67</v>
      </c>
      <c r="H2672" s="1779" t="s">
        <v>3829</v>
      </c>
      <c r="I2672" s="34" t="s">
        <v>25</v>
      </c>
      <c r="J2672" s="327"/>
      <c r="K2672" s="37"/>
      <c r="L2672" s="1128"/>
      <c r="M2672" s="327"/>
      <c r="N2672" s="327"/>
      <c r="O2672" s="1129"/>
    </row>
    <row r="2673" spans="1:15" ht="18.75" customHeight="1" x14ac:dyDescent="0.3">
      <c r="A2673" s="2401">
        <v>2667</v>
      </c>
      <c r="B2673" s="249" t="s">
        <v>3827</v>
      </c>
      <c r="C2673" s="250" t="s">
        <v>1344</v>
      </c>
      <c r="D2673" s="1157" t="s">
        <v>21</v>
      </c>
      <c r="E2673" s="251" t="s">
        <v>3839</v>
      </c>
      <c r="F2673" s="252" t="s">
        <v>3819</v>
      </c>
      <c r="G2673" s="1161">
        <v>6958.67</v>
      </c>
      <c r="H2673" s="1779" t="s">
        <v>3829</v>
      </c>
      <c r="I2673" s="34" t="s">
        <v>25</v>
      </c>
      <c r="J2673" s="327"/>
      <c r="K2673" s="37"/>
      <c r="L2673" s="1128"/>
      <c r="M2673" s="327"/>
      <c r="N2673" s="327"/>
      <c r="O2673" s="1129"/>
    </row>
    <row r="2674" spans="1:15" ht="18.75" customHeight="1" x14ac:dyDescent="0.3">
      <c r="A2674" s="2402">
        <v>2668</v>
      </c>
      <c r="B2674" s="249" t="s">
        <v>3827</v>
      </c>
      <c r="C2674" s="250" t="s">
        <v>1344</v>
      </c>
      <c r="D2674" s="1157" t="s">
        <v>21</v>
      </c>
      <c r="E2674" s="251" t="s">
        <v>3840</v>
      </c>
      <c r="F2674" s="252" t="s">
        <v>3819</v>
      </c>
      <c r="G2674" s="1161">
        <v>6958.67</v>
      </c>
      <c r="H2674" s="1779" t="s">
        <v>3829</v>
      </c>
      <c r="I2674" s="34" t="s">
        <v>25</v>
      </c>
      <c r="J2674" s="327"/>
      <c r="K2674" s="37"/>
      <c r="L2674" s="1128"/>
      <c r="M2674" s="327"/>
      <c r="N2674" s="327"/>
      <c r="O2674" s="1129"/>
    </row>
    <row r="2675" spans="1:15" ht="18.75" customHeight="1" x14ac:dyDescent="0.3">
      <c r="A2675" s="2402">
        <v>2669</v>
      </c>
      <c r="B2675" s="249" t="s">
        <v>3827</v>
      </c>
      <c r="C2675" s="250" t="s">
        <v>1344</v>
      </c>
      <c r="D2675" s="1157" t="s">
        <v>21</v>
      </c>
      <c r="E2675" s="251" t="s">
        <v>3841</v>
      </c>
      <c r="F2675" s="252" t="s">
        <v>3819</v>
      </c>
      <c r="G2675" s="1161">
        <v>6958.67</v>
      </c>
      <c r="H2675" s="1779" t="s">
        <v>3829</v>
      </c>
      <c r="I2675" s="34" t="s">
        <v>25</v>
      </c>
      <c r="J2675" s="327"/>
      <c r="K2675" s="37"/>
      <c r="L2675" s="1128"/>
      <c r="M2675" s="327"/>
      <c r="N2675" s="327"/>
      <c r="O2675" s="1129"/>
    </row>
    <row r="2676" spans="1:15" ht="18.75" customHeight="1" x14ac:dyDescent="0.3">
      <c r="A2676" s="2402">
        <v>2670</v>
      </c>
      <c r="B2676" s="249" t="s">
        <v>3827</v>
      </c>
      <c r="C2676" s="250" t="s">
        <v>1344</v>
      </c>
      <c r="D2676" s="1157" t="s">
        <v>21</v>
      </c>
      <c r="E2676" s="251" t="s">
        <v>3842</v>
      </c>
      <c r="F2676" s="252" t="s">
        <v>3819</v>
      </c>
      <c r="G2676" s="1161">
        <v>6958.67</v>
      </c>
      <c r="H2676" s="1779" t="s">
        <v>3829</v>
      </c>
      <c r="I2676" s="34" t="s">
        <v>25</v>
      </c>
      <c r="J2676" s="327"/>
      <c r="K2676" s="37"/>
      <c r="L2676" s="1128"/>
      <c r="M2676" s="327"/>
      <c r="N2676" s="327"/>
      <c r="O2676" s="1129"/>
    </row>
    <row r="2677" spans="1:15" ht="18.75" customHeight="1" x14ac:dyDescent="0.3">
      <c r="A2677" s="2402">
        <v>2671</v>
      </c>
      <c r="B2677" s="249" t="s">
        <v>3827</v>
      </c>
      <c r="C2677" s="250" t="s">
        <v>1344</v>
      </c>
      <c r="D2677" s="1157" t="s">
        <v>21</v>
      </c>
      <c r="E2677" s="251" t="s">
        <v>3843</v>
      </c>
      <c r="F2677" s="252" t="s">
        <v>3819</v>
      </c>
      <c r="G2677" s="1161">
        <v>6958.67</v>
      </c>
      <c r="H2677" s="1779" t="s">
        <v>3829</v>
      </c>
      <c r="I2677" s="34" t="s">
        <v>25</v>
      </c>
      <c r="J2677" s="327"/>
      <c r="K2677" s="37"/>
      <c r="L2677" s="1128"/>
      <c r="M2677" s="327"/>
      <c r="N2677" s="327"/>
      <c r="O2677" s="1129"/>
    </row>
    <row r="2678" spans="1:15" ht="18.75" customHeight="1" x14ac:dyDescent="0.3">
      <c r="A2678" s="2401">
        <v>2672</v>
      </c>
      <c r="B2678" s="249" t="s">
        <v>3827</v>
      </c>
      <c r="C2678" s="250" t="s">
        <v>1344</v>
      </c>
      <c r="D2678" s="1157" t="s">
        <v>21</v>
      </c>
      <c r="E2678" s="251" t="s">
        <v>3844</v>
      </c>
      <c r="F2678" s="252" t="s">
        <v>3819</v>
      </c>
      <c r="G2678" s="1161">
        <v>6958.67</v>
      </c>
      <c r="H2678" s="1779" t="s">
        <v>3829</v>
      </c>
      <c r="I2678" s="34" t="s">
        <v>25</v>
      </c>
      <c r="J2678" s="327"/>
      <c r="K2678" s="37"/>
      <c r="L2678" s="1128"/>
      <c r="M2678" s="327"/>
      <c r="N2678" s="327"/>
      <c r="O2678" s="1129"/>
    </row>
    <row r="2679" spans="1:15" ht="18.75" customHeight="1" x14ac:dyDescent="0.3">
      <c r="A2679" s="2402">
        <v>2673</v>
      </c>
      <c r="B2679" s="249" t="s">
        <v>3827</v>
      </c>
      <c r="C2679" s="250" t="s">
        <v>1344</v>
      </c>
      <c r="D2679" s="1158" t="s">
        <v>21</v>
      </c>
      <c r="E2679" s="251" t="s">
        <v>3845</v>
      </c>
      <c r="F2679" s="252" t="s">
        <v>3819</v>
      </c>
      <c r="G2679" s="1161">
        <v>6958.67</v>
      </c>
      <c r="H2679" s="1779" t="s">
        <v>3829</v>
      </c>
      <c r="I2679" s="34" t="s">
        <v>25</v>
      </c>
      <c r="J2679" s="327"/>
      <c r="K2679" s="37"/>
      <c r="L2679" s="1128"/>
      <c r="M2679" s="327"/>
      <c r="N2679" s="327"/>
      <c r="O2679" s="1129"/>
    </row>
    <row r="2680" spans="1:15" ht="18.75" customHeight="1" x14ac:dyDescent="0.3">
      <c r="A2680" s="2402">
        <v>2674</v>
      </c>
      <c r="B2680" s="249" t="s">
        <v>3827</v>
      </c>
      <c r="C2680" s="250" t="s">
        <v>1344</v>
      </c>
      <c r="D2680" s="1159" t="s">
        <v>21</v>
      </c>
      <c r="E2680" s="251" t="s">
        <v>3846</v>
      </c>
      <c r="F2680" s="252" t="s">
        <v>3819</v>
      </c>
      <c r="G2680" s="1161">
        <v>6958.67</v>
      </c>
      <c r="H2680" s="1779" t="s">
        <v>3829</v>
      </c>
      <c r="I2680" s="34" t="s">
        <v>25</v>
      </c>
      <c r="J2680" s="327"/>
      <c r="K2680" s="37"/>
      <c r="L2680" s="1128"/>
      <c r="M2680" s="327"/>
      <c r="N2680" s="327"/>
      <c r="O2680" s="1129"/>
    </row>
    <row r="2681" spans="1:15" ht="18.75" customHeight="1" x14ac:dyDescent="0.3">
      <c r="A2681" s="2401">
        <v>2675</v>
      </c>
      <c r="B2681" s="249" t="s">
        <v>3827</v>
      </c>
      <c r="C2681" s="250" t="s">
        <v>1344</v>
      </c>
      <c r="D2681" s="1157" t="s">
        <v>21</v>
      </c>
      <c r="E2681" s="251" t="s">
        <v>3847</v>
      </c>
      <c r="F2681" s="252" t="s">
        <v>3819</v>
      </c>
      <c r="G2681" s="1161">
        <v>6958.67</v>
      </c>
      <c r="H2681" s="1779" t="s">
        <v>3829</v>
      </c>
      <c r="I2681" s="34" t="s">
        <v>25</v>
      </c>
      <c r="J2681" s="327"/>
      <c r="K2681" s="37"/>
      <c r="L2681" s="1128"/>
      <c r="M2681" s="327"/>
      <c r="N2681" s="327"/>
      <c r="O2681" s="1129"/>
    </row>
    <row r="2682" spans="1:15" ht="18.75" customHeight="1" x14ac:dyDescent="0.3">
      <c r="A2682" s="2402">
        <v>2676</v>
      </c>
      <c r="B2682" s="249" t="s">
        <v>3827</v>
      </c>
      <c r="C2682" s="250" t="s">
        <v>1344</v>
      </c>
      <c r="D2682" s="1157" t="s">
        <v>21</v>
      </c>
      <c r="E2682" s="251" t="s">
        <v>3848</v>
      </c>
      <c r="F2682" s="252" t="s">
        <v>3819</v>
      </c>
      <c r="G2682" s="1161">
        <v>6958.67</v>
      </c>
      <c r="H2682" s="1779" t="s">
        <v>3829</v>
      </c>
      <c r="I2682" s="34" t="s">
        <v>25</v>
      </c>
      <c r="J2682" s="327"/>
      <c r="K2682" s="37"/>
      <c r="L2682" s="1128"/>
      <c r="M2682" s="327"/>
      <c r="N2682" s="327"/>
      <c r="O2682" s="1129"/>
    </row>
    <row r="2683" spans="1:15" ht="18.75" customHeight="1" x14ac:dyDescent="0.3">
      <c r="A2683" s="2402">
        <v>2677</v>
      </c>
      <c r="B2683" s="249" t="s">
        <v>3827</v>
      </c>
      <c r="C2683" s="250" t="s">
        <v>1344</v>
      </c>
      <c r="D2683" s="1157" t="s">
        <v>21</v>
      </c>
      <c r="E2683" s="251" t="s">
        <v>3849</v>
      </c>
      <c r="F2683" s="252" t="s">
        <v>3819</v>
      </c>
      <c r="G2683" s="1161">
        <v>6958.67</v>
      </c>
      <c r="H2683" s="1779" t="s">
        <v>3829</v>
      </c>
      <c r="I2683" s="34" t="s">
        <v>25</v>
      </c>
      <c r="J2683" s="327"/>
      <c r="K2683" s="37"/>
      <c r="L2683" s="1128"/>
      <c r="M2683" s="327"/>
      <c r="N2683" s="327"/>
      <c r="O2683" s="1129"/>
    </row>
    <row r="2684" spans="1:15" ht="18.75" customHeight="1" x14ac:dyDescent="0.3">
      <c r="A2684" s="2402">
        <v>2678</v>
      </c>
      <c r="B2684" s="249" t="s">
        <v>3827</v>
      </c>
      <c r="C2684" s="250" t="s">
        <v>1344</v>
      </c>
      <c r="D2684" s="1157" t="s">
        <v>21</v>
      </c>
      <c r="E2684" s="251" t="s">
        <v>3850</v>
      </c>
      <c r="F2684" s="252" t="s">
        <v>3819</v>
      </c>
      <c r="G2684" s="1161">
        <v>6958.67</v>
      </c>
      <c r="H2684" s="1779" t="s">
        <v>3829</v>
      </c>
      <c r="I2684" s="34" t="s">
        <v>25</v>
      </c>
      <c r="J2684" s="327"/>
      <c r="K2684" s="37"/>
      <c r="L2684" s="1128"/>
      <c r="M2684" s="327"/>
      <c r="N2684" s="327"/>
      <c r="O2684" s="1129"/>
    </row>
    <row r="2685" spans="1:15" ht="18.75" customHeight="1" x14ac:dyDescent="0.3">
      <c r="A2685" s="2402">
        <v>2679</v>
      </c>
      <c r="B2685" s="249" t="s">
        <v>3827</v>
      </c>
      <c r="C2685" s="250" t="s">
        <v>1344</v>
      </c>
      <c r="D2685" s="1157" t="s">
        <v>21</v>
      </c>
      <c r="E2685" s="251" t="s">
        <v>3851</v>
      </c>
      <c r="F2685" s="252" t="s">
        <v>3819</v>
      </c>
      <c r="G2685" s="1161">
        <v>6958.67</v>
      </c>
      <c r="H2685" s="1779" t="s">
        <v>3829</v>
      </c>
      <c r="I2685" s="34" t="s">
        <v>25</v>
      </c>
      <c r="J2685" s="327"/>
      <c r="K2685" s="37"/>
      <c r="L2685" s="1128"/>
      <c r="M2685" s="327"/>
      <c r="N2685" s="327"/>
      <c r="O2685" s="1129"/>
    </row>
    <row r="2686" spans="1:15" ht="18.75" customHeight="1" x14ac:dyDescent="0.3">
      <c r="A2686" s="2401">
        <v>2680</v>
      </c>
      <c r="B2686" s="249" t="s">
        <v>3827</v>
      </c>
      <c r="C2686" s="250" t="s">
        <v>1344</v>
      </c>
      <c r="D2686" s="1157" t="s">
        <v>21</v>
      </c>
      <c r="E2686" s="251" t="s">
        <v>3852</v>
      </c>
      <c r="F2686" s="252" t="s">
        <v>3819</v>
      </c>
      <c r="G2686" s="1161">
        <v>6958.67</v>
      </c>
      <c r="H2686" s="1779" t="s">
        <v>3829</v>
      </c>
      <c r="I2686" s="34" t="s">
        <v>25</v>
      </c>
      <c r="J2686" s="327"/>
      <c r="K2686" s="37"/>
      <c r="L2686" s="1128"/>
      <c r="M2686" s="327"/>
      <c r="N2686" s="327"/>
      <c r="O2686" s="1129"/>
    </row>
    <row r="2687" spans="1:15" ht="18.75" customHeight="1" x14ac:dyDescent="0.3">
      <c r="A2687" s="2402">
        <v>2681</v>
      </c>
      <c r="B2687" s="249" t="s">
        <v>3827</v>
      </c>
      <c r="C2687" s="250" t="s">
        <v>1344</v>
      </c>
      <c r="D2687" s="1157" t="s">
        <v>21</v>
      </c>
      <c r="E2687" s="251" t="s">
        <v>3853</v>
      </c>
      <c r="F2687" s="252" t="s">
        <v>3819</v>
      </c>
      <c r="G2687" s="1161">
        <v>6958.67</v>
      </c>
      <c r="H2687" s="1779" t="s">
        <v>3829</v>
      </c>
      <c r="I2687" s="34" t="s">
        <v>25</v>
      </c>
      <c r="J2687" s="327"/>
      <c r="K2687" s="37"/>
      <c r="L2687" s="1128"/>
      <c r="M2687" s="327"/>
      <c r="N2687" s="327"/>
      <c r="O2687" s="1129"/>
    </row>
    <row r="2688" spans="1:15" ht="18.75" customHeight="1" x14ac:dyDescent="0.3">
      <c r="A2688" s="2402">
        <v>2682</v>
      </c>
      <c r="B2688" s="249" t="s">
        <v>3827</v>
      </c>
      <c r="C2688" s="250" t="s">
        <v>1344</v>
      </c>
      <c r="D2688" s="1157" t="s">
        <v>21</v>
      </c>
      <c r="E2688" s="251" t="s">
        <v>3854</v>
      </c>
      <c r="F2688" s="252" t="s">
        <v>3819</v>
      </c>
      <c r="G2688" s="1161">
        <v>6958.67</v>
      </c>
      <c r="H2688" s="1779" t="s">
        <v>3829</v>
      </c>
      <c r="I2688" s="34" t="s">
        <v>25</v>
      </c>
      <c r="J2688" s="327"/>
      <c r="K2688" s="37"/>
      <c r="L2688" s="1128"/>
      <c r="M2688" s="327"/>
      <c r="N2688" s="327"/>
      <c r="O2688" s="1129"/>
    </row>
    <row r="2689" spans="1:15" ht="18.75" customHeight="1" x14ac:dyDescent="0.3">
      <c r="A2689" s="2401">
        <v>2683</v>
      </c>
      <c r="B2689" s="249" t="s">
        <v>3827</v>
      </c>
      <c r="C2689" s="250" t="s">
        <v>1344</v>
      </c>
      <c r="D2689" s="1157" t="s">
        <v>21</v>
      </c>
      <c r="E2689" s="251" t="s">
        <v>3855</v>
      </c>
      <c r="F2689" s="252" t="s">
        <v>3819</v>
      </c>
      <c r="G2689" s="1161">
        <v>6958.67</v>
      </c>
      <c r="H2689" s="1779" t="s">
        <v>3829</v>
      </c>
      <c r="I2689" s="34" t="s">
        <v>25</v>
      </c>
      <c r="J2689" s="327"/>
      <c r="K2689" s="37"/>
      <c r="L2689" s="1128"/>
      <c r="M2689" s="327"/>
      <c r="N2689" s="327"/>
      <c r="O2689" s="1129"/>
    </row>
    <row r="2690" spans="1:15" ht="18.75" customHeight="1" x14ac:dyDescent="0.3">
      <c r="A2690" s="2402">
        <v>2684</v>
      </c>
      <c r="B2690" s="249" t="s">
        <v>3827</v>
      </c>
      <c r="C2690" s="250" t="s">
        <v>1344</v>
      </c>
      <c r="D2690" s="1157" t="s">
        <v>21</v>
      </c>
      <c r="E2690" s="251" t="s">
        <v>3856</v>
      </c>
      <c r="F2690" s="252" t="s">
        <v>3819</v>
      </c>
      <c r="G2690" s="1161">
        <v>6958.67</v>
      </c>
      <c r="H2690" s="1779" t="s">
        <v>3829</v>
      </c>
      <c r="I2690" s="34" t="s">
        <v>25</v>
      </c>
      <c r="J2690" s="327"/>
      <c r="K2690" s="37"/>
      <c r="L2690" s="1128"/>
      <c r="M2690" s="327"/>
      <c r="N2690" s="327"/>
      <c r="O2690" s="1129"/>
    </row>
    <row r="2691" spans="1:15" ht="18.75" customHeight="1" x14ac:dyDescent="0.3">
      <c r="A2691" s="2402">
        <v>2685</v>
      </c>
      <c r="B2691" s="249" t="s">
        <v>3827</v>
      </c>
      <c r="C2691" s="250" t="s">
        <v>1344</v>
      </c>
      <c r="D2691" s="1157" t="s">
        <v>21</v>
      </c>
      <c r="E2691" s="251" t="s">
        <v>3857</v>
      </c>
      <c r="F2691" s="252" t="s">
        <v>3819</v>
      </c>
      <c r="G2691" s="1161">
        <v>6958.67</v>
      </c>
      <c r="H2691" s="1779" t="s">
        <v>3829</v>
      </c>
      <c r="I2691" s="34" t="s">
        <v>25</v>
      </c>
      <c r="J2691" s="327"/>
      <c r="K2691" s="37"/>
      <c r="L2691" s="1128"/>
      <c r="M2691" s="327"/>
      <c r="N2691" s="327"/>
      <c r="O2691" s="1129"/>
    </row>
    <row r="2692" spans="1:15" ht="18.75" customHeight="1" x14ac:dyDescent="0.3">
      <c r="A2692" s="2402">
        <v>2686</v>
      </c>
      <c r="B2692" s="249" t="s">
        <v>3827</v>
      </c>
      <c r="C2692" s="250" t="s">
        <v>1344</v>
      </c>
      <c r="D2692" s="1157" t="s">
        <v>21</v>
      </c>
      <c r="E2692" s="251" t="s">
        <v>3858</v>
      </c>
      <c r="F2692" s="252" t="s">
        <v>3819</v>
      </c>
      <c r="G2692" s="1161">
        <v>6958.67</v>
      </c>
      <c r="H2692" s="1779" t="s">
        <v>3829</v>
      </c>
      <c r="I2692" s="34" t="s">
        <v>25</v>
      </c>
      <c r="J2692" s="327"/>
      <c r="K2692" s="37"/>
      <c r="L2692" s="1128"/>
      <c r="M2692" s="327"/>
      <c r="N2692" s="327"/>
      <c r="O2692" s="1129"/>
    </row>
    <row r="2693" spans="1:15" ht="18.75" customHeight="1" x14ac:dyDescent="0.3">
      <c r="A2693" s="2402">
        <v>2687</v>
      </c>
      <c r="B2693" s="249" t="s">
        <v>3827</v>
      </c>
      <c r="C2693" s="250" t="s">
        <v>1344</v>
      </c>
      <c r="D2693" s="1157" t="s">
        <v>21</v>
      </c>
      <c r="E2693" s="251" t="s">
        <v>3859</v>
      </c>
      <c r="F2693" s="252" t="s">
        <v>3819</v>
      </c>
      <c r="G2693" s="1161">
        <v>6958.67</v>
      </c>
      <c r="H2693" s="1779" t="s">
        <v>3829</v>
      </c>
      <c r="I2693" s="34" t="s">
        <v>25</v>
      </c>
      <c r="J2693" s="327"/>
      <c r="K2693" s="37"/>
      <c r="L2693" s="1128"/>
      <c r="M2693" s="327"/>
      <c r="N2693" s="327"/>
      <c r="O2693" s="1129"/>
    </row>
    <row r="2694" spans="1:15" ht="18.75" customHeight="1" x14ac:dyDescent="0.3">
      <c r="A2694" s="2401">
        <v>2688</v>
      </c>
      <c r="B2694" s="249" t="s">
        <v>3827</v>
      </c>
      <c r="C2694" s="250" t="s">
        <v>1344</v>
      </c>
      <c r="D2694" s="1158" t="s">
        <v>21</v>
      </c>
      <c r="E2694" s="251" t="s">
        <v>3860</v>
      </c>
      <c r="F2694" s="252" t="s">
        <v>3819</v>
      </c>
      <c r="G2694" s="1161">
        <v>6958.67</v>
      </c>
      <c r="H2694" s="1779" t="s">
        <v>3829</v>
      </c>
      <c r="I2694" s="34" t="s">
        <v>25</v>
      </c>
      <c r="J2694" s="327"/>
      <c r="K2694" s="37"/>
      <c r="L2694" s="1128"/>
      <c r="M2694" s="327"/>
      <c r="N2694" s="327"/>
      <c r="O2694" s="1129"/>
    </row>
    <row r="2695" spans="1:15" ht="18.75" customHeight="1" x14ac:dyDescent="0.3">
      <c r="A2695" s="2402">
        <v>2689</v>
      </c>
      <c r="B2695" s="249" t="s">
        <v>3817</v>
      </c>
      <c r="C2695" s="250" t="s">
        <v>1344</v>
      </c>
      <c r="D2695" s="1160" t="s">
        <v>21</v>
      </c>
      <c r="E2695" s="251" t="s">
        <v>3861</v>
      </c>
      <c r="F2695" s="1162">
        <v>23931</v>
      </c>
      <c r="G2695" s="1163">
        <v>95239.97</v>
      </c>
      <c r="H2695" s="1779" t="s">
        <v>3783</v>
      </c>
      <c r="I2695" s="34" t="s">
        <v>25</v>
      </c>
      <c r="J2695" s="327"/>
      <c r="K2695" s="37"/>
      <c r="L2695" s="1128"/>
      <c r="M2695" s="327"/>
      <c r="N2695" s="327"/>
      <c r="O2695" s="1129"/>
    </row>
    <row r="2696" spans="1:15" ht="18.75" customHeight="1" x14ac:dyDescent="0.3">
      <c r="A2696" s="2402">
        <v>2690</v>
      </c>
      <c r="B2696" s="249" t="s">
        <v>3817</v>
      </c>
      <c r="C2696" s="250" t="s">
        <v>1344</v>
      </c>
      <c r="D2696" s="1159" t="s">
        <v>21</v>
      </c>
      <c r="E2696" s="251" t="s">
        <v>3862</v>
      </c>
      <c r="F2696" s="1162">
        <v>23931</v>
      </c>
      <c r="G2696" s="1163">
        <v>95239.97</v>
      </c>
      <c r="H2696" s="1779" t="s">
        <v>3783</v>
      </c>
      <c r="I2696" s="34" t="s">
        <v>25</v>
      </c>
      <c r="J2696" s="327"/>
      <c r="K2696" s="37"/>
      <c r="L2696" s="1128"/>
      <c r="M2696" s="327"/>
      <c r="N2696" s="327"/>
      <c r="O2696" s="1129"/>
    </row>
    <row r="2697" spans="1:15" ht="18.75" customHeight="1" x14ac:dyDescent="0.3">
      <c r="A2697" s="2401">
        <v>2691</v>
      </c>
      <c r="B2697" s="249" t="s">
        <v>3817</v>
      </c>
      <c r="C2697" s="250" t="s">
        <v>1344</v>
      </c>
      <c r="D2697" s="1157" t="s">
        <v>21</v>
      </c>
      <c r="E2697" s="251" t="s">
        <v>3863</v>
      </c>
      <c r="F2697" s="1162">
        <v>23931</v>
      </c>
      <c r="G2697" s="1163">
        <v>95239.97</v>
      </c>
      <c r="H2697" s="1779" t="s">
        <v>3783</v>
      </c>
      <c r="I2697" s="34" t="s">
        <v>25</v>
      </c>
      <c r="J2697" s="327"/>
      <c r="K2697" s="37"/>
      <c r="L2697" s="1128"/>
      <c r="M2697" s="327"/>
      <c r="N2697" s="327"/>
      <c r="O2697" s="1129"/>
    </row>
    <row r="2698" spans="1:15" ht="18.75" customHeight="1" x14ac:dyDescent="0.3">
      <c r="A2698" s="2402">
        <v>2692</v>
      </c>
      <c r="B2698" s="249" t="s">
        <v>3817</v>
      </c>
      <c r="C2698" s="250" t="s">
        <v>1344</v>
      </c>
      <c r="D2698" s="1157" t="s">
        <v>21</v>
      </c>
      <c r="E2698" s="251" t="s">
        <v>3864</v>
      </c>
      <c r="F2698" s="1162">
        <v>23931</v>
      </c>
      <c r="G2698" s="1163">
        <v>95239.97</v>
      </c>
      <c r="H2698" s="1779" t="s">
        <v>3783</v>
      </c>
      <c r="I2698" s="34" t="s">
        <v>25</v>
      </c>
      <c r="J2698" s="327"/>
      <c r="K2698" s="37"/>
      <c r="L2698" s="1128"/>
      <c r="M2698" s="327"/>
      <c r="N2698" s="327"/>
      <c r="O2698" s="1129"/>
    </row>
    <row r="2699" spans="1:15" ht="18.75" customHeight="1" x14ac:dyDescent="0.3">
      <c r="A2699" s="2402">
        <v>2693</v>
      </c>
      <c r="B2699" s="249" t="s">
        <v>3817</v>
      </c>
      <c r="C2699" s="250" t="s">
        <v>1344</v>
      </c>
      <c r="D2699" s="1157" t="s">
        <v>21</v>
      </c>
      <c r="E2699" s="251" t="s">
        <v>3865</v>
      </c>
      <c r="F2699" s="1162">
        <v>23931</v>
      </c>
      <c r="G2699" s="1163">
        <v>95239.97</v>
      </c>
      <c r="H2699" s="1779" t="s">
        <v>3783</v>
      </c>
      <c r="I2699" s="34" t="s">
        <v>25</v>
      </c>
      <c r="J2699" s="327"/>
      <c r="K2699" s="37"/>
      <c r="L2699" s="1128"/>
      <c r="M2699" s="327"/>
      <c r="N2699" s="327"/>
      <c r="O2699" s="1129"/>
    </row>
    <row r="2700" spans="1:15" ht="18.75" customHeight="1" x14ac:dyDescent="0.3">
      <c r="A2700" s="2402">
        <v>2694</v>
      </c>
      <c r="B2700" s="249" t="s">
        <v>3817</v>
      </c>
      <c r="C2700" s="250" t="s">
        <v>1344</v>
      </c>
      <c r="D2700" s="1157" t="s">
        <v>21</v>
      </c>
      <c r="E2700" s="251" t="s">
        <v>3866</v>
      </c>
      <c r="F2700" s="1162">
        <v>23931</v>
      </c>
      <c r="G2700" s="1163">
        <v>95239.97</v>
      </c>
      <c r="H2700" s="1779" t="s">
        <v>3783</v>
      </c>
      <c r="I2700" s="34" t="s">
        <v>25</v>
      </c>
      <c r="J2700" s="327"/>
      <c r="K2700" s="37"/>
      <c r="L2700" s="1128"/>
      <c r="M2700" s="327"/>
      <c r="N2700" s="327"/>
      <c r="O2700" s="1129"/>
    </row>
    <row r="2701" spans="1:15" ht="18.75" customHeight="1" x14ac:dyDescent="0.3">
      <c r="A2701" s="2402">
        <v>2695</v>
      </c>
      <c r="B2701" s="249" t="s">
        <v>3817</v>
      </c>
      <c r="C2701" s="250" t="s">
        <v>1344</v>
      </c>
      <c r="D2701" s="1157" t="s">
        <v>21</v>
      </c>
      <c r="E2701" s="251" t="s">
        <v>3867</v>
      </c>
      <c r="F2701" s="1162">
        <v>23931</v>
      </c>
      <c r="G2701" s="1163">
        <v>95239.97</v>
      </c>
      <c r="H2701" s="1779" t="s">
        <v>3783</v>
      </c>
      <c r="I2701" s="34" t="s">
        <v>25</v>
      </c>
      <c r="J2701" s="327"/>
      <c r="K2701" s="37"/>
      <c r="L2701" s="1128"/>
      <c r="M2701" s="327"/>
      <c r="N2701" s="327"/>
      <c r="O2701" s="1129"/>
    </row>
    <row r="2702" spans="1:15" ht="18.75" customHeight="1" x14ac:dyDescent="0.3">
      <c r="A2702" s="2401">
        <v>2696</v>
      </c>
      <c r="B2702" s="249" t="s">
        <v>3817</v>
      </c>
      <c r="C2702" s="250" t="s">
        <v>1344</v>
      </c>
      <c r="D2702" s="1157" t="s">
        <v>21</v>
      </c>
      <c r="E2702" s="251" t="s">
        <v>3868</v>
      </c>
      <c r="F2702" s="1162">
        <v>23931</v>
      </c>
      <c r="G2702" s="1163">
        <v>95239.97</v>
      </c>
      <c r="H2702" s="1779" t="s">
        <v>3783</v>
      </c>
      <c r="I2702" s="34" t="s">
        <v>25</v>
      </c>
      <c r="J2702" s="327"/>
      <c r="K2702" s="37"/>
      <c r="L2702" s="1128"/>
      <c r="M2702" s="327"/>
      <c r="N2702" s="327"/>
      <c r="O2702" s="1129"/>
    </row>
    <row r="2703" spans="1:15" ht="18.75" customHeight="1" x14ac:dyDescent="0.3">
      <c r="A2703" s="2402">
        <v>2697</v>
      </c>
      <c r="B2703" s="249" t="s">
        <v>3817</v>
      </c>
      <c r="C2703" s="250" t="s">
        <v>1344</v>
      </c>
      <c r="D2703" s="1157" t="s">
        <v>21</v>
      </c>
      <c r="E2703" s="251" t="s">
        <v>3869</v>
      </c>
      <c r="F2703" s="1162">
        <v>23931</v>
      </c>
      <c r="G2703" s="1163">
        <v>95239.97</v>
      </c>
      <c r="H2703" s="1779" t="s">
        <v>3783</v>
      </c>
      <c r="I2703" s="34" t="s">
        <v>25</v>
      </c>
      <c r="J2703" s="327"/>
      <c r="K2703" s="37"/>
      <c r="L2703" s="1128"/>
      <c r="M2703" s="327"/>
      <c r="N2703" s="327"/>
      <c r="O2703" s="1129"/>
    </row>
    <row r="2704" spans="1:15" ht="18.75" customHeight="1" x14ac:dyDescent="0.3">
      <c r="A2704" s="2402">
        <v>2698</v>
      </c>
      <c r="B2704" s="249" t="s">
        <v>3817</v>
      </c>
      <c r="C2704" s="250" t="s">
        <v>1344</v>
      </c>
      <c r="D2704" s="1157" t="s">
        <v>21</v>
      </c>
      <c r="E2704" s="251" t="s">
        <v>3870</v>
      </c>
      <c r="F2704" s="1162">
        <v>23931</v>
      </c>
      <c r="G2704" s="1163">
        <v>95239.97</v>
      </c>
      <c r="H2704" s="1779" t="s">
        <v>3783</v>
      </c>
      <c r="I2704" s="34" t="s">
        <v>25</v>
      </c>
      <c r="J2704" s="327"/>
      <c r="K2704" s="37"/>
      <c r="L2704" s="1128"/>
      <c r="M2704" s="327"/>
      <c r="N2704" s="327"/>
      <c r="O2704" s="1129"/>
    </row>
    <row r="2705" spans="1:15" ht="18.75" customHeight="1" x14ac:dyDescent="0.3">
      <c r="A2705" s="2401">
        <v>2699</v>
      </c>
      <c r="B2705" s="249" t="s">
        <v>3817</v>
      </c>
      <c r="C2705" s="250" t="s">
        <v>1344</v>
      </c>
      <c r="D2705" s="1157" t="s">
        <v>21</v>
      </c>
      <c r="E2705" s="251" t="s">
        <v>3871</v>
      </c>
      <c r="F2705" s="1162">
        <v>23931</v>
      </c>
      <c r="G2705" s="1163">
        <v>95239.97</v>
      </c>
      <c r="H2705" s="1779" t="s">
        <v>3783</v>
      </c>
      <c r="I2705" s="34" t="s">
        <v>25</v>
      </c>
      <c r="J2705" s="327"/>
      <c r="K2705" s="37"/>
      <c r="L2705" s="1128"/>
      <c r="M2705" s="327"/>
      <c r="N2705" s="327"/>
      <c r="O2705" s="1129"/>
    </row>
    <row r="2706" spans="1:15" ht="18.75" customHeight="1" x14ac:dyDescent="0.3">
      <c r="A2706" s="2402">
        <v>2700</v>
      </c>
      <c r="B2706" s="249" t="s">
        <v>3817</v>
      </c>
      <c r="C2706" s="250" t="s">
        <v>1344</v>
      </c>
      <c r="D2706" s="1157" t="s">
        <v>21</v>
      </c>
      <c r="E2706" s="251" t="s">
        <v>3872</v>
      </c>
      <c r="F2706" s="1162">
        <v>23931</v>
      </c>
      <c r="G2706" s="1163">
        <v>95239.97</v>
      </c>
      <c r="H2706" s="1779" t="s">
        <v>3783</v>
      </c>
      <c r="I2706" s="34" t="s">
        <v>25</v>
      </c>
      <c r="J2706" s="327"/>
      <c r="K2706" s="37"/>
      <c r="L2706" s="1128"/>
      <c r="M2706" s="327"/>
      <c r="N2706" s="327"/>
      <c r="O2706" s="1129"/>
    </row>
    <row r="2707" spans="1:15" ht="18.75" customHeight="1" x14ac:dyDescent="0.3">
      <c r="A2707" s="2402">
        <v>2701</v>
      </c>
      <c r="B2707" s="249" t="s">
        <v>3817</v>
      </c>
      <c r="C2707" s="250" t="s">
        <v>1344</v>
      </c>
      <c r="D2707" s="1157" t="s">
        <v>21</v>
      </c>
      <c r="E2707" s="251" t="s">
        <v>3873</v>
      </c>
      <c r="F2707" s="1162">
        <v>23931</v>
      </c>
      <c r="G2707" s="1163">
        <v>95239.97</v>
      </c>
      <c r="H2707" s="1779" t="s">
        <v>3783</v>
      </c>
      <c r="I2707" s="34" t="s">
        <v>25</v>
      </c>
      <c r="J2707" s="327"/>
      <c r="K2707" s="37"/>
      <c r="L2707" s="1128"/>
      <c r="M2707" s="327"/>
      <c r="N2707" s="327"/>
      <c r="O2707" s="1129"/>
    </row>
    <row r="2708" spans="1:15" ht="18.75" customHeight="1" x14ac:dyDescent="0.3">
      <c r="A2708" s="2402">
        <v>2702</v>
      </c>
      <c r="B2708" s="249" t="s">
        <v>3817</v>
      </c>
      <c r="C2708" s="250" t="s">
        <v>1344</v>
      </c>
      <c r="D2708" s="1157" t="s">
        <v>21</v>
      </c>
      <c r="E2708" s="251" t="s">
        <v>3874</v>
      </c>
      <c r="F2708" s="1162">
        <v>23931</v>
      </c>
      <c r="G2708" s="1163">
        <v>95239.97</v>
      </c>
      <c r="H2708" s="1779" t="s">
        <v>3783</v>
      </c>
      <c r="I2708" s="34" t="s">
        <v>25</v>
      </c>
      <c r="J2708" s="327"/>
      <c r="K2708" s="37"/>
      <c r="L2708" s="1128"/>
      <c r="M2708" s="327"/>
      <c r="N2708" s="327"/>
      <c r="O2708" s="1129"/>
    </row>
    <row r="2709" spans="1:15" ht="18.75" customHeight="1" x14ac:dyDescent="0.3">
      <c r="A2709" s="2402">
        <v>2703</v>
      </c>
      <c r="B2709" s="249" t="s">
        <v>3817</v>
      </c>
      <c r="C2709" s="250" t="s">
        <v>1344</v>
      </c>
      <c r="D2709" s="1158" t="s">
        <v>21</v>
      </c>
      <c r="E2709" s="251" t="s">
        <v>3875</v>
      </c>
      <c r="F2709" s="1162">
        <v>23931</v>
      </c>
      <c r="G2709" s="1163">
        <v>95239.97</v>
      </c>
      <c r="H2709" s="1779" t="s">
        <v>3783</v>
      </c>
      <c r="I2709" s="34" t="s">
        <v>25</v>
      </c>
      <c r="J2709" s="327"/>
      <c r="K2709" s="37"/>
      <c r="L2709" s="1128"/>
      <c r="M2709" s="327"/>
      <c r="N2709" s="327"/>
      <c r="O2709" s="1129"/>
    </row>
    <row r="2710" spans="1:15" ht="18.75" customHeight="1" x14ac:dyDescent="0.3">
      <c r="A2710" s="2401">
        <v>2704</v>
      </c>
      <c r="B2710" s="249" t="s">
        <v>3817</v>
      </c>
      <c r="C2710" s="250" t="s">
        <v>1344</v>
      </c>
      <c r="D2710" s="1160" t="s">
        <v>21</v>
      </c>
      <c r="E2710" s="251" t="s">
        <v>3876</v>
      </c>
      <c r="F2710" s="1162">
        <v>23931</v>
      </c>
      <c r="G2710" s="1163">
        <v>95239.97</v>
      </c>
      <c r="H2710" s="1779" t="s">
        <v>3783</v>
      </c>
      <c r="I2710" s="34" t="s">
        <v>25</v>
      </c>
      <c r="J2710" s="327"/>
      <c r="K2710" s="37"/>
      <c r="L2710" s="1128"/>
      <c r="M2710" s="327"/>
      <c r="N2710" s="327"/>
      <c r="O2710" s="1129"/>
    </row>
    <row r="2711" spans="1:15" ht="18.75" customHeight="1" x14ac:dyDescent="0.3">
      <c r="A2711" s="2402">
        <v>2705</v>
      </c>
      <c r="B2711" s="249" t="s">
        <v>3817</v>
      </c>
      <c r="C2711" s="250" t="s">
        <v>1344</v>
      </c>
      <c r="D2711" s="1159" t="s">
        <v>21</v>
      </c>
      <c r="E2711" s="251" t="s">
        <v>3877</v>
      </c>
      <c r="F2711" s="1162">
        <v>23931</v>
      </c>
      <c r="G2711" s="1163">
        <v>95239.97</v>
      </c>
      <c r="H2711" s="1779" t="s">
        <v>3783</v>
      </c>
      <c r="I2711" s="34" t="s">
        <v>25</v>
      </c>
      <c r="J2711" s="327"/>
      <c r="K2711" s="37"/>
      <c r="L2711" s="1128"/>
      <c r="M2711" s="327"/>
      <c r="N2711" s="327"/>
      <c r="O2711" s="1129"/>
    </row>
    <row r="2712" spans="1:15" ht="18.75" customHeight="1" x14ac:dyDescent="0.3">
      <c r="A2712" s="2402">
        <v>2706</v>
      </c>
      <c r="B2712" s="249" t="s">
        <v>3817</v>
      </c>
      <c r="C2712" s="250" t="s">
        <v>1344</v>
      </c>
      <c r="D2712" s="1157" t="s">
        <v>21</v>
      </c>
      <c r="E2712" s="251" t="s">
        <v>3878</v>
      </c>
      <c r="F2712" s="1162">
        <v>23931</v>
      </c>
      <c r="G2712" s="1163">
        <v>95239.97</v>
      </c>
      <c r="H2712" s="1779" t="s">
        <v>3783</v>
      </c>
      <c r="I2712" s="34" t="s">
        <v>25</v>
      </c>
      <c r="J2712" s="327"/>
      <c r="K2712" s="37"/>
      <c r="L2712" s="1128"/>
      <c r="M2712" s="327"/>
      <c r="N2712" s="327"/>
      <c r="O2712" s="1129"/>
    </row>
    <row r="2713" spans="1:15" ht="18.75" customHeight="1" x14ac:dyDescent="0.3">
      <c r="A2713" s="2401">
        <v>2707</v>
      </c>
      <c r="B2713" s="249" t="s">
        <v>3817</v>
      </c>
      <c r="C2713" s="250" t="s">
        <v>1344</v>
      </c>
      <c r="D2713" s="1157" t="s">
        <v>21</v>
      </c>
      <c r="E2713" s="251" t="s">
        <v>3879</v>
      </c>
      <c r="F2713" s="1162">
        <v>23931</v>
      </c>
      <c r="G2713" s="1163">
        <v>95239.97</v>
      </c>
      <c r="H2713" s="1779" t="s">
        <v>3783</v>
      </c>
      <c r="I2713" s="34" t="s">
        <v>25</v>
      </c>
      <c r="J2713" s="327"/>
      <c r="K2713" s="37"/>
      <c r="L2713" s="1128"/>
      <c r="M2713" s="327"/>
      <c r="N2713" s="327"/>
      <c r="O2713" s="1129"/>
    </row>
    <row r="2714" spans="1:15" ht="18.75" customHeight="1" x14ac:dyDescent="0.3">
      <c r="A2714" s="2402">
        <v>2708</v>
      </c>
      <c r="B2714" s="249" t="s">
        <v>3817</v>
      </c>
      <c r="C2714" s="250" t="s">
        <v>1344</v>
      </c>
      <c r="D2714" s="1157" t="s">
        <v>21</v>
      </c>
      <c r="E2714" s="251" t="s">
        <v>3880</v>
      </c>
      <c r="F2714" s="1162">
        <v>23931</v>
      </c>
      <c r="G2714" s="1163">
        <v>95239.97</v>
      </c>
      <c r="H2714" s="1779" t="s">
        <v>3783</v>
      </c>
      <c r="I2714" s="34" t="s">
        <v>25</v>
      </c>
      <c r="J2714" s="327"/>
      <c r="K2714" s="37"/>
      <c r="L2714" s="1128"/>
      <c r="M2714" s="327"/>
      <c r="N2714" s="327"/>
      <c r="O2714" s="1129"/>
    </row>
    <row r="2715" spans="1:15" ht="18.75" customHeight="1" x14ac:dyDescent="0.3">
      <c r="A2715" s="2402">
        <v>2709</v>
      </c>
      <c r="B2715" s="249" t="s">
        <v>3817</v>
      </c>
      <c r="C2715" s="250" t="s">
        <v>1344</v>
      </c>
      <c r="D2715" s="1157" t="s">
        <v>21</v>
      </c>
      <c r="E2715" s="251" t="s">
        <v>3881</v>
      </c>
      <c r="F2715" s="1162">
        <v>23931</v>
      </c>
      <c r="G2715" s="1163">
        <v>95239.97</v>
      </c>
      <c r="H2715" s="1779" t="s">
        <v>3783</v>
      </c>
      <c r="I2715" s="34" t="s">
        <v>25</v>
      </c>
      <c r="J2715" s="327"/>
      <c r="K2715" s="37"/>
      <c r="L2715" s="1128"/>
      <c r="M2715" s="327"/>
      <c r="N2715" s="327"/>
      <c r="O2715" s="1129"/>
    </row>
    <row r="2716" spans="1:15" ht="18.75" customHeight="1" x14ac:dyDescent="0.3">
      <c r="A2716" s="2402">
        <v>2710</v>
      </c>
      <c r="B2716" s="249" t="s">
        <v>3817</v>
      </c>
      <c r="C2716" s="250" t="s">
        <v>1344</v>
      </c>
      <c r="D2716" s="1157" t="s">
        <v>21</v>
      </c>
      <c r="E2716" s="251" t="s">
        <v>3882</v>
      </c>
      <c r="F2716" s="1162">
        <v>23931</v>
      </c>
      <c r="G2716" s="1163">
        <v>95239.97</v>
      </c>
      <c r="H2716" s="1779" t="s">
        <v>3783</v>
      </c>
      <c r="I2716" s="34" t="s">
        <v>25</v>
      </c>
      <c r="J2716" s="327"/>
      <c r="K2716" s="37"/>
      <c r="L2716" s="1128"/>
      <c r="M2716" s="327"/>
      <c r="N2716" s="327"/>
      <c r="O2716" s="1129"/>
    </row>
    <row r="2717" spans="1:15" ht="18.75" customHeight="1" x14ac:dyDescent="0.3">
      <c r="A2717" s="2402">
        <v>2711</v>
      </c>
      <c r="B2717" s="249" t="s">
        <v>3817</v>
      </c>
      <c r="C2717" s="250" t="s">
        <v>1344</v>
      </c>
      <c r="D2717" s="1157" t="s">
        <v>21</v>
      </c>
      <c r="E2717" s="251" t="s">
        <v>3883</v>
      </c>
      <c r="F2717" s="1162">
        <v>23931</v>
      </c>
      <c r="G2717" s="1163">
        <v>95239.97</v>
      </c>
      <c r="H2717" s="1779" t="s">
        <v>3783</v>
      </c>
      <c r="I2717" s="34" t="s">
        <v>25</v>
      </c>
      <c r="J2717" s="327"/>
      <c r="K2717" s="37"/>
      <c r="L2717" s="1128"/>
      <c r="M2717" s="327"/>
      <c r="N2717" s="327"/>
      <c r="O2717" s="1129"/>
    </row>
    <row r="2718" spans="1:15" ht="18.75" customHeight="1" x14ac:dyDescent="0.3">
      <c r="A2718" s="2401">
        <v>2712</v>
      </c>
      <c r="B2718" s="249" t="s">
        <v>3817</v>
      </c>
      <c r="C2718" s="250" t="s">
        <v>1344</v>
      </c>
      <c r="D2718" s="1157" t="s">
        <v>21</v>
      </c>
      <c r="E2718" s="251" t="s">
        <v>3884</v>
      </c>
      <c r="F2718" s="1162">
        <v>23931</v>
      </c>
      <c r="G2718" s="1163">
        <v>95239.97</v>
      </c>
      <c r="H2718" s="1779" t="s">
        <v>3783</v>
      </c>
      <c r="I2718" s="34" t="s">
        <v>25</v>
      </c>
      <c r="J2718" s="327"/>
      <c r="K2718" s="37"/>
      <c r="L2718" s="1128"/>
      <c r="M2718" s="327"/>
      <c r="N2718" s="327"/>
      <c r="O2718" s="1129"/>
    </row>
    <row r="2719" spans="1:15" ht="18.75" customHeight="1" x14ac:dyDescent="0.3">
      <c r="A2719" s="2402">
        <v>2713</v>
      </c>
      <c r="B2719" s="249" t="s">
        <v>3817</v>
      </c>
      <c r="C2719" s="250" t="s">
        <v>1344</v>
      </c>
      <c r="D2719" s="1157" t="s">
        <v>21</v>
      </c>
      <c r="E2719" s="251" t="s">
        <v>3885</v>
      </c>
      <c r="F2719" s="1162">
        <v>23931</v>
      </c>
      <c r="G2719" s="1163">
        <v>95239.97</v>
      </c>
      <c r="H2719" s="1779" t="s">
        <v>3783</v>
      </c>
      <c r="I2719" s="34" t="s">
        <v>25</v>
      </c>
      <c r="J2719" s="327"/>
      <c r="K2719" s="37"/>
      <c r="L2719" s="1128"/>
      <c r="M2719" s="327"/>
      <c r="N2719" s="327"/>
      <c r="O2719" s="1129"/>
    </row>
    <row r="2720" spans="1:15" ht="18.75" customHeight="1" x14ac:dyDescent="0.3">
      <c r="A2720" s="2402">
        <v>2714</v>
      </c>
      <c r="B2720" s="249" t="s">
        <v>3817</v>
      </c>
      <c r="C2720" s="250" t="s">
        <v>1344</v>
      </c>
      <c r="D2720" s="1157" t="s">
        <v>21</v>
      </c>
      <c r="E2720" s="251" t="s">
        <v>3886</v>
      </c>
      <c r="F2720" s="1162">
        <v>23931</v>
      </c>
      <c r="G2720" s="1163">
        <v>95239.97</v>
      </c>
      <c r="H2720" s="1779" t="s">
        <v>3783</v>
      </c>
      <c r="I2720" s="34" t="s">
        <v>25</v>
      </c>
      <c r="J2720" s="327"/>
      <c r="K2720" s="37"/>
      <c r="L2720" s="1128"/>
      <c r="M2720" s="327"/>
      <c r="N2720" s="327"/>
      <c r="O2720" s="1129"/>
    </row>
    <row r="2721" spans="1:15" ht="18.75" customHeight="1" x14ac:dyDescent="0.3">
      <c r="A2721" s="2401">
        <v>2715</v>
      </c>
      <c r="B2721" s="249" t="s">
        <v>3817</v>
      </c>
      <c r="C2721" s="250" t="s">
        <v>1344</v>
      </c>
      <c r="D2721" s="1157" t="s">
        <v>21</v>
      </c>
      <c r="E2721" s="251" t="s">
        <v>3887</v>
      </c>
      <c r="F2721" s="1162">
        <v>23931</v>
      </c>
      <c r="G2721" s="1163">
        <v>95239.97</v>
      </c>
      <c r="H2721" s="1779" t="s">
        <v>3783</v>
      </c>
      <c r="I2721" s="34" t="s">
        <v>25</v>
      </c>
      <c r="J2721" s="327"/>
      <c r="K2721" s="37"/>
      <c r="L2721" s="1128"/>
      <c r="M2721" s="327"/>
      <c r="N2721" s="327"/>
      <c r="O2721" s="1129"/>
    </row>
    <row r="2722" spans="1:15" ht="18.75" customHeight="1" x14ac:dyDescent="0.3">
      <c r="A2722" s="2402">
        <v>2716</v>
      </c>
      <c r="B2722" s="249" t="s">
        <v>3888</v>
      </c>
      <c r="C2722" s="250" t="s">
        <v>1344</v>
      </c>
      <c r="D2722" s="1157" t="s">
        <v>21</v>
      </c>
      <c r="E2722" s="1164">
        <v>3231</v>
      </c>
      <c r="F2722" s="1162">
        <v>24040</v>
      </c>
      <c r="G2722" s="1161">
        <v>32928.94</v>
      </c>
      <c r="H2722" s="1779" t="s">
        <v>3783</v>
      </c>
      <c r="I2722" s="34" t="s">
        <v>25</v>
      </c>
      <c r="J2722" s="327"/>
      <c r="K2722" s="37"/>
      <c r="L2722" s="1128"/>
      <c r="M2722" s="327"/>
      <c r="N2722" s="327"/>
      <c r="O2722" s="1129"/>
    </row>
    <row r="2723" spans="1:15" ht="18.75" customHeight="1" x14ac:dyDescent="0.3">
      <c r="A2723" s="2402">
        <v>2717</v>
      </c>
      <c r="B2723" s="249" t="s">
        <v>3888</v>
      </c>
      <c r="C2723" s="250" t="s">
        <v>1344</v>
      </c>
      <c r="D2723" s="139">
        <v>66</v>
      </c>
      <c r="E2723" s="1164">
        <v>3232</v>
      </c>
      <c r="F2723" s="1162">
        <v>24040</v>
      </c>
      <c r="G2723" s="1161">
        <v>32928.94</v>
      </c>
      <c r="H2723" s="1779" t="s">
        <v>3783</v>
      </c>
      <c r="I2723" s="34" t="s">
        <v>25</v>
      </c>
      <c r="J2723" s="327"/>
      <c r="K2723" s="37"/>
      <c r="L2723" s="1128"/>
      <c r="M2723" s="327"/>
      <c r="N2723" s="327"/>
      <c r="O2723" s="1129"/>
    </row>
    <row r="2724" spans="1:15" ht="18.75" customHeight="1" x14ac:dyDescent="0.3">
      <c r="A2724" s="2402">
        <v>2718</v>
      </c>
      <c r="B2724" s="249" t="s">
        <v>3888</v>
      </c>
      <c r="C2724" s="250" t="s">
        <v>1344</v>
      </c>
      <c r="D2724" s="193">
        <v>66</v>
      </c>
      <c r="E2724" s="1164">
        <v>3233</v>
      </c>
      <c r="F2724" s="1162">
        <v>24040</v>
      </c>
      <c r="G2724" s="1161">
        <v>32928.94</v>
      </c>
      <c r="H2724" s="1779" t="s">
        <v>3783</v>
      </c>
      <c r="I2724" s="34" t="s">
        <v>25</v>
      </c>
      <c r="J2724" s="327"/>
      <c r="K2724" s="37"/>
      <c r="L2724" s="1128"/>
      <c r="M2724" s="327"/>
      <c r="N2724" s="327"/>
      <c r="O2724" s="1129"/>
    </row>
    <row r="2725" spans="1:15" ht="18.75" customHeight="1" x14ac:dyDescent="0.3">
      <c r="A2725" s="2402">
        <v>2719</v>
      </c>
      <c r="B2725" s="249" t="s">
        <v>3888</v>
      </c>
      <c r="C2725" s="250" t="s">
        <v>1344</v>
      </c>
      <c r="D2725" s="194">
        <v>66</v>
      </c>
      <c r="E2725" s="1164">
        <v>3234</v>
      </c>
      <c r="F2725" s="1162">
        <v>24040</v>
      </c>
      <c r="G2725" s="1161">
        <v>32928.94</v>
      </c>
      <c r="H2725" s="1779" t="s">
        <v>3783</v>
      </c>
      <c r="I2725" s="34" t="s">
        <v>25</v>
      </c>
      <c r="J2725" s="327"/>
      <c r="K2725" s="37"/>
      <c r="L2725" s="1128"/>
      <c r="M2725" s="327"/>
      <c r="N2725" s="327"/>
      <c r="O2725" s="1129"/>
    </row>
    <row r="2726" spans="1:15" ht="18.75" customHeight="1" x14ac:dyDescent="0.3">
      <c r="A2726" s="2401">
        <v>2720</v>
      </c>
      <c r="B2726" s="249" t="s">
        <v>3889</v>
      </c>
      <c r="C2726" s="250" t="s">
        <v>1344</v>
      </c>
      <c r="D2726" s="139">
        <v>66</v>
      </c>
      <c r="E2726" s="1164">
        <v>3178</v>
      </c>
      <c r="F2726" s="1162">
        <v>23931</v>
      </c>
      <c r="G2726" s="1165">
        <v>6899.17</v>
      </c>
      <c r="H2726" s="1779" t="s">
        <v>3783</v>
      </c>
      <c r="I2726" s="34" t="s">
        <v>25</v>
      </c>
      <c r="J2726" s="327"/>
      <c r="K2726" s="37"/>
      <c r="L2726" s="1128"/>
      <c r="M2726" s="327"/>
      <c r="N2726" s="327"/>
      <c r="O2726" s="1129"/>
    </row>
    <row r="2727" spans="1:15" ht="18.75" customHeight="1" x14ac:dyDescent="0.3">
      <c r="A2727" s="2402">
        <v>2721</v>
      </c>
      <c r="B2727" s="249" t="s">
        <v>3889</v>
      </c>
      <c r="C2727" s="250" t="s">
        <v>1344</v>
      </c>
      <c r="D2727" s="139">
        <v>66</v>
      </c>
      <c r="E2727" s="1164">
        <v>3179</v>
      </c>
      <c r="F2727" s="1162">
        <v>23931</v>
      </c>
      <c r="G2727" s="1163">
        <v>6899.17</v>
      </c>
      <c r="H2727" s="1779" t="s">
        <v>3783</v>
      </c>
      <c r="I2727" s="34" t="s">
        <v>25</v>
      </c>
      <c r="J2727" s="327"/>
      <c r="K2727" s="37"/>
      <c r="L2727" s="1128"/>
      <c r="M2727" s="327"/>
      <c r="N2727" s="327"/>
      <c r="O2727" s="1129"/>
    </row>
    <row r="2728" spans="1:15" ht="18.75" customHeight="1" x14ac:dyDescent="0.3">
      <c r="A2728" s="2402">
        <v>2722</v>
      </c>
      <c r="B2728" s="249" t="s">
        <v>3889</v>
      </c>
      <c r="C2728" s="250" t="s">
        <v>1344</v>
      </c>
      <c r="D2728" s="139">
        <v>66</v>
      </c>
      <c r="E2728" s="1164">
        <v>3180</v>
      </c>
      <c r="F2728" s="1162">
        <v>23931</v>
      </c>
      <c r="G2728" s="1163">
        <v>6899.17</v>
      </c>
      <c r="H2728" s="1779" t="s">
        <v>3783</v>
      </c>
      <c r="I2728" s="34" t="s">
        <v>25</v>
      </c>
      <c r="J2728" s="327"/>
      <c r="K2728" s="37"/>
      <c r="L2728" s="1128"/>
      <c r="M2728" s="327"/>
      <c r="N2728" s="327"/>
      <c r="O2728" s="1129"/>
    </row>
    <row r="2729" spans="1:15" ht="18.75" customHeight="1" x14ac:dyDescent="0.3">
      <c r="A2729" s="2401">
        <v>2723</v>
      </c>
      <c r="B2729" s="249" t="s">
        <v>3889</v>
      </c>
      <c r="C2729" s="250" t="s">
        <v>1344</v>
      </c>
      <c r="D2729" s="139">
        <v>66</v>
      </c>
      <c r="E2729" s="1164">
        <v>3181</v>
      </c>
      <c r="F2729" s="1162">
        <v>23931</v>
      </c>
      <c r="G2729" s="1163">
        <v>6899.17</v>
      </c>
      <c r="H2729" s="1779" t="s">
        <v>3783</v>
      </c>
      <c r="I2729" s="34" t="s">
        <v>25</v>
      </c>
      <c r="J2729" s="327"/>
      <c r="K2729" s="37"/>
      <c r="L2729" s="1128"/>
      <c r="M2729" s="327"/>
      <c r="N2729" s="327"/>
      <c r="O2729" s="1129"/>
    </row>
    <row r="2730" spans="1:15" ht="18.75" customHeight="1" x14ac:dyDescent="0.3">
      <c r="A2730" s="2402">
        <v>2724</v>
      </c>
      <c r="B2730" s="249" t="s">
        <v>3889</v>
      </c>
      <c r="C2730" s="250" t="s">
        <v>1344</v>
      </c>
      <c r="D2730" s="139">
        <v>66</v>
      </c>
      <c r="E2730" s="1164">
        <v>3182</v>
      </c>
      <c r="F2730" s="1162">
        <v>23931</v>
      </c>
      <c r="G2730" s="1163">
        <v>6899.17</v>
      </c>
      <c r="H2730" s="1779" t="s">
        <v>3783</v>
      </c>
      <c r="I2730" s="34" t="s">
        <v>25</v>
      </c>
      <c r="J2730" s="327"/>
      <c r="K2730" s="37"/>
      <c r="L2730" s="1128"/>
      <c r="M2730" s="327"/>
      <c r="N2730" s="327"/>
      <c r="O2730" s="1129"/>
    </row>
    <row r="2731" spans="1:15" ht="18.75" customHeight="1" x14ac:dyDescent="0.3">
      <c r="A2731" s="2402">
        <v>2725</v>
      </c>
      <c r="B2731" s="249" t="s">
        <v>3889</v>
      </c>
      <c r="C2731" s="250" t="s">
        <v>1344</v>
      </c>
      <c r="D2731" s="139">
        <v>66</v>
      </c>
      <c r="E2731" s="1164">
        <v>3183</v>
      </c>
      <c r="F2731" s="1162">
        <v>23931</v>
      </c>
      <c r="G2731" s="1163">
        <v>6899.17</v>
      </c>
      <c r="H2731" s="1779" t="s">
        <v>3783</v>
      </c>
      <c r="I2731" s="34" t="s">
        <v>25</v>
      </c>
      <c r="J2731" s="327"/>
      <c r="K2731" s="37"/>
      <c r="L2731" s="1128"/>
      <c r="M2731" s="327"/>
      <c r="N2731" s="327"/>
      <c r="O2731" s="1129"/>
    </row>
    <row r="2732" spans="1:15" ht="18.75" customHeight="1" x14ac:dyDescent="0.3">
      <c r="A2732" s="2402">
        <v>2726</v>
      </c>
      <c r="B2732" s="249" t="s">
        <v>3889</v>
      </c>
      <c r="C2732" s="250" t="s">
        <v>1344</v>
      </c>
      <c r="D2732" s="139">
        <v>66</v>
      </c>
      <c r="E2732" s="1164">
        <v>3184</v>
      </c>
      <c r="F2732" s="1162">
        <v>23931</v>
      </c>
      <c r="G2732" s="1163">
        <v>6899.17</v>
      </c>
      <c r="H2732" s="1779" t="s">
        <v>3783</v>
      </c>
      <c r="I2732" s="34" t="s">
        <v>25</v>
      </c>
      <c r="J2732" s="327"/>
      <c r="K2732" s="37"/>
      <c r="L2732" s="1128"/>
      <c r="M2732" s="327"/>
      <c r="N2732" s="327"/>
      <c r="O2732" s="1129"/>
    </row>
    <row r="2733" spans="1:15" ht="18.75" customHeight="1" x14ac:dyDescent="0.3">
      <c r="A2733" s="2402">
        <v>2727</v>
      </c>
      <c r="B2733" s="249" t="s">
        <v>3889</v>
      </c>
      <c r="C2733" s="250" t="s">
        <v>1344</v>
      </c>
      <c r="D2733" s="139">
        <v>66</v>
      </c>
      <c r="E2733" s="1164">
        <v>3185</v>
      </c>
      <c r="F2733" s="1162">
        <v>23931</v>
      </c>
      <c r="G2733" s="1163">
        <v>6899.17</v>
      </c>
      <c r="H2733" s="1779" t="s">
        <v>3783</v>
      </c>
      <c r="I2733" s="34" t="s">
        <v>25</v>
      </c>
      <c r="J2733" s="327"/>
      <c r="K2733" s="37"/>
      <c r="L2733" s="1128"/>
      <c r="M2733" s="327"/>
      <c r="N2733" s="327"/>
      <c r="O2733" s="1129"/>
    </row>
    <row r="2734" spans="1:15" ht="18.75" customHeight="1" x14ac:dyDescent="0.3">
      <c r="A2734" s="2401">
        <v>2728</v>
      </c>
      <c r="B2734" s="249" t="s">
        <v>3889</v>
      </c>
      <c r="C2734" s="250" t="s">
        <v>1344</v>
      </c>
      <c r="D2734" s="139">
        <v>66</v>
      </c>
      <c r="E2734" s="1164">
        <v>3186</v>
      </c>
      <c r="F2734" s="1162">
        <v>23931</v>
      </c>
      <c r="G2734" s="1163">
        <v>6899.17</v>
      </c>
      <c r="H2734" s="1779" t="s">
        <v>3783</v>
      </c>
      <c r="I2734" s="34" t="s">
        <v>25</v>
      </c>
      <c r="J2734" s="327"/>
      <c r="K2734" s="37"/>
      <c r="L2734" s="1128"/>
      <c r="M2734" s="327"/>
      <c r="N2734" s="327"/>
      <c r="O2734" s="1129"/>
    </row>
    <row r="2735" spans="1:15" ht="18.75" customHeight="1" x14ac:dyDescent="0.3">
      <c r="A2735" s="2402">
        <v>2729</v>
      </c>
      <c r="B2735" s="249" t="s">
        <v>3889</v>
      </c>
      <c r="C2735" s="250" t="s">
        <v>1344</v>
      </c>
      <c r="D2735" s="139">
        <v>66</v>
      </c>
      <c r="E2735" s="1164">
        <v>3187</v>
      </c>
      <c r="F2735" s="1162">
        <v>23931</v>
      </c>
      <c r="G2735" s="1163">
        <v>6899.17</v>
      </c>
      <c r="H2735" s="1779" t="s">
        <v>3783</v>
      </c>
      <c r="I2735" s="34" t="s">
        <v>25</v>
      </c>
      <c r="J2735" s="327"/>
      <c r="K2735" s="37"/>
      <c r="L2735" s="1128"/>
      <c r="M2735" s="327"/>
      <c r="N2735" s="327"/>
      <c r="O2735" s="1129"/>
    </row>
    <row r="2736" spans="1:15" ht="18.75" customHeight="1" x14ac:dyDescent="0.3">
      <c r="A2736" s="2402">
        <v>2730</v>
      </c>
      <c r="B2736" s="249" t="s">
        <v>3889</v>
      </c>
      <c r="C2736" s="250" t="s">
        <v>1344</v>
      </c>
      <c r="D2736" s="139">
        <v>66</v>
      </c>
      <c r="E2736" s="1164">
        <v>3188</v>
      </c>
      <c r="F2736" s="1162">
        <v>23931</v>
      </c>
      <c r="G2736" s="1163">
        <v>6899.17</v>
      </c>
      <c r="H2736" s="1779" t="s">
        <v>3783</v>
      </c>
      <c r="I2736" s="34" t="s">
        <v>25</v>
      </c>
      <c r="J2736" s="327"/>
      <c r="K2736" s="37"/>
      <c r="L2736" s="1128"/>
      <c r="M2736" s="327"/>
      <c r="N2736" s="327"/>
      <c r="O2736" s="1129"/>
    </row>
    <row r="2737" spans="1:15" ht="18.75" customHeight="1" x14ac:dyDescent="0.3">
      <c r="A2737" s="2401">
        <v>2731</v>
      </c>
      <c r="B2737" s="249" t="s">
        <v>3889</v>
      </c>
      <c r="C2737" s="250" t="s">
        <v>1344</v>
      </c>
      <c r="D2737" s="139">
        <v>66</v>
      </c>
      <c r="E2737" s="1164">
        <v>3189</v>
      </c>
      <c r="F2737" s="1162">
        <v>23931</v>
      </c>
      <c r="G2737" s="1163">
        <v>6899.17</v>
      </c>
      <c r="H2737" s="1779" t="s">
        <v>3783</v>
      </c>
      <c r="I2737" s="34" t="s">
        <v>25</v>
      </c>
      <c r="J2737" s="327"/>
      <c r="K2737" s="37"/>
      <c r="L2737" s="1128"/>
      <c r="M2737" s="327"/>
      <c r="N2737" s="327"/>
      <c r="O2737" s="1129"/>
    </row>
    <row r="2738" spans="1:15" ht="18.75" customHeight="1" x14ac:dyDescent="0.3">
      <c r="A2738" s="2402">
        <v>2732</v>
      </c>
      <c r="B2738" s="249" t="s">
        <v>3889</v>
      </c>
      <c r="C2738" s="250" t="s">
        <v>1344</v>
      </c>
      <c r="D2738" s="139">
        <v>66</v>
      </c>
      <c r="E2738" s="1164">
        <v>3190</v>
      </c>
      <c r="F2738" s="1162">
        <v>23931</v>
      </c>
      <c r="G2738" s="1163">
        <v>6899.17</v>
      </c>
      <c r="H2738" s="1779" t="s">
        <v>3783</v>
      </c>
      <c r="I2738" s="34" t="s">
        <v>25</v>
      </c>
      <c r="J2738" s="327"/>
      <c r="K2738" s="37"/>
      <c r="L2738" s="1128"/>
      <c r="M2738" s="327"/>
      <c r="N2738" s="327"/>
      <c r="O2738" s="1129"/>
    </row>
    <row r="2739" spans="1:15" ht="18.75" customHeight="1" x14ac:dyDescent="0.3">
      <c r="A2739" s="2402">
        <v>2733</v>
      </c>
      <c r="B2739" s="249" t="s">
        <v>3889</v>
      </c>
      <c r="C2739" s="250" t="s">
        <v>1344</v>
      </c>
      <c r="D2739" s="193">
        <v>66</v>
      </c>
      <c r="E2739" s="1164">
        <v>3218</v>
      </c>
      <c r="F2739" s="1162">
        <v>24092</v>
      </c>
      <c r="G2739" s="1161">
        <v>7374.99</v>
      </c>
      <c r="H2739" s="1779" t="s">
        <v>3820</v>
      </c>
      <c r="I2739" s="34" t="s">
        <v>25</v>
      </c>
      <c r="J2739" s="327"/>
      <c r="K2739" s="37"/>
      <c r="L2739" s="1128"/>
      <c r="M2739" s="327"/>
      <c r="N2739" s="327"/>
      <c r="O2739" s="1129"/>
    </row>
    <row r="2740" spans="1:15" ht="18.75" customHeight="1" x14ac:dyDescent="0.3">
      <c r="A2740" s="2402">
        <v>2734</v>
      </c>
      <c r="B2740" s="249" t="s">
        <v>3889</v>
      </c>
      <c r="C2740" s="250" t="s">
        <v>1344</v>
      </c>
      <c r="D2740" s="127">
        <v>66</v>
      </c>
      <c r="E2740" s="1164">
        <v>3219</v>
      </c>
      <c r="F2740" s="1162">
        <v>24092</v>
      </c>
      <c r="G2740" s="1161">
        <v>7374.99</v>
      </c>
      <c r="H2740" s="1779" t="s">
        <v>3820</v>
      </c>
      <c r="I2740" s="34" t="s">
        <v>25</v>
      </c>
      <c r="J2740" s="327"/>
      <c r="K2740" s="37"/>
      <c r="L2740" s="1128"/>
      <c r="M2740" s="327"/>
      <c r="N2740" s="327"/>
      <c r="O2740" s="1129"/>
    </row>
    <row r="2741" spans="1:15" ht="18.75" customHeight="1" x14ac:dyDescent="0.3">
      <c r="A2741" s="2402">
        <v>2735</v>
      </c>
      <c r="B2741" s="249" t="s">
        <v>3889</v>
      </c>
      <c r="C2741" s="250" t="s">
        <v>1344</v>
      </c>
      <c r="D2741" s="194">
        <v>66</v>
      </c>
      <c r="E2741" s="1164">
        <v>3220</v>
      </c>
      <c r="F2741" s="1162">
        <v>24092</v>
      </c>
      <c r="G2741" s="1161">
        <v>7374.99</v>
      </c>
      <c r="H2741" s="1779" t="s">
        <v>3820</v>
      </c>
      <c r="I2741" s="34" t="s">
        <v>25</v>
      </c>
      <c r="J2741" s="327"/>
      <c r="K2741" s="37"/>
      <c r="L2741" s="1128"/>
      <c r="M2741" s="327"/>
      <c r="N2741" s="327"/>
      <c r="O2741" s="1129"/>
    </row>
    <row r="2742" spans="1:15" ht="18.75" customHeight="1" x14ac:dyDescent="0.3">
      <c r="A2742" s="2401">
        <v>2736</v>
      </c>
      <c r="B2742" s="249" t="s">
        <v>3889</v>
      </c>
      <c r="C2742" s="250" t="s">
        <v>1344</v>
      </c>
      <c r="D2742" s="139">
        <v>66</v>
      </c>
      <c r="E2742" s="1164">
        <v>3221</v>
      </c>
      <c r="F2742" s="1162">
        <v>24092</v>
      </c>
      <c r="G2742" s="1161">
        <v>7374.99</v>
      </c>
      <c r="H2742" s="1779" t="s">
        <v>3820</v>
      </c>
      <c r="I2742" s="34" t="s">
        <v>25</v>
      </c>
      <c r="J2742" s="327"/>
      <c r="K2742" s="37"/>
      <c r="L2742" s="1128"/>
      <c r="M2742" s="327"/>
      <c r="N2742" s="327"/>
      <c r="O2742" s="1129"/>
    </row>
    <row r="2743" spans="1:15" ht="18.75" customHeight="1" x14ac:dyDescent="0.3">
      <c r="A2743" s="2402">
        <v>2737</v>
      </c>
      <c r="B2743" s="249" t="s">
        <v>3889</v>
      </c>
      <c r="C2743" s="250" t="s">
        <v>1344</v>
      </c>
      <c r="D2743" s="139">
        <v>66</v>
      </c>
      <c r="E2743" s="1164">
        <v>3222</v>
      </c>
      <c r="F2743" s="1162">
        <v>24092</v>
      </c>
      <c r="G2743" s="1161">
        <v>7374.99</v>
      </c>
      <c r="H2743" s="1779" t="s">
        <v>3820</v>
      </c>
      <c r="I2743" s="34" t="s">
        <v>25</v>
      </c>
      <c r="J2743" s="327"/>
      <c r="K2743" s="37"/>
      <c r="L2743" s="1128"/>
      <c r="M2743" s="327"/>
      <c r="N2743" s="327"/>
      <c r="O2743" s="1129"/>
    </row>
    <row r="2744" spans="1:15" ht="18.75" customHeight="1" x14ac:dyDescent="0.3">
      <c r="A2744" s="2402">
        <v>2738</v>
      </c>
      <c r="B2744" s="249" t="s">
        <v>3889</v>
      </c>
      <c r="C2744" s="250" t="s">
        <v>1344</v>
      </c>
      <c r="D2744" s="139">
        <v>66</v>
      </c>
      <c r="E2744" s="1164">
        <v>3223</v>
      </c>
      <c r="F2744" s="1162">
        <v>24092</v>
      </c>
      <c r="G2744" s="1161">
        <v>7374.99</v>
      </c>
      <c r="H2744" s="1779" t="s">
        <v>3820</v>
      </c>
      <c r="I2744" s="34" t="s">
        <v>25</v>
      </c>
      <c r="J2744" s="327"/>
      <c r="K2744" s="37"/>
      <c r="L2744" s="1128"/>
      <c r="M2744" s="327"/>
      <c r="N2744" s="327"/>
      <c r="O2744" s="1129"/>
    </row>
    <row r="2745" spans="1:15" ht="18.75" customHeight="1" x14ac:dyDescent="0.3">
      <c r="A2745" s="2401">
        <v>2739</v>
      </c>
      <c r="B2745" s="249" t="s">
        <v>3889</v>
      </c>
      <c r="C2745" s="250" t="s">
        <v>1344</v>
      </c>
      <c r="D2745" s="139">
        <v>66</v>
      </c>
      <c r="E2745" s="1164">
        <v>3224</v>
      </c>
      <c r="F2745" s="1162">
        <v>24092</v>
      </c>
      <c r="G2745" s="1161">
        <v>7374.99</v>
      </c>
      <c r="H2745" s="1779" t="s">
        <v>3820</v>
      </c>
      <c r="I2745" s="34" t="s">
        <v>25</v>
      </c>
      <c r="J2745" s="327"/>
      <c r="K2745" s="37"/>
      <c r="L2745" s="1128"/>
      <c r="M2745" s="327"/>
      <c r="N2745" s="327"/>
      <c r="O2745" s="1129"/>
    </row>
    <row r="2746" spans="1:15" ht="18.75" customHeight="1" x14ac:dyDescent="0.3">
      <c r="A2746" s="2402">
        <v>2740</v>
      </c>
      <c r="B2746" s="249" t="s">
        <v>3889</v>
      </c>
      <c r="C2746" s="250" t="s">
        <v>1344</v>
      </c>
      <c r="D2746" s="139">
        <v>66</v>
      </c>
      <c r="E2746" s="1164">
        <v>3225</v>
      </c>
      <c r="F2746" s="1162">
        <v>24092</v>
      </c>
      <c r="G2746" s="1161">
        <v>7374.99</v>
      </c>
      <c r="H2746" s="1779" t="s">
        <v>3820</v>
      </c>
      <c r="I2746" s="34" t="s">
        <v>25</v>
      </c>
      <c r="J2746" s="327"/>
      <c r="K2746" s="37"/>
      <c r="L2746" s="1128"/>
      <c r="M2746" s="327"/>
      <c r="N2746" s="327"/>
      <c r="O2746" s="1129"/>
    </row>
    <row r="2747" spans="1:15" ht="18.75" customHeight="1" x14ac:dyDescent="0.3">
      <c r="A2747" s="2402">
        <v>2741</v>
      </c>
      <c r="B2747" s="249" t="s">
        <v>3889</v>
      </c>
      <c r="C2747" s="250" t="s">
        <v>1344</v>
      </c>
      <c r="D2747" s="139">
        <v>66</v>
      </c>
      <c r="E2747" s="1164">
        <v>3226</v>
      </c>
      <c r="F2747" s="1162">
        <v>24092</v>
      </c>
      <c r="G2747" s="1161">
        <v>7375</v>
      </c>
      <c r="H2747" s="1779" t="s">
        <v>3820</v>
      </c>
      <c r="I2747" s="34" t="s">
        <v>25</v>
      </c>
      <c r="J2747" s="327"/>
      <c r="K2747" s="37"/>
      <c r="L2747" s="1128"/>
      <c r="M2747" s="327"/>
      <c r="N2747" s="327"/>
      <c r="O2747" s="1129"/>
    </row>
    <row r="2748" spans="1:15" ht="18.75" customHeight="1" x14ac:dyDescent="0.3">
      <c r="A2748" s="2402">
        <v>2742</v>
      </c>
      <c r="B2748" s="249" t="s">
        <v>3889</v>
      </c>
      <c r="C2748" s="250" t="s">
        <v>1344</v>
      </c>
      <c r="D2748" s="139">
        <v>66</v>
      </c>
      <c r="E2748" s="1164">
        <v>3227</v>
      </c>
      <c r="F2748" s="1162">
        <v>24092</v>
      </c>
      <c r="G2748" s="1161">
        <v>7375</v>
      </c>
      <c r="H2748" s="1779" t="s">
        <v>3820</v>
      </c>
      <c r="I2748" s="34" t="s">
        <v>25</v>
      </c>
      <c r="J2748" s="327"/>
      <c r="K2748" s="37"/>
      <c r="L2748" s="1128"/>
      <c r="M2748" s="327"/>
      <c r="N2748" s="327"/>
      <c r="O2748" s="1129"/>
    </row>
    <row r="2749" spans="1:15" ht="18.75" customHeight="1" x14ac:dyDescent="0.3">
      <c r="A2749" s="2402">
        <v>2743</v>
      </c>
      <c r="B2749" s="249" t="s">
        <v>3889</v>
      </c>
      <c r="C2749" s="250" t="s">
        <v>1344</v>
      </c>
      <c r="D2749" s="139">
        <v>66</v>
      </c>
      <c r="E2749" s="1164">
        <v>3228</v>
      </c>
      <c r="F2749" s="1162">
        <v>24092</v>
      </c>
      <c r="G2749" s="1161">
        <v>7375</v>
      </c>
      <c r="H2749" s="1779" t="s">
        <v>3820</v>
      </c>
      <c r="I2749" s="929" t="s">
        <v>25</v>
      </c>
      <c r="J2749" s="353"/>
      <c r="K2749" s="1166"/>
      <c r="L2749" s="351"/>
      <c r="M2749" s="351"/>
      <c r="N2749" s="351"/>
      <c r="O2749" s="1167"/>
    </row>
    <row r="2750" spans="1:15" ht="18.75" customHeight="1" x14ac:dyDescent="0.3">
      <c r="A2750" s="2401">
        <v>2744</v>
      </c>
      <c r="B2750" s="249" t="s">
        <v>3889</v>
      </c>
      <c r="C2750" s="250" t="s">
        <v>1344</v>
      </c>
      <c r="D2750" s="139">
        <v>66</v>
      </c>
      <c r="E2750" s="1164">
        <v>3229</v>
      </c>
      <c r="F2750" s="1162">
        <v>24092</v>
      </c>
      <c r="G2750" s="1161">
        <v>7375</v>
      </c>
      <c r="H2750" s="1779" t="s">
        <v>3820</v>
      </c>
      <c r="I2750" s="924" t="s">
        <v>25</v>
      </c>
      <c r="J2750" s="119"/>
      <c r="K2750" s="1168"/>
      <c r="L2750" s="192"/>
      <c r="M2750" s="192"/>
      <c r="N2750" s="192"/>
      <c r="O2750" s="1167"/>
    </row>
    <row r="2751" spans="1:15" ht="18.75" customHeight="1" x14ac:dyDescent="0.3">
      <c r="A2751" s="2402">
        <v>2745</v>
      </c>
      <c r="B2751" s="249" t="s">
        <v>3889</v>
      </c>
      <c r="C2751" s="1169" t="s">
        <v>1344</v>
      </c>
      <c r="D2751" s="193">
        <v>66</v>
      </c>
      <c r="E2751" s="1170">
        <v>3230</v>
      </c>
      <c r="F2751" s="1162">
        <v>24092</v>
      </c>
      <c r="G2751" s="1161">
        <v>7375</v>
      </c>
      <c r="H2751" s="1779" t="s">
        <v>3820</v>
      </c>
      <c r="I2751" s="924" t="s">
        <v>25</v>
      </c>
      <c r="J2751" s="935"/>
      <c r="K2751" s="1171"/>
      <c r="L2751" s="936"/>
      <c r="M2751" s="936"/>
      <c r="N2751" s="936"/>
      <c r="O2751" s="1172"/>
    </row>
    <row r="2752" spans="1:15" s="1175" customFormat="1" ht="18.75" customHeight="1" x14ac:dyDescent="0.4">
      <c r="A2752" s="2402">
        <v>2746</v>
      </c>
      <c r="B2752" s="390" t="s">
        <v>3890</v>
      </c>
      <c r="C2752" s="163" t="s">
        <v>1344</v>
      </c>
      <c r="D2752" s="391" t="s">
        <v>21</v>
      </c>
      <c r="E2752" s="165" t="s">
        <v>3891</v>
      </c>
      <c r="F2752" s="170">
        <v>24453</v>
      </c>
      <c r="G2752" s="171">
        <v>6281</v>
      </c>
      <c r="H2752" s="168" t="s">
        <v>3892</v>
      </c>
      <c r="I2752" s="2445" t="s">
        <v>25</v>
      </c>
      <c r="J2752" s="1173"/>
      <c r="K2752" s="1174"/>
    </row>
    <row r="2753" spans="1:11" s="1175" customFormat="1" ht="18.75" customHeight="1" x14ac:dyDescent="0.4">
      <c r="A2753" s="2402">
        <v>2747</v>
      </c>
      <c r="B2753" s="390" t="s">
        <v>3890</v>
      </c>
      <c r="C2753" s="163" t="s">
        <v>1344</v>
      </c>
      <c r="D2753" s="391" t="s">
        <v>21</v>
      </c>
      <c r="E2753" s="165" t="s">
        <v>3893</v>
      </c>
      <c r="F2753" s="170">
        <v>24453</v>
      </c>
      <c r="G2753" s="171">
        <v>6281</v>
      </c>
      <c r="H2753" s="168" t="s">
        <v>3892</v>
      </c>
      <c r="I2753" s="2445" t="s">
        <v>25</v>
      </c>
      <c r="J2753" s="1173"/>
      <c r="K2753" s="1174"/>
    </row>
    <row r="2754" spans="1:11" s="1175" customFormat="1" ht="18.75" customHeight="1" x14ac:dyDescent="0.4">
      <c r="A2754" s="2401">
        <v>2748</v>
      </c>
      <c r="B2754" s="390" t="s">
        <v>3890</v>
      </c>
      <c r="C2754" s="163" t="s">
        <v>1344</v>
      </c>
      <c r="D2754" s="391" t="s">
        <v>21</v>
      </c>
      <c r="E2754" s="165" t="s">
        <v>3894</v>
      </c>
      <c r="F2754" s="170">
        <v>24453</v>
      </c>
      <c r="G2754" s="171">
        <v>6281</v>
      </c>
      <c r="H2754" s="168" t="s">
        <v>3892</v>
      </c>
      <c r="I2754" s="2445" t="s">
        <v>25</v>
      </c>
      <c r="J2754" s="1173"/>
      <c r="K2754" s="1174"/>
    </row>
    <row r="2755" spans="1:11" s="1175" customFormat="1" ht="18.75" customHeight="1" x14ac:dyDescent="0.4">
      <c r="A2755" s="2402">
        <v>2749</v>
      </c>
      <c r="B2755" s="390" t="s">
        <v>3890</v>
      </c>
      <c r="C2755" s="163" t="s">
        <v>1344</v>
      </c>
      <c r="D2755" s="391" t="s">
        <v>21</v>
      </c>
      <c r="E2755" s="165" t="s">
        <v>3895</v>
      </c>
      <c r="F2755" s="170">
        <v>24453</v>
      </c>
      <c r="G2755" s="171">
        <v>6281</v>
      </c>
      <c r="H2755" s="168" t="s">
        <v>3892</v>
      </c>
      <c r="I2755" s="2445" t="s">
        <v>25</v>
      </c>
      <c r="J2755" s="1173"/>
      <c r="K2755" s="1174"/>
    </row>
    <row r="2756" spans="1:11" s="1176" customFormat="1" ht="18.75" customHeight="1" x14ac:dyDescent="0.4">
      <c r="A2756" s="2402">
        <v>2750</v>
      </c>
      <c r="B2756" s="390" t="s">
        <v>3890</v>
      </c>
      <c r="C2756" s="163" t="s">
        <v>1344</v>
      </c>
      <c r="D2756" s="391" t="s">
        <v>21</v>
      </c>
      <c r="E2756" s="165" t="s">
        <v>3896</v>
      </c>
      <c r="F2756" s="170">
        <v>24453</v>
      </c>
      <c r="G2756" s="171">
        <v>6281</v>
      </c>
      <c r="H2756" s="168" t="s">
        <v>3892</v>
      </c>
      <c r="I2756" s="2445" t="s">
        <v>25</v>
      </c>
      <c r="J2756" s="1173"/>
      <c r="K2756" s="1174"/>
    </row>
    <row r="2757" spans="1:11" s="1176" customFormat="1" ht="18.75" customHeight="1" x14ac:dyDescent="0.4">
      <c r="A2757" s="2402">
        <v>2751</v>
      </c>
      <c r="B2757" s="390" t="s">
        <v>3890</v>
      </c>
      <c r="C2757" s="163" t="s">
        <v>1344</v>
      </c>
      <c r="D2757" s="391" t="s">
        <v>21</v>
      </c>
      <c r="E2757" s="165" t="s">
        <v>3897</v>
      </c>
      <c r="F2757" s="170">
        <v>24453</v>
      </c>
      <c r="G2757" s="171">
        <v>6281</v>
      </c>
      <c r="H2757" s="168" t="s">
        <v>3892</v>
      </c>
      <c r="I2757" s="2445" t="s">
        <v>25</v>
      </c>
      <c r="J2757" s="1173"/>
      <c r="K2757" s="1174"/>
    </row>
    <row r="2758" spans="1:11" s="1176" customFormat="1" ht="18.75" customHeight="1" x14ac:dyDescent="0.4">
      <c r="A2758" s="2402">
        <v>2752</v>
      </c>
      <c r="B2758" s="390" t="s">
        <v>3890</v>
      </c>
      <c r="C2758" s="163" t="s">
        <v>1344</v>
      </c>
      <c r="D2758" s="391" t="s">
        <v>21</v>
      </c>
      <c r="E2758" s="165" t="s">
        <v>3898</v>
      </c>
      <c r="F2758" s="170">
        <v>24453</v>
      </c>
      <c r="G2758" s="171">
        <v>6281</v>
      </c>
      <c r="H2758" s="168" t="s">
        <v>3892</v>
      </c>
      <c r="I2758" s="2445" t="s">
        <v>25</v>
      </c>
      <c r="J2758" s="1173"/>
      <c r="K2758" s="1174"/>
    </row>
    <row r="2759" spans="1:11" s="1176" customFormat="1" ht="18.75" customHeight="1" x14ac:dyDescent="0.4">
      <c r="A2759" s="2401">
        <v>2753</v>
      </c>
      <c r="B2759" s="390" t="s">
        <v>3890</v>
      </c>
      <c r="C2759" s="163" t="s">
        <v>1344</v>
      </c>
      <c r="D2759" s="391" t="s">
        <v>21</v>
      </c>
      <c r="E2759" s="165" t="s">
        <v>3899</v>
      </c>
      <c r="F2759" s="170">
        <v>24453</v>
      </c>
      <c r="G2759" s="171">
        <v>6281</v>
      </c>
      <c r="H2759" s="168" t="s">
        <v>3892</v>
      </c>
      <c r="I2759" s="2445" t="s">
        <v>25</v>
      </c>
      <c r="J2759" s="1173"/>
      <c r="K2759" s="1174"/>
    </row>
    <row r="2760" spans="1:11" s="1176" customFormat="1" ht="18.75" customHeight="1" x14ac:dyDescent="0.4">
      <c r="A2760" s="2402">
        <v>2754</v>
      </c>
      <c r="B2760" s="390" t="s">
        <v>3890</v>
      </c>
      <c r="C2760" s="163" t="s">
        <v>1344</v>
      </c>
      <c r="D2760" s="391" t="s">
        <v>21</v>
      </c>
      <c r="E2760" s="165" t="s">
        <v>3900</v>
      </c>
      <c r="F2760" s="170">
        <v>24453</v>
      </c>
      <c r="G2760" s="171">
        <v>6281</v>
      </c>
      <c r="H2760" s="168" t="s">
        <v>3892</v>
      </c>
      <c r="I2760" s="2445" t="s">
        <v>25</v>
      </c>
      <c r="J2760" s="1173"/>
      <c r="K2760" s="1174"/>
    </row>
    <row r="2761" spans="1:11" s="1176" customFormat="1" ht="18.75" customHeight="1" x14ac:dyDescent="0.4">
      <c r="A2761" s="2402">
        <v>2755</v>
      </c>
      <c r="B2761" s="390" t="s">
        <v>3890</v>
      </c>
      <c r="C2761" s="163" t="s">
        <v>1344</v>
      </c>
      <c r="D2761" s="391" t="s">
        <v>21</v>
      </c>
      <c r="E2761" s="165" t="s">
        <v>3901</v>
      </c>
      <c r="F2761" s="170">
        <v>24453</v>
      </c>
      <c r="G2761" s="171">
        <v>6281</v>
      </c>
      <c r="H2761" s="168" t="s">
        <v>3892</v>
      </c>
      <c r="I2761" s="2445" t="s">
        <v>25</v>
      </c>
      <c r="J2761" s="1173"/>
      <c r="K2761" s="1174"/>
    </row>
    <row r="2762" spans="1:11" s="1176" customFormat="1" ht="18.75" customHeight="1" x14ac:dyDescent="0.4">
      <c r="A2762" s="2402">
        <v>2756</v>
      </c>
      <c r="B2762" s="390" t="s">
        <v>3890</v>
      </c>
      <c r="C2762" s="163" t="s">
        <v>1344</v>
      </c>
      <c r="D2762" s="391" t="s">
        <v>21</v>
      </c>
      <c r="E2762" s="165" t="s">
        <v>3902</v>
      </c>
      <c r="F2762" s="170">
        <v>24453</v>
      </c>
      <c r="G2762" s="171">
        <v>6281</v>
      </c>
      <c r="H2762" s="168" t="s">
        <v>3892</v>
      </c>
      <c r="I2762" s="2445" t="s">
        <v>25</v>
      </c>
      <c r="J2762" s="1173"/>
      <c r="K2762" s="1174"/>
    </row>
    <row r="2763" spans="1:11" s="1176" customFormat="1" ht="18.75" customHeight="1" x14ac:dyDescent="0.4">
      <c r="A2763" s="2401">
        <v>2757</v>
      </c>
      <c r="B2763" s="390" t="s">
        <v>3890</v>
      </c>
      <c r="C2763" s="163" t="s">
        <v>1344</v>
      </c>
      <c r="D2763" s="391" t="s">
        <v>21</v>
      </c>
      <c r="E2763" s="165" t="s">
        <v>3903</v>
      </c>
      <c r="F2763" s="170">
        <v>24453</v>
      </c>
      <c r="G2763" s="171">
        <v>6281</v>
      </c>
      <c r="H2763" s="168" t="s">
        <v>3892</v>
      </c>
      <c r="I2763" s="2445" t="s">
        <v>25</v>
      </c>
      <c r="J2763" s="1173"/>
      <c r="K2763" s="1174"/>
    </row>
    <row r="2764" spans="1:11" s="1176" customFormat="1" ht="18.75" customHeight="1" x14ac:dyDescent="0.4">
      <c r="A2764" s="2402">
        <v>2758</v>
      </c>
      <c r="B2764" s="390" t="s">
        <v>3890</v>
      </c>
      <c r="C2764" s="163" t="s">
        <v>1344</v>
      </c>
      <c r="D2764" s="391" t="s">
        <v>21</v>
      </c>
      <c r="E2764" s="165" t="s">
        <v>3904</v>
      </c>
      <c r="F2764" s="170">
        <v>24453</v>
      </c>
      <c r="G2764" s="171">
        <v>6281</v>
      </c>
      <c r="H2764" s="168" t="s">
        <v>3892</v>
      </c>
      <c r="I2764" s="2445" t="s">
        <v>25</v>
      </c>
      <c r="J2764" s="1173"/>
      <c r="K2764" s="1174"/>
    </row>
    <row r="2765" spans="1:11" s="1176" customFormat="1" ht="18.75" customHeight="1" x14ac:dyDescent="0.4">
      <c r="A2765" s="2402">
        <v>2759</v>
      </c>
      <c r="B2765" s="390" t="s">
        <v>3890</v>
      </c>
      <c r="C2765" s="163" t="s">
        <v>1344</v>
      </c>
      <c r="D2765" s="391" t="s">
        <v>21</v>
      </c>
      <c r="E2765" s="165" t="s">
        <v>3905</v>
      </c>
      <c r="F2765" s="170">
        <v>24453</v>
      </c>
      <c r="G2765" s="171">
        <v>6281</v>
      </c>
      <c r="H2765" s="168" t="s">
        <v>3892</v>
      </c>
      <c r="I2765" s="2445" t="s">
        <v>25</v>
      </c>
      <c r="J2765" s="1173"/>
      <c r="K2765" s="1174"/>
    </row>
    <row r="2766" spans="1:11" s="1176" customFormat="1" ht="18.75" customHeight="1" x14ac:dyDescent="0.4">
      <c r="A2766" s="2402">
        <v>2760</v>
      </c>
      <c r="B2766" s="390" t="s">
        <v>3890</v>
      </c>
      <c r="C2766" s="163" t="s">
        <v>1344</v>
      </c>
      <c r="D2766" s="391" t="s">
        <v>21</v>
      </c>
      <c r="E2766" s="165" t="s">
        <v>3906</v>
      </c>
      <c r="F2766" s="170">
        <v>24453</v>
      </c>
      <c r="G2766" s="171">
        <v>6279.23</v>
      </c>
      <c r="H2766" s="168" t="s">
        <v>3892</v>
      </c>
      <c r="I2766" s="2445" t="s">
        <v>25</v>
      </c>
      <c r="J2766" s="1173"/>
      <c r="K2766" s="1174"/>
    </row>
    <row r="2767" spans="1:11" s="1175" customFormat="1" ht="18.75" customHeight="1" x14ac:dyDescent="0.4">
      <c r="A2767" s="2402">
        <v>2761</v>
      </c>
      <c r="B2767" s="390" t="s">
        <v>3907</v>
      </c>
      <c r="C2767" s="163" t="s">
        <v>1344</v>
      </c>
      <c r="D2767" s="164" t="s">
        <v>172</v>
      </c>
      <c r="E2767" s="165" t="s">
        <v>3908</v>
      </c>
      <c r="F2767" s="170">
        <v>24685</v>
      </c>
      <c r="G2767" s="171">
        <v>0</v>
      </c>
      <c r="H2767" s="1781" t="s">
        <v>174</v>
      </c>
      <c r="I2767" s="2287" t="s">
        <v>25</v>
      </c>
      <c r="J2767" s="466"/>
      <c r="K2767" s="1174"/>
    </row>
    <row r="2768" spans="1:11" s="1175" customFormat="1" ht="18.75" customHeight="1" x14ac:dyDescent="0.4">
      <c r="A2768" s="2401">
        <v>2762</v>
      </c>
      <c r="B2768" s="390" t="s">
        <v>3907</v>
      </c>
      <c r="C2768" s="163" t="s">
        <v>1344</v>
      </c>
      <c r="D2768" s="164" t="s">
        <v>172</v>
      </c>
      <c r="E2768" s="165" t="s">
        <v>3909</v>
      </c>
      <c r="F2768" s="170">
        <v>24685</v>
      </c>
      <c r="G2768" s="171">
        <v>0</v>
      </c>
      <c r="H2768" s="1781" t="s">
        <v>174</v>
      </c>
      <c r="I2768" s="2287" t="s">
        <v>25</v>
      </c>
      <c r="J2768" s="466"/>
      <c r="K2768" s="1174"/>
    </row>
    <row r="2769" spans="1:38" s="466" customFormat="1" ht="18.75" customHeight="1" x14ac:dyDescent="0.4">
      <c r="A2769" s="2402">
        <v>2763</v>
      </c>
      <c r="B2769" s="390" t="s">
        <v>3907</v>
      </c>
      <c r="C2769" s="163" t="s">
        <v>1344</v>
      </c>
      <c r="D2769" s="164" t="s">
        <v>172</v>
      </c>
      <c r="E2769" s="165" t="s">
        <v>3910</v>
      </c>
      <c r="F2769" s="170">
        <v>24685</v>
      </c>
      <c r="G2769" s="171">
        <v>0</v>
      </c>
      <c r="H2769" s="1781" t="s">
        <v>174</v>
      </c>
      <c r="I2769" s="2287" t="s">
        <v>25</v>
      </c>
      <c r="K2769" s="1174"/>
      <c r="L2769" s="1176"/>
      <c r="M2769" s="1176"/>
      <c r="N2769" s="1176"/>
      <c r="O2769" s="1176"/>
      <c r="P2769" s="1176"/>
      <c r="Q2769" s="1176"/>
      <c r="R2769" s="1176"/>
      <c r="S2769" s="1176"/>
      <c r="T2769" s="1176"/>
      <c r="U2769" s="1176"/>
      <c r="V2769" s="1176"/>
      <c r="W2769" s="1176"/>
      <c r="X2769" s="1176"/>
      <c r="Y2769" s="1176"/>
      <c r="Z2769" s="1176"/>
      <c r="AA2769" s="1176"/>
      <c r="AB2769" s="1176"/>
      <c r="AC2769" s="1176"/>
      <c r="AD2769" s="1176"/>
      <c r="AE2769" s="1176"/>
      <c r="AF2769" s="1176"/>
      <c r="AG2769" s="1176"/>
      <c r="AH2769" s="1176"/>
      <c r="AI2769" s="1176"/>
      <c r="AJ2769" s="1176"/>
      <c r="AK2769" s="1176"/>
      <c r="AL2769" s="1176"/>
    </row>
    <row r="2770" spans="1:38" s="466" customFormat="1" ht="18.75" customHeight="1" x14ac:dyDescent="0.4">
      <c r="A2770" s="2402">
        <v>2764</v>
      </c>
      <c r="B2770" s="390" t="s">
        <v>3907</v>
      </c>
      <c r="C2770" s="163" t="s">
        <v>1344</v>
      </c>
      <c r="D2770" s="164" t="s">
        <v>172</v>
      </c>
      <c r="E2770" s="165" t="s">
        <v>3911</v>
      </c>
      <c r="F2770" s="170">
        <v>24685</v>
      </c>
      <c r="G2770" s="171">
        <v>0</v>
      </c>
      <c r="H2770" s="1781" t="s">
        <v>174</v>
      </c>
      <c r="I2770" s="2287" t="s">
        <v>25</v>
      </c>
      <c r="K2770" s="1174"/>
      <c r="L2770" s="1176"/>
      <c r="M2770" s="1176"/>
      <c r="N2770" s="1176"/>
      <c r="O2770" s="1176"/>
      <c r="P2770" s="1176"/>
      <c r="Q2770" s="1176"/>
      <c r="R2770" s="1176"/>
      <c r="S2770" s="1176"/>
      <c r="T2770" s="1176"/>
      <c r="U2770" s="1176"/>
      <c r="V2770" s="1176"/>
      <c r="W2770" s="1176"/>
      <c r="X2770" s="1176"/>
      <c r="Y2770" s="1176"/>
      <c r="Z2770" s="1176"/>
      <c r="AA2770" s="1176"/>
      <c r="AB2770" s="1176"/>
      <c r="AC2770" s="1176"/>
      <c r="AD2770" s="1176"/>
      <c r="AE2770" s="1176"/>
      <c r="AF2770" s="1176"/>
      <c r="AG2770" s="1176"/>
      <c r="AH2770" s="1176"/>
      <c r="AI2770" s="1176"/>
      <c r="AJ2770" s="1176"/>
      <c r="AK2770" s="1176"/>
      <c r="AL2770" s="1176"/>
    </row>
    <row r="2771" spans="1:38" s="466" customFormat="1" ht="18.75" customHeight="1" x14ac:dyDescent="0.4">
      <c r="A2771" s="2402">
        <v>2765</v>
      </c>
      <c r="B2771" s="390" t="s">
        <v>3907</v>
      </c>
      <c r="C2771" s="163" t="s">
        <v>1344</v>
      </c>
      <c r="D2771" s="164" t="s">
        <v>172</v>
      </c>
      <c r="E2771" s="165" t="s">
        <v>3912</v>
      </c>
      <c r="F2771" s="170">
        <v>24685</v>
      </c>
      <c r="G2771" s="171">
        <v>0</v>
      </c>
      <c r="H2771" s="1781" t="s">
        <v>174</v>
      </c>
      <c r="I2771" s="2287" t="s">
        <v>25</v>
      </c>
      <c r="K2771" s="1174"/>
      <c r="L2771" s="1176"/>
      <c r="M2771" s="1176"/>
      <c r="N2771" s="1176"/>
      <c r="O2771" s="1176"/>
      <c r="P2771" s="1176"/>
      <c r="Q2771" s="1176"/>
      <c r="R2771" s="1176"/>
      <c r="S2771" s="1176"/>
      <c r="T2771" s="1176"/>
      <c r="U2771" s="1176"/>
      <c r="V2771" s="1176"/>
      <c r="W2771" s="1176"/>
      <c r="X2771" s="1176"/>
      <c r="Y2771" s="1176"/>
      <c r="Z2771" s="1176"/>
      <c r="AA2771" s="1176"/>
      <c r="AB2771" s="1176"/>
      <c r="AC2771" s="1176"/>
      <c r="AD2771" s="1176"/>
      <c r="AE2771" s="1176"/>
      <c r="AF2771" s="1176"/>
      <c r="AG2771" s="1176"/>
      <c r="AH2771" s="1176"/>
      <c r="AI2771" s="1176"/>
      <c r="AJ2771" s="1176"/>
      <c r="AK2771" s="1176"/>
      <c r="AL2771" s="1176"/>
    </row>
    <row r="2772" spans="1:38" s="466" customFormat="1" ht="18.75" customHeight="1" x14ac:dyDescent="0.4">
      <c r="A2772" s="2401">
        <v>2766</v>
      </c>
      <c r="B2772" s="390" t="s">
        <v>3907</v>
      </c>
      <c r="C2772" s="163" t="s">
        <v>1344</v>
      </c>
      <c r="D2772" s="164" t="s">
        <v>172</v>
      </c>
      <c r="E2772" s="165" t="s">
        <v>3913</v>
      </c>
      <c r="F2772" s="170">
        <v>24685</v>
      </c>
      <c r="G2772" s="171">
        <v>0</v>
      </c>
      <c r="H2772" s="1781" t="s">
        <v>174</v>
      </c>
      <c r="I2772" s="2287" t="s">
        <v>25</v>
      </c>
      <c r="K2772" s="1174"/>
      <c r="L2772" s="1176"/>
      <c r="M2772" s="1176"/>
      <c r="N2772" s="1176"/>
      <c r="O2772" s="1176"/>
      <c r="P2772" s="1176"/>
      <c r="Q2772" s="1176"/>
      <c r="R2772" s="1176"/>
      <c r="S2772" s="1176"/>
      <c r="T2772" s="1176"/>
      <c r="U2772" s="1176"/>
      <c r="V2772" s="1176"/>
      <c r="W2772" s="1176"/>
      <c r="X2772" s="1176"/>
      <c r="Y2772" s="1176"/>
      <c r="Z2772" s="1176"/>
      <c r="AA2772" s="1176"/>
      <c r="AB2772" s="1176"/>
      <c r="AC2772" s="1176"/>
      <c r="AD2772" s="1176"/>
      <c r="AE2772" s="1176"/>
      <c r="AF2772" s="1176"/>
      <c r="AG2772" s="1176"/>
      <c r="AH2772" s="1176"/>
      <c r="AI2772" s="1176"/>
      <c r="AJ2772" s="1176"/>
      <c r="AK2772" s="1176"/>
      <c r="AL2772" s="1176"/>
    </row>
    <row r="2773" spans="1:38" s="466" customFormat="1" ht="18.75" customHeight="1" x14ac:dyDescent="0.4">
      <c r="A2773" s="2402">
        <v>2767</v>
      </c>
      <c r="B2773" s="390" t="s">
        <v>3907</v>
      </c>
      <c r="C2773" s="163" t="s">
        <v>1344</v>
      </c>
      <c r="D2773" s="164" t="s">
        <v>172</v>
      </c>
      <c r="E2773" s="165" t="s">
        <v>3914</v>
      </c>
      <c r="F2773" s="170">
        <v>24685</v>
      </c>
      <c r="G2773" s="171">
        <v>0</v>
      </c>
      <c r="H2773" s="1781" t="s">
        <v>174</v>
      </c>
      <c r="I2773" s="2287" t="s">
        <v>25</v>
      </c>
      <c r="K2773" s="1174"/>
      <c r="L2773" s="1176"/>
      <c r="M2773" s="1176"/>
      <c r="N2773" s="1176"/>
      <c r="O2773" s="1176"/>
      <c r="P2773" s="1176"/>
      <c r="Q2773" s="1176"/>
      <c r="R2773" s="1176"/>
      <c r="S2773" s="1176"/>
      <c r="T2773" s="1176"/>
      <c r="U2773" s="1176"/>
      <c r="V2773" s="1176"/>
      <c r="W2773" s="1176"/>
      <c r="X2773" s="1176"/>
      <c r="Y2773" s="1176"/>
      <c r="Z2773" s="1176"/>
      <c r="AA2773" s="1176"/>
      <c r="AB2773" s="1176"/>
      <c r="AC2773" s="1176"/>
      <c r="AD2773" s="1176"/>
      <c r="AE2773" s="1176"/>
      <c r="AF2773" s="1176"/>
      <c r="AG2773" s="1176"/>
      <c r="AH2773" s="1176"/>
      <c r="AI2773" s="1176"/>
      <c r="AJ2773" s="1176"/>
      <c r="AK2773" s="1176"/>
      <c r="AL2773" s="1176"/>
    </row>
    <row r="2774" spans="1:38" s="466" customFormat="1" ht="18.75" customHeight="1" x14ac:dyDescent="0.4">
      <c r="A2774" s="2402">
        <v>2768</v>
      </c>
      <c r="B2774" s="390" t="s">
        <v>3907</v>
      </c>
      <c r="C2774" s="163" t="s">
        <v>1344</v>
      </c>
      <c r="D2774" s="164" t="s">
        <v>172</v>
      </c>
      <c r="E2774" s="165" t="s">
        <v>3915</v>
      </c>
      <c r="F2774" s="170">
        <v>24685</v>
      </c>
      <c r="G2774" s="171">
        <v>0</v>
      </c>
      <c r="H2774" s="1781" t="s">
        <v>174</v>
      </c>
      <c r="I2774" s="2287" t="s">
        <v>25</v>
      </c>
      <c r="K2774" s="1174"/>
      <c r="L2774" s="1176"/>
      <c r="M2774" s="1176"/>
      <c r="N2774" s="1176"/>
      <c r="O2774" s="1176"/>
      <c r="P2774" s="1176"/>
      <c r="Q2774" s="1176"/>
      <c r="R2774" s="1176"/>
      <c r="S2774" s="1176"/>
      <c r="T2774" s="1176"/>
      <c r="U2774" s="1176"/>
      <c r="V2774" s="1176"/>
      <c r="W2774" s="1176"/>
      <c r="X2774" s="1176"/>
      <c r="Y2774" s="1176"/>
      <c r="Z2774" s="1176"/>
      <c r="AA2774" s="1176"/>
      <c r="AB2774" s="1176"/>
      <c r="AC2774" s="1176"/>
      <c r="AD2774" s="1176"/>
      <c r="AE2774" s="1176"/>
      <c r="AF2774" s="1176"/>
      <c r="AG2774" s="1176"/>
      <c r="AH2774" s="1176"/>
      <c r="AI2774" s="1176"/>
      <c r="AJ2774" s="1176"/>
      <c r="AK2774" s="1176"/>
      <c r="AL2774" s="1176"/>
    </row>
    <row r="2775" spans="1:38" s="466" customFormat="1" ht="18.75" customHeight="1" x14ac:dyDescent="0.4">
      <c r="A2775" s="2402">
        <v>2769</v>
      </c>
      <c r="B2775" s="390" t="s">
        <v>3907</v>
      </c>
      <c r="C2775" s="163" t="s">
        <v>1344</v>
      </c>
      <c r="D2775" s="164" t="s">
        <v>172</v>
      </c>
      <c r="E2775" s="165" t="s">
        <v>3916</v>
      </c>
      <c r="F2775" s="170">
        <v>24685</v>
      </c>
      <c r="G2775" s="171">
        <v>0</v>
      </c>
      <c r="H2775" s="1781" t="s">
        <v>174</v>
      </c>
      <c r="I2775" s="2287" t="s">
        <v>25</v>
      </c>
      <c r="K2775" s="1174"/>
      <c r="L2775" s="1176"/>
      <c r="M2775" s="1176"/>
      <c r="N2775" s="1176"/>
      <c r="O2775" s="1176"/>
      <c r="P2775" s="1176"/>
      <c r="Q2775" s="1176"/>
      <c r="R2775" s="1176"/>
      <c r="S2775" s="1176"/>
      <c r="T2775" s="1176"/>
      <c r="U2775" s="1176"/>
      <c r="V2775" s="1176"/>
      <c r="W2775" s="1176"/>
      <c r="X2775" s="1176"/>
      <c r="Y2775" s="1176"/>
      <c r="Z2775" s="1176"/>
      <c r="AA2775" s="1176"/>
      <c r="AB2775" s="1176"/>
      <c r="AC2775" s="1176"/>
      <c r="AD2775" s="1176"/>
      <c r="AE2775" s="1176"/>
      <c r="AF2775" s="1176"/>
      <c r="AG2775" s="1176"/>
      <c r="AH2775" s="1176"/>
      <c r="AI2775" s="1176"/>
      <c r="AJ2775" s="1176"/>
      <c r="AK2775" s="1176"/>
      <c r="AL2775" s="1176"/>
    </row>
    <row r="2776" spans="1:38" s="466" customFormat="1" ht="18.75" customHeight="1" x14ac:dyDescent="0.4">
      <c r="A2776" s="2402">
        <v>2770</v>
      </c>
      <c r="B2776" s="390" t="s">
        <v>3907</v>
      </c>
      <c r="C2776" s="163" t="s">
        <v>1344</v>
      </c>
      <c r="D2776" s="164" t="s">
        <v>172</v>
      </c>
      <c r="E2776" s="165" t="s">
        <v>3917</v>
      </c>
      <c r="F2776" s="170">
        <v>24685</v>
      </c>
      <c r="G2776" s="171">
        <v>0</v>
      </c>
      <c r="H2776" s="1781" t="s">
        <v>174</v>
      </c>
      <c r="I2776" s="2287" t="s">
        <v>25</v>
      </c>
      <c r="K2776" s="1174"/>
      <c r="L2776" s="1176"/>
      <c r="M2776" s="1176"/>
      <c r="N2776" s="1176"/>
      <c r="O2776" s="1176"/>
      <c r="P2776" s="1176"/>
      <c r="Q2776" s="1176"/>
      <c r="R2776" s="1176"/>
      <c r="S2776" s="1176"/>
      <c r="T2776" s="1176"/>
      <c r="U2776" s="1176"/>
      <c r="V2776" s="1176"/>
      <c r="W2776" s="1176"/>
      <c r="X2776" s="1176"/>
      <c r="Y2776" s="1176"/>
      <c r="Z2776" s="1176"/>
      <c r="AA2776" s="1176"/>
      <c r="AB2776" s="1176"/>
      <c r="AC2776" s="1176"/>
      <c r="AD2776" s="1176"/>
      <c r="AE2776" s="1176"/>
      <c r="AF2776" s="1176"/>
      <c r="AG2776" s="1176"/>
      <c r="AH2776" s="1176"/>
      <c r="AI2776" s="1176"/>
      <c r="AJ2776" s="1176"/>
      <c r="AK2776" s="1176"/>
      <c r="AL2776" s="1176"/>
    </row>
    <row r="2777" spans="1:38" s="466" customFormat="1" ht="18.75" customHeight="1" x14ac:dyDescent="0.4">
      <c r="A2777" s="2401">
        <v>2771</v>
      </c>
      <c r="B2777" s="390" t="s">
        <v>3907</v>
      </c>
      <c r="C2777" s="163" t="s">
        <v>1344</v>
      </c>
      <c r="D2777" s="164" t="s">
        <v>172</v>
      </c>
      <c r="E2777" s="165" t="s">
        <v>3918</v>
      </c>
      <c r="F2777" s="170">
        <v>24685</v>
      </c>
      <c r="G2777" s="171">
        <v>0</v>
      </c>
      <c r="H2777" s="1781" t="s">
        <v>174</v>
      </c>
      <c r="I2777" s="2287" t="s">
        <v>25</v>
      </c>
      <c r="K2777" s="1174"/>
      <c r="L2777" s="1176"/>
      <c r="M2777" s="1176"/>
      <c r="N2777" s="1176"/>
      <c r="O2777" s="1176"/>
      <c r="P2777" s="1176"/>
      <c r="Q2777" s="1176"/>
      <c r="R2777" s="1176"/>
      <c r="S2777" s="1176"/>
      <c r="T2777" s="1176"/>
      <c r="U2777" s="1176"/>
      <c r="V2777" s="1176"/>
      <c r="W2777" s="1176"/>
      <c r="X2777" s="1176"/>
      <c r="Y2777" s="1176"/>
      <c r="Z2777" s="1176"/>
      <c r="AA2777" s="1176"/>
      <c r="AB2777" s="1176"/>
      <c r="AC2777" s="1176"/>
      <c r="AD2777" s="1176"/>
      <c r="AE2777" s="1176"/>
      <c r="AF2777" s="1176"/>
      <c r="AG2777" s="1176"/>
      <c r="AH2777" s="1176"/>
      <c r="AI2777" s="1176"/>
      <c r="AJ2777" s="1176"/>
      <c r="AK2777" s="1176"/>
      <c r="AL2777" s="1176"/>
    </row>
    <row r="2778" spans="1:38" s="466" customFormat="1" ht="18.75" customHeight="1" x14ac:dyDescent="0.4">
      <c r="A2778" s="2402">
        <v>2772</v>
      </c>
      <c r="B2778" s="390" t="s">
        <v>3907</v>
      </c>
      <c r="C2778" s="163" t="s">
        <v>1344</v>
      </c>
      <c r="D2778" s="164" t="s">
        <v>172</v>
      </c>
      <c r="E2778" s="165" t="s">
        <v>3919</v>
      </c>
      <c r="F2778" s="170">
        <v>24685</v>
      </c>
      <c r="G2778" s="171">
        <v>0</v>
      </c>
      <c r="H2778" s="1781" t="s">
        <v>174</v>
      </c>
      <c r="I2778" s="2287" t="s">
        <v>25</v>
      </c>
      <c r="K2778" s="1174"/>
      <c r="L2778" s="1176"/>
      <c r="M2778" s="1176"/>
      <c r="N2778" s="1176"/>
      <c r="O2778" s="1176"/>
      <c r="P2778" s="1176"/>
      <c r="Q2778" s="1176"/>
      <c r="R2778" s="1176"/>
      <c r="S2778" s="1176"/>
      <c r="T2778" s="1176"/>
      <c r="U2778" s="1176"/>
      <c r="V2778" s="1176"/>
      <c r="W2778" s="1176"/>
      <c r="X2778" s="1176"/>
      <c r="Y2778" s="1176"/>
      <c r="Z2778" s="1176"/>
      <c r="AA2778" s="1176"/>
      <c r="AB2778" s="1176"/>
      <c r="AC2778" s="1176"/>
      <c r="AD2778" s="1176"/>
      <c r="AE2778" s="1176"/>
      <c r="AF2778" s="1176"/>
      <c r="AG2778" s="1176"/>
      <c r="AH2778" s="1176"/>
      <c r="AI2778" s="1176"/>
      <c r="AJ2778" s="1176"/>
      <c r="AK2778" s="1176"/>
      <c r="AL2778" s="1176"/>
    </row>
    <row r="2779" spans="1:38" s="466" customFormat="1" ht="18.75" customHeight="1" x14ac:dyDescent="0.4">
      <c r="A2779" s="2402">
        <v>2773</v>
      </c>
      <c r="B2779" s="390" t="s">
        <v>3907</v>
      </c>
      <c r="C2779" s="163" t="s">
        <v>1344</v>
      </c>
      <c r="D2779" s="164" t="s">
        <v>172</v>
      </c>
      <c r="E2779" s="165" t="s">
        <v>3920</v>
      </c>
      <c r="F2779" s="170">
        <v>24685</v>
      </c>
      <c r="G2779" s="171">
        <v>0</v>
      </c>
      <c r="H2779" s="1781" t="s">
        <v>174</v>
      </c>
      <c r="I2779" s="2287" t="s">
        <v>25</v>
      </c>
      <c r="K2779" s="1174"/>
      <c r="L2779" s="1176"/>
      <c r="M2779" s="1176"/>
      <c r="N2779" s="1176"/>
      <c r="O2779" s="1176"/>
      <c r="P2779" s="1176"/>
      <c r="Q2779" s="1176"/>
      <c r="R2779" s="1176"/>
      <c r="S2779" s="1176"/>
      <c r="T2779" s="1176"/>
      <c r="U2779" s="1176"/>
      <c r="V2779" s="1176"/>
      <c r="W2779" s="1176"/>
      <c r="X2779" s="1176"/>
      <c r="Y2779" s="1176"/>
      <c r="Z2779" s="1176"/>
      <c r="AA2779" s="1176"/>
      <c r="AB2779" s="1176"/>
      <c r="AC2779" s="1176"/>
      <c r="AD2779" s="1176"/>
      <c r="AE2779" s="1176"/>
      <c r="AF2779" s="1176"/>
      <c r="AG2779" s="1176"/>
      <c r="AH2779" s="1176"/>
      <c r="AI2779" s="1176"/>
      <c r="AJ2779" s="1176"/>
      <c r="AK2779" s="1176"/>
      <c r="AL2779" s="1176"/>
    </row>
    <row r="2780" spans="1:38" s="466" customFormat="1" ht="18.75" customHeight="1" x14ac:dyDescent="0.4">
      <c r="A2780" s="2402">
        <v>2774</v>
      </c>
      <c r="B2780" s="390" t="s">
        <v>3907</v>
      </c>
      <c r="C2780" s="163" t="s">
        <v>1344</v>
      </c>
      <c r="D2780" s="164" t="s">
        <v>172</v>
      </c>
      <c r="E2780" s="165" t="s">
        <v>3921</v>
      </c>
      <c r="F2780" s="170">
        <v>24685</v>
      </c>
      <c r="G2780" s="171">
        <v>0</v>
      </c>
      <c r="H2780" s="1781" t="s">
        <v>174</v>
      </c>
      <c r="I2780" s="2287" t="s">
        <v>25</v>
      </c>
      <c r="K2780" s="1174"/>
      <c r="L2780" s="1176"/>
      <c r="M2780" s="1176"/>
      <c r="N2780" s="1176"/>
      <c r="O2780" s="1176"/>
      <c r="P2780" s="1176"/>
      <c r="Q2780" s="1176"/>
      <c r="R2780" s="1176"/>
      <c r="S2780" s="1176"/>
      <c r="T2780" s="1176"/>
      <c r="U2780" s="1176"/>
      <c r="V2780" s="1176"/>
      <c r="W2780" s="1176"/>
      <c r="X2780" s="1176"/>
      <c r="Y2780" s="1176"/>
      <c r="Z2780" s="1176"/>
      <c r="AA2780" s="1176"/>
      <c r="AB2780" s="1176"/>
      <c r="AC2780" s="1176"/>
      <c r="AD2780" s="1176"/>
      <c r="AE2780" s="1176"/>
      <c r="AF2780" s="1176"/>
      <c r="AG2780" s="1176"/>
      <c r="AH2780" s="1176"/>
      <c r="AI2780" s="1176"/>
      <c r="AJ2780" s="1176"/>
      <c r="AK2780" s="1176"/>
      <c r="AL2780" s="1176"/>
    </row>
    <row r="2781" spans="1:38" s="466" customFormat="1" ht="18.75" customHeight="1" x14ac:dyDescent="0.4">
      <c r="A2781" s="2401">
        <v>2775</v>
      </c>
      <c r="B2781" s="390" t="s">
        <v>3907</v>
      </c>
      <c r="C2781" s="163" t="s">
        <v>1344</v>
      </c>
      <c r="D2781" s="164" t="s">
        <v>172</v>
      </c>
      <c r="E2781" s="165" t="s">
        <v>3922</v>
      </c>
      <c r="F2781" s="170">
        <v>24685</v>
      </c>
      <c r="G2781" s="171">
        <v>0</v>
      </c>
      <c r="H2781" s="1781" t="s">
        <v>174</v>
      </c>
      <c r="I2781" s="2287" t="s">
        <v>25</v>
      </c>
      <c r="K2781" s="1174"/>
      <c r="L2781" s="1176"/>
      <c r="M2781" s="1176"/>
      <c r="N2781" s="1176"/>
      <c r="O2781" s="1176"/>
      <c r="P2781" s="1176"/>
      <c r="Q2781" s="1176"/>
      <c r="R2781" s="1176"/>
      <c r="S2781" s="1176"/>
      <c r="T2781" s="1176"/>
      <c r="U2781" s="1176"/>
      <c r="V2781" s="1176"/>
      <c r="W2781" s="1176"/>
      <c r="X2781" s="1176"/>
      <c r="Y2781" s="1176"/>
      <c r="Z2781" s="1176"/>
      <c r="AA2781" s="1176"/>
      <c r="AB2781" s="1176"/>
      <c r="AC2781" s="1176"/>
      <c r="AD2781" s="1176"/>
      <c r="AE2781" s="1176"/>
      <c r="AF2781" s="1176"/>
      <c r="AG2781" s="1176"/>
      <c r="AH2781" s="1176"/>
      <c r="AI2781" s="1176"/>
      <c r="AJ2781" s="1176"/>
      <c r="AK2781" s="1176"/>
      <c r="AL2781" s="1176"/>
    </row>
    <row r="2782" spans="1:38" s="466" customFormat="1" ht="18.75" customHeight="1" x14ac:dyDescent="0.4">
      <c r="A2782" s="2402">
        <v>2776</v>
      </c>
      <c r="B2782" s="390" t="s">
        <v>3907</v>
      </c>
      <c r="C2782" s="163" t="s">
        <v>1344</v>
      </c>
      <c r="D2782" s="164" t="s">
        <v>172</v>
      </c>
      <c r="E2782" s="165" t="s">
        <v>3923</v>
      </c>
      <c r="F2782" s="170">
        <v>24685</v>
      </c>
      <c r="G2782" s="171">
        <v>0</v>
      </c>
      <c r="H2782" s="1781" t="s">
        <v>174</v>
      </c>
      <c r="I2782" s="2287" t="s">
        <v>25</v>
      </c>
      <c r="K2782" s="1174"/>
      <c r="L2782" s="1176"/>
      <c r="M2782" s="1176"/>
      <c r="N2782" s="1176"/>
      <c r="O2782" s="1176"/>
      <c r="P2782" s="1176"/>
      <c r="Q2782" s="1176"/>
      <c r="R2782" s="1176"/>
      <c r="S2782" s="1176"/>
      <c r="T2782" s="1176"/>
      <c r="U2782" s="1176"/>
      <c r="V2782" s="1176"/>
      <c r="W2782" s="1176"/>
      <c r="X2782" s="1176"/>
      <c r="Y2782" s="1176"/>
      <c r="Z2782" s="1176"/>
      <c r="AA2782" s="1176"/>
      <c r="AB2782" s="1176"/>
      <c r="AC2782" s="1176"/>
      <c r="AD2782" s="1176"/>
      <c r="AE2782" s="1176"/>
      <c r="AF2782" s="1176"/>
      <c r="AG2782" s="1176"/>
      <c r="AH2782" s="1176"/>
      <c r="AI2782" s="1176"/>
      <c r="AJ2782" s="1176"/>
      <c r="AK2782" s="1176"/>
      <c r="AL2782" s="1176"/>
    </row>
    <row r="2783" spans="1:38" s="466" customFormat="1" ht="18.75" customHeight="1" x14ac:dyDescent="0.4">
      <c r="A2783" s="2402">
        <v>2777</v>
      </c>
      <c r="B2783" s="390" t="s">
        <v>3907</v>
      </c>
      <c r="C2783" s="163" t="s">
        <v>1344</v>
      </c>
      <c r="D2783" s="164" t="s">
        <v>172</v>
      </c>
      <c r="E2783" s="165" t="s">
        <v>3924</v>
      </c>
      <c r="F2783" s="170">
        <v>24685</v>
      </c>
      <c r="G2783" s="171">
        <v>0</v>
      </c>
      <c r="H2783" s="1781" t="s">
        <v>174</v>
      </c>
      <c r="I2783" s="2287" t="s">
        <v>25</v>
      </c>
      <c r="K2783" s="1174"/>
      <c r="L2783" s="1176"/>
      <c r="M2783" s="1176"/>
      <c r="N2783" s="1176"/>
      <c r="O2783" s="1176"/>
      <c r="P2783" s="1176"/>
      <c r="Q2783" s="1176"/>
      <c r="R2783" s="1176"/>
      <c r="S2783" s="1176"/>
      <c r="T2783" s="1176"/>
      <c r="U2783" s="1176"/>
      <c r="V2783" s="1176"/>
      <c r="W2783" s="1176"/>
      <c r="X2783" s="1176"/>
      <c r="Y2783" s="1176"/>
      <c r="Z2783" s="1176"/>
      <c r="AA2783" s="1176"/>
      <c r="AB2783" s="1176"/>
      <c r="AC2783" s="1176"/>
      <c r="AD2783" s="1176"/>
      <c r="AE2783" s="1176"/>
      <c r="AF2783" s="1176"/>
      <c r="AG2783" s="1176"/>
      <c r="AH2783" s="1176"/>
      <c r="AI2783" s="1176"/>
      <c r="AJ2783" s="1176"/>
      <c r="AK2783" s="1176"/>
      <c r="AL2783" s="1176"/>
    </row>
    <row r="2784" spans="1:38" s="466" customFormat="1" ht="18.75" customHeight="1" x14ac:dyDescent="0.4">
      <c r="A2784" s="2402">
        <v>2778</v>
      </c>
      <c r="B2784" s="390" t="s">
        <v>3907</v>
      </c>
      <c r="C2784" s="163" t="s">
        <v>1344</v>
      </c>
      <c r="D2784" s="164" t="s">
        <v>172</v>
      </c>
      <c r="E2784" s="165" t="s">
        <v>3925</v>
      </c>
      <c r="F2784" s="170">
        <v>24685</v>
      </c>
      <c r="G2784" s="171">
        <v>0</v>
      </c>
      <c r="H2784" s="1781" t="s">
        <v>174</v>
      </c>
      <c r="I2784" s="2287" t="s">
        <v>25</v>
      </c>
      <c r="K2784" s="1174"/>
      <c r="L2784" s="1176"/>
      <c r="M2784" s="1176"/>
      <c r="N2784" s="1176"/>
      <c r="O2784" s="1176"/>
      <c r="P2784" s="1176"/>
      <c r="Q2784" s="1176"/>
      <c r="R2784" s="1176"/>
      <c r="S2784" s="1176"/>
      <c r="T2784" s="1176"/>
      <c r="U2784" s="1176"/>
      <c r="V2784" s="1176"/>
      <c r="W2784" s="1176"/>
      <c r="X2784" s="1176"/>
      <c r="Y2784" s="1176"/>
      <c r="Z2784" s="1176"/>
      <c r="AA2784" s="1176"/>
      <c r="AB2784" s="1176"/>
      <c r="AC2784" s="1176"/>
      <c r="AD2784" s="1176"/>
      <c r="AE2784" s="1176"/>
      <c r="AF2784" s="1176"/>
      <c r="AG2784" s="1176"/>
      <c r="AH2784" s="1176"/>
      <c r="AI2784" s="1176"/>
      <c r="AJ2784" s="1176"/>
      <c r="AK2784" s="1176"/>
      <c r="AL2784" s="1176"/>
    </row>
    <row r="2785" spans="1:38" s="466" customFormat="1" ht="18.75" customHeight="1" x14ac:dyDescent="0.4">
      <c r="A2785" s="2402">
        <v>2779</v>
      </c>
      <c r="B2785" s="390" t="s">
        <v>3907</v>
      </c>
      <c r="C2785" s="163" t="s">
        <v>1344</v>
      </c>
      <c r="D2785" s="164" t="s">
        <v>172</v>
      </c>
      <c r="E2785" s="165" t="s">
        <v>3926</v>
      </c>
      <c r="F2785" s="170">
        <v>24685</v>
      </c>
      <c r="G2785" s="171">
        <v>0</v>
      </c>
      <c r="H2785" s="1781" t="s">
        <v>174</v>
      </c>
      <c r="I2785" s="2287" t="s">
        <v>25</v>
      </c>
      <c r="K2785" s="1174"/>
      <c r="L2785" s="1176"/>
      <c r="M2785" s="1176"/>
      <c r="N2785" s="1176"/>
      <c r="O2785" s="1176"/>
      <c r="P2785" s="1176"/>
      <c r="Q2785" s="1176"/>
      <c r="R2785" s="1176"/>
      <c r="S2785" s="1176"/>
      <c r="T2785" s="1176"/>
      <c r="U2785" s="1176"/>
      <c r="V2785" s="1176"/>
      <c r="W2785" s="1176"/>
      <c r="X2785" s="1176"/>
      <c r="Y2785" s="1176"/>
      <c r="Z2785" s="1176"/>
      <c r="AA2785" s="1176"/>
      <c r="AB2785" s="1176"/>
      <c r="AC2785" s="1176"/>
      <c r="AD2785" s="1176"/>
      <c r="AE2785" s="1176"/>
      <c r="AF2785" s="1176"/>
      <c r="AG2785" s="1176"/>
      <c r="AH2785" s="1176"/>
      <c r="AI2785" s="1176"/>
      <c r="AJ2785" s="1176"/>
      <c r="AK2785" s="1176"/>
      <c r="AL2785" s="1176"/>
    </row>
    <row r="2786" spans="1:38" s="466" customFormat="1" ht="18.75" customHeight="1" x14ac:dyDescent="0.4">
      <c r="A2786" s="2401">
        <v>2780</v>
      </c>
      <c r="B2786" s="390" t="s">
        <v>3907</v>
      </c>
      <c r="C2786" s="163" t="s">
        <v>1344</v>
      </c>
      <c r="D2786" s="164" t="s">
        <v>172</v>
      </c>
      <c r="E2786" s="165" t="s">
        <v>3927</v>
      </c>
      <c r="F2786" s="170">
        <v>24685</v>
      </c>
      <c r="G2786" s="171">
        <v>0</v>
      </c>
      <c r="H2786" s="1781" t="s">
        <v>174</v>
      </c>
      <c r="I2786" s="2287" t="s">
        <v>25</v>
      </c>
      <c r="K2786" s="1174"/>
      <c r="L2786" s="1176"/>
      <c r="M2786" s="1176"/>
      <c r="N2786" s="1176"/>
      <c r="O2786" s="1176"/>
      <c r="P2786" s="1176"/>
      <c r="Q2786" s="1176"/>
      <c r="R2786" s="1176"/>
      <c r="S2786" s="1176"/>
      <c r="T2786" s="1176"/>
      <c r="U2786" s="1176"/>
      <c r="V2786" s="1176"/>
      <c r="W2786" s="1176"/>
      <c r="X2786" s="1176"/>
      <c r="Y2786" s="1176"/>
      <c r="Z2786" s="1176"/>
      <c r="AA2786" s="1176"/>
      <c r="AB2786" s="1176"/>
      <c r="AC2786" s="1176"/>
      <c r="AD2786" s="1176"/>
      <c r="AE2786" s="1176"/>
      <c r="AF2786" s="1176"/>
      <c r="AG2786" s="1176"/>
      <c r="AH2786" s="1176"/>
      <c r="AI2786" s="1176"/>
      <c r="AJ2786" s="1176"/>
      <c r="AK2786" s="1176"/>
      <c r="AL2786" s="1176"/>
    </row>
    <row r="2787" spans="1:38" s="466" customFormat="1" ht="18.75" customHeight="1" x14ac:dyDescent="0.4">
      <c r="A2787" s="2402">
        <v>2781</v>
      </c>
      <c r="B2787" s="390" t="s">
        <v>3928</v>
      </c>
      <c r="C2787" s="163" t="s">
        <v>1344</v>
      </c>
      <c r="D2787" s="164" t="s">
        <v>172</v>
      </c>
      <c r="E2787" s="165" t="s">
        <v>3929</v>
      </c>
      <c r="F2787" s="170">
        <v>24564</v>
      </c>
      <c r="G2787" s="1177">
        <v>23617.02</v>
      </c>
      <c r="H2787" s="1780" t="s">
        <v>3892</v>
      </c>
      <c r="I2787" s="2287" t="s">
        <v>25</v>
      </c>
      <c r="K2787" s="1174"/>
      <c r="L2787" s="1176"/>
      <c r="M2787" s="1176"/>
      <c r="N2787" s="1176"/>
      <c r="O2787" s="1176"/>
      <c r="P2787" s="1176"/>
      <c r="Q2787" s="1176"/>
      <c r="R2787" s="1176"/>
      <c r="S2787" s="1176"/>
      <c r="T2787" s="1176"/>
      <c r="U2787" s="1176"/>
      <c r="V2787" s="1176"/>
      <c r="W2787" s="1176"/>
      <c r="X2787" s="1176"/>
      <c r="Y2787" s="1176"/>
      <c r="Z2787" s="1176"/>
      <c r="AA2787" s="1176"/>
      <c r="AB2787" s="1176"/>
      <c r="AC2787" s="1176"/>
      <c r="AD2787" s="1176"/>
      <c r="AE2787" s="1176"/>
      <c r="AF2787" s="1176"/>
      <c r="AG2787" s="1176"/>
      <c r="AH2787" s="1176"/>
      <c r="AI2787" s="1176"/>
      <c r="AJ2787" s="1176"/>
      <c r="AK2787" s="1176"/>
      <c r="AL2787" s="1176"/>
    </row>
    <row r="2788" spans="1:38" s="466" customFormat="1" ht="18.75" customHeight="1" x14ac:dyDescent="0.4">
      <c r="A2788" s="2402">
        <v>2782</v>
      </c>
      <c r="B2788" s="390" t="s">
        <v>3928</v>
      </c>
      <c r="C2788" s="163" t="s">
        <v>1344</v>
      </c>
      <c r="D2788" s="164" t="s">
        <v>172</v>
      </c>
      <c r="E2788" s="165" t="s">
        <v>3930</v>
      </c>
      <c r="F2788" s="170">
        <v>24564</v>
      </c>
      <c r="G2788" s="1177">
        <v>23617.02</v>
      </c>
      <c r="H2788" s="1780" t="s">
        <v>3892</v>
      </c>
      <c r="I2788" s="2287" t="s">
        <v>25</v>
      </c>
      <c r="K2788" s="1174"/>
      <c r="L2788" s="1176"/>
      <c r="M2788" s="1176"/>
      <c r="N2788" s="1176"/>
      <c r="O2788" s="1176"/>
      <c r="P2788" s="1176"/>
      <c r="Q2788" s="1176"/>
      <c r="R2788" s="1176"/>
      <c r="S2788" s="1176"/>
      <c r="T2788" s="1176"/>
      <c r="U2788" s="1176"/>
      <c r="V2788" s="1176"/>
      <c r="W2788" s="1176"/>
      <c r="X2788" s="1176"/>
      <c r="Y2788" s="1176"/>
      <c r="Z2788" s="1176"/>
      <c r="AA2788" s="1176"/>
      <c r="AB2788" s="1176"/>
      <c r="AC2788" s="1176"/>
      <c r="AD2788" s="1176"/>
      <c r="AE2788" s="1176"/>
      <c r="AF2788" s="1176"/>
      <c r="AG2788" s="1176"/>
      <c r="AH2788" s="1176"/>
      <c r="AI2788" s="1176"/>
      <c r="AJ2788" s="1176"/>
      <c r="AK2788" s="1176"/>
      <c r="AL2788" s="1176"/>
    </row>
    <row r="2789" spans="1:38" s="466" customFormat="1" ht="18.75" customHeight="1" x14ac:dyDescent="0.4">
      <c r="A2789" s="2402">
        <v>2783</v>
      </c>
      <c r="B2789" s="390" t="s">
        <v>3928</v>
      </c>
      <c r="C2789" s="163" t="s">
        <v>1344</v>
      </c>
      <c r="D2789" s="164" t="s">
        <v>172</v>
      </c>
      <c r="E2789" s="165" t="s">
        <v>3931</v>
      </c>
      <c r="F2789" s="170">
        <v>24564</v>
      </c>
      <c r="G2789" s="1177">
        <v>23617.02</v>
      </c>
      <c r="H2789" s="1780" t="s">
        <v>3892</v>
      </c>
      <c r="I2789" s="2287" t="s">
        <v>25</v>
      </c>
      <c r="K2789" s="1174"/>
      <c r="L2789" s="1176"/>
      <c r="M2789" s="1176"/>
      <c r="N2789" s="1176"/>
      <c r="O2789" s="1176"/>
      <c r="P2789" s="1176"/>
      <c r="Q2789" s="1176"/>
      <c r="R2789" s="1176"/>
      <c r="S2789" s="1176"/>
      <c r="T2789" s="1176"/>
      <c r="U2789" s="1176"/>
      <c r="V2789" s="1176"/>
      <c r="W2789" s="1176"/>
      <c r="X2789" s="1176"/>
      <c r="Y2789" s="1176"/>
      <c r="Z2789" s="1176"/>
      <c r="AA2789" s="1176"/>
      <c r="AB2789" s="1176"/>
      <c r="AC2789" s="1176"/>
      <c r="AD2789" s="1176"/>
      <c r="AE2789" s="1176"/>
      <c r="AF2789" s="1176"/>
      <c r="AG2789" s="1176"/>
      <c r="AH2789" s="1176"/>
      <c r="AI2789" s="1176"/>
      <c r="AJ2789" s="1176"/>
      <c r="AK2789" s="1176"/>
      <c r="AL2789" s="1176"/>
    </row>
    <row r="2790" spans="1:38" s="466" customFormat="1" ht="18.75" customHeight="1" x14ac:dyDescent="0.4">
      <c r="A2790" s="2401">
        <v>2784</v>
      </c>
      <c r="B2790" s="390" t="s">
        <v>3928</v>
      </c>
      <c r="C2790" s="163" t="s">
        <v>1344</v>
      </c>
      <c r="D2790" s="164" t="s">
        <v>172</v>
      </c>
      <c r="E2790" s="165" t="s">
        <v>3932</v>
      </c>
      <c r="F2790" s="170">
        <v>24564</v>
      </c>
      <c r="G2790" s="1177">
        <v>23617.02</v>
      </c>
      <c r="H2790" s="1780" t="s">
        <v>3892</v>
      </c>
      <c r="I2790" s="2287" t="s">
        <v>25</v>
      </c>
      <c r="K2790" s="1174"/>
      <c r="L2790" s="1176"/>
      <c r="M2790" s="1176"/>
      <c r="N2790" s="1176"/>
      <c r="O2790" s="1176"/>
      <c r="P2790" s="1176"/>
      <c r="Q2790" s="1176"/>
      <c r="R2790" s="1176"/>
      <c r="S2790" s="1176"/>
      <c r="T2790" s="1176"/>
      <c r="U2790" s="1176"/>
      <c r="V2790" s="1176"/>
      <c r="W2790" s="1176"/>
      <c r="X2790" s="1176"/>
      <c r="Y2790" s="1176"/>
      <c r="Z2790" s="1176"/>
      <c r="AA2790" s="1176"/>
      <c r="AB2790" s="1176"/>
      <c r="AC2790" s="1176"/>
      <c r="AD2790" s="1176"/>
      <c r="AE2790" s="1176"/>
      <c r="AF2790" s="1176"/>
      <c r="AG2790" s="1176"/>
      <c r="AH2790" s="1176"/>
      <c r="AI2790" s="1176"/>
      <c r="AJ2790" s="1176"/>
      <c r="AK2790" s="1176"/>
      <c r="AL2790" s="1176"/>
    </row>
    <row r="2791" spans="1:38" s="466" customFormat="1" ht="18.75" customHeight="1" x14ac:dyDescent="0.4">
      <c r="A2791" s="2402">
        <v>2785</v>
      </c>
      <c r="B2791" s="390" t="s">
        <v>3928</v>
      </c>
      <c r="C2791" s="163" t="s">
        <v>1344</v>
      </c>
      <c r="D2791" s="164" t="s">
        <v>172</v>
      </c>
      <c r="E2791" s="165" t="s">
        <v>3933</v>
      </c>
      <c r="F2791" s="170">
        <v>24564</v>
      </c>
      <c r="G2791" s="1177">
        <v>23617.02</v>
      </c>
      <c r="H2791" s="1780" t="s">
        <v>3892</v>
      </c>
      <c r="I2791" s="2287" t="s">
        <v>25</v>
      </c>
      <c r="K2791" s="1174"/>
      <c r="L2791" s="1176"/>
      <c r="M2791" s="1176"/>
      <c r="N2791" s="1176"/>
      <c r="O2791" s="1176"/>
      <c r="P2791" s="1176"/>
      <c r="Q2791" s="1176"/>
      <c r="R2791" s="1176"/>
      <c r="S2791" s="1176"/>
      <c r="T2791" s="1176"/>
      <c r="U2791" s="1176"/>
      <c r="V2791" s="1176"/>
      <c r="W2791" s="1176"/>
      <c r="X2791" s="1176"/>
      <c r="Y2791" s="1176"/>
      <c r="Z2791" s="1176"/>
      <c r="AA2791" s="1176"/>
      <c r="AB2791" s="1176"/>
      <c r="AC2791" s="1176"/>
      <c r="AD2791" s="1176"/>
      <c r="AE2791" s="1176"/>
      <c r="AF2791" s="1176"/>
      <c r="AG2791" s="1176"/>
      <c r="AH2791" s="1176"/>
      <c r="AI2791" s="1176"/>
      <c r="AJ2791" s="1176"/>
      <c r="AK2791" s="1176"/>
      <c r="AL2791" s="1176"/>
    </row>
    <row r="2792" spans="1:38" s="466" customFormat="1" ht="18.75" customHeight="1" x14ac:dyDescent="0.4">
      <c r="A2792" s="2402">
        <v>2786</v>
      </c>
      <c r="B2792" s="390" t="s">
        <v>3928</v>
      </c>
      <c r="C2792" s="163" t="s">
        <v>1344</v>
      </c>
      <c r="D2792" s="164" t="s">
        <v>172</v>
      </c>
      <c r="E2792" s="165" t="s">
        <v>3934</v>
      </c>
      <c r="F2792" s="170">
        <v>24564</v>
      </c>
      <c r="G2792" s="1177">
        <v>23617.02</v>
      </c>
      <c r="H2792" s="1780" t="s">
        <v>3892</v>
      </c>
      <c r="I2792" s="2287" t="s">
        <v>25</v>
      </c>
      <c r="K2792" s="1174"/>
      <c r="L2792" s="1176"/>
      <c r="M2792" s="1176"/>
      <c r="N2792" s="1176"/>
      <c r="O2792" s="1176"/>
      <c r="P2792" s="1176"/>
      <c r="Q2792" s="1176"/>
      <c r="R2792" s="1176"/>
      <c r="S2792" s="1176"/>
      <c r="T2792" s="1176"/>
      <c r="U2792" s="1176"/>
      <c r="V2792" s="1176"/>
      <c r="W2792" s="1176"/>
      <c r="X2792" s="1176"/>
      <c r="Y2792" s="1176"/>
      <c r="Z2792" s="1176"/>
      <c r="AA2792" s="1176"/>
      <c r="AB2792" s="1176"/>
      <c r="AC2792" s="1176"/>
      <c r="AD2792" s="1176"/>
      <c r="AE2792" s="1176"/>
      <c r="AF2792" s="1176"/>
      <c r="AG2792" s="1176"/>
      <c r="AH2792" s="1176"/>
      <c r="AI2792" s="1176"/>
      <c r="AJ2792" s="1176"/>
      <c r="AK2792" s="1176"/>
      <c r="AL2792" s="1176"/>
    </row>
    <row r="2793" spans="1:38" s="466" customFormat="1" ht="18.75" customHeight="1" x14ac:dyDescent="0.4">
      <c r="A2793" s="2402">
        <v>2787</v>
      </c>
      <c r="B2793" s="390" t="s">
        <v>3928</v>
      </c>
      <c r="C2793" s="163" t="s">
        <v>1344</v>
      </c>
      <c r="D2793" s="164" t="s">
        <v>172</v>
      </c>
      <c r="E2793" s="165" t="s">
        <v>3935</v>
      </c>
      <c r="F2793" s="170">
        <v>24564</v>
      </c>
      <c r="G2793" s="1177">
        <v>23617.02</v>
      </c>
      <c r="H2793" s="1780" t="s">
        <v>3892</v>
      </c>
      <c r="I2793" s="2287" t="s">
        <v>25</v>
      </c>
      <c r="K2793" s="1174"/>
      <c r="L2793" s="1176"/>
      <c r="M2793" s="1176"/>
      <c r="N2793" s="1176"/>
      <c r="O2793" s="1176"/>
      <c r="P2793" s="1176"/>
      <c r="Q2793" s="1176"/>
      <c r="R2793" s="1176"/>
      <c r="S2793" s="1176"/>
      <c r="T2793" s="1176"/>
      <c r="U2793" s="1176"/>
      <c r="V2793" s="1176"/>
      <c r="W2793" s="1176"/>
      <c r="X2793" s="1176"/>
      <c r="Y2793" s="1176"/>
      <c r="Z2793" s="1176"/>
      <c r="AA2793" s="1176"/>
      <c r="AB2793" s="1176"/>
      <c r="AC2793" s="1176"/>
      <c r="AD2793" s="1176"/>
      <c r="AE2793" s="1176"/>
      <c r="AF2793" s="1176"/>
      <c r="AG2793" s="1176"/>
      <c r="AH2793" s="1176"/>
      <c r="AI2793" s="1176"/>
      <c r="AJ2793" s="1176"/>
      <c r="AK2793" s="1176"/>
      <c r="AL2793" s="1176"/>
    </row>
    <row r="2794" spans="1:38" s="466" customFormat="1" ht="18.75" customHeight="1" x14ac:dyDescent="0.4">
      <c r="A2794" s="2402">
        <v>2788</v>
      </c>
      <c r="B2794" s="390" t="s">
        <v>3928</v>
      </c>
      <c r="C2794" s="163" t="s">
        <v>1344</v>
      </c>
      <c r="D2794" s="164" t="s">
        <v>172</v>
      </c>
      <c r="E2794" s="165" t="s">
        <v>3936</v>
      </c>
      <c r="F2794" s="170">
        <v>24564</v>
      </c>
      <c r="G2794" s="1177">
        <v>23617.02</v>
      </c>
      <c r="H2794" s="1780" t="s">
        <v>3892</v>
      </c>
      <c r="I2794" s="2287" t="s">
        <v>25</v>
      </c>
      <c r="K2794" s="1174"/>
      <c r="L2794" s="1176"/>
      <c r="M2794" s="1176"/>
      <c r="N2794" s="1176"/>
      <c r="O2794" s="1176"/>
      <c r="P2794" s="1176"/>
      <c r="Q2794" s="1176"/>
      <c r="R2794" s="1176"/>
      <c r="S2794" s="1176"/>
      <c r="T2794" s="1176"/>
      <c r="U2794" s="1176"/>
      <c r="V2794" s="1176"/>
      <c r="W2794" s="1176"/>
      <c r="X2794" s="1176"/>
      <c r="Y2794" s="1176"/>
      <c r="Z2794" s="1176"/>
      <c r="AA2794" s="1176"/>
      <c r="AB2794" s="1176"/>
      <c r="AC2794" s="1176"/>
      <c r="AD2794" s="1176"/>
      <c r="AE2794" s="1176"/>
      <c r="AF2794" s="1176"/>
      <c r="AG2794" s="1176"/>
      <c r="AH2794" s="1176"/>
      <c r="AI2794" s="1176"/>
      <c r="AJ2794" s="1176"/>
      <c r="AK2794" s="1176"/>
      <c r="AL2794" s="1176"/>
    </row>
    <row r="2795" spans="1:38" s="466" customFormat="1" ht="18.75" customHeight="1" x14ac:dyDescent="0.4">
      <c r="A2795" s="2401">
        <v>2789</v>
      </c>
      <c r="B2795" s="390" t="s">
        <v>3928</v>
      </c>
      <c r="C2795" s="163" t="s">
        <v>1344</v>
      </c>
      <c r="D2795" s="164" t="s">
        <v>172</v>
      </c>
      <c r="E2795" s="165" t="s">
        <v>3937</v>
      </c>
      <c r="F2795" s="170">
        <v>24564</v>
      </c>
      <c r="G2795" s="1177">
        <v>23617.02</v>
      </c>
      <c r="H2795" s="1780" t="s">
        <v>3892</v>
      </c>
      <c r="I2795" s="2287" t="s">
        <v>25</v>
      </c>
      <c r="K2795" s="1174"/>
      <c r="L2795" s="1176"/>
      <c r="M2795" s="1176"/>
      <c r="N2795" s="1176"/>
      <c r="O2795" s="1176"/>
      <c r="P2795" s="1176"/>
      <c r="Q2795" s="1176"/>
      <c r="R2795" s="1176"/>
      <c r="S2795" s="1176"/>
      <c r="T2795" s="1176"/>
      <c r="U2795" s="1176"/>
      <c r="V2795" s="1176"/>
      <c r="W2795" s="1176"/>
      <c r="X2795" s="1176"/>
      <c r="Y2795" s="1176"/>
      <c r="Z2795" s="1176"/>
      <c r="AA2795" s="1176"/>
      <c r="AB2795" s="1176"/>
      <c r="AC2795" s="1176"/>
      <c r="AD2795" s="1176"/>
      <c r="AE2795" s="1176"/>
      <c r="AF2795" s="1176"/>
      <c r="AG2795" s="1176"/>
      <c r="AH2795" s="1176"/>
      <c r="AI2795" s="1176"/>
      <c r="AJ2795" s="1176"/>
      <c r="AK2795" s="1176"/>
      <c r="AL2795" s="1176"/>
    </row>
    <row r="2796" spans="1:38" s="466" customFormat="1" ht="18.75" customHeight="1" x14ac:dyDescent="0.4">
      <c r="A2796" s="2402">
        <v>2790</v>
      </c>
      <c r="B2796" s="390" t="s">
        <v>3928</v>
      </c>
      <c r="C2796" s="163" t="s">
        <v>1344</v>
      </c>
      <c r="D2796" s="164" t="s">
        <v>172</v>
      </c>
      <c r="E2796" s="165" t="s">
        <v>3938</v>
      </c>
      <c r="F2796" s="170">
        <v>24564</v>
      </c>
      <c r="G2796" s="1177">
        <v>23617.02</v>
      </c>
      <c r="H2796" s="1780" t="s">
        <v>3892</v>
      </c>
      <c r="I2796" s="2287" t="s">
        <v>25</v>
      </c>
      <c r="K2796" s="1174"/>
      <c r="L2796" s="1176"/>
      <c r="M2796" s="1176"/>
      <c r="N2796" s="1176"/>
      <c r="O2796" s="1176"/>
      <c r="P2796" s="1176"/>
      <c r="Q2796" s="1176"/>
      <c r="R2796" s="1176"/>
      <c r="S2796" s="1176"/>
      <c r="T2796" s="1176"/>
      <c r="U2796" s="1176"/>
      <c r="V2796" s="1176"/>
      <c r="W2796" s="1176"/>
      <c r="X2796" s="1176"/>
      <c r="Y2796" s="1176"/>
      <c r="Z2796" s="1176"/>
      <c r="AA2796" s="1176"/>
      <c r="AB2796" s="1176"/>
      <c r="AC2796" s="1176"/>
      <c r="AD2796" s="1176"/>
      <c r="AE2796" s="1176"/>
      <c r="AF2796" s="1176"/>
      <c r="AG2796" s="1176"/>
      <c r="AH2796" s="1176"/>
      <c r="AI2796" s="1176"/>
      <c r="AJ2796" s="1176"/>
      <c r="AK2796" s="1176"/>
      <c r="AL2796" s="1176"/>
    </row>
    <row r="2797" spans="1:38" s="466" customFormat="1" ht="18.75" customHeight="1" x14ac:dyDescent="0.4">
      <c r="A2797" s="2402">
        <v>2791</v>
      </c>
      <c r="B2797" s="390" t="s">
        <v>3928</v>
      </c>
      <c r="C2797" s="163" t="s">
        <v>1344</v>
      </c>
      <c r="D2797" s="164" t="s">
        <v>172</v>
      </c>
      <c r="E2797" s="165" t="s">
        <v>3939</v>
      </c>
      <c r="F2797" s="170">
        <v>24564</v>
      </c>
      <c r="G2797" s="1177">
        <v>23617.02</v>
      </c>
      <c r="H2797" s="1780" t="s">
        <v>3892</v>
      </c>
      <c r="I2797" s="2287" t="s">
        <v>25</v>
      </c>
      <c r="K2797" s="1174"/>
      <c r="L2797" s="1176"/>
      <c r="M2797" s="1176"/>
      <c r="N2797" s="1176"/>
      <c r="O2797" s="1176"/>
      <c r="P2797" s="1176"/>
      <c r="Q2797" s="1176"/>
      <c r="R2797" s="1176"/>
      <c r="S2797" s="1176"/>
      <c r="T2797" s="1176"/>
      <c r="U2797" s="1176"/>
      <c r="V2797" s="1176"/>
      <c r="W2797" s="1176"/>
      <c r="X2797" s="1176"/>
      <c r="Y2797" s="1176"/>
      <c r="Z2797" s="1176"/>
      <c r="AA2797" s="1176"/>
      <c r="AB2797" s="1176"/>
      <c r="AC2797" s="1176"/>
      <c r="AD2797" s="1176"/>
      <c r="AE2797" s="1176"/>
      <c r="AF2797" s="1176"/>
      <c r="AG2797" s="1176"/>
      <c r="AH2797" s="1176"/>
      <c r="AI2797" s="1176"/>
      <c r="AJ2797" s="1176"/>
      <c r="AK2797" s="1176"/>
      <c r="AL2797" s="1176"/>
    </row>
    <row r="2798" spans="1:38" s="466" customFormat="1" ht="18.75" customHeight="1" x14ac:dyDescent="0.4">
      <c r="A2798" s="2402">
        <v>2792</v>
      </c>
      <c r="B2798" s="390" t="s">
        <v>3928</v>
      </c>
      <c r="C2798" s="163" t="s">
        <v>1344</v>
      </c>
      <c r="D2798" s="164" t="s">
        <v>172</v>
      </c>
      <c r="E2798" s="165" t="s">
        <v>3940</v>
      </c>
      <c r="F2798" s="170">
        <v>24564</v>
      </c>
      <c r="G2798" s="1177">
        <v>23617.02</v>
      </c>
      <c r="H2798" s="1780" t="s">
        <v>3892</v>
      </c>
      <c r="I2798" s="2287" t="s">
        <v>25</v>
      </c>
      <c r="K2798" s="1174"/>
      <c r="L2798" s="1176"/>
      <c r="M2798" s="1176"/>
      <c r="N2798" s="1176"/>
      <c r="O2798" s="1176"/>
      <c r="P2798" s="1176"/>
      <c r="Q2798" s="1176"/>
      <c r="R2798" s="1176"/>
      <c r="S2798" s="1176"/>
      <c r="T2798" s="1176"/>
      <c r="U2798" s="1176"/>
      <c r="V2798" s="1176"/>
      <c r="W2798" s="1176"/>
      <c r="X2798" s="1176"/>
      <c r="Y2798" s="1176"/>
      <c r="Z2798" s="1176"/>
      <c r="AA2798" s="1176"/>
      <c r="AB2798" s="1176"/>
      <c r="AC2798" s="1176"/>
      <c r="AD2798" s="1176"/>
      <c r="AE2798" s="1176"/>
      <c r="AF2798" s="1176"/>
      <c r="AG2798" s="1176"/>
      <c r="AH2798" s="1176"/>
      <c r="AI2798" s="1176"/>
      <c r="AJ2798" s="1176"/>
      <c r="AK2798" s="1176"/>
      <c r="AL2798" s="1176"/>
    </row>
    <row r="2799" spans="1:38" s="466" customFormat="1" ht="18.75" customHeight="1" x14ac:dyDescent="0.4">
      <c r="A2799" s="2401">
        <v>2793</v>
      </c>
      <c r="B2799" s="390" t="s">
        <v>3928</v>
      </c>
      <c r="C2799" s="163" t="s">
        <v>1344</v>
      </c>
      <c r="D2799" s="164" t="s">
        <v>172</v>
      </c>
      <c r="E2799" s="165" t="s">
        <v>3941</v>
      </c>
      <c r="F2799" s="170">
        <v>24564</v>
      </c>
      <c r="G2799" s="1177">
        <v>23617.02</v>
      </c>
      <c r="H2799" s="1780" t="s">
        <v>3892</v>
      </c>
      <c r="I2799" s="2287" t="s">
        <v>25</v>
      </c>
      <c r="K2799" s="1174"/>
      <c r="L2799" s="1176"/>
      <c r="M2799" s="1176"/>
      <c r="N2799" s="1176"/>
      <c r="O2799" s="1176"/>
      <c r="P2799" s="1176"/>
      <c r="Q2799" s="1176"/>
      <c r="R2799" s="1176"/>
      <c r="S2799" s="1176"/>
      <c r="T2799" s="1176"/>
      <c r="U2799" s="1176"/>
      <c r="V2799" s="1176"/>
      <c r="W2799" s="1176"/>
      <c r="X2799" s="1176"/>
      <c r="Y2799" s="1176"/>
      <c r="Z2799" s="1176"/>
      <c r="AA2799" s="1176"/>
      <c r="AB2799" s="1176"/>
      <c r="AC2799" s="1176"/>
      <c r="AD2799" s="1176"/>
      <c r="AE2799" s="1176"/>
      <c r="AF2799" s="1176"/>
      <c r="AG2799" s="1176"/>
      <c r="AH2799" s="1176"/>
      <c r="AI2799" s="1176"/>
      <c r="AJ2799" s="1176"/>
      <c r="AK2799" s="1176"/>
      <c r="AL2799" s="1176"/>
    </row>
    <row r="2800" spans="1:38" s="466" customFormat="1" ht="18.75" customHeight="1" x14ac:dyDescent="0.4">
      <c r="A2800" s="2402">
        <v>2794</v>
      </c>
      <c r="B2800" s="390" t="s">
        <v>3928</v>
      </c>
      <c r="C2800" s="163" t="s">
        <v>1344</v>
      </c>
      <c r="D2800" s="164" t="s">
        <v>172</v>
      </c>
      <c r="E2800" s="165" t="s">
        <v>3942</v>
      </c>
      <c r="F2800" s="170">
        <v>24564</v>
      </c>
      <c r="G2800" s="1177">
        <v>23617.02</v>
      </c>
      <c r="H2800" s="1780" t="s">
        <v>3892</v>
      </c>
      <c r="I2800" s="2287" t="s">
        <v>25</v>
      </c>
      <c r="K2800" s="1174"/>
      <c r="L2800" s="1176"/>
      <c r="M2800" s="1176"/>
      <c r="N2800" s="1176"/>
      <c r="O2800" s="1176"/>
      <c r="P2800" s="1176"/>
      <c r="Q2800" s="1176"/>
      <c r="R2800" s="1176"/>
      <c r="S2800" s="1176"/>
      <c r="T2800" s="1176"/>
      <c r="U2800" s="1176"/>
      <c r="V2800" s="1176"/>
      <c r="W2800" s="1176"/>
      <c r="X2800" s="1176"/>
      <c r="Y2800" s="1176"/>
      <c r="Z2800" s="1176"/>
      <c r="AA2800" s="1176"/>
      <c r="AB2800" s="1176"/>
      <c r="AC2800" s="1176"/>
      <c r="AD2800" s="1176"/>
      <c r="AE2800" s="1176"/>
      <c r="AF2800" s="1176"/>
      <c r="AG2800" s="1176"/>
      <c r="AH2800" s="1176"/>
      <c r="AI2800" s="1176"/>
      <c r="AJ2800" s="1176"/>
      <c r="AK2800" s="1176"/>
      <c r="AL2800" s="1176"/>
    </row>
    <row r="2801" spans="1:38" s="466" customFormat="1" ht="18.75" customHeight="1" x14ac:dyDescent="0.4">
      <c r="A2801" s="2402">
        <v>2795</v>
      </c>
      <c r="B2801" s="390" t="s">
        <v>3928</v>
      </c>
      <c r="C2801" s="163" t="s">
        <v>1344</v>
      </c>
      <c r="D2801" s="164" t="s">
        <v>172</v>
      </c>
      <c r="E2801" s="165" t="s">
        <v>3943</v>
      </c>
      <c r="F2801" s="170">
        <v>24564</v>
      </c>
      <c r="G2801" s="1177">
        <v>23617.02</v>
      </c>
      <c r="H2801" s="1780" t="s">
        <v>3892</v>
      </c>
      <c r="I2801" s="2287" t="s">
        <v>25</v>
      </c>
      <c r="K2801" s="1174"/>
      <c r="L2801" s="1176"/>
      <c r="M2801" s="1176"/>
      <c r="N2801" s="1176"/>
      <c r="O2801" s="1176"/>
      <c r="P2801" s="1176"/>
      <c r="Q2801" s="1176"/>
      <c r="R2801" s="1176"/>
      <c r="S2801" s="1176"/>
      <c r="T2801" s="1176"/>
      <c r="U2801" s="1176"/>
      <c r="V2801" s="1176"/>
      <c r="W2801" s="1176"/>
      <c r="X2801" s="1176"/>
      <c r="Y2801" s="1176"/>
      <c r="Z2801" s="1176"/>
      <c r="AA2801" s="1176"/>
      <c r="AB2801" s="1176"/>
      <c r="AC2801" s="1176"/>
      <c r="AD2801" s="1176"/>
      <c r="AE2801" s="1176"/>
      <c r="AF2801" s="1176"/>
      <c r="AG2801" s="1176"/>
      <c r="AH2801" s="1176"/>
      <c r="AI2801" s="1176"/>
      <c r="AJ2801" s="1176"/>
      <c r="AK2801" s="1176"/>
      <c r="AL2801" s="1176"/>
    </row>
    <row r="2802" spans="1:38" s="466" customFormat="1" ht="18.75" customHeight="1" x14ac:dyDescent="0.4">
      <c r="A2802" s="2402">
        <v>2796</v>
      </c>
      <c r="B2802" s="390" t="s">
        <v>3928</v>
      </c>
      <c r="C2802" s="163" t="s">
        <v>1344</v>
      </c>
      <c r="D2802" s="164" t="s">
        <v>172</v>
      </c>
      <c r="E2802" s="165" t="s">
        <v>3944</v>
      </c>
      <c r="F2802" s="170">
        <v>24564</v>
      </c>
      <c r="G2802" s="1177">
        <v>23617.02</v>
      </c>
      <c r="H2802" s="1780" t="s">
        <v>3892</v>
      </c>
      <c r="I2802" s="2287" t="s">
        <v>25</v>
      </c>
      <c r="K2802" s="1174"/>
      <c r="L2802" s="1176"/>
      <c r="M2802" s="1176"/>
      <c r="N2802" s="1176"/>
      <c r="O2802" s="1176"/>
      <c r="P2802" s="1176"/>
      <c r="Q2802" s="1176"/>
      <c r="R2802" s="1176"/>
      <c r="S2802" s="1176"/>
      <c r="T2802" s="1176"/>
      <c r="U2802" s="1176"/>
      <c r="V2802" s="1176"/>
      <c r="W2802" s="1176"/>
      <c r="X2802" s="1176"/>
      <c r="Y2802" s="1176"/>
      <c r="Z2802" s="1176"/>
      <c r="AA2802" s="1176"/>
      <c r="AB2802" s="1176"/>
      <c r="AC2802" s="1176"/>
      <c r="AD2802" s="1176"/>
      <c r="AE2802" s="1176"/>
      <c r="AF2802" s="1176"/>
      <c r="AG2802" s="1176"/>
      <c r="AH2802" s="1176"/>
      <c r="AI2802" s="1176"/>
      <c r="AJ2802" s="1176"/>
      <c r="AK2802" s="1176"/>
      <c r="AL2802" s="1176"/>
    </row>
    <row r="2803" spans="1:38" s="466" customFormat="1" ht="18.75" customHeight="1" x14ac:dyDescent="0.4">
      <c r="A2803" s="2402">
        <v>2797</v>
      </c>
      <c r="B2803" s="390" t="s">
        <v>3928</v>
      </c>
      <c r="C2803" s="163" t="s">
        <v>1344</v>
      </c>
      <c r="D2803" s="164" t="s">
        <v>172</v>
      </c>
      <c r="E2803" s="165" t="s">
        <v>3945</v>
      </c>
      <c r="F2803" s="170">
        <v>24564</v>
      </c>
      <c r="G2803" s="1177">
        <v>23617.02</v>
      </c>
      <c r="H2803" s="1780" t="s">
        <v>3892</v>
      </c>
      <c r="I2803" s="2287" t="s">
        <v>25</v>
      </c>
      <c r="K2803" s="1174"/>
      <c r="L2803" s="1176"/>
      <c r="M2803" s="1176"/>
      <c r="N2803" s="1176"/>
      <c r="O2803" s="1176"/>
      <c r="P2803" s="1176"/>
      <c r="Q2803" s="1176"/>
      <c r="R2803" s="1176"/>
      <c r="S2803" s="1176"/>
      <c r="T2803" s="1176"/>
      <c r="U2803" s="1176"/>
      <c r="V2803" s="1176"/>
      <c r="W2803" s="1176"/>
      <c r="X2803" s="1176"/>
      <c r="Y2803" s="1176"/>
      <c r="Z2803" s="1176"/>
      <c r="AA2803" s="1176"/>
      <c r="AB2803" s="1176"/>
      <c r="AC2803" s="1176"/>
      <c r="AD2803" s="1176"/>
      <c r="AE2803" s="1176"/>
      <c r="AF2803" s="1176"/>
      <c r="AG2803" s="1176"/>
      <c r="AH2803" s="1176"/>
      <c r="AI2803" s="1176"/>
      <c r="AJ2803" s="1176"/>
      <c r="AK2803" s="1176"/>
      <c r="AL2803" s="1176"/>
    </row>
    <row r="2804" spans="1:38" s="466" customFormat="1" ht="18.75" customHeight="1" x14ac:dyDescent="0.4">
      <c r="A2804" s="2401">
        <v>2798</v>
      </c>
      <c r="B2804" s="390" t="s">
        <v>3928</v>
      </c>
      <c r="C2804" s="163" t="s">
        <v>1344</v>
      </c>
      <c r="D2804" s="164" t="s">
        <v>172</v>
      </c>
      <c r="E2804" s="165" t="s">
        <v>3946</v>
      </c>
      <c r="F2804" s="170">
        <v>24564</v>
      </c>
      <c r="G2804" s="1177">
        <v>23617.02</v>
      </c>
      <c r="H2804" s="1780" t="s">
        <v>3892</v>
      </c>
      <c r="I2804" s="2287" t="s">
        <v>25</v>
      </c>
      <c r="K2804" s="1174"/>
      <c r="L2804" s="1176"/>
      <c r="M2804" s="1176"/>
      <c r="N2804" s="1176"/>
      <c r="O2804" s="1176"/>
      <c r="P2804" s="1176"/>
      <c r="Q2804" s="1176"/>
      <c r="R2804" s="1176"/>
      <c r="S2804" s="1176"/>
      <c r="T2804" s="1176"/>
      <c r="U2804" s="1176"/>
      <c r="V2804" s="1176"/>
      <c r="W2804" s="1176"/>
      <c r="X2804" s="1176"/>
      <c r="Y2804" s="1176"/>
      <c r="Z2804" s="1176"/>
      <c r="AA2804" s="1176"/>
      <c r="AB2804" s="1176"/>
      <c r="AC2804" s="1176"/>
      <c r="AD2804" s="1176"/>
      <c r="AE2804" s="1176"/>
      <c r="AF2804" s="1176"/>
      <c r="AG2804" s="1176"/>
      <c r="AH2804" s="1176"/>
      <c r="AI2804" s="1176"/>
      <c r="AJ2804" s="1176"/>
      <c r="AK2804" s="1176"/>
      <c r="AL2804" s="1176"/>
    </row>
    <row r="2805" spans="1:38" s="466" customFormat="1" ht="18.75" customHeight="1" x14ac:dyDescent="0.4">
      <c r="A2805" s="2402">
        <v>2799</v>
      </c>
      <c r="B2805" s="390" t="s">
        <v>3928</v>
      </c>
      <c r="C2805" s="163" t="s">
        <v>1344</v>
      </c>
      <c r="D2805" s="164" t="s">
        <v>172</v>
      </c>
      <c r="E2805" s="165" t="s">
        <v>3947</v>
      </c>
      <c r="F2805" s="170">
        <v>24564</v>
      </c>
      <c r="G2805" s="1177">
        <v>23617.02</v>
      </c>
      <c r="H2805" s="1780" t="s">
        <v>3892</v>
      </c>
      <c r="I2805" s="2287" t="s">
        <v>25</v>
      </c>
      <c r="K2805" s="1174"/>
      <c r="L2805" s="1176"/>
      <c r="M2805" s="1176"/>
      <c r="N2805" s="1176"/>
      <c r="O2805" s="1176"/>
      <c r="P2805" s="1176"/>
      <c r="Q2805" s="1176"/>
      <c r="R2805" s="1176"/>
      <c r="S2805" s="1176"/>
      <c r="T2805" s="1176"/>
      <c r="U2805" s="1176"/>
      <c r="V2805" s="1176"/>
      <c r="W2805" s="1176"/>
      <c r="X2805" s="1176"/>
      <c r="Y2805" s="1176"/>
      <c r="Z2805" s="1176"/>
      <c r="AA2805" s="1176"/>
      <c r="AB2805" s="1176"/>
      <c r="AC2805" s="1176"/>
      <c r="AD2805" s="1176"/>
      <c r="AE2805" s="1176"/>
      <c r="AF2805" s="1176"/>
      <c r="AG2805" s="1176"/>
      <c r="AH2805" s="1176"/>
      <c r="AI2805" s="1176"/>
      <c r="AJ2805" s="1176"/>
      <c r="AK2805" s="1176"/>
      <c r="AL2805" s="1176"/>
    </row>
    <row r="2806" spans="1:38" s="466" customFormat="1" ht="18.75" customHeight="1" x14ac:dyDescent="0.4">
      <c r="A2806" s="2402">
        <v>2800</v>
      </c>
      <c r="B2806" s="390" t="s">
        <v>3928</v>
      </c>
      <c r="C2806" s="163" t="s">
        <v>1344</v>
      </c>
      <c r="D2806" s="164" t="s">
        <v>172</v>
      </c>
      <c r="E2806" s="165" t="s">
        <v>3948</v>
      </c>
      <c r="F2806" s="170">
        <v>24564</v>
      </c>
      <c r="G2806" s="1177">
        <v>23617.02</v>
      </c>
      <c r="H2806" s="1780" t="s">
        <v>3892</v>
      </c>
      <c r="I2806" s="2287" t="s">
        <v>25</v>
      </c>
      <c r="K2806" s="1174"/>
      <c r="L2806" s="1176"/>
      <c r="M2806" s="1176"/>
      <c r="N2806" s="1176"/>
      <c r="O2806" s="1176"/>
      <c r="P2806" s="1176"/>
      <c r="Q2806" s="1176"/>
      <c r="R2806" s="1176"/>
      <c r="S2806" s="1176"/>
      <c r="T2806" s="1176"/>
      <c r="U2806" s="1176"/>
      <c r="V2806" s="1176"/>
      <c r="W2806" s="1176"/>
      <c r="X2806" s="1176"/>
      <c r="Y2806" s="1176"/>
      <c r="Z2806" s="1176"/>
      <c r="AA2806" s="1176"/>
      <c r="AB2806" s="1176"/>
      <c r="AC2806" s="1176"/>
      <c r="AD2806" s="1176"/>
      <c r="AE2806" s="1176"/>
      <c r="AF2806" s="1176"/>
      <c r="AG2806" s="1176"/>
      <c r="AH2806" s="1176"/>
      <c r="AI2806" s="1176"/>
      <c r="AJ2806" s="1176"/>
      <c r="AK2806" s="1176"/>
      <c r="AL2806" s="1176"/>
    </row>
    <row r="2807" spans="1:38" s="466" customFormat="1" ht="18.75" customHeight="1" x14ac:dyDescent="0.4">
      <c r="A2807" s="2402">
        <v>2801</v>
      </c>
      <c r="B2807" s="390" t="s">
        <v>3928</v>
      </c>
      <c r="C2807" s="163" t="s">
        <v>1344</v>
      </c>
      <c r="D2807" s="164" t="s">
        <v>172</v>
      </c>
      <c r="E2807" s="165" t="s">
        <v>3949</v>
      </c>
      <c r="F2807" s="170">
        <v>24564</v>
      </c>
      <c r="G2807" s="1177">
        <v>23617.02</v>
      </c>
      <c r="H2807" s="1780" t="s">
        <v>3892</v>
      </c>
      <c r="I2807" s="2287" t="s">
        <v>25</v>
      </c>
      <c r="K2807" s="1174"/>
      <c r="L2807" s="1176"/>
      <c r="M2807" s="1176"/>
      <c r="N2807" s="1176"/>
      <c r="O2807" s="1176"/>
      <c r="P2807" s="1176"/>
      <c r="Q2807" s="1176"/>
      <c r="R2807" s="1176"/>
      <c r="S2807" s="1176"/>
      <c r="T2807" s="1176"/>
      <c r="U2807" s="1176"/>
      <c r="V2807" s="1176"/>
      <c r="W2807" s="1176"/>
      <c r="X2807" s="1176"/>
      <c r="Y2807" s="1176"/>
      <c r="Z2807" s="1176"/>
      <c r="AA2807" s="1176"/>
      <c r="AB2807" s="1176"/>
      <c r="AC2807" s="1176"/>
      <c r="AD2807" s="1176"/>
      <c r="AE2807" s="1176"/>
      <c r="AF2807" s="1176"/>
      <c r="AG2807" s="1176"/>
      <c r="AH2807" s="1176"/>
      <c r="AI2807" s="1176"/>
      <c r="AJ2807" s="1176"/>
      <c r="AK2807" s="1176"/>
      <c r="AL2807" s="1176"/>
    </row>
    <row r="2808" spans="1:38" s="466" customFormat="1" ht="18.75" customHeight="1" x14ac:dyDescent="0.4">
      <c r="A2808" s="2401">
        <v>2802</v>
      </c>
      <c r="B2808" s="390" t="s">
        <v>3928</v>
      </c>
      <c r="C2808" s="163" t="s">
        <v>1344</v>
      </c>
      <c r="D2808" s="164" t="s">
        <v>172</v>
      </c>
      <c r="E2808" s="165" t="s">
        <v>3950</v>
      </c>
      <c r="F2808" s="170">
        <v>24564</v>
      </c>
      <c r="G2808" s="1177">
        <v>23617.02</v>
      </c>
      <c r="H2808" s="1780" t="s">
        <v>3892</v>
      </c>
      <c r="I2808" s="2287" t="s">
        <v>25</v>
      </c>
      <c r="K2808" s="1174"/>
      <c r="L2808" s="1176"/>
      <c r="M2808" s="1176"/>
      <c r="N2808" s="1176"/>
      <c r="O2808" s="1176"/>
      <c r="P2808" s="1176"/>
      <c r="Q2808" s="1176"/>
      <c r="R2808" s="1176"/>
      <c r="S2808" s="1176"/>
      <c r="T2808" s="1176"/>
      <c r="U2808" s="1176"/>
      <c r="V2808" s="1176"/>
      <c r="W2808" s="1176"/>
      <c r="X2808" s="1176"/>
      <c r="Y2808" s="1176"/>
      <c r="Z2808" s="1176"/>
      <c r="AA2808" s="1176"/>
      <c r="AB2808" s="1176"/>
      <c r="AC2808" s="1176"/>
      <c r="AD2808" s="1176"/>
      <c r="AE2808" s="1176"/>
      <c r="AF2808" s="1176"/>
      <c r="AG2808" s="1176"/>
      <c r="AH2808" s="1176"/>
      <c r="AI2808" s="1176"/>
      <c r="AJ2808" s="1176"/>
      <c r="AK2808" s="1176"/>
      <c r="AL2808" s="1176"/>
    </row>
    <row r="2809" spans="1:38" s="466" customFormat="1" ht="18.75" customHeight="1" x14ac:dyDescent="0.4">
      <c r="A2809" s="2402">
        <v>2803</v>
      </c>
      <c r="B2809" s="390" t="s">
        <v>3928</v>
      </c>
      <c r="C2809" s="163" t="s">
        <v>1344</v>
      </c>
      <c r="D2809" s="164" t="s">
        <v>172</v>
      </c>
      <c r="E2809" s="165" t="s">
        <v>3951</v>
      </c>
      <c r="F2809" s="170">
        <v>24564</v>
      </c>
      <c r="G2809" s="1177">
        <v>23617.02</v>
      </c>
      <c r="H2809" s="1780" t="s">
        <v>3892</v>
      </c>
      <c r="I2809" s="2287" t="s">
        <v>25</v>
      </c>
      <c r="K2809" s="1174"/>
      <c r="L2809" s="1176"/>
      <c r="M2809" s="1176"/>
      <c r="N2809" s="1176"/>
      <c r="O2809" s="1176"/>
      <c r="P2809" s="1176"/>
      <c r="Q2809" s="1176"/>
      <c r="R2809" s="1176"/>
      <c r="S2809" s="1176"/>
      <c r="T2809" s="1176"/>
      <c r="U2809" s="1176"/>
      <c r="V2809" s="1176"/>
      <c r="W2809" s="1176"/>
      <c r="X2809" s="1176"/>
      <c r="Y2809" s="1176"/>
      <c r="Z2809" s="1176"/>
      <c r="AA2809" s="1176"/>
      <c r="AB2809" s="1176"/>
      <c r="AC2809" s="1176"/>
      <c r="AD2809" s="1176"/>
      <c r="AE2809" s="1176"/>
      <c r="AF2809" s="1176"/>
      <c r="AG2809" s="1176"/>
      <c r="AH2809" s="1176"/>
      <c r="AI2809" s="1176"/>
      <c r="AJ2809" s="1176"/>
      <c r="AK2809" s="1176"/>
      <c r="AL2809" s="1176"/>
    </row>
    <row r="2810" spans="1:38" s="466" customFormat="1" ht="18.75" customHeight="1" x14ac:dyDescent="0.4">
      <c r="A2810" s="2402">
        <v>2804</v>
      </c>
      <c r="B2810" s="390" t="s">
        <v>3928</v>
      </c>
      <c r="C2810" s="163" t="s">
        <v>1344</v>
      </c>
      <c r="D2810" s="164" t="s">
        <v>172</v>
      </c>
      <c r="E2810" s="165" t="s">
        <v>3952</v>
      </c>
      <c r="F2810" s="170">
        <v>24564</v>
      </c>
      <c r="G2810" s="1177">
        <v>23617.02</v>
      </c>
      <c r="H2810" s="1780" t="s">
        <v>3892</v>
      </c>
      <c r="I2810" s="2287" t="s">
        <v>25</v>
      </c>
      <c r="K2810" s="1174"/>
      <c r="L2810" s="1176"/>
      <c r="M2810" s="1176"/>
      <c r="N2810" s="1176"/>
      <c r="O2810" s="1176"/>
      <c r="P2810" s="1176"/>
      <c r="Q2810" s="1176"/>
      <c r="R2810" s="1176"/>
      <c r="S2810" s="1176"/>
      <c r="T2810" s="1176"/>
      <c r="U2810" s="1176"/>
      <c r="V2810" s="1176"/>
      <c r="W2810" s="1176"/>
      <c r="X2810" s="1176"/>
      <c r="Y2810" s="1176"/>
      <c r="Z2810" s="1176"/>
      <c r="AA2810" s="1176"/>
      <c r="AB2810" s="1176"/>
      <c r="AC2810" s="1176"/>
      <c r="AD2810" s="1176"/>
      <c r="AE2810" s="1176"/>
      <c r="AF2810" s="1176"/>
      <c r="AG2810" s="1176"/>
      <c r="AH2810" s="1176"/>
      <c r="AI2810" s="1176"/>
      <c r="AJ2810" s="1176"/>
      <c r="AK2810" s="1176"/>
      <c r="AL2810" s="1176"/>
    </row>
    <row r="2811" spans="1:38" s="466" customFormat="1" ht="18.75" customHeight="1" x14ac:dyDescent="0.4">
      <c r="A2811" s="2402">
        <v>2805</v>
      </c>
      <c r="B2811" s="390" t="s">
        <v>3928</v>
      </c>
      <c r="C2811" s="163" t="s">
        <v>1344</v>
      </c>
      <c r="D2811" s="164" t="s">
        <v>172</v>
      </c>
      <c r="E2811" s="165" t="s">
        <v>3953</v>
      </c>
      <c r="F2811" s="170">
        <v>24564</v>
      </c>
      <c r="G2811" s="1177">
        <v>23617.02</v>
      </c>
      <c r="H2811" s="1780" t="s">
        <v>3892</v>
      </c>
      <c r="I2811" s="2287" t="s">
        <v>25</v>
      </c>
      <c r="K2811" s="1174"/>
      <c r="L2811" s="1176"/>
      <c r="M2811" s="1176"/>
      <c r="N2811" s="1176"/>
      <c r="O2811" s="1176"/>
      <c r="P2811" s="1176"/>
      <c r="Q2811" s="1176"/>
      <c r="R2811" s="1176"/>
      <c r="S2811" s="1176"/>
      <c r="T2811" s="1176"/>
      <c r="U2811" s="1176"/>
      <c r="V2811" s="1176"/>
      <c r="W2811" s="1176"/>
      <c r="X2811" s="1176"/>
      <c r="Y2811" s="1176"/>
      <c r="Z2811" s="1176"/>
      <c r="AA2811" s="1176"/>
      <c r="AB2811" s="1176"/>
      <c r="AC2811" s="1176"/>
      <c r="AD2811" s="1176"/>
      <c r="AE2811" s="1176"/>
      <c r="AF2811" s="1176"/>
      <c r="AG2811" s="1176"/>
      <c r="AH2811" s="1176"/>
      <c r="AI2811" s="1176"/>
      <c r="AJ2811" s="1176"/>
      <c r="AK2811" s="1176"/>
      <c r="AL2811" s="1176"/>
    </row>
    <row r="2812" spans="1:38" s="466" customFormat="1" ht="18.75" customHeight="1" x14ac:dyDescent="0.4">
      <c r="A2812" s="2402">
        <v>2806</v>
      </c>
      <c r="B2812" s="390" t="s">
        <v>3928</v>
      </c>
      <c r="C2812" s="163" t="s">
        <v>1344</v>
      </c>
      <c r="D2812" s="164" t="s">
        <v>172</v>
      </c>
      <c r="E2812" s="165" t="s">
        <v>3954</v>
      </c>
      <c r="F2812" s="170">
        <v>24564</v>
      </c>
      <c r="G2812" s="1177">
        <v>23617.02</v>
      </c>
      <c r="H2812" s="1780" t="s">
        <v>3892</v>
      </c>
      <c r="I2812" s="2287" t="s">
        <v>25</v>
      </c>
      <c r="K2812" s="1174"/>
      <c r="L2812" s="1176"/>
      <c r="M2812" s="1176"/>
      <c r="N2812" s="1176"/>
      <c r="O2812" s="1176"/>
      <c r="P2812" s="1176"/>
      <c r="Q2812" s="1176"/>
      <c r="R2812" s="1176"/>
      <c r="S2812" s="1176"/>
      <c r="T2812" s="1176"/>
      <c r="U2812" s="1176"/>
      <c r="V2812" s="1176"/>
      <c r="W2812" s="1176"/>
      <c r="X2812" s="1176"/>
      <c r="Y2812" s="1176"/>
      <c r="Z2812" s="1176"/>
      <c r="AA2812" s="1176"/>
      <c r="AB2812" s="1176"/>
      <c r="AC2812" s="1176"/>
      <c r="AD2812" s="1176"/>
      <c r="AE2812" s="1176"/>
      <c r="AF2812" s="1176"/>
      <c r="AG2812" s="1176"/>
      <c r="AH2812" s="1176"/>
      <c r="AI2812" s="1176"/>
      <c r="AJ2812" s="1176"/>
      <c r="AK2812" s="1176"/>
      <c r="AL2812" s="1176"/>
    </row>
    <row r="2813" spans="1:38" s="466" customFormat="1" ht="18.75" customHeight="1" x14ac:dyDescent="0.4">
      <c r="A2813" s="2401">
        <v>2807</v>
      </c>
      <c r="B2813" s="390" t="s">
        <v>3928</v>
      </c>
      <c r="C2813" s="163" t="s">
        <v>1344</v>
      </c>
      <c r="D2813" s="164" t="s">
        <v>172</v>
      </c>
      <c r="E2813" s="165" t="s">
        <v>3955</v>
      </c>
      <c r="F2813" s="170">
        <v>24564</v>
      </c>
      <c r="G2813" s="1177">
        <v>23617.02</v>
      </c>
      <c r="H2813" s="1780" t="s">
        <v>3892</v>
      </c>
      <c r="I2813" s="2287" t="s">
        <v>25</v>
      </c>
      <c r="K2813" s="1174"/>
      <c r="L2813" s="1176"/>
      <c r="M2813" s="1176"/>
      <c r="N2813" s="1176"/>
      <c r="O2813" s="1176"/>
      <c r="P2813" s="1176"/>
      <c r="Q2813" s="1176"/>
      <c r="R2813" s="1176"/>
      <c r="S2813" s="1176"/>
      <c r="T2813" s="1176"/>
      <c r="U2813" s="1176"/>
      <c r="V2813" s="1176"/>
      <c r="W2813" s="1176"/>
      <c r="X2813" s="1176"/>
      <c r="Y2813" s="1176"/>
      <c r="Z2813" s="1176"/>
      <c r="AA2813" s="1176"/>
      <c r="AB2813" s="1176"/>
      <c r="AC2813" s="1176"/>
      <c r="AD2813" s="1176"/>
      <c r="AE2813" s="1176"/>
      <c r="AF2813" s="1176"/>
      <c r="AG2813" s="1176"/>
      <c r="AH2813" s="1176"/>
      <c r="AI2813" s="1176"/>
      <c r="AJ2813" s="1176"/>
      <c r="AK2813" s="1176"/>
      <c r="AL2813" s="1176"/>
    </row>
    <row r="2814" spans="1:38" s="466" customFormat="1" ht="18.75" customHeight="1" x14ac:dyDescent="0.4">
      <c r="A2814" s="2402">
        <v>2808</v>
      </c>
      <c r="B2814" s="390" t="s">
        <v>3928</v>
      </c>
      <c r="C2814" s="163" t="s">
        <v>1344</v>
      </c>
      <c r="D2814" s="164" t="s">
        <v>172</v>
      </c>
      <c r="E2814" s="165" t="s">
        <v>3956</v>
      </c>
      <c r="F2814" s="170">
        <v>24564</v>
      </c>
      <c r="G2814" s="1177">
        <v>23617.02</v>
      </c>
      <c r="H2814" s="1780" t="s">
        <v>3892</v>
      </c>
      <c r="I2814" s="2287" t="s">
        <v>25</v>
      </c>
      <c r="K2814" s="1174"/>
      <c r="L2814" s="1176"/>
      <c r="M2814" s="1176"/>
      <c r="N2814" s="1176"/>
      <c r="O2814" s="1176"/>
      <c r="P2814" s="1176"/>
      <c r="Q2814" s="1176"/>
      <c r="R2814" s="1176"/>
      <c r="S2814" s="1176"/>
      <c r="T2814" s="1176"/>
      <c r="U2814" s="1176"/>
      <c r="V2814" s="1176"/>
      <c r="W2814" s="1176"/>
      <c r="X2814" s="1176"/>
      <c r="Y2814" s="1176"/>
      <c r="Z2814" s="1176"/>
      <c r="AA2814" s="1176"/>
      <c r="AB2814" s="1176"/>
      <c r="AC2814" s="1176"/>
      <c r="AD2814" s="1176"/>
      <c r="AE2814" s="1176"/>
      <c r="AF2814" s="1176"/>
      <c r="AG2814" s="1176"/>
      <c r="AH2814" s="1176"/>
      <c r="AI2814" s="1176"/>
      <c r="AJ2814" s="1176"/>
      <c r="AK2814" s="1176"/>
      <c r="AL2814" s="1176"/>
    </row>
    <row r="2815" spans="1:38" s="466" customFormat="1" ht="18.75" customHeight="1" x14ac:dyDescent="0.4">
      <c r="A2815" s="2402">
        <v>2809</v>
      </c>
      <c r="B2815" s="390" t="s">
        <v>3928</v>
      </c>
      <c r="C2815" s="163" t="s">
        <v>1344</v>
      </c>
      <c r="D2815" s="164" t="s">
        <v>172</v>
      </c>
      <c r="E2815" s="165" t="s">
        <v>3957</v>
      </c>
      <c r="F2815" s="170">
        <v>24564</v>
      </c>
      <c r="G2815" s="1177">
        <v>23617.02</v>
      </c>
      <c r="H2815" s="1780" t="s">
        <v>3892</v>
      </c>
      <c r="I2815" s="2287" t="s">
        <v>25</v>
      </c>
      <c r="K2815" s="1174"/>
      <c r="L2815" s="1176"/>
      <c r="M2815" s="1176"/>
      <c r="N2815" s="1176"/>
      <c r="O2815" s="1176"/>
      <c r="P2815" s="1176"/>
      <c r="Q2815" s="1176"/>
      <c r="R2815" s="1176"/>
      <c r="S2815" s="1176"/>
      <c r="T2815" s="1176"/>
      <c r="U2815" s="1176"/>
      <c r="V2815" s="1176"/>
      <c r="W2815" s="1176"/>
      <c r="X2815" s="1176"/>
      <c r="Y2815" s="1176"/>
      <c r="Z2815" s="1176"/>
      <c r="AA2815" s="1176"/>
      <c r="AB2815" s="1176"/>
      <c r="AC2815" s="1176"/>
      <c r="AD2815" s="1176"/>
      <c r="AE2815" s="1176"/>
      <c r="AF2815" s="1176"/>
      <c r="AG2815" s="1176"/>
      <c r="AH2815" s="1176"/>
      <c r="AI2815" s="1176"/>
      <c r="AJ2815" s="1176"/>
      <c r="AK2815" s="1176"/>
      <c r="AL2815" s="1176"/>
    </row>
    <row r="2816" spans="1:38" s="466" customFormat="1" ht="18.75" customHeight="1" x14ac:dyDescent="0.4">
      <c r="A2816" s="2402">
        <v>2810</v>
      </c>
      <c r="B2816" s="390" t="s">
        <v>3928</v>
      </c>
      <c r="C2816" s="163" t="s">
        <v>1344</v>
      </c>
      <c r="D2816" s="164" t="s">
        <v>172</v>
      </c>
      <c r="E2816" s="165" t="s">
        <v>3958</v>
      </c>
      <c r="F2816" s="170">
        <v>24564</v>
      </c>
      <c r="G2816" s="1177">
        <v>23617.02</v>
      </c>
      <c r="H2816" s="1780" t="s">
        <v>3892</v>
      </c>
      <c r="I2816" s="2287" t="s">
        <v>25</v>
      </c>
      <c r="K2816" s="1174"/>
      <c r="L2816" s="1176"/>
      <c r="M2816" s="1176"/>
      <c r="N2816" s="1176"/>
      <c r="O2816" s="1176"/>
      <c r="P2816" s="1176"/>
      <c r="Q2816" s="1176"/>
      <c r="R2816" s="1176"/>
      <c r="S2816" s="1176"/>
      <c r="T2816" s="1176"/>
      <c r="U2816" s="1176"/>
      <c r="V2816" s="1176"/>
      <c r="W2816" s="1176"/>
      <c r="X2816" s="1176"/>
      <c r="Y2816" s="1176"/>
      <c r="Z2816" s="1176"/>
      <c r="AA2816" s="1176"/>
      <c r="AB2816" s="1176"/>
      <c r="AC2816" s="1176"/>
      <c r="AD2816" s="1176"/>
      <c r="AE2816" s="1176"/>
      <c r="AF2816" s="1176"/>
      <c r="AG2816" s="1176"/>
      <c r="AH2816" s="1176"/>
      <c r="AI2816" s="1176"/>
      <c r="AJ2816" s="1176"/>
      <c r="AK2816" s="1176"/>
      <c r="AL2816" s="1176"/>
    </row>
    <row r="2817" spans="1:38" s="466" customFormat="1" ht="18.75" customHeight="1" x14ac:dyDescent="0.4">
      <c r="A2817" s="2401">
        <v>2811</v>
      </c>
      <c r="B2817" s="390" t="s">
        <v>3928</v>
      </c>
      <c r="C2817" s="163" t="s">
        <v>1344</v>
      </c>
      <c r="D2817" s="164" t="s">
        <v>172</v>
      </c>
      <c r="E2817" s="165" t="s">
        <v>3959</v>
      </c>
      <c r="F2817" s="170">
        <v>24564</v>
      </c>
      <c r="G2817" s="1177">
        <v>23617.02</v>
      </c>
      <c r="H2817" s="1780" t="s">
        <v>3892</v>
      </c>
      <c r="I2817" s="2287" t="s">
        <v>25</v>
      </c>
      <c r="K2817" s="1174"/>
      <c r="L2817" s="1176"/>
      <c r="M2817" s="1176"/>
      <c r="N2817" s="1176"/>
      <c r="O2817" s="1176"/>
      <c r="P2817" s="1176"/>
      <c r="Q2817" s="1176"/>
      <c r="R2817" s="1176"/>
      <c r="S2817" s="1176"/>
      <c r="T2817" s="1176"/>
      <c r="U2817" s="1176"/>
      <c r="V2817" s="1176"/>
      <c r="W2817" s="1176"/>
      <c r="X2817" s="1176"/>
      <c r="Y2817" s="1176"/>
      <c r="Z2817" s="1176"/>
      <c r="AA2817" s="1176"/>
      <c r="AB2817" s="1176"/>
      <c r="AC2817" s="1176"/>
      <c r="AD2817" s="1176"/>
      <c r="AE2817" s="1176"/>
      <c r="AF2817" s="1176"/>
      <c r="AG2817" s="1176"/>
      <c r="AH2817" s="1176"/>
      <c r="AI2817" s="1176"/>
      <c r="AJ2817" s="1176"/>
      <c r="AK2817" s="1176"/>
      <c r="AL2817" s="1176"/>
    </row>
    <row r="2818" spans="1:38" s="466" customFormat="1" ht="18.75" customHeight="1" x14ac:dyDescent="0.4">
      <c r="A2818" s="2402">
        <v>2812</v>
      </c>
      <c r="B2818" s="390" t="s">
        <v>3928</v>
      </c>
      <c r="C2818" s="163" t="s">
        <v>1344</v>
      </c>
      <c r="D2818" s="164" t="s">
        <v>172</v>
      </c>
      <c r="E2818" s="165" t="s">
        <v>3960</v>
      </c>
      <c r="F2818" s="170">
        <v>24564</v>
      </c>
      <c r="G2818" s="1177">
        <v>23617.02</v>
      </c>
      <c r="H2818" s="1780" t="s">
        <v>3892</v>
      </c>
      <c r="I2818" s="2287" t="s">
        <v>25</v>
      </c>
      <c r="K2818" s="1174"/>
      <c r="L2818" s="1176"/>
      <c r="M2818" s="1176"/>
      <c r="N2818" s="1176"/>
      <c r="O2818" s="1176"/>
      <c r="P2818" s="1176"/>
      <c r="Q2818" s="1176"/>
      <c r="R2818" s="1176"/>
      <c r="S2818" s="1176"/>
      <c r="T2818" s="1176"/>
      <c r="U2818" s="1176"/>
      <c r="V2818" s="1176"/>
      <c r="W2818" s="1176"/>
      <c r="X2818" s="1176"/>
      <c r="Y2818" s="1176"/>
      <c r="Z2818" s="1176"/>
      <c r="AA2818" s="1176"/>
      <c r="AB2818" s="1176"/>
      <c r="AC2818" s="1176"/>
      <c r="AD2818" s="1176"/>
      <c r="AE2818" s="1176"/>
      <c r="AF2818" s="1176"/>
      <c r="AG2818" s="1176"/>
      <c r="AH2818" s="1176"/>
      <c r="AI2818" s="1176"/>
      <c r="AJ2818" s="1176"/>
      <c r="AK2818" s="1176"/>
      <c r="AL2818" s="1176"/>
    </row>
    <row r="2819" spans="1:38" s="466" customFormat="1" ht="18.75" customHeight="1" x14ac:dyDescent="0.4">
      <c r="A2819" s="2402">
        <v>2813</v>
      </c>
      <c r="B2819" s="390" t="s">
        <v>3928</v>
      </c>
      <c r="C2819" s="163" t="s">
        <v>1344</v>
      </c>
      <c r="D2819" s="164" t="s">
        <v>172</v>
      </c>
      <c r="E2819" s="165" t="s">
        <v>3961</v>
      </c>
      <c r="F2819" s="170">
        <v>24564</v>
      </c>
      <c r="G2819" s="1177">
        <v>23617.02</v>
      </c>
      <c r="H2819" s="1780" t="s">
        <v>3892</v>
      </c>
      <c r="I2819" s="2287" t="s">
        <v>25</v>
      </c>
      <c r="K2819" s="1174"/>
      <c r="L2819" s="1176"/>
      <c r="M2819" s="1176"/>
      <c r="N2819" s="1176"/>
      <c r="O2819" s="1176"/>
      <c r="P2819" s="1176"/>
      <c r="Q2819" s="1176"/>
      <c r="R2819" s="1176"/>
      <c r="S2819" s="1176"/>
      <c r="T2819" s="1176"/>
      <c r="U2819" s="1176"/>
      <c r="V2819" s="1176"/>
      <c r="W2819" s="1176"/>
      <c r="X2819" s="1176"/>
      <c r="Y2819" s="1176"/>
      <c r="Z2819" s="1176"/>
      <c r="AA2819" s="1176"/>
      <c r="AB2819" s="1176"/>
      <c r="AC2819" s="1176"/>
      <c r="AD2819" s="1176"/>
      <c r="AE2819" s="1176"/>
      <c r="AF2819" s="1176"/>
      <c r="AG2819" s="1176"/>
      <c r="AH2819" s="1176"/>
      <c r="AI2819" s="1176"/>
      <c r="AJ2819" s="1176"/>
      <c r="AK2819" s="1176"/>
      <c r="AL2819" s="1176"/>
    </row>
    <row r="2820" spans="1:38" s="466" customFormat="1" ht="18.75" customHeight="1" x14ac:dyDescent="0.4">
      <c r="A2820" s="2402">
        <v>2814</v>
      </c>
      <c r="B2820" s="390" t="s">
        <v>3928</v>
      </c>
      <c r="C2820" s="163" t="s">
        <v>1344</v>
      </c>
      <c r="D2820" s="164" t="s">
        <v>172</v>
      </c>
      <c r="E2820" s="165" t="s">
        <v>3962</v>
      </c>
      <c r="F2820" s="170">
        <v>24564</v>
      </c>
      <c r="G2820" s="1177">
        <v>23617.02</v>
      </c>
      <c r="H2820" s="1780" t="s">
        <v>3892</v>
      </c>
      <c r="I2820" s="2287" t="s">
        <v>25</v>
      </c>
      <c r="K2820" s="1174"/>
      <c r="L2820" s="1176"/>
      <c r="M2820" s="1176"/>
      <c r="N2820" s="1176"/>
      <c r="O2820" s="1176"/>
      <c r="P2820" s="1176"/>
      <c r="Q2820" s="1176"/>
      <c r="R2820" s="1176"/>
      <c r="S2820" s="1176"/>
      <c r="T2820" s="1176"/>
      <c r="U2820" s="1176"/>
      <c r="V2820" s="1176"/>
      <c r="W2820" s="1176"/>
      <c r="X2820" s="1176"/>
      <c r="Y2820" s="1176"/>
      <c r="Z2820" s="1176"/>
      <c r="AA2820" s="1176"/>
      <c r="AB2820" s="1176"/>
      <c r="AC2820" s="1176"/>
      <c r="AD2820" s="1176"/>
      <c r="AE2820" s="1176"/>
      <c r="AF2820" s="1176"/>
      <c r="AG2820" s="1176"/>
      <c r="AH2820" s="1176"/>
      <c r="AI2820" s="1176"/>
      <c r="AJ2820" s="1176"/>
      <c r="AK2820" s="1176"/>
      <c r="AL2820" s="1176"/>
    </row>
    <row r="2821" spans="1:38" s="466" customFormat="1" ht="18.75" customHeight="1" x14ac:dyDescent="0.4">
      <c r="A2821" s="2402">
        <v>2815</v>
      </c>
      <c r="B2821" s="390" t="s">
        <v>3928</v>
      </c>
      <c r="C2821" s="163" t="s">
        <v>1344</v>
      </c>
      <c r="D2821" s="164" t="s">
        <v>172</v>
      </c>
      <c r="E2821" s="165" t="s">
        <v>3963</v>
      </c>
      <c r="F2821" s="170">
        <v>24564</v>
      </c>
      <c r="G2821" s="1177">
        <v>23617.02</v>
      </c>
      <c r="H2821" s="1780" t="s">
        <v>3892</v>
      </c>
      <c r="I2821" s="2287" t="s">
        <v>25</v>
      </c>
      <c r="K2821" s="1174"/>
      <c r="L2821" s="1176"/>
      <c r="M2821" s="1176"/>
      <c r="N2821" s="1176"/>
      <c r="O2821" s="1176"/>
      <c r="P2821" s="1176"/>
      <c r="Q2821" s="1176"/>
      <c r="R2821" s="1176"/>
      <c r="S2821" s="1176"/>
      <c r="T2821" s="1176"/>
      <c r="U2821" s="1176"/>
      <c r="V2821" s="1176"/>
      <c r="W2821" s="1176"/>
      <c r="X2821" s="1176"/>
      <c r="Y2821" s="1176"/>
      <c r="Z2821" s="1176"/>
      <c r="AA2821" s="1176"/>
      <c r="AB2821" s="1176"/>
      <c r="AC2821" s="1176"/>
      <c r="AD2821" s="1176"/>
      <c r="AE2821" s="1176"/>
      <c r="AF2821" s="1176"/>
      <c r="AG2821" s="1176"/>
      <c r="AH2821" s="1176"/>
      <c r="AI2821" s="1176"/>
      <c r="AJ2821" s="1176"/>
      <c r="AK2821" s="1176"/>
      <c r="AL2821" s="1176"/>
    </row>
    <row r="2822" spans="1:38" s="466" customFormat="1" ht="18.75" customHeight="1" x14ac:dyDescent="0.4">
      <c r="A2822" s="2401">
        <v>2816</v>
      </c>
      <c r="B2822" s="390" t="s">
        <v>3928</v>
      </c>
      <c r="C2822" s="163" t="s">
        <v>1344</v>
      </c>
      <c r="D2822" s="164" t="s">
        <v>172</v>
      </c>
      <c r="E2822" s="165" t="s">
        <v>3964</v>
      </c>
      <c r="F2822" s="170">
        <v>24564</v>
      </c>
      <c r="G2822" s="1177">
        <v>23617.02</v>
      </c>
      <c r="H2822" s="1780" t="s">
        <v>3892</v>
      </c>
      <c r="I2822" s="2287" t="s">
        <v>25</v>
      </c>
      <c r="K2822" s="1174"/>
      <c r="L2822" s="1176"/>
      <c r="M2822" s="1176"/>
      <c r="N2822" s="1176"/>
      <c r="O2822" s="1176"/>
      <c r="P2822" s="1176"/>
      <c r="Q2822" s="1176"/>
      <c r="R2822" s="1176"/>
      <c r="S2822" s="1176"/>
      <c r="T2822" s="1176"/>
      <c r="U2822" s="1176"/>
      <c r="V2822" s="1176"/>
      <c r="W2822" s="1176"/>
      <c r="X2822" s="1176"/>
      <c r="Y2822" s="1176"/>
      <c r="Z2822" s="1176"/>
      <c r="AA2822" s="1176"/>
      <c r="AB2822" s="1176"/>
      <c r="AC2822" s="1176"/>
      <c r="AD2822" s="1176"/>
      <c r="AE2822" s="1176"/>
      <c r="AF2822" s="1176"/>
      <c r="AG2822" s="1176"/>
      <c r="AH2822" s="1176"/>
      <c r="AI2822" s="1176"/>
      <c r="AJ2822" s="1176"/>
      <c r="AK2822" s="1176"/>
      <c r="AL2822" s="1176"/>
    </row>
    <row r="2823" spans="1:38" s="466" customFormat="1" ht="18.75" customHeight="1" x14ac:dyDescent="0.4">
      <c r="A2823" s="2402">
        <v>2817</v>
      </c>
      <c r="B2823" s="390" t="s">
        <v>3928</v>
      </c>
      <c r="C2823" s="163" t="s">
        <v>1344</v>
      </c>
      <c r="D2823" s="164" t="s">
        <v>172</v>
      </c>
      <c r="E2823" s="165" t="s">
        <v>3965</v>
      </c>
      <c r="F2823" s="170">
        <v>24564</v>
      </c>
      <c r="G2823" s="1177">
        <v>23617.02</v>
      </c>
      <c r="H2823" s="1780" t="s">
        <v>3892</v>
      </c>
      <c r="I2823" s="2287" t="s">
        <v>25</v>
      </c>
      <c r="K2823" s="1174"/>
      <c r="L2823" s="1176"/>
      <c r="M2823" s="1176"/>
      <c r="N2823" s="1176"/>
      <c r="O2823" s="1176"/>
      <c r="P2823" s="1176"/>
      <c r="Q2823" s="1176"/>
      <c r="R2823" s="1176"/>
      <c r="S2823" s="1176"/>
      <c r="T2823" s="1176"/>
      <c r="U2823" s="1176"/>
      <c r="V2823" s="1176"/>
      <c r="W2823" s="1176"/>
      <c r="X2823" s="1176"/>
      <c r="Y2823" s="1176"/>
      <c r="Z2823" s="1176"/>
      <c r="AA2823" s="1176"/>
      <c r="AB2823" s="1176"/>
      <c r="AC2823" s="1176"/>
      <c r="AD2823" s="1176"/>
      <c r="AE2823" s="1176"/>
      <c r="AF2823" s="1176"/>
      <c r="AG2823" s="1176"/>
      <c r="AH2823" s="1176"/>
      <c r="AI2823" s="1176"/>
      <c r="AJ2823" s="1176"/>
      <c r="AK2823" s="1176"/>
      <c r="AL2823" s="1176"/>
    </row>
    <row r="2824" spans="1:38" s="466" customFormat="1" ht="18.75" customHeight="1" x14ac:dyDescent="0.4">
      <c r="A2824" s="2402">
        <v>2818</v>
      </c>
      <c r="B2824" s="390" t="s">
        <v>3928</v>
      </c>
      <c r="C2824" s="163" t="s">
        <v>1344</v>
      </c>
      <c r="D2824" s="164" t="s">
        <v>172</v>
      </c>
      <c r="E2824" s="165" t="s">
        <v>3966</v>
      </c>
      <c r="F2824" s="170">
        <v>24564</v>
      </c>
      <c r="G2824" s="1177">
        <v>23617.02</v>
      </c>
      <c r="H2824" s="1780" t="s">
        <v>3892</v>
      </c>
      <c r="I2824" s="2287" t="s">
        <v>25</v>
      </c>
      <c r="K2824" s="1174"/>
      <c r="L2824" s="1176"/>
      <c r="M2824" s="1176"/>
      <c r="N2824" s="1176"/>
      <c r="O2824" s="1176"/>
      <c r="P2824" s="1176"/>
      <c r="Q2824" s="1176"/>
      <c r="R2824" s="1176"/>
      <c r="S2824" s="1176"/>
      <c r="T2824" s="1176"/>
      <c r="U2824" s="1176"/>
      <c r="V2824" s="1176"/>
      <c r="W2824" s="1176"/>
      <c r="X2824" s="1176"/>
      <c r="Y2824" s="1176"/>
      <c r="Z2824" s="1176"/>
      <c r="AA2824" s="1176"/>
      <c r="AB2824" s="1176"/>
      <c r="AC2824" s="1176"/>
      <c r="AD2824" s="1176"/>
      <c r="AE2824" s="1176"/>
      <c r="AF2824" s="1176"/>
      <c r="AG2824" s="1176"/>
      <c r="AH2824" s="1176"/>
      <c r="AI2824" s="1176"/>
      <c r="AJ2824" s="1176"/>
      <c r="AK2824" s="1176"/>
      <c r="AL2824" s="1176"/>
    </row>
    <row r="2825" spans="1:38" s="466" customFormat="1" ht="18.75" customHeight="1" x14ac:dyDescent="0.4">
      <c r="A2825" s="2402">
        <v>2819</v>
      </c>
      <c r="B2825" s="390" t="s">
        <v>3928</v>
      </c>
      <c r="C2825" s="163" t="s">
        <v>1344</v>
      </c>
      <c r="D2825" s="164" t="s">
        <v>172</v>
      </c>
      <c r="E2825" s="165" t="s">
        <v>3967</v>
      </c>
      <c r="F2825" s="170">
        <v>24564</v>
      </c>
      <c r="G2825" s="1177">
        <v>23617.02</v>
      </c>
      <c r="H2825" s="1780" t="s">
        <v>3892</v>
      </c>
      <c r="I2825" s="2287" t="s">
        <v>25</v>
      </c>
      <c r="K2825" s="1174"/>
      <c r="L2825" s="1176"/>
      <c r="M2825" s="1176"/>
      <c r="N2825" s="1176"/>
      <c r="O2825" s="1176"/>
      <c r="P2825" s="1176"/>
      <c r="Q2825" s="1176"/>
      <c r="R2825" s="1176"/>
      <c r="S2825" s="1176"/>
      <c r="T2825" s="1176"/>
      <c r="U2825" s="1176"/>
      <c r="V2825" s="1176"/>
      <c r="W2825" s="1176"/>
      <c r="X2825" s="1176"/>
      <c r="Y2825" s="1176"/>
      <c r="Z2825" s="1176"/>
      <c r="AA2825" s="1176"/>
      <c r="AB2825" s="1176"/>
      <c r="AC2825" s="1176"/>
      <c r="AD2825" s="1176"/>
      <c r="AE2825" s="1176"/>
      <c r="AF2825" s="1176"/>
      <c r="AG2825" s="1176"/>
      <c r="AH2825" s="1176"/>
      <c r="AI2825" s="1176"/>
      <c r="AJ2825" s="1176"/>
      <c r="AK2825" s="1176"/>
      <c r="AL2825" s="1176"/>
    </row>
    <row r="2826" spans="1:38" s="466" customFormat="1" ht="18.75" customHeight="1" x14ac:dyDescent="0.4">
      <c r="A2826" s="2401">
        <v>2820</v>
      </c>
      <c r="B2826" s="390" t="s">
        <v>3928</v>
      </c>
      <c r="C2826" s="163" t="s">
        <v>1344</v>
      </c>
      <c r="D2826" s="164" t="s">
        <v>172</v>
      </c>
      <c r="E2826" s="165" t="s">
        <v>3968</v>
      </c>
      <c r="F2826" s="170">
        <v>24564</v>
      </c>
      <c r="G2826" s="1177">
        <v>23617.02</v>
      </c>
      <c r="H2826" s="1780" t="s">
        <v>3892</v>
      </c>
      <c r="I2826" s="2287" t="s">
        <v>25</v>
      </c>
      <c r="K2826" s="1174"/>
      <c r="L2826" s="1176"/>
      <c r="M2826" s="1176"/>
      <c r="N2826" s="1176"/>
      <c r="O2826" s="1176"/>
      <c r="P2826" s="1176"/>
      <c r="Q2826" s="1176"/>
      <c r="R2826" s="1176"/>
      <c r="S2826" s="1176"/>
      <c r="T2826" s="1176"/>
      <c r="U2826" s="1176"/>
      <c r="V2826" s="1176"/>
      <c r="W2826" s="1176"/>
      <c r="X2826" s="1176"/>
      <c r="Y2826" s="1176"/>
      <c r="Z2826" s="1176"/>
      <c r="AA2826" s="1176"/>
      <c r="AB2826" s="1176"/>
      <c r="AC2826" s="1176"/>
      <c r="AD2826" s="1176"/>
      <c r="AE2826" s="1176"/>
      <c r="AF2826" s="1176"/>
      <c r="AG2826" s="1176"/>
      <c r="AH2826" s="1176"/>
      <c r="AI2826" s="1176"/>
      <c r="AJ2826" s="1176"/>
      <c r="AK2826" s="1176"/>
      <c r="AL2826" s="1176"/>
    </row>
    <row r="2827" spans="1:38" s="466" customFormat="1" ht="18.75" customHeight="1" x14ac:dyDescent="0.4">
      <c r="A2827" s="2402">
        <v>2821</v>
      </c>
      <c r="B2827" s="390" t="s">
        <v>3928</v>
      </c>
      <c r="C2827" s="163" t="s">
        <v>1344</v>
      </c>
      <c r="D2827" s="164" t="s">
        <v>172</v>
      </c>
      <c r="E2827" s="165" t="s">
        <v>3969</v>
      </c>
      <c r="F2827" s="170">
        <v>24564</v>
      </c>
      <c r="G2827" s="1177">
        <v>23617.02</v>
      </c>
      <c r="H2827" s="1780" t="s">
        <v>3892</v>
      </c>
      <c r="I2827" s="2287" t="s">
        <v>25</v>
      </c>
      <c r="K2827" s="1174"/>
      <c r="L2827" s="1176"/>
      <c r="M2827" s="1176"/>
      <c r="N2827" s="1176"/>
      <c r="O2827" s="1176"/>
      <c r="P2827" s="1176"/>
      <c r="Q2827" s="1176"/>
      <c r="R2827" s="1176"/>
      <c r="S2827" s="1176"/>
      <c r="T2827" s="1176"/>
      <c r="U2827" s="1176"/>
      <c r="V2827" s="1176"/>
      <c r="W2827" s="1176"/>
      <c r="X2827" s="1176"/>
      <c r="Y2827" s="1176"/>
      <c r="Z2827" s="1176"/>
      <c r="AA2827" s="1176"/>
      <c r="AB2827" s="1176"/>
      <c r="AC2827" s="1176"/>
      <c r="AD2827" s="1176"/>
      <c r="AE2827" s="1176"/>
      <c r="AF2827" s="1176"/>
      <c r="AG2827" s="1176"/>
      <c r="AH2827" s="1176"/>
      <c r="AI2827" s="1176"/>
      <c r="AJ2827" s="1176"/>
      <c r="AK2827" s="1176"/>
      <c r="AL2827" s="1176"/>
    </row>
    <row r="2828" spans="1:38" s="466" customFormat="1" ht="18.75" customHeight="1" x14ac:dyDescent="0.4">
      <c r="A2828" s="2402">
        <v>2822</v>
      </c>
      <c r="B2828" s="390" t="s">
        <v>3928</v>
      </c>
      <c r="C2828" s="163" t="s">
        <v>1344</v>
      </c>
      <c r="D2828" s="164" t="s">
        <v>172</v>
      </c>
      <c r="E2828" s="165" t="s">
        <v>3970</v>
      </c>
      <c r="F2828" s="170">
        <v>24564</v>
      </c>
      <c r="G2828" s="1177">
        <v>23617.02</v>
      </c>
      <c r="H2828" s="1780" t="s">
        <v>3892</v>
      </c>
      <c r="I2828" s="2287" t="s">
        <v>25</v>
      </c>
      <c r="K2828" s="1174"/>
      <c r="L2828" s="1176"/>
      <c r="M2828" s="1176"/>
      <c r="N2828" s="1176"/>
      <c r="O2828" s="1176"/>
      <c r="P2828" s="1176"/>
      <c r="Q2828" s="1176"/>
      <c r="R2828" s="1176"/>
      <c r="S2828" s="1176"/>
      <c r="T2828" s="1176"/>
      <c r="U2828" s="1176"/>
      <c r="V2828" s="1176"/>
      <c r="W2828" s="1176"/>
      <c r="X2828" s="1176"/>
      <c r="Y2828" s="1176"/>
      <c r="Z2828" s="1176"/>
      <c r="AA2828" s="1176"/>
      <c r="AB2828" s="1176"/>
      <c r="AC2828" s="1176"/>
      <c r="AD2828" s="1176"/>
      <c r="AE2828" s="1176"/>
      <c r="AF2828" s="1176"/>
      <c r="AG2828" s="1176"/>
      <c r="AH2828" s="1176"/>
      <c r="AI2828" s="1176"/>
      <c r="AJ2828" s="1176"/>
      <c r="AK2828" s="1176"/>
      <c r="AL2828" s="1176"/>
    </row>
    <row r="2829" spans="1:38" s="466" customFormat="1" ht="18.75" customHeight="1" x14ac:dyDescent="0.4">
      <c r="A2829" s="2402">
        <v>2823</v>
      </c>
      <c r="B2829" s="390" t="s">
        <v>3928</v>
      </c>
      <c r="C2829" s="163" t="s">
        <v>1344</v>
      </c>
      <c r="D2829" s="164" t="s">
        <v>172</v>
      </c>
      <c r="E2829" s="165" t="s">
        <v>3971</v>
      </c>
      <c r="F2829" s="170">
        <v>24564</v>
      </c>
      <c r="G2829" s="1177">
        <v>23617.02</v>
      </c>
      <c r="H2829" s="1780" t="s">
        <v>3892</v>
      </c>
      <c r="I2829" s="2287" t="s">
        <v>25</v>
      </c>
      <c r="K2829" s="1174"/>
      <c r="L2829" s="1176"/>
      <c r="M2829" s="1176"/>
      <c r="N2829" s="1176"/>
      <c r="O2829" s="1176"/>
      <c r="P2829" s="1176"/>
      <c r="Q2829" s="1176"/>
      <c r="R2829" s="1176"/>
      <c r="S2829" s="1176"/>
      <c r="T2829" s="1176"/>
      <c r="U2829" s="1176"/>
      <c r="V2829" s="1176"/>
      <c r="W2829" s="1176"/>
      <c r="X2829" s="1176"/>
      <c r="Y2829" s="1176"/>
      <c r="Z2829" s="1176"/>
      <c r="AA2829" s="1176"/>
      <c r="AB2829" s="1176"/>
      <c r="AC2829" s="1176"/>
      <c r="AD2829" s="1176"/>
      <c r="AE2829" s="1176"/>
      <c r="AF2829" s="1176"/>
      <c r="AG2829" s="1176"/>
      <c r="AH2829" s="1176"/>
      <c r="AI2829" s="1176"/>
      <c r="AJ2829" s="1176"/>
      <c r="AK2829" s="1176"/>
      <c r="AL2829" s="1176"/>
    </row>
    <row r="2830" spans="1:38" s="466" customFormat="1" ht="18.75" customHeight="1" x14ac:dyDescent="0.4">
      <c r="A2830" s="2402">
        <v>2824</v>
      </c>
      <c r="B2830" s="390" t="s">
        <v>3928</v>
      </c>
      <c r="C2830" s="163" t="s">
        <v>1344</v>
      </c>
      <c r="D2830" s="164" t="s">
        <v>172</v>
      </c>
      <c r="E2830" s="165" t="s">
        <v>3972</v>
      </c>
      <c r="F2830" s="170">
        <v>24564</v>
      </c>
      <c r="G2830" s="1177">
        <v>23617.02</v>
      </c>
      <c r="H2830" s="1780" t="s">
        <v>3892</v>
      </c>
      <c r="I2830" s="2287" t="s">
        <v>25</v>
      </c>
      <c r="K2830" s="1174"/>
      <c r="L2830" s="1176"/>
      <c r="M2830" s="1176"/>
      <c r="N2830" s="1176"/>
      <c r="O2830" s="1176"/>
      <c r="P2830" s="1176"/>
      <c r="Q2830" s="1176"/>
      <c r="R2830" s="1176"/>
      <c r="S2830" s="1176"/>
      <c r="T2830" s="1176"/>
      <c r="U2830" s="1176"/>
      <c r="V2830" s="1176"/>
      <c r="W2830" s="1176"/>
      <c r="X2830" s="1176"/>
      <c r="Y2830" s="1176"/>
      <c r="Z2830" s="1176"/>
      <c r="AA2830" s="1176"/>
      <c r="AB2830" s="1176"/>
      <c r="AC2830" s="1176"/>
      <c r="AD2830" s="1176"/>
      <c r="AE2830" s="1176"/>
      <c r="AF2830" s="1176"/>
      <c r="AG2830" s="1176"/>
      <c r="AH2830" s="1176"/>
      <c r="AI2830" s="1176"/>
      <c r="AJ2830" s="1176"/>
      <c r="AK2830" s="1176"/>
      <c r="AL2830" s="1176"/>
    </row>
    <row r="2831" spans="1:38" s="466" customFormat="1" ht="18.75" customHeight="1" x14ac:dyDescent="0.4">
      <c r="A2831" s="2401">
        <v>2825</v>
      </c>
      <c r="B2831" s="390" t="s">
        <v>3928</v>
      </c>
      <c r="C2831" s="163" t="s">
        <v>1344</v>
      </c>
      <c r="D2831" s="164" t="s">
        <v>172</v>
      </c>
      <c r="E2831" s="165" t="s">
        <v>3973</v>
      </c>
      <c r="F2831" s="170">
        <v>24564</v>
      </c>
      <c r="G2831" s="1177">
        <v>23617.02</v>
      </c>
      <c r="H2831" s="1780" t="s">
        <v>3892</v>
      </c>
      <c r="I2831" s="2287" t="s">
        <v>25</v>
      </c>
      <c r="K2831" s="1174"/>
      <c r="L2831" s="1176"/>
      <c r="M2831" s="1176"/>
      <c r="N2831" s="1176"/>
      <c r="O2831" s="1176"/>
      <c r="P2831" s="1176"/>
      <c r="Q2831" s="1176"/>
      <c r="R2831" s="1176"/>
      <c r="S2831" s="1176"/>
      <c r="T2831" s="1176"/>
      <c r="U2831" s="1176"/>
      <c r="V2831" s="1176"/>
      <c r="W2831" s="1176"/>
      <c r="X2831" s="1176"/>
      <c r="Y2831" s="1176"/>
      <c r="Z2831" s="1176"/>
      <c r="AA2831" s="1176"/>
      <c r="AB2831" s="1176"/>
      <c r="AC2831" s="1176"/>
      <c r="AD2831" s="1176"/>
      <c r="AE2831" s="1176"/>
      <c r="AF2831" s="1176"/>
      <c r="AG2831" s="1176"/>
      <c r="AH2831" s="1176"/>
      <c r="AI2831" s="1176"/>
      <c r="AJ2831" s="1176"/>
      <c r="AK2831" s="1176"/>
      <c r="AL2831" s="1176"/>
    </row>
    <row r="2832" spans="1:38" s="466" customFormat="1" ht="18.75" customHeight="1" x14ac:dyDescent="0.4">
      <c r="A2832" s="2402">
        <v>2826</v>
      </c>
      <c r="B2832" s="390" t="s">
        <v>3928</v>
      </c>
      <c r="C2832" s="163" t="s">
        <v>1344</v>
      </c>
      <c r="D2832" s="164" t="s">
        <v>172</v>
      </c>
      <c r="E2832" s="165" t="s">
        <v>3974</v>
      </c>
      <c r="F2832" s="170">
        <v>24564</v>
      </c>
      <c r="G2832" s="1177">
        <v>23617.02</v>
      </c>
      <c r="H2832" s="1780" t="s">
        <v>3892</v>
      </c>
      <c r="I2832" s="2287" t="s">
        <v>25</v>
      </c>
      <c r="K2832" s="1174"/>
      <c r="L2832" s="1176"/>
      <c r="M2832" s="1176"/>
      <c r="N2832" s="1176"/>
      <c r="O2832" s="1176"/>
      <c r="P2832" s="1176"/>
      <c r="Q2832" s="1176"/>
      <c r="R2832" s="1176"/>
      <c r="S2832" s="1176"/>
      <c r="T2832" s="1176"/>
      <c r="U2832" s="1176"/>
      <c r="V2832" s="1176"/>
      <c r="W2832" s="1176"/>
      <c r="X2832" s="1176"/>
      <c r="Y2832" s="1176"/>
      <c r="Z2832" s="1176"/>
      <c r="AA2832" s="1176"/>
      <c r="AB2832" s="1176"/>
      <c r="AC2832" s="1176"/>
      <c r="AD2832" s="1176"/>
      <c r="AE2832" s="1176"/>
      <c r="AF2832" s="1176"/>
      <c r="AG2832" s="1176"/>
      <c r="AH2832" s="1176"/>
      <c r="AI2832" s="1176"/>
      <c r="AJ2832" s="1176"/>
      <c r="AK2832" s="1176"/>
      <c r="AL2832" s="1176"/>
    </row>
    <row r="2833" spans="1:38" s="466" customFormat="1" ht="18.75" customHeight="1" x14ac:dyDescent="0.4">
      <c r="A2833" s="2402">
        <v>2827</v>
      </c>
      <c r="B2833" s="390" t="s">
        <v>3928</v>
      </c>
      <c r="C2833" s="163" t="s">
        <v>1344</v>
      </c>
      <c r="D2833" s="164" t="s">
        <v>172</v>
      </c>
      <c r="E2833" s="165" t="s">
        <v>3975</v>
      </c>
      <c r="F2833" s="170">
        <v>24564</v>
      </c>
      <c r="G2833" s="1177">
        <v>23617.02</v>
      </c>
      <c r="H2833" s="1780" t="s">
        <v>3892</v>
      </c>
      <c r="I2833" s="2287" t="s">
        <v>25</v>
      </c>
      <c r="K2833" s="1174"/>
      <c r="L2833" s="1176"/>
      <c r="M2833" s="1176"/>
      <c r="N2833" s="1176"/>
      <c r="O2833" s="1176"/>
      <c r="P2833" s="1176"/>
      <c r="Q2833" s="1176"/>
      <c r="R2833" s="1176"/>
      <c r="S2833" s="1176"/>
      <c r="T2833" s="1176"/>
      <c r="U2833" s="1176"/>
      <c r="V2833" s="1176"/>
      <c r="W2833" s="1176"/>
      <c r="X2833" s="1176"/>
      <c r="Y2833" s="1176"/>
      <c r="Z2833" s="1176"/>
      <c r="AA2833" s="1176"/>
      <c r="AB2833" s="1176"/>
      <c r="AC2833" s="1176"/>
      <c r="AD2833" s="1176"/>
      <c r="AE2833" s="1176"/>
      <c r="AF2833" s="1176"/>
      <c r="AG2833" s="1176"/>
      <c r="AH2833" s="1176"/>
      <c r="AI2833" s="1176"/>
      <c r="AJ2833" s="1176"/>
      <c r="AK2833" s="1176"/>
      <c r="AL2833" s="1176"/>
    </row>
    <row r="2834" spans="1:38" s="466" customFormat="1" ht="18.75" customHeight="1" x14ac:dyDescent="0.4">
      <c r="A2834" s="2402">
        <v>2828</v>
      </c>
      <c r="B2834" s="390" t="s">
        <v>3928</v>
      </c>
      <c r="C2834" s="163" t="s">
        <v>1344</v>
      </c>
      <c r="D2834" s="164" t="s">
        <v>172</v>
      </c>
      <c r="E2834" s="165" t="s">
        <v>3976</v>
      </c>
      <c r="F2834" s="170">
        <v>24564</v>
      </c>
      <c r="G2834" s="1177">
        <v>23617.02</v>
      </c>
      <c r="H2834" s="1780" t="s">
        <v>3892</v>
      </c>
      <c r="I2834" s="2287" t="s">
        <v>25</v>
      </c>
      <c r="K2834" s="1174"/>
      <c r="L2834" s="1176"/>
      <c r="M2834" s="1176"/>
      <c r="N2834" s="1176"/>
      <c r="O2834" s="1176"/>
      <c r="P2834" s="1176"/>
      <c r="Q2834" s="1176"/>
      <c r="R2834" s="1176"/>
      <c r="S2834" s="1176"/>
      <c r="T2834" s="1176"/>
      <c r="U2834" s="1176"/>
      <c r="V2834" s="1176"/>
      <c r="W2834" s="1176"/>
      <c r="X2834" s="1176"/>
      <c r="Y2834" s="1176"/>
      <c r="Z2834" s="1176"/>
      <c r="AA2834" s="1176"/>
      <c r="AB2834" s="1176"/>
      <c r="AC2834" s="1176"/>
      <c r="AD2834" s="1176"/>
      <c r="AE2834" s="1176"/>
      <c r="AF2834" s="1176"/>
      <c r="AG2834" s="1176"/>
      <c r="AH2834" s="1176"/>
      <c r="AI2834" s="1176"/>
      <c r="AJ2834" s="1176"/>
      <c r="AK2834" s="1176"/>
      <c r="AL2834" s="1176"/>
    </row>
    <row r="2835" spans="1:38" s="466" customFormat="1" ht="18.75" customHeight="1" x14ac:dyDescent="0.4">
      <c r="A2835" s="2401">
        <v>2829</v>
      </c>
      <c r="B2835" s="390" t="s">
        <v>3928</v>
      </c>
      <c r="C2835" s="163" t="s">
        <v>1344</v>
      </c>
      <c r="D2835" s="164" t="s">
        <v>172</v>
      </c>
      <c r="E2835" s="165" t="s">
        <v>3977</v>
      </c>
      <c r="F2835" s="170">
        <v>24564</v>
      </c>
      <c r="G2835" s="1177">
        <v>23617.02</v>
      </c>
      <c r="H2835" s="1780" t="s">
        <v>3892</v>
      </c>
      <c r="I2835" s="2287" t="s">
        <v>25</v>
      </c>
      <c r="K2835" s="1174"/>
      <c r="L2835" s="1176"/>
      <c r="M2835" s="1176"/>
      <c r="N2835" s="1176"/>
      <c r="O2835" s="1176"/>
      <c r="P2835" s="1176"/>
      <c r="Q2835" s="1176"/>
      <c r="R2835" s="1176"/>
      <c r="S2835" s="1176"/>
      <c r="T2835" s="1176"/>
      <c r="U2835" s="1176"/>
      <c r="V2835" s="1176"/>
      <c r="W2835" s="1176"/>
      <c r="X2835" s="1176"/>
      <c r="Y2835" s="1176"/>
      <c r="Z2835" s="1176"/>
      <c r="AA2835" s="1176"/>
      <c r="AB2835" s="1176"/>
      <c r="AC2835" s="1176"/>
      <c r="AD2835" s="1176"/>
      <c r="AE2835" s="1176"/>
      <c r="AF2835" s="1176"/>
      <c r="AG2835" s="1176"/>
      <c r="AH2835" s="1176"/>
      <c r="AI2835" s="1176"/>
      <c r="AJ2835" s="1176"/>
      <c r="AK2835" s="1176"/>
      <c r="AL2835" s="1176"/>
    </row>
    <row r="2836" spans="1:38" s="466" customFormat="1" ht="18.75" customHeight="1" x14ac:dyDescent="0.4">
      <c r="A2836" s="2402">
        <v>2830</v>
      </c>
      <c r="B2836" s="390" t="s">
        <v>3928</v>
      </c>
      <c r="C2836" s="163" t="s">
        <v>1344</v>
      </c>
      <c r="D2836" s="164" t="s">
        <v>172</v>
      </c>
      <c r="E2836" s="165" t="s">
        <v>3978</v>
      </c>
      <c r="F2836" s="170">
        <v>24564</v>
      </c>
      <c r="G2836" s="1177">
        <v>23617.02</v>
      </c>
      <c r="H2836" s="1780" t="s">
        <v>3892</v>
      </c>
      <c r="I2836" s="2287" t="s">
        <v>25</v>
      </c>
      <c r="K2836" s="1174"/>
      <c r="L2836" s="1176"/>
      <c r="M2836" s="1176"/>
      <c r="N2836" s="1176"/>
      <c r="O2836" s="1176"/>
      <c r="P2836" s="1176"/>
      <c r="Q2836" s="1176"/>
      <c r="R2836" s="1176"/>
      <c r="S2836" s="1176"/>
      <c r="T2836" s="1176"/>
      <c r="U2836" s="1176"/>
      <c r="V2836" s="1176"/>
      <c r="W2836" s="1176"/>
      <c r="X2836" s="1176"/>
      <c r="Y2836" s="1176"/>
      <c r="Z2836" s="1176"/>
      <c r="AA2836" s="1176"/>
      <c r="AB2836" s="1176"/>
      <c r="AC2836" s="1176"/>
      <c r="AD2836" s="1176"/>
      <c r="AE2836" s="1176"/>
      <c r="AF2836" s="1176"/>
      <c r="AG2836" s="1176"/>
      <c r="AH2836" s="1176"/>
      <c r="AI2836" s="1176"/>
      <c r="AJ2836" s="1176"/>
      <c r="AK2836" s="1176"/>
      <c r="AL2836" s="1176"/>
    </row>
    <row r="2837" spans="1:38" s="466" customFormat="1" ht="18.75" customHeight="1" x14ac:dyDescent="0.4">
      <c r="A2837" s="2402">
        <v>2831</v>
      </c>
      <c r="B2837" s="390" t="s">
        <v>3928</v>
      </c>
      <c r="C2837" s="163" t="s">
        <v>1344</v>
      </c>
      <c r="D2837" s="164" t="s">
        <v>172</v>
      </c>
      <c r="E2837" s="165" t="s">
        <v>3979</v>
      </c>
      <c r="F2837" s="170">
        <v>24564</v>
      </c>
      <c r="G2837" s="1177">
        <v>23617.02</v>
      </c>
      <c r="H2837" s="1780" t="s">
        <v>3892</v>
      </c>
      <c r="I2837" s="2287" t="s">
        <v>25</v>
      </c>
      <c r="K2837" s="1174"/>
      <c r="L2837" s="1176"/>
      <c r="M2837" s="1176"/>
      <c r="N2837" s="1176"/>
      <c r="O2837" s="1176"/>
      <c r="P2837" s="1176"/>
      <c r="Q2837" s="1176"/>
      <c r="R2837" s="1176"/>
      <c r="S2837" s="1176"/>
      <c r="T2837" s="1176"/>
      <c r="U2837" s="1176"/>
      <c r="V2837" s="1176"/>
      <c r="W2837" s="1176"/>
      <c r="X2837" s="1176"/>
      <c r="Y2837" s="1176"/>
      <c r="Z2837" s="1176"/>
      <c r="AA2837" s="1176"/>
      <c r="AB2837" s="1176"/>
      <c r="AC2837" s="1176"/>
      <c r="AD2837" s="1176"/>
      <c r="AE2837" s="1176"/>
      <c r="AF2837" s="1176"/>
      <c r="AG2837" s="1176"/>
      <c r="AH2837" s="1176"/>
      <c r="AI2837" s="1176"/>
      <c r="AJ2837" s="1176"/>
      <c r="AK2837" s="1176"/>
      <c r="AL2837" s="1176"/>
    </row>
    <row r="2838" spans="1:38" s="466" customFormat="1" ht="18.75" customHeight="1" x14ac:dyDescent="0.4">
      <c r="A2838" s="2402">
        <v>2832</v>
      </c>
      <c r="B2838" s="390" t="s">
        <v>3928</v>
      </c>
      <c r="C2838" s="163" t="s">
        <v>1344</v>
      </c>
      <c r="D2838" s="164" t="s">
        <v>172</v>
      </c>
      <c r="E2838" s="165" t="s">
        <v>3980</v>
      </c>
      <c r="F2838" s="170">
        <v>24564</v>
      </c>
      <c r="G2838" s="1177">
        <v>23617.02</v>
      </c>
      <c r="H2838" s="1780" t="s">
        <v>3892</v>
      </c>
      <c r="I2838" s="2287" t="s">
        <v>25</v>
      </c>
      <c r="K2838" s="1174"/>
      <c r="L2838" s="1176"/>
      <c r="M2838" s="1176"/>
      <c r="N2838" s="1176"/>
      <c r="O2838" s="1176"/>
      <c r="P2838" s="1176"/>
      <c r="Q2838" s="1176"/>
      <c r="R2838" s="1176"/>
      <c r="S2838" s="1176"/>
      <c r="T2838" s="1176"/>
      <c r="U2838" s="1176"/>
      <c r="V2838" s="1176"/>
      <c r="W2838" s="1176"/>
      <c r="X2838" s="1176"/>
      <c r="Y2838" s="1176"/>
      <c r="Z2838" s="1176"/>
      <c r="AA2838" s="1176"/>
      <c r="AB2838" s="1176"/>
      <c r="AC2838" s="1176"/>
      <c r="AD2838" s="1176"/>
      <c r="AE2838" s="1176"/>
      <c r="AF2838" s="1176"/>
      <c r="AG2838" s="1176"/>
      <c r="AH2838" s="1176"/>
      <c r="AI2838" s="1176"/>
      <c r="AJ2838" s="1176"/>
      <c r="AK2838" s="1176"/>
      <c r="AL2838" s="1176"/>
    </row>
    <row r="2839" spans="1:38" s="466" customFormat="1" ht="18.75" customHeight="1" x14ac:dyDescent="0.4">
      <c r="A2839" s="2402">
        <v>2833</v>
      </c>
      <c r="B2839" s="390" t="s">
        <v>3928</v>
      </c>
      <c r="C2839" s="163" t="s">
        <v>1344</v>
      </c>
      <c r="D2839" s="164" t="s">
        <v>172</v>
      </c>
      <c r="E2839" s="165" t="s">
        <v>3981</v>
      </c>
      <c r="F2839" s="170">
        <v>24564</v>
      </c>
      <c r="G2839" s="1177">
        <v>23617.02</v>
      </c>
      <c r="H2839" s="1780" t="s">
        <v>3892</v>
      </c>
      <c r="I2839" s="2287" t="s">
        <v>25</v>
      </c>
      <c r="K2839" s="1174"/>
      <c r="L2839" s="1176"/>
      <c r="M2839" s="1176"/>
      <c r="N2839" s="1176"/>
      <c r="O2839" s="1176"/>
      <c r="P2839" s="1176"/>
      <c r="Q2839" s="1176"/>
      <c r="R2839" s="1176"/>
      <c r="S2839" s="1176"/>
      <c r="T2839" s="1176"/>
      <c r="U2839" s="1176"/>
      <c r="V2839" s="1176"/>
      <c r="W2839" s="1176"/>
      <c r="X2839" s="1176"/>
      <c r="Y2839" s="1176"/>
      <c r="Z2839" s="1176"/>
      <c r="AA2839" s="1176"/>
      <c r="AB2839" s="1176"/>
      <c r="AC2839" s="1176"/>
      <c r="AD2839" s="1176"/>
      <c r="AE2839" s="1176"/>
      <c r="AF2839" s="1176"/>
      <c r="AG2839" s="1176"/>
      <c r="AH2839" s="1176"/>
      <c r="AI2839" s="1176"/>
      <c r="AJ2839" s="1176"/>
      <c r="AK2839" s="1176"/>
      <c r="AL2839" s="1176"/>
    </row>
    <row r="2840" spans="1:38" s="466" customFormat="1" ht="18.75" customHeight="1" x14ac:dyDescent="0.4">
      <c r="A2840" s="2401">
        <v>2834</v>
      </c>
      <c r="B2840" s="390" t="s">
        <v>3928</v>
      </c>
      <c r="C2840" s="163" t="s">
        <v>1344</v>
      </c>
      <c r="D2840" s="164" t="s">
        <v>172</v>
      </c>
      <c r="E2840" s="165" t="s">
        <v>3982</v>
      </c>
      <c r="F2840" s="170">
        <v>24564</v>
      </c>
      <c r="G2840" s="1177">
        <v>23617.02</v>
      </c>
      <c r="H2840" s="1780" t="s">
        <v>3892</v>
      </c>
      <c r="I2840" s="2287" t="s">
        <v>25</v>
      </c>
      <c r="K2840" s="1174"/>
      <c r="L2840" s="1176"/>
      <c r="M2840" s="1176"/>
      <c r="N2840" s="1176"/>
      <c r="O2840" s="1176"/>
      <c r="P2840" s="1176"/>
      <c r="Q2840" s="1176"/>
      <c r="R2840" s="1176"/>
      <c r="S2840" s="1176"/>
      <c r="T2840" s="1176"/>
      <c r="U2840" s="1176"/>
      <c r="V2840" s="1176"/>
      <c r="W2840" s="1176"/>
      <c r="X2840" s="1176"/>
      <c r="Y2840" s="1176"/>
      <c r="Z2840" s="1176"/>
      <c r="AA2840" s="1176"/>
      <c r="AB2840" s="1176"/>
      <c r="AC2840" s="1176"/>
      <c r="AD2840" s="1176"/>
      <c r="AE2840" s="1176"/>
      <c r="AF2840" s="1176"/>
      <c r="AG2840" s="1176"/>
      <c r="AH2840" s="1176"/>
      <c r="AI2840" s="1176"/>
      <c r="AJ2840" s="1176"/>
      <c r="AK2840" s="1176"/>
      <c r="AL2840" s="1176"/>
    </row>
    <row r="2841" spans="1:38" s="466" customFormat="1" ht="18.75" customHeight="1" x14ac:dyDescent="0.4">
      <c r="A2841" s="2402">
        <v>2835</v>
      </c>
      <c r="B2841" s="390" t="s">
        <v>3928</v>
      </c>
      <c r="C2841" s="163" t="s">
        <v>1344</v>
      </c>
      <c r="D2841" s="164" t="s">
        <v>172</v>
      </c>
      <c r="E2841" s="165" t="s">
        <v>3983</v>
      </c>
      <c r="F2841" s="170">
        <v>24564</v>
      </c>
      <c r="G2841" s="1177">
        <v>23617.02</v>
      </c>
      <c r="H2841" s="1780" t="s">
        <v>3892</v>
      </c>
      <c r="I2841" s="2287" t="s">
        <v>25</v>
      </c>
      <c r="K2841" s="1174"/>
      <c r="L2841" s="1176"/>
      <c r="M2841" s="1176"/>
      <c r="N2841" s="1176"/>
      <c r="O2841" s="1176"/>
      <c r="P2841" s="1176"/>
      <c r="Q2841" s="1176"/>
      <c r="R2841" s="1176"/>
      <c r="S2841" s="1176"/>
      <c r="T2841" s="1176"/>
      <c r="U2841" s="1176"/>
      <c r="V2841" s="1176"/>
      <c r="W2841" s="1176"/>
      <c r="X2841" s="1176"/>
      <c r="Y2841" s="1176"/>
      <c r="Z2841" s="1176"/>
      <c r="AA2841" s="1176"/>
      <c r="AB2841" s="1176"/>
      <c r="AC2841" s="1176"/>
      <c r="AD2841" s="1176"/>
      <c r="AE2841" s="1176"/>
      <c r="AF2841" s="1176"/>
      <c r="AG2841" s="1176"/>
      <c r="AH2841" s="1176"/>
      <c r="AI2841" s="1176"/>
      <c r="AJ2841" s="1176"/>
      <c r="AK2841" s="1176"/>
      <c r="AL2841" s="1176"/>
    </row>
    <row r="2842" spans="1:38" s="466" customFormat="1" ht="18.75" customHeight="1" x14ac:dyDescent="0.4">
      <c r="A2842" s="2402">
        <v>2836</v>
      </c>
      <c r="B2842" s="390" t="s">
        <v>3928</v>
      </c>
      <c r="C2842" s="163" t="s">
        <v>1344</v>
      </c>
      <c r="D2842" s="164" t="s">
        <v>172</v>
      </c>
      <c r="E2842" s="165" t="s">
        <v>3984</v>
      </c>
      <c r="F2842" s="170">
        <v>24564</v>
      </c>
      <c r="G2842" s="1177">
        <v>23617.02</v>
      </c>
      <c r="H2842" s="1780" t="s">
        <v>3892</v>
      </c>
      <c r="I2842" s="2287" t="s">
        <v>25</v>
      </c>
      <c r="K2842" s="1174"/>
      <c r="L2842" s="1176"/>
      <c r="M2842" s="1176"/>
      <c r="N2842" s="1176"/>
      <c r="O2842" s="1176"/>
      <c r="P2842" s="1176"/>
      <c r="Q2842" s="1176"/>
      <c r="R2842" s="1176"/>
      <c r="S2842" s="1176"/>
      <c r="T2842" s="1176"/>
      <c r="U2842" s="1176"/>
      <c r="V2842" s="1176"/>
      <c r="W2842" s="1176"/>
      <c r="X2842" s="1176"/>
      <c r="Y2842" s="1176"/>
      <c r="Z2842" s="1176"/>
      <c r="AA2842" s="1176"/>
      <c r="AB2842" s="1176"/>
      <c r="AC2842" s="1176"/>
      <c r="AD2842" s="1176"/>
      <c r="AE2842" s="1176"/>
      <c r="AF2842" s="1176"/>
      <c r="AG2842" s="1176"/>
      <c r="AH2842" s="1176"/>
      <c r="AI2842" s="1176"/>
      <c r="AJ2842" s="1176"/>
      <c r="AK2842" s="1176"/>
      <c r="AL2842" s="1176"/>
    </row>
    <row r="2843" spans="1:38" s="466" customFormat="1" ht="18.75" customHeight="1" x14ac:dyDescent="0.4">
      <c r="A2843" s="2402">
        <v>2837</v>
      </c>
      <c r="B2843" s="390" t="s">
        <v>3928</v>
      </c>
      <c r="C2843" s="163" t="s">
        <v>1344</v>
      </c>
      <c r="D2843" s="164" t="s">
        <v>172</v>
      </c>
      <c r="E2843" s="165" t="s">
        <v>3985</v>
      </c>
      <c r="F2843" s="170">
        <v>24564</v>
      </c>
      <c r="G2843" s="1177">
        <v>23617.02</v>
      </c>
      <c r="H2843" s="1780" t="s">
        <v>3892</v>
      </c>
      <c r="I2843" s="2287" t="s">
        <v>25</v>
      </c>
      <c r="K2843" s="1174"/>
      <c r="L2843" s="1176"/>
      <c r="M2843" s="1176"/>
      <c r="N2843" s="1176"/>
      <c r="O2843" s="1176"/>
      <c r="P2843" s="1176"/>
      <c r="Q2843" s="1176"/>
      <c r="R2843" s="1176"/>
      <c r="S2843" s="1176"/>
      <c r="T2843" s="1176"/>
      <c r="U2843" s="1176"/>
      <c r="V2843" s="1176"/>
      <c r="W2843" s="1176"/>
      <c r="X2843" s="1176"/>
      <c r="Y2843" s="1176"/>
      <c r="Z2843" s="1176"/>
      <c r="AA2843" s="1176"/>
      <c r="AB2843" s="1176"/>
      <c r="AC2843" s="1176"/>
      <c r="AD2843" s="1176"/>
      <c r="AE2843" s="1176"/>
      <c r="AF2843" s="1176"/>
      <c r="AG2843" s="1176"/>
      <c r="AH2843" s="1176"/>
      <c r="AI2843" s="1176"/>
      <c r="AJ2843" s="1176"/>
      <c r="AK2843" s="1176"/>
      <c r="AL2843" s="1176"/>
    </row>
    <row r="2844" spans="1:38" s="466" customFormat="1" ht="18.75" customHeight="1" x14ac:dyDescent="0.4">
      <c r="A2844" s="2401">
        <v>2838</v>
      </c>
      <c r="B2844" s="390" t="s">
        <v>3928</v>
      </c>
      <c r="C2844" s="163" t="s">
        <v>1344</v>
      </c>
      <c r="D2844" s="164" t="s">
        <v>172</v>
      </c>
      <c r="E2844" s="165" t="s">
        <v>3986</v>
      </c>
      <c r="F2844" s="170">
        <v>24564</v>
      </c>
      <c r="G2844" s="1177">
        <v>23617.02</v>
      </c>
      <c r="H2844" s="1780" t="s">
        <v>3892</v>
      </c>
      <c r="I2844" s="2287" t="s">
        <v>25</v>
      </c>
      <c r="K2844" s="1174"/>
      <c r="L2844" s="1176"/>
      <c r="M2844" s="1176"/>
      <c r="N2844" s="1176"/>
      <c r="O2844" s="1176"/>
      <c r="P2844" s="1176"/>
      <c r="Q2844" s="1176"/>
      <c r="R2844" s="1176"/>
      <c r="S2844" s="1176"/>
      <c r="T2844" s="1176"/>
      <c r="U2844" s="1176"/>
      <c r="V2844" s="1176"/>
      <c r="W2844" s="1176"/>
      <c r="X2844" s="1176"/>
      <c r="Y2844" s="1176"/>
      <c r="Z2844" s="1176"/>
      <c r="AA2844" s="1176"/>
      <c r="AB2844" s="1176"/>
      <c r="AC2844" s="1176"/>
      <c r="AD2844" s="1176"/>
      <c r="AE2844" s="1176"/>
      <c r="AF2844" s="1176"/>
      <c r="AG2844" s="1176"/>
      <c r="AH2844" s="1176"/>
      <c r="AI2844" s="1176"/>
      <c r="AJ2844" s="1176"/>
      <c r="AK2844" s="1176"/>
      <c r="AL2844" s="1176"/>
    </row>
    <row r="2845" spans="1:38" s="466" customFormat="1" ht="18.75" customHeight="1" x14ac:dyDescent="0.4">
      <c r="A2845" s="2402">
        <v>2839</v>
      </c>
      <c r="B2845" s="390" t="s">
        <v>3928</v>
      </c>
      <c r="C2845" s="163" t="s">
        <v>1344</v>
      </c>
      <c r="D2845" s="164" t="s">
        <v>172</v>
      </c>
      <c r="E2845" s="165" t="s">
        <v>3987</v>
      </c>
      <c r="F2845" s="170">
        <v>24564</v>
      </c>
      <c r="G2845" s="1177">
        <v>23617.02</v>
      </c>
      <c r="H2845" s="1780" t="s">
        <v>3892</v>
      </c>
      <c r="I2845" s="2287" t="s">
        <v>25</v>
      </c>
      <c r="K2845" s="1174"/>
      <c r="L2845" s="1176"/>
      <c r="M2845" s="1176"/>
      <c r="N2845" s="1176"/>
      <c r="O2845" s="1176"/>
      <c r="P2845" s="1176"/>
      <c r="Q2845" s="1176"/>
      <c r="R2845" s="1176"/>
      <c r="S2845" s="1176"/>
      <c r="T2845" s="1176"/>
      <c r="U2845" s="1176"/>
      <c r="V2845" s="1176"/>
      <c r="W2845" s="1176"/>
      <c r="X2845" s="1176"/>
      <c r="Y2845" s="1176"/>
      <c r="Z2845" s="1176"/>
      <c r="AA2845" s="1176"/>
      <c r="AB2845" s="1176"/>
      <c r="AC2845" s="1176"/>
      <c r="AD2845" s="1176"/>
      <c r="AE2845" s="1176"/>
      <c r="AF2845" s="1176"/>
      <c r="AG2845" s="1176"/>
      <c r="AH2845" s="1176"/>
      <c r="AI2845" s="1176"/>
      <c r="AJ2845" s="1176"/>
      <c r="AK2845" s="1176"/>
      <c r="AL2845" s="1176"/>
    </row>
    <row r="2846" spans="1:38" s="466" customFormat="1" ht="18.75" customHeight="1" x14ac:dyDescent="0.4">
      <c r="A2846" s="2402">
        <v>2840</v>
      </c>
      <c r="B2846" s="390" t="s">
        <v>3928</v>
      </c>
      <c r="C2846" s="163" t="s">
        <v>1344</v>
      </c>
      <c r="D2846" s="164" t="s">
        <v>172</v>
      </c>
      <c r="E2846" s="165" t="s">
        <v>3988</v>
      </c>
      <c r="F2846" s="170">
        <v>24564</v>
      </c>
      <c r="G2846" s="1177">
        <v>23617.02</v>
      </c>
      <c r="H2846" s="1780" t="s">
        <v>3892</v>
      </c>
      <c r="I2846" s="2287" t="s">
        <v>25</v>
      </c>
      <c r="K2846" s="1174"/>
      <c r="L2846" s="1176"/>
      <c r="M2846" s="1176"/>
      <c r="N2846" s="1176"/>
      <c r="O2846" s="1176"/>
      <c r="P2846" s="1176"/>
      <c r="Q2846" s="1176"/>
      <c r="R2846" s="1176"/>
      <c r="S2846" s="1176"/>
      <c r="T2846" s="1176"/>
      <c r="U2846" s="1176"/>
      <c r="V2846" s="1176"/>
      <c r="W2846" s="1176"/>
      <c r="X2846" s="1176"/>
      <c r="Y2846" s="1176"/>
      <c r="Z2846" s="1176"/>
      <c r="AA2846" s="1176"/>
      <c r="AB2846" s="1176"/>
      <c r="AC2846" s="1176"/>
      <c r="AD2846" s="1176"/>
      <c r="AE2846" s="1176"/>
      <c r="AF2846" s="1176"/>
      <c r="AG2846" s="1176"/>
      <c r="AH2846" s="1176"/>
      <c r="AI2846" s="1176"/>
      <c r="AJ2846" s="1176"/>
      <c r="AK2846" s="1176"/>
      <c r="AL2846" s="1176"/>
    </row>
    <row r="2847" spans="1:38" s="466" customFormat="1" ht="18.75" customHeight="1" x14ac:dyDescent="0.4">
      <c r="A2847" s="2402">
        <v>2841</v>
      </c>
      <c r="B2847" s="390" t="s">
        <v>3928</v>
      </c>
      <c r="C2847" s="163" t="s">
        <v>1344</v>
      </c>
      <c r="D2847" s="164" t="s">
        <v>172</v>
      </c>
      <c r="E2847" s="165" t="s">
        <v>3989</v>
      </c>
      <c r="F2847" s="170">
        <v>24564</v>
      </c>
      <c r="G2847" s="1177">
        <v>23617.02</v>
      </c>
      <c r="H2847" s="1780" t="s">
        <v>3892</v>
      </c>
      <c r="I2847" s="2287" t="s">
        <v>25</v>
      </c>
      <c r="K2847" s="1174"/>
      <c r="L2847" s="1176"/>
      <c r="M2847" s="1176"/>
      <c r="N2847" s="1176"/>
      <c r="O2847" s="1176"/>
      <c r="P2847" s="1176"/>
      <c r="Q2847" s="1176"/>
      <c r="R2847" s="1176"/>
      <c r="S2847" s="1176"/>
      <c r="T2847" s="1176"/>
      <c r="U2847" s="1176"/>
      <c r="V2847" s="1176"/>
      <c r="W2847" s="1176"/>
      <c r="X2847" s="1176"/>
      <c r="Y2847" s="1176"/>
      <c r="Z2847" s="1176"/>
      <c r="AA2847" s="1176"/>
      <c r="AB2847" s="1176"/>
      <c r="AC2847" s="1176"/>
      <c r="AD2847" s="1176"/>
      <c r="AE2847" s="1176"/>
      <c r="AF2847" s="1176"/>
      <c r="AG2847" s="1176"/>
      <c r="AH2847" s="1176"/>
      <c r="AI2847" s="1176"/>
      <c r="AJ2847" s="1176"/>
      <c r="AK2847" s="1176"/>
      <c r="AL2847" s="1176"/>
    </row>
    <row r="2848" spans="1:38" s="466" customFormat="1" ht="18.75" customHeight="1" x14ac:dyDescent="0.4">
      <c r="A2848" s="2402">
        <v>2842</v>
      </c>
      <c r="B2848" s="390" t="s">
        <v>3928</v>
      </c>
      <c r="C2848" s="163" t="s">
        <v>1344</v>
      </c>
      <c r="D2848" s="164" t="s">
        <v>172</v>
      </c>
      <c r="E2848" s="165" t="s">
        <v>3990</v>
      </c>
      <c r="F2848" s="170">
        <v>24564</v>
      </c>
      <c r="G2848" s="1177">
        <v>23617.02</v>
      </c>
      <c r="H2848" s="1780" t="s">
        <v>3892</v>
      </c>
      <c r="I2848" s="2287" t="s">
        <v>25</v>
      </c>
      <c r="K2848" s="1174"/>
      <c r="L2848" s="1176"/>
      <c r="M2848" s="1176"/>
      <c r="N2848" s="1176"/>
      <c r="O2848" s="1176"/>
      <c r="P2848" s="1176"/>
      <c r="Q2848" s="1176"/>
      <c r="R2848" s="1176"/>
      <c r="S2848" s="1176"/>
      <c r="T2848" s="1176"/>
      <c r="U2848" s="1176"/>
      <c r="V2848" s="1176"/>
      <c r="W2848" s="1176"/>
      <c r="X2848" s="1176"/>
      <c r="Y2848" s="1176"/>
      <c r="Z2848" s="1176"/>
      <c r="AA2848" s="1176"/>
      <c r="AB2848" s="1176"/>
      <c r="AC2848" s="1176"/>
      <c r="AD2848" s="1176"/>
      <c r="AE2848" s="1176"/>
      <c r="AF2848" s="1176"/>
      <c r="AG2848" s="1176"/>
      <c r="AH2848" s="1176"/>
      <c r="AI2848" s="1176"/>
      <c r="AJ2848" s="1176"/>
      <c r="AK2848" s="1176"/>
      <c r="AL2848" s="1176"/>
    </row>
    <row r="2849" spans="1:38" s="466" customFormat="1" ht="18.75" customHeight="1" x14ac:dyDescent="0.4">
      <c r="A2849" s="2401">
        <v>2843</v>
      </c>
      <c r="B2849" s="390" t="s">
        <v>3928</v>
      </c>
      <c r="C2849" s="163" t="s">
        <v>1344</v>
      </c>
      <c r="D2849" s="164" t="s">
        <v>172</v>
      </c>
      <c r="E2849" s="165" t="s">
        <v>3991</v>
      </c>
      <c r="F2849" s="170">
        <v>24564</v>
      </c>
      <c r="G2849" s="1177">
        <v>23617.02</v>
      </c>
      <c r="H2849" s="1780" t="s">
        <v>3892</v>
      </c>
      <c r="I2849" s="2287" t="s">
        <v>25</v>
      </c>
      <c r="K2849" s="1174"/>
      <c r="L2849" s="1176"/>
      <c r="M2849" s="1176"/>
      <c r="N2849" s="1176"/>
      <c r="O2849" s="1176"/>
      <c r="P2849" s="1176"/>
      <c r="Q2849" s="1176"/>
      <c r="R2849" s="1176"/>
      <c r="S2849" s="1176"/>
      <c r="T2849" s="1176"/>
      <c r="U2849" s="1176"/>
      <c r="V2849" s="1176"/>
      <c r="W2849" s="1176"/>
      <c r="X2849" s="1176"/>
      <c r="Y2849" s="1176"/>
      <c r="Z2849" s="1176"/>
      <c r="AA2849" s="1176"/>
      <c r="AB2849" s="1176"/>
      <c r="AC2849" s="1176"/>
      <c r="AD2849" s="1176"/>
      <c r="AE2849" s="1176"/>
      <c r="AF2849" s="1176"/>
      <c r="AG2849" s="1176"/>
      <c r="AH2849" s="1176"/>
      <c r="AI2849" s="1176"/>
      <c r="AJ2849" s="1176"/>
      <c r="AK2849" s="1176"/>
      <c r="AL2849" s="1176"/>
    </row>
    <row r="2850" spans="1:38" s="466" customFormat="1" ht="18.75" customHeight="1" x14ac:dyDescent="0.4">
      <c r="A2850" s="2402">
        <v>2844</v>
      </c>
      <c r="B2850" s="390" t="s">
        <v>3928</v>
      </c>
      <c r="C2850" s="163" t="s">
        <v>1344</v>
      </c>
      <c r="D2850" s="164" t="s">
        <v>172</v>
      </c>
      <c r="E2850" s="165" t="s">
        <v>3992</v>
      </c>
      <c r="F2850" s="170">
        <v>24564</v>
      </c>
      <c r="G2850" s="1177">
        <v>23617.02</v>
      </c>
      <c r="H2850" s="1780" t="s">
        <v>3892</v>
      </c>
      <c r="I2850" s="2287" t="s">
        <v>25</v>
      </c>
      <c r="K2850" s="1174"/>
      <c r="L2850" s="1176"/>
      <c r="M2850" s="1176"/>
      <c r="N2850" s="1176"/>
      <c r="O2850" s="1176"/>
      <c r="P2850" s="1176"/>
      <c r="Q2850" s="1176"/>
      <c r="R2850" s="1176"/>
      <c r="S2850" s="1176"/>
      <c r="T2850" s="1176"/>
      <c r="U2850" s="1176"/>
      <c r="V2850" s="1176"/>
      <c r="W2850" s="1176"/>
      <c r="X2850" s="1176"/>
      <c r="Y2850" s="1176"/>
      <c r="Z2850" s="1176"/>
      <c r="AA2850" s="1176"/>
      <c r="AB2850" s="1176"/>
      <c r="AC2850" s="1176"/>
      <c r="AD2850" s="1176"/>
      <c r="AE2850" s="1176"/>
      <c r="AF2850" s="1176"/>
      <c r="AG2850" s="1176"/>
      <c r="AH2850" s="1176"/>
      <c r="AI2850" s="1176"/>
      <c r="AJ2850" s="1176"/>
      <c r="AK2850" s="1176"/>
      <c r="AL2850" s="1176"/>
    </row>
    <row r="2851" spans="1:38" s="466" customFormat="1" ht="18.75" customHeight="1" x14ac:dyDescent="0.4">
      <c r="A2851" s="2402">
        <v>2845</v>
      </c>
      <c r="B2851" s="390" t="s">
        <v>3928</v>
      </c>
      <c r="C2851" s="163" t="s">
        <v>1344</v>
      </c>
      <c r="D2851" s="164" t="s">
        <v>172</v>
      </c>
      <c r="E2851" s="165" t="s">
        <v>3993</v>
      </c>
      <c r="F2851" s="170">
        <v>24564</v>
      </c>
      <c r="G2851" s="1177">
        <v>23617.02</v>
      </c>
      <c r="H2851" s="1780" t="s">
        <v>3892</v>
      </c>
      <c r="I2851" s="2287" t="s">
        <v>25</v>
      </c>
      <c r="K2851" s="1174"/>
      <c r="L2851" s="1176"/>
      <c r="M2851" s="1176"/>
      <c r="N2851" s="1176"/>
      <c r="O2851" s="1176"/>
      <c r="P2851" s="1176"/>
      <c r="Q2851" s="1176"/>
      <c r="R2851" s="1176"/>
      <c r="S2851" s="1176"/>
      <c r="T2851" s="1176"/>
      <c r="U2851" s="1176"/>
      <c r="V2851" s="1176"/>
      <c r="W2851" s="1176"/>
      <c r="X2851" s="1176"/>
      <c r="Y2851" s="1176"/>
      <c r="Z2851" s="1176"/>
      <c r="AA2851" s="1176"/>
      <c r="AB2851" s="1176"/>
      <c r="AC2851" s="1176"/>
      <c r="AD2851" s="1176"/>
      <c r="AE2851" s="1176"/>
      <c r="AF2851" s="1176"/>
      <c r="AG2851" s="1176"/>
      <c r="AH2851" s="1176"/>
      <c r="AI2851" s="1176"/>
      <c r="AJ2851" s="1176"/>
      <c r="AK2851" s="1176"/>
      <c r="AL2851" s="1176"/>
    </row>
    <row r="2852" spans="1:38" s="466" customFormat="1" ht="18.75" customHeight="1" x14ac:dyDescent="0.4">
      <c r="A2852" s="2402">
        <v>2846</v>
      </c>
      <c r="B2852" s="390" t="s">
        <v>3928</v>
      </c>
      <c r="C2852" s="163" t="s">
        <v>1344</v>
      </c>
      <c r="D2852" s="164" t="s">
        <v>172</v>
      </c>
      <c r="E2852" s="165" t="s">
        <v>3994</v>
      </c>
      <c r="F2852" s="170">
        <v>24564</v>
      </c>
      <c r="G2852" s="1177">
        <v>23617.02</v>
      </c>
      <c r="H2852" s="1780" t="s">
        <v>3892</v>
      </c>
      <c r="I2852" s="2287" t="s">
        <v>25</v>
      </c>
      <c r="K2852" s="1174"/>
      <c r="L2852" s="1176"/>
      <c r="M2852" s="1176"/>
      <c r="N2852" s="1176"/>
      <c r="O2852" s="1176"/>
      <c r="P2852" s="1176"/>
      <c r="Q2852" s="1176"/>
      <c r="R2852" s="1176"/>
      <c r="S2852" s="1176"/>
      <c r="T2852" s="1176"/>
      <c r="U2852" s="1176"/>
      <c r="V2852" s="1176"/>
      <c r="W2852" s="1176"/>
      <c r="X2852" s="1176"/>
      <c r="Y2852" s="1176"/>
      <c r="Z2852" s="1176"/>
      <c r="AA2852" s="1176"/>
      <c r="AB2852" s="1176"/>
      <c r="AC2852" s="1176"/>
      <c r="AD2852" s="1176"/>
      <c r="AE2852" s="1176"/>
      <c r="AF2852" s="1176"/>
      <c r="AG2852" s="1176"/>
      <c r="AH2852" s="1176"/>
      <c r="AI2852" s="1176"/>
      <c r="AJ2852" s="1176"/>
      <c r="AK2852" s="1176"/>
      <c r="AL2852" s="1176"/>
    </row>
    <row r="2853" spans="1:38" s="466" customFormat="1" ht="18.75" customHeight="1" x14ac:dyDescent="0.4">
      <c r="A2853" s="2401">
        <v>2847</v>
      </c>
      <c r="B2853" s="390" t="s">
        <v>3928</v>
      </c>
      <c r="C2853" s="163" t="s">
        <v>1344</v>
      </c>
      <c r="D2853" s="164" t="s">
        <v>172</v>
      </c>
      <c r="E2853" s="165" t="s">
        <v>3995</v>
      </c>
      <c r="F2853" s="170">
        <v>24564</v>
      </c>
      <c r="G2853" s="1177">
        <v>23617.02</v>
      </c>
      <c r="H2853" s="1780" t="s">
        <v>3892</v>
      </c>
      <c r="I2853" s="2287" t="s">
        <v>25</v>
      </c>
      <c r="K2853" s="1174"/>
      <c r="L2853" s="1176"/>
      <c r="M2853" s="1176"/>
      <c r="N2853" s="1176"/>
      <c r="O2853" s="1176"/>
      <c r="P2853" s="1176"/>
      <c r="Q2853" s="1176"/>
      <c r="R2853" s="1176"/>
      <c r="S2853" s="1176"/>
      <c r="T2853" s="1176"/>
      <c r="U2853" s="1176"/>
      <c r="V2853" s="1176"/>
      <c r="W2853" s="1176"/>
      <c r="X2853" s="1176"/>
      <c r="Y2853" s="1176"/>
      <c r="Z2853" s="1176"/>
      <c r="AA2853" s="1176"/>
      <c r="AB2853" s="1176"/>
      <c r="AC2853" s="1176"/>
      <c r="AD2853" s="1176"/>
      <c r="AE2853" s="1176"/>
      <c r="AF2853" s="1176"/>
      <c r="AG2853" s="1176"/>
      <c r="AH2853" s="1176"/>
      <c r="AI2853" s="1176"/>
      <c r="AJ2853" s="1176"/>
      <c r="AK2853" s="1176"/>
      <c r="AL2853" s="1176"/>
    </row>
    <row r="2854" spans="1:38" s="466" customFormat="1" ht="18.75" customHeight="1" x14ac:dyDescent="0.4">
      <c r="A2854" s="2402">
        <v>2848</v>
      </c>
      <c r="B2854" s="390" t="s">
        <v>3928</v>
      </c>
      <c r="C2854" s="163" t="s">
        <v>1344</v>
      </c>
      <c r="D2854" s="164" t="s">
        <v>172</v>
      </c>
      <c r="E2854" s="165" t="s">
        <v>3996</v>
      </c>
      <c r="F2854" s="170">
        <v>24564</v>
      </c>
      <c r="G2854" s="1177">
        <v>23617.02</v>
      </c>
      <c r="H2854" s="1780" t="s">
        <v>3892</v>
      </c>
      <c r="I2854" s="2287" t="s">
        <v>25</v>
      </c>
      <c r="K2854" s="1174"/>
      <c r="L2854" s="1176"/>
      <c r="M2854" s="1176"/>
      <c r="N2854" s="1176"/>
      <c r="O2854" s="1176"/>
      <c r="P2854" s="1176"/>
      <c r="Q2854" s="1176"/>
      <c r="R2854" s="1176"/>
      <c r="S2854" s="1176"/>
      <c r="T2854" s="1176"/>
      <c r="U2854" s="1176"/>
      <c r="V2854" s="1176"/>
      <c r="W2854" s="1176"/>
      <c r="X2854" s="1176"/>
      <c r="Y2854" s="1176"/>
      <c r="Z2854" s="1176"/>
      <c r="AA2854" s="1176"/>
      <c r="AB2854" s="1176"/>
      <c r="AC2854" s="1176"/>
      <c r="AD2854" s="1176"/>
      <c r="AE2854" s="1176"/>
      <c r="AF2854" s="1176"/>
      <c r="AG2854" s="1176"/>
      <c r="AH2854" s="1176"/>
      <c r="AI2854" s="1176"/>
      <c r="AJ2854" s="1176"/>
      <c r="AK2854" s="1176"/>
      <c r="AL2854" s="1176"/>
    </row>
    <row r="2855" spans="1:38" s="466" customFormat="1" ht="18.75" customHeight="1" x14ac:dyDescent="0.4">
      <c r="A2855" s="2402">
        <v>2849</v>
      </c>
      <c r="B2855" s="390" t="s">
        <v>3928</v>
      </c>
      <c r="C2855" s="163" t="s">
        <v>1344</v>
      </c>
      <c r="D2855" s="164" t="s">
        <v>172</v>
      </c>
      <c r="E2855" s="165" t="s">
        <v>3997</v>
      </c>
      <c r="F2855" s="170">
        <v>24564</v>
      </c>
      <c r="G2855" s="1177">
        <v>23617.02</v>
      </c>
      <c r="H2855" s="1780" t="s">
        <v>3892</v>
      </c>
      <c r="I2855" s="2287" t="s">
        <v>25</v>
      </c>
      <c r="K2855" s="1174"/>
      <c r="L2855" s="1176"/>
      <c r="M2855" s="1176"/>
      <c r="N2855" s="1176"/>
      <c r="O2855" s="1176"/>
      <c r="P2855" s="1176"/>
      <c r="Q2855" s="1176"/>
      <c r="R2855" s="1176"/>
      <c r="S2855" s="1176"/>
      <c r="T2855" s="1176"/>
      <c r="U2855" s="1176"/>
      <c r="V2855" s="1176"/>
      <c r="W2855" s="1176"/>
      <c r="X2855" s="1176"/>
      <c r="Y2855" s="1176"/>
      <c r="Z2855" s="1176"/>
      <c r="AA2855" s="1176"/>
      <c r="AB2855" s="1176"/>
      <c r="AC2855" s="1176"/>
      <c r="AD2855" s="1176"/>
      <c r="AE2855" s="1176"/>
      <c r="AF2855" s="1176"/>
      <c r="AG2855" s="1176"/>
      <c r="AH2855" s="1176"/>
      <c r="AI2855" s="1176"/>
      <c r="AJ2855" s="1176"/>
      <c r="AK2855" s="1176"/>
      <c r="AL2855" s="1176"/>
    </row>
    <row r="2856" spans="1:38" s="466" customFormat="1" ht="18.75" customHeight="1" x14ac:dyDescent="0.4">
      <c r="A2856" s="2402">
        <v>2850</v>
      </c>
      <c r="B2856" s="390" t="s">
        <v>3928</v>
      </c>
      <c r="C2856" s="163" t="s">
        <v>1344</v>
      </c>
      <c r="D2856" s="164" t="s">
        <v>172</v>
      </c>
      <c r="E2856" s="165" t="s">
        <v>3998</v>
      </c>
      <c r="F2856" s="170">
        <v>24564</v>
      </c>
      <c r="G2856" s="1177">
        <v>23617.02</v>
      </c>
      <c r="H2856" s="1780" t="s">
        <v>3892</v>
      </c>
      <c r="I2856" s="2287" t="s">
        <v>25</v>
      </c>
      <c r="K2856" s="1174"/>
      <c r="L2856" s="1176"/>
      <c r="M2856" s="1176"/>
      <c r="N2856" s="1176"/>
      <c r="O2856" s="1176"/>
      <c r="P2856" s="1176"/>
      <c r="Q2856" s="1176"/>
      <c r="R2856" s="1176"/>
      <c r="S2856" s="1176"/>
      <c r="T2856" s="1176"/>
      <c r="U2856" s="1176"/>
      <c r="V2856" s="1176"/>
      <c r="W2856" s="1176"/>
      <c r="X2856" s="1176"/>
      <c r="Y2856" s="1176"/>
      <c r="Z2856" s="1176"/>
      <c r="AA2856" s="1176"/>
      <c r="AB2856" s="1176"/>
      <c r="AC2856" s="1176"/>
      <c r="AD2856" s="1176"/>
      <c r="AE2856" s="1176"/>
      <c r="AF2856" s="1176"/>
      <c r="AG2856" s="1176"/>
      <c r="AH2856" s="1176"/>
      <c r="AI2856" s="1176"/>
      <c r="AJ2856" s="1176"/>
      <c r="AK2856" s="1176"/>
      <c r="AL2856" s="1176"/>
    </row>
    <row r="2857" spans="1:38" s="466" customFormat="1" ht="18.75" customHeight="1" x14ac:dyDescent="0.4">
      <c r="A2857" s="2402">
        <v>2851</v>
      </c>
      <c r="B2857" s="390" t="s">
        <v>3928</v>
      </c>
      <c r="C2857" s="163" t="s">
        <v>1344</v>
      </c>
      <c r="D2857" s="164" t="s">
        <v>172</v>
      </c>
      <c r="E2857" s="165" t="s">
        <v>3999</v>
      </c>
      <c r="F2857" s="170">
        <v>24564</v>
      </c>
      <c r="G2857" s="1177">
        <v>23617.02</v>
      </c>
      <c r="H2857" s="1780" t="s">
        <v>3892</v>
      </c>
      <c r="I2857" s="2287" t="s">
        <v>25</v>
      </c>
      <c r="K2857" s="1174"/>
      <c r="L2857" s="1176"/>
      <c r="M2857" s="1176"/>
      <c r="N2857" s="1176"/>
      <c r="O2857" s="1176"/>
      <c r="P2857" s="1176"/>
      <c r="Q2857" s="1176"/>
      <c r="R2857" s="1176"/>
      <c r="S2857" s="1176"/>
      <c r="T2857" s="1176"/>
      <c r="U2857" s="1176"/>
      <c r="V2857" s="1176"/>
      <c r="W2857" s="1176"/>
      <c r="X2857" s="1176"/>
      <c r="Y2857" s="1176"/>
      <c r="Z2857" s="1176"/>
      <c r="AA2857" s="1176"/>
      <c r="AB2857" s="1176"/>
      <c r="AC2857" s="1176"/>
      <c r="AD2857" s="1176"/>
      <c r="AE2857" s="1176"/>
      <c r="AF2857" s="1176"/>
      <c r="AG2857" s="1176"/>
      <c r="AH2857" s="1176"/>
      <c r="AI2857" s="1176"/>
      <c r="AJ2857" s="1176"/>
      <c r="AK2857" s="1176"/>
      <c r="AL2857" s="1176"/>
    </row>
    <row r="2858" spans="1:38" s="466" customFormat="1" ht="18.75" customHeight="1" x14ac:dyDescent="0.4">
      <c r="A2858" s="2401">
        <v>2852</v>
      </c>
      <c r="B2858" s="390" t="s">
        <v>3928</v>
      </c>
      <c r="C2858" s="163" t="s">
        <v>1344</v>
      </c>
      <c r="D2858" s="164" t="s">
        <v>172</v>
      </c>
      <c r="E2858" s="165" t="s">
        <v>4000</v>
      </c>
      <c r="F2858" s="170">
        <v>24564</v>
      </c>
      <c r="G2858" s="1177">
        <v>23617.02</v>
      </c>
      <c r="H2858" s="1780" t="s">
        <v>3892</v>
      </c>
      <c r="I2858" s="2287" t="s">
        <v>25</v>
      </c>
      <c r="K2858" s="1174"/>
      <c r="L2858" s="1176"/>
      <c r="M2858" s="1176"/>
      <c r="N2858" s="1176"/>
      <c r="O2858" s="1176"/>
      <c r="P2858" s="1176"/>
      <c r="Q2858" s="1176"/>
      <c r="R2858" s="1176"/>
      <c r="S2858" s="1176"/>
      <c r="T2858" s="1176"/>
      <c r="U2858" s="1176"/>
      <c r="V2858" s="1176"/>
      <c r="W2858" s="1176"/>
      <c r="X2858" s="1176"/>
      <c r="Y2858" s="1176"/>
      <c r="Z2858" s="1176"/>
      <c r="AA2858" s="1176"/>
      <c r="AB2858" s="1176"/>
      <c r="AC2858" s="1176"/>
      <c r="AD2858" s="1176"/>
      <c r="AE2858" s="1176"/>
      <c r="AF2858" s="1176"/>
      <c r="AG2858" s="1176"/>
      <c r="AH2858" s="1176"/>
      <c r="AI2858" s="1176"/>
      <c r="AJ2858" s="1176"/>
      <c r="AK2858" s="1176"/>
      <c r="AL2858" s="1176"/>
    </row>
    <row r="2859" spans="1:38" s="466" customFormat="1" ht="18.75" customHeight="1" x14ac:dyDescent="0.4">
      <c r="A2859" s="2402">
        <v>2853</v>
      </c>
      <c r="B2859" s="390" t="s">
        <v>3928</v>
      </c>
      <c r="C2859" s="163" t="s">
        <v>1344</v>
      </c>
      <c r="D2859" s="164" t="s">
        <v>172</v>
      </c>
      <c r="E2859" s="165" t="s">
        <v>4001</v>
      </c>
      <c r="F2859" s="170">
        <v>24564</v>
      </c>
      <c r="G2859" s="1177">
        <v>23617.02</v>
      </c>
      <c r="H2859" s="1780" t="s">
        <v>3892</v>
      </c>
      <c r="I2859" s="2287" t="s">
        <v>25</v>
      </c>
      <c r="K2859" s="1174"/>
      <c r="L2859" s="1176"/>
      <c r="M2859" s="1176"/>
      <c r="N2859" s="1176"/>
      <c r="O2859" s="1176"/>
      <c r="P2859" s="1176"/>
      <c r="Q2859" s="1176"/>
      <c r="R2859" s="1176"/>
      <c r="S2859" s="1176"/>
      <c r="T2859" s="1176"/>
      <c r="U2859" s="1176"/>
      <c r="V2859" s="1176"/>
      <c r="W2859" s="1176"/>
      <c r="X2859" s="1176"/>
      <c r="Y2859" s="1176"/>
      <c r="Z2859" s="1176"/>
      <c r="AA2859" s="1176"/>
      <c r="AB2859" s="1176"/>
      <c r="AC2859" s="1176"/>
      <c r="AD2859" s="1176"/>
      <c r="AE2859" s="1176"/>
      <c r="AF2859" s="1176"/>
      <c r="AG2859" s="1176"/>
      <c r="AH2859" s="1176"/>
      <c r="AI2859" s="1176"/>
      <c r="AJ2859" s="1176"/>
      <c r="AK2859" s="1176"/>
      <c r="AL2859" s="1176"/>
    </row>
    <row r="2860" spans="1:38" s="466" customFormat="1" ht="18.75" customHeight="1" x14ac:dyDescent="0.4">
      <c r="A2860" s="2402">
        <v>2854</v>
      </c>
      <c r="B2860" s="390" t="s">
        <v>3928</v>
      </c>
      <c r="C2860" s="163" t="s">
        <v>1344</v>
      </c>
      <c r="D2860" s="164" t="s">
        <v>172</v>
      </c>
      <c r="E2860" s="165" t="s">
        <v>4002</v>
      </c>
      <c r="F2860" s="170">
        <v>24564</v>
      </c>
      <c r="G2860" s="1177">
        <v>23617.02</v>
      </c>
      <c r="H2860" s="1780" t="s">
        <v>3892</v>
      </c>
      <c r="I2860" s="2287" t="s">
        <v>25</v>
      </c>
      <c r="K2860" s="1174"/>
      <c r="L2860" s="1176"/>
      <c r="M2860" s="1176"/>
      <c r="N2860" s="1176"/>
      <c r="O2860" s="1176"/>
      <c r="P2860" s="1176"/>
      <c r="Q2860" s="1176"/>
      <c r="R2860" s="1176"/>
      <c r="S2860" s="1176"/>
      <c r="T2860" s="1176"/>
      <c r="U2860" s="1176"/>
      <c r="V2860" s="1176"/>
      <c r="W2860" s="1176"/>
      <c r="X2860" s="1176"/>
      <c r="Y2860" s="1176"/>
      <c r="Z2860" s="1176"/>
      <c r="AA2860" s="1176"/>
      <c r="AB2860" s="1176"/>
      <c r="AC2860" s="1176"/>
      <c r="AD2860" s="1176"/>
      <c r="AE2860" s="1176"/>
      <c r="AF2860" s="1176"/>
      <c r="AG2860" s="1176"/>
      <c r="AH2860" s="1176"/>
      <c r="AI2860" s="1176"/>
      <c r="AJ2860" s="1176"/>
      <c r="AK2860" s="1176"/>
      <c r="AL2860" s="1176"/>
    </row>
    <row r="2861" spans="1:38" s="466" customFormat="1" ht="18.75" customHeight="1" x14ac:dyDescent="0.4">
      <c r="A2861" s="2402">
        <v>2855</v>
      </c>
      <c r="B2861" s="390" t="s">
        <v>3928</v>
      </c>
      <c r="C2861" s="163" t="s">
        <v>1344</v>
      </c>
      <c r="D2861" s="164" t="s">
        <v>172</v>
      </c>
      <c r="E2861" s="165" t="s">
        <v>4003</v>
      </c>
      <c r="F2861" s="170">
        <v>24564</v>
      </c>
      <c r="G2861" s="1177">
        <v>23617.02</v>
      </c>
      <c r="H2861" s="1780" t="s">
        <v>3892</v>
      </c>
      <c r="I2861" s="2287" t="s">
        <v>25</v>
      </c>
      <c r="K2861" s="1174"/>
      <c r="L2861" s="1176"/>
      <c r="M2861" s="1176"/>
      <c r="N2861" s="1176"/>
      <c r="O2861" s="1176"/>
      <c r="P2861" s="1176"/>
      <c r="Q2861" s="1176"/>
      <c r="R2861" s="1176"/>
      <c r="S2861" s="1176"/>
      <c r="T2861" s="1176"/>
      <c r="U2861" s="1176"/>
      <c r="V2861" s="1176"/>
      <c r="W2861" s="1176"/>
      <c r="X2861" s="1176"/>
      <c r="Y2861" s="1176"/>
      <c r="Z2861" s="1176"/>
      <c r="AA2861" s="1176"/>
      <c r="AB2861" s="1176"/>
      <c r="AC2861" s="1176"/>
      <c r="AD2861" s="1176"/>
      <c r="AE2861" s="1176"/>
      <c r="AF2861" s="1176"/>
      <c r="AG2861" s="1176"/>
      <c r="AH2861" s="1176"/>
      <c r="AI2861" s="1176"/>
      <c r="AJ2861" s="1176"/>
      <c r="AK2861" s="1176"/>
      <c r="AL2861" s="1176"/>
    </row>
    <row r="2862" spans="1:38" s="466" customFormat="1" ht="18.75" customHeight="1" x14ac:dyDescent="0.4">
      <c r="A2862" s="2401">
        <v>2856</v>
      </c>
      <c r="B2862" s="390" t="s">
        <v>3928</v>
      </c>
      <c r="C2862" s="163" t="s">
        <v>1344</v>
      </c>
      <c r="D2862" s="164" t="s">
        <v>172</v>
      </c>
      <c r="E2862" s="165" t="s">
        <v>4004</v>
      </c>
      <c r="F2862" s="170">
        <v>24564</v>
      </c>
      <c r="G2862" s="1177">
        <v>23617.02</v>
      </c>
      <c r="H2862" s="1780" t="s">
        <v>3892</v>
      </c>
      <c r="I2862" s="2287" t="s">
        <v>25</v>
      </c>
      <c r="K2862" s="1174"/>
      <c r="L2862" s="1176"/>
      <c r="M2862" s="1176"/>
      <c r="N2862" s="1176"/>
      <c r="O2862" s="1176"/>
      <c r="P2862" s="1176"/>
      <c r="Q2862" s="1176"/>
      <c r="R2862" s="1176"/>
      <c r="S2862" s="1176"/>
      <c r="T2862" s="1176"/>
      <c r="U2862" s="1176"/>
      <c r="V2862" s="1176"/>
      <c r="W2862" s="1176"/>
      <c r="X2862" s="1176"/>
      <c r="Y2862" s="1176"/>
      <c r="Z2862" s="1176"/>
      <c r="AA2862" s="1176"/>
      <c r="AB2862" s="1176"/>
      <c r="AC2862" s="1176"/>
      <c r="AD2862" s="1176"/>
      <c r="AE2862" s="1176"/>
      <c r="AF2862" s="1176"/>
      <c r="AG2862" s="1176"/>
      <c r="AH2862" s="1176"/>
      <c r="AI2862" s="1176"/>
      <c r="AJ2862" s="1176"/>
      <c r="AK2862" s="1176"/>
      <c r="AL2862" s="1176"/>
    </row>
    <row r="2863" spans="1:38" s="466" customFormat="1" ht="18.75" customHeight="1" x14ac:dyDescent="0.4">
      <c r="A2863" s="2402">
        <v>2857</v>
      </c>
      <c r="B2863" s="390" t="s">
        <v>3928</v>
      </c>
      <c r="C2863" s="163" t="s">
        <v>1344</v>
      </c>
      <c r="D2863" s="164" t="s">
        <v>172</v>
      </c>
      <c r="E2863" s="165" t="s">
        <v>4005</v>
      </c>
      <c r="F2863" s="170">
        <v>24564</v>
      </c>
      <c r="G2863" s="1177">
        <v>23617.02</v>
      </c>
      <c r="H2863" s="1780" t="s">
        <v>3892</v>
      </c>
      <c r="I2863" s="2287" t="s">
        <v>25</v>
      </c>
      <c r="K2863" s="1174"/>
      <c r="L2863" s="1176"/>
      <c r="M2863" s="1176"/>
      <c r="N2863" s="1176"/>
      <c r="O2863" s="1176"/>
      <c r="P2863" s="1176"/>
      <c r="Q2863" s="1176"/>
      <c r="R2863" s="1176"/>
      <c r="S2863" s="1176"/>
      <c r="T2863" s="1176"/>
      <c r="U2863" s="1176"/>
      <c r="V2863" s="1176"/>
      <c r="W2863" s="1176"/>
      <c r="X2863" s="1176"/>
      <c r="Y2863" s="1176"/>
      <c r="Z2863" s="1176"/>
      <c r="AA2863" s="1176"/>
      <c r="AB2863" s="1176"/>
      <c r="AC2863" s="1176"/>
      <c r="AD2863" s="1176"/>
      <c r="AE2863" s="1176"/>
      <c r="AF2863" s="1176"/>
      <c r="AG2863" s="1176"/>
      <c r="AH2863" s="1176"/>
      <c r="AI2863" s="1176"/>
      <c r="AJ2863" s="1176"/>
      <c r="AK2863" s="1176"/>
      <c r="AL2863" s="1176"/>
    </row>
    <row r="2864" spans="1:38" s="466" customFormat="1" ht="18.75" customHeight="1" x14ac:dyDescent="0.4">
      <c r="A2864" s="2402">
        <v>2858</v>
      </c>
      <c r="B2864" s="390" t="s">
        <v>3928</v>
      </c>
      <c r="C2864" s="163" t="s">
        <v>1344</v>
      </c>
      <c r="D2864" s="164" t="s">
        <v>172</v>
      </c>
      <c r="E2864" s="165" t="s">
        <v>4006</v>
      </c>
      <c r="F2864" s="170">
        <v>24564</v>
      </c>
      <c r="G2864" s="1177">
        <v>23617.02</v>
      </c>
      <c r="H2864" s="1780" t="s">
        <v>3892</v>
      </c>
      <c r="I2864" s="2287" t="s">
        <v>25</v>
      </c>
      <c r="K2864" s="1174"/>
      <c r="L2864" s="1176"/>
      <c r="M2864" s="1176"/>
      <c r="N2864" s="1176"/>
      <c r="O2864" s="1176"/>
      <c r="P2864" s="1176"/>
      <c r="Q2864" s="1176"/>
      <c r="R2864" s="1176"/>
      <c r="S2864" s="1176"/>
      <c r="T2864" s="1176"/>
      <c r="U2864" s="1176"/>
      <c r="V2864" s="1176"/>
      <c r="W2864" s="1176"/>
      <c r="X2864" s="1176"/>
      <c r="Y2864" s="1176"/>
      <c r="Z2864" s="1176"/>
      <c r="AA2864" s="1176"/>
      <c r="AB2864" s="1176"/>
      <c r="AC2864" s="1176"/>
      <c r="AD2864" s="1176"/>
      <c r="AE2864" s="1176"/>
      <c r="AF2864" s="1176"/>
      <c r="AG2864" s="1176"/>
      <c r="AH2864" s="1176"/>
      <c r="AI2864" s="1176"/>
      <c r="AJ2864" s="1176"/>
      <c r="AK2864" s="1176"/>
      <c r="AL2864" s="1176"/>
    </row>
    <row r="2865" spans="1:38" s="466" customFormat="1" ht="18.75" customHeight="1" x14ac:dyDescent="0.4">
      <c r="A2865" s="2402">
        <v>2859</v>
      </c>
      <c r="B2865" s="390" t="s">
        <v>3928</v>
      </c>
      <c r="C2865" s="163" t="s">
        <v>1344</v>
      </c>
      <c r="D2865" s="164" t="s">
        <v>172</v>
      </c>
      <c r="E2865" s="165" t="s">
        <v>4007</v>
      </c>
      <c r="F2865" s="170">
        <v>24564</v>
      </c>
      <c r="G2865" s="1177">
        <v>23617.02</v>
      </c>
      <c r="H2865" s="1780" t="s">
        <v>3892</v>
      </c>
      <c r="I2865" s="2287" t="s">
        <v>25</v>
      </c>
      <c r="K2865" s="1174"/>
      <c r="L2865" s="1176"/>
      <c r="M2865" s="1176"/>
      <c r="N2865" s="1176"/>
      <c r="O2865" s="1176"/>
      <c r="P2865" s="1176"/>
      <c r="Q2865" s="1176"/>
      <c r="R2865" s="1176"/>
      <c r="S2865" s="1176"/>
      <c r="T2865" s="1176"/>
      <c r="U2865" s="1176"/>
      <c r="V2865" s="1176"/>
      <c r="W2865" s="1176"/>
      <c r="X2865" s="1176"/>
      <c r="Y2865" s="1176"/>
      <c r="Z2865" s="1176"/>
      <c r="AA2865" s="1176"/>
      <c r="AB2865" s="1176"/>
      <c r="AC2865" s="1176"/>
      <c r="AD2865" s="1176"/>
      <c r="AE2865" s="1176"/>
      <c r="AF2865" s="1176"/>
      <c r="AG2865" s="1176"/>
      <c r="AH2865" s="1176"/>
      <c r="AI2865" s="1176"/>
      <c r="AJ2865" s="1176"/>
      <c r="AK2865" s="1176"/>
      <c r="AL2865" s="1176"/>
    </row>
    <row r="2866" spans="1:38" s="466" customFormat="1" ht="18.75" customHeight="1" x14ac:dyDescent="0.4">
      <c r="A2866" s="2402">
        <v>2860</v>
      </c>
      <c r="B2866" s="390" t="s">
        <v>3928</v>
      </c>
      <c r="C2866" s="163" t="s">
        <v>1344</v>
      </c>
      <c r="D2866" s="164" t="s">
        <v>172</v>
      </c>
      <c r="E2866" s="165" t="s">
        <v>4008</v>
      </c>
      <c r="F2866" s="170">
        <v>24564</v>
      </c>
      <c r="G2866" s="1177">
        <v>23617.02</v>
      </c>
      <c r="H2866" s="1780" t="s">
        <v>3892</v>
      </c>
      <c r="I2866" s="2287" t="s">
        <v>25</v>
      </c>
      <c r="K2866" s="1174"/>
      <c r="L2866" s="1176"/>
      <c r="M2866" s="1176"/>
      <c r="N2866" s="1176"/>
      <c r="O2866" s="1176"/>
      <c r="P2866" s="1176"/>
      <c r="Q2866" s="1176"/>
      <c r="R2866" s="1176"/>
      <c r="S2866" s="1176"/>
      <c r="T2866" s="1176"/>
      <c r="U2866" s="1176"/>
      <c r="V2866" s="1176"/>
      <c r="W2866" s="1176"/>
      <c r="X2866" s="1176"/>
      <c r="Y2866" s="1176"/>
      <c r="Z2866" s="1176"/>
      <c r="AA2866" s="1176"/>
      <c r="AB2866" s="1176"/>
      <c r="AC2866" s="1176"/>
      <c r="AD2866" s="1176"/>
      <c r="AE2866" s="1176"/>
      <c r="AF2866" s="1176"/>
      <c r="AG2866" s="1176"/>
      <c r="AH2866" s="1176"/>
      <c r="AI2866" s="1176"/>
      <c r="AJ2866" s="1176"/>
      <c r="AK2866" s="1176"/>
      <c r="AL2866" s="1176"/>
    </row>
    <row r="2867" spans="1:38" s="466" customFormat="1" ht="18.75" customHeight="1" x14ac:dyDescent="0.4">
      <c r="A2867" s="2401">
        <v>2861</v>
      </c>
      <c r="B2867" s="390" t="s">
        <v>3928</v>
      </c>
      <c r="C2867" s="163" t="s">
        <v>1344</v>
      </c>
      <c r="D2867" s="164" t="s">
        <v>172</v>
      </c>
      <c r="E2867" s="165" t="s">
        <v>4009</v>
      </c>
      <c r="F2867" s="170">
        <v>24564</v>
      </c>
      <c r="G2867" s="1177">
        <v>23617.02</v>
      </c>
      <c r="H2867" s="1780" t="s">
        <v>3892</v>
      </c>
      <c r="I2867" s="2287" t="s">
        <v>25</v>
      </c>
      <c r="K2867" s="1174"/>
      <c r="L2867" s="1176"/>
      <c r="M2867" s="1176"/>
      <c r="N2867" s="1176"/>
      <c r="O2867" s="1176"/>
      <c r="P2867" s="1176"/>
      <c r="Q2867" s="1176"/>
      <c r="R2867" s="1176"/>
      <c r="S2867" s="1176"/>
      <c r="T2867" s="1176"/>
      <c r="U2867" s="1176"/>
      <c r="V2867" s="1176"/>
      <c r="W2867" s="1176"/>
      <c r="X2867" s="1176"/>
      <c r="Y2867" s="1176"/>
      <c r="Z2867" s="1176"/>
      <c r="AA2867" s="1176"/>
      <c r="AB2867" s="1176"/>
      <c r="AC2867" s="1176"/>
      <c r="AD2867" s="1176"/>
      <c r="AE2867" s="1176"/>
      <c r="AF2867" s="1176"/>
      <c r="AG2867" s="1176"/>
      <c r="AH2867" s="1176"/>
      <c r="AI2867" s="1176"/>
      <c r="AJ2867" s="1176"/>
      <c r="AK2867" s="1176"/>
      <c r="AL2867" s="1176"/>
    </row>
    <row r="2868" spans="1:38" s="466" customFormat="1" ht="18.75" customHeight="1" x14ac:dyDescent="0.4">
      <c r="A2868" s="2402">
        <v>2862</v>
      </c>
      <c r="B2868" s="390" t="s">
        <v>3928</v>
      </c>
      <c r="C2868" s="163" t="s">
        <v>1344</v>
      </c>
      <c r="D2868" s="164" t="s">
        <v>172</v>
      </c>
      <c r="E2868" s="165" t="s">
        <v>4010</v>
      </c>
      <c r="F2868" s="170">
        <v>24564</v>
      </c>
      <c r="G2868" s="1177">
        <v>23617.02</v>
      </c>
      <c r="H2868" s="1780" t="s">
        <v>3892</v>
      </c>
      <c r="I2868" s="2287" t="s">
        <v>25</v>
      </c>
      <c r="K2868" s="1174"/>
      <c r="L2868" s="1176"/>
      <c r="M2868" s="1176"/>
      <c r="N2868" s="1176"/>
      <c r="O2868" s="1176"/>
      <c r="P2868" s="1176"/>
      <c r="Q2868" s="1176"/>
      <c r="R2868" s="1176"/>
      <c r="S2868" s="1176"/>
      <c r="T2868" s="1176"/>
      <c r="U2868" s="1176"/>
      <c r="V2868" s="1176"/>
      <c r="W2868" s="1176"/>
      <c r="X2868" s="1176"/>
      <c r="Y2868" s="1176"/>
      <c r="Z2868" s="1176"/>
      <c r="AA2868" s="1176"/>
      <c r="AB2868" s="1176"/>
      <c r="AC2868" s="1176"/>
      <c r="AD2868" s="1176"/>
      <c r="AE2868" s="1176"/>
      <c r="AF2868" s="1176"/>
      <c r="AG2868" s="1176"/>
      <c r="AH2868" s="1176"/>
      <c r="AI2868" s="1176"/>
      <c r="AJ2868" s="1176"/>
      <c r="AK2868" s="1176"/>
      <c r="AL2868" s="1176"/>
    </row>
    <row r="2869" spans="1:38" s="466" customFormat="1" ht="18.75" customHeight="1" x14ac:dyDescent="0.4">
      <c r="A2869" s="2402">
        <v>2863</v>
      </c>
      <c r="B2869" s="390" t="s">
        <v>3928</v>
      </c>
      <c r="C2869" s="163" t="s">
        <v>1344</v>
      </c>
      <c r="D2869" s="164" t="s">
        <v>172</v>
      </c>
      <c r="E2869" s="165" t="s">
        <v>4011</v>
      </c>
      <c r="F2869" s="170">
        <v>24564</v>
      </c>
      <c r="G2869" s="1177">
        <v>23617.02</v>
      </c>
      <c r="H2869" s="1780" t="s">
        <v>3892</v>
      </c>
      <c r="I2869" s="2287" t="s">
        <v>25</v>
      </c>
      <c r="K2869" s="1174"/>
      <c r="L2869" s="1176"/>
      <c r="M2869" s="1176"/>
      <c r="N2869" s="1176"/>
      <c r="O2869" s="1176"/>
      <c r="P2869" s="1176"/>
      <c r="Q2869" s="1176"/>
      <c r="R2869" s="1176"/>
      <c r="S2869" s="1176"/>
      <c r="T2869" s="1176"/>
      <c r="U2869" s="1176"/>
      <c r="V2869" s="1176"/>
      <c r="W2869" s="1176"/>
      <c r="X2869" s="1176"/>
      <c r="Y2869" s="1176"/>
      <c r="Z2869" s="1176"/>
      <c r="AA2869" s="1176"/>
      <c r="AB2869" s="1176"/>
      <c r="AC2869" s="1176"/>
      <c r="AD2869" s="1176"/>
      <c r="AE2869" s="1176"/>
      <c r="AF2869" s="1176"/>
      <c r="AG2869" s="1176"/>
      <c r="AH2869" s="1176"/>
      <c r="AI2869" s="1176"/>
      <c r="AJ2869" s="1176"/>
      <c r="AK2869" s="1176"/>
      <c r="AL2869" s="1176"/>
    </row>
    <row r="2870" spans="1:38" s="466" customFormat="1" ht="18.75" customHeight="1" x14ac:dyDescent="0.4">
      <c r="A2870" s="2402">
        <v>2864</v>
      </c>
      <c r="B2870" s="390" t="s">
        <v>3928</v>
      </c>
      <c r="C2870" s="163" t="s">
        <v>1344</v>
      </c>
      <c r="D2870" s="164" t="s">
        <v>172</v>
      </c>
      <c r="E2870" s="165" t="s">
        <v>4012</v>
      </c>
      <c r="F2870" s="170">
        <v>24564</v>
      </c>
      <c r="G2870" s="1177">
        <v>23617.02</v>
      </c>
      <c r="H2870" s="1780" t="s">
        <v>3892</v>
      </c>
      <c r="I2870" s="2287" t="s">
        <v>25</v>
      </c>
      <c r="K2870" s="1174"/>
      <c r="L2870" s="1176"/>
      <c r="M2870" s="1176"/>
      <c r="N2870" s="1176"/>
      <c r="O2870" s="1176"/>
      <c r="P2870" s="1176"/>
      <c r="Q2870" s="1176"/>
      <c r="R2870" s="1176"/>
      <c r="S2870" s="1176"/>
      <c r="T2870" s="1176"/>
      <c r="U2870" s="1176"/>
      <c r="V2870" s="1176"/>
      <c r="W2870" s="1176"/>
      <c r="X2870" s="1176"/>
      <c r="Y2870" s="1176"/>
      <c r="Z2870" s="1176"/>
      <c r="AA2870" s="1176"/>
      <c r="AB2870" s="1176"/>
      <c r="AC2870" s="1176"/>
      <c r="AD2870" s="1176"/>
      <c r="AE2870" s="1176"/>
      <c r="AF2870" s="1176"/>
      <c r="AG2870" s="1176"/>
      <c r="AH2870" s="1176"/>
      <c r="AI2870" s="1176"/>
      <c r="AJ2870" s="1176"/>
      <c r="AK2870" s="1176"/>
      <c r="AL2870" s="1176"/>
    </row>
    <row r="2871" spans="1:38" s="466" customFormat="1" ht="18.75" customHeight="1" x14ac:dyDescent="0.4">
      <c r="A2871" s="2401">
        <v>2865</v>
      </c>
      <c r="B2871" s="390" t="s">
        <v>3928</v>
      </c>
      <c r="C2871" s="163" t="s">
        <v>1344</v>
      </c>
      <c r="D2871" s="164" t="s">
        <v>172</v>
      </c>
      <c r="E2871" s="165" t="s">
        <v>4013</v>
      </c>
      <c r="F2871" s="170">
        <v>24564</v>
      </c>
      <c r="G2871" s="1177">
        <v>23617.02</v>
      </c>
      <c r="H2871" s="1780" t="s">
        <v>3892</v>
      </c>
      <c r="I2871" s="2287" t="s">
        <v>25</v>
      </c>
      <c r="K2871" s="1174"/>
      <c r="L2871" s="1176"/>
      <c r="M2871" s="1176"/>
      <c r="N2871" s="1176"/>
      <c r="O2871" s="1176"/>
      <c r="P2871" s="1176"/>
      <c r="Q2871" s="1176"/>
      <c r="R2871" s="1176"/>
      <c r="S2871" s="1176"/>
      <c r="T2871" s="1176"/>
      <c r="U2871" s="1176"/>
      <c r="V2871" s="1176"/>
      <c r="W2871" s="1176"/>
      <c r="X2871" s="1176"/>
      <c r="Y2871" s="1176"/>
      <c r="Z2871" s="1176"/>
      <c r="AA2871" s="1176"/>
      <c r="AB2871" s="1176"/>
      <c r="AC2871" s="1176"/>
      <c r="AD2871" s="1176"/>
      <c r="AE2871" s="1176"/>
      <c r="AF2871" s="1176"/>
      <c r="AG2871" s="1176"/>
      <c r="AH2871" s="1176"/>
      <c r="AI2871" s="1176"/>
      <c r="AJ2871" s="1176"/>
      <c r="AK2871" s="1176"/>
      <c r="AL2871" s="1176"/>
    </row>
    <row r="2872" spans="1:38" s="466" customFormat="1" ht="18.75" customHeight="1" x14ac:dyDescent="0.4">
      <c r="A2872" s="2402">
        <v>2866</v>
      </c>
      <c r="B2872" s="390" t="s">
        <v>3928</v>
      </c>
      <c r="C2872" s="163" t="s">
        <v>1344</v>
      </c>
      <c r="D2872" s="164" t="s">
        <v>172</v>
      </c>
      <c r="E2872" s="165" t="s">
        <v>4014</v>
      </c>
      <c r="F2872" s="170">
        <v>24564</v>
      </c>
      <c r="G2872" s="1177">
        <v>23617.02</v>
      </c>
      <c r="H2872" s="1780" t="s">
        <v>3892</v>
      </c>
      <c r="I2872" s="2287" t="s">
        <v>25</v>
      </c>
      <c r="K2872" s="1174"/>
      <c r="L2872" s="1176"/>
      <c r="M2872" s="1176"/>
      <c r="N2872" s="1176"/>
      <c r="O2872" s="1176"/>
      <c r="P2872" s="1176"/>
      <c r="Q2872" s="1176"/>
      <c r="R2872" s="1176"/>
      <c r="S2872" s="1176"/>
      <c r="T2872" s="1176"/>
      <c r="U2872" s="1176"/>
      <c r="V2872" s="1176"/>
      <c r="W2872" s="1176"/>
      <c r="X2872" s="1176"/>
      <c r="Y2872" s="1176"/>
      <c r="Z2872" s="1176"/>
      <c r="AA2872" s="1176"/>
      <c r="AB2872" s="1176"/>
      <c r="AC2872" s="1176"/>
      <c r="AD2872" s="1176"/>
      <c r="AE2872" s="1176"/>
      <c r="AF2872" s="1176"/>
      <c r="AG2872" s="1176"/>
      <c r="AH2872" s="1176"/>
      <c r="AI2872" s="1176"/>
      <c r="AJ2872" s="1176"/>
      <c r="AK2872" s="1176"/>
      <c r="AL2872" s="1176"/>
    </row>
    <row r="2873" spans="1:38" s="466" customFormat="1" ht="18.75" customHeight="1" x14ac:dyDescent="0.4">
      <c r="A2873" s="2402">
        <v>2867</v>
      </c>
      <c r="B2873" s="390" t="s">
        <v>3928</v>
      </c>
      <c r="C2873" s="163" t="s">
        <v>1344</v>
      </c>
      <c r="D2873" s="164" t="s">
        <v>172</v>
      </c>
      <c r="E2873" s="165" t="s">
        <v>4015</v>
      </c>
      <c r="F2873" s="170">
        <v>24564</v>
      </c>
      <c r="G2873" s="1177">
        <v>23617.02</v>
      </c>
      <c r="H2873" s="1780" t="s">
        <v>3892</v>
      </c>
      <c r="I2873" s="2287" t="s">
        <v>25</v>
      </c>
      <c r="K2873" s="1174"/>
      <c r="L2873" s="1176"/>
      <c r="M2873" s="1176"/>
      <c r="N2873" s="1176"/>
      <c r="O2873" s="1176"/>
      <c r="P2873" s="1176"/>
      <c r="Q2873" s="1176"/>
      <c r="R2873" s="1176"/>
      <c r="S2873" s="1176"/>
      <c r="T2873" s="1176"/>
      <c r="U2873" s="1176"/>
      <c r="V2873" s="1176"/>
      <c r="W2873" s="1176"/>
      <c r="X2873" s="1176"/>
      <c r="Y2873" s="1176"/>
      <c r="Z2873" s="1176"/>
      <c r="AA2873" s="1176"/>
      <c r="AB2873" s="1176"/>
      <c r="AC2873" s="1176"/>
      <c r="AD2873" s="1176"/>
      <c r="AE2873" s="1176"/>
      <c r="AF2873" s="1176"/>
      <c r="AG2873" s="1176"/>
      <c r="AH2873" s="1176"/>
      <c r="AI2873" s="1176"/>
      <c r="AJ2873" s="1176"/>
      <c r="AK2873" s="1176"/>
      <c r="AL2873" s="1176"/>
    </row>
    <row r="2874" spans="1:38" s="466" customFormat="1" ht="18.75" customHeight="1" x14ac:dyDescent="0.4">
      <c r="A2874" s="2402">
        <v>2868</v>
      </c>
      <c r="B2874" s="390" t="s">
        <v>3928</v>
      </c>
      <c r="C2874" s="163" t="s">
        <v>1344</v>
      </c>
      <c r="D2874" s="164" t="s">
        <v>172</v>
      </c>
      <c r="E2874" s="165" t="s">
        <v>4016</v>
      </c>
      <c r="F2874" s="170">
        <v>24564</v>
      </c>
      <c r="G2874" s="1177">
        <v>23617.02</v>
      </c>
      <c r="H2874" s="1780" t="s">
        <v>3892</v>
      </c>
      <c r="I2874" s="2287" t="s">
        <v>25</v>
      </c>
      <c r="K2874" s="1174"/>
      <c r="L2874" s="1176"/>
      <c r="M2874" s="1176"/>
      <c r="N2874" s="1176"/>
      <c r="O2874" s="1176"/>
      <c r="P2874" s="1176"/>
      <c r="Q2874" s="1176"/>
      <c r="R2874" s="1176"/>
      <c r="S2874" s="1176"/>
      <c r="T2874" s="1176"/>
      <c r="U2874" s="1176"/>
      <c r="V2874" s="1176"/>
      <c r="W2874" s="1176"/>
      <c r="X2874" s="1176"/>
      <c r="Y2874" s="1176"/>
      <c r="Z2874" s="1176"/>
      <c r="AA2874" s="1176"/>
      <c r="AB2874" s="1176"/>
      <c r="AC2874" s="1176"/>
      <c r="AD2874" s="1176"/>
      <c r="AE2874" s="1176"/>
      <c r="AF2874" s="1176"/>
      <c r="AG2874" s="1176"/>
      <c r="AH2874" s="1176"/>
      <c r="AI2874" s="1176"/>
      <c r="AJ2874" s="1176"/>
      <c r="AK2874" s="1176"/>
      <c r="AL2874" s="1176"/>
    </row>
    <row r="2875" spans="1:38" s="466" customFormat="1" ht="18.75" customHeight="1" x14ac:dyDescent="0.4">
      <c r="A2875" s="2402">
        <v>2869</v>
      </c>
      <c r="B2875" s="390" t="s">
        <v>3928</v>
      </c>
      <c r="C2875" s="163" t="s">
        <v>1344</v>
      </c>
      <c r="D2875" s="164" t="s">
        <v>172</v>
      </c>
      <c r="E2875" s="165" t="s">
        <v>4017</v>
      </c>
      <c r="F2875" s="170">
        <v>24564</v>
      </c>
      <c r="G2875" s="1177">
        <v>23617.02</v>
      </c>
      <c r="H2875" s="1780" t="s">
        <v>3892</v>
      </c>
      <c r="I2875" s="2287" t="s">
        <v>25</v>
      </c>
      <c r="K2875" s="1174"/>
      <c r="L2875" s="1176"/>
      <c r="M2875" s="1176"/>
      <c r="N2875" s="1176"/>
      <c r="O2875" s="1176"/>
      <c r="P2875" s="1176"/>
      <c r="Q2875" s="1176"/>
      <c r="R2875" s="1176"/>
      <c r="S2875" s="1176"/>
      <c r="T2875" s="1176"/>
      <c r="U2875" s="1176"/>
      <c r="V2875" s="1176"/>
      <c r="W2875" s="1176"/>
      <c r="X2875" s="1176"/>
      <c r="Y2875" s="1176"/>
      <c r="Z2875" s="1176"/>
      <c r="AA2875" s="1176"/>
      <c r="AB2875" s="1176"/>
      <c r="AC2875" s="1176"/>
      <c r="AD2875" s="1176"/>
      <c r="AE2875" s="1176"/>
      <c r="AF2875" s="1176"/>
      <c r="AG2875" s="1176"/>
      <c r="AH2875" s="1176"/>
      <c r="AI2875" s="1176"/>
      <c r="AJ2875" s="1176"/>
      <c r="AK2875" s="1176"/>
      <c r="AL2875" s="1176"/>
    </row>
    <row r="2876" spans="1:38" s="466" customFormat="1" ht="18.75" customHeight="1" x14ac:dyDescent="0.4">
      <c r="A2876" s="2401">
        <v>2870</v>
      </c>
      <c r="B2876" s="390" t="s">
        <v>3928</v>
      </c>
      <c r="C2876" s="163" t="s">
        <v>1344</v>
      </c>
      <c r="D2876" s="164" t="s">
        <v>172</v>
      </c>
      <c r="E2876" s="165" t="s">
        <v>4018</v>
      </c>
      <c r="F2876" s="170">
        <v>24564</v>
      </c>
      <c r="G2876" s="1177">
        <v>23617.02</v>
      </c>
      <c r="H2876" s="1780" t="s">
        <v>3892</v>
      </c>
      <c r="I2876" s="2287" t="s">
        <v>25</v>
      </c>
      <c r="K2876" s="1174"/>
      <c r="L2876" s="1176"/>
      <c r="M2876" s="1176"/>
      <c r="N2876" s="1176"/>
      <c r="O2876" s="1176"/>
      <c r="P2876" s="1176"/>
      <c r="Q2876" s="1176"/>
      <c r="R2876" s="1176"/>
      <c r="S2876" s="1176"/>
      <c r="T2876" s="1176"/>
      <c r="U2876" s="1176"/>
      <c r="V2876" s="1176"/>
      <c r="W2876" s="1176"/>
      <c r="X2876" s="1176"/>
      <c r="Y2876" s="1176"/>
      <c r="Z2876" s="1176"/>
      <c r="AA2876" s="1176"/>
      <c r="AB2876" s="1176"/>
      <c r="AC2876" s="1176"/>
      <c r="AD2876" s="1176"/>
      <c r="AE2876" s="1176"/>
      <c r="AF2876" s="1176"/>
      <c r="AG2876" s="1176"/>
      <c r="AH2876" s="1176"/>
      <c r="AI2876" s="1176"/>
      <c r="AJ2876" s="1176"/>
      <c r="AK2876" s="1176"/>
      <c r="AL2876" s="1176"/>
    </row>
    <row r="2877" spans="1:38" s="466" customFormat="1" ht="18.75" customHeight="1" x14ac:dyDescent="0.4">
      <c r="A2877" s="2402">
        <v>2871</v>
      </c>
      <c r="B2877" s="390" t="s">
        <v>3928</v>
      </c>
      <c r="C2877" s="163" t="s">
        <v>1344</v>
      </c>
      <c r="D2877" s="164" t="s">
        <v>172</v>
      </c>
      <c r="E2877" s="165" t="s">
        <v>4019</v>
      </c>
      <c r="F2877" s="170">
        <v>24564</v>
      </c>
      <c r="G2877" s="1177">
        <v>23617.02</v>
      </c>
      <c r="H2877" s="1780" t="s">
        <v>3892</v>
      </c>
      <c r="I2877" s="2287" t="s">
        <v>25</v>
      </c>
      <c r="K2877" s="1174"/>
      <c r="L2877" s="1176"/>
      <c r="M2877" s="1176"/>
      <c r="N2877" s="1176"/>
      <c r="O2877" s="1176"/>
      <c r="P2877" s="1176"/>
      <c r="Q2877" s="1176"/>
      <c r="R2877" s="1176"/>
      <c r="S2877" s="1176"/>
      <c r="T2877" s="1176"/>
      <c r="U2877" s="1176"/>
      <c r="V2877" s="1176"/>
      <c r="W2877" s="1176"/>
      <c r="X2877" s="1176"/>
      <c r="Y2877" s="1176"/>
      <c r="Z2877" s="1176"/>
      <c r="AA2877" s="1176"/>
      <c r="AB2877" s="1176"/>
      <c r="AC2877" s="1176"/>
      <c r="AD2877" s="1176"/>
      <c r="AE2877" s="1176"/>
      <c r="AF2877" s="1176"/>
      <c r="AG2877" s="1176"/>
      <c r="AH2877" s="1176"/>
      <c r="AI2877" s="1176"/>
      <c r="AJ2877" s="1176"/>
      <c r="AK2877" s="1176"/>
      <c r="AL2877" s="1176"/>
    </row>
    <row r="2878" spans="1:38" s="466" customFormat="1" ht="18.75" customHeight="1" x14ac:dyDescent="0.4">
      <c r="A2878" s="2402">
        <v>2872</v>
      </c>
      <c r="B2878" s="390" t="s">
        <v>3928</v>
      </c>
      <c r="C2878" s="163" t="s">
        <v>1344</v>
      </c>
      <c r="D2878" s="164" t="s">
        <v>172</v>
      </c>
      <c r="E2878" s="165" t="s">
        <v>4020</v>
      </c>
      <c r="F2878" s="170">
        <v>24564</v>
      </c>
      <c r="G2878" s="1177">
        <v>23617.02</v>
      </c>
      <c r="H2878" s="1780" t="s">
        <v>3892</v>
      </c>
      <c r="I2878" s="2287" t="s">
        <v>25</v>
      </c>
      <c r="K2878" s="1174"/>
      <c r="L2878" s="1176"/>
      <c r="M2878" s="1176"/>
      <c r="N2878" s="1176"/>
      <c r="O2878" s="1176"/>
      <c r="P2878" s="1176"/>
      <c r="Q2878" s="1176"/>
      <c r="R2878" s="1176"/>
      <c r="S2878" s="1176"/>
      <c r="T2878" s="1176"/>
      <c r="U2878" s="1176"/>
      <c r="V2878" s="1176"/>
      <c r="W2878" s="1176"/>
      <c r="X2878" s="1176"/>
      <c r="Y2878" s="1176"/>
      <c r="Z2878" s="1176"/>
      <c r="AA2878" s="1176"/>
      <c r="AB2878" s="1176"/>
      <c r="AC2878" s="1176"/>
      <c r="AD2878" s="1176"/>
      <c r="AE2878" s="1176"/>
      <c r="AF2878" s="1176"/>
      <c r="AG2878" s="1176"/>
      <c r="AH2878" s="1176"/>
      <c r="AI2878" s="1176"/>
      <c r="AJ2878" s="1176"/>
      <c r="AK2878" s="1176"/>
      <c r="AL2878" s="1176"/>
    </row>
    <row r="2879" spans="1:38" s="466" customFormat="1" ht="18.75" customHeight="1" x14ac:dyDescent="0.4">
      <c r="A2879" s="2402">
        <v>2873</v>
      </c>
      <c r="B2879" s="390" t="s">
        <v>3928</v>
      </c>
      <c r="C2879" s="163" t="s">
        <v>1344</v>
      </c>
      <c r="D2879" s="164" t="s">
        <v>172</v>
      </c>
      <c r="E2879" s="165" t="s">
        <v>4021</v>
      </c>
      <c r="F2879" s="170">
        <v>24564</v>
      </c>
      <c r="G2879" s="1177">
        <v>23617.02</v>
      </c>
      <c r="H2879" s="1780" t="s">
        <v>3892</v>
      </c>
      <c r="I2879" s="2287" t="s">
        <v>25</v>
      </c>
      <c r="K2879" s="1174"/>
      <c r="L2879" s="1176"/>
      <c r="M2879" s="1176"/>
      <c r="N2879" s="1176"/>
      <c r="O2879" s="1176"/>
      <c r="P2879" s="1176"/>
      <c r="Q2879" s="1176"/>
      <c r="R2879" s="1176"/>
      <c r="S2879" s="1176"/>
      <c r="T2879" s="1176"/>
      <c r="U2879" s="1176"/>
      <c r="V2879" s="1176"/>
      <c r="W2879" s="1176"/>
      <c r="X2879" s="1176"/>
      <c r="Y2879" s="1176"/>
      <c r="Z2879" s="1176"/>
      <c r="AA2879" s="1176"/>
      <c r="AB2879" s="1176"/>
      <c r="AC2879" s="1176"/>
      <c r="AD2879" s="1176"/>
      <c r="AE2879" s="1176"/>
      <c r="AF2879" s="1176"/>
      <c r="AG2879" s="1176"/>
      <c r="AH2879" s="1176"/>
      <c r="AI2879" s="1176"/>
      <c r="AJ2879" s="1176"/>
      <c r="AK2879" s="1176"/>
      <c r="AL2879" s="1176"/>
    </row>
    <row r="2880" spans="1:38" s="466" customFormat="1" ht="18.75" customHeight="1" x14ac:dyDescent="0.4">
      <c r="A2880" s="2401">
        <v>2874</v>
      </c>
      <c r="B2880" s="390" t="s">
        <v>3928</v>
      </c>
      <c r="C2880" s="163" t="s">
        <v>1344</v>
      </c>
      <c r="D2880" s="164" t="s">
        <v>172</v>
      </c>
      <c r="E2880" s="165" t="s">
        <v>4022</v>
      </c>
      <c r="F2880" s="170">
        <v>24564</v>
      </c>
      <c r="G2880" s="1177">
        <v>23617.02</v>
      </c>
      <c r="H2880" s="1780" t="s">
        <v>3892</v>
      </c>
      <c r="I2880" s="2287" t="s">
        <v>25</v>
      </c>
      <c r="K2880" s="1174"/>
      <c r="L2880" s="1176"/>
      <c r="M2880" s="1176"/>
      <c r="N2880" s="1176"/>
      <c r="O2880" s="1176"/>
      <c r="P2880" s="1176"/>
      <c r="Q2880" s="1176"/>
      <c r="R2880" s="1176"/>
      <c r="S2880" s="1176"/>
      <c r="T2880" s="1176"/>
      <c r="U2880" s="1176"/>
      <c r="V2880" s="1176"/>
      <c r="W2880" s="1176"/>
      <c r="X2880" s="1176"/>
      <c r="Y2880" s="1176"/>
      <c r="Z2880" s="1176"/>
      <c r="AA2880" s="1176"/>
      <c r="AB2880" s="1176"/>
      <c r="AC2880" s="1176"/>
      <c r="AD2880" s="1176"/>
      <c r="AE2880" s="1176"/>
      <c r="AF2880" s="1176"/>
      <c r="AG2880" s="1176"/>
      <c r="AH2880" s="1176"/>
      <c r="AI2880" s="1176"/>
      <c r="AJ2880" s="1176"/>
      <c r="AK2880" s="1176"/>
      <c r="AL2880" s="1176"/>
    </row>
    <row r="2881" spans="1:38" s="466" customFormat="1" ht="18.75" customHeight="1" x14ac:dyDescent="0.4">
      <c r="A2881" s="2402">
        <v>2875</v>
      </c>
      <c r="B2881" s="390" t="s">
        <v>3928</v>
      </c>
      <c r="C2881" s="163" t="s">
        <v>1344</v>
      </c>
      <c r="D2881" s="164" t="s">
        <v>172</v>
      </c>
      <c r="E2881" s="165" t="s">
        <v>4023</v>
      </c>
      <c r="F2881" s="170">
        <v>24564</v>
      </c>
      <c r="G2881" s="1177">
        <v>23617.02</v>
      </c>
      <c r="H2881" s="1780" t="s">
        <v>3892</v>
      </c>
      <c r="I2881" s="2287" t="s">
        <v>25</v>
      </c>
      <c r="K2881" s="1174"/>
      <c r="L2881" s="1176"/>
      <c r="M2881" s="1176"/>
      <c r="N2881" s="1176"/>
      <c r="O2881" s="1176"/>
      <c r="P2881" s="1176"/>
      <c r="Q2881" s="1176"/>
      <c r="R2881" s="1176"/>
      <c r="S2881" s="1176"/>
      <c r="T2881" s="1176"/>
      <c r="U2881" s="1176"/>
      <c r="V2881" s="1176"/>
      <c r="W2881" s="1176"/>
      <c r="X2881" s="1176"/>
      <c r="Y2881" s="1176"/>
      <c r="Z2881" s="1176"/>
      <c r="AA2881" s="1176"/>
      <c r="AB2881" s="1176"/>
      <c r="AC2881" s="1176"/>
      <c r="AD2881" s="1176"/>
      <c r="AE2881" s="1176"/>
      <c r="AF2881" s="1176"/>
      <c r="AG2881" s="1176"/>
      <c r="AH2881" s="1176"/>
      <c r="AI2881" s="1176"/>
      <c r="AJ2881" s="1176"/>
      <c r="AK2881" s="1176"/>
      <c r="AL2881" s="1176"/>
    </row>
    <row r="2882" spans="1:38" s="466" customFormat="1" ht="18.75" customHeight="1" x14ac:dyDescent="0.4">
      <c r="A2882" s="2402">
        <v>2876</v>
      </c>
      <c r="B2882" s="390" t="s">
        <v>3928</v>
      </c>
      <c r="C2882" s="163" t="s">
        <v>1344</v>
      </c>
      <c r="D2882" s="164" t="s">
        <v>172</v>
      </c>
      <c r="E2882" s="165" t="s">
        <v>4024</v>
      </c>
      <c r="F2882" s="170">
        <v>24564</v>
      </c>
      <c r="G2882" s="1177">
        <v>23617.02</v>
      </c>
      <c r="H2882" s="1780" t="s">
        <v>3892</v>
      </c>
      <c r="I2882" s="2287" t="s">
        <v>25</v>
      </c>
      <c r="K2882" s="1174"/>
      <c r="L2882" s="1176"/>
      <c r="M2882" s="1176"/>
      <c r="N2882" s="1176"/>
      <c r="O2882" s="1176"/>
      <c r="P2882" s="1176"/>
      <c r="Q2882" s="1176"/>
      <c r="R2882" s="1176"/>
      <c r="S2882" s="1176"/>
      <c r="T2882" s="1176"/>
      <c r="U2882" s="1176"/>
      <c r="V2882" s="1176"/>
      <c r="W2882" s="1176"/>
      <c r="X2882" s="1176"/>
      <c r="Y2882" s="1176"/>
      <c r="Z2882" s="1176"/>
      <c r="AA2882" s="1176"/>
      <c r="AB2882" s="1176"/>
      <c r="AC2882" s="1176"/>
      <c r="AD2882" s="1176"/>
      <c r="AE2882" s="1176"/>
      <c r="AF2882" s="1176"/>
      <c r="AG2882" s="1176"/>
      <c r="AH2882" s="1176"/>
      <c r="AI2882" s="1176"/>
      <c r="AJ2882" s="1176"/>
      <c r="AK2882" s="1176"/>
      <c r="AL2882" s="1176"/>
    </row>
    <row r="2883" spans="1:38" s="466" customFormat="1" ht="18.75" customHeight="1" x14ac:dyDescent="0.4">
      <c r="A2883" s="2402">
        <v>2877</v>
      </c>
      <c r="B2883" s="390" t="s">
        <v>3928</v>
      </c>
      <c r="C2883" s="163" t="s">
        <v>1344</v>
      </c>
      <c r="D2883" s="164" t="s">
        <v>172</v>
      </c>
      <c r="E2883" s="165" t="s">
        <v>4025</v>
      </c>
      <c r="F2883" s="170">
        <v>24564</v>
      </c>
      <c r="G2883" s="1177">
        <v>23617.02</v>
      </c>
      <c r="H2883" s="1780" t="s">
        <v>3892</v>
      </c>
      <c r="I2883" s="2287" t="s">
        <v>25</v>
      </c>
      <c r="K2883" s="1174"/>
      <c r="L2883" s="1176"/>
      <c r="M2883" s="1176"/>
      <c r="N2883" s="1176"/>
      <c r="O2883" s="1176"/>
      <c r="P2883" s="1176"/>
      <c r="Q2883" s="1176"/>
      <c r="R2883" s="1176"/>
      <c r="S2883" s="1176"/>
      <c r="T2883" s="1176"/>
      <c r="U2883" s="1176"/>
      <c r="V2883" s="1176"/>
      <c r="W2883" s="1176"/>
      <c r="X2883" s="1176"/>
      <c r="Y2883" s="1176"/>
      <c r="Z2883" s="1176"/>
      <c r="AA2883" s="1176"/>
      <c r="AB2883" s="1176"/>
      <c r="AC2883" s="1176"/>
      <c r="AD2883" s="1176"/>
      <c r="AE2883" s="1176"/>
      <c r="AF2883" s="1176"/>
      <c r="AG2883" s="1176"/>
      <c r="AH2883" s="1176"/>
      <c r="AI2883" s="1176"/>
      <c r="AJ2883" s="1176"/>
      <c r="AK2883" s="1176"/>
      <c r="AL2883" s="1176"/>
    </row>
    <row r="2884" spans="1:38" s="466" customFormat="1" ht="18.75" customHeight="1" x14ac:dyDescent="0.4">
      <c r="A2884" s="2402">
        <v>2878</v>
      </c>
      <c r="B2884" s="390" t="s">
        <v>3928</v>
      </c>
      <c r="C2884" s="163" t="s">
        <v>1344</v>
      </c>
      <c r="D2884" s="164" t="s">
        <v>172</v>
      </c>
      <c r="E2884" s="165" t="s">
        <v>4026</v>
      </c>
      <c r="F2884" s="170">
        <v>24564</v>
      </c>
      <c r="G2884" s="1177">
        <v>23617.02</v>
      </c>
      <c r="H2884" s="1780" t="s">
        <v>3892</v>
      </c>
      <c r="I2884" s="2287" t="s">
        <v>25</v>
      </c>
      <c r="K2884" s="1174"/>
      <c r="L2884" s="1176"/>
      <c r="M2884" s="1176"/>
      <c r="N2884" s="1176"/>
      <c r="O2884" s="1176"/>
      <c r="P2884" s="1176"/>
      <c r="Q2884" s="1176"/>
      <c r="R2884" s="1176"/>
      <c r="S2884" s="1176"/>
      <c r="T2884" s="1176"/>
      <c r="U2884" s="1176"/>
      <c r="V2884" s="1176"/>
      <c r="W2884" s="1176"/>
      <c r="X2884" s="1176"/>
      <c r="Y2884" s="1176"/>
      <c r="Z2884" s="1176"/>
      <c r="AA2884" s="1176"/>
      <c r="AB2884" s="1176"/>
      <c r="AC2884" s="1176"/>
      <c r="AD2884" s="1176"/>
      <c r="AE2884" s="1176"/>
      <c r="AF2884" s="1176"/>
      <c r="AG2884" s="1176"/>
      <c r="AH2884" s="1176"/>
      <c r="AI2884" s="1176"/>
      <c r="AJ2884" s="1176"/>
      <c r="AK2884" s="1176"/>
      <c r="AL2884" s="1176"/>
    </row>
    <row r="2885" spans="1:38" s="466" customFormat="1" ht="18.75" customHeight="1" x14ac:dyDescent="0.4">
      <c r="A2885" s="2401">
        <v>2879</v>
      </c>
      <c r="B2885" s="390" t="s">
        <v>3928</v>
      </c>
      <c r="C2885" s="163" t="s">
        <v>1344</v>
      </c>
      <c r="D2885" s="164" t="s">
        <v>172</v>
      </c>
      <c r="E2885" s="165" t="s">
        <v>4027</v>
      </c>
      <c r="F2885" s="170">
        <v>24564</v>
      </c>
      <c r="G2885" s="1177">
        <v>23617.02</v>
      </c>
      <c r="H2885" s="1780" t="s">
        <v>3892</v>
      </c>
      <c r="I2885" s="2287" t="s">
        <v>25</v>
      </c>
      <c r="K2885" s="1174"/>
      <c r="L2885" s="1176"/>
      <c r="M2885" s="1176"/>
      <c r="N2885" s="1176"/>
      <c r="O2885" s="1176"/>
      <c r="P2885" s="1176"/>
      <c r="Q2885" s="1176"/>
      <c r="R2885" s="1176"/>
      <c r="S2885" s="1176"/>
      <c r="T2885" s="1176"/>
      <c r="U2885" s="1176"/>
      <c r="V2885" s="1176"/>
      <c r="W2885" s="1176"/>
      <c r="X2885" s="1176"/>
      <c r="Y2885" s="1176"/>
      <c r="Z2885" s="1176"/>
      <c r="AA2885" s="1176"/>
      <c r="AB2885" s="1176"/>
      <c r="AC2885" s="1176"/>
      <c r="AD2885" s="1176"/>
      <c r="AE2885" s="1176"/>
      <c r="AF2885" s="1176"/>
      <c r="AG2885" s="1176"/>
      <c r="AH2885" s="1176"/>
      <c r="AI2885" s="1176"/>
      <c r="AJ2885" s="1176"/>
      <c r="AK2885" s="1176"/>
      <c r="AL2885" s="1176"/>
    </row>
    <row r="2886" spans="1:38" s="466" customFormat="1" ht="18.75" customHeight="1" x14ac:dyDescent="0.4">
      <c r="A2886" s="2402">
        <v>2880</v>
      </c>
      <c r="B2886" s="390" t="s">
        <v>3928</v>
      </c>
      <c r="C2886" s="163" t="s">
        <v>1344</v>
      </c>
      <c r="D2886" s="164" t="s">
        <v>172</v>
      </c>
      <c r="E2886" s="165" t="s">
        <v>4028</v>
      </c>
      <c r="F2886" s="170">
        <v>24564</v>
      </c>
      <c r="G2886" s="1177">
        <v>23617.02</v>
      </c>
      <c r="H2886" s="1780" t="s">
        <v>3892</v>
      </c>
      <c r="I2886" s="2287" t="s">
        <v>25</v>
      </c>
      <c r="K2886" s="1174"/>
      <c r="L2886" s="1176"/>
      <c r="M2886" s="1176"/>
      <c r="N2886" s="1176"/>
      <c r="O2886" s="1176"/>
      <c r="P2886" s="1176"/>
      <c r="Q2886" s="1176"/>
      <c r="R2886" s="1176"/>
      <c r="S2886" s="1176"/>
      <c r="T2886" s="1176"/>
      <c r="U2886" s="1176"/>
      <c r="V2886" s="1176"/>
      <c r="W2886" s="1176"/>
      <c r="X2886" s="1176"/>
      <c r="Y2886" s="1176"/>
      <c r="Z2886" s="1176"/>
      <c r="AA2886" s="1176"/>
      <c r="AB2886" s="1176"/>
      <c r="AC2886" s="1176"/>
      <c r="AD2886" s="1176"/>
      <c r="AE2886" s="1176"/>
      <c r="AF2886" s="1176"/>
      <c r="AG2886" s="1176"/>
      <c r="AH2886" s="1176"/>
      <c r="AI2886" s="1176"/>
      <c r="AJ2886" s="1176"/>
      <c r="AK2886" s="1176"/>
      <c r="AL2886" s="1176"/>
    </row>
    <row r="2887" spans="1:38" s="466" customFormat="1" ht="18.75" customHeight="1" x14ac:dyDescent="0.4">
      <c r="A2887" s="2402">
        <v>2881</v>
      </c>
      <c r="B2887" s="390" t="s">
        <v>3928</v>
      </c>
      <c r="C2887" s="163" t="s">
        <v>1344</v>
      </c>
      <c r="D2887" s="164" t="s">
        <v>172</v>
      </c>
      <c r="E2887" s="165" t="s">
        <v>4029</v>
      </c>
      <c r="F2887" s="170">
        <v>24564</v>
      </c>
      <c r="G2887" s="1177">
        <v>23617.02</v>
      </c>
      <c r="H2887" s="1780" t="s">
        <v>3892</v>
      </c>
      <c r="I2887" s="2287" t="s">
        <v>25</v>
      </c>
      <c r="K2887" s="1174"/>
      <c r="L2887" s="1176"/>
      <c r="M2887" s="1176"/>
      <c r="N2887" s="1176"/>
      <c r="O2887" s="1176"/>
      <c r="P2887" s="1176"/>
      <c r="Q2887" s="1176"/>
      <c r="R2887" s="1176"/>
      <c r="S2887" s="1176"/>
      <c r="T2887" s="1176"/>
      <c r="U2887" s="1176"/>
      <c r="V2887" s="1176"/>
      <c r="W2887" s="1176"/>
      <c r="X2887" s="1176"/>
      <c r="Y2887" s="1176"/>
      <c r="Z2887" s="1176"/>
      <c r="AA2887" s="1176"/>
      <c r="AB2887" s="1176"/>
      <c r="AC2887" s="1176"/>
      <c r="AD2887" s="1176"/>
      <c r="AE2887" s="1176"/>
      <c r="AF2887" s="1176"/>
      <c r="AG2887" s="1176"/>
      <c r="AH2887" s="1176"/>
      <c r="AI2887" s="1176"/>
      <c r="AJ2887" s="1176"/>
      <c r="AK2887" s="1176"/>
      <c r="AL2887" s="1176"/>
    </row>
    <row r="2888" spans="1:38" s="466" customFormat="1" ht="18.75" customHeight="1" x14ac:dyDescent="0.4">
      <c r="A2888" s="2402">
        <v>2882</v>
      </c>
      <c r="B2888" s="390" t="s">
        <v>3928</v>
      </c>
      <c r="C2888" s="163" t="s">
        <v>1344</v>
      </c>
      <c r="D2888" s="164" t="s">
        <v>172</v>
      </c>
      <c r="E2888" s="165" t="s">
        <v>4030</v>
      </c>
      <c r="F2888" s="170">
        <v>24564</v>
      </c>
      <c r="G2888" s="1177">
        <v>23617.02</v>
      </c>
      <c r="H2888" s="1780" t="s">
        <v>3892</v>
      </c>
      <c r="I2888" s="2287" t="s">
        <v>25</v>
      </c>
      <c r="K2888" s="1174"/>
      <c r="L2888" s="1176"/>
      <c r="M2888" s="1176"/>
      <c r="N2888" s="1176"/>
      <c r="O2888" s="1176"/>
      <c r="P2888" s="1176"/>
      <c r="Q2888" s="1176"/>
      <c r="R2888" s="1176"/>
      <c r="S2888" s="1176"/>
      <c r="T2888" s="1176"/>
      <c r="U2888" s="1176"/>
      <c r="V2888" s="1176"/>
      <c r="W2888" s="1176"/>
      <c r="X2888" s="1176"/>
      <c r="Y2888" s="1176"/>
      <c r="Z2888" s="1176"/>
      <c r="AA2888" s="1176"/>
      <c r="AB2888" s="1176"/>
      <c r="AC2888" s="1176"/>
      <c r="AD2888" s="1176"/>
      <c r="AE2888" s="1176"/>
      <c r="AF2888" s="1176"/>
      <c r="AG2888" s="1176"/>
      <c r="AH2888" s="1176"/>
      <c r="AI2888" s="1176"/>
      <c r="AJ2888" s="1176"/>
      <c r="AK2888" s="1176"/>
      <c r="AL2888" s="1176"/>
    </row>
    <row r="2889" spans="1:38" s="466" customFormat="1" ht="18.75" customHeight="1" x14ac:dyDescent="0.4">
      <c r="A2889" s="2401">
        <v>2883</v>
      </c>
      <c r="B2889" s="390" t="s">
        <v>3928</v>
      </c>
      <c r="C2889" s="163" t="s">
        <v>1344</v>
      </c>
      <c r="D2889" s="164" t="s">
        <v>172</v>
      </c>
      <c r="E2889" s="165" t="s">
        <v>4031</v>
      </c>
      <c r="F2889" s="170">
        <v>24564</v>
      </c>
      <c r="G2889" s="1177">
        <v>23617.02</v>
      </c>
      <c r="H2889" s="1780" t="s">
        <v>3892</v>
      </c>
      <c r="I2889" s="2287" t="s">
        <v>25</v>
      </c>
      <c r="K2889" s="1174"/>
      <c r="L2889" s="1176"/>
      <c r="M2889" s="1176"/>
      <c r="N2889" s="1176"/>
      <c r="O2889" s="1176"/>
      <c r="P2889" s="1176"/>
      <c r="Q2889" s="1176"/>
      <c r="R2889" s="1176"/>
      <c r="S2889" s="1176"/>
      <c r="T2889" s="1176"/>
      <c r="U2889" s="1176"/>
      <c r="V2889" s="1176"/>
      <c r="W2889" s="1176"/>
      <c r="X2889" s="1176"/>
      <c r="Y2889" s="1176"/>
      <c r="Z2889" s="1176"/>
      <c r="AA2889" s="1176"/>
      <c r="AB2889" s="1176"/>
      <c r="AC2889" s="1176"/>
      <c r="AD2889" s="1176"/>
      <c r="AE2889" s="1176"/>
      <c r="AF2889" s="1176"/>
      <c r="AG2889" s="1176"/>
      <c r="AH2889" s="1176"/>
      <c r="AI2889" s="1176"/>
      <c r="AJ2889" s="1176"/>
      <c r="AK2889" s="1176"/>
      <c r="AL2889" s="1176"/>
    </row>
    <row r="2890" spans="1:38" s="466" customFormat="1" ht="18.75" customHeight="1" x14ac:dyDescent="0.4">
      <c r="A2890" s="2402">
        <v>2884</v>
      </c>
      <c r="B2890" s="390" t="s">
        <v>3928</v>
      </c>
      <c r="C2890" s="163" t="s">
        <v>1344</v>
      </c>
      <c r="D2890" s="164" t="s">
        <v>172</v>
      </c>
      <c r="E2890" s="165" t="s">
        <v>4032</v>
      </c>
      <c r="F2890" s="170">
        <v>24564</v>
      </c>
      <c r="G2890" s="1177">
        <v>23617.02</v>
      </c>
      <c r="H2890" s="1780" t="s">
        <v>3892</v>
      </c>
      <c r="I2890" s="2287" t="s">
        <v>25</v>
      </c>
      <c r="K2890" s="1174"/>
      <c r="L2890" s="1176"/>
      <c r="M2890" s="1176"/>
      <c r="N2890" s="1176"/>
      <c r="O2890" s="1176"/>
      <c r="P2890" s="1176"/>
      <c r="Q2890" s="1176"/>
      <c r="R2890" s="1176"/>
      <c r="S2890" s="1176"/>
      <c r="T2890" s="1176"/>
      <c r="U2890" s="1176"/>
      <c r="V2890" s="1176"/>
      <c r="W2890" s="1176"/>
      <c r="X2890" s="1176"/>
      <c r="Y2890" s="1176"/>
      <c r="Z2890" s="1176"/>
      <c r="AA2890" s="1176"/>
      <c r="AB2890" s="1176"/>
      <c r="AC2890" s="1176"/>
      <c r="AD2890" s="1176"/>
      <c r="AE2890" s="1176"/>
      <c r="AF2890" s="1176"/>
      <c r="AG2890" s="1176"/>
      <c r="AH2890" s="1176"/>
      <c r="AI2890" s="1176"/>
      <c r="AJ2890" s="1176"/>
      <c r="AK2890" s="1176"/>
      <c r="AL2890" s="1176"/>
    </row>
    <row r="2891" spans="1:38" s="466" customFormat="1" ht="18.75" customHeight="1" x14ac:dyDescent="0.4">
      <c r="A2891" s="2402">
        <v>2885</v>
      </c>
      <c r="B2891" s="390" t="s">
        <v>3928</v>
      </c>
      <c r="C2891" s="163" t="s">
        <v>1344</v>
      </c>
      <c r="D2891" s="164" t="s">
        <v>172</v>
      </c>
      <c r="E2891" s="165" t="s">
        <v>4033</v>
      </c>
      <c r="F2891" s="170">
        <v>24564</v>
      </c>
      <c r="G2891" s="1177">
        <v>23617.02</v>
      </c>
      <c r="H2891" s="1780" t="s">
        <v>3892</v>
      </c>
      <c r="I2891" s="2287" t="s">
        <v>25</v>
      </c>
      <c r="K2891" s="1174"/>
      <c r="L2891" s="1176"/>
      <c r="M2891" s="1176"/>
      <c r="N2891" s="1176"/>
      <c r="O2891" s="1176"/>
      <c r="P2891" s="1176"/>
      <c r="Q2891" s="1176"/>
      <c r="R2891" s="1176"/>
      <c r="S2891" s="1176"/>
      <c r="T2891" s="1176"/>
      <c r="U2891" s="1176"/>
      <c r="V2891" s="1176"/>
      <c r="W2891" s="1176"/>
      <c r="X2891" s="1176"/>
      <c r="Y2891" s="1176"/>
      <c r="Z2891" s="1176"/>
      <c r="AA2891" s="1176"/>
      <c r="AB2891" s="1176"/>
      <c r="AC2891" s="1176"/>
      <c r="AD2891" s="1176"/>
      <c r="AE2891" s="1176"/>
      <c r="AF2891" s="1176"/>
      <c r="AG2891" s="1176"/>
      <c r="AH2891" s="1176"/>
      <c r="AI2891" s="1176"/>
      <c r="AJ2891" s="1176"/>
      <c r="AK2891" s="1176"/>
      <c r="AL2891" s="1176"/>
    </row>
    <row r="2892" spans="1:38" s="466" customFormat="1" ht="18.75" customHeight="1" x14ac:dyDescent="0.4">
      <c r="A2892" s="2402">
        <v>2886</v>
      </c>
      <c r="B2892" s="390" t="s">
        <v>3928</v>
      </c>
      <c r="C2892" s="163" t="s">
        <v>1344</v>
      </c>
      <c r="D2892" s="164" t="s">
        <v>172</v>
      </c>
      <c r="E2892" s="165" t="s">
        <v>4034</v>
      </c>
      <c r="F2892" s="170">
        <v>24564</v>
      </c>
      <c r="G2892" s="1177">
        <v>23617.02</v>
      </c>
      <c r="H2892" s="1780" t="s">
        <v>3892</v>
      </c>
      <c r="I2892" s="2287" t="s">
        <v>25</v>
      </c>
      <c r="K2892" s="1174"/>
      <c r="L2892" s="1176"/>
      <c r="M2892" s="1176"/>
      <c r="N2892" s="1176"/>
      <c r="O2892" s="1176"/>
      <c r="P2892" s="1176"/>
      <c r="Q2892" s="1176"/>
      <c r="R2892" s="1176"/>
      <c r="S2892" s="1176"/>
      <c r="T2892" s="1176"/>
      <c r="U2892" s="1176"/>
      <c r="V2892" s="1176"/>
      <c r="W2892" s="1176"/>
      <c r="X2892" s="1176"/>
      <c r="Y2892" s="1176"/>
      <c r="Z2892" s="1176"/>
      <c r="AA2892" s="1176"/>
      <c r="AB2892" s="1176"/>
      <c r="AC2892" s="1176"/>
      <c r="AD2892" s="1176"/>
      <c r="AE2892" s="1176"/>
      <c r="AF2892" s="1176"/>
      <c r="AG2892" s="1176"/>
      <c r="AH2892" s="1176"/>
      <c r="AI2892" s="1176"/>
      <c r="AJ2892" s="1176"/>
      <c r="AK2892" s="1176"/>
      <c r="AL2892" s="1176"/>
    </row>
    <row r="2893" spans="1:38" s="466" customFormat="1" ht="18.75" customHeight="1" x14ac:dyDescent="0.4">
      <c r="A2893" s="2402">
        <v>2887</v>
      </c>
      <c r="B2893" s="390" t="s">
        <v>3928</v>
      </c>
      <c r="C2893" s="163" t="s">
        <v>1344</v>
      </c>
      <c r="D2893" s="164" t="s">
        <v>172</v>
      </c>
      <c r="E2893" s="165" t="s">
        <v>4035</v>
      </c>
      <c r="F2893" s="170">
        <v>24564</v>
      </c>
      <c r="G2893" s="1177">
        <v>23617.02</v>
      </c>
      <c r="H2893" s="1780" t="s">
        <v>3892</v>
      </c>
      <c r="I2893" s="2287" t="s">
        <v>25</v>
      </c>
      <c r="K2893" s="1174"/>
      <c r="L2893" s="1176"/>
      <c r="M2893" s="1176"/>
      <c r="N2893" s="1176"/>
      <c r="O2893" s="1176"/>
      <c r="P2893" s="1176"/>
      <c r="Q2893" s="1176"/>
      <c r="R2893" s="1176"/>
      <c r="S2893" s="1176"/>
      <c r="T2893" s="1176"/>
      <c r="U2893" s="1176"/>
      <c r="V2893" s="1176"/>
      <c r="W2893" s="1176"/>
      <c r="X2893" s="1176"/>
      <c r="Y2893" s="1176"/>
      <c r="Z2893" s="1176"/>
      <c r="AA2893" s="1176"/>
      <c r="AB2893" s="1176"/>
      <c r="AC2893" s="1176"/>
      <c r="AD2893" s="1176"/>
      <c r="AE2893" s="1176"/>
      <c r="AF2893" s="1176"/>
      <c r="AG2893" s="1176"/>
      <c r="AH2893" s="1176"/>
      <c r="AI2893" s="1176"/>
      <c r="AJ2893" s="1176"/>
      <c r="AK2893" s="1176"/>
      <c r="AL2893" s="1176"/>
    </row>
    <row r="2894" spans="1:38" s="466" customFormat="1" ht="18.75" customHeight="1" x14ac:dyDescent="0.4">
      <c r="A2894" s="2401">
        <v>2888</v>
      </c>
      <c r="B2894" s="390" t="s">
        <v>3928</v>
      </c>
      <c r="C2894" s="163" t="s">
        <v>1344</v>
      </c>
      <c r="D2894" s="164" t="s">
        <v>172</v>
      </c>
      <c r="E2894" s="165" t="s">
        <v>4036</v>
      </c>
      <c r="F2894" s="170">
        <v>24564</v>
      </c>
      <c r="G2894" s="1177">
        <v>23617.02</v>
      </c>
      <c r="H2894" s="1780" t="s">
        <v>3892</v>
      </c>
      <c r="I2894" s="2287" t="s">
        <v>25</v>
      </c>
      <c r="K2894" s="1174"/>
      <c r="L2894" s="1176"/>
      <c r="M2894" s="1176"/>
      <c r="N2894" s="1176"/>
      <c r="O2894" s="1176"/>
      <c r="P2894" s="1176"/>
      <c r="Q2894" s="1176"/>
      <c r="R2894" s="1176"/>
      <c r="S2894" s="1176"/>
      <c r="T2894" s="1176"/>
      <c r="U2894" s="1176"/>
      <c r="V2894" s="1176"/>
      <c r="W2894" s="1176"/>
      <c r="X2894" s="1176"/>
      <c r="Y2894" s="1176"/>
      <c r="Z2894" s="1176"/>
      <c r="AA2894" s="1176"/>
      <c r="AB2894" s="1176"/>
      <c r="AC2894" s="1176"/>
      <c r="AD2894" s="1176"/>
      <c r="AE2894" s="1176"/>
      <c r="AF2894" s="1176"/>
      <c r="AG2894" s="1176"/>
      <c r="AH2894" s="1176"/>
      <c r="AI2894" s="1176"/>
      <c r="AJ2894" s="1176"/>
      <c r="AK2894" s="1176"/>
      <c r="AL2894" s="1176"/>
    </row>
    <row r="2895" spans="1:38" s="466" customFormat="1" ht="18.75" customHeight="1" x14ac:dyDescent="0.4">
      <c r="A2895" s="2402">
        <v>2889</v>
      </c>
      <c r="B2895" s="390" t="s">
        <v>3928</v>
      </c>
      <c r="C2895" s="163" t="s">
        <v>1344</v>
      </c>
      <c r="D2895" s="164" t="s">
        <v>172</v>
      </c>
      <c r="E2895" s="165" t="s">
        <v>4037</v>
      </c>
      <c r="F2895" s="170">
        <v>24564</v>
      </c>
      <c r="G2895" s="1177">
        <v>23617.02</v>
      </c>
      <c r="H2895" s="1780" t="s">
        <v>3892</v>
      </c>
      <c r="I2895" s="2287" t="s">
        <v>25</v>
      </c>
      <c r="K2895" s="1174"/>
      <c r="L2895" s="1176"/>
      <c r="M2895" s="1176"/>
      <c r="N2895" s="1176"/>
      <c r="O2895" s="1176"/>
      <c r="P2895" s="1176"/>
      <c r="Q2895" s="1176"/>
      <c r="R2895" s="1176"/>
      <c r="S2895" s="1176"/>
      <c r="T2895" s="1176"/>
      <c r="U2895" s="1176"/>
      <c r="V2895" s="1176"/>
      <c r="W2895" s="1176"/>
      <c r="X2895" s="1176"/>
      <c r="Y2895" s="1176"/>
      <c r="Z2895" s="1176"/>
      <c r="AA2895" s="1176"/>
      <c r="AB2895" s="1176"/>
      <c r="AC2895" s="1176"/>
      <c r="AD2895" s="1176"/>
      <c r="AE2895" s="1176"/>
      <c r="AF2895" s="1176"/>
      <c r="AG2895" s="1176"/>
      <c r="AH2895" s="1176"/>
      <c r="AI2895" s="1176"/>
      <c r="AJ2895" s="1176"/>
      <c r="AK2895" s="1176"/>
      <c r="AL2895" s="1176"/>
    </row>
    <row r="2896" spans="1:38" s="466" customFormat="1" ht="18.75" customHeight="1" x14ac:dyDescent="0.4">
      <c r="A2896" s="2402">
        <v>2890</v>
      </c>
      <c r="B2896" s="390" t="s">
        <v>3928</v>
      </c>
      <c r="C2896" s="163" t="s">
        <v>1344</v>
      </c>
      <c r="D2896" s="164" t="s">
        <v>172</v>
      </c>
      <c r="E2896" s="165" t="s">
        <v>4038</v>
      </c>
      <c r="F2896" s="170">
        <v>24564</v>
      </c>
      <c r="G2896" s="1177">
        <v>23617.02</v>
      </c>
      <c r="H2896" s="1780" t="s">
        <v>3892</v>
      </c>
      <c r="I2896" s="2287" t="s">
        <v>25</v>
      </c>
      <c r="K2896" s="1174"/>
      <c r="L2896" s="1176"/>
      <c r="M2896" s="1176"/>
      <c r="N2896" s="1176"/>
      <c r="O2896" s="1176"/>
      <c r="P2896" s="1176"/>
      <c r="Q2896" s="1176"/>
      <c r="R2896" s="1176"/>
      <c r="S2896" s="1176"/>
      <c r="T2896" s="1176"/>
      <c r="U2896" s="1176"/>
      <c r="V2896" s="1176"/>
      <c r="W2896" s="1176"/>
      <c r="X2896" s="1176"/>
      <c r="Y2896" s="1176"/>
      <c r="Z2896" s="1176"/>
      <c r="AA2896" s="1176"/>
      <c r="AB2896" s="1176"/>
      <c r="AC2896" s="1176"/>
      <c r="AD2896" s="1176"/>
      <c r="AE2896" s="1176"/>
      <c r="AF2896" s="1176"/>
      <c r="AG2896" s="1176"/>
      <c r="AH2896" s="1176"/>
      <c r="AI2896" s="1176"/>
      <c r="AJ2896" s="1176"/>
      <c r="AK2896" s="1176"/>
      <c r="AL2896" s="1176"/>
    </row>
    <row r="2897" spans="1:38" s="466" customFormat="1" ht="18.75" customHeight="1" x14ac:dyDescent="0.4">
      <c r="A2897" s="2402">
        <v>2891</v>
      </c>
      <c r="B2897" s="390" t="s">
        <v>3928</v>
      </c>
      <c r="C2897" s="163" t="s">
        <v>1344</v>
      </c>
      <c r="D2897" s="164" t="s">
        <v>172</v>
      </c>
      <c r="E2897" s="165" t="s">
        <v>4039</v>
      </c>
      <c r="F2897" s="170">
        <v>24564</v>
      </c>
      <c r="G2897" s="1177">
        <v>23617.02</v>
      </c>
      <c r="H2897" s="1780" t="s">
        <v>3892</v>
      </c>
      <c r="I2897" s="2287" t="s">
        <v>25</v>
      </c>
      <c r="K2897" s="1174"/>
      <c r="L2897" s="1176"/>
      <c r="M2897" s="1176"/>
      <c r="N2897" s="1176"/>
      <c r="O2897" s="1176"/>
      <c r="P2897" s="1176"/>
      <c r="Q2897" s="1176"/>
      <c r="R2897" s="1176"/>
      <c r="S2897" s="1176"/>
      <c r="T2897" s="1176"/>
      <c r="U2897" s="1176"/>
      <c r="V2897" s="1176"/>
      <c r="W2897" s="1176"/>
      <c r="X2897" s="1176"/>
      <c r="Y2897" s="1176"/>
      <c r="Z2897" s="1176"/>
      <c r="AA2897" s="1176"/>
      <c r="AB2897" s="1176"/>
      <c r="AC2897" s="1176"/>
      <c r="AD2897" s="1176"/>
      <c r="AE2897" s="1176"/>
      <c r="AF2897" s="1176"/>
      <c r="AG2897" s="1176"/>
      <c r="AH2897" s="1176"/>
      <c r="AI2897" s="1176"/>
      <c r="AJ2897" s="1176"/>
      <c r="AK2897" s="1176"/>
      <c r="AL2897" s="1176"/>
    </row>
    <row r="2898" spans="1:38" s="466" customFormat="1" ht="18.75" customHeight="1" x14ac:dyDescent="0.4">
      <c r="A2898" s="2401">
        <v>2892</v>
      </c>
      <c r="B2898" s="390" t="s">
        <v>3928</v>
      </c>
      <c r="C2898" s="163" t="s">
        <v>1344</v>
      </c>
      <c r="D2898" s="164" t="s">
        <v>172</v>
      </c>
      <c r="E2898" s="165" t="s">
        <v>4040</v>
      </c>
      <c r="F2898" s="170">
        <v>24564</v>
      </c>
      <c r="G2898" s="1177">
        <v>23617.02</v>
      </c>
      <c r="H2898" s="1780" t="s">
        <v>3892</v>
      </c>
      <c r="I2898" s="2287" t="s">
        <v>25</v>
      </c>
      <c r="K2898" s="1174"/>
      <c r="L2898" s="1176"/>
      <c r="M2898" s="1176"/>
      <c r="N2898" s="1176"/>
      <c r="O2898" s="1176"/>
      <c r="P2898" s="1176"/>
      <c r="Q2898" s="1176"/>
      <c r="R2898" s="1176"/>
      <c r="S2898" s="1176"/>
      <c r="T2898" s="1176"/>
      <c r="U2898" s="1176"/>
      <c r="V2898" s="1176"/>
      <c r="W2898" s="1176"/>
      <c r="X2898" s="1176"/>
      <c r="Y2898" s="1176"/>
      <c r="Z2898" s="1176"/>
      <c r="AA2898" s="1176"/>
      <c r="AB2898" s="1176"/>
      <c r="AC2898" s="1176"/>
      <c r="AD2898" s="1176"/>
      <c r="AE2898" s="1176"/>
      <c r="AF2898" s="1176"/>
      <c r="AG2898" s="1176"/>
      <c r="AH2898" s="1176"/>
      <c r="AI2898" s="1176"/>
      <c r="AJ2898" s="1176"/>
      <c r="AK2898" s="1176"/>
      <c r="AL2898" s="1176"/>
    </row>
    <row r="2899" spans="1:38" s="466" customFormat="1" ht="18.75" customHeight="1" x14ac:dyDescent="0.4">
      <c r="A2899" s="2402">
        <v>2893</v>
      </c>
      <c r="B2899" s="390" t="s">
        <v>3928</v>
      </c>
      <c r="C2899" s="163" t="s">
        <v>1344</v>
      </c>
      <c r="D2899" s="164" t="s">
        <v>172</v>
      </c>
      <c r="E2899" s="165" t="s">
        <v>4041</v>
      </c>
      <c r="F2899" s="170">
        <v>24564</v>
      </c>
      <c r="G2899" s="1177">
        <v>23617.02</v>
      </c>
      <c r="H2899" s="1780" t="s">
        <v>3892</v>
      </c>
      <c r="I2899" s="2287" t="s">
        <v>25</v>
      </c>
      <c r="K2899" s="1174"/>
      <c r="L2899" s="1176"/>
      <c r="M2899" s="1176"/>
      <c r="N2899" s="1176"/>
      <c r="O2899" s="1176"/>
      <c r="P2899" s="1176"/>
      <c r="Q2899" s="1176"/>
      <c r="R2899" s="1176"/>
      <c r="S2899" s="1176"/>
      <c r="T2899" s="1176"/>
      <c r="U2899" s="1176"/>
      <c r="V2899" s="1176"/>
      <c r="W2899" s="1176"/>
      <c r="X2899" s="1176"/>
      <c r="Y2899" s="1176"/>
      <c r="Z2899" s="1176"/>
      <c r="AA2899" s="1176"/>
      <c r="AB2899" s="1176"/>
      <c r="AC2899" s="1176"/>
      <c r="AD2899" s="1176"/>
      <c r="AE2899" s="1176"/>
      <c r="AF2899" s="1176"/>
      <c r="AG2899" s="1176"/>
      <c r="AH2899" s="1176"/>
      <c r="AI2899" s="1176"/>
      <c r="AJ2899" s="1176"/>
      <c r="AK2899" s="1176"/>
      <c r="AL2899" s="1176"/>
    </row>
    <row r="2900" spans="1:38" s="466" customFormat="1" ht="18.75" customHeight="1" x14ac:dyDescent="0.4">
      <c r="A2900" s="2402">
        <v>2894</v>
      </c>
      <c r="B2900" s="390" t="s">
        <v>3928</v>
      </c>
      <c r="C2900" s="163" t="s">
        <v>1344</v>
      </c>
      <c r="D2900" s="164" t="s">
        <v>172</v>
      </c>
      <c r="E2900" s="165" t="s">
        <v>4042</v>
      </c>
      <c r="F2900" s="170">
        <v>24564</v>
      </c>
      <c r="G2900" s="1177">
        <v>23617.02</v>
      </c>
      <c r="H2900" s="1780" t="s">
        <v>3892</v>
      </c>
      <c r="I2900" s="2287" t="s">
        <v>25</v>
      </c>
      <c r="K2900" s="1174"/>
      <c r="L2900" s="1176"/>
      <c r="M2900" s="1176"/>
      <c r="N2900" s="1176"/>
      <c r="O2900" s="1176"/>
      <c r="P2900" s="1176"/>
      <c r="Q2900" s="1176"/>
      <c r="R2900" s="1176"/>
      <c r="S2900" s="1176"/>
      <c r="T2900" s="1176"/>
      <c r="U2900" s="1176"/>
      <c r="V2900" s="1176"/>
      <c r="W2900" s="1176"/>
      <c r="X2900" s="1176"/>
      <c r="Y2900" s="1176"/>
      <c r="Z2900" s="1176"/>
      <c r="AA2900" s="1176"/>
      <c r="AB2900" s="1176"/>
      <c r="AC2900" s="1176"/>
      <c r="AD2900" s="1176"/>
      <c r="AE2900" s="1176"/>
      <c r="AF2900" s="1176"/>
      <c r="AG2900" s="1176"/>
      <c r="AH2900" s="1176"/>
      <c r="AI2900" s="1176"/>
      <c r="AJ2900" s="1176"/>
      <c r="AK2900" s="1176"/>
      <c r="AL2900" s="1176"/>
    </row>
    <row r="2901" spans="1:38" s="466" customFormat="1" ht="18.75" customHeight="1" x14ac:dyDescent="0.4">
      <c r="A2901" s="2402">
        <v>2895</v>
      </c>
      <c r="B2901" s="390" t="s">
        <v>3928</v>
      </c>
      <c r="C2901" s="163" t="s">
        <v>1344</v>
      </c>
      <c r="D2901" s="164" t="s">
        <v>172</v>
      </c>
      <c r="E2901" s="165" t="s">
        <v>4043</v>
      </c>
      <c r="F2901" s="170">
        <v>24564</v>
      </c>
      <c r="G2901" s="1177">
        <v>23617.02</v>
      </c>
      <c r="H2901" s="1780" t="s">
        <v>3892</v>
      </c>
      <c r="I2901" s="2287" t="s">
        <v>25</v>
      </c>
      <c r="K2901" s="1174"/>
      <c r="L2901" s="1176"/>
      <c r="M2901" s="1176"/>
      <c r="N2901" s="1176"/>
      <c r="O2901" s="1176"/>
      <c r="P2901" s="1176"/>
      <c r="Q2901" s="1176"/>
      <c r="R2901" s="1176"/>
      <c r="S2901" s="1176"/>
      <c r="T2901" s="1176"/>
      <c r="U2901" s="1176"/>
      <c r="V2901" s="1176"/>
      <c r="W2901" s="1176"/>
      <c r="X2901" s="1176"/>
      <c r="Y2901" s="1176"/>
      <c r="Z2901" s="1176"/>
      <c r="AA2901" s="1176"/>
      <c r="AB2901" s="1176"/>
      <c r="AC2901" s="1176"/>
      <c r="AD2901" s="1176"/>
      <c r="AE2901" s="1176"/>
      <c r="AF2901" s="1176"/>
      <c r="AG2901" s="1176"/>
      <c r="AH2901" s="1176"/>
      <c r="AI2901" s="1176"/>
      <c r="AJ2901" s="1176"/>
      <c r="AK2901" s="1176"/>
      <c r="AL2901" s="1176"/>
    </row>
    <row r="2902" spans="1:38" s="466" customFormat="1" ht="18.75" customHeight="1" x14ac:dyDescent="0.4">
      <c r="A2902" s="2402">
        <v>2896</v>
      </c>
      <c r="B2902" s="390" t="s">
        <v>3928</v>
      </c>
      <c r="C2902" s="163" t="s">
        <v>1344</v>
      </c>
      <c r="D2902" s="164" t="s">
        <v>172</v>
      </c>
      <c r="E2902" s="165" t="s">
        <v>4044</v>
      </c>
      <c r="F2902" s="170">
        <v>24564</v>
      </c>
      <c r="G2902" s="1177">
        <v>23617.02</v>
      </c>
      <c r="H2902" s="1780" t="s">
        <v>3892</v>
      </c>
      <c r="I2902" s="2287" t="s">
        <v>25</v>
      </c>
      <c r="K2902" s="1174"/>
      <c r="L2902" s="1176"/>
      <c r="M2902" s="1176"/>
      <c r="N2902" s="1176"/>
      <c r="O2902" s="1176"/>
      <c r="P2902" s="1176"/>
      <c r="Q2902" s="1176"/>
      <c r="R2902" s="1176"/>
      <c r="S2902" s="1176"/>
      <c r="T2902" s="1176"/>
      <c r="U2902" s="1176"/>
      <c r="V2902" s="1176"/>
      <c r="W2902" s="1176"/>
      <c r="X2902" s="1176"/>
      <c r="Y2902" s="1176"/>
      <c r="Z2902" s="1176"/>
      <c r="AA2902" s="1176"/>
      <c r="AB2902" s="1176"/>
      <c r="AC2902" s="1176"/>
      <c r="AD2902" s="1176"/>
      <c r="AE2902" s="1176"/>
      <c r="AF2902" s="1176"/>
      <c r="AG2902" s="1176"/>
      <c r="AH2902" s="1176"/>
      <c r="AI2902" s="1176"/>
      <c r="AJ2902" s="1176"/>
      <c r="AK2902" s="1176"/>
      <c r="AL2902" s="1176"/>
    </row>
    <row r="2903" spans="1:38" s="466" customFormat="1" ht="18.75" customHeight="1" x14ac:dyDescent="0.4">
      <c r="A2903" s="2401">
        <v>2897</v>
      </c>
      <c r="B2903" s="390" t="s">
        <v>3928</v>
      </c>
      <c r="C2903" s="163" t="s">
        <v>1344</v>
      </c>
      <c r="D2903" s="164" t="s">
        <v>172</v>
      </c>
      <c r="E2903" s="165" t="s">
        <v>4045</v>
      </c>
      <c r="F2903" s="170">
        <v>24564</v>
      </c>
      <c r="G2903" s="1177">
        <v>23617.02</v>
      </c>
      <c r="H2903" s="1780" t="s">
        <v>3892</v>
      </c>
      <c r="I2903" s="2287" t="s">
        <v>25</v>
      </c>
      <c r="K2903" s="1174"/>
      <c r="L2903" s="1176"/>
      <c r="M2903" s="1176"/>
      <c r="N2903" s="1176"/>
      <c r="O2903" s="1176"/>
      <c r="P2903" s="1176"/>
      <c r="Q2903" s="1176"/>
      <c r="R2903" s="1176"/>
      <c r="S2903" s="1176"/>
      <c r="T2903" s="1176"/>
      <c r="U2903" s="1176"/>
      <c r="V2903" s="1176"/>
      <c r="W2903" s="1176"/>
      <c r="X2903" s="1176"/>
      <c r="Y2903" s="1176"/>
      <c r="Z2903" s="1176"/>
      <c r="AA2903" s="1176"/>
      <c r="AB2903" s="1176"/>
      <c r="AC2903" s="1176"/>
      <c r="AD2903" s="1176"/>
      <c r="AE2903" s="1176"/>
      <c r="AF2903" s="1176"/>
      <c r="AG2903" s="1176"/>
      <c r="AH2903" s="1176"/>
      <c r="AI2903" s="1176"/>
      <c r="AJ2903" s="1176"/>
      <c r="AK2903" s="1176"/>
      <c r="AL2903" s="1176"/>
    </row>
    <row r="2904" spans="1:38" s="466" customFormat="1" ht="18.75" customHeight="1" x14ac:dyDescent="0.4">
      <c r="A2904" s="2402">
        <v>2898</v>
      </c>
      <c r="B2904" s="390" t="s">
        <v>3928</v>
      </c>
      <c r="C2904" s="163" t="s">
        <v>1344</v>
      </c>
      <c r="D2904" s="164" t="s">
        <v>172</v>
      </c>
      <c r="E2904" s="165" t="s">
        <v>4046</v>
      </c>
      <c r="F2904" s="170">
        <v>24564</v>
      </c>
      <c r="G2904" s="1177">
        <v>23617.02</v>
      </c>
      <c r="H2904" s="1780" t="s">
        <v>3892</v>
      </c>
      <c r="I2904" s="2287" t="s">
        <v>25</v>
      </c>
      <c r="K2904" s="1174"/>
      <c r="L2904" s="1176"/>
      <c r="M2904" s="1176"/>
      <c r="N2904" s="1176"/>
      <c r="O2904" s="1176"/>
      <c r="P2904" s="1176"/>
      <c r="Q2904" s="1176"/>
      <c r="R2904" s="1176"/>
      <c r="S2904" s="1176"/>
      <c r="T2904" s="1176"/>
      <c r="U2904" s="1176"/>
      <c r="V2904" s="1176"/>
      <c r="W2904" s="1176"/>
      <c r="X2904" s="1176"/>
      <c r="Y2904" s="1176"/>
      <c r="Z2904" s="1176"/>
      <c r="AA2904" s="1176"/>
      <c r="AB2904" s="1176"/>
      <c r="AC2904" s="1176"/>
      <c r="AD2904" s="1176"/>
      <c r="AE2904" s="1176"/>
      <c r="AF2904" s="1176"/>
      <c r="AG2904" s="1176"/>
      <c r="AH2904" s="1176"/>
      <c r="AI2904" s="1176"/>
      <c r="AJ2904" s="1176"/>
      <c r="AK2904" s="1176"/>
      <c r="AL2904" s="1176"/>
    </row>
    <row r="2905" spans="1:38" s="466" customFormat="1" ht="18.75" customHeight="1" x14ac:dyDescent="0.4">
      <c r="A2905" s="2402">
        <v>2899</v>
      </c>
      <c r="B2905" s="390" t="s">
        <v>3928</v>
      </c>
      <c r="C2905" s="163" t="s">
        <v>1344</v>
      </c>
      <c r="D2905" s="164" t="s">
        <v>172</v>
      </c>
      <c r="E2905" s="165" t="s">
        <v>4047</v>
      </c>
      <c r="F2905" s="170">
        <v>24564</v>
      </c>
      <c r="G2905" s="1177">
        <v>23617.02</v>
      </c>
      <c r="H2905" s="1780" t="s">
        <v>3892</v>
      </c>
      <c r="I2905" s="2287" t="s">
        <v>25</v>
      </c>
      <c r="K2905" s="1174"/>
      <c r="L2905" s="1176"/>
      <c r="M2905" s="1176"/>
      <c r="N2905" s="1176"/>
      <c r="O2905" s="1176"/>
      <c r="P2905" s="1176"/>
      <c r="Q2905" s="1176"/>
      <c r="R2905" s="1176"/>
      <c r="S2905" s="1176"/>
      <c r="T2905" s="1176"/>
      <c r="U2905" s="1176"/>
      <c r="V2905" s="1176"/>
      <c r="W2905" s="1176"/>
      <c r="X2905" s="1176"/>
      <c r="Y2905" s="1176"/>
      <c r="Z2905" s="1176"/>
      <c r="AA2905" s="1176"/>
      <c r="AB2905" s="1176"/>
      <c r="AC2905" s="1176"/>
      <c r="AD2905" s="1176"/>
      <c r="AE2905" s="1176"/>
      <c r="AF2905" s="1176"/>
      <c r="AG2905" s="1176"/>
      <c r="AH2905" s="1176"/>
      <c r="AI2905" s="1176"/>
      <c r="AJ2905" s="1176"/>
      <c r="AK2905" s="1176"/>
      <c r="AL2905" s="1176"/>
    </row>
    <row r="2906" spans="1:38" s="466" customFormat="1" ht="18.75" customHeight="1" x14ac:dyDescent="0.4">
      <c r="A2906" s="2402">
        <v>2900</v>
      </c>
      <c r="B2906" s="390" t="s">
        <v>3928</v>
      </c>
      <c r="C2906" s="163" t="s">
        <v>1344</v>
      </c>
      <c r="D2906" s="164" t="s">
        <v>172</v>
      </c>
      <c r="E2906" s="165" t="s">
        <v>4048</v>
      </c>
      <c r="F2906" s="170">
        <v>24564</v>
      </c>
      <c r="G2906" s="1177">
        <v>23617.02</v>
      </c>
      <c r="H2906" s="1780" t="s">
        <v>3892</v>
      </c>
      <c r="I2906" s="2287" t="s">
        <v>25</v>
      </c>
      <c r="K2906" s="1174"/>
      <c r="L2906" s="1176"/>
      <c r="M2906" s="1176"/>
      <c r="N2906" s="1176"/>
      <c r="O2906" s="1176"/>
      <c r="P2906" s="1176"/>
      <c r="Q2906" s="1176"/>
      <c r="R2906" s="1176"/>
      <c r="S2906" s="1176"/>
      <c r="T2906" s="1176"/>
      <c r="U2906" s="1176"/>
      <c r="V2906" s="1176"/>
      <c r="W2906" s="1176"/>
      <c r="X2906" s="1176"/>
      <c r="Y2906" s="1176"/>
      <c r="Z2906" s="1176"/>
      <c r="AA2906" s="1176"/>
      <c r="AB2906" s="1176"/>
      <c r="AC2906" s="1176"/>
      <c r="AD2906" s="1176"/>
      <c r="AE2906" s="1176"/>
      <c r="AF2906" s="1176"/>
      <c r="AG2906" s="1176"/>
      <c r="AH2906" s="1176"/>
      <c r="AI2906" s="1176"/>
      <c r="AJ2906" s="1176"/>
      <c r="AK2906" s="1176"/>
      <c r="AL2906" s="1176"/>
    </row>
    <row r="2907" spans="1:38" s="466" customFormat="1" ht="18.75" customHeight="1" x14ac:dyDescent="0.4">
      <c r="A2907" s="2401">
        <v>2901</v>
      </c>
      <c r="B2907" s="390" t="s">
        <v>3928</v>
      </c>
      <c r="C2907" s="163" t="s">
        <v>1344</v>
      </c>
      <c r="D2907" s="164" t="s">
        <v>172</v>
      </c>
      <c r="E2907" s="165" t="s">
        <v>4049</v>
      </c>
      <c r="F2907" s="170">
        <v>24564</v>
      </c>
      <c r="G2907" s="1177">
        <v>23617.02</v>
      </c>
      <c r="H2907" s="1780" t="s">
        <v>3892</v>
      </c>
      <c r="I2907" s="2287" t="s">
        <v>25</v>
      </c>
      <c r="K2907" s="1174"/>
      <c r="L2907" s="1176"/>
      <c r="M2907" s="1176"/>
      <c r="N2907" s="1176"/>
      <c r="O2907" s="1176"/>
      <c r="P2907" s="1176"/>
      <c r="Q2907" s="1176"/>
      <c r="R2907" s="1176"/>
      <c r="S2907" s="1176"/>
      <c r="T2907" s="1176"/>
      <c r="U2907" s="1176"/>
      <c r="V2907" s="1176"/>
      <c r="W2907" s="1176"/>
      <c r="X2907" s="1176"/>
      <c r="Y2907" s="1176"/>
      <c r="Z2907" s="1176"/>
      <c r="AA2907" s="1176"/>
      <c r="AB2907" s="1176"/>
      <c r="AC2907" s="1176"/>
      <c r="AD2907" s="1176"/>
      <c r="AE2907" s="1176"/>
      <c r="AF2907" s="1176"/>
      <c r="AG2907" s="1176"/>
      <c r="AH2907" s="1176"/>
      <c r="AI2907" s="1176"/>
      <c r="AJ2907" s="1176"/>
      <c r="AK2907" s="1176"/>
      <c r="AL2907" s="1176"/>
    </row>
    <row r="2908" spans="1:38" s="466" customFormat="1" ht="18.75" customHeight="1" x14ac:dyDescent="0.4">
      <c r="A2908" s="2402">
        <v>2902</v>
      </c>
      <c r="B2908" s="390" t="s">
        <v>3928</v>
      </c>
      <c r="C2908" s="163" t="s">
        <v>1344</v>
      </c>
      <c r="D2908" s="164" t="s">
        <v>172</v>
      </c>
      <c r="E2908" s="165" t="s">
        <v>4050</v>
      </c>
      <c r="F2908" s="170">
        <v>24564</v>
      </c>
      <c r="G2908" s="1177">
        <v>23617.02</v>
      </c>
      <c r="H2908" s="1780" t="s">
        <v>3892</v>
      </c>
      <c r="I2908" s="2287" t="s">
        <v>25</v>
      </c>
      <c r="K2908" s="1174"/>
      <c r="L2908" s="1176"/>
      <c r="M2908" s="1176"/>
      <c r="N2908" s="1176"/>
      <c r="O2908" s="1176"/>
      <c r="P2908" s="1176"/>
      <c r="Q2908" s="1176"/>
      <c r="R2908" s="1176"/>
      <c r="S2908" s="1176"/>
      <c r="T2908" s="1176"/>
      <c r="U2908" s="1176"/>
      <c r="V2908" s="1176"/>
      <c r="W2908" s="1176"/>
      <c r="X2908" s="1176"/>
      <c r="Y2908" s="1176"/>
      <c r="Z2908" s="1176"/>
      <c r="AA2908" s="1176"/>
      <c r="AB2908" s="1176"/>
      <c r="AC2908" s="1176"/>
      <c r="AD2908" s="1176"/>
      <c r="AE2908" s="1176"/>
      <c r="AF2908" s="1176"/>
      <c r="AG2908" s="1176"/>
      <c r="AH2908" s="1176"/>
      <c r="AI2908" s="1176"/>
      <c r="AJ2908" s="1176"/>
      <c r="AK2908" s="1176"/>
      <c r="AL2908" s="1176"/>
    </row>
    <row r="2909" spans="1:38" s="466" customFormat="1" ht="18.75" customHeight="1" x14ac:dyDescent="0.4">
      <c r="A2909" s="2402">
        <v>2903</v>
      </c>
      <c r="B2909" s="390" t="s">
        <v>3928</v>
      </c>
      <c r="C2909" s="163" t="s">
        <v>1344</v>
      </c>
      <c r="D2909" s="164" t="s">
        <v>172</v>
      </c>
      <c r="E2909" s="165" t="s">
        <v>4051</v>
      </c>
      <c r="F2909" s="170">
        <v>24564</v>
      </c>
      <c r="G2909" s="1177">
        <v>23617.02</v>
      </c>
      <c r="H2909" s="1780" t="s">
        <v>3892</v>
      </c>
      <c r="I2909" s="2287" t="s">
        <v>25</v>
      </c>
      <c r="K2909" s="1174"/>
      <c r="L2909" s="1176"/>
      <c r="M2909" s="1176"/>
      <c r="N2909" s="1176"/>
      <c r="O2909" s="1176"/>
      <c r="P2909" s="1176"/>
      <c r="Q2909" s="1176"/>
      <c r="R2909" s="1176"/>
      <c r="S2909" s="1176"/>
      <c r="T2909" s="1176"/>
      <c r="U2909" s="1176"/>
      <c r="V2909" s="1176"/>
      <c r="W2909" s="1176"/>
      <c r="X2909" s="1176"/>
      <c r="Y2909" s="1176"/>
      <c r="Z2909" s="1176"/>
      <c r="AA2909" s="1176"/>
      <c r="AB2909" s="1176"/>
      <c r="AC2909" s="1176"/>
      <c r="AD2909" s="1176"/>
      <c r="AE2909" s="1176"/>
      <c r="AF2909" s="1176"/>
      <c r="AG2909" s="1176"/>
      <c r="AH2909" s="1176"/>
      <c r="AI2909" s="1176"/>
      <c r="AJ2909" s="1176"/>
      <c r="AK2909" s="1176"/>
      <c r="AL2909" s="1176"/>
    </row>
    <row r="2910" spans="1:38" s="466" customFormat="1" ht="18.75" customHeight="1" x14ac:dyDescent="0.4">
      <c r="A2910" s="2402">
        <v>2904</v>
      </c>
      <c r="B2910" s="390" t="s">
        <v>3928</v>
      </c>
      <c r="C2910" s="163" t="s">
        <v>1344</v>
      </c>
      <c r="D2910" s="164" t="s">
        <v>172</v>
      </c>
      <c r="E2910" s="165" t="s">
        <v>4052</v>
      </c>
      <c r="F2910" s="170">
        <v>24564</v>
      </c>
      <c r="G2910" s="1177">
        <v>23617.02</v>
      </c>
      <c r="H2910" s="1780" t="s">
        <v>3892</v>
      </c>
      <c r="I2910" s="2287" t="s">
        <v>25</v>
      </c>
      <c r="K2910" s="1174"/>
      <c r="L2910" s="1176"/>
      <c r="M2910" s="1176"/>
      <c r="N2910" s="1176"/>
      <c r="O2910" s="1176"/>
      <c r="P2910" s="1176"/>
      <c r="Q2910" s="1176"/>
      <c r="R2910" s="1176"/>
      <c r="S2910" s="1176"/>
      <c r="T2910" s="1176"/>
      <c r="U2910" s="1176"/>
      <c r="V2910" s="1176"/>
      <c r="W2910" s="1176"/>
      <c r="X2910" s="1176"/>
      <c r="Y2910" s="1176"/>
      <c r="Z2910" s="1176"/>
      <c r="AA2910" s="1176"/>
      <c r="AB2910" s="1176"/>
      <c r="AC2910" s="1176"/>
      <c r="AD2910" s="1176"/>
      <c r="AE2910" s="1176"/>
      <c r="AF2910" s="1176"/>
      <c r="AG2910" s="1176"/>
      <c r="AH2910" s="1176"/>
      <c r="AI2910" s="1176"/>
      <c r="AJ2910" s="1176"/>
      <c r="AK2910" s="1176"/>
      <c r="AL2910" s="1176"/>
    </row>
    <row r="2911" spans="1:38" s="466" customFormat="1" ht="18.75" customHeight="1" x14ac:dyDescent="0.4">
      <c r="A2911" s="2402">
        <v>2905</v>
      </c>
      <c r="B2911" s="390" t="s">
        <v>3928</v>
      </c>
      <c r="C2911" s="163" t="s">
        <v>1344</v>
      </c>
      <c r="D2911" s="164" t="s">
        <v>172</v>
      </c>
      <c r="E2911" s="165" t="s">
        <v>4053</v>
      </c>
      <c r="F2911" s="170">
        <v>24564</v>
      </c>
      <c r="G2911" s="1177">
        <v>23617.02</v>
      </c>
      <c r="H2911" s="1780" t="s">
        <v>3892</v>
      </c>
      <c r="I2911" s="2287" t="s">
        <v>25</v>
      </c>
      <c r="K2911" s="1174"/>
      <c r="L2911" s="1176"/>
      <c r="M2911" s="1176"/>
      <c r="N2911" s="1176"/>
      <c r="O2911" s="1176"/>
      <c r="P2911" s="1176"/>
      <c r="Q2911" s="1176"/>
      <c r="R2911" s="1176"/>
      <c r="S2911" s="1176"/>
      <c r="T2911" s="1176"/>
      <c r="U2911" s="1176"/>
      <c r="V2911" s="1176"/>
      <c r="W2911" s="1176"/>
      <c r="X2911" s="1176"/>
      <c r="Y2911" s="1176"/>
      <c r="Z2911" s="1176"/>
      <c r="AA2911" s="1176"/>
      <c r="AB2911" s="1176"/>
      <c r="AC2911" s="1176"/>
      <c r="AD2911" s="1176"/>
      <c r="AE2911" s="1176"/>
      <c r="AF2911" s="1176"/>
      <c r="AG2911" s="1176"/>
      <c r="AH2911" s="1176"/>
      <c r="AI2911" s="1176"/>
      <c r="AJ2911" s="1176"/>
      <c r="AK2911" s="1176"/>
      <c r="AL2911" s="1176"/>
    </row>
    <row r="2912" spans="1:38" s="466" customFormat="1" ht="18.75" customHeight="1" x14ac:dyDescent="0.4">
      <c r="A2912" s="2401">
        <v>2906</v>
      </c>
      <c r="B2912" s="390" t="s">
        <v>3928</v>
      </c>
      <c r="C2912" s="163" t="s">
        <v>1344</v>
      </c>
      <c r="D2912" s="164" t="s">
        <v>172</v>
      </c>
      <c r="E2912" s="165" t="s">
        <v>4054</v>
      </c>
      <c r="F2912" s="170">
        <v>24564</v>
      </c>
      <c r="G2912" s="1177">
        <v>23617.02</v>
      </c>
      <c r="H2912" s="1780" t="s">
        <v>3892</v>
      </c>
      <c r="I2912" s="2287" t="s">
        <v>25</v>
      </c>
      <c r="K2912" s="1174"/>
      <c r="L2912" s="1176"/>
      <c r="M2912" s="1176"/>
      <c r="N2912" s="1176"/>
      <c r="O2912" s="1176"/>
      <c r="P2912" s="1176"/>
      <c r="Q2912" s="1176"/>
      <c r="R2912" s="1176"/>
      <c r="S2912" s="1176"/>
      <c r="T2912" s="1176"/>
      <c r="U2912" s="1176"/>
      <c r="V2912" s="1176"/>
      <c r="W2912" s="1176"/>
      <c r="X2912" s="1176"/>
      <c r="Y2912" s="1176"/>
      <c r="Z2912" s="1176"/>
      <c r="AA2912" s="1176"/>
      <c r="AB2912" s="1176"/>
      <c r="AC2912" s="1176"/>
      <c r="AD2912" s="1176"/>
      <c r="AE2912" s="1176"/>
      <c r="AF2912" s="1176"/>
      <c r="AG2912" s="1176"/>
      <c r="AH2912" s="1176"/>
      <c r="AI2912" s="1176"/>
      <c r="AJ2912" s="1176"/>
      <c r="AK2912" s="1176"/>
      <c r="AL2912" s="1176"/>
    </row>
    <row r="2913" spans="1:38" s="466" customFormat="1" ht="18.75" customHeight="1" x14ac:dyDescent="0.4">
      <c r="A2913" s="2402">
        <v>2907</v>
      </c>
      <c r="B2913" s="390" t="s">
        <v>3928</v>
      </c>
      <c r="C2913" s="163" t="s">
        <v>1344</v>
      </c>
      <c r="D2913" s="164" t="s">
        <v>172</v>
      </c>
      <c r="E2913" s="165" t="s">
        <v>4055</v>
      </c>
      <c r="F2913" s="170">
        <v>24564</v>
      </c>
      <c r="G2913" s="1177">
        <v>23617.02</v>
      </c>
      <c r="H2913" s="1780" t="s">
        <v>3892</v>
      </c>
      <c r="I2913" s="2287" t="s">
        <v>25</v>
      </c>
      <c r="K2913" s="1174"/>
      <c r="L2913" s="1176"/>
      <c r="M2913" s="1176"/>
      <c r="N2913" s="1176"/>
      <c r="O2913" s="1176"/>
      <c r="P2913" s="1176"/>
      <c r="Q2913" s="1176"/>
      <c r="R2913" s="1176"/>
      <c r="S2913" s="1176"/>
      <c r="T2913" s="1176"/>
      <c r="U2913" s="1176"/>
      <c r="V2913" s="1176"/>
      <c r="W2913" s="1176"/>
      <c r="X2913" s="1176"/>
      <c r="Y2913" s="1176"/>
      <c r="Z2913" s="1176"/>
      <c r="AA2913" s="1176"/>
      <c r="AB2913" s="1176"/>
      <c r="AC2913" s="1176"/>
      <c r="AD2913" s="1176"/>
      <c r="AE2913" s="1176"/>
      <c r="AF2913" s="1176"/>
      <c r="AG2913" s="1176"/>
      <c r="AH2913" s="1176"/>
      <c r="AI2913" s="1176"/>
      <c r="AJ2913" s="1176"/>
      <c r="AK2913" s="1176"/>
      <c r="AL2913" s="1176"/>
    </row>
    <row r="2914" spans="1:38" s="466" customFormat="1" ht="18.75" customHeight="1" x14ac:dyDescent="0.4">
      <c r="A2914" s="2402">
        <v>2908</v>
      </c>
      <c r="B2914" s="390" t="s">
        <v>3928</v>
      </c>
      <c r="C2914" s="163" t="s">
        <v>1344</v>
      </c>
      <c r="D2914" s="164" t="s">
        <v>172</v>
      </c>
      <c r="E2914" s="165" t="s">
        <v>4056</v>
      </c>
      <c r="F2914" s="170">
        <v>24564</v>
      </c>
      <c r="G2914" s="1177">
        <v>23617.02</v>
      </c>
      <c r="H2914" s="1780" t="s">
        <v>3892</v>
      </c>
      <c r="I2914" s="2287" t="s">
        <v>25</v>
      </c>
      <c r="K2914" s="1174"/>
      <c r="L2914" s="1176"/>
      <c r="M2914" s="1176"/>
      <c r="N2914" s="1176"/>
      <c r="O2914" s="1176"/>
      <c r="P2914" s="1176"/>
      <c r="Q2914" s="1176"/>
      <c r="R2914" s="1176"/>
      <c r="S2914" s="1176"/>
      <c r="T2914" s="1176"/>
      <c r="U2914" s="1176"/>
      <c r="V2914" s="1176"/>
      <c r="W2914" s="1176"/>
      <c r="X2914" s="1176"/>
      <c r="Y2914" s="1176"/>
      <c r="Z2914" s="1176"/>
      <c r="AA2914" s="1176"/>
      <c r="AB2914" s="1176"/>
      <c r="AC2914" s="1176"/>
      <c r="AD2914" s="1176"/>
      <c r="AE2914" s="1176"/>
      <c r="AF2914" s="1176"/>
      <c r="AG2914" s="1176"/>
      <c r="AH2914" s="1176"/>
      <c r="AI2914" s="1176"/>
      <c r="AJ2914" s="1176"/>
      <c r="AK2914" s="1176"/>
      <c r="AL2914" s="1176"/>
    </row>
    <row r="2915" spans="1:38" s="466" customFormat="1" ht="18.75" customHeight="1" x14ac:dyDescent="0.4">
      <c r="A2915" s="2402">
        <v>2909</v>
      </c>
      <c r="B2915" s="390" t="s">
        <v>3928</v>
      </c>
      <c r="C2915" s="163" t="s">
        <v>1344</v>
      </c>
      <c r="D2915" s="164" t="s">
        <v>172</v>
      </c>
      <c r="E2915" s="165" t="s">
        <v>4057</v>
      </c>
      <c r="F2915" s="170">
        <v>24564</v>
      </c>
      <c r="G2915" s="1177">
        <v>23617.02</v>
      </c>
      <c r="H2915" s="1780" t="s">
        <v>3892</v>
      </c>
      <c r="I2915" s="2287" t="s">
        <v>25</v>
      </c>
      <c r="K2915" s="1174"/>
      <c r="L2915" s="1176"/>
      <c r="M2915" s="1176"/>
      <c r="N2915" s="1176"/>
      <c r="O2915" s="1176"/>
      <c r="P2915" s="1176"/>
      <c r="Q2915" s="1176"/>
      <c r="R2915" s="1176"/>
      <c r="S2915" s="1176"/>
      <c r="T2915" s="1176"/>
      <c r="U2915" s="1176"/>
      <c r="V2915" s="1176"/>
      <c r="W2915" s="1176"/>
      <c r="X2915" s="1176"/>
      <c r="Y2915" s="1176"/>
      <c r="Z2915" s="1176"/>
      <c r="AA2915" s="1176"/>
      <c r="AB2915" s="1176"/>
      <c r="AC2915" s="1176"/>
      <c r="AD2915" s="1176"/>
      <c r="AE2915" s="1176"/>
      <c r="AF2915" s="1176"/>
      <c r="AG2915" s="1176"/>
      <c r="AH2915" s="1176"/>
      <c r="AI2915" s="1176"/>
      <c r="AJ2915" s="1176"/>
      <c r="AK2915" s="1176"/>
      <c r="AL2915" s="1176"/>
    </row>
    <row r="2916" spans="1:38" s="466" customFormat="1" ht="18.75" customHeight="1" x14ac:dyDescent="0.4">
      <c r="A2916" s="2401">
        <v>2910</v>
      </c>
      <c r="B2916" s="390" t="s">
        <v>3928</v>
      </c>
      <c r="C2916" s="163" t="s">
        <v>1344</v>
      </c>
      <c r="D2916" s="164" t="s">
        <v>172</v>
      </c>
      <c r="E2916" s="165" t="s">
        <v>4058</v>
      </c>
      <c r="F2916" s="170">
        <v>24564</v>
      </c>
      <c r="G2916" s="1177">
        <v>23617.02</v>
      </c>
      <c r="H2916" s="1780" t="s">
        <v>3892</v>
      </c>
      <c r="I2916" s="2287" t="s">
        <v>25</v>
      </c>
      <c r="K2916" s="1174"/>
      <c r="L2916" s="1176"/>
      <c r="M2916" s="1176"/>
      <c r="N2916" s="1176"/>
      <c r="O2916" s="1176"/>
      <c r="P2916" s="1176"/>
      <c r="Q2916" s="1176"/>
      <c r="R2916" s="1176"/>
      <c r="S2916" s="1176"/>
      <c r="T2916" s="1176"/>
      <c r="U2916" s="1176"/>
      <c r="V2916" s="1176"/>
      <c r="W2916" s="1176"/>
      <c r="X2916" s="1176"/>
      <c r="Y2916" s="1176"/>
      <c r="Z2916" s="1176"/>
      <c r="AA2916" s="1176"/>
      <c r="AB2916" s="1176"/>
      <c r="AC2916" s="1176"/>
      <c r="AD2916" s="1176"/>
      <c r="AE2916" s="1176"/>
      <c r="AF2916" s="1176"/>
      <c r="AG2916" s="1176"/>
      <c r="AH2916" s="1176"/>
      <c r="AI2916" s="1176"/>
      <c r="AJ2916" s="1176"/>
      <c r="AK2916" s="1176"/>
      <c r="AL2916" s="1176"/>
    </row>
    <row r="2917" spans="1:38" s="466" customFormat="1" ht="18.75" customHeight="1" x14ac:dyDescent="0.4">
      <c r="A2917" s="2402">
        <v>2911</v>
      </c>
      <c r="B2917" s="390" t="s">
        <v>3928</v>
      </c>
      <c r="C2917" s="163" t="s">
        <v>1344</v>
      </c>
      <c r="D2917" s="164" t="s">
        <v>172</v>
      </c>
      <c r="E2917" s="165" t="s">
        <v>4059</v>
      </c>
      <c r="F2917" s="170">
        <v>24564</v>
      </c>
      <c r="G2917" s="1177">
        <v>23617.02</v>
      </c>
      <c r="H2917" s="1780" t="s">
        <v>3892</v>
      </c>
      <c r="I2917" s="2287" t="s">
        <v>25</v>
      </c>
      <c r="K2917" s="1174"/>
      <c r="L2917" s="1176"/>
      <c r="M2917" s="1176"/>
      <c r="N2917" s="1176"/>
      <c r="O2917" s="1176"/>
      <c r="P2917" s="1176"/>
      <c r="Q2917" s="1176"/>
      <c r="R2917" s="1176"/>
      <c r="S2917" s="1176"/>
      <c r="T2917" s="1176"/>
      <c r="U2917" s="1176"/>
      <c r="V2917" s="1176"/>
      <c r="W2917" s="1176"/>
      <c r="X2917" s="1176"/>
      <c r="Y2917" s="1176"/>
      <c r="Z2917" s="1176"/>
      <c r="AA2917" s="1176"/>
      <c r="AB2917" s="1176"/>
      <c r="AC2917" s="1176"/>
      <c r="AD2917" s="1176"/>
      <c r="AE2917" s="1176"/>
      <c r="AF2917" s="1176"/>
      <c r="AG2917" s="1176"/>
      <c r="AH2917" s="1176"/>
      <c r="AI2917" s="1176"/>
      <c r="AJ2917" s="1176"/>
      <c r="AK2917" s="1176"/>
      <c r="AL2917" s="1176"/>
    </row>
    <row r="2918" spans="1:38" s="466" customFormat="1" ht="18.75" customHeight="1" x14ac:dyDescent="0.4">
      <c r="A2918" s="2402">
        <v>2912</v>
      </c>
      <c r="B2918" s="390" t="s">
        <v>3928</v>
      </c>
      <c r="C2918" s="163" t="s">
        <v>1344</v>
      </c>
      <c r="D2918" s="164" t="s">
        <v>172</v>
      </c>
      <c r="E2918" s="165" t="s">
        <v>4060</v>
      </c>
      <c r="F2918" s="170">
        <v>24564</v>
      </c>
      <c r="G2918" s="1177">
        <v>23617.02</v>
      </c>
      <c r="H2918" s="1780" t="s">
        <v>3892</v>
      </c>
      <c r="I2918" s="2287" t="s">
        <v>25</v>
      </c>
      <c r="K2918" s="1174"/>
      <c r="L2918" s="1176"/>
      <c r="M2918" s="1176"/>
      <c r="N2918" s="1176"/>
      <c r="O2918" s="1176"/>
      <c r="P2918" s="1176"/>
      <c r="Q2918" s="1176"/>
      <c r="R2918" s="1176"/>
      <c r="S2918" s="1176"/>
      <c r="T2918" s="1176"/>
      <c r="U2918" s="1176"/>
      <c r="V2918" s="1176"/>
      <c r="W2918" s="1176"/>
      <c r="X2918" s="1176"/>
      <c r="Y2918" s="1176"/>
      <c r="Z2918" s="1176"/>
      <c r="AA2918" s="1176"/>
      <c r="AB2918" s="1176"/>
      <c r="AC2918" s="1176"/>
      <c r="AD2918" s="1176"/>
      <c r="AE2918" s="1176"/>
      <c r="AF2918" s="1176"/>
      <c r="AG2918" s="1176"/>
      <c r="AH2918" s="1176"/>
      <c r="AI2918" s="1176"/>
      <c r="AJ2918" s="1176"/>
      <c r="AK2918" s="1176"/>
      <c r="AL2918" s="1176"/>
    </row>
    <row r="2919" spans="1:38" s="466" customFormat="1" ht="18.75" customHeight="1" x14ac:dyDescent="0.4">
      <c r="A2919" s="2402">
        <v>2913</v>
      </c>
      <c r="B2919" s="390" t="s">
        <v>3928</v>
      </c>
      <c r="C2919" s="163" t="s">
        <v>1344</v>
      </c>
      <c r="D2919" s="164" t="s">
        <v>172</v>
      </c>
      <c r="E2919" s="165" t="s">
        <v>4061</v>
      </c>
      <c r="F2919" s="170">
        <v>24564</v>
      </c>
      <c r="G2919" s="1177">
        <v>23617.02</v>
      </c>
      <c r="H2919" s="1780" t="s">
        <v>3892</v>
      </c>
      <c r="I2919" s="2287" t="s">
        <v>25</v>
      </c>
      <c r="K2919" s="1174"/>
      <c r="L2919" s="1176"/>
      <c r="M2919" s="1176"/>
      <c r="N2919" s="1176"/>
      <c r="O2919" s="1176"/>
      <c r="P2919" s="1176"/>
      <c r="Q2919" s="1176"/>
      <c r="R2919" s="1176"/>
      <c r="S2919" s="1176"/>
      <c r="T2919" s="1176"/>
      <c r="U2919" s="1176"/>
      <c r="V2919" s="1176"/>
      <c r="W2919" s="1176"/>
      <c r="X2919" s="1176"/>
      <c r="Y2919" s="1176"/>
      <c r="Z2919" s="1176"/>
      <c r="AA2919" s="1176"/>
      <c r="AB2919" s="1176"/>
      <c r="AC2919" s="1176"/>
      <c r="AD2919" s="1176"/>
      <c r="AE2919" s="1176"/>
      <c r="AF2919" s="1176"/>
      <c r="AG2919" s="1176"/>
      <c r="AH2919" s="1176"/>
      <c r="AI2919" s="1176"/>
      <c r="AJ2919" s="1176"/>
      <c r="AK2919" s="1176"/>
      <c r="AL2919" s="1176"/>
    </row>
    <row r="2920" spans="1:38" s="466" customFormat="1" ht="18.75" customHeight="1" x14ac:dyDescent="0.4">
      <c r="A2920" s="2402">
        <v>2914</v>
      </c>
      <c r="B2920" s="390" t="s">
        <v>3928</v>
      </c>
      <c r="C2920" s="163" t="s">
        <v>1344</v>
      </c>
      <c r="D2920" s="164" t="s">
        <v>172</v>
      </c>
      <c r="E2920" s="165" t="s">
        <v>4062</v>
      </c>
      <c r="F2920" s="170">
        <v>24564</v>
      </c>
      <c r="G2920" s="1177">
        <v>23617.02</v>
      </c>
      <c r="H2920" s="1780" t="s">
        <v>3892</v>
      </c>
      <c r="I2920" s="2287" t="s">
        <v>25</v>
      </c>
      <c r="K2920" s="1174"/>
      <c r="L2920" s="1176"/>
      <c r="M2920" s="1176"/>
      <c r="N2920" s="1176"/>
      <c r="O2920" s="1176"/>
      <c r="P2920" s="1176"/>
      <c r="Q2920" s="1176"/>
      <c r="R2920" s="1176"/>
      <c r="S2920" s="1176"/>
      <c r="T2920" s="1176"/>
      <c r="U2920" s="1176"/>
      <c r="V2920" s="1176"/>
      <c r="W2920" s="1176"/>
      <c r="X2920" s="1176"/>
      <c r="Y2920" s="1176"/>
      <c r="Z2920" s="1176"/>
      <c r="AA2920" s="1176"/>
      <c r="AB2920" s="1176"/>
      <c r="AC2920" s="1176"/>
      <c r="AD2920" s="1176"/>
      <c r="AE2920" s="1176"/>
      <c r="AF2920" s="1176"/>
      <c r="AG2920" s="1176"/>
      <c r="AH2920" s="1176"/>
      <c r="AI2920" s="1176"/>
      <c r="AJ2920" s="1176"/>
      <c r="AK2920" s="1176"/>
      <c r="AL2920" s="1176"/>
    </row>
    <row r="2921" spans="1:38" s="466" customFormat="1" ht="18.75" customHeight="1" x14ac:dyDescent="0.4">
      <c r="A2921" s="2401">
        <v>2915</v>
      </c>
      <c r="B2921" s="390" t="s">
        <v>3928</v>
      </c>
      <c r="C2921" s="163" t="s">
        <v>1344</v>
      </c>
      <c r="D2921" s="164" t="s">
        <v>172</v>
      </c>
      <c r="E2921" s="165" t="s">
        <v>4063</v>
      </c>
      <c r="F2921" s="170">
        <v>24564</v>
      </c>
      <c r="G2921" s="1177">
        <v>23617.02</v>
      </c>
      <c r="H2921" s="1780" t="s">
        <v>3892</v>
      </c>
      <c r="I2921" s="2287" t="s">
        <v>25</v>
      </c>
      <c r="K2921" s="1174"/>
      <c r="L2921" s="1176"/>
      <c r="M2921" s="1176"/>
      <c r="N2921" s="1176"/>
      <c r="O2921" s="1176"/>
      <c r="P2921" s="1176"/>
      <c r="Q2921" s="1176"/>
      <c r="R2921" s="1176"/>
      <c r="S2921" s="1176"/>
      <c r="T2921" s="1176"/>
      <c r="U2921" s="1176"/>
      <c r="V2921" s="1176"/>
      <c r="W2921" s="1176"/>
      <c r="X2921" s="1176"/>
      <c r="Y2921" s="1176"/>
      <c r="Z2921" s="1176"/>
      <c r="AA2921" s="1176"/>
      <c r="AB2921" s="1176"/>
      <c r="AC2921" s="1176"/>
      <c r="AD2921" s="1176"/>
      <c r="AE2921" s="1176"/>
      <c r="AF2921" s="1176"/>
      <c r="AG2921" s="1176"/>
      <c r="AH2921" s="1176"/>
      <c r="AI2921" s="1176"/>
      <c r="AJ2921" s="1176"/>
      <c r="AK2921" s="1176"/>
      <c r="AL2921" s="1176"/>
    </row>
    <row r="2922" spans="1:38" s="466" customFormat="1" ht="18.75" customHeight="1" x14ac:dyDescent="0.4">
      <c r="A2922" s="2402">
        <v>2916</v>
      </c>
      <c r="B2922" s="390" t="s">
        <v>3928</v>
      </c>
      <c r="C2922" s="163" t="s">
        <v>1344</v>
      </c>
      <c r="D2922" s="164" t="s">
        <v>172</v>
      </c>
      <c r="E2922" s="165" t="s">
        <v>4064</v>
      </c>
      <c r="F2922" s="170">
        <v>24564</v>
      </c>
      <c r="G2922" s="1177">
        <v>23617.02</v>
      </c>
      <c r="H2922" s="1780" t="s">
        <v>3892</v>
      </c>
      <c r="I2922" s="2287" t="s">
        <v>25</v>
      </c>
      <c r="K2922" s="1174"/>
      <c r="L2922" s="1176"/>
      <c r="M2922" s="1176"/>
      <c r="N2922" s="1176"/>
      <c r="O2922" s="1176"/>
      <c r="P2922" s="1176"/>
      <c r="Q2922" s="1176"/>
      <c r="R2922" s="1176"/>
      <c r="S2922" s="1176"/>
      <c r="T2922" s="1176"/>
      <c r="U2922" s="1176"/>
      <c r="V2922" s="1176"/>
      <c r="W2922" s="1176"/>
      <c r="X2922" s="1176"/>
      <c r="Y2922" s="1176"/>
      <c r="Z2922" s="1176"/>
      <c r="AA2922" s="1176"/>
      <c r="AB2922" s="1176"/>
      <c r="AC2922" s="1176"/>
      <c r="AD2922" s="1176"/>
      <c r="AE2922" s="1176"/>
      <c r="AF2922" s="1176"/>
      <c r="AG2922" s="1176"/>
      <c r="AH2922" s="1176"/>
      <c r="AI2922" s="1176"/>
      <c r="AJ2922" s="1176"/>
      <c r="AK2922" s="1176"/>
      <c r="AL2922" s="1176"/>
    </row>
    <row r="2923" spans="1:38" s="466" customFormat="1" ht="18.75" customHeight="1" x14ac:dyDescent="0.4">
      <c r="A2923" s="2402">
        <v>2917</v>
      </c>
      <c r="B2923" s="390" t="s">
        <v>3928</v>
      </c>
      <c r="C2923" s="163" t="s">
        <v>1344</v>
      </c>
      <c r="D2923" s="164" t="s">
        <v>172</v>
      </c>
      <c r="E2923" s="165" t="s">
        <v>4065</v>
      </c>
      <c r="F2923" s="170">
        <v>24564</v>
      </c>
      <c r="G2923" s="1177">
        <v>23617.02</v>
      </c>
      <c r="H2923" s="1780" t="s">
        <v>3892</v>
      </c>
      <c r="I2923" s="2287" t="s">
        <v>25</v>
      </c>
      <c r="K2923" s="1174"/>
      <c r="L2923" s="1176"/>
      <c r="M2923" s="1176"/>
      <c r="N2923" s="1176"/>
      <c r="O2923" s="1176"/>
      <c r="P2923" s="1176"/>
      <c r="Q2923" s="1176"/>
      <c r="R2923" s="1176"/>
      <c r="S2923" s="1176"/>
      <c r="T2923" s="1176"/>
      <c r="U2923" s="1176"/>
      <c r="V2923" s="1176"/>
      <c r="W2923" s="1176"/>
      <c r="X2923" s="1176"/>
      <c r="Y2923" s="1176"/>
      <c r="Z2923" s="1176"/>
      <c r="AA2923" s="1176"/>
      <c r="AB2923" s="1176"/>
      <c r="AC2923" s="1176"/>
      <c r="AD2923" s="1176"/>
      <c r="AE2923" s="1176"/>
      <c r="AF2923" s="1176"/>
      <c r="AG2923" s="1176"/>
      <c r="AH2923" s="1176"/>
      <c r="AI2923" s="1176"/>
      <c r="AJ2923" s="1176"/>
      <c r="AK2923" s="1176"/>
      <c r="AL2923" s="1176"/>
    </row>
    <row r="2924" spans="1:38" s="466" customFormat="1" ht="18.75" customHeight="1" x14ac:dyDescent="0.4">
      <c r="A2924" s="2402">
        <v>2918</v>
      </c>
      <c r="B2924" s="390" t="s">
        <v>3928</v>
      </c>
      <c r="C2924" s="163" t="s">
        <v>1344</v>
      </c>
      <c r="D2924" s="164" t="s">
        <v>172</v>
      </c>
      <c r="E2924" s="165" t="s">
        <v>4066</v>
      </c>
      <c r="F2924" s="170">
        <v>24564</v>
      </c>
      <c r="G2924" s="1177">
        <v>23617.02</v>
      </c>
      <c r="H2924" s="1780" t="s">
        <v>3892</v>
      </c>
      <c r="I2924" s="2287" t="s">
        <v>25</v>
      </c>
      <c r="K2924" s="1174"/>
      <c r="L2924" s="1176"/>
      <c r="M2924" s="1176"/>
      <c r="N2924" s="1176"/>
      <c r="O2924" s="1176"/>
      <c r="P2924" s="1176"/>
      <c r="Q2924" s="1176"/>
      <c r="R2924" s="1176"/>
      <c r="S2924" s="1176"/>
      <c r="T2924" s="1176"/>
      <c r="U2924" s="1176"/>
      <c r="V2924" s="1176"/>
      <c r="W2924" s="1176"/>
      <c r="X2924" s="1176"/>
      <c r="Y2924" s="1176"/>
      <c r="Z2924" s="1176"/>
      <c r="AA2924" s="1176"/>
      <c r="AB2924" s="1176"/>
      <c r="AC2924" s="1176"/>
      <c r="AD2924" s="1176"/>
      <c r="AE2924" s="1176"/>
      <c r="AF2924" s="1176"/>
      <c r="AG2924" s="1176"/>
      <c r="AH2924" s="1176"/>
      <c r="AI2924" s="1176"/>
      <c r="AJ2924" s="1176"/>
      <c r="AK2924" s="1176"/>
      <c r="AL2924" s="1176"/>
    </row>
    <row r="2925" spans="1:38" s="466" customFormat="1" ht="18.75" customHeight="1" x14ac:dyDescent="0.4">
      <c r="A2925" s="2401">
        <v>2919</v>
      </c>
      <c r="B2925" s="390" t="s">
        <v>3928</v>
      </c>
      <c r="C2925" s="163" t="s">
        <v>1344</v>
      </c>
      <c r="D2925" s="164" t="s">
        <v>172</v>
      </c>
      <c r="E2925" s="165" t="s">
        <v>4067</v>
      </c>
      <c r="F2925" s="170">
        <v>24564</v>
      </c>
      <c r="G2925" s="1177">
        <v>23617.02</v>
      </c>
      <c r="H2925" s="1780" t="s">
        <v>3892</v>
      </c>
      <c r="I2925" s="2287" t="s">
        <v>25</v>
      </c>
      <c r="K2925" s="1174"/>
      <c r="L2925" s="1176"/>
      <c r="M2925" s="1176"/>
      <c r="N2925" s="1176"/>
      <c r="O2925" s="1176"/>
      <c r="P2925" s="1176"/>
      <c r="Q2925" s="1176"/>
      <c r="R2925" s="1176"/>
      <c r="S2925" s="1176"/>
      <c r="T2925" s="1176"/>
      <c r="U2925" s="1176"/>
      <c r="V2925" s="1176"/>
      <c r="W2925" s="1176"/>
      <c r="X2925" s="1176"/>
      <c r="Y2925" s="1176"/>
      <c r="Z2925" s="1176"/>
      <c r="AA2925" s="1176"/>
      <c r="AB2925" s="1176"/>
      <c r="AC2925" s="1176"/>
      <c r="AD2925" s="1176"/>
      <c r="AE2925" s="1176"/>
      <c r="AF2925" s="1176"/>
      <c r="AG2925" s="1176"/>
      <c r="AH2925" s="1176"/>
      <c r="AI2925" s="1176"/>
      <c r="AJ2925" s="1176"/>
      <c r="AK2925" s="1176"/>
      <c r="AL2925" s="1176"/>
    </row>
    <row r="2926" spans="1:38" s="466" customFormat="1" ht="18.75" customHeight="1" x14ac:dyDescent="0.4">
      <c r="A2926" s="2402">
        <v>2920</v>
      </c>
      <c r="B2926" s="390" t="s">
        <v>3928</v>
      </c>
      <c r="C2926" s="163" t="s">
        <v>1344</v>
      </c>
      <c r="D2926" s="164" t="s">
        <v>172</v>
      </c>
      <c r="E2926" s="165" t="s">
        <v>4068</v>
      </c>
      <c r="F2926" s="170">
        <v>24564</v>
      </c>
      <c r="G2926" s="1177">
        <v>23617.02</v>
      </c>
      <c r="H2926" s="1780" t="s">
        <v>3892</v>
      </c>
      <c r="I2926" s="2287" t="s">
        <v>25</v>
      </c>
      <c r="K2926" s="1174"/>
      <c r="L2926" s="1176"/>
      <c r="M2926" s="1176"/>
      <c r="N2926" s="1176"/>
      <c r="O2926" s="1176"/>
      <c r="P2926" s="1176"/>
      <c r="Q2926" s="1176"/>
      <c r="R2926" s="1176"/>
      <c r="S2926" s="1176"/>
      <c r="T2926" s="1176"/>
      <c r="U2926" s="1176"/>
      <c r="V2926" s="1176"/>
      <c r="W2926" s="1176"/>
      <c r="X2926" s="1176"/>
      <c r="Y2926" s="1176"/>
      <c r="Z2926" s="1176"/>
      <c r="AA2926" s="1176"/>
      <c r="AB2926" s="1176"/>
      <c r="AC2926" s="1176"/>
      <c r="AD2926" s="1176"/>
      <c r="AE2926" s="1176"/>
      <c r="AF2926" s="1176"/>
      <c r="AG2926" s="1176"/>
      <c r="AH2926" s="1176"/>
      <c r="AI2926" s="1176"/>
      <c r="AJ2926" s="1176"/>
      <c r="AK2926" s="1176"/>
      <c r="AL2926" s="1176"/>
    </row>
    <row r="2927" spans="1:38" s="466" customFormat="1" ht="18.75" customHeight="1" x14ac:dyDescent="0.4">
      <c r="A2927" s="2402">
        <v>2921</v>
      </c>
      <c r="B2927" s="390" t="s">
        <v>3928</v>
      </c>
      <c r="C2927" s="163" t="s">
        <v>1344</v>
      </c>
      <c r="D2927" s="164" t="s">
        <v>172</v>
      </c>
      <c r="E2927" s="165" t="s">
        <v>4069</v>
      </c>
      <c r="F2927" s="170">
        <v>24564</v>
      </c>
      <c r="G2927" s="1177">
        <v>23617.02</v>
      </c>
      <c r="H2927" s="1780" t="s">
        <v>3892</v>
      </c>
      <c r="I2927" s="2287" t="s">
        <v>25</v>
      </c>
      <c r="K2927" s="1174"/>
      <c r="L2927" s="1176"/>
      <c r="M2927" s="1176"/>
      <c r="N2927" s="1176"/>
      <c r="O2927" s="1176"/>
      <c r="P2927" s="1176"/>
      <c r="Q2927" s="1176"/>
      <c r="R2927" s="1176"/>
      <c r="S2927" s="1176"/>
      <c r="T2927" s="1176"/>
      <c r="U2927" s="1176"/>
      <c r="V2927" s="1176"/>
      <c r="W2927" s="1176"/>
      <c r="X2927" s="1176"/>
      <c r="Y2927" s="1176"/>
      <c r="Z2927" s="1176"/>
      <c r="AA2927" s="1176"/>
      <c r="AB2927" s="1176"/>
      <c r="AC2927" s="1176"/>
      <c r="AD2927" s="1176"/>
      <c r="AE2927" s="1176"/>
      <c r="AF2927" s="1176"/>
      <c r="AG2927" s="1176"/>
      <c r="AH2927" s="1176"/>
      <c r="AI2927" s="1176"/>
      <c r="AJ2927" s="1176"/>
      <c r="AK2927" s="1176"/>
      <c r="AL2927" s="1176"/>
    </row>
    <row r="2928" spans="1:38" s="466" customFormat="1" ht="18.75" customHeight="1" x14ac:dyDescent="0.4">
      <c r="A2928" s="2402">
        <v>2922</v>
      </c>
      <c r="B2928" s="390" t="s">
        <v>3928</v>
      </c>
      <c r="C2928" s="163" t="s">
        <v>1344</v>
      </c>
      <c r="D2928" s="164" t="s">
        <v>172</v>
      </c>
      <c r="E2928" s="165" t="s">
        <v>4070</v>
      </c>
      <c r="F2928" s="170">
        <v>24564</v>
      </c>
      <c r="G2928" s="1177">
        <v>23617.02</v>
      </c>
      <c r="H2928" s="1780" t="s">
        <v>3892</v>
      </c>
      <c r="I2928" s="2287" t="s">
        <v>25</v>
      </c>
      <c r="K2928" s="1174"/>
      <c r="L2928" s="1176"/>
      <c r="M2928" s="1176"/>
      <c r="N2928" s="1176"/>
      <c r="O2928" s="1176"/>
      <c r="P2928" s="1176"/>
      <c r="Q2928" s="1176"/>
      <c r="R2928" s="1176"/>
      <c r="S2928" s="1176"/>
      <c r="T2928" s="1176"/>
      <c r="U2928" s="1176"/>
      <c r="V2928" s="1176"/>
      <c r="W2928" s="1176"/>
      <c r="X2928" s="1176"/>
      <c r="Y2928" s="1176"/>
      <c r="Z2928" s="1176"/>
      <c r="AA2928" s="1176"/>
      <c r="AB2928" s="1176"/>
      <c r="AC2928" s="1176"/>
      <c r="AD2928" s="1176"/>
      <c r="AE2928" s="1176"/>
      <c r="AF2928" s="1176"/>
      <c r="AG2928" s="1176"/>
      <c r="AH2928" s="1176"/>
      <c r="AI2928" s="1176"/>
      <c r="AJ2928" s="1176"/>
      <c r="AK2928" s="1176"/>
      <c r="AL2928" s="1176"/>
    </row>
    <row r="2929" spans="1:38" s="466" customFormat="1" ht="18.75" customHeight="1" x14ac:dyDescent="0.4">
      <c r="A2929" s="2402">
        <v>2923</v>
      </c>
      <c r="B2929" s="390" t="s">
        <v>3928</v>
      </c>
      <c r="C2929" s="163" t="s">
        <v>1344</v>
      </c>
      <c r="D2929" s="164" t="s">
        <v>172</v>
      </c>
      <c r="E2929" s="165" t="s">
        <v>4071</v>
      </c>
      <c r="F2929" s="170">
        <v>24564</v>
      </c>
      <c r="G2929" s="1177">
        <v>23617.02</v>
      </c>
      <c r="H2929" s="1780" t="s">
        <v>3892</v>
      </c>
      <c r="I2929" s="2287" t="s">
        <v>25</v>
      </c>
      <c r="K2929" s="1174"/>
      <c r="L2929" s="1176"/>
      <c r="M2929" s="1176"/>
      <c r="N2929" s="1176"/>
      <c r="O2929" s="1176"/>
      <c r="P2929" s="1176"/>
      <c r="Q2929" s="1176"/>
      <c r="R2929" s="1176"/>
      <c r="S2929" s="1176"/>
      <c r="T2929" s="1176"/>
      <c r="U2929" s="1176"/>
      <c r="V2929" s="1176"/>
      <c r="W2929" s="1176"/>
      <c r="X2929" s="1176"/>
      <c r="Y2929" s="1176"/>
      <c r="Z2929" s="1176"/>
      <c r="AA2929" s="1176"/>
      <c r="AB2929" s="1176"/>
      <c r="AC2929" s="1176"/>
      <c r="AD2929" s="1176"/>
      <c r="AE2929" s="1176"/>
      <c r="AF2929" s="1176"/>
      <c r="AG2929" s="1176"/>
      <c r="AH2929" s="1176"/>
      <c r="AI2929" s="1176"/>
      <c r="AJ2929" s="1176"/>
      <c r="AK2929" s="1176"/>
      <c r="AL2929" s="1176"/>
    </row>
    <row r="2930" spans="1:38" s="466" customFormat="1" ht="18.75" customHeight="1" x14ac:dyDescent="0.4">
      <c r="A2930" s="2401">
        <v>2924</v>
      </c>
      <c r="B2930" s="390" t="s">
        <v>3928</v>
      </c>
      <c r="C2930" s="163" t="s">
        <v>1344</v>
      </c>
      <c r="D2930" s="164" t="s">
        <v>172</v>
      </c>
      <c r="E2930" s="165" t="s">
        <v>4072</v>
      </c>
      <c r="F2930" s="170">
        <v>24564</v>
      </c>
      <c r="G2930" s="1177">
        <v>23617.02</v>
      </c>
      <c r="H2930" s="1780" t="s">
        <v>3892</v>
      </c>
      <c r="I2930" s="2287" t="s">
        <v>25</v>
      </c>
      <c r="K2930" s="1174"/>
      <c r="L2930" s="1176"/>
      <c r="M2930" s="1176"/>
      <c r="N2930" s="1176"/>
      <c r="O2930" s="1176"/>
      <c r="P2930" s="1176"/>
      <c r="Q2930" s="1176"/>
      <c r="R2930" s="1176"/>
      <c r="S2930" s="1176"/>
      <c r="T2930" s="1176"/>
      <c r="U2930" s="1176"/>
      <c r="V2930" s="1176"/>
      <c r="W2930" s="1176"/>
      <c r="X2930" s="1176"/>
      <c r="Y2930" s="1176"/>
      <c r="Z2930" s="1176"/>
      <c r="AA2930" s="1176"/>
      <c r="AB2930" s="1176"/>
      <c r="AC2930" s="1176"/>
      <c r="AD2930" s="1176"/>
      <c r="AE2930" s="1176"/>
      <c r="AF2930" s="1176"/>
      <c r="AG2930" s="1176"/>
      <c r="AH2930" s="1176"/>
      <c r="AI2930" s="1176"/>
      <c r="AJ2930" s="1176"/>
      <c r="AK2930" s="1176"/>
      <c r="AL2930" s="1176"/>
    </row>
    <row r="2931" spans="1:38" s="466" customFormat="1" ht="18.75" customHeight="1" x14ac:dyDescent="0.4">
      <c r="A2931" s="2402">
        <v>2925</v>
      </c>
      <c r="B2931" s="390" t="s">
        <v>3928</v>
      </c>
      <c r="C2931" s="163" t="s">
        <v>1344</v>
      </c>
      <c r="D2931" s="164" t="s">
        <v>172</v>
      </c>
      <c r="E2931" s="165" t="s">
        <v>4073</v>
      </c>
      <c r="F2931" s="170">
        <v>24564</v>
      </c>
      <c r="G2931" s="1177">
        <v>23617.02</v>
      </c>
      <c r="H2931" s="1780" t="s">
        <v>3892</v>
      </c>
      <c r="I2931" s="2287" t="s">
        <v>25</v>
      </c>
      <c r="K2931" s="1174"/>
      <c r="L2931" s="1176"/>
      <c r="M2931" s="1176"/>
      <c r="N2931" s="1176"/>
      <c r="O2931" s="1176"/>
      <c r="P2931" s="1176"/>
      <c r="Q2931" s="1176"/>
      <c r="R2931" s="1176"/>
      <c r="S2931" s="1176"/>
      <c r="T2931" s="1176"/>
      <c r="U2931" s="1176"/>
      <c r="V2931" s="1176"/>
      <c r="W2931" s="1176"/>
      <c r="X2931" s="1176"/>
      <c r="Y2931" s="1176"/>
      <c r="Z2931" s="1176"/>
      <c r="AA2931" s="1176"/>
      <c r="AB2931" s="1176"/>
      <c r="AC2931" s="1176"/>
      <c r="AD2931" s="1176"/>
      <c r="AE2931" s="1176"/>
      <c r="AF2931" s="1176"/>
      <c r="AG2931" s="1176"/>
      <c r="AH2931" s="1176"/>
      <c r="AI2931" s="1176"/>
      <c r="AJ2931" s="1176"/>
      <c r="AK2931" s="1176"/>
      <c r="AL2931" s="1176"/>
    </row>
    <row r="2932" spans="1:38" s="466" customFormat="1" ht="18.75" customHeight="1" x14ac:dyDescent="0.4">
      <c r="A2932" s="2402">
        <v>2926</v>
      </c>
      <c r="B2932" s="390" t="s">
        <v>3928</v>
      </c>
      <c r="C2932" s="163" t="s">
        <v>1344</v>
      </c>
      <c r="D2932" s="164" t="s">
        <v>172</v>
      </c>
      <c r="E2932" s="165" t="s">
        <v>4074</v>
      </c>
      <c r="F2932" s="170">
        <v>24564</v>
      </c>
      <c r="G2932" s="1177">
        <v>23617.02</v>
      </c>
      <c r="H2932" s="1780" t="s">
        <v>3892</v>
      </c>
      <c r="I2932" s="2287" t="s">
        <v>25</v>
      </c>
      <c r="K2932" s="1174"/>
      <c r="L2932" s="1176"/>
      <c r="M2932" s="1176"/>
      <c r="N2932" s="1176"/>
      <c r="O2932" s="1176"/>
      <c r="P2932" s="1176"/>
      <c r="Q2932" s="1176"/>
      <c r="R2932" s="1176"/>
      <c r="S2932" s="1176"/>
      <c r="T2932" s="1176"/>
      <c r="U2932" s="1176"/>
      <c r="V2932" s="1176"/>
      <c r="W2932" s="1176"/>
      <c r="X2932" s="1176"/>
      <c r="Y2932" s="1176"/>
      <c r="Z2932" s="1176"/>
      <c r="AA2932" s="1176"/>
      <c r="AB2932" s="1176"/>
      <c r="AC2932" s="1176"/>
      <c r="AD2932" s="1176"/>
      <c r="AE2932" s="1176"/>
      <c r="AF2932" s="1176"/>
      <c r="AG2932" s="1176"/>
      <c r="AH2932" s="1176"/>
      <c r="AI2932" s="1176"/>
      <c r="AJ2932" s="1176"/>
      <c r="AK2932" s="1176"/>
      <c r="AL2932" s="1176"/>
    </row>
    <row r="2933" spans="1:38" s="466" customFormat="1" ht="18.75" customHeight="1" x14ac:dyDescent="0.4">
      <c r="A2933" s="2402">
        <v>2927</v>
      </c>
      <c r="B2933" s="390" t="s">
        <v>3928</v>
      </c>
      <c r="C2933" s="163" t="s">
        <v>1344</v>
      </c>
      <c r="D2933" s="164" t="s">
        <v>172</v>
      </c>
      <c r="E2933" s="165" t="s">
        <v>4075</v>
      </c>
      <c r="F2933" s="170">
        <v>24564</v>
      </c>
      <c r="G2933" s="1177">
        <v>23617.02</v>
      </c>
      <c r="H2933" s="1780" t="s">
        <v>3892</v>
      </c>
      <c r="I2933" s="2287" t="s">
        <v>25</v>
      </c>
      <c r="K2933" s="1174"/>
      <c r="L2933" s="1176"/>
      <c r="M2933" s="1176"/>
      <c r="N2933" s="1176"/>
      <c r="O2933" s="1176"/>
      <c r="P2933" s="1176"/>
      <c r="Q2933" s="1176"/>
      <c r="R2933" s="1176"/>
      <c r="S2933" s="1176"/>
      <c r="T2933" s="1176"/>
      <c r="U2933" s="1176"/>
      <c r="V2933" s="1176"/>
      <c r="W2933" s="1176"/>
      <c r="X2933" s="1176"/>
      <c r="Y2933" s="1176"/>
      <c r="Z2933" s="1176"/>
      <c r="AA2933" s="1176"/>
      <c r="AB2933" s="1176"/>
      <c r="AC2933" s="1176"/>
      <c r="AD2933" s="1176"/>
      <c r="AE2933" s="1176"/>
      <c r="AF2933" s="1176"/>
      <c r="AG2933" s="1176"/>
      <c r="AH2933" s="1176"/>
      <c r="AI2933" s="1176"/>
      <c r="AJ2933" s="1176"/>
      <c r="AK2933" s="1176"/>
      <c r="AL2933" s="1176"/>
    </row>
    <row r="2934" spans="1:38" s="466" customFormat="1" ht="18.75" customHeight="1" x14ac:dyDescent="0.4">
      <c r="A2934" s="2401">
        <v>2928</v>
      </c>
      <c r="B2934" s="390" t="s">
        <v>3928</v>
      </c>
      <c r="C2934" s="163" t="s">
        <v>1344</v>
      </c>
      <c r="D2934" s="164" t="s">
        <v>172</v>
      </c>
      <c r="E2934" s="165" t="s">
        <v>4076</v>
      </c>
      <c r="F2934" s="170">
        <v>24564</v>
      </c>
      <c r="G2934" s="1177">
        <v>23617.02</v>
      </c>
      <c r="H2934" s="1780" t="s">
        <v>3892</v>
      </c>
      <c r="I2934" s="2287" t="s">
        <v>25</v>
      </c>
      <c r="K2934" s="1174"/>
      <c r="L2934" s="1176"/>
      <c r="M2934" s="1176"/>
      <c r="N2934" s="1176"/>
      <c r="O2934" s="1176"/>
      <c r="P2934" s="1176"/>
      <c r="Q2934" s="1176"/>
      <c r="R2934" s="1176"/>
      <c r="S2934" s="1176"/>
      <c r="T2934" s="1176"/>
      <c r="U2934" s="1176"/>
      <c r="V2934" s="1176"/>
      <c r="W2934" s="1176"/>
      <c r="X2934" s="1176"/>
      <c r="Y2934" s="1176"/>
      <c r="Z2934" s="1176"/>
      <c r="AA2934" s="1176"/>
      <c r="AB2934" s="1176"/>
      <c r="AC2934" s="1176"/>
      <c r="AD2934" s="1176"/>
      <c r="AE2934" s="1176"/>
      <c r="AF2934" s="1176"/>
      <c r="AG2934" s="1176"/>
      <c r="AH2934" s="1176"/>
      <c r="AI2934" s="1176"/>
      <c r="AJ2934" s="1176"/>
      <c r="AK2934" s="1176"/>
      <c r="AL2934" s="1176"/>
    </row>
    <row r="2935" spans="1:38" s="466" customFormat="1" ht="18.75" customHeight="1" x14ac:dyDescent="0.4">
      <c r="A2935" s="2402">
        <v>2929</v>
      </c>
      <c r="B2935" s="390" t="s">
        <v>3928</v>
      </c>
      <c r="C2935" s="163" t="s">
        <v>1344</v>
      </c>
      <c r="D2935" s="164" t="s">
        <v>172</v>
      </c>
      <c r="E2935" s="165" t="s">
        <v>4077</v>
      </c>
      <c r="F2935" s="170">
        <v>24564</v>
      </c>
      <c r="G2935" s="1177">
        <v>23617.02</v>
      </c>
      <c r="H2935" s="1780" t="s">
        <v>3892</v>
      </c>
      <c r="I2935" s="2287" t="s">
        <v>25</v>
      </c>
      <c r="K2935" s="1174"/>
      <c r="L2935" s="1176"/>
      <c r="M2935" s="1176"/>
      <c r="N2935" s="1176"/>
      <c r="O2935" s="1176"/>
      <c r="P2935" s="1176"/>
      <c r="Q2935" s="1176"/>
      <c r="R2935" s="1176"/>
      <c r="S2935" s="1176"/>
      <c r="T2935" s="1176"/>
      <c r="U2935" s="1176"/>
      <c r="V2935" s="1176"/>
      <c r="W2935" s="1176"/>
      <c r="X2935" s="1176"/>
      <c r="Y2935" s="1176"/>
      <c r="Z2935" s="1176"/>
      <c r="AA2935" s="1176"/>
      <c r="AB2935" s="1176"/>
      <c r="AC2935" s="1176"/>
      <c r="AD2935" s="1176"/>
      <c r="AE2935" s="1176"/>
      <c r="AF2935" s="1176"/>
      <c r="AG2935" s="1176"/>
      <c r="AH2935" s="1176"/>
      <c r="AI2935" s="1176"/>
      <c r="AJ2935" s="1176"/>
      <c r="AK2935" s="1176"/>
      <c r="AL2935" s="1176"/>
    </row>
    <row r="2936" spans="1:38" s="466" customFormat="1" ht="18.75" customHeight="1" x14ac:dyDescent="0.4">
      <c r="A2936" s="2402">
        <v>2930</v>
      </c>
      <c r="B2936" s="390" t="s">
        <v>3928</v>
      </c>
      <c r="C2936" s="163" t="s">
        <v>1344</v>
      </c>
      <c r="D2936" s="164" t="s">
        <v>172</v>
      </c>
      <c r="E2936" s="165" t="s">
        <v>4078</v>
      </c>
      <c r="F2936" s="170">
        <v>24564</v>
      </c>
      <c r="G2936" s="1177">
        <v>23617.02</v>
      </c>
      <c r="H2936" s="1780" t="s">
        <v>3892</v>
      </c>
      <c r="I2936" s="2287" t="s">
        <v>25</v>
      </c>
      <c r="K2936" s="1174"/>
      <c r="L2936" s="1176"/>
      <c r="M2936" s="1176"/>
      <c r="N2936" s="1176"/>
      <c r="O2936" s="1176"/>
      <c r="P2936" s="1176"/>
      <c r="Q2936" s="1176"/>
      <c r="R2936" s="1176"/>
      <c r="S2936" s="1176"/>
      <c r="T2936" s="1176"/>
      <c r="U2936" s="1176"/>
      <c r="V2936" s="1176"/>
      <c r="W2936" s="1176"/>
      <c r="X2936" s="1176"/>
      <c r="Y2936" s="1176"/>
      <c r="Z2936" s="1176"/>
      <c r="AA2936" s="1176"/>
      <c r="AB2936" s="1176"/>
      <c r="AC2936" s="1176"/>
      <c r="AD2936" s="1176"/>
      <c r="AE2936" s="1176"/>
      <c r="AF2936" s="1176"/>
      <c r="AG2936" s="1176"/>
      <c r="AH2936" s="1176"/>
      <c r="AI2936" s="1176"/>
      <c r="AJ2936" s="1176"/>
      <c r="AK2936" s="1176"/>
      <c r="AL2936" s="1176"/>
    </row>
    <row r="2937" spans="1:38" s="466" customFormat="1" ht="18.75" customHeight="1" x14ac:dyDescent="0.4">
      <c r="A2937" s="2402">
        <v>2931</v>
      </c>
      <c r="B2937" s="390" t="s">
        <v>3928</v>
      </c>
      <c r="C2937" s="163" t="s">
        <v>1344</v>
      </c>
      <c r="D2937" s="164" t="s">
        <v>172</v>
      </c>
      <c r="E2937" s="165" t="s">
        <v>4079</v>
      </c>
      <c r="F2937" s="170">
        <v>24564</v>
      </c>
      <c r="G2937" s="1177">
        <v>23617.02</v>
      </c>
      <c r="H2937" s="1780" t="s">
        <v>3892</v>
      </c>
      <c r="I2937" s="2287" t="s">
        <v>25</v>
      </c>
      <c r="K2937" s="1174"/>
      <c r="L2937" s="1176"/>
      <c r="M2937" s="1176"/>
      <c r="N2937" s="1176"/>
      <c r="O2937" s="1176"/>
      <c r="P2937" s="1176"/>
      <c r="Q2937" s="1176"/>
      <c r="R2937" s="1176"/>
      <c r="S2937" s="1176"/>
      <c r="T2937" s="1176"/>
      <c r="U2937" s="1176"/>
      <c r="V2937" s="1176"/>
      <c r="W2937" s="1176"/>
      <c r="X2937" s="1176"/>
      <c r="Y2937" s="1176"/>
      <c r="Z2937" s="1176"/>
      <c r="AA2937" s="1176"/>
      <c r="AB2937" s="1176"/>
      <c r="AC2937" s="1176"/>
      <c r="AD2937" s="1176"/>
      <c r="AE2937" s="1176"/>
      <c r="AF2937" s="1176"/>
      <c r="AG2937" s="1176"/>
      <c r="AH2937" s="1176"/>
      <c r="AI2937" s="1176"/>
      <c r="AJ2937" s="1176"/>
      <c r="AK2937" s="1176"/>
      <c r="AL2937" s="1176"/>
    </row>
    <row r="2938" spans="1:38" s="466" customFormat="1" ht="18.75" customHeight="1" x14ac:dyDescent="0.4">
      <c r="A2938" s="2402">
        <v>2932</v>
      </c>
      <c r="B2938" s="390" t="s">
        <v>3928</v>
      </c>
      <c r="C2938" s="163" t="s">
        <v>1344</v>
      </c>
      <c r="D2938" s="164" t="s">
        <v>172</v>
      </c>
      <c r="E2938" s="165" t="s">
        <v>4080</v>
      </c>
      <c r="F2938" s="170">
        <v>24564</v>
      </c>
      <c r="G2938" s="1177">
        <v>23617.02</v>
      </c>
      <c r="H2938" s="1780" t="s">
        <v>3892</v>
      </c>
      <c r="I2938" s="2287" t="s">
        <v>25</v>
      </c>
      <c r="K2938" s="1174"/>
      <c r="L2938" s="1176"/>
      <c r="M2938" s="1176"/>
      <c r="N2938" s="1176"/>
      <c r="O2938" s="1176"/>
      <c r="P2938" s="1176"/>
      <c r="Q2938" s="1176"/>
      <c r="R2938" s="1176"/>
      <c r="S2938" s="1176"/>
      <c r="T2938" s="1176"/>
      <c r="U2938" s="1176"/>
      <c r="V2938" s="1176"/>
      <c r="W2938" s="1176"/>
      <c r="X2938" s="1176"/>
      <c r="Y2938" s="1176"/>
      <c r="Z2938" s="1176"/>
      <c r="AA2938" s="1176"/>
      <c r="AB2938" s="1176"/>
      <c r="AC2938" s="1176"/>
      <c r="AD2938" s="1176"/>
      <c r="AE2938" s="1176"/>
      <c r="AF2938" s="1176"/>
      <c r="AG2938" s="1176"/>
      <c r="AH2938" s="1176"/>
      <c r="AI2938" s="1176"/>
      <c r="AJ2938" s="1176"/>
      <c r="AK2938" s="1176"/>
      <c r="AL2938" s="1176"/>
    </row>
    <row r="2939" spans="1:38" s="466" customFormat="1" ht="18.75" customHeight="1" x14ac:dyDescent="0.4">
      <c r="A2939" s="2401">
        <v>2933</v>
      </c>
      <c r="B2939" s="390" t="s">
        <v>3928</v>
      </c>
      <c r="C2939" s="163" t="s">
        <v>1344</v>
      </c>
      <c r="D2939" s="164" t="s">
        <v>172</v>
      </c>
      <c r="E2939" s="165" t="s">
        <v>4081</v>
      </c>
      <c r="F2939" s="170">
        <v>24564</v>
      </c>
      <c r="G2939" s="1177">
        <v>23617.02</v>
      </c>
      <c r="H2939" s="1780" t="s">
        <v>3892</v>
      </c>
      <c r="I2939" s="2287" t="s">
        <v>25</v>
      </c>
      <c r="K2939" s="1174"/>
      <c r="L2939" s="1176"/>
      <c r="M2939" s="1176"/>
      <c r="N2939" s="1176"/>
      <c r="O2939" s="1176"/>
      <c r="P2939" s="1176"/>
      <c r="Q2939" s="1176"/>
      <c r="R2939" s="1176"/>
      <c r="S2939" s="1176"/>
      <c r="T2939" s="1176"/>
      <c r="U2939" s="1176"/>
      <c r="V2939" s="1176"/>
      <c r="W2939" s="1176"/>
      <c r="X2939" s="1176"/>
      <c r="Y2939" s="1176"/>
      <c r="Z2939" s="1176"/>
      <c r="AA2939" s="1176"/>
      <c r="AB2939" s="1176"/>
      <c r="AC2939" s="1176"/>
      <c r="AD2939" s="1176"/>
      <c r="AE2939" s="1176"/>
      <c r="AF2939" s="1176"/>
      <c r="AG2939" s="1176"/>
      <c r="AH2939" s="1176"/>
      <c r="AI2939" s="1176"/>
      <c r="AJ2939" s="1176"/>
      <c r="AK2939" s="1176"/>
      <c r="AL2939" s="1176"/>
    </row>
    <row r="2940" spans="1:38" s="466" customFormat="1" ht="18.75" customHeight="1" x14ac:dyDescent="0.4">
      <c r="A2940" s="2402">
        <v>2934</v>
      </c>
      <c r="B2940" s="390" t="s">
        <v>3928</v>
      </c>
      <c r="C2940" s="163" t="s">
        <v>1344</v>
      </c>
      <c r="D2940" s="164" t="s">
        <v>172</v>
      </c>
      <c r="E2940" s="165" t="s">
        <v>4082</v>
      </c>
      <c r="F2940" s="170">
        <v>24564</v>
      </c>
      <c r="G2940" s="1177">
        <v>23617.02</v>
      </c>
      <c r="H2940" s="1780" t="s">
        <v>3892</v>
      </c>
      <c r="I2940" s="2287" t="s">
        <v>25</v>
      </c>
      <c r="K2940" s="1174"/>
      <c r="L2940" s="1176"/>
      <c r="M2940" s="1176"/>
      <c r="N2940" s="1176"/>
      <c r="O2940" s="1176"/>
      <c r="P2940" s="1176"/>
      <c r="Q2940" s="1176"/>
      <c r="R2940" s="1176"/>
      <c r="S2940" s="1176"/>
      <c r="T2940" s="1176"/>
      <c r="U2940" s="1176"/>
      <c r="V2940" s="1176"/>
      <c r="W2940" s="1176"/>
      <c r="X2940" s="1176"/>
      <c r="Y2940" s="1176"/>
      <c r="Z2940" s="1176"/>
      <c r="AA2940" s="1176"/>
      <c r="AB2940" s="1176"/>
      <c r="AC2940" s="1176"/>
      <c r="AD2940" s="1176"/>
      <c r="AE2940" s="1176"/>
      <c r="AF2940" s="1176"/>
      <c r="AG2940" s="1176"/>
      <c r="AH2940" s="1176"/>
      <c r="AI2940" s="1176"/>
      <c r="AJ2940" s="1176"/>
      <c r="AK2940" s="1176"/>
      <c r="AL2940" s="1176"/>
    </row>
    <row r="2941" spans="1:38" s="466" customFormat="1" ht="18.75" customHeight="1" x14ac:dyDescent="0.4">
      <c r="A2941" s="2402">
        <v>2935</v>
      </c>
      <c r="B2941" s="390" t="s">
        <v>3928</v>
      </c>
      <c r="C2941" s="163" t="s">
        <v>1344</v>
      </c>
      <c r="D2941" s="164" t="s">
        <v>172</v>
      </c>
      <c r="E2941" s="165" t="s">
        <v>4083</v>
      </c>
      <c r="F2941" s="170">
        <v>24564</v>
      </c>
      <c r="G2941" s="1177">
        <v>23617.02</v>
      </c>
      <c r="H2941" s="1780" t="s">
        <v>3892</v>
      </c>
      <c r="I2941" s="2287" t="s">
        <v>25</v>
      </c>
      <c r="K2941" s="1174"/>
      <c r="L2941" s="1176"/>
      <c r="M2941" s="1176"/>
      <c r="N2941" s="1176"/>
      <c r="O2941" s="1176"/>
      <c r="P2941" s="1176"/>
      <c r="Q2941" s="1176"/>
      <c r="R2941" s="1176"/>
      <c r="S2941" s="1176"/>
      <c r="T2941" s="1176"/>
      <c r="U2941" s="1176"/>
      <c r="V2941" s="1176"/>
      <c r="W2941" s="1176"/>
      <c r="X2941" s="1176"/>
      <c r="Y2941" s="1176"/>
      <c r="Z2941" s="1176"/>
      <c r="AA2941" s="1176"/>
      <c r="AB2941" s="1176"/>
      <c r="AC2941" s="1176"/>
      <c r="AD2941" s="1176"/>
      <c r="AE2941" s="1176"/>
      <c r="AF2941" s="1176"/>
      <c r="AG2941" s="1176"/>
      <c r="AH2941" s="1176"/>
      <c r="AI2941" s="1176"/>
      <c r="AJ2941" s="1176"/>
      <c r="AK2941" s="1176"/>
      <c r="AL2941" s="1176"/>
    </row>
    <row r="2942" spans="1:38" s="466" customFormat="1" ht="18.75" customHeight="1" x14ac:dyDescent="0.4">
      <c r="A2942" s="2402">
        <v>2936</v>
      </c>
      <c r="B2942" s="390" t="s">
        <v>3928</v>
      </c>
      <c r="C2942" s="163" t="s">
        <v>1344</v>
      </c>
      <c r="D2942" s="164" t="s">
        <v>172</v>
      </c>
      <c r="E2942" s="165" t="s">
        <v>4084</v>
      </c>
      <c r="F2942" s="170">
        <v>24564</v>
      </c>
      <c r="G2942" s="1177">
        <v>23617.02</v>
      </c>
      <c r="H2942" s="1780" t="s">
        <v>3892</v>
      </c>
      <c r="I2942" s="2287" t="s">
        <v>25</v>
      </c>
      <c r="K2942" s="1174"/>
      <c r="L2942" s="1176"/>
      <c r="M2942" s="1176"/>
      <c r="N2942" s="1176"/>
      <c r="O2942" s="1176"/>
      <c r="P2942" s="1176"/>
      <c r="Q2942" s="1176"/>
      <c r="R2942" s="1176"/>
      <c r="S2942" s="1176"/>
      <c r="T2942" s="1176"/>
      <c r="U2942" s="1176"/>
      <c r="V2942" s="1176"/>
      <c r="W2942" s="1176"/>
      <c r="X2942" s="1176"/>
      <c r="Y2942" s="1176"/>
      <c r="Z2942" s="1176"/>
      <c r="AA2942" s="1176"/>
      <c r="AB2942" s="1176"/>
      <c r="AC2942" s="1176"/>
      <c r="AD2942" s="1176"/>
      <c r="AE2942" s="1176"/>
      <c r="AF2942" s="1176"/>
      <c r="AG2942" s="1176"/>
      <c r="AH2942" s="1176"/>
      <c r="AI2942" s="1176"/>
      <c r="AJ2942" s="1176"/>
      <c r="AK2942" s="1176"/>
      <c r="AL2942" s="1176"/>
    </row>
    <row r="2943" spans="1:38" s="466" customFormat="1" ht="18.75" customHeight="1" x14ac:dyDescent="0.4">
      <c r="A2943" s="2401">
        <v>2937</v>
      </c>
      <c r="B2943" s="390" t="s">
        <v>3928</v>
      </c>
      <c r="C2943" s="163" t="s">
        <v>1344</v>
      </c>
      <c r="D2943" s="164" t="s">
        <v>172</v>
      </c>
      <c r="E2943" s="165" t="s">
        <v>4085</v>
      </c>
      <c r="F2943" s="170">
        <v>24564</v>
      </c>
      <c r="G2943" s="1177">
        <v>23617.02</v>
      </c>
      <c r="H2943" s="1780" t="s">
        <v>3892</v>
      </c>
      <c r="I2943" s="2287" t="s">
        <v>25</v>
      </c>
      <c r="K2943" s="1174"/>
      <c r="L2943" s="1176"/>
      <c r="M2943" s="1176"/>
      <c r="N2943" s="1176"/>
      <c r="O2943" s="1176"/>
      <c r="P2943" s="1176"/>
      <c r="Q2943" s="1176"/>
      <c r="R2943" s="1176"/>
      <c r="S2943" s="1176"/>
      <c r="T2943" s="1176"/>
      <c r="U2943" s="1176"/>
      <c r="V2943" s="1176"/>
      <c r="W2943" s="1176"/>
      <c r="X2943" s="1176"/>
      <c r="Y2943" s="1176"/>
      <c r="Z2943" s="1176"/>
      <c r="AA2943" s="1176"/>
      <c r="AB2943" s="1176"/>
      <c r="AC2943" s="1176"/>
      <c r="AD2943" s="1176"/>
      <c r="AE2943" s="1176"/>
      <c r="AF2943" s="1176"/>
      <c r="AG2943" s="1176"/>
      <c r="AH2943" s="1176"/>
      <c r="AI2943" s="1176"/>
      <c r="AJ2943" s="1176"/>
      <c r="AK2943" s="1176"/>
      <c r="AL2943" s="1176"/>
    </row>
    <row r="2944" spans="1:38" s="466" customFormat="1" ht="18.75" customHeight="1" x14ac:dyDescent="0.4">
      <c r="A2944" s="2402">
        <v>2938</v>
      </c>
      <c r="B2944" s="390" t="s">
        <v>3928</v>
      </c>
      <c r="C2944" s="163" t="s">
        <v>1344</v>
      </c>
      <c r="D2944" s="164" t="s">
        <v>172</v>
      </c>
      <c r="E2944" s="165" t="s">
        <v>4086</v>
      </c>
      <c r="F2944" s="170">
        <v>24564</v>
      </c>
      <c r="G2944" s="1177">
        <v>23617.02</v>
      </c>
      <c r="H2944" s="1780" t="s">
        <v>3892</v>
      </c>
      <c r="I2944" s="2287" t="s">
        <v>25</v>
      </c>
      <c r="K2944" s="1174"/>
      <c r="L2944" s="1176"/>
      <c r="M2944" s="1176"/>
      <c r="N2944" s="1176"/>
      <c r="O2944" s="1176"/>
      <c r="P2944" s="1176"/>
      <c r="Q2944" s="1176"/>
      <c r="R2944" s="1176"/>
      <c r="S2944" s="1176"/>
      <c r="T2944" s="1176"/>
      <c r="U2944" s="1176"/>
      <c r="V2944" s="1176"/>
      <c r="W2944" s="1176"/>
      <c r="X2944" s="1176"/>
      <c r="Y2944" s="1176"/>
      <c r="Z2944" s="1176"/>
      <c r="AA2944" s="1176"/>
      <c r="AB2944" s="1176"/>
      <c r="AC2944" s="1176"/>
      <c r="AD2944" s="1176"/>
      <c r="AE2944" s="1176"/>
      <c r="AF2944" s="1176"/>
      <c r="AG2944" s="1176"/>
      <c r="AH2944" s="1176"/>
      <c r="AI2944" s="1176"/>
      <c r="AJ2944" s="1176"/>
      <c r="AK2944" s="1176"/>
      <c r="AL2944" s="1176"/>
    </row>
    <row r="2945" spans="1:38" s="466" customFormat="1" ht="18.75" customHeight="1" x14ac:dyDescent="0.4">
      <c r="A2945" s="2402">
        <v>2939</v>
      </c>
      <c r="B2945" s="390" t="s">
        <v>3928</v>
      </c>
      <c r="C2945" s="163" t="s">
        <v>1344</v>
      </c>
      <c r="D2945" s="164" t="s">
        <v>172</v>
      </c>
      <c r="E2945" s="165" t="s">
        <v>4087</v>
      </c>
      <c r="F2945" s="170">
        <v>24564</v>
      </c>
      <c r="G2945" s="1177">
        <v>23617.02</v>
      </c>
      <c r="H2945" s="1780" t="s">
        <v>3892</v>
      </c>
      <c r="I2945" s="2287" t="s">
        <v>25</v>
      </c>
      <c r="K2945" s="1174"/>
      <c r="L2945" s="1176"/>
      <c r="M2945" s="1176"/>
      <c r="N2945" s="1176"/>
      <c r="O2945" s="1176"/>
      <c r="P2945" s="1176"/>
      <c r="Q2945" s="1176"/>
      <c r="R2945" s="1176"/>
      <c r="S2945" s="1176"/>
      <c r="T2945" s="1176"/>
      <c r="U2945" s="1176"/>
      <c r="V2945" s="1176"/>
      <c r="W2945" s="1176"/>
      <c r="X2945" s="1176"/>
      <c r="Y2945" s="1176"/>
      <c r="Z2945" s="1176"/>
      <c r="AA2945" s="1176"/>
      <c r="AB2945" s="1176"/>
      <c r="AC2945" s="1176"/>
      <c r="AD2945" s="1176"/>
      <c r="AE2945" s="1176"/>
      <c r="AF2945" s="1176"/>
      <c r="AG2945" s="1176"/>
      <c r="AH2945" s="1176"/>
      <c r="AI2945" s="1176"/>
      <c r="AJ2945" s="1176"/>
      <c r="AK2945" s="1176"/>
      <c r="AL2945" s="1176"/>
    </row>
    <row r="2946" spans="1:38" s="466" customFormat="1" ht="18.75" customHeight="1" x14ac:dyDescent="0.4">
      <c r="A2946" s="2402">
        <v>2940</v>
      </c>
      <c r="B2946" s="390" t="s">
        <v>3928</v>
      </c>
      <c r="C2946" s="163" t="s">
        <v>1344</v>
      </c>
      <c r="D2946" s="164" t="s">
        <v>172</v>
      </c>
      <c r="E2946" s="165" t="s">
        <v>4088</v>
      </c>
      <c r="F2946" s="170">
        <v>24564</v>
      </c>
      <c r="G2946" s="1177">
        <v>23617.02</v>
      </c>
      <c r="H2946" s="1780" t="s">
        <v>3892</v>
      </c>
      <c r="I2946" s="2287" t="s">
        <v>25</v>
      </c>
      <c r="K2946" s="1174"/>
      <c r="L2946" s="1176"/>
      <c r="M2946" s="1176"/>
      <c r="N2946" s="1176"/>
      <c r="O2946" s="1176"/>
      <c r="P2946" s="1176"/>
      <c r="Q2946" s="1176"/>
      <c r="R2946" s="1176"/>
      <c r="S2946" s="1176"/>
      <c r="T2946" s="1176"/>
      <c r="U2946" s="1176"/>
      <c r="V2946" s="1176"/>
      <c r="W2946" s="1176"/>
      <c r="X2946" s="1176"/>
      <c r="Y2946" s="1176"/>
      <c r="Z2946" s="1176"/>
      <c r="AA2946" s="1176"/>
      <c r="AB2946" s="1176"/>
      <c r="AC2946" s="1176"/>
      <c r="AD2946" s="1176"/>
      <c r="AE2946" s="1176"/>
      <c r="AF2946" s="1176"/>
      <c r="AG2946" s="1176"/>
      <c r="AH2946" s="1176"/>
      <c r="AI2946" s="1176"/>
      <c r="AJ2946" s="1176"/>
      <c r="AK2946" s="1176"/>
      <c r="AL2946" s="1176"/>
    </row>
    <row r="2947" spans="1:38" s="466" customFormat="1" ht="18.75" customHeight="1" x14ac:dyDescent="0.4">
      <c r="A2947" s="2402">
        <v>2941</v>
      </c>
      <c r="B2947" s="390" t="s">
        <v>3928</v>
      </c>
      <c r="C2947" s="163" t="s">
        <v>1344</v>
      </c>
      <c r="D2947" s="164" t="s">
        <v>172</v>
      </c>
      <c r="E2947" s="165" t="s">
        <v>4089</v>
      </c>
      <c r="F2947" s="170">
        <v>24564</v>
      </c>
      <c r="G2947" s="1177">
        <v>23617.02</v>
      </c>
      <c r="H2947" s="1780" t="s">
        <v>3892</v>
      </c>
      <c r="I2947" s="2287" t="s">
        <v>25</v>
      </c>
      <c r="K2947" s="1174"/>
      <c r="L2947" s="1176"/>
      <c r="M2947" s="1176"/>
      <c r="N2947" s="1176"/>
      <c r="O2947" s="1176"/>
      <c r="P2947" s="1176"/>
      <c r="Q2947" s="1176"/>
      <c r="R2947" s="1176"/>
      <c r="S2947" s="1176"/>
      <c r="T2947" s="1176"/>
      <c r="U2947" s="1176"/>
      <c r="V2947" s="1176"/>
      <c r="W2947" s="1176"/>
      <c r="X2947" s="1176"/>
      <c r="Y2947" s="1176"/>
      <c r="Z2947" s="1176"/>
      <c r="AA2947" s="1176"/>
      <c r="AB2947" s="1176"/>
      <c r="AC2947" s="1176"/>
      <c r="AD2947" s="1176"/>
      <c r="AE2947" s="1176"/>
      <c r="AF2947" s="1176"/>
      <c r="AG2947" s="1176"/>
      <c r="AH2947" s="1176"/>
      <c r="AI2947" s="1176"/>
      <c r="AJ2947" s="1176"/>
      <c r="AK2947" s="1176"/>
      <c r="AL2947" s="1176"/>
    </row>
    <row r="2948" spans="1:38" s="466" customFormat="1" ht="18.75" customHeight="1" x14ac:dyDescent="0.4">
      <c r="A2948" s="2401">
        <v>2942</v>
      </c>
      <c r="B2948" s="390" t="s">
        <v>3928</v>
      </c>
      <c r="C2948" s="163" t="s">
        <v>1344</v>
      </c>
      <c r="D2948" s="164" t="s">
        <v>172</v>
      </c>
      <c r="E2948" s="165" t="s">
        <v>4090</v>
      </c>
      <c r="F2948" s="170">
        <v>24564</v>
      </c>
      <c r="G2948" s="1177">
        <v>23617.02</v>
      </c>
      <c r="H2948" s="1780" t="s">
        <v>3892</v>
      </c>
      <c r="I2948" s="2287" t="s">
        <v>25</v>
      </c>
      <c r="K2948" s="1174"/>
      <c r="L2948" s="1176"/>
      <c r="M2948" s="1176"/>
      <c r="N2948" s="1176"/>
      <c r="O2948" s="1176"/>
      <c r="P2948" s="1176"/>
      <c r="Q2948" s="1176"/>
      <c r="R2948" s="1176"/>
      <c r="S2948" s="1176"/>
      <c r="T2948" s="1176"/>
      <c r="U2948" s="1176"/>
      <c r="V2948" s="1176"/>
      <c r="W2948" s="1176"/>
      <c r="X2948" s="1176"/>
      <c r="Y2948" s="1176"/>
      <c r="Z2948" s="1176"/>
      <c r="AA2948" s="1176"/>
      <c r="AB2948" s="1176"/>
      <c r="AC2948" s="1176"/>
      <c r="AD2948" s="1176"/>
      <c r="AE2948" s="1176"/>
      <c r="AF2948" s="1176"/>
      <c r="AG2948" s="1176"/>
      <c r="AH2948" s="1176"/>
      <c r="AI2948" s="1176"/>
      <c r="AJ2948" s="1176"/>
      <c r="AK2948" s="1176"/>
      <c r="AL2948" s="1176"/>
    </row>
    <row r="2949" spans="1:38" s="466" customFormat="1" ht="18.75" customHeight="1" x14ac:dyDescent="0.4">
      <c r="A2949" s="2402">
        <v>2943</v>
      </c>
      <c r="B2949" s="390" t="s">
        <v>3928</v>
      </c>
      <c r="C2949" s="163" t="s">
        <v>1344</v>
      </c>
      <c r="D2949" s="164" t="s">
        <v>172</v>
      </c>
      <c r="E2949" s="165" t="s">
        <v>4091</v>
      </c>
      <c r="F2949" s="170">
        <v>24564</v>
      </c>
      <c r="G2949" s="1177">
        <v>23617.02</v>
      </c>
      <c r="H2949" s="1780" t="s">
        <v>3892</v>
      </c>
      <c r="I2949" s="2287" t="s">
        <v>25</v>
      </c>
      <c r="K2949" s="1174"/>
      <c r="L2949" s="1176"/>
      <c r="M2949" s="1176"/>
      <c r="N2949" s="1176"/>
      <c r="O2949" s="1176"/>
      <c r="P2949" s="1176"/>
      <c r="Q2949" s="1176"/>
      <c r="R2949" s="1176"/>
      <c r="S2949" s="1176"/>
      <c r="T2949" s="1176"/>
      <c r="U2949" s="1176"/>
      <c r="V2949" s="1176"/>
      <c r="W2949" s="1176"/>
      <c r="X2949" s="1176"/>
      <c r="Y2949" s="1176"/>
      <c r="Z2949" s="1176"/>
      <c r="AA2949" s="1176"/>
      <c r="AB2949" s="1176"/>
      <c r="AC2949" s="1176"/>
      <c r="AD2949" s="1176"/>
      <c r="AE2949" s="1176"/>
      <c r="AF2949" s="1176"/>
      <c r="AG2949" s="1176"/>
      <c r="AH2949" s="1176"/>
      <c r="AI2949" s="1176"/>
      <c r="AJ2949" s="1176"/>
      <c r="AK2949" s="1176"/>
      <c r="AL2949" s="1176"/>
    </row>
    <row r="2950" spans="1:38" s="466" customFormat="1" ht="18.75" customHeight="1" x14ac:dyDescent="0.4">
      <c r="A2950" s="2402">
        <v>2944</v>
      </c>
      <c r="B2950" s="390" t="s">
        <v>3928</v>
      </c>
      <c r="C2950" s="163" t="s">
        <v>1344</v>
      </c>
      <c r="D2950" s="164" t="s">
        <v>172</v>
      </c>
      <c r="E2950" s="165" t="s">
        <v>4092</v>
      </c>
      <c r="F2950" s="170">
        <v>24564</v>
      </c>
      <c r="G2950" s="1177">
        <v>23617.02</v>
      </c>
      <c r="H2950" s="1780" t="s">
        <v>3892</v>
      </c>
      <c r="I2950" s="2287" t="s">
        <v>25</v>
      </c>
      <c r="K2950" s="1174"/>
      <c r="L2950" s="1176"/>
      <c r="M2950" s="1176"/>
      <c r="N2950" s="1176"/>
      <c r="O2950" s="1176"/>
      <c r="P2950" s="1176"/>
      <c r="Q2950" s="1176"/>
      <c r="R2950" s="1176"/>
      <c r="S2950" s="1176"/>
      <c r="T2950" s="1176"/>
      <c r="U2950" s="1176"/>
      <c r="V2950" s="1176"/>
      <c r="W2950" s="1176"/>
      <c r="X2950" s="1176"/>
      <c r="Y2950" s="1176"/>
      <c r="Z2950" s="1176"/>
      <c r="AA2950" s="1176"/>
      <c r="AB2950" s="1176"/>
      <c r="AC2950" s="1176"/>
      <c r="AD2950" s="1176"/>
      <c r="AE2950" s="1176"/>
      <c r="AF2950" s="1176"/>
      <c r="AG2950" s="1176"/>
      <c r="AH2950" s="1176"/>
      <c r="AI2950" s="1176"/>
      <c r="AJ2950" s="1176"/>
      <c r="AK2950" s="1176"/>
      <c r="AL2950" s="1176"/>
    </row>
    <row r="2951" spans="1:38" s="466" customFormat="1" ht="18.75" customHeight="1" x14ac:dyDescent="0.4">
      <c r="A2951" s="2402">
        <v>2945</v>
      </c>
      <c r="B2951" s="390" t="s">
        <v>3928</v>
      </c>
      <c r="C2951" s="163" t="s">
        <v>1344</v>
      </c>
      <c r="D2951" s="164" t="s">
        <v>172</v>
      </c>
      <c r="E2951" s="165" t="s">
        <v>4093</v>
      </c>
      <c r="F2951" s="170">
        <v>24564</v>
      </c>
      <c r="G2951" s="1177">
        <v>23617.02</v>
      </c>
      <c r="H2951" s="1780" t="s">
        <v>3892</v>
      </c>
      <c r="I2951" s="2287" t="s">
        <v>25</v>
      </c>
      <c r="K2951" s="1174"/>
      <c r="L2951" s="1176"/>
      <c r="M2951" s="1176"/>
      <c r="N2951" s="1176"/>
      <c r="O2951" s="1176"/>
      <c r="P2951" s="1176"/>
      <c r="Q2951" s="1176"/>
      <c r="R2951" s="1176"/>
      <c r="S2951" s="1176"/>
      <c r="T2951" s="1176"/>
      <c r="U2951" s="1176"/>
      <c r="V2951" s="1176"/>
      <c r="W2951" s="1176"/>
      <c r="X2951" s="1176"/>
      <c r="Y2951" s="1176"/>
      <c r="Z2951" s="1176"/>
      <c r="AA2951" s="1176"/>
      <c r="AB2951" s="1176"/>
      <c r="AC2951" s="1176"/>
      <c r="AD2951" s="1176"/>
      <c r="AE2951" s="1176"/>
      <c r="AF2951" s="1176"/>
      <c r="AG2951" s="1176"/>
      <c r="AH2951" s="1176"/>
      <c r="AI2951" s="1176"/>
      <c r="AJ2951" s="1176"/>
      <c r="AK2951" s="1176"/>
      <c r="AL2951" s="1176"/>
    </row>
    <row r="2952" spans="1:38" s="466" customFormat="1" ht="18.75" customHeight="1" x14ac:dyDescent="0.4">
      <c r="A2952" s="2401">
        <v>2946</v>
      </c>
      <c r="B2952" s="390" t="s">
        <v>3928</v>
      </c>
      <c r="C2952" s="163" t="s">
        <v>1344</v>
      </c>
      <c r="D2952" s="164" t="s">
        <v>172</v>
      </c>
      <c r="E2952" s="165" t="s">
        <v>4094</v>
      </c>
      <c r="F2952" s="170">
        <v>24564</v>
      </c>
      <c r="G2952" s="1177">
        <v>23617.02</v>
      </c>
      <c r="H2952" s="1780" t="s">
        <v>3892</v>
      </c>
      <c r="I2952" s="2287" t="s">
        <v>25</v>
      </c>
      <c r="K2952" s="1174"/>
      <c r="L2952" s="1176"/>
      <c r="M2952" s="1176"/>
      <c r="N2952" s="1176"/>
      <c r="O2952" s="1176"/>
      <c r="P2952" s="1176"/>
      <c r="Q2952" s="1176"/>
      <c r="R2952" s="1176"/>
      <c r="S2952" s="1176"/>
      <c r="T2952" s="1176"/>
      <c r="U2952" s="1176"/>
      <c r="V2952" s="1176"/>
      <c r="W2952" s="1176"/>
      <c r="X2952" s="1176"/>
      <c r="Y2952" s="1176"/>
      <c r="Z2952" s="1176"/>
      <c r="AA2952" s="1176"/>
      <c r="AB2952" s="1176"/>
      <c r="AC2952" s="1176"/>
      <c r="AD2952" s="1176"/>
      <c r="AE2952" s="1176"/>
      <c r="AF2952" s="1176"/>
      <c r="AG2952" s="1176"/>
      <c r="AH2952" s="1176"/>
      <c r="AI2952" s="1176"/>
      <c r="AJ2952" s="1176"/>
      <c r="AK2952" s="1176"/>
      <c r="AL2952" s="1176"/>
    </row>
    <row r="2953" spans="1:38" s="466" customFormat="1" ht="18.75" customHeight="1" x14ac:dyDescent="0.4">
      <c r="A2953" s="2402">
        <v>2947</v>
      </c>
      <c r="B2953" s="390" t="s">
        <v>3928</v>
      </c>
      <c r="C2953" s="163" t="s">
        <v>1344</v>
      </c>
      <c r="D2953" s="164" t="s">
        <v>172</v>
      </c>
      <c r="E2953" s="165" t="s">
        <v>4095</v>
      </c>
      <c r="F2953" s="170">
        <v>24564</v>
      </c>
      <c r="G2953" s="1177">
        <v>23617.02</v>
      </c>
      <c r="H2953" s="1780" t="s">
        <v>3892</v>
      </c>
      <c r="I2953" s="2287" t="s">
        <v>25</v>
      </c>
      <c r="K2953" s="1174"/>
      <c r="L2953" s="1176"/>
      <c r="M2953" s="1176"/>
      <c r="N2953" s="1176"/>
      <c r="O2953" s="1176"/>
      <c r="P2953" s="1176"/>
      <c r="Q2953" s="1176"/>
      <c r="R2953" s="1176"/>
      <c r="S2953" s="1176"/>
      <c r="T2953" s="1176"/>
      <c r="U2953" s="1176"/>
      <c r="V2953" s="1176"/>
      <c r="W2953" s="1176"/>
      <c r="X2953" s="1176"/>
      <c r="Y2953" s="1176"/>
      <c r="Z2953" s="1176"/>
      <c r="AA2953" s="1176"/>
      <c r="AB2953" s="1176"/>
      <c r="AC2953" s="1176"/>
      <c r="AD2953" s="1176"/>
      <c r="AE2953" s="1176"/>
      <c r="AF2953" s="1176"/>
      <c r="AG2953" s="1176"/>
      <c r="AH2953" s="1176"/>
      <c r="AI2953" s="1176"/>
      <c r="AJ2953" s="1176"/>
      <c r="AK2953" s="1176"/>
      <c r="AL2953" s="1176"/>
    </row>
    <row r="2954" spans="1:38" s="466" customFormat="1" ht="18.75" customHeight="1" x14ac:dyDescent="0.4">
      <c r="A2954" s="2402">
        <v>2948</v>
      </c>
      <c r="B2954" s="390" t="s">
        <v>3928</v>
      </c>
      <c r="C2954" s="163" t="s">
        <v>1344</v>
      </c>
      <c r="D2954" s="164" t="s">
        <v>172</v>
      </c>
      <c r="E2954" s="165" t="s">
        <v>4096</v>
      </c>
      <c r="F2954" s="170">
        <v>24564</v>
      </c>
      <c r="G2954" s="1177">
        <v>23617.02</v>
      </c>
      <c r="H2954" s="1780" t="s">
        <v>3892</v>
      </c>
      <c r="I2954" s="2287" t="s">
        <v>25</v>
      </c>
      <c r="K2954" s="1174"/>
      <c r="L2954" s="1176"/>
      <c r="M2954" s="1176"/>
      <c r="N2954" s="1176"/>
      <c r="O2954" s="1176"/>
      <c r="P2954" s="1176"/>
      <c r="Q2954" s="1176"/>
      <c r="R2954" s="1176"/>
      <c r="S2954" s="1176"/>
      <c r="T2954" s="1176"/>
      <c r="U2954" s="1176"/>
      <c r="V2954" s="1176"/>
      <c r="W2954" s="1176"/>
      <c r="X2954" s="1176"/>
      <c r="Y2954" s="1176"/>
      <c r="Z2954" s="1176"/>
      <c r="AA2954" s="1176"/>
      <c r="AB2954" s="1176"/>
      <c r="AC2954" s="1176"/>
      <c r="AD2954" s="1176"/>
      <c r="AE2954" s="1176"/>
      <c r="AF2954" s="1176"/>
      <c r="AG2954" s="1176"/>
      <c r="AH2954" s="1176"/>
      <c r="AI2954" s="1176"/>
      <c r="AJ2954" s="1176"/>
      <c r="AK2954" s="1176"/>
      <c r="AL2954" s="1176"/>
    </row>
    <row r="2955" spans="1:38" s="466" customFormat="1" ht="18.75" customHeight="1" x14ac:dyDescent="0.4">
      <c r="A2955" s="2402">
        <v>2949</v>
      </c>
      <c r="B2955" s="390" t="s">
        <v>3928</v>
      </c>
      <c r="C2955" s="163" t="s">
        <v>1344</v>
      </c>
      <c r="D2955" s="164" t="s">
        <v>172</v>
      </c>
      <c r="E2955" s="165" t="s">
        <v>4097</v>
      </c>
      <c r="F2955" s="170">
        <v>24564</v>
      </c>
      <c r="G2955" s="1177">
        <v>23617.02</v>
      </c>
      <c r="H2955" s="1780" t="s">
        <v>3892</v>
      </c>
      <c r="I2955" s="2287" t="s">
        <v>25</v>
      </c>
      <c r="K2955" s="1174"/>
      <c r="L2955" s="1176"/>
      <c r="M2955" s="1176"/>
      <c r="N2955" s="1176"/>
      <c r="O2955" s="1176"/>
      <c r="P2955" s="1176"/>
      <c r="Q2955" s="1176"/>
      <c r="R2955" s="1176"/>
      <c r="S2955" s="1176"/>
      <c r="T2955" s="1176"/>
      <c r="U2955" s="1176"/>
      <c r="V2955" s="1176"/>
      <c r="W2955" s="1176"/>
      <c r="X2955" s="1176"/>
      <c r="Y2955" s="1176"/>
      <c r="Z2955" s="1176"/>
      <c r="AA2955" s="1176"/>
      <c r="AB2955" s="1176"/>
      <c r="AC2955" s="1176"/>
      <c r="AD2955" s="1176"/>
      <c r="AE2955" s="1176"/>
      <c r="AF2955" s="1176"/>
      <c r="AG2955" s="1176"/>
      <c r="AH2955" s="1176"/>
      <c r="AI2955" s="1176"/>
      <c r="AJ2955" s="1176"/>
      <c r="AK2955" s="1176"/>
      <c r="AL2955" s="1176"/>
    </row>
    <row r="2956" spans="1:38" s="466" customFormat="1" ht="18.75" customHeight="1" x14ac:dyDescent="0.4">
      <c r="A2956" s="2402">
        <v>2950</v>
      </c>
      <c r="B2956" s="390" t="s">
        <v>3928</v>
      </c>
      <c r="C2956" s="163" t="s">
        <v>1344</v>
      </c>
      <c r="D2956" s="164" t="s">
        <v>172</v>
      </c>
      <c r="E2956" s="165" t="s">
        <v>4098</v>
      </c>
      <c r="F2956" s="170">
        <v>24564</v>
      </c>
      <c r="G2956" s="1177">
        <v>23617.02</v>
      </c>
      <c r="H2956" s="1780" t="s">
        <v>3892</v>
      </c>
      <c r="I2956" s="2287" t="s">
        <v>25</v>
      </c>
      <c r="K2956" s="1174"/>
      <c r="L2956" s="1176"/>
      <c r="M2956" s="1176"/>
      <c r="N2956" s="1176"/>
      <c r="O2956" s="1176"/>
      <c r="P2956" s="1176"/>
      <c r="Q2956" s="1176"/>
      <c r="R2956" s="1176"/>
      <c r="S2956" s="1176"/>
      <c r="T2956" s="1176"/>
      <c r="U2956" s="1176"/>
      <c r="V2956" s="1176"/>
      <c r="W2956" s="1176"/>
      <c r="X2956" s="1176"/>
      <c r="Y2956" s="1176"/>
      <c r="Z2956" s="1176"/>
      <c r="AA2956" s="1176"/>
      <c r="AB2956" s="1176"/>
      <c r="AC2956" s="1176"/>
      <c r="AD2956" s="1176"/>
      <c r="AE2956" s="1176"/>
      <c r="AF2956" s="1176"/>
      <c r="AG2956" s="1176"/>
      <c r="AH2956" s="1176"/>
      <c r="AI2956" s="1176"/>
      <c r="AJ2956" s="1176"/>
      <c r="AK2956" s="1176"/>
      <c r="AL2956" s="1176"/>
    </row>
    <row r="2957" spans="1:38" s="466" customFormat="1" ht="18.75" customHeight="1" x14ac:dyDescent="0.4">
      <c r="A2957" s="2401">
        <v>2951</v>
      </c>
      <c r="B2957" s="390" t="s">
        <v>3928</v>
      </c>
      <c r="C2957" s="163" t="s">
        <v>1344</v>
      </c>
      <c r="D2957" s="164" t="s">
        <v>172</v>
      </c>
      <c r="E2957" s="165" t="s">
        <v>4099</v>
      </c>
      <c r="F2957" s="170">
        <v>24564</v>
      </c>
      <c r="G2957" s="1177">
        <v>23617.02</v>
      </c>
      <c r="H2957" s="1780" t="s">
        <v>3892</v>
      </c>
      <c r="I2957" s="2287" t="s">
        <v>25</v>
      </c>
      <c r="K2957" s="1174"/>
      <c r="L2957" s="1176"/>
      <c r="M2957" s="1176"/>
      <c r="N2957" s="1176"/>
      <c r="O2957" s="1176"/>
      <c r="P2957" s="1176"/>
      <c r="Q2957" s="1176"/>
      <c r="R2957" s="1176"/>
      <c r="S2957" s="1176"/>
      <c r="T2957" s="1176"/>
      <c r="U2957" s="1176"/>
      <c r="V2957" s="1176"/>
      <c r="W2957" s="1176"/>
      <c r="X2957" s="1176"/>
      <c r="Y2957" s="1176"/>
      <c r="Z2957" s="1176"/>
      <c r="AA2957" s="1176"/>
      <c r="AB2957" s="1176"/>
      <c r="AC2957" s="1176"/>
      <c r="AD2957" s="1176"/>
      <c r="AE2957" s="1176"/>
      <c r="AF2957" s="1176"/>
      <c r="AG2957" s="1176"/>
      <c r="AH2957" s="1176"/>
      <c r="AI2957" s="1176"/>
      <c r="AJ2957" s="1176"/>
      <c r="AK2957" s="1176"/>
      <c r="AL2957" s="1176"/>
    </row>
    <row r="2958" spans="1:38" s="466" customFormat="1" ht="18.75" customHeight="1" x14ac:dyDescent="0.4">
      <c r="A2958" s="2402">
        <v>2952</v>
      </c>
      <c r="B2958" s="390" t="s">
        <v>3928</v>
      </c>
      <c r="C2958" s="163" t="s">
        <v>1344</v>
      </c>
      <c r="D2958" s="164" t="s">
        <v>172</v>
      </c>
      <c r="E2958" s="165" t="s">
        <v>4100</v>
      </c>
      <c r="F2958" s="170">
        <v>24564</v>
      </c>
      <c r="G2958" s="1177">
        <v>23617.02</v>
      </c>
      <c r="H2958" s="1780" t="s">
        <v>3892</v>
      </c>
      <c r="I2958" s="2287" t="s">
        <v>25</v>
      </c>
      <c r="K2958" s="1174"/>
      <c r="L2958" s="1176"/>
      <c r="M2958" s="1176"/>
      <c r="N2958" s="1176"/>
      <c r="O2958" s="1176"/>
      <c r="P2958" s="1176"/>
      <c r="Q2958" s="1176"/>
      <c r="R2958" s="1176"/>
      <c r="S2958" s="1176"/>
      <c r="T2958" s="1176"/>
      <c r="U2958" s="1176"/>
      <c r="V2958" s="1176"/>
      <c r="W2958" s="1176"/>
      <c r="X2958" s="1176"/>
      <c r="Y2958" s="1176"/>
      <c r="Z2958" s="1176"/>
      <c r="AA2958" s="1176"/>
      <c r="AB2958" s="1176"/>
      <c r="AC2958" s="1176"/>
      <c r="AD2958" s="1176"/>
      <c r="AE2958" s="1176"/>
      <c r="AF2958" s="1176"/>
      <c r="AG2958" s="1176"/>
      <c r="AH2958" s="1176"/>
      <c r="AI2958" s="1176"/>
      <c r="AJ2958" s="1176"/>
      <c r="AK2958" s="1176"/>
      <c r="AL2958" s="1176"/>
    </row>
    <row r="2959" spans="1:38" s="466" customFormat="1" ht="18.75" customHeight="1" x14ac:dyDescent="0.4">
      <c r="A2959" s="2402">
        <v>2953</v>
      </c>
      <c r="B2959" s="390" t="s">
        <v>3928</v>
      </c>
      <c r="C2959" s="163" t="s">
        <v>1344</v>
      </c>
      <c r="D2959" s="164" t="s">
        <v>172</v>
      </c>
      <c r="E2959" s="165" t="s">
        <v>4101</v>
      </c>
      <c r="F2959" s="170">
        <v>24564</v>
      </c>
      <c r="G2959" s="1177">
        <v>23617.02</v>
      </c>
      <c r="H2959" s="1780" t="s">
        <v>3892</v>
      </c>
      <c r="I2959" s="2287" t="s">
        <v>25</v>
      </c>
      <c r="K2959" s="1174"/>
      <c r="L2959" s="1176"/>
      <c r="M2959" s="1176"/>
      <c r="N2959" s="1176"/>
      <c r="O2959" s="1176"/>
      <c r="P2959" s="1176"/>
      <c r="Q2959" s="1176"/>
      <c r="R2959" s="1176"/>
      <c r="S2959" s="1176"/>
      <c r="T2959" s="1176"/>
      <c r="U2959" s="1176"/>
      <c r="V2959" s="1176"/>
      <c r="W2959" s="1176"/>
      <c r="X2959" s="1176"/>
      <c r="Y2959" s="1176"/>
      <c r="Z2959" s="1176"/>
      <c r="AA2959" s="1176"/>
      <c r="AB2959" s="1176"/>
      <c r="AC2959" s="1176"/>
      <c r="AD2959" s="1176"/>
      <c r="AE2959" s="1176"/>
      <c r="AF2959" s="1176"/>
      <c r="AG2959" s="1176"/>
      <c r="AH2959" s="1176"/>
      <c r="AI2959" s="1176"/>
      <c r="AJ2959" s="1176"/>
      <c r="AK2959" s="1176"/>
      <c r="AL2959" s="1176"/>
    </row>
    <row r="2960" spans="1:38" s="466" customFormat="1" ht="18.75" customHeight="1" x14ac:dyDescent="0.4">
      <c r="A2960" s="2402">
        <v>2954</v>
      </c>
      <c r="B2960" s="390" t="s">
        <v>3928</v>
      </c>
      <c r="C2960" s="163" t="s">
        <v>1344</v>
      </c>
      <c r="D2960" s="164" t="s">
        <v>172</v>
      </c>
      <c r="E2960" s="165" t="s">
        <v>4102</v>
      </c>
      <c r="F2960" s="170">
        <v>24564</v>
      </c>
      <c r="G2960" s="1177">
        <v>23617.02</v>
      </c>
      <c r="H2960" s="1780" t="s">
        <v>3892</v>
      </c>
      <c r="I2960" s="2287" t="s">
        <v>25</v>
      </c>
      <c r="K2960" s="1174"/>
      <c r="L2960" s="1176"/>
      <c r="M2960" s="1176"/>
      <c r="N2960" s="1176"/>
      <c r="O2960" s="1176"/>
      <c r="P2960" s="1176"/>
      <c r="Q2960" s="1176"/>
      <c r="R2960" s="1176"/>
      <c r="S2960" s="1176"/>
      <c r="T2960" s="1176"/>
      <c r="U2960" s="1176"/>
      <c r="V2960" s="1176"/>
      <c r="W2960" s="1176"/>
      <c r="X2960" s="1176"/>
      <c r="Y2960" s="1176"/>
      <c r="Z2960" s="1176"/>
      <c r="AA2960" s="1176"/>
      <c r="AB2960" s="1176"/>
      <c r="AC2960" s="1176"/>
      <c r="AD2960" s="1176"/>
      <c r="AE2960" s="1176"/>
      <c r="AF2960" s="1176"/>
      <c r="AG2960" s="1176"/>
      <c r="AH2960" s="1176"/>
      <c r="AI2960" s="1176"/>
      <c r="AJ2960" s="1176"/>
      <c r="AK2960" s="1176"/>
      <c r="AL2960" s="1176"/>
    </row>
    <row r="2961" spans="1:38" s="466" customFormat="1" ht="18.75" customHeight="1" x14ac:dyDescent="0.4">
      <c r="A2961" s="2401">
        <v>2955</v>
      </c>
      <c r="B2961" s="390" t="s">
        <v>3928</v>
      </c>
      <c r="C2961" s="163" t="s">
        <v>1344</v>
      </c>
      <c r="D2961" s="164" t="s">
        <v>172</v>
      </c>
      <c r="E2961" s="165" t="s">
        <v>4103</v>
      </c>
      <c r="F2961" s="170">
        <v>24564</v>
      </c>
      <c r="G2961" s="1177">
        <v>23617.02</v>
      </c>
      <c r="H2961" s="1780" t="s">
        <v>3892</v>
      </c>
      <c r="I2961" s="2287" t="s">
        <v>25</v>
      </c>
      <c r="K2961" s="1174"/>
      <c r="L2961" s="1176"/>
      <c r="M2961" s="1176"/>
      <c r="N2961" s="1176"/>
      <c r="O2961" s="1176"/>
      <c r="P2961" s="1176"/>
      <c r="Q2961" s="1176"/>
      <c r="R2961" s="1176"/>
      <c r="S2961" s="1176"/>
      <c r="T2961" s="1176"/>
      <c r="U2961" s="1176"/>
      <c r="V2961" s="1176"/>
      <c r="W2961" s="1176"/>
      <c r="X2961" s="1176"/>
      <c r="Y2961" s="1176"/>
      <c r="Z2961" s="1176"/>
      <c r="AA2961" s="1176"/>
      <c r="AB2961" s="1176"/>
      <c r="AC2961" s="1176"/>
      <c r="AD2961" s="1176"/>
      <c r="AE2961" s="1176"/>
      <c r="AF2961" s="1176"/>
      <c r="AG2961" s="1176"/>
      <c r="AH2961" s="1176"/>
      <c r="AI2961" s="1176"/>
      <c r="AJ2961" s="1176"/>
      <c r="AK2961" s="1176"/>
      <c r="AL2961" s="1176"/>
    </row>
    <row r="2962" spans="1:38" s="466" customFormat="1" ht="18.75" customHeight="1" x14ac:dyDescent="0.4">
      <c r="A2962" s="2402">
        <v>2956</v>
      </c>
      <c r="B2962" s="390" t="s">
        <v>3928</v>
      </c>
      <c r="C2962" s="163" t="s">
        <v>1344</v>
      </c>
      <c r="D2962" s="164" t="s">
        <v>172</v>
      </c>
      <c r="E2962" s="165" t="s">
        <v>4104</v>
      </c>
      <c r="F2962" s="170">
        <v>24564</v>
      </c>
      <c r="G2962" s="1177">
        <v>23617.02</v>
      </c>
      <c r="H2962" s="1780" t="s">
        <v>3892</v>
      </c>
      <c r="I2962" s="2287" t="s">
        <v>25</v>
      </c>
      <c r="K2962" s="1174"/>
      <c r="L2962" s="1176"/>
      <c r="M2962" s="1176"/>
      <c r="N2962" s="1176"/>
      <c r="O2962" s="1176"/>
      <c r="P2962" s="1176"/>
      <c r="Q2962" s="1176"/>
      <c r="R2962" s="1176"/>
      <c r="S2962" s="1176"/>
      <c r="T2962" s="1176"/>
      <c r="U2962" s="1176"/>
      <c r="V2962" s="1176"/>
      <c r="W2962" s="1176"/>
      <c r="X2962" s="1176"/>
      <c r="Y2962" s="1176"/>
      <c r="Z2962" s="1176"/>
      <c r="AA2962" s="1176"/>
      <c r="AB2962" s="1176"/>
      <c r="AC2962" s="1176"/>
      <c r="AD2962" s="1176"/>
      <c r="AE2962" s="1176"/>
      <c r="AF2962" s="1176"/>
      <c r="AG2962" s="1176"/>
      <c r="AH2962" s="1176"/>
      <c r="AI2962" s="1176"/>
      <c r="AJ2962" s="1176"/>
      <c r="AK2962" s="1176"/>
      <c r="AL2962" s="1176"/>
    </row>
    <row r="2963" spans="1:38" s="466" customFormat="1" ht="18.75" customHeight="1" x14ac:dyDescent="0.4">
      <c r="A2963" s="2402">
        <v>2957</v>
      </c>
      <c r="B2963" s="390" t="s">
        <v>3928</v>
      </c>
      <c r="C2963" s="163" t="s">
        <v>1344</v>
      </c>
      <c r="D2963" s="164" t="s">
        <v>172</v>
      </c>
      <c r="E2963" s="165" t="s">
        <v>4105</v>
      </c>
      <c r="F2963" s="170">
        <v>24564</v>
      </c>
      <c r="G2963" s="1177">
        <v>23617.02</v>
      </c>
      <c r="H2963" s="1780" t="s">
        <v>3892</v>
      </c>
      <c r="I2963" s="2287" t="s">
        <v>25</v>
      </c>
      <c r="K2963" s="1174"/>
      <c r="L2963" s="1176"/>
      <c r="M2963" s="1176"/>
      <c r="N2963" s="1176"/>
      <c r="O2963" s="1176"/>
      <c r="P2963" s="1176"/>
      <c r="Q2963" s="1176"/>
      <c r="R2963" s="1176"/>
      <c r="S2963" s="1176"/>
      <c r="T2963" s="1176"/>
      <c r="U2963" s="1176"/>
      <c r="V2963" s="1176"/>
      <c r="W2963" s="1176"/>
      <c r="X2963" s="1176"/>
      <c r="Y2963" s="1176"/>
      <c r="Z2963" s="1176"/>
      <c r="AA2963" s="1176"/>
      <c r="AB2963" s="1176"/>
      <c r="AC2963" s="1176"/>
      <c r="AD2963" s="1176"/>
      <c r="AE2963" s="1176"/>
      <c r="AF2963" s="1176"/>
      <c r="AG2963" s="1176"/>
      <c r="AH2963" s="1176"/>
      <c r="AI2963" s="1176"/>
      <c r="AJ2963" s="1176"/>
      <c r="AK2963" s="1176"/>
      <c r="AL2963" s="1176"/>
    </row>
    <row r="2964" spans="1:38" s="466" customFormat="1" ht="18.75" customHeight="1" x14ac:dyDescent="0.4">
      <c r="A2964" s="2402">
        <v>2958</v>
      </c>
      <c r="B2964" s="390" t="s">
        <v>3928</v>
      </c>
      <c r="C2964" s="163" t="s">
        <v>1344</v>
      </c>
      <c r="D2964" s="164" t="s">
        <v>172</v>
      </c>
      <c r="E2964" s="165" t="s">
        <v>4106</v>
      </c>
      <c r="F2964" s="170">
        <v>24564</v>
      </c>
      <c r="G2964" s="1177">
        <v>23617.02</v>
      </c>
      <c r="H2964" s="1780" t="s">
        <v>3892</v>
      </c>
      <c r="I2964" s="2287" t="s">
        <v>25</v>
      </c>
      <c r="K2964" s="1174"/>
      <c r="L2964" s="1176"/>
      <c r="M2964" s="1176"/>
      <c r="N2964" s="1176"/>
      <c r="O2964" s="1176"/>
      <c r="P2964" s="1176"/>
      <c r="Q2964" s="1176"/>
      <c r="R2964" s="1176"/>
      <c r="S2964" s="1176"/>
      <c r="T2964" s="1176"/>
      <c r="U2964" s="1176"/>
      <c r="V2964" s="1176"/>
      <c r="W2964" s="1176"/>
      <c r="X2964" s="1176"/>
      <c r="Y2964" s="1176"/>
      <c r="Z2964" s="1176"/>
      <c r="AA2964" s="1176"/>
      <c r="AB2964" s="1176"/>
      <c r="AC2964" s="1176"/>
      <c r="AD2964" s="1176"/>
      <c r="AE2964" s="1176"/>
      <c r="AF2964" s="1176"/>
      <c r="AG2964" s="1176"/>
      <c r="AH2964" s="1176"/>
      <c r="AI2964" s="1176"/>
      <c r="AJ2964" s="1176"/>
      <c r="AK2964" s="1176"/>
      <c r="AL2964" s="1176"/>
    </row>
    <row r="2965" spans="1:38" s="466" customFormat="1" ht="18.75" customHeight="1" x14ac:dyDescent="0.4">
      <c r="A2965" s="2402">
        <v>2959</v>
      </c>
      <c r="B2965" s="390" t="s">
        <v>3928</v>
      </c>
      <c r="C2965" s="163" t="s">
        <v>1344</v>
      </c>
      <c r="D2965" s="164" t="s">
        <v>172</v>
      </c>
      <c r="E2965" s="165" t="s">
        <v>4107</v>
      </c>
      <c r="F2965" s="170">
        <v>24564</v>
      </c>
      <c r="G2965" s="1177">
        <v>23617.02</v>
      </c>
      <c r="H2965" s="1780" t="s">
        <v>3892</v>
      </c>
      <c r="I2965" s="2287" t="s">
        <v>25</v>
      </c>
      <c r="K2965" s="1174"/>
      <c r="L2965" s="1176"/>
      <c r="M2965" s="1176"/>
      <c r="N2965" s="1176"/>
      <c r="O2965" s="1176"/>
      <c r="P2965" s="1176"/>
      <c r="Q2965" s="1176"/>
      <c r="R2965" s="1176"/>
      <c r="S2965" s="1176"/>
      <c r="T2965" s="1176"/>
      <c r="U2965" s="1176"/>
      <c r="V2965" s="1176"/>
      <c r="W2965" s="1176"/>
      <c r="X2965" s="1176"/>
      <c r="Y2965" s="1176"/>
      <c r="Z2965" s="1176"/>
      <c r="AA2965" s="1176"/>
      <c r="AB2965" s="1176"/>
      <c r="AC2965" s="1176"/>
      <c r="AD2965" s="1176"/>
      <c r="AE2965" s="1176"/>
      <c r="AF2965" s="1176"/>
      <c r="AG2965" s="1176"/>
      <c r="AH2965" s="1176"/>
      <c r="AI2965" s="1176"/>
      <c r="AJ2965" s="1176"/>
      <c r="AK2965" s="1176"/>
      <c r="AL2965" s="1176"/>
    </row>
    <row r="2966" spans="1:38" s="466" customFormat="1" ht="18.75" customHeight="1" x14ac:dyDescent="0.4">
      <c r="A2966" s="2401">
        <v>2960</v>
      </c>
      <c r="B2966" s="390" t="s">
        <v>3928</v>
      </c>
      <c r="C2966" s="163" t="s">
        <v>1344</v>
      </c>
      <c r="D2966" s="164" t="s">
        <v>172</v>
      </c>
      <c r="E2966" s="165" t="s">
        <v>4108</v>
      </c>
      <c r="F2966" s="170">
        <v>24564</v>
      </c>
      <c r="G2966" s="1177">
        <v>23617.02</v>
      </c>
      <c r="H2966" s="1780" t="s">
        <v>3892</v>
      </c>
      <c r="I2966" s="2287" t="s">
        <v>25</v>
      </c>
      <c r="K2966" s="1174"/>
      <c r="L2966" s="1176"/>
      <c r="M2966" s="1176"/>
      <c r="N2966" s="1176"/>
      <c r="O2966" s="1176"/>
      <c r="P2966" s="1176"/>
      <c r="Q2966" s="1176"/>
      <c r="R2966" s="1176"/>
      <c r="S2966" s="1176"/>
      <c r="T2966" s="1176"/>
      <c r="U2966" s="1176"/>
      <c r="V2966" s="1176"/>
      <c r="W2966" s="1176"/>
      <c r="X2966" s="1176"/>
      <c r="Y2966" s="1176"/>
      <c r="Z2966" s="1176"/>
      <c r="AA2966" s="1176"/>
      <c r="AB2966" s="1176"/>
      <c r="AC2966" s="1176"/>
      <c r="AD2966" s="1176"/>
      <c r="AE2966" s="1176"/>
      <c r="AF2966" s="1176"/>
      <c r="AG2966" s="1176"/>
      <c r="AH2966" s="1176"/>
      <c r="AI2966" s="1176"/>
      <c r="AJ2966" s="1176"/>
      <c r="AK2966" s="1176"/>
      <c r="AL2966" s="1176"/>
    </row>
    <row r="2967" spans="1:38" s="466" customFormat="1" ht="18.75" customHeight="1" x14ac:dyDescent="0.4">
      <c r="A2967" s="2402">
        <v>2961</v>
      </c>
      <c r="B2967" s="390" t="s">
        <v>3928</v>
      </c>
      <c r="C2967" s="163" t="s">
        <v>1344</v>
      </c>
      <c r="D2967" s="164" t="s">
        <v>172</v>
      </c>
      <c r="E2967" s="165" t="s">
        <v>4109</v>
      </c>
      <c r="F2967" s="170">
        <v>24564</v>
      </c>
      <c r="G2967" s="1177">
        <v>23617.02</v>
      </c>
      <c r="H2967" s="1780" t="s">
        <v>3892</v>
      </c>
      <c r="I2967" s="2287" t="s">
        <v>25</v>
      </c>
      <c r="K2967" s="1174"/>
      <c r="L2967" s="1176"/>
      <c r="M2967" s="1176"/>
      <c r="N2967" s="1176"/>
      <c r="O2967" s="1176"/>
      <c r="P2967" s="1176"/>
      <c r="Q2967" s="1176"/>
      <c r="R2967" s="1176"/>
      <c r="S2967" s="1176"/>
      <c r="T2967" s="1176"/>
      <c r="U2967" s="1176"/>
      <c r="V2967" s="1176"/>
      <c r="W2967" s="1176"/>
      <c r="X2967" s="1176"/>
      <c r="Y2967" s="1176"/>
      <c r="Z2967" s="1176"/>
      <c r="AA2967" s="1176"/>
      <c r="AB2967" s="1176"/>
      <c r="AC2967" s="1176"/>
      <c r="AD2967" s="1176"/>
      <c r="AE2967" s="1176"/>
      <c r="AF2967" s="1176"/>
      <c r="AG2967" s="1176"/>
      <c r="AH2967" s="1176"/>
      <c r="AI2967" s="1176"/>
      <c r="AJ2967" s="1176"/>
      <c r="AK2967" s="1176"/>
      <c r="AL2967" s="1176"/>
    </row>
    <row r="2968" spans="1:38" s="466" customFormat="1" ht="18.75" customHeight="1" x14ac:dyDescent="0.4">
      <c r="A2968" s="2402">
        <v>2962</v>
      </c>
      <c r="B2968" s="390" t="s">
        <v>3928</v>
      </c>
      <c r="C2968" s="163" t="s">
        <v>1344</v>
      </c>
      <c r="D2968" s="164" t="s">
        <v>172</v>
      </c>
      <c r="E2968" s="165" t="s">
        <v>4110</v>
      </c>
      <c r="F2968" s="170">
        <v>24564</v>
      </c>
      <c r="G2968" s="1177">
        <v>23617.02</v>
      </c>
      <c r="H2968" s="1780" t="s">
        <v>3892</v>
      </c>
      <c r="I2968" s="2287" t="s">
        <v>25</v>
      </c>
      <c r="K2968" s="1174"/>
      <c r="L2968" s="1176"/>
      <c r="M2968" s="1176"/>
      <c r="N2968" s="1176"/>
      <c r="O2968" s="1176"/>
      <c r="P2968" s="1176"/>
      <c r="Q2968" s="1176"/>
      <c r="R2968" s="1176"/>
      <c r="S2968" s="1176"/>
      <c r="T2968" s="1176"/>
      <c r="U2968" s="1176"/>
      <c r="V2968" s="1176"/>
      <c r="W2968" s="1176"/>
      <c r="X2968" s="1176"/>
      <c r="Y2968" s="1176"/>
      <c r="Z2968" s="1176"/>
      <c r="AA2968" s="1176"/>
      <c r="AB2968" s="1176"/>
      <c r="AC2968" s="1176"/>
      <c r="AD2968" s="1176"/>
      <c r="AE2968" s="1176"/>
      <c r="AF2968" s="1176"/>
      <c r="AG2968" s="1176"/>
      <c r="AH2968" s="1176"/>
      <c r="AI2968" s="1176"/>
      <c r="AJ2968" s="1176"/>
      <c r="AK2968" s="1176"/>
      <c r="AL2968" s="1176"/>
    </row>
    <row r="2969" spans="1:38" s="466" customFormat="1" ht="18.75" customHeight="1" x14ac:dyDescent="0.4">
      <c r="A2969" s="2402">
        <v>2963</v>
      </c>
      <c r="B2969" s="390" t="s">
        <v>3928</v>
      </c>
      <c r="C2969" s="163" t="s">
        <v>1344</v>
      </c>
      <c r="D2969" s="164" t="s">
        <v>172</v>
      </c>
      <c r="E2969" s="165" t="s">
        <v>4111</v>
      </c>
      <c r="F2969" s="170">
        <v>24564</v>
      </c>
      <c r="G2969" s="1177">
        <v>23617.02</v>
      </c>
      <c r="H2969" s="1780" t="s">
        <v>3892</v>
      </c>
      <c r="I2969" s="2287" t="s">
        <v>25</v>
      </c>
      <c r="K2969" s="1174"/>
      <c r="L2969" s="1176"/>
      <c r="M2969" s="1176"/>
      <c r="N2969" s="1176"/>
      <c r="O2969" s="1176"/>
      <c r="P2969" s="1176"/>
      <c r="Q2969" s="1176"/>
      <c r="R2969" s="1176"/>
      <c r="S2969" s="1176"/>
      <c r="T2969" s="1176"/>
      <c r="U2969" s="1176"/>
      <c r="V2969" s="1176"/>
      <c r="W2969" s="1176"/>
      <c r="X2969" s="1176"/>
      <c r="Y2969" s="1176"/>
      <c r="Z2969" s="1176"/>
      <c r="AA2969" s="1176"/>
      <c r="AB2969" s="1176"/>
      <c r="AC2969" s="1176"/>
      <c r="AD2969" s="1176"/>
      <c r="AE2969" s="1176"/>
      <c r="AF2969" s="1176"/>
      <c r="AG2969" s="1176"/>
      <c r="AH2969" s="1176"/>
      <c r="AI2969" s="1176"/>
      <c r="AJ2969" s="1176"/>
      <c r="AK2969" s="1176"/>
      <c r="AL2969" s="1176"/>
    </row>
    <row r="2970" spans="1:38" s="466" customFormat="1" ht="18.75" customHeight="1" x14ac:dyDescent="0.4">
      <c r="A2970" s="2401">
        <v>2964</v>
      </c>
      <c r="B2970" s="390" t="s">
        <v>3928</v>
      </c>
      <c r="C2970" s="163" t="s">
        <v>1344</v>
      </c>
      <c r="D2970" s="164" t="s">
        <v>172</v>
      </c>
      <c r="E2970" s="165" t="s">
        <v>4112</v>
      </c>
      <c r="F2970" s="170">
        <v>24564</v>
      </c>
      <c r="G2970" s="1177">
        <v>23617.02</v>
      </c>
      <c r="H2970" s="1780" t="s">
        <v>3892</v>
      </c>
      <c r="I2970" s="2287" t="s">
        <v>25</v>
      </c>
      <c r="K2970" s="1174"/>
      <c r="L2970" s="1176"/>
      <c r="M2970" s="1176"/>
      <c r="N2970" s="1176"/>
      <c r="O2970" s="1176"/>
      <c r="P2970" s="1176"/>
      <c r="Q2970" s="1176"/>
      <c r="R2970" s="1176"/>
      <c r="S2970" s="1176"/>
      <c r="T2970" s="1176"/>
      <c r="U2970" s="1176"/>
      <c r="V2970" s="1176"/>
      <c r="W2970" s="1176"/>
      <c r="X2970" s="1176"/>
      <c r="Y2970" s="1176"/>
      <c r="Z2970" s="1176"/>
      <c r="AA2970" s="1176"/>
      <c r="AB2970" s="1176"/>
      <c r="AC2970" s="1176"/>
      <c r="AD2970" s="1176"/>
      <c r="AE2970" s="1176"/>
      <c r="AF2970" s="1176"/>
      <c r="AG2970" s="1176"/>
      <c r="AH2970" s="1176"/>
      <c r="AI2970" s="1176"/>
      <c r="AJ2970" s="1176"/>
      <c r="AK2970" s="1176"/>
      <c r="AL2970" s="1176"/>
    </row>
    <row r="2971" spans="1:38" s="466" customFormat="1" ht="18.75" customHeight="1" x14ac:dyDescent="0.4">
      <c r="A2971" s="2402">
        <v>2965</v>
      </c>
      <c r="B2971" s="390" t="s">
        <v>3928</v>
      </c>
      <c r="C2971" s="163" t="s">
        <v>1344</v>
      </c>
      <c r="D2971" s="164" t="s">
        <v>172</v>
      </c>
      <c r="E2971" s="165" t="s">
        <v>4113</v>
      </c>
      <c r="F2971" s="170">
        <v>24564</v>
      </c>
      <c r="G2971" s="1177">
        <v>23617.02</v>
      </c>
      <c r="H2971" s="1780" t="s">
        <v>3892</v>
      </c>
      <c r="I2971" s="2287" t="s">
        <v>25</v>
      </c>
      <c r="K2971" s="1174"/>
      <c r="L2971" s="1176"/>
      <c r="M2971" s="1176"/>
      <c r="N2971" s="1176"/>
      <c r="O2971" s="1176"/>
      <c r="P2971" s="1176"/>
      <c r="Q2971" s="1176"/>
      <c r="R2971" s="1176"/>
      <c r="S2971" s="1176"/>
      <c r="T2971" s="1176"/>
      <c r="U2971" s="1176"/>
      <c r="V2971" s="1176"/>
      <c r="W2971" s="1176"/>
      <c r="X2971" s="1176"/>
      <c r="Y2971" s="1176"/>
      <c r="Z2971" s="1176"/>
      <c r="AA2971" s="1176"/>
      <c r="AB2971" s="1176"/>
      <c r="AC2971" s="1176"/>
      <c r="AD2971" s="1176"/>
      <c r="AE2971" s="1176"/>
      <c r="AF2971" s="1176"/>
      <c r="AG2971" s="1176"/>
      <c r="AH2971" s="1176"/>
      <c r="AI2971" s="1176"/>
      <c r="AJ2971" s="1176"/>
      <c r="AK2971" s="1176"/>
      <c r="AL2971" s="1176"/>
    </row>
    <row r="2972" spans="1:38" s="466" customFormat="1" ht="18.75" customHeight="1" x14ac:dyDescent="0.4">
      <c r="A2972" s="2402">
        <v>2966</v>
      </c>
      <c r="B2972" s="390" t="s">
        <v>3928</v>
      </c>
      <c r="C2972" s="163" t="s">
        <v>1344</v>
      </c>
      <c r="D2972" s="164" t="s">
        <v>172</v>
      </c>
      <c r="E2972" s="165" t="s">
        <v>4114</v>
      </c>
      <c r="F2972" s="170">
        <v>24564</v>
      </c>
      <c r="G2972" s="1177">
        <v>23617.02</v>
      </c>
      <c r="H2972" s="1780" t="s">
        <v>3892</v>
      </c>
      <c r="I2972" s="2287" t="s">
        <v>25</v>
      </c>
      <c r="K2972" s="1174"/>
      <c r="L2972" s="1176"/>
      <c r="M2972" s="1176"/>
      <c r="N2972" s="1176"/>
      <c r="O2972" s="1176"/>
      <c r="P2972" s="1176"/>
      <c r="Q2972" s="1176"/>
      <c r="R2972" s="1176"/>
      <c r="S2972" s="1176"/>
      <c r="T2972" s="1176"/>
      <c r="U2972" s="1176"/>
      <c r="V2972" s="1176"/>
      <c r="W2972" s="1176"/>
      <c r="X2972" s="1176"/>
      <c r="Y2972" s="1176"/>
      <c r="Z2972" s="1176"/>
      <c r="AA2972" s="1176"/>
      <c r="AB2972" s="1176"/>
      <c r="AC2972" s="1176"/>
      <c r="AD2972" s="1176"/>
      <c r="AE2972" s="1176"/>
      <c r="AF2972" s="1176"/>
      <c r="AG2972" s="1176"/>
      <c r="AH2972" s="1176"/>
      <c r="AI2972" s="1176"/>
      <c r="AJ2972" s="1176"/>
      <c r="AK2972" s="1176"/>
      <c r="AL2972" s="1176"/>
    </row>
    <row r="2973" spans="1:38" s="466" customFormat="1" ht="18.75" customHeight="1" x14ac:dyDescent="0.4">
      <c r="A2973" s="2402">
        <v>2967</v>
      </c>
      <c r="B2973" s="390" t="s">
        <v>3928</v>
      </c>
      <c r="C2973" s="163" t="s">
        <v>1344</v>
      </c>
      <c r="D2973" s="164" t="s">
        <v>172</v>
      </c>
      <c r="E2973" s="165" t="s">
        <v>4115</v>
      </c>
      <c r="F2973" s="170">
        <v>24564</v>
      </c>
      <c r="G2973" s="1177">
        <v>23617.02</v>
      </c>
      <c r="H2973" s="1780" t="s">
        <v>3892</v>
      </c>
      <c r="I2973" s="2287" t="s">
        <v>25</v>
      </c>
      <c r="K2973" s="1174"/>
      <c r="L2973" s="1176"/>
      <c r="M2973" s="1176"/>
      <c r="N2973" s="1176"/>
      <c r="O2973" s="1176"/>
      <c r="P2973" s="1176"/>
      <c r="Q2973" s="1176"/>
      <c r="R2973" s="1176"/>
      <c r="S2973" s="1176"/>
      <c r="T2973" s="1176"/>
      <c r="U2973" s="1176"/>
      <c r="V2973" s="1176"/>
      <c r="W2973" s="1176"/>
      <c r="X2973" s="1176"/>
      <c r="Y2973" s="1176"/>
      <c r="Z2973" s="1176"/>
      <c r="AA2973" s="1176"/>
      <c r="AB2973" s="1176"/>
      <c r="AC2973" s="1176"/>
      <c r="AD2973" s="1176"/>
      <c r="AE2973" s="1176"/>
      <c r="AF2973" s="1176"/>
      <c r="AG2973" s="1176"/>
      <c r="AH2973" s="1176"/>
      <c r="AI2973" s="1176"/>
      <c r="AJ2973" s="1176"/>
      <c r="AK2973" s="1176"/>
      <c r="AL2973" s="1176"/>
    </row>
    <row r="2974" spans="1:38" s="466" customFormat="1" ht="18.75" customHeight="1" x14ac:dyDescent="0.4">
      <c r="A2974" s="2402">
        <v>2968</v>
      </c>
      <c r="B2974" s="1178" t="s">
        <v>3928</v>
      </c>
      <c r="C2974" s="163" t="s">
        <v>1344</v>
      </c>
      <c r="D2974" s="164" t="s">
        <v>172</v>
      </c>
      <c r="E2974" s="165" t="s">
        <v>4116</v>
      </c>
      <c r="F2974" s="170">
        <v>24564</v>
      </c>
      <c r="G2974" s="1177">
        <v>23617.02</v>
      </c>
      <c r="H2974" s="1780" t="s">
        <v>3892</v>
      </c>
      <c r="I2974" s="2287" t="s">
        <v>25</v>
      </c>
      <c r="K2974" s="1174"/>
      <c r="L2974" s="1176"/>
      <c r="M2974" s="1176"/>
      <c r="N2974" s="1176"/>
      <c r="O2974" s="1176"/>
      <c r="P2974" s="1176"/>
      <c r="Q2974" s="1176"/>
      <c r="R2974" s="1176"/>
      <c r="S2974" s="1176"/>
      <c r="T2974" s="1176"/>
      <c r="U2974" s="1176"/>
      <c r="V2974" s="1176"/>
      <c r="W2974" s="1176"/>
      <c r="X2974" s="1176"/>
      <c r="Y2974" s="1176"/>
      <c r="Z2974" s="1176"/>
      <c r="AA2974" s="1176"/>
      <c r="AB2974" s="1176"/>
      <c r="AC2974" s="1176"/>
      <c r="AD2974" s="1176"/>
      <c r="AE2974" s="1176"/>
      <c r="AF2974" s="1176"/>
      <c r="AG2974" s="1176"/>
      <c r="AH2974" s="1176"/>
      <c r="AI2974" s="1176"/>
      <c r="AJ2974" s="1176"/>
      <c r="AK2974" s="1176"/>
      <c r="AL2974" s="1176"/>
    </row>
    <row r="2975" spans="1:38" s="466" customFormat="1" ht="18.75" customHeight="1" x14ac:dyDescent="0.45">
      <c r="A2975" s="1179"/>
      <c r="B2975" s="1180"/>
      <c r="C2975" s="1181"/>
      <c r="D2975" s="1182"/>
      <c r="E2975" s="1182"/>
      <c r="F2975" s="1183"/>
      <c r="G2975" s="1184">
        <f>SUM(G7:G2974)</f>
        <v>24537691.870000038</v>
      </c>
      <c r="H2975" s="1336"/>
      <c r="I2975" s="1185"/>
      <c r="J2975" s="1185"/>
      <c r="K2975" s="1186"/>
      <c r="L2975" s="1185"/>
      <c r="M2975" s="1185"/>
      <c r="N2975" s="1185"/>
      <c r="O2975" s="1185"/>
      <c r="P2975" s="1176"/>
      <c r="Q2975" s="1176"/>
      <c r="R2975" s="1176"/>
      <c r="S2975" s="1176"/>
      <c r="T2975" s="1176"/>
      <c r="U2975" s="1176"/>
      <c r="V2975" s="1176"/>
      <c r="W2975" s="1176"/>
      <c r="X2975" s="1176"/>
      <c r="Y2975" s="1176"/>
      <c r="Z2975" s="1176"/>
      <c r="AA2975" s="1176"/>
      <c r="AB2975" s="1176"/>
      <c r="AC2975" s="1176"/>
      <c r="AD2975" s="1176"/>
      <c r="AE2975" s="1176"/>
      <c r="AF2975" s="1176"/>
      <c r="AG2975" s="1176"/>
      <c r="AH2975" s="1176"/>
      <c r="AI2975" s="1176"/>
      <c r="AJ2975" s="1176"/>
      <c r="AK2975" s="1176"/>
      <c r="AL2975" s="1176"/>
    </row>
    <row r="2976" spans="1:38" s="466" customFormat="1" ht="19.95" customHeight="1" x14ac:dyDescent="0.4">
      <c r="A2976" s="16" t="s">
        <v>4117</v>
      </c>
      <c r="B2976" s="2918" t="s">
        <v>4118</v>
      </c>
      <c r="C2976" s="2918"/>
      <c r="D2976" s="2918"/>
      <c r="E2976" s="2918"/>
      <c r="F2976" s="2918"/>
      <c r="G2976" s="2918"/>
      <c r="H2976" s="2918"/>
      <c r="I2976" s="2918"/>
      <c r="J2976" s="2918"/>
      <c r="K2976" s="779"/>
      <c r="L2976" s="828"/>
      <c r="M2976" s="828"/>
      <c r="N2976" s="779"/>
      <c r="O2976" s="780"/>
      <c r="P2976" s="1176"/>
      <c r="Q2976" s="1176"/>
      <c r="R2976" s="1176"/>
      <c r="S2976" s="1176"/>
      <c r="T2976" s="1176"/>
      <c r="U2976" s="1176"/>
      <c r="V2976" s="1176"/>
      <c r="W2976" s="1176"/>
      <c r="X2976" s="1176"/>
      <c r="Y2976" s="1176"/>
      <c r="Z2976" s="1176"/>
      <c r="AA2976" s="1176"/>
      <c r="AB2976" s="1176"/>
      <c r="AC2976" s="1176"/>
      <c r="AD2976" s="1176"/>
      <c r="AE2976" s="1176"/>
      <c r="AF2976" s="1176"/>
      <c r="AG2976" s="1176"/>
      <c r="AH2976" s="1176"/>
      <c r="AI2976" s="1176"/>
      <c r="AJ2976" s="1176"/>
      <c r="AK2976" s="1176"/>
      <c r="AL2976" s="1176"/>
    </row>
    <row r="2977" spans="1:38" s="466" customFormat="1" ht="21" x14ac:dyDescent="0.4">
      <c r="A2977" s="2290">
        <v>1</v>
      </c>
      <c r="B2977" s="1187" t="s">
        <v>4118</v>
      </c>
      <c r="C2977" s="163" t="s">
        <v>4117</v>
      </c>
      <c r="D2977" s="164" t="s">
        <v>172</v>
      </c>
      <c r="E2977" s="165" t="s">
        <v>1125</v>
      </c>
      <c r="F2977" s="170">
        <v>23325</v>
      </c>
      <c r="G2977" s="1177">
        <v>50812.45</v>
      </c>
      <c r="H2977" s="1780" t="s">
        <v>3892</v>
      </c>
      <c r="I2977" s="2287" t="s">
        <v>25</v>
      </c>
      <c r="K2977" s="1174"/>
      <c r="L2977" s="1176"/>
      <c r="M2977" s="1176"/>
      <c r="N2977" s="1176"/>
      <c r="O2977" s="1176"/>
      <c r="P2977" s="1176"/>
      <c r="Q2977" s="1176"/>
      <c r="R2977" s="1176"/>
      <c r="S2977" s="1176"/>
      <c r="T2977" s="1176"/>
      <c r="U2977" s="1176"/>
      <c r="V2977" s="1176"/>
      <c r="W2977" s="1176"/>
      <c r="X2977" s="1176"/>
      <c r="Y2977" s="1176"/>
      <c r="Z2977" s="1176"/>
      <c r="AA2977" s="1176"/>
      <c r="AB2977" s="1176"/>
      <c r="AC2977" s="1176"/>
      <c r="AD2977" s="1176"/>
      <c r="AE2977" s="1176"/>
      <c r="AF2977" s="1176"/>
      <c r="AG2977" s="1176"/>
      <c r="AH2977" s="1176"/>
      <c r="AI2977" s="1176"/>
      <c r="AJ2977" s="1176"/>
      <c r="AK2977" s="1176"/>
      <c r="AL2977" s="1176"/>
    </row>
    <row r="2978" spans="1:38" s="466" customFormat="1" ht="21" x14ac:dyDescent="0.4">
      <c r="A2978" s="2290">
        <v>2</v>
      </c>
      <c r="B2978" s="390" t="s">
        <v>4118</v>
      </c>
      <c r="C2978" s="163" t="s">
        <v>4117</v>
      </c>
      <c r="D2978" s="164" t="s">
        <v>172</v>
      </c>
      <c r="E2978" s="165" t="s">
        <v>599</v>
      </c>
      <c r="F2978" s="170">
        <v>23325</v>
      </c>
      <c r="G2978" s="1177">
        <v>50812.45</v>
      </c>
      <c r="H2978" s="1780" t="s">
        <v>3892</v>
      </c>
      <c r="I2978" s="2287" t="s">
        <v>25</v>
      </c>
      <c r="K2978" s="1174"/>
      <c r="L2978" s="1176"/>
      <c r="M2978" s="1176"/>
      <c r="N2978" s="1176"/>
      <c r="O2978" s="1176"/>
      <c r="P2978" s="1176"/>
      <c r="Q2978" s="1176"/>
      <c r="R2978" s="1176"/>
      <c r="S2978" s="1176"/>
      <c r="T2978" s="1176"/>
      <c r="U2978" s="1176"/>
      <c r="V2978" s="1176"/>
      <c r="W2978" s="1176"/>
      <c r="X2978" s="1176"/>
      <c r="Y2978" s="1176"/>
      <c r="Z2978" s="1176"/>
      <c r="AA2978" s="1176"/>
      <c r="AB2978" s="1176"/>
      <c r="AC2978" s="1176"/>
      <c r="AD2978" s="1176"/>
      <c r="AE2978" s="1176"/>
      <c r="AF2978" s="1176"/>
      <c r="AG2978" s="1176"/>
      <c r="AH2978" s="1176"/>
      <c r="AI2978" s="1176"/>
      <c r="AJ2978" s="1176"/>
      <c r="AK2978" s="1176"/>
      <c r="AL2978" s="1176"/>
    </row>
    <row r="2979" spans="1:38" s="466" customFormat="1" ht="21" x14ac:dyDescent="0.4">
      <c r="A2979" s="2290">
        <v>3</v>
      </c>
      <c r="B2979" s="390" t="s">
        <v>4118</v>
      </c>
      <c r="C2979" s="163" t="s">
        <v>4117</v>
      </c>
      <c r="D2979" s="164" t="s">
        <v>172</v>
      </c>
      <c r="E2979" s="165" t="s">
        <v>600</v>
      </c>
      <c r="F2979" s="170">
        <v>23325</v>
      </c>
      <c r="G2979" s="1177">
        <v>50812.45</v>
      </c>
      <c r="H2979" s="1780" t="s">
        <v>3892</v>
      </c>
      <c r="I2979" s="2287" t="s">
        <v>25</v>
      </c>
      <c r="K2979" s="1174"/>
      <c r="L2979" s="1176"/>
      <c r="M2979" s="1176"/>
      <c r="N2979" s="1176"/>
      <c r="O2979" s="1176"/>
      <c r="P2979" s="1176"/>
      <c r="Q2979" s="1176"/>
      <c r="R2979" s="1176"/>
      <c r="S2979" s="1176"/>
      <c r="T2979" s="1176"/>
      <c r="U2979" s="1176"/>
      <c r="V2979" s="1176"/>
      <c r="W2979" s="1176"/>
      <c r="X2979" s="1176"/>
      <c r="Y2979" s="1176"/>
      <c r="Z2979" s="1176"/>
      <c r="AA2979" s="1176"/>
      <c r="AB2979" s="1176"/>
      <c r="AC2979" s="1176"/>
      <c r="AD2979" s="1176"/>
      <c r="AE2979" s="1176"/>
      <c r="AF2979" s="1176"/>
      <c r="AG2979" s="1176"/>
      <c r="AH2979" s="1176"/>
      <c r="AI2979" s="1176"/>
      <c r="AJ2979" s="1176"/>
      <c r="AK2979" s="1176"/>
      <c r="AL2979" s="1176"/>
    </row>
    <row r="2980" spans="1:38" s="466" customFormat="1" ht="21" x14ac:dyDescent="0.4">
      <c r="A2980" s="2290">
        <v>4</v>
      </c>
      <c r="B2980" s="390" t="s">
        <v>4118</v>
      </c>
      <c r="C2980" s="163" t="s">
        <v>4117</v>
      </c>
      <c r="D2980" s="164" t="s">
        <v>172</v>
      </c>
      <c r="E2980" s="165" t="s">
        <v>1271</v>
      </c>
      <c r="F2980" s="170">
        <v>23325</v>
      </c>
      <c r="G2980" s="1177">
        <v>50812.45</v>
      </c>
      <c r="H2980" s="1780" t="s">
        <v>3892</v>
      </c>
      <c r="I2980" s="2287" t="s">
        <v>25</v>
      </c>
      <c r="K2980" s="1174"/>
      <c r="L2980" s="1176"/>
      <c r="M2980" s="1176"/>
      <c r="N2980" s="1176"/>
      <c r="O2980" s="1176"/>
      <c r="P2980" s="1176"/>
      <c r="Q2980" s="1176"/>
      <c r="R2980" s="1176"/>
      <c r="S2980" s="1176"/>
      <c r="T2980" s="1176"/>
      <c r="U2980" s="1176"/>
      <c r="V2980" s="1176"/>
      <c r="W2980" s="1176"/>
      <c r="X2980" s="1176"/>
      <c r="Y2980" s="1176"/>
      <c r="Z2980" s="1176"/>
      <c r="AA2980" s="1176"/>
      <c r="AB2980" s="1176"/>
      <c r="AC2980" s="1176"/>
      <c r="AD2980" s="1176"/>
      <c r="AE2980" s="1176"/>
      <c r="AF2980" s="1176"/>
      <c r="AG2980" s="1176"/>
      <c r="AH2980" s="1176"/>
      <c r="AI2980" s="1176"/>
      <c r="AJ2980" s="1176"/>
      <c r="AK2980" s="1176"/>
      <c r="AL2980" s="1176"/>
    </row>
    <row r="2981" spans="1:38" s="466" customFormat="1" ht="21" x14ac:dyDescent="0.4">
      <c r="A2981" s="2290">
        <v>5</v>
      </c>
      <c r="B2981" s="390" t="s">
        <v>4118</v>
      </c>
      <c r="C2981" s="163" t="s">
        <v>4117</v>
      </c>
      <c r="D2981" s="164" t="s">
        <v>172</v>
      </c>
      <c r="E2981" s="165" t="s">
        <v>1250</v>
      </c>
      <c r="F2981" s="170">
        <v>23325</v>
      </c>
      <c r="G2981" s="1177">
        <v>50812.45</v>
      </c>
      <c r="H2981" s="1780" t="s">
        <v>3892</v>
      </c>
      <c r="I2981" s="2287" t="s">
        <v>25</v>
      </c>
      <c r="K2981" s="1174"/>
      <c r="L2981" s="1176"/>
      <c r="M2981" s="1176"/>
      <c r="N2981" s="1176"/>
      <c r="O2981" s="1176"/>
      <c r="P2981" s="1176"/>
      <c r="Q2981" s="1176"/>
      <c r="R2981" s="1176"/>
      <c r="S2981" s="1176"/>
      <c r="T2981" s="1176"/>
      <c r="U2981" s="1176"/>
      <c r="V2981" s="1176"/>
      <c r="W2981" s="1176"/>
      <c r="X2981" s="1176"/>
      <c r="Y2981" s="1176"/>
      <c r="Z2981" s="1176"/>
      <c r="AA2981" s="1176"/>
      <c r="AB2981" s="1176"/>
      <c r="AC2981" s="1176"/>
      <c r="AD2981" s="1176"/>
      <c r="AE2981" s="1176"/>
      <c r="AF2981" s="1176"/>
      <c r="AG2981" s="1176"/>
      <c r="AH2981" s="1176"/>
      <c r="AI2981" s="1176"/>
      <c r="AJ2981" s="1176"/>
      <c r="AK2981" s="1176"/>
      <c r="AL2981" s="1176"/>
    </row>
    <row r="2982" spans="1:38" s="466" customFormat="1" ht="21" x14ac:dyDescent="0.4">
      <c r="A2982" s="2290">
        <v>6</v>
      </c>
      <c r="B2982" s="390" t="s">
        <v>4118</v>
      </c>
      <c r="C2982" s="163" t="s">
        <v>4117</v>
      </c>
      <c r="D2982" s="164" t="s">
        <v>172</v>
      </c>
      <c r="E2982" s="165" t="s">
        <v>1104</v>
      </c>
      <c r="F2982" s="170">
        <v>23325</v>
      </c>
      <c r="G2982" s="1177">
        <v>50812.45</v>
      </c>
      <c r="H2982" s="1780" t="s">
        <v>3892</v>
      </c>
      <c r="I2982" s="2287" t="s">
        <v>25</v>
      </c>
      <c r="K2982" s="1174"/>
      <c r="L2982" s="1176"/>
      <c r="M2982" s="1176"/>
      <c r="N2982" s="1176"/>
      <c r="O2982" s="1176"/>
      <c r="P2982" s="1176"/>
      <c r="Q2982" s="1176"/>
      <c r="R2982" s="1176"/>
      <c r="S2982" s="1176"/>
      <c r="T2982" s="1176"/>
      <c r="U2982" s="1176"/>
      <c r="V2982" s="1176"/>
      <c r="W2982" s="1176"/>
      <c r="X2982" s="1176"/>
      <c r="Y2982" s="1176"/>
      <c r="Z2982" s="1176"/>
      <c r="AA2982" s="1176"/>
      <c r="AB2982" s="1176"/>
      <c r="AC2982" s="1176"/>
      <c r="AD2982" s="1176"/>
      <c r="AE2982" s="1176"/>
      <c r="AF2982" s="1176"/>
      <c r="AG2982" s="1176"/>
      <c r="AH2982" s="1176"/>
      <c r="AI2982" s="1176"/>
      <c r="AJ2982" s="1176"/>
      <c r="AK2982" s="1176"/>
      <c r="AL2982" s="1176"/>
    </row>
    <row r="2983" spans="1:38" s="466" customFormat="1" ht="21" x14ac:dyDescent="0.4">
      <c r="A2983" s="2290">
        <v>7</v>
      </c>
      <c r="B2983" s="390" t="s">
        <v>4118</v>
      </c>
      <c r="C2983" s="163" t="s">
        <v>4117</v>
      </c>
      <c r="D2983" s="164" t="s">
        <v>172</v>
      </c>
      <c r="E2983" s="165" t="s">
        <v>1106</v>
      </c>
      <c r="F2983" s="170">
        <v>23325</v>
      </c>
      <c r="G2983" s="1177">
        <v>50812.45</v>
      </c>
      <c r="H2983" s="1780" t="s">
        <v>3892</v>
      </c>
      <c r="I2983" s="2287" t="s">
        <v>25</v>
      </c>
      <c r="K2983" s="1174"/>
      <c r="L2983" s="1176"/>
      <c r="M2983" s="1176"/>
      <c r="N2983" s="1176"/>
      <c r="O2983" s="1176"/>
      <c r="P2983" s="1176"/>
      <c r="Q2983" s="1176"/>
      <c r="R2983" s="1176"/>
      <c r="S2983" s="1176"/>
      <c r="T2983" s="1176"/>
      <c r="U2983" s="1176"/>
      <c r="V2983" s="1176"/>
      <c r="W2983" s="1176"/>
      <c r="X2983" s="1176"/>
      <c r="Y2983" s="1176"/>
      <c r="Z2983" s="1176"/>
      <c r="AA2983" s="1176"/>
      <c r="AB2983" s="1176"/>
      <c r="AC2983" s="1176"/>
      <c r="AD2983" s="1176"/>
      <c r="AE2983" s="1176"/>
      <c r="AF2983" s="1176"/>
      <c r="AG2983" s="1176"/>
      <c r="AH2983" s="1176"/>
      <c r="AI2983" s="1176"/>
      <c r="AJ2983" s="1176"/>
      <c r="AK2983" s="1176"/>
      <c r="AL2983" s="1176"/>
    </row>
    <row r="2984" spans="1:38" s="466" customFormat="1" ht="21" x14ac:dyDescent="0.4">
      <c r="A2984" s="2290">
        <v>8</v>
      </c>
      <c r="B2984" s="390" t="s">
        <v>4118</v>
      </c>
      <c r="C2984" s="163" t="s">
        <v>4117</v>
      </c>
      <c r="D2984" s="164" t="s">
        <v>172</v>
      </c>
      <c r="E2984" s="165" t="s">
        <v>1107</v>
      </c>
      <c r="F2984" s="170">
        <v>23325</v>
      </c>
      <c r="G2984" s="1177">
        <v>50812.45</v>
      </c>
      <c r="H2984" s="1780" t="s">
        <v>3892</v>
      </c>
      <c r="I2984" s="2287" t="s">
        <v>25</v>
      </c>
      <c r="K2984" s="1174"/>
      <c r="L2984" s="1176"/>
      <c r="M2984" s="1176"/>
      <c r="N2984" s="1176"/>
      <c r="O2984" s="1176"/>
      <c r="P2984" s="1176"/>
      <c r="Q2984" s="1176"/>
      <c r="R2984" s="1176"/>
      <c r="S2984" s="1176"/>
      <c r="T2984" s="1176"/>
      <c r="U2984" s="1176"/>
      <c r="V2984" s="1176"/>
      <c r="W2984" s="1176"/>
      <c r="X2984" s="1176"/>
      <c r="Y2984" s="1176"/>
      <c r="Z2984" s="1176"/>
      <c r="AA2984" s="1176"/>
      <c r="AB2984" s="1176"/>
      <c r="AC2984" s="1176"/>
      <c r="AD2984" s="1176"/>
      <c r="AE2984" s="1176"/>
      <c r="AF2984" s="1176"/>
      <c r="AG2984" s="1176"/>
      <c r="AH2984" s="1176"/>
      <c r="AI2984" s="1176"/>
      <c r="AJ2984" s="1176"/>
      <c r="AK2984" s="1176"/>
      <c r="AL2984" s="1176"/>
    </row>
    <row r="2985" spans="1:38" s="466" customFormat="1" ht="21" x14ac:dyDescent="0.4">
      <c r="A2985" s="2290">
        <v>9</v>
      </c>
      <c r="B2985" s="390" t="s">
        <v>4118</v>
      </c>
      <c r="C2985" s="163" t="s">
        <v>4117</v>
      </c>
      <c r="D2985" s="164" t="s">
        <v>172</v>
      </c>
      <c r="E2985" s="165" t="s">
        <v>399</v>
      </c>
      <c r="F2985" s="170">
        <v>23325</v>
      </c>
      <c r="G2985" s="1177">
        <v>50812.45</v>
      </c>
      <c r="H2985" s="1780" t="s">
        <v>3892</v>
      </c>
      <c r="I2985" s="2287" t="s">
        <v>25</v>
      </c>
      <c r="K2985" s="1174"/>
      <c r="L2985" s="1176"/>
      <c r="M2985" s="1176"/>
      <c r="N2985" s="1176"/>
      <c r="O2985" s="1176"/>
      <c r="P2985" s="1176"/>
      <c r="Q2985" s="1176"/>
      <c r="R2985" s="1176"/>
      <c r="S2985" s="1176"/>
      <c r="T2985" s="1176"/>
      <c r="U2985" s="1176"/>
      <c r="V2985" s="1176"/>
      <c r="W2985" s="1176"/>
      <c r="X2985" s="1176"/>
      <c r="Y2985" s="1176"/>
      <c r="Z2985" s="1176"/>
      <c r="AA2985" s="1176"/>
      <c r="AB2985" s="1176"/>
      <c r="AC2985" s="1176"/>
      <c r="AD2985" s="1176"/>
      <c r="AE2985" s="1176"/>
      <c r="AF2985" s="1176"/>
      <c r="AG2985" s="1176"/>
      <c r="AH2985" s="1176"/>
      <c r="AI2985" s="1176"/>
      <c r="AJ2985" s="1176"/>
      <c r="AK2985" s="1176"/>
      <c r="AL2985" s="1176"/>
    </row>
    <row r="2986" spans="1:38" s="466" customFormat="1" ht="21" x14ac:dyDescent="0.4">
      <c r="A2986" s="2290">
        <v>10</v>
      </c>
      <c r="B2986" s="390" t="s">
        <v>4118</v>
      </c>
      <c r="C2986" s="163" t="s">
        <v>4117</v>
      </c>
      <c r="D2986" s="164" t="s">
        <v>172</v>
      </c>
      <c r="E2986" s="165" t="s">
        <v>1108</v>
      </c>
      <c r="F2986" s="170">
        <v>23325</v>
      </c>
      <c r="G2986" s="1177">
        <v>50812.45</v>
      </c>
      <c r="H2986" s="1780" t="s">
        <v>3892</v>
      </c>
      <c r="I2986" s="2287" t="s">
        <v>25</v>
      </c>
      <c r="K2986" s="1174"/>
      <c r="L2986" s="1176"/>
      <c r="M2986" s="1176"/>
      <c r="N2986" s="1176"/>
      <c r="O2986" s="1176"/>
      <c r="P2986" s="1176"/>
      <c r="Q2986" s="1176"/>
      <c r="R2986" s="1176"/>
      <c r="S2986" s="1176"/>
      <c r="T2986" s="1176"/>
      <c r="U2986" s="1176"/>
      <c r="V2986" s="1176"/>
      <c r="W2986" s="1176"/>
      <c r="X2986" s="1176"/>
      <c r="Y2986" s="1176"/>
      <c r="Z2986" s="1176"/>
      <c r="AA2986" s="1176"/>
      <c r="AB2986" s="1176"/>
      <c r="AC2986" s="1176"/>
      <c r="AD2986" s="1176"/>
      <c r="AE2986" s="1176"/>
      <c r="AF2986" s="1176"/>
      <c r="AG2986" s="1176"/>
      <c r="AH2986" s="1176"/>
      <c r="AI2986" s="1176"/>
      <c r="AJ2986" s="1176"/>
      <c r="AK2986" s="1176"/>
      <c r="AL2986" s="1176"/>
    </row>
    <row r="2987" spans="1:38" s="466" customFormat="1" ht="21" x14ac:dyDescent="0.4">
      <c r="A2987" s="2290">
        <v>11</v>
      </c>
      <c r="B2987" s="390" t="s">
        <v>4118</v>
      </c>
      <c r="C2987" s="163" t="s">
        <v>4117</v>
      </c>
      <c r="D2987" s="164" t="s">
        <v>172</v>
      </c>
      <c r="E2987" s="165" t="s">
        <v>1110</v>
      </c>
      <c r="F2987" s="170">
        <v>23325</v>
      </c>
      <c r="G2987" s="1177">
        <v>50812.45</v>
      </c>
      <c r="H2987" s="1780" t="s">
        <v>3892</v>
      </c>
      <c r="I2987" s="2287" t="s">
        <v>25</v>
      </c>
      <c r="K2987" s="1174"/>
      <c r="L2987" s="1176"/>
      <c r="M2987" s="1176"/>
      <c r="N2987" s="1176"/>
      <c r="O2987" s="1176"/>
      <c r="P2987" s="1176"/>
      <c r="Q2987" s="1176"/>
      <c r="R2987" s="1176"/>
      <c r="S2987" s="1176"/>
      <c r="T2987" s="1176"/>
      <c r="U2987" s="1176"/>
      <c r="V2987" s="1176"/>
      <c r="W2987" s="1176"/>
      <c r="X2987" s="1176"/>
      <c r="Y2987" s="1176"/>
      <c r="Z2987" s="1176"/>
      <c r="AA2987" s="1176"/>
      <c r="AB2987" s="1176"/>
      <c r="AC2987" s="1176"/>
      <c r="AD2987" s="1176"/>
      <c r="AE2987" s="1176"/>
      <c r="AF2987" s="1176"/>
      <c r="AG2987" s="1176"/>
      <c r="AH2987" s="1176"/>
      <c r="AI2987" s="1176"/>
      <c r="AJ2987" s="1176"/>
      <c r="AK2987" s="1176"/>
      <c r="AL2987" s="1176"/>
    </row>
    <row r="2988" spans="1:38" s="466" customFormat="1" ht="21" x14ac:dyDescent="0.4">
      <c r="A2988" s="2290">
        <v>12</v>
      </c>
      <c r="B2988" s="390" t="s">
        <v>4118</v>
      </c>
      <c r="C2988" s="163" t="s">
        <v>4117</v>
      </c>
      <c r="D2988" s="164" t="s">
        <v>172</v>
      </c>
      <c r="E2988" s="165" t="s">
        <v>1112</v>
      </c>
      <c r="F2988" s="170">
        <v>23325</v>
      </c>
      <c r="G2988" s="1177">
        <v>50812.45</v>
      </c>
      <c r="H2988" s="1780" t="s">
        <v>3892</v>
      </c>
      <c r="I2988" s="2287" t="s">
        <v>25</v>
      </c>
      <c r="K2988" s="1174"/>
      <c r="L2988" s="1176"/>
      <c r="M2988" s="1176"/>
      <c r="N2988" s="1176"/>
      <c r="O2988" s="1176"/>
      <c r="P2988" s="1176"/>
      <c r="Q2988" s="1176"/>
      <c r="R2988" s="1176"/>
      <c r="S2988" s="1176"/>
      <c r="T2988" s="1176"/>
      <c r="U2988" s="1176"/>
      <c r="V2988" s="1176"/>
      <c r="W2988" s="1176"/>
      <c r="X2988" s="1176"/>
      <c r="Y2988" s="1176"/>
      <c r="Z2988" s="1176"/>
      <c r="AA2988" s="1176"/>
      <c r="AB2988" s="1176"/>
      <c r="AC2988" s="1176"/>
      <c r="AD2988" s="1176"/>
      <c r="AE2988" s="1176"/>
      <c r="AF2988" s="1176"/>
      <c r="AG2988" s="1176"/>
      <c r="AH2988" s="1176"/>
      <c r="AI2988" s="1176"/>
      <c r="AJ2988" s="1176"/>
      <c r="AK2988" s="1176"/>
      <c r="AL2988" s="1176"/>
    </row>
    <row r="2989" spans="1:38" s="466" customFormat="1" ht="21" x14ac:dyDescent="0.4">
      <c r="A2989" s="2290">
        <v>13</v>
      </c>
      <c r="B2989" s="390" t="s">
        <v>4118</v>
      </c>
      <c r="C2989" s="163" t="s">
        <v>4117</v>
      </c>
      <c r="D2989" s="164" t="s">
        <v>172</v>
      </c>
      <c r="E2989" s="165" t="s">
        <v>1113</v>
      </c>
      <c r="F2989" s="170">
        <v>23325</v>
      </c>
      <c r="G2989" s="1177">
        <v>50812.45</v>
      </c>
      <c r="H2989" s="1780" t="s">
        <v>3892</v>
      </c>
      <c r="I2989" s="2287" t="s">
        <v>25</v>
      </c>
      <c r="K2989" s="1174"/>
      <c r="L2989" s="1176"/>
      <c r="M2989" s="1176"/>
      <c r="N2989" s="1176"/>
      <c r="O2989" s="1176"/>
      <c r="P2989" s="1176"/>
      <c r="Q2989" s="1176"/>
      <c r="R2989" s="1176"/>
      <c r="S2989" s="1176"/>
      <c r="T2989" s="1176"/>
      <c r="U2989" s="1176"/>
      <c r="V2989" s="1176"/>
      <c r="W2989" s="1176"/>
      <c r="X2989" s="1176"/>
      <c r="Y2989" s="1176"/>
      <c r="Z2989" s="1176"/>
      <c r="AA2989" s="1176"/>
      <c r="AB2989" s="1176"/>
      <c r="AC2989" s="1176"/>
      <c r="AD2989" s="1176"/>
      <c r="AE2989" s="1176"/>
      <c r="AF2989" s="1176"/>
      <c r="AG2989" s="1176"/>
      <c r="AH2989" s="1176"/>
      <c r="AI2989" s="1176"/>
      <c r="AJ2989" s="1176"/>
      <c r="AK2989" s="1176"/>
      <c r="AL2989" s="1176"/>
    </row>
    <row r="2990" spans="1:38" s="466" customFormat="1" ht="21" x14ac:dyDescent="0.4">
      <c r="A2990" s="2290">
        <v>14</v>
      </c>
      <c r="B2990" s="390" t="s">
        <v>4118</v>
      </c>
      <c r="C2990" s="163" t="s">
        <v>4117</v>
      </c>
      <c r="D2990" s="164" t="s">
        <v>172</v>
      </c>
      <c r="E2990" s="165" t="s">
        <v>1114</v>
      </c>
      <c r="F2990" s="170">
        <v>23325</v>
      </c>
      <c r="G2990" s="1177">
        <v>50812.45</v>
      </c>
      <c r="H2990" s="1780" t="s">
        <v>3892</v>
      </c>
      <c r="I2990" s="2287" t="s">
        <v>25</v>
      </c>
      <c r="K2990" s="1174"/>
      <c r="L2990" s="1176"/>
      <c r="M2990" s="1176"/>
      <c r="N2990" s="1176"/>
      <c r="O2990" s="1176"/>
      <c r="P2990" s="1176"/>
      <c r="Q2990" s="1176"/>
      <c r="R2990" s="1176"/>
      <c r="S2990" s="1176"/>
      <c r="T2990" s="1176"/>
      <c r="U2990" s="1176"/>
      <c r="V2990" s="1176"/>
      <c r="W2990" s="1176"/>
      <c r="X2990" s="1176"/>
      <c r="Y2990" s="1176"/>
      <c r="Z2990" s="1176"/>
      <c r="AA2990" s="1176"/>
      <c r="AB2990" s="1176"/>
      <c r="AC2990" s="1176"/>
      <c r="AD2990" s="1176"/>
      <c r="AE2990" s="1176"/>
      <c r="AF2990" s="1176"/>
      <c r="AG2990" s="1176"/>
      <c r="AH2990" s="1176"/>
      <c r="AI2990" s="1176"/>
      <c r="AJ2990" s="1176"/>
      <c r="AK2990" s="1176"/>
      <c r="AL2990" s="1176"/>
    </row>
    <row r="2991" spans="1:38" s="466" customFormat="1" ht="21" x14ac:dyDescent="0.4">
      <c r="A2991" s="2290">
        <v>15</v>
      </c>
      <c r="B2991" s="390" t="s">
        <v>4118</v>
      </c>
      <c r="C2991" s="163" t="s">
        <v>4117</v>
      </c>
      <c r="D2991" s="164" t="s">
        <v>172</v>
      </c>
      <c r="E2991" s="165" t="s">
        <v>1115</v>
      </c>
      <c r="F2991" s="170">
        <v>23325</v>
      </c>
      <c r="G2991" s="1177">
        <v>50812.45</v>
      </c>
      <c r="H2991" s="1780" t="s">
        <v>3892</v>
      </c>
      <c r="I2991" s="2287" t="s">
        <v>25</v>
      </c>
      <c r="K2991" s="1174"/>
      <c r="L2991" s="1176"/>
      <c r="M2991" s="1176"/>
      <c r="N2991" s="1176"/>
      <c r="O2991" s="1176"/>
      <c r="P2991" s="1176"/>
      <c r="Q2991" s="1176"/>
      <c r="R2991" s="1176"/>
      <c r="S2991" s="1176"/>
      <c r="T2991" s="1176"/>
      <c r="U2991" s="1176"/>
      <c r="V2991" s="1176"/>
      <c r="W2991" s="1176"/>
      <c r="X2991" s="1176"/>
      <c r="Y2991" s="1176"/>
      <c r="Z2991" s="1176"/>
      <c r="AA2991" s="1176"/>
      <c r="AB2991" s="1176"/>
      <c r="AC2991" s="1176"/>
      <c r="AD2991" s="1176"/>
      <c r="AE2991" s="1176"/>
      <c r="AF2991" s="1176"/>
      <c r="AG2991" s="1176"/>
      <c r="AH2991" s="1176"/>
      <c r="AI2991" s="1176"/>
      <c r="AJ2991" s="1176"/>
      <c r="AK2991" s="1176"/>
      <c r="AL2991" s="1176"/>
    </row>
    <row r="2992" spans="1:38" s="466" customFormat="1" ht="21" x14ac:dyDescent="0.4">
      <c r="A2992" s="2290">
        <v>16</v>
      </c>
      <c r="B2992" s="390" t="s">
        <v>4118</v>
      </c>
      <c r="C2992" s="163" t="s">
        <v>4117</v>
      </c>
      <c r="D2992" s="164" t="s">
        <v>172</v>
      </c>
      <c r="E2992" s="165" t="s">
        <v>1347</v>
      </c>
      <c r="F2992" s="170">
        <v>23325</v>
      </c>
      <c r="G2992" s="1177">
        <v>50812.45</v>
      </c>
      <c r="H2992" s="1780" t="s">
        <v>3892</v>
      </c>
      <c r="I2992" s="2287" t="s">
        <v>25</v>
      </c>
      <c r="K2992" s="1174"/>
      <c r="L2992" s="1176"/>
      <c r="M2992" s="1176"/>
      <c r="N2992" s="1176"/>
      <c r="O2992" s="1176"/>
      <c r="P2992" s="1176"/>
      <c r="Q2992" s="1176"/>
      <c r="R2992" s="1176"/>
      <c r="S2992" s="1176"/>
      <c r="T2992" s="1176"/>
      <c r="U2992" s="1176"/>
      <c r="V2992" s="1176"/>
      <c r="W2992" s="1176"/>
      <c r="X2992" s="1176"/>
      <c r="Y2992" s="1176"/>
      <c r="Z2992" s="1176"/>
      <c r="AA2992" s="1176"/>
      <c r="AB2992" s="1176"/>
      <c r="AC2992" s="1176"/>
      <c r="AD2992" s="1176"/>
      <c r="AE2992" s="1176"/>
      <c r="AF2992" s="1176"/>
      <c r="AG2992" s="1176"/>
      <c r="AH2992" s="1176"/>
      <c r="AI2992" s="1176"/>
      <c r="AJ2992" s="1176"/>
      <c r="AK2992" s="1176"/>
      <c r="AL2992" s="1176"/>
    </row>
    <row r="2993" spans="1:38" s="466" customFormat="1" ht="21" x14ac:dyDescent="0.4">
      <c r="A2993" s="2290">
        <v>17</v>
      </c>
      <c r="B2993" s="390" t="s">
        <v>4118</v>
      </c>
      <c r="C2993" s="163" t="s">
        <v>4117</v>
      </c>
      <c r="D2993" s="164" t="s">
        <v>172</v>
      </c>
      <c r="E2993" s="165" t="s">
        <v>1351</v>
      </c>
      <c r="F2993" s="170">
        <v>23325</v>
      </c>
      <c r="G2993" s="1177">
        <v>50812.45</v>
      </c>
      <c r="H2993" s="1780" t="s">
        <v>3892</v>
      </c>
      <c r="I2993" s="2287" t="s">
        <v>25</v>
      </c>
      <c r="K2993" s="1174"/>
      <c r="L2993" s="1176"/>
      <c r="M2993" s="1176"/>
      <c r="N2993" s="1176"/>
      <c r="O2993" s="1176"/>
      <c r="P2993" s="1176"/>
      <c r="Q2993" s="1176"/>
      <c r="R2993" s="1176"/>
      <c r="S2993" s="1176"/>
      <c r="T2993" s="1176"/>
      <c r="U2993" s="1176"/>
      <c r="V2993" s="1176"/>
      <c r="W2993" s="1176"/>
      <c r="X2993" s="1176"/>
      <c r="Y2993" s="1176"/>
      <c r="Z2993" s="1176"/>
      <c r="AA2993" s="1176"/>
      <c r="AB2993" s="1176"/>
      <c r="AC2993" s="1176"/>
      <c r="AD2993" s="1176"/>
      <c r="AE2993" s="1176"/>
      <c r="AF2993" s="1176"/>
      <c r="AG2993" s="1176"/>
      <c r="AH2993" s="1176"/>
      <c r="AI2993" s="1176"/>
      <c r="AJ2993" s="1176"/>
      <c r="AK2993" s="1176"/>
      <c r="AL2993" s="1176"/>
    </row>
    <row r="2994" spans="1:38" s="466" customFormat="1" ht="21" x14ac:dyDescent="0.4">
      <c r="A2994" s="2290">
        <v>18</v>
      </c>
      <c r="B2994" s="390" t="s">
        <v>4118</v>
      </c>
      <c r="C2994" s="163" t="s">
        <v>4117</v>
      </c>
      <c r="D2994" s="164" t="s">
        <v>172</v>
      </c>
      <c r="E2994" s="165" t="s">
        <v>1352</v>
      </c>
      <c r="F2994" s="170">
        <v>23325</v>
      </c>
      <c r="G2994" s="1177">
        <v>50812.45</v>
      </c>
      <c r="H2994" s="1780" t="s">
        <v>3892</v>
      </c>
      <c r="I2994" s="2287" t="s">
        <v>25</v>
      </c>
      <c r="K2994" s="1174"/>
      <c r="L2994" s="1176"/>
      <c r="M2994" s="1176"/>
      <c r="N2994" s="1176"/>
      <c r="O2994" s="1176"/>
      <c r="P2994" s="1176"/>
      <c r="Q2994" s="1176"/>
      <c r="R2994" s="1176"/>
      <c r="S2994" s="1176"/>
      <c r="T2994" s="1176"/>
      <c r="U2994" s="1176"/>
      <c r="V2994" s="1176"/>
      <c r="W2994" s="1176"/>
      <c r="X2994" s="1176"/>
      <c r="Y2994" s="1176"/>
      <c r="Z2994" s="1176"/>
      <c r="AA2994" s="1176"/>
      <c r="AB2994" s="1176"/>
      <c r="AC2994" s="1176"/>
      <c r="AD2994" s="1176"/>
      <c r="AE2994" s="1176"/>
      <c r="AF2994" s="1176"/>
      <c r="AG2994" s="1176"/>
      <c r="AH2994" s="1176"/>
      <c r="AI2994" s="1176"/>
      <c r="AJ2994" s="1176"/>
      <c r="AK2994" s="1176"/>
      <c r="AL2994" s="1176"/>
    </row>
    <row r="2995" spans="1:38" s="466" customFormat="1" ht="21" x14ac:dyDescent="0.4">
      <c r="A2995" s="2290">
        <v>19</v>
      </c>
      <c r="B2995" s="390" t="s">
        <v>4118</v>
      </c>
      <c r="C2995" s="163" t="s">
        <v>4117</v>
      </c>
      <c r="D2995" s="164" t="s">
        <v>172</v>
      </c>
      <c r="E2995" s="165" t="s">
        <v>535</v>
      </c>
      <c r="F2995" s="170">
        <v>23325</v>
      </c>
      <c r="G2995" s="1177">
        <v>50812.45</v>
      </c>
      <c r="H2995" s="1780" t="s">
        <v>3892</v>
      </c>
      <c r="I2995" s="2287" t="s">
        <v>25</v>
      </c>
      <c r="K2995" s="1174"/>
      <c r="L2995" s="1176"/>
      <c r="M2995" s="1176"/>
      <c r="N2995" s="1176"/>
      <c r="O2995" s="1176"/>
      <c r="P2995" s="1176"/>
      <c r="Q2995" s="1176"/>
      <c r="R2995" s="1176"/>
      <c r="S2995" s="1176"/>
      <c r="T2995" s="1176"/>
      <c r="U2995" s="1176"/>
      <c r="V2995" s="1176"/>
      <c r="W2995" s="1176"/>
      <c r="X2995" s="1176"/>
      <c r="Y2995" s="1176"/>
      <c r="Z2995" s="1176"/>
      <c r="AA2995" s="1176"/>
      <c r="AB2995" s="1176"/>
      <c r="AC2995" s="1176"/>
      <c r="AD2995" s="1176"/>
      <c r="AE2995" s="1176"/>
      <c r="AF2995" s="1176"/>
      <c r="AG2995" s="1176"/>
      <c r="AH2995" s="1176"/>
      <c r="AI2995" s="1176"/>
      <c r="AJ2995" s="1176"/>
      <c r="AK2995" s="1176"/>
      <c r="AL2995" s="1176"/>
    </row>
    <row r="2996" spans="1:38" s="466" customFormat="1" ht="21" x14ac:dyDescent="0.4">
      <c r="A2996" s="2290">
        <v>20</v>
      </c>
      <c r="B2996" s="390" t="s">
        <v>4118</v>
      </c>
      <c r="C2996" s="163" t="s">
        <v>4117</v>
      </c>
      <c r="D2996" s="164" t="s">
        <v>172</v>
      </c>
      <c r="E2996" s="165" t="s">
        <v>538</v>
      </c>
      <c r="F2996" s="170">
        <v>23325</v>
      </c>
      <c r="G2996" s="1177">
        <v>50812.45</v>
      </c>
      <c r="H2996" s="1780" t="s">
        <v>3892</v>
      </c>
      <c r="I2996" s="2287" t="s">
        <v>25</v>
      </c>
      <c r="K2996" s="1174"/>
      <c r="L2996" s="1176"/>
      <c r="M2996" s="1176"/>
      <c r="N2996" s="1176"/>
      <c r="O2996" s="1176"/>
      <c r="P2996" s="1176"/>
      <c r="Q2996" s="1176"/>
      <c r="R2996" s="1176"/>
      <c r="S2996" s="1176"/>
      <c r="T2996" s="1176"/>
      <c r="U2996" s="1176"/>
      <c r="V2996" s="1176"/>
      <c r="W2996" s="1176"/>
      <c r="X2996" s="1176"/>
      <c r="Y2996" s="1176"/>
      <c r="Z2996" s="1176"/>
      <c r="AA2996" s="1176"/>
      <c r="AB2996" s="1176"/>
      <c r="AC2996" s="1176"/>
      <c r="AD2996" s="1176"/>
      <c r="AE2996" s="1176"/>
      <c r="AF2996" s="1176"/>
      <c r="AG2996" s="1176"/>
      <c r="AH2996" s="1176"/>
      <c r="AI2996" s="1176"/>
      <c r="AJ2996" s="1176"/>
      <c r="AK2996" s="1176"/>
      <c r="AL2996" s="1176"/>
    </row>
    <row r="2997" spans="1:38" s="466" customFormat="1" ht="21" x14ac:dyDescent="0.4">
      <c r="A2997" s="2290">
        <v>21</v>
      </c>
      <c r="B2997" s="390" t="s">
        <v>4118</v>
      </c>
      <c r="C2997" s="163" t="s">
        <v>4117</v>
      </c>
      <c r="D2997" s="164" t="s">
        <v>172</v>
      </c>
      <c r="E2997" s="165" t="s">
        <v>934</v>
      </c>
      <c r="F2997" s="170">
        <v>23325</v>
      </c>
      <c r="G2997" s="1177">
        <v>50812.45</v>
      </c>
      <c r="H2997" s="1780" t="s">
        <v>3892</v>
      </c>
      <c r="I2997" s="2287" t="s">
        <v>25</v>
      </c>
      <c r="K2997" s="1174"/>
      <c r="L2997" s="1176"/>
      <c r="M2997" s="1176"/>
      <c r="N2997" s="1176"/>
      <c r="O2997" s="1176"/>
      <c r="P2997" s="1176"/>
      <c r="Q2997" s="1176"/>
      <c r="R2997" s="1176"/>
      <c r="S2997" s="1176"/>
      <c r="T2997" s="1176"/>
      <c r="U2997" s="1176"/>
      <c r="V2997" s="1176"/>
      <c r="W2997" s="1176"/>
      <c r="X2997" s="1176"/>
      <c r="Y2997" s="1176"/>
      <c r="Z2997" s="1176"/>
      <c r="AA2997" s="1176"/>
      <c r="AB2997" s="1176"/>
      <c r="AC2997" s="1176"/>
      <c r="AD2997" s="1176"/>
      <c r="AE2997" s="1176"/>
      <c r="AF2997" s="1176"/>
      <c r="AG2997" s="1176"/>
      <c r="AH2997" s="1176"/>
      <c r="AI2997" s="1176"/>
      <c r="AJ2997" s="1176"/>
      <c r="AK2997" s="1176"/>
      <c r="AL2997" s="1176"/>
    </row>
    <row r="2998" spans="1:38" s="466" customFormat="1" ht="21" x14ac:dyDescent="0.4">
      <c r="A2998" s="2290">
        <v>22</v>
      </c>
      <c r="B2998" s="390" t="s">
        <v>4118</v>
      </c>
      <c r="C2998" s="163" t="s">
        <v>4117</v>
      </c>
      <c r="D2998" s="164" t="s">
        <v>172</v>
      </c>
      <c r="E2998" s="165" t="s">
        <v>1353</v>
      </c>
      <c r="F2998" s="170">
        <v>23325</v>
      </c>
      <c r="G2998" s="1177">
        <v>50812.45</v>
      </c>
      <c r="H2998" s="1780" t="s">
        <v>3892</v>
      </c>
      <c r="I2998" s="2287" t="s">
        <v>25</v>
      </c>
      <c r="K2998" s="1174"/>
      <c r="L2998" s="1176"/>
      <c r="M2998" s="1176"/>
      <c r="N2998" s="1176"/>
      <c r="O2998" s="1176"/>
      <c r="P2998" s="1176"/>
      <c r="Q2998" s="1176"/>
      <c r="R2998" s="1176"/>
      <c r="S2998" s="1176"/>
      <c r="T2998" s="1176"/>
      <c r="U2998" s="1176"/>
      <c r="V2998" s="1176"/>
      <c r="W2998" s="1176"/>
      <c r="X2998" s="1176"/>
      <c r="Y2998" s="1176"/>
      <c r="Z2998" s="1176"/>
      <c r="AA2998" s="1176"/>
      <c r="AB2998" s="1176"/>
      <c r="AC2998" s="1176"/>
      <c r="AD2998" s="1176"/>
      <c r="AE2998" s="1176"/>
      <c r="AF2998" s="1176"/>
      <c r="AG2998" s="1176"/>
      <c r="AH2998" s="1176"/>
      <c r="AI2998" s="1176"/>
      <c r="AJ2998" s="1176"/>
      <c r="AK2998" s="1176"/>
      <c r="AL2998" s="1176"/>
    </row>
    <row r="2999" spans="1:38" s="466" customFormat="1" ht="21" x14ac:dyDescent="0.4">
      <c r="A2999" s="2290">
        <v>23</v>
      </c>
      <c r="B2999" s="390" t="s">
        <v>4118</v>
      </c>
      <c r="C2999" s="163" t="s">
        <v>4117</v>
      </c>
      <c r="D2999" s="164" t="s">
        <v>172</v>
      </c>
      <c r="E2999" s="165" t="s">
        <v>418</v>
      </c>
      <c r="F2999" s="170">
        <v>23325</v>
      </c>
      <c r="G2999" s="1177">
        <v>50812.45</v>
      </c>
      <c r="H2999" s="1780" t="s">
        <v>3892</v>
      </c>
      <c r="I2999" s="2287" t="s">
        <v>25</v>
      </c>
      <c r="K2999" s="1174"/>
      <c r="L2999" s="1176"/>
      <c r="M2999" s="1176"/>
      <c r="N2999" s="1176"/>
      <c r="O2999" s="1176"/>
      <c r="P2999" s="1176"/>
      <c r="Q2999" s="1176"/>
      <c r="R2999" s="1176"/>
      <c r="S2999" s="1176"/>
      <c r="T2999" s="1176"/>
      <c r="U2999" s="1176"/>
      <c r="V2999" s="1176"/>
      <c r="W2999" s="1176"/>
      <c r="X2999" s="1176"/>
      <c r="Y2999" s="1176"/>
      <c r="Z2999" s="1176"/>
      <c r="AA2999" s="1176"/>
      <c r="AB2999" s="1176"/>
      <c r="AC2999" s="1176"/>
      <c r="AD2999" s="1176"/>
      <c r="AE2999" s="1176"/>
      <c r="AF2999" s="1176"/>
      <c r="AG2999" s="1176"/>
      <c r="AH2999" s="1176"/>
      <c r="AI2999" s="1176"/>
      <c r="AJ2999" s="1176"/>
      <c r="AK2999" s="1176"/>
      <c r="AL2999" s="1176"/>
    </row>
    <row r="3000" spans="1:38" s="466" customFormat="1" ht="21" x14ac:dyDescent="0.4">
      <c r="A3000" s="2290">
        <v>24</v>
      </c>
      <c r="B3000" s="390" t="s">
        <v>4118</v>
      </c>
      <c r="C3000" s="163" t="s">
        <v>4117</v>
      </c>
      <c r="D3000" s="164" t="s">
        <v>172</v>
      </c>
      <c r="E3000" s="165" t="s">
        <v>542</v>
      </c>
      <c r="F3000" s="170">
        <v>23325</v>
      </c>
      <c r="G3000" s="1177">
        <v>50812.45</v>
      </c>
      <c r="H3000" s="1780" t="s">
        <v>3892</v>
      </c>
      <c r="I3000" s="2287" t="s">
        <v>25</v>
      </c>
      <c r="K3000" s="1174"/>
      <c r="L3000" s="1176"/>
      <c r="M3000" s="1176"/>
      <c r="N3000" s="1176"/>
      <c r="O3000" s="1176"/>
      <c r="P3000" s="1176"/>
      <c r="Q3000" s="1176"/>
      <c r="R3000" s="1176"/>
      <c r="S3000" s="1176"/>
      <c r="T3000" s="1176"/>
      <c r="U3000" s="1176"/>
      <c r="V3000" s="1176"/>
      <c r="W3000" s="1176"/>
      <c r="X3000" s="1176"/>
      <c r="Y3000" s="1176"/>
      <c r="Z3000" s="1176"/>
      <c r="AA3000" s="1176"/>
      <c r="AB3000" s="1176"/>
      <c r="AC3000" s="1176"/>
      <c r="AD3000" s="1176"/>
      <c r="AE3000" s="1176"/>
      <c r="AF3000" s="1176"/>
      <c r="AG3000" s="1176"/>
      <c r="AH3000" s="1176"/>
      <c r="AI3000" s="1176"/>
      <c r="AJ3000" s="1176"/>
      <c r="AK3000" s="1176"/>
      <c r="AL3000" s="1176"/>
    </row>
    <row r="3001" spans="1:38" s="466" customFormat="1" ht="21" x14ac:dyDescent="0.4">
      <c r="A3001" s="2290">
        <v>25</v>
      </c>
      <c r="B3001" s="390" t="s">
        <v>4118</v>
      </c>
      <c r="C3001" s="163" t="s">
        <v>4117</v>
      </c>
      <c r="D3001" s="164" t="s">
        <v>172</v>
      </c>
      <c r="E3001" s="165" t="s">
        <v>543</v>
      </c>
      <c r="F3001" s="170">
        <v>23325</v>
      </c>
      <c r="G3001" s="1177">
        <v>50812.45</v>
      </c>
      <c r="H3001" s="1780" t="s">
        <v>3892</v>
      </c>
      <c r="I3001" s="2287" t="s">
        <v>25</v>
      </c>
      <c r="K3001" s="1174"/>
      <c r="L3001" s="1176"/>
      <c r="M3001" s="1176"/>
      <c r="N3001" s="1176"/>
      <c r="O3001" s="1176"/>
      <c r="P3001" s="1176"/>
      <c r="Q3001" s="1176"/>
      <c r="R3001" s="1176"/>
      <c r="S3001" s="1176"/>
      <c r="T3001" s="1176"/>
      <c r="U3001" s="1176"/>
      <c r="V3001" s="1176"/>
      <c r="W3001" s="1176"/>
      <c r="X3001" s="1176"/>
      <c r="Y3001" s="1176"/>
      <c r="Z3001" s="1176"/>
      <c r="AA3001" s="1176"/>
      <c r="AB3001" s="1176"/>
      <c r="AC3001" s="1176"/>
      <c r="AD3001" s="1176"/>
      <c r="AE3001" s="1176"/>
      <c r="AF3001" s="1176"/>
      <c r="AG3001" s="1176"/>
      <c r="AH3001" s="1176"/>
      <c r="AI3001" s="1176"/>
      <c r="AJ3001" s="1176"/>
      <c r="AK3001" s="1176"/>
      <c r="AL3001" s="1176"/>
    </row>
    <row r="3002" spans="1:38" s="466" customFormat="1" ht="21" x14ac:dyDescent="0.4">
      <c r="A3002" s="2290">
        <v>26</v>
      </c>
      <c r="B3002" s="390" t="s">
        <v>4118</v>
      </c>
      <c r="C3002" s="163" t="s">
        <v>4117</v>
      </c>
      <c r="D3002" s="164" t="s">
        <v>172</v>
      </c>
      <c r="E3002" s="165" t="s">
        <v>544</v>
      </c>
      <c r="F3002" s="170">
        <v>23325</v>
      </c>
      <c r="G3002" s="1177">
        <v>50812.45</v>
      </c>
      <c r="H3002" s="1780" t="s">
        <v>3892</v>
      </c>
      <c r="I3002" s="2287" t="s">
        <v>25</v>
      </c>
      <c r="K3002" s="1174"/>
      <c r="L3002" s="1176"/>
      <c r="M3002" s="1176"/>
      <c r="N3002" s="1176"/>
      <c r="O3002" s="1176"/>
      <c r="P3002" s="1176"/>
      <c r="Q3002" s="1176"/>
      <c r="R3002" s="1176"/>
      <c r="S3002" s="1176"/>
      <c r="T3002" s="1176"/>
      <c r="U3002" s="1176"/>
      <c r="V3002" s="1176"/>
      <c r="W3002" s="1176"/>
      <c r="X3002" s="1176"/>
      <c r="Y3002" s="1176"/>
      <c r="Z3002" s="1176"/>
      <c r="AA3002" s="1176"/>
      <c r="AB3002" s="1176"/>
      <c r="AC3002" s="1176"/>
      <c r="AD3002" s="1176"/>
      <c r="AE3002" s="1176"/>
      <c r="AF3002" s="1176"/>
      <c r="AG3002" s="1176"/>
      <c r="AH3002" s="1176"/>
      <c r="AI3002" s="1176"/>
      <c r="AJ3002" s="1176"/>
      <c r="AK3002" s="1176"/>
      <c r="AL3002" s="1176"/>
    </row>
    <row r="3003" spans="1:38" s="466" customFormat="1" ht="21" x14ac:dyDescent="0.4">
      <c r="A3003" s="2290">
        <v>27</v>
      </c>
      <c r="B3003" s="390" t="s">
        <v>4118</v>
      </c>
      <c r="C3003" s="163" t="s">
        <v>4117</v>
      </c>
      <c r="D3003" s="164" t="s">
        <v>172</v>
      </c>
      <c r="E3003" s="165" t="s">
        <v>545</v>
      </c>
      <c r="F3003" s="170">
        <v>23325</v>
      </c>
      <c r="G3003" s="1177">
        <v>50812.45</v>
      </c>
      <c r="H3003" s="1780" t="s">
        <v>3892</v>
      </c>
      <c r="I3003" s="2287" t="s">
        <v>25</v>
      </c>
      <c r="K3003" s="1174"/>
      <c r="L3003" s="1176"/>
      <c r="M3003" s="1176"/>
      <c r="N3003" s="1176"/>
      <c r="O3003" s="1176"/>
      <c r="P3003" s="1176"/>
      <c r="Q3003" s="1176"/>
      <c r="R3003" s="1176"/>
      <c r="S3003" s="1176"/>
      <c r="T3003" s="1176"/>
      <c r="U3003" s="1176"/>
      <c r="V3003" s="1176"/>
      <c r="W3003" s="1176"/>
      <c r="X3003" s="1176"/>
      <c r="Y3003" s="1176"/>
      <c r="Z3003" s="1176"/>
      <c r="AA3003" s="1176"/>
      <c r="AB3003" s="1176"/>
      <c r="AC3003" s="1176"/>
      <c r="AD3003" s="1176"/>
      <c r="AE3003" s="1176"/>
      <c r="AF3003" s="1176"/>
      <c r="AG3003" s="1176"/>
      <c r="AH3003" s="1176"/>
      <c r="AI3003" s="1176"/>
      <c r="AJ3003" s="1176"/>
      <c r="AK3003" s="1176"/>
      <c r="AL3003" s="1176"/>
    </row>
    <row r="3004" spans="1:38" s="466" customFormat="1" ht="21" x14ac:dyDescent="0.4">
      <c r="A3004" s="2290">
        <v>28</v>
      </c>
      <c r="B3004" s="390" t="s">
        <v>4118</v>
      </c>
      <c r="C3004" s="163" t="s">
        <v>4117</v>
      </c>
      <c r="D3004" s="164" t="s">
        <v>172</v>
      </c>
      <c r="E3004" s="165" t="s">
        <v>546</v>
      </c>
      <c r="F3004" s="170">
        <v>23325</v>
      </c>
      <c r="G3004" s="1177">
        <v>50812.45</v>
      </c>
      <c r="H3004" s="1780" t="s">
        <v>3892</v>
      </c>
      <c r="I3004" s="2287" t="s">
        <v>25</v>
      </c>
      <c r="K3004" s="1174"/>
      <c r="L3004" s="1176"/>
      <c r="M3004" s="1176"/>
      <c r="N3004" s="1176"/>
      <c r="O3004" s="1176"/>
      <c r="P3004" s="1176"/>
      <c r="Q3004" s="1176"/>
      <c r="R3004" s="1176"/>
      <c r="S3004" s="1176"/>
      <c r="T3004" s="1176"/>
      <c r="U3004" s="1176"/>
      <c r="V3004" s="1176"/>
      <c r="W3004" s="1176"/>
      <c r="X3004" s="1176"/>
      <c r="Y3004" s="1176"/>
      <c r="Z3004" s="1176"/>
      <c r="AA3004" s="1176"/>
      <c r="AB3004" s="1176"/>
      <c r="AC3004" s="1176"/>
      <c r="AD3004" s="1176"/>
      <c r="AE3004" s="1176"/>
      <c r="AF3004" s="1176"/>
      <c r="AG3004" s="1176"/>
      <c r="AH3004" s="1176"/>
      <c r="AI3004" s="1176"/>
      <c r="AJ3004" s="1176"/>
      <c r="AK3004" s="1176"/>
      <c r="AL3004" s="1176"/>
    </row>
    <row r="3005" spans="1:38" s="466" customFormat="1" ht="21" x14ac:dyDescent="0.4">
      <c r="A3005" s="2290">
        <v>29</v>
      </c>
      <c r="B3005" s="390" t="s">
        <v>4118</v>
      </c>
      <c r="C3005" s="163" t="s">
        <v>4117</v>
      </c>
      <c r="D3005" s="164" t="s">
        <v>172</v>
      </c>
      <c r="E3005" s="165" t="s">
        <v>547</v>
      </c>
      <c r="F3005" s="170">
        <v>23325</v>
      </c>
      <c r="G3005" s="1177">
        <v>50812.45</v>
      </c>
      <c r="H3005" s="1780" t="s">
        <v>3892</v>
      </c>
      <c r="I3005" s="2287" t="s">
        <v>25</v>
      </c>
      <c r="K3005" s="1174"/>
      <c r="L3005" s="1176"/>
      <c r="M3005" s="1176"/>
      <c r="N3005" s="1176"/>
      <c r="O3005" s="1176"/>
      <c r="P3005" s="1176"/>
      <c r="Q3005" s="1176"/>
      <c r="R3005" s="1176"/>
      <c r="S3005" s="1176"/>
      <c r="T3005" s="1176"/>
      <c r="U3005" s="1176"/>
      <c r="V3005" s="1176"/>
      <c r="W3005" s="1176"/>
      <c r="X3005" s="1176"/>
      <c r="Y3005" s="1176"/>
      <c r="Z3005" s="1176"/>
      <c r="AA3005" s="1176"/>
      <c r="AB3005" s="1176"/>
      <c r="AC3005" s="1176"/>
      <c r="AD3005" s="1176"/>
      <c r="AE3005" s="1176"/>
      <c r="AF3005" s="1176"/>
      <c r="AG3005" s="1176"/>
      <c r="AH3005" s="1176"/>
      <c r="AI3005" s="1176"/>
      <c r="AJ3005" s="1176"/>
      <c r="AK3005" s="1176"/>
      <c r="AL3005" s="1176"/>
    </row>
    <row r="3006" spans="1:38" s="466" customFormat="1" ht="21" x14ac:dyDescent="0.4">
      <c r="A3006" s="2290">
        <v>30</v>
      </c>
      <c r="B3006" s="390" t="s">
        <v>4118</v>
      </c>
      <c r="C3006" s="163" t="s">
        <v>4117</v>
      </c>
      <c r="D3006" s="164" t="s">
        <v>172</v>
      </c>
      <c r="E3006" s="165" t="s">
        <v>319</v>
      </c>
      <c r="F3006" s="170">
        <v>23325</v>
      </c>
      <c r="G3006" s="1177">
        <v>50812.45</v>
      </c>
      <c r="H3006" s="1780" t="s">
        <v>3892</v>
      </c>
      <c r="I3006" s="2287" t="s">
        <v>25</v>
      </c>
      <c r="K3006" s="1174"/>
      <c r="L3006" s="1176"/>
      <c r="M3006" s="1176"/>
      <c r="N3006" s="1176"/>
      <c r="O3006" s="1176"/>
      <c r="P3006" s="1176"/>
      <c r="Q3006" s="1176"/>
      <c r="R3006" s="1176"/>
      <c r="S3006" s="1176"/>
      <c r="T3006" s="1176"/>
      <c r="U3006" s="1176"/>
      <c r="V3006" s="1176"/>
      <c r="W3006" s="1176"/>
      <c r="X3006" s="1176"/>
      <c r="Y3006" s="1176"/>
      <c r="Z3006" s="1176"/>
      <c r="AA3006" s="1176"/>
      <c r="AB3006" s="1176"/>
      <c r="AC3006" s="1176"/>
      <c r="AD3006" s="1176"/>
      <c r="AE3006" s="1176"/>
      <c r="AF3006" s="1176"/>
      <c r="AG3006" s="1176"/>
      <c r="AH3006" s="1176"/>
      <c r="AI3006" s="1176"/>
      <c r="AJ3006" s="1176"/>
      <c r="AK3006" s="1176"/>
      <c r="AL3006" s="1176"/>
    </row>
    <row r="3007" spans="1:38" s="466" customFormat="1" ht="21" x14ac:dyDescent="0.4">
      <c r="A3007" s="2290">
        <v>31</v>
      </c>
      <c r="B3007" s="390" t="s">
        <v>4118</v>
      </c>
      <c r="C3007" s="163" t="s">
        <v>4117</v>
      </c>
      <c r="D3007" s="164" t="s">
        <v>172</v>
      </c>
      <c r="E3007" s="165" t="s">
        <v>320</v>
      </c>
      <c r="F3007" s="170">
        <v>23325</v>
      </c>
      <c r="G3007" s="1177">
        <v>50812.45</v>
      </c>
      <c r="H3007" s="1780" t="s">
        <v>3892</v>
      </c>
      <c r="I3007" s="2287" t="s">
        <v>25</v>
      </c>
      <c r="K3007" s="1174"/>
      <c r="L3007" s="1176"/>
      <c r="M3007" s="1176"/>
      <c r="N3007" s="1176"/>
      <c r="O3007" s="1176"/>
      <c r="P3007" s="1176"/>
      <c r="Q3007" s="1176"/>
      <c r="R3007" s="1176"/>
      <c r="S3007" s="1176"/>
      <c r="T3007" s="1176"/>
      <c r="U3007" s="1176"/>
      <c r="V3007" s="1176"/>
      <c r="W3007" s="1176"/>
      <c r="X3007" s="1176"/>
      <c r="Y3007" s="1176"/>
      <c r="Z3007" s="1176"/>
      <c r="AA3007" s="1176"/>
      <c r="AB3007" s="1176"/>
      <c r="AC3007" s="1176"/>
      <c r="AD3007" s="1176"/>
      <c r="AE3007" s="1176"/>
      <c r="AF3007" s="1176"/>
      <c r="AG3007" s="1176"/>
      <c r="AH3007" s="1176"/>
      <c r="AI3007" s="1176"/>
      <c r="AJ3007" s="1176"/>
      <c r="AK3007" s="1176"/>
      <c r="AL3007" s="1176"/>
    </row>
    <row r="3008" spans="1:38" s="466" customFormat="1" ht="21" x14ac:dyDescent="0.4">
      <c r="A3008" s="2290">
        <v>32</v>
      </c>
      <c r="B3008" s="390" t="s">
        <v>4118</v>
      </c>
      <c r="C3008" s="163" t="s">
        <v>4117</v>
      </c>
      <c r="D3008" s="164" t="s">
        <v>172</v>
      </c>
      <c r="E3008" s="165" t="s">
        <v>322</v>
      </c>
      <c r="F3008" s="170">
        <v>23325</v>
      </c>
      <c r="G3008" s="1177">
        <v>50812.45</v>
      </c>
      <c r="H3008" s="1780" t="s">
        <v>3892</v>
      </c>
      <c r="I3008" s="2287" t="s">
        <v>25</v>
      </c>
      <c r="K3008" s="1174"/>
      <c r="L3008" s="1176"/>
      <c r="M3008" s="1176"/>
      <c r="N3008" s="1176"/>
      <c r="O3008" s="1176"/>
      <c r="P3008" s="1176"/>
      <c r="Q3008" s="1176"/>
      <c r="R3008" s="1176"/>
      <c r="S3008" s="1176"/>
      <c r="T3008" s="1176"/>
      <c r="U3008" s="1176"/>
      <c r="V3008" s="1176"/>
      <c r="W3008" s="1176"/>
      <c r="X3008" s="1176"/>
      <c r="Y3008" s="1176"/>
      <c r="Z3008" s="1176"/>
      <c r="AA3008" s="1176"/>
      <c r="AB3008" s="1176"/>
      <c r="AC3008" s="1176"/>
      <c r="AD3008" s="1176"/>
      <c r="AE3008" s="1176"/>
      <c r="AF3008" s="1176"/>
      <c r="AG3008" s="1176"/>
      <c r="AH3008" s="1176"/>
      <c r="AI3008" s="1176"/>
      <c r="AJ3008" s="1176"/>
      <c r="AK3008" s="1176"/>
      <c r="AL3008" s="1176"/>
    </row>
    <row r="3009" spans="1:38" s="466" customFormat="1" ht="21" x14ac:dyDescent="0.4">
      <c r="A3009" s="2290">
        <v>33</v>
      </c>
      <c r="B3009" s="390" t="s">
        <v>4118</v>
      </c>
      <c r="C3009" s="163" t="s">
        <v>4117</v>
      </c>
      <c r="D3009" s="164" t="s">
        <v>172</v>
      </c>
      <c r="E3009" s="165" t="s">
        <v>324</v>
      </c>
      <c r="F3009" s="170">
        <v>23325</v>
      </c>
      <c r="G3009" s="1177">
        <v>50812.6</v>
      </c>
      <c r="H3009" s="1780" t="s">
        <v>3892</v>
      </c>
      <c r="I3009" s="2287" t="s">
        <v>25</v>
      </c>
      <c r="K3009" s="1174"/>
      <c r="L3009" s="1176"/>
      <c r="M3009" s="1176"/>
      <c r="N3009" s="1176"/>
      <c r="O3009" s="1176"/>
      <c r="P3009" s="1176"/>
      <c r="Q3009" s="1176"/>
      <c r="R3009" s="1176"/>
      <c r="S3009" s="1176"/>
      <c r="T3009" s="1176"/>
      <c r="U3009" s="1176"/>
      <c r="V3009" s="1176"/>
      <c r="W3009" s="1176"/>
      <c r="X3009" s="1176"/>
      <c r="Y3009" s="1176"/>
      <c r="Z3009" s="1176"/>
      <c r="AA3009" s="1176"/>
      <c r="AB3009" s="1176"/>
      <c r="AC3009" s="1176"/>
      <c r="AD3009" s="1176"/>
      <c r="AE3009" s="1176"/>
      <c r="AF3009" s="1176"/>
      <c r="AG3009" s="1176"/>
      <c r="AH3009" s="1176"/>
      <c r="AI3009" s="1176"/>
      <c r="AJ3009" s="1176"/>
      <c r="AK3009" s="1176"/>
      <c r="AL3009" s="1176"/>
    </row>
    <row r="3010" spans="1:38" ht="16.2" thickBot="1" x14ac:dyDescent="0.35">
      <c r="A3010" s="1118"/>
      <c r="B3010" s="1188"/>
      <c r="C3010" s="1189"/>
      <c r="D3010" s="1190"/>
      <c r="E3010" s="1191"/>
      <c r="F3010" s="1192"/>
      <c r="G3010" s="1193">
        <f>SUM(G2977:G3009)</f>
        <v>1676810.9999999993</v>
      </c>
      <c r="H3010" s="1194"/>
      <c r="I3010" s="1195"/>
      <c r="J3010" s="355"/>
      <c r="K3010" s="1196"/>
      <c r="L3010" s="234"/>
      <c r="M3010" s="234"/>
      <c r="N3010" s="39"/>
      <c r="O3010" s="1197"/>
    </row>
    <row r="3011" spans="1:38" ht="16.2" thickTop="1" x14ac:dyDescent="0.3">
      <c r="A3011" s="16" t="s">
        <v>4119</v>
      </c>
      <c r="B3011" s="815" t="s">
        <v>4120</v>
      </c>
      <c r="C3011" s="829"/>
      <c r="D3011" s="829"/>
      <c r="E3011" s="829"/>
      <c r="F3011" s="845"/>
      <c r="G3011" s="826"/>
      <c r="H3011" s="827"/>
      <c r="I3011" s="846"/>
      <c r="J3011" s="779"/>
      <c r="K3011" s="779"/>
      <c r="L3011" s="828"/>
      <c r="M3011" s="828"/>
      <c r="N3011" s="779"/>
      <c r="O3011" s="780"/>
    </row>
    <row r="3012" spans="1:38" ht="18.75" customHeight="1" x14ac:dyDescent="0.3">
      <c r="A3012" s="2250">
        <v>1</v>
      </c>
      <c r="B3012" s="450" t="s">
        <v>4121</v>
      </c>
      <c r="C3012" s="1198">
        <v>454</v>
      </c>
      <c r="D3012" s="793" t="s">
        <v>550</v>
      </c>
      <c r="E3012" s="793" t="s">
        <v>1409</v>
      </c>
      <c r="F3012" s="350" t="s">
        <v>297</v>
      </c>
      <c r="G3012" s="455">
        <v>4012.5</v>
      </c>
      <c r="H3012" s="1782" t="s">
        <v>4122</v>
      </c>
      <c r="I3012" s="1199" t="s">
        <v>25</v>
      </c>
      <c r="J3012" s="37"/>
      <c r="K3012" s="1128"/>
      <c r="L3012" s="327"/>
      <c r="M3012" s="327"/>
      <c r="N3012" s="543"/>
      <c r="O3012" s="1200"/>
    </row>
    <row r="3013" spans="1:38" ht="18.75" customHeight="1" x14ac:dyDescent="0.3">
      <c r="A3013" s="2250">
        <v>2</v>
      </c>
      <c r="B3013" s="450" t="s">
        <v>4121</v>
      </c>
      <c r="C3013" s="1198">
        <v>454</v>
      </c>
      <c r="D3013" s="793" t="s">
        <v>550</v>
      </c>
      <c r="E3013" s="793" t="s">
        <v>1410</v>
      </c>
      <c r="F3013" s="350" t="s">
        <v>297</v>
      </c>
      <c r="G3013" s="455">
        <v>4012.5</v>
      </c>
      <c r="H3013" s="1782" t="s">
        <v>4122</v>
      </c>
      <c r="I3013" s="1199" t="s">
        <v>25</v>
      </c>
      <c r="J3013" s="37"/>
      <c r="K3013" s="1128"/>
      <c r="L3013" s="327"/>
      <c r="M3013" s="327"/>
      <c r="N3013" s="543"/>
      <c r="O3013" s="1200"/>
    </row>
    <row r="3014" spans="1:38" ht="18.75" customHeight="1" x14ac:dyDescent="0.3">
      <c r="A3014" s="2250">
        <v>3</v>
      </c>
      <c r="B3014" s="450" t="s">
        <v>4121</v>
      </c>
      <c r="C3014" s="1198">
        <v>454</v>
      </c>
      <c r="D3014" s="793" t="s">
        <v>550</v>
      </c>
      <c r="E3014" s="793" t="s">
        <v>39</v>
      </c>
      <c r="F3014" s="350" t="s">
        <v>297</v>
      </c>
      <c r="G3014" s="455">
        <v>4012.5</v>
      </c>
      <c r="H3014" s="1782" t="s">
        <v>4122</v>
      </c>
      <c r="I3014" s="1199" t="s">
        <v>25</v>
      </c>
      <c r="J3014" s="37"/>
      <c r="K3014" s="1128"/>
      <c r="L3014" s="327"/>
      <c r="M3014" s="327"/>
      <c r="N3014" s="543"/>
      <c r="O3014" s="1200"/>
    </row>
    <row r="3015" spans="1:38" ht="18.75" customHeight="1" x14ac:dyDescent="0.3">
      <c r="A3015" s="2250">
        <v>4</v>
      </c>
      <c r="B3015" s="450" t="s">
        <v>4121</v>
      </c>
      <c r="C3015" s="1198">
        <v>454</v>
      </c>
      <c r="D3015" s="793" t="s">
        <v>550</v>
      </c>
      <c r="E3015" s="793" t="s">
        <v>42</v>
      </c>
      <c r="F3015" s="350" t="s">
        <v>297</v>
      </c>
      <c r="G3015" s="455">
        <v>4012.5</v>
      </c>
      <c r="H3015" s="1782" t="s">
        <v>4122</v>
      </c>
      <c r="I3015" s="1199" t="s">
        <v>25</v>
      </c>
      <c r="J3015" s="37"/>
      <c r="K3015" s="1128"/>
      <c r="L3015" s="327"/>
      <c r="M3015" s="327"/>
      <c r="N3015" s="543"/>
      <c r="O3015" s="1200"/>
    </row>
    <row r="3016" spans="1:38" ht="18.75" customHeight="1" x14ac:dyDescent="0.3">
      <c r="A3016" s="2250">
        <v>5</v>
      </c>
      <c r="B3016" s="450" t="s">
        <v>4121</v>
      </c>
      <c r="C3016" s="1198">
        <v>454</v>
      </c>
      <c r="D3016" s="793" t="s">
        <v>550</v>
      </c>
      <c r="E3016" s="793" t="s">
        <v>43</v>
      </c>
      <c r="F3016" s="350" t="s">
        <v>297</v>
      </c>
      <c r="G3016" s="455">
        <v>4012.5</v>
      </c>
      <c r="H3016" s="1782" t="s">
        <v>4122</v>
      </c>
      <c r="I3016" s="1199" t="s">
        <v>25</v>
      </c>
      <c r="J3016" s="37"/>
      <c r="K3016" s="1128"/>
      <c r="L3016" s="327"/>
      <c r="M3016" s="327"/>
      <c r="N3016" s="543"/>
      <c r="O3016" s="1200"/>
    </row>
    <row r="3017" spans="1:38" ht="18.75" customHeight="1" x14ac:dyDescent="0.3">
      <c r="A3017" s="2250">
        <v>6</v>
      </c>
      <c r="B3017" s="450" t="s">
        <v>4121</v>
      </c>
      <c r="C3017" s="1198">
        <v>454</v>
      </c>
      <c r="D3017" s="793" t="s">
        <v>550</v>
      </c>
      <c r="E3017" s="793" t="s">
        <v>44</v>
      </c>
      <c r="F3017" s="350" t="s">
        <v>297</v>
      </c>
      <c r="G3017" s="455">
        <v>4012.5</v>
      </c>
      <c r="H3017" s="1782" t="s">
        <v>4122</v>
      </c>
      <c r="I3017" s="1199" t="s">
        <v>25</v>
      </c>
      <c r="J3017" s="37"/>
      <c r="K3017" s="1128"/>
      <c r="L3017" s="327"/>
      <c r="M3017" s="327"/>
      <c r="N3017" s="543"/>
      <c r="O3017" s="1200"/>
    </row>
    <row r="3018" spans="1:38" ht="18.75" customHeight="1" x14ac:dyDescent="0.3">
      <c r="A3018" s="2250">
        <v>7</v>
      </c>
      <c r="B3018" s="450" t="s">
        <v>4121</v>
      </c>
      <c r="C3018" s="1198">
        <v>454</v>
      </c>
      <c r="D3018" s="793" t="s">
        <v>550</v>
      </c>
      <c r="E3018" s="793" t="s">
        <v>45</v>
      </c>
      <c r="F3018" s="350" t="s">
        <v>297</v>
      </c>
      <c r="G3018" s="455">
        <v>4012.5</v>
      </c>
      <c r="H3018" s="1782" t="s">
        <v>4122</v>
      </c>
      <c r="I3018" s="1199" t="s">
        <v>25</v>
      </c>
      <c r="J3018" s="37"/>
      <c r="K3018" s="1128"/>
      <c r="L3018" s="327"/>
      <c r="M3018" s="327"/>
      <c r="N3018" s="543"/>
      <c r="O3018" s="1200"/>
    </row>
    <row r="3019" spans="1:38" ht="18.75" customHeight="1" x14ac:dyDescent="0.3">
      <c r="A3019" s="2250">
        <v>8</v>
      </c>
      <c r="B3019" s="450" t="s">
        <v>4121</v>
      </c>
      <c r="C3019" s="1198">
        <v>454</v>
      </c>
      <c r="D3019" s="793" t="s">
        <v>550</v>
      </c>
      <c r="E3019" s="793" t="s">
        <v>46</v>
      </c>
      <c r="F3019" s="350" t="s">
        <v>297</v>
      </c>
      <c r="G3019" s="455">
        <v>4012.5</v>
      </c>
      <c r="H3019" s="1782" t="s">
        <v>4122</v>
      </c>
      <c r="I3019" s="1199" t="s">
        <v>25</v>
      </c>
      <c r="J3019" s="37"/>
      <c r="K3019" s="1128"/>
      <c r="L3019" s="327"/>
      <c r="M3019" s="327"/>
      <c r="N3019" s="543"/>
      <c r="O3019" s="1200"/>
    </row>
    <row r="3020" spans="1:38" ht="18.75" customHeight="1" x14ac:dyDescent="0.3">
      <c r="A3020" s="2250">
        <v>9</v>
      </c>
      <c r="B3020" s="450" t="s">
        <v>4123</v>
      </c>
      <c r="C3020" s="1198">
        <v>454</v>
      </c>
      <c r="D3020" s="793" t="s">
        <v>550</v>
      </c>
      <c r="E3020" s="793" t="s">
        <v>47</v>
      </c>
      <c r="F3020" s="350" t="s">
        <v>297</v>
      </c>
      <c r="G3020" s="455">
        <v>3210</v>
      </c>
      <c r="H3020" s="1782" t="s">
        <v>4122</v>
      </c>
      <c r="I3020" s="1199" t="s">
        <v>25</v>
      </c>
      <c r="J3020" s="37"/>
      <c r="K3020" s="1128"/>
      <c r="L3020" s="327"/>
      <c r="M3020" s="327"/>
      <c r="N3020" s="543"/>
      <c r="O3020" s="1200"/>
    </row>
    <row r="3021" spans="1:38" ht="17.399999999999999" x14ac:dyDescent="0.45">
      <c r="A3021" s="663"/>
      <c r="B3021" s="1201"/>
      <c r="C3021" s="173"/>
      <c r="D3021" s="173"/>
      <c r="E3021" s="173"/>
      <c r="F3021" s="1202"/>
      <c r="G3021" s="1203">
        <f>SUM(G3012:G3020)</f>
        <v>35310</v>
      </c>
      <c r="H3021" s="1204"/>
      <c r="I3021" s="1199"/>
      <c r="J3021" s="37"/>
      <c r="K3021" s="1128"/>
      <c r="L3021" s="327"/>
      <c r="M3021" s="327"/>
      <c r="N3021" s="543"/>
      <c r="O3021" s="1200"/>
    </row>
    <row r="3022" spans="1:38" x14ac:dyDescent="0.3">
      <c r="A3022" s="16" t="s">
        <v>4124</v>
      </c>
      <c r="B3022" s="815" t="s">
        <v>4125</v>
      </c>
      <c r="C3022" s="829"/>
      <c r="D3022" s="829"/>
      <c r="E3022" s="829"/>
      <c r="F3022" s="845"/>
      <c r="G3022" s="826"/>
      <c r="H3022" s="827"/>
      <c r="I3022" s="827"/>
      <c r="J3022" s="827"/>
      <c r="K3022" s="827"/>
      <c r="L3022" s="827"/>
      <c r="M3022" s="827"/>
      <c r="N3022" s="827"/>
      <c r="O3022" s="827"/>
    </row>
    <row r="3023" spans="1:38" x14ac:dyDescent="0.3">
      <c r="A3023" s="2250">
        <v>1</v>
      </c>
      <c r="B3023" s="645" t="s">
        <v>4126</v>
      </c>
      <c r="C3023" s="1198" t="s">
        <v>4124</v>
      </c>
      <c r="D3023" s="793" t="s">
        <v>993</v>
      </c>
      <c r="E3023" s="793" t="s">
        <v>568</v>
      </c>
      <c r="F3023" s="350" t="s">
        <v>4127</v>
      </c>
      <c r="G3023" s="351">
        <v>1000</v>
      </c>
      <c r="H3023" s="1783" t="s">
        <v>4128</v>
      </c>
      <c r="I3023" s="1199" t="s">
        <v>25</v>
      </c>
      <c r="J3023" s="37"/>
      <c r="K3023" s="1128"/>
      <c r="L3023" s="327"/>
      <c r="M3023" s="327"/>
      <c r="N3023" s="543"/>
      <c r="O3023" s="1200"/>
    </row>
    <row r="3024" spans="1:38" ht="17.399999999999999" x14ac:dyDescent="0.45">
      <c r="A3024" s="39"/>
      <c r="B3024" s="172"/>
      <c r="C3024" s="199"/>
      <c r="D3024" s="174"/>
      <c r="E3024" s="1206"/>
      <c r="F3024" s="172"/>
      <c r="G3024" s="332">
        <f>SUM(G3023:G3023)</f>
        <v>1000</v>
      </c>
      <c r="H3024" s="178"/>
      <c r="I3024" s="1199"/>
      <c r="J3024" s="37"/>
      <c r="K3024" s="1128"/>
      <c r="L3024" s="327"/>
      <c r="M3024" s="327"/>
      <c r="N3024" s="543"/>
      <c r="O3024" s="1200"/>
    </row>
    <row r="3025" spans="1:15" x14ac:dyDescent="0.3">
      <c r="A3025" s="1207" t="s">
        <v>4129</v>
      </c>
      <c r="B3025" s="282" t="s">
        <v>4130</v>
      </c>
      <c r="C3025" s="283"/>
      <c r="D3025" s="283"/>
      <c r="E3025" s="283"/>
      <c r="F3025" s="286"/>
      <c r="G3025" s="287"/>
      <c r="H3025" s="288"/>
      <c r="I3025" s="288"/>
      <c r="J3025" s="288"/>
      <c r="K3025" s="288"/>
      <c r="L3025" s="288"/>
      <c r="M3025" s="288"/>
      <c r="N3025" s="288"/>
      <c r="O3025" s="288"/>
    </row>
    <row r="3026" spans="1:15" x14ac:dyDescent="0.3">
      <c r="A3026" s="2226">
        <v>1</v>
      </c>
      <c r="B3026" s="215" t="s">
        <v>4131</v>
      </c>
      <c r="C3026" s="415" t="s">
        <v>4129</v>
      </c>
      <c r="D3026" s="416" t="s">
        <v>950</v>
      </c>
      <c r="E3026" s="217" t="s">
        <v>410</v>
      </c>
      <c r="F3026" s="218" t="s">
        <v>4132</v>
      </c>
      <c r="G3026" s="192">
        <v>2200</v>
      </c>
      <c r="H3026" s="1783" t="s">
        <v>4128</v>
      </c>
      <c r="I3026" s="1199" t="s">
        <v>25</v>
      </c>
      <c r="J3026" s="37"/>
      <c r="K3026" s="1128"/>
      <c r="L3026" s="327"/>
      <c r="M3026" s="327"/>
      <c r="N3026" s="543"/>
      <c r="O3026" s="1200"/>
    </row>
    <row r="3027" spans="1:15" x14ac:dyDescent="0.3">
      <c r="A3027" s="2226">
        <v>2</v>
      </c>
      <c r="B3027" s="215" t="s">
        <v>4131</v>
      </c>
      <c r="C3027" s="415" t="s">
        <v>4129</v>
      </c>
      <c r="D3027" s="416" t="s">
        <v>950</v>
      </c>
      <c r="E3027" s="217" t="s">
        <v>411</v>
      </c>
      <c r="F3027" s="218" t="s">
        <v>4132</v>
      </c>
      <c r="G3027" s="192">
        <v>2200</v>
      </c>
      <c r="H3027" s="1783" t="s">
        <v>4128</v>
      </c>
      <c r="I3027" s="1199" t="s">
        <v>25</v>
      </c>
      <c r="J3027" s="37"/>
      <c r="K3027" s="1128"/>
      <c r="L3027" s="327"/>
      <c r="M3027" s="327"/>
      <c r="N3027" s="543"/>
      <c r="O3027" s="1200"/>
    </row>
    <row r="3028" spans="1:15" x14ac:dyDescent="0.3">
      <c r="A3028" s="2226">
        <v>3</v>
      </c>
      <c r="B3028" s="215" t="s">
        <v>4131</v>
      </c>
      <c r="C3028" s="415" t="s">
        <v>4129</v>
      </c>
      <c r="D3028" s="416" t="s">
        <v>950</v>
      </c>
      <c r="E3028" s="217" t="s">
        <v>596</v>
      </c>
      <c r="F3028" s="218" t="s">
        <v>4132</v>
      </c>
      <c r="G3028" s="192">
        <v>2200</v>
      </c>
      <c r="H3028" s="1783" t="s">
        <v>4128</v>
      </c>
      <c r="I3028" s="1199" t="s">
        <v>25</v>
      </c>
      <c r="J3028" s="37"/>
      <c r="K3028" s="1128"/>
      <c r="L3028" s="327"/>
      <c r="M3028" s="327"/>
      <c r="N3028" s="543"/>
      <c r="O3028" s="1200"/>
    </row>
    <row r="3029" spans="1:15" x14ac:dyDescent="0.3">
      <c r="A3029" s="2226">
        <v>4</v>
      </c>
      <c r="B3029" s="215" t="s">
        <v>4133</v>
      </c>
      <c r="C3029" s="415" t="s">
        <v>4129</v>
      </c>
      <c r="D3029" s="416" t="s">
        <v>954</v>
      </c>
      <c r="E3029" s="217" t="s">
        <v>1356</v>
      </c>
      <c r="F3029" s="218" t="s">
        <v>4134</v>
      </c>
      <c r="G3029" s="192">
        <v>500</v>
      </c>
      <c r="H3029" s="1783" t="s">
        <v>4128</v>
      </c>
      <c r="I3029" s="1199" t="s">
        <v>25</v>
      </c>
      <c r="J3029" s="37"/>
      <c r="K3029" s="1128"/>
      <c r="L3029" s="327"/>
      <c r="M3029" s="327"/>
      <c r="N3029" s="543"/>
      <c r="O3029" s="1200"/>
    </row>
    <row r="3030" spans="1:15" x14ac:dyDescent="0.3">
      <c r="A3030" s="2226">
        <v>5</v>
      </c>
      <c r="B3030" s="215" t="s">
        <v>4133</v>
      </c>
      <c r="C3030" s="415" t="s">
        <v>4129</v>
      </c>
      <c r="D3030" s="416" t="s">
        <v>954</v>
      </c>
      <c r="E3030" s="217" t="s">
        <v>551</v>
      </c>
      <c r="F3030" s="218" t="s">
        <v>4134</v>
      </c>
      <c r="G3030" s="192">
        <v>500</v>
      </c>
      <c r="H3030" s="1783" t="s">
        <v>4128</v>
      </c>
      <c r="I3030" s="1199" t="s">
        <v>25</v>
      </c>
      <c r="J3030" s="37"/>
      <c r="K3030" s="1128"/>
      <c r="L3030" s="327"/>
      <c r="M3030" s="327"/>
      <c r="N3030" s="543"/>
      <c r="O3030" s="1200"/>
    </row>
    <row r="3031" spans="1:15" x14ac:dyDescent="0.3">
      <c r="A3031" s="2226">
        <v>6</v>
      </c>
      <c r="B3031" s="215" t="s">
        <v>4133</v>
      </c>
      <c r="C3031" s="415" t="s">
        <v>4129</v>
      </c>
      <c r="D3031" s="416" t="s">
        <v>954</v>
      </c>
      <c r="E3031" s="217" t="s">
        <v>555</v>
      </c>
      <c r="F3031" s="218" t="s">
        <v>4134</v>
      </c>
      <c r="G3031" s="192">
        <v>500</v>
      </c>
      <c r="H3031" s="1783" t="s">
        <v>4128</v>
      </c>
      <c r="I3031" s="1199" t="s">
        <v>25</v>
      </c>
      <c r="J3031" s="37"/>
      <c r="K3031" s="1128"/>
      <c r="L3031" s="327"/>
      <c r="M3031" s="327"/>
      <c r="N3031" s="543"/>
      <c r="O3031" s="1200"/>
    </row>
    <row r="3032" spans="1:15" x14ac:dyDescent="0.3">
      <c r="A3032" s="2226">
        <v>7</v>
      </c>
      <c r="B3032" s="215" t="s">
        <v>4131</v>
      </c>
      <c r="C3032" s="415" t="s">
        <v>4129</v>
      </c>
      <c r="D3032" s="416" t="s">
        <v>954</v>
      </c>
      <c r="E3032" s="217" t="s">
        <v>557</v>
      </c>
      <c r="F3032" s="218" t="s">
        <v>4134</v>
      </c>
      <c r="G3032" s="192">
        <v>850</v>
      </c>
      <c r="H3032" s="1783" t="s">
        <v>4128</v>
      </c>
      <c r="I3032" s="1199" t="s">
        <v>25</v>
      </c>
      <c r="J3032" s="37"/>
      <c r="K3032" s="1128"/>
      <c r="L3032" s="327"/>
      <c r="M3032" s="327"/>
      <c r="N3032" s="543"/>
      <c r="O3032" s="1200"/>
    </row>
    <row r="3033" spans="1:15" x14ac:dyDescent="0.3">
      <c r="A3033" s="2226">
        <v>8</v>
      </c>
      <c r="B3033" s="215" t="s">
        <v>4131</v>
      </c>
      <c r="C3033" s="415" t="s">
        <v>4129</v>
      </c>
      <c r="D3033" s="416" t="s">
        <v>954</v>
      </c>
      <c r="E3033" s="217" t="s">
        <v>1357</v>
      </c>
      <c r="F3033" s="218" t="s">
        <v>4134</v>
      </c>
      <c r="G3033" s="192">
        <v>850</v>
      </c>
      <c r="H3033" s="1783" t="s">
        <v>4128</v>
      </c>
      <c r="I3033" s="1199" t="s">
        <v>25</v>
      </c>
      <c r="J3033" s="37"/>
      <c r="K3033" s="1128"/>
      <c r="L3033" s="327"/>
      <c r="M3033" s="327"/>
      <c r="N3033" s="543"/>
      <c r="O3033" s="1200"/>
    </row>
    <row r="3034" spans="1:15" x14ac:dyDescent="0.3">
      <c r="A3034" s="2226">
        <v>9</v>
      </c>
      <c r="B3034" s="215" t="s">
        <v>4131</v>
      </c>
      <c r="C3034" s="415" t="s">
        <v>4129</v>
      </c>
      <c r="D3034" s="416" t="s">
        <v>954</v>
      </c>
      <c r="E3034" s="217" t="s">
        <v>1358</v>
      </c>
      <c r="F3034" s="218" t="s">
        <v>4134</v>
      </c>
      <c r="G3034" s="192">
        <v>850</v>
      </c>
      <c r="H3034" s="1783" t="s">
        <v>4128</v>
      </c>
      <c r="I3034" s="1199" t="s">
        <v>25</v>
      </c>
      <c r="J3034" s="37"/>
      <c r="K3034" s="1128"/>
      <c r="L3034" s="327"/>
      <c r="M3034" s="327"/>
      <c r="N3034" s="543"/>
      <c r="O3034" s="1200"/>
    </row>
    <row r="3035" spans="1:15" x14ac:dyDescent="0.3">
      <c r="A3035" s="2226">
        <v>10</v>
      </c>
      <c r="B3035" s="215" t="s">
        <v>4135</v>
      </c>
      <c r="C3035" s="415" t="s">
        <v>4129</v>
      </c>
      <c r="D3035" s="416" t="s">
        <v>954</v>
      </c>
      <c r="E3035" s="217" t="s">
        <v>1359</v>
      </c>
      <c r="F3035" s="218" t="s">
        <v>4136</v>
      </c>
      <c r="G3035" s="192">
        <v>850</v>
      </c>
      <c r="H3035" s="1783" t="s">
        <v>4128</v>
      </c>
      <c r="I3035" s="1199" t="s">
        <v>25</v>
      </c>
      <c r="J3035" s="37"/>
      <c r="K3035" s="1128"/>
      <c r="L3035" s="327"/>
      <c r="M3035" s="327"/>
      <c r="N3035" s="543"/>
      <c r="O3035" s="1200"/>
    </row>
    <row r="3036" spans="1:15" x14ac:dyDescent="0.3">
      <c r="A3036" s="2226">
        <v>11</v>
      </c>
      <c r="B3036" s="215" t="s">
        <v>4135</v>
      </c>
      <c r="C3036" s="415" t="s">
        <v>4129</v>
      </c>
      <c r="D3036" s="416" t="s">
        <v>954</v>
      </c>
      <c r="E3036" s="217" t="s">
        <v>1360</v>
      </c>
      <c r="F3036" s="218" t="s">
        <v>4136</v>
      </c>
      <c r="G3036" s="192">
        <v>850</v>
      </c>
      <c r="H3036" s="1783" t="s">
        <v>4128</v>
      </c>
      <c r="I3036" s="1199" t="s">
        <v>25</v>
      </c>
      <c r="J3036" s="37"/>
      <c r="K3036" s="1128"/>
      <c r="L3036" s="327"/>
      <c r="M3036" s="327"/>
      <c r="N3036" s="543"/>
      <c r="O3036" s="1200"/>
    </row>
    <row r="3037" spans="1:15" x14ac:dyDescent="0.3">
      <c r="A3037" s="2226">
        <v>12</v>
      </c>
      <c r="B3037" s="215" t="s">
        <v>4135</v>
      </c>
      <c r="C3037" s="415" t="s">
        <v>4129</v>
      </c>
      <c r="D3037" s="416" t="s">
        <v>954</v>
      </c>
      <c r="E3037" s="217" t="s">
        <v>584</v>
      </c>
      <c r="F3037" s="218" t="s">
        <v>4136</v>
      </c>
      <c r="G3037" s="192">
        <v>850</v>
      </c>
      <c r="H3037" s="1783" t="s">
        <v>4128</v>
      </c>
      <c r="I3037" s="1199" t="s">
        <v>25</v>
      </c>
      <c r="J3037" s="37"/>
      <c r="K3037" s="1128"/>
      <c r="L3037" s="327"/>
      <c r="M3037" s="327"/>
      <c r="N3037" s="543"/>
      <c r="O3037" s="1200"/>
    </row>
    <row r="3038" spans="1:15" ht="17.399999999999999" x14ac:dyDescent="0.45">
      <c r="A3038" s="39"/>
      <c r="B3038" s="172"/>
      <c r="C3038" s="199"/>
      <c r="D3038" s="174"/>
      <c r="E3038" s="1206"/>
      <c r="F3038" s="172"/>
      <c r="G3038" s="332">
        <f>SUM(G3026:G3037)</f>
        <v>13200</v>
      </c>
      <c r="H3038" s="1208"/>
      <c r="I3038" s="1199"/>
      <c r="J3038" s="37"/>
      <c r="K3038" s="1128"/>
      <c r="L3038" s="327"/>
      <c r="M3038" s="327"/>
      <c r="N3038" s="543"/>
      <c r="O3038" s="1200"/>
    </row>
    <row r="3039" spans="1:15" x14ac:dyDescent="0.3">
      <c r="A3039" s="1209">
        <v>458</v>
      </c>
      <c r="B3039" s="815" t="s">
        <v>4137</v>
      </c>
      <c r="C3039" s="829"/>
      <c r="D3039" s="829"/>
      <c r="E3039" s="829"/>
      <c r="F3039" s="845"/>
      <c r="G3039" s="826"/>
      <c r="H3039" s="827"/>
      <c r="I3039" s="827"/>
      <c r="J3039" s="827"/>
      <c r="K3039" s="827"/>
      <c r="L3039" s="827"/>
      <c r="M3039" s="827"/>
      <c r="N3039" s="827"/>
      <c r="O3039" s="827"/>
    </row>
    <row r="3040" spans="1:15" x14ac:dyDescent="0.3">
      <c r="A3040" s="2250">
        <v>1</v>
      </c>
      <c r="B3040" s="347" t="s">
        <v>4138</v>
      </c>
      <c r="C3040" s="1198">
        <v>458</v>
      </c>
      <c r="D3040" s="326">
        <v>50</v>
      </c>
      <c r="E3040" s="349" t="s">
        <v>955</v>
      </c>
      <c r="F3040" s="350" t="s">
        <v>4139</v>
      </c>
      <c r="G3040" s="351">
        <v>250</v>
      </c>
      <c r="H3040" s="1783" t="s">
        <v>4128</v>
      </c>
      <c r="I3040" s="1199" t="s">
        <v>25</v>
      </c>
      <c r="J3040" s="37"/>
      <c r="K3040" s="1128"/>
      <c r="L3040" s="327"/>
      <c r="M3040" s="327"/>
      <c r="N3040" s="543"/>
      <c r="O3040" s="1200"/>
    </row>
    <row r="3041" spans="1:15" x14ac:dyDescent="0.3">
      <c r="A3041" s="2226">
        <v>2</v>
      </c>
      <c r="B3041" s="215" t="s">
        <v>4138</v>
      </c>
      <c r="C3041" s="415">
        <v>458</v>
      </c>
      <c r="D3041" s="67">
        <v>50</v>
      </c>
      <c r="E3041" s="217" t="s">
        <v>957</v>
      </c>
      <c r="F3041" s="218" t="s">
        <v>4139</v>
      </c>
      <c r="G3041" s="192">
        <v>250</v>
      </c>
      <c r="H3041" s="1783" t="s">
        <v>4128</v>
      </c>
      <c r="I3041" s="1199" t="s">
        <v>25</v>
      </c>
      <c r="J3041" s="37"/>
      <c r="K3041" s="1128"/>
      <c r="L3041" s="327"/>
      <c r="M3041" s="327"/>
      <c r="N3041" s="543"/>
      <c r="O3041" s="1200"/>
    </row>
    <row r="3042" spans="1:15" x14ac:dyDescent="0.3">
      <c r="A3042" s="2226">
        <v>3</v>
      </c>
      <c r="B3042" s="215" t="s">
        <v>4138</v>
      </c>
      <c r="C3042" s="415">
        <v>458</v>
      </c>
      <c r="D3042" s="67">
        <v>50</v>
      </c>
      <c r="E3042" s="217" t="s">
        <v>1402</v>
      </c>
      <c r="F3042" s="218" t="s">
        <v>4139</v>
      </c>
      <c r="G3042" s="192">
        <v>250</v>
      </c>
      <c r="H3042" s="1783" t="s">
        <v>4128</v>
      </c>
      <c r="I3042" s="1199" t="s">
        <v>25</v>
      </c>
      <c r="J3042" s="37"/>
      <c r="K3042" s="1128"/>
      <c r="L3042" s="327"/>
      <c r="M3042" s="327"/>
      <c r="N3042" s="543"/>
      <c r="O3042" s="1200"/>
    </row>
    <row r="3043" spans="1:15" x14ac:dyDescent="0.3">
      <c r="A3043" s="2226">
        <v>4</v>
      </c>
      <c r="B3043" s="248" t="s">
        <v>4140</v>
      </c>
      <c r="C3043" s="415">
        <v>458</v>
      </c>
      <c r="D3043" s="67">
        <v>55</v>
      </c>
      <c r="E3043" s="416" t="s">
        <v>999</v>
      </c>
      <c r="F3043" s="218" t="s">
        <v>4127</v>
      </c>
      <c r="G3043" s="192">
        <v>1450</v>
      </c>
      <c r="H3043" s="1783" t="s">
        <v>4128</v>
      </c>
      <c r="I3043" s="1199" t="s">
        <v>25</v>
      </c>
      <c r="J3043" s="37"/>
      <c r="K3043" s="1128"/>
      <c r="L3043" s="327"/>
      <c r="M3043" s="327"/>
      <c r="N3043" s="543"/>
      <c r="O3043" s="1200"/>
    </row>
    <row r="3044" spans="1:15" x14ac:dyDescent="0.3">
      <c r="A3044" s="2299">
        <v>5</v>
      </c>
      <c r="B3044" s="248" t="s">
        <v>4140</v>
      </c>
      <c r="C3044" s="451">
        <v>458</v>
      </c>
      <c r="D3044" s="75">
        <v>55</v>
      </c>
      <c r="E3044" s="452" t="s">
        <v>1000</v>
      </c>
      <c r="F3044" s="82" t="s">
        <v>4127</v>
      </c>
      <c r="G3044" s="83">
        <v>1450</v>
      </c>
      <c r="H3044" s="1783" t="s">
        <v>4128</v>
      </c>
      <c r="I3044" s="1199" t="s">
        <v>25</v>
      </c>
      <c r="J3044" s="37"/>
      <c r="K3044" s="1128"/>
      <c r="L3044" s="327"/>
      <c r="M3044" s="327"/>
      <c r="N3044" s="543"/>
      <c r="O3044" s="1200"/>
    </row>
    <row r="3045" spans="1:15" x14ac:dyDescent="0.3">
      <c r="A3045" s="2226">
        <v>6</v>
      </c>
      <c r="B3045" s="450" t="s">
        <v>4141</v>
      </c>
      <c r="C3045" s="451">
        <v>458</v>
      </c>
      <c r="D3045" s="75">
        <v>62</v>
      </c>
      <c r="E3045" s="452" t="s">
        <v>1413</v>
      </c>
      <c r="F3045" s="82" t="s">
        <v>297</v>
      </c>
      <c r="G3045" s="455">
        <v>5350</v>
      </c>
      <c r="H3045" s="1782" t="s">
        <v>4142</v>
      </c>
      <c r="I3045" s="1199" t="s">
        <v>25</v>
      </c>
      <c r="J3045" s="37"/>
      <c r="K3045" s="1128"/>
      <c r="L3045" s="327"/>
      <c r="M3045" s="327"/>
      <c r="N3045" s="543"/>
      <c r="O3045" s="1200"/>
    </row>
    <row r="3046" spans="1:15" x14ac:dyDescent="0.3">
      <c r="A3046" s="2299">
        <v>7</v>
      </c>
      <c r="B3046" s="450" t="s">
        <v>4141</v>
      </c>
      <c r="C3046" s="451">
        <v>458</v>
      </c>
      <c r="D3046" s="75">
        <v>62</v>
      </c>
      <c r="E3046" s="452" t="s">
        <v>1414</v>
      </c>
      <c r="F3046" s="82" t="s">
        <v>297</v>
      </c>
      <c r="G3046" s="455">
        <v>5350</v>
      </c>
      <c r="H3046" s="1782" t="s">
        <v>4142</v>
      </c>
      <c r="I3046" s="1199" t="s">
        <v>25</v>
      </c>
      <c r="J3046" s="37"/>
      <c r="K3046" s="1128"/>
      <c r="L3046" s="327"/>
      <c r="M3046" s="327"/>
      <c r="N3046" s="543"/>
      <c r="O3046" s="1200"/>
    </row>
    <row r="3047" spans="1:15" x14ac:dyDescent="0.3">
      <c r="A3047" s="2299">
        <v>8</v>
      </c>
      <c r="B3047" s="450" t="s">
        <v>4143</v>
      </c>
      <c r="C3047" s="451">
        <v>458</v>
      </c>
      <c r="D3047" s="75">
        <v>62</v>
      </c>
      <c r="E3047" s="452" t="s">
        <v>1415</v>
      </c>
      <c r="F3047" s="82" t="s">
        <v>297</v>
      </c>
      <c r="G3047" s="455">
        <v>3905.5</v>
      </c>
      <c r="H3047" s="1782" t="s">
        <v>4142</v>
      </c>
      <c r="I3047" s="1199" t="s">
        <v>25</v>
      </c>
      <c r="J3047" s="37"/>
      <c r="K3047" s="1128"/>
      <c r="L3047" s="327"/>
      <c r="M3047" s="327"/>
      <c r="N3047" s="543"/>
      <c r="O3047" s="1200"/>
    </row>
    <row r="3048" spans="1:15" x14ac:dyDescent="0.3">
      <c r="A3048" s="2226">
        <v>9</v>
      </c>
      <c r="B3048" s="450" t="s">
        <v>4143</v>
      </c>
      <c r="C3048" s="451">
        <v>458</v>
      </c>
      <c r="D3048" s="75">
        <v>62</v>
      </c>
      <c r="E3048" s="452" t="s">
        <v>426</v>
      </c>
      <c r="F3048" s="82" t="s">
        <v>297</v>
      </c>
      <c r="G3048" s="457">
        <v>3905.5</v>
      </c>
      <c r="H3048" s="1782" t="s">
        <v>4142</v>
      </c>
      <c r="I3048" s="1199" t="s">
        <v>25</v>
      </c>
      <c r="J3048" s="37"/>
      <c r="K3048" s="1128"/>
      <c r="L3048" s="327"/>
      <c r="M3048" s="327"/>
      <c r="N3048" s="543"/>
      <c r="O3048" s="1200"/>
    </row>
    <row r="3049" spans="1:15" ht="17.399999999999999" x14ac:dyDescent="0.45">
      <c r="A3049" s="663"/>
      <c r="B3049" s="172"/>
      <c r="C3049" s="477"/>
      <c r="D3049" s="90"/>
      <c r="E3049" s="201"/>
      <c r="F3049" s="176"/>
      <c r="G3049" s="231">
        <f>SUM(G3040:G3048)</f>
        <v>22161</v>
      </c>
      <c r="H3049" s="1210"/>
      <c r="I3049" s="1199"/>
      <c r="J3049" s="37"/>
      <c r="K3049" s="1128"/>
      <c r="L3049" s="327"/>
      <c r="M3049" s="327"/>
      <c r="N3049" s="543"/>
      <c r="O3049" s="1200"/>
    </row>
    <row r="3050" spans="1:15" x14ac:dyDescent="0.3">
      <c r="A3050" s="1209">
        <v>459</v>
      </c>
      <c r="B3050" s="815" t="s">
        <v>4144</v>
      </c>
      <c r="C3050" s="829"/>
      <c r="D3050" s="829"/>
      <c r="E3050" s="829"/>
      <c r="F3050" s="845"/>
      <c r="G3050" s="826"/>
      <c r="H3050" s="827"/>
      <c r="I3050" s="827"/>
      <c r="J3050" s="827"/>
      <c r="K3050" s="827"/>
      <c r="L3050" s="827"/>
      <c r="M3050" s="827"/>
      <c r="N3050" s="827"/>
      <c r="O3050" s="827"/>
    </row>
    <row r="3051" spans="1:15" x14ac:dyDescent="0.3">
      <c r="A3051" s="2226">
        <v>1</v>
      </c>
      <c r="B3051" s="248" t="s">
        <v>4145</v>
      </c>
      <c r="C3051" s="415">
        <v>459</v>
      </c>
      <c r="D3051" s="67">
        <v>55</v>
      </c>
      <c r="E3051" s="217" t="s">
        <v>246</v>
      </c>
      <c r="F3051" s="218" t="s">
        <v>4127</v>
      </c>
      <c r="G3051" s="192">
        <v>6000</v>
      </c>
      <c r="H3051" s="1783" t="s">
        <v>4128</v>
      </c>
      <c r="I3051" s="1199" t="s">
        <v>25</v>
      </c>
      <c r="J3051" s="37"/>
      <c r="K3051" s="1128"/>
      <c r="L3051" s="327"/>
      <c r="M3051" s="327"/>
      <c r="N3051" s="543"/>
      <c r="O3051" s="1200"/>
    </row>
    <row r="3052" spans="1:15" x14ac:dyDescent="0.3">
      <c r="A3052" s="2226">
        <v>2</v>
      </c>
      <c r="B3052" s="248" t="s">
        <v>4145</v>
      </c>
      <c r="C3052" s="415">
        <v>459</v>
      </c>
      <c r="D3052" s="67">
        <v>55</v>
      </c>
      <c r="E3052" s="217" t="s">
        <v>247</v>
      </c>
      <c r="F3052" s="218" t="s">
        <v>4127</v>
      </c>
      <c r="G3052" s="192">
        <v>6000</v>
      </c>
      <c r="H3052" s="1783" t="s">
        <v>4128</v>
      </c>
      <c r="I3052" s="1199" t="s">
        <v>25</v>
      </c>
      <c r="J3052" s="37"/>
      <c r="K3052" s="1128"/>
      <c r="L3052" s="327"/>
      <c r="M3052" s="327"/>
      <c r="N3052" s="543"/>
      <c r="O3052" s="1200"/>
    </row>
    <row r="3053" spans="1:15" x14ac:dyDescent="0.3">
      <c r="A3053" s="2226">
        <v>3</v>
      </c>
      <c r="B3053" s="248" t="s">
        <v>4145</v>
      </c>
      <c r="C3053" s="415">
        <v>459</v>
      </c>
      <c r="D3053" s="67">
        <v>55</v>
      </c>
      <c r="E3053" s="217" t="s">
        <v>249</v>
      </c>
      <c r="F3053" s="218" t="s">
        <v>4127</v>
      </c>
      <c r="G3053" s="192">
        <v>6000</v>
      </c>
      <c r="H3053" s="1783" t="s">
        <v>4128</v>
      </c>
      <c r="I3053" s="1199" t="s">
        <v>25</v>
      </c>
      <c r="J3053" s="37"/>
      <c r="K3053" s="1128"/>
      <c r="L3053" s="327"/>
      <c r="M3053" s="327"/>
      <c r="N3053" s="543"/>
      <c r="O3053" s="1200"/>
    </row>
    <row r="3054" spans="1:15" x14ac:dyDescent="0.3">
      <c r="A3054" s="2226">
        <v>4</v>
      </c>
      <c r="B3054" s="248" t="s">
        <v>4145</v>
      </c>
      <c r="C3054" s="415">
        <v>459</v>
      </c>
      <c r="D3054" s="67">
        <v>55</v>
      </c>
      <c r="E3054" s="217" t="s">
        <v>250</v>
      </c>
      <c r="F3054" s="218" t="s">
        <v>4127</v>
      </c>
      <c r="G3054" s="192">
        <v>6000</v>
      </c>
      <c r="H3054" s="1783" t="s">
        <v>4128</v>
      </c>
      <c r="I3054" s="1199" t="s">
        <v>25</v>
      </c>
      <c r="J3054" s="37"/>
      <c r="K3054" s="1128"/>
      <c r="L3054" s="327"/>
      <c r="M3054" s="327"/>
      <c r="N3054" s="543"/>
      <c r="O3054" s="1200"/>
    </row>
    <row r="3055" spans="1:15" x14ac:dyDescent="0.3">
      <c r="A3055" s="2226">
        <v>5</v>
      </c>
      <c r="B3055" s="248" t="s">
        <v>4146</v>
      </c>
      <c r="C3055" s="415">
        <v>459</v>
      </c>
      <c r="D3055" s="67">
        <v>55</v>
      </c>
      <c r="E3055" s="416" t="s">
        <v>252</v>
      </c>
      <c r="F3055" s="218" t="s">
        <v>4127</v>
      </c>
      <c r="G3055" s="192">
        <v>2600</v>
      </c>
      <c r="H3055" s="1783" t="s">
        <v>4128</v>
      </c>
      <c r="I3055" s="1199" t="s">
        <v>25</v>
      </c>
      <c r="J3055" s="37"/>
      <c r="K3055" s="1128"/>
      <c r="L3055" s="327"/>
      <c r="M3055" s="327"/>
      <c r="N3055" s="543"/>
      <c r="O3055" s="1200"/>
    </row>
    <row r="3056" spans="1:15" x14ac:dyDescent="0.3">
      <c r="A3056" s="2226">
        <v>6</v>
      </c>
      <c r="B3056" s="248" t="s">
        <v>4147</v>
      </c>
      <c r="C3056" s="415">
        <v>459</v>
      </c>
      <c r="D3056" s="67">
        <v>55</v>
      </c>
      <c r="E3056" s="416" t="s">
        <v>255</v>
      </c>
      <c r="F3056" s="218" t="s">
        <v>4127</v>
      </c>
      <c r="G3056" s="192">
        <v>2600</v>
      </c>
      <c r="H3056" s="1783" t="s">
        <v>4128</v>
      </c>
      <c r="I3056" s="1199" t="s">
        <v>25</v>
      </c>
      <c r="J3056" s="37"/>
      <c r="K3056" s="1128"/>
      <c r="L3056" s="327"/>
      <c r="M3056" s="327"/>
      <c r="N3056" s="543"/>
      <c r="O3056" s="1200"/>
    </row>
    <row r="3057" spans="1:15" x14ac:dyDescent="0.3">
      <c r="A3057" s="2226">
        <v>7</v>
      </c>
      <c r="B3057" s="248" t="s">
        <v>4148</v>
      </c>
      <c r="C3057" s="415">
        <v>459</v>
      </c>
      <c r="D3057" s="67">
        <v>60</v>
      </c>
      <c r="E3057" s="217" t="s">
        <v>1934</v>
      </c>
      <c r="F3057" s="218" t="s">
        <v>4149</v>
      </c>
      <c r="G3057" s="192">
        <v>4600</v>
      </c>
      <c r="H3057" s="1783" t="s">
        <v>4128</v>
      </c>
      <c r="I3057" s="1199" t="s">
        <v>25</v>
      </c>
      <c r="J3057" s="37"/>
      <c r="K3057" s="1128"/>
      <c r="L3057" s="327"/>
      <c r="M3057" s="327"/>
      <c r="N3057" s="543"/>
      <c r="O3057" s="1200"/>
    </row>
    <row r="3058" spans="1:15" x14ac:dyDescent="0.3">
      <c r="A3058" s="2226">
        <v>8</v>
      </c>
      <c r="B3058" s="248" t="s">
        <v>4148</v>
      </c>
      <c r="C3058" s="415">
        <v>459</v>
      </c>
      <c r="D3058" s="67">
        <v>60</v>
      </c>
      <c r="E3058" s="217" t="s">
        <v>1935</v>
      </c>
      <c r="F3058" s="218" t="s">
        <v>4149</v>
      </c>
      <c r="G3058" s="192">
        <v>4600</v>
      </c>
      <c r="H3058" s="1783" t="s">
        <v>4128</v>
      </c>
      <c r="I3058" s="1199" t="s">
        <v>25</v>
      </c>
      <c r="J3058" s="37"/>
      <c r="K3058" s="1128"/>
      <c r="L3058" s="327"/>
      <c r="M3058" s="327"/>
      <c r="N3058" s="543"/>
      <c r="O3058" s="1200"/>
    </row>
    <row r="3059" spans="1:15" x14ac:dyDescent="0.3">
      <c r="A3059" s="2226">
        <v>9</v>
      </c>
      <c r="B3059" s="248" t="s">
        <v>4148</v>
      </c>
      <c r="C3059" s="415">
        <v>459</v>
      </c>
      <c r="D3059" s="67">
        <v>60</v>
      </c>
      <c r="E3059" s="217" t="s">
        <v>1936</v>
      </c>
      <c r="F3059" s="218" t="s">
        <v>4149</v>
      </c>
      <c r="G3059" s="192">
        <v>4600</v>
      </c>
      <c r="H3059" s="1783" t="s">
        <v>4128</v>
      </c>
      <c r="I3059" s="1199" t="s">
        <v>25</v>
      </c>
      <c r="J3059" s="37"/>
      <c r="K3059" s="1128"/>
      <c r="L3059" s="327"/>
      <c r="M3059" s="327"/>
      <c r="N3059" s="543"/>
      <c r="O3059" s="1200"/>
    </row>
    <row r="3060" spans="1:15" x14ac:dyDescent="0.3">
      <c r="A3060" s="2226">
        <v>10</v>
      </c>
      <c r="B3060" s="248" t="s">
        <v>4148</v>
      </c>
      <c r="C3060" s="415">
        <v>459</v>
      </c>
      <c r="D3060" s="67">
        <v>60</v>
      </c>
      <c r="E3060" s="907" t="s">
        <v>1937</v>
      </c>
      <c r="F3060" s="218" t="s">
        <v>4149</v>
      </c>
      <c r="G3060" s="192">
        <v>4600</v>
      </c>
      <c r="H3060" s="1783" t="s">
        <v>4128</v>
      </c>
      <c r="I3060" s="1199" t="s">
        <v>25</v>
      </c>
      <c r="J3060" s="37"/>
      <c r="K3060" s="1128"/>
      <c r="L3060" s="327"/>
      <c r="M3060" s="327"/>
      <c r="N3060" s="543"/>
      <c r="O3060" s="1200"/>
    </row>
    <row r="3061" spans="1:15" x14ac:dyDescent="0.3">
      <c r="A3061" s="2226">
        <v>11</v>
      </c>
      <c r="B3061" s="450" t="s">
        <v>4150</v>
      </c>
      <c r="C3061" s="451">
        <v>459</v>
      </c>
      <c r="D3061" s="75">
        <v>62</v>
      </c>
      <c r="E3061" s="1211">
        <v>1029</v>
      </c>
      <c r="F3061" s="82" t="s">
        <v>297</v>
      </c>
      <c r="G3061" s="83">
        <v>20437</v>
      </c>
      <c r="H3061" s="1784" t="s">
        <v>298</v>
      </c>
      <c r="I3061" s="1199" t="s">
        <v>25</v>
      </c>
      <c r="J3061" s="37"/>
      <c r="K3061" s="1128"/>
      <c r="L3061" s="327"/>
      <c r="M3061" s="327"/>
      <c r="N3061" s="543"/>
      <c r="O3061" s="1200"/>
    </row>
    <row r="3062" spans="1:15" x14ac:dyDescent="0.3">
      <c r="A3062" s="2226">
        <v>12</v>
      </c>
      <c r="B3062" s="450" t="s">
        <v>4150</v>
      </c>
      <c r="C3062" s="451">
        <v>459</v>
      </c>
      <c r="D3062" s="75">
        <v>62</v>
      </c>
      <c r="E3062" s="1211">
        <v>1030</v>
      </c>
      <c r="F3062" s="82" t="s">
        <v>297</v>
      </c>
      <c r="G3062" s="83">
        <v>20437</v>
      </c>
      <c r="H3062" s="1784" t="s">
        <v>298</v>
      </c>
      <c r="I3062" s="1199" t="s">
        <v>25</v>
      </c>
      <c r="J3062" s="37"/>
      <c r="K3062" s="1128"/>
      <c r="L3062" s="327"/>
      <c r="M3062" s="327"/>
      <c r="N3062" s="543"/>
      <c r="O3062" s="1200"/>
    </row>
    <row r="3063" spans="1:15" ht="17.399999999999999" x14ac:dyDescent="0.45">
      <c r="A3063" s="27"/>
      <c r="B3063" s="421"/>
      <c r="C3063" s="1212"/>
      <c r="D3063" s="1213"/>
      <c r="E3063" s="1211"/>
      <c r="F3063" s="421"/>
      <c r="G3063" s="1214">
        <f>SUM(G3051:G3062)</f>
        <v>88474</v>
      </c>
      <c r="H3063" s="1215"/>
      <c r="I3063" s="1199"/>
      <c r="J3063" s="37"/>
      <c r="K3063" s="1128"/>
      <c r="L3063" s="327"/>
      <c r="M3063" s="327"/>
      <c r="N3063" s="543"/>
      <c r="O3063" s="1200"/>
    </row>
    <row r="3064" spans="1:15" x14ac:dyDescent="0.3">
      <c r="A3064" s="481">
        <v>462</v>
      </c>
      <c r="B3064" s="282" t="s">
        <v>4151</v>
      </c>
      <c r="C3064" s="283"/>
      <c r="D3064" s="283"/>
      <c r="E3064" s="1216"/>
      <c r="F3064" s="286"/>
      <c r="G3064" s="287"/>
      <c r="H3064" s="970"/>
      <c r="I3064" s="970"/>
      <c r="J3064" s="970"/>
      <c r="K3064" s="970"/>
      <c r="L3064" s="970"/>
      <c r="M3064" s="970"/>
      <c r="N3064" s="970"/>
      <c r="O3064" s="970"/>
    </row>
    <row r="3065" spans="1:15" x14ac:dyDescent="0.3">
      <c r="A3065" s="2250">
        <v>1</v>
      </c>
      <c r="B3065" s="645" t="s">
        <v>4152</v>
      </c>
      <c r="C3065" s="1198">
        <v>462</v>
      </c>
      <c r="D3065" s="793" t="s">
        <v>4153</v>
      </c>
      <c r="E3065" s="349" t="s">
        <v>927</v>
      </c>
      <c r="F3065" s="350" t="s">
        <v>4154</v>
      </c>
      <c r="G3065" s="351">
        <v>4590</v>
      </c>
      <c r="H3065" s="1783" t="s">
        <v>4128</v>
      </c>
      <c r="I3065" s="1199" t="s">
        <v>25</v>
      </c>
      <c r="J3065" s="37"/>
      <c r="K3065" s="1128"/>
      <c r="L3065" s="327"/>
      <c r="M3065" s="327"/>
      <c r="N3065" s="543"/>
      <c r="O3065" s="1200"/>
    </row>
    <row r="3066" spans="1:15" x14ac:dyDescent="0.3">
      <c r="A3066" s="2226">
        <v>2</v>
      </c>
      <c r="B3066" s="248" t="s">
        <v>4155</v>
      </c>
      <c r="C3066" s="415" t="s">
        <v>4156</v>
      </c>
      <c r="D3066" s="67">
        <v>47</v>
      </c>
      <c r="E3066" s="217" t="s">
        <v>928</v>
      </c>
      <c r="F3066" s="218" t="s">
        <v>4157</v>
      </c>
      <c r="G3066" s="192">
        <v>15700</v>
      </c>
      <c r="H3066" s="1783" t="s">
        <v>4128</v>
      </c>
      <c r="I3066" s="1199" t="s">
        <v>25</v>
      </c>
      <c r="J3066" s="37"/>
      <c r="K3066" s="1128"/>
      <c r="L3066" s="327"/>
      <c r="M3066" s="327"/>
      <c r="N3066" s="543"/>
      <c r="O3066" s="1200"/>
    </row>
    <row r="3067" spans="1:15" x14ac:dyDescent="0.3">
      <c r="A3067" s="2226">
        <v>3</v>
      </c>
      <c r="B3067" s="248" t="s">
        <v>4155</v>
      </c>
      <c r="C3067" s="415" t="s">
        <v>4156</v>
      </c>
      <c r="D3067" s="67">
        <v>47</v>
      </c>
      <c r="E3067" s="217" t="s">
        <v>929</v>
      </c>
      <c r="F3067" s="218" t="s">
        <v>4157</v>
      </c>
      <c r="G3067" s="192">
        <v>15700</v>
      </c>
      <c r="H3067" s="1783" t="s">
        <v>4128</v>
      </c>
      <c r="I3067" s="1199" t="s">
        <v>25</v>
      </c>
      <c r="J3067" s="37"/>
      <c r="K3067" s="1128"/>
      <c r="L3067" s="327"/>
      <c r="M3067" s="327"/>
      <c r="N3067" s="543"/>
      <c r="O3067" s="1200"/>
    </row>
    <row r="3068" spans="1:15" x14ac:dyDescent="0.3">
      <c r="A3068" s="2226">
        <v>4</v>
      </c>
      <c r="B3068" s="248" t="s">
        <v>4158</v>
      </c>
      <c r="C3068" s="415" t="s">
        <v>4156</v>
      </c>
      <c r="D3068" s="67">
        <v>55</v>
      </c>
      <c r="E3068" s="217" t="s">
        <v>1450</v>
      </c>
      <c r="F3068" s="218" t="s">
        <v>4127</v>
      </c>
      <c r="G3068" s="192">
        <v>7300</v>
      </c>
      <c r="H3068" s="1783" t="s">
        <v>4128</v>
      </c>
      <c r="I3068" s="1199" t="s">
        <v>25</v>
      </c>
      <c r="J3068" s="37"/>
      <c r="K3068" s="1128"/>
      <c r="L3068" s="327"/>
      <c r="M3068" s="327"/>
      <c r="N3068" s="543"/>
      <c r="O3068" s="1200"/>
    </row>
    <row r="3069" spans="1:15" x14ac:dyDescent="0.3">
      <c r="A3069" s="2226">
        <v>5</v>
      </c>
      <c r="B3069" s="248" t="s">
        <v>4159</v>
      </c>
      <c r="C3069" s="415" t="s">
        <v>4156</v>
      </c>
      <c r="D3069" s="67">
        <v>55</v>
      </c>
      <c r="E3069" s="217" t="s">
        <v>1451</v>
      </c>
      <c r="F3069" s="218" t="s">
        <v>4127</v>
      </c>
      <c r="G3069" s="192">
        <v>13500</v>
      </c>
      <c r="H3069" s="1783" t="s">
        <v>4128</v>
      </c>
      <c r="I3069" s="1199" t="s">
        <v>25</v>
      </c>
      <c r="J3069" s="37"/>
      <c r="K3069" s="1128"/>
      <c r="L3069" s="327"/>
      <c r="M3069" s="327"/>
      <c r="N3069" s="543"/>
      <c r="O3069" s="1200"/>
    </row>
    <row r="3070" spans="1:15" x14ac:dyDescent="0.3">
      <c r="A3070" s="2299">
        <v>6</v>
      </c>
      <c r="B3070" s="450" t="s">
        <v>4160</v>
      </c>
      <c r="C3070" s="451">
        <v>462</v>
      </c>
      <c r="D3070" s="75">
        <v>62</v>
      </c>
      <c r="E3070" s="419" t="s">
        <v>1500</v>
      </c>
      <c r="F3070" s="419" t="s">
        <v>297</v>
      </c>
      <c r="G3070" s="455">
        <v>36941.75</v>
      </c>
      <c r="H3070" s="1784" t="s">
        <v>298</v>
      </c>
      <c r="I3070" s="1199" t="s">
        <v>25</v>
      </c>
      <c r="J3070" s="37"/>
      <c r="K3070" s="1128"/>
      <c r="L3070" s="327"/>
      <c r="M3070" s="327"/>
      <c r="N3070" s="543"/>
      <c r="O3070" s="1200"/>
    </row>
    <row r="3071" spans="1:15" ht="31.2" x14ac:dyDescent="0.3">
      <c r="A3071" s="2391">
        <v>7</v>
      </c>
      <c r="B3071" s="1217" t="s">
        <v>4161</v>
      </c>
      <c r="C3071" s="451">
        <v>462</v>
      </c>
      <c r="D3071" s="75">
        <v>62</v>
      </c>
      <c r="E3071" s="419" t="s">
        <v>1501</v>
      </c>
      <c r="F3071" s="419" t="s">
        <v>297</v>
      </c>
      <c r="G3071" s="455">
        <v>32100</v>
      </c>
      <c r="H3071" s="1784" t="s">
        <v>298</v>
      </c>
      <c r="I3071" s="1199" t="s">
        <v>25</v>
      </c>
      <c r="J3071" s="37"/>
      <c r="K3071" s="1128"/>
      <c r="L3071" s="327"/>
      <c r="M3071" s="327"/>
      <c r="N3071" s="543"/>
      <c r="O3071" s="1200"/>
    </row>
    <row r="3072" spans="1:15" ht="17.399999999999999" x14ac:dyDescent="0.45">
      <c r="A3072" s="39"/>
      <c r="B3072" s="172"/>
      <c r="C3072" s="1218"/>
      <c r="D3072" s="1219"/>
      <c r="E3072" s="374"/>
      <c r="F3072" s="1220"/>
      <c r="G3072" s="231">
        <f>SUM(G3065:G3071)</f>
        <v>125831.75</v>
      </c>
      <c r="H3072" s="1221"/>
      <c r="I3072" s="1199"/>
      <c r="J3072" s="37"/>
      <c r="K3072" s="1128"/>
      <c r="L3072" s="327"/>
      <c r="M3072" s="327"/>
      <c r="N3072" s="543"/>
      <c r="O3072" s="1200"/>
    </row>
    <row r="3073" spans="1:15" ht="17.399999999999999" x14ac:dyDescent="0.45">
      <c r="A3073" s="1222"/>
      <c r="C3073" s="1223"/>
      <c r="D3073" s="1223"/>
      <c r="E3073" s="1224"/>
      <c r="F3073" s="1225"/>
      <c r="G3073" s="1226"/>
      <c r="H3073" s="1227"/>
      <c r="I3073" s="1199"/>
      <c r="J3073" s="37"/>
      <c r="K3073" s="1128"/>
      <c r="L3073" s="327"/>
      <c r="M3073" s="327"/>
      <c r="N3073" s="543"/>
      <c r="O3073" s="1200"/>
    </row>
    <row r="3074" spans="1:15" x14ac:dyDescent="0.3">
      <c r="A3074" s="823">
        <v>464</v>
      </c>
      <c r="B3074" s="815" t="s">
        <v>4162</v>
      </c>
      <c r="C3074" s="829"/>
      <c r="D3074" s="829"/>
      <c r="E3074" s="829"/>
      <c r="F3074" s="1228"/>
      <c r="G3074" s="1229"/>
      <c r="H3074" s="1230"/>
      <c r="I3074" s="1230"/>
      <c r="J3074" s="1230"/>
      <c r="K3074" s="1230"/>
      <c r="L3074" s="1230"/>
      <c r="M3074" s="1230"/>
      <c r="N3074" s="1230"/>
      <c r="O3074" s="1230"/>
    </row>
    <row r="3075" spans="1:15" x14ac:dyDescent="0.3">
      <c r="A3075" s="2437">
        <v>1</v>
      </c>
      <c r="B3075" s="1231" t="s">
        <v>4163</v>
      </c>
      <c r="C3075" s="1232" t="s">
        <v>4164</v>
      </c>
      <c r="D3075" s="1233" t="s">
        <v>4165</v>
      </c>
      <c r="E3075" s="1234" t="s">
        <v>1354</v>
      </c>
      <c r="F3075" s="1235" t="s">
        <v>4166</v>
      </c>
      <c r="G3075" s="1236" t="s">
        <v>4167</v>
      </c>
      <c r="H3075" s="1785" t="s">
        <v>4168</v>
      </c>
      <c r="I3075" s="1199" t="s">
        <v>25</v>
      </c>
      <c r="J3075" s="37"/>
      <c r="K3075" s="1128"/>
      <c r="L3075" s="327"/>
      <c r="M3075" s="327"/>
      <c r="N3075" s="543"/>
      <c r="O3075" s="1200"/>
    </row>
    <row r="3076" spans="1:15" x14ac:dyDescent="0.3">
      <c r="A3076" s="2226">
        <v>2</v>
      </c>
      <c r="B3076" s="248" t="s">
        <v>4169</v>
      </c>
      <c r="C3076" s="415">
        <v>464</v>
      </c>
      <c r="D3076" s="67">
        <v>36</v>
      </c>
      <c r="E3076" s="217" t="s">
        <v>588</v>
      </c>
      <c r="F3076" s="218" t="s">
        <v>4170</v>
      </c>
      <c r="G3076" s="192">
        <v>5000</v>
      </c>
      <c r="H3076" s="1786" t="s">
        <v>41</v>
      </c>
      <c r="I3076" s="1199" t="s">
        <v>25</v>
      </c>
      <c r="J3076" s="37"/>
      <c r="K3076" s="1128"/>
      <c r="L3076" s="327"/>
      <c r="M3076" s="327"/>
      <c r="N3076" s="543"/>
      <c r="O3076" s="2403" t="s">
        <v>5894</v>
      </c>
    </row>
    <row r="3077" spans="1:15" ht="17.399999999999999" x14ac:dyDescent="0.45">
      <c r="A3077" s="39"/>
      <c r="B3077" s="172"/>
      <c r="C3077" s="1218"/>
      <c r="D3077" s="1219"/>
      <c r="E3077" s="1219"/>
      <c r="F3077" s="1237"/>
      <c r="G3077" s="231">
        <f>SUM(G3075:G3076)</f>
        <v>5000</v>
      </c>
      <c r="H3077" s="1238"/>
      <c r="I3077" s="1199"/>
      <c r="J3077" s="37"/>
      <c r="K3077" s="1128"/>
      <c r="L3077" s="327"/>
      <c r="M3077" s="327"/>
      <c r="N3077" s="543"/>
      <c r="O3077" s="1200"/>
    </row>
    <row r="3078" spans="1:15" x14ac:dyDescent="0.3">
      <c r="A3078" s="825">
        <v>465</v>
      </c>
      <c r="B3078" s="815" t="s">
        <v>4171</v>
      </c>
      <c r="C3078" s="1239"/>
      <c r="D3078" s="1239"/>
      <c r="E3078" s="1240"/>
      <c r="F3078" s="1240"/>
      <c r="G3078" s="1229"/>
      <c r="H3078" s="1241"/>
      <c r="I3078" s="1241"/>
      <c r="J3078" s="1241"/>
      <c r="K3078" s="1241"/>
      <c r="L3078" s="1241"/>
      <c r="M3078" s="1241"/>
      <c r="N3078" s="1241"/>
      <c r="O3078" s="1241"/>
    </row>
    <row r="3079" spans="1:15" x14ac:dyDescent="0.3">
      <c r="A3079" s="2250">
        <v>1</v>
      </c>
      <c r="B3079" s="645" t="s">
        <v>4172</v>
      </c>
      <c r="C3079" s="1198" t="s">
        <v>4173</v>
      </c>
      <c r="D3079" s="326">
        <v>51</v>
      </c>
      <c r="E3079" s="349" t="s">
        <v>1104</v>
      </c>
      <c r="F3079" s="350" t="s">
        <v>308</v>
      </c>
      <c r="G3079" s="351">
        <v>51000</v>
      </c>
      <c r="H3079" s="1787" t="s">
        <v>400</v>
      </c>
      <c r="I3079" s="1199" t="s">
        <v>25</v>
      </c>
      <c r="J3079" s="37"/>
      <c r="K3079" s="1128"/>
      <c r="L3079" s="327"/>
      <c r="M3079" s="327"/>
      <c r="N3079" s="543"/>
      <c r="O3079" s="1200"/>
    </row>
    <row r="3080" spans="1:15" x14ac:dyDescent="0.3">
      <c r="A3080" s="2226">
        <v>2</v>
      </c>
      <c r="B3080" s="248" t="s">
        <v>4174</v>
      </c>
      <c r="C3080" s="415" t="s">
        <v>4173</v>
      </c>
      <c r="D3080" s="67">
        <v>63</v>
      </c>
      <c r="E3080" s="217" t="s">
        <v>1107</v>
      </c>
      <c r="F3080" s="217" t="s">
        <v>4175</v>
      </c>
      <c r="G3080" s="192">
        <v>138000</v>
      </c>
      <c r="H3080" s="1788" t="s">
        <v>400</v>
      </c>
      <c r="I3080" s="1199" t="s">
        <v>25</v>
      </c>
      <c r="J3080" s="37"/>
      <c r="K3080" s="1128"/>
      <c r="L3080" s="327"/>
      <c r="M3080" s="327"/>
      <c r="N3080" s="543"/>
      <c r="O3080" s="1200"/>
    </row>
    <row r="3081" spans="1:15" x14ac:dyDescent="0.3">
      <c r="A3081" s="2262">
        <v>3</v>
      </c>
      <c r="B3081" s="1242" t="s">
        <v>4176</v>
      </c>
      <c r="C3081" s="1222">
        <v>465</v>
      </c>
      <c r="D3081" s="320">
        <v>66</v>
      </c>
      <c r="E3081" s="217" t="s">
        <v>399</v>
      </c>
      <c r="F3081" s="218" t="s">
        <v>4177</v>
      </c>
      <c r="G3081" s="936">
        <v>51000</v>
      </c>
      <c r="H3081" s="1786" t="s">
        <v>41</v>
      </c>
      <c r="I3081" s="1199" t="s">
        <v>25</v>
      </c>
      <c r="J3081" s="37"/>
      <c r="K3081" s="1128"/>
      <c r="L3081" s="327"/>
      <c r="M3081" s="327"/>
      <c r="N3081" s="543"/>
      <c r="O3081" s="2403" t="s">
        <v>5894</v>
      </c>
    </row>
    <row r="3082" spans="1:15" ht="17.399999999999999" x14ac:dyDescent="0.45">
      <c r="A3082" s="39"/>
      <c r="B3082" s="172"/>
      <c r="C3082" s="1218"/>
      <c r="D3082" s="1219"/>
      <c r="E3082" s="1219"/>
      <c r="F3082" s="1237"/>
      <c r="G3082" s="231">
        <f>SUM(G3079:G3081)</f>
        <v>240000</v>
      </c>
      <c r="H3082" s="1221"/>
      <c r="I3082" s="1199"/>
      <c r="J3082" s="37"/>
      <c r="K3082" s="1128"/>
      <c r="L3082" s="327"/>
      <c r="M3082" s="327"/>
      <c r="N3082" s="543"/>
      <c r="O3082" s="1200"/>
    </row>
    <row r="3083" spans="1:15" x14ac:dyDescent="0.3">
      <c r="A3083" s="1243">
        <v>466</v>
      </c>
      <c r="B3083" s="282" t="s">
        <v>4178</v>
      </c>
      <c r="C3083" s="440"/>
      <c r="D3083" s="440"/>
      <c r="E3083" s="1244"/>
      <c r="F3083" s="440"/>
      <c r="G3083" s="442"/>
      <c r="H3083" s="443"/>
      <c r="I3083" s="1245"/>
      <c r="J3083" s="1245"/>
      <c r="K3083" s="1245"/>
      <c r="L3083" s="1245"/>
      <c r="M3083" s="1245"/>
      <c r="N3083" s="1245"/>
      <c r="O3083" s="1246"/>
    </row>
    <row r="3084" spans="1:15" x14ac:dyDescent="0.3">
      <c r="A3084" s="2226">
        <v>1</v>
      </c>
      <c r="B3084" s="248" t="s">
        <v>4179</v>
      </c>
      <c r="C3084" s="415" t="s">
        <v>4180</v>
      </c>
      <c r="D3084" s="67">
        <v>54</v>
      </c>
      <c r="E3084" s="217" t="s">
        <v>1347</v>
      </c>
      <c r="F3084" s="218" t="s">
        <v>4181</v>
      </c>
      <c r="G3084" s="192">
        <v>209000</v>
      </c>
      <c r="H3084" s="1783" t="s">
        <v>4128</v>
      </c>
      <c r="I3084" s="1199" t="s">
        <v>25</v>
      </c>
      <c r="J3084" s="37"/>
      <c r="K3084" s="1128"/>
      <c r="L3084" s="327"/>
      <c r="M3084" s="327"/>
      <c r="N3084" s="543"/>
      <c r="O3084" s="1200"/>
    </row>
    <row r="3085" spans="1:15" x14ac:dyDescent="0.3">
      <c r="A3085" s="2226">
        <v>2</v>
      </c>
      <c r="B3085" s="248" t="s">
        <v>4182</v>
      </c>
      <c r="C3085" s="415" t="s">
        <v>4180</v>
      </c>
      <c r="D3085" s="67">
        <v>55</v>
      </c>
      <c r="E3085" s="217" t="s">
        <v>546</v>
      </c>
      <c r="F3085" s="218" t="s">
        <v>241</v>
      </c>
      <c r="G3085" s="192">
        <v>10966.5</v>
      </c>
      <c r="H3085" s="1783" t="s">
        <v>4128</v>
      </c>
      <c r="I3085" s="1199" t="s">
        <v>25</v>
      </c>
      <c r="J3085" s="37"/>
      <c r="K3085" s="1128"/>
      <c r="L3085" s="327"/>
      <c r="M3085" s="327"/>
      <c r="N3085" s="543"/>
      <c r="O3085" s="1200"/>
    </row>
    <row r="3086" spans="1:15" x14ac:dyDescent="0.3">
      <c r="A3086" s="2226">
        <v>3</v>
      </c>
      <c r="B3086" s="248" t="s">
        <v>4182</v>
      </c>
      <c r="C3086" s="415" t="s">
        <v>4180</v>
      </c>
      <c r="D3086" s="67">
        <v>55</v>
      </c>
      <c r="E3086" s="217" t="s">
        <v>547</v>
      </c>
      <c r="F3086" s="218" t="s">
        <v>241</v>
      </c>
      <c r="G3086" s="192">
        <v>10966.5</v>
      </c>
      <c r="H3086" s="1783" t="s">
        <v>4128</v>
      </c>
      <c r="I3086" s="1199" t="s">
        <v>25</v>
      </c>
      <c r="J3086" s="37"/>
      <c r="K3086" s="1128"/>
      <c r="L3086" s="327"/>
      <c r="M3086" s="327"/>
      <c r="N3086" s="543"/>
      <c r="O3086" s="1200"/>
    </row>
    <row r="3087" spans="1:15" x14ac:dyDescent="0.3">
      <c r="A3087" s="2226">
        <v>4</v>
      </c>
      <c r="B3087" s="248" t="s">
        <v>4183</v>
      </c>
      <c r="C3087" s="415" t="s">
        <v>4180</v>
      </c>
      <c r="D3087" s="67">
        <v>55</v>
      </c>
      <c r="E3087" s="217" t="s">
        <v>319</v>
      </c>
      <c r="F3087" s="218" t="s">
        <v>241</v>
      </c>
      <c r="G3087" s="192">
        <v>11605</v>
      </c>
      <c r="H3087" s="1783" t="s">
        <v>4128</v>
      </c>
      <c r="I3087" s="1199" t="s">
        <v>25</v>
      </c>
      <c r="J3087" s="37"/>
      <c r="K3087" s="1128"/>
      <c r="L3087" s="327"/>
      <c r="M3087" s="327"/>
      <c r="N3087" s="543"/>
      <c r="O3087" s="1200"/>
    </row>
    <row r="3088" spans="1:15" x14ac:dyDescent="0.3">
      <c r="A3088" s="2226">
        <v>5</v>
      </c>
      <c r="B3088" s="248" t="s">
        <v>4184</v>
      </c>
      <c r="C3088" s="415" t="s">
        <v>4180</v>
      </c>
      <c r="D3088" s="67">
        <v>60</v>
      </c>
      <c r="E3088" s="217" t="s">
        <v>1354</v>
      </c>
      <c r="F3088" s="247" t="s">
        <v>4185</v>
      </c>
      <c r="G3088" s="1247">
        <v>4500</v>
      </c>
      <c r="H3088" s="1783" t="s">
        <v>4128</v>
      </c>
      <c r="I3088" s="1199" t="s">
        <v>25</v>
      </c>
      <c r="J3088" s="37"/>
      <c r="K3088" s="1128"/>
      <c r="L3088" s="327"/>
      <c r="M3088" s="327"/>
      <c r="N3088" s="543"/>
      <c r="O3088" s="1200"/>
    </row>
    <row r="3089" spans="1:15" x14ac:dyDescent="0.3">
      <c r="A3089" s="2226">
        <v>6</v>
      </c>
      <c r="B3089" s="1248" t="s">
        <v>4186</v>
      </c>
      <c r="C3089" s="415" t="s">
        <v>4180</v>
      </c>
      <c r="D3089" s="75">
        <v>61</v>
      </c>
      <c r="E3089" s="227" t="s">
        <v>1356</v>
      </c>
      <c r="F3089" s="306" t="s">
        <v>4187</v>
      </c>
      <c r="G3089" s="813">
        <v>350000</v>
      </c>
      <c r="H3089" s="1783" t="s">
        <v>4128</v>
      </c>
      <c r="I3089" s="1199" t="s">
        <v>25</v>
      </c>
      <c r="J3089" s="37"/>
      <c r="K3089" s="1128"/>
      <c r="L3089" s="327"/>
      <c r="M3089" s="327"/>
      <c r="N3089" s="543"/>
      <c r="O3089" s="1200"/>
    </row>
    <row r="3090" spans="1:15" x14ac:dyDescent="0.3">
      <c r="A3090" s="2226">
        <v>7</v>
      </c>
      <c r="B3090" s="1248" t="s">
        <v>4186</v>
      </c>
      <c r="C3090" s="415" t="s">
        <v>4180</v>
      </c>
      <c r="D3090" s="75">
        <v>61</v>
      </c>
      <c r="E3090" s="227" t="s">
        <v>551</v>
      </c>
      <c r="F3090" s="306" t="s">
        <v>4187</v>
      </c>
      <c r="G3090" s="813">
        <v>425000</v>
      </c>
      <c r="H3090" s="1783" t="s">
        <v>4128</v>
      </c>
      <c r="I3090" s="1199" t="s">
        <v>25</v>
      </c>
      <c r="J3090" s="37"/>
      <c r="K3090" s="1128"/>
      <c r="L3090" s="327"/>
      <c r="M3090" s="327"/>
      <c r="N3090" s="543"/>
      <c r="O3090" s="1200"/>
    </row>
    <row r="3091" spans="1:15" x14ac:dyDescent="0.3">
      <c r="A3091" s="2226">
        <v>8</v>
      </c>
      <c r="B3091" s="1248" t="s">
        <v>4186</v>
      </c>
      <c r="C3091" s="415" t="s">
        <v>4180</v>
      </c>
      <c r="D3091" s="75">
        <v>61</v>
      </c>
      <c r="E3091" s="227" t="s">
        <v>555</v>
      </c>
      <c r="F3091" s="306" t="s">
        <v>4187</v>
      </c>
      <c r="G3091" s="813">
        <v>249000</v>
      </c>
      <c r="H3091" s="1783" t="s">
        <v>4128</v>
      </c>
      <c r="I3091" s="1199" t="s">
        <v>25</v>
      </c>
      <c r="J3091" s="37"/>
      <c r="K3091" s="1128"/>
      <c r="L3091" s="327"/>
      <c r="M3091" s="327"/>
      <c r="N3091" s="543"/>
      <c r="O3091" s="1200"/>
    </row>
    <row r="3092" spans="1:15" x14ac:dyDescent="0.3">
      <c r="A3092" s="2226">
        <v>9</v>
      </c>
      <c r="B3092" s="1248" t="s">
        <v>4186</v>
      </c>
      <c r="C3092" s="415" t="s">
        <v>4180</v>
      </c>
      <c r="D3092" s="75">
        <v>61</v>
      </c>
      <c r="E3092" s="227" t="s">
        <v>557</v>
      </c>
      <c r="F3092" s="306" t="s">
        <v>4187</v>
      </c>
      <c r="G3092" s="813">
        <v>575000</v>
      </c>
      <c r="H3092" s="1783" t="s">
        <v>4128</v>
      </c>
      <c r="I3092" s="1199" t="s">
        <v>25</v>
      </c>
      <c r="J3092" s="37"/>
      <c r="K3092" s="1128"/>
      <c r="L3092" s="327"/>
      <c r="M3092" s="327"/>
      <c r="N3092" s="543"/>
      <c r="O3092" s="1200"/>
    </row>
    <row r="3093" spans="1:15" x14ac:dyDescent="0.3">
      <c r="A3093" s="2226">
        <v>10</v>
      </c>
      <c r="B3093" s="450" t="s">
        <v>4188</v>
      </c>
      <c r="C3093" s="415" t="s">
        <v>4180</v>
      </c>
      <c r="D3093" s="75">
        <v>62</v>
      </c>
      <c r="E3093" s="227" t="s">
        <v>1357</v>
      </c>
      <c r="F3093" s="1162">
        <v>22766</v>
      </c>
      <c r="G3093" s="1249">
        <v>199000</v>
      </c>
      <c r="H3093" s="1783" t="s">
        <v>4128</v>
      </c>
      <c r="I3093" s="1199" t="s">
        <v>25</v>
      </c>
      <c r="J3093" s="37"/>
      <c r="K3093" s="1128"/>
      <c r="L3093" s="327"/>
      <c r="M3093" s="327"/>
      <c r="N3093" s="543"/>
      <c r="O3093" s="1200"/>
    </row>
    <row r="3094" spans="1:15" x14ac:dyDescent="0.3">
      <c r="A3094" s="2226">
        <v>11</v>
      </c>
      <c r="B3094" s="450" t="s">
        <v>4189</v>
      </c>
      <c r="C3094" s="415" t="s">
        <v>4180</v>
      </c>
      <c r="D3094" s="75">
        <v>62</v>
      </c>
      <c r="E3094" s="227" t="s">
        <v>1358</v>
      </c>
      <c r="F3094" s="1162">
        <v>22766</v>
      </c>
      <c r="G3094" s="1249">
        <v>199000</v>
      </c>
      <c r="H3094" s="1783" t="s">
        <v>4128</v>
      </c>
      <c r="I3094" s="1199" t="s">
        <v>25</v>
      </c>
      <c r="J3094" s="37"/>
      <c r="K3094" s="1128"/>
      <c r="L3094" s="327"/>
      <c r="M3094" s="327"/>
      <c r="N3094" s="543"/>
      <c r="O3094" s="1200"/>
    </row>
    <row r="3095" spans="1:15" x14ac:dyDescent="0.3">
      <c r="A3095" s="2226">
        <v>12</v>
      </c>
      <c r="B3095" s="1250" t="s">
        <v>4190</v>
      </c>
      <c r="C3095" s="415" t="s">
        <v>4180</v>
      </c>
      <c r="D3095" s="75">
        <v>63</v>
      </c>
      <c r="E3095" s="227" t="s">
        <v>1359</v>
      </c>
      <c r="F3095" s="1162">
        <v>22969</v>
      </c>
      <c r="G3095" s="1249">
        <v>5000</v>
      </c>
      <c r="H3095" s="1783" t="s">
        <v>4128</v>
      </c>
      <c r="I3095" s="1199" t="s">
        <v>25</v>
      </c>
      <c r="J3095" s="37"/>
      <c r="K3095" s="1128"/>
      <c r="L3095" s="327"/>
      <c r="M3095" s="327"/>
      <c r="N3095" s="543"/>
      <c r="O3095" s="1200"/>
    </row>
    <row r="3096" spans="1:15" x14ac:dyDescent="0.3">
      <c r="A3096" s="2226">
        <v>13</v>
      </c>
      <c r="B3096" s="1250" t="s">
        <v>4190</v>
      </c>
      <c r="C3096" s="415" t="s">
        <v>4180</v>
      </c>
      <c r="D3096" s="75">
        <v>63</v>
      </c>
      <c r="E3096" s="227" t="s">
        <v>1360</v>
      </c>
      <c r="F3096" s="1162">
        <v>22969</v>
      </c>
      <c r="G3096" s="1249">
        <v>5000</v>
      </c>
      <c r="H3096" s="1783" t="s">
        <v>4128</v>
      </c>
      <c r="I3096" s="1199" t="s">
        <v>25</v>
      </c>
      <c r="J3096" s="37"/>
      <c r="K3096" s="1128"/>
      <c r="L3096" s="327"/>
      <c r="M3096" s="327"/>
      <c r="N3096" s="543"/>
      <c r="O3096" s="1200"/>
    </row>
    <row r="3097" spans="1:15" x14ac:dyDescent="0.3">
      <c r="A3097" s="2226">
        <v>14</v>
      </c>
      <c r="B3097" s="1250" t="s">
        <v>4191</v>
      </c>
      <c r="C3097" s="415" t="s">
        <v>4180</v>
      </c>
      <c r="D3097" s="67">
        <v>63</v>
      </c>
      <c r="E3097" s="1251" t="s">
        <v>586</v>
      </c>
      <c r="F3097" s="306">
        <v>23214</v>
      </c>
      <c r="G3097" s="813">
        <v>117800</v>
      </c>
      <c r="H3097" s="1783" t="s">
        <v>4128</v>
      </c>
      <c r="I3097" s="1199" t="s">
        <v>25</v>
      </c>
      <c r="J3097" s="37"/>
      <c r="K3097" s="1128"/>
      <c r="L3097" s="327"/>
      <c r="M3097" s="327"/>
      <c r="N3097" s="543"/>
      <c r="O3097" s="1200"/>
    </row>
    <row r="3098" spans="1:15" x14ac:dyDescent="0.3">
      <c r="A3098" s="2226">
        <v>15</v>
      </c>
      <c r="B3098" s="1252" t="s">
        <v>4192</v>
      </c>
      <c r="C3098" s="451">
        <v>466</v>
      </c>
      <c r="D3098" s="75">
        <v>64</v>
      </c>
      <c r="E3098" s="227" t="s">
        <v>587</v>
      </c>
      <c r="F3098" s="1162">
        <v>23585</v>
      </c>
      <c r="G3098" s="1249">
        <v>100000</v>
      </c>
      <c r="H3098" s="1783" t="s">
        <v>4128</v>
      </c>
      <c r="I3098" s="1199" t="s">
        <v>25</v>
      </c>
      <c r="J3098" s="37"/>
      <c r="K3098" s="1128"/>
      <c r="L3098" s="327"/>
      <c r="M3098" s="327"/>
      <c r="N3098" s="543"/>
      <c r="O3098" s="1200"/>
    </row>
    <row r="3099" spans="1:15" x14ac:dyDescent="0.3">
      <c r="A3099" s="2226">
        <v>16</v>
      </c>
      <c r="B3099" s="1253" t="s">
        <v>4193</v>
      </c>
      <c r="C3099" s="451">
        <v>466</v>
      </c>
      <c r="D3099" s="75">
        <v>65</v>
      </c>
      <c r="E3099" s="227" t="s">
        <v>590</v>
      </c>
      <c r="F3099" s="1162">
        <v>23777</v>
      </c>
      <c r="G3099" s="1249">
        <v>14057.28</v>
      </c>
      <c r="H3099" s="1783" t="s">
        <v>4128</v>
      </c>
      <c r="I3099" s="1199" t="s">
        <v>25</v>
      </c>
      <c r="J3099" s="37"/>
      <c r="K3099" s="1128"/>
      <c r="L3099" s="327"/>
      <c r="M3099" s="327"/>
      <c r="N3099" s="543"/>
      <c r="O3099" s="1200"/>
    </row>
    <row r="3100" spans="1:15" x14ac:dyDescent="0.3">
      <c r="A3100" s="2226">
        <v>17</v>
      </c>
      <c r="B3100" s="1253" t="s">
        <v>4193</v>
      </c>
      <c r="C3100" s="451">
        <v>466</v>
      </c>
      <c r="D3100" s="75">
        <v>65</v>
      </c>
      <c r="E3100" s="227" t="s">
        <v>591</v>
      </c>
      <c r="F3100" s="1162">
        <v>23777</v>
      </c>
      <c r="G3100" s="1249">
        <v>14057.28</v>
      </c>
      <c r="H3100" s="1783" t="s">
        <v>4128</v>
      </c>
      <c r="I3100" s="1199" t="s">
        <v>25</v>
      </c>
      <c r="J3100" s="37"/>
      <c r="K3100" s="1128"/>
      <c r="L3100" s="327"/>
      <c r="M3100" s="327"/>
      <c r="N3100" s="543"/>
      <c r="O3100" s="1200"/>
    </row>
    <row r="3101" spans="1:15" x14ac:dyDescent="0.3">
      <c r="A3101" s="2226">
        <v>18</v>
      </c>
      <c r="B3101" s="1253" t="s">
        <v>4193</v>
      </c>
      <c r="C3101" s="451">
        <v>466</v>
      </c>
      <c r="D3101" s="75">
        <v>65</v>
      </c>
      <c r="E3101" s="227" t="s">
        <v>564</v>
      </c>
      <c r="F3101" s="1162">
        <v>23777</v>
      </c>
      <c r="G3101" s="1249">
        <v>14057.28</v>
      </c>
      <c r="H3101" s="1783" t="s">
        <v>4128</v>
      </c>
      <c r="I3101" s="1199" t="s">
        <v>25</v>
      </c>
      <c r="J3101" s="37"/>
      <c r="K3101" s="1128"/>
      <c r="L3101" s="327"/>
      <c r="M3101" s="327"/>
      <c r="N3101" s="543"/>
      <c r="O3101" s="1200"/>
    </row>
    <row r="3102" spans="1:15" x14ac:dyDescent="0.3">
      <c r="A3102" s="2226">
        <v>19</v>
      </c>
      <c r="B3102" s="1254" t="s">
        <v>4194</v>
      </c>
      <c r="C3102" s="451">
        <v>466</v>
      </c>
      <c r="D3102" s="75">
        <v>65</v>
      </c>
      <c r="E3102" s="227" t="s">
        <v>568</v>
      </c>
      <c r="F3102" s="1162">
        <v>23887</v>
      </c>
      <c r="G3102" s="1249">
        <v>47187</v>
      </c>
      <c r="H3102" s="1775" t="s">
        <v>4195</v>
      </c>
      <c r="I3102" s="1199" t="s">
        <v>25</v>
      </c>
      <c r="J3102" s="37"/>
      <c r="K3102" s="1128"/>
      <c r="L3102" s="327"/>
      <c r="M3102" s="327"/>
      <c r="N3102" s="543"/>
      <c r="O3102" s="1200"/>
    </row>
    <row r="3103" spans="1:15" x14ac:dyDescent="0.3">
      <c r="A3103" s="2226">
        <v>20</v>
      </c>
      <c r="B3103" s="1254" t="s">
        <v>4196</v>
      </c>
      <c r="C3103" s="451">
        <v>466</v>
      </c>
      <c r="D3103" s="75">
        <v>65</v>
      </c>
      <c r="E3103" s="227" t="s">
        <v>569</v>
      </c>
      <c r="F3103" s="1162">
        <v>23887</v>
      </c>
      <c r="G3103" s="1249">
        <v>8025</v>
      </c>
      <c r="H3103" s="1775" t="s">
        <v>4195</v>
      </c>
      <c r="I3103" s="1199" t="s">
        <v>25</v>
      </c>
      <c r="J3103" s="37"/>
      <c r="K3103" s="1128"/>
      <c r="L3103" s="327"/>
      <c r="M3103" s="327"/>
      <c r="N3103" s="543"/>
      <c r="O3103" s="1200"/>
    </row>
    <row r="3104" spans="1:15" x14ac:dyDescent="0.3">
      <c r="A3104" s="2226">
        <v>21</v>
      </c>
      <c r="B3104" s="1254" t="s">
        <v>4197</v>
      </c>
      <c r="C3104" s="451">
        <v>466</v>
      </c>
      <c r="D3104" s="75">
        <v>65</v>
      </c>
      <c r="E3104" s="227" t="s">
        <v>570</v>
      </c>
      <c r="F3104" s="1162">
        <v>23887</v>
      </c>
      <c r="G3104" s="1249">
        <v>8560</v>
      </c>
      <c r="H3104" s="1775" t="s">
        <v>4195</v>
      </c>
      <c r="I3104" s="1199" t="s">
        <v>25</v>
      </c>
      <c r="J3104" s="37"/>
      <c r="K3104" s="1128"/>
      <c r="L3104" s="327"/>
      <c r="M3104" s="327"/>
      <c r="N3104" s="543"/>
      <c r="O3104" s="1200"/>
    </row>
    <row r="3105" spans="1:15" x14ac:dyDescent="0.3">
      <c r="A3105" s="2226">
        <v>22</v>
      </c>
      <c r="B3105" s="1254" t="s">
        <v>4198</v>
      </c>
      <c r="C3105" s="451">
        <v>466</v>
      </c>
      <c r="D3105" s="75">
        <v>65</v>
      </c>
      <c r="E3105" s="227" t="s">
        <v>571</v>
      </c>
      <c r="F3105" s="1162">
        <v>23887</v>
      </c>
      <c r="G3105" s="1249">
        <v>48150</v>
      </c>
      <c r="H3105" s="1775" t="s">
        <v>4195</v>
      </c>
      <c r="I3105" s="1199" t="s">
        <v>25</v>
      </c>
      <c r="J3105" s="37"/>
      <c r="K3105" s="1128"/>
      <c r="L3105" s="327"/>
      <c r="M3105" s="327"/>
      <c r="N3105" s="543"/>
      <c r="O3105" s="1200"/>
    </row>
    <row r="3106" spans="1:15" x14ac:dyDescent="0.3">
      <c r="A3106" s="2226">
        <v>23</v>
      </c>
      <c r="B3106" s="1254" t="s">
        <v>4199</v>
      </c>
      <c r="C3106" s="451">
        <v>466</v>
      </c>
      <c r="D3106" s="75">
        <v>66</v>
      </c>
      <c r="E3106" s="227" t="s">
        <v>578</v>
      </c>
      <c r="F3106" s="1162" t="s">
        <v>4200</v>
      </c>
      <c r="G3106" s="1249">
        <v>7875.67</v>
      </c>
      <c r="H3106" s="1775" t="s">
        <v>1337</v>
      </c>
      <c r="I3106" s="1199" t="s">
        <v>25</v>
      </c>
      <c r="J3106" s="37"/>
      <c r="K3106" s="1128"/>
      <c r="L3106" s="327"/>
      <c r="M3106" s="327"/>
      <c r="N3106" s="543"/>
      <c r="O3106" s="2403" t="s">
        <v>5880</v>
      </c>
    </row>
    <row r="3107" spans="1:15" x14ac:dyDescent="0.3">
      <c r="A3107" s="2226">
        <v>24</v>
      </c>
      <c r="B3107" s="1254" t="s">
        <v>4199</v>
      </c>
      <c r="C3107" s="451">
        <v>466</v>
      </c>
      <c r="D3107" s="75">
        <v>66</v>
      </c>
      <c r="E3107" s="227" t="s">
        <v>1361</v>
      </c>
      <c r="F3107" s="1162" t="s">
        <v>4200</v>
      </c>
      <c r="G3107" s="1249">
        <v>7875.67</v>
      </c>
      <c r="H3107" s="1775" t="s">
        <v>4201</v>
      </c>
      <c r="I3107" s="1199" t="s">
        <v>25</v>
      </c>
      <c r="J3107" s="37"/>
      <c r="K3107" s="1128"/>
      <c r="L3107" s="327"/>
      <c r="M3107" s="327"/>
      <c r="N3107" s="543"/>
      <c r="O3107" s="2403" t="s">
        <v>5880</v>
      </c>
    </row>
    <row r="3108" spans="1:15" x14ac:dyDescent="0.3">
      <c r="A3108" s="2226">
        <v>25</v>
      </c>
      <c r="B3108" s="1254" t="s">
        <v>4199</v>
      </c>
      <c r="C3108" s="451">
        <v>466</v>
      </c>
      <c r="D3108" s="75">
        <v>66</v>
      </c>
      <c r="E3108" s="227" t="s">
        <v>1362</v>
      </c>
      <c r="F3108" s="1162" t="s">
        <v>4202</v>
      </c>
      <c r="G3108" s="1249">
        <v>7960.09</v>
      </c>
      <c r="H3108" s="1775" t="s">
        <v>4203</v>
      </c>
      <c r="I3108" s="1199" t="s">
        <v>25</v>
      </c>
      <c r="J3108" s="37"/>
      <c r="K3108" s="1128"/>
      <c r="L3108" s="327"/>
      <c r="M3108" s="327"/>
      <c r="N3108" s="543"/>
      <c r="O3108" s="2403" t="s">
        <v>5880</v>
      </c>
    </row>
    <row r="3109" spans="1:15" x14ac:dyDescent="0.3">
      <c r="A3109" s="2226">
        <v>26</v>
      </c>
      <c r="B3109" s="1254" t="s">
        <v>4199</v>
      </c>
      <c r="C3109" s="451">
        <v>466</v>
      </c>
      <c r="D3109" s="75">
        <v>66</v>
      </c>
      <c r="E3109" s="227" t="s">
        <v>1363</v>
      </c>
      <c r="F3109" s="1162" t="s">
        <v>4202</v>
      </c>
      <c r="G3109" s="1249">
        <v>7960.1</v>
      </c>
      <c r="H3109" s="1775" t="s">
        <v>4203</v>
      </c>
      <c r="I3109" s="1199" t="s">
        <v>25</v>
      </c>
      <c r="J3109" s="37"/>
      <c r="K3109" s="1128"/>
      <c r="L3109" s="327"/>
      <c r="M3109" s="327"/>
      <c r="N3109" s="543"/>
      <c r="O3109" s="2403" t="s">
        <v>5880</v>
      </c>
    </row>
    <row r="3110" spans="1:15" x14ac:dyDescent="0.3">
      <c r="A3110" s="2226">
        <v>27</v>
      </c>
      <c r="B3110" s="1254" t="s">
        <v>4204</v>
      </c>
      <c r="C3110" s="451">
        <v>466</v>
      </c>
      <c r="D3110" s="75">
        <v>66</v>
      </c>
      <c r="E3110" s="227" t="s">
        <v>1364</v>
      </c>
      <c r="F3110" s="1162" t="s">
        <v>4205</v>
      </c>
      <c r="G3110" s="1249">
        <v>1360.7</v>
      </c>
      <c r="H3110" s="1775" t="s">
        <v>4201</v>
      </c>
      <c r="I3110" s="1199" t="s">
        <v>25</v>
      </c>
      <c r="J3110" s="37"/>
      <c r="K3110" s="1128"/>
      <c r="L3110" s="327"/>
      <c r="M3110" s="327"/>
      <c r="N3110" s="543"/>
      <c r="O3110" s="2403" t="s">
        <v>5880</v>
      </c>
    </row>
    <row r="3111" spans="1:15" ht="17.399999999999999" x14ac:dyDescent="0.45">
      <c r="A3111" s="172"/>
      <c r="B3111" s="172"/>
      <c r="C3111" s="477"/>
      <c r="D3111" s="90"/>
      <c r="E3111" s="201"/>
      <c r="F3111" s="172"/>
      <c r="G3111" s="1255">
        <f>SUM(G3084:G3110)</f>
        <v>2658964.0699999994</v>
      </c>
      <c r="H3111" s="1210"/>
      <c r="I3111" s="1210"/>
      <c r="J3111" s="1210"/>
      <c r="K3111" s="1210"/>
      <c r="L3111" s="1210"/>
      <c r="M3111" s="1210"/>
      <c r="N3111" s="1210"/>
      <c r="O3111" s="1210"/>
    </row>
    <row r="3112" spans="1:15" x14ac:dyDescent="0.3">
      <c r="A3112" s="1243">
        <v>469</v>
      </c>
      <c r="B3112" s="282" t="s">
        <v>4206</v>
      </c>
      <c r="C3112" s="440"/>
      <c r="D3112" s="440"/>
      <c r="E3112" s="1244"/>
      <c r="F3112" s="440"/>
      <c r="G3112" s="442"/>
      <c r="H3112" s="443"/>
      <c r="I3112" s="1245"/>
      <c r="J3112" s="1245"/>
      <c r="K3112" s="1245"/>
      <c r="L3112" s="1245"/>
      <c r="M3112" s="1245"/>
      <c r="N3112" s="1245"/>
      <c r="O3112" s="1246"/>
    </row>
    <row r="3113" spans="1:15" ht="15.6" customHeight="1" x14ac:dyDescent="0.4">
      <c r="A3113" s="2226">
        <v>1</v>
      </c>
      <c r="B3113" s="390" t="s">
        <v>4207</v>
      </c>
      <c r="C3113" s="163" t="s">
        <v>4208</v>
      </c>
      <c r="D3113" s="164" t="s">
        <v>172</v>
      </c>
      <c r="E3113" s="165" t="s">
        <v>1107</v>
      </c>
      <c r="F3113" s="170">
        <v>24567</v>
      </c>
      <c r="G3113" s="171">
        <v>8400</v>
      </c>
      <c r="H3113" s="1256" t="s">
        <v>4209</v>
      </c>
      <c r="I3113" s="2287" t="s">
        <v>25</v>
      </c>
      <c r="J3113" s="37"/>
      <c r="K3113" s="1128"/>
      <c r="L3113" s="327"/>
      <c r="M3113" s="327"/>
      <c r="N3113" s="543"/>
      <c r="O3113" s="1200"/>
    </row>
    <row r="3114" spans="1:15" ht="15.6" customHeight="1" x14ac:dyDescent="0.45">
      <c r="A3114" s="764"/>
      <c r="B3114" s="1180"/>
      <c r="C3114" s="1181"/>
      <c r="D3114" s="1182"/>
      <c r="E3114" s="1182"/>
      <c r="F3114" s="1183"/>
      <c r="G3114" s="1257">
        <f>G3113</f>
        <v>8400</v>
      </c>
      <c r="H3114" s="1258"/>
      <c r="I3114" s="1185"/>
      <c r="J3114" s="1259"/>
      <c r="K3114" s="1260"/>
      <c r="L3114" s="1261"/>
      <c r="M3114" s="1261"/>
      <c r="O3114" s="1262"/>
    </row>
    <row r="3115" spans="1:15" ht="17.399999999999999" x14ac:dyDescent="0.45">
      <c r="A3115" s="497"/>
      <c r="B3115" s="497"/>
      <c r="C3115" s="497"/>
      <c r="D3115" s="497"/>
      <c r="E3115" s="497"/>
      <c r="F3115" s="497"/>
      <c r="G3115" s="496">
        <f>G3010+G3111+G3082+G3077+G3072+G3063+G3049+G3038+G3024+G3021+G2975+G3114</f>
        <v>29412843.690000035</v>
      </c>
    </row>
    <row r="3116" spans="1:15" x14ac:dyDescent="0.3">
      <c r="A3116" s="497"/>
      <c r="B3116" s="497"/>
      <c r="C3116" s="497"/>
      <c r="D3116" s="497"/>
      <c r="E3116" s="497"/>
      <c r="F3116" s="497"/>
      <c r="G3116" s="497"/>
    </row>
    <row r="3117" spans="1:15" ht="18" x14ac:dyDescent="0.35">
      <c r="A3117" s="497"/>
      <c r="B3117" s="502" t="s">
        <v>601</v>
      </c>
      <c r="C3117" s="502"/>
      <c r="D3117" s="502"/>
      <c r="E3117" s="503"/>
      <c r="F3117" s="502"/>
      <c r="G3117" s="504" t="s">
        <v>602</v>
      </c>
      <c r="I3117" s="505"/>
      <c r="J3117" s="505" t="s">
        <v>603</v>
      </c>
      <c r="K3117" s="505"/>
      <c r="L3117" s="505"/>
      <c r="M3117" s="505"/>
      <c r="O3117" s="506"/>
    </row>
    <row r="3118" spans="1:15" ht="18" x14ac:dyDescent="0.35">
      <c r="A3118" s="497"/>
      <c r="B3118" s="507" t="s">
        <v>604</v>
      </c>
      <c r="C3118" s="508"/>
      <c r="D3118" s="502"/>
      <c r="E3118" s="503"/>
      <c r="F3118" s="502"/>
      <c r="G3118" s="504"/>
      <c r="H3118" s="509" t="s">
        <v>605</v>
      </c>
      <c r="J3118" s="505"/>
      <c r="K3118" s="505"/>
      <c r="L3118" s="505"/>
      <c r="M3118" s="505"/>
      <c r="O3118" s="506"/>
    </row>
    <row r="3119" spans="1:15" ht="18" x14ac:dyDescent="0.35">
      <c r="A3119" s="497"/>
      <c r="B3119" s="507" t="s">
        <v>606</v>
      </c>
      <c r="C3119" s="508"/>
      <c r="D3119" s="502"/>
      <c r="E3119" s="503"/>
      <c r="F3119" s="502"/>
      <c r="G3119" s="504"/>
      <c r="H3119" s="509" t="s">
        <v>607</v>
      </c>
      <c r="J3119" s="505"/>
      <c r="K3119" s="505"/>
      <c r="L3119" s="505"/>
      <c r="M3119" s="505"/>
      <c r="O3119" s="506"/>
    </row>
    <row r="3120" spans="1:15" ht="18" x14ac:dyDescent="0.35">
      <c r="A3120" s="497"/>
      <c r="B3120" s="502"/>
      <c r="C3120" s="502"/>
      <c r="D3120" s="502"/>
      <c r="E3120" s="503"/>
      <c r="F3120" s="502"/>
      <c r="G3120" s="510"/>
      <c r="I3120" s="505"/>
      <c r="J3120" s="505"/>
      <c r="K3120" s="505"/>
      <c r="L3120" s="505"/>
      <c r="M3120" s="505"/>
      <c r="O3120" s="506"/>
    </row>
    <row r="3121" spans="1:15" ht="18" x14ac:dyDescent="0.35">
      <c r="A3121" s="497"/>
      <c r="B3121" s="502" t="s">
        <v>1153</v>
      </c>
      <c r="C3121" s="502"/>
      <c r="D3121" s="502"/>
      <c r="E3121" s="503"/>
      <c r="F3121" s="502"/>
      <c r="G3121" s="504"/>
      <c r="I3121" s="505"/>
      <c r="J3121" s="505"/>
      <c r="K3121" s="505"/>
      <c r="L3121" s="505"/>
      <c r="M3121" s="505"/>
      <c r="O3121" s="506"/>
    </row>
    <row r="3122" spans="1:15" ht="18" x14ac:dyDescent="0.35">
      <c r="A3122" s="497"/>
      <c r="B3122" s="507" t="s">
        <v>609</v>
      </c>
      <c r="C3122" s="508"/>
      <c r="D3122" s="502"/>
      <c r="E3122" s="503"/>
      <c r="F3122" s="502"/>
      <c r="G3122" s="504"/>
      <c r="H3122" s="506"/>
      <c r="J3122" s="505"/>
      <c r="K3122" s="505"/>
      <c r="L3122" s="505"/>
      <c r="M3122" s="505"/>
      <c r="O3122" s="506"/>
    </row>
    <row r="3123" spans="1:15" ht="18" x14ac:dyDescent="0.35">
      <c r="A3123" s="497"/>
      <c r="B3123" s="507" t="s">
        <v>610</v>
      </c>
      <c r="C3123" s="508"/>
      <c r="D3123" s="502"/>
      <c r="E3123" s="503"/>
      <c r="F3123" s="502"/>
      <c r="G3123" s="504"/>
      <c r="H3123" s="506"/>
      <c r="J3123" s="505"/>
      <c r="K3123" s="505"/>
      <c r="L3123" s="505"/>
      <c r="M3123" s="505"/>
      <c r="O3123" s="506"/>
    </row>
    <row r="3124" spans="1:15" x14ac:dyDescent="0.3">
      <c r="A3124" s="497"/>
      <c r="B3124" s="497"/>
      <c r="C3124" s="497"/>
      <c r="D3124" s="497"/>
      <c r="E3124" s="497"/>
      <c r="F3124" s="497"/>
      <c r="G3124" s="497"/>
    </row>
    <row r="3125" spans="1:15" x14ac:dyDescent="0.3">
      <c r="A3125" s="497"/>
      <c r="B3125" s="497"/>
      <c r="C3125" s="497"/>
      <c r="D3125" s="497"/>
      <c r="E3125" s="497"/>
      <c r="F3125" s="497"/>
      <c r="G3125" s="497"/>
    </row>
    <row r="3126" spans="1:15" x14ac:dyDescent="0.3">
      <c r="A3126" s="497"/>
      <c r="B3126" s="497"/>
      <c r="C3126" s="497"/>
      <c r="D3126" s="497"/>
      <c r="E3126" s="497"/>
      <c r="F3126" s="497"/>
      <c r="G3126" s="497"/>
    </row>
    <row r="3127" spans="1:15" ht="18" x14ac:dyDescent="0.35">
      <c r="A3127" s="497"/>
      <c r="B3127" s="765" t="s">
        <v>920</v>
      </c>
      <c r="C3127" s="497"/>
      <c r="D3127" s="497"/>
      <c r="E3127" s="497"/>
      <c r="F3127" s="766">
        <f>'[6]ฝ่ายสาธารณูปโภค (รวม)'!G2548</f>
        <v>18619269.700000018</v>
      </c>
      <c r="G3127" s="497"/>
    </row>
    <row r="3128" spans="1:15" ht="18" x14ac:dyDescent="0.35">
      <c r="A3128" s="497"/>
      <c r="B3128" s="765" t="s">
        <v>614</v>
      </c>
      <c r="C3128" s="497"/>
      <c r="D3128" s="497"/>
      <c r="E3128" s="497"/>
      <c r="F3128" s="766">
        <f>[6]งานสวนสาธารณะ!G320</f>
        <v>4385149.9999999981</v>
      </c>
      <c r="G3128" s="497"/>
    </row>
    <row r="3129" spans="1:15" ht="18" x14ac:dyDescent="0.35">
      <c r="A3129" s="497"/>
      <c r="B3129" s="765" t="s">
        <v>616</v>
      </c>
      <c r="C3129" s="497"/>
      <c r="D3129" s="497"/>
      <c r="E3129" s="497"/>
      <c r="F3129" s="855">
        <f>'[6]สุขาภิบาล งานซ่อมแซมและบำรุงรัก'!G10</f>
        <v>189000</v>
      </c>
      <c r="G3129" s="497"/>
    </row>
    <row r="3130" spans="1:15" ht="16.2" thickBot="1" x14ac:dyDescent="0.35">
      <c r="A3130" s="497"/>
      <c r="B3130" s="497"/>
      <c r="C3130" s="497"/>
      <c r="D3130" s="497"/>
      <c r="E3130" s="497"/>
      <c r="F3130" s="768">
        <f>SUM(F3127:F3129)</f>
        <v>23193419.700000018</v>
      </c>
      <c r="G3130" s="501"/>
    </row>
    <row r="3131" spans="1:15" ht="16.2" thickTop="1" x14ac:dyDescent="0.3">
      <c r="A3131" s="497"/>
      <c r="B3131" s="497"/>
      <c r="C3131" s="497"/>
      <c r="D3131" s="497"/>
      <c r="E3131" s="497"/>
      <c r="F3131" s="497"/>
      <c r="G3131" s="497"/>
    </row>
    <row r="3132" spans="1:15" x14ac:dyDescent="0.3">
      <c r="A3132" s="497"/>
      <c r="B3132" s="497"/>
      <c r="C3132" s="497"/>
      <c r="D3132" s="497"/>
      <c r="E3132" s="497"/>
      <c r="F3132" s="497"/>
      <c r="G3132" s="497"/>
    </row>
    <row r="3133" spans="1:15" x14ac:dyDescent="0.3">
      <c r="A3133" s="497"/>
      <c r="B3133" s="497"/>
      <c r="C3133" s="497"/>
      <c r="D3133" s="497"/>
      <c r="E3133" s="497"/>
      <c r="F3133" s="497"/>
      <c r="G3133" s="497"/>
    </row>
    <row r="3134" spans="1:15" x14ac:dyDescent="0.3">
      <c r="A3134" s="497"/>
      <c r="B3134" s="497"/>
      <c r="C3134" s="497"/>
      <c r="D3134" s="497"/>
      <c r="E3134" s="497"/>
      <c r="F3134" s="497"/>
      <c r="G3134" s="497"/>
      <c r="H3134" s="1263"/>
    </row>
    <row r="3135" spans="1:15" x14ac:dyDescent="0.3">
      <c r="A3135" s="497"/>
      <c r="B3135" s="497"/>
      <c r="C3135" s="497"/>
      <c r="D3135" s="497"/>
      <c r="E3135" s="497"/>
      <c r="F3135" s="497"/>
      <c r="G3135" s="497"/>
    </row>
    <row r="3136" spans="1:15" x14ac:dyDescent="0.3">
      <c r="A3136" s="497"/>
      <c r="B3136" s="497"/>
      <c r="C3136" s="497"/>
      <c r="D3136" s="497"/>
      <c r="E3136" s="497"/>
      <c r="F3136" s="497"/>
      <c r="G3136" s="497"/>
    </row>
    <row r="3137" spans="1:38" x14ac:dyDescent="0.3">
      <c r="A3137" s="497"/>
      <c r="B3137" s="497"/>
      <c r="C3137" s="497"/>
      <c r="D3137" s="497"/>
      <c r="E3137" s="497"/>
      <c r="F3137" s="497"/>
      <c r="G3137" s="497"/>
    </row>
    <row r="3138" spans="1:38" s="497" customFormat="1" x14ac:dyDescent="0.3">
      <c r="I3138" s="1"/>
      <c r="J3138" s="1"/>
      <c r="K3138" s="1"/>
      <c r="L3138" s="1"/>
      <c r="M3138" s="1"/>
      <c r="N3138" s="1"/>
      <c r="O3138" s="498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  <c r="AC3138" s="1"/>
      <c r="AD3138" s="1"/>
      <c r="AE3138" s="1"/>
      <c r="AF3138" s="1"/>
      <c r="AG3138" s="1"/>
      <c r="AH3138" s="1"/>
      <c r="AI3138" s="1"/>
      <c r="AJ3138" s="1"/>
      <c r="AK3138" s="1"/>
      <c r="AL3138" s="1"/>
    </row>
    <row r="3139" spans="1:38" s="497" customFormat="1" x14ac:dyDescent="0.3">
      <c r="I3139" s="1"/>
      <c r="J3139" s="1"/>
      <c r="K3139" s="1"/>
      <c r="L3139" s="1"/>
      <c r="M3139" s="1"/>
      <c r="N3139" s="1"/>
      <c r="O3139" s="498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1"/>
      <c r="AD3139" s="1"/>
      <c r="AE3139" s="1"/>
      <c r="AF3139" s="1"/>
      <c r="AG3139" s="1"/>
      <c r="AH3139" s="1"/>
      <c r="AI3139" s="1"/>
      <c r="AJ3139" s="1"/>
      <c r="AK3139" s="1"/>
      <c r="AL3139" s="1"/>
    </row>
    <row r="3140" spans="1:38" s="497" customFormat="1" x14ac:dyDescent="0.3">
      <c r="I3140" s="1"/>
      <c r="J3140" s="1"/>
      <c r="K3140" s="1"/>
      <c r="L3140" s="1"/>
      <c r="M3140" s="1"/>
      <c r="N3140" s="1"/>
      <c r="O3140" s="498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1"/>
      <c r="AD3140" s="1"/>
      <c r="AE3140" s="1"/>
      <c r="AF3140" s="1"/>
      <c r="AG3140" s="1"/>
      <c r="AH3140" s="1"/>
      <c r="AI3140" s="1"/>
      <c r="AJ3140" s="1"/>
      <c r="AK3140" s="1"/>
      <c r="AL3140" s="1"/>
    </row>
    <row r="3141" spans="1:38" s="497" customFormat="1" x14ac:dyDescent="0.3">
      <c r="I3141" s="1"/>
      <c r="J3141" s="1"/>
      <c r="K3141" s="1"/>
      <c r="L3141" s="1"/>
      <c r="M3141" s="1"/>
      <c r="N3141" s="1"/>
      <c r="O3141" s="498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1"/>
      <c r="AD3141" s="1"/>
      <c r="AE3141" s="1"/>
      <c r="AF3141" s="1"/>
      <c r="AG3141" s="1"/>
      <c r="AH3141" s="1"/>
      <c r="AI3141" s="1"/>
      <c r="AJ3141" s="1"/>
      <c r="AK3141" s="1"/>
      <c r="AL3141" s="1"/>
    </row>
    <row r="3142" spans="1:38" s="497" customFormat="1" x14ac:dyDescent="0.3">
      <c r="I3142" s="1"/>
      <c r="J3142" s="1"/>
      <c r="K3142" s="1"/>
      <c r="L3142" s="1"/>
      <c r="M3142" s="1"/>
      <c r="N3142" s="1"/>
      <c r="O3142" s="498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1"/>
      <c r="AD3142" s="1"/>
      <c r="AE3142" s="1"/>
      <c r="AF3142" s="1"/>
      <c r="AG3142" s="1"/>
      <c r="AH3142" s="1"/>
      <c r="AI3142" s="1"/>
      <c r="AJ3142" s="1"/>
      <c r="AK3142" s="1"/>
      <c r="AL3142" s="1"/>
    </row>
    <row r="3143" spans="1:38" s="497" customFormat="1" x14ac:dyDescent="0.3">
      <c r="I3143" s="1"/>
      <c r="J3143" s="1"/>
      <c r="K3143" s="1"/>
      <c r="L3143" s="1"/>
      <c r="M3143" s="1"/>
      <c r="N3143" s="1"/>
      <c r="O3143" s="498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1"/>
      <c r="AD3143" s="1"/>
      <c r="AE3143" s="1"/>
      <c r="AF3143" s="1"/>
      <c r="AG3143" s="1"/>
      <c r="AH3143" s="1"/>
      <c r="AI3143" s="1"/>
      <c r="AJ3143" s="1"/>
      <c r="AK3143" s="1"/>
      <c r="AL3143" s="1"/>
    </row>
    <row r="3144" spans="1:38" s="497" customFormat="1" x14ac:dyDescent="0.3">
      <c r="I3144" s="1"/>
      <c r="J3144" s="1"/>
      <c r="K3144" s="1"/>
      <c r="L3144" s="1"/>
      <c r="M3144" s="1"/>
      <c r="N3144" s="1"/>
      <c r="O3144" s="498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1"/>
      <c r="AD3144" s="1"/>
      <c r="AE3144" s="1"/>
      <c r="AF3144" s="1"/>
      <c r="AG3144" s="1"/>
      <c r="AH3144" s="1"/>
      <c r="AI3144" s="1"/>
      <c r="AJ3144" s="1"/>
      <c r="AK3144" s="1"/>
      <c r="AL3144" s="1"/>
    </row>
    <row r="3145" spans="1:38" s="497" customFormat="1" x14ac:dyDescent="0.3">
      <c r="I3145" s="1"/>
      <c r="J3145" s="1"/>
      <c r="K3145" s="1"/>
      <c r="L3145" s="1"/>
      <c r="M3145" s="1"/>
      <c r="N3145" s="1"/>
      <c r="O3145" s="498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D3145" s="1"/>
      <c r="AE3145" s="1"/>
      <c r="AF3145" s="1"/>
      <c r="AG3145" s="1"/>
      <c r="AH3145" s="1"/>
      <c r="AI3145" s="1"/>
      <c r="AJ3145" s="1"/>
      <c r="AK3145" s="1"/>
      <c r="AL3145" s="1"/>
    </row>
    <row r="3146" spans="1:38" s="497" customFormat="1" x14ac:dyDescent="0.3">
      <c r="I3146" s="1"/>
      <c r="J3146" s="1"/>
      <c r="K3146" s="1"/>
      <c r="L3146" s="1"/>
      <c r="M3146" s="1"/>
      <c r="N3146" s="1"/>
      <c r="O3146" s="498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1"/>
      <c r="AD3146" s="1"/>
      <c r="AE3146" s="1"/>
      <c r="AF3146" s="1"/>
      <c r="AG3146" s="1"/>
      <c r="AH3146" s="1"/>
      <c r="AI3146" s="1"/>
      <c r="AJ3146" s="1"/>
      <c r="AK3146" s="1"/>
      <c r="AL3146" s="1"/>
    </row>
    <row r="3147" spans="1:38" s="497" customFormat="1" x14ac:dyDescent="0.3">
      <c r="I3147" s="1"/>
      <c r="J3147" s="1"/>
      <c r="K3147" s="1"/>
      <c r="L3147" s="1"/>
      <c r="M3147" s="1"/>
      <c r="N3147" s="1"/>
      <c r="O3147" s="498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1"/>
      <c r="AD3147" s="1"/>
      <c r="AE3147" s="1"/>
      <c r="AF3147" s="1"/>
      <c r="AG3147" s="1"/>
      <c r="AH3147" s="1"/>
      <c r="AI3147" s="1"/>
      <c r="AJ3147" s="1"/>
      <c r="AK3147" s="1"/>
      <c r="AL3147" s="1"/>
    </row>
    <row r="3148" spans="1:38" s="497" customFormat="1" x14ac:dyDescent="0.3">
      <c r="I3148" s="1"/>
      <c r="J3148" s="1"/>
      <c r="K3148" s="1"/>
      <c r="L3148" s="1"/>
      <c r="M3148" s="1"/>
      <c r="N3148" s="1"/>
      <c r="O3148" s="498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  <c r="AC3148" s="1"/>
      <c r="AD3148" s="1"/>
      <c r="AE3148" s="1"/>
      <c r="AF3148" s="1"/>
      <c r="AG3148" s="1"/>
      <c r="AH3148" s="1"/>
      <c r="AI3148" s="1"/>
      <c r="AJ3148" s="1"/>
      <c r="AK3148" s="1"/>
      <c r="AL3148" s="1"/>
    </row>
    <row r="3149" spans="1:38" s="497" customFormat="1" x14ac:dyDescent="0.3">
      <c r="I3149" s="1"/>
      <c r="J3149" s="1"/>
      <c r="K3149" s="1"/>
      <c r="L3149" s="1"/>
      <c r="M3149" s="1"/>
      <c r="N3149" s="1"/>
      <c r="O3149" s="498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1"/>
      <c r="AD3149" s="1"/>
      <c r="AE3149" s="1"/>
      <c r="AF3149" s="1"/>
      <c r="AG3149" s="1"/>
      <c r="AH3149" s="1"/>
      <c r="AI3149" s="1"/>
      <c r="AJ3149" s="1"/>
      <c r="AK3149" s="1"/>
      <c r="AL3149" s="1"/>
    </row>
    <row r="3150" spans="1:38" s="497" customFormat="1" x14ac:dyDescent="0.3">
      <c r="I3150" s="1"/>
      <c r="J3150" s="1"/>
      <c r="K3150" s="1"/>
      <c r="L3150" s="1"/>
      <c r="M3150" s="1"/>
      <c r="N3150" s="1"/>
      <c r="O3150" s="498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/>
      <c r="AC3150" s="1"/>
      <c r="AD3150" s="1"/>
      <c r="AE3150" s="1"/>
      <c r="AF3150" s="1"/>
      <c r="AG3150" s="1"/>
      <c r="AH3150" s="1"/>
      <c r="AI3150" s="1"/>
      <c r="AJ3150" s="1"/>
      <c r="AK3150" s="1"/>
      <c r="AL3150" s="1"/>
    </row>
    <row r="3151" spans="1:38" s="497" customFormat="1" x14ac:dyDescent="0.3">
      <c r="I3151" s="1"/>
      <c r="J3151" s="1"/>
      <c r="K3151" s="1"/>
      <c r="L3151" s="1"/>
      <c r="M3151" s="1"/>
      <c r="N3151" s="1"/>
      <c r="O3151" s="498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  <c r="AG3151" s="1"/>
      <c r="AH3151" s="1"/>
      <c r="AI3151" s="1"/>
      <c r="AJ3151" s="1"/>
      <c r="AK3151" s="1"/>
      <c r="AL3151" s="1"/>
    </row>
    <row r="3152" spans="1:38" s="497" customFormat="1" x14ac:dyDescent="0.3">
      <c r="I3152" s="1"/>
      <c r="J3152" s="1"/>
      <c r="K3152" s="1"/>
      <c r="L3152" s="1"/>
      <c r="M3152" s="1"/>
      <c r="N3152" s="1"/>
      <c r="O3152" s="498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  <c r="AC3152" s="1"/>
      <c r="AD3152" s="1"/>
      <c r="AE3152" s="1"/>
      <c r="AF3152" s="1"/>
      <c r="AG3152" s="1"/>
      <c r="AH3152" s="1"/>
      <c r="AI3152" s="1"/>
      <c r="AJ3152" s="1"/>
      <c r="AK3152" s="1"/>
      <c r="AL3152" s="1"/>
    </row>
    <row r="3153" spans="9:38" s="497" customFormat="1" x14ac:dyDescent="0.3">
      <c r="I3153" s="1"/>
      <c r="J3153" s="1"/>
      <c r="K3153" s="1"/>
      <c r="L3153" s="1"/>
      <c r="M3153" s="1"/>
      <c r="N3153" s="1"/>
      <c r="O3153" s="498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1"/>
      <c r="AD3153" s="1"/>
      <c r="AE3153" s="1"/>
      <c r="AF3153" s="1"/>
      <c r="AG3153" s="1"/>
      <c r="AH3153" s="1"/>
      <c r="AI3153" s="1"/>
      <c r="AJ3153" s="1"/>
      <c r="AK3153" s="1"/>
      <c r="AL3153" s="1"/>
    </row>
    <row r="3154" spans="9:38" s="497" customFormat="1" x14ac:dyDescent="0.3">
      <c r="I3154" s="1"/>
      <c r="J3154" s="1"/>
      <c r="K3154" s="1"/>
      <c r="L3154" s="1"/>
      <c r="M3154" s="1"/>
      <c r="N3154" s="1"/>
      <c r="O3154" s="498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  <c r="AC3154" s="1"/>
      <c r="AD3154" s="1"/>
      <c r="AE3154" s="1"/>
      <c r="AF3154" s="1"/>
      <c r="AG3154" s="1"/>
      <c r="AH3154" s="1"/>
      <c r="AI3154" s="1"/>
      <c r="AJ3154" s="1"/>
      <c r="AK3154" s="1"/>
      <c r="AL3154" s="1"/>
    </row>
    <row r="3155" spans="9:38" s="497" customFormat="1" x14ac:dyDescent="0.3">
      <c r="I3155" s="1"/>
      <c r="J3155" s="1"/>
      <c r="K3155" s="1"/>
      <c r="L3155" s="1"/>
      <c r="M3155" s="1"/>
      <c r="N3155" s="1"/>
      <c r="O3155" s="498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  <c r="AC3155" s="1"/>
      <c r="AD3155" s="1"/>
      <c r="AE3155" s="1"/>
      <c r="AF3155" s="1"/>
      <c r="AG3155" s="1"/>
      <c r="AH3155" s="1"/>
      <c r="AI3155" s="1"/>
      <c r="AJ3155" s="1"/>
      <c r="AK3155" s="1"/>
      <c r="AL3155" s="1"/>
    </row>
    <row r="3156" spans="9:38" s="497" customFormat="1" x14ac:dyDescent="0.3">
      <c r="I3156" s="1"/>
      <c r="J3156" s="1"/>
      <c r="K3156" s="1"/>
      <c r="L3156" s="1"/>
      <c r="M3156" s="1"/>
      <c r="N3156" s="1"/>
      <c r="O3156" s="498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  <c r="AC3156" s="1"/>
      <c r="AD3156" s="1"/>
      <c r="AE3156" s="1"/>
      <c r="AF3156" s="1"/>
      <c r="AG3156" s="1"/>
      <c r="AH3156" s="1"/>
      <c r="AI3156" s="1"/>
      <c r="AJ3156" s="1"/>
      <c r="AK3156" s="1"/>
      <c r="AL3156" s="1"/>
    </row>
    <row r="3157" spans="9:38" s="497" customFormat="1" x14ac:dyDescent="0.3">
      <c r="I3157" s="1"/>
      <c r="J3157" s="1"/>
      <c r="K3157" s="1"/>
      <c r="L3157" s="1"/>
      <c r="M3157" s="1"/>
      <c r="N3157" s="1"/>
      <c r="O3157" s="498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1"/>
      <c r="AD3157" s="1"/>
      <c r="AE3157" s="1"/>
      <c r="AF3157" s="1"/>
      <c r="AG3157" s="1"/>
      <c r="AH3157" s="1"/>
      <c r="AI3157" s="1"/>
      <c r="AJ3157" s="1"/>
      <c r="AK3157" s="1"/>
      <c r="AL3157" s="1"/>
    </row>
    <row r="3158" spans="9:38" s="497" customFormat="1" x14ac:dyDescent="0.3">
      <c r="I3158" s="1"/>
      <c r="J3158" s="1"/>
      <c r="K3158" s="1"/>
      <c r="L3158" s="1"/>
      <c r="M3158" s="1"/>
      <c r="N3158" s="1"/>
      <c r="O3158" s="498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1"/>
      <c r="AC3158" s="1"/>
      <c r="AD3158" s="1"/>
      <c r="AE3158" s="1"/>
      <c r="AF3158" s="1"/>
      <c r="AG3158" s="1"/>
      <c r="AH3158" s="1"/>
      <c r="AI3158" s="1"/>
      <c r="AJ3158" s="1"/>
      <c r="AK3158" s="1"/>
      <c r="AL3158" s="1"/>
    </row>
    <row r="3159" spans="9:38" s="497" customFormat="1" x14ac:dyDescent="0.3">
      <c r="I3159" s="1"/>
      <c r="J3159" s="1"/>
      <c r="K3159" s="1"/>
      <c r="L3159" s="1"/>
      <c r="M3159" s="1"/>
      <c r="N3159" s="1"/>
      <c r="O3159" s="498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  <c r="AC3159" s="1"/>
      <c r="AD3159" s="1"/>
      <c r="AE3159" s="1"/>
      <c r="AF3159" s="1"/>
      <c r="AG3159" s="1"/>
      <c r="AH3159" s="1"/>
      <c r="AI3159" s="1"/>
      <c r="AJ3159" s="1"/>
      <c r="AK3159" s="1"/>
      <c r="AL3159" s="1"/>
    </row>
    <row r="3160" spans="9:38" s="497" customFormat="1" x14ac:dyDescent="0.3">
      <c r="I3160" s="1"/>
      <c r="J3160" s="1"/>
      <c r="K3160" s="1"/>
      <c r="L3160" s="1"/>
      <c r="M3160" s="1"/>
      <c r="N3160" s="1"/>
      <c r="O3160" s="498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  <c r="AB3160" s="1"/>
      <c r="AC3160" s="1"/>
      <c r="AD3160" s="1"/>
      <c r="AE3160" s="1"/>
      <c r="AF3160" s="1"/>
      <c r="AG3160" s="1"/>
      <c r="AH3160" s="1"/>
      <c r="AI3160" s="1"/>
      <c r="AJ3160" s="1"/>
      <c r="AK3160" s="1"/>
      <c r="AL3160" s="1"/>
    </row>
    <row r="3161" spans="9:38" s="497" customFormat="1" x14ac:dyDescent="0.3">
      <c r="I3161" s="1"/>
      <c r="J3161" s="1"/>
      <c r="K3161" s="1"/>
      <c r="L3161" s="1"/>
      <c r="M3161" s="1"/>
      <c r="N3161" s="1"/>
      <c r="O3161" s="498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  <c r="AC3161" s="1"/>
      <c r="AD3161" s="1"/>
      <c r="AE3161" s="1"/>
      <c r="AF3161" s="1"/>
      <c r="AG3161" s="1"/>
      <c r="AH3161" s="1"/>
      <c r="AI3161" s="1"/>
      <c r="AJ3161" s="1"/>
      <c r="AK3161" s="1"/>
      <c r="AL3161" s="1"/>
    </row>
    <row r="3162" spans="9:38" s="497" customFormat="1" x14ac:dyDescent="0.3">
      <c r="I3162" s="1"/>
      <c r="J3162" s="1"/>
      <c r="K3162" s="1"/>
      <c r="L3162" s="1"/>
      <c r="M3162" s="1"/>
      <c r="N3162" s="1"/>
      <c r="O3162" s="498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1"/>
      <c r="AC3162" s="1"/>
      <c r="AD3162" s="1"/>
      <c r="AE3162" s="1"/>
      <c r="AF3162" s="1"/>
      <c r="AG3162" s="1"/>
      <c r="AH3162" s="1"/>
      <c r="AI3162" s="1"/>
      <c r="AJ3162" s="1"/>
      <c r="AK3162" s="1"/>
      <c r="AL3162" s="1"/>
    </row>
    <row r="3163" spans="9:38" s="497" customFormat="1" x14ac:dyDescent="0.3">
      <c r="I3163" s="1"/>
      <c r="J3163" s="1"/>
      <c r="K3163" s="1"/>
      <c r="L3163" s="1"/>
      <c r="M3163" s="1"/>
      <c r="N3163" s="1"/>
      <c r="O3163" s="498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  <c r="AC3163" s="1"/>
      <c r="AD3163" s="1"/>
      <c r="AE3163" s="1"/>
      <c r="AF3163" s="1"/>
      <c r="AG3163" s="1"/>
      <c r="AH3163" s="1"/>
      <c r="AI3163" s="1"/>
      <c r="AJ3163" s="1"/>
      <c r="AK3163" s="1"/>
      <c r="AL3163" s="1"/>
    </row>
    <row r="3164" spans="9:38" s="497" customFormat="1" x14ac:dyDescent="0.3">
      <c r="I3164" s="1"/>
      <c r="J3164" s="1"/>
      <c r="K3164" s="1"/>
      <c r="L3164" s="1"/>
      <c r="M3164" s="1"/>
      <c r="N3164" s="1"/>
      <c r="O3164" s="498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1"/>
      <c r="AC3164" s="1"/>
      <c r="AD3164" s="1"/>
      <c r="AE3164" s="1"/>
      <c r="AF3164" s="1"/>
      <c r="AG3164" s="1"/>
      <c r="AH3164" s="1"/>
      <c r="AI3164" s="1"/>
      <c r="AJ3164" s="1"/>
      <c r="AK3164" s="1"/>
      <c r="AL3164" s="1"/>
    </row>
    <row r="3165" spans="9:38" s="497" customFormat="1" x14ac:dyDescent="0.3">
      <c r="I3165" s="1"/>
      <c r="J3165" s="1"/>
      <c r="K3165" s="1"/>
      <c r="L3165" s="1"/>
      <c r="M3165" s="1"/>
      <c r="N3165" s="1"/>
      <c r="O3165" s="498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  <c r="AC3165" s="1"/>
      <c r="AD3165" s="1"/>
      <c r="AE3165" s="1"/>
      <c r="AF3165" s="1"/>
      <c r="AG3165" s="1"/>
      <c r="AH3165" s="1"/>
      <c r="AI3165" s="1"/>
      <c r="AJ3165" s="1"/>
      <c r="AK3165" s="1"/>
      <c r="AL3165" s="1"/>
    </row>
    <row r="3166" spans="9:38" s="497" customFormat="1" x14ac:dyDescent="0.3">
      <c r="I3166" s="1"/>
      <c r="J3166" s="1"/>
      <c r="K3166" s="1"/>
      <c r="L3166" s="1"/>
      <c r="M3166" s="1"/>
      <c r="N3166" s="1"/>
      <c r="O3166" s="498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  <c r="AC3166" s="1"/>
      <c r="AD3166" s="1"/>
      <c r="AE3166" s="1"/>
      <c r="AF3166" s="1"/>
      <c r="AG3166" s="1"/>
      <c r="AH3166" s="1"/>
      <c r="AI3166" s="1"/>
      <c r="AJ3166" s="1"/>
      <c r="AK3166" s="1"/>
      <c r="AL3166" s="1"/>
    </row>
    <row r="3167" spans="9:38" s="497" customFormat="1" x14ac:dyDescent="0.3">
      <c r="I3167" s="1"/>
      <c r="J3167" s="1"/>
      <c r="K3167" s="1"/>
      <c r="L3167" s="1"/>
      <c r="M3167" s="1"/>
      <c r="N3167" s="1"/>
      <c r="O3167" s="498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  <c r="AE3167" s="1"/>
      <c r="AF3167" s="1"/>
      <c r="AG3167" s="1"/>
      <c r="AH3167" s="1"/>
      <c r="AI3167" s="1"/>
      <c r="AJ3167" s="1"/>
      <c r="AK3167" s="1"/>
      <c r="AL3167" s="1"/>
    </row>
    <row r="3168" spans="9:38" s="497" customFormat="1" x14ac:dyDescent="0.3">
      <c r="I3168" s="1"/>
      <c r="J3168" s="1"/>
      <c r="K3168" s="1"/>
      <c r="L3168" s="1"/>
      <c r="M3168" s="1"/>
      <c r="N3168" s="1"/>
      <c r="O3168" s="498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  <c r="AC3168" s="1"/>
      <c r="AD3168" s="1"/>
      <c r="AE3168" s="1"/>
      <c r="AF3168" s="1"/>
      <c r="AG3168" s="1"/>
      <c r="AH3168" s="1"/>
      <c r="AI3168" s="1"/>
      <c r="AJ3168" s="1"/>
      <c r="AK3168" s="1"/>
      <c r="AL3168" s="1"/>
    </row>
    <row r="3169" spans="9:38" s="497" customFormat="1" x14ac:dyDescent="0.3">
      <c r="I3169" s="1"/>
      <c r="J3169" s="1"/>
      <c r="K3169" s="1"/>
      <c r="L3169" s="1"/>
      <c r="M3169" s="1"/>
      <c r="N3169" s="1"/>
      <c r="O3169" s="498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1"/>
      <c r="AD3169" s="1"/>
      <c r="AE3169" s="1"/>
      <c r="AF3169" s="1"/>
      <c r="AG3169" s="1"/>
      <c r="AH3169" s="1"/>
      <c r="AI3169" s="1"/>
      <c r="AJ3169" s="1"/>
      <c r="AK3169" s="1"/>
      <c r="AL3169" s="1"/>
    </row>
    <row r="3170" spans="9:38" s="497" customFormat="1" x14ac:dyDescent="0.3">
      <c r="I3170" s="1"/>
      <c r="J3170" s="1"/>
      <c r="K3170" s="1"/>
      <c r="L3170" s="1"/>
      <c r="M3170" s="1"/>
      <c r="N3170" s="1"/>
      <c r="O3170" s="498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1"/>
      <c r="AC3170" s="1"/>
      <c r="AD3170" s="1"/>
      <c r="AE3170" s="1"/>
      <c r="AF3170" s="1"/>
      <c r="AG3170" s="1"/>
      <c r="AH3170" s="1"/>
      <c r="AI3170" s="1"/>
      <c r="AJ3170" s="1"/>
      <c r="AK3170" s="1"/>
      <c r="AL3170" s="1"/>
    </row>
    <row r="3171" spans="9:38" s="497" customFormat="1" x14ac:dyDescent="0.3">
      <c r="I3171" s="1"/>
      <c r="J3171" s="1"/>
      <c r="K3171" s="1"/>
      <c r="L3171" s="1"/>
      <c r="M3171" s="1"/>
      <c r="N3171" s="1"/>
      <c r="O3171" s="498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  <c r="AC3171" s="1"/>
      <c r="AD3171" s="1"/>
      <c r="AE3171" s="1"/>
      <c r="AF3171" s="1"/>
      <c r="AG3171" s="1"/>
      <c r="AH3171" s="1"/>
      <c r="AI3171" s="1"/>
      <c r="AJ3171" s="1"/>
      <c r="AK3171" s="1"/>
      <c r="AL3171" s="1"/>
    </row>
    <row r="3172" spans="9:38" s="497" customFormat="1" x14ac:dyDescent="0.3">
      <c r="I3172" s="1"/>
      <c r="J3172" s="1"/>
      <c r="K3172" s="1"/>
      <c r="L3172" s="1"/>
      <c r="M3172" s="1"/>
      <c r="N3172" s="1"/>
      <c r="O3172" s="498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  <c r="AC3172" s="1"/>
      <c r="AD3172" s="1"/>
      <c r="AE3172" s="1"/>
      <c r="AF3172" s="1"/>
      <c r="AG3172" s="1"/>
      <c r="AH3172" s="1"/>
      <c r="AI3172" s="1"/>
      <c r="AJ3172" s="1"/>
      <c r="AK3172" s="1"/>
      <c r="AL3172" s="1"/>
    </row>
    <row r="3173" spans="9:38" s="497" customFormat="1" x14ac:dyDescent="0.3">
      <c r="I3173" s="1"/>
      <c r="J3173" s="1"/>
      <c r="K3173" s="1"/>
      <c r="L3173" s="1"/>
      <c r="M3173" s="1"/>
      <c r="N3173" s="1"/>
      <c r="O3173" s="498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  <c r="AC3173" s="1"/>
      <c r="AD3173" s="1"/>
      <c r="AE3173" s="1"/>
      <c r="AF3173" s="1"/>
      <c r="AG3173" s="1"/>
      <c r="AH3173" s="1"/>
      <c r="AI3173" s="1"/>
      <c r="AJ3173" s="1"/>
      <c r="AK3173" s="1"/>
      <c r="AL3173" s="1"/>
    </row>
    <row r="3174" spans="9:38" s="497" customFormat="1" x14ac:dyDescent="0.3">
      <c r="I3174" s="1"/>
      <c r="J3174" s="1"/>
      <c r="K3174" s="1"/>
      <c r="L3174" s="1"/>
      <c r="M3174" s="1"/>
      <c r="N3174" s="1"/>
      <c r="O3174" s="498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1"/>
      <c r="AE3174" s="1"/>
      <c r="AF3174" s="1"/>
      <c r="AG3174" s="1"/>
      <c r="AH3174" s="1"/>
      <c r="AI3174" s="1"/>
      <c r="AJ3174" s="1"/>
      <c r="AK3174" s="1"/>
      <c r="AL3174" s="1"/>
    </row>
    <row r="3175" spans="9:38" s="497" customFormat="1" x14ac:dyDescent="0.3">
      <c r="I3175" s="1"/>
      <c r="J3175" s="1"/>
      <c r="K3175" s="1"/>
      <c r="L3175" s="1"/>
      <c r="M3175" s="1"/>
      <c r="N3175" s="1"/>
      <c r="O3175" s="498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1"/>
      <c r="AC3175" s="1"/>
      <c r="AD3175" s="1"/>
      <c r="AE3175" s="1"/>
      <c r="AF3175" s="1"/>
      <c r="AG3175" s="1"/>
      <c r="AH3175" s="1"/>
      <c r="AI3175" s="1"/>
      <c r="AJ3175" s="1"/>
      <c r="AK3175" s="1"/>
      <c r="AL3175" s="1"/>
    </row>
    <row r="3176" spans="9:38" s="497" customFormat="1" x14ac:dyDescent="0.3">
      <c r="I3176" s="1"/>
      <c r="J3176" s="1"/>
      <c r="K3176" s="1"/>
      <c r="L3176" s="1"/>
      <c r="M3176" s="1"/>
      <c r="N3176" s="1"/>
      <c r="O3176" s="498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1"/>
      <c r="AD3176" s="1"/>
      <c r="AE3176" s="1"/>
      <c r="AF3176" s="1"/>
      <c r="AG3176" s="1"/>
      <c r="AH3176" s="1"/>
      <c r="AI3176" s="1"/>
      <c r="AJ3176" s="1"/>
      <c r="AK3176" s="1"/>
      <c r="AL3176" s="1"/>
    </row>
    <row r="3177" spans="9:38" s="497" customFormat="1" x14ac:dyDescent="0.3">
      <c r="I3177" s="1"/>
      <c r="J3177" s="1"/>
      <c r="K3177" s="1"/>
      <c r="L3177" s="1"/>
      <c r="M3177" s="1"/>
      <c r="N3177" s="1"/>
      <c r="O3177" s="498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1"/>
      <c r="AC3177" s="1"/>
      <c r="AD3177" s="1"/>
      <c r="AE3177" s="1"/>
      <c r="AF3177" s="1"/>
      <c r="AG3177" s="1"/>
      <c r="AH3177" s="1"/>
      <c r="AI3177" s="1"/>
      <c r="AJ3177" s="1"/>
      <c r="AK3177" s="1"/>
      <c r="AL3177" s="1"/>
    </row>
    <row r="3178" spans="9:38" s="497" customFormat="1" x14ac:dyDescent="0.3">
      <c r="I3178" s="1"/>
      <c r="J3178" s="1"/>
      <c r="K3178" s="1"/>
      <c r="L3178" s="1"/>
      <c r="M3178" s="1"/>
      <c r="N3178" s="1"/>
      <c r="O3178" s="498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  <c r="AB3178" s="1"/>
      <c r="AC3178" s="1"/>
      <c r="AD3178" s="1"/>
      <c r="AE3178" s="1"/>
      <c r="AF3178" s="1"/>
      <c r="AG3178" s="1"/>
      <c r="AH3178" s="1"/>
      <c r="AI3178" s="1"/>
      <c r="AJ3178" s="1"/>
      <c r="AK3178" s="1"/>
      <c r="AL3178" s="1"/>
    </row>
    <row r="3179" spans="9:38" s="497" customFormat="1" x14ac:dyDescent="0.3">
      <c r="I3179" s="1"/>
      <c r="J3179" s="1"/>
      <c r="K3179" s="1"/>
      <c r="L3179" s="1"/>
      <c r="M3179" s="1"/>
      <c r="N3179" s="1"/>
      <c r="O3179" s="498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1"/>
      <c r="AC3179" s="1"/>
      <c r="AD3179" s="1"/>
      <c r="AE3179" s="1"/>
      <c r="AF3179" s="1"/>
      <c r="AG3179" s="1"/>
      <c r="AH3179" s="1"/>
      <c r="AI3179" s="1"/>
      <c r="AJ3179" s="1"/>
      <c r="AK3179" s="1"/>
      <c r="AL3179" s="1"/>
    </row>
    <row r="3180" spans="9:38" s="497" customFormat="1" x14ac:dyDescent="0.3">
      <c r="I3180" s="1"/>
      <c r="J3180" s="1"/>
      <c r="K3180" s="1"/>
      <c r="L3180" s="1"/>
      <c r="M3180" s="1"/>
      <c r="N3180" s="1"/>
      <c r="O3180" s="498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/>
      <c r="AC3180" s="1"/>
      <c r="AD3180" s="1"/>
      <c r="AE3180" s="1"/>
      <c r="AF3180" s="1"/>
      <c r="AG3180" s="1"/>
      <c r="AH3180" s="1"/>
      <c r="AI3180" s="1"/>
      <c r="AJ3180" s="1"/>
      <c r="AK3180" s="1"/>
      <c r="AL3180" s="1"/>
    </row>
    <row r="3181" spans="9:38" s="497" customFormat="1" x14ac:dyDescent="0.3">
      <c r="I3181" s="1"/>
      <c r="J3181" s="1"/>
      <c r="K3181" s="1"/>
      <c r="L3181" s="1"/>
      <c r="M3181" s="1"/>
      <c r="N3181" s="1"/>
      <c r="O3181" s="498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  <c r="AD3181" s="1"/>
      <c r="AE3181" s="1"/>
      <c r="AF3181" s="1"/>
      <c r="AG3181" s="1"/>
      <c r="AH3181" s="1"/>
      <c r="AI3181" s="1"/>
      <c r="AJ3181" s="1"/>
      <c r="AK3181" s="1"/>
      <c r="AL3181" s="1"/>
    </row>
    <row r="3182" spans="9:38" s="497" customFormat="1" x14ac:dyDescent="0.3">
      <c r="I3182" s="1"/>
      <c r="J3182" s="1"/>
      <c r="K3182" s="1"/>
      <c r="L3182" s="1"/>
      <c r="M3182" s="1"/>
      <c r="N3182" s="1"/>
      <c r="O3182" s="498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1"/>
      <c r="AC3182" s="1"/>
      <c r="AD3182" s="1"/>
      <c r="AE3182" s="1"/>
      <c r="AF3182" s="1"/>
      <c r="AG3182" s="1"/>
      <c r="AH3182" s="1"/>
      <c r="AI3182" s="1"/>
      <c r="AJ3182" s="1"/>
      <c r="AK3182" s="1"/>
      <c r="AL3182" s="1"/>
    </row>
    <row r="3183" spans="9:38" s="497" customFormat="1" x14ac:dyDescent="0.3">
      <c r="I3183" s="1"/>
      <c r="J3183" s="1"/>
      <c r="K3183" s="1"/>
      <c r="L3183" s="1"/>
      <c r="M3183" s="1"/>
      <c r="N3183" s="1"/>
      <c r="O3183" s="498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  <c r="AC3183" s="1"/>
      <c r="AD3183" s="1"/>
      <c r="AE3183" s="1"/>
      <c r="AF3183" s="1"/>
      <c r="AG3183" s="1"/>
      <c r="AH3183" s="1"/>
      <c r="AI3183" s="1"/>
      <c r="AJ3183" s="1"/>
      <c r="AK3183" s="1"/>
      <c r="AL3183" s="1"/>
    </row>
    <row r="3184" spans="9:38" s="497" customFormat="1" x14ac:dyDescent="0.3">
      <c r="I3184" s="1"/>
      <c r="J3184" s="1"/>
      <c r="K3184" s="1"/>
      <c r="L3184" s="1"/>
      <c r="M3184" s="1"/>
      <c r="N3184" s="1"/>
      <c r="O3184" s="498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  <c r="AC3184" s="1"/>
      <c r="AD3184" s="1"/>
      <c r="AE3184" s="1"/>
      <c r="AF3184" s="1"/>
      <c r="AG3184" s="1"/>
      <c r="AH3184" s="1"/>
      <c r="AI3184" s="1"/>
      <c r="AJ3184" s="1"/>
      <c r="AK3184" s="1"/>
      <c r="AL3184" s="1"/>
    </row>
    <row r="3185" spans="9:38" s="497" customFormat="1" x14ac:dyDescent="0.3">
      <c r="I3185" s="1"/>
      <c r="J3185" s="1"/>
      <c r="K3185" s="1"/>
      <c r="L3185" s="1"/>
      <c r="M3185" s="1"/>
      <c r="N3185" s="1"/>
      <c r="O3185" s="498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1"/>
      <c r="AC3185" s="1"/>
      <c r="AD3185" s="1"/>
      <c r="AE3185" s="1"/>
      <c r="AF3185" s="1"/>
      <c r="AG3185" s="1"/>
      <c r="AH3185" s="1"/>
      <c r="AI3185" s="1"/>
      <c r="AJ3185" s="1"/>
      <c r="AK3185" s="1"/>
      <c r="AL3185" s="1"/>
    </row>
    <row r="3186" spans="9:38" s="497" customFormat="1" x14ac:dyDescent="0.3">
      <c r="I3186" s="1"/>
      <c r="J3186" s="1"/>
      <c r="K3186" s="1"/>
      <c r="L3186" s="1"/>
      <c r="M3186" s="1"/>
      <c r="N3186" s="1"/>
      <c r="O3186" s="498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1"/>
      <c r="AC3186" s="1"/>
      <c r="AD3186" s="1"/>
      <c r="AE3186" s="1"/>
      <c r="AF3186" s="1"/>
      <c r="AG3186" s="1"/>
      <c r="AH3186" s="1"/>
      <c r="AI3186" s="1"/>
      <c r="AJ3186" s="1"/>
      <c r="AK3186" s="1"/>
      <c r="AL3186" s="1"/>
    </row>
    <row r="3187" spans="9:38" s="497" customFormat="1" x14ac:dyDescent="0.3">
      <c r="I3187" s="1"/>
      <c r="J3187" s="1"/>
      <c r="K3187" s="1"/>
      <c r="L3187" s="1"/>
      <c r="M3187" s="1"/>
      <c r="N3187" s="1"/>
      <c r="O3187" s="498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  <c r="AC3187" s="1"/>
      <c r="AD3187" s="1"/>
      <c r="AE3187" s="1"/>
      <c r="AF3187" s="1"/>
      <c r="AG3187" s="1"/>
      <c r="AH3187" s="1"/>
      <c r="AI3187" s="1"/>
      <c r="AJ3187" s="1"/>
      <c r="AK3187" s="1"/>
      <c r="AL3187" s="1"/>
    </row>
    <row r="3188" spans="9:38" s="497" customFormat="1" x14ac:dyDescent="0.3">
      <c r="I3188" s="1"/>
      <c r="J3188" s="1"/>
      <c r="K3188" s="1"/>
      <c r="L3188" s="1"/>
      <c r="M3188" s="1"/>
      <c r="N3188" s="1"/>
      <c r="O3188" s="498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  <c r="AC3188" s="1"/>
      <c r="AD3188" s="1"/>
      <c r="AE3188" s="1"/>
      <c r="AF3188" s="1"/>
      <c r="AG3188" s="1"/>
      <c r="AH3188" s="1"/>
      <c r="AI3188" s="1"/>
      <c r="AJ3188" s="1"/>
      <c r="AK3188" s="1"/>
      <c r="AL3188" s="1"/>
    </row>
    <row r="3189" spans="9:38" s="497" customFormat="1" x14ac:dyDescent="0.3">
      <c r="I3189" s="1"/>
      <c r="J3189" s="1"/>
      <c r="K3189" s="1"/>
      <c r="L3189" s="1"/>
      <c r="M3189" s="1"/>
      <c r="N3189" s="1"/>
      <c r="O3189" s="498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1"/>
      <c r="AC3189" s="1"/>
      <c r="AD3189" s="1"/>
      <c r="AE3189" s="1"/>
      <c r="AF3189" s="1"/>
      <c r="AG3189" s="1"/>
      <c r="AH3189" s="1"/>
      <c r="AI3189" s="1"/>
      <c r="AJ3189" s="1"/>
      <c r="AK3189" s="1"/>
      <c r="AL3189" s="1"/>
    </row>
    <row r="3190" spans="9:38" s="497" customFormat="1" x14ac:dyDescent="0.3">
      <c r="I3190" s="1"/>
      <c r="J3190" s="1"/>
      <c r="K3190" s="1"/>
      <c r="L3190" s="1"/>
      <c r="M3190" s="1"/>
      <c r="N3190" s="1"/>
      <c r="O3190" s="498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  <c r="AC3190" s="1"/>
      <c r="AD3190" s="1"/>
      <c r="AE3190" s="1"/>
      <c r="AF3190" s="1"/>
      <c r="AG3190" s="1"/>
      <c r="AH3190" s="1"/>
      <c r="AI3190" s="1"/>
      <c r="AJ3190" s="1"/>
      <c r="AK3190" s="1"/>
      <c r="AL3190" s="1"/>
    </row>
    <row r="3191" spans="9:38" s="497" customFormat="1" x14ac:dyDescent="0.3">
      <c r="I3191" s="1"/>
      <c r="J3191" s="1"/>
      <c r="K3191" s="1"/>
      <c r="L3191" s="1"/>
      <c r="M3191" s="1"/>
      <c r="N3191" s="1"/>
      <c r="O3191" s="498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/>
      <c r="AC3191" s="1"/>
      <c r="AD3191" s="1"/>
      <c r="AE3191" s="1"/>
      <c r="AF3191" s="1"/>
      <c r="AG3191" s="1"/>
      <c r="AH3191" s="1"/>
      <c r="AI3191" s="1"/>
      <c r="AJ3191" s="1"/>
      <c r="AK3191" s="1"/>
      <c r="AL3191" s="1"/>
    </row>
    <row r="3192" spans="9:38" s="497" customFormat="1" x14ac:dyDescent="0.3">
      <c r="I3192" s="1"/>
      <c r="J3192" s="1"/>
      <c r="K3192" s="1"/>
      <c r="L3192" s="1"/>
      <c r="M3192" s="1"/>
      <c r="N3192" s="1"/>
      <c r="O3192" s="498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1"/>
      <c r="AD3192" s="1"/>
      <c r="AE3192" s="1"/>
      <c r="AF3192" s="1"/>
      <c r="AG3192" s="1"/>
      <c r="AH3192" s="1"/>
      <c r="AI3192" s="1"/>
      <c r="AJ3192" s="1"/>
      <c r="AK3192" s="1"/>
      <c r="AL3192" s="1"/>
    </row>
    <row r="3193" spans="9:38" s="497" customFormat="1" x14ac:dyDescent="0.3">
      <c r="I3193" s="1"/>
      <c r="J3193" s="1"/>
      <c r="K3193" s="1"/>
      <c r="L3193" s="1"/>
      <c r="M3193" s="1"/>
      <c r="N3193" s="1"/>
      <c r="O3193" s="498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1"/>
      <c r="AC3193" s="1"/>
      <c r="AD3193" s="1"/>
      <c r="AE3193" s="1"/>
      <c r="AF3193" s="1"/>
      <c r="AG3193" s="1"/>
      <c r="AH3193" s="1"/>
      <c r="AI3193" s="1"/>
      <c r="AJ3193" s="1"/>
      <c r="AK3193" s="1"/>
      <c r="AL3193" s="1"/>
    </row>
    <row r="3194" spans="9:38" s="497" customFormat="1" x14ac:dyDescent="0.3">
      <c r="I3194" s="1"/>
      <c r="J3194" s="1"/>
      <c r="K3194" s="1"/>
      <c r="L3194" s="1"/>
      <c r="M3194" s="1"/>
      <c r="N3194" s="1"/>
      <c r="O3194" s="498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1"/>
      <c r="AC3194" s="1"/>
      <c r="AD3194" s="1"/>
      <c r="AE3194" s="1"/>
      <c r="AF3194" s="1"/>
      <c r="AG3194" s="1"/>
      <c r="AH3194" s="1"/>
      <c r="AI3194" s="1"/>
      <c r="AJ3194" s="1"/>
      <c r="AK3194" s="1"/>
      <c r="AL3194" s="1"/>
    </row>
    <row r="3195" spans="9:38" s="497" customFormat="1" x14ac:dyDescent="0.3">
      <c r="I3195" s="1"/>
      <c r="J3195" s="1"/>
      <c r="K3195" s="1"/>
      <c r="L3195" s="1"/>
      <c r="M3195" s="1"/>
      <c r="N3195" s="1"/>
      <c r="O3195" s="498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1"/>
      <c r="AD3195" s="1"/>
      <c r="AE3195" s="1"/>
      <c r="AF3195" s="1"/>
      <c r="AG3195" s="1"/>
      <c r="AH3195" s="1"/>
      <c r="AI3195" s="1"/>
      <c r="AJ3195" s="1"/>
      <c r="AK3195" s="1"/>
      <c r="AL3195" s="1"/>
    </row>
    <row r="3196" spans="9:38" s="497" customFormat="1" x14ac:dyDescent="0.3">
      <c r="I3196" s="1"/>
      <c r="J3196" s="1"/>
      <c r="K3196" s="1"/>
      <c r="L3196" s="1"/>
      <c r="M3196" s="1"/>
      <c r="N3196" s="1"/>
      <c r="O3196" s="498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  <c r="AB3196" s="1"/>
      <c r="AC3196" s="1"/>
      <c r="AD3196" s="1"/>
      <c r="AE3196" s="1"/>
      <c r="AF3196" s="1"/>
      <c r="AG3196" s="1"/>
      <c r="AH3196" s="1"/>
      <c r="AI3196" s="1"/>
      <c r="AJ3196" s="1"/>
      <c r="AK3196" s="1"/>
      <c r="AL3196" s="1"/>
    </row>
    <row r="3197" spans="9:38" s="497" customFormat="1" x14ac:dyDescent="0.3">
      <c r="I3197" s="1"/>
      <c r="J3197" s="1"/>
      <c r="K3197" s="1"/>
      <c r="L3197" s="1"/>
      <c r="M3197" s="1"/>
      <c r="N3197" s="1"/>
      <c r="O3197" s="498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1"/>
      <c r="AC3197" s="1"/>
      <c r="AD3197" s="1"/>
      <c r="AE3197" s="1"/>
      <c r="AF3197" s="1"/>
      <c r="AG3197" s="1"/>
      <c r="AH3197" s="1"/>
      <c r="AI3197" s="1"/>
      <c r="AJ3197" s="1"/>
      <c r="AK3197" s="1"/>
      <c r="AL3197" s="1"/>
    </row>
    <row r="3198" spans="9:38" s="497" customFormat="1" x14ac:dyDescent="0.3">
      <c r="I3198" s="1"/>
      <c r="J3198" s="1"/>
      <c r="K3198" s="1"/>
      <c r="L3198" s="1"/>
      <c r="M3198" s="1"/>
      <c r="N3198" s="1"/>
      <c r="O3198" s="498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1"/>
      <c r="AC3198" s="1"/>
      <c r="AD3198" s="1"/>
      <c r="AE3198" s="1"/>
      <c r="AF3198" s="1"/>
      <c r="AG3198" s="1"/>
      <c r="AH3198" s="1"/>
      <c r="AI3198" s="1"/>
      <c r="AJ3198" s="1"/>
      <c r="AK3198" s="1"/>
      <c r="AL3198" s="1"/>
    </row>
    <row r="3199" spans="9:38" s="497" customFormat="1" x14ac:dyDescent="0.3">
      <c r="I3199" s="1"/>
      <c r="J3199" s="1"/>
      <c r="K3199" s="1"/>
      <c r="L3199" s="1"/>
      <c r="M3199" s="1"/>
      <c r="N3199" s="1"/>
      <c r="O3199" s="498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  <c r="AB3199" s="1"/>
      <c r="AC3199" s="1"/>
      <c r="AD3199" s="1"/>
      <c r="AE3199" s="1"/>
      <c r="AF3199" s="1"/>
      <c r="AG3199" s="1"/>
      <c r="AH3199" s="1"/>
      <c r="AI3199" s="1"/>
      <c r="AJ3199" s="1"/>
      <c r="AK3199" s="1"/>
      <c r="AL3199" s="1"/>
    </row>
    <row r="3200" spans="9:38" s="497" customFormat="1" x14ac:dyDescent="0.3">
      <c r="I3200" s="1"/>
      <c r="J3200" s="1"/>
      <c r="K3200" s="1"/>
      <c r="L3200" s="1"/>
      <c r="M3200" s="1"/>
      <c r="N3200" s="1"/>
      <c r="O3200" s="498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  <c r="AB3200" s="1"/>
      <c r="AC3200" s="1"/>
      <c r="AD3200" s="1"/>
      <c r="AE3200" s="1"/>
      <c r="AF3200" s="1"/>
      <c r="AG3200" s="1"/>
      <c r="AH3200" s="1"/>
      <c r="AI3200" s="1"/>
      <c r="AJ3200" s="1"/>
      <c r="AK3200" s="1"/>
      <c r="AL3200" s="1"/>
    </row>
    <row r="3201" spans="9:38" s="497" customFormat="1" x14ac:dyDescent="0.3">
      <c r="I3201" s="1"/>
      <c r="J3201" s="1"/>
      <c r="K3201" s="1"/>
      <c r="L3201" s="1"/>
      <c r="M3201" s="1"/>
      <c r="N3201" s="1"/>
      <c r="O3201" s="498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/>
      <c r="AC3201" s="1"/>
      <c r="AD3201" s="1"/>
      <c r="AE3201" s="1"/>
      <c r="AF3201" s="1"/>
      <c r="AG3201" s="1"/>
      <c r="AH3201" s="1"/>
      <c r="AI3201" s="1"/>
      <c r="AJ3201" s="1"/>
      <c r="AK3201" s="1"/>
      <c r="AL3201" s="1"/>
    </row>
    <row r="3202" spans="9:38" s="497" customFormat="1" x14ac:dyDescent="0.3">
      <c r="I3202" s="1"/>
      <c r="J3202" s="1"/>
      <c r="K3202" s="1"/>
      <c r="L3202" s="1"/>
      <c r="M3202" s="1"/>
      <c r="N3202" s="1"/>
      <c r="O3202" s="498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  <c r="AB3202" s="1"/>
      <c r="AC3202" s="1"/>
      <c r="AD3202" s="1"/>
      <c r="AE3202" s="1"/>
      <c r="AF3202" s="1"/>
      <c r="AG3202" s="1"/>
      <c r="AH3202" s="1"/>
      <c r="AI3202" s="1"/>
      <c r="AJ3202" s="1"/>
      <c r="AK3202" s="1"/>
      <c r="AL3202" s="1"/>
    </row>
    <row r="3203" spans="9:38" s="497" customFormat="1" x14ac:dyDescent="0.3">
      <c r="I3203" s="1"/>
      <c r="J3203" s="1"/>
      <c r="K3203" s="1"/>
      <c r="L3203" s="1"/>
      <c r="M3203" s="1"/>
      <c r="N3203" s="1"/>
      <c r="O3203" s="498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1"/>
      <c r="AC3203" s="1"/>
      <c r="AD3203" s="1"/>
      <c r="AE3203" s="1"/>
      <c r="AF3203" s="1"/>
      <c r="AG3203" s="1"/>
      <c r="AH3203" s="1"/>
      <c r="AI3203" s="1"/>
      <c r="AJ3203" s="1"/>
      <c r="AK3203" s="1"/>
      <c r="AL3203" s="1"/>
    </row>
    <row r="3204" spans="9:38" s="497" customFormat="1" x14ac:dyDescent="0.3">
      <c r="I3204" s="1"/>
      <c r="J3204" s="1"/>
      <c r="K3204" s="1"/>
      <c r="L3204" s="1"/>
      <c r="M3204" s="1"/>
      <c r="N3204" s="1"/>
      <c r="O3204" s="498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1"/>
      <c r="AC3204" s="1"/>
      <c r="AD3204" s="1"/>
      <c r="AE3204" s="1"/>
      <c r="AF3204" s="1"/>
      <c r="AG3204" s="1"/>
      <c r="AH3204" s="1"/>
      <c r="AI3204" s="1"/>
      <c r="AJ3204" s="1"/>
      <c r="AK3204" s="1"/>
      <c r="AL3204" s="1"/>
    </row>
    <row r="3205" spans="9:38" s="497" customFormat="1" x14ac:dyDescent="0.3">
      <c r="I3205" s="1"/>
      <c r="J3205" s="1"/>
      <c r="K3205" s="1"/>
      <c r="L3205" s="1"/>
      <c r="M3205" s="1"/>
      <c r="N3205" s="1"/>
      <c r="O3205" s="498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1"/>
      <c r="AC3205" s="1"/>
      <c r="AD3205" s="1"/>
      <c r="AE3205" s="1"/>
      <c r="AF3205" s="1"/>
      <c r="AG3205" s="1"/>
      <c r="AH3205" s="1"/>
      <c r="AI3205" s="1"/>
      <c r="AJ3205" s="1"/>
      <c r="AK3205" s="1"/>
      <c r="AL3205" s="1"/>
    </row>
    <row r="3206" spans="9:38" s="497" customFormat="1" x14ac:dyDescent="0.3">
      <c r="I3206" s="1"/>
      <c r="J3206" s="1"/>
      <c r="K3206" s="1"/>
      <c r="L3206" s="1"/>
      <c r="M3206" s="1"/>
      <c r="N3206" s="1"/>
      <c r="O3206" s="498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/>
      <c r="AC3206" s="1"/>
      <c r="AD3206" s="1"/>
      <c r="AE3206" s="1"/>
      <c r="AF3206" s="1"/>
      <c r="AG3206" s="1"/>
      <c r="AH3206" s="1"/>
      <c r="AI3206" s="1"/>
      <c r="AJ3206" s="1"/>
      <c r="AK3206" s="1"/>
      <c r="AL3206" s="1"/>
    </row>
    <row r="3207" spans="9:38" s="497" customFormat="1" x14ac:dyDescent="0.3">
      <c r="I3207" s="1"/>
      <c r="J3207" s="1"/>
      <c r="K3207" s="1"/>
      <c r="L3207" s="1"/>
      <c r="M3207" s="1"/>
      <c r="N3207" s="1"/>
      <c r="O3207" s="498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1"/>
      <c r="AC3207" s="1"/>
      <c r="AD3207" s="1"/>
      <c r="AE3207" s="1"/>
      <c r="AF3207" s="1"/>
      <c r="AG3207" s="1"/>
      <c r="AH3207" s="1"/>
      <c r="AI3207" s="1"/>
      <c r="AJ3207" s="1"/>
      <c r="AK3207" s="1"/>
      <c r="AL3207" s="1"/>
    </row>
    <row r="3208" spans="9:38" s="497" customFormat="1" x14ac:dyDescent="0.3">
      <c r="I3208" s="1"/>
      <c r="J3208" s="1"/>
      <c r="K3208" s="1"/>
      <c r="L3208" s="1"/>
      <c r="M3208" s="1"/>
      <c r="N3208" s="1"/>
      <c r="O3208" s="498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/>
      <c r="AC3208" s="1"/>
      <c r="AD3208" s="1"/>
      <c r="AE3208" s="1"/>
      <c r="AF3208" s="1"/>
      <c r="AG3208" s="1"/>
      <c r="AH3208" s="1"/>
      <c r="AI3208" s="1"/>
      <c r="AJ3208" s="1"/>
      <c r="AK3208" s="1"/>
      <c r="AL3208" s="1"/>
    </row>
    <row r="3209" spans="9:38" s="497" customFormat="1" x14ac:dyDescent="0.3">
      <c r="I3209" s="1"/>
      <c r="J3209" s="1"/>
      <c r="K3209" s="1"/>
      <c r="L3209" s="1"/>
      <c r="M3209" s="1"/>
      <c r="N3209" s="1"/>
      <c r="O3209" s="498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1"/>
      <c r="AC3209" s="1"/>
      <c r="AD3209" s="1"/>
      <c r="AE3209" s="1"/>
      <c r="AF3209" s="1"/>
      <c r="AG3209" s="1"/>
      <c r="AH3209" s="1"/>
      <c r="AI3209" s="1"/>
      <c r="AJ3209" s="1"/>
      <c r="AK3209" s="1"/>
      <c r="AL3209" s="1"/>
    </row>
    <row r="3210" spans="9:38" s="497" customFormat="1" x14ac:dyDescent="0.3">
      <c r="I3210" s="1"/>
      <c r="J3210" s="1"/>
      <c r="K3210" s="1"/>
      <c r="L3210" s="1"/>
      <c r="M3210" s="1"/>
      <c r="N3210" s="1"/>
      <c r="O3210" s="498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  <c r="AD3210" s="1"/>
      <c r="AE3210" s="1"/>
      <c r="AF3210" s="1"/>
      <c r="AG3210" s="1"/>
      <c r="AH3210" s="1"/>
      <c r="AI3210" s="1"/>
      <c r="AJ3210" s="1"/>
      <c r="AK3210" s="1"/>
      <c r="AL3210" s="1"/>
    </row>
    <row r="3211" spans="9:38" s="497" customFormat="1" x14ac:dyDescent="0.3">
      <c r="I3211" s="1"/>
      <c r="J3211" s="1"/>
      <c r="K3211" s="1"/>
      <c r="L3211" s="1"/>
      <c r="M3211" s="1"/>
      <c r="N3211" s="1"/>
      <c r="O3211" s="498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1"/>
      <c r="AD3211" s="1"/>
      <c r="AE3211" s="1"/>
      <c r="AF3211" s="1"/>
      <c r="AG3211" s="1"/>
      <c r="AH3211" s="1"/>
      <c r="AI3211" s="1"/>
      <c r="AJ3211" s="1"/>
      <c r="AK3211" s="1"/>
      <c r="AL3211" s="1"/>
    </row>
    <row r="3212" spans="9:38" s="497" customFormat="1" x14ac:dyDescent="0.3">
      <c r="I3212" s="1"/>
      <c r="J3212" s="1"/>
      <c r="K3212" s="1"/>
      <c r="L3212" s="1"/>
      <c r="M3212" s="1"/>
      <c r="N3212" s="1"/>
      <c r="O3212" s="498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1"/>
      <c r="AC3212" s="1"/>
      <c r="AD3212" s="1"/>
      <c r="AE3212" s="1"/>
      <c r="AF3212" s="1"/>
      <c r="AG3212" s="1"/>
      <c r="AH3212" s="1"/>
      <c r="AI3212" s="1"/>
      <c r="AJ3212" s="1"/>
      <c r="AK3212" s="1"/>
      <c r="AL3212" s="1"/>
    </row>
    <row r="3213" spans="9:38" s="497" customFormat="1" x14ac:dyDescent="0.3">
      <c r="I3213" s="1"/>
      <c r="J3213" s="1"/>
      <c r="K3213" s="1"/>
      <c r="L3213" s="1"/>
      <c r="M3213" s="1"/>
      <c r="N3213" s="1"/>
      <c r="O3213" s="498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  <c r="AC3213" s="1"/>
      <c r="AD3213" s="1"/>
      <c r="AE3213" s="1"/>
      <c r="AF3213" s="1"/>
      <c r="AG3213" s="1"/>
      <c r="AH3213" s="1"/>
      <c r="AI3213" s="1"/>
      <c r="AJ3213" s="1"/>
      <c r="AK3213" s="1"/>
      <c r="AL3213" s="1"/>
    </row>
    <row r="3214" spans="9:38" s="497" customFormat="1" x14ac:dyDescent="0.3">
      <c r="I3214" s="1"/>
      <c r="J3214" s="1"/>
      <c r="K3214" s="1"/>
      <c r="L3214" s="1"/>
      <c r="M3214" s="1"/>
      <c r="N3214" s="1"/>
      <c r="O3214" s="498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  <c r="AC3214" s="1"/>
      <c r="AD3214" s="1"/>
      <c r="AE3214" s="1"/>
      <c r="AF3214" s="1"/>
      <c r="AG3214" s="1"/>
      <c r="AH3214" s="1"/>
      <c r="AI3214" s="1"/>
      <c r="AJ3214" s="1"/>
      <c r="AK3214" s="1"/>
      <c r="AL3214" s="1"/>
    </row>
    <row r="3215" spans="9:38" s="497" customFormat="1" x14ac:dyDescent="0.3">
      <c r="I3215" s="1"/>
      <c r="J3215" s="1"/>
      <c r="K3215" s="1"/>
      <c r="L3215" s="1"/>
      <c r="M3215" s="1"/>
      <c r="N3215" s="1"/>
      <c r="O3215" s="498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1"/>
      <c r="AD3215" s="1"/>
      <c r="AE3215" s="1"/>
      <c r="AF3215" s="1"/>
      <c r="AG3215" s="1"/>
      <c r="AH3215" s="1"/>
      <c r="AI3215" s="1"/>
      <c r="AJ3215" s="1"/>
      <c r="AK3215" s="1"/>
      <c r="AL3215" s="1"/>
    </row>
    <row r="3216" spans="9:38" s="497" customFormat="1" x14ac:dyDescent="0.3">
      <c r="I3216" s="1"/>
      <c r="J3216" s="1"/>
      <c r="K3216" s="1"/>
      <c r="L3216" s="1"/>
      <c r="M3216" s="1"/>
      <c r="N3216" s="1"/>
      <c r="O3216" s="498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1"/>
      <c r="AD3216" s="1"/>
      <c r="AE3216" s="1"/>
      <c r="AF3216" s="1"/>
      <c r="AG3216" s="1"/>
      <c r="AH3216" s="1"/>
      <c r="AI3216" s="1"/>
      <c r="AJ3216" s="1"/>
      <c r="AK3216" s="1"/>
      <c r="AL3216" s="1"/>
    </row>
    <row r="3217" spans="9:38" s="497" customFormat="1" x14ac:dyDescent="0.3">
      <c r="I3217" s="1"/>
      <c r="J3217" s="1"/>
      <c r="K3217" s="1"/>
      <c r="L3217" s="1"/>
      <c r="M3217" s="1"/>
      <c r="N3217" s="1"/>
      <c r="O3217" s="498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1"/>
      <c r="AD3217" s="1"/>
      <c r="AE3217" s="1"/>
      <c r="AF3217" s="1"/>
      <c r="AG3217" s="1"/>
      <c r="AH3217" s="1"/>
      <c r="AI3217" s="1"/>
      <c r="AJ3217" s="1"/>
      <c r="AK3217" s="1"/>
      <c r="AL3217" s="1"/>
    </row>
    <row r="3218" spans="9:38" s="497" customFormat="1" x14ac:dyDescent="0.3">
      <c r="I3218" s="1"/>
      <c r="J3218" s="1"/>
      <c r="K3218" s="1"/>
      <c r="L3218" s="1"/>
      <c r="M3218" s="1"/>
      <c r="N3218" s="1"/>
      <c r="O3218" s="498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1"/>
      <c r="AD3218" s="1"/>
      <c r="AE3218" s="1"/>
      <c r="AF3218" s="1"/>
      <c r="AG3218" s="1"/>
      <c r="AH3218" s="1"/>
      <c r="AI3218" s="1"/>
      <c r="AJ3218" s="1"/>
      <c r="AK3218" s="1"/>
      <c r="AL3218" s="1"/>
    </row>
    <row r="3219" spans="9:38" s="497" customFormat="1" x14ac:dyDescent="0.3">
      <c r="I3219" s="1"/>
      <c r="J3219" s="1"/>
      <c r="K3219" s="1"/>
      <c r="L3219" s="1"/>
      <c r="M3219" s="1"/>
      <c r="N3219" s="1"/>
      <c r="O3219" s="498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  <c r="AC3219" s="1"/>
      <c r="AD3219" s="1"/>
      <c r="AE3219" s="1"/>
      <c r="AF3219" s="1"/>
      <c r="AG3219" s="1"/>
      <c r="AH3219" s="1"/>
      <c r="AI3219" s="1"/>
      <c r="AJ3219" s="1"/>
      <c r="AK3219" s="1"/>
      <c r="AL3219" s="1"/>
    </row>
    <row r="3220" spans="9:38" s="497" customFormat="1" x14ac:dyDescent="0.3">
      <c r="I3220" s="1"/>
      <c r="J3220" s="1"/>
      <c r="K3220" s="1"/>
      <c r="L3220" s="1"/>
      <c r="M3220" s="1"/>
      <c r="N3220" s="1"/>
      <c r="O3220" s="498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  <c r="AC3220" s="1"/>
      <c r="AD3220" s="1"/>
      <c r="AE3220" s="1"/>
      <c r="AF3220" s="1"/>
      <c r="AG3220" s="1"/>
      <c r="AH3220" s="1"/>
      <c r="AI3220" s="1"/>
      <c r="AJ3220" s="1"/>
      <c r="AK3220" s="1"/>
      <c r="AL3220" s="1"/>
    </row>
    <row r="3221" spans="9:38" s="497" customFormat="1" x14ac:dyDescent="0.3">
      <c r="I3221" s="1"/>
      <c r="J3221" s="1"/>
      <c r="K3221" s="1"/>
      <c r="L3221" s="1"/>
      <c r="M3221" s="1"/>
      <c r="N3221" s="1"/>
      <c r="O3221" s="498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  <c r="AD3221" s="1"/>
      <c r="AE3221" s="1"/>
      <c r="AF3221" s="1"/>
      <c r="AG3221" s="1"/>
      <c r="AH3221" s="1"/>
      <c r="AI3221" s="1"/>
      <c r="AJ3221" s="1"/>
      <c r="AK3221" s="1"/>
      <c r="AL3221" s="1"/>
    </row>
    <row r="3222" spans="9:38" s="497" customFormat="1" x14ac:dyDescent="0.3">
      <c r="I3222" s="1"/>
      <c r="J3222" s="1"/>
      <c r="K3222" s="1"/>
      <c r="L3222" s="1"/>
      <c r="M3222" s="1"/>
      <c r="N3222" s="1"/>
      <c r="O3222" s="498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1"/>
      <c r="AD3222" s="1"/>
      <c r="AE3222" s="1"/>
      <c r="AF3222" s="1"/>
      <c r="AG3222" s="1"/>
      <c r="AH3222" s="1"/>
      <c r="AI3222" s="1"/>
      <c r="AJ3222" s="1"/>
      <c r="AK3222" s="1"/>
      <c r="AL3222" s="1"/>
    </row>
    <row r="3223" spans="9:38" s="497" customFormat="1" x14ac:dyDescent="0.3">
      <c r="I3223" s="1"/>
      <c r="J3223" s="1"/>
      <c r="K3223" s="1"/>
      <c r="L3223" s="1"/>
      <c r="M3223" s="1"/>
      <c r="N3223" s="1"/>
      <c r="O3223" s="498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D3223" s="1"/>
      <c r="AE3223" s="1"/>
      <c r="AF3223" s="1"/>
      <c r="AG3223" s="1"/>
      <c r="AH3223" s="1"/>
      <c r="AI3223" s="1"/>
      <c r="AJ3223" s="1"/>
      <c r="AK3223" s="1"/>
      <c r="AL3223" s="1"/>
    </row>
    <row r="3224" spans="9:38" s="497" customFormat="1" x14ac:dyDescent="0.3">
      <c r="I3224" s="1"/>
      <c r="J3224" s="1"/>
      <c r="K3224" s="1"/>
      <c r="L3224" s="1"/>
      <c r="M3224" s="1"/>
      <c r="N3224" s="1"/>
      <c r="O3224" s="498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1"/>
      <c r="AD3224" s="1"/>
      <c r="AE3224" s="1"/>
      <c r="AF3224" s="1"/>
      <c r="AG3224" s="1"/>
      <c r="AH3224" s="1"/>
      <c r="AI3224" s="1"/>
      <c r="AJ3224" s="1"/>
      <c r="AK3224" s="1"/>
      <c r="AL3224" s="1"/>
    </row>
    <row r="3225" spans="9:38" s="497" customFormat="1" x14ac:dyDescent="0.3">
      <c r="I3225" s="1"/>
      <c r="J3225" s="1"/>
      <c r="K3225" s="1"/>
      <c r="L3225" s="1"/>
      <c r="M3225" s="1"/>
      <c r="N3225" s="1"/>
      <c r="O3225" s="498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1"/>
      <c r="AD3225" s="1"/>
      <c r="AE3225" s="1"/>
      <c r="AF3225" s="1"/>
      <c r="AG3225" s="1"/>
      <c r="AH3225" s="1"/>
      <c r="AI3225" s="1"/>
      <c r="AJ3225" s="1"/>
      <c r="AK3225" s="1"/>
      <c r="AL3225" s="1"/>
    </row>
    <row r="3226" spans="9:38" s="497" customFormat="1" x14ac:dyDescent="0.3">
      <c r="I3226" s="1"/>
      <c r="J3226" s="1"/>
      <c r="K3226" s="1"/>
      <c r="L3226" s="1"/>
      <c r="M3226" s="1"/>
      <c r="N3226" s="1"/>
      <c r="O3226" s="498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  <c r="AC3226" s="1"/>
      <c r="AD3226" s="1"/>
      <c r="AE3226" s="1"/>
      <c r="AF3226" s="1"/>
      <c r="AG3226" s="1"/>
      <c r="AH3226" s="1"/>
      <c r="AI3226" s="1"/>
      <c r="AJ3226" s="1"/>
      <c r="AK3226" s="1"/>
      <c r="AL3226" s="1"/>
    </row>
    <row r="3227" spans="9:38" s="497" customFormat="1" x14ac:dyDescent="0.3">
      <c r="I3227" s="1"/>
      <c r="J3227" s="1"/>
      <c r="K3227" s="1"/>
      <c r="L3227" s="1"/>
      <c r="M3227" s="1"/>
      <c r="N3227" s="1"/>
      <c r="O3227" s="498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  <c r="AC3227" s="1"/>
      <c r="AD3227" s="1"/>
      <c r="AE3227" s="1"/>
      <c r="AF3227" s="1"/>
      <c r="AG3227" s="1"/>
      <c r="AH3227" s="1"/>
      <c r="AI3227" s="1"/>
      <c r="AJ3227" s="1"/>
      <c r="AK3227" s="1"/>
      <c r="AL3227" s="1"/>
    </row>
    <row r="3228" spans="9:38" s="497" customFormat="1" x14ac:dyDescent="0.3">
      <c r="I3228" s="1"/>
      <c r="J3228" s="1"/>
      <c r="K3228" s="1"/>
      <c r="L3228" s="1"/>
      <c r="M3228" s="1"/>
      <c r="N3228" s="1"/>
      <c r="O3228" s="498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  <c r="AD3228" s="1"/>
      <c r="AE3228" s="1"/>
      <c r="AF3228" s="1"/>
      <c r="AG3228" s="1"/>
      <c r="AH3228" s="1"/>
      <c r="AI3228" s="1"/>
      <c r="AJ3228" s="1"/>
      <c r="AK3228" s="1"/>
      <c r="AL3228" s="1"/>
    </row>
    <row r="3229" spans="9:38" s="497" customFormat="1" x14ac:dyDescent="0.3">
      <c r="I3229" s="1"/>
      <c r="J3229" s="1"/>
      <c r="K3229" s="1"/>
      <c r="L3229" s="1"/>
      <c r="M3229" s="1"/>
      <c r="N3229" s="1"/>
      <c r="O3229" s="498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s="1"/>
      <c r="AD3229" s="1"/>
      <c r="AE3229" s="1"/>
      <c r="AF3229" s="1"/>
      <c r="AG3229" s="1"/>
      <c r="AH3229" s="1"/>
      <c r="AI3229" s="1"/>
      <c r="AJ3229" s="1"/>
      <c r="AK3229" s="1"/>
      <c r="AL3229" s="1"/>
    </row>
    <row r="3230" spans="9:38" s="497" customFormat="1" x14ac:dyDescent="0.3">
      <c r="I3230" s="1"/>
      <c r="J3230" s="1"/>
      <c r="K3230" s="1"/>
      <c r="L3230" s="1"/>
      <c r="M3230" s="1"/>
      <c r="N3230" s="1"/>
      <c r="O3230" s="498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  <c r="AC3230" s="1"/>
      <c r="AD3230" s="1"/>
      <c r="AE3230" s="1"/>
      <c r="AF3230" s="1"/>
      <c r="AG3230" s="1"/>
      <c r="AH3230" s="1"/>
      <c r="AI3230" s="1"/>
      <c r="AJ3230" s="1"/>
      <c r="AK3230" s="1"/>
      <c r="AL3230" s="1"/>
    </row>
    <row r="3231" spans="9:38" s="497" customFormat="1" x14ac:dyDescent="0.3">
      <c r="I3231" s="1"/>
      <c r="J3231" s="1"/>
      <c r="K3231" s="1"/>
      <c r="L3231" s="1"/>
      <c r="M3231" s="1"/>
      <c r="N3231" s="1"/>
      <c r="O3231" s="498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s="1"/>
      <c r="AD3231" s="1"/>
      <c r="AE3231" s="1"/>
      <c r="AF3231" s="1"/>
      <c r="AG3231" s="1"/>
      <c r="AH3231" s="1"/>
      <c r="AI3231" s="1"/>
      <c r="AJ3231" s="1"/>
      <c r="AK3231" s="1"/>
      <c r="AL3231" s="1"/>
    </row>
    <row r="3232" spans="9:38" s="497" customFormat="1" x14ac:dyDescent="0.3">
      <c r="I3232" s="1"/>
      <c r="J3232" s="1"/>
      <c r="K3232" s="1"/>
      <c r="L3232" s="1"/>
      <c r="M3232" s="1"/>
      <c r="N3232" s="1"/>
      <c r="O3232" s="498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  <c r="AC3232" s="1"/>
      <c r="AD3232" s="1"/>
      <c r="AE3232" s="1"/>
      <c r="AF3232" s="1"/>
      <c r="AG3232" s="1"/>
      <c r="AH3232" s="1"/>
      <c r="AI3232" s="1"/>
      <c r="AJ3232" s="1"/>
      <c r="AK3232" s="1"/>
      <c r="AL3232" s="1"/>
    </row>
    <row r="3233" spans="9:38" s="497" customFormat="1" x14ac:dyDescent="0.3">
      <c r="I3233" s="1"/>
      <c r="J3233" s="1"/>
      <c r="K3233" s="1"/>
      <c r="L3233" s="1"/>
      <c r="M3233" s="1"/>
      <c r="N3233" s="1"/>
      <c r="O3233" s="498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1"/>
      <c r="AC3233" s="1"/>
      <c r="AD3233" s="1"/>
      <c r="AE3233" s="1"/>
      <c r="AF3233" s="1"/>
      <c r="AG3233" s="1"/>
      <c r="AH3233" s="1"/>
      <c r="AI3233" s="1"/>
      <c r="AJ3233" s="1"/>
      <c r="AK3233" s="1"/>
      <c r="AL3233" s="1"/>
    </row>
    <row r="3234" spans="9:38" s="497" customFormat="1" x14ac:dyDescent="0.3">
      <c r="I3234" s="1"/>
      <c r="J3234" s="1"/>
      <c r="K3234" s="1"/>
      <c r="L3234" s="1"/>
      <c r="M3234" s="1"/>
      <c r="N3234" s="1"/>
      <c r="O3234" s="498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1"/>
      <c r="AD3234" s="1"/>
      <c r="AE3234" s="1"/>
      <c r="AF3234" s="1"/>
      <c r="AG3234" s="1"/>
      <c r="AH3234" s="1"/>
      <c r="AI3234" s="1"/>
      <c r="AJ3234" s="1"/>
      <c r="AK3234" s="1"/>
      <c r="AL3234" s="1"/>
    </row>
    <row r="3235" spans="9:38" s="497" customFormat="1" x14ac:dyDescent="0.3">
      <c r="I3235" s="1"/>
      <c r="J3235" s="1"/>
      <c r="K3235" s="1"/>
      <c r="L3235" s="1"/>
      <c r="M3235" s="1"/>
      <c r="N3235" s="1"/>
      <c r="O3235" s="498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1"/>
      <c r="AD3235" s="1"/>
      <c r="AE3235" s="1"/>
      <c r="AF3235" s="1"/>
      <c r="AG3235" s="1"/>
      <c r="AH3235" s="1"/>
      <c r="AI3235" s="1"/>
      <c r="AJ3235" s="1"/>
      <c r="AK3235" s="1"/>
      <c r="AL3235" s="1"/>
    </row>
    <row r="3236" spans="9:38" s="497" customFormat="1" x14ac:dyDescent="0.3">
      <c r="I3236" s="1"/>
      <c r="J3236" s="1"/>
      <c r="K3236" s="1"/>
      <c r="L3236" s="1"/>
      <c r="M3236" s="1"/>
      <c r="N3236" s="1"/>
      <c r="O3236" s="498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1"/>
      <c r="AD3236" s="1"/>
      <c r="AE3236" s="1"/>
      <c r="AF3236" s="1"/>
      <c r="AG3236" s="1"/>
      <c r="AH3236" s="1"/>
      <c r="AI3236" s="1"/>
      <c r="AJ3236" s="1"/>
      <c r="AK3236" s="1"/>
      <c r="AL3236" s="1"/>
    </row>
    <row r="3237" spans="9:38" s="497" customFormat="1" x14ac:dyDescent="0.3">
      <c r="I3237" s="1"/>
      <c r="J3237" s="1"/>
      <c r="K3237" s="1"/>
      <c r="L3237" s="1"/>
      <c r="M3237" s="1"/>
      <c r="N3237" s="1"/>
      <c r="O3237" s="498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/>
      <c r="AC3237" s="1"/>
      <c r="AD3237" s="1"/>
      <c r="AE3237" s="1"/>
      <c r="AF3237" s="1"/>
      <c r="AG3237" s="1"/>
      <c r="AH3237" s="1"/>
      <c r="AI3237" s="1"/>
      <c r="AJ3237" s="1"/>
      <c r="AK3237" s="1"/>
      <c r="AL3237" s="1"/>
    </row>
    <row r="3238" spans="9:38" s="497" customFormat="1" x14ac:dyDescent="0.3">
      <c r="I3238" s="1"/>
      <c r="J3238" s="1"/>
      <c r="K3238" s="1"/>
      <c r="L3238" s="1"/>
      <c r="M3238" s="1"/>
      <c r="N3238" s="1"/>
      <c r="O3238" s="498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  <c r="AD3238" s="1"/>
      <c r="AE3238" s="1"/>
      <c r="AF3238" s="1"/>
      <c r="AG3238" s="1"/>
      <c r="AH3238" s="1"/>
      <c r="AI3238" s="1"/>
      <c r="AJ3238" s="1"/>
      <c r="AK3238" s="1"/>
      <c r="AL3238" s="1"/>
    </row>
    <row r="3239" spans="9:38" s="497" customFormat="1" x14ac:dyDescent="0.3">
      <c r="I3239" s="1"/>
      <c r="J3239" s="1"/>
      <c r="K3239" s="1"/>
      <c r="L3239" s="1"/>
      <c r="M3239" s="1"/>
      <c r="N3239" s="1"/>
      <c r="O3239" s="498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1"/>
      <c r="AD3239" s="1"/>
      <c r="AE3239" s="1"/>
      <c r="AF3239" s="1"/>
      <c r="AG3239" s="1"/>
      <c r="AH3239" s="1"/>
      <c r="AI3239" s="1"/>
      <c r="AJ3239" s="1"/>
      <c r="AK3239" s="1"/>
      <c r="AL3239" s="1"/>
    </row>
    <row r="3240" spans="9:38" s="497" customFormat="1" x14ac:dyDescent="0.3">
      <c r="I3240" s="1"/>
      <c r="J3240" s="1"/>
      <c r="K3240" s="1"/>
      <c r="L3240" s="1"/>
      <c r="M3240" s="1"/>
      <c r="N3240" s="1"/>
      <c r="O3240" s="498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  <c r="AC3240" s="1"/>
      <c r="AD3240" s="1"/>
      <c r="AE3240" s="1"/>
      <c r="AF3240" s="1"/>
      <c r="AG3240" s="1"/>
      <c r="AH3240" s="1"/>
      <c r="AI3240" s="1"/>
      <c r="AJ3240" s="1"/>
      <c r="AK3240" s="1"/>
      <c r="AL3240" s="1"/>
    </row>
    <row r="3241" spans="9:38" s="497" customFormat="1" x14ac:dyDescent="0.3">
      <c r="I3241" s="1"/>
      <c r="J3241" s="1"/>
      <c r="K3241" s="1"/>
      <c r="L3241" s="1"/>
      <c r="M3241" s="1"/>
      <c r="N3241" s="1"/>
      <c r="O3241" s="498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D3241" s="1"/>
      <c r="AE3241" s="1"/>
      <c r="AF3241" s="1"/>
      <c r="AG3241" s="1"/>
      <c r="AH3241" s="1"/>
      <c r="AI3241" s="1"/>
      <c r="AJ3241" s="1"/>
      <c r="AK3241" s="1"/>
      <c r="AL3241" s="1"/>
    </row>
    <row r="3242" spans="9:38" s="497" customFormat="1" x14ac:dyDescent="0.3">
      <c r="I3242" s="1"/>
      <c r="J3242" s="1"/>
      <c r="K3242" s="1"/>
      <c r="L3242" s="1"/>
      <c r="M3242" s="1"/>
      <c r="N3242" s="1"/>
      <c r="O3242" s="498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1"/>
      <c r="AD3242" s="1"/>
      <c r="AE3242" s="1"/>
      <c r="AF3242" s="1"/>
      <c r="AG3242" s="1"/>
      <c r="AH3242" s="1"/>
      <c r="AI3242" s="1"/>
      <c r="AJ3242" s="1"/>
      <c r="AK3242" s="1"/>
      <c r="AL3242" s="1"/>
    </row>
    <row r="3243" spans="9:38" s="497" customFormat="1" x14ac:dyDescent="0.3">
      <c r="I3243" s="1"/>
      <c r="J3243" s="1"/>
      <c r="K3243" s="1"/>
      <c r="L3243" s="1"/>
      <c r="M3243" s="1"/>
      <c r="N3243" s="1"/>
      <c r="O3243" s="498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1"/>
      <c r="AC3243" s="1"/>
      <c r="AD3243" s="1"/>
      <c r="AE3243" s="1"/>
      <c r="AF3243" s="1"/>
      <c r="AG3243" s="1"/>
      <c r="AH3243" s="1"/>
      <c r="AI3243" s="1"/>
      <c r="AJ3243" s="1"/>
      <c r="AK3243" s="1"/>
      <c r="AL3243" s="1"/>
    </row>
    <row r="3244" spans="9:38" s="497" customFormat="1" x14ac:dyDescent="0.3">
      <c r="I3244" s="1"/>
      <c r="J3244" s="1"/>
      <c r="K3244" s="1"/>
      <c r="L3244" s="1"/>
      <c r="M3244" s="1"/>
      <c r="N3244" s="1"/>
      <c r="O3244" s="498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/>
      <c r="AC3244" s="1"/>
      <c r="AD3244" s="1"/>
      <c r="AE3244" s="1"/>
      <c r="AF3244" s="1"/>
      <c r="AG3244" s="1"/>
      <c r="AH3244" s="1"/>
      <c r="AI3244" s="1"/>
      <c r="AJ3244" s="1"/>
      <c r="AK3244" s="1"/>
      <c r="AL3244" s="1"/>
    </row>
    <row r="3245" spans="9:38" s="497" customFormat="1" x14ac:dyDescent="0.3">
      <c r="I3245" s="1"/>
      <c r="J3245" s="1"/>
      <c r="K3245" s="1"/>
      <c r="L3245" s="1"/>
      <c r="M3245" s="1"/>
      <c r="N3245" s="1"/>
      <c r="O3245" s="498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1"/>
      <c r="AC3245" s="1"/>
      <c r="AD3245" s="1"/>
      <c r="AE3245" s="1"/>
      <c r="AF3245" s="1"/>
      <c r="AG3245" s="1"/>
      <c r="AH3245" s="1"/>
      <c r="AI3245" s="1"/>
      <c r="AJ3245" s="1"/>
      <c r="AK3245" s="1"/>
      <c r="AL3245" s="1"/>
    </row>
    <row r="3246" spans="9:38" s="497" customFormat="1" x14ac:dyDescent="0.3">
      <c r="I3246" s="1"/>
      <c r="J3246" s="1"/>
      <c r="K3246" s="1"/>
      <c r="L3246" s="1"/>
      <c r="M3246" s="1"/>
      <c r="N3246" s="1"/>
      <c r="O3246" s="498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/>
      <c r="AC3246" s="1"/>
      <c r="AD3246" s="1"/>
      <c r="AE3246" s="1"/>
      <c r="AF3246" s="1"/>
      <c r="AG3246" s="1"/>
      <c r="AH3246" s="1"/>
      <c r="AI3246" s="1"/>
      <c r="AJ3246" s="1"/>
      <c r="AK3246" s="1"/>
      <c r="AL3246" s="1"/>
    </row>
    <row r="3247" spans="9:38" s="497" customFormat="1" x14ac:dyDescent="0.3">
      <c r="I3247" s="1"/>
      <c r="J3247" s="1"/>
      <c r="K3247" s="1"/>
      <c r="L3247" s="1"/>
      <c r="M3247" s="1"/>
      <c r="N3247" s="1"/>
      <c r="O3247" s="498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/>
      <c r="AC3247" s="1"/>
      <c r="AD3247" s="1"/>
      <c r="AE3247" s="1"/>
      <c r="AF3247" s="1"/>
      <c r="AG3247" s="1"/>
      <c r="AH3247" s="1"/>
      <c r="AI3247" s="1"/>
      <c r="AJ3247" s="1"/>
      <c r="AK3247" s="1"/>
      <c r="AL3247" s="1"/>
    </row>
    <row r="3248" spans="9:38" s="497" customFormat="1" x14ac:dyDescent="0.3">
      <c r="I3248" s="1"/>
      <c r="J3248" s="1"/>
      <c r="K3248" s="1"/>
      <c r="L3248" s="1"/>
      <c r="M3248" s="1"/>
      <c r="N3248" s="1"/>
      <c r="O3248" s="498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1"/>
      <c r="AD3248" s="1"/>
      <c r="AE3248" s="1"/>
      <c r="AF3248" s="1"/>
      <c r="AG3248" s="1"/>
      <c r="AH3248" s="1"/>
      <c r="AI3248" s="1"/>
      <c r="AJ3248" s="1"/>
      <c r="AK3248" s="1"/>
      <c r="AL3248" s="1"/>
    </row>
    <row r="3249" spans="9:38" s="497" customFormat="1" x14ac:dyDescent="0.3">
      <c r="I3249" s="1"/>
      <c r="J3249" s="1"/>
      <c r="K3249" s="1"/>
      <c r="L3249" s="1"/>
      <c r="M3249" s="1"/>
      <c r="N3249" s="1"/>
      <c r="O3249" s="498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1"/>
      <c r="AC3249" s="1"/>
      <c r="AD3249" s="1"/>
      <c r="AE3249" s="1"/>
      <c r="AF3249" s="1"/>
      <c r="AG3249" s="1"/>
      <c r="AH3249" s="1"/>
      <c r="AI3249" s="1"/>
      <c r="AJ3249" s="1"/>
      <c r="AK3249" s="1"/>
      <c r="AL3249" s="1"/>
    </row>
    <row r="3250" spans="9:38" s="497" customFormat="1" x14ac:dyDescent="0.3">
      <c r="I3250" s="1"/>
      <c r="J3250" s="1"/>
      <c r="K3250" s="1"/>
      <c r="L3250" s="1"/>
      <c r="M3250" s="1"/>
      <c r="N3250" s="1"/>
      <c r="O3250" s="498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  <c r="AB3250" s="1"/>
      <c r="AC3250" s="1"/>
      <c r="AD3250" s="1"/>
      <c r="AE3250" s="1"/>
      <c r="AF3250" s="1"/>
      <c r="AG3250" s="1"/>
      <c r="AH3250" s="1"/>
      <c r="AI3250" s="1"/>
      <c r="AJ3250" s="1"/>
      <c r="AK3250" s="1"/>
      <c r="AL3250" s="1"/>
    </row>
    <row r="3251" spans="9:38" s="497" customFormat="1" x14ac:dyDescent="0.3">
      <c r="I3251" s="1"/>
      <c r="J3251" s="1"/>
      <c r="K3251" s="1"/>
      <c r="L3251" s="1"/>
      <c r="M3251" s="1"/>
      <c r="N3251" s="1"/>
      <c r="O3251" s="498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1"/>
      <c r="AD3251" s="1"/>
      <c r="AE3251" s="1"/>
      <c r="AF3251" s="1"/>
      <c r="AG3251" s="1"/>
      <c r="AH3251" s="1"/>
      <c r="AI3251" s="1"/>
      <c r="AJ3251" s="1"/>
      <c r="AK3251" s="1"/>
      <c r="AL3251" s="1"/>
    </row>
    <row r="3252" spans="9:38" s="497" customFormat="1" x14ac:dyDescent="0.3">
      <c r="I3252" s="1"/>
      <c r="J3252" s="1"/>
      <c r="K3252" s="1"/>
      <c r="L3252" s="1"/>
      <c r="M3252" s="1"/>
      <c r="N3252" s="1"/>
      <c r="O3252" s="498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/>
      <c r="AC3252" s="1"/>
      <c r="AD3252" s="1"/>
      <c r="AE3252" s="1"/>
      <c r="AF3252" s="1"/>
      <c r="AG3252" s="1"/>
      <c r="AH3252" s="1"/>
      <c r="AI3252" s="1"/>
      <c r="AJ3252" s="1"/>
      <c r="AK3252" s="1"/>
      <c r="AL3252" s="1"/>
    </row>
    <row r="3253" spans="9:38" s="497" customFormat="1" x14ac:dyDescent="0.3">
      <c r="I3253" s="1"/>
      <c r="J3253" s="1"/>
      <c r="K3253" s="1"/>
      <c r="L3253" s="1"/>
      <c r="M3253" s="1"/>
      <c r="N3253" s="1"/>
      <c r="O3253" s="498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1"/>
      <c r="AD3253" s="1"/>
      <c r="AE3253" s="1"/>
      <c r="AF3253" s="1"/>
      <c r="AG3253" s="1"/>
      <c r="AH3253" s="1"/>
      <c r="AI3253" s="1"/>
      <c r="AJ3253" s="1"/>
      <c r="AK3253" s="1"/>
      <c r="AL3253" s="1"/>
    </row>
    <row r="3254" spans="9:38" s="497" customFormat="1" x14ac:dyDescent="0.3">
      <c r="I3254" s="1"/>
      <c r="J3254" s="1"/>
      <c r="K3254" s="1"/>
      <c r="L3254" s="1"/>
      <c r="M3254" s="1"/>
      <c r="N3254" s="1"/>
      <c r="O3254" s="498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1"/>
      <c r="AD3254" s="1"/>
      <c r="AE3254" s="1"/>
      <c r="AF3254" s="1"/>
      <c r="AG3254" s="1"/>
      <c r="AH3254" s="1"/>
      <c r="AI3254" s="1"/>
      <c r="AJ3254" s="1"/>
      <c r="AK3254" s="1"/>
      <c r="AL3254" s="1"/>
    </row>
    <row r="3255" spans="9:38" s="497" customFormat="1" x14ac:dyDescent="0.3">
      <c r="I3255" s="1"/>
      <c r="J3255" s="1"/>
      <c r="K3255" s="1"/>
      <c r="L3255" s="1"/>
      <c r="M3255" s="1"/>
      <c r="N3255" s="1"/>
      <c r="O3255" s="498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  <c r="AC3255" s="1"/>
      <c r="AD3255" s="1"/>
      <c r="AE3255" s="1"/>
      <c r="AF3255" s="1"/>
      <c r="AG3255" s="1"/>
      <c r="AH3255" s="1"/>
      <c r="AI3255" s="1"/>
      <c r="AJ3255" s="1"/>
      <c r="AK3255" s="1"/>
      <c r="AL3255" s="1"/>
    </row>
    <row r="3256" spans="9:38" s="497" customFormat="1" x14ac:dyDescent="0.3">
      <c r="I3256" s="1"/>
      <c r="J3256" s="1"/>
      <c r="K3256" s="1"/>
      <c r="L3256" s="1"/>
      <c r="M3256" s="1"/>
      <c r="N3256" s="1"/>
      <c r="O3256" s="498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1"/>
      <c r="AD3256" s="1"/>
      <c r="AE3256" s="1"/>
      <c r="AF3256" s="1"/>
      <c r="AG3256" s="1"/>
      <c r="AH3256" s="1"/>
      <c r="AI3256" s="1"/>
      <c r="AJ3256" s="1"/>
      <c r="AK3256" s="1"/>
      <c r="AL3256" s="1"/>
    </row>
    <row r="3257" spans="9:38" s="497" customFormat="1" x14ac:dyDescent="0.3">
      <c r="I3257" s="1"/>
      <c r="J3257" s="1"/>
      <c r="K3257" s="1"/>
      <c r="L3257" s="1"/>
      <c r="M3257" s="1"/>
      <c r="N3257" s="1"/>
      <c r="O3257" s="498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1"/>
      <c r="AC3257" s="1"/>
      <c r="AD3257" s="1"/>
      <c r="AE3257" s="1"/>
      <c r="AF3257" s="1"/>
      <c r="AG3257" s="1"/>
      <c r="AH3257" s="1"/>
      <c r="AI3257" s="1"/>
      <c r="AJ3257" s="1"/>
      <c r="AK3257" s="1"/>
      <c r="AL3257" s="1"/>
    </row>
    <row r="3258" spans="9:38" s="497" customFormat="1" x14ac:dyDescent="0.3">
      <c r="I3258" s="1"/>
      <c r="J3258" s="1"/>
      <c r="K3258" s="1"/>
      <c r="L3258" s="1"/>
      <c r="M3258" s="1"/>
      <c r="N3258" s="1"/>
      <c r="O3258" s="498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1"/>
      <c r="AD3258" s="1"/>
      <c r="AE3258" s="1"/>
      <c r="AF3258" s="1"/>
      <c r="AG3258" s="1"/>
      <c r="AH3258" s="1"/>
      <c r="AI3258" s="1"/>
      <c r="AJ3258" s="1"/>
      <c r="AK3258" s="1"/>
      <c r="AL3258" s="1"/>
    </row>
    <row r="3259" spans="9:38" s="497" customFormat="1" x14ac:dyDescent="0.3">
      <c r="I3259" s="1"/>
      <c r="J3259" s="1"/>
      <c r="K3259" s="1"/>
      <c r="L3259" s="1"/>
      <c r="M3259" s="1"/>
      <c r="N3259" s="1"/>
      <c r="O3259" s="498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  <c r="AC3259" s="1"/>
      <c r="AD3259" s="1"/>
      <c r="AE3259" s="1"/>
      <c r="AF3259" s="1"/>
      <c r="AG3259" s="1"/>
      <c r="AH3259" s="1"/>
      <c r="AI3259" s="1"/>
      <c r="AJ3259" s="1"/>
      <c r="AK3259" s="1"/>
      <c r="AL3259" s="1"/>
    </row>
    <row r="3260" spans="9:38" s="497" customFormat="1" x14ac:dyDescent="0.3">
      <c r="I3260" s="1"/>
      <c r="J3260" s="1"/>
      <c r="K3260" s="1"/>
      <c r="L3260" s="1"/>
      <c r="M3260" s="1"/>
      <c r="N3260" s="1"/>
      <c r="O3260" s="498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  <c r="AC3260" s="1"/>
      <c r="AD3260" s="1"/>
      <c r="AE3260" s="1"/>
      <c r="AF3260" s="1"/>
      <c r="AG3260" s="1"/>
      <c r="AH3260" s="1"/>
      <c r="AI3260" s="1"/>
      <c r="AJ3260" s="1"/>
      <c r="AK3260" s="1"/>
      <c r="AL3260" s="1"/>
    </row>
    <row r="3261" spans="9:38" s="497" customFormat="1" x14ac:dyDescent="0.3">
      <c r="I3261" s="1"/>
      <c r="J3261" s="1"/>
      <c r="K3261" s="1"/>
      <c r="L3261" s="1"/>
      <c r="M3261" s="1"/>
      <c r="N3261" s="1"/>
      <c r="O3261" s="498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  <c r="AD3261" s="1"/>
      <c r="AE3261" s="1"/>
      <c r="AF3261" s="1"/>
      <c r="AG3261" s="1"/>
      <c r="AH3261" s="1"/>
      <c r="AI3261" s="1"/>
      <c r="AJ3261" s="1"/>
      <c r="AK3261" s="1"/>
      <c r="AL3261" s="1"/>
    </row>
    <row r="3262" spans="9:38" s="497" customFormat="1" x14ac:dyDescent="0.3">
      <c r="I3262" s="1"/>
      <c r="J3262" s="1"/>
      <c r="K3262" s="1"/>
      <c r="L3262" s="1"/>
      <c r="M3262" s="1"/>
      <c r="N3262" s="1"/>
      <c r="O3262" s="498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1"/>
      <c r="AC3262" s="1"/>
      <c r="AD3262" s="1"/>
      <c r="AE3262" s="1"/>
      <c r="AF3262" s="1"/>
      <c r="AG3262" s="1"/>
      <c r="AH3262" s="1"/>
      <c r="AI3262" s="1"/>
      <c r="AJ3262" s="1"/>
      <c r="AK3262" s="1"/>
      <c r="AL3262" s="1"/>
    </row>
    <row r="3263" spans="9:38" s="497" customFormat="1" x14ac:dyDescent="0.3">
      <c r="I3263" s="1"/>
      <c r="J3263" s="1"/>
      <c r="K3263" s="1"/>
      <c r="L3263" s="1"/>
      <c r="M3263" s="1"/>
      <c r="N3263" s="1"/>
      <c r="O3263" s="498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1"/>
      <c r="AD3263" s="1"/>
      <c r="AE3263" s="1"/>
      <c r="AF3263" s="1"/>
      <c r="AG3263" s="1"/>
      <c r="AH3263" s="1"/>
      <c r="AI3263" s="1"/>
      <c r="AJ3263" s="1"/>
      <c r="AK3263" s="1"/>
      <c r="AL3263" s="1"/>
    </row>
    <row r="3264" spans="9:38" s="497" customFormat="1" x14ac:dyDescent="0.3">
      <c r="I3264" s="1"/>
      <c r="J3264" s="1"/>
      <c r="K3264" s="1"/>
      <c r="L3264" s="1"/>
      <c r="M3264" s="1"/>
      <c r="N3264" s="1"/>
      <c r="O3264" s="498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  <c r="AC3264" s="1"/>
      <c r="AD3264" s="1"/>
      <c r="AE3264" s="1"/>
      <c r="AF3264" s="1"/>
      <c r="AG3264" s="1"/>
      <c r="AH3264" s="1"/>
      <c r="AI3264" s="1"/>
      <c r="AJ3264" s="1"/>
      <c r="AK3264" s="1"/>
      <c r="AL3264" s="1"/>
    </row>
    <row r="3265" spans="9:38" s="497" customFormat="1" x14ac:dyDescent="0.3">
      <c r="I3265" s="1"/>
      <c r="J3265" s="1"/>
      <c r="K3265" s="1"/>
      <c r="L3265" s="1"/>
      <c r="M3265" s="1"/>
      <c r="N3265" s="1"/>
      <c r="O3265" s="498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  <c r="AC3265" s="1"/>
      <c r="AD3265" s="1"/>
      <c r="AE3265" s="1"/>
      <c r="AF3265" s="1"/>
      <c r="AG3265" s="1"/>
      <c r="AH3265" s="1"/>
      <c r="AI3265" s="1"/>
      <c r="AJ3265" s="1"/>
      <c r="AK3265" s="1"/>
      <c r="AL3265" s="1"/>
    </row>
    <row r="3266" spans="9:38" s="497" customFormat="1" x14ac:dyDescent="0.3">
      <c r="I3266" s="1"/>
      <c r="J3266" s="1"/>
      <c r="K3266" s="1"/>
      <c r="L3266" s="1"/>
      <c r="M3266" s="1"/>
      <c r="N3266" s="1"/>
      <c r="O3266" s="498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/>
      <c r="AC3266" s="1"/>
      <c r="AD3266" s="1"/>
      <c r="AE3266" s="1"/>
      <c r="AF3266" s="1"/>
      <c r="AG3266" s="1"/>
      <c r="AH3266" s="1"/>
      <c r="AI3266" s="1"/>
      <c r="AJ3266" s="1"/>
      <c r="AK3266" s="1"/>
      <c r="AL3266" s="1"/>
    </row>
    <row r="3267" spans="9:38" s="497" customFormat="1" x14ac:dyDescent="0.3">
      <c r="I3267" s="1"/>
      <c r="J3267" s="1"/>
      <c r="K3267" s="1"/>
      <c r="L3267" s="1"/>
      <c r="M3267" s="1"/>
      <c r="N3267" s="1"/>
      <c r="O3267" s="498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1"/>
      <c r="AD3267" s="1"/>
      <c r="AE3267" s="1"/>
      <c r="AF3267" s="1"/>
      <c r="AG3267" s="1"/>
      <c r="AH3267" s="1"/>
      <c r="AI3267" s="1"/>
      <c r="AJ3267" s="1"/>
      <c r="AK3267" s="1"/>
      <c r="AL3267" s="1"/>
    </row>
    <row r="3268" spans="9:38" s="497" customFormat="1" x14ac:dyDescent="0.3">
      <c r="I3268" s="1"/>
      <c r="J3268" s="1"/>
      <c r="K3268" s="1"/>
      <c r="L3268" s="1"/>
      <c r="M3268" s="1"/>
      <c r="N3268" s="1"/>
      <c r="O3268" s="498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1"/>
      <c r="AD3268" s="1"/>
      <c r="AE3268" s="1"/>
      <c r="AF3268" s="1"/>
      <c r="AG3268" s="1"/>
      <c r="AH3268" s="1"/>
      <c r="AI3268" s="1"/>
      <c r="AJ3268" s="1"/>
      <c r="AK3268" s="1"/>
      <c r="AL3268" s="1"/>
    </row>
    <row r="3269" spans="9:38" s="497" customFormat="1" x14ac:dyDescent="0.3">
      <c r="I3269" s="1"/>
      <c r="J3269" s="1"/>
      <c r="K3269" s="1"/>
      <c r="L3269" s="1"/>
      <c r="M3269" s="1"/>
      <c r="N3269" s="1"/>
      <c r="O3269" s="498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  <c r="AC3269" s="1"/>
      <c r="AD3269" s="1"/>
      <c r="AE3269" s="1"/>
      <c r="AF3269" s="1"/>
      <c r="AG3269" s="1"/>
      <c r="AH3269" s="1"/>
      <c r="AI3269" s="1"/>
      <c r="AJ3269" s="1"/>
      <c r="AK3269" s="1"/>
      <c r="AL3269" s="1"/>
    </row>
    <row r="3270" spans="9:38" s="497" customFormat="1" x14ac:dyDescent="0.3">
      <c r="I3270" s="1"/>
      <c r="J3270" s="1"/>
      <c r="K3270" s="1"/>
      <c r="L3270" s="1"/>
      <c r="M3270" s="1"/>
      <c r="N3270" s="1"/>
      <c r="O3270" s="498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/>
      <c r="AC3270" s="1"/>
      <c r="AD3270" s="1"/>
      <c r="AE3270" s="1"/>
      <c r="AF3270" s="1"/>
      <c r="AG3270" s="1"/>
      <c r="AH3270" s="1"/>
      <c r="AI3270" s="1"/>
      <c r="AJ3270" s="1"/>
      <c r="AK3270" s="1"/>
      <c r="AL3270" s="1"/>
    </row>
    <row r="3271" spans="9:38" s="497" customFormat="1" x14ac:dyDescent="0.3">
      <c r="I3271" s="1"/>
      <c r="J3271" s="1"/>
      <c r="K3271" s="1"/>
      <c r="L3271" s="1"/>
      <c r="M3271" s="1"/>
      <c r="N3271" s="1"/>
      <c r="O3271" s="498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1"/>
      <c r="AC3271" s="1"/>
      <c r="AD3271" s="1"/>
      <c r="AE3271" s="1"/>
      <c r="AF3271" s="1"/>
      <c r="AG3271" s="1"/>
      <c r="AH3271" s="1"/>
      <c r="AI3271" s="1"/>
      <c r="AJ3271" s="1"/>
      <c r="AK3271" s="1"/>
      <c r="AL3271" s="1"/>
    </row>
    <row r="3272" spans="9:38" s="497" customFormat="1" x14ac:dyDescent="0.3">
      <c r="I3272" s="1"/>
      <c r="J3272" s="1"/>
      <c r="K3272" s="1"/>
      <c r="L3272" s="1"/>
      <c r="M3272" s="1"/>
      <c r="N3272" s="1"/>
      <c r="O3272" s="498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/>
      <c r="AC3272" s="1"/>
      <c r="AD3272" s="1"/>
      <c r="AE3272" s="1"/>
      <c r="AF3272" s="1"/>
      <c r="AG3272" s="1"/>
      <c r="AH3272" s="1"/>
      <c r="AI3272" s="1"/>
      <c r="AJ3272" s="1"/>
      <c r="AK3272" s="1"/>
      <c r="AL3272" s="1"/>
    </row>
    <row r="3273" spans="9:38" s="497" customFormat="1" x14ac:dyDescent="0.3">
      <c r="I3273" s="1"/>
      <c r="J3273" s="1"/>
      <c r="K3273" s="1"/>
      <c r="L3273" s="1"/>
      <c r="M3273" s="1"/>
      <c r="N3273" s="1"/>
      <c r="O3273" s="498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1"/>
      <c r="AD3273" s="1"/>
      <c r="AE3273" s="1"/>
      <c r="AF3273" s="1"/>
      <c r="AG3273" s="1"/>
      <c r="AH3273" s="1"/>
      <c r="AI3273" s="1"/>
      <c r="AJ3273" s="1"/>
      <c r="AK3273" s="1"/>
      <c r="AL3273" s="1"/>
    </row>
    <row r="3274" spans="9:38" s="497" customFormat="1" x14ac:dyDescent="0.3">
      <c r="I3274" s="1"/>
      <c r="J3274" s="1"/>
      <c r="K3274" s="1"/>
      <c r="L3274" s="1"/>
      <c r="M3274" s="1"/>
      <c r="N3274" s="1"/>
      <c r="O3274" s="498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/>
      <c r="AC3274" s="1"/>
      <c r="AD3274" s="1"/>
      <c r="AE3274" s="1"/>
      <c r="AF3274" s="1"/>
      <c r="AG3274" s="1"/>
      <c r="AH3274" s="1"/>
      <c r="AI3274" s="1"/>
      <c r="AJ3274" s="1"/>
      <c r="AK3274" s="1"/>
      <c r="AL3274" s="1"/>
    </row>
    <row r="3275" spans="9:38" s="497" customFormat="1" x14ac:dyDescent="0.3">
      <c r="I3275" s="1"/>
      <c r="J3275" s="1"/>
      <c r="K3275" s="1"/>
      <c r="L3275" s="1"/>
      <c r="M3275" s="1"/>
      <c r="N3275" s="1"/>
      <c r="O3275" s="498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/>
      <c r="AC3275" s="1"/>
      <c r="AD3275" s="1"/>
      <c r="AE3275" s="1"/>
      <c r="AF3275" s="1"/>
      <c r="AG3275" s="1"/>
      <c r="AH3275" s="1"/>
      <c r="AI3275" s="1"/>
      <c r="AJ3275" s="1"/>
      <c r="AK3275" s="1"/>
      <c r="AL3275" s="1"/>
    </row>
    <row r="3276" spans="9:38" s="497" customFormat="1" x14ac:dyDescent="0.3">
      <c r="I3276" s="1"/>
      <c r="J3276" s="1"/>
      <c r="K3276" s="1"/>
      <c r="L3276" s="1"/>
      <c r="M3276" s="1"/>
      <c r="N3276" s="1"/>
      <c r="O3276" s="498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1"/>
      <c r="AD3276" s="1"/>
      <c r="AE3276" s="1"/>
      <c r="AF3276" s="1"/>
      <c r="AG3276" s="1"/>
      <c r="AH3276" s="1"/>
      <c r="AI3276" s="1"/>
      <c r="AJ3276" s="1"/>
      <c r="AK3276" s="1"/>
      <c r="AL3276" s="1"/>
    </row>
    <row r="3277" spans="9:38" s="497" customFormat="1" x14ac:dyDescent="0.3">
      <c r="I3277" s="1"/>
      <c r="J3277" s="1"/>
      <c r="K3277" s="1"/>
      <c r="L3277" s="1"/>
      <c r="M3277" s="1"/>
      <c r="N3277" s="1"/>
      <c r="O3277" s="498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  <c r="AC3277" s="1"/>
      <c r="AD3277" s="1"/>
      <c r="AE3277" s="1"/>
      <c r="AF3277" s="1"/>
      <c r="AG3277" s="1"/>
      <c r="AH3277" s="1"/>
      <c r="AI3277" s="1"/>
      <c r="AJ3277" s="1"/>
      <c r="AK3277" s="1"/>
      <c r="AL3277" s="1"/>
    </row>
    <row r="3278" spans="9:38" s="497" customFormat="1" x14ac:dyDescent="0.3">
      <c r="I3278" s="1"/>
      <c r="J3278" s="1"/>
      <c r="K3278" s="1"/>
      <c r="L3278" s="1"/>
      <c r="M3278" s="1"/>
      <c r="N3278" s="1"/>
      <c r="O3278" s="498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1"/>
      <c r="AD3278" s="1"/>
      <c r="AE3278" s="1"/>
      <c r="AF3278" s="1"/>
      <c r="AG3278" s="1"/>
      <c r="AH3278" s="1"/>
      <c r="AI3278" s="1"/>
      <c r="AJ3278" s="1"/>
      <c r="AK3278" s="1"/>
      <c r="AL3278" s="1"/>
    </row>
    <row r="3279" spans="9:38" s="497" customFormat="1" x14ac:dyDescent="0.3">
      <c r="I3279" s="1"/>
      <c r="J3279" s="1"/>
      <c r="K3279" s="1"/>
      <c r="L3279" s="1"/>
      <c r="M3279" s="1"/>
      <c r="N3279" s="1"/>
      <c r="O3279" s="498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1"/>
      <c r="AD3279" s="1"/>
      <c r="AE3279" s="1"/>
      <c r="AF3279" s="1"/>
      <c r="AG3279" s="1"/>
      <c r="AH3279" s="1"/>
      <c r="AI3279" s="1"/>
      <c r="AJ3279" s="1"/>
      <c r="AK3279" s="1"/>
      <c r="AL3279" s="1"/>
    </row>
    <row r="3280" spans="9:38" s="497" customFormat="1" x14ac:dyDescent="0.3">
      <c r="I3280" s="1"/>
      <c r="J3280" s="1"/>
      <c r="K3280" s="1"/>
      <c r="L3280" s="1"/>
      <c r="M3280" s="1"/>
      <c r="N3280" s="1"/>
      <c r="O3280" s="498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  <c r="AD3280" s="1"/>
      <c r="AE3280" s="1"/>
      <c r="AF3280" s="1"/>
      <c r="AG3280" s="1"/>
      <c r="AH3280" s="1"/>
      <c r="AI3280" s="1"/>
      <c r="AJ3280" s="1"/>
      <c r="AK3280" s="1"/>
      <c r="AL3280" s="1"/>
    </row>
    <row r="3281" spans="9:38" s="497" customFormat="1" x14ac:dyDescent="0.3">
      <c r="I3281" s="1"/>
      <c r="J3281" s="1"/>
      <c r="K3281" s="1"/>
      <c r="L3281" s="1"/>
      <c r="M3281" s="1"/>
      <c r="N3281" s="1"/>
      <c r="O3281" s="498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  <c r="AC3281" s="1"/>
      <c r="AD3281" s="1"/>
      <c r="AE3281" s="1"/>
      <c r="AF3281" s="1"/>
      <c r="AG3281" s="1"/>
      <c r="AH3281" s="1"/>
      <c r="AI3281" s="1"/>
      <c r="AJ3281" s="1"/>
      <c r="AK3281" s="1"/>
      <c r="AL3281" s="1"/>
    </row>
    <row r="3282" spans="9:38" s="497" customFormat="1" x14ac:dyDescent="0.3">
      <c r="I3282" s="1"/>
      <c r="J3282" s="1"/>
      <c r="K3282" s="1"/>
      <c r="L3282" s="1"/>
      <c r="M3282" s="1"/>
      <c r="N3282" s="1"/>
      <c r="O3282" s="498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1"/>
      <c r="AD3282" s="1"/>
      <c r="AE3282" s="1"/>
      <c r="AF3282" s="1"/>
      <c r="AG3282" s="1"/>
      <c r="AH3282" s="1"/>
      <c r="AI3282" s="1"/>
      <c r="AJ3282" s="1"/>
      <c r="AK3282" s="1"/>
      <c r="AL3282" s="1"/>
    </row>
    <row r="3283" spans="9:38" s="497" customFormat="1" x14ac:dyDescent="0.3">
      <c r="I3283" s="1"/>
      <c r="J3283" s="1"/>
      <c r="K3283" s="1"/>
      <c r="L3283" s="1"/>
      <c r="M3283" s="1"/>
      <c r="N3283" s="1"/>
      <c r="O3283" s="498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1"/>
      <c r="AC3283" s="1"/>
      <c r="AD3283" s="1"/>
      <c r="AE3283" s="1"/>
      <c r="AF3283" s="1"/>
      <c r="AG3283" s="1"/>
      <c r="AH3283" s="1"/>
      <c r="AI3283" s="1"/>
      <c r="AJ3283" s="1"/>
      <c r="AK3283" s="1"/>
      <c r="AL3283" s="1"/>
    </row>
    <row r="3284" spans="9:38" s="497" customFormat="1" x14ac:dyDescent="0.3">
      <c r="I3284" s="1"/>
      <c r="J3284" s="1"/>
      <c r="K3284" s="1"/>
      <c r="L3284" s="1"/>
      <c r="M3284" s="1"/>
      <c r="N3284" s="1"/>
      <c r="O3284" s="498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1"/>
      <c r="AD3284" s="1"/>
      <c r="AE3284" s="1"/>
      <c r="AF3284" s="1"/>
      <c r="AG3284" s="1"/>
      <c r="AH3284" s="1"/>
      <c r="AI3284" s="1"/>
      <c r="AJ3284" s="1"/>
      <c r="AK3284" s="1"/>
      <c r="AL3284" s="1"/>
    </row>
    <row r="3285" spans="9:38" s="497" customFormat="1" x14ac:dyDescent="0.3">
      <c r="I3285" s="1"/>
      <c r="J3285" s="1"/>
      <c r="K3285" s="1"/>
      <c r="L3285" s="1"/>
      <c r="M3285" s="1"/>
      <c r="N3285" s="1"/>
      <c r="O3285" s="498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1"/>
      <c r="AC3285" s="1"/>
      <c r="AD3285" s="1"/>
      <c r="AE3285" s="1"/>
      <c r="AF3285" s="1"/>
      <c r="AG3285" s="1"/>
      <c r="AH3285" s="1"/>
      <c r="AI3285" s="1"/>
      <c r="AJ3285" s="1"/>
      <c r="AK3285" s="1"/>
      <c r="AL3285" s="1"/>
    </row>
    <row r="3286" spans="9:38" s="497" customFormat="1" x14ac:dyDescent="0.3">
      <c r="I3286" s="1"/>
      <c r="J3286" s="1"/>
      <c r="K3286" s="1"/>
      <c r="L3286" s="1"/>
      <c r="M3286" s="1"/>
      <c r="N3286" s="1"/>
      <c r="O3286" s="498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  <c r="AC3286" s="1"/>
      <c r="AD3286" s="1"/>
      <c r="AE3286" s="1"/>
      <c r="AF3286" s="1"/>
      <c r="AG3286" s="1"/>
      <c r="AH3286" s="1"/>
      <c r="AI3286" s="1"/>
      <c r="AJ3286" s="1"/>
      <c r="AK3286" s="1"/>
      <c r="AL3286" s="1"/>
    </row>
    <row r="3287" spans="9:38" s="497" customFormat="1" x14ac:dyDescent="0.3">
      <c r="I3287" s="1"/>
      <c r="J3287" s="1"/>
      <c r="K3287" s="1"/>
      <c r="L3287" s="1"/>
      <c r="M3287" s="1"/>
      <c r="N3287" s="1"/>
      <c r="O3287" s="498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/>
      <c r="AC3287" s="1"/>
      <c r="AD3287" s="1"/>
      <c r="AE3287" s="1"/>
      <c r="AF3287" s="1"/>
      <c r="AG3287" s="1"/>
      <c r="AH3287" s="1"/>
      <c r="AI3287" s="1"/>
      <c r="AJ3287" s="1"/>
      <c r="AK3287" s="1"/>
      <c r="AL3287" s="1"/>
    </row>
    <row r="3288" spans="9:38" s="497" customFormat="1" x14ac:dyDescent="0.3">
      <c r="I3288" s="1"/>
      <c r="J3288" s="1"/>
      <c r="K3288" s="1"/>
      <c r="L3288" s="1"/>
      <c r="M3288" s="1"/>
      <c r="N3288" s="1"/>
      <c r="O3288" s="498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  <c r="AC3288" s="1"/>
      <c r="AD3288" s="1"/>
      <c r="AE3288" s="1"/>
      <c r="AF3288" s="1"/>
      <c r="AG3288" s="1"/>
      <c r="AH3288" s="1"/>
      <c r="AI3288" s="1"/>
      <c r="AJ3288" s="1"/>
      <c r="AK3288" s="1"/>
      <c r="AL3288" s="1"/>
    </row>
    <row r="3289" spans="9:38" s="497" customFormat="1" x14ac:dyDescent="0.3">
      <c r="I3289" s="1"/>
      <c r="J3289" s="1"/>
      <c r="K3289" s="1"/>
      <c r="L3289" s="1"/>
      <c r="M3289" s="1"/>
      <c r="N3289" s="1"/>
      <c r="O3289" s="498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  <c r="AB3289" s="1"/>
      <c r="AC3289" s="1"/>
      <c r="AD3289" s="1"/>
      <c r="AE3289" s="1"/>
      <c r="AF3289" s="1"/>
      <c r="AG3289" s="1"/>
      <c r="AH3289" s="1"/>
      <c r="AI3289" s="1"/>
      <c r="AJ3289" s="1"/>
      <c r="AK3289" s="1"/>
      <c r="AL3289" s="1"/>
    </row>
    <row r="3290" spans="9:38" s="497" customFormat="1" x14ac:dyDescent="0.3">
      <c r="I3290" s="1"/>
      <c r="J3290" s="1"/>
      <c r="K3290" s="1"/>
      <c r="L3290" s="1"/>
      <c r="M3290" s="1"/>
      <c r="N3290" s="1"/>
      <c r="O3290" s="498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1"/>
      <c r="AC3290" s="1"/>
      <c r="AD3290" s="1"/>
      <c r="AE3290" s="1"/>
      <c r="AF3290" s="1"/>
      <c r="AG3290" s="1"/>
      <c r="AH3290" s="1"/>
      <c r="AI3290" s="1"/>
      <c r="AJ3290" s="1"/>
      <c r="AK3290" s="1"/>
      <c r="AL3290" s="1"/>
    </row>
    <row r="3291" spans="9:38" s="497" customFormat="1" x14ac:dyDescent="0.3">
      <c r="I3291" s="1"/>
      <c r="J3291" s="1"/>
      <c r="K3291" s="1"/>
      <c r="L3291" s="1"/>
      <c r="M3291" s="1"/>
      <c r="N3291" s="1"/>
      <c r="O3291" s="498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/>
      <c r="AC3291" s="1"/>
      <c r="AD3291" s="1"/>
      <c r="AE3291" s="1"/>
      <c r="AF3291" s="1"/>
      <c r="AG3291" s="1"/>
      <c r="AH3291" s="1"/>
      <c r="AI3291" s="1"/>
      <c r="AJ3291" s="1"/>
      <c r="AK3291" s="1"/>
      <c r="AL3291" s="1"/>
    </row>
  </sheetData>
  <mergeCells count="12">
    <mergeCell ref="O4:O5"/>
    <mergeCell ref="B2976:J2976"/>
    <mergeCell ref="A1:O1"/>
    <mergeCell ref="A2:O2"/>
    <mergeCell ref="A3:B3"/>
    <mergeCell ref="A4:A5"/>
    <mergeCell ref="B4:B5"/>
    <mergeCell ref="C4:E5"/>
    <mergeCell ref="F4:F5"/>
    <mergeCell ref="G4:G5"/>
    <mergeCell ref="H4:H5"/>
    <mergeCell ref="I4:N4"/>
  </mergeCells>
  <dataValidations count="3">
    <dataValidation type="decimal" allowBlank="1" showInputMessage="1" showErrorMessage="1" prompt="Error - วันที่ไม่ถูกต้อง (1-31)" sqref="D7:D206" xr:uid="{00000000-0002-0000-0500-000000000000}">
      <formula1>1</formula1>
      <formula2>31</formula2>
    </dataValidation>
    <dataValidation type="decimal" operator="greaterThanOrEqual" allowBlank="1" showInputMessage="1" showErrorMessage="1" prompt="กรุณาระบุเฉพาะตัวเลขเท่านั้น" sqref="G2622:G2655 G7:G2378" xr:uid="{00000000-0002-0000-0500-000001000000}">
      <formula1>0</formula1>
    </dataValidation>
    <dataValidation operator="greaterThanOrEqual" allowBlank="1" showInputMessage="1" showErrorMessage="1" sqref="B3098:B3110" xr:uid="{00000000-0002-0000-0500-000002000000}"/>
  </dataValidations>
  <pageMargins left="0.36" right="0.15" top="0.35433070866141736" bottom="0.35433070866141736" header="0.11811023622047245" footer="0.31496062992125984"/>
  <pageSetup paperSize="9" orientation="landscape" horizontalDpi="4294967294" verticalDpi="0" r:id="rId1"/>
  <headerFooter>
    <oddHeader>&amp;R&amp;P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W48"/>
  <sheetViews>
    <sheetView zoomScaleNormal="100" workbookViewId="0">
      <selection activeCell="I35" sqref="I35"/>
    </sheetView>
  </sheetViews>
  <sheetFormatPr defaultColWidth="9.109375" defaultRowHeight="15.6" x14ac:dyDescent="0.3"/>
  <cols>
    <col min="1" max="1" width="5.44140625" style="320" customWidth="1"/>
    <col min="2" max="2" width="43.44140625" style="1" customWidth="1"/>
    <col min="3" max="3" width="4.5546875" style="1" customWidth="1"/>
    <col min="4" max="4" width="3.109375" style="1" customWidth="1"/>
    <col min="5" max="5" width="6.109375" style="764" customWidth="1"/>
    <col min="6" max="6" width="9.88671875" style="1" customWidth="1"/>
    <col min="7" max="7" width="12.6640625" style="766" customWidth="1"/>
    <col min="8" max="8" width="25.88671875" style="497" customWidth="1"/>
    <col min="9" max="14" width="3.33203125" style="1" customWidth="1"/>
    <col min="15" max="15" width="11" style="498" customWidth="1"/>
    <col min="16" max="16384" width="9.109375" style="1"/>
  </cols>
  <sheetData>
    <row r="1" spans="1:23" ht="18" x14ac:dyDescent="0.35">
      <c r="A1" s="2842" t="s">
        <v>0</v>
      </c>
      <c r="B1" s="2842"/>
      <c r="C1" s="2842"/>
      <c r="D1" s="2842"/>
      <c r="E1" s="2842"/>
      <c r="F1" s="2842"/>
      <c r="G1" s="2842"/>
      <c r="H1" s="2842"/>
      <c r="I1" s="2842"/>
      <c r="J1" s="2842"/>
      <c r="K1" s="2842"/>
      <c r="L1" s="2842"/>
      <c r="M1" s="2842"/>
      <c r="N1" s="2842"/>
      <c r="O1" s="2842"/>
    </row>
    <row r="2" spans="1:23" ht="18" x14ac:dyDescent="0.35">
      <c r="A2" s="2842" t="s">
        <v>1</v>
      </c>
      <c r="B2" s="2842"/>
      <c r="C2" s="2842"/>
      <c r="D2" s="2842"/>
      <c r="E2" s="2842"/>
      <c r="F2" s="2842"/>
      <c r="G2" s="2842"/>
      <c r="H2" s="2842"/>
      <c r="I2" s="2842"/>
      <c r="J2" s="2842"/>
      <c r="K2" s="2842"/>
      <c r="L2" s="2842"/>
      <c r="M2" s="2842"/>
      <c r="N2" s="2842"/>
      <c r="O2" s="2842"/>
    </row>
    <row r="3" spans="1:23" x14ac:dyDescent="0.3">
      <c r="A3" s="2" t="s">
        <v>4210</v>
      </c>
      <c r="B3" s="2"/>
      <c r="C3" s="3"/>
      <c r="D3" s="3"/>
      <c r="E3" s="3"/>
      <c r="F3" s="3"/>
      <c r="G3" s="5"/>
      <c r="H3" s="6"/>
      <c r="I3" s="3"/>
      <c r="J3" s="3"/>
      <c r="K3" s="3"/>
      <c r="L3" s="3"/>
      <c r="M3" s="3"/>
      <c r="N3" s="3"/>
      <c r="O3" s="7"/>
    </row>
    <row r="4" spans="1:23" s="10" customFormat="1" x14ac:dyDescent="0.3">
      <c r="A4" s="2867" t="s">
        <v>3</v>
      </c>
      <c r="B4" s="2868" t="s">
        <v>4</v>
      </c>
      <c r="C4" s="2911" t="s">
        <v>5</v>
      </c>
      <c r="D4" s="2912"/>
      <c r="E4" s="2913"/>
      <c r="F4" s="857" t="s">
        <v>6</v>
      </c>
      <c r="G4" s="2875" t="s">
        <v>7</v>
      </c>
      <c r="H4" s="2868" t="s">
        <v>8</v>
      </c>
      <c r="I4" s="2858" t="s">
        <v>9</v>
      </c>
      <c r="J4" s="2876"/>
      <c r="K4" s="2876"/>
      <c r="L4" s="2876"/>
      <c r="M4" s="2876"/>
      <c r="N4" s="2860"/>
      <c r="O4" s="769" t="s">
        <v>10</v>
      </c>
    </row>
    <row r="5" spans="1:23" s="10" customFormat="1" ht="33" x14ac:dyDescent="0.3">
      <c r="A5" s="2845"/>
      <c r="B5" s="2857"/>
      <c r="C5" s="2863"/>
      <c r="D5" s="2914"/>
      <c r="E5" s="2915"/>
      <c r="F5" s="514" t="s">
        <v>11</v>
      </c>
      <c r="G5" s="2865"/>
      <c r="H5" s="2857"/>
      <c r="I5" s="14" t="s">
        <v>12</v>
      </c>
      <c r="J5" s="14" t="s">
        <v>13</v>
      </c>
      <c r="K5" s="15" t="s">
        <v>14</v>
      </c>
      <c r="L5" s="15" t="s">
        <v>15</v>
      </c>
      <c r="M5" s="15" t="s">
        <v>16</v>
      </c>
      <c r="N5" s="15" t="s">
        <v>17</v>
      </c>
      <c r="O5" s="13"/>
    </row>
    <row r="6" spans="1:23" x14ac:dyDescent="0.3">
      <c r="A6" s="96">
        <v>444</v>
      </c>
      <c r="B6" s="892" t="s">
        <v>4211</v>
      </c>
      <c r="C6" s="892"/>
      <c r="D6" s="892"/>
      <c r="E6" s="859"/>
      <c r="F6" s="892"/>
      <c r="G6" s="1264"/>
      <c r="H6" s="1265"/>
      <c r="I6" s="892"/>
      <c r="J6" s="892"/>
      <c r="K6" s="892"/>
      <c r="L6" s="892"/>
      <c r="M6" s="892"/>
      <c r="N6" s="819"/>
      <c r="O6" s="103"/>
    </row>
    <row r="7" spans="1:23" x14ac:dyDescent="0.3">
      <c r="A7" s="2394">
        <v>1</v>
      </c>
      <c r="B7" s="1266" t="s">
        <v>4212</v>
      </c>
      <c r="C7" s="216" t="s">
        <v>4213</v>
      </c>
      <c r="D7" s="75">
        <v>62</v>
      </c>
      <c r="E7" s="227" t="s">
        <v>408</v>
      </c>
      <c r="F7" s="82" t="s">
        <v>297</v>
      </c>
      <c r="G7" s="83">
        <v>21400</v>
      </c>
      <c r="H7" s="1741" t="s">
        <v>4214</v>
      </c>
      <c r="I7" s="118" t="s">
        <v>25</v>
      </c>
      <c r="J7" s="228"/>
      <c r="K7" s="83"/>
      <c r="L7" s="83"/>
      <c r="M7" s="83"/>
      <c r="N7" s="83"/>
      <c r="O7" s="229"/>
      <c r="R7" s="118" t="s">
        <v>25</v>
      </c>
      <c r="S7" s="228"/>
      <c r="T7" s="83"/>
      <c r="U7" s="83"/>
      <c r="V7" s="83"/>
      <c r="W7" s="83"/>
    </row>
    <row r="8" spans="1:23" x14ac:dyDescent="0.3">
      <c r="A8" s="2300">
        <v>2</v>
      </c>
      <c r="B8" s="1266" t="s">
        <v>4212</v>
      </c>
      <c r="C8" s="216" t="s">
        <v>4213</v>
      </c>
      <c r="D8" s="75">
        <v>62</v>
      </c>
      <c r="E8" s="227" t="s">
        <v>409</v>
      </c>
      <c r="F8" s="82" t="s">
        <v>297</v>
      </c>
      <c r="G8" s="83">
        <v>21400</v>
      </c>
      <c r="H8" s="1741" t="s">
        <v>4214</v>
      </c>
      <c r="I8" s="118" t="s">
        <v>25</v>
      </c>
      <c r="J8" s="228"/>
      <c r="K8" s="83"/>
      <c r="L8" s="83"/>
      <c r="M8" s="83"/>
      <c r="N8" s="83"/>
      <c r="O8" s="229"/>
      <c r="R8" s="118" t="s">
        <v>25</v>
      </c>
      <c r="S8" s="228"/>
      <c r="T8" s="83"/>
      <c r="U8" s="83"/>
      <c r="V8" s="83"/>
      <c r="W8" s="83"/>
    </row>
    <row r="9" spans="1:23" ht="17.399999999999999" x14ac:dyDescent="0.45">
      <c r="A9" s="39"/>
      <c r="B9" s="88"/>
      <c r="C9" s="89"/>
      <c r="D9" s="230"/>
      <c r="E9" s="201"/>
      <c r="F9" s="176"/>
      <c r="G9" s="231">
        <f>SUM(G7:G8)</f>
        <v>42800</v>
      </c>
      <c r="H9" s="232"/>
      <c r="I9" s="233"/>
      <c r="J9" s="233"/>
      <c r="K9" s="234"/>
      <c r="L9" s="234"/>
      <c r="M9" s="234"/>
      <c r="N9" s="234"/>
      <c r="O9" s="235"/>
      <c r="R9" s="233"/>
      <c r="S9" s="233"/>
      <c r="T9" s="234"/>
      <c r="U9" s="234"/>
      <c r="V9" s="234"/>
      <c r="W9" s="234"/>
    </row>
    <row r="10" spans="1:23" x14ac:dyDescent="0.3">
      <c r="A10" s="1267" t="s">
        <v>4215</v>
      </c>
      <c r="B10" s="259" t="s">
        <v>4216</v>
      </c>
      <c r="C10" s="260"/>
      <c r="D10" s="260"/>
      <c r="E10" s="260"/>
      <c r="F10" s="262"/>
      <c r="G10" s="1268"/>
      <c r="H10" s="242"/>
      <c r="I10" s="243"/>
      <c r="J10" s="244"/>
      <c r="K10" s="244"/>
      <c r="L10" s="245"/>
      <c r="M10" s="245"/>
      <c r="N10" s="244"/>
      <c r="O10" s="246"/>
      <c r="R10" s="243"/>
      <c r="S10" s="244"/>
      <c r="T10" s="244"/>
      <c r="U10" s="245"/>
      <c r="V10" s="245"/>
      <c r="W10" s="244"/>
    </row>
    <row r="11" spans="1:23" ht="31.2" x14ac:dyDescent="0.3">
      <c r="A11" s="2226">
        <v>1</v>
      </c>
      <c r="B11" s="1269" t="s">
        <v>4217</v>
      </c>
      <c r="C11" s="216" t="s">
        <v>4215</v>
      </c>
      <c r="D11" s="75">
        <v>62</v>
      </c>
      <c r="E11" s="227" t="s">
        <v>411</v>
      </c>
      <c r="F11" s="82" t="s">
        <v>297</v>
      </c>
      <c r="G11" s="83">
        <v>50584.25</v>
      </c>
      <c r="H11" s="1741" t="s">
        <v>4218</v>
      </c>
      <c r="I11" s="34" t="s">
        <v>25</v>
      </c>
      <c r="J11" s="34"/>
      <c r="K11" s="147"/>
      <c r="L11" s="224"/>
      <c r="M11" s="147"/>
      <c r="N11" s="224"/>
      <c r="O11" s="148"/>
      <c r="R11" s="34" t="s">
        <v>25</v>
      </c>
      <c r="S11" s="34"/>
      <c r="T11" s="147"/>
      <c r="U11" s="224"/>
      <c r="V11" s="147"/>
      <c r="W11" s="224"/>
    </row>
    <row r="12" spans="1:23" ht="31.2" x14ac:dyDescent="0.3">
      <c r="A12" s="2226">
        <v>2</v>
      </c>
      <c r="B12" s="1269" t="s">
        <v>4217</v>
      </c>
      <c r="C12" s="216" t="s">
        <v>4215</v>
      </c>
      <c r="D12" s="75">
        <v>62</v>
      </c>
      <c r="E12" s="227" t="s">
        <v>596</v>
      </c>
      <c r="F12" s="82" t="s">
        <v>297</v>
      </c>
      <c r="G12" s="83">
        <v>50584.25</v>
      </c>
      <c r="H12" s="1741" t="s">
        <v>4218</v>
      </c>
      <c r="I12" s="34" t="s">
        <v>25</v>
      </c>
      <c r="J12" s="34"/>
      <c r="K12" s="254"/>
      <c r="L12" s="255"/>
      <c r="M12" s="254"/>
      <c r="N12" s="255"/>
      <c r="O12" s="256"/>
      <c r="R12" s="34" t="s">
        <v>25</v>
      </c>
      <c r="S12" s="34"/>
      <c r="T12" s="254"/>
      <c r="U12" s="255"/>
      <c r="V12" s="254"/>
      <c r="W12" s="255"/>
    </row>
    <row r="13" spans="1:23" ht="17.399999999999999" x14ac:dyDescent="0.45">
      <c r="A13" s="39"/>
      <c r="B13" s="257"/>
      <c r="C13" s="89"/>
      <c r="D13" s="230"/>
      <c r="E13" s="201"/>
      <c r="F13" s="176"/>
      <c r="G13" s="231">
        <f>SUM(G11:G12)</f>
        <v>101168.5</v>
      </c>
      <c r="H13" s="232"/>
      <c r="I13" s="233"/>
      <c r="J13" s="233"/>
      <c r="K13" s="234"/>
      <c r="L13" s="234"/>
      <c r="M13" s="234"/>
      <c r="N13" s="258"/>
      <c r="O13" s="235"/>
      <c r="R13" s="233"/>
      <c r="S13" s="233"/>
      <c r="T13" s="234"/>
      <c r="U13" s="234"/>
      <c r="V13" s="234"/>
      <c r="W13" s="258"/>
    </row>
    <row r="14" spans="1:23" x14ac:dyDescent="0.3">
      <c r="A14" s="823">
        <v>454</v>
      </c>
      <c r="B14" s="815" t="s">
        <v>4219</v>
      </c>
      <c r="C14" s="829"/>
      <c r="D14" s="829"/>
      <c r="E14" s="829"/>
      <c r="F14" s="845"/>
      <c r="G14" s="826"/>
      <c r="H14" s="827"/>
      <c r="I14" s="779"/>
      <c r="J14" s="779"/>
      <c r="K14" s="828"/>
      <c r="L14" s="828"/>
      <c r="M14" s="828"/>
      <c r="N14" s="779"/>
      <c r="O14" s="780"/>
      <c r="R14" s="779"/>
      <c r="S14" s="779"/>
      <c r="T14" s="828"/>
      <c r="U14" s="828"/>
      <c r="V14" s="828"/>
      <c r="W14" s="779"/>
    </row>
    <row r="15" spans="1:23" x14ac:dyDescent="0.3">
      <c r="A15" s="2250">
        <v>1</v>
      </c>
      <c r="B15" s="645" t="s">
        <v>4220</v>
      </c>
      <c r="C15" s="1198">
        <v>454</v>
      </c>
      <c r="D15" s="793" t="s">
        <v>4221</v>
      </c>
      <c r="E15" s="349" t="s">
        <v>91</v>
      </c>
      <c r="F15" s="350" t="s">
        <v>4222</v>
      </c>
      <c r="G15" s="351">
        <v>16000</v>
      </c>
      <c r="H15" s="835" t="s">
        <v>537</v>
      </c>
      <c r="I15" s="945" t="s">
        <v>25</v>
      </c>
      <c r="J15" s="353"/>
      <c r="K15" s="353"/>
      <c r="L15" s="353"/>
      <c r="M15" s="353"/>
      <c r="N15" s="351"/>
      <c r="O15" s="2438" t="s">
        <v>4223</v>
      </c>
      <c r="R15" s="945" t="s">
        <v>25</v>
      </c>
      <c r="S15" s="353"/>
      <c r="T15" s="353"/>
      <c r="U15" s="353"/>
      <c r="V15" s="353"/>
      <c r="W15" s="351"/>
    </row>
    <row r="16" spans="1:23" x14ac:dyDescent="0.3">
      <c r="A16" s="247"/>
      <c r="B16" s="248" t="s">
        <v>4224</v>
      </c>
      <c r="C16" s="415"/>
      <c r="D16" s="416"/>
      <c r="E16" s="217"/>
      <c r="F16" s="218"/>
      <c r="G16" s="192"/>
      <c r="H16" s="835"/>
      <c r="I16" s="1270"/>
      <c r="J16" s="119"/>
      <c r="K16" s="119"/>
      <c r="L16" s="119"/>
      <c r="M16" s="119"/>
      <c r="N16" s="192"/>
      <c r="O16" s="2305"/>
      <c r="R16" s="1270"/>
      <c r="S16" s="119"/>
      <c r="T16" s="119"/>
      <c r="U16" s="119"/>
      <c r="V16" s="119"/>
      <c r="W16" s="192"/>
    </row>
    <row r="17" spans="1:23" x14ac:dyDescent="0.3">
      <c r="A17" s="2226">
        <v>2</v>
      </c>
      <c r="B17" s="645" t="s">
        <v>4220</v>
      </c>
      <c r="C17" s="1198">
        <v>454</v>
      </c>
      <c r="D17" s="793" t="s">
        <v>4221</v>
      </c>
      <c r="E17" s="349" t="s">
        <v>92</v>
      </c>
      <c r="F17" s="350" t="s">
        <v>4222</v>
      </c>
      <c r="G17" s="351">
        <v>16000</v>
      </c>
      <c r="H17" s="835" t="s">
        <v>537</v>
      </c>
      <c r="I17" s="945" t="s">
        <v>25</v>
      </c>
      <c r="J17" s="119"/>
      <c r="K17" s="119"/>
      <c r="L17" s="119"/>
      <c r="M17" s="119"/>
      <c r="N17" s="192"/>
      <c r="O17" s="2438" t="s">
        <v>4223</v>
      </c>
      <c r="R17" s="945" t="s">
        <v>25</v>
      </c>
      <c r="S17" s="119"/>
      <c r="T17" s="119"/>
      <c r="U17" s="119"/>
      <c r="V17" s="119"/>
      <c r="W17" s="192"/>
    </row>
    <row r="18" spans="1:23" x14ac:dyDescent="0.3">
      <c r="A18" s="247"/>
      <c r="B18" s="248" t="s">
        <v>4224</v>
      </c>
      <c r="C18" s="415"/>
      <c r="D18" s="416"/>
      <c r="E18" s="217"/>
      <c r="F18" s="218"/>
      <c r="G18" s="192"/>
      <c r="H18" s="835"/>
      <c r="I18" s="1270"/>
      <c r="J18" s="119"/>
      <c r="K18" s="119"/>
      <c r="L18" s="119"/>
      <c r="M18" s="119"/>
      <c r="N18" s="192"/>
      <c r="O18" s="2305"/>
      <c r="R18" s="1270"/>
      <c r="S18" s="119"/>
      <c r="T18" s="119"/>
      <c r="U18" s="119"/>
      <c r="V18" s="119"/>
      <c r="W18" s="192"/>
    </row>
    <row r="19" spans="1:23" x14ac:dyDescent="0.3">
      <c r="A19" s="2226">
        <v>3</v>
      </c>
      <c r="B19" s="645" t="s">
        <v>4220</v>
      </c>
      <c r="C19" s="1198">
        <v>454</v>
      </c>
      <c r="D19" s="793" t="s">
        <v>4221</v>
      </c>
      <c r="E19" s="349" t="s">
        <v>93</v>
      </c>
      <c r="F19" s="350" t="s">
        <v>4222</v>
      </c>
      <c r="G19" s="351">
        <v>16000</v>
      </c>
      <c r="H19" s="835" t="s">
        <v>537</v>
      </c>
      <c r="I19" s="945" t="s">
        <v>25</v>
      </c>
      <c r="J19" s="119"/>
      <c r="K19" s="119"/>
      <c r="L19" s="119"/>
      <c r="M19" s="119"/>
      <c r="N19" s="192"/>
      <c r="O19" s="2438" t="s">
        <v>4223</v>
      </c>
      <c r="R19" s="945" t="s">
        <v>25</v>
      </c>
      <c r="S19" s="119"/>
      <c r="T19" s="119"/>
      <c r="U19" s="119"/>
      <c r="V19" s="119"/>
      <c r="W19" s="192"/>
    </row>
    <row r="20" spans="1:23" x14ac:dyDescent="0.3">
      <c r="A20" s="247"/>
      <c r="B20" s="248" t="s">
        <v>4224</v>
      </c>
      <c r="C20" s="415"/>
      <c r="D20" s="416"/>
      <c r="E20" s="217"/>
      <c r="F20" s="218"/>
      <c r="G20" s="192"/>
      <c r="H20" s="835"/>
      <c r="I20" s="1270"/>
      <c r="J20" s="119"/>
      <c r="K20" s="119"/>
      <c r="L20" s="119"/>
      <c r="M20" s="119"/>
      <c r="N20" s="192"/>
      <c r="O20" s="2305"/>
      <c r="R20" s="1270"/>
      <c r="S20" s="119"/>
      <c r="T20" s="119"/>
      <c r="U20" s="119"/>
      <c r="V20" s="119"/>
      <c r="W20" s="192"/>
    </row>
    <row r="21" spans="1:23" x14ac:dyDescent="0.3">
      <c r="A21" s="2226">
        <v>4</v>
      </c>
      <c r="B21" s="645" t="s">
        <v>4220</v>
      </c>
      <c r="C21" s="1198">
        <v>454</v>
      </c>
      <c r="D21" s="793" t="s">
        <v>4221</v>
      </c>
      <c r="E21" s="349" t="s">
        <v>94</v>
      </c>
      <c r="F21" s="350" t="s">
        <v>4222</v>
      </c>
      <c r="G21" s="351">
        <v>16000</v>
      </c>
      <c r="H21" s="835" t="s">
        <v>537</v>
      </c>
      <c r="I21" s="945" t="s">
        <v>25</v>
      </c>
      <c r="J21" s="119"/>
      <c r="K21" s="119"/>
      <c r="L21" s="119"/>
      <c r="M21" s="119"/>
      <c r="N21" s="192"/>
      <c r="O21" s="2438" t="s">
        <v>4223</v>
      </c>
      <c r="R21" s="945" t="s">
        <v>25</v>
      </c>
      <c r="S21" s="119"/>
      <c r="T21" s="119"/>
      <c r="U21" s="119"/>
      <c r="V21" s="119"/>
      <c r="W21" s="192"/>
    </row>
    <row r="22" spans="1:23" x14ac:dyDescent="0.3">
      <c r="A22" s="247"/>
      <c r="B22" s="248" t="s">
        <v>4224</v>
      </c>
      <c r="C22" s="415"/>
      <c r="D22" s="416"/>
      <c r="E22" s="217"/>
      <c r="F22" s="218"/>
      <c r="G22" s="192"/>
      <c r="H22" s="835"/>
      <c r="I22" s="1270"/>
      <c r="J22" s="119"/>
      <c r="K22" s="119"/>
      <c r="L22" s="119"/>
      <c r="M22" s="119"/>
      <c r="N22" s="192"/>
      <c r="O22" s="2305"/>
      <c r="R22" s="1270"/>
      <c r="S22" s="119"/>
      <c r="T22" s="119"/>
      <c r="U22" s="119"/>
      <c r="V22" s="119"/>
      <c r="W22" s="192"/>
    </row>
    <row r="23" spans="1:23" x14ac:dyDescent="0.3">
      <c r="A23" s="2226">
        <v>5</v>
      </c>
      <c r="B23" s="645" t="s">
        <v>4220</v>
      </c>
      <c r="C23" s="1198">
        <v>454</v>
      </c>
      <c r="D23" s="793" t="s">
        <v>4221</v>
      </c>
      <c r="E23" s="349" t="s">
        <v>95</v>
      </c>
      <c r="F23" s="350" t="s">
        <v>4222</v>
      </c>
      <c r="G23" s="351">
        <v>16000</v>
      </c>
      <c r="H23" s="835" t="s">
        <v>537</v>
      </c>
      <c r="I23" s="945" t="s">
        <v>25</v>
      </c>
      <c r="J23" s="119"/>
      <c r="K23" s="119"/>
      <c r="L23" s="119"/>
      <c r="M23" s="119"/>
      <c r="N23" s="192"/>
      <c r="O23" s="2438" t="s">
        <v>4223</v>
      </c>
      <c r="R23" s="945" t="s">
        <v>25</v>
      </c>
      <c r="S23" s="119"/>
      <c r="T23" s="119"/>
      <c r="U23" s="119"/>
      <c r="V23" s="119"/>
      <c r="W23" s="192"/>
    </row>
    <row r="24" spans="1:23" x14ac:dyDescent="0.3">
      <c r="A24" s="247"/>
      <c r="B24" s="248" t="s">
        <v>4224</v>
      </c>
      <c r="C24" s="415"/>
      <c r="D24" s="416"/>
      <c r="E24" s="217"/>
      <c r="F24" s="218"/>
      <c r="G24" s="192"/>
      <c r="H24" s="835"/>
      <c r="I24" s="1270"/>
      <c r="J24" s="119"/>
      <c r="K24" s="119"/>
      <c r="L24" s="119"/>
      <c r="M24" s="119"/>
      <c r="N24" s="192"/>
      <c r="O24" s="2305"/>
      <c r="R24" s="1270"/>
      <c r="S24" s="119"/>
      <c r="T24" s="119"/>
      <c r="U24" s="119"/>
      <c r="V24" s="119"/>
      <c r="W24" s="192"/>
    </row>
    <row r="25" spans="1:23" x14ac:dyDescent="0.3">
      <c r="A25" s="2299">
        <v>6</v>
      </c>
      <c r="B25" s="421" t="s">
        <v>4225</v>
      </c>
      <c r="C25" s="1198">
        <v>454</v>
      </c>
      <c r="D25" s="793" t="s">
        <v>4221</v>
      </c>
      <c r="E25" s="349" t="s">
        <v>96</v>
      </c>
      <c r="F25" s="350" t="s">
        <v>4222</v>
      </c>
      <c r="G25" s="83">
        <v>21000</v>
      </c>
      <c r="H25" s="835" t="s">
        <v>537</v>
      </c>
      <c r="I25" s="945" t="s">
        <v>25</v>
      </c>
      <c r="J25" s="119"/>
      <c r="K25" s="119"/>
      <c r="L25" s="119"/>
      <c r="M25" s="119"/>
      <c r="N25" s="192"/>
      <c r="O25" s="2438" t="s">
        <v>4223</v>
      </c>
      <c r="R25" s="945" t="s">
        <v>25</v>
      </c>
      <c r="S25" s="119"/>
      <c r="T25" s="119"/>
      <c r="U25" s="119"/>
      <c r="V25" s="119"/>
      <c r="W25" s="192"/>
    </row>
    <row r="26" spans="1:23" x14ac:dyDescent="0.3">
      <c r="A26" s="27"/>
      <c r="B26" s="421" t="s">
        <v>4226</v>
      </c>
      <c r="C26" s="415"/>
      <c r="D26" s="416"/>
      <c r="E26" s="217"/>
      <c r="F26" s="218"/>
      <c r="G26" s="83"/>
      <c r="H26" s="1271"/>
      <c r="I26" s="1270"/>
      <c r="J26" s="600"/>
      <c r="K26" s="600"/>
      <c r="L26" s="600"/>
      <c r="M26" s="600"/>
      <c r="N26" s="83"/>
      <c r="O26" s="2305"/>
      <c r="R26" s="1270"/>
      <c r="S26" s="600"/>
      <c r="T26" s="600"/>
      <c r="U26" s="600"/>
      <c r="V26" s="600"/>
      <c r="W26" s="83"/>
    </row>
    <row r="27" spans="1:23" x14ac:dyDescent="0.3">
      <c r="A27" s="2299">
        <v>7</v>
      </c>
      <c r="B27" s="421" t="s">
        <v>4227</v>
      </c>
      <c r="C27" s="1198">
        <v>454</v>
      </c>
      <c r="D27" s="793" t="s">
        <v>4221</v>
      </c>
      <c r="E27" s="349" t="s">
        <v>97</v>
      </c>
      <c r="F27" s="350" t="s">
        <v>4222</v>
      </c>
      <c r="G27" s="83">
        <v>8000</v>
      </c>
      <c r="H27" s="835" t="s">
        <v>537</v>
      </c>
      <c r="I27" s="945" t="s">
        <v>25</v>
      </c>
      <c r="J27" s="119"/>
      <c r="K27" s="119"/>
      <c r="L27" s="119"/>
      <c r="M27" s="119"/>
      <c r="N27" s="192"/>
      <c r="O27" s="2438" t="s">
        <v>4223</v>
      </c>
      <c r="R27" s="945" t="s">
        <v>25</v>
      </c>
      <c r="S27" s="119"/>
      <c r="T27" s="119"/>
      <c r="U27" s="119"/>
      <c r="V27" s="119"/>
      <c r="W27" s="192"/>
    </row>
    <row r="28" spans="1:23" x14ac:dyDescent="0.3">
      <c r="A28" s="27"/>
      <c r="B28" s="421" t="s">
        <v>4228</v>
      </c>
      <c r="C28" s="451"/>
      <c r="D28" s="452"/>
      <c r="E28" s="419"/>
      <c r="F28" s="82"/>
      <c r="G28" s="83"/>
      <c r="H28" s="1271"/>
      <c r="I28" s="1272"/>
      <c r="J28" s="600"/>
      <c r="K28" s="600"/>
      <c r="L28" s="600"/>
      <c r="M28" s="600"/>
      <c r="N28" s="83"/>
      <c r="O28" s="229"/>
      <c r="R28" s="1272"/>
      <c r="S28" s="600"/>
      <c r="T28" s="600"/>
      <c r="U28" s="600"/>
      <c r="V28" s="600"/>
      <c r="W28" s="83"/>
    </row>
    <row r="29" spans="1:23" ht="17.399999999999999" x14ac:dyDescent="0.45">
      <c r="A29" s="39"/>
      <c r="B29" s="172"/>
      <c r="C29" s="477"/>
      <c r="D29" s="230"/>
      <c r="E29" s="201"/>
      <c r="F29" s="176"/>
      <c r="G29" s="231">
        <f>SUM(G15:G28)</f>
        <v>109000</v>
      </c>
      <c r="H29" s="1273"/>
      <c r="I29" s="1274"/>
      <c r="J29" s="355"/>
      <c r="K29" s="355"/>
      <c r="L29" s="355"/>
      <c r="M29" s="355"/>
      <c r="N29" s="234"/>
      <c r="O29" s="235"/>
      <c r="R29" s="1274"/>
      <c r="S29" s="355"/>
      <c r="T29" s="355"/>
      <c r="U29" s="355"/>
      <c r="V29" s="355"/>
      <c r="W29" s="234"/>
    </row>
    <row r="30" spans="1:23" x14ac:dyDescent="0.3">
      <c r="A30" s="823">
        <v>456</v>
      </c>
      <c r="B30" s="815" t="s">
        <v>4229</v>
      </c>
      <c r="C30" s="829"/>
      <c r="D30" s="829"/>
      <c r="E30" s="829"/>
      <c r="F30" s="845"/>
      <c r="G30" s="826"/>
      <c r="H30" s="827"/>
      <c r="I30" s="779"/>
      <c r="J30" s="779"/>
      <c r="K30" s="828"/>
      <c r="L30" s="828"/>
      <c r="M30" s="828"/>
      <c r="N30" s="779"/>
      <c r="O30" s="780"/>
      <c r="R30" s="779"/>
      <c r="S30" s="779"/>
      <c r="T30" s="828"/>
      <c r="U30" s="828"/>
      <c r="V30" s="828"/>
      <c r="W30" s="779"/>
    </row>
    <row r="31" spans="1:23" x14ac:dyDescent="0.3">
      <c r="A31" s="2250">
        <v>1</v>
      </c>
      <c r="B31" s="645" t="s">
        <v>4230</v>
      </c>
      <c r="C31" s="1198" t="s">
        <v>4231</v>
      </c>
      <c r="D31" s="793" t="s">
        <v>954</v>
      </c>
      <c r="E31" s="349" t="s">
        <v>564</v>
      </c>
      <c r="F31" s="350" t="s">
        <v>4232</v>
      </c>
      <c r="G31" s="351">
        <v>15000</v>
      </c>
      <c r="H31" s="835" t="s">
        <v>537</v>
      </c>
      <c r="I31" s="945"/>
      <c r="J31" s="353" t="s">
        <v>25</v>
      </c>
      <c r="K31" s="353"/>
      <c r="L31" s="353"/>
      <c r="M31" s="353"/>
      <c r="N31" s="351"/>
      <c r="O31" s="2631" t="s">
        <v>6395</v>
      </c>
      <c r="P31" s="1">
        <v>1</v>
      </c>
      <c r="R31" s="945"/>
      <c r="S31" s="353" t="s">
        <v>25</v>
      </c>
      <c r="T31" s="353"/>
      <c r="U31" s="353"/>
      <c r="V31" s="353"/>
      <c r="W31" s="351"/>
    </row>
    <row r="32" spans="1:23" ht="17.399999999999999" x14ac:dyDescent="0.45">
      <c r="A32" s="2392">
        <v>2</v>
      </c>
      <c r="B32" s="204" t="s">
        <v>4234</v>
      </c>
      <c r="C32" s="950">
        <v>456</v>
      </c>
      <c r="D32" s="951">
        <v>66</v>
      </c>
      <c r="E32" s="201" t="s">
        <v>79</v>
      </c>
      <c r="F32" s="1275">
        <v>24162</v>
      </c>
      <c r="G32" s="1276">
        <v>19795</v>
      </c>
      <c r="H32" s="1789" t="s">
        <v>4218</v>
      </c>
      <c r="I32" s="663" t="s">
        <v>25</v>
      </c>
      <c r="J32" s="204"/>
      <c r="K32" s="204"/>
      <c r="L32" s="204"/>
      <c r="M32" s="204"/>
      <c r="N32" s="204"/>
      <c r="O32" s="205"/>
      <c r="R32" s="663" t="s">
        <v>25</v>
      </c>
      <c r="S32" s="204"/>
      <c r="T32" s="204"/>
      <c r="U32" s="204"/>
      <c r="V32" s="204"/>
      <c r="W32" s="204"/>
    </row>
    <row r="33" spans="1:23" ht="17.399999999999999" x14ac:dyDescent="0.45">
      <c r="A33" s="39"/>
      <c r="B33" s="204"/>
      <c r="C33" s="950"/>
      <c r="D33" s="951"/>
      <c r="E33" s="1277"/>
      <c r="F33" s="1275"/>
      <c r="G33" s="763">
        <f>SUM(G30:G32)</f>
        <v>34795</v>
      </c>
      <c r="H33" s="178"/>
      <c r="I33" s="204"/>
      <c r="J33" s="204"/>
      <c r="K33" s="204"/>
      <c r="L33" s="204"/>
      <c r="M33" s="204"/>
      <c r="N33" s="204"/>
      <c r="O33" s="205"/>
      <c r="R33" s="1">
        <f>COUNTA(R7:R32)</f>
        <v>12</v>
      </c>
      <c r="S33" s="1">
        <f t="shared" ref="S33:W33" si="0">COUNTA(S7:S32)</f>
        <v>1</v>
      </c>
      <c r="T33" s="1">
        <f t="shared" si="0"/>
        <v>0</v>
      </c>
      <c r="U33" s="1">
        <f t="shared" si="0"/>
        <v>0</v>
      </c>
      <c r="V33" s="1">
        <f t="shared" si="0"/>
        <v>0</v>
      </c>
      <c r="W33" s="1">
        <f t="shared" si="0"/>
        <v>0</v>
      </c>
    </row>
    <row r="34" spans="1:23" ht="17.399999999999999" x14ac:dyDescent="0.45">
      <c r="G34" s="1278">
        <f>G9+G13+G33+G29</f>
        <v>287763.5</v>
      </c>
    </row>
    <row r="35" spans="1:23" ht="17.399999999999999" x14ac:dyDescent="0.45">
      <c r="G35" s="763"/>
    </row>
    <row r="36" spans="1:23" ht="20.25" customHeight="1" x14ac:dyDescent="0.35">
      <c r="B36" s="502" t="s">
        <v>601</v>
      </c>
      <c r="C36" s="502"/>
      <c r="D36" s="505"/>
      <c r="E36" s="509"/>
      <c r="F36" s="505"/>
      <c r="G36" s="504" t="s">
        <v>602</v>
      </c>
      <c r="H36" s="1"/>
      <c r="I36" s="505"/>
      <c r="J36" s="505" t="s">
        <v>603</v>
      </c>
      <c r="K36" s="505"/>
      <c r="L36" s="505"/>
      <c r="M36" s="505"/>
      <c r="O36" s="506"/>
    </row>
    <row r="37" spans="1:23" ht="18" x14ac:dyDescent="0.35">
      <c r="B37" s="507" t="s">
        <v>604</v>
      </c>
      <c r="C37" s="508"/>
      <c r="D37" s="505"/>
      <c r="E37" s="509"/>
      <c r="F37" s="505"/>
      <c r="G37" s="504"/>
      <c r="H37" s="509" t="s">
        <v>605</v>
      </c>
      <c r="J37" s="505"/>
      <c r="K37" s="505"/>
      <c r="L37" s="505"/>
      <c r="M37" s="505"/>
      <c r="O37" s="506"/>
    </row>
    <row r="38" spans="1:23" ht="18" x14ac:dyDescent="0.35">
      <c r="B38" s="507" t="s">
        <v>606</v>
      </c>
      <c r="C38" s="508"/>
      <c r="D38" s="505"/>
      <c r="E38" s="509"/>
      <c r="F38" s="505"/>
      <c r="G38" s="504"/>
      <c r="H38" s="509" t="s">
        <v>607</v>
      </c>
      <c r="J38" s="505"/>
      <c r="K38" s="505"/>
      <c r="L38" s="505"/>
      <c r="M38" s="505"/>
      <c r="O38" s="506"/>
    </row>
    <row r="39" spans="1:23" ht="10.5" customHeight="1" x14ac:dyDescent="0.35">
      <c r="B39" s="502"/>
      <c r="C39" s="502"/>
      <c r="D39" s="505"/>
      <c r="E39" s="509"/>
      <c r="F39" s="505"/>
      <c r="G39" s="790"/>
      <c r="H39" s="505"/>
      <c r="I39" s="505"/>
      <c r="J39" s="505"/>
      <c r="K39" s="505"/>
      <c r="L39" s="505"/>
      <c r="M39" s="505"/>
      <c r="O39" s="506"/>
    </row>
    <row r="40" spans="1:23" ht="18" x14ac:dyDescent="0.35">
      <c r="B40" s="502" t="s">
        <v>608</v>
      </c>
      <c r="C40" s="502"/>
      <c r="D40" s="505"/>
      <c r="E40" s="509"/>
      <c r="F40" s="505"/>
      <c r="G40" s="504"/>
      <c r="H40" s="1"/>
      <c r="I40" s="505"/>
      <c r="J40" s="505"/>
      <c r="K40" s="505"/>
      <c r="L40" s="505"/>
      <c r="M40" s="505"/>
      <c r="O40" s="506"/>
    </row>
    <row r="41" spans="1:23" ht="18" x14ac:dyDescent="0.35">
      <c r="B41" s="507" t="s">
        <v>609</v>
      </c>
      <c r="C41" s="508"/>
      <c r="D41" s="505"/>
      <c r="E41" s="509"/>
      <c r="F41" s="505"/>
      <c r="G41" s="504"/>
      <c r="H41" s="509"/>
      <c r="J41" s="505"/>
      <c r="K41" s="505"/>
      <c r="L41" s="505"/>
      <c r="M41" s="505"/>
      <c r="O41" s="506"/>
    </row>
    <row r="42" spans="1:23" ht="18" x14ac:dyDescent="0.35">
      <c r="B42" s="507" t="s">
        <v>610</v>
      </c>
      <c r="C42" s="508"/>
      <c r="D42" s="505"/>
      <c r="E42" s="509"/>
      <c r="F42" s="505"/>
      <c r="G42" s="504"/>
      <c r="H42" s="509"/>
      <c r="J42" s="505"/>
      <c r="K42" s="505"/>
      <c r="L42" s="505"/>
      <c r="M42" s="505"/>
      <c r="O42" s="506"/>
    </row>
    <row r="45" spans="1:23" x14ac:dyDescent="0.3">
      <c r="B45" s="767" t="s">
        <v>614</v>
      </c>
      <c r="G45" s="766">
        <f>[7]งานสวนสาธารณะ!G17</f>
        <v>163763.5</v>
      </c>
    </row>
    <row r="46" spans="1:23" x14ac:dyDescent="0.3">
      <c r="B46" s="767" t="s">
        <v>616</v>
      </c>
      <c r="G46" s="855">
        <f>'[7]ฝ่ายช่างสุขาภิบาล งานกำจัดขยะฯ'!G25</f>
        <v>124000</v>
      </c>
    </row>
    <row r="47" spans="1:23" ht="16.2" thickBot="1" x14ac:dyDescent="0.35">
      <c r="G47" s="768">
        <f>SUM(G45:G46)</f>
        <v>287763.5</v>
      </c>
    </row>
    <row r="48" spans="1:23" ht="16.2" thickTop="1" x14ac:dyDescent="0.3"/>
  </sheetData>
  <mergeCells count="8">
    <mergeCell ref="A1:O1"/>
    <mergeCell ref="A2:O2"/>
    <mergeCell ref="A4:A5"/>
    <mergeCell ref="B4:B5"/>
    <mergeCell ref="C4:E5"/>
    <mergeCell ref="G4:G5"/>
    <mergeCell ref="H4:H5"/>
    <mergeCell ref="I4:N4"/>
  </mergeCells>
  <pageMargins left="0.31496062992125984" right="0.31496062992125984" top="0.74803149606299213" bottom="0.74803149606299213" header="0.31496062992125984" footer="0.31496062992125984"/>
  <pageSetup paperSize="9" orientation="landscape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BH44"/>
  <sheetViews>
    <sheetView topLeftCell="B18" zoomScale="110" zoomScaleNormal="110" workbookViewId="0">
      <selection activeCell="L31" sqref="L31"/>
    </sheetView>
  </sheetViews>
  <sheetFormatPr defaultColWidth="9.109375" defaultRowHeight="15.6" x14ac:dyDescent="0.3"/>
  <cols>
    <col min="1" max="1" width="5.44140625" style="320" customWidth="1"/>
    <col min="2" max="2" width="43.88671875" style="1" customWidth="1"/>
    <col min="3" max="3" width="4.5546875" style="1" customWidth="1"/>
    <col min="4" max="4" width="3.109375" style="1" customWidth="1"/>
    <col min="5" max="5" width="6.109375" style="764" customWidth="1"/>
    <col min="6" max="6" width="9.88671875" style="1" customWidth="1"/>
    <col min="7" max="7" width="12.6640625" style="766" customWidth="1"/>
    <col min="8" max="8" width="28.5546875" style="497" customWidth="1"/>
    <col min="9" max="14" width="3.33203125" style="1" customWidth="1"/>
    <col min="15" max="15" width="11.88671875" style="498" customWidth="1"/>
    <col min="16" max="16384" width="9.109375" style="1"/>
  </cols>
  <sheetData>
    <row r="1" spans="1:60" ht="18" x14ac:dyDescent="0.35">
      <c r="A1" s="2842" t="s">
        <v>0</v>
      </c>
      <c r="B1" s="2842"/>
      <c r="C1" s="2842"/>
      <c r="D1" s="2842"/>
      <c r="E1" s="2842"/>
      <c r="F1" s="2842"/>
      <c r="G1" s="2842"/>
      <c r="H1" s="2842"/>
      <c r="I1" s="2842"/>
      <c r="J1" s="2842"/>
      <c r="K1" s="2842"/>
      <c r="L1" s="2842"/>
      <c r="M1" s="2842"/>
      <c r="N1" s="2842"/>
      <c r="O1" s="2842"/>
    </row>
    <row r="2" spans="1:60" ht="18" x14ac:dyDescent="0.35">
      <c r="A2" s="2842" t="s">
        <v>1</v>
      </c>
      <c r="B2" s="2842"/>
      <c r="C2" s="2842"/>
      <c r="D2" s="2842"/>
      <c r="E2" s="2842"/>
      <c r="F2" s="2842"/>
      <c r="G2" s="2842"/>
      <c r="H2" s="2842"/>
      <c r="I2" s="2842"/>
      <c r="J2" s="2842"/>
      <c r="K2" s="2842"/>
      <c r="L2" s="2842"/>
      <c r="M2" s="2842"/>
      <c r="N2" s="2842"/>
      <c r="O2" s="2842"/>
    </row>
    <row r="3" spans="1:60" x14ac:dyDescent="0.3">
      <c r="A3" s="2861" t="s">
        <v>4235</v>
      </c>
      <c r="B3" s="2861"/>
      <c r="C3" s="3"/>
      <c r="D3" s="3"/>
      <c r="E3" s="3"/>
      <c r="F3" s="3"/>
      <c r="G3" s="5"/>
      <c r="H3" s="7"/>
      <c r="I3" s="3"/>
      <c r="J3" s="3"/>
      <c r="K3" s="3"/>
      <c r="L3" s="3"/>
      <c r="M3" s="3"/>
      <c r="N3" s="3"/>
      <c r="O3" s="7"/>
    </row>
    <row r="4" spans="1:60" s="10" customFormat="1" ht="18.75" customHeight="1" x14ac:dyDescent="0.3">
      <c r="A4" s="2867" t="s">
        <v>3</v>
      </c>
      <c r="B4" s="2868" t="s">
        <v>4</v>
      </c>
      <c r="C4" s="2911" t="s">
        <v>5</v>
      </c>
      <c r="D4" s="2912"/>
      <c r="E4" s="2913"/>
      <c r="F4" s="857" t="s">
        <v>6</v>
      </c>
      <c r="G4" s="2875" t="s">
        <v>7</v>
      </c>
      <c r="H4" s="2868" t="s">
        <v>8</v>
      </c>
      <c r="I4" s="2858" t="s">
        <v>9</v>
      </c>
      <c r="J4" s="2876"/>
      <c r="K4" s="2876"/>
      <c r="L4" s="2876"/>
      <c r="M4" s="2876"/>
      <c r="N4" s="2860"/>
      <c r="O4" s="2868" t="s">
        <v>10</v>
      </c>
    </row>
    <row r="5" spans="1:60" s="10" customFormat="1" ht="45.75" customHeight="1" x14ac:dyDescent="0.3">
      <c r="A5" s="2845"/>
      <c r="B5" s="2857"/>
      <c r="C5" s="2863"/>
      <c r="D5" s="2914"/>
      <c r="E5" s="2915"/>
      <c r="F5" s="514" t="s">
        <v>11</v>
      </c>
      <c r="G5" s="2865"/>
      <c r="H5" s="2857"/>
      <c r="I5" s="14" t="s">
        <v>12</v>
      </c>
      <c r="J5" s="14" t="s">
        <v>13</v>
      </c>
      <c r="K5" s="15" t="s">
        <v>14</v>
      </c>
      <c r="L5" s="15" t="s">
        <v>15</v>
      </c>
      <c r="M5" s="15" t="s">
        <v>16</v>
      </c>
      <c r="N5" s="15" t="s">
        <v>17</v>
      </c>
      <c r="O5" s="2857"/>
    </row>
    <row r="6" spans="1:60" x14ac:dyDescent="0.3">
      <c r="A6" s="16" t="s">
        <v>4236</v>
      </c>
      <c r="B6" s="815" t="s">
        <v>4237</v>
      </c>
      <c r="C6" s="829"/>
      <c r="D6" s="829"/>
      <c r="E6" s="829"/>
      <c r="F6" s="845"/>
      <c r="G6" s="1279"/>
      <c r="H6" s="1280"/>
      <c r="I6" s="779"/>
      <c r="J6" s="779"/>
      <c r="K6" s="828"/>
      <c r="L6" s="828"/>
      <c r="M6" s="779"/>
      <c r="N6" s="779"/>
      <c r="O6" s="335"/>
    </row>
    <row r="7" spans="1:60" x14ac:dyDescent="0.3">
      <c r="A7" s="2250">
        <v>1</v>
      </c>
      <c r="B7" s="347" t="s">
        <v>4238</v>
      </c>
      <c r="C7" s="793" t="s">
        <v>4236</v>
      </c>
      <c r="D7" s="326">
        <v>24</v>
      </c>
      <c r="E7" s="349" t="s">
        <v>599</v>
      </c>
      <c r="F7" s="350" t="s">
        <v>4239</v>
      </c>
      <c r="G7" s="351">
        <v>19500</v>
      </c>
      <c r="H7" s="117" t="s">
        <v>123</v>
      </c>
      <c r="I7" s="352" t="s">
        <v>25</v>
      </c>
      <c r="J7" s="353"/>
      <c r="K7" s="353"/>
      <c r="L7" s="353"/>
      <c r="M7" s="353"/>
      <c r="N7" s="352"/>
      <c r="O7" s="2354" t="s">
        <v>5875</v>
      </c>
      <c r="R7" s="352" t="s">
        <v>25</v>
      </c>
      <c r="S7" s="353"/>
      <c r="T7" s="353"/>
      <c r="U7" s="353"/>
      <c r="V7" s="353"/>
      <c r="W7" s="352"/>
    </row>
    <row r="8" spans="1:60" s="1282" customFormat="1" x14ac:dyDescent="0.3">
      <c r="A8" s="2290">
        <v>2</v>
      </c>
      <c r="B8" s="390" t="s">
        <v>4238</v>
      </c>
      <c r="C8" s="163" t="s">
        <v>4236</v>
      </c>
      <c r="D8" s="164" t="s">
        <v>172</v>
      </c>
      <c r="E8" s="165" t="s">
        <v>1107</v>
      </c>
      <c r="F8" s="170"/>
      <c r="G8" s="171">
        <v>145000</v>
      </c>
      <c r="H8" s="1793" t="s">
        <v>174</v>
      </c>
      <c r="I8" s="2291"/>
      <c r="K8" s="1283"/>
      <c r="L8" s="1284"/>
      <c r="M8" s="390"/>
      <c r="N8" s="390"/>
      <c r="O8" s="1283" t="s">
        <v>5862</v>
      </c>
      <c r="P8" s="1285"/>
      <c r="Q8" s="1286"/>
      <c r="R8" s="2291"/>
      <c r="T8" s="1283"/>
      <c r="U8" s="1284"/>
      <c r="V8" s="390"/>
      <c r="W8" s="390"/>
      <c r="X8" s="1286"/>
      <c r="Y8" s="1286"/>
      <c r="Z8" s="1286"/>
      <c r="AA8" s="1286"/>
      <c r="AB8" s="1286"/>
      <c r="AC8" s="1286"/>
      <c r="AD8" s="1286"/>
      <c r="AE8" s="1286"/>
      <c r="AF8" s="1286"/>
      <c r="AG8" s="1286"/>
      <c r="AH8" s="1286"/>
      <c r="AI8" s="1286"/>
      <c r="AJ8" s="1286"/>
      <c r="AK8" s="1286"/>
      <c r="AL8" s="1286"/>
      <c r="AM8" s="1286"/>
      <c r="AN8" s="1286"/>
      <c r="AO8" s="1286"/>
      <c r="AP8" s="1286"/>
      <c r="AQ8" s="1286"/>
      <c r="AR8" s="1286"/>
      <c r="AS8" s="1286"/>
      <c r="AT8" s="1286"/>
      <c r="AU8" s="1286"/>
      <c r="AV8" s="1286"/>
      <c r="AW8" s="1286"/>
      <c r="AX8" s="1286"/>
      <c r="AY8" s="1286"/>
      <c r="AZ8" s="1286"/>
      <c r="BA8" s="1286"/>
      <c r="BB8" s="1286"/>
      <c r="BC8" s="1286"/>
      <c r="BD8" s="1286"/>
      <c r="BE8" s="1286"/>
      <c r="BF8" s="1286"/>
      <c r="BG8" s="1286"/>
      <c r="BH8" s="1286"/>
    </row>
    <row r="9" spans="1:60" ht="19.5" customHeight="1" x14ac:dyDescent="0.45">
      <c r="A9" s="39"/>
      <c r="B9" s="88"/>
      <c r="C9" s="2889"/>
      <c r="D9" s="2890"/>
      <c r="E9" s="373"/>
      <c r="F9" s="1287"/>
      <c r="G9" s="231">
        <f>SUM(G7:G8)</f>
        <v>164500</v>
      </c>
      <c r="H9" s="1288"/>
      <c r="I9" s="355"/>
      <c r="J9" s="355"/>
      <c r="K9" s="355"/>
      <c r="L9" s="355"/>
      <c r="M9" s="355"/>
      <c r="N9" s="233"/>
      <c r="O9" s="1289"/>
      <c r="R9" s="355"/>
      <c r="S9" s="355"/>
      <c r="T9" s="355"/>
      <c r="U9" s="355"/>
      <c r="V9" s="355"/>
      <c r="W9" s="233"/>
    </row>
    <row r="10" spans="1:60" x14ac:dyDescent="0.3">
      <c r="A10" s="16" t="s">
        <v>4240</v>
      </c>
      <c r="B10" s="1290" t="s">
        <v>4241</v>
      </c>
      <c r="C10" s="829"/>
      <c r="D10" s="829"/>
      <c r="E10" s="829"/>
      <c r="F10" s="845"/>
      <c r="G10" s="1279"/>
      <c r="H10" s="1280"/>
      <c r="I10" s="779"/>
      <c r="J10" s="779"/>
      <c r="K10" s="828"/>
      <c r="L10" s="828"/>
      <c r="M10" s="779"/>
      <c r="N10" s="779"/>
      <c r="O10" s="335"/>
    </row>
    <row r="11" spans="1:60" x14ac:dyDescent="0.3">
      <c r="A11" s="2250">
        <v>1</v>
      </c>
      <c r="B11" s="645" t="s">
        <v>4242</v>
      </c>
      <c r="C11" s="793" t="s">
        <v>4240</v>
      </c>
      <c r="D11" s="326">
        <v>44</v>
      </c>
      <c r="E11" s="349" t="s">
        <v>1125</v>
      </c>
      <c r="F11" s="350" t="s">
        <v>4243</v>
      </c>
      <c r="G11" s="351">
        <v>61820</v>
      </c>
      <c r="H11" s="1291" t="s">
        <v>123</v>
      </c>
      <c r="I11" s="352"/>
      <c r="J11" s="352" t="s">
        <v>25</v>
      </c>
      <c r="L11" s="351"/>
      <c r="M11" s="353"/>
      <c r="N11" s="353"/>
      <c r="O11" s="2354" t="s">
        <v>4244</v>
      </c>
      <c r="P11" s="1">
        <v>1</v>
      </c>
      <c r="R11" s="352"/>
      <c r="S11" s="352" t="s">
        <v>25</v>
      </c>
      <c r="U11" s="351"/>
      <c r="V11" s="353"/>
      <c r="W11" s="353"/>
    </row>
    <row r="12" spans="1:60" x14ac:dyDescent="0.3">
      <c r="A12" s="293"/>
      <c r="B12" s="1292" t="s">
        <v>4245</v>
      </c>
      <c r="C12" s="793"/>
      <c r="D12" s="326"/>
      <c r="E12" s="349"/>
      <c r="F12" s="350"/>
      <c r="G12" s="351"/>
      <c r="H12" s="1291"/>
      <c r="I12" s="352"/>
      <c r="J12" s="353"/>
      <c r="K12" s="353"/>
      <c r="L12" s="351"/>
      <c r="M12" s="353"/>
      <c r="N12" s="353"/>
      <c r="O12" s="2354"/>
      <c r="R12" s="352"/>
      <c r="S12" s="353"/>
      <c r="T12" s="353"/>
      <c r="U12" s="351"/>
      <c r="V12" s="353"/>
      <c r="W12" s="353"/>
    </row>
    <row r="13" spans="1:60" x14ac:dyDescent="0.3">
      <c r="A13" s="2226">
        <v>2</v>
      </c>
      <c r="B13" s="248" t="s">
        <v>4246</v>
      </c>
      <c r="C13" s="416" t="s">
        <v>4240</v>
      </c>
      <c r="D13" s="67">
        <v>52</v>
      </c>
      <c r="E13" s="217" t="s">
        <v>599</v>
      </c>
      <c r="F13" s="218" t="s">
        <v>4247</v>
      </c>
      <c r="G13" s="192">
        <v>300000</v>
      </c>
      <c r="H13" s="1293" t="s">
        <v>4248</v>
      </c>
      <c r="I13" s="247"/>
      <c r="J13" s="247" t="s">
        <v>25</v>
      </c>
      <c r="K13" s="247"/>
      <c r="L13" s="192"/>
      <c r="M13" s="119"/>
      <c r="N13" s="119"/>
      <c r="O13" s="2355" t="s">
        <v>4249</v>
      </c>
      <c r="P13" s="1">
        <v>2</v>
      </c>
      <c r="R13" s="247"/>
      <c r="S13" s="247" t="s">
        <v>25</v>
      </c>
      <c r="T13" s="247"/>
      <c r="U13" s="192"/>
      <c r="V13" s="119"/>
      <c r="W13" s="119"/>
    </row>
    <row r="14" spans="1:60" x14ac:dyDescent="0.3">
      <c r="A14" s="27"/>
      <c r="B14" s="421" t="s">
        <v>4250</v>
      </c>
      <c r="C14" s="452"/>
      <c r="D14" s="75"/>
      <c r="E14" s="452"/>
      <c r="F14" s="218"/>
      <c r="G14" s="83"/>
      <c r="H14" s="1295"/>
      <c r="I14" s="27"/>
      <c r="J14" s="1296"/>
      <c r="K14" s="600"/>
      <c r="L14" s="83"/>
      <c r="M14" s="600"/>
      <c r="N14" s="600"/>
      <c r="O14" s="2356" t="s">
        <v>4251</v>
      </c>
      <c r="R14" s="27"/>
      <c r="S14" s="1296"/>
      <c r="T14" s="600"/>
      <c r="U14" s="83"/>
      <c r="V14" s="600"/>
      <c r="W14" s="600"/>
    </row>
    <row r="15" spans="1:60" ht="19.5" customHeight="1" x14ac:dyDescent="0.45">
      <c r="A15" s="39"/>
      <c r="B15" s="172"/>
      <c r="C15" s="2889"/>
      <c r="D15" s="2890"/>
      <c r="E15" s="1298"/>
      <c r="F15" s="1287"/>
      <c r="G15" s="231">
        <f>SUM(G11:G13)</f>
        <v>361820</v>
      </c>
      <c r="H15" s="602"/>
      <c r="I15" s="39"/>
      <c r="J15" s="1299"/>
      <c r="K15" s="355"/>
      <c r="L15" s="234"/>
      <c r="M15" s="355"/>
      <c r="N15" s="355"/>
      <c r="O15" s="1297"/>
      <c r="R15" s="39"/>
      <c r="S15" s="1299"/>
      <c r="T15" s="355"/>
      <c r="U15" s="234"/>
      <c r="V15" s="355"/>
      <c r="W15" s="355"/>
    </row>
    <row r="16" spans="1:60" s="1176" customFormat="1" ht="19.95" customHeight="1" x14ac:dyDescent="0.4">
      <c r="A16" s="1300">
        <v>289</v>
      </c>
      <c r="B16" s="2924" t="s">
        <v>4252</v>
      </c>
      <c r="C16" s="2918"/>
      <c r="D16" s="2918"/>
      <c r="E16" s="2918"/>
      <c r="F16" s="2918"/>
      <c r="G16" s="2918"/>
      <c r="H16" s="2918"/>
      <c r="I16" s="2918"/>
      <c r="J16" s="2918"/>
      <c r="K16" s="2918"/>
      <c r="L16" s="2918"/>
      <c r="M16" s="2918"/>
      <c r="N16" s="2918"/>
      <c r="O16" s="2925"/>
      <c r="P16" s="1175"/>
    </row>
    <row r="17" spans="1:60" s="1176" customFormat="1" ht="21" x14ac:dyDescent="0.4">
      <c r="A17" s="2292">
        <v>1</v>
      </c>
      <c r="B17" s="1301" t="s">
        <v>4253</v>
      </c>
      <c r="C17" s="1302" t="s">
        <v>4254</v>
      </c>
      <c r="D17" s="1182" t="s">
        <v>172</v>
      </c>
      <c r="E17" s="1303" t="s">
        <v>572</v>
      </c>
      <c r="F17" s="1304"/>
      <c r="G17" s="1305">
        <v>85000</v>
      </c>
      <c r="H17" s="1792" t="s">
        <v>174</v>
      </c>
      <c r="I17" s="2291" t="s">
        <v>25</v>
      </c>
      <c r="J17" s="1306"/>
      <c r="K17" s="1307"/>
      <c r="L17" s="1308"/>
      <c r="M17" s="1308"/>
      <c r="N17" s="1309"/>
      <c r="O17" s="1283" t="s">
        <v>5862</v>
      </c>
      <c r="P17" s="1175"/>
      <c r="R17" s="2291" t="s">
        <v>25</v>
      </c>
      <c r="S17" s="1306"/>
      <c r="T17" s="1307"/>
      <c r="U17" s="1308"/>
      <c r="V17" s="1308"/>
      <c r="W17" s="1309"/>
    </row>
    <row r="18" spans="1:60" s="466" customFormat="1" ht="21" x14ac:dyDescent="0.4">
      <c r="A18" s="2290">
        <v>2</v>
      </c>
      <c r="B18" s="390" t="s">
        <v>4255</v>
      </c>
      <c r="C18" s="1310" t="s">
        <v>4254</v>
      </c>
      <c r="D18" s="1311" t="s">
        <v>172</v>
      </c>
      <c r="E18" s="165" t="s">
        <v>573</v>
      </c>
      <c r="F18" s="170"/>
      <c r="G18" s="171">
        <v>45000</v>
      </c>
      <c r="H18" s="1793" t="s">
        <v>174</v>
      </c>
      <c r="I18" s="2291" t="s">
        <v>25</v>
      </c>
      <c r="J18" s="1282"/>
      <c r="K18" s="1283"/>
      <c r="L18" s="1312"/>
      <c r="M18" s="1312"/>
      <c r="N18" s="1313"/>
      <c r="O18" s="1283" t="s">
        <v>5862</v>
      </c>
      <c r="P18" s="1175"/>
      <c r="Q18" s="1176"/>
      <c r="R18" s="2291" t="s">
        <v>25</v>
      </c>
      <c r="S18" s="1282"/>
      <c r="T18" s="1283"/>
      <c r="U18" s="1312"/>
      <c r="V18" s="1312"/>
      <c r="W18" s="1313"/>
      <c r="X18" s="1176"/>
      <c r="Y18" s="1176"/>
      <c r="Z18" s="1176"/>
      <c r="AA18" s="1176"/>
      <c r="AB18" s="1176"/>
      <c r="AC18" s="1176"/>
      <c r="AD18" s="1176"/>
      <c r="AE18" s="1176"/>
      <c r="AF18" s="1176"/>
      <c r="AG18" s="1176"/>
      <c r="AH18" s="1176"/>
      <c r="AI18" s="1176"/>
      <c r="AJ18" s="1176"/>
      <c r="AK18" s="1176"/>
      <c r="AL18" s="1176"/>
      <c r="AM18" s="1176"/>
      <c r="AN18" s="1176"/>
      <c r="AO18" s="1176"/>
      <c r="AP18" s="1176"/>
      <c r="AQ18" s="1176"/>
      <c r="AR18" s="1176"/>
      <c r="AS18" s="1176"/>
      <c r="AT18" s="1176"/>
      <c r="AU18" s="1176"/>
      <c r="AV18" s="1176"/>
      <c r="AW18" s="1176"/>
      <c r="AX18" s="1176"/>
      <c r="AY18" s="1176"/>
      <c r="AZ18" s="1176"/>
      <c r="BA18" s="1176"/>
      <c r="BB18" s="1176"/>
      <c r="BC18" s="1176"/>
      <c r="BD18" s="1176"/>
      <c r="BE18" s="1176"/>
      <c r="BF18" s="1176"/>
      <c r="BG18" s="1176"/>
      <c r="BH18" s="1176"/>
    </row>
    <row r="19" spans="1:60" s="1185" customFormat="1" ht="21.6" x14ac:dyDescent="0.45">
      <c r="A19" s="1314"/>
      <c r="B19" s="1180"/>
      <c r="C19" s="1181"/>
      <c r="D19" s="1182"/>
      <c r="E19" s="1182"/>
      <c r="F19" s="1183"/>
      <c r="G19" s="1257">
        <f>SUM(G17:G18)</f>
        <v>130000</v>
      </c>
      <c r="H19" s="1315"/>
      <c r="I19" s="1180"/>
      <c r="J19" s="1180"/>
      <c r="K19" s="1316"/>
      <c r="L19" s="1180"/>
      <c r="M19" s="1180"/>
    </row>
    <row r="20" spans="1:60" x14ac:dyDescent="0.3">
      <c r="A20" s="16" t="s">
        <v>4256</v>
      </c>
      <c r="B20" s="1290" t="s">
        <v>4257</v>
      </c>
      <c r="C20" s="829"/>
      <c r="D20" s="829"/>
      <c r="E20" s="829"/>
      <c r="F20" s="845"/>
      <c r="G20" s="1279"/>
      <c r="H20" s="1280"/>
      <c r="I20" s="779"/>
      <c r="J20" s="779"/>
      <c r="K20" s="828"/>
      <c r="L20" s="828"/>
      <c r="M20" s="779"/>
      <c r="N20" s="779"/>
      <c r="O20" s="335"/>
    </row>
    <row r="21" spans="1:60" ht="18" x14ac:dyDescent="0.35">
      <c r="A21" s="2310">
        <v>1</v>
      </c>
      <c r="B21" s="1317" t="s">
        <v>4258</v>
      </c>
      <c r="C21" s="1318" t="s">
        <v>4256</v>
      </c>
      <c r="D21" s="1319">
        <v>64</v>
      </c>
      <c r="E21" s="1320" t="s">
        <v>588</v>
      </c>
      <c r="F21" s="1321" t="s">
        <v>4259</v>
      </c>
      <c r="G21" s="1322">
        <v>2195</v>
      </c>
      <c r="H21" s="1791" t="s">
        <v>4260</v>
      </c>
      <c r="I21" s="1323" t="s">
        <v>25</v>
      </c>
      <c r="J21" s="353"/>
      <c r="K21" s="352"/>
      <c r="L21" s="351"/>
      <c r="M21" s="353"/>
      <c r="N21" s="353"/>
      <c r="O21" s="1281"/>
      <c r="R21" s="1323" t="s">
        <v>25</v>
      </c>
      <c r="S21" s="353"/>
      <c r="T21" s="352"/>
      <c r="U21" s="351"/>
      <c r="V21" s="353"/>
      <c r="W21" s="353"/>
    </row>
    <row r="22" spans="1:60" ht="18" x14ac:dyDescent="0.35">
      <c r="A22" s="2310">
        <v>2</v>
      </c>
      <c r="B22" s="1317" t="s">
        <v>4258</v>
      </c>
      <c r="C22" s="1318" t="s">
        <v>4256</v>
      </c>
      <c r="D22" s="1319">
        <v>64</v>
      </c>
      <c r="E22" s="1320" t="s">
        <v>561</v>
      </c>
      <c r="F22" s="1321" t="s">
        <v>4259</v>
      </c>
      <c r="G22" s="1322">
        <v>2195</v>
      </c>
      <c r="H22" s="1791" t="s">
        <v>4260</v>
      </c>
      <c r="I22" s="1323" t="s">
        <v>25</v>
      </c>
      <c r="J22" s="353"/>
      <c r="K22" s="353"/>
      <c r="L22" s="351"/>
      <c r="M22" s="353"/>
      <c r="N22" s="353"/>
      <c r="O22" s="1281"/>
      <c r="R22" s="1323" t="s">
        <v>25</v>
      </c>
      <c r="S22" s="353"/>
      <c r="T22" s="353"/>
      <c r="U22" s="351"/>
      <c r="V22" s="353"/>
      <c r="W22" s="353"/>
    </row>
    <row r="23" spans="1:60" ht="18" x14ac:dyDescent="0.35">
      <c r="A23" s="2404">
        <v>3</v>
      </c>
      <c r="B23" s="1317" t="s">
        <v>4258</v>
      </c>
      <c r="C23" s="1318" t="s">
        <v>4256</v>
      </c>
      <c r="D23" s="1319">
        <v>64</v>
      </c>
      <c r="E23" s="1320" t="s">
        <v>590</v>
      </c>
      <c r="F23" s="1321" t="s">
        <v>4259</v>
      </c>
      <c r="G23" s="1322">
        <v>2195</v>
      </c>
      <c r="H23" s="1791" t="s">
        <v>4261</v>
      </c>
      <c r="I23" s="1323" t="s">
        <v>25</v>
      </c>
      <c r="J23" s="132"/>
      <c r="K23" s="119"/>
      <c r="L23" s="192"/>
      <c r="M23" s="119"/>
      <c r="N23" s="119"/>
      <c r="O23" s="1294"/>
      <c r="R23" s="1323" t="s">
        <v>25</v>
      </c>
      <c r="S23" s="132"/>
      <c r="T23" s="119"/>
      <c r="U23" s="192"/>
      <c r="V23" s="119"/>
      <c r="W23" s="119"/>
    </row>
    <row r="24" spans="1:60" ht="18" x14ac:dyDescent="0.35">
      <c r="A24" s="2310">
        <v>4</v>
      </c>
      <c r="B24" s="1325" t="s">
        <v>4262</v>
      </c>
      <c r="C24" s="1318" t="s">
        <v>4256</v>
      </c>
      <c r="D24" s="1319">
        <v>64</v>
      </c>
      <c r="E24" s="1320" t="s">
        <v>1365</v>
      </c>
      <c r="F24" s="1326" t="s">
        <v>4263</v>
      </c>
      <c r="G24" s="1327">
        <v>1720</v>
      </c>
      <c r="H24" s="2312" t="s">
        <v>4264</v>
      </c>
      <c r="I24" s="1324" t="s">
        <v>25</v>
      </c>
      <c r="J24" s="1296"/>
      <c r="K24" s="600"/>
      <c r="L24" s="83"/>
      <c r="M24" s="600"/>
      <c r="N24" s="600"/>
      <c r="O24" s="2311" t="s">
        <v>5869</v>
      </c>
      <c r="R24" s="1324" t="s">
        <v>25</v>
      </c>
      <c r="S24" s="1296"/>
      <c r="T24" s="600"/>
      <c r="U24" s="83"/>
      <c r="V24" s="600"/>
      <c r="W24" s="600"/>
    </row>
    <row r="25" spans="1:60" ht="18" x14ac:dyDescent="0.35">
      <c r="A25" s="2310">
        <v>5</v>
      </c>
      <c r="B25" s="1325" t="s">
        <v>4262</v>
      </c>
      <c r="C25" s="1318" t="s">
        <v>4256</v>
      </c>
      <c r="D25" s="1319">
        <v>64</v>
      </c>
      <c r="E25" s="1320" t="s">
        <v>948</v>
      </c>
      <c r="F25" s="1326" t="s">
        <v>4263</v>
      </c>
      <c r="G25" s="1327">
        <v>1720</v>
      </c>
      <c r="H25" s="2312" t="s">
        <v>4264</v>
      </c>
      <c r="I25" s="1324" t="s">
        <v>25</v>
      </c>
      <c r="J25" s="1296"/>
      <c r="K25" s="600"/>
      <c r="L25" s="83"/>
      <c r="M25" s="600"/>
      <c r="N25" s="600"/>
      <c r="O25" s="2311" t="s">
        <v>5869</v>
      </c>
      <c r="R25" s="1324" t="s">
        <v>25</v>
      </c>
      <c r="S25" s="1296"/>
      <c r="T25" s="600"/>
      <c r="U25" s="83"/>
      <c r="V25" s="600"/>
      <c r="W25" s="600"/>
    </row>
    <row r="26" spans="1:60" ht="20.25" customHeight="1" x14ac:dyDescent="0.45">
      <c r="A26" s="39"/>
      <c r="B26" s="172"/>
      <c r="C26" s="2889"/>
      <c r="D26" s="2890"/>
      <c r="E26" s="1298"/>
      <c r="F26" s="1287"/>
      <c r="G26" s="231">
        <f>SUM(G21:G25)</f>
        <v>10025</v>
      </c>
      <c r="H26" s="602"/>
      <c r="I26" s="39"/>
      <c r="J26" s="1299"/>
      <c r="K26" s="355"/>
      <c r="L26" s="234"/>
      <c r="M26" s="355"/>
      <c r="N26" s="355"/>
      <c r="O26" s="1297"/>
      <c r="R26" s="39"/>
      <c r="S26" s="1299"/>
      <c r="T26" s="355"/>
      <c r="U26" s="234"/>
      <c r="V26" s="355"/>
      <c r="W26" s="355"/>
    </row>
    <row r="27" spans="1:60" s="1332" customFormat="1" x14ac:dyDescent="0.3">
      <c r="A27" s="1300">
        <v>299</v>
      </c>
      <c r="B27" s="2918" t="s">
        <v>4265</v>
      </c>
      <c r="C27" s="2918"/>
      <c r="D27" s="2918"/>
      <c r="E27" s="2918"/>
      <c r="F27" s="2918"/>
      <c r="G27" s="2918"/>
      <c r="H27" s="2918"/>
      <c r="I27" s="2918"/>
      <c r="J27" s="2918"/>
      <c r="K27" s="2918"/>
      <c r="L27" s="2925"/>
      <c r="M27" s="1328"/>
      <c r="N27" s="1329"/>
      <c r="O27" s="1330"/>
      <c r="P27" s="1331"/>
    </row>
    <row r="28" spans="1:60" s="1286" customFormat="1" x14ac:dyDescent="0.3">
      <c r="A28" s="2292">
        <v>1</v>
      </c>
      <c r="B28" s="1187" t="s">
        <v>4266</v>
      </c>
      <c r="C28" s="1310" t="s">
        <v>4267</v>
      </c>
      <c r="D28" s="1311" t="s">
        <v>172</v>
      </c>
      <c r="E28" s="1333" t="s">
        <v>1125</v>
      </c>
      <c r="F28" s="1304"/>
      <c r="G28" s="1305">
        <v>90000</v>
      </c>
      <c r="H28" s="1790" t="s">
        <v>174</v>
      </c>
      <c r="I28" s="2293" t="s">
        <v>25</v>
      </c>
      <c r="J28" s="1306"/>
      <c r="K28" s="1307"/>
      <c r="L28" s="1334"/>
      <c r="M28" s="1334"/>
      <c r="N28" s="1334"/>
      <c r="O28" s="1283" t="s">
        <v>5862</v>
      </c>
      <c r="R28" s="2293" t="s">
        <v>25</v>
      </c>
      <c r="S28" s="1306"/>
      <c r="T28" s="1307"/>
      <c r="U28" s="1334"/>
      <c r="V28" s="1334"/>
      <c r="W28" s="1334"/>
    </row>
    <row r="29" spans="1:60" s="1180" customFormat="1" ht="17.399999999999999" x14ac:dyDescent="0.45">
      <c r="A29" s="1335"/>
      <c r="C29" s="1181"/>
      <c r="D29" s="1182"/>
      <c r="E29" s="1182"/>
      <c r="F29" s="1183"/>
      <c r="G29" s="1257">
        <f>G28</f>
        <v>90000</v>
      </c>
      <c r="H29" s="1336"/>
      <c r="K29" s="1316"/>
      <c r="R29" s="1180">
        <f>COUNTA(R7:R28)</f>
        <v>9</v>
      </c>
      <c r="S29" s="1180">
        <f t="shared" ref="S29:W29" si="0">COUNTA(S7:S28)</f>
        <v>2</v>
      </c>
      <c r="T29" s="1180">
        <f t="shared" si="0"/>
        <v>0</v>
      </c>
      <c r="U29" s="1180">
        <f t="shared" si="0"/>
        <v>0</v>
      </c>
      <c r="V29" s="1180">
        <f t="shared" si="0"/>
        <v>0</v>
      </c>
      <c r="W29" s="1180">
        <f t="shared" si="0"/>
        <v>0</v>
      </c>
    </row>
    <row r="30" spans="1:60" ht="19.5" customHeight="1" x14ac:dyDescent="0.45">
      <c r="B30" s="505"/>
      <c r="C30" s="505"/>
      <c r="D30" s="505"/>
      <c r="E30" s="509"/>
      <c r="F30" s="505"/>
      <c r="G30" s="763">
        <f>G9+G15+G26</f>
        <v>536345</v>
      </c>
      <c r="H30" s="1"/>
      <c r="I30" s="505"/>
      <c r="J30" s="505"/>
      <c r="K30" s="505"/>
      <c r="L30" s="505"/>
      <c r="M30" s="505"/>
      <c r="O30" s="506"/>
    </row>
    <row r="31" spans="1:60" ht="19.5" customHeight="1" x14ac:dyDescent="0.35">
      <c r="B31" s="509"/>
      <c r="C31" s="1107"/>
      <c r="D31" s="505"/>
      <c r="E31" s="509"/>
      <c r="F31" s="505"/>
      <c r="G31" s="504"/>
      <c r="H31" s="509"/>
      <c r="J31" s="505"/>
      <c r="K31" s="505"/>
      <c r="L31" s="505"/>
      <c r="M31" s="505"/>
      <c r="O31" s="506"/>
    </row>
    <row r="32" spans="1:60" ht="20.25" customHeight="1" x14ac:dyDescent="0.35">
      <c r="B32" s="502" t="s">
        <v>601</v>
      </c>
      <c r="C32" s="502"/>
      <c r="D32" s="505"/>
      <c r="E32" s="509"/>
      <c r="F32" s="505"/>
      <c r="G32" s="504" t="s">
        <v>602</v>
      </c>
      <c r="H32" s="1"/>
      <c r="I32" s="505"/>
      <c r="J32" s="505" t="s">
        <v>603</v>
      </c>
      <c r="K32" s="505"/>
      <c r="L32" s="505"/>
      <c r="M32" s="505"/>
      <c r="O32" s="506"/>
    </row>
    <row r="33" spans="2:15" ht="18" x14ac:dyDescent="0.35">
      <c r="B33" s="507" t="s">
        <v>604</v>
      </c>
      <c r="C33" s="508"/>
      <c r="D33" s="505"/>
      <c r="E33" s="509"/>
      <c r="F33" s="505"/>
      <c r="G33" s="504"/>
      <c r="H33" s="509" t="s">
        <v>605</v>
      </c>
      <c r="J33" s="505"/>
      <c r="K33" s="505"/>
      <c r="L33" s="505"/>
      <c r="M33" s="505"/>
      <c r="O33" s="506"/>
    </row>
    <row r="34" spans="2:15" ht="18" x14ac:dyDescent="0.35">
      <c r="B34" s="507" t="s">
        <v>606</v>
      </c>
      <c r="C34" s="508"/>
      <c r="D34" s="505"/>
      <c r="E34" s="509"/>
      <c r="F34" s="505"/>
      <c r="G34" s="504"/>
      <c r="H34" s="509" t="s">
        <v>607</v>
      </c>
      <c r="J34" s="505"/>
      <c r="K34" s="505"/>
      <c r="L34" s="505"/>
      <c r="M34" s="505"/>
      <c r="O34" s="506"/>
    </row>
    <row r="35" spans="2:15" ht="10.5" customHeight="1" x14ac:dyDescent="0.35">
      <c r="B35" s="502"/>
      <c r="C35" s="502"/>
      <c r="D35" s="505"/>
      <c r="E35" s="509"/>
      <c r="F35" s="505"/>
      <c r="G35" s="790"/>
      <c r="H35" s="505"/>
      <c r="I35" s="505"/>
      <c r="J35" s="505"/>
      <c r="K35" s="505"/>
      <c r="L35" s="505"/>
      <c r="M35" s="505"/>
      <c r="O35" s="506"/>
    </row>
    <row r="36" spans="2:15" ht="18" x14ac:dyDescent="0.35">
      <c r="B36" s="502" t="s">
        <v>5312</v>
      </c>
      <c r="C36" s="502"/>
      <c r="D36" s="505"/>
      <c r="E36" s="509"/>
      <c r="F36" s="505"/>
      <c r="G36" s="504"/>
      <c r="H36" s="1"/>
      <c r="I36" s="505"/>
      <c r="J36" s="505"/>
      <c r="K36" s="505"/>
      <c r="L36" s="505"/>
      <c r="M36" s="505"/>
      <c r="O36" s="506"/>
    </row>
    <row r="37" spans="2:15" ht="18" x14ac:dyDescent="0.35">
      <c r="B37" s="507" t="s">
        <v>609</v>
      </c>
      <c r="C37" s="508"/>
      <c r="D37" s="505"/>
      <c r="E37" s="509"/>
      <c r="F37" s="505"/>
      <c r="G37" s="504"/>
      <c r="H37" s="509"/>
      <c r="J37" s="505"/>
      <c r="K37" s="505"/>
      <c r="L37" s="505"/>
      <c r="M37" s="505"/>
      <c r="O37" s="506"/>
    </row>
    <row r="38" spans="2:15" ht="18" x14ac:dyDescent="0.35">
      <c r="B38" s="507" t="s">
        <v>610</v>
      </c>
      <c r="C38" s="508"/>
      <c r="D38" s="505"/>
      <c r="E38" s="509"/>
      <c r="F38" s="505"/>
      <c r="G38" s="504"/>
      <c r="H38" s="509"/>
      <c r="J38" s="505"/>
      <c r="K38" s="505"/>
      <c r="L38" s="505"/>
      <c r="M38" s="505"/>
      <c r="O38" s="506"/>
    </row>
    <row r="40" spans="2:15" x14ac:dyDescent="0.3">
      <c r="B40" s="767" t="s">
        <v>614</v>
      </c>
      <c r="F40" s="766">
        <f>[8]ฝ่ายสวนสาธารณะ!G11</f>
        <v>6585</v>
      </c>
    </row>
    <row r="41" spans="2:15" x14ac:dyDescent="0.3">
      <c r="B41" s="767" t="s">
        <v>616</v>
      </c>
      <c r="F41" s="766">
        <f>'[8]สุขาภิบาล งานวิเคราะห์คุณภาพน้ำ'!G15</f>
        <v>381320</v>
      </c>
    </row>
    <row r="42" spans="2:15" x14ac:dyDescent="0.3">
      <c r="B42" s="767" t="s">
        <v>611</v>
      </c>
      <c r="F42" s="855">
        <f>[8]งานธุการ!G10</f>
        <v>3440</v>
      </c>
    </row>
    <row r="43" spans="2:15" ht="16.2" thickBot="1" x14ac:dyDescent="0.35">
      <c r="F43" s="768">
        <f>SUM(F40:F42)</f>
        <v>391345</v>
      </c>
    </row>
    <row r="44" spans="2:15" ht="16.2" thickTop="1" x14ac:dyDescent="0.3"/>
  </sheetData>
  <mergeCells count="15">
    <mergeCell ref="A1:O1"/>
    <mergeCell ref="A2:O2"/>
    <mergeCell ref="A3:B3"/>
    <mergeCell ref="A4:A5"/>
    <mergeCell ref="B4:B5"/>
    <mergeCell ref="C4:E5"/>
    <mergeCell ref="G4:G5"/>
    <mergeCell ref="H4:H5"/>
    <mergeCell ref="I4:N4"/>
    <mergeCell ref="O4:O5"/>
    <mergeCell ref="C9:D9"/>
    <mergeCell ref="C15:D15"/>
    <mergeCell ref="B16:O16"/>
    <mergeCell ref="C26:D26"/>
    <mergeCell ref="B27:L27"/>
  </mergeCells>
  <pageMargins left="0.31496062992125984" right="0.11811023622047245" top="0.35433070866141736" bottom="0.35433070866141736" header="0.31496062992125984" footer="0.31496062992125984"/>
  <pageSetup paperSize="9" orientation="landscape" horizontalDpi="4294967294" verticalDpi="0" r:id="rId1"/>
  <headerFooter>
    <oddHeader>&amp;R&amp;P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H90"/>
  <sheetViews>
    <sheetView topLeftCell="A62" zoomScaleNormal="100" workbookViewId="0">
      <selection activeCell="B21" sqref="B21"/>
    </sheetView>
  </sheetViews>
  <sheetFormatPr defaultColWidth="9.109375" defaultRowHeight="15.6" x14ac:dyDescent="0.3"/>
  <cols>
    <col min="1" max="1" width="5.44140625" style="320" customWidth="1"/>
    <col min="2" max="2" width="43.44140625" style="1" customWidth="1"/>
    <col min="3" max="3" width="4.5546875" style="1" customWidth="1"/>
    <col min="4" max="4" width="3.109375" style="1" customWidth="1"/>
    <col min="5" max="5" width="6.109375" style="764" customWidth="1"/>
    <col min="6" max="6" width="9.88671875" style="1" customWidth="1"/>
    <col min="7" max="7" width="12.6640625" style="766" customWidth="1"/>
    <col min="8" max="8" width="25.88671875" style="497" customWidth="1"/>
    <col min="9" max="14" width="3.33203125" style="1" customWidth="1"/>
    <col min="15" max="15" width="14.44140625" style="498" customWidth="1"/>
    <col min="16" max="16384" width="9.109375" style="1"/>
  </cols>
  <sheetData>
    <row r="1" spans="1:23" ht="18" x14ac:dyDescent="0.35">
      <c r="A1" s="2842" t="s">
        <v>0</v>
      </c>
      <c r="B1" s="2842"/>
      <c r="C1" s="2842"/>
      <c r="D1" s="2842"/>
      <c r="E1" s="2842"/>
      <c r="F1" s="2842"/>
      <c r="G1" s="2842"/>
      <c r="H1" s="2842"/>
      <c r="I1" s="2842"/>
      <c r="J1" s="2842"/>
      <c r="K1" s="2842"/>
      <c r="L1" s="2842"/>
      <c r="M1" s="2842"/>
      <c r="N1" s="2842"/>
      <c r="O1" s="2842"/>
    </row>
    <row r="2" spans="1:23" ht="18" x14ac:dyDescent="0.35">
      <c r="A2" s="2842" t="s">
        <v>1</v>
      </c>
      <c r="B2" s="2842"/>
      <c r="C2" s="2842"/>
      <c r="D2" s="2842"/>
      <c r="E2" s="2842"/>
      <c r="F2" s="2842"/>
      <c r="G2" s="2842"/>
      <c r="H2" s="2842"/>
      <c r="I2" s="2842"/>
      <c r="J2" s="2842"/>
      <c r="K2" s="2842"/>
      <c r="L2" s="2842"/>
      <c r="M2" s="2842"/>
      <c r="N2" s="2842"/>
      <c r="O2" s="2842"/>
    </row>
    <row r="3" spans="1:23" x14ac:dyDescent="0.3">
      <c r="A3" s="2861" t="s">
        <v>4268</v>
      </c>
      <c r="B3" s="2861"/>
      <c r="C3" s="3"/>
      <c r="D3" s="3"/>
      <c r="E3" s="3"/>
      <c r="F3" s="3"/>
      <c r="G3" s="5"/>
      <c r="H3" s="7"/>
      <c r="I3" s="3"/>
      <c r="J3" s="3"/>
      <c r="K3" s="3"/>
      <c r="L3" s="3"/>
      <c r="M3" s="3"/>
      <c r="N3" s="3"/>
      <c r="O3" s="7"/>
    </row>
    <row r="4" spans="1:23" s="10" customFormat="1" ht="18.75" customHeight="1" x14ac:dyDescent="0.3">
      <c r="A4" s="2867" t="s">
        <v>3</v>
      </c>
      <c r="B4" s="2868" t="s">
        <v>4</v>
      </c>
      <c r="C4" s="2911" t="s">
        <v>5</v>
      </c>
      <c r="D4" s="2912"/>
      <c r="E4" s="2913"/>
      <c r="F4" s="857" t="s">
        <v>6</v>
      </c>
      <c r="G4" s="2875" t="s">
        <v>7</v>
      </c>
      <c r="H4" s="2868" t="s">
        <v>8</v>
      </c>
      <c r="I4" s="2858" t="s">
        <v>9</v>
      </c>
      <c r="J4" s="2876"/>
      <c r="K4" s="2876"/>
      <c r="L4" s="2876"/>
      <c r="M4" s="2876"/>
      <c r="N4" s="2860"/>
      <c r="O4" s="2868" t="s">
        <v>10</v>
      </c>
    </row>
    <row r="5" spans="1:23" s="10" customFormat="1" ht="42" customHeight="1" x14ac:dyDescent="0.3">
      <c r="A5" s="2845"/>
      <c r="B5" s="2857"/>
      <c r="C5" s="2863"/>
      <c r="D5" s="2914"/>
      <c r="E5" s="2915"/>
      <c r="F5" s="514" t="s">
        <v>11</v>
      </c>
      <c r="G5" s="2865"/>
      <c r="H5" s="2857"/>
      <c r="I5" s="14" t="s">
        <v>12</v>
      </c>
      <c r="J5" s="14" t="s">
        <v>13</v>
      </c>
      <c r="K5" s="15" t="s">
        <v>14</v>
      </c>
      <c r="L5" s="15" t="s">
        <v>15</v>
      </c>
      <c r="M5" s="15" t="s">
        <v>16</v>
      </c>
      <c r="N5" s="15" t="s">
        <v>17</v>
      </c>
      <c r="O5" s="2857"/>
    </row>
    <row r="6" spans="1:23" ht="18.75" customHeight="1" x14ac:dyDescent="0.3">
      <c r="A6" s="1337">
        <v>434</v>
      </c>
      <c r="B6" s="1338" t="s">
        <v>4269</v>
      </c>
      <c r="C6" s="444"/>
      <c r="D6" s="444"/>
      <c r="E6" s="1339"/>
      <c r="F6" s="444"/>
      <c r="G6" s="1340"/>
      <c r="H6" s="1341"/>
      <c r="I6" s="444"/>
      <c r="J6" s="444"/>
      <c r="K6" s="444"/>
      <c r="L6" s="444"/>
      <c r="M6" s="444"/>
      <c r="N6" s="444"/>
      <c r="O6" s="445"/>
    </row>
    <row r="7" spans="1:23" ht="18.75" customHeight="1" x14ac:dyDescent="0.3">
      <c r="A7" s="2226">
        <v>1</v>
      </c>
      <c r="B7" s="219" t="s">
        <v>4270</v>
      </c>
      <c r="C7" s="415">
        <v>434</v>
      </c>
      <c r="D7" s="416" t="s">
        <v>550</v>
      </c>
      <c r="E7" s="217" t="s">
        <v>578</v>
      </c>
      <c r="F7" s="218" t="s">
        <v>4271</v>
      </c>
      <c r="G7" s="192">
        <v>5125</v>
      </c>
      <c r="H7" s="1794" t="s">
        <v>4272</v>
      </c>
      <c r="I7" s="34" t="s">
        <v>25</v>
      </c>
      <c r="J7" s="248"/>
      <c r="K7" s="248"/>
      <c r="L7" s="248"/>
      <c r="M7" s="248"/>
      <c r="N7" s="248"/>
      <c r="O7" s="225" t="s">
        <v>4273</v>
      </c>
      <c r="R7" s="34" t="s">
        <v>25</v>
      </c>
      <c r="S7" s="248"/>
      <c r="T7" s="248"/>
      <c r="U7" s="248"/>
      <c r="V7" s="248"/>
      <c r="W7" s="248"/>
    </row>
    <row r="8" spans="1:23" ht="18.75" customHeight="1" x14ac:dyDescent="0.3">
      <c r="A8" s="2226">
        <v>2</v>
      </c>
      <c r="B8" s="219" t="s">
        <v>4270</v>
      </c>
      <c r="C8" s="415">
        <v>434</v>
      </c>
      <c r="D8" s="416" t="s">
        <v>550</v>
      </c>
      <c r="E8" s="217" t="s">
        <v>1361</v>
      </c>
      <c r="F8" s="218" t="s">
        <v>4271</v>
      </c>
      <c r="G8" s="192">
        <v>5125</v>
      </c>
      <c r="H8" s="1794" t="s">
        <v>4272</v>
      </c>
      <c r="I8" s="34" t="s">
        <v>25</v>
      </c>
      <c r="J8" s="248"/>
      <c r="K8" s="248"/>
      <c r="L8" s="248"/>
      <c r="M8" s="248"/>
      <c r="N8" s="248"/>
      <c r="O8" s="225" t="s">
        <v>4273</v>
      </c>
      <c r="R8" s="34" t="s">
        <v>25</v>
      </c>
      <c r="S8" s="248"/>
      <c r="T8" s="248"/>
      <c r="U8" s="248"/>
      <c r="V8" s="248"/>
      <c r="W8" s="248"/>
    </row>
    <row r="9" spans="1:23" ht="18.75" customHeight="1" x14ac:dyDescent="0.3">
      <c r="A9" s="2226">
        <v>3</v>
      </c>
      <c r="B9" s="219" t="s">
        <v>4270</v>
      </c>
      <c r="C9" s="415">
        <v>434</v>
      </c>
      <c r="D9" s="416" t="s">
        <v>550</v>
      </c>
      <c r="E9" s="217" t="s">
        <v>1362</v>
      </c>
      <c r="F9" s="218" t="s">
        <v>4271</v>
      </c>
      <c r="G9" s="192">
        <v>5125</v>
      </c>
      <c r="H9" s="1794" t="s">
        <v>4272</v>
      </c>
      <c r="I9" s="34" t="s">
        <v>25</v>
      </c>
      <c r="J9" s="248"/>
      <c r="K9" s="248"/>
      <c r="L9" s="248"/>
      <c r="M9" s="248"/>
      <c r="N9" s="248"/>
      <c r="O9" s="225" t="s">
        <v>4273</v>
      </c>
      <c r="R9" s="34" t="s">
        <v>25</v>
      </c>
      <c r="S9" s="248"/>
      <c r="T9" s="248"/>
      <c r="U9" s="248"/>
      <c r="V9" s="248"/>
      <c r="W9" s="248"/>
    </row>
    <row r="10" spans="1:23" ht="18.75" customHeight="1" x14ac:dyDescent="0.3">
      <c r="A10" s="2226">
        <v>4</v>
      </c>
      <c r="B10" s="219" t="s">
        <v>4274</v>
      </c>
      <c r="C10" s="415">
        <v>434</v>
      </c>
      <c r="D10" s="416" t="s">
        <v>550</v>
      </c>
      <c r="E10" s="217" t="s">
        <v>1363</v>
      </c>
      <c r="F10" s="218" t="s">
        <v>4271</v>
      </c>
      <c r="G10" s="192">
        <v>4556.25</v>
      </c>
      <c r="H10" s="1794" t="s">
        <v>4272</v>
      </c>
      <c r="I10" s="34" t="s">
        <v>25</v>
      </c>
      <c r="J10" s="248"/>
      <c r="K10" s="248"/>
      <c r="L10" s="248"/>
      <c r="M10" s="248"/>
      <c r="N10" s="248"/>
      <c r="O10" s="225" t="s">
        <v>4273</v>
      </c>
      <c r="R10" s="34" t="s">
        <v>25</v>
      </c>
      <c r="S10" s="248"/>
      <c r="T10" s="248"/>
      <c r="U10" s="248"/>
      <c r="V10" s="248"/>
      <c r="W10" s="248"/>
    </row>
    <row r="11" spans="1:23" ht="18.75" customHeight="1" x14ac:dyDescent="0.45">
      <c r="A11" s="1342"/>
      <c r="B11" s="1343"/>
      <c r="C11" s="372"/>
      <c r="D11" s="424"/>
      <c r="E11" s="1344"/>
      <c r="F11" s="426"/>
      <c r="G11" s="231">
        <f>SUM(G7:G10)</f>
        <v>19931.25</v>
      </c>
      <c r="H11" s="1345"/>
      <c r="I11" s="370"/>
      <c r="J11" s="429"/>
      <c r="K11" s="429"/>
      <c r="L11" s="429"/>
      <c r="M11" s="172"/>
      <c r="N11" s="172"/>
      <c r="O11" s="345"/>
      <c r="R11" s="370"/>
      <c r="S11" s="429"/>
      <c r="T11" s="429"/>
      <c r="U11" s="429"/>
      <c r="V11" s="172"/>
      <c r="W11" s="172"/>
    </row>
    <row r="12" spans="1:23" x14ac:dyDescent="0.3">
      <c r="A12" s="825">
        <v>439</v>
      </c>
      <c r="B12" s="815" t="s">
        <v>4275</v>
      </c>
      <c r="C12" s="829"/>
      <c r="D12" s="829"/>
      <c r="E12" s="829"/>
      <c r="F12" s="845"/>
      <c r="G12" s="826"/>
      <c r="H12" s="827"/>
      <c r="I12" s="779"/>
      <c r="J12" s="779"/>
      <c r="K12" s="828"/>
      <c r="L12" s="828"/>
      <c r="M12" s="779"/>
      <c r="N12" s="829"/>
      <c r="O12" s="830"/>
    </row>
    <row r="13" spans="1:23" x14ac:dyDescent="0.3">
      <c r="A13" s="2250">
        <v>1</v>
      </c>
      <c r="B13" s="676" t="s">
        <v>4276</v>
      </c>
      <c r="C13" s="1198" t="s">
        <v>4277</v>
      </c>
      <c r="D13" s="326">
        <v>40</v>
      </c>
      <c r="E13" s="349" t="s">
        <v>586</v>
      </c>
      <c r="F13" s="350" t="s">
        <v>4278</v>
      </c>
      <c r="G13" s="351">
        <v>3300</v>
      </c>
      <c r="H13" s="1795" t="s">
        <v>4279</v>
      </c>
      <c r="I13" s="352" t="s">
        <v>25</v>
      </c>
      <c r="J13" s="353"/>
      <c r="K13" s="351"/>
      <c r="L13" s="353"/>
      <c r="M13" s="351"/>
      <c r="N13" s="351"/>
      <c r="O13" s="821"/>
      <c r="R13" s="352" t="s">
        <v>25</v>
      </c>
      <c r="S13" s="353"/>
      <c r="T13" s="351"/>
      <c r="U13" s="353"/>
      <c r="V13" s="351"/>
      <c r="W13" s="351"/>
    </row>
    <row r="14" spans="1:23" x14ac:dyDescent="0.3">
      <c r="A14" s="2262">
        <v>2</v>
      </c>
      <c r="B14" s="1346" t="s">
        <v>4280</v>
      </c>
      <c r="C14" s="1198">
        <v>439</v>
      </c>
      <c r="D14" s="326">
        <v>44</v>
      </c>
      <c r="E14" s="349" t="s">
        <v>588</v>
      </c>
      <c r="F14" s="350" t="s">
        <v>4281</v>
      </c>
      <c r="G14" s="936">
        <v>3200</v>
      </c>
      <c r="H14" s="1796" t="s">
        <v>4282</v>
      </c>
      <c r="I14" s="352" t="s">
        <v>25</v>
      </c>
      <c r="J14" s="935"/>
      <c r="K14" s="936"/>
      <c r="L14" s="935"/>
      <c r="M14" s="936"/>
      <c r="N14" s="936"/>
      <c r="O14" s="1347"/>
      <c r="R14" s="352" t="s">
        <v>25</v>
      </c>
      <c r="S14" s="935"/>
      <c r="T14" s="936"/>
      <c r="U14" s="935"/>
      <c r="V14" s="936"/>
      <c r="W14" s="936"/>
    </row>
    <row r="15" spans="1:23" x14ac:dyDescent="0.3">
      <c r="A15" s="2299">
        <v>3</v>
      </c>
      <c r="B15" s="896" t="s">
        <v>4283</v>
      </c>
      <c r="C15" s="415" t="s">
        <v>4277</v>
      </c>
      <c r="D15" s="67">
        <v>46</v>
      </c>
      <c r="E15" s="217" t="s">
        <v>576</v>
      </c>
      <c r="F15" s="218" t="s">
        <v>4284</v>
      </c>
      <c r="G15" s="83">
        <v>3200</v>
      </c>
      <c r="H15" s="1348" t="s">
        <v>439</v>
      </c>
      <c r="I15" s="118"/>
      <c r="J15" s="600"/>
      <c r="K15" s="83" t="s">
        <v>25</v>
      </c>
      <c r="L15" s="600"/>
      <c r="M15" s="83"/>
      <c r="N15" s="83"/>
      <c r="O15" s="2625" t="s">
        <v>6395</v>
      </c>
      <c r="Q15" s="1">
        <v>1</v>
      </c>
      <c r="R15" s="118"/>
      <c r="S15" s="600"/>
      <c r="T15" s="83" t="s">
        <v>25</v>
      </c>
      <c r="U15" s="600"/>
      <c r="V15" s="83"/>
      <c r="W15" s="83"/>
    </row>
    <row r="16" spans="1:23" x14ac:dyDescent="0.3">
      <c r="A16" s="2299">
        <v>4</v>
      </c>
      <c r="B16" s="896" t="s">
        <v>4283</v>
      </c>
      <c r="C16" s="415" t="s">
        <v>4277</v>
      </c>
      <c r="D16" s="67">
        <v>47</v>
      </c>
      <c r="E16" s="217" t="s">
        <v>1364</v>
      </c>
      <c r="F16" s="218" t="s">
        <v>4232</v>
      </c>
      <c r="G16" s="83">
        <v>3700</v>
      </c>
      <c r="H16" s="1348" t="s">
        <v>439</v>
      </c>
      <c r="I16" s="118"/>
      <c r="J16" s="600"/>
      <c r="K16" s="83" t="s">
        <v>25</v>
      </c>
      <c r="L16" s="600"/>
      <c r="M16" s="83"/>
      <c r="N16" s="83"/>
      <c r="O16" s="2625" t="s">
        <v>6395</v>
      </c>
      <c r="Q16" s="1">
        <v>2</v>
      </c>
      <c r="R16" s="118"/>
      <c r="S16" s="600"/>
      <c r="T16" s="83" t="s">
        <v>25</v>
      </c>
      <c r="U16" s="600"/>
      <c r="V16" s="83"/>
      <c r="W16" s="83"/>
    </row>
    <row r="17" spans="1:23" s="150" customFormat="1" ht="24" x14ac:dyDescent="0.25">
      <c r="A17" s="2391">
        <v>5</v>
      </c>
      <c r="B17" s="1349" t="s">
        <v>4285</v>
      </c>
      <c r="C17" s="1350">
        <v>439</v>
      </c>
      <c r="D17" s="1351">
        <v>46</v>
      </c>
      <c r="E17" s="31" t="s">
        <v>574</v>
      </c>
      <c r="F17" s="1352" t="s">
        <v>4284</v>
      </c>
      <c r="G17" s="1353">
        <v>3200</v>
      </c>
      <c r="H17" s="1797" t="s">
        <v>4168</v>
      </c>
      <c r="I17" s="34" t="s">
        <v>25</v>
      </c>
      <c r="J17" s="1354"/>
      <c r="K17" s="161"/>
      <c r="L17" s="1355"/>
      <c r="M17" s="1354"/>
      <c r="N17" s="1356"/>
      <c r="O17" s="2405" t="s">
        <v>393</v>
      </c>
      <c r="P17" s="150" t="s">
        <v>291</v>
      </c>
      <c r="R17" s="34" t="s">
        <v>25</v>
      </c>
      <c r="S17" s="1354"/>
      <c r="T17" s="161"/>
      <c r="U17" s="1355"/>
      <c r="V17" s="1354"/>
      <c r="W17" s="1356"/>
    </row>
    <row r="18" spans="1:23" ht="18.75" customHeight="1" x14ac:dyDescent="0.45">
      <c r="A18" s="39"/>
      <c r="B18" s="172"/>
      <c r="C18" s="89"/>
      <c r="D18" s="230"/>
      <c r="E18" s="201"/>
      <c r="F18" s="176"/>
      <c r="G18" s="231">
        <f>SUM(G13:G17)</f>
        <v>16600</v>
      </c>
      <c r="H18" s="602"/>
      <c r="I18" s="233"/>
      <c r="J18" s="355"/>
      <c r="K18" s="234"/>
      <c r="L18" s="355"/>
      <c r="M18" s="234"/>
      <c r="N18" s="234"/>
      <c r="O18" s="469"/>
      <c r="R18" s="233"/>
      <c r="S18" s="355"/>
      <c r="T18" s="234"/>
      <c r="U18" s="355"/>
      <c r="V18" s="234"/>
      <c r="W18" s="234"/>
    </row>
    <row r="19" spans="1:23" ht="18" customHeight="1" x14ac:dyDescent="0.3">
      <c r="A19" s="825">
        <v>441</v>
      </c>
      <c r="B19" s="815" t="s">
        <v>4286</v>
      </c>
      <c r="C19" s="1357"/>
      <c r="D19" s="1357"/>
      <c r="E19" s="1357"/>
      <c r="F19" s="845"/>
      <c r="G19" s="1358"/>
      <c r="H19" s="1359"/>
      <c r="I19" s="1360"/>
      <c r="J19" s="1360"/>
      <c r="K19" s="1361"/>
      <c r="L19" s="1361"/>
      <c r="M19" s="1360"/>
      <c r="N19" s="1357"/>
      <c r="O19" s="830"/>
    </row>
    <row r="20" spans="1:23" x14ac:dyDescent="0.3">
      <c r="A20" s="2226">
        <v>1</v>
      </c>
      <c r="B20" s="1607" t="s">
        <v>4287</v>
      </c>
      <c r="C20" s="831" t="s">
        <v>4288</v>
      </c>
      <c r="D20" s="1362">
        <v>48</v>
      </c>
      <c r="E20" s="833" t="s">
        <v>1385</v>
      </c>
      <c r="F20" s="1352" t="s">
        <v>4289</v>
      </c>
      <c r="G20" s="1363">
        <v>9000</v>
      </c>
      <c r="H20" s="835" t="s">
        <v>537</v>
      </c>
      <c r="I20" s="34"/>
      <c r="J20" s="34" t="s">
        <v>25</v>
      </c>
      <c r="K20" s="147"/>
      <c r="L20" s="224"/>
      <c r="M20" s="1364"/>
      <c r="N20" s="313"/>
      <c r="O20" s="2625" t="s">
        <v>6395</v>
      </c>
      <c r="Q20" s="1">
        <v>1</v>
      </c>
      <c r="R20" s="34"/>
      <c r="S20" s="34" t="s">
        <v>25</v>
      </c>
      <c r="T20" s="147"/>
      <c r="U20" s="224"/>
      <c r="V20" s="1364"/>
      <c r="W20" s="313"/>
    </row>
    <row r="21" spans="1:23" x14ac:dyDescent="0.3">
      <c r="A21" s="2226">
        <v>2</v>
      </c>
      <c r="B21" s="1607" t="s">
        <v>4290</v>
      </c>
      <c r="C21" s="831" t="s">
        <v>4288</v>
      </c>
      <c r="D21" s="1362">
        <v>48</v>
      </c>
      <c r="E21" s="833" t="s">
        <v>414</v>
      </c>
      <c r="F21" s="1352" t="s">
        <v>4289</v>
      </c>
      <c r="G21" s="1363">
        <v>9700</v>
      </c>
      <c r="H21" s="835" t="s">
        <v>537</v>
      </c>
      <c r="I21" s="34"/>
      <c r="J21" s="34" t="s">
        <v>25</v>
      </c>
      <c r="K21" s="147"/>
      <c r="L21" s="224"/>
      <c r="M21" s="1365"/>
      <c r="N21" s="313"/>
      <c r="O21" s="2625" t="s">
        <v>6395</v>
      </c>
      <c r="Q21" s="1">
        <v>2</v>
      </c>
      <c r="R21" s="34"/>
      <c r="S21" s="34" t="s">
        <v>25</v>
      </c>
      <c r="T21" s="147"/>
      <c r="U21" s="224"/>
      <c r="V21" s="1365"/>
      <c r="W21" s="313"/>
    </row>
    <row r="22" spans="1:23" x14ac:dyDescent="0.3">
      <c r="A22" s="2226">
        <v>3</v>
      </c>
      <c r="B22" s="248" t="s">
        <v>4291</v>
      </c>
      <c r="C22" s="216" t="s">
        <v>4288</v>
      </c>
      <c r="D22" s="67">
        <v>50</v>
      </c>
      <c r="E22" s="217" t="s">
        <v>1400</v>
      </c>
      <c r="F22" s="218" t="s">
        <v>969</v>
      </c>
      <c r="G22" s="192">
        <v>9000</v>
      </c>
      <c r="H22" s="1788" t="s">
        <v>400</v>
      </c>
      <c r="I22" s="118" t="s">
        <v>25</v>
      </c>
      <c r="J22" s="119"/>
      <c r="K22" s="119"/>
      <c r="L22" s="119"/>
      <c r="M22" s="119"/>
      <c r="N22" s="192"/>
      <c r="O22" s="2381" t="s">
        <v>477</v>
      </c>
      <c r="R22" s="118" t="s">
        <v>25</v>
      </c>
      <c r="S22" s="119"/>
      <c r="T22" s="119"/>
      <c r="U22" s="119"/>
      <c r="V22" s="119"/>
      <c r="W22" s="192"/>
    </row>
    <row r="23" spans="1:23" x14ac:dyDescent="0.3">
      <c r="A23" s="2226">
        <v>4</v>
      </c>
      <c r="B23" s="248" t="s">
        <v>4291</v>
      </c>
      <c r="C23" s="216" t="s">
        <v>4288</v>
      </c>
      <c r="D23" s="67">
        <v>50</v>
      </c>
      <c r="E23" s="217" t="s">
        <v>1401</v>
      </c>
      <c r="F23" s="218" t="s">
        <v>969</v>
      </c>
      <c r="G23" s="192">
        <v>9000</v>
      </c>
      <c r="H23" s="1788" t="s">
        <v>400</v>
      </c>
      <c r="I23" s="924" t="s">
        <v>25</v>
      </c>
      <c r="J23" s="119"/>
      <c r="K23" s="119"/>
      <c r="L23" s="119"/>
      <c r="M23" s="119"/>
      <c r="N23" s="192"/>
      <c r="O23" s="2381" t="s">
        <v>477</v>
      </c>
      <c r="R23" s="924" t="s">
        <v>25</v>
      </c>
      <c r="S23" s="119"/>
      <c r="T23" s="119"/>
      <c r="U23" s="119"/>
      <c r="V23" s="119"/>
      <c r="W23" s="192"/>
    </row>
    <row r="24" spans="1:23" x14ac:dyDescent="0.3">
      <c r="A24" s="2226">
        <v>5</v>
      </c>
      <c r="B24" s="248" t="s">
        <v>4292</v>
      </c>
      <c r="C24" s="216" t="s">
        <v>4288</v>
      </c>
      <c r="D24" s="67">
        <v>50</v>
      </c>
      <c r="E24" s="217" t="s">
        <v>955</v>
      </c>
      <c r="F24" s="218" t="s">
        <v>969</v>
      </c>
      <c r="G24" s="192">
        <v>9700</v>
      </c>
      <c r="H24" s="1788" t="s">
        <v>400</v>
      </c>
      <c r="I24" s="924" t="s">
        <v>25</v>
      </c>
      <c r="J24" s="119"/>
      <c r="K24" s="119"/>
      <c r="L24" s="119"/>
      <c r="M24" s="119"/>
      <c r="N24" s="192"/>
      <c r="O24" s="2381" t="s">
        <v>477</v>
      </c>
      <c r="R24" s="924" t="s">
        <v>25</v>
      </c>
      <c r="S24" s="119"/>
      <c r="T24" s="119"/>
      <c r="U24" s="119"/>
      <c r="V24" s="119"/>
      <c r="W24" s="192"/>
    </row>
    <row r="25" spans="1:23" x14ac:dyDescent="0.3">
      <c r="A25" s="2226">
        <v>6</v>
      </c>
      <c r="B25" s="248" t="s">
        <v>4293</v>
      </c>
      <c r="C25" s="216" t="s">
        <v>4288</v>
      </c>
      <c r="D25" s="67">
        <v>50</v>
      </c>
      <c r="E25" s="217" t="s">
        <v>957</v>
      </c>
      <c r="F25" s="218" t="s">
        <v>969</v>
      </c>
      <c r="G25" s="192">
        <v>9700</v>
      </c>
      <c r="H25" s="1788" t="s">
        <v>400</v>
      </c>
      <c r="I25" s="924" t="s">
        <v>25</v>
      </c>
      <c r="J25" s="119"/>
      <c r="K25" s="119"/>
      <c r="L25" s="119"/>
      <c r="M25" s="119"/>
      <c r="N25" s="192"/>
      <c r="O25" s="2381" t="s">
        <v>477</v>
      </c>
      <c r="R25" s="924" t="s">
        <v>25</v>
      </c>
      <c r="S25" s="119"/>
      <c r="T25" s="119"/>
      <c r="U25" s="119"/>
      <c r="V25" s="119"/>
      <c r="W25" s="192"/>
    </row>
    <row r="26" spans="1:23" x14ac:dyDescent="0.3">
      <c r="A26" s="2226">
        <v>7</v>
      </c>
      <c r="B26" s="248" t="s">
        <v>4294</v>
      </c>
      <c r="C26" s="216" t="s">
        <v>4288</v>
      </c>
      <c r="D26" s="67">
        <v>50</v>
      </c>
      <c r="E26" s="217" t="s">
        <v>1402</v>
      </c>
      <c r="F26" s="218" t="s">
        <v>969</v>
      </c>
      <c r="G26" s="192">
        <v>12000</v>
      </c>
      <c r="H26" s="1788" t="s">
        <v>400</v>
      </c>
      <c r="I26" s="924" t="s">
        <v>25</v>
      </c>
      <c r="J26" s="119"/>
      <c r="K26" s="119"/>
      <c r="L26" s="119"/>
      <c r="M26" s="119"/>
      <c r="N26" s="192"/>
      <c r="O26" s="2381" t="s">
        <v>477</v>
      </c>
      <c r="R26" s="924" t="s">
        <v>25</v>
      </c>
      <c r="S26" s="119"/>
      <c r="T26" s="119"/>
      <c r="U26" s="119"/>
      <c r="V26" s="119"/>
      <c r="W26" s="192"/>
    </row>
    <row r="27" spans="1:23" x14ac:dyDescent="0.3">
      <c r="A27" s="2226">
        <v>8</v>
      </c>
      <c r="B27" s="1266" t="s">
        <v>4295</v>
      </c>
      <c r="C27" s="418" t="s">
        <v>4288</v>
      </c>
      <c r="D27" s="75">
        <v>62</v>
      </c>
      <c r="E27" s="419" t="s">
        <v>72</v>
      </c>
      <c r="F27" s="82" t="s">
        <v>4296</v>
      </c>
      <c r="G27" s="455">
        <v>8600</v>
      </c>
      <c r="H27" s="1798" t="s">
        <v>4297</v>
      </c>
      <c r="I27" s="1366" t="s">
        <v>25</v>
      </c>
      <c r="J27" s="600"/>
      <c r="K27" s="83"/>
      <c r="L27" s="600"/>
      <c r="M27" s="83"/>
      <c r="N27" s="83"/>
      <c r="O27" s="454"/>
      <c r="R27" s="1366" t="s">
        <v>25</v>
      </c>
      <c r="S27" s="600"/>
      <c r="T27" s="83"/>
      <c r="U27" s="600"/>
      <c r="V27" s="83"/>
      <c r="W27" s="83"/>
    </row>
    <row r="28" spans="1:23" x14ac:dyDescent="0.3">
      <c r="A28" s="2226">
        <v>9</v>
      </c>
      <c r="B28" s="1266" t="s">
        <v>4298</v>
      </c>
      <c r="C28" s="216" t="s">
        <v>4288</v>
      </c>
      <c r="D28" s="67">
        <v>64</v>
      </c>
      <c r="E28" s="419" t="s">
        <v>88</v>
      </c>
      <c r="F28" s="218" t="s">
        <v>1105</v>
      </c>
      <c r="G28" s="1367">
        <v>9300</v>
      </c>
      <c r="H28" s="1798" t="s">
        <v>4299</v>
      </c>
      <c r="I28" s="1366" t="s">
        <v>25</v>
      </c>
      <c r="J28" s="600"/>
      <c r="K28" s="83"/>
      <c r="L28" s="600"/>
      <c r="M28" s="83"/>
      <c r="N28" s="83"/>
      <c r="O28" s="454"/>
      <c r="R28" s="1366" t="s">
        <v>25</v>
      </c>
      <c r="S28" s="600"/>
      <c r="T28" s="83"/>
      <c r="U28" s="600"/>
      <c r="V28" s="83"/>
      <c r="W28" s="83"/>
    </row>
    <row r="29" spans="1:23" x14ac:dyDescent="0.3">
      <c r="A29" s="2226">
        <v>10</v>
      </c>
      <c r="B29" s="1266" t="s">
        <v>4298</v>
      </c>
      <c r="C29" s="216" t="s">
        <v>4288</v>
      </c>
      <c r="D29" s="67">
        <v>64</v>
      </c>
      <c r="E29" s="419" t="s">
        <v>89</v>
      </c>
      <c r="F29" s="218" t="s">
        <v>1105</v>
      </c>
      <c r="G29" s="1367">
        <v>9300</v>
      </c>
      <c r="H29" s="1798" t="s">
        <v>4299</v>
      </c>
      <c r="I29" s="1366" t="s">
        <v>25</v>
      </c>
      <c r="J29" s="600"/>
      <c r="K29" s="83"/>
      <c r="L29" s="600"/>
      <c r="M29" s="192"/>
      <c r="N29" s="192"/>
      <c r="O29" s="449"/>
      <c r="R29" s="1366" t="s">
        <v>25</v>
      </c>
      <c r="S29" s="600"/>
      <c r="T29" s="83"/>
      <c r="U29" s="600"/>
      <c r="V29" s="192"/>
      <c r="W29" s="192"/>
    </row>
    <row r="30" spans="1:23" x14ac:dyDescent="0.3">
      <c r="A30" s="2226">
        <v>11</v>
      </c>
      <c r="B30" s="1266" t="s">
        <v>4298</v>
      </c>
      <c r="C30" s="216" t="s">
        <v>4288</v>
      </c>
      <c r="D30" s="67">
        <v>64</v>
      </c>
      <c r="E30" s="217" t="s">
        <v>90</v>
      </c>
      <c r="F30" s="218" t="s">
        <v>1105</v>
      </c>
      <c r="G30" s="1367">
        <v>9300</v>
      </c>
      <c r="H30" s="1798" t="s">
        <v>4299</v>
      </c>
      <c r="I30" s="1366" t="s">
        <v>25</v>
      </c>
      <c r="J30" s="119"/>
      <c r="K30" s="192"/>
      <c r="L30" s="119"/>
      <c r="M30" s="83"/>
      <c r="N30" s="83"/>
      <c r="O30" s="454"/>
      <c r="R30" s="1366" t="s">
        <v>25</v>
      </c>
      <c r="S30" s="119"/>
      <c r="T30" s="192"/>
      <c r="U30" s="119"/>
      <c r="V30" s="83"/>
      <c r="W30" s="83"/>
    </row>
    <row r="31" spans="1:23" x14ac:dyDescent="0.3">
      <c r="A31" s="2226">
        <v>12</v>
      </c>
      <c r="B31" s="1266" t="s">
        <v>4298</v>
      </c>
      <c r="C31" s="216" t="s">
        <v>4288</v>
      </c>
      <c r="D31" s="67">
        <v>64</v>
      </c>
      <c r="E31" s="419" t="s">
        <v>91</v>
      </c>
      <c r="F31" s="218" t="s">
        <v>1105</v>
      </c>
      <c r="G31" s="1367">
        <v>9300</v>
      </c>
      <c r="H31" s="1798" t="s">
        <v>4299</v>
      </c>
      <c r="I31" s="1366" t="s">
        <v>25</v>
      </c>
      <c r="J31" s="600"/>
      <c r="K31" s="83"/>
      <c r="L31" s="600"/>
      <c r="M31" s="83"/>
      <c r="N31" s="83"/>
      <c r="O31" s="454"/>
      <c r="R31" s="1366" t="s">
        <v>25</v>
      </c>
      <c r="S31" s="600"/>
      <c r="T31" s="83"/>
      <c r="U31" s="600"/>
      <c r="V31" s="83"/>
      <c r="W31" s="83"/>
    </row>
    <row r="32" spans="1:23" x14ac:dyDescent="0.3">
      <c r="A32" s="2226">
        <v>13</v>
      </c>
      <c r="B32" s="1266" t="s">
        <v>4298</v>
      </c>
      <c r="C32" s="216" t="s">
        <v>4288</v>
      </c>
      <c r="D32" s="67">
        <v>64</v>
      </c>
      <c r="E32" s="419" t="s">
        <v>92</v>
      </c>
      <c r="F32" s="218" t="s">
        <v>1105</v>
      </c>
      <c r="G32" s="1367">
        <v>9300</v>
      </c>
      <c r="H32" s="1798" t="s">
        <v>4299</v>
      </c>
      <c r="I32" s="1366" t="s">
        <v>25</v>
      </c>
      <c r="J32" s="600"/>
      <c r="K32" s="83"/>
      <c r="L32" s="600"/>
      <c r="M32" s="83"/>
      <c r="N32" s="83"/>
      <c r="O32" s="454"/>
      <c r="R32" s="1366" t="s">
        <v>25</v>
      </c>
      <c r="S32" s="600"/>
      <c r="T32" s="83"/>
      <c r="U32" s="600"/>
      <c r="V32" s="83"/>
      <c r="W32" s="83"/>
    </row>
    <row r="33" spans="1:23" x14ac:dyDescent="0.3">
      <c r="A33" s="2226">
        <v>14</v>
      </c>
      <c r="B33" s="1266" t="s">
        <v>4298</v>
      </c>
      <c r="C33" s="216" t="s">
        <v>4288</v>
      </c>
      <c r="D33" s="67">
        <v>64</v>
      </c>
      <c r="E33" s="419" t="s">
        <v>93</v>
      </c>
      <c r="F33" s="218" t="s">
        <v>1105</v>
      </c>
      <c r="G33" s="1367">
        <v>9300</v>
      </c>
      <c r="H33" s="1798" t="s">
        <v>4299</v>
      </c>
      <c r="I33" s="1366" t="s">
        <v>25</v>
      </c>
      <c r="J33" s="600"/>
      <c r="K33" s="83"/>
      <c r="L33" s="600"/>
      <c r="M33" s="83"/>
      <c r="N33" s="83"/>
      <c r="O33" s="454"/>
      <c r="R33" s="1366" t="s">
        <v>25</v>
      </c>
      <c r="S33" s="600"/>
      <c r="T33" s="83"/>
      <c r="U33" s="600"/>
      <c r="V33" s="83"/>
      <c r="W33" s="83"/>
    </row>
    <row r="34" spans="1:23" x14ac:dyDescent="0.3">
      <c r="A34" s="2226">
        <v>15</v>
      </c>
      <c r="B34" s="1368" t="s">
        <v>4300</v>
      </c>
      <c r="C34" s="216" t="s">
        <v>4288</v>
      </c>
      <c r="D34" s="67">
        <v>64</v>
      </c>
      <c r="E34" s="419" t="s">
        <v>94</v>
      </c>
      <c r="F34" s="218" t="s">
        <v>1105</v>
      </c>
      <c r="G34" s="455">
        <v>10800</v>
      </c>
      <c r="H34" s="1798" t="s">
        <v>4301</v>
      </c>
      <c r="I34" s="1366" t="s">
        <v>25</v>
      </c>
      <c r="J34" s="600"/>
      <c r="K34" s="83"/>
      <c r="L34" s="600"/>
      <c r="M34" s="83"/>
      <c r="N34" s="83"/>
      <c r="O34" s="454"/>
      <c r="R34" s="1366" t="s">
        <v>25</v>
      </c>
      <c r="S34" s="600"/>
      <c r="T34" s="83"/>
      <c r="U34" s="600"/>
      <c r="V34" s="83"/>
      <c r="W34" s="83"/>
    </row>
    <row r="35" spans="1:23" x14ac:dyDescent="0.3">
      <c r="A35" s="2226">
        <v>16</v>
      </c>
      <c r="B35" s="1368" t="s">
        <v>4300</v>
      </c>
      <c r="C35" s="216" t="s">
        <v>4288</v>
      </c>
      <c r="D35" s="67">
        <v>64</v>
      </c>
      <c r="E35" s="419" t="s">
        <v>95</v>
      </c>
      <c r="F35" s="218" t="s">
        <v>1105</v>
      </c>
      <c r="G35" s="455">
        <v>10800</v>
      </c>
      <c r="H35" s="1798" t="s">
        <v>4299</v>
      </c>
      <c r="I35" s="1366" t="s">
        <v>25</v>
      </c>
      <c r="J35" s="600"/>
      <c r="K35" s="83"/>
      <c r="L35" s="600"/>
      <c r="M35" s="83"/>
      <c r="N35" s="83"/>
      <c r="O35" s="454"/>
      <c r="R35" s="1366" t="s">
        <v>25</v>
      </c>
      <c r="S35" s="600"/>
      <c r="T35" s="83"/>
      <c r="U35" s="600"/>
      <c r="V35" s="83"/>
      <c r="W35" s="83"/>
    </row>
    <row r="36" spans="1:23" x14ac:dyDescent="0.3">
      <c r="A36" s="2226">
        <v>17</v>
      </c>
      <c r="B36" s="1368" t="s">
        <v>4300</v>
      </c>
      <c r="C36" s="216" t="s">
        <v>4288</v>
      </c>
      <c r="D36" s="67">
        <v>64</v>
      </c>
      <c r="E36" s="419" t="s">
        <v>96</v>
      </c>
      <c r="F36" s="218" t="s">
        <v>1105</v>
      </c>
      <c r="G36" s="455">
        <v>10800</v>
      </c>
      <c r="H36" s="1798" t="s">
        <v>4299</v>
      </c>
      <c r="I36" s="1366" t="s">
        <v>25</v>
      </c>
      <c r="J36" s="600"/>
      <c r="K36" s="83"/>
      <c r="L36" s="600"/>
      <c r="M36" s="83"/>
      <c r="N36" s="83"/>
      <c r="O36" s="454"/>
      <c r="R36" s="1366" t="s">
        <v>25</v>
      </c>
      <c r="S36" s="600"/>
      <c r="T36" s="83"/>
      <c r="U36" s="600"/>
      <c r="V36" s="83"/>
      <c r="W36" s="83"/>
    </row>
    <row r="37" spans="1:23" x14ac:dyDescent="0.3">
      <c r="A37" s="2226">
        <v>18</v>
      </c>
      <c r="B37" s="1368" t="s">
        <v>4300</v>
      </c>
      <c r="C37" s="216" t="s">
        <v>4288</v>
      </c>
      <c r="D37" s="67">
        <v>64</v>
      </c>
      <c r="E37" s="419" t="s">
        <v>97</v>
      </c>
      <c r="F37" s="218" t="s">
        <v>1105</v>
      </c>
      <c r="G37" s="455">
        <v>10800</v>
      </c>
      <c r="H37" s="1798" t="s">
        <v>4299</v>
      </c>
      <c r="I37" s="1366" t="s">
        <v>25</v>
      </c>
      <c r="J37" s="600"/>
      <c r="K37" s="83"/>
      <c r="L37" s="600"/>
      <c r="M37" s="83"/>
      <c r="N37" s="83"/>
      <c r="O37" s="454"/>
      <c r="R37" s="1366" t="s">
        <v>25</v>
      </c>
      <c r="S37" s="600"/>
      <c r="T37" s="83"/>
      <c r="U37" s="600"/>
      <c r="V37" s="83"/>
      <c r="W37" s="83"/>
    </row>
    <row r="38" spans="1:23" x14ac:dyDescent="0.3">
      <c r="A38" s="2226">
        <v>19</v>
      </c>
      <c r="B38" s="1368" t="s">
        <v>4300</v>
      </c>
      <c r="C38" s="216" t="s">
        <v>4288</v>
      </c>
      <c r="D38" s="67">
        <v>64</v>
      </c>
      <c r="E38" s="419" t="s">
        <v>999</v>
      </c>
      <c r="F38" s="218" t="s">
        <v>1105</v>
      </c>
      <c r="G38" s="455">
        <v>10800</v>
      </c>
      <c r="H38" s="1798" t="s">
        <v>4299</v>
      </c>
      <c r="I38" s="1366" t="s">
        <v>25</v>
      </c>
      <c r="J38" s="600"/>
      <c r="K38" s="83"/>
      <c r="L38" s="600"/>
      <c r="M38" s="83"/>
      <c r="N38" s="83"/>
      <c r="O38" s="454"/>
      <c r="R38" s="1366" t="s">
        <v>25</v>
      </c>
      <c r="S38" s="600"/>
      <c r="T38" s="83"/>
      <c r="U38" s="600"/>
      <c r="V38" s="83"/>
      <c r="W38" s="83"/>
    </row>
    <row r="39" spans="1:23" x14ac:dyDescent="0.3">
      <c r="A39" s="2226">
        <v>20</v>
      </c>
      <c r="B39" s="1368" t="s">
        <v>4300</v>
      </c>
      <c r="C39" s="216" t="s">
        <v>4288</v>
      </c>
      <c r="D39" s="67">
        <v>64</v>
      </c>
      <c r="E39" s="419" t="s">
        <v>1000</v>
      </c>
      <c r="F39" s="218" t="s">
        <v>1105</v>
      </c>
      <c r="G39" s="455">
        <v>10800</v>
      </c>
      <c r="H39" s="1798" t="s">
        <v>4299</v>
      </c>
      <c r="I39" s="1366" t="s">
        <v>25</v>
      </c>
      <c r="J39" s="600"/>
      <c r="K39" s="83"/>
      <c r="L39" s="600"/>
      <c r="M39" s="83"/>
      <c r="N39" s="83"/>
      <c r="O39" s="454"/>
      <c r="R39" s="1366" t="s">
        <v>25</v>
      </c>
      <c r="S39" s="600"/>
      <c r="T39" s="83"/>
      <c r="U39" s="600"/>
      <c r="V39" s="83"/>
      <c r="W39" s="83"/>
    </row>
    <row r="40" spans="1:23" x14ac:dyDescent="0.3">
      <c r="A40" s="2226">
        <v>21</v>
      </c>
      <c r="B40" s="1368" t="s">
        <v>4302</v>
      </c>
      <c r="C40" s="216" t="s">
        <v>4288</v>
      </c>
      <c r="D40" s="67">
        <v>64</v>
      </c>
      <c r="E40" s="419" t="s">
        <v>1001</v>
      </c>
      <c r="F40" s="218" t="s">
        <v>1105</v>
      </c>
      <c r="G40" s="455">
        <v>12000</v>
      </c>
      <c r="H40" s="1798" t="s">
        <v>4299</v>
      </c>
      <c r="I40" s="1366" t="s">
        <v>25</v>
      </c>
      <c r="J40" s="600"/>
      <c r="K40" s="83"/>
      <c r="L40" s="600"/>
      <c r="M40" s="83"/>
      <c r="N40" s="83"/>
      <c r="O40" s="454"/>
      <c r="R40" s="1366" t="s">
        <v>25</v>
      </c>
      <c r="S40" s="600"/>
      <c r="T40" s="83"/>
      <c r="U40" s="600"/>
      <c r="V40" s="83"/>
      <c r="W40" s="83"/>
    </row>
    <row r="41" spans="1:23" x14ac:dyDescent="0.3">
      <c r="A41" s="2226">
        <v>22</v>
      </c>
      <c r="B41" s="1368" t="s">
        <v>4302</v>
      </c>
      <c r="C41" s="216" t="s">
        <v>4288</v>
      </c>
      <c r="D41" s="67">
        <v>64</v>
      </c>
      <c r="E41" s="419" t="s">
        <v>1002</v>
      </c>
      <c r="F41" s="218" t="s">
        <v>1105</v>
      </c>
      <c r="G41" s="455">
        <v>12000</v>
      </c>
      <c r="H41" s="1798" t="s">
        <v>4299</v>
      </c>
      <c r="I41" s="1366" t="s">
        <v>25</v>
      </c>
      <c r="J41" s="600"/>
      <c r="K41" s="83"/>
      <c r="L41" s="600"/>
      <c r="M41" s="83"/>
      <c r="N41" s="83"/>
      <c r="O41" s="454"/>
      <c r="R41" s="1366" t="s">
        <v>25</v>
      </c>
      <c r="S41" s="600"/>
      <c r="T41" s="83"/>
      <c r="U41" s="600"/>
      <c r="V41" s="83"/>
      <c r="W41" s="83"/>
    </row>
    <row r="42" spans="1:23" x14ac:dyDescent="0.3">
      <c r="A42" s="2226">
        <v>23</v>
      </c>
      <c r="B42" s="1368" t="s">
        <v>4302</v>
      </c>
      <c r="C42" s="216" t="s">
        <v>4288</v>
      </c>
      <c r="D42" s="67">
        <v>64</v>
      </c>
      <c r="E42" s="419" t="s">
        <v>1004</v>
      </c>
      <c r="F42" s="218" t="s">
        <v>1105</v>
      </c>
      <c r="G42" s="455">
        <v>12000</v>
      </c>
      <c r="H42" s="1798" t="s">
        <v>4299</v>
      </c>
      <c r="I42" s="1366" t="s">
        <v>25</v>
      </c>
      <c r="J42" s="600"/>
      <c r="K42" s="83"/>
      <c r="L42" s="600"/>
      <c r="M42" s="83"/>
      <c r="N42" s="83"/>
      <c r="O42" s="454"/>
      <c r="R42" s="1366" t="s">
        <v>25</v>
      </c>
      <c r="S42" s="600"/>
      <c r="T42" s="83"/>
      <c r="U42" s="600"/>
      <c r="V42" s="83"/>
      <c r="W42" s="83"/>
    </row>
    <row r="43" spans="1:23" x14ac:dyDescent="0.3">
      <c r="A43" s="2226">
        <v>24</v>
      </c>
      <c r="B43" s="1368" t="s">
        <v>4302</v>
      </c>
      <c r="C43" s="216" t="s">
        <v>4288</v>
      </c>
      <c r="D43" s="67">
        <v>64</v>
      </c>
      <c r="E43" s="419" t="s">
        <v>1005</v>
      </c>
      <c r="F43" s="218" t="s">
        <v>1105</v>
      </c>
      <c r="G43" s="455">
        <v>12000</v>
      </c>
      <c r="H43" s="1798" t="s">
        <v>4299</v>
      </c>
      <c r="I43" s="1366" t="s">
        <v>25</v>
      </c>
      <c r="J43" s="119"/>
      <c r="K43" s="192"/>
      <c r="L43" s="119"/>
      <c r="M43" s="192"/>
      <c r="N43" s="192"/>
      <c r="O43" s="454"/>
      <c r="R43" s="1366" t="s">
        <v>25</v>
      </c>
      <c r="S43" s="119"/>
      <c r="T43" s="192"/>
      <c r="U43" s="119"/>
      <c r="V43" s="192"/>
      <c r="W43" s="192"/>
    </row>
    <row r="44" spans="1:23" x14ac:dyDescent="0.3">
      <c r="A44" s="2226">
        <v>25</v>
      </c>
      <c r="B44" s="1368" t="s">
        <v>4302</v>
      </c>
      <c r="C44" s="216" t="s">
        <v>4288</v>
      </c>
      <c r="D44" s="67">
        <v>64</v>
      </c>
      <c r="E44" s="419" t="s">
        <v>1006</v>
      </c>
      <c r="F44" s="218" t="s">
        <v>1105</v>
      </c>
      <c r="G44" s="455">
        <v>12000</v>
      </c>
      <c r="H44" s="1798" t="s">
        <v>4299</v>
      </c>
      <c r="I44" s="1366" t="s">
        <v>25</v>
      </c>
      <c r="J44" s="119"/>
      <c r="K44" s="192"/>
      <c r="L44" s="119"/>
      <c r="M44" s="192"/>
      <c r="N44" s="192"/>
      <c r="O44" s="454"/>
      <c r="R44" s="1366" t="s">
        <v>25</v>
      </c>
      <c r="S44" s="119"/>
      <c r="T44" s="192"/>
      <c r="U44" s="119"/>
      <c r="V44" s="192"/>
      <c r="W44" s="192"/>
    </row>
    <row r="45" spans="1:23" s="1376" customFormat="1" ht="15.6" customHeight="1" x14ac:dyDescent="0.3">
      <c r="A45" s="2226">
        <v>26</v>
      </c>
      <c r="B45" s="1369" t="s">
        <v>4303</v>
      </c>
      <c r="C45" s="1370" t="s">
        <v>4288</v>
      </c>
      <c r="D45" s="1371" t="s">
        <v>172</v>
      </c>
      <c r="E45" s="1372" t="s">
        <v>440</v>
      </c>
      <c r="F45" s="1373">
        <v>24560</v>
      </c>
      <c r="G45" s="1374">
        <v>8800</v>
      </c>
      <c r="H45" s="1799" t="s">
        <v>4304</v>
      </c>
      <c r="I45" s="2252" t="s">
        <v>25</v>
      </c>
      <c r="J45" s="1378"/>
      <c r="K45" s="1377"/>
      <c r="L45" s="1378"/>
      <c r="M45" s="1378"/>
      <c r="N45" s="1378"/>
      <c r="O45" s="2253" t="s">
        <v>4233</v>
      </c>
      <c r="P45" s="1375"/>
      <c r="R45" s="2252" t="s">
        <v>25</v>
      </c>
      <c r="S45" s="1378"/>
      <c r="T45" s="1377"/>
      <c r="U45" s="1378"/>
      <c r="V45" s="1378"/>
      <c r="W45" s="1378"/>
    </row>
    <row r="46" spans="1:23" s="1376" customFormat="1" ht="15.6" customHeight="1" x14ac:dyDescent="0.3">
      <c r="A46" s="2226">
        <v>27</v>
      </c>
      <c r="B46" s="1369" t="s">
        <v>4303</v>
      </c>
      <c r="C46" s="1370" t="s">
        <v>4288</v>
      </c>
      <c r="D46" s="1371" t="s">
        <v>172</v>
      </c>
      <c r="E46" s="1372" t="s">
        <v>1024</v>
      </c>
      <c r="F46" s="1373">
        <v>24560</v>
      </c>
      <c r="G46" s="1374">
        <v>8800</v>
      </c>
      <c r="H46" s="1799" t="s">
        <v>4304</v>
      </c>
      <c r="I46" s="2252" t="s">
        <v>25</v>
      </c>
      <c r="J46" s="1378"/>
      <c r="K46" s="1377"/>
      <c r="L46" s="1378"/>
      <c r="M46" s="1378"/>
      <c r="N46" s="1378"/>
      <c r="O46" s="2254" t="s">
        <v>4233</v>
      </c>
      <c r="P46" s="1375"/>
      <c r="R46" s="2252" t="s">
        <v>25</v>
      </c>
      <c r="S46" s="1378"/>
      <c r="T46" s="1377"/>
      <c r="U46" s="1378"/>
      <c r="V46" s="1378"/>
      <c r="W46" s="1378"/>
    </row>
    <row r="47" spans="1:23" s="1376" customFormat="1" ht="15.6" customHeight="1" x14ac:dyDescent="0.3">
      <c r="A47" s="2226">
        <v>28</v>
      </c>
      <c r="B47" s="1369" t="s">
        <v>4303</v>
      </c>
      <c r="C47" s="1370" t="s">
        <v>4288</v>
      </c>
      <c r="D47" s="1371" t="s">
        <v>172</v>
      </c>
      <c r="E47" s="1372" t="s">
        <v>1026</v>
      </c>
      <c r="F47" s="1373">
        <v>24560</v>
      </c>
      <c r="G47" s="1374">
        <v>8800</v>
      </c>
      <c r="H47" s="1799" t="s">
        <v>4304</v>
      </c>
      <c r="I47" s="2252" t="s">
        <v>25</v>
      </c>
      <c r="J47" s="1378"/>
      <c r="K47" s="1377"/>
      <c r="L47" s="1378"/>
      <c r="M47" s="1378"/>
      <c r="N47" s="1378"/>
      <c r="O47" s="2253" t="s">
        <v>4233</v>
      </c>
      <c r="P47" s="1375"/>
      <c r="R47" s="2252" t="s">
        <v>25</v>
      </c>
      <c r="S47" s="1378"/>
      <c r="T47" s="1377"/>
      <c r="U47" s="1378"/>
      <c r="V47" s="1378"/>
      <c r="W47" s="1378"/>
    </row>
    <row r="48" spans="1:23" s="1376" customFormat="1" ht="15.6" customHeight="1" x14ac:dyDescent="0.3">
      <c r="A48" s="2226">
        <v>29</v>
      </c>
      <c r="B48" s="1369" t="s">
        <v>4303</v>
      </c>
      <c r="C48" s="1370" t="s">
        <v>4288</v>
      </c>
      <c r="D48" s="1371" t="s">
        <v>172</v>
      </c>
      <c r="E48" s="1372" t="s">
        <v>1027</v>
      </c>
      <c r="F48" s="1373">
        <v>24560</v>
      </c>
      <c r="G48" s="1374">
        <v>8800</v>
      </c>
      <c r="H48" s="1799" t="s">
        <v>4304</v>
      </c>
      <c r="I48" s="2252" t="s">
        <v>25</v>
      </c>
      <c r="J48" s="1378"/>
      <c r="K48" s="1377"/>
      <c r="L48" s="1378"/>
      <c r="M48" s="1378"/>
      <c r="N48" s="1378"/>
      <c r="O48" s="2253" t="s">
        <v>477</v>
      </c>
      <c r="P48" s="1375"/>
      <c r="R48" s="2252" t="s">
        <v>25</v>
      </c>
      <c r="S48" s="1378"/>
      <c r="T48" s="1377"/>
      <c r="U48" s="1378"/>
      <c r="V48" s="1378"/>
      <c r="W48" s="1378"/>
    </row>
    <row r="49" spans="1:60" ht="18.75" customHeight="1" x14ac:dyDescent="0.45">
      <c r="A49" s="39"/>
      <c r="B49" s="172"/>
      <c r="C49" s="89"/>
      <c r="D49" s="230"/>
      <c r="E49" s="201"/>
      <c r="F49" s="176"/>
      <c r="G49" s="231">
        <f>SUM(G20:G48)</f>
        <v>292500</v>
      </c>
      <c r="H49" s="1800"/>
      <c r="I49" s="233"/>
      <c r="J49" s="629"/>
      <c r="K49" s="1379"/>
      <c r="L49" s="629"/>
      <c r="M49" s="1379"/>
      <c r="N49" s="1379"/>
      <c r="O49" s="2255"/>
      <c r="R49" s="233"/>
      <c r="S49" s="629"/>
      <c r="T49" s="1379"/>
      <c r="U49" s="629"/>
      <c r="V49" s="1379"/>
      <c r="W49" s="1379"/>
    </row>
    <row r="50" spans="1:60" x14ac:dyDescent="0.3">
      <c r="A50" s="1046">
        <v>635</v>
      </c>
      <c r="B50" s="1047" t="s">
        <v>4305</v>
      </c>
      <c r="C50" s="1048"/>
      <c r="D50" s="1048"/>
      <c r="E50" s="1048"/>
      <c r="F50" s="1380"/>
      <c r="G50" s="1381"/>
      <c r="H50" s="1382"/>
      <c r="I50" s="1380"/>
      <c r="J50" s="1380"/>
      <c r="K50" s="1380"/>
      <c r="L50" s="1380"/>
      <c r="M50" s="1380"/>
      <c r="N50" s="1380"/>
      <c r="O50" s="1383"/>
      <c r="R50" s="1380"/>
      <c r="S50" s="1380"/>
      <c r="T50" s="1380"/>
      <c r="U50" s="1380"/>
      <c r="V50" s="1380"/>
      <c r="W50" s="1380"/>
    </row>
    <row r="51" spans="1:60" x14ac:dyDescent="0.3">
      <c r="A51" s="2406">
        <v>1</v>
      </c>
      <c r="B51" s="645" t="s">
        <v>4306</v>
      </c>
      <c r="C51" s="1384">
        <v>635</v>
      </c>
      <c r="D51" s="1384">
        <v>64</v>
      </c>
      <c r="E51" s="1385" t="s">
        <v>600</v>
      </c>
      <c r="F51" s="1386">
        <v>23634</v>
      </c>
      <c r="G51" s="1387">
        <v>6050</v>
      </c>
      <c r="H51" s="1798" t="s">
        <v>4307</v>
      </c>
      <c r="I51" s="1366" t="s">
        <v>25</v>
      </c>
      <c r="J51" s="645"/>
      <c r="K51" s="645"/>
      <c r="L51" s="645"/>
      <c r="M51" s="645"/>
      <c r="N51" s="645"/>
      <c r="O51" s="821"/>
      <c r="R51" s="1366" t="s">
        <v>25</v>
      </c>
      <c r="S51" s="645"/>
      <c r="T51" s="645"/>
      <c r="U51" s="645"/>
      <c r="V51" s="645"/>
      <c r="W51" s="645"/>
    </row>
    <row r="52" spans="1:60" x14ac:dyDescent="0.3">
      <c r="A52" s="2406">
        <v>2</v>
      </c>
      <c r="B52" s="645" t="s">
        <v>4306</v>
      </c>
      <c r="C52" s="1384">
        <v>635</v>
      </c>
      <c r="D52" s="1384">
        <v>64</v>
      </c>
      <c r="E52" s="1385" t="s">
        <v>1271</v>
      </c>
      <c r="F52" s="1386">
        <v>23634</v>
      </c>
      <c r="G52" s="1387">
        <v>6050</v>
      </c>
      <c r="H52" s="1798" t="s">
        <v>4307</v>
      </c>
      <c r="I52" s="1366" t="s">
        <v>25</v>
      </c>
      <c r="J52" s="645"/>
      <c r="K52" s="645"/>
      <c r="L52" s="645"/>
      <c r="M52" s="645"/>
      <c r="N52" s="645"/>
      <c r="O52" s="821"/>
      <c r="R52" s="1366" t="s">
        <v>25</v>
      </c>
      <c r="S52" s="645"/>
      <c r="T52" s="645"/>
      <c r="U52" s="645"/>
      <c r="V52" s="645"/>
      <c r="W52" s="645"/>
    </row>
    <row r="53" spans="1:60" x14ac:dyDescent="0.3">
      <c r="A53" s="2406">
        <v>3</v>
      </c>
      <c r="B53" s="645" t="s">
        <v>4306</v>
      </c>
      <c r="C53" s="1384">
        <v>635</v>
      </c>
      <c r="D53" s="1384">
        <v>64</v>
      </c>
      <c r="E53" s="1385" t="s">
        <v>1104</v>
      </c>
      <c r="F53" s="1386">
        <v>23634</v>
      </c>
      <c r="G53" s="1387">
        <v>6050</v>
      </c>
      <c r="H53" s="1798" t="s">
        <v>4307</v>
      </c>
      <c r="I53" s="1366" t="s">
        <v>25</v>
      </c>
      <c r="J53" s="645"/>
      <c r="K53" s="645"/>
      <c r="L53" s="645"/>
      <c r="M53" s="248"/>
      <c r="N53" s="676"/>
      <c r="O53" s="821"/>
      <c r="R53" s="1366" t="s">
        <v>25</v>
      </c>
      <c r="S53" s="645"/>
      <c r="T53" s="645"/>
      <c r="U53" s="645"/>
      <c r="V53" s="248"/>
      <c r="W53" s="676"/>
    </row>
    <row r="54" spans="1:60" s="1286" customFormat="1" x14ac:dyDescent="0.3">
      <c r="A54" s="2406">
        <v>4</v>
      </c>
      <c r="B54" s="390" t="s">
        <v>4308</v>
      </c>
      <c r="C54" s="163" t="s">
        <v>1138</v>
      </c>
      <c r="D54" s="391" t="s">
        <v>172</v>
      </c>
      <c r="E54" s="165" t="s">
        <v>399</v>
      </c>
      <c r="F54" s="170">
        <v>24564</v>
      </c>
      <c r="G54" s="915">
        <v>14900</v>
      </c>
      <c r="H54" s="1801" t="s">
        <v>4309</v>
      </c>
      <c r="I54" s="1366" t="s">
        <v>25</v>
      </c>
      <c r="J54" s="1282"/>
      <c r="K54" s="1283"/>
      <c r="L54" s="390"/>
      <c r="M54" s="1388"/>
      <c r="N54" s="390"/>
      <c r="O54" s="1285"/>
      <c r="R54" s="1366" t="s">
        <v>25</v>
      </c>
      <c r="S54" s="1282"/>
      <c r="T54" s="1283"/>
      <c r="U54" s="390"/>
      <c r="V54" s="1388"/>
      <c r="W54" s="390"/>
    </row>
    <row r="55" spans="1:60" s="1282" customFormat="1" x14ac:dyDescent="0.3">
      <c r="A55" s="2406">
        <v>5</v>
      </c>
      <c r="B55" s="390" t="s">
        <v>4308</v>
      </c>
      <c r="C55" s="163" t="s">
        <v>1138</v>
      </c>
      <c r="D55" s="164" t="s">
        <v>172</v>
      </c>
      <c r="E55" s="165" t="s">
        <v>1108</v>
      </c>
      <c r="F55" s="170">
        <v>24564</v>
      </c>
      <c r="G55" s="915">
        <v>14900</v>
      </c>
      <c r="H55" s="1801" t="s">
        <v>4309</v>
      </c>
      <c r="I55" s="1366" t="s">
        <v>25</v>
      </c>
      <c r="K55" s="1283"/>
      <c r="L55" s="390"/>
      <c r="M55" s="1388"/>
      <c r="N55" s="390"/>
      <c r="O55" s="1285"/>
      <c r="P55" s="1286"/>
      <c r="Q55" s="1286"/>
      <c r="R55" s="1366" t="s">
        <v>25</v>
      </c>
      <c r="T55" s="1283"/>
      <c r="U55" s="390"/>
      <c r="V55" s="1388"/>
      <c r="W55" s="390"/>
      <c r="X55" s="1286"/>
      <c r="Y55" s="1286"/>
      <c r="Z55" s="1286"/>
      <c r="AA55" s="1286"/>
      <c r="AB55" s="1286"/>
      <c r="AC55" s="1286"/>
      <c r="AD55" s="1286"/>
      <c r="AE55" s="1286"/>
      <c r="AF55" s="1286"/>
      <c r="AG55" s="1286"/>
      <c r="AH55" s="1286"/>
      <c r="AI55" s="1286"/>
      <c r="AJ55" s="1286"/>
      <c r="AK55" s="1286"/>
      <c r="AL55" s="1286"/>
      <c r="AM55" s="1286"/>
      <c r="AN55" s="1286"/>
      <c r="AO55" s="1286"/>
      <c r="AP55" s="1286"/>
      <c r="AQ55" s="1286"/>
      <c r="AR55" s="1286"/>
      <c r="AS55" s="1286"/>
      <c r="AT55" s="1286"/>
      <c r="AU55" s="1286"/>
      <c r="AV55" s="1286"/>
      <c r="AW55" s="1286"/>
      <c r="AX55" s="1286"/>
      <c r="AY55" s="1286"/>
      <c r="AZ55" s="1286"/>
      <c r="BA55" s="1286"/>
      <c r="BB55" s="1286"/>
      <c r="BC55" s="1286"/>
      <c r="BD55" s="1286"/>
      <c r="BE55" s="1286"/>
      <c r="BF55" s="1286"/>
      <c r="BG55" s="1286"/>
      <c r="BH55" s="1286"/>
    </row>
    <row r="56" spans="1:60" s="1282" customFormat="1" x14ac:dyDescent="0.3">
      <c r="A56" s="2406">
        <v>6</v>
      </c>
      <c r="B56" s="390" t="s">
        <v>4308</v>
      </c>
      <c r="C56" s="163" t="s">
        <v>1138</v>
      </c>
      <c r="D56" s="391" t="s">
        <v>172</v>
      </c>
      <c r="E56" s="165" t="s">
        <v>1110</v>
      </c>
      <c r="F56" s="170">
        <v>24564</v>
      </c>
      <c r="G56" s="915">
        <v>14900</v>
      </c>
      <c r="H56" s="1801" t="s">
        <v>4309</v>
      </c>
      <c r="I56" s="1366" t="s">
        <v>25</v>
      </c>
      <c r="K56" s="1283"/>
      <c r="L56" s="390"/>
      <c r="M56" s="1388"/>
      <c r="N56" s="390"/>
      <c r="O56" s="1285"/>
      <c r="P56" s="1286"/>
      <c r="Q56" s="1286"/>
      <c r="R56" s="1366" t="s">
        <v>25</v>
      </c>
      <c r="T56" s="1283"/>
      <c r="U56" s="390"/>
      <c r="V56" s="1388"/>
      <c r="W56" s="390"/>
      <c r="X56" s="1286"/>
      <c r="Y56" s="1286"/>
      <c r="Z56" s="1286"/>
      <c r="AA56" s="1286"/>
      <c r="AB56" s="1286"/>
      <c r="AC56" s="1286"/>
      <c r="AD56" s="1286"/>
      <c r="AE56" s="1286"/>
      <c r="AF56" s="1286"/>
      <c r="AG56" s="1286"/>
      <c r="AH56" s="1286"/>
      <c r="AI56" s="1286"/>
      <c r="AJ56" s="1286"/>
      <c r="AK56" s="1286"/>
      <c r="AL56" s="1286"/>
      <c r="AM56" s="1286"/>
      <c r="AN56" s="1286"/>
      <c r="AO56" s="1286"/>
      <c r="AP56" s="1286"/>
      <c r="AQ56" s="1286"/>
      <c r="AR56" s="1286"/>
      <c r="AS56" s="1286"/>
      <c r="AT56" s="1286"/>
      <c r="AU56" s="1286"/>
      <c r="AV56" s="1286"/>
      <c r="AW56" s="1286"/>
      <c r="AX56" s="1286"/>
      <c r="AY56" s="1286"/>
      <c r="AZ56" s="1286"/>
      <c r="BA56" s="1286"/>
      <c r="BB56" s="1286"/>
      <c r="BC56" s="1286"/>
      <c r="BD56" s="1286"/>
      <c r="BE56" s="1286"/>
      <c r="BF56" s="1286"/>
      <c r="BG56" s="1286"/>
      <c r="BH56" s="1286"/>
    </row>
    <row r="57" spans="1:60" s="1282" customFormat="1" x14ac:dyDescent="0.3">
      <c r="A57" s="2406">
        <v>7</v>
      </c>
      <c r="B57" s="390" t="s">
        <v>4308</v>
      </c>
      <c r="C57" s="163" t="s">
        <v>1138</v>
      </c>
      <c r="D57" s="164" t="s">
        <v>172</v>
      </c>
      <c r="E57" s="165" t="s">
        <v>1112</v>
      </c>
      <c r="F57" s="170">
        <v>24564</v>
      </c>
      <c r="G57" s="915">
        <v>14900</v>
      </c>
      <c r="H57" s="1801" t="s">
        <v>4309</v>
      </c>
      <c r="I57" s="1366" t="s">
        <v>25</v>
      </c>
      <c r="K57" s="1283"/>
      <c r="L57" s="390"/>
      <c r="M57" s="1388"/>
      <c r="N57" s="390"/>
      <c r="O57" s="1285"/>
      <c r="P57" s="1286"/>
      <c r="Q57" s="1286"/>
      <c r="R57" s="1366" t="s">
        <v>25</v>
      </c>
      <c r="T57" s="1283"/>
      <c r="U57" s="390"/>
      <c r="V57" s="1388"/>
      <c r="W57" s="390"/>
      <c r="X57" s="1286"/>
      <c r="Y57" s="1286"/>
      <c r="Z57" s="1286"/>
      <c r="AA57" s="1286"/>
      <c r="AB57" s="1286"/>
      <c r="AC57" s="1286"/>
      <c r="AD57" s="1286"/>
      <c r="AE57" s="1286"/>
      <c r="AF57" s="1286"/>
      <c r="AG57" s="1286"/>
      <c r="AH57" s="1286"/>
      <c r="AI57" s="1286"/>
      <c r="AJ57" s="1286"/>
      <c r="AK57" s="1286"/>
      <c r="AL57" s="1286"/>
      <c r="AM57" s="1286"/>
      <c r="AN57" s="1286"/>
      <c r="AO57" s="1286"/>
      <c r="AP57" s="1286"/>
      <c r="AQ57" s="1286"/>
      <c r="AR57" s="1286"/>
      <c r="AS57" s="1286"/>
      <c r="AT57" s="1286"/>
      <c r="AU57" s="1286"/>
      <c r="AV57" s="1286"/>
      <c r="AW57" s="1286"/>
      <c r="AX57" s="1286"/>
      <c r="AY57" s="1286"/>
      <c r="AZ57" s="1286"/>
      <c r="BA57" s="1286"/>
      <c r="BB57" s="1286"/>
      <c r="BC57" s="1286"/>
      <c r="BD57" s="1286"/>
      <c r="BE57" s="1286"/>
      <c r="BF57" s="1286"/>
      <c r="BG57" s="1286"/>
      <c r="BH57" s="1286"/>
    </row>
    <row r="58" spans="1:60" s="1282" customFormat="1" x14ac:dyDescent="0.3">
      <c r="A58" s="2406">
        <v>8</v>
      </c>
      <c r="B58" s="390" t="s">
        <v>4308</v>
      </c>
      <c r="C58" s="163" t="s">
        <v>1138</v>
      </c>
      <c r="D58" s="391" t="s">
        <v>172</v>
      </c>
      <c r="E58" s="165" t="s">
        <v>1113</v>
      </c>
      <c r="F58" s="170">
        <v>24564</v>
      </c>
      <c r="G58" s="915">
        <v>14900</v>
      </c>
      <c r="H58" s="1801" t="s">
        <v>4309</v>
      </c>
      <c r="I58" s="1366" t="s">
        <v>25</v>
      </c>
      <c r="K58" s="1283"/>
      <c r="L58" s="390"/>
      <c r="M58" s="1388"/>
      <c r="N58" s="390"/>
      <c r="O58" s="1285"/>
      <c r="P58" s="1286"/>
      <c r="Q58" s="1286"/>
      <c r="R58" s="1366" t="s">
        <v>25</v>
      </c>
      <c r="T58" s="1283"/>
      <c r="U58" s="390"/>
      <c r="V58" s="1388"/>
      <c r="W58" s="390"/>
      <c r="X58" s="1286"/>
      <c r="Y58" s="1286"/>
      <c r="Z58" s="1286"/>
      <c r="AA58" s="1286"/>
      <c r="AB58" s="1286"/>
      <c r="AC58" s="1286"/>
      <c r="AD58" s="1286"/>
      <c r="AE58" s="1286"/>
      <c r="AF58" s="1286"/>
      <c r="AG58" s="1286"/>
      <c r="AH58" s="1286"/>
      <c r="AI58" s="1286"/>
      <c r="AJ58" s="1286"/>
      <c r="AK58" s="1286"/>
      <c r="AL58" s="1286"/>
      <c r="AM58" s="1286"/>
      <c r="AN58" s="1286"/>
      <c r="AO58" s="1286"/>
      <c r="AP58" s="1286"/>
      <c r="AQ58" s="1286"/>
      <c r="AR58" s="1286"/>
      <c r="AS58" s="1286"/>
      <c r="AT58" s="1286"/>
      <c r="AU58" s="1286"/>
      <c r="AV58" s="1286"/>
      <c r="AW58" s="1286"/>
      <c r="AX58" s="1286"/>
      <c r="AY58" s="1286"/>
      <c r="AZ58" s="1286"/>
      <c r="BA58" s="1286"/>
      <c r="BB58" s="1286"/>
      <c r="BC58" s="1286"/>
      <c r="BD58" s="1286"/>
      <c r="BE58" s="1286"/>
      <c r="BF58" s="1286"/>
      <c r="BG58" s="1286"/>
      <c r="BH58" s="1286"/>
    </row>
    <row r="59" spans="1:60" ht="19.5" customHeight="1" x14ac:dyDescent="0.45">
      <c r="A59" s="39"/>
      <c r="B59" s="172"/>
      <c r="C59" s="89"/>
      <c r="D59" s="230"/>
      <c r="E59" s="201"/>
      <c r="F59" s="176"/>
      <c r="G59" s="231">
        <f>SUM(G51:G58)</f>
        <v>92650</v>
      </c>
      <c r="H59" s="602"/>
      <c r="I59" s="233"/>
      <c r="J59" s="355"/>
      <c r="K59" s="355"/>
      <c r="L59" s="355"/>
      <c r="M59" s="355"/>
      <c r="N59" s="355"/>
      <c r="O59" s="469"/>
      <c r="R59" s="233"/>
      <c r="S59" s="355"/>
      <c r="T59" s="355"/>
      <c r="U59" s="355"/>
      <c r="V59" s="355"/>
      <c r="W59" s="355"/>
    </row>
    <row r="60" spans="1:60" x14ac:dyDescent="0.3">
      <c r="A60" s="1046">
        <v>701</v>
      </c>
      <c r="B60" s="1047" t="s">
        <v>4310</v>
      </c>
      <c r="C60" s="1048"/>
      <c r="D60" s="1048"/>
      <c r="E60" s="1048"/>
      <c r="F60" s="1380"/>
      <c r="G60" s="1381"/>
      <c r="H60" s="1382"/>
      <c r="I60" s="1380"/>
      <c r="J60" s="1380"/>
      <c r="K60" s="1380"/>
      <c r="L60" s="1380"/>
      <c r="M60" s="1380"/>
      <c r="N60" s="1380"/>
      <c r="O60" s="1383"/>
      <c r="R60" s="1380"/>
      <c r="S60" s="1380"/>
      <c r="T60" s="1380"/>
      <c r="U60" s="1380"/>
      <c r="V60" s="1380"/>
      <c r="W60" s="1380"/>
    </row>
    <row r="61" spans="1:60" x14ac:dyDescent="0.3">
      <c r="A61" s="2226">
        <v>1</v>
      </c>
      <c r="B61" s="248" t="s">
        <v>4311</v>
      </c>
      <c r="C61" s="216" t="s">
        <v>4312</v>
      </c>
      <c r="D61" s="67">
        <v>55</v>
      </c>
      <c r="E61" s="217" t="s">
        <v>418</v>
      </c>
      <c r="F61" s="350" t="s">
        <v>4313</v>
      </c>
      <c r="G61" s="351">
        <v>270000</v>
      </c>
      <c r="H61" s="1718" t="s">
        <v>4314</v>
      </c>
      <c r="I61" s="352" t="s">
        <v>25</v>
      </c>
      <c r="J61" s="353"/>
      <c r="K61" s="353"/>
      <c r="L61" s="353"/>
      <c r="M61" s="353"/>
      <c r="N61" s="353"/>
      <c r="O61" s="821"/>
      <c r="R61" s="352" t="s">
        <v>25</v>
      </c>
      <c r="S61" s="353"/>
      <c r="T61" s="353"/>
      <c r="U61" s="353"/>
      <c r="V61" s="353"/>
      <c r="W61" s="353"/>
    </row>
    <row r="62" spans="1:60" ht="19.5" customHeight="1" x14ac:dyDescent="0.45">
      <c r="A62" s="39"/>
      <c r="B62" s="172"/>
      <c r="C62" s="89"/>
      <c r="D62" s="230"/>
      <c r="E62" s="201"/>
      <c r="F62" s="176"/>
      <c r="G62" s="231">
        <f>SUM(G61:G61)</f>
        <v>270000</v>
      </c>
      <c r="H62" s="602"/>
      <c r="I62" s="233"/>
      <c r="J62" s="355"/>
      <c r="K62" s="355"/>
      <c r="L62" s="355"/>
      <c r="M62" s="355"/>
      <c r="N62" s="355"/>
      <c r="O62" s="469"/>
      <c r="R62" s="233"/>
      <c r="S62" s="355"/>
      <c r="T62" s="355"/>
      <c r="U62" s="355"/>
      <c r="V62" s="355"/>
      <c r="W62" s="355"/>
    </row>
    <row r="63" spans="1:60" x14ac:dyDescent="0.3">
      <c r="A63" s="481">
        <v>711</v>
      </c>
      <c r="B63" s="282" t="s">
        <v>4315</v>
      </c>
      <c r="C63" s="283"/>
      <c r="D63" s="283"/>
      <c r="E63" s="283"/>
      <c r="F63" s="286"/>
      <c r="G63" s="287"/>
      <c r="H63" s="970"/>
      <c r="I63" s="289"/>
      <c r="J63" s="290"/>
      <c r="K63" s="290"/>
      <c r="L63" s="291"/>
      <c r="M63" s="291"/>
      <c r="N63" s="290"/>
      <c r="O63" s="1389"/>
      <c r="R63" s="289"/>
      <c r="S63" s="290"/>
      <c r="T63" s="290"/>
      <c r="U63" s="291"/>
      <c r="V63" s="291"/>
      <c r="W63" s="290"/>
    </row>
    <row r="64" spans="1:60" x14ac:dyDescent="0.3">
      <c r="A64" s="2226">
        <v>1</v>
      </c>
      <c r="B64" s="248" t="s">
        <v>4316</v>
      </c>
      <c r="C64" s="216" t="s">
        <v>4317</v>
      </c>
      <c r="D64" s="416" t="s">
        <v>1036</v>
      </c>
      <c r="E64" s="217" t="s">
        <v>1359</v>
      </c>
      <c r="F64" s="218" t="s">
        <v>4318</v>
      </c>
      <c r="G64" s="192">
        <v>19300</v>
      </c>
      <c r="H64" s="1719" t="s">
        <v>4319</v>
      </c>
      <c r="I64" s="118" t="s">
        <v>25</v>
      </c>
      <c r="J64" s="119"/>
      <c r="K64" s="119"/>
      <c r="L64" s="119"/>
      <c r="M64" s="119"/>
      <c r="N64" s="119"/>
      <c r="O64" s="449"/>
      <c r="R64" s="118" t="s">
        <v>25</v>
      </c>
      <c r="S64" s="119"/>
      <c r="T64" s="119"/>
      <c r="U64" s="119"/>
      <c r="V64" s="119"/>
      <c r="W64" s="119"/>
    </row>
    <row r="65" spans="1:23" x14ac:dyDescent="0.3">
      <c r="A65" s="2226">
        <v>2</v>
      </c>
      <c r="B65" s="248" t="s">
        <v>4316</v>
      </c>
      <c r="C65" s="216" t="s">
        <v>4317</v>
      </c>
      <c r="D65" s="416" t="s">
        <v>1036</v>
      </c>
      <c r="E65" s="217" t="s">
        <v>1360</v>
      </c>
      <c r="F65" s="218" t="s">
        <v>4318</v>
      </c>
      <c r="G65" s="192">
        <v>19300</v>
      </c>
      <c r="H65" s="1719" t="s">
        <v>4319</v>
      </c>
      <c r="I65" s="118" t="s">
        <v>25</v>
      </c>
      <c r="J65" s="119"/>
      <c r="K65" s="119"/>
      <c r="L65" s="119"/>
      <c r="M65" s="119"/>
      <c r="N65" s="119"/>
      <c r="O65" s="449"/>
      <c r="R65" s="118" t="s">
        <v>25</v>
      </c>
      <c r="S65" s="119"/>
      <c r="T65" s="119"/>
      <c r="U65" s="119"/>
      <c r="V65" s="119"/>
      <c r="W65" s="119"/>
    </row>
    <row r="66" spans="1:23" ht="17.399999999999999" x14ac:dyDescent="0.45">
      <c r="A66" s="39"/>
      <c r="B66" s="172"/>
      <c r="C66" s="89"/>
      <c r="D66" s="230"/>
      <c r="E66" s="201"/>
      <c r="F66" s="176"/>
      <c r="G66" s="231">
        <f>SUM(G64:G65)</f>
        <v>38600</v>
      </c>
      <c r="H66" s="602"/>
      <c r="I66" s="233"/>
      <c r="J66" s="355"/>
      <c r="K66" s="355"/>
      <c r="L66" s="355"/>
      <c r="M66" s="355"/>
      <c r="N66" s="355"/>
      <c r="O66" s="469"/>
      <c r="R66" s="233"/>
      <c r="S66" s="355"/>
      <c r="T66" s="355"/>
      <c r="U66" s="355"/>
      <c r="V66" s="355"/>
      <c r="W66" s="355"/>
    </row>
    <row r="67" spans="1:23" x14ac:dyDescent="0.3">
      <c r="A67" s="1046">
        <v>722</v>
      </c>
      <c r="B67" s="1047" t="s">
        <v>4320</v>
      </c>
      <c r="C67" s="1048"/>
      <c r="D67" s="1048"/>
      <c r="E67" s="1048"/>
      <c r="F67" s="1380"/>
      <c r="G67" s="1381"/>
      <c r="H67" s="1382"/>
      <c r="I67" s="1380"/>
      <c r="J67" s="1380"/>
      <c r="K67" s="1380"/>
      <c r="L67" s="1380"/>
      <c r="M67" s="1380"/>
      <c r="N67" s="1380"/>
      <c r="O67" s="1383"/>
      <c r="R67" s="1380"/>
      <c r="S67" s="1380"/>
      <c r="T67" s="1380"/>
      <c r="U67" s="1380"/>
      <c r="V67" s="1380"/>
      <c r="W67" s="1380"/>
    </row>
    <row r="68" spans="1:23" x14ac:dyDescent="0.3">
      <c r="A68" s="2407">
        <v>1</v>
      </c>
      <c r="B68" s="645" t="s">
        <v>4321</v>
      </c>
      <c r="C68" s="1384">
        <v>722</v>
      </c>
      <c r="D68" s="1384">
        <v>64</v>
      </c>
      <c r="E68" s="1385" t="s">
        <v>1125</v>
      </c>
      <c r="F68" s="1386">
        <v>23634</v>
      </c>
      <c r="G68" s="1387">
        <v>6000</v>
      </c>
      <c r="H68" s="1798" t="s">
        <v>4260</v>
      </c>
      <c r="I68" s="1366" t="s">
        <v>25</v>
      </c>
      <c r="J68" s="645"/>
      <c r="K68" s="645"/>
      <c r="L68" s="645"/>
      <c r="M68" s="645"/>
      <c r="N68" s="645"/>
      <c r="O68" s="821"/>
      <c r="R68" s="1366" t="s">
        <v>25</v>
      </c>
      <c r="S68" s="645"/>
      <c r="T68" s="645"/>
      <c r="U68" s="645"/>
      <c r="V68" s="645"/>
      <c r="W68" s="645"/>
    </row>
    <row r="69" spans="1:23" x14ac:dyDescent="0.3">
      <c r="A69" s="2407">
        <v>2</v>
      </c>
      <c r="B69" s="645" t="s">
        <v>4321</v>
      </c>
      <c r="C69" s="1384">
        <v>722</v>
      </c>
      <c r="D69" s="1384">
        <v>64</v>
      </c>
      <c r="E69" s="1385" t="s">
        <v>599</v>
      </c>
      <c r="F69" s="1386">
        <v>23634</v>
      </c>
      <c r="G69" s="1387">
        <v>6000</v>
      </c>
      <c r="H69" s="1798" t="s">
        <v>4260</v>
      </c>
      <c r="I69" s="1366" t="s">
        <v>25</v>
      </c>
      <c r="J69" s="645"/>
      <c r="K69" s="645"/>
      <c r="L69" s="645"/>
      <c r="M69" s="645"/>
      <c r="N69" s="645"/>
      <c r="O69" s="821"/>
      <c r="R69" s="1366" t="s">
        <v>25</v>
      </c>
      <c r="S69" s="645"/>
      <c r="T69" s="645"/>
      <c r="U69" s="645"/>
      <c r="V69" s="645"/>
      <c r="W69" s="645"/>
    </row>
    <row r="70" spans="1:23" x14ac:dyDescent="0.3">
      <c r="A70" s="2407">
        <v>3</v>
      </c>
      <c r="B70" s="645" t="s">
        <v>4321</v>
      </c>
      <c r="C70" s="1384">
        <v>722</v>
      </c>
      <c r="D70" s="1384">
        <v>64</v>
      </c>
      <c r="E70" s="1385" t="s">
        <v>600</v>
      </c>
      <c r="F70" s="1386">
        <v>23634</v>
      </c>
      <c r="G70" s="1387">
        <v>6000</v>
      </c>
      <c r="H70" s="1798" t="s">
        <v>4260</v>
      </c>
      <c r="I70" s="1366" t="s">
        <v>25</v>
      </c>
      <c r="J70" s="645"/>
      <c r="K70" s="645"/>
      <c r="L70" s="645"/>
      <c r="M70" s="645"/>
      <c r="N70" s="645"/>
      <c r="O70" s="821"/>
      <c r="R70" s="1366" t="s">
        <v>25</v>
      </c>
      <c r="S70" s="645"/>
      <c r="T70" s="645"/>
      <c r="U70" s="645"/>
      <c r="V70" s="645"/>
      <c r="W70" s="645"/>
    </row>
    <row r="71" spans="1:23" x14ac:dyDescent="0.3">
      <c r="A71" s="2407">
        <v>4</v>
      </c>
      <c r="B71" s="645" t="s">
        <v>4321</v>
      </c>
      <c r="C71" s="1384">
        <v>722</v>
      </c>
      <c r="D71" s="1384">
        <v>64</v>
      </c>
      <c r="E71" s="1385" t="s">
        <v>1271</v>
      </c>
      <c r="F71" s="1386">
        <v>23634</v>
      </c>
      <c r="G71" s="1387">
        <v>6000</v>
      </c>
      <c r="H71" s="1798" t="s">
        <v>4260</v>
      </c>
      <c r="I71" s="1366" t="s">
        <v>25</v>
      </c>
      <c r="J71" s="645"/>
      <c r="K71" s="645"/>
      <c r="L71" s="645"/>
      <c r="M71" s="645"/>
      <c r="N71" s="645"/>
      <c r="O71" s="821"/>
      <c r="R71" s="1366" t="s">
        <v>25</v>
      </c>
      <c r="S71" s="645"/>
      <c r="T71" s="645"/>
      <c r="U71" s="645"/>
      <c r="V71" s="645"/>
      <c r="W71" s="645"/>
    </row>
    <row r="72" spans="1:23" x14ac:dyDescent="0.3">
      <c r="A72" s="2408">
        <v>5</v>
      </c>
      <c r="B72" s="645" t="s">
        <v>4321</v>
      </c>
      <c r="C72" s="1384">
        <v>722</v>
      </c>
      <c r="D72" s="1384">
        <v>64</v>
      </c>
      <c r="E72" s="1385" t="s">
        <v>1250</v>
      </c>
      <c r="F72" s="1386">
        <v>23634</v>
      </c>
      <c r="G72" s="1387">
        <v>6000</v>
      </c>
      <c r="H72" s="1798" t="s">
        <v>4260</v>
      </c>
      <c r="I72" s="1366" t="s">
        <v>25</v>
      </c>
      <c r="J72" s="353"/>
      <c r="K72" s="353"/>
      <c r="L72" s="353"/>
      <c r="M72" s="353"/>
      <c r="N72" s="353"/>
      <c r="O72" s="821"/>
      <c r="R72" s="1366" t="s">
        <v>25</v>
      </c>
      <c r="S72" s="353"/>
      <c r="T72" s="353"/>
      <c r="U72" s="353"/>
      <c r="V72" s="353"/>
      <c r="W72" s="353"/>
    </row>
    <row r="73" spans="1:23" ht="19.5" customHeight="1" x14ac:dyDescent="0.45">
      <c r="A73" s="39"/>
      <c r="B73" s="172"/>
      <c r="C73" s="89"/>
      <c r="D73" s="230"/>
      <c r="E73" s="201"/>
      <c r="F73" s="176"/>
      <c r="G73" s="231">
        <f>SUM(G68:G72)</f>
        <v>30000</v>
      </c>
      <c r="H73" s="602"/>
      <c r="I73" s="233"/>
      <c r="J73" s="355"/>
      <c r="K73" s="355"/>
      <c r="L73" s="355"/>
      <c r="M73" s="355"/>
      <c r="N73" s="355"/>
      <c r="O73" s="469"/>
      <c r="R73" s="233"/>
      <c r="S73" s="355"/>
      <c r="T73" s="355"/>
      <c r="U73" s="355"/>
      <c r="V73" s="355"/>
      <c r="W73" s="355"/>
    </row>
    <row r="74" spans="1:23" ht="17.399999999999999" x14ac:dyDescent="0.45">
      <c r="G74" s="1390">
        <f>G73+G66+G62+G59+G49+G18+G11</f>
        <v>760281.25</v>
      </c>
      <c r="R74" s="1">
        <f>COUNTA(R7:R73)</f>
        <v>50</v>
      </c>
      <c r="S74" s="1">
        <f t="shared" ref="S74:W74" si="0">COUNTA(S7:S73)</f>
        <v>2</v>
      </c>
      <c r="T74" s="1">
        <f t="shared" si="0"/>
        <v>2</v>
      </c>
      <c r="U74" s="1">
        <f t="shared" si="0"/>
        <v>0</v>
      </c>
      <c r="V74" s="1">
        <f t="shared" si="0"/>
        <v>0</v>
      </c>
      <c r="W74" s="1">
        <f t="shared" si="0"/>
        <v>0</v>
      </c>
    </row>
    <row r="76" spans="1:23" ht="20.25" customHeight="1" x14ac:dyDescent="0.35">
      <c r="B76" s="502" t="s">
        <v>601</v>
      </c>
      <c r="C76" s="502"/>
      <c r="D76" s="505"/>
      <c r="E76" s="509"/>
      <c r="F76" s="505"/>
      <c r="G76" s="504" t="s">
        <v>602</v>
      </c>
      <c r="H76" s="1"/>
      <c r="I76" s="505"/>
      <c r="J76" s="505" t="s">
        <v>603</v>
      </c>
      <c r="K76" s="505"/>
      <c r="L76" s="505"/>
      <c r="M76" s="505"/>
      <c r="O76" s="506"/>
    </row>
    <row r="77" spans="1:23" ht="18" x14ac:dyDescent="0.35">
      <c r="B77" s="507" t="s">
        <v>604</v>
      </c>
      <c r="C77" s="508"/>
      <c r="D77" s="505"/>
      <c r="E77" s="509"/>
      <c r="F77" s="505"/>
      <c r="G77" s="504"/>
      <c r="H77" s="509" t="s">
        <v>605</v>
      </c>
      <c r="J77" s="505"/>
      <c r="K77" s="505"/>
      <c r="L77" s="505"/>
      <c r="M77" s="505"/>
      <c r="O77" s="506"/>
    </row>
    <row r="78" spans="1:23" ht="18" x14ac:dyDescent="0.35">
      <c r="B78" s="507" t="s">
        <v>606</v>
      </c>
      <c r="C78" s="508"/>
      <c r="D78" s="505"/>
      <c r="E78" s="509"/>
      <c r="F78" s="505"/>
      <c r="G78" s="504"/>
      <c r="H78" s="509" t="s">
        <v>607</v>
      </c>
      <c r="J78" s="505"/>
      <c r="K78" s="505"/>
      <c r="L78" s="505"/>
      <c r="M78" s="505"/>
      <c r="O78" s="506"/>
    </row>
    <row r="79" spans="1:23" ht="10.5" customHeight="1" x14ac:dyDescent="0.35">
      <c r="B79" s="502"/>
      <c r="C79" s="502"/>
      <c r="D79" s="505"/>
      <c r="E79" s="509"/>
      <c r="F79" s="505"/>
      <c r="G79" s="790"/>
      <c r="H79" s="505"/>
      <c r="I79" s="505"/>
      <c r="J79" s="505"/>
      <c r="K79" s="505"/>
      <c r="L79" s="505"/>
      <c r="M79" s="505"/>
      <c r="O79" s="506"/>
    </row>
    <row r="80" spans="1:23" ht="18" x14ac:dyDescent="0.35">
      <c r="B80" s="502" t="s">
        <v>5313</v>
      </c>
      <c r="C80" s="502"/>
      <c r="D80" s="505"/>
      <c r="E80" s="509"/>
      <c r="F80" s="505"/>
      <c r="G80" s="504"/>
      <c r="H80" s="1"/>
      <c r="I80" s="505"/>
      <c r="J80" s="505"/>
      <c r="K80" s="505"/>
      <c r="L80" s="505"/>
      <c r="M80" s="505"/>
      <c r="O80" s="506"/>
    </row>
    <row r="81" spans="2:15" ht="18" x14ac:dyDescent="0.35">
      <c r="B81" s="507" t="s">
        <v>609</v>
      </c>
      <c r="C81" s="508"/>
      <c r="D81" s="505"/>
      <c r="E81" s="509"/>
      <c r="F81" s="505"/>
      <c r="G81" s="504"/>
      <c r="H81" s="509"/>
      <c r="J81" s="505"/>
      <c r="K81" s="505"/>
      <c r="L81" s="505"/>
      <c r="M81" s="505"/>
      <c r="O81" s="506"/>
    </row>
    <row r="82" spans="2:15" ht="18" x14ac:dyDescent="0.35">
      <c r="B82" s="507" t="s">
        <v>610</v>
      </c>
      <c r="C82" s="508"/>
      <c r="D82" s="505"/>
      <c r="E82" s="509"/>
      <c r="F82" s="505"/>
      <c r="G82" s="504"/>
      <c r="H82" s="509"/>
      <c r="J82" s="505"/>
      <c r="K82" s="505"/>
      <c r="L82" s="505"/>
      <c r="M82" s="505"/>
      <c r="O82" s="506"/>
    </row>
    <row r="84" spans="2:15" x14ac:dyDescent="0.3">
      <c r="B84" s="767" t="s">
        <v>611</v>
      </c>
      <c r="F84" s="766">
        <f>[9]งานธุรการ!G10</f>
        <v>6900</v>
      </c>
    </row>
    <row r="85" spans="2:15" x14ac:dyDescent="0.3">
      <c r="B85" s="767" t="s">
        <v>920</v>
      </c>
      <c r="F85" s="766">
        <f>'[9]ฝ่ายสาธารณูปโภค ไฟฟ้าสาธารณะ'!G9</f>
        <v>3200</v>
      </c>
    </row>
    <row r="86" spans="2:15" x14ac:dyDescent="0.3">
      <c r="B86" s="767" t="s">
        <v>4322</v>
      </c>
      <c r="F86" s="766">
        <f>[9]ฝ่ายสวนสาธารณะ!G58</f>
        <v>637681.25</v>
      </c>
    </row>
    <row r="87" spans="2:15" x14ac:dyDescent="0.3">
      <c r="B87" s="767" t="s">
        <v>615</v>
      </c>
      <c r="F87" s="766" t="e">
        <f>#REF!</f>
        <v>#REF!</v>
      </c>
    </row>
    <row r="88" spans="2:15" x14ac:dyDescent="0.3">
      <c r="B88" s="767" t="s">
        <v>616</v>
      </c>
      <c r="F88" s="766">
        <f>'[9]ฝ่ายช่างสุขาภิบาล งานกำจัดขยะมู'!G14</f>
        <v>18700</v>
      </c>
    </row>
    <row r="89" spans="2:15" ht="16.2" thickBot="1" x14ac:dyDescent="0.35">
      <c r="F89" s="1391" t="e">
        <f>SUM(F84:F88)</f>
        <v>#REF!</v>
      </c>
      <c r="G89" s="766" t="e">
        <f>F89-G74</f>
        <v>#REF!</v>
      </c>
    </row>
    <row r="90" spans="2:15" ht="16.2" thickTop="1" x14ac:dyDescent="0.3"/>
  </sheetData>
  <mergeCells count="10">
    <mergeCell ref="A1:O1"/>
    <mergeCell ref="A2:O2"/>
    <mergeCell ref="A3:B3"/>
    <mergeCell ref="A4:A5"/>
    <mergeCell ref="B4:B5"/>
    <mergeCell ref="C4:E5"/>
    <mergeCell ref="G4:G5"/>
    <mergeCell ref="H4:H5"/>
    <mergeCell ref="I4:N4"/>
    <mergeCell ref="O4:O5"/>
  </mergeCells>
  <pageMargins left="0.31496062992125984" right="0.31496062992125984" top="0.35433070866141736" bottom="0.35433070866141736" header="0.11811023622047245" footer="0.31496062992125984"/>
  <pageSetup paperSize="9" orientation="landscape" horizontalDpi="4294967294" verticalDpi="0" r:id="rId1"/>
  <headerFooter>
    <oddHeader>&amp;R&amp;P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H149"/>
  <sheetViews>
    <sheetView topLeftCell="A83" zoomScaleNormal="100" workbookViewId="0">
      <selection activeCell="H98" sqref="H98"/>
    </sheetView>
  </sheetViews>
  <sheetFormatPr defaultColWidth="9.109375" defaultRowHeight="15.6" x14ac:dyDescent="0.3"/>
  <cols>
    <col min="1" max="1" width="5.44140625" style="320" customWidth="1"/>
    <col min="2" max="2" width="43.44140625" style="1" customWidth="1"/>
    <col min="3" max="3" width="4.5546875" style="1" customWidth="1"/>
    <col min="4" max="4" width="3.109375" style="1" customWidth="1"/>
    <col min="5" max="5" width="6.109375" style="764" customWidth="1"/>
    <col min="6" max="6" width="11.109375" style="1" customWidth="1"/>
    <col min="7" max="7" width="12.6640625" style="766" customWidth="1"/>
    <col min="8" max="8" width="26.33203125" style="497" customWidth="1"/>
    <col min="9" max="14" width="3.33203125" style="1" customWidth="1"/>
    <col min="15" max="15" width="14.33203125" style="498" customWidth="1"/>
    <col min="16" max="16384" width="9.109375" style="1"/>
  </cols>
  <sheetData>
    <row r="1" spans="1:24" ht="18" x14ac:dyDescent="0.35">
      <c r="A1" s="2842" t="s">
        <v>0</v>
      </c>
      <c r="B1" s="2842"/>
      <c r="C1" s="2842"/>
      <c r="D1" s="2842"/>
      <c r="E1" s="2842"/>
      <c r="F1" s="2842"/>
      <c r="G1" s="2842"/>
      <c r="H1" s="2842"/>
      <c r="I1" s="2842"/>
      <c r="J1" s="2842"/>
      <c r="K1" s="2842"/>
      <c r="L1" s="2842"/>
      <c r="M1" s="2842"/>
      <c r="N1" s="2842"/>
      <c r="O1" s="2842"/>
    </row>
    <row r="2" spans="1:24" ht="18" x14ac:dyDescent="0.35">
      <c r="A2" s="2842" t="s">
        <v>1</v>
      </c>
      <c r="B2" s="2842"/>
      <c r="C2" s="2842"/>
      <c r="D2" s="2842"/>
      <c r="E2" s="2842"/>
      <c r="F2" s="2842"/>
      <c r="G2" s="2842"/>
      <c r="H2" s="2842"/>
      <c r="I2" s="2842"/>
      <c r="J2" s="2842"/>
      <c r="K2" s="2842"/>
      <c r="L2" s="2842"/>
      <c r="M2" s="2842"/>
      <c r="N2" s="2842"/>
      <c r="O2" s="2842"/>
    </row>
    <row r="3" spans="1:24" x14ac:dyDescent="0.3">
      <c r="A3" s="2861" t="s">
        <v>4323</v>
      </c>
      <c r="B3" s="2861"/>
      <c r="C3" s="3"/>
      <c r="D3" s="3"/>
      <c r="E3" s="3"/>
      <c r="F3" s="3"/>
      <c r="G3" s="5"/>
      <c r="H3" s="7"/>
      <c r="I3" s="3"/>
      <c r="J3" s="3"/>
      <c r="K3" s="3"/>
      <c r="L3" s="3"/>
      <c r="M3" s="3"/>
      <c r="N3" s="3"/>
      <c r="O3" s="7"/>
    </row>
    <row r="4" spans="1:24" s="10" customFormat="1" ht="18.75" customHeight="1" x14ac:dyDescent="0.3">
      <c r="A4" s="2867" t="s">
        <v>3</v>
      </c>
      <c r="B4" s="2868" t="s">
        <v>4</v>
      </c>
      <c r="C4" s="2911" t="s">
        <v>5</v>
      </c>
      <c r="D4" s="2912"/>
      <c r="E4" s="2913"/>
      <c r="F4" s="857" t="s">
        <v>6</v>
      </c>
      <c r="G4" s="2875" t="s">
        <v>7</v>
      </c>
      <c r="H4" s="2868" t="s">
        <v>8</v>
      </c>
      <c r="I4" s="2858" t="s">
        <v>9</v>
      </c>
      <c r="J4" s="2876"/>
      <c r="K4" s="2876"/>
      <c r="L4" s="2876"/>
      <c r="M4" s="2876"/>
      <c r="N4" s="2860"/>
      <c r="O4" s="2868" t="s">
        <v>10</v>
      </c>
    </row>
    <row r="5" spans="1:24" s="10" customFormat="1" ht="42" customHeight="1" x14ac:dyDescent="0.3">
      <c r="A5" s="2845"/>
      <c r="B5" s="2857"/>
      <c r="C5" s="2863"/>
      <c r="D5" s="2914"/>
      <c r="E5" s="2915"/>
      <c r="F5" s="514" t="s">
        <v>11</v>
      </c>
      <c r="G5" s="2865"/>
      <c r="H5" s="2857"/>
      <c r="I5" s="14" t="s">
        <v>12</v>
      </c>
      <c r="J5" s="14" t="s">
        <v>13</v>
      </c>
      <c r="K5" s="15" t="s">
        <v>14</v>
      </c>
      <c r="L5" s="15" t="s">
        <v>15</v>
      </c>
      <c r="M5" s="15" t="s">
        <v>16</v>
      </c>
      <c r="N5" s="15" t="s">
        <v>17</v>
      </c>
      <c r="O5" s="2857"/>
    </row>
    <row r="6" spans="1:24" x14ac:dyDescent="0.3">
      <c r="A6" s="772" t="s">
        <v>4324</v>
      </c>
      <c r="B6" s="773" t="s">
        <v>4325</v>
      </c>
      <c r="C6" s="2882"/>
      <c r="D6" s="2882"/>
      <c r="E6" s="2882"/>
      <c r="F6" s="860"/>
      <c r="G6" s="775"/>
      <c r="H6" s="776"/>
      <c r="I6" s="777"/>
      <c r="J6" s="778"/>
      <c r="K6" s="777"/>
      <c r="L6" s="778"/>
      <c r="M6" s="778"/>
      <c r="N6" s="779"/>
      <c r="O6" s="780"/>
    </row>
    <row r="7" spans="1:24" ht="18.600000000000001" customHeight="1" x14ac:dyDescent="0.3">
      <c r="A7" s="2341">
        <v>1</v>
      </c>
      <c r="B7" s="1392" t="s">
        <v>4326</v>
      </c>
      <c r="C7" s="593" t="s">
        <v>4324</v>
      </c>
      <c r="D7" s="1393">
        <v>43</v>
      </c>
      <c r="E7" s="1031" t="s">
        <v>545</v>
      </c>
      <c r="F7" s="1394" t="s">
        <v>4327</v>
      </c>
      <c r="G7" s="1395">
        <v>2700</v>
      </c>
      <c r="H7" s="2342" t="s">
        <v>328</v>
      </c>
      <c r="I7" s="524" t="s">
        <v>25</v>
      </c>
      <c r="J7" s="524"/>
      <c r="K7" s="524"/>
      <c r="L7" s="524"/>
      <c r="M7" s="524"/>
      <c r="N7" s="565"/>
      <c r="O7" s="1397"/>
      <c r="S7" s="524" t="s">
        <v>25</v>
      </c>
      <c r="T7" s="524"/>
      <c r="U7" s="524"/>
      <c r="V7" s="524"/>
      <c r="W7" s="524"/>
      <c r="X7" s="565"/>
    </row>
    <row r="8" spans="1:24" ht="18.600000000000001" customHeight="1" x14ac:dyDescent="0.3">
      <c r="A8" s="2439">
        <v>2</v>
      </c>
      <c r="B8" s="1398" t="s">
        <v>4328</v>
      </c>
      <c r="C8" s="1005" t="s">
        <v>4324</v>
      </c>
      <c r="D8" s="1006" t="s">
        <v>2322</v>
      </c>
      <c r="E8" s="1007" t="s">
        <v>408</v>
      </c>
      <c r="F8" s="1399" t="s">
        <v>4329</v>
      </c>
      <c r="G8" s="1000">
        <v>22500</v>
      </c>
      <c r="H8" s="1773" t="s">
        <v>41</v>
      </c>
      <c r="I8" s="1400" t="s">
        <v>25</v>
      </c>
      <c r="J8" s="1002"/>
      <c r="K8" s="1002"/>
      <c r="L8" s="1002"/>
      <c r="M8" s="1002"/>
      <c r="N8" s="1002"/>
      <c r="O8" s="2383" t="s">
        <v>4330</v>
      </c>
      <c r="S8" s="1400" t="s">
        <v>25</v>
      </c>
      <c r="T8" s="1002"/>
      <c r="U8" s="1002"/>
      <c r="V8" s="1002"/>
      <c r="W8" s="1002"/>
      <c r="X8" s="1002"/>
    </row>
    <row r="9" spans="1:24" ht="18.600000000000001" customHeight="1" x14ac:dyDescent="0.3">
      <c r="A9" s="2382">
        <v>3</v>
      </c>
      <c r="B9" s="1401" t="s">
        <v>4331</v>
      </c>
      <c r="C9" s="416" t="s">
        <v>4324</v>
      </c>
      <c r="D9" s="67">
        <v>62</v>
      </c>
      <c r="E9" s="217" t="s">
        <v>409</v>
      </c>
      <c r="F9" s="218" t="s">
        <v>1283</v>
      </c>
      <c r="G9" s="192">
        <v>24000</v>
      </c>
      <c r="H9" s="1802" t="s">
        <v>400</v>
      </c>
      <c r="I9" s="919" t="s">
        <v>25</v>
      </c>
      <c r="J9" s="84"/>
      <c r="K9" s="1402"/>
      <c r="L9" s="1403"/>
      <c r="M9" s="1403"/>
      <c r="N9" s="1402"/>
      <c r="O9" s="1404"/>
      <c r="S9" s="919" t="s">
        <v>25</v>
      </c>
      <c r="T9" s="84"/>
      <c r="U9" s="1402"/>
      <c r="V9" s="1403"/>
      <c r="W9" s="1403"/>
      <c r="X9" s="1402"/>
    </row>
    <row r="10" spans="1:24" ht="18.600000000000001" customHeight="1" x14ac:dyDescent="0.3">
      <c r="A10" s="552"/>
      <c r="B10" s="1405"/>
      <c r="C10" s="2945"/>
      <c r="D10" s="2946"/>
      <c r="E10" s="2947"/>
      <c r="F10" s="1406"/>
      <c r="G10" s="1407">
        <f>SUM(G7:G9)</f>
        <v>49200</v>
      </c>
      <c r="H10" s="1408"/>
      <c r="I10" s="552"/>
      <c r="J10" s="552"/>
      <c r="K10" s="552"/>
      <c r="L10" s="552"/>
      <c r="M10" s="552"/>
      <c r="N10" s="355"/>
      <c r="O10" s="938"/>
      <c r="S10" s="552"/>
      <c r="T10" s="552"/>
      <c r="U10" s="552"/>
      <c r="V10" s="552"/>
      <c r="W10" s="552"/>
      <c r="X10" s="355"/>
    </row>
    <row r="11" spans="1:24" x14ac:dyDescent="0.3">
      <c r="A11" s="772" t="s">
        <v>4332</v>
      </c>
      <c r="B11" s="773" t="s">
        <v>4333</v>
      </c>
      <c r="C11" s="2882"/>
      <c r="D11" s="2882"/>
      <c r="E11" s="2882"/>
      <c r="F11" s="860"/>
      <c r="G11" s="775"/>
      <c r="H11" s="776"/>
      <c r="I11" s="777"/>
      <c r="J11" s="778"/>
      <c r="K11" s="777"/>
      <c r="L11" s="778"/>
      <c r="M11" s="778"/>
      <c r="N11" s="779"/>
      <c r="O11" s="780"/>
      <c r="S11" s="777"/>
      <c r="T11" s="778"/>
      <c r="U11" s="777"/>
      <c r="V11" s="778"/>
      <c r="W11" s="778"/>
      <c r="X11" s="779"/>
    </row>
    <row r="12" spans="1:24" x14ac:dyDescent="0.3">
      <c r="A12" s="2343" t="s">
        <v>898</v>
      </c>
      <c r="B12" s="761" t="s">
        <v>4334</v>
      </c>
      <c r="C12" s="726" t="s">
        <v>4332</v>
      </c>
      <c r="D12" s="401">
        <v>31</v>
      </c>
      <c r="E12" s="913" t="s">
        <v>599</v>
      </c>
      <c r="F12" s="403" t="s">
        <v>4335</v>
      </c>
      <c r="G12" s="404">
        <v>6920</v>
      </c>
      <c r="H12" s="1396" t="s">
        <v>328</v>
      </c>
      <c r="I12" s="406" t="s">
        <v>25</v>
      </c>
      <c r="J12" s="930"/>
      <c r="K12" s="214"/>
      <c r="L12" s="930"/>
      <c r="M12" s="930"/>
      <c r="N12" s="931"/>
      <c r="O12" s="932"/>
      <c r="S12" s="406" t="s">
        <v>25</v>
      </c>
      <c r="T12" s="930"/>
      <c r="U12" s="214"/>
      <c r="V12" s="930"/>
      <c r="W12" s="930"/>
      <c r="X12" s="931"/>
    </row>
    <row r="13" spans="1:24" x14ac:dyDescent="0.3">
      <c r="A13" s="2384" t="s">
        <v>902</v>
      </c>
      <c r="B13" s="761" t="s">
        <v>4336</v>
      </c>
      <c r="C13" s="1409" t="s">
        <v>4332</v>
      </c>
      <c r="D13" s="1410">
        <v>40</v>
      </c>
      <c r="E13" s="1411" t="s">
        <v>1112</v>
      </c>
      <c r="F13" s="411" t="s">
        <v>4337</v>
      </c>
      <c r="G13" s="404">
        <v>22000</v>
      </c>
      <c r="H13" s="1773" t="s">
        <v>41</v>
      </c>
      <c r="I13" s="121" t="s">
        <v>25</v>
      </c>
      <c r="J13" s="730"/>
      <c r="K13" s="189"/>
      <c r="L13" s="730"/>
      <c r="M13" s="730"/>
      <c r="N13" s="296"/>
      <c r="O13" s="2425" t="s">
        <v>5896</v>
      </c>
      <c r="S13" s="121" t="s">
        <v>25</v>
      </c>
      <c r="T13" s="730"/>
      <c r="U13" s="189"/>
      <c r="V13" s="730"/>
      <c r="W13" s="730"/>
      <c r="X13" s="296"/>
    </row>
    <row r="14" spans="1:24" x14ac:dyDescent="0.3">
      <c r="A14" s="2384" t="s">
        <v>1164</v>
      </c>
      <c r="B14" s="1412" t="s">
        <v>4338</v>
      </c>
      <c r="C14" s="614" t="s">
        <v>4332</v>
      </c>
      <c r="D14" s="1413">
        <v>43</v>
      </c>
      <c r="E14" s="1414" t="s">
        <v>1113</v>
      </c>
      <c r="F14" s="615" t="s">
        <v>4339</v>
      </c>
      <c r="G14" s="616">
        <v>21500</v>
      </c>
      <c r="H14" s="1803" t="s">
        <v>400</v>
      </c>
      <c r="I14" s="352" t="s">
        <v>25</v>
      </c>
      <c r="J14" s="353"/>
      <c r="K14" s="353"/>
      <c r="L14" s="351"/>
      <c r="M14" s="351"/>
      <c r="N14" s="353"/>
      <c r="O14" s="2372" t="s">
        <v>477</v>
      </c>
      <c r="S14" s="352" t="s">
        <v>25</v>
      </c>
      <c r="T14" s="353"/>
      <c r="U14" s="353"/>
      <c r="V14" s="351"/>
      <c r="W14" s="351"/>
      <c r="X14" s="353"/>
    </row>
    <row r="15" spans="1:24" x14ac:dyDescent="0.3">
      <c r="A15" s="2384" t="s">
        <v>1166</v>
      </c>
      <c r="B15" s="248" t="s">
        <v>4340</v>
      </c>
      <c r="C15" s="216" t="s">
        <v>4332</v>
      </c>
      <c r="D15" s="67">
        <v>51</v>
      </c>
      <c r="E15" s="217" t="s">
        <v>1114</v>
      </c>
      <c r="F15" s="218" t="s">
        <v>4341</v>
      </c>
      <c r="G15" s="192">
        <v>21500</v>
      </c>
      <c r="H15" s="1205" t="s">
        <v>400</v>
      </c>
      <c r="I15" s="118" t="s">
        <v>25</v>
      </c>
      <c r="J15" s="119"/>
      <c r="K15" s="119"/>
      <c r="L15" s="192"/>
      <c r="M15" s="192"/>
      <c r="N15" s="119"/>
      <c r="O15" s="2369" t="s">
        <v>477</v>
      </c>
      <c r="S15" s="118" t="s">
        <v>25</v>
      </c>
      <c r="T15" s="119"/>
      <c r="U15" s="119"/>
      <c r="V15" s="192"/>
      <c r="W15" s="192"/>
      <c r="X15" s="119"/>
    </row>
    <row r="16" spans="1:24" x14ac:dyDescent="0.3">
      <c r="A16" s="2384" t="s">
        <v>1168</v>
      </c>
      <c r="B16" s="248" t="s">
        <v>4342</v>
      </c>
      <c r="C16" s="216" t="s">
        <v>4332</v>
      </c>
      <c r="D16" s="67">
        <v>55</v>
      </c>
      <c r="E16" s="217" t="s">
        <v>1115</v>
      </c>
      <c r="F16" s="218" t="s">
        <v>1245</v>
      </c>
      <c r="G16" s="192">
        <v>17500</v>
      </c>
      <c r="H16" s="1205" t="s">
        <v>400</v>
      </c>
      <c r="I16" s="118" t="s">
        <v>25</v>
      </c>
      <c r="J16" s="119"/>
      <c r="K16" s="119"/>
      <c r="L16" s="192"/>
      <c r="M16" s="192"/>
      <c r="N16" s="119"/>
      <c r="O16" s="2369" t="s">
        <v>477</v>
      </c>
      <c r="S16" s="118" t="s">
        <v>25</v>
      </c>
      <c r="T16" s="119"/>
      <c r="U16" s="119"/>
      <c r="V16" s="192"/>
      <c r="W16" s="192"/>
      <c r="X16" s="119"/>
    </row>
    <row r="17" spans="1:24" x14ac:dyDescent="0.3">
      <c r="A17" s="2384" t="s">
        <v>4343</v>
      </c>
      <c r="B17" s="313" t="s">
        <v>4344</v>
      </c>
      <c r="C17" s="418" t="s">
        <v>4332</v>
      </c>
      <c r="D17" s="75">
        <v>59</v>
      </c>
      <c r="E17" s="419" t="s">
        <v>1347</v>
      </c>
      <c r="F17" s="82" t="s">
        <v>4345</v>
      </c>
      <c r="G17" s="192">
        <v>39400</v>
      </c>
      <c r="H17" s="1773" t="s">
        <v>41</v>
      </c>
      <c r="I17" s="34" t="s">
        <v>25</v>
      </c>
      <c r="J17" s="119"/>
      <c r="K17" s="119"/>
      <c r="L17" s="192"/>
      <c r="M17" s="192"/>
      <c r="N17" s="119"/>
      <c r="O17" s="2425" t="s">
        <v>5896</v>
      </c>
      <c r="S17" s="34" t="s">
        <v>25</v>
      </c>
      <c r="T17" s="119"/>
      <c r="U17" s="119"/>
      <c r="V17" s="192"/>
      <c r="W17" s="192"/>
      <c r="X17" s="119"/>
    </row>
    <row r="18" spans="1:24" x14ac:dyDescent="0.3">
      <c r="A18" s="2384" t="s">
        <v>4346</v>
      </c>
      <c r="B18" s="313" t="s">
        <v>4347</v>
      </c>
      <c r="C18" s="216" t="s">
        <v>4332</v>
      </c>
      <c r="D18" s="67">
        <v>60</v>
      </c>
      <c r="E18" s="217" t="s">
        <v>1351</v>
      </c>
      <c r="F18" s="218" t="s">
        <v>4348</v>
      </c>
      <c r="G18" s="192">
        <v>23500</v>
      </c>
      <c r="H18" s="1773" t="s">
        <v>41</v>
      </c>
      <c r="I18" s="34" t="s">
        <v>25</v>
      </c>
      <c r="J18" s="147"/>
      <c r="K18" s="147"/>
      <c r="L18" s="147"/>
      <c r="M18" s="147"/>
      <c r="N18" s="147"/>
      <c r="O18" s="2425" t="s">
        <v>5896</v>
      </c>
      <c r="S18" s="34" t="s">
        <v>25</v>
      </c>
      <c r="T18" s="147"/>
      <c r="U18" s="147"/>
      <c r="V18" s="147"/>
      <c r="W18" s="147"/>
      <c r="X18" s="147"/>
    </row>
    <row r="19" spans="1:24" x14ac:dyDescent="0.3">
      <c r="A19" s="2400" t="s">
        <v>4349</v>
      </c>
      <c r="B19" s="543" t="s">
        <v>4350</v>
      </c>
      <c r="C19" s="216" t="s">
        <v>4332</v>
      </c>
      <c r="D19" s="67">
        <v>66</v>
      </c>
      <c r="E19" s="217" t="s">
        <v>1352</v>
      </c>
      <c r="F19" s="218" t="s">
        <v>4351</v>
      </c>
      <c r="G19" s="192">
        <v>10200</v>
      </c>
      <c r="H19" s="1773" t="s">
        <v>41</v>
      </c>
      <c r="I19" s="34" t="s">
        <v>25</v>
      </c>
      <c r="J19" s="37"/>
      <c r="K19" s="37"/>
      <c r="L19" s="37"/>
      <c r="M19" s="37"/>
      <c r="N19" s="37"/>
      <c r="O19" s="2403" t="s">
        <v>5894</v>
      </c>
      <c r="S19" s="34" t="s">
        <v>25</v>
      </c>
      <c r="T19" s="37"/>
      <c r="U19" s="37"/>
      <c r="V19" s="37"/>
      <c r="W19" s="37"/>
      <c r="X19" s="37"/>
    </row>
    <row r="20" spans="1:24" ht="17.399999999999999" x14ac:dyDescent="0.3">
      <c r="A20" s="552"/>
      <c r="B20" s="1405"/>
      <c r="C20" s="1415"/>
      <c r="D20" s="1416"/>
      <c r="E20" s="1416"/>
      <c r="F20" s="1417"/>
      <c r="G20" s="1418">
        <f>SUM(G12:G19)</f>
        <v>162520</v>
      </c>
      <c r="H20" s="1408"/>
      <c r="I20" s="552"/>
      <c r="J20" s="552"/>
      <c r="K20" s="552"/>
      <c r="L20" s="552"/>
      <c r="M20" s="552"/>
      <c r="N20" s="355"/>
      <c r="O20" s="1419"/>
      <c r="S20" s="552"/>
      <c r="T20" s="552"/>
      <c r="U20" s="552"/>
      <c r="V20" s="552"/>
      <c r="W20" s="552"/>
      <c r="X20" s="355"/>
    </row>
    <row r="21" spans="1:24" ht="18.600000000000001" customHeight="1" x14ac:dyDescent="0.3">
      <c r="A21" s="772" t="s">
        <v>4352</v>
      </c>
      <c r="B21" s="773" t="s">
        <v>4353</v>
      </c>
      <c r="C21" s="2882"/>
      <c r="D21" s="2882"/>
      <c r="E21" s="2882"/>
      <c r="F21" s="860"/>
      <c r="G21" s="775"/>
      <c r="H21" s="776"/>
      <c r="I21" s="777"/>
      <c r="J21" s="778"/>
      <c r="K21" s="777"/>
      <c r="L21" s="778"/>
      <c r="M21" s="778"/>
      <c r="N21" s="779"/>
      <c r="O21" s="780"/>
      <c r="S21" s="777"/>
      <c r="T21" s="778"/>
      <c r="U21" s="777"/>
      <c r="V21" s="778"/>
      <c r="W21" s="778"/>
      <c r="X21" s="779"/>
    </row>
    <row r="22" spans="1:24" ht="18.600000000000001" customHeight="1" x14ac:dyDescent="0.3">
      <c r="A22" s="2226">
        <v>1</v>
      </c>
      <c r="B22" s="248" t="s">
        <v>4354</v>
      </c>
      <c r="C22" s="216" t="s">
        <v>4352</v>
      </c>
      <c r="D22" s="67">
        <v>45</v>
      </c>
      <c r="E22" s="217" t="s">
        <v>1347</v>
      </c>
      <c r="F22" s="218" t="s">
        <v>4355</v>
      </c>
      <c r="G22" s="192">
        <v>6300</v>
      </c>
      <c r="H22" s="1205" t="s">
        <v>400</v>
      </c>
      <c r="I22" s="118" t="s">
        <v>25</v>
      </c>
      <c r="J22" s="1270"/>
      <c r="K22" s="119"/>
      <c r="L22" s="192"/>
      <c r="M22" s="192"/>
      <c r="N22" s="119"/>
      <c r="O22" s="2369" t="s">
        <v>477</v>
      </c>
      <c r="S22" s="118" t="s">
        <v>25</v>
      </c>
      <c r="T22" s="1270"/>
      <c r="U22" s="119"/>
      <c r="V22" s="192"/>
      <c r="W22" s="192"/>
      <c r="X22" s="119"/>
    </row>
    <row r="23" spans="1:24" ht="18.600000000000001" customHeight="1" x14ac:dyDescent="0.45">
      <c r="A23" s="1420"/>
      <c r="B23" s="543"/>
      <c r="C23" s="1421"/>
      <c r="D23" s="1422"/>
      <c r="E23" s="1423"/>
      <c r="F23" s="1424"/>
      <c r="G23" s="1425">
        <f>SUM(G22:G22)</f>
        <v>6300</v>
      </c>
      <c r="H23" s="1426"/>
      <c r="I23" s="1427"/>
      <c r="J23" s="84"/>
      <c r="K23" s="1428"/>
      <c r="L23" s="37"/>
      <c r="M23" s="37"/>
      <c r="N23" s="37"/>
      <c r="O23" s="940"/>
      <c r="S23" s="1427"/>
      <c r="T23" s="84"/>
      <c r="U23" s="1428"/>
      <c r="V23" s="37"/>
      <c r="W23" s="37"/>
      <c r="X23" s="37"/>
    </row>
    <row r="24" spans="1:24" ht="18.600000000000001" customHeight="1" x14ac:dyDescent="0.3">
      <c r="A24" s="772" t="s">
        <v>4356</v>
      </c>
      <c r="B24" s="773" t="s">
        <v>4357</v>
      </c>
      <c r="C24" s="2882"/>
      <c r="D24" s="2882"/>
      <c r="E24" s="2882"/>
      <c r="F24" s="860"/>
      <c r="G24" s="775"/>
      <c r="H24" s="776"/>
      <c r="I24" s="777"/>
      <c r="J24" s="778"/>
      <c r="K24" s="777"/>
      <c r="L24" s="778"/>
      <c r="M24" s="778"/>
      <c r="N24" s="779"/>
      <c r="O24" s="780"/>
      <c r="S24" s="777"/>
      <c r="T24" s="778"/>
      <c r="U24" s="777"/>
      <c r="V24" s="778"/>
      <c r="W24" s="778"/>
      <c r="X24" s="779"/>
    </row>
    <row r="25" spans="1:24" ht="18.600000000000001" customHeight="1" x14ac:dyDescent="0.3">
      <c r="A25" s="2385">
        <v>1</v>
      </c>
      <c r="B25" s="248" t="s">
        <v>4358</v>
      </c>
      <c r="C25" s="416" t="s">
        <v>4356</v>
      </c>
      <c r="D25" s="67">
        <v>45</v>
      </c>
      <c r="E25" s="217" t="s">
        <v>934</v>
      </c>
      <c r="F25" s="218" t="s">
        <v>4359</v>
      </c>
      <c r="G25" s="192">
        <v>5100</v>
      </c>
      <c r="H25" s="1205" t="s">
        <v>400</v>
      </c>
      <c r="I25" s="118" t="s">
        <v>25</v>
      </c>
      <c r="J25" s="1270"/>
      <c r="K25" s="119"/>
      <c r="L25" s="119"/>
      <c r="M25" s="119"/>
      <c r="N25" s="119"/>
      <c r="O25" s="2369" t="s">
        <v>477</v>
      </c>
      <c r="S25" s="118" t="s">
        <v>25</v>
      </c>
      <c r="T25" s="1270"/>
      <c r="U25" s="119"/>
      <c r="V25" s="119"/>
      <c r="W25" s="119"/>
      <c r="X25" s="119"/>
    </row>
    <row r="26" spans="1:24" ht="18.600000000000001" customHeight="1" x14ac:dyDescent="0.3">
      <c r="A26" s="2385">
        <v>2</v>
      </c>
      <c r="B26" s="248" t="s">
        <v>4360</v>
      </c>
      <c r="C26" s="416" t="s">
        <v>4356</v>
      </c>
      <c r="D26" s="67">
        <v>45</v>
      </c>
      <c r="E26" s="217" t="s">
        <v>1353</v>
      </c>
      <c r="F26" s="218" t="s">
        <v>4359</v>
      </c>
      <c r="G26" s="192">
        <v>14500</v>
      </c>
      <c r="H26" s="1205" t="s">
        <v>400</v>
      </c>
      <c r="I26" s="118" t="s">
        <v>25</v>
      </c>
      <c r="J26" s="119"/>
      <c r="K26" s="119"/>
      <c r="L26" s="119"/>
      <c r="M26" s="119"/>
      <c r="N26" s="119"/>
      <c r="O26" s="2369" t="s">
        <v>477</v>
      </c>
      <c r="S26" s="118" t="s">
        <v>25</v>
      </c>
      <c r="T26" s="119"/>
      <c r="U26" s="119"/>
      <c r="V26" s="119"/>
      <c r="W26" s="119"/>
      <c r="X26" s="119"/>
    </row>
    <row r="27" spans="1:24" ht="18.600000000000001" customHeight="1" x14ac:dyDescent="0.3">
      <c r="A27" s="2385">
        <v>3</v>
      </c>
      <c r="B27" s="248" t="s">
        <v>4361</v>
      </c>
      <c r="C27" s="416" t="s">
        <v>4356</v>
      </c>
      <c r="D27" s="67">
        <v>47</v>
      </c>
      <c r="E27" s="217" t="s">
        <v>418</v>
      </c>
      <c r="F27" s="218" t="s">
        <v>1308</v>
      </c>
      <c r="G27" s="192">
        <v>6800</v>
      </c>
      <c r="H27" s="1205" t="s">
        <v>400</v>
      </c>
      <c r="I27" s="118" t="s">
        <v>25</v>
      </c>
      <c r="J27" s="119"/>
      <c r="K27" s="119"/>
      <c r="L27" s="119"/>
      <c r="M27" s="119"/>
      <c r="N27" s="119"/>
      <c r="O27" s="2369" t="s">
        <v>477</v>
      </c>
      <c r="S27" s="118" t="s">
        <v>25</v>
      </c>
      <c r="T27" s="119"/>
      <c r="U27" s="119"/>
      <c r="V27" s="119"/>
      <c r="W27" s="119"/>
      <c r="X27" s="119"/>
    </row>
    <row r="28" spans="1:24" ht="18.600000000000001" customHeight="1" x14ac:dyDescent="0.3">
      <c r="A28" s="2385">
        <v>4</v>
      </c>
      <c r="B28" s="248" t="s">
        <v>4362</v>
      </c>
      <c r="C28" s="416" t="s">
        <v>4356</v>
      </c>
      <c r="D28" s="67">
        <v>47</v>
      </c>
      <c r="E28" s="217" t="s">
        <v>542</v>
      </c>
      <c r="F28" s="218" t="s">
        <v>1308</v>
      </c>
      <c r="G28" s="192">
        <v>4900</v>
      </c>
      <c r="H28" s="1205" t="s">
        <v>400</v>
      </c>
      <c r="I28" s="118" t="s">
        <v>25</v>
      </c>
      <c r="J28" s="119"/>
      <c r="K28" s="119"/>
      <c r="L28" s="119"/>
      <c r="M28" s="119"/>
      <c r="N28" s="119"/>
      <c r="O28" s="2369" t="s">
        <v>477</v>
      </c>
      <c r="S28" s="118" t="s">
        <v>25</v>
      </c>
      <c r="T28" s="119"/>
      <c r="U28" s="119"/>
      <c r="V28" s="119"/>
      <c r="W28" s="119"/>
      <c r="X28" s="119"/>
    </row>
    <row r="29" spans="1:24" ht="18.600000000000001" customHeight="1" x14ac:dyDescent="0.3">
      <c r="A29" s="2385">
        <v>5</v>
      </c>
      <c r="B29" s="248" t="s">
        <v>4363</v>
      </c>
      <c r="C29" s="416" t="s">
        <v>4356</v>
      </c>
      <c r="D29" s="67">
        <v>52</v>
      </c>
      <c r="E29" s="217" t="s">
        <v>543</v>
      </c>
      <c r="F29" s="218" t="s">
        <v>4364</v>
      </c>
      <c r="G29" s="192">
        <v>3300</v>
      </c>
      <c r="H29" s="1205" t="s">
        <v>4365</v>
      </c>
      <c r="I29" s="118" t="s">
        <v>25</v>
      </c>
      <c r="J29" s="119"/>
      <c r="K29" s="119"/>
      <c r="L29" s="119"/>
      <c r="M29" s="119"/>
      <c r="N29" s="119"/>
      <c r="O29" s="2369" t="s">
        <v>477</v>
      </c>
      <c r="S29" s="118" t="s">
        <v>25</v>
      </c>
      <c r="T29" s="119"/>
      <c r="U29" s="119"/>
      <c r="V29" s="119"/>
      <c r="W29" s="119"/>
      <c r="X29" s="119"/>
    </row>
    <row r="30" spans="1:24" ht="18.600000000000001" customHeight="1" x14ac:dyDescent="0.3">
      <c r="A30" s="2385">
        <v>6</v>
      </c>
      <c r="B30" s="248" t="s">
        <v>4366</v>
      </c>
      <c r="C30" s="216" t="s">
        <v>4356</v>
      </c>
      <c r="D30" s="67">
        <v>56</v>
      </c>
      <c r="E30" s="217" t="s">
        <v>319</v>
      </c>
      <c r="F30" s="218" t="s">
        <v>4367</v>
      </c>
      <c r="G30" s="192">
        <v>49000</v>
      </c>
      <c r="H30" s="1719" t="s">
        <v>215</v>
      </c>
      <c r="I30" s="118" t="s">
        <v>25</v>
      </c>
      <c r="J30" s="119"/>
      <c r="K30" s="119"/>
      <c r="L30" s="119"/>
      <c r="M30" s="119"/>
      <c r="N30" s="119"/>
      <c r="O30" s="191"/>
      <c r="S30" s="118" t="s">
        <v>25</v>
      </c>
      <c r="T30" s="119"/>
      <c r="U30" s="119"/>
      <c r="V30" s="119"/>
      <c r="W30" s="119"/>
      <c r="X30" s="119"/>
    </row>
    <row r="31" spans="1:24" ht="18.600000000000001" customHeight="1" x14ac:dyDescent="0.45">
      <c r="A31" s="39"/>
      <c r="B31" s="204"/>
      <c r="C31" s="2877"/>
      <c r="D31" s="2878"/>
      <c r="E31" s="2879"/>
      <c r="F31" s="204"/>
      <c r="G31" s="713">
        <f>SUM(G25:G30)</f>
        <v>83600</v>
      </c>
      <c r="H31" s="178"/>
      <c r="I31" s="204"/>
      <c r="J31" s="204"/>
      <c r="K31" s="204"/>
      <c r="L31" s="204"/>
      <c r="M31" s="204"/>
      <c r="N31" s="204"/>
      <c r="O31" s="205"/>
      <c r="S31" s="204"/>
      <c r="T31" s="204"/>
      <c r="U31" s="204"/>
      <c r="V31" s="204"/>
      <c r="W31" s="204"/>
      <c r="X31" s="204"/>
    </row>
    <row r="32" spans="1:24" x14ac:dyDescent="0.3">
      <c r="A32" s="772" t="s">
        <v>4368</v>
      </c>
      <c r="B32" s="773" t="s">
        <v>4369</v>
      </c>
      <c r="C32" s="2882"/>
      <c r="D32" s="2882"/>
      <c r="E32" s="2882"/>
      <c r="F32" s="860"/>
      <c r="G32" s="775"/>
      <c r="H32" s="776"/>
      <c r="I32" s="777"/>
      <c r="J32" s="778"/>
      <c r="K32" s="777"/>
      <c r="L32" s="778"/>
      <c r="M32" s="778"/>
      <c r="N32" s="779"/>
      <c r="O32" s="780"/>
      <c r="S32" s="777"/>
      <c r="T32" s="778"/>
      <c r="U32" s="777"/>
      <c r="V32" s="778"/>
      <c r="W32" s="778"/>
      <c r="X32" s="779"/>
    </row>
    <row r="33" spans="1:24" ht="21" customHeight="1" x14ac:dyDescent="0.3">
      <c r="A33" s="2329">
        <v>1</v>
      </c>
      <c r="B33" s="1429" t="s">
        <v>4370</v>
      </c>
      <c r="C33" s="726" t="s">
        <v>4368</v>
      </c>
      <c r="D33" s="401">
        <v>45</v>
      </c>
      <c r="E33" s="1430" t="s">
        <v>1271</v>
      </c>
      <c r="F33" s="1431" t="s">
        <v>4371</v>
      </c>
      <c r="G33" s="733">
        <v>25680</v>
      </c>
      <c r="H33" s="1396" t="s">
        <v>328</v>
      </c>
      <c r="I33" s="406" t="s">
        <v>25</v>
      </c>
      <c r="J33" s="406"/>
      <c r="K33" s="406"/>
      <c r="L33" s="406"/>
      <c r="M33" s="406"/>
      <c r="N33" s="406"/>
      <c r="O33" s="756"/>
      <c r="S33" s="406" t="s">
        <v>25</v>
      </c>
      <c r="T33" s="406"/>
      <c r="U33" s="406"/>
      <c r="V33" s="406"/>
      <c r="W33" s="406"/>
      <c r="X33" s="406"/>
    </row>
    <row r="34" spans="1:24" x14ac:dyDescent="0.3">
      <c r="A34" s="2302">
        <v>2</v>
      </c>
      <c r="B34" s="1432" t="s">
        <v>4372</v>
      </c>
      <c r="C34" s="731" t="s">
        <v>4368</v>
      </c>
      <c r="D34" s="409">
        <v>45</v>
      </c>
      <c r="E34" s="1433" t="s">
        <v>1250</v>
      </c>
      <c r="F34" s="414" t="s">
        <v>4373</v>
      </c>
      <c r="G34" s="654">
        <v>13500</v>
      </c>
      <c r="H34" s="1396" t="s">
        <v>328</v>
      </c>
      <c r="I34" s="121" t="s">
        <v>25</v>
      </c>
      <c r="J34" s="121"/>
      <c r="K34" s="121"/>
      <c r="L34" s="121"/>
      <c r="M34" s="121"/>
      <c r="N34" s="121"/>
      <c r="O34" s="530"/>
      <c r="S34" s="121" t="s">
        <v>25</v>
      </c>
      <c r="T34" s="121"/>
      <c r="U34" s="121"/>
      <c r="V34" s="121"/>
      <c r="W34" s="121"/>
      <c r="X34" s="121"/>
    </row>
    <row r="35" spans="1:24" ht="17.399999999999999" x14ac:dyDescent="0.45">
      <c r="A35" s="204"/>
      <c r="B35" s="204"/>
      <c r="C35" s="909"/>
      <c r="D35" s="910"/>
      <c r="E35" s="911"/>
      <c r="F35" s="204"/>
      <c r="G35" s="713">
        <f>SUM(G33:G34)</f>
        <v>39180</v>
      </c>
      <c r="H35" s="178"/>
      <c r="I35" s="951"/>
      <c r="J35" s="204"/>
      <c r="K35" s="951"/>
      <c r="L35" s="204"/>
      <c r="M35" s="204"/>
      <c r="N35" s="204"/>
      <c r="O35" s="480"/>
      <c r="S35" s="951"/>
      <c r="T35" s="204"/>
      <c r="U35" s="951"/>
      <c r="V35" s="204"/>
      <c r="W35" s="204"/>
      <c r="X35" s="204"/>
    </row>
    <row r="36" spans="1:24" x14ac:dyDescent="0.3">
      <c r="A36" s="772" t="s">
        <v>4374</v>
      </c>
      <c r="B36" s="773" t="s">
        <v>4375</v>
      </c>
      <c r="C36" s="2882"/>
      <c r="D36" s="2882"/>
      <c r="E36" s="2882"/>
      <c r="F36" s="860"/>
      <c r="G36" s="775"/>
      <c r="H36" s="776"/>
      <c r="I36" s="777"/>
      <c r="J36" s="778"/>
      <c r="K36" s="777"/>
      <c r="L36" s="778"/>
      <c r="M36" s="778"/>
      <c r="N36" s="779"/>
      <c r="O36" s="780"/>
      <c r="S36" s="777"/>
      <c r="T36" s="778"/>
      <c r="U36" s="777"/>
      <c r="V36" s="778"/>
      <c r="W36" s="778"/>
      <c r="X36" s="779"/>
    </row>
    <row r="37" spans="1:24" x14ac:dyDescent="0.3">
      <c r="A37" s="2329">
        <v>1</v>
      </c>
      <c r="B37" s="761" t="s">
        <v>4376</v>
      </c>
      <c r="C37" s="2939" t="s">
        <v>4377</v>
      </c>
      <c r="D37" s="2940"/>
      <c r="E37" s="2941"/>
      <c r="F37" s="1434" t="s">
        <v>4378</v>
      </c>
      <c r="G37" s="1435">
        <v>19500</v>
      </c>
      <c r="H37" s="1396" t="s">
        <v>328</v>
      </c>
      <c r="I37" s="406" t="s">
        <v>25</v>
      </c>
      <c r="J37" s="406"/>
      <c r="K37" s="406"/>
      <c r="L37" s="406"/>
      <c r="M37" s="406"/>
      <c r="N37" s="406"/>
      <c r="O37" s="1436"/>
      <c r="S37" s="406" t="s">
        <v>25</v>
      </c>
      <c r="T37" s="406"/>
      <c r="U37" s="406"/>
      <c r="V37" s="406"/>
      <c r="W37" s="406"/>
      <c r="X37" s="406"/>
    </row>
    <row r="38" spans="1:24" ht="24" x14ac:dyDescent="0.3">
      <c r="A38" s="2302">
        <v>2</v>
      </c>
      <c r="B38" s="1437" t="s">
        <v>4379</v>
      </c>
      <c r="C38" s="2929" t="s">
        <v>4380</v>
      </c>
      <c r="D38" s="2930"/>
      <c r="E38" s="2931"/>
      <c r="F38" s="411" t="s">
        <v>4381</v>
      </c>
      <c r="G38" s="412">
        <v>22000</v>
      </c>
      <c r="H38" s="1396" t="s">
        <v>328</v>
      </c>
      <c r="I38" s="121" t="s">
        <v>25</v>
      </c>
      <c r="J38" s="121"/>
      <c r="K38" s="121"/>
      <c r="L38" s="121"/>
      <c r="M38" s="121"/>
      <c r="N38" s="121"/>
      <c r="O38" s="1438" t="s">
        <v>4382</v>
      </c>
      <c r="S38" s="121" t="s">
        <v>25</v>
      </c>
      <c r="T38" s="121"/>
      <c r="U38" s="121"/>
      <c r="V38" s="121"/>
      <c r="W38" s="121"/>
      <c r="X38" s="121"/>
    </row>
    <row r="39" spans="1:24" ht="24" x14ac:dyDescent="0.3">
      <c r="A39" s="2302">
        <v>3</v>
      </c>
      <c r="B39" s="1437" t="s">
        <v>4383</v>
      </c>
      <c r="C39" s="2929" t="s">
        <v>4384</v>
      </c>
      <c r="D39" s="2930"/>
      <c r="E39" s="2931"/>
      <c r="F39" s="411" t="s">
        <v>4381</v>
      </c>
      <c r="G39" s="412">
        <v>33000</v>
      </c>
      <c r="H39" s="1396" t="s">
        <v>328</v>
      </c>
      <c r="I39" s="121" t="s">
        <v>25</v>
      </c>
      <c r="J39" s="121"/>
      <c r="K39" s="121"/>
      <c r="L39" s="121"/>
      <c r="M39" s="121"/>
      <c r="N39" s="121"/>
      <c r="O39" s="1438" t="s">
        <v>4382</v>
      </c>
      <c r="S39" s="121" t="s">
        <v>25</v>
      </c>
      <c r="T39" s="121"/>
      <c r="U39" s="121"/>
      <c r="V39" s="121"/>
      <c r="W39" s="121"/>
      <c r="X39" s="121"/>
    </row>
    <row r="40" spans="1:24" x14ac:dyDescent="0.3">
      <c r="A40" s="2302">
        <v>4</v>
      </c>
      <c r="B40" s="1437" t="s">
        <v>4385</v>
      </c>
      <c r="C40" s="2929" t="s">
        <v>4386</v>
      </c>
      <c r="D40" s="2930"/>
      <c r="E40" s="2931"/>
      <c r="F40" s="411" t="s">
        <v>4387</v>
      </c>
      <c r="G40" s="412">
        <v>28400</v>
      </c>
      <c r="H40" s="1396" t="s">
        <v>328</v>
      </c>
      <c r="I40" s="121" t="s">
        <v>25</v>
      </c>
      <c r="J40" s="121"/>
      <c r="K40" s="121"/>
      <c r="L40" s="121"/>
      <c r="M40" s="121"/>
      <c r="N40" s="121"/>
      <c r="O40" s="530"/>
      <c r="S40" s="121" t="s">
        <v>25</v>
      </c>
      <c r="T40" s="121"/>
      <c r="U40" s="121"/>
      <c r="V40" s="121"/>
      <c r="W40" s="121"/>
      <c r="X40" s="121"/>
    </row>
    <row r="41" spans="1:24" x14ac:dyDescent="0.3">
      <c r="A41" s="2302">
        <v>5</v>
      </c>
      <c r="B41" s="1437" t="s">
        <v>4388</v>
      </c>
      <c r="C41" s="2929" t="s">
        <v>4389</v>
      </c>
      <c r="D41" s="2930"/>
      <c r="E41" s="2931"/>
      <c r="F41" s="411" t="s">
        <v>4387</v>
      </c>
      <c r="G41" s="412">
        <v>18700</v>
      </c>
      <c r="H41" s="1396" t="s">
        <v>328</v>
      </c>
      <c r="I41" s="121" t="s">
        <v>25</v>
      </c>
      <c r="J41" s="121"/>
      <c r="K41" s="121"/>
      <c r="L41" s="121"/>
      <c r="M41" s="121"/>
      <c r="N41" s="121"/>
      <c r="O41" s="530"/>
      <c r="S41" s="121" t="s">
        <v>25</v>
      </c>
      <c r="T41" s="121"/>
      <c r="U41" s="121"/>
      <c r="V41" s="121"/>
      <c r="W41" s="121"/>
      <c r="X41" s="121"/>
    </row>
    <row r="42" spans="1:24" x14ac:dyDescent="0.3">
      <c r="A42" s="2302">
        <v>6</v>
      </c>
      <c r="B42" s="1437" t="s">
        <v>4390</v>
      </c>
      <c r="C42" s="2929" t="s">
        <v>4391</v>
      </c>
      <c r="D42" s="2930"/>
      <c r="E42" s="2931"/>
      <c r="F42" s="411" t="s">
        <v>4392</v>
      </c>
      <c r="G42" s="412">
        <v>2480</v>
      </c>
      <c r="H42" s="1396" t="s">
        <v>328</v>
      </c>
      <c r="I42" s="121" t="s">
        <v>25</v>
      </c>
      <c r="J42" s="121"/>
      <c r="K42" s="121"/>
      <c r="L42" s="121"/>
      <c r="M42" s="121"/>
      <c r="N42" s="121"/>
      <c r="O42" s="530"/>
      <c r="S42" s="121" t="s">
        <v>25</v>
      </c>
      <c r="T42" s="121"/>
      <c r="U42" s="121"/>
      <c r="V42" s="121"/>
      <c r="W42" s="121"/>
      <c r="X42" s="121"/>
    </row>
    <row r="43" spans="1:24" ht="24" x14ac:dyDescent="0.3">
      <c r="A43" s="2302">
        <v>7</v>
      </c>
      <c r="B43" s="531" t="s">
        <v>4393</v>
      </c>
      <c r="C43" s="2929" t="s">
        <v>4394</v>
      </c>
      <c r="D43" s="2930"/>
      <c r="E43" s="2931"/>
      <c r="F43" s="411" t="s">
        <v>4395</v>
      </c>
      <c r="G43" s="412">
        <v>26750</v>
      </c>
      <c r="H43" s="1396" t="s">
        <v>328</v>
      </c>
      <c r="I43" s="121" t="s">
        <v>25</v>
      </c>
      <c r="J43" s="121"/>
      <c r="K43" s="121"/>
      <c r="L43" s="121"/>
      <c r="M43" s="121"/>
      <c r="N43" s="121"/>
      <c r="O43" s="1438" t="s">
        <v>4382</v>
      </c>
      <c r="S43" s="121" t="s">
        <v>25</v>
      </c>
      <c r="T43" s="121"/>
      <c r="U43" s="121"/>
      <c r="V43" s="121"/>
      <c r="W43" s="121"/>
      <c r="X43" s="121"/>
    </row>
    <row r="44" spans="1:24" x14ac:dyDescent="0.3">
      <c r="A44" s="2302">
        <v>8</v>
      </c>
      <c r="B44" s="1437" t="s">
        <v>4396</v>
      </c>
      <c r="C44" s="2929" t="s">
        <v>4397</v>
      </c>
      <c r="D44" s="2930"/>
      <c r="E44" s="2931"/>
      <c r="F44" s="411" t="s">
        <v>4398</v>
      </c>
      <c r="G44" s="412">
        <v>15000</v>
      </c>
      <c r="H44" s="1396" t="s">
        <v>328</v>
      </c>
      <c r="I44" s="121" t="s">
        <v>25</v>
      </c>
      <c r="J44" s="121"/>
      <c r="K44" s="121"/>
      <c r="L44" s="121"/>
      <c r="M44" s="121"/>
      <c r="N44" s="121"/>
      <c r="O44" s="1438" t="s">
        <v>4399</v>
      </c>
      <c r="S44" s="121" t="s">
        <v>25</v>
      </c>
      <c r="T44" s="121"/>
      <c r="U44" s="121"/>
      <c r="V44" s="121"/>
      <c r="W44" s="121"/>
      <c r="X44" s="121"/>
    </row>
    <row r="45" spans="1:24" ht="24" x14ac:dyDescent="0.3">
      <c r="A45" s="2302">
        <v>9</v>
      </c>
      <c r="B45" s="1437" t="s">
        <v>4400</v>
      </c>
      <c r="C45" s="2929" t="s">
        <v>4401</v>
      </c>
      <c r="D45" s="2930"/>
      <c r="E45" s="2931"/>
      <c r="F45" s="411" t="s">
        <v>4327</v>
      </c>
      <c r="G45" s="412">
        <v>9500</v>
      </c>
      <c r="H45" s="1396" t="s">
        <v>328</v>
      </c>
      <c r="I45" s="121" t="s">
        <v>25</v>
      </c>
      <c r="J45" s="121"/>
      <c r="K45" s="121"/>
      <c r="L45" s="121"/>
      <c r="M45" s="121"/>
      <c r="N45" s="121"/>
      <c r="O45" s="1438" t="s">
        <v>4382</v>
      </c>
      <c r="S45" s="121" t="s">
        <v>25</v>
      </c>
      <c r="T45" s="121"/>
      <c r="U45" s="121"/>
      <c r="V45" s="121"/>
      <c r="W45" s="121"/>
      <c r="X45" s="121"/>
    </row>
    <row r="46" spans="1:24" x14ac:dyDescent="0.3">
      <c r="A46" s="2302">
        <v>10</v>
      </c>
      <c r="B46" s="1437" t="s">
        <v>4402</v>
      </c>
      <c r="C46" s="2929" t="s">
        <v>4403</v>
      </c>
      <c r="D46" s="2930"/>
      <c r="E46" s="2931"/>
      <c r="F46" s="1439" t="s">
        <v>4404</v>
      </c>
      <c r="G46" s="654">
        <v>11500</v>
      </c>
      <c r="H46" s="1396" t="s">
        <v>328</v>
      </c>
      <c r="I46" s="121" t="s">
        <v>25</v>
      </c>
      <c r="J46" s="121"/>
      <c r="K46" s="121"/>
      <c r="L46" s="121"/>
      <c r="M46" s="121"/>
      <c r="N46" s="121"/>
      <c r="O46" s="1438" t="s">
        <v>4399</v>
      </c>
      <c r="S46" s="121" t="s">
        <v>25</v>
      </c>
      <c r="T46" s="121"/>
      <c r="U46" s="121"/>
      <c r="V46" s="121"/>
      <c r="W46" s="121"/>
      <c r="X46" s="121"/>
    </row>
    <row r="47" spans="1:24" x14ac:dyDescent="0.3">
      <c r="A47" s="2302">
        <v>11</v>
      </c>
      <c r="B47" s="1437" t="s">
        <v>4405</v>
      </c>
      <c r="C47" s="2929" t="s">
        <v>4406</v>
      </c>
      <c r="D47" s="2930"/>
      <c r="E47" s="2931"/>
      <c r="F47" s="1440" t="s">
        <v>4407</v>
      </c>
      <c r="G47" s="412">
        <v>35000</v>
      </c>
      <c r="H47" s="1396" t="s">
        <v>328</v>
      </c>
      <c r="I47" s="121" t="s">
        <v>25</v>
      </c>
      <c r="J47" s="121"/>
      <c r="K47" s="121"/>
      <c r="L47" s="121"/>
      <c r="M47" s="121"/>
      <c r="N47" s="121"/>
      <c r="O47" s="1438" t="s">
        <v>4408</v>
      </c>
      <c r="S47" s="121" t="s">
        <v>25</v>
      </c>
      <c r="T47" s="121"/>
      <c r="U47" s="121"/>
      <c r="V47" s="121"/>
      <c r="W47" s="121"/>
      <c r="X47" s="121"/>
    </row>
    <row r="48" spans="1:24" ht="17.399999999999999" x14ac:dyDescent="0.45">
      <c r="A48" s="204"/>
      <c r="B48" s="204"/>
      <c r="C48" s="2877"/>
      <c r="D48" s="2878"/>
      <c r="E48" s="2879"/>
      <c r="F48" s="204"/>
      <c r="G48" s="713">
        <f>SUM(G37:G47)</f>
        <v>221830</v>
      </c>
      <c r="H48" s="178"/>
      <c r="I48" s="951"/>
      <c r="J48" s="204"/>
      <c r="K48" s="951"/>
      <c r="L48" s="204"/>
      <c r="M48" s="204"/>
      <c r="N48" s="204"/>
      <c r="O48" s="480"/>
      <c r="S48" s="951"/>
      <c r="T48" s="204"/>
      <c r="U48" s="951"/>
      <c r="V48" s="204"/>
      <c r="W48" s="204"/>
      <c r="X48" s="204"/>
    </row>
    <row r="49" spans="1:24" x14ac:dyDescent="0.3">
      <c r="A49" s="772" t="s">
        <v>55</v>
      </c>
      <c r="B49" s="1441" t="s">
        <v>4409</v>
      </c>
      <c r="C49" s="2938"/>
      <c r="D49" s="2938"/>
      <c r="E49" s="2938"/>
      <c r="F49" s="1442"/>
      <c r="G49" s="1443"/>
      <c r="H49" s="1444"/>
      <c r="I49" s="1442"/>
      <c r="J49" s="1442"/>
      <c r="K49" s="1442"/>
      <c r="L49" s="1442"/>
      <c r="M49" s="1442"/>
      <c r="N49" s="1445"/>
      <c r="O49" s="830"/>
      <c r="S49" s="1442"/>
      <c r="T49" s="1442"/>
      <c r="U49" s="1442"/>
      <c r="V49" s="1442"/>
      <c r="W49" s="1442"/>
      <c r="X49" s="1445"/>
    </row>
    <row r="50" spans="1:24" x14ac:dyDescent="0.3">
      <c r="A50" s="2329">
        <v>1</v>
      </c>
      <c r="B50" s="761" t="s">
        <v>4410</v>
      </c>
      <c r="C50" s="2939" t="s">
        <v>4411</v>
      </c>
      <c r="D50" s="2940"/>
      <c r="E50" s="2941"/>
      <c r="F50" s="1434" t="s">
        <v>4412</v>
      </c>
      <c r="G50" s="1435">
        <v>1150</v>
      </c>
      <c r="H50" s="1396" t="s">
        <v>328</v>
      </c>
      <c r="I50" s="406" t="s">
        <v>25</v>
      </c>
      <c r="J50" s="406"/>
      <c r="K50" s="406"/>
      <c r="L50" s="406"/>
      <c r="M50" s="406"/>
      <c r="N50" s="406"/>
      <c r="O50" s="1436"/>
      <c r="S50" s="406" t="s">
        <v>25</v>
      </c>
      <c r="T50" s="406"/>
      <c r="U50" s="406"/>
      <c r="V50" s="406"/>
      <c r="W50" s="406"/>
      <c r="X50" s="406"/>
    </row>
    <row r="51" spans="1:24" x14ac:dyDescent="0.3">
      <c r="A51" s="2302">
        <v>2</v>
      </c>
      <c r="B51" s="1437" t="s">
        <v>4413</v>
      </c>
      <c r="C51" s="2942" t="s">
        <v>4414</v>
      </c>
      <c r="D51" s="2943"/>
      <c r="E51" s="2944"/>
      <c r="F51" s="1446" t="s">
        <v>4415</v>
      </c>
      <c r="G51" s="534">
        <v>15000</v>
      </c>
      <c r="H51" s="1396" t="s">
        <v>328</v>
      </c>
      <c r="I51" s="121" t="s">
        <v>25</v>
      </c>
      <c r="J51" s="121"/>
      <c r="K51" s="121"/>
      <c r="L51" s="121"/>
      <c r="M51" s="121"/>
      <c r="N51" s="121"/>
      <c r="O51" s="1447"/>
      <c r="S51" s="121" t="s">
        <v>25</v>
      </c>
      <c r="T51" s="121"/>
      <c r="U51" s="121"/>
      <c r="V51" s="121"/>
      <c r="W51" s="121"/>
      <c r="X51" s="121"/>
    </row>
    <row r="52" spans="1:24" x14ac:dyDescent="0.3">
      <c r="A52" s="2302">
        <v>3</v>
      </c>
      <c r="B52" s="1437" t="s">
        <v>4416</v>
      </c>
      <c r="C52" s="2929" t="s">
        <v>4417</v>
      </c>
      <c r="D52" s="2930"/>
      <c r="E52" s="2931"/>
      <c r="F52" s="411" t="s">
        <v>4418</v>
      </c>
      <c r="G52" s="412">
        <v>8800</v>
      </c>
      <c r="H52" s="1396" t="s">
        <v>328</v>
      </c>
      <c r="I52" s="121" t="s">
        <v>25</v>
      </c>
      <c r="J52" s="121"/>
      <c r="K52" s="121"/>
      <c r="L52" s="121"/>
      <c r="M52" s="121"/>
      <c r="N52" s="121"/>
      <c r="O52" s="530"/>
      <c r="S52" s="121" t="s">
        <v>25</v>
      </c>
      <c r="T52" s="121"/>
      <c r="U52" s="121"/>
      <c r="V52" s="121"/>
      <c r="W52" s="121"/>
      <c r="X52" s="121"/>
    </row>
    <row r="53" spans="1:24" x14ac:dyDescent="0.3">
      <c r="A53" s="2302">
        <v>4</v>
      </c>
      <c r="B53" s="1437" t="s">
        <v>4419</v>
      </c>
      <c r="C53" s="2929" t="s">
        <v>4420</v>
      </c>
      <c r="D53" s="2930"/>
      <c r="E53" s="2931"/>
      <c r="F53" s="411" t="s">
        <v>4421</v>
      </c>
      <c r="G53" s="412">
        <v>6490</v>
      </c>
      <c r="H53" s="1396" t="s">
        <v>328</v>
      </c>
      <c r="I53" s="121" t="s">
        <v>25</v>
      </c>
      <c r="J53" s="121"/>
      <c r="K53" s="121"/>
      <c r="L53" s="121"/>
      <c r="M53" s="121"/>
      <c r="N53" s="121"/>
      <c r="O53" s="530"/>
      <c r="S53" s="121" t="s">
        <v>25</v>
      </c>
      <c r="T53" s="121"/>
      <c r="U53" s="121"/>
      <c r="V53" s="121"/>
      <c r="W53" s="121"/>
      <c r="X53" s="121"/>
    </row>
    <row r="54" spans="1:24" x14ac:dyDescent="0.3">
      <c r="A54" s="2302">
        <v>5</v>
      </c>
      <c r="B54" s="1437" t="s">
        <v>4422</v>
      </c>
      <c r="C54" s="2929" t="s">
        <v>4423</v>
      </c>
      <c r="D54" s="2930"/>
      <c r="E54" s="2931"/>
      <c r="F54" s="411" t="s">
        <v>4424</v>
      </c>
      <c r="G54" s="412">
        <v>5243</v>
      </c>
      <c r="H54" s="1396" t="s">
        <v>328</v>
      </c>
      <c r="I54" s="121" t="s">
        <v>25</v>
      </c>
      <c r="J54" s="121"/>
      <c r="K54" s="121"/>
      <c r="L54" s="121"/>
      <c r="M54" s="121"/>
      <c r="N54" s="121"/>
      <c r="O54" s="530"/>
      <c r="S54" s="121" t="s">
        <v>25</v>
      </c>
      <c r="T54" s="121"/>
      <c r="U54" s="121"/>
      <c r="V54" s="121"/>
      <c r="W54" s="121"/>
      <c r="X54" s="121"/>
    </row>
    <row r="55" spans="1:24" x14ac:dyDescent="0.3">
      <c r="A55" s="2302">
        <v>6</v>
      </c>
      <c r="B55" s="1437" t="s">
        <v>4422</v>
      </c>
      <c r="C55" s="2929" t="s">
        <v>4425</v>
      </c>
      <c r="D55" s="2930"/>
      <c r="E55" s="2931"/>
      <c r="F55" s="411" t="s">
        <v>4424</v>
      </c>
      <c r="G55" s="412">
        <v>5243</v>
      </c>
      <c r="H55" s="1396" t="s">
        <v>328</v>
      </c>
      <c r="I55" s="121" t="s">
        <v>25</v>
      </c>
      <c r="J55" s="121"/>
      <c r="K55" s="121"/>
      <c r="L55" s="121"/>
      <c r="M55" s="121"/>
      <c r="N55" s="121"/>
      <c r="O55" s="530"/>
      <c r="S55" s="121" t="s">
        <v>25</v>
      </c>
      <c r="T55" s="121"/>
      <c r="U55" s="121"/>
      <c r="V55" s="121"/>
      <c r="W55" s="121"/>
      <c r="X55" s="121"/>
    </row>
    <row r="56" spans="1:24" x14ac:dyDescent="0.3">
      <c r="A56" s="2302">
        <v>7</v>
      </c>
      <c r="B56" s="1437" t="s">
        <v>4426</v>
      </c>
      <c r="C56" s="2929" t="s">
        <v>4427</v>
      </c>
      <c r="D56" s="2930"/>
      <c r="E56" s="2931"/>
      <c r="F56" s="411" t="s">
        <v>4387</v>
      </c>
      <c r="G56" s="412">
        <v>11400</v>
      </c>
      <c r="H56" s="1396" t="s">
        <v>328</v>
      </c>
      <c r="I56" s="121" t="s">
        <v>25</v>
      </c>
      <c r="J56" s="121"/>
      <c r="K56" s="121"/>
      <c r="L56" s="121"/>
      <c r="M56" s="121"/>
      <c r="N56" s="121"/>
      <c r="O56" s="530"/>
      <c r="S56" s="121" t="s">
        <v>25</v>
      </c>
      <c r="T56" s="121"/>
      <c r="U56" s="121"/>
      <c r="V56" s="121"/>
      <c r="W56" s="121"/>
      <c r="X56" s="121"/>
    </row>
    <row r="57" spans="1:24" x14ac:dyDescent="0.3">
      <c r="A57" s="2302">
        <v>8</v>
      </c>
      <c r="B57" s="531" t="s">
        <v>4428</v>
      </c>
      <c r="C57" s="2929" t="s">
        <v>4429</v>
      </c>
      <c r="D57" s="2930"/>
      <c r="E57" s="2931"/>
      <c r="F57" s="411" t="s">
        <v>4387</v>
      </c>
      <c r="G57" s="412">
        <v>1750</v>
      </c>
      <c r="H57" s="1396" t="s">
        <v>328</v>
      </c>
      <c r="I57" s="121" t="s">
        <v>25</v>
      </c>
      <c r="J57" s="121"/>
      <c r="K57" s="121"/>
      <c r="L57" s="121"/>
      <c r="M57" s="121"/>
      <c r="N57" s="121"/>
      <c r="O57" s="530"/>
      <c r="S57" s="121" t="s">
        <v>25</v>
      </c>
      <c r="T57" s="121"/>
      <c r="U57" s="121"/>
      <c r="V57" s="121"/>
      <c r="W57" s="121"/>
      <c r="X57" s="121"/>
    </row>
    <row r="58" spans="1:24" x14ac:dyDescent="0.3">
      <c r="A58" s="2302">
        <v>9</v>
      </c>
      <c r="B58" s="1437" t="s">
        <v>4430</v>
      </c>
      <c r="C58" s="2929" t="s">
        <v>4431</v>
      </c>
      <c r="D58" s="2930"/>
      <c r="E58" s="2931"/>
      <c r="F58" s="411" t="s">
        <v>4387</v>
      </c>
      <c r="G58" s="412">
        <v>3500</v>
      </c>
      <c r="H58" s="1396" t="s">
        <v>328</v>
      </c>
      <c r="I58" s="121" t="s">
        <v>25</v>
      </c>
      <c r="J58" s="121"/>
      <c r="K58" s="121"/>
      <c r="L58" s="121"/>
      <c r="M58" s="121"/>
      <c r="N58" s="121"/>
      <c r="O58" s="530"/>
      <c r="S58" s="121" t="s">
        <v>25</v>
      </c>
      <c r="T58" s="121"/>
      <c r="U58" s="121"/>
      <c r="V58" s="121"/>
      <c r="W58" s="121"/>
      <c r="X58" s="121"/>
    </row>
    <row r="59" spans="1:24" x14ac:dyDescent="0.3">
      <c r="A59" s="2302">
        <v>10</v>
      </c>
      <c r="B59" s="1437" t="s">
        <v>4432</v>
      </c>
      <c r="C59" s="2929" t="s">
        <v>4433</v>
      </c>
      <c r="D59" s="2930"/>
      <c r="E59" s="2931"/>
      <c r="F59" s="411" t="s">
        <v>4434</v>
      </c>
      <c r="G59" s="412">
        <v>3500</v>
      </c>
      <c r="H59" s="1396" t="s">
        <v>328</v>
      </c>
      <c r="I59" s="121" t="s">
        <v>25</v>
      </c>
      <c r="J59" s="121"/>
      <c r="K59" s="121"/>
      <c r="L59" s="121"/>
      <c r="M59" s="121"/>
      <c r="N59" s="121"/>
      <c r="O59" s="530"/>
      <c r="S59" s="121" t="s">
        <v>25</v>
      </c>
      <c r="T59" s="121"/>
      <c r="U59" s="121"/>
      <c r="V59" s="121"/>
      <c r="W59" s="121"/>
      <c r="X59" s="121"/>
    </row>
    <row r="60" spans="1:24" x14ac:dyDescent="0.3">
      <c r="A60" s="2302">
        <v>11</v>
      </c>
      <c r="B60" s="1437" t="s">
        <v>4435</v>
      </c>
      <c r="C60" s="2929" t="s">
        <v>4436</v>
      </c>
      <c r="D60" s="2930"/>
      <c r="E60" s="2931"/>
      <c r="F60" s="414" t="s">
        <v>4437</v>
      </c>
      <c r="G60" s="654">
        <v>12500</v>
      </c>
      <c r="H60" s="1396" t="s">
        <v>328</v>
      </c>
      <c r="I60" s="121" t="s">
        <v>25</v>
      </c>
      <c r="J60" s="121"/>
      <c r="K60" s="121"/>
      <c r="L60" s="121"/>
      <c r="M60" s="121"/>
      <c r="N60" s="121"/>
      <c r="O60" s="530"/>
      <c r="S60" s="121" t="s">
        <v>25</v>
      </c>
      <c r="T60" s="121"/>
      <c r="U60" s="121"/>
      <c r="V60" s="121"/>
      <c r="W60" s="121"/>
      <c r="X60" s="121"/>
    </row>
    <row r="61" spans="1:24" x14ac:dyDescent="0.3">
      <c r="A61" s="2302">
        <v>12</v>
      </c>
      <c r="B61" s="1437" t="s">
        <v>4438</v>
      </c>
      <c r="C61" s="2929" t="s">
        <v>4439</v>
      </c>
      <c r="D61" s="2930"/>
      <c r="E61" s="2931"/>
      <c r="F61" s="1439" t="s">
        <v>4440</v>
      </c>
      <c r="G61" s="654">
        <v>9900</v>
      </c>
      <c r="H61" s="1396" t="s">
        <v>328</v>
      </c>
      <c r="I61" s="121" t="s">
        <v>25</v>
      </c>
      <c r="J61" s="121"/>
      <c r="K61" s="121"/>
      <c r="L61" s="121"/>
      <c r="M61" s="121"/>
      <c r="N61" s="121"/>
      <c r="O61" s="122" t="s">
        <v>4441</v>
      </c>
      <c r="S61" s="121" t="s">
        <v>25</v>
      </c>
      <c r="T61" s="121"/>
      <c r="U61" s="121"/>
      <c r="V61" s="121"/>
      <c r="W61" s="121"/>
      <c r="X61" s="121"/>
    </row>
    <row r="62" spans="1:24" x14ac:dyDescent="0.3">
      <c r="A62" s="547"/>
      <c r="B62" s="743"/>
      <c r="C62" s="2932"/>
      <c r="D62" s="2933"/>
      <c r="E62" s="2934"/>
      <c r="F62" s="1448"/>
      <c r="G62" s="1449">
        <f>SUM(G50:G61)</f>
        <v>84476</v>
      </c>
      <c r="H62" s="551"/>
      <c r="I62" s="552"/>
      <c r="J62" s="553"/>
      <c r="K62" s="553"/>
      <c r="L62" s="553"/>
      <c r="M62" s="553"/>
      <c r="N62" s="553"/>
      <c r="O62" s="554"/>
      <c r="S62" s="552"/>
      <c r="T62" s="553"/>
      <c r="U62" s="553"/>
      <c r="V62" s="553"/>
      <c r="W62" s="553"/>
      <c r="X62" s="553"/>
    </row>
    <row r="63" spans="1:24" x14ac:dyDescent="0.3">
      <c r="A63" s="16" t="s">
        <v>57</v>
      </c>
      <c r="B63" s="815" t="s">
        <v>4442</v>
      </c>
      <c r="C63" s="829"/>
      <c r="D63" s="829"/>
      <c r="E63" s="829"/>
      <c r="F63" s="845"/>
      <c r="G63" s="826"/>
      <c r="H63" s="827"/>
      <c r="I63" s="994"/>
      <c r="J63" s="779"/>
      <c r="K63" s="779"/>
      <c r="L63" s="828"/>
      <c r="M63" s="828"/>
      <c r="N63" s="779"/>
      <c r="O63" s="780"/>
      <c r="S63" s="994"/>
      <c r="T63" s="779"/>
      <c r="U63" s="779"/>
      <c r="V63" s="828"/>
      <c r="W63" s="828"/>
      <c r="X63" s="779"/>
    </row>
    <row r="64" spans="1:24" ht="29.25" customHeight="1" x14ac:dyDescent="0.3">
      <c r="A64" s="2302">
        <v>1</v>
      </c>
      <c r="B64" s="1437" t="s">
        <v>4443</v>
      </c>
      <c r="C64" s="216" t="s">
        <v>57</v>
      </c>
      <c r="D64" s="1450">
        <v>35</v>
      </c>
      <c r="E64" s="1451" t="s">
        <v>1104</v>
      </c>
      <c r="F64" s="411" t="s">
        <v>4424</v>
      </c>
      <c r="G64" s="412">
        <v>1800</v>
      </c>
      <c r="H64" s="1396" t="s">
        <v>328</v>
      </c>
      <c r="I64" s="121" t="s">
        <v>25</v>
      </c>
      <c r="J64" s="119"/>
      <c r="K64" s="119"/>
      <c r="L64" s="119"/>
      <c r="M64" s="119"/>
      <c r="N64" s="119"/>
      <c r="O64" s="191"/>
      <c r="S64" s="121" t="s">
        <v>25</v>
      </c>
      <c r="T64" s="119"/>
      <c r="U64" s="119"/>
      <c r="V64" s="119"/>
      <c r="W64" s="119"/>
      <c r="X64" s="119"/>
    </row>
    <row r="65" spans="1:24" ht="31.5" customHeight="1" x14ac:dyDescent="0.3">
      <c r="A65" s="2302">
        <v>2</v>
      </c>
      <c r="B65" s="1437" t="s">
        <v>4444</v>
      </c>
      <c r="C65" s="731" t="s">
        <v>57</v>
      </c>
      <c r="D65" s="409">
        <v>38</v>
      </c>
      <c r="E65" s="1451" t="s">
        <v>1107</v>
      </c>
      <c r="F65" s="411" t="s">
        <v>4445</v>
      </c>
      <c r="G65" s="412">
        <v>3000</v>
      </c>
      <c r="H65" s="1396" t="s">
        <v>328</v>
      </c>
      <c r="I65" s="121" t="s">
        <v>25</v>
      </c>
      <c r="J65" s="121"/>
      <c r="K65" s="121"/>
      <c r="L65" s="121"/>
      <c r="M65" s="121"/>
      <c r="N65" s="121"/>
      <c r="O65" s="530"/>
      <c r="S65" s="121" t="s">
        <v>25</v>
      </c>
      <c r="T65" s="121"/>
      <c r="U65" s="121"/>
      <c r="V65" s="121"/>
      <c r="W65" s="121"/>
      <c r="X65" s="121"/>
    </row>
    <row r="66" spans="1:24" x14ac:dyDescent="0.3">
      <c r="A66" s="2302">
        <v>3</v>
      </c>
      <c r="B66" s="1437" t="s">
        <v>4446</v>
      </c>
      <c r="C66" s="731" t="s">
        <v>57</v>
      </c>
      <c r="D66" s="409">
        <v>39</v>
      </c>
      <c r="E66" s="1451" t="s">
        <v>399</v>
      </c>
      <c r="F66" s="411" t="s">
        <v>4447</v>
      </c>
      <c r="G66" s="412">
        <v>1850</v>
      </c>
      <c r="H66" s="1396" t="s">
        <v>328</v>
      </c>
      <c r="I66" s="121" t="s">
        <v>25</v>
      </c>
      <c r="J66" s="121"/>
      <c r="K66" s="121"/>
      <c r="L66" s="121"/>
      <c r="M66" s="121"/>
      <c r="N66" s="121"/>
      <c r="O66" s="530"/>
      <c r="S66" s="121" t="s">
        <v>25</v>
      </c>
      <c r="T66" s="121"/>
      <c r="U66" s="121"/>
      <c r="V66" s="121"/>
      <c r="W66" s="121"/>
      <c r="X66" s="121"/>
    </row>
    <row r="67" spans="1:24" x14ac:dyDescent="0.3">
      <c r="A67" s="2226">
        <v>4</v>
      </c>
      <c r="B67" s="248" t="s">
        <v>4448</v>
      </c>
      <c r="C67" s="216" t="s">
        <v>57</v>
      </c>
      <c r="D67" s="67">
        <v>43</v>
      </c>
      <c r="E67" s="217" t="s">
        <v>1108</v>
      </c>
      <c r="F67" s="218" t="s">
        <v>4339</v>
      </c>
      <c r="G67" s="192">
        <v>5400</v>
      </c>
      <c r="H67" s="1802" t="s">
        <v>400</v>
      </c>
      <c r="I67" s="118" t="s">
        <v>25</v>
      </c>
      <c r="J67" s="119"/>
      <c r="K67" s="119"/>
      <c r="L67" s="119"/>
      <c r="M67" s="119"/>
      <c r="N67" s="119"/>
      <c r="O67" s="2305" t="s">
        <v>477</v>
      </c>
      <c r="S67" s="118" t="s">
        <v>25</v>
      </c>
      <c r="T67" s="119"/>
      <c r="U67" s="119"/>
      <c r="V67" s="119"/>
      <c r="W67" s="119"/>
      <c r="X67" s="119"/>
    </row>
    <row r="68" spans="1:24" x14ac:dyDescent="0.3">
      <c r="A68" s="2299">
        <v>5</v>
      </c>
      <c r="B68" s="421" t="s">
        <v>4449</v>
      </c>
      <c r="C68" s="216" t="s">
        <v>57</v>
      </c>
      <c r="D68" s="75">
        <v>66</v>
      </c>
      <c r="E68" s="217" t="s">
        <v>1113</v>
      </c>
      <c r="F68" s="82" t="s">
        <v>4450</v>
      </c>
      <c r="G68" s="83">
        <v>5900</v>
      </c>
      <c r="H68" s="1773" t="s">
        <v>41</v>
      </c>
      <c r="I68" s="118" t="s">
        <v>25</v>
      </c>
      <c r="J68" s="600"/>
      <c r="K68" s="600"/>
      <c r="L68" s="600"/>
      <c r="M68" s="600"/>
      <c r="N68" s="600"/>
      <c r="O68" s="2426" t="s">
        <v>5897</v>
      </c>
      <c r="S68" s="118" t="s">
        <v>25</v>
      </c>
      <c r="T68" s="600"/>
      <c r="U68" s="600"/>
      <c r="V68" s="600"/>
      <c r="W68" s="600"/>
      <c r="X68" s="600"/>
    </row>
    <row r="69" spans="1:24" ht="17.399999999999999" x14ac:dyDescent="0.45">
      <c r="A69" s="663"/>
      <c r="B69" s="853"/>
      <c r="C69" s="2895"/>
      <c r="D69" s="2896"/>
      <c r="E69" s="2897"/>
      <c r="F69" s="905"/>
      <c r="G69" s="906">
        <f>SUM(G64:G68)</f>
        <v>17950</v>
      </c>
      <c r="H69" s="1452"/>
      <c r="I69" s="46"/>
      <c r="J69" s="49"/>
      <c r="K69" s="49"/>
      <c r="L69" s="49"/>
      <c r="M69" s="49"/>
      <c r="N69" s="49"/>
      <c r="O69" s="205"/>
      <c r="S69" s="46"/>
      <c r="T69" s="49"/>
      <c r="U69" s="49"/>
      <c r="V69" s="49"/>
      <c r="W69" s="49"/>
      <c r="X69" s="49"/>
    </row>
    <row r="70" spans="1:24" x14ac:dyDescent="0.3">
      <c r="A70" s="772" t="s">
        <v>4451</v>
      </c>
      <c r="B70" s="1441" t="s">
        <v>4452</v>
      </c>
      <c r="C70" s="829"/>
      <c r="D70" s="829"/>
      <c r="E70" s="829"/>
      <c r="F70" s="845"/>
      <c r="G70" s="826"/>
      <c r="H70" s="827"/>
      <c r="I70" s="994"/>
      <c r="J70" s="779"/>
      <c r="K70" s="779"/>
      <c r="L70" s="828"/>
      <c r="M70" s="828"/>
      <c r="N70" s="779"/>
      <c r="O70" s="780"/>
      <c r="S70" s="994"/>
      <c r="T70" s="779"/>
      <c r="U70" s="779"/>
      <c r="V70" s="828"/>
      <c r="W70" s="828"/>
      <c r="X70" s="779"/>
    </row>
    <row r="71" spans="1:24" x14ac:dyDescent="0.3">
      <c r="A71" s="2329">
        <v>1</v>
      </c>
      <c r="B71" s="761" t="s">
        <v>4453</v>
      </c>
      <c r="C71" s="726" t="s">
        <v>4451</v>
      </c>
      <c r="D71" s="1453">
        <v>34</v>
      </c>
      <c r="E71" s="913" t="s">
        <v>1125</v>
      </c>
      <c r="F71" s="403" t="s">
        <v>4454</v>
      </c>
      <c r="G71" s="404">
        <v>37000</v>
      </c>
      <c r="H71" s="1396" t="s">
        <v>328</v>
      </c>
      <c r="I71" s="406" t="s">
        <v>25</v>
      </c>
      <c r="J71" s="406"/>
      <c r="K71" s="406"/>
      <c r="L71" s="406"/>
      <c r="M71" s="406"/>
      <c r="N71" s="406"/>
      <c r="O71" s="756"/>
      <c r="S71" s="406" t="s">
        <v>25</v>
      </c>
      <c r="T71" s="406"/>
      <c r="U71" s="406"/>
      <c r="V71" s="406"/>
      <c r="W71" s="406"/>
      <c r="X71" s="406"/>
    </row>
    <row r="72" spans="1:24" x14ac:dyDescent="0.3">
      <c r="A72" s="547"/>
      <c r="B72" s="743"/>
      <c r="C72" s="2935"/>
      <c r="D72" s="2936"/>
      <c r="E72" s="2937"/>
      <c r="F72" s="1448"/>
      <c r="G72" s="1454">
        <f>SUM(G71)</f>
        <v>37000</v>
      </c>
      <c r="H72" s="551"/>
      <c r="I72" s="552"/>
      <c r="J72" s="553"/>
      <c r="K72" s="553"/>
      <c r="L72" s="553"/>
      <c r="M72" s="553"/>
      <c r="N72" s="553"/>
      <c r="O72" s="554"/>
      <c r="S72" s="552"/>
      <c r="T72" s="553"/>
      <c r="U72" s="553"/>
      <c r="V72" s="553"/>
      <c r="W72" s="553"/>
      <c r="X72" s="553"/>
    </row>
    <row r="73" spans="1:24" x14ac:dyDescent="0.3">
      <c r="A73" s="16" t="s">
        <v>4455</v>
      </c>
      <c r="B73" s="815" t="s">
        <v>4456</v>
      </c>
      <c r="C73" s="829"/>
      <c r="D73" s="829"/>
      <c r="E73" s="829"/>
      <c r="F73" s="845"/>
      <c r="G73" s="826"/>
      <c r="H73" s="827"/>
      <c r="I73" s="994"/>
      <c r="J73" s="779"/>
      <c r="K73" s="779"/>
      <c r="L73" s="828"/>
      <c r="M73" s="828"/>
      <c r="N73" s="779"/>
      <c r="O73" s="780"/>
      <c r="S73" s="994"/>
      <c r="T73" s="779"/>
      <c r="U73" s="779"/>
      <c r="V73" s="828"/>
      <c r="W73" s="828"/>
      <c r="X73" s="779"/>
    </row>
    <row r="74" spans="1:24" x14ac:dyDescent="0.3">
      <c r="A74" s="2250">
        <v>1</v>
      </c>
      <c r="B74" s="1455" t="s">
        <v>4457</v>
      </c>
      <c r="C74" s="1098" t="s">
        <v>4455</v>
      </c>
      <c r="D74" s="326">
        <v>34</v>
      </c>
      <c r="E74" s="1099" t="s">
        <v>600</v>
      </c>
      <c r="F74" s="1100" t="s">
        <v>4458</v>
      </c>
      <c r="G74" s="1101">
        <v>2490</v>
      </c>
      <c r="H74" s="1773" t="s">
        <v>41</v>
      </c>
      <c r="I74" s="1456" t="s">
        <v>25</v>
      </c>
      <c r="J74" s="1456"/>
      <c r="K74" s="1457"/>
      <c r="L74" s="1457"/>
      <c r="M74" s="1457"/>
      <c r="N74" s="1457"/>
      <c r="O74" s="1458"/>
      <c r="S74" s="1456" t="s">
        <v>25</v>
      </c>
      <c r="T74" s="1456"/>
      <c r="U74" s="1457"/>
      <c r="V74" s="1457"/>
      <c r="W74" s="1457"/>
      <c r="X74" s="1457"/>
    </row>
    <row r="75" spans="1:24" x14ac:dyDescent="0.3">
      <c r="A75" s="2302">
        <v>2</v>
      </c>
      <c r="B75" s="1437" t="s">
        <v>4459</v>
      </c>
      <c r="C75" s="66" t="s">
        <v>4455</v>
      </c>
      <c r="D75" s="67">
        <v>34</v>
      </c>
      <c r="E75" s="68" t="s">
        <v>1271</v>
      </c>
      <c r="F75" s="411" t="s">
        <v>4460</v>
      </c>
      <c r="G75" s="412">
        <v>3590</v>
      </c>
      <c r="H75" s="1396" t="s">
        <v>328</v>
      </c>
      <c r="I75" s="121" t="s">
        <v>25</v>
      </c>
      <c r="J75" s="121"/>
      <c r="K75" s="121"/>
      <c r="L75" s="121"/>
      <c r="M75" s="121"/>
      <c r="N75" s="121"/>
      <c r="O75" s="530"/>
      <c r="S75" s="121" t="s">
        <v>25</v>
      </c>
      <c r="T75" s="121"/>
      <c r="U75" s="121"/>
      <c r="V75" s="121"/>
      <c r="W75" s="121"/>
      <c r="X75" s="121"/>
    </row>
    <row r="76" spans="1:24" x14ac:dyDescent="0.3">
      <c r="A76" s="2302">
        <v>3</v>
      </c>
      <c r="B76" s="1437" t="s">
        <v>4461</v>
      </c>
      <c r="C76" s="66" t="s">
        <v>4455</v>
      </c>
      <c r="D76" s="67">
        <v>34</v>
      </c>
      <c r="E76" s="68" t="s">
        <v>1106</v>
      </c>
      <c r="F76" s="411" t="s">
        <v>4460</v>
      </c>
      <c r="G76" s="412">
        <v>4790</v>
      </c>
      <c r="H76" s="1396" t="s">
        <v>328</v>
      </c>
      <c r="I76" s="121" t="s">
        <v>25</v>
      </c>
      <c r="J76" s="121"/>
      <c r="K76" s="121"/>
      <c r="L76" s="121"/>
      <c r="M76" s="121"/>
      <c r="N76" s="121"/>
      <c r="O76" s="530"/>
      <c r="S76" s="121" t="s">
        <v>25</v>
      </c>
      <c r="T76" s="121"/>
      <c r="U76" s="121"/>
      <c r="V76" s="121"/>
      <c r="W76" s="121"/>
      <c r="X76" s="121"/>
    </row>
    <row r="77" spans="1:24" x14ac:dyDescent="0.3">
      <c r="A77" s="2302">
        <v>4</v>
      </c>
      <c r="B77" s="1437" t="s">
        <v>4462</v>
      </c>
      <c r="C77" s="66" t="s">
        <v>4455</v>
      </c>
      <c r="D77" s="67">
        <v>34</v>
      </c>
      <c r="E77" s="68" t="s">
        <v>1107</v>
      </c>
      <c r="F77" s="411" t="s">
        <v>4460</v>
      </c>
      <c r="G77" s="412">
        <v>3490</v>
      </c>
      <c r="H77" s="1396" t="s">
        <v>328</v>
      </c>
      <c r="I77" s="121" t="s">
        <v>25</v>
      </c>
      <c r="J77" s="121"/>
      <c r="K77" s="121"/>
      <c r="L77" s="121"/>
      <c r="M77" s="121"/>
      <c r="N77" s="121"/>
      <c r="O77" s="530"/>
      <c r="S77" s="121" t="s">
        <v>25</v>
      </c>
      <c r="T77" s="121"/>
      <c r="U77" s="121"/>
      <c r="V77" s="121"/>
      <c r="W77" s="121"/>
      <c r="X77" s="121"/>
    </row>
    <row r="78" spans="1:24" x14ac:dyDescent="0.3">
      <c r="A78" s="2302">
        <v>5</v>
      </c>
      <c r="B78" s="1437" t="s">
        <v>4463</v>
      </c>
      <c r="C78" s="66" t="s">
        <v>4455</v>
      </c>
      <c r="D78" s="67">
        <v>37</v>
      </c>
      <c r="E78" s="68" t="s">
        <v>1110</v>
      </c>
      <c r="F78" s="411" t="s">
        <v>4464</v>
      </c>
      <c r="G78" s="412">
        <v>5992</v>
      </c>
      <c r="H78" s="1396" t="s">
        <v>328</v>
      </c>
      <c r="I78" s="121" t="s">
        <v>25</v>
      </c>
      <c r="J78" s="121"/>
      <c r="K78" s="121"/>
      <c r="L78" s="121"/>
      <c r="M78" s="121"/>
      <c r="N78" s="121"/>
      <c r="O78" s="530"/>
      <c r="S78" s="121" t="s">
        <v>25</v>
      </c>
      <c r="T78" s="121"/>
      <c r="U78" s="121"/>
      <c r="V78" s="121"/>
      <c r="W78" s="121"/>
      <c r="X78" s="121"/>
    </row>
    <row r="79" spans="1:24" x14ac:dyDescent="0.3">
      <c r="A79" s="2302">
        <v>6</v>
      </c>
      <c r="B79" s="531" t="s">
        <v>4465</v>
      </c>
      <c r="C79" s="66" t="s">
        <v>4455</v>
      </c>
      <c r="D79" s="67">
        <v>52</v>
      </c>
      <c r="E79" s="68" t="s">
        <v>1112</v>
      </c>
      <c r="F79" s="1440" t="s">
        <v>4407</v>
      </c>
      <c r="G79" s="412">
        <v>5500</v>
      </c>
      <c r="H79" s="1396" t="s">
        <v>328</v>
      </c>
      <c r="I79" s="121" t="s">
        <v>25</v>
      </c>
      <c r="J79" s="121"/>
      <c r="K79" s="121"/>
      <c r="L79" s="121"/>
      <c r="M79" s="121"/>
      <c r="N79" s="121"/>
      <c r="O79" s="530"/>
      <c r="S79" s="121" t="s">
        <v>25</v>
      </c>
      <c r="T79" s="121"/>
      <c r="U79" s="121"/>
      <c r="V79" s="121"/>
      <c r="W79" s="121"/>
      <c r="X79" s="121"/>
    </row>
    <row r="80" spans="1:24" ht="17.399999999999999" x14ac:dyDescent="0.45">
      <c r="A80" s="663"/>
      <c r="B80" s="853"/>
      <c r="C80" s="664"/>
      <c r="D80" s="910"/>
      <c r="E80" s="904"/>
      <c r="F80" s="905"/>
      <c r="G80" s="906">
        <f>SUM(G74:G79)</f>
        <v>25852</v>
      </c>
      <c r="H80" s="93"/>
      <c r="I80" s="46"/>
      <c r="J80" s="46"/>
      <c r="K80" s="49"/>
      <c r="L80" s="49"/>
      <c r="M80" s="49"/>
      <c r="N80" s="49"/>
      <c r="O80" s="205"/>
      <c r="S80" s="46"/>
      <c r="T80" s="46"/>
      <c r="U80" s="49"/>
      <c r="V80" s="49"/>
      <c r="W80" s="49"/>
      <c r="X80" s="49"/>
    </row>
    <row r="81" spans="1:24" ht="17.399999999999999" x14ac:dyDescent="0.45">
      <c r="A81" s="1459">
        <v>104</v>
      </c>
      <c r="B81" s="1441" t="s">
        <v>4466</v>
      </c>
      <c r="C81" s="1460"/>
      <c r="D81" s="1461"/>
      <c r="E81" s="1460"/>
      <c r="F81" s="1460"/>
      <c r="G81" s="1462"/>
      <c r="H81" s="1463"/>
      <c r="I81" s="994"/>
      <c r="J81" s="994"/>
      <c r="K81" s="1464"/>
      <c r="L81" s="1464"/>
      <c r="M81" s="1464"/>
      <c r="N81" s="1464"/>
      <c r="O81" s="830"/>
      <c r="S81" s="994"/>
      <c r="T81" s="994"/>
      <c r="U81" s="1464"/>
      <c r="V81" s="1464"/>
      <c r="W81" s="1464"/>
      <c r="X81" s="1464"/>
    </row>
    <row r="82" spans="1:24" x14ac:dyDescent="0.3">
      <c r="A82" s="2329">
        <v>1</v>
      </c>
      <c r="B82" s="761" t="s">
        <v>4467</v>
      </c>
      <c r="C82" s="348" t="s">
        <v>4468</v>
      </c>
      <c r="D82" s="326">
        <v>35</v>
      </c>
      <c r="E82" s="349" t="s">
        <v>1125</v>
      </c>
      <c r="F82" s="403" t="s">
        <v>4424</v>
      </c>
      <c r="G82" s="404">
        <v>2200</v>
      </c>
      <c r="H82" s="1396" t="s">
        <v>328</v>
      </c>
      <c r="I82" s="406" t="s">
        <v>25</v>
      </c>
      <c r="J82" s="644"/>
      <c r="K82" s="692"/>
      <c r="L82" s="692"/>
      <c r="M82" s="692"/>
      <c r="N82" s="692"/>
      <c r="O82" s="693"/>
      <c r="S82" s="406" t="s">
        <v>25</v>
      </c>
      <c r="T82" s="644"/>
      <c r="U82" s="692"/>
      <c r="V82" s="692"/>
      <c r="W82" s="692"/>
      <c r="X82" s="692"/>
    </row>
    <row r="83" spans="1:24" ht="17.399999999999999" x14ac:dyDescent="0.45">
      <c r="A83" s="663"/>
      <c r="B83" s="853"/>
      <c r="C83" s="664"/>
      <c r="D83" s="910"/>
      <c r="E83" s="904"/>
      <c r="F83" s="905"/>
      <c r="G83" s="906">
        <f>SUM(G82)</f>
        <v>2200</v>
      </c>
      <c r="H83" s="93"/>
      <c r="I83" s="46"/>
      <c r="J83" s="46"/>
      <c r="K83" s="49"/>
      <c r="L83" s="49"/>
      <c r="M83" s="49"/>
      <c r="N83" s="49"/>
      <c r="O83" s="205"/>
      <c r="S83" s="46"/>
      <c r="T83" s="46"/>
      <c r="U83" s="49"/>
      <c r="V83" s="49"/>
      <c r="W83" s="49"/>
      <c r="X83" s="49"/>
    </row>
    <row r="84" spans="1:24" x14ac:dyDescent="0.3">
      <c r="A84" s="823">
        <v>108</v>
      </c>
      <c r="B84" s="815" t="s">
        <v>4469</v>
      </c>
      <c r="C84" s="829"/>
      <c r="D84" s="829"/>
      <c r="E84" s="829"/>
      <c r="F84" s="1028"/>
      <c r="G84" s="826"/>
      <c r="H84" s="827"/>
      <c r="I84" s="846"/>
      <c r="J84" s="779"/>
      <c r="K84" s="779"/>
      <c r="L84" s="828"/>
      <c r="M84" s="828"/>
      <c r="N84" s="779"/>
      <c r="O84" s="780"/>
      <c r="S84" s="846"/>
      <c r="T84" s="779"/>
      <c r="U84" s="779"/>
      <c r="V84" s="828"/>
      <c r="W84" s="828"/>
      <c r="X84" s="779"/>
    </row>
    <row r="85" spans="1:24" x14ac:dyDescent="0.3">
      <c r="A85" s="2256">
        <v>1</v>
      </c>
      <c r="B85" s="1097" t="s">
        <v>4470</v>
      </c>
      <c r="C85" s="1098" t="s">
        <v>4471</v>
      </c>
      <c r="D85" s="793" t="s">
        <v>494</v>
      </c>
      <c r="E85" s="1099" t="s">
        <v>1125</v>
      </c>
      <c r="F85" s="1100" t="s">
        <v>4472</v>
      </c>
      <c r="G85" s="1101">
        <v>85000</v>
      </c>
      <c r="H85" s="1466" t="s">
        <v>4473</v>
      </c>
      <c r="I85" s="644"/>
      <c r="J85" s="848"/>
      <c r="K85" s="642" t="s">
        <v>25</v>
      </c>
      <c r="L85" s="692"/>
      <c r="M85" s="849"/>
      <c r="N85" s="642"/>
      <c r="O85" s="901" t="s">
        <v>6395</v>
      </c>
      <c r="R85" s="1">
        <v>1</v>
      </c>
      <c r="S85" s="644"/>
      <c r="T85" s="848"/>
      <c r="U85" s="642" t="s">
        <v>25</v>
      </c>
      <c r="V85" s="692"/>
      <c r="W85" s="849"/>
      <c r="X85" s="642"/>
    </row>
    <row r="86" spans="1:24" ht="17.399999999999999" x14ac:dyDescent="0.45">
      <c r="A86" s="1467"/>
      <c r="B86" s="1468"/>
      <c r="C86" s="1469"/>
      <c r="D86" s="1470"/>
      <c r="E86" s="1471"/>
      <c r="F86" s="1472"/>
      <c r="G86" s="1473">
        <f>SUM(G85)</f>
        <v>85000</v>
      </c>
      <c r="H86" s="1474"/>
      <c r="I86" s="1475"/>
      <c r="J86" s="1476"/>
      <c r="K86" s="1477"/>
      <c r="L86" s="1477"/>
      <c r="M86" s="1477"/>
      <c r="N86" s="1478"/>
      <c r="O86" s="1479"/>
      <c r="S86" s="1475"/>
      <c r="T86" s="1476"/>
      <c r="U86" s="1477"/>
      <c r="V86" s="1477"/>
      <c r="W86" s="1477"/>
      <c r="X86" s="1478"/>
    </row>
    <row r="87" spans="1:24" x14ac:dyDescent="0.3">
      <c r="A87" s="1063">
        <v>112</v>
      </c>
      <c r="B87" s="1064" t="s">
        <v>6073</v>
      </c>
      <c r="C87" s="1065"/>
      <c r="D87" s="1065"/>
      <c r="E87" s="1065"/>
      <c r="F87" s="1066"/>
      <c r="G87" s="1067"/>
      <c r="H87" s="1068"/>
      <c r="I87" s="1069"/>
      <c r="J87" s="1070"/>
      <c r="K87" s="1070"/>
      <c r="L87" s="1070"/>
      <c r="M87" s="1070"/>
      <c r="N87" s="1070"/>
      <c r="O87" s="1071"/>
      <c r="S87" s="1069"/>
      <c r="T87" s="1070"/>
      <c r="U87" s="1070"/>
      <c r="V87" s="1070"/>
      <c r="W87" s="1070"/>
      <c r="X87" s="1070"/>
    </row>
    <row r="88" spans="1:24" x14ac:dyDescent="0.3">
      <c r="A88" s="2257">
        <v>1</v>
      </c>
      <c r="B88" s="1398" t="s">
        <v>4474</v>
      </c>
      <c r="C88" s="1005" t="s">
        <v>4475</v>
      </c>
      <c r="D88" s="1006" t="s">
        <v>1305</v>
      </c>
      <c r="E88" s="1007" t="s">
        <v>1125</v>
      </c>
      <c r="F88" s="1399" t="s">
        <v>4339</v>
      </c>
      <c r="G88" s="1480">
        <v>20000</v>
      </c>
      <c r="H88" s="1481" t="s">
        <v>4473</v>
      </c>
      <c r="I88" s="1001"/>
      <c r="J88" s="2258" t="s">
        <v>25</v>
      </c>
      <c r="K88" s="1482"/>
      <c r="L88" s="1482"/>
      <c r="M88" s="1483"/>
      <c r="N88" s="1484"/>
      <c r="O88" s="2259" t="s">
        <v>477</v>
      </c>
      <c r="P88" s="1">
        <v>1</v>
      </c>
      <c r="S88" s="1001"/>
      <c r="T88" s="2258" t="s">
        <v>25</v>
      </c>
      <c r="U88" s="1482"/>
      <c r="V88" s="1482"/>
      <c r="W88" s="1483"/>
      <c r="X88" s="1484"/>
    </row>
    <row r="89" spans="1:24" ht="17.399999999999999" x14ac:dyDescent="0.3">
      <c r="A89" s="1485"/>
      <c r="B89" s="1486"/>
      <c r="C89" s="2926"/>
      <c r="D89" s="2927"/>
      <c r="E89" s="2928"/>
      <c r="F89" s="1488"/>
      <c r="G89" s="1489">
        <f>SUM(G88)</f>
        <v>20000</v>
      </c>
      <c r="H89" s="1490"/>
      <c r="I89" s="992"/>
      <c r="J89" s="993"/>
      <c r="K89" s="993"/>
      <c r="L89" s="993"/>
      <c r="M89" s="993"/>
      <c r="N89" s="993"/>
      <c r="O89" s="1491"/>
      <c r="S89" s="992"/>
      <c r="T89" s="993"/>
      <c r="U89" s="993"/>
      <c r="V89" s="993"/>
      <c r="W89" s="993"/>
      <c r="X89" s="993"/>
    </row>
    <row r="90" spans="1:24" x14ac:dyDescent="0.3">
      <c r="A90" s="1063">
        <v>115</v>
      </c>
      <c r="B90" s="1064" t="s">
        <v>4476</v>
      </c>
      <c r="C90" s="1065"/>
      <c r="D90" s="1065"/>
      <c r="E90" s="1065"/>
      <c r="F90" s="1066"/>
      <c r="G90" s="1067"/>
      <c r="H90" s="1068"/>
      <c r="I90" s="1069"/>
      <c r="J90" s="1070"/>
      <c r="K90" s="1070"/>
      <c r="L90" s="1070"/>
      <c r="M90" s="1070"/>
      <c r="N90" s="1070"/>
      <c r="O90" s="1071"/>
      <c r="S90" s="1069"/>
      <c r="T90" s="1070"/>
      <c r="U90" s="1070"/>
      <c r="V90" s="1070"/>
      <c r="W90" s="1070"/>
      <c r="X90" s="1070"/>
    </row>
    <row r="91" spans="1:24" x14ac:dyDescent="0.3">
      <c r="A91" s="2440">
        <v>1</v>
      </c>
      <c r="B91" s="2632" t="s">
        <v>4477</v>
      </c>
      <c r="C91" s="1493" t="s">
        <v>4478</v>
      </c>
      <c r="D91" s="1494" t="s">
        <v>966</v>
      </c>
      <c r="E91" s="1495" t="s">
        <v>1125</v>
      </c>
      <c r="F91" s="1496" t="s">
        <v>480</v>
      </c>
      <c r="G91" s="1497">
        <v>2600000</v>
      </c>
      <c r="H91" s="1498" t="s">
        <v>4473</v>
      </c>
      <c r="I91" s="1499"/>
      <c r="J91" s="1500"/>
      <c r="K91" s="1499" t="s">
        <v>25</v>
      </c>
      <c r="L91" s="1500"/>
      <c r="M91" s="1500"/>
      <c r="N91" s="1500"/>
      <c r="O91" s="901" t="s">
        <v>6395</v>
      </c>
      <c r="Q91" s="1">
        <v>1</v>
      </c>
      <c r="S91" s="1499"/>
      <c r="T91" s="1500"/>
      <c r="U91" s="1499" t="s">
        <v>25</v>
      </c>
      <c r="V91" s="1500"/>
      <c r="W91" s="1500"/>
      <c r="X91" s="1500"/>
    </row>
    <row r="92" spans="1:24" x14ac:dyDescent="0.3">
      <c r="A92" s="2441">
        <v>2</v>
      </c>
      <c r="B92" s="1501" t="s">
        <v>4479</v>
      </c>
      <c r="C92" s="1502" t="s">
        <v>4478</v>
      </c>
      <c r="D92" s="1503" t="s">
        <v>966</v>
      </c>
      <c r="E92" s="1504" t="s">
        <v>599</v>
      </c>
      <c r="F92" s="1505" t="s">
        <v>480</v>
      </c>
      <c r="G92" s="1506">
        <v>700000</v>
      </c>
      <c r="H92" s="1507" t="s">
        <v>4473</v>
      </c>
      <c r="I92" s="1508" t="s">
        <v>25</v>
      </c>
      <c r="J92" s="1509"/>
      <c r="K92" s="1509"/>
      <c r="L92" s="1509"/>
      <c r="M92" s="1509"/>
      <c r="N92" s="1509"/>
      <c r="O92" s="2261" t="s">
        <v>4233</v>
      </c>
      <c r="S92" s="1508" t="s">
        <v>25</v>
      </c>
      <c r="T92" s="1509"/>
      <c r="U92" s="1509"/>
      <c r="V92" s="1509"/>
      <c r="W92" s="1509"/>
      <c r="X92" s="1509"/>
    </row>
    <row r="93" spans="1:24" ht="17.399999999999999" x14ac:dyDescent="0.3">
      <c r="A93" s="1510"/>
      <c r="B93" s="1511"/>
      <c r="C93" s="1512"/>
      <c r="D93" s="1487"/>
      <c r="E93" s="1513"/>
      <c r="F93" s="1514"/>
      <c r="G93" s="1515">
        <f>SUM(G91:G92)</f>
        <v>3300000</v>
      </c>
      <c r="H93" s="1516"/>
      <c r="I93" s="1517"/>
      <c r="J93" s="1518"/>
      <c r="K93" s="1518"/>
      <c r="L93" s="1518"/>
      <c r="M93" s="1518"/>
      <c r="N93" s="1518"/>
      <c r="O93" s="1519"/>
      <c r="S93" s="1517"/>
      <c r="T93" s="1518"/>
      <c r="U93" s="1518"/>
      <c r="V93" s="1518"/>
      <c r="W93" s="1518"/>
      <c r="X93" s="1518"/>
    </row>
    <row r="94" spans="1:24" x14ac:dyDescent="0.3">
      <c r="A94" s="823">
        <v>116</v>
      </c>
      <c r="B94" s="815" t="s">
        <v>4480</v>
      </c>
      <c r="C94" s="829"/>
      <c r="D94" s="829"/>
      <c r="E94" s="829"/>
      <c r="F94" s="845"/>
      <c r="G94" s="826"/>
      <c r="H94" s="827"/>
      <c r="I94" s="846"/>
      <c r="J94" s="779"/>
      <c r="K94" s="779"/>
      <c r="L94" s="828"/>
      <c r="M94" s="828"/>
      <c r="N94" s="779"/>
      <c r="O94" s="780"/>
      <c r="S94" s="846"/>
      <c r="T94" s="779"/>
      <c r="U94" s="779"/>
      <c r="V94" s="828"/>
      <c r="W94" s="828"/>
      <c r="X94" s="779"/>
    </row>
    <row r="95" spans="1:24" x14ac:dyDescent="0.3">
      <c r="A95" s="2260">
        <v>1</v>
      </c>
      <c r="B95" s="1520" t="s">
        <v>4481</v>
      </c>
      <c r="C95" s="1521" t="s">
        <v>4482</v>
      </c>
      <c r="D95" s="977" t="s">
        <v>966</v>
      </c>
      <c r="E95" s="1522" t="s">
        <v>599</v>
      </c>
      <c r="F95" s="1505" t="s">
        <v>480</v>
      </c>
      <c r="G95" s="1523">
        <v>120000</v>
      </c>
      <c r="H95" s="1507" t="s">
        <v>4473</v>
      </c>
      <c r="I95" s="1508"/>
      <c r="J95" s="1400" t="s">
        <v>25</v>
      </c>
      <c r="K95" s="1509"/>
      <c r="L95" s="1400"/>
      <c r="M95" s="1509"/>
      <c r="N95" s="1509"/>
      <c r="O95" s="2633" t="s">
        <v>6395</v>
      </c>
      <c r="P95" s="1">
        <v>2</v>
      </c>
      <c r="S95" s="1508"/>
      <c r="T95" s="1400" t="s">
        <v>25</v>
      </c>
      <c r="U95" s="1509"/>
      <c r="V95" s="1400"/>
      <c r="W95" s="1509"/>
      <c r="X95" s="1509"/>
    </row>
    <row r="96" spans="1:24" x14ac:dyDescent="0.3">
      <c r="A96" s="2260">
        <v>2</v>
      </c>
      <c r="B96" s="1520" t="s">
        <v>4483</v>
      </c>
      <c r="C96" s="1521" t="s">
        <v>4482</v>
      </c>
      <c r="D96" s="977" t="s">
        <v>966</v>
      </c>
      <c r="E96" s="1522" t="s">
        <v>600</v>
      </c>
      <c r="F96" s="1505" t="s">
        <v>480</v>
      </c>
      <c r="G96" s="1523">
        <v>150000</v>
      </c>
      <c r="H96" s="1507" t="s">
        <v>4473</v>
      </c>
      <c r="I96" s="1508"/>
      <c r="J96" s="1508" t="s">
        <v>25</v>
      </c>
      <c r="K96" s="1509"/>
      <c r="L96" s="1508"/>
      <c r="M96" s="1509"/>
      <c r="N96" s="1509"/>
      <c r="O96" s="2633" t="s">
        <v>6395</v>
      </c>
      <c r="P96" s="1">
        <v>3</v>
      </c>
      <c r="S96" s="1508"/>
      <c r="T96" s="1508" t="s">
        <v>25</v>
      </c>
      <c r="U96" s="1509"/>
      <c r="V96" s="1508"/>
      <c r="W96" s="1509"/>
      <c r="X96" s="1509"/>
    </row>
    <row r="97" spans="1:60" x14ac:dyDescent="0.3">
      <c r="A97" s="2260">
        <v>3</v>
      </c>
      <c r="B97" s="1524" t="s">
        <v>4484</v>
      </c>
      <c r="C97" s="1521" t="s">
        <v>4482</v>
      </c>
      <c r="D97" s="977" t="s">
        <v>966</v>
      </c>
      <c r="E97" s="1525" t="s">
        <v>1271</v>
      </c>
      <c r="F97" s="1505" t="s">
        <v>480</v>
      </c>
      <c r="G97" s="1526">
        <v>1800000</v>
      </c>
      <c r="H97" s="1507" t="s">
        <v>4473</v>
      </c>
      <c r="I97" s="1508" t="s">
        <v>25</v>
      </c>
      <c r="J97" s="1527"/>
      <c r="K97" s="1528"/>
      <c r="L97" s="1527"/>
      <c r="M97" s="1528"/>
      <c r="N97" s="1528"/>
      <c r="O97" s="2261" t="s">
        <v>4233</v>
      </c>
      <c r="S97" s="1508" t="s">
        <v>25</v>
      </c>
      <c r="T97" s="1527"/>
      <c r="U97" s="1528"/>
      <c r="V97" s="1527"/>
      <c r="W97" s="1528"/>
      <c r="X97" s="1528"/>
    </row>
    <row r="98" spans="1:60" x14ac:dyDescent="0.3">
      <c r="A98" s="2442">
        <v>4</v>
      </c>
      <c r="B98" s="1524" t="s">
        <v>4485</v>
      </c>
      <c r="C98" s="1521" t="s">
        <v>4482</v>
      </c>
      <c r="D98" s="977" t="s">
        <v>966</v>
      </c>
      <c r="E98" s="1525" t="s">
        <v>1250</v>
      </c>
      <c r="F98" s="1505" t="s">
        <v>480</v>
      </c>
      <c r="G98" s="1526">
        <v>450000</v>
      </c>
      <c r="H98" s="1507" t="s">
        <v>4473</v>
      </c>
      <c r="I98" s="1508" t="s">
        <v>25</v>
      </c>
      <c r="J98" s="1527"/>
      <c r="K98" s="1528"/>
      <c r="L98" s="1527"/>
      <c r="M98" s="1528"/>
      <c r="N98" s="1528"/>
      <c r="O98" s="2261" t="s">
        <v>4233</v>
      </c>
      <c r="S98" s="1508" t="s">
        <v>25</v>
      </c>
      <c r="T98" s="1527"/>
      <c r="U98" s="1528"/>
      <c r="V98" s="1527"/>
      <c r="W98" s="1528"/>
      <c r="X98" s="1528"/>
    </row>
    <row r="99" spans="1:60" ht="17.399999999999999" x14ac:dyDescent="0.45">
      <c r="A99" s="1529"/>
      <c r="B99" s="1530"/>
      <c r="C99" s="1531"/>
      <c r="D99" s="1532"/>
      <c r="E99" s="1533"/>
      <c r="F99" s="1534"/>
      <c r="G99" s="1535">
        <f>SUM(G95:G98)</f>
        <v>2520000</v>
      </c>
      <c r="H99" s="1536"/>
      <c r="I99" s="1086"/>
      <c r="J99" s="1537"/>
      <c r="K99" s="1537"/>
      <c r="L99" s="1537"/>
      <c r="M99" s="1537"/>
      <c r="N99" s="1537"/>
      <c r="O99" s="1538"/>
      <c r="S99" s="1086"/>
      <c r="T99" s="1537"/>
      <c r="U99" s="1537"/>
      <c r="V99" s="1537"/>
      <c r="W99" s="1537"/>
      <c r="X99" s="1537"/>
    </row>
    <row r="100" spans="1:60" s="1176" customFormat="1" ht="21" x14ac:dyDescent="0.4">
      <c r="A100" s="823">
        <v>421</v>
      </c>
      <c r="B100" s="815" t="s">
        <v>4486</v>
      </c>
      <c r="C100" s="829"/>
      <c r="D100" s="829"/>
      <c r="E100" s="829"/>
      <c r="F100" s="845"/>
      <c r="G100" s="826"/>
      <c r="H100" s="827"/>
      <c r="I100" s="846"/>
      <c r="J100" s="779"/>
      <c r="K100" s="779"/>
      <c r="L100" s="828"/>
      <c r="M100" s="828"/>
      <c r="N100" s="779"/>
      <c r="O100" s="780"/>
      <c r="S100" s="846"/>
      <c r="T100" s="779"/>
      <c r="U100" s="779"/>
      <c r="V100" s="828"/>
      <c r="W100" s="828"/>
      <c r="X100" s="779"/>
    </row>
    <row r="101" spans="1:60" s="1176" customFormat="1" ht="23.25" customHeight="1" x14ac:dyDescent="0.4">
      <c r="A101" s="2290">
        <v>1</v>
      </c>
      <c r="B101" s="390" t="s">
        <v>4487</v>
      </c>
      <c r="C101" s="163" t="s">
        <v>4488</v>
      </c>
      <c r="D101" s="164" t="s">
        <v>21</v>
      </c>
      <c r="E101" s="165" t="s">
        <v>1114</v>
      </c>
      <c r="F101" s="170">
        <v>243595</v>
      </c>
      <c r="G101" s="171">
        <v>493000</v>
      </c>
      <c r="H101" s="1804" t="s">
        <v>4489</v>
      </c>
      <c r="I101" s="2291" t="s">
        <v>25</v>
      </c>
      <c r="J101" s="1282"/>
      <c r="K101" s="1283"/>
      <c r="L101" s="1539"/>
      <c r="M101" s="1539"/>
      <c r="N101" s="1539"/>
      <c r="O101" s="1539"/>
      <c r="P101" s="1175"/>
      <c r="S101" s="2291" t="s">
        <v>25</v>
      </c>
      <c r="T101" s="1282"/>
      <c r="U101" s="1283"/>
      <c r="V101" s="1539"/>
      <c r="W101" s="1539"/>
      <c r="X101" s="1539"/>
    </row>
    <row r="102" spans="1:60" ht="17.399999999999999" x14ac:dyDescent="0.45">
      <c r="G102" s="763">
        <f>G101</f>
        <v>493000</v>
      </c>
    </row>
    <row r="103" spans="1:60" x14ac:dyDescent="0.3">
      <c r="A103" s="823">
        <v>466</v>
      </c>
      <c r="B103" s="815" t="s">
        <v>4490</v>
      </c>
      <c r="C103" s="829"/>
      <c r="D103" s="829"/>
      <c r="E103" s="829"/>
      <c r="F103" s="845"/>
      <c r="G103" s="826"/>
      <c r="H103" s="827"/>
      <c r="I103" s="846"/>
      <c r="J103" s="779"/>
      <c r="K103" s="779"/>
      <c r="L103" s="828"/>
      <c r="M103" s="828"/>
      <c r="N103" s="779"/>
      <c r="O103" s="780"/>
      <c r="S103" s="846"/>
      <c r="T103" s="779"/>
      <c r="U103" s="779"/>
      <c r="V103" s="828"/>
      <c r="W103" s="828"/>
      <c r="X103" s="779"/>
    </row>
    <row r="104" spans="1:60" s="466" customFormat="1" ht="21" x14ac:dyDescent="0.4">
      <c r="A104" s="2290">
        <v>1</v>
      </c>
      <c r="B104" s="390" t="s">
        <v>4491</v>
      </c>
      <c r="C104" s="163" t="s">
        <v>4180</v>
      </c>
      <c r="D104" s="164" t="s">
        <v>172</v>
      </c>
      <c r="E104" s="165" t="s">
        <v>948</v>
      </c>
      <c r="F104" s="170"/>
      <c r="G104" s="1540"/>
      <c r="H104" s="1805" t="s">
        <v>174</v>
      </c>
      <c r="I104" s="2291" t="s">
        <v>25</v>
      </c>
      <c r="J104" s="1282"/>
      <c r="K104" s="1283"/>
      <c r="L104" s="1286"/>
      <c r="M104" s="1286"/>
      <c r="N104" s="1286"/>
      <c r="O104" s="2294" t="s">
        <v>5862</v>
      </c>
      <c r="P104" s="1176"/>
      <c r="Q104" s="1176"/>
      <c r="R104" s="1176"/>
      <c r="S104" s="2291" t="s">
        <v>25</v>
      </c>
      <c r="T104" s="1282"/>
      <c r="U104" s="1283"/>
      <c r="V104" s="1286"/>
      <c r="W104" s="1286"/>
      <c r="X104" s="1286"/>
      <c r="Y104" s="1176"/>
      <c r="Z104" s="1176"/>
      <c r="AA104" s="1176"/>
      <c r="AB104" s="1176"/>
      <c r="AC104" s="1176"/>
      <c r="AD104" s="1176"/>
      <c r="AE104" s="1176"/>
      <c r="AF104" s="1176"/>
      <c r="AG104" s="1176"/>
      <c r="AH104" s="1176"/>
      <c r="AI104" s="1176"/>
      <c r="AJ104" s="1176"/>
      <c r="AK104" s="1176"/>
      <c r="AL104" s="1176"/>
      <c r="AM104" s="1176"/>
      <c r="AN104" s="1176"/>
      <c r="AO104" s="1176"/>
      <c r="AP104" s="1176"/>
      <c r="AQ104" s="1176"/>
      <c r="AR104" s="1176"/>
      <c r="AS104" s="1176"/>
      <c r="AT104" s="1176"/>
      <c r="AU104" s="1176"/>
      <c r="AV104" s="1176"/>
      <c r="AW104" s="1176"/>
      <c r="AX104" s="1176"/>
      <c r="AY104" s="1176"/>
      <c r="AZ104" s="1176"/>
      <c r="BA104" s="1176"/>
      <c r="BB104" s="1176"/>
      <c r="BC104" s="1176"/>
      <c r="BD104" s="1176"/>
      <c r="BE104" s="1176"/>
      <c r="BF104" s="1176"/>
      <c r="BG104" s="1176"/>
      <c r="BH104" s="1176"/>
    </row>
    <row r="105" spans="1:60" ht="17.399999999999999" x14ac:dyDescent="0.45">
      <c r="G105" s="763"/>
    </row>
    <row r="106" spans="1:60" x14ac:dyDescent="0.3">
      <c r="A106" s="825">
        <v>611</v>
      </c>
      <c r="B106" s="815" t="s">
        <v>4492</v>
      </c>
      <c r="C106" s="829"/>
      <c r="D106" s="829"/>
      <c r="E106" s="829"/>
      <c r="F106" s="845"/>
      <c r="G106" s="826"/>
      <c r="H106" s="827"/>
      <c r="I106" s="846"/>
      <c r="J106" s="779"/>
      <c r="K106" s="828"/>
      <c r="L106" s="828"/>
      <c r="M106" s="779"/>
      <c r="N106" s="829"/>
      <c r="O106" s="830"/>
      <c r="S106" s="846"/>
      <c r="T106" s="779"/>
      <c r="U106" s="828"/>
      <c r="V106" s="828"/>
      <c r="W106" s="779"/>
      <c r="X106" s="829"/>
    </row>
    <row r="107" spans="1:60" x14ac:dyDescent="0.3">
      <c r="A107" s="2250">
        <v>1</v>
      </c>
      <c r="B107" s="645" t="s">
        <v>4493</v>
      </c>
      <c r="C107" s="348" t="s">
        <v>4494</v>
      </c>
      <c r="D107" s="326">
        <v>52</v>
      </c>
      <c r="E107" s="349" t="s">
        <v>1125</v>
      </c>
      <c r="F107" s="350" t="s">
        <v>4495</v>
      </c>
      <c r="G107" s="351">
        <v>29850</v>
      </c>
      <c r="H107" s="1541" t="s">
        <v>4496</v>
      </c>
      <c r="I107" s="644"/>
      <c r="J107" s="848"/>
      <c r="K107" s="642" t="s">
        <v>25</v>
      </c>
      <c r="L107" s="692"/>
      <c r="M107" s="849"/>
      <c r="N107" s="642" t="s">
        <v>25</v>
      </c>
      <c r="O107" s="901" t="s">
        <v>6395</v>
      </c>
      <c r="R107" s="1">
        <v>2</v>
      </c>
      <c r="S107" s="644"/>
      <c r="T107" s="848"/>
      <c r="U107" s="642" t="s">
        <v>25</v>
      </c>
      <c r="V107" s="692"/>
      <c r="W107" s="849"/>
      <c r="X107" s="642"/>
    </row>
    <row r="108" spans="1:60" ht="17.399999999999999" x14ac:dyDescent="0.45">
      <c r="A108" s="39"/>
      <c r="B108" s="204"/>
      <c r="C108" s="950"/>
      <c r="D108" s="951"/>
      <c r="E108" s="911"/>
      <c r="F108" s="204"/>
      <c r="G108" s="713">
        <f>SUM(G107)</f>
        <v>29850</v>
      </c>
      <c r="H108" s="178"/>
      <c r="I108" s="204"/>
      <c r="J108" s="204"/>
      <c r="K108" s="204"/>
      <c r="L108" s="204"/>
      <c r="M108" s="204"/>
      <c r="N108" s="204"/>
      <c r="O108" s="205"/>
      <c r="S108" s="204"/>
      <c r="T108" s="204"/>
      <c r="U108" s="204"/>
      <c r="V108" s="204"/>
      <c r="W108" s="204"/>
      <c r="X108" s="204"/>
    </row>
    <row r="109" spans="1:60" ht="17.399999999999999" x14ac:dyDescent="0.45">
      <c r="A109" s="1542">
        <v>633</v>
      </c>
      <c r="B109" s="815" t="s">
        <v>4497</v>
      </c>
      <c r="C109" s="1245"/>
      <c r="D109" s="1245"/>
      <c r="E109" s="1543"/>
      <c r="F109" s="1544"/>
      <c r="G109" s="1545"/>
      <c r="H109" s="1546"/>
      <c r="I109" s="1544"/>
      <c r="J109" s="1547"/>
      <c r="K109" s="1544"/>
      <c r="L109" s="1547"/>
      <c r="M109" s="1547"/>
      <c r="N109" s="1547"/>
      <c r="O109" s="1548"/>
      <c r="S109" s="1544"/>
      <c r="T109" s="1547"/>
      <c r="U109" s="1544"/>
      <c r="V109" s="1547"/>
      <c r="W109" s="1547"/>
      <c r="X109" s="1547"/>
    </row>
    <row r="110" spans="1:60" s="1286" customFormat="1" x14ac:dyDescent="0.3">
      <c r="A110" s="2290">
        <v>1</v>
      </c>
      <c r="B110" s="390" t="s">
        <v>4498</v>
      </c>
      <c r="C110" s="163" t="s">
        <v>1124</v>
      </c>
      <c r="D110" s="164" t="s">
        <v>172</v>
      </c>
      <c r="E110" s="165" t="s">
        <v>1271</v>
      </c>
      <c r="F110" s="170"/>
      <c r="G110" s="1549"/>
      <c r="H110" s="1805" t="s">
        <v>174</v>
      </c>
      <c r="I110" s="2291" t="s">
        <v>25</v>
      </c>
      <c r="J110" s="1282"/>
      <c r="K110" s="1283"/>
      <c r="O110" s="2294" t="s">
        <v>5862</v>
      </c>
      <c r="S110" s="2291" t="s">
        <v>25</v>
      </c>
      <c r="T110" s="1282"/>
      <c r="U110" s="1283"/>
    </row>
    <row r="111" spans="1:60" s="1286" customFormat="1" x14ac:dyDescent="0.3">
      <c r="A111" s="2290">
        <v>2</v>
      </c>
      <c r="B111" s="1550" t="s">
        <v>4498</v>
      </c>
      <c r="C111" s="1551" t="s">
        <v>1124</v>
      </c>
      <c r="D111" s="1552" t="s">
        <v>172</v>
      </c>
      <c r="E111" s="1553" t="s">
        <v>1250</v>
      </c>
      <c r="F111" s="170"/>
      <c r="G111" s="1549"/>
      <c r="H111" s="1805" t="s">
        <v>174</v>
      </c>
      <c r="I111" s="2291" t="s">
        <v>25</v>
      </c>
      <c r="J111" s="1282"/>
      <c r="K111" s="1283"/>
      <c r="O111" s="2294" t="s">
        <v>5862</v>
      </c>
      <c r="S111" s="2291" t="s">
        <v>25</v>
      </c>
      <c r="T111" s="1282"/>
      <c r="U111" s="1283"/>
    </row>
    <row r="112" spans="1:60" ht="17.399999999999999" x14ac:dyDescent="0.45">
      <c r="A112" s="51"/>
      <c r="B112" s="1061"/>
      <c r="C112" s="1061"/>
      <c r="D112" s="1061"/>
      <c r="E112" s="1039"/>
      <c r="F112" s="1061"/>
      <c r="G112" s="1554"/>
      <c r="H112" s="344"/>
      <c r="I112" s="1061"/>
      <c r="J112" s="1061"/>
      <c r="K112" s="1061"/>
      <c r="L112" s="1061"/>
      <c r="M112" s="1061"/>
      <c r="N112" s="1061"/>
      <c r="O112" s="1636"/>
      <c r="S112" s="1061"/>
      <c r="T112" s="1061"/>
      <c r="U112" s="1061"/>
      <c r="V112" s="1061"/>
      <c r="W112" s="1061"/>
      <c r="X112" s="1061"/>
    </row>
    <row r="113" spans="1:60" x14ac:dyDescent="0.3">
      <c r="A113" s="825">
        <v>636</v>
      </c>
      <c r="B113" s="815" t="s">
        <v>4499</v>
      </c>
      <c r="C113" s="1460"/>
      <c r="D113" s="1461"/>
      <c r="E113" s="1460"/>
      <c r="F113" s="1240"/>
      <c r="G113" s="1229"/>
      <c r="H113" s="1463"/>
      <c r="I113" s="819"/>
      <c r="J113" s="1464"/>
      <c r="K113" s="1464"/>
      <c r="L113" s="1555"/>
      <c r="M113" s="1464"/>
      <c r="N113" s="819"/>
      <c r="O113" s="830"/>
      <c r="S113" s="819"/>
      <c r="T113" s="1464"/>
      <c r="U113" s="1464"/>
      <c r="V113" s="1555"/>
      <c r="W113" s="1464"/>
      <c r="X113" s="819"/>
    </row>
    <row r="114" spans="1:60" x14ac:dyDescent="0.3">
      <c r="A114" s="2250">
        <v>1</v>
      </c>
      <c r="B114" s="645" t="s">
        <v>4500</v>
      </c>
      <c r="C114" s="348" t="s">
        <v>4501</v>
      </c>
      <c r="D114" s="326">
        <v>52</v>
      </c>
      <c r="E114" s="349" t="s">
        <v>1125</v>
      </c>
      <c r="F114" s="350" t="s">
        <v>4495</v>
      </c>
      <c r="G114" s="351">
        <v>74800</v>
      </c>
      <c r="H114" s="1541" t="s">
        <v>4496</v>
      </c>
      <c r="I114" s="644"/>
      <c r="J114" s="848"/>
      <c r="K114" s="642" t="s">
        <v>25</v>
      </c>
      <c r="L114" s="692"/>
      <c r="M114" s="849"/>
      <c r="N114" s="642" t="s">
        <v>25</v>
      </c>
      <c r="O114" s="901" t="s">
        <v>6395</v>
      </c>
      <c r="R114" s="1">
        <v>3</v>
      </c>
      <c r="S114" s="644"/>
      <c r="T114" s="848"/>
      <c r="U114" s="642" t="s">
        <v>25</v>
      </c>
      <c r="V114" s="692"/>
      <c r="W114" s="849"/>
      <c r="X114" s="642"/>
    </row>
    <row r="115" spans="1:60" ht="17.399999999999999" x14ac:dyDescent="0.45">
      <c r="A115" s="663"/>
      <c r="B115" s="204"/>
      <c r="C115" s="664"/>
      <c r="D115" s="910"/>
      <c r="E115" s="904"/>
      <c r="F115" s="850"/>
      <c r="G115" s="851">
        <f>SUM(G114:G114)</f>
        <v>74800</v>
      </c>
      <c r="H115" s="93"/>
      <c r="I115" s="48"/>
      <c r="J115" s="49"/>
      <c r="K115" s="49"/>
      <c r="L115" s="49"/>
      <c r="M115" s="1556"/>
      <c r="N115" s="204"/>
      <c r="O115" s="205"/>
      <c r="S115" s="48"/>
      <c r="T115" s="49"/>
      <c r="U115" s="49"/>
      <c r="V115" s="49"/>
      <c r="W115" s="1556"/>
      <c r="X115" s="204"/>
    </row>
    <row r="116" spans="1:60" x14ac:dyDescent="0.3">
      <c r="A116" s="825">
        <v>637</v>
      </c>
      <c r="B116" s="815" t="s">
        <v>4502</v>
      </c>
      <c r="C116" s="1460"/>
      <c r="D116" s="1461"/>
      <c r="E116" s="1460"/>
      <c r="F116" s="1240"/>
      <c r="G116" s="1229"/>
      <c r="H116" s="1463"/>
      <c r="I116" s="819"/>
      <c r="J116" s="1464"/>
      <c r="K116" s="1464"/>
      <c r="L116" s="1555"/>
      <c r="M116" s="1464"/>
      <c r="N116" s="819"/>
      <c r="O116" s="830"/>
      <c r="S116" s="819"/>
      <c r="T116" s="1464"/>
      <c r="U116" s="1464"/>
      <c r="V116" s="1555"/>
      <c r="W116" s="1464"/>
      <c r="X116" s="819"/>
    </row>
    <row r="117" spans="1:60" x14ac:dyDescent="0.3">
      <c r="A117" s="2262">
        <v>1</v>
      </c>
      <c r="B117" s="1242" t="s">
        <v>4503</v>
      </c>
      <c r="C117" s="739" t="s">
        <v>4504</v>
      </c>
      <c r="D117" s="320">
        <v>52</v>
      </c>
      <c r="E117" s="946" t="s">
        <v>1125</v>
      </c>
      <c r="F117" s="947" t="s">
        <v>4495</v>
      </c>
      <c r="G117" s="936">
        <v>69800</v>
      </c>
      <c r="H117" s="1558" t="s">
        <v>4496</v>
      </c>
      <c r="I117" s="809"/>
      <c r="J117" s="1125"/>
      <c r="K117" s="1557" t="s">
        <v>25</v>
      </c>
      <c r="L117" s="812"/>
      <c r="M117" s="1559"/>
      <c r="N117" s="642" t="s">
        <v>25</v>
      </c>
      <c r="O117" s="901" t="s">
        <v>6395</v>
      </c>
      <c r="R117" s="1">
        <v>4</v>
      </c>
      <c r="S117" s="809"/>
      <c r="T117" s="1125"/>
      <c r="U117" s="1557" t="s">
        <v>25</v>
      </c>
      <c r="V117" s="812"/>
      <c r="W117" s="1559"/>
      <c r="X117" s="1557"/>
    </row>
    <row r="118" spans="1:60" ht="17.399999999999999" x14ac:dyDescent="0.45">
      <c r="A118" s="663"/>
      <c r="B118" s="204"/>
      <c r="C118" s="664"/>
      <c r="D118" s="910"/>
      <c r="E118" s="903"/>
      <c r="F118" s="850"/>
      <c r="G118" s="851">
        <f>SUM(G117:G117)</f>
        <v>69800</v>
      </c>
      <c r="H118" s="93"/>
      <c r="I118" s="48"/>
      <c r="J118" s="49"/>
      <c r="K118" s="49"/>
      <c r="L118" s="49"/>
      <c r="M118" s="1556"/>
      <c r="N118" s="204"/>
      <c r="O118" s="205"/>
      <c r="S118" s="48"/>
      <c r="T118" s="49"/>
      <c r="U118" s="49"/>
      <c r="V118" s="49"/>
      <c r="W118" s="1556"/>
      <c r="X118" s="204"/>
    </row>
    <row r="119" spans="1:60" x14ac:dyDescent="0.3">
      <c r="A119" s="825">
        <v>722</v>
      </c>
      <c r="B119" s="815" t="s">
        <v>4505</v>
      </c>
      <c r="C119" s="1460"/>
      <c r="D119" s="1461"/>
      <c r="E119" s="1460"/>
      <c r="F119" s="1240"/>
      <c r="G119" s="1229"/>
      <c r="H119" s="1463"/>
      <c r="I119" s="819"/>
      <c r="J119" s="1464"/>
      <c r="K119" s="1464"/>
      <c r="L119" s="1555"/>
      <c r="M119" s="1464"/>
      <c r="N119" s="819"/>
      <c r="O119" s="830"/>
      <c r="S119" s="819"/>
      <c r="T119" s="1464"/>
      <c r="U119" s="1464"/>
      <c r="V119" s="1555"/>
      <c r="W119" s="1464"/>
      <c r="X119" s="819"/>
    </row>
    <row r="120" spans="1:60" s="1282" customFormat="1" ht="27.6" x14ac:dyDescent="0.3">
      <c r="A120" s="2290">
        <v>1</v>
      </c>
      <c r="B120" s="1560" t="s">
        <v>4506</v>
      </c>
      <c r="C120" s="1561" t="s">
        <v>4507</v>
      </c>
      <c r="D120" s="1562" t="s">
        <v>172</v>
      </c>
      <c r="E120" s="1563" t="s">
        <v>1104</v>
      </c>
      <c r="F120" s="1564">
        <v>24671</v>
      </c>
      <c r="G120" s="1565">
        <v>5000</v>
      </c>
      <c r="H120" s="1806" t="s">
        <v>1095</v>
      </c>
      <c r="I120" s="2291" t="s">
        <v>25</v>
      </c>
      <c r="K120" s="1283"/>
      <c r="L120" s="1566"/>
      <c r="M120" s="1308"/>
      <c r="N120" s="1567"/>
      <c r="O120" s="1308"/>
      <c r="P120" s="1285"/>
      <c r="Q120" s="1286"/>
      <c r="R120" s="1286"/>
      <c r="S120" s="2291" t="s">
        <v>25</v>
      </c>
      <c r="U120" s="1283"/>
      <c r="V120" s="1566"/>
      <c r="W120" s="1308"/>
      <c r="X120" s="1567"/>
      <c r="Y120" s="1286"/>
      <c r="Z120" s="1286"/>
      <c r="AA120" s="1286"/>
      <c r="AB120" s="1286"/>
      <c r="AC120" s="1286"/>
      <c r="AD120" s="1286"/>
      <c r="AE120" s="1286"/>
      <c r="AF120" s="1286"/>
      <c r="AG120" s="1286"/>
      <c r="AH120" s="1286"/>
      <c r="AI120" s="1286"/>
      <c r="AJ120" s="1286"/>
      <c r="AK120" s="1286"/>
      <c r="AL120" s="1286"/>
      <c r="AM120" s="1286"/>
      <c r="AN120" s="1286"/>
      <c r="AO120" s="1286"/>
      <c r="AP120" s="1286"/>
      <c r="AQ120" s="1286"/>
      <c r="AR120" s="1286"/>
      <c r="AS120" s="1286"/>
      <c r="AT120" s="1286"/>
      <c r="AU120" s="1286"/>
      <c r="AV120" s="1286"/>
      <c r="AW120" s="1286"/>
      <c r="AX120" s="1286"/>
      <c r="AY120" s="1286"/>
      <c r="AZ120" s="1286"/>
      <c r="BA120" s="1286"/>
      <c r="BB120" s="1286"/>
      <c r="BC120" s="1286"/>
      <c r="BD120" s="1286"/>
      <c r="BE120" s="1286"/>
      <c r="BF120" s="1286"/>
      <c r="BG120" s="1286"/>
      <c r="BH120" s="1286"/>
    </row>
    <row r="121" spans="1:60" s="1282" customFormat="1" ht="27.6" x14ac:dyDescent="0.3">
      <c r="A121" s="2290">
        <v>2</v>
      </c>
      <c r="B121" s="1560" t="s">
        <v>4506</v>
      </c>
      <c r="C121" s="1561" t="s">
        <v>4507</v>
      </c>
      <c r="D121" s="1562" t="s">
        <v>172</v>
      </c>
      <c r="E121" s="1563" t="s">
        <v>1106</v>
      </c>
      <c r="F121" s="1564">
        <v>24671</v>
      </c>
      <c r="G121" s="1565">
        <v>5000</v>
      </c>
      <c r="H121" s="1806" t="s">
        <v>1095</v>
      </c>
      <c r="I121" s="2291" t="s">
        <v>25</v>
      </c>
      <c r="K121" s="1283"/>
      <c r="L121" s="1566"/>
      <c r="M121" s="390"/>
      <c r="N121" s="1388"/>
      <c r="O121" s="390"/>
      <c r="P121" s="1285"/>
      <c r="Q121" s="1286"/>
      <c r="R121" s="1286"/>
      <c r="S121" s="2291" t="s">
        <v>25</v>
      </c>
      <c r="U121" s="1283"/>
      <c r="V121" s="1566"/>
      <c r="W121" s="390"/>
      <c r="X121" s="1388"/>
      <c r="Y121" s="1286"/>
      <c r="Z121" s="1286"/>
      <c r="AA121" s="1286"/>
      <c r="AB121" s="1286"/>
      <c r="AC121" s="1286"/>
      <c r="AD121" s="1286"/>
      <c r="AE121" s="1286"/>
      <c r="AF121" s="1286"/>
      <c r="AG121" s="1286"/>
      <c r="AH121" s="1286"/>
      <c r="AI121" s="1286"/>
      <c r="AJ121" s="1286"/>
      <c r="AK121" s="1286"/>
      <c r="AL121" s="1286"/>
      <c r="AM121" s="1286"/>
      <c r="AN121" s="1286"/>
      <c r="AO121" s="1286"/>
      <c r="AP121" s="1286"/>
      <c r="AQ121" s="1286"/>
      <c r="AR121" s="1286"/>
      <c r="AS121" s="1286"/>
      <c r="AT121" s="1286"/>
      <c r="AU121" s="1286"/>
      <c r="AV121" s="1286"/>
      <c r="AW121" s="1286"/>
      <c r="AX121" s="1286"/>
      <c r="AY121" s="1286"/>
      <c r="AZ121" s="1286"/>
      <c r="BA121" s="1286"/>
      <c r="BB121" s="1286"/>
      <c r="BC121" s="1286"/>
      <c r="BD121" s="1286"/>
      <c r="BE121" s="1286"/>
      <c r="BF121" s="1286"/>
      <c r="BG121" s="1286"/>
      <c r="BH121" s="1286"/>
    </row>
    <row r="122" spans="1:60" s="1282" customFormat="1" ht="27.6" x14ac:dyDescent="0.3">
      <c r="A122" s="2290">
        <v>3</v>
      </c>
      <c r="B122" s="1560" t="s">
        <v>4506</v>
      </c>
      <c r="C122" s="1561" t="s">
        <v>4507</v>
      </c>
      <c r="D122" s="1562" t="s">
        <v>172</v>
      </c>
      <c r="E122" s="1563" t="s">
        <v>1107</v>
      </c>
      <c r="F122" s="1564">
        <v>24671</v>
      </c>
      <c r="G122" s="1565">
        <v>5000</v>
      </c>
      <c r="H122" s="1806" t="s">
        <v>1095</v>
      </c>
      <c r="I122" s="2291" t="s">
        <v>25</v>
      </c>
      <c r="K122" s="1283"/>
      <c r="L122" s="1566"/>
      <c r="M122" s="390"/>
      <c r="N122" s="1388"/>
      <c r="O122" s="390"/>
      <c r="P122" s="1285"/>
      <c r="Q122" s="1286"/>
      <c r="R122" s="1286"/>
      <c r="S122" s="2291" t="s">
        <v>25</v>
      </c>
      <c r="U122" s="1283"/>
      <c r="V122" s="1566"/>
      <c r="W122" s="390"/>
      <c r="X122" s="1388"/>
      <c r="Y122" s="1286"/>
      <c r="Z122" s="1286"/>
      <c r="AA122" s="1286"/>
      <c r="AB122" s="1286"/>
      <c r="AC122" s="1286"/>
      <c r="AD122" s="1286"/>
      <c r="AE122" s="1286"/>
      <c r="AF122" s="1286"/>
      <c r="AG122" s="1286"/>
      <c r="AH122" s="1286"/>
      <c r="AI122" s="1286"/>
      <c r="AJ122" s="1286"/>
      <c r="AK122" s="1286"/>
      <c r="AL122" s="1286"/>
      <c r="AM122" s="1286"/>
      <c r="AN122" s="1286"/>
      <c r="AO122" s="1286"/>
      <c r="AP122" s="1286"/>
      <c r="AQ122" s="1286"/>
      <c r="AR122" s="1286"/>
      <c r="AS122" s="1286"/>
      <c r="AT122" s="1286"/>
      <c r="AU122" s="1286"/>
      <c r="AV122" s="1286"/>
      <c r="AW122" s="1286"/>
      <c r="AX122" s="1286"/>
      <c r="AY122" s="1286"/>
      <c r="AZ122" s="1286"/>
      <c r="BA122" s="1286"/>
      <c r="BB122" s="1286"/>
      <c r="BC122" s="1286"/>
      <c r="BD122" s="1286"/>
      <c r="BE122" s="1286"/>
      <c r="BF122" s="1286"/>
      <c r="BG122" s="1286"/>
      <c r="BH122" s="1286"/>
    </row>
    <row r="123" spans="1:60" s="1282" customFormat="1" ht="27.6" x14ac:dyDescent="0.3">
      <c r="A123" s="2290">
        <v>4</v>
      </c>
      <c r="B123" s="1560" t="s">
        <v>4506</v>
      </c>
      <c r="C123" s="1561" t="s">
        <v>4507</v>
      </c>
      <c r="D123" s="1562" t="s">
        <v>172</v>
      </c>
      <c r="E123" s="1563" t="s">
        <v>399</v>
      </c>
      <c r="F123" s="1564">
        <v>24671</v>
      </c>
      <c r="G123" s="1565">
        <v>5000</v>
      </c>
      <c r="H123" s="1806" t="s">
        <v>1095</v>
      </c>
      <c r="I123" s="2291" t="s">
        <v>25</v>
      </c>
      <c r="K123" s="1283"/>
      <c r="L123" s="1566"/>
      <c r="M123" s="390"/>
      <c r="N123" s="1388"/>
      <c r="O123" s="390"/>
      <c r="P123" s="1285"/>
      <c r="Q123" s="1286"/>
      <c r="R123" s="1286"/>
      <c r="S123" s="2291" t="s">
        <v>25</v>
      </c>
      <c r="U123" s="1283"/>
      <c r="V123" s="1566"/>
      <c r="W123" s="390"/>
      <c r="X123" s="1388"/>
      <c r="Y123" s="1286"/>
      <c r="Z123" s="1286"/>
      <c r="AA123" s="1286"/>
      <c r="AB123" s="1286"/>
      <c r="AC123" s="1286"/>
      <c r="AD123" s="1286"/>
      <c r="AE123" s="1286"/>
      <c r="AF123" s="1286"/>
      <c r="AG123" s="1286"/>
      <c r="AH123" s="1286"/>
      <c r="AI123" s="1286"/>
      <c r="AJ123" s="1286"/>
      <c r="AK123" s="1286"/>
      <c r="AL123" s="1286"/>
      <c r="AM123" s="1286"/>
      <c r="AN123" s="1286"/>
      <c r="AO123" s="1286"/>
      <c r="AP123" s="1286"/>
      <c r="AQ123" s="1286"/>
      <c r="AR123" s="1286"/>
      <c r="AS123" s="1286"/>
      <c r="AT123" s="1286"/>
      <c r="AU123" s="1286"/>
      <c r="AV123" s="1286"/>
      <c r="AW123" s="1286"/>
      <c r="AX123" s="1286"/>
      <c r="AY123" s="1286"/>
      <c r="AZ123" s="1286"/>
      <c r="BA123" s="1286"/>
      <c r="BB123" s="1286"/>
      <c r="BC123" s="1286"/>
      <c r="BD123" s="1286"/>
      <c r="BE123" s="1286"/>
      <c r="BF123" s="1286"/>
      <c r="BG123" s="1286"/>
      <c r="BH123" s="1286"/>
    </row>
    <row r="124" spans="1:60" s="1282" customFormat="1" ht="27.6" x14ac:dyDescent="0.3">
      <c r="A124" s="2290">
        <v>5</v>
      </c>
      <c r="B124" s="1560" t="s">
        <v>4506</v>
      </c>
      <c r="C124" s="1561" t="s">
        <v>4507</v>
      </c>
      <c r="D124" s="1562" t="s">
        <v>172</v>
      </c>
      <c r="E124" s="1563" t="s">
        <v>1108</v>
      </c>
      <c r="F124" s="1564">
        <v>24671</v>
      </c>
      <c r="G124" s="1565">
        <v>5000</v>
      </c>
      <c r="H124" s="1806" t="s">
        <v>1095</v>
      </c>
      <c r="I124" s="2291" t="s">
        <v>25</v>
      </c>
      <c r="K124" s="1283"/>
      <c r="L124" s="1566"/>
      <c r="M124" s="390"/>
      <c r="N124" s="1388"/>
      <c r="O124" s="390"/>
      <c r="P124" s="1285"/>
      <c r="Q124" s="1286"/>
      <c r="R124" s="1286"/>
      <c r="S124" s="2291" t="s">
        <v>25</v>
      </c>
      <c r="U124" s="1283"/>
      <c r="V124" s="1566"/>
      <c r="W124" s="390"/>
      <c r="X124" s="1388"/>
      <c r="Y124" s="1286"/>
      <c r="Z124" s="1286"/>
      <c r="AA124" s="1286"/>
      <c r="AB124" s="1286"/>
      <c r="AC124" s="1286"/>
      <c r="AD124" s="1286"/>
      <c r="AE124" s="1286"/>
      <c r="AF124" s="1286"/>
      <c r="AG124" s="1286"/>
      <c r="AH124" s="1286"/>
      <c r="AI124" s="1286"/>
      <c r="AJ124" s="1286"/>
      <c r="AK124" s="1286"/>
      <c r="AL124" s="1286"/>
      <c r="AM124" s="1286"/>
      <c r="AN124" s="1286"/>
      <c r="AO124" s="1286"/>
      <c r="AP124" s="1286"/>
      <c r="AQ124" s="1286"/>
      <c r="AR124" s="1286"/>
      <c r="AS124" s="1286"/>
      <c r="AT124" s="1286"/>
      <c r="AU124" s="1286"/>
      <c r="AV124" s="1286"/>
      <c r="AW124" s="1286"/>
      <c r="AX124" s="1286"/>
      <c r="AY124" s="1286"/>
      <c r="AZ124" s="1286"/>
      <c r="BA124" s="1286"/>
      <c r="BB124" s="1286"/>
      <c r="BC124" s="1286"/>
      <c r="BD124" s="1286"/>
      <c r="BE124" s="1286"/>
      <c r="BF124" s="1286"/>
      <c r="BG124" s="1286"/>
      <c r="BH124" s="1286"/>
    </row>
    <row r="125" spans="1:60" s="1282" customFormat="1" ht="27.6" x14ac:dyDescent="0.3">
      <c r="A125" s="2290">
        <v>6</v>
      </c>
      <c r="B125" s="1560" t="s">
        <v>4506</v>
      </c>
      <c r="C125" s="1561" t="s">
        <v>4507</v>
      </c>
      <c r="D125" s="1562" t="s">
        <v>172</v>
      </c>
      <c r="E125" s="1563" t="s">
        <v>1110</v>
      </c>
      <c r="F125" s="1564">
        <v>24671</v>
      </c>
      <c r="G125" s="1565">
        <v>5000</v>
      </c>
      <c r="H125" s="1806" t="s">
        <v>1095</v>
      </c>
      <c r="I125" s="2291" t="s">
        <v>25</v>
      </c>
      <c r="K125" s="1283"/>
      <c r="L125" s="1566"/>
      <c r="M125" s="390"/>
      <c r="N125" s="1388"/>
      <c r="O125" s="390"/>
      <c r="P125" s="1285"/>
      <c r="Q125" s="1286"/>
      <c r="R125" s="1286"/>
      <c r="S125" s="2291" t="s">
        <v>25</v>
      </c>
      <c r="U125" s="1283"/>
      <c r="V125" s="1566"/>
      <c r="W125" s="390"/>
      <c r="X125" s="1388"/>
      <c r="Y125" s="1286"/>
      <c r="Z125" s="1286"/>
      <c r="AA125" s="1286"/>
      <c r="AB125" s="1286"/>
      <c r="AC125" s="1286"/>
      <c r="AD125" s="1286"/>
      <c r="AE125" s="1286"/>
      <c r="AF125" s="1286"/>
      <c r="AG125" s="1286"/>
      <c r="AH125" s="1286"/>
      <c r="AI125" s="1286"/>
      <c r="AJ125" s="1286"/>
      <c r="AK125" s="1286"/>
      <c r="AL125" s="1286"/>
      <c r="AM125" s="1286"/>
      <c r="AN125" s="1286"/>
      <c r="AO125" s="1286"/>
      <c r="AP125" s="1286"/>
      <c r="AQ125" s="1286"/>
      <c r="AR125" s="1286"/>
      <c r="AS125" s="1286"/>
      <c r="AT125" s="1286"/>
      <c r="AU125" s="1286"/>
      <c r="AV125" s="1286"/>
      <c r="AW125" s="1286"/>
      <c r="AX125" s="1286"/>
      <c r="AY125" s="1286"/>
      <c r="AZ125" s="1286"/>
      <c r="BA125" s="1286"/>
      <c r="BB125" s="1286"/>
      <c r="BC125" s="1286"/>
      <c r="BD125" s="1286"/>
      <c r="BE125" s="1286"/>
      <c r="BF125" s="1286"/>
      <c r="BG125" s="1286"/>
      <c r="BH125" s="1286"/>
    </row>
    <row r="126" spans="1:60" s="1282" customFormat="1" ht="27.6" x14ac:dyDescent="0.3">
      <c r="A126" s="2290">
        <v>7</v>
      </c>
      <c r="B126" s="1560" t="s">
        <v>4506</v>
      </c>
      <c r="C126" s="1561" t="s">
        <v>4507</v>
      </c>
      <c r="D126" s="1562" t="s">
        <v>172</v>
      </c>
      <c r="E126" s="1563" t="s">
        <v>1112</v>
      </c>
      <c r="F126" s="1564">
        <v>24671</v>
      </c>
      <c r="G126" s="1565">
        <v>5000</v>
      </c>
      <c r="H126" s="1806" t="s">
        <v>1095</v>
      </c>
      <c r="I126" s="2291" t="s">
        <v>25</v>
      </c>
      <c r="K126" s="1283"/>
      <c r="L126" s="1566"/>
      <c r="M126" s="390"/>
      <c r="N126" s="1388"/>
      <c r="O126" s="390"/>
      <c r="P126" s="1285"/>
      <c r="Q126" s="1286"/>
      <c r="R126" s="1286"/>
      <c r="S126" s="2291" t="s">
        <v>25</v>
      </c>
      <c r="U126" s="1283"/>
      <c r="V126" s="1566"/>
      <c r="W126" s="390"/>
      <c r="X126" s="1388"/>
      <c r="Y126" s="1286"/>
      <c r="Z126" s="1286"/>
      <c r="AA126" s="1286"/>
      <c r="AB126" s="1286"/>
      <c r="AC126" s="1286"/>
      <c r="AD126" s="1286"/>
      <c r="AE126" s="1286"/>
      <c r="AF126" s="1286"/>
      <c r="AG126" s="1286"/>
      <c r="AH126" s="1286"/>
      <c r="AI126" s="1286"/>
      <c r="AJ126" s="1286"/>
      <c r="AK126" s="1286"/>
      <c r="AL126" s="1286"/>
      <c r="AM126" s="1286"/>
      <c r="AN126" s="1286"/>
      <c r="AO126" s="1286"/>
      <c r="AP126" s="1286"/>
      <c r="AQ126" s="1286"/>
      <c r="AR126" s="1286"/>
      <c r="AS126" s="1286"/>
      <c r="AT126" s="1286"/>
      <c r="AU126" s="1286"/>
      <c r="AV126" s="1286"/>
      <c r="AW126" s="1286"/>
      <c r="AX126" s="1286"/>
      <c r="AY126" s="1286"/>
      <c r="AZ126" s="1286"/>
      <c r="BA126" s="1286"/>
      <c r="BB126" s="1286"/>
      <c r="BC126" s="1286"/>
      <c r="BD126" s="1286"/>
      <c r="BE126" s="1286"/>
      <c r="BF126" s="1286"/>
      <c r="BG126" s="1286"/>
      <c r="BH126" s="1286"/>
    </row>
    <row r="127" spans="1:60" s="1282" customFormat="1" ht="27.6" x14ac:dyDescent="0.3">
      <c r="A127" s="2290">
        <v>8</v>
      </c>
      <c r="B127" s="1560" t="s">
        <v>4506</v>
      </c>
      <c r="C127" s="1561" t="s">
        <v>4507</v>
      </c>
      <c r="D127" s="1562" t="s">
        <v>172</v>
      </c>
      <c r="E127" s="1563" t="s">
        <v>1113</v>
      </c>
      <c r="F127" s="1564">
        <v>24671</v>
      </c>
      <c r="G127" s="1565">
        <v>5000</v>
      </c>
      <c r="H127" s="1806" t="s">
        <v>1095</v>
      </c>
      <c r="I127" s="2291" t="s">
        <v>25</v>
      </c>
      <c r="K127" s="1283"/>
      <c r="L127" s="1566"/>
      <c r="M127" s="390"/>
      <c r="N127" s="1388"/>
      <c r="O127" s="390"/>
      <c r="P127" s="1285"/>
      <c r="Q127" s="1286"/>
      <c r="R127" s="1286"/>
      <c r="S127" s="2291" t="s">
        <v>25</v>
      </c>
      <c r="U127" s="1283"/>
      <c r="V127" s="1566"/>
      <c r="W127" s="390"/>
      <c r="X127" s="1388"/>
      <c r="Y127" s="1286"/>
      <c r="Z127" s="1286"/>
      <c r="AA127" s="1286"/>
      <c r="AB127" s="1286"/>
      <c r="AC127" s="1286"/>
      <c r="AD127" s="1286"/>
      <c r="AE127" s="1286"/>
      <c r="AF127" s="1286"/>
      <c r="AG127" s="1286"/>
      <c r="AH127" s="1286"/>
      <c r="AI127" s="1286"/>
      <c r="AJ127" s="1286"/>
      <c r="AK127" s="1286"/>
      <c r="AL127" s="1286"/>
      <c r="AM127" s="1286"/>
      <c r="AN127" s="1286"/>
      <c r="AO127" s="1286"/>
      <c r="AP127" s="1286"/>
      <c r="AQ127" s="1286"/>
      <c r="AR127" s="1286"/>
      <c r="AS127" s="1286"/>
      <c r="AT127" s="1286"/>
      <c r="AU127" s="1286"/>
      <c r="AV127" s="1286"/>
      <c r="AW127" s="1286"/>
      <c r="AX127" s="1286"/>
      <c r="AY127" s="1286"/>
      <c r="AZ127" s="1286"/>
      <c r="BA127" s="1286"/>
      <c r="BB127" s="1286"/>
      <c r="BC127" s="1286"/>
      <c r="BD127" s="1286"/>
      <c r="BE127" s="1286"/>
      <c r="BF127" s="1286"/>
      <c r="BG127" s="1286"/>
      <c r="BH127" s="1286"/>
    </row>
    <row r="128" spans="1:60" s="1282" customFormat="1" ht="27.6" x14ac:dyDescent="0.3">
      <c r="A128" s="2290">
        <v>9</v>
      </c>
      <c r="B128" s="1560" t="s">
        <v>4506</v>
      </c>
      <c r="C128" s="1561" t="s">
        <v>4507</v>
      </c>
      <c r="D128" s="1562" t="s">
        <v>172</v>
      </c>
      <c r="E128" s="1563" t="s">
        <v>1114</v>
      </c>
      <c r="F128" s="1564">
        <v>24671</v>
      </c>
      <c r="G128" s="1565">
        <v>5000</v>
      </c>
      <c r="H128" s="1806" t="s">
        <v>1095</v>
      </c>
      <c r="I128" s="2291" t="s">
        <v>25</v>
      </c>
      <c r="J128" s="1568"/>
      <c r="K128" s="1569"/>
      <c r="L128" s="1570"/>
      <c r="M128" s="390"/>
      <c r="N128" s="1388"/>
      <c r="O128" s="390"/>
      <c r="P128" s="1285"/>
      <c r="Q128" s="1286"/>
      <c r="R128" s="1286"/>
      <c r="S128" s="2291" t="s">
        <v>25</v>
      </c>
      <c r="T128" s="1568"/>
      <c r="U128" s="1569"/>
      <c r="V128" s="1570"/>
      <c r="W128" s="390"/>
      <c r="X128" s="1388"/>
      <c r="Y128" s="1286"/>
      <c r="Z128" s="1286"/>
      <c r="AA128" s="1286"/>
      <c r="AB128" s="1286"/>
      <c r="AC128" s="1286"/>
      <c r="AD128" s="1286"/>
      <c r="AE128" s="1286"/>
      <c r="AF128" s="1286"/>
      <c r="AG128" s="1286"/>
      <c r="AH128" s="1286"/>
      <c r="AI128" s="1286"/>
      <c r="AJ128" s="1286"/>
      <c r="AK128" s="1286"/>
      <c r="AL128" s="1286"/>
      <c r="AM128" s="1286"/>
      <c r="AN128" s="1286"/>
      <c r="AO128" s="1286"/>
      <c r="AP128" s="1286"/>
      <c r="AQ128" s="1286"/>
      <c r="AR128" s="1286"/>
      <c r="AS128" s="1286"/>
      <c r="AT128" s="1286"/>
      <c r="AU128" s="1286"/>
      <c r="AV128" s="1286"/>
      <c r="AW128" s="1286"/>
      <c r="AX128" s="1286"/>
      <c r="AY128" s="1286"/>
      <c r="AZ128" s="1286"/>
      <c r="BA128" s="1286"/>
      <c r="BB128" s="1286"/>
      <c r="BC128" s="1286"/>
      <c r="BD128" s="1286"/>
      <c r="BE128" s="1286"/>
      <c r="BF128" s="1286"/>
      <c r="BG128" s="1286"/>
      <c r="BH128" s="1286"/>
    </row>
    <row r="129" spans="1:60" s="1282" customFormat="1" ht="27.6" x14ac:dyDescent="0.3">
      <c r="A129" s="2409">
        <v>10</v>
      </c>
      <c r="B129" s="1807" t="s">
        <v>4506</v>
      </c>
      <c r="C129" s="1808" t="s">
        <v>4507</v>
      </c>
      <c r="D129" s="1809" t="s">
        <v>172</v>
      </c>
      <c r="E129" s="1810" t="s">
        <v>1115</v>
      </c>
      <c r="F129" s="1811">
        <v>24671</v>
      </c>
      <c r="G129" s="1812">
        <v>5000</v>
      </c>
      <c r="H129" s="1813" t="s">
        <v>1095</v>
      </c>
      <c r="I129" s="2291" t="s">
        <v>25</v>
      </c>
      <c r="J129" s="1814"/>
      <c r="K129" s="1815"/>
      <c r="L129" s="1816"/>
      <c r="M129" s="1178"/>
      <c r="N129" s="1817"/>
      <c r="O129" s="1178"/>
      <c r="P129" s="1285"/>
      <c r="Q129" s="1286"/>
      <c r="R129" s="1286"/>
      <c r="S129" s="2291" t="s">
        <v>25</v>
      </c>
      <c r="T129" s="1814"/>
      <c r="U129" s="1815"/>
      <c r="V129" s="1816"/>
      <c r="W129" s="1178"/>
      <c r="X129" s="1817"/>
      <c r="Y129" s="1286"/>
      <c r="Z129" s="1286"/>
      <c r="AA129" s="1286"/>
      <c r="AB129" s="1286"/>
      <c r="AC129" s="1286"/>
      <c r="AD129" s="1286"/>
      <c r="AE129" s="1286"/>
      <c r="AF129" s="1286"/>
      <c r="AG129" s="1286"/>
      <c r="AH129" s="1286"/>
      <c r="AI129" s="1286"/>
      <c r="AJ129" s="1286"/>
      <c r="AK129" s="1286"/>
      <c r="AL129" s="1286"/>
      <c r="AM129" s="1286"/>
      <c r="AN129" s="1286"/>
      <c r="AO129" s="1286"/>
      <c r="AP129" s="1286"/>
      <c r="AQ129" s="1286"/>
      <c r="AR129" s="1286"/>
      <c r="AS129" s="1286"/>
      <c r="AT129" s="1286"/>
      <c r="AU129" s="1286"/>
      <c r="AV129" s="1286"/>
      <c r="AW129" s="1286"/>
      <c r="AX129" s="1286"/>
      <c r="AY129" s="1286"/>
      <c r="AZ129" s="1286"/>
      <c r="BA129" s="1286"/>
      <c r="BB129" s="1286"/>
      <c r="BC129" s="1286"/>
      <c r="BD129" s="1286"/>
      <c r="BE129" s="1286"/>
      <c r="BF129" s="1286"/>
      <c r="BG129" s="1286"/>
      <c r="BH129" s="1286"/>
    </row>
    <row r="130" spans="1:60" ht="17.399999999999999" x14ac:dyDescent="0.45">
      <c r="A130" s="333"/>
      <c r="B130" s="1818"/>
      <c r="C130" s="1818"/>
      <c r="D130" s="1818"/>
      <c r="E130" s="1819"/>
      <c r="F130" s="1818"/>
      <c r="G130" s="1820">
        <f>SUM(G120:G129)</f>
        <v>50000</v>
      </c>
      <c r="H130" s="1822"/>
      <c r="I130" s="1818"/>
      <c r="J130" s="1818"/>
      <c r="K130" s="1818"/>
      <c r="L130" s="1818"/>
      <c r="M130" s="1818"/>
      <c r="N130" s="1818"/>
      <c r="O130" s="1821"/>
      <c r="S130" s="1">
        <f>COUNTA(S7:S129)</f>
        <v>73</v>
      </c>
      <c r="T130" s="1">
        <f t="shared" ref="T130:X130" si="0">COUNTA(T7:T129)</f>
        <v>3</v>
      </c>
      <c r="U130" s="1">
        <f t="shared" si="0"/>
        <v>5</v>
      </c>
      <c r="V130" s="1">
        <f t="shared" si="0"/>
        <v>0</v>
      </c>
      <c r="W130" s="1">
        <f t="shared" si="0"/>
        <v>0</v>
      </c>
      <c r="X130" s="1">
        <f t="shared" si="0"/>
        <v>0</v>
      </c>
    </row>
    <row r="131" spans="1:60" ht="17.399999999999999" x14ac:dyDescent="0.45">
      <c r="A131" s="51"/>
      <c r="B131" s="1061"/>
      <c r="C131" s="1061"/>
      <c r="D131" s="1061"/>
      <c r="E131" s="1039"/>
      <c r="F131" s="1061"/>
      <c r="G131" s="1554">
        <f>G10+G20+G23+G31+G35+G48+G62+G69+G72+G80+G83+G86+G89+G93+G99+G102+G108+G115+G118+G130</f>
        <v>7372558</v>
      </c>
      <c r="H131" s="1823"/>
      <c r="I131" s="1061"/>
      <c r="J131" s="1061"/>
      <c r="K131" s="1061"/>
      <c r="L131" s="1061"/>
      <c r="M131" s="1061"/>
      <c r="N131" s="1061"/>
      <c r="O131" s="1062"/>
    </row>
    <row r="132" spans="1:60" ht="17.399999999999999" x14ac:dyDescent="0.45">
      <c r="G132" s="763"/>
    </row>
    <row r="133" spans="1:60" ht="20.25" customHeight="1" x14ac:dyDescent="0.35">
      <c r="B133" s="502" t="s">
        <v>601</v>
      </c>
      <c r="C133" s="502"/>
      <c r="D133" s="505"/>
      <c r="E133" s="509"/>
      <c r="F133" s="505"/>
      <c r="G133" s="504" t="s">
        <v>602</v>
      </c>
      <c r="H133" s="1"/>
      <c r="I133" s="505"/>
      <c r="J133" s="505" t="s">
        <v>603</v>
      </c>
      <c r="K133" s="505"/>
      <c r="L133" s="505"/>
      <c r="M133" s="505"/>
      <c r="O133" s="506"/>
    </row>
    <row r="134" spans="1:60" ht="18" x14ac:dyDescent="0.35">
      <c r="B134" s="507" t="s">
        <v>604</v>
      </c>
      <c r="C134" s="508"/>
      <c r="D134" s="505"/>
      <c r="E134" s="509"/>
      <c r="F134" s="505"/>
      <c r="G134" s="504"/>
      <c r="H134" s="509" t="s">
        <v>605</v>
      </c>
      <c r="J134" s="505"/>
      <c r="K134" s="505"/>
      <c r="L134" s="505"/>
      <c r="M134" s="505"/>
      <c r="O134" s="506"/>
    </row>
    <row r="135" spans="1:60" ht="18" x14ac:dyDescent="0.35">
      <c r="B135" s="507" t="s">
        <v>606</v>
      </c>
      <c r="C135" s="508"/>
      <c r="D135" s="505"/>
      <c r="E135" s="509"/>
      <c r="F135" s="505"/>
      <c r="G135" s="504"/>
      <c r="H135" s="509" t="s">
        <v>607</v>
      </c>
      <c r="J135" s="505"/>
      <c r="K135" s="505"/>
      <c r="L135" s="505"/>
      <c r="M135" s="505"/>
      <c r="O135" s="506"/>
    </row>
    <row r="136" spans="1:60" ht="13.95" customHeight="1" x14ac:dyDescent="0.35">
      <c r="B136" s="502"/>
      <c r="C136" s="502"/>
      <c r="D136" s="505"/>
      <c r="E136" s="509"/>
      <c r="F136" s="505"/>
      <c r="G136" s="790"/>
      <c r="H136" s="505"/>
      <c r="I136" s="505"/>
      <c r="J136" s="505"/>
      <c r="K136" s="505"/>
      <c r="L136" s="505"/>
      <c r="M136" s="505"/>
      <c r="O136" s="506"/>
    </row>
    <row r="137" spans="1:60" ht="18" x14ac:dyDescent="0.35">
      <c r="B137" s="502" t="s">
        <v>5313</v>
      </c>
      <c r="C137" s="502"/>
      <c r="D137" s="505"/>
      <c r="E137" s="509"/>
      <c r="F137" s="505"/>
      <c r="G137" s="504"/>
      <c r="H137" s="1"/>
      <c r="I137" s="505"/>
      <c r="J137" s="505"/>
      <c r="K137" s="505"/>
      <c r="L137" s="505"/>
      <c r="M137" s="505"/>
      <c r="O137" s="506"/>
    </row>
    <row r="138" spans="1:60" ht="18" x14ac:dyDescent="0.35">
      <c r="B138" s="507" t="s">
        <v>609</v>
      </c>
      <c r="C138" s="508"/>
      <c r="D138" s="505"/>
      <c r="E138" s="509"/>
      <c r="F138" s="505"/>
      <c r="G138" s="504"/>
      <c r="H138" s="509"/>
      <c r="J138" s="505"/>
      <c r="K138" s="505"/>
      <c r="L138" s="505"/>
      <c r="M138" s="505"/>
      <c r="O138" s="506"/>
    </row>
    <row r="139" spans="1:60" ht="18" x14ac:dyDescent="0.35">
      <c r="B139" s="507" t="s">
        <v>610</v>
      </c>
      <c r="C139" s="508"/>
      <c r="D139" s="505"/>
      <c r="E139" s="509"/>
      <c r="F139" s="505"/>
      <c r="G139" s="504"/>
      <c r="H139" s="509"/>
      <c r="J139" s="505"/>
      <c r="K139" s="505"/>
      <c r="L139" s="505"/>
      <c r="M139" s="505"/>
      <c r="O139" s="506"/>
    </row>
    <row r="140" spans="1:60" ht="18" x14ac:dyDescent="0.35">
      <c r="B140" s="507"/>
      <c r="C140" s="508"/>
      <c r="D140" s="505"/>
      <c r="E140" s="509"/>
      <c r="F140" s="505"/>
      <c r="G140" s="504"/>
      <c r="H140" s="509"/>
      <c r="J140" s="505"/>
      <c r="K140" s="505"/>
      <c r="L140" s="505"/>
      <c r="M140" s="505"/>
      <c r="O140" s="506"/>
    </row>
    <row r="141" spans="1:60" ht="18" x14ac:dyDescent="0.35">
      <c r="B141" s="507"/>
      <c r="C141" s="508"/>
      <c r="D141" s="505"/>
      <c r="E141" s="509"/>
      <c r="F141" s="505"/>
      <c r="G141" s="504"/>
      <c r="H141" s="509"/>
      <c r="J141" s="505"/>
      <c r="K141" s="505"/>
      <c r="L141" s="505"/>
      <c r="M141" s="505"/>
      <c r="O141" s="506"/>
    </row>
    <row r="142" spans="1:60" ht="18" x14ac:dyDescent="0.35">
      <c r="E142" s="509"/>
      <c r="F142" s="505"/>
      <c r="G142" s="504"/>
      <c r="H142" s="509"/>
      <c r="J142" s="505"/>
      <c r="K142" s="505"/>
      <c r="L142" s="505"/>
      <c r="M142" s="505"/>
      <c r="O142" s="506"/>
    </row>
    <row r="144" spans="1:60" x14ac:dyDescent="0.3">
      <c r="B144" s="767" t="s">
        <v>920</v>
      </c>
      <c r="F144" s="766">
        <f>'[10] สาธารณูปโภค บำรุงรักษาอาคารฯ'!G21</f>
        <v>125990</v>
      </c>
    </row>
    <row r="145" spans="1:60" x14ac:dyDescent="0.3">
      <c r="B145" s="767" t="s">
        <v>4508</v>
      </c>
      <c r="F145" s="766">
        <f>[10]ฝ่ายสวนสาธารณะ!G20</f>
        <v>50000</v>
      </c>
    </row>
    <row r="146" spans="1:60" x14ac:dyDescent="0.3">
      <c r="B146" s="767" t="s">
        <v>615</v>
      </c>
      <c r="F146" s="766">
        <f>[10]กลุ่มงานเครื่องจักรกล!G61</f>
        <v>424318</v>
      </c>
    </row>
    <row r="147" spans="1:60" s="497" customFormat="1" x14ac:dyDescent="0.3">
      <c r="A147" s="320"/>
      <c r="B147" s="767" t="s">
        <v>616</v>
      </c>
      <c r="C147" s="1"/>
      <c r="D147" s="1"/>
      <c r="E147" s="764"/>
      <c r="F147" s="766">
        <f>'[10]ฝ่ายช่างสุขาภิบาล งานซ่อมแซมและ'!G27</f>
        <v>130800</v>
      </c>
      <c r="G147" s="766"/>
      <c r="I147" s="1"/>
      <c r="J147" s="1"/>
      <c r="K147" s="1"/>
      <c r="L147" s="1"/>
      <c r="M147" s="1"/>
      <c r="N147" s="1"/>
      <c r="O147" s="498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</row>
    <row r="148" spans="1:60" s="497" customFormat="1" ht="16.2" thickBot="1" x14ac:dyDescent="0.35">
      <c r="A148" s="320"/>
      <c r="B148" s="1"/>
      <c r="C148" s="1"/>
      <c r="D148" s="1"/>
      <c r="E148" s="764"/>
      <c r="F148" s="1391">
        <f>SUM(F144:F147)</f>
        <v>731108</v>
      </c>
      <c r="G148" s="766">
        <f>F148-G119</f>
        <v>731108</v>
      </c>
      <c r="I148" s="1"/>
      <c r="J148" s="1"/>
      <c r="K148" s="1"/>
      <c r="L148" s="1"/>
      <c r="M148" s="1"/>
      <c r="N148" s="1"/>
      <c r="O148" s="498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</row>
    <row r="149" spans="1:60" s="497" customFormat="1" ht="16.2" thickTop="1" x14ac:dyDescent="0.3">
      <c r="A149" s="320"/>
      <c r="B149" s="1"/>
      <c r="C149" s="1"/>
      <c r="D149" s="1"/>
      <c r="E149" s="764"/>
      <c r="F149" s="1"/>
      <c r="G149" s="766"/>
      <c r="I149" s="1"/>
      <c r="J149" s="1"/>
      <c r="K149" s="1"/>
      <c r="L149" s="1"/>
      <c r="M149" s="1"/>
      <c r="N149" s="1"/>
      <c r="O149" s="498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</row>
  </sheetData>
  <mergeCells count="47">
    <mergeCell ref="C31:E31"/>
    <mergeCell ref="A1:O1"/>
    <mergeCell ref="A2:O2"/>
    <mergeCell ref="A3:B3"/>
    <mergeCell ref="A4:A5"/>
    <mergeCell ref="B4:B5"/>
    <mergeCell ref="C4:E5"/>
    <mergeCell ref="G4:G5"/>
    <mergeCell ref="H4:H5"/>
    <mergeCell ref="I4:N4"/>
    <mergeCell ref="O4:O5"/>
    <mergeCell ref="C6:E6"/>
    <mergeCell ref="C10:E10"/>
    <mergeCell ref="C11:E11"/>
    <mergeCell ref="C21:E21"/>
    <mergeCell ref="C24:E24"/>
    <mergeCell ref="C46:E46"/>
    <mergeCell ref="C32:E32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58:E58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89:E89"/>
    <mergeCell ref="C59:E59"/>
    <mergeCell ref="C60:E60"/>
    <mergeCell ref="C61:E61"/>
    <mergeCell ref="C62:E62"/>
    <mergeCell ref="C69:E69"/>
    <mergeCell ref="C72:E72"/>
  </mergeCells>
  <phoneticPr fontId="55" type="noConversion"/>
  <pageMargins left="0.31496062992125984" right="0.31496062992125984" top="0.35433070866141736" bottom="0.35433070866141736" header="0.11811023622047245" footer="0.31496062992125984"/>
  <pageSetup paperSize="9" orientation="landscape" horizontalDpi="4294967294" verticalDpi="0" r:id="rId1"/>
  <headerFooter>
    <oddHeader>&amp;R&amp;P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137"/>
  <sheetViews>
    <sheetView topLeftCell="A120" zoomScaleNormal="100" workbookViewId="0">
      <selection activeCell="A117" sqref="A117:XFD117"/>
    </sheetView>
  </sheetViews>
  <sheetFormatPr defaultColWidth="9.109375" defaultRowHeight="15.6" x14ac:dyDescent="0.3"/>
  <cols>
    <col min="1" max="1" width="5.44140625" style="320" customWidth="1"/>
    <col min="2" max="2" width="43.44140625" style="1" customWidth="1"/>
    <col min="3" max="3" width="4.5546875" style="1" customWidth="1"/>
    <col min="4" max="4" width="3.109375" style="1" customWidth="1"/>
    <col min="5" max="5" width="6.109375" style="764" customWidth="1"/>
    <col min="6" max="6" width="9.88671875" style="1" customWidth="1"/>
    <col min="7" max="7" width="12.6640625" style="766" customWidth="1"/>
    <col min="8" max="8" width="25.88671875" style="497" customWidth="1"/>
    <col min="9" max="14" width="3.33203125" style="1" customWidth="1"/>
    <col min="15" max="15" width="10.44140625" style="498" customWidth="1"/>
    <col min="16" max="16384" width="9.109375" style="1"/>
  </cols>
  <sheetData>
    <row r="1" spans="1:23" ht="18.600000000000001" customHeight="1" x14ac:dyDescent="0.35">
      <c r="A1" s="2842" t="s">
        <v>0</v>
      </c>
      <c r="B1" s="2842"/>
      <c r="C1" s="2842"/>
      <c r="D1" s="2842"/>
      <c r="E1" s="2842"/>
      <c r="F1" s="2842"/>
      <c r="G1" s="2842"/>
      <c r="H1" s="2842"/>
      <c r="I1" s="2842"/>
      <c r="J1" s="2842"/>
      <c r="K1" s="2842"/>
      <c r="L1" s="2842"/>
      <c r="M1" s="2842"/>
      <c r="N1" s="2842"/>
      <c r="O1" s="2842"/>
    </row>
    <row r="2" spans="1:23" ht="18.600000000000001" customHeight="1" x14ac:dyDescent="0.35">
      <c r="A2" s="2842" t="s">
        <v>1</v>
      </c>
      <c r="B2" s="2842"/>
      <c r="C2" s="2842"/>
      <c r="D2" s="2842"/>
      <c r="E2" s="2842"/>
      <c r="F2" s="2842"/>
      <c r="G2" s="2842"/>
      <c r="H2" s="2842"/>
      <c r="I2" s="2842"/>
      <c r="J2" s="2842"/>
      <c r="K2" s="2842"/>
      <c r="L2" s="2842"/>
      <c r="M2" s="2842"/>
      <c r="N2" s="2842"/>
      <c r="O2" s="2842"/>
    </row>
    <row r="3" spans="1:23" ht="18.600000000000001" customHeight="1" x14ac:dyDescent="0.3">
      <c r="A3" s="2861" t="s">
        <v>4509</v>
      </c>
      <c r="B3" s="2861"/>
      <c r="C3" s="3"/>
      <c r="D3" s="3"/>
      <c r="E3" s="3"/>
      <c r="F3" s="3"/>
      <c r="G3" s="5"/>
      <c r="H3" s="7"/>
      <c r="I3" s="3"/>
      <c r="J3" s="3"/>
      <c r="K3" s="3"/>
      <c r="L3" s="3"/>
      <c r="M3" s="3"/>
      <c r="N3" s="3"/>
      <c r="O3" s="7"/>
    </row>
    <row r="4" spans="1:23" s="10" customFormat="1" ht="18.75" customHeight="1" x14ac:dyDescent="0.3">
      <c r="A4" s="2867" t="s">
        <v>3</v>
      </c>
      <c r="B4" s="2868" t="s">
        <v>4</v>
      </c>
      <c r="C4" s="2911" t="s">
        <v>5</v>
      </c>
      <c r="D4" s="2912"/>
      <c r="E4" s="2913"/>
      <c r="F4" s="857" t="s">
        <v>6</v>
      </c>
      <c r="G4" s="2875" t="s">
        <v>7</v>
      </c>
      <c r="H4" s="2868" t="s">
        <v>8</v>
      </c>
      <c r="I4" s="2858" t="s">
        <v>9</v>
      </c>
      <c r="J4" s="2876"/>
      <c r="K4" s="2876"/>
      <c r="L4" s="2876"/>
      <c r="M4" s="2876"/>
      <c r="N4" s="2860"/>
      <c r="O4" s="2868" t="s">
        <v>10</v>
      </c>
    </row>
    <row r="5" spans="1:23" s="10" customFormat="1" ht="43.5" customHeight="1" x14ac:dyDescent="0.3">
      <c r="A5" s="2845"/>
      <c r="B5" s="2857"/>
      <c r="C5" s="2863"/>
      <c r="D5" s="2914"/>
      <c r="E5" s="2915"/>
      <c r="F5" s="514" t="s">
        <v>11</v>
      </c>
      <c r="G5" s="2865"/>
      <c r="H5" s="2857"/>
      <c r="I5" s="14" t="s">
        <v>12</v>
      </c>
      <c r="J5" s="14" t="s">
        <v>13</v>
      </c>
      <c r="K5" s="15" t="s">
        <v>14</v>
      </c>
      <c r="L5" s="15" t="s">
        <v>15</v>
      </c>
      <c r="M5" s="15" t="s">
        <v>16</v>
      </c>
      <c r="N5" s="15" t="s">
        <v>17</v>
      </c>
      <c r="O5" s="2857"/>
    </row>
    <row r="6" spans="1:23" ht="18.600000000000001" customHeight="1" x14ac:dyDescent="0.3">
      <c r="A6" s="823">
        <v>806</v>
      </c>
      <c r="B6" s="815" t="s">
        <v>4510</v>
      </c>
      <c r="C6" s="829"/>
      <c r="D6" s="829"/>
      <c r="E6" s="829"/>
      <c r="F6" s="845"/>
      <c r="G6" s="826"/>
      <c r="H6" s="827"/>
      <c r="I6" s="846"/>
      <c r="J6" s="779"/>
      <c r="K6" s="779"/>
      <c r="L6" s="828"/>
      <c r="M6" s="828"/>
      <c r="N6" s="779"/>
      <c r="O6" s="780"/>
    </row>
    <row r="7" spans="1:23" ht="18.600000000000001" customHeight="1" x14ac:dyDescent="0.3">
      <c r="A7" s="2250">
        <v>1</v>
      </c>
      <c r="B7" s="1571" t="s">
        <v>4511</v>
      </c>
      <c r="C7" s="1198">
        <v>806</v>
      </c>
      <c r="D7" s="326">
        <v>55</v>
      </c>
      <c r="E7" s="349" t="s">
        <v>1125</v>
      </c>
      <c r="F7" s="350" t="s">
        <v>994</v>
      </c>
      <c r="G7" s="929">
        <v>14000</v>
      </c>
      <c r="H7" s="1824" t="s">
        <v>4512</v>
      </c>
      <c r="I7" s="352" t="s">
        <v>25</v>
      </c>
      <c r="J7" s="945"/>
      <c r="K7" s="945"/>
      <c r="L7" s="945"/>
      <c r="M7" s="945"/>
      <c r="N7" s="945"/>
      <c r="O7" s="697"/>
      <c r="R7" s="352" t="s">
        <v>25</v>
      </c>
      <c r="S7" s="945"/>
      <c r="T7" s="945"/>
      <c r="U7" s="945"/>
      <c r="V7" s="945"/>
      <c r="W7" s="945"/>
    </row>
    <row r="8" spans="1:23" ht="18.600000000000001" customHeight="1" x14ac:dyDescent="0.3">
      <c r="A8" s="2226">
        <v>2</v>
      </c>
      <c r="B8" s="1572" t="s">
        <v>4513</v>
      </c>
      <c r="C8" s="415">
        <v>806</v>
      </c>
      <c r="D8" s="67">
        <v>55</v>
      </c>
      <c r="E8" s="217" t="s">
        <v>599</v>
      </c>
      <c r="F8" s="218" t="s">
        <v>994</v>
      </c>
      <c r="G8" s="924">
        <v>27000</v>
      </c>
      <c r="H8" s="1824" t="s">
        <v>4512</v>
      </c>
      <c r="I8" s="118" t="s">
        <v>25</v>
      </c>
      <c r="J8" s="1270"/>
      <c r="K8" s="1270"/>
      <c r="L8" s="1270"/>
      <c r="M8" s="1270"/>
      <c r="N8" s="1270"/>
      <c r="O8" s="191"/>
      <c r="R8" s="118" t="s">
        <v>25</v>
      </c>
      <c r="S8" s="1270"/>
      <c r="T8" s="1270"/>
      <c r="U8" s="1270"/>
      <c r="V8" s="1270"/>
      <c r="W8" s="1270"/>
    </row>
    <row r="9" spans="1:23" ht="18.600000000000001" customHeight="1" x14ac:dyDescent="0.3">
      <c r="A9" s="2250">
        <v>3</v>
      </c>
      <c r="B9" s="1572" t="s">
        <v>4514</v>
      </c>
      <c r="C9" s="415">
        <v>806</v>
      </c>
      <c r="D9" s="67">
        <v>55</v>
      </c>
      <c r="E9" s="217" t="s">
        <v>600</v>
      </c>
      <c r="F9" s="218" t="s">
        <v>994</v>
      </c>
      <c r="G9" s="924">
        <v>9000</v>
      </c>
      <c r="H9" s="1824" t="s">
        <v>4512</v>
      </c>
      <c r="I9" s="118" t="s">
        <v>25</v>
      </c>
      <c r="J9" s="1270"/>
      <c r="K9" s="1270"/>
      <c r="L9" s="1270"/>
      <c r="M9" s="1270"/>
      <c r="N9" s="1270"/>
      <c r="O9" s="191"/>
      <c r="R9" s="118" t="s">
        <v>25</v>
      </c>
      <c r="S9" s="1270"/>
      <c r="T9" s="1270"/>
      <c r="U9" s="1270"/>
      <c r="V9" s="1270"/>
      <c r="W9" s="1270"/>
    </row>
    <row r="10" spans="1:23" ht="18.600000000000001" customHeight="1" x14ac:dyDescent="0.3">
      <c r="A10" s="2226">
        <v>4</v>
      </c>
      <c r="B10" s="1572" t="s">
        <v>4515</v>
      </c>
      <c r="C10" s="415">
        <v>806</v>
      </c>
      <c r="D10" s="67">
        <v>55</v>
      </c>
      <c r="E10" s="217" t="s">
        <v>1271</v>
      </c>
      <c r="F10" s="218" t="s">
        <v>994</v>
      </c>
      <c r="G10" s="924">
        <v>25000</v>
      </c>
      <c r="H10" s="1824" t="s">
        <v>4512</v>
      </c>
      <c r="I10" s="118" t="s">
        <v>25</v>
      </c>
      <c r="J10" s="1270"/>
      <c r="K10" s="1270"/>
      <c r="L10" s="1270"/>
      <c r="M10" s="1270"/>
      <c r="N10" s="1270"/>
      <c r="O10" s="191"/>
      <c r="R10" s="118" t="s">
        <v>25</v>
      </c>
      <c r="S10" s="1270"/>
      <c r="T10" s="1270"/>
      <c r="U10" s="1270"/>
      <c r="V10" s="1270"/>
      <c r="W10" s="1270"/>
    </row>
    <row r="11" spans="1:23" ht="18.600000000000001" customHeight="1" x14ac:dyDescent="0.3">
      <c r="A11" s="2250">
        <v>5</v>
      </c>
      <c r="B11" s="1572" t="s">
        <v>4516</v>
      </c>
      <c r="C11" s="415">
        <v>806</v>
      </c>
      <c r="D11" s="67">
        <v>55</v>
      </c>
      <c r="E11" s="217" t="s">
        <v>1250</v>
      </c>
      <c r="F11" s="218" t="s">
        <v>994</v>
      </c>
      <c r="G11" s="924">
        <v>72000</v>
      </c>
      <c r="H11" s="1824" t="s">
        <v>4512</v>
      </c>
      <c r="I11" s="118" t="s">
        <v>25</v>
      </c>
      <c r="J11" s="1270"/>
      <c r="K11" s="1270"/>
      <c r="L11" s="1270"/>
      <c r="M11" s="1270"/>
      <c r="N11" s="1270"/>
      <c r="O11" s="191"/>
      <c r="R11" s="118" t="s">
        <v>25</v>
      </c>
      <c r="S11" s="1270"/>
      <c r="T11" s="1270"/>
      <c r="U11" s="1270"/>
      <c r="V11" s="1270"/>
      <c r="W11" s="1270"/>
    </row>
    <row r="12" spans="1:23" ht="18.600000000000001" customHeight="1" x14ac:dyDescent="0.3">
      <c r="A12" s="2250">
        <v>6</v>
      </c>
      <c r="B12" s="1572" t="s">
        <v>4517</v>
      </c>
      <c r="C12" s="415">
        <v>806</v>
      </c>
      <c r="D12" s="67">
        <v>55</v>
      </c>
      <c r="E12" s="217" t="s">
        <v>1104</v>
      </c>
      <c r="F12" s="218" t="s">
        <v>994</v>
      </c>
      <c r="G12" s="924">
        <v>35000</v>
      </c>
      <c r="H12" s="1824" t="s">
        <v>4512</v>
      </c>
      <c r="I12" s="118" t="s">
        <v>25</v>
      </c>
      <c r="J12" s="1270"/>
      <c r="K12" s="1270"/>
      <c r="L12" s="1270"/>
      <c r="M12" s="1270"/>
      <c r="N12" s="1270"/>
      <c r="O12" s="191"/>
      <c r="R12" s="118" t="s">
        <v>25</v>
      </c>
      <c r="S12" s="1270"/>
      <c r="T12" s="1270"/>
      <c r="U12" s="1270"/>
      <c r="V12" s="1270"/>
      <c r="W12" s="1270"/>
    </row>
    <row r="13" spans="1:23" ht="18.600000000000001" customHeight="1" x14ac:dyDescent="0.3">
      <c r="A13" s="2226">
        <v>7</v>
      </c>
      <c r="B13" s="1572" t="s">
        <v>4518</v>
      </c>
      <c r="C13" s="415">
        <v>806</v>
      </c>
      <c r="D13" s="67">
        <v>55</v>
      </c>
      <c r="E13" s="217" t="s">
        <v>1106</v>
      </c>
      <c r="F13" s="218" t="s">
        <v>994</v>
      </c>
      <c r="G13" s="924">
        <v>37000</v>
      </c>
      <c r="H13" s="1824" t="s">
        <v>4512</v>
      </c>
      <c r="I13" s="118" t="s">
        <v>25</v>
      </c>
      <c r="J13" s="1270"/>
      <c r="K13" s="1270"/>
      <c r="L13" s="1270"/>
      <c r="M13" s="1270"/>
      <c r="N13" s="1270"/>
      <c r="O13" s="191"/>
      <c r="R13" s="118" t="s">
        <v>25</v>
      </c>
      <c r="S13" s="1270"/>
      <c r="T13" s="1270"/>
      <c r="U13" s="1270"/>
      <c r="V13" s="1270"/>
      <c r="W13" s="1270"/>
    </row>
    <row r="14" spans="1:23" ht="18.600000000000001" customHeight="1" x14ac:dyDescent="0.3">
      <c r="A14" s="2250">
        <v>8</v>
      </c>
      <c r="B14" s="1572" t="s">
        <v>4519</v>
      </c>
      <c r="C14" s="415">
        <v>806</v>
      </c>
      <c r="D14" s="67">
        <v>55</v>
      </c>
      <c r="E14" s="217" t="s">
        <v>1107</v>
      </c>
      <c r="F14" s="218" t="s">
        <v>994</v>
      </c>
      <c r="G14" s="924">
        <v>18000</v>
      </c>
      <c r="H14" s="1824" t="s">
        <v>4512</v>
      </c>
      <c r="I14" s="118" t="s">
        <v>25</v>
      </c>
      <c r="J14" s="1270"/>
      <c r="K14" s="1270"/>
      <c r="L14" s="1270"/>
      <c r="M14" s="1270"/>
      <c r="N14" s="1270"/>
      <c r="O14" s="191"/>
      <c r="R14" s="118" t="s">
        <v>25</v>
      </c>
      <c r="S14" s="1270"/>
      <c r="T14" s="1270"/>
      <c r="U14" s="1270"/>
      <c r="V14" s="1270"/>
      <c r="W14" s="1270"/>
    </row>
    <row r="15" spans="1:23" ht="18.600000000000001" customHeight="1" x14ac:dyDescent="0.3">
      <c r="A15" s="2226">
        <v>9</v>
      </c>
      <c r="B15" s="1572" t="s">
        <v>4520</v>
      </c>
      <c r="C15" s="415">
        <v>806</v>
      </c>
      <c r="D15" s="67">
        <v>55</v>
      </c>
      <c r="E15" s="217" t="s">
        <v>399</v>
      </c>
      <c r="F15" s="218" t="s">
        <v>994</v>
      </c>
      <c r="G15" s="924">
        <v>170000</v>
      </c>
      <c r="H15" s="1824" t="s">
        <v>4512</v>
      </c>
      <c r="I15" s="118" t="s">
        <v>25</v>
      </c>
      <c r="J15" s="1270"/>
      <c r="K15" s="1270"/>
      <c r="L15" s="1270"/>
      <c r="M15" s="1270"/>
      <c r="N15" s="1270"/>
      <c r="O15" s="191"/>
      <c r="R15" s="118" t="s">
        <v>25</v>
      </c>
      <c r="S15" s="1270"/>
      <c r="T15" s="1270"/>
      <c r="U15" s="1270"/>
      <c r="V15" s="1270"/>
      <c r="W15" s="1270"/>
    </row>
    <row r="16" spans="1:23" ht="18.600000000000001" customHeight="1" x14ac:dyDescent="0.3">
      <c r="A16" s="2250">
        <v>10</v>
      </c>
      <c r="B16" s="1572" t="s">
        <v>4521</v>
      </c>
      <c r="C16" s="415">
        <v>806</v>
      </c>
      <c r="D16" s="67">
        <v>55</v>
      </c>
      <c r="E16" s="217" t="s">
        <v>1112</v>
      </c>
      <c r="F16" s="218" t="s">
        <v>994</v>
      </c>
      <c r="G16" s="924">
        <v>44000</v>
      </c>
      <c r="H16" s="1824" t="s">
        <v>4512</v>
      </c>
      <c r="I16" s="118" t="s">
        <v>25</v>
      </c>
      <c r="J16" s="1270"/>
      <c r="K16" s="1270"/>
      <c r="L16" s="1270"/>
      <c r="M16" s="1270"/>
      <c r="N16" s="1270"/>
      <c r="O16" s="191"/>
      <c r="R16" s="118" t="s">
        <v>25</v>
      </c>
      <c r="S16" s="1270"/>
      <c r="T16" s="1270"/>
      <c r="U16" s="1270"/>
      <c r="V16" s="1270"/>
      <c r="W16" s="1270"/>
    </row>
    <row r="17" spans="1:23" ht="18.600000000000001" customHeight="1" x14ac:dyDescent="0.3">
      <c r="A17" s="2250">
        <v>11</v>
      </c>
      <c r="B17" s="1572" t="s">
        <v>4522</v>
      </c>
      <c r="C17" s="415">
        <v>806</v>
      </c>
      <c r="D17" s="67">
        <v>55</v>
      </c>
      <c r="E17" s="217" t="s">
        <v>1115</v>
      </c>
      <c r="F17" s="218" t="s">
        <v>994</v>
      </c>
      <c r="G17" s="924">
        <v>8000</v>
      </c>
      <c r="H17" s="1824" t="s">
        <v>4512</v>
      </c>
      <c r="I17" s="118" t="s">
        <v>25</v>
      </c>
      <c r="J17" s="1270"/>
      <c r="K17" s="1270"/>
      <c r="L17" s="1270"/>
      <c r="M17" s="1270"/>
      <c r="N17" s="1270"/>
      <c r="O17" s="191"/>
      <c r="R17" s="118" t="s">
        <v>25</v>
      </c>
      <c r="S17" s="1270"/>
      <c r="T17" s="1270"/>
      <c r="U17" s="1270"/>
      <c r="V17" s="1270"/>
      <c r="W17" s="1270"/>
    </row>
    <row r="18" spans="1:23" ht="18.600000000000001" customHeight="1" x14ac:dyDescent="0.3">
      <c r="A18" s="2226">
        <v>12</v>
      </c>
      <c r="B18" s="1573" t="s">
        <v>4523</v>
      </c>
      <c r="C18" s="415">
        <v>806</v>
      </c>
      <c r="D18" s="75">
        <v>63</v>
      </c>
      <c r="E18" s="419" t="s">
        <v>1365</v>
      </c>
      <c r="F18" s="82" t="s">
        <v>4524</v>
      </c>
      <c r="G18" s="1367">
        <v>7950</v>
      </c>
      <c r="H18" s="1719" t="s">
        <v>4525</v>
      </c>
      <c r="I18" s="118" t="s">
        <v>25</v>
      </c>
      <c r="J18" s="1272"/>
      <c r="K18" s="1272"/>
      <c r="L18" s="1272"/>
      <c r="M18" s="1272"/>
      <c r="N18" s="1272"/>
      <c r="O18" s="601"/>
      <c r="R18" s="118" t="s">
        <v>25</v>
      </c>
      <c r="S18" s="1272"/>
      <c r="T18" s="1272"/>
      <c r="U18" s="1272"/>
      <c r="V18" s="1272"/>
      <c r="W18" s="1272"/>
    </row>
    <row r="19" spans="1:23" ht="18.600000000000001" customHeight="1" x14ac:dyDescent="0.3">
      <c r="A19" s="2250">
        <v>13</v>
      </c>
      <c r="B19" s="1573" t="s">
        <v>4526</v>
      </c>
      <c r="C19" s="415">
        <v>806</v>
      </c>
      <c r="D19" s="75">
        <v>63</v>
      </c>
      <c r="E19" s="419" t="s">
        <v>948</v>
      </c>
      <c r="F19" s="82" t="s">
        <v>4524</v>
      </c>
      <c r="G19" s="1367">
        <v>8450</v>
      </c>
      <c r="H19" s="1719" t="s">
        <v>4525</v>
      </c>
      <c r="I19" s="118" t="s">
        <v>25</v>
      </c>
      <c r="J19" s="1272"/>
      <c r="K19" s="1272"/>
      <c r="L19" s="1272"/>
      <c r="M19" s="1272"/>
      <c r="N19" s="1272"/>
      <c r="O19" s="601"/>
      <c r="R19" s="118" t="s">
        <v>25</v>
      </c>
      <c r="S19" s="1272"/>
      <c r="T19" s="1272"/>
      <c r="U19" s="1272"/>
      <c r="V19" s="1272"/>
      <c r="W19" s="1272"/>
    </row>
    <row r="20" spans="1:23" ht="18.600000000000001" customHeight="1" x14ac:dyDescent="0.3">
      <c r="A20" s="2226">
        <v>14</v>
      </c>
      <c r="B20" s="1573" t="s">
        <v>4527</v>
      </c>
      <c r="C20" s="415">
        <v>806</v>
      </c>
      <c r="D20" s="75">
        <v>63</v>
      </c>
      <c r="E20" s="419" t="s">
        <v>1366</v>
      </c>
      <c r="F20" s="82" t="s">
        <v>4524</v>
      </c>
      <c r="G20" s="1367">
        <v>10450</v>
      </c>
      <c r="H20" s="1719" t="s">
        <v>4525</v>
      </c>
      <c r="I20" s="118" t="s">
        <v>25</v>
      </c>
      <c r="J20" s="1272"/>
      <c r="K20" s="1272"/>
      <c r="L20" s="1272"/>
      <c r="M20" s="1272"/>
      <c r="N20" s="1272"/>
      <c r="O20" s="601"/>
      <c r="R20" s="118" t="s">
        <v>25</v>
      </c>
      <c r="S20" s="1272"/>
      <c r="T20" s="1272"/>
      <c r="U20" s="1272"/>
      <c r="V20" s="1272"/>
      <c r="W20" s="1272"/>
    </row>
    <row r="21" spans="1:23" ht="18.600000000000001" customHeight="1" x14ac:dyDescent="0.3">
      <c r="A21" s="2250">
        <v>15</v>
      </c>
      <c r="B21" s="1573" t="s">
        <v>4528</v>
      </c>
      <c r="C21" s="415">
        <v>806</v>
      </c>
      <c r="D21" s="75">
        <v>63</v>
      </c>
      <c r="E21" s="419" t="s">
        <v>1367</v>
      </c>
      <c r="F21" s="82" t="s">
        <v>4524</v>
      </c>
      <c r="G21" s="1367">
        <v>8554.5</v>
      </c>
      <c r="H21" s="1719" t="s">
        <v>4525</v>
      </c>
      <c r="I21" s="118" t="s">
        <v>25</v>
      </c>
      <c r="J21" s="1272"/>
      <c r="K21" s="1272"/>
      <c r="L21" s="1272"/>
      <c r="M21" s="1272"/>
      <c r="N21" s="1272"/>
      <c r="O21" s="601"/>
      <c r="R21" s="118" t="s">
        <v>25</v>
      </c>
      <c r="S21" s="1272"/>
      <c r="T21" s="1272"/>
      <c r="U21" s="1272"/>
      <c r="V21" s="1272"/>
      <c r="W21" s="1272"/>
    </row>
    <row r="22" spans="1:23" ht="18.600000000000001" customHeight="1" x14ac:dyDescent="0.3">
      <c r="A22" s="2250">
        <v>16</v>
      </c>
      <c r="B22" s="1573" t="s">
        <v>4529</v>
      </c>
      <c r="C22" s="415">
        <v>806</v>
      </c>
      <c r="D22" s="75">
        <v>63</v>
      </c>
      <c r="E22" s="419" t="s">
        <v>1369</v>
      </c>
      <c r="F22" s="82" t="s">
        <v>4524</v>
      </c>
      <c r="G22" s="1367">
        <v>7950</v>
      </c>
      <c r="H22" s="1719" t="s">
        <v>4525</v>
      </c>
      <c r="I22" s="118" t="s">
        <v>25</v>
      </c>
      <c r="J22" s="1272"/>
      <c r="K22" s="1272"/>
      <c r="L22" s="1272"/>
      <c r="M22" s="1272"/>
      <c r="N22" s="1272"/>
      <c r="O22" s="601"/>
      <c r="R22" s="118" t="s">
        <v>25</v>
      </c>
      <c r="S22" s="1272"/>
      <c r="T22" s="1272"/>
      <c r="U22" s="1272"/>
      <c r="V22" s="1272"/>
      <c r="W22" s="1272"/>
    </row>
    <row r="23" spans="1:23" ht="18.600000000000001" customHeight="1" x14ac:dyDescent="0.3">
      <c r="A23" s="2226">
        <v>17</v>
      </c>
      <c r="B23" s="1573" t="s">
        <v>4530</v>
      </c>
      <c r="C23" s="415">
        <v>806</v>
      </c>
      <c r="D23" s="75">
        <v>63</v>
      </c>
      <c r="E23" s="419" t="s">
        <v>1370</v>
      </c>
      <c r="F23" s="82" t="s">
        <v>4524</v>
      </c>
      <c r="G23" s="1367">
        <v>7950</v>
      </c>
      <c r="H23" s="1719" t="s">
        <v>4525</v>
      </c>
      <c r="I23" s="118" t="s">
        <v>25</v>
      </c>
      <c r="J23" s="1272"/>
      <c r="K23" s="1272"/>
      <c r="L23" s="1272"/>
      <c r="M23" s="1272"/>
      <c r="N23" s="1272"/>
      <c r="O23" s="601"/>
      <c r="R23" s="118" t="s">
        <v>25</v>
      </c>
      <c r="S23" s="1272"/>
      <c r="T23" s="1272"/>
      <c r="U23" s="1272"/>
      <c r="V23" s="1272"/>
      <c r="W23" s="1272"/>
    </row>
    <row r="24" spans="1:23" ht="18.600000000000001" customHeight="1" x14ac:dyDescent="0.3">
      <c r="A24" s="2250">
        <v>18</v>
      </c>
      <c r="B24" s="1573" t="s">
        <v>4531</v>
      </c>
      <c r="C24" s="415">
        <v>806</v>
      </c>
      <c r="D24" s="75">
        <v>63</v>
      </c>
      <c r="E24" s="419" t="s">
        <v>1371</v>
      </c>
      <c r="F24" s="82" t="s">
        <v>4524</v>
      </c>
      <c r="G24" s="1367">
        <v>15450</v>
      </c>
      <c r="H24" s="1719" t="s">
        <v>4525</v>
      </c>
      <c r="I24" s="118" t="s">
        <v>25</v>
      </c>
      <c r="J24" s="1272"/>
      <c r="K24" s="1272"/>
      <c r="L24" s="1272"/>
      <c r="M24" s="1272"/>
      <c r="N24" s="1272"/>
      <c r="O24" s="601"/>
      <c r="R24" s="118" t="s">
        <v>25</v>
      </c>
      <c r="S24" s="1272"/>
      <c r="T24" s="1272"/>
      <c r="U24" s="1272"/>
      <c r="V24" s="1272"/>
      <c r="W24" s="1272"/>
    </row>
    <row r="25" spans="1:23" ht="18.600000000000001" customHeight="1" x14ac:dyDescent="0.3">
      <c r="A25" s="2226">
        <v>19</v>
      </c>
      <c r="B25" s="1573" t="s">
        <v>4532</v>
      </c>
      <c r="C25" s="415">
        <v>806</v>
      </c>
      <c r="D25" s="75">
        <v>63</v>
      </c>
      <c r="E25" s="419" t="s">
        <v>1372</v>
      </c>
      <c r="F25" s="82" t="s">
        <v>4524</v>
      </c>
      <c r="G25" s="1367">
        <v>9450</v>
      </c>
      <c r="H25" s="1719" t="s">
        <v>4525</v>
      </c>
      <c r="I25" s="118" t="s">
        <v>25</v>
      </c>
      <c r="J25" s="1272"/>
      <c r="K25" s="1272"/>
      <c r="L25" s="1272"/>
      <c r="M25" s="1272"/>
      <c r="N25" s="1272"/>
      <c r="O25" s="601"/>
      <c r="R25" s="118" t="s">
        <v>25</v>
      </c>
      <c r="S25" s="1272"/>
      <c r="T25" s="1272"/>
      <c r="U25" s="1272"/>
      <c r="V25" s="1272"/>
      <c r="W25" s="1272"/>
    </row>
    <row r="26" spans="1:23" ht="18.600000000000001" customHeight="1" x14ac:dyDescent="0.3">
      <c r="A26" s="2250">
        <v>20</v>
      </c>
      <c r="B26" s="1573" t="s">
        <v>4533</v>
      </c>
      <c r="C26" s="415">
        <v>806</v>
      </c>
      <c r="D26" s="75">
        <v>63</v>
      </c>
      <c r="E26" s="419" t="s">
        <v>1373</v>
      </c>
      <c r="F26" s="82" t="s">
        <v>4524</v>
      </c>
      <c r="G26" s="1367">
        <v>7950</v>
      </c>
      <c r="H26" s="1719" t="s">
        <v>4525</v>
      </c>
      <c r="I26" s="118" t="s">
        <v>25</v>
      </c>
      <c r="J26" s="1272"/>
      <c r="K26" s="1272"/>
      <c r="L26" s="1272"/>
      <c r="M26" s="1272"/>
      <c r="N26" s="1272"/>
      <c r="O26" s="601"/>
      <c r="R26" s="118" t="s">
        <v>25</v>
      </c>
      <c r="S26" s="1272"/>
      <c r="T26" s="1272"/>
      <c r="U26" s="1272"/>
      <c r="V26" s="1272"/>
      <c r="W26" s="1272"/>
    </row>
    <row r="27" spans="1:23" ht="18.600000000000001" customHeight="1" x14ac:dyDescent="0.3">
      <c r="A27" s="2250">
        <v>21</v>
      </c>
      <c r="B27" s="1573" t="s">
        <v>4534</v>
      </c>
      <c r="C27" s="415">
        <v>806</v>
      </c>
      <c r="D27" s="75">
        <v>63</v>
      </c>
      <c r="E27" s="419" t="s">
        <v>1374</v>
      </c>
      <c r="F27" s="82" t="s">
        <v>4524</v>
      </c>
      <c r="G27" s="1367">
        <v>10450</v>
      </c>
      <c r="H27" s="1719" t="s">
        <v>4525</v>
      </c>
      <c r="I27" s="118" t="s">
        <v>25</v>
      </c>
      <c r="J27" s="1272"/>
      <c r="K27" s="1272"/>
      <c r="L27" s="1272"/>
      <c r="M27" s="1272"/>
      <c r="N27" s="1272"/>
      <c r="O27" s="601"/>
      <c r="R27" s="118" t="s">
        <v>25</v>
      </c>
      <c r="S27" s="1272"/>
      <c r="T27" s="1272"/>
      <c r="U27" s="1272"/>
      <c r="V27" s="1272"/>
      <c r="W27" s="1272"/>
    </row>
    <row r="28" spans="1:23" ht="18.600000000000001" customHeight="1" x14ac:dyDescent="0.3">
      <c r="A28" s="2226">
        <v>22</v>
      </c>
      <c r="B28" s="1573" t="s">
        <v>4535</v>
      </c>
      <c r="C28" s="415">
        <v>806</v>
      </c>
      <c r="D28" s="75">
        <v>63</v>
      </c>
      <c r="E28" s="419" t="s">
        <v>951</v>
      </c>
      <c r="F28" s="82" t="s">
        <v>4524</v>
      </c>
      <c r="G28" s="1367">
        <v>7450</v>
      </c>
      <c r="H28" s="1719" t="s">
        <v>4525</v>
      </c>
      <c r="I28" s="118" t="s">
        <v>25</v>
      </c>
      <c r="J28" s="1272"/>
      <c r="K28" s="1272"/>
      <c r="L28" s="1272"/>
      <c r="M28" s="1272"/>
      <c r="N28" s="1272"/>
      <c r="O28" s="601"/>
      <c r="R28" s="118" t="s">
        <v>25</v>
      </c>
      <c r="S28" s="1272"/>
      <c r="T28" s="1272"/>
      <c r="U28" s="1272"/>
      <c r="V28" s="1272"/>
      <c r="W28" s="1272"/>
    </row>
    <row r="29" spans="1:23" ht="18.600000000000001" customHeight="1" x14ac:dyDescent="0.3">
      <c r="A29" s="2250">
        <v>23</v>
      </c>
      <c r="B29" s="1573" t="s">
        <v>4536</v>
      </c>
      <c r="C29" s="415">
        <v>806</v>
      </c>
      <c r="D29" s="75">
        <v>63</v>
      </c>
      <c r="E29" s="419" t="s">
        <v>953</v>
      </c>
      <c r="F29" s="82" t="s">
        <v>4524</v>
      </c>
      <c r="G29" s="1367">
        <v>10450</v>
      </c>
      <c r="H29" s="1719" t="s">
        <v>4525</v>
      </c>
      <c r="I29" s="118" t="s">
        <v>25</v>
      </c>
      <c r="J29" s="1272"/>
      <c r="K29" s="1272"/>
      <c r="L29" s="1272"/>
      <c r="M29" s="1272"/>
      <c r="N29" s="1272"/>
      <c r="O29" s="601"/>
      <c r="R29" s="118" t="s">
        <v>25</v>
      </c>
      <c r="S29" s="1272"/>
      <c r="T29" s="1272"/>
      <c r="U29" s="1272"/>
      <c r="V29" s="1272"/>
      <c r="W29" s="1272"/>
    </row>
    <row r="30" spans="1:23" ht="18.600000000000001" customHeight="1" x14ac:dyDescent="0.3">
      <c r="A30" s="2226">
        <v>24</v>
      </c>
      <c r="B30" s="1573" t="s">
        <v>4537</v>
      </c>
      <c r="C30" s="415">
        <v>806</v>
      </c>
      <c r="D30" s="75">
        <v>63</v>
      </c>
      <c r="E30" s="419" t="s">
        <v>1375</v>
      </c>
      <c r="F30" s="82" t="s">
        <v>4524</v>
      </c>
      <c r="G30" s="1367">
        <v>12450</v>
      </c>
      <c r="H30" s="1719" t="s">
        <v>4525</v>
      </c>
      <c r="I30" s="118" t="s">
        <v>25</v>
      </c>
      <c r="J30" s="1272"/>
      <c r="K30" s="1272"/>
      <c r="L30" s="1272"/>
      <c r="M30" s="1272"/>
      <c r="N30" s="1272"/>
      <c r="O30" s="601"/>
      <c r="R30" s="118" t="s">
        <v>25</v>
      </c>
      <c r="S30" s="1272"/>
      <c r="T30" s="1272"/>
      <c r="U30" s="1272"/>
      <c r="V30" s="1272"/>
      <c r="W30" s="1272"/>
    </row>
    <row r="31" spans="1:23" ht="18.600000000000001" customHeight="1" x14ac:dyDescent="0.3">
      <c r="A31" s="2250">
        <v>25</v>
      </c>
      <c r="B31" s="1573" t="s">
        <v>4523</v>
      </c>
      <c r="C31" s="415">
        <v>806</v>
      </c>
      <c r="D31" s="75">
        <v>63</v>
      </c>
      <c r="E31" s="419" t="s">
        <v>1376</v>
      </c>
      <c r="F31" s="82" t="s">
        <v>4524</v>
      </c>
      <c r="G31" s="1367">
        <v>7950</v>
      </c>
      <c r="H31" s="1719" t="s">
        <v>4525</v>
      </c>
      <c r="I31" s="118" t="s">
        <v>25</v>
      </c>
      <c r="J31" s="1272"/>
      <c r="K31" s="1272"/>
      <c r="L31" s="1272"/>
      <c r="M31" s="1272"/>
      <c r="N31" s="1272"/>
      <c r="O31" s="601"/>
      <c r="R31" s="118" t="s">
        <v>25</v>
      </c>
      <c r="S31" s="1272"/>
      <c r="T31" s="1272"/>
      <c r="U31" s="1272"/>
      <c r="V31" s="1272"/>
      <c r="W31" s="1272"/>
    </row>
    <row r="32" spans="1:23" ht="18.600000000000001" customHeight="1" x14ac:dyDescent="0.3">
      <c r="A32" s="2250">
        <v>26</v>
      </c>
      <c r="B32" s="1573" t="s">
        <v>4526</v>
      </c>
      <c r="C32" s="415">
        <v>806</v>
      </c>
      <c r="D32" s="75">
        <v>63</v>
      </c>
      <c r="E32" s="419" t="s">
        <v>1377</v>
      </c>
      <c r="F32" s="82" t="s">
        <v>4524</v>
      </c>
      <c r="G32" s="1367">
        <v>8450</v>
      </c>
      <c r="H32" s="1719" t="s">
        <v>4525</v>
      </c>
      <c r="I32" s="118" t="s">
        <v>25</v>
      </c>
      <c r="J32" s="1272"/>
      <c r="K32" s="1272"/>
      <c r="L32" s="1272"/>
      <c r="M32" s="1272"/>
      <c r="N32" s="1272"/>
      <c r="O32" s="601"/>
      <c r="R32" s="118" t="s">
        <v>25</v>
      </c>
      <c r="S32" s="1272"/>
      <c r="T32" s="1272"/>
      <c r="U32" s="1272"/>
      <c r="V32" s="1272"/>
      <c r="W32" s="1272"/>
    </row>
    <row r="33" spans="1:23" ht="18.600000000000001" customHeight="1" x14ac:dyDescent="0.3">
      <c r="A33" s="2226">
        <v>27</v>
      </c>
      <c r="B33" s="1573" t="s">
        <v>4527</v>
      </c>
      <c r="C33" s="415">
        <v>806</v>
      </c>
      <c r="D33" s="75">
        <v>63</v>
      </c>
      <c r="E33" s="419" t="s">
        <v>1378</v>
      </c>
      <c r="F33" s="82" t="s">
        <v>4524</v>
      </c>
      <c r="G33" s="1367">
        <v>10450</v>
      </c>
      <c r="H33" s="1719" t="s">
        <v>4525</v>
      </c>
      <c r="I33" s="118" t="s">
        <v>25</v>
      </c>
      <c r="J33" s="1272"/>
      <c r="K33" s="1272"/>
      <c r="L33" s="1272"/>
      <c r="M33" s="1272"/>
      <c r="N33" s="1272"/>
      <c r="O33" s="601"/>
      <c r="R33" s="118" t="s">
        <v>25</v>
      </c>
      <c r="S33" s="1272"/>
      <c r="T33" s="1272"/>
      <c r="U33" s="1272"/>
      <c r="V33" s="1272"/>
      <c r="W33" s="1272"/>
    </row>
    <row r="34" spans="1:23" ht="18.600000000000001" customHeight="1" x14ac:dyDescent="0.3">
      <c r="A34" s="2250">
        <v>28</v>
      </c>
      <c r="B34" s="1573" t="s">
        <v>4528</v>
      </c>
      <c r="C34" s="415">
        <v>806</v>
      </c>
      <c r="D34" s="75">
        <v>63</v>
      </c>
      <c r="E34" s="419" t="s">
        <v>1379</v>
      </c>
      <c r="F34" s="82" t="s">
        <v>4524</v>
      </c>
      <c r="G34" s="1367">
        <v>8554.5</v>
      </c>
      <c r="H34" s="1719" t="s">
        <v>4525</v>
      </c>
      <c r="I34" s="118" t="s">
        <v>25</v>
      </c>
      <c r="J34" s="1272"/>
      <c r="K34" s="1272"/>
      <c r="L34" s="1272"/>
      <c r="M34" s="1272"/>
      <c r="N34" s="1272"/>
      <c r="O34" s="601"/>
      <c r="R34" s="118" t="s">
        <v>25</v>
      </c>
      <c r="S34" s="1272"/>
      <c r="T34" s="1272"/>
      <c r="U34" s="1272"/>
      <c r="V34" s="1272"/>
      <c r="W34" s="1272"/>
    </row>
    <row r="35" spans="1:23" ht="18.600000000000001" customHeight="1" x14ac:dyDescent="0.3">
      <c r="A35" s="2226">
        <v>29</v>
      </c>
      <c r="B35" s="1573" t="s">
        <v>4529</v>
      </c>
      <c r="C35" s="415">
        <v>806</v>
      </c>
      <c r="D35" s="75">
        <v>63</v>
      </c>
      <c r="E35" s="419" t="s">
        <v>1380</v>
      </c>
      <c r="F35" s="82" t="s">
        <v>4524</v>
      </c>
      <c r="G35" s="1367">
        <v>7950</v>
      </c>
      <c r="H35" s="1719" t="s">
        <v>4525</v>
      </c>
      <c r="I35" s="118" t="s">
        <v>25</v>
      </c>
      <c r="J35" s="1272"/>
      <c r="K35" s="1272"/>
      <c r="L35" s="1272"/>
      <c r="M35" s="1272"/>
      <c r="N35" s="1272"/>
      <c r="O35" s="601"/>
      <c r="R35" s="118" t="s">
        <v>25</v>
      </c>
      <c r="S35" s="1272"/>
      <c r="T35" s="1272"/>
      <c r="U35" s="1272"/>
      <c r="V35" s="1272"/>
      <c r="W35" s="1272"/>
    </row>
    <row r="36" spans="1:23" ht="18.600000000000001" customHeight="1" x14ac:dyDescent="0.3">
      <c r="A36" s="2250">
        <v>30</v>
      </c>
      <c r="B36" s="1573" t="s">
        <v>4530</v>
      </c>
      <c r="C36" s="415">
        <v>806</v>
      </c>
      <c r="D36" s="75">
        <v>63</v>
      </c>
      <c r="E36" s="419" t="s">
        <v>1381</v>
      </c>
      <c r="F36" s="82" t="s">
        <v>4524</v>
      </c>
      <c r="G36" s="1367">
        <v>7950</v>
      </c>
      <c r="H36" s="1719" t="s">
        <v>4525</v>
      </c>
      <c r="I36" s="118" t="s">
        <v>25</v>
      </c>
      <c r="J36" s="1272"/>
      <c r="K36" s="1272"/>
      <c r="L36" s="1272"/>
      <c r="M36" s="1272"/>
      <c r="N36" s="1272"/>
      <c r="O36" s="601"/>
      <c r="R36" s="118" t="s">
        <v>25</v>
      </c>
      <c r="S36" s="1272"/>
      <c r="T36" s="1272"/>
      <c r="U36" s="1272"/>
      <c r="V36" s="1272"/>
      <c r="W36" s="1272"/>
    </row>
    <row r="37" spans="1:23" ht="18.600000000000001" customHeight="1" x14ac:dyDescent="0.3">
      <c r="A37" s="2250">
        <v>31</v>
      </c>
      <c r="B37" s="1573" t="s">
        <v>4531</v>
      </c>
      <c r="C37" s="415">
        <v>806</v>
      </c>
      <c r="D37" s="75">
        <v>63</v>
      </c>
      <c r="E37" s="419" t="s">
        <v>1382</v>
      </c>
      <c r="F37" s="82" t="s">
        <v>4524</v>
      </c>
      <c r="G37" s="1367">
        <v>15450</v>
      </c>
      <c r="H37" s="1719" t="s">
        <v>4525</v>
      </c>
      <c r="I37" s="118" t="s">
        <v>25</v>
      </c>
      <c r="J37" s="1272"/>
      <c r="K37" s="1272"/>
      <c r="L37" s="1272"/>
      <c r="M37" s="1272"/>
      <c r="N37" s="1272"/>
      <c r="O37" s="601"/>
      <c r="R37" s="118" t="s">
        <v>25</v>
      </c>
      <c r="S37" s="1272"/>
      <c r="T37" s="1272"/>
      <c r="U37" s="1272"/>
      <c r="V37" s="1272"/>
      <c r="W37" s="1272"/>
    </row>
    <row r="38" spans="1:23" ht="18.600000000000001" customHeight="1" x14ac:dyDescent="0.3">
      <c r="A38" s="2226">
        <v>32</v>
      </c>
      <c r="B38" s="1573" t="s">
        <v>4532</v>
      </c>
      <c r="C38" s="415">
        <v>806</v>
      </c>
      <c r="D38" s="75">
        <v>63</v>
      </c>
      <c r="E38" s="419" t="s">
        <v>1383</v>
      </c>
      <c r="F38" s="82" t="s">
        <v>4524</v>
      </c>
      <c r="G38" s="1367">
        <v>9450</v>
      </c>
      <c r="H38" s="1719" t="s">
        <v>4525</v>
      </c>
      <c r="I38" s="118" t="s">
        <v>25</v>
      </c>
      <c r="J38" s="1272"/>
      <c r="K38" s="1272"/>
      <c r="L38" s="1272"/>
      <c r="M38" s="1272"/>
      <c r="N38" s="1272"/>
      <c r="O38" s="601"/>
      <c r="R38" s="118" t="s">
        <v>25</v>
      </c>
      <c r="S38" s="1272"/>
      <c r="T38" s="1272"/>
      <c r="U38" s="1272"/>
      <c r="V38" s="1272"/>
      <c r="W38" s="1272"/>
    </row>
    <row r="39" spans="1:23" ht="18.600000000000001" customHeight="1" x14ac:dyDescent="0.3">
      <c r="A39" s="2250">
        <v>33</v>
      </c>
      <c r="B39" s="1573" t="s">
        <v>4533</v>
      </c>
      <c r="C39" s="415">
        <v>806</v>
      </c>
      <c r="D39" s="75">
        <v>63</v>
      </c>
      <c r="E39" s="419" t="s">
        <v>1384</v>
      </c>
      <c r="F39" s="82" t="s">
        <v>4524</v>
      </c>
      <c r="G39" s="1367">
        <v>7950</v>
      </c>
      <c r="H39" s="1719" t="s">
        <v>4525</v>
      </c>
      <c r="I39" s="118" t="s">
        <v>25</v>
      </c>
      <c r="J39" s="1272"/>
      <c r="K39" s="1272"/>
      <c r="L39" s="1272"/>
      <c r="M39" s="1272"/>
      <c r="N39" s="1272"/>
      <c r="O39" s="601"/>
      <c r="R39" s="118" t="s">
        <v>25</v>
      </c>
      <c r="S39" s="1272"/>
      <c r="T39" s="1272"/>
      <c r="U39" s="1272"/>
      <c r="V39" s="1272"/>
      <c r="W39" s="1272"/>
    </row>
    <row r="40" spans="1:23" ht="18.600000000000001" customHeight="1" x14ac:dyDescent="0.3">
      <c r="A40" s="2226">
        <v>34</v>
      </c>
      <c r="B40" s="1573" t="s">
        <v>4534</v>
      </c>
      <c r="C40" s="415">
        <v>806</v>
      </c>
      <c r="D40" s="75">
        <v>63</v>
      </c>
      <c r="E40" s="419" t="s">
        <v>1385</v>
      </c>
      <c r="F40" s="82" t="s">
        <v>4524</v>
      </c>
      <c r="G40" s="1367">
        <v>10450</v>
      </c>
      <c r="H40" s="1719" t="s">
        <v>4525</v>
      </c>
      <c r="I40" s="118" t="s">
        <v>25</v>
      </c>
      <c r="J40" s="1272"/>
      <c r="K40" s="1272"/>
      <c r="L40" s="1272"/>
      <c r="M40" s="1272"/>
      <c r="N40" s="1272"/>
      <c r="O40" s="601"/>
      <c r="R40" s="118" t="s">
        <v>25</v>
      </c>
      <c r="S40" s="1272"/>
      <c r="T40" s="1272"/>
      <c r="U40" s="1272"/>
      <c r="V40" s="1272"/>
      <c r="W40" s="1272"/>
    </row>
    <row r="41" spans="1:23" ht="18.600000000000001" customHeight="1" x14ac:dyDescent="0.3">
      <c r="A41" s="2250">
        <v>35</v>
      </c>
      <c r="B41" s="1573" t="s">
        <v>4535</v>
      </c>
      <c r="C41" s="415">
        <v>806</v>
      </c>
      <c r="D41" s="75">
        <v>63</v>
      </c>
      <c r="E41" s="419" t="s">
        <v>1386</v>
      </c>
      <c r="F41" s="82" t="s">
        <v>4524</v>
      </c>
      <c r="G41" s="1367">
        <v>7450</v>
      </c>
      <c r="H41" s="1719" t="s">
        <v>4525</v>
      </c>
      <c r="I41" s="118" t="s">
        <v>25</v>
      </c>
      <c r="J41" s="1272"/>
      <c r="K41" s="1272"/>
      <c r="L41" s="1272"/>
      <c r="M41" s="1272"/>
      <c r="N41" s="1272"/>
      <c r="O41" s="601"/>
      <c r="R41" s="118" t="s">
        <v>25</v>
      </c>
      <c r="S41" s="1272"/>
      <c r="T41" s="1272"/>
      <c r="U41" s="1272"/>
      <c r="V41" s="1272"/>
      <c r="W41" s="1272"/>
    </row>
    <row r="42" spans="1:23" ht="18.600000000000001" customHeight="1" x14ac:dyDescent="0.3">
      <c r="A42" s="2250">
        <v>36</v>
      </c>
      <c r="B42" s="1573" t="s">
        <v>4536</v>
      </c>
      <c r="C42" s="415">
        <v>806</v>
      </c>
      <c r="D42" s="75">
        <v>63</v>
      </c>
      <c r="E42" s="419" t="s">
        <v>414</v>
      </c>
      <c r="F42" s="82" t="s">
        <v>4524</v>
      </c>
      <c r="G42" s="1367">
        <v>10450</v>
      </c>
      <c r="H42" s="1719" t="s">
        <v>4525</v>
      </c>
      <c r="I42" s="118" t="s">
        <v>25</v>
      </c>
      <c r="J42" s="1272"/>
      <c r="K42" s="1272"/>
      <c r="L42" s="1272"/>
      <c r="M42" s="1272"/>
      <c r="N42" s="1272"/>
      <c r="O42" s="601"/>
      <c r="R42" s="118" t="s">
        <v>25</v>
      </c>
      <c r="S42" s="1272"/>
      <c r="T42" s="1272"/>
      <c r="U42" s="1272"/>
      <c r="V42" s="1272"/>
      <c r="W42" s="1272"/>
    </row>
    <row r="43" spans="1:23" ht="18.600000000000001" customHeight="1" x14ac:dyDescent="0.3">
      <c r="A43" s="2226">
        <v>37</v>
      </c>
      <c r="B43" s="1573" t="s">
        <v>4537</v>
      </c>
      <c r="C43" s="415">
        <v>806</v>
      </c>
      <c r="D43" s="75">
        <v>63</v>
      </c>
      <c r="E43" s="419" t="s">
        <v>1388</v>
      </c>
      <c r="F43" s="82" t="s">
        <v>4524</v>
      </c>
      <c r="G43" s="1367">
        <v>12450</v>
      </c>
      <c r="H43" s="1719" t="s">
        <v>4525</v>
      </c>
      <c r="I43" s="118" t="s">
        <v>25</v>
      </c>
      <c r="J43" s="1272"/>
      <c r="K43" s="1272"/>
      <c r="L43" s="1272"/>
      <c r="M43" s="1272"/>
      <c r="N43" s="1272"/>
      <c r="O43" s="601"/>
      <c r="R43" s="118" t="s">
        <v>25</v>
      </c>
      <c r="S43" s="1272"/>
      <c r="T43" s="1272"/>
      <c r="U43" s="1272"/>
      <c r="V43" s="1272"/>
      <c r="W43" s="1272"/>
    </row>
    <row r="44" spans="1:23" ht="18.600000000000001" customHeight="1" x14ac:dyDescent="0.45">
      <c r="A44" s="39"/>
      <c r="B44" s="88"/>
      <c r="C44" s="89"/>
      <c r="D44" s="230"/>
      <c r="E44" s="201"/>
      <c r="F44" s="176"/>
      <c r="G44" s="1574">
        <f>SUM(G7:G43)</f>
        <v>708909</v>
      </c>
      <c r="H44" s="602"/>
      <c r="I44" s="233"/>
      <c r="J44" s="1274"/>
      <c r="K44" s="1274"/>
      <c r="L44" s="1274"/>
      <c r="M44" s="1274"/>
      <c r="N44" s="1274"/>
      <c r="O44" s="1106"/>
      <c r="R44" s="233"/>
      <c r="S44" s="1274"/>
      <c r="T44" s="1274"/>
      <c r="U44" s="1274"/>
      <c r="V44" s="1274"/>
      <c r="W44" s="1274"/>
    </row>
    <row r="45" spans="1:23" ht="18.600000000000001" customHeight="1" x14ac:dyDescent="0.3">
      <c r="A45" s="823">
        <v>807</v>
      </c>
      <c r="B45" s="815" t="s">
        <v>4538</v>
      </c>
      <c r="C45" s="829"/>
      <c r="D45" s="829"/>
      <c r="E45" s="829"/>
      <c r="F45" s="845"/>
      <c r="G45" s="826"/>
      <c r="H45" s="827"/>
      <c r="I45" s="846"/>
      <c r="J45" s="779"/>
      <c r="K45" s="779"/>
      <c r="L45" s="828"/>
      <c r="M45" s="828"/>
      <c r="N45" s="779"/>
      <c r="O45" s="780"/>
    </row>
    <row r="46" spans="1:23" ht="18.600000000000001" customHeight="1" x14ac:dyDescent="0.3">
      <c r="A46" s="2226">
        <v>1</v>
      </c>
      <c r="B46" s="1572" t="s">
        <v>4539</v>
      </c>
      <c r="C46" s="415">
        <v>807</v>
      </c>
      <c r="D46" s="67">
        <v>51</v>
      </c>
      <c r="E46" s="1251" t="s">
        <v>1359</v>
      </c>
      <c r="F46" s="218" t="s">
        <v>4540</v>
      </c>
      <c r="G46" s="924">
        <v>165000</v>
      </c>
      <c r="H46" s="1719" t="s">
        <v>4541</v>
      </c>
      <c r="I46" s="118" t="s">
        <v>25</v>
      </c>
      <c r="J46" s="1270"/>
      <c r="K46" s="1270"/>
      <c r="L46" s="1270"/>
      <c r="M46" s="1270"/>
      <c r="N46" s="1270"/>
      <c r="O46" s="191" t="s">
        <v>4542</v>
      </c>
      <c r="R46" s="118" t="s">
        <v>25</v>
      </c>
      <c r="S46" s="1270"/>
      <c r="T46" s="1270"/>
      <c r="U46" s="1270"/>
      <c r="V46" s="1270"/>
      <c r="W46" s="1270"/>
    </row>
    <row r="47" spans="1:23" ht="18.600000000000001" customHeight="1" x14ac:dyDescent="0.3">
      <c r="A47" s="2226">
        <v>2</v>
      </c>
      <c r="B47" s="1572" t="s">
        <v>4543</v>
      </c>
      <c r="C47" s="415">
        <v>807</v>
      </c>
      <c r="D47" s="67">
        <v>51</v>
      </c>
      <c r="E47" s="1251" t="s">
        <v>1360</v>
      </c>
      <c r="F47" s="218" t="s">
        <v>4540</v>
      </c>
      <c r="G47" s="924">
        <v>200000</v>
      </c>
      <c r="H47" s="1719" t="s">
        <v>4541</v>
      </c>
      <c r="I47" s="118" t="s">
        <v>25</v>
      </c>
      <c r="J47" s="1270"/>
      <c r="K47" s="1270"/>
      <c r="L47" s="1270"/>
      <c r="M47" s="1270"/>
      <c r="N47" s="1270"/>
      <c r="O47" s="191" t="s">
        <v>4542</v>
      </c>
      <c r="R47" s="118" t="s">
        <v>25</v>
      </c>
      <c r="S47" s="1270"/>
      <c r="T47" s="1270"/>
      <c r="U47" s="1270"/>
      <c r="V47" s="1270"/>
      <c r="W47" s="1270"/>
    </row>
    <row r="48" spans="1:23" ht="18.600000000000001" customHeight="1" x14ac:dyDescent="0.3">
      <c r="A48" s="2226">
        <v>3</v>
      </c>
      <c r="B48" s="1572" t="s">
        <v>4544</v>
      </c>
      <c r="C48" s="415">
        <v>807</v>
      </c>
      <c r="D48" s="67">
        <v>51</v>
      </c>
      <c r="E48" s="1251" t="s">
        <v>584</v>
      </c>
      <c r="F48" s="218" t="s">
        <v>4540</v>
      </c>
      <c r="G48" s="924">
        <v>200000</v>
      </c>
      <c r="H48" s="1719" t="s">
        <v>4541</v>
      </c>
      <c r="I48" s="118" t="s">
        <v>25</v>
      </c>
      <c r="J48" s="1270"/>
      <c r="K48" s="1270"/>
      <c r="L48" s="1270"/>
      <c r="M48" s="1270"/>
      <c r="N48" s="1270"/>
      <c r="O48" s="191" t="s">
        <v>4542</v>
      </c>
      <c r="R48" s="118" t="s">
        <v>25</v>
      </c>
      <c r="S48" s="1270"/>
      <c r="T48" s="1270"/>
      <c r="U48" s="1270"/>
      <c r="V48" s="1270"/>
      <c r="W48" s="1270"/>
    </row>
    <row r="49" spans="1:23" ht="18.600000000000001" customHeight="1" x14ac:dyDescent="0.3">
      <c r="A49" s="2226">
        <v>4</v>
      </c>
      <c r="B49" s="1572" t="s">
        <v>4545</v>
      </c>
      <c r="C49" s="415">
        <v>807</v>
      </c>
      <c r="D49" s="67">
        <v>51</v>
      </c>
      <c r="E49" s="1251" t="s">
        <v>586</v>
      </c>
      <c r="F49" s="218" t="s">
        <v>4540</v>
      </c>
      <c r="G49" s="924">
        <v>163000</v>
      </c>
      <c r="H49" s="1719" t="s">
        <v>4541</v>
      </c>
      <c r="I49" s="118" t="s">
        <v>25</v>
      </c>
      <c r="J49" s="1270"/>
      <c r="K49" s="1270"/>
      <c r="L49" s="1270"/>
      <c r="M49" s="1270"/>
      <c r="N49" s="1270"/>
      <c r="O49" s="191" t="s">
        <v>4542</v>
      </c>
      <c r="R49" s="118" t="s">
        <v>25</v>
      </c>
      <c r="S49" s="1270"/>
      <c r="T49" s="1270"/>
      <c r="U49" s="1270"/>
      <c r="V49" s="1270"/>
      <c r="W49" s="1270"/>
    </row>
    <row r="50" spans="1:23" ht="18.600000000000001" customHeight="1" x14ac:dyDescent="0.3">
      <c r="A50" s="2226">
        <v>5</v>
      </c>
      <c r="B50" s="1572" t="s">
        <v>4546</v>
      </c>
      <c r="C50" s="415">
        <v>807</v>
      </c>
      <c r="D50" s="67">
        <v>51</v>
      </c>
      <c r="E50" s="1251" t="s">
        <v>587</v>
      </c>
      <c r="F50" s="218" t="s">
        <v>4540</v>
      </c>
      <c r="G50" s="924">
        <v>200000</v>
      </c>
      <c r="H50" s="1719" t="s">
        <v>4541</v>
      </c>
      <c r="I50" s="118" t="s">
        <v>25</v>
      </c>
      <c r="J50" s="1270"/>
      <c r="K50" s="1270"/>
      <c r="L50" s="1270"/>
      <c r="M50" s="1270"/>
      <c r="N50" s="1270"/>
      <c r="O50" s="191" t="s">
        <v>4542</v>
      </c>
      <c r="R50" s="118" t="s">
        <v>25</v>
      </c>
      <c r="S50" s="1270"/>
      <c r="T50" s="1270"/>
      <c r="U50" s="1270"/>
      <c r="V50" s="1270"/>
      <c r="W50" s="1270"/>
    </row>
    <row r="51" spans="1:23" ht="18.600000000000001" customHeight="1" x14ac:dyDescent="0.3">
      <c r="A51" s="2226">
        <v>6</v>
      </c>
      <c r="B51" s="1572" t="s">
        <v>4547</v>
      </c>
      <c r="C51" s="415">
        <v>807</v>
      </c>
      <c r="D51" s="67">
        <v>51</v>
      </c>
      <c r="E51" s="1251" t="s">
        <v>420</v>
      </c>
      <c r="F51" s="218" t="s">
        <v>4540</v>
      </c>
      <c r="G51" s="924">
        <v>180000</v>
      </c>
      <c r="H51" s="1719" t="s">
        <v>4541</v>
      </c>
      <c r="I51" s="118" t="s">
        <v>25</v>
      </c>
      <c r="J51" s="1270"/>
      <c r="K51" s="1270"/>
      <c r="L51" s="1270"/>
      <c r="M51" s="1270"/>
      <c r="N51" s="1270"/>
      <c r="O51" s="191" t="s">
        <v>4542</v>
      </c>
      <c r="R51" s="118" t="s">
        <v>25</v>
      </c>
      <c r="S51" s="1270"/>
      <c r="T51" s="1270"/>
      <c r="U51" s="1270"/>
      <c r="V51" s="1270"/>
      <c r="W51" s="1270"/>
    </row>
    <row r="52" spans="1:23" ht="18.600000000000001" customHeight="1" x14ac:dyDescent="0.3">
      <c r="A52" s="2226">
        <v>7</v>
      </c>
      <c r="B52" s="1572" t="s">
        <v>4548</v>
      </c>
      <c r="C52" s="415">
        <v>807</v>
      </c>
      <c r="D52" s="67">
        <v>51</v>
      </c>
      <c r="E52" s="1251" t="s">
        <v>588</v>
      </c>
      <c r="F52" s="218" t="s">
        <v>4540</v>
      </c>
      <c r="G52" s="924">
        <v>200000</v>
      </c>
      <c r="H52" s="1719" t="s">
        <v>4541</v>
      </c>
      <c r="I52" s="118" t="s">
        <v>25</v>
      </c>
      <c r="J52" s="1270"/>
      <c r="K52" s="1270"/>
      <c r="L52" s="1270"/>
      <c r="M52" s="1270"/>
      <c r="N52" s="1270"/>
      <c r="O52" s="191" t="s">
        <v>4542</v>
      </c>
      <c r="R52" s="118" t="s">
        <v>25</v>
      </c>
      <c r="S52" s="1270"/>
      <c r="T52" s="1270"/>
      <c r="U52" s="1270"/>
      <c r="V52" s="1270"/>
      <c r="W52" s="1270"/>
    </row>
    <row r="53" spans="1:23" ht="18.600000000000001" customHeight="1" x14ac:dyDescent="0.3">
      <c r="A53" s="2226">
        <v>8</v>
      </c>
      <c r="B53" s="1572" t="s">
        <v>4549</v>
      </c>
      <c r="C53" s="415">
        <v>807</v>
      </c>
      <c r="D53" s="67">
        <v>51</v>
      </c>
      <c r="E53" s="1251" t="s">
        <v>561</v>
      </c>
      <c r="F53" s="218" t="s">
        <v>4540</v>
      </c>
      <c r="G53" s="924">
        <v>190000</v>
      </c>
      <c r="H53" s="1719" t="s">
        <v>4541</v>
      </c>
      <c r="I53" s="118" t="s">
        <v>25</v>
      </c>
      <c r="J53" s="1270"/>
      <c r="K53" s="1270"/>
      <c r="L53" s="1270"/>
      <c r="M53" s="1270"/>
      <c r="N53" s="1270"/>
      <c r="O53" s="191" t="s">
        <v>4542</v>
      </c>
      <c r="R53" s="118" t="s">
        <v>25</v>
      </c>
      <c r="S53" s="1270"/>
      <c r="T53" s="1270"/>
      <c r="U53" s="1270"/>
      <c r="V53" s="1270"/>
      <c r="W53" s="1270"/>
    </row>
    <row r="54" spans="1:23" ht="18.600000000000001" customHeight="1" x14ac:dyDescent="0.3">
      <c r="A54" s="2226">
        <v>9</v>
      </c>
      <c r="B54" s="1572" t="s">
        <v>4550</v>
      </c>
      <c r="C54" s="415">
        <v>807</v>
      </c>
      <c r="D54" s="67">
        <v>51</v>
      </c>
      <c r="E54" s="1251" t="s">
        <v>590</v>
      </c>
      <c r="F54" s="218" t="s">
        <v>4540</v>
      </c>
      <c r="G54" s="924">
        <v>190000</v>
      </c>
      <c r="H54" s="1719" t="s">
        <v>4541</v>
      </c>
      <c r="I54" s="118" t="s">
        <v>25</v>
      </c>
      <c r="J54" s="1270"/>
      <c r="K54" s="1270"/>
      <c r="L54" s="1270"/>
      <c r="M54" s="1270"/>
      <c r="N54" s="1270"/>
      <c r="O54" s="191" t="s">
        <v>4542</v>
      </c>
      <c r="R54" s="118" t="s">
        <v>25</v>
      </c>
      <c r="S54" s="1270"/>
      <c r="T54" s="1270"/>
      <c r="U54" s="1270"/>
      <c r="V54" s="1270"/>
      <c r="W54" s="1270"/>
    </row>
    <row r="55" spans="1:23" ht="18.600000000000001" customHeight="1" x14ac:dyDescent="0.3">
      <c r="A55" s="2226">
        <v>10</v>
      </c>
      <c r="B55" s="1572" t="s">
        <v>4551</v>
      </c>
      <c r="C55" s="415">
        <v>807</v>
      </c>
      <c r="D55" s="67">
        <v>51</v>
      </c>
      <c r="E55" s="1251" t="s">
        <v>591</v>
      </c>
      <c r="F55" s="218" t="s">
        <v>4540</v>
      </c>
      <c r="G55" s="924">
        <v>160000</v>
      </c>
      <c r="H55" s="1719" t="s">
        <v>4541</v>
      </c>
      <c r="I55" s="118" t="s">
        <v>25</v>
      </c>
      <c r="J55" s="1270"/>
      <c r="K55" s="1270"/>
      <c r="L55" s="1270"/>
      <c r="M55" s="1270"/>
      <c r="N55" s="1270"/>
      <c r="O55" s="191" t="s">
        <v>4542</v>
      </c>
      <c r="R55" s="118" t="s">
        <v>25</v>
      </c>
      <c r="S55" s="1270"/>
      <c r="T55" s="1270"/>
      <c r="U55" s="1270"/>
      <c r="V55" s="1270"/>
      <c r="W55" s="1270"/>
    </row>
    <row r="56" spans="1:23" ht="18.600000000000001" customHeight="1" x14ac:dyDescent="0.3">
      <c r="A56" s="2226">
        <v>11</v>
      </c>
      <c r="B56" s="1572" t="s">
        <v>4552</v>
      </c>
      <c r="C56" s="415">
        <v>807</v>
      </c>
      <c r="D56" s="67">
        <v>51</v>
      </c>
      <c r="E56" s="1251" t="s">
        <v>564</v>
      </c>
      <c r="F56" s="218" t="s">
        <v>4540</v>
      </c>
      <c r="G56" s="924">
        <v>150000</v>
      </c>
      <c r="H56" s="1719" t="s">
        <v>4541</v>
      </c>
      <c r="I56" s="118" t="s">
        <v>25</v>
      </c>
      <c r="J56" s="1270"/>
      <c r="K56" s="1270"/>
      <c r="L56" s="1270"/>
      <c r="M56" s="1270"/>
      <c r="N56" s="1270"/>
      <c r="O56" s="191" t="s">
        <v>4542</v>
      </c>
      <c r="R56" s="118" t="s">
        <v>25</v>
      </c>
      <c r="S56" s="1270"/>
      <c r="T56" s="1270"/>
      <c r="U56" s="1270"/>
      <c r="V56" s="1270"/>
      <c r="W56" s="1270"/>
    </row>
    <row r="57" spans="1:23" ht="18.600000000000001" customHeight="1" x14ac:dyDescent="0.3">
      <c r="A57" s="2226">
        <v>12</v>
      </c>
      <c r="B57" s="1572" t="s">
        <v>4553</v>
      </c>
      <c r="C57" s="415">
        <v>807</v>
      </c>
      <c r="D57" s="67">
        <v>51</v>
      </c>
      <c r="E57" s="1251" t="s">
        <v>565</v>
      </c>
      <c r="F57" s="218" t="s">
        <v>4540</v>
      </c>
      <c r="G57" s="924">
        <v>200000</v>
      </c>
      <c r="H57" s="1719" t="s">
        <v>4541</v>
      </c>
      <c r="I57" s="118" t="s">
        <v>25</v>
      </c>
      <c r="J57" s="1270"/>
      <c r="K57" s="1270"/>
      <c r="L57" s="1270"/>
      <c r="M57" s="1270"/>
      <c r="N57" s="1270"/>
      <c r="O57" s="191" t="s">
        <v>4542</v>
      </c>
      <c r="R57" s="118" t="s">
        <v>25</v>
      </c>
      <c r="S57" s="1270"/>
      <c r="T57" s="1270"/>
      <c r="U57" s="1270"/>
      <c r="V57" s="1270"/>
      <c r="W57" s="1270"/>
    </row>
    <row r="58" spans="1:23" ht="18.600000000000001" customHeight="1" x14ac:dyDescent="0.3">
      <c r="A58" s="2226">
        <v>13</v>
      </c>
      <c r="B58" s="1572" t="s">
        <v>4553</v>
      </c>
      <c r="C58" s="415">
        <v>807</v>
      </c>
      <c r="D58" s="67">
        <v>51</v>
      </c>
      <c r="E58" s="1251" t="s">
        <v>567</v>
      </c>
      <c r="F58" s="218" t="s">
        <v>4540</v>
      </c>
      <c r="G58" s="924">
        <v>200000</v>
      </c>
      <c r="H58" s="1719" t="s">
        <v>4541</v>
      </c>
      <c r="I58" s="118" t="s">
        <v>25</v>
      </c>
      <c r="J58" s="1270"/>
      <c r="K58" s="1270"/>
      <c r="L58" s="1270"/>
      <c r="M58" s="1270"/>
      <c r="N58" s="1270"/>
      <c r="O58" s="191" t="s">
        <v>4542</v>
      </c>
      <c r="R58" s="118" t="s">
        <v>25</v>
      </c>
      <c r="S58" s="1270"/>
      <c r="T58" s="1270"/>
      <c r="U58" s="1270"/>
      <c r="V58" s="1270"/>
      <c r="W58" s="1270"/>
    </row>
    <row r="59" spans="1:23" ht="18.600000000000001" customHeight="1" x14ac:dyDescent="0.3">
      <c r="A59" s="2226">
        <v>14</v>
      </c>
      <c r="B59" s="1572" t="s">
        <v>4554</v>
      </c>
      <c r="C59" s="415">
        <v>807</v>
      </c>
      <c r="D59" s="67">
        <v>51</v>
      </c>
      <c r="E59" s="1251" t="s">
        <v>568</v>
      </c>
      <c r="F59" s="218" t="s">
        <v>4540</v>
      </c>
      <c r="G59" s="924">
        <v>200000</v>
      </c>
      <c r="H59" s="1719" t="s">
        <v>4541</v>
      </c>
      <c r="I59" s="118" t="s">
        <v>25</v>
      </c>
      <c r="J59" s="1270"/>
      <c r="K59" s="1270"/>
      <c r="L59" s="1270"/>
      <c r="M59" s="1270"/>
      <c r="N59" s="1270"/>
      <c r="O59" s="191" t="s">
        <v>4542</v>
      </c>
      <c r="R59" s="118" t="s">
        <v>25</v>
      </c>
      <c r="S59" s="1270"/>
      <c r="T59" s="1270"/>
      <c r="U59" s="1270"/>
      <c r="V59" s="1270"/>
      <c r="W59" s="1270"/>
    </row>
    <row r="60" spans="1:23" ht="18.600000000000001" customHeight="1" x14ac:dyDescent="0.3">
      <c r="A60" s="2226">
        <v>15</v>
      </c>
      <c r="B60" s="1572" t="s">
        <v>4554</v>
      </c>
      <c r="C60" s="415">
        <v>807</v>
      </c>
      <c r="D60" s="67">
        <v>51</v>
      </c>
      <c r="E60" s="1251" t="s">
        <v>569</v>
      </c>
      <c r="F60" s="218" t="s">
        <v>4540</v>
      </c>
      <c r="G60" s="924">
        <v>200000</v>
      </c>
      <c r="H60" s="1719" t="s">
        <v>4541</v>
      </c>
      <c r="I60" s="118" t="s">
        <v>25</v>
      </c>
      <c r="J60" s="1270"/>
      <c r="K60" s="1270"/>
      <c r="L60" s="1270"/>
      <c r="M60" s="1270"/>
      <c r="N60" s="1270"/>
      <c r="O60" s="191" t="s">
        <v>4542</v>
      </c>
      <c r="R60" s="118" t="s">
        <v>25</v>
      </c>
      <c r="S60" s="1270"/>
      <c r="T60" s="1270"/>
      <c r="U60" s="1270"/>
      <c r="V60" s="1270"/>
      <c r="W60" s="1270"/>
    </row>
    <row r="61" spans="1:23" ht="18.600000000000001" customHeight="1" x14ac:dyDescent="0.3">
      <c r="A61" s="2226">
        <v>16</v>
      </c>
      <c r="B61" s="1572" t="s">
        <v>4555</v>
      </c>
      <c r="C61" s="415">
        <v>807</v>
      </c>
      <c r="D61" s="67">
        <v>55</v>
      </c>
      <c r="E61" s="217" t="s">
        <v>538</v>
      </c>
      <c r="F61" s="218" t="s">
        <v>994</v>
      </c>
      <c r="G61" s="924">
        <v>47000</v>
      </c>
      <c r="H61" s="1719" t="s">
        <v>4556</v>
      </c>
      <c r="I61" s="118" t="s">
        <v>25</v>
      </c>
      <c r="J61" s="1270"/>
      <c r="K61" s="1270"/>
      <c r="L61" s="1270"/>
      <c r="M61" s="1270"/>
      <c r="N61" s="1270"/>
      <c r="O61" s="191"/>
      <c r="R61" s="118" t="s">
        <v>25</v>
      </c>
      <c r="S61" s="1270"/>
      <c r="T61" s="1270"/>
      <c r="U61" s="1270"/>
      <c r="V61" s="1270"/>
      <c r="W61" s="1270"/>
    </row>
    <row r="62" spans="1:23" ht="18.600000000000001" customHeight="1" x14ac:dyDescent="0.3">
      <c r="A62" s="2226">
        <v>17</v>
      </c>
      <c r="B62" s="1572" t="s">
        <v>4557</v>
      </c>
      <c r="C62" s="415">
        <v>807</v>
      </c>
      <c r="D62" s="67">
        <v>55</v>
      </c>
      <c r="E62" s="217" t="s">
        <v>934</v>
      </c>
      <c r="F62" s="218" t="s">
        <v>994</v>
      </c>
      <c r="G62" s="924">
        <v>48000</v>
      </c>
      <c r="H62" s="1719" t="s">
        <v>4556</v>
      </c>
      <c r="I62" s="118" t="s">
        <v>25</v>
      </c>
      <c r="J62" s="1270"/>
      <c r="K62" s="1270"/>
      <c r="L62" s="1270"/>
      <c r="M62" s="1270"/>
      <c r="N62" s="1270"/>
      <c r="O62" s="191"/>
      <c r="R62" s="118" t="s">
        <v>25</v>
      </c>
      <c r="S62" s="1270"/>
      <c r="T62" s="1270"/>
      <c r="U62" s="1270"/>
      <c r="V62" s="1270"/>
      <c r="W62" s="1270"/>
    </row>
    <row r="63" spans="1:23" ht="18.600000000000001" customHeight="1" x14ac:dyDescent="0.3">
      <c r="A63" s="2226">
        <v>18</v>
      </c>
      <c r="B63" s="1572" t="s">
        <v>4558</v>
      </c>
      <c r="C63" s="415">
        <v>807</v>
      </c>
      <c r="D63" s="67">
        <v>55</v>
      </c>
      <c r="E63" s="217" t="s">
        <v>1353</v>
      </c>
      <c r="F63" s="218" t="s">
        <v>994</v>
      </c>
      <c r="G63" s="924">
        <v>48000</v>
      </c>
      <c r="H63" s="1719" t="s">
        <v>4556</v>
      </c>
      <c r="I63" s="118" t="s">
        <v>25</v>
      </c>
      <c r="J63" s="1270"/>
      <c r="K63" s="1270"/>
      <c r="L63" s="1270"/>
      <c r="M63" s="1270"/>
      <c r="N63" s="1270"/>
      <c r="O63" s="191"/>
      <c r="R63" s="118" t="s">
        <v>25</v>
      </c>
      <c r="S63" s="1270"/>
      <c r="T63" s="1270"/>
      <c r="U63" s="1270"/>
      <c r="V63" s="1270"/>
      <c r="W63" s="1270"/>
    </row>
    <row r="64" spans="1:23" ht="18.600000000000001" customHeight="1" x14ac:dyDescent="0.3">
      <c r="A64" s="2226">
        <v>19</v>
      </c>
      <c r="B64" s="1572" t="s">
        <v>4559</v>
      </c>
      <c r="C64" s="415">
        <v>807</v>
      </c>
      <c r="D64" s="67">
        <v>55</v>
      </c>
      <c r="E64" s="217" t="s">
        <v>418</v>
      </c>
      <c r="F64" s="218" t="s">
        <v>994</v>
      </c>
      <c r="G64" s="924">
        <v>38000</v>
      </c>
      <c r="H64" s="1719" t="s">
        <v>4556</v>
      </c>
      <c r="I64" s="118" t="s">
        <v>25</v>
      </c>
      <c r="J64" s="1270"/>
      <c r="K64" s="1270"/>
      <c r="L64" s="1270"/>
      <c r="M64" s="1270"/>
      <c r="N64" s="1270"/>
      <c r="O64" s="191"/>
      <c r="R64" s="118" t="s">
        <v>25</v>
      </c>
      <c r="S64" s="1270"/>
      <c r="T64" s="1270"/>
      <c r="U64" s="1270"/>
      <c r="V64" s="1270"/>
      <c r="W64" s="1270"/>
    </row>
    <row r="65" spans="1:23" ht="18.600000000000001" customHeight="1" x14ac:dyDescent="0.3">
      <c r="A65" s="2226">
        <v>20</v>
      </c>
      <c r="B65" s="1572" t="s">
        <v>4560</v>
      </c>
      <c r="C65" s="415">
        <v>807</v>
      </c>
      <c r="D65" s="67">
        <v>55</v>
      </c>
      <c r="E65" s="217" t="s">
        <v>542</v>
      </c>
      <c r="F65" s="218" t="s">
        <v>994</v>
      </c>
      <c r="G65" s="924">
        <v>29000</v>
      </c>
      <c r="H65" s="1719" t="s">
        <v>4556</v>
      </c>
      <c r="I65" s="118" t="s">
        <v>25</v>
      </c>
      <c r="J65" s="1270"/>
      <c r="K65" s="1270"/>
      <c r="L65" s="1270"/>
      <c r="M65" s="1270"/>
      <c r="N65" s="1270"/>
      <c r="O65" s="191"/>
      <c r="R65" s="118" t="s">
        <v>25</v>
      </c>
      <c r="S65" s="1270"/>
      <c r="T65" s="1270"/>
      <c r="U65" s="1270"/>
      <c r="V65" s="1270"/>
      <c r="W65" s="1270"/>
    </row>
    <row r="66" spans="1:23" ht="18.600000000000001" customHeight="1" x14ac:dyDescent="0.3">
      <c r="A66" s="2226">
        <v>21</v>
      </c>
      <c r="B66" s="1572" t="s">
        <v>4561</v>
      </c>
      <c r="C66" s="415">
        <v>807</v>
      </c>
      <c r="D66" s="67">
        <v>55</v>
      </c>
      <c r="E66" s="217" t="s">
        <v>543</v>
      </c>
      <c r="F66" s="218" t="s">
        <v>994</v>
      </c>
      <c r="G66" s="924">
        <v>52000</v>
      </c>
      <c r="H66" s="1719" t="s">
        <v>4556</v>
      </c>
      <c r="I66" s="118" t="s">
        <v>25</v>
      </c>
      <c r="J66" s="1270"/>
      <c r="K66" s="1270"/>
      <c r="L66" s="1270"/>
      <c r="M66" s="1270"/>
      <c r="N66" s="1270"/>
      <c r="O66" s="191"/>
      <c r="R66" s="118" t="s">
        <v>25</v>
      </c>
      <c r="S66" s="1270"/>
      <c r="T66" s="1270"/>
      <c r="U66" s="1270"/>
      <c r="V66" s="1270"/>
      <c r="W66" s="1270"/>
    </row>
    <row r="67" spans="1:23" ht="18.600000000000001" customHeight="1" x14ac:dyDescent="0.3">
      <c r="A67" s="2226">
        <v>22</v>
      </c>
      <c r="B67" s="1572" t="s">
        <v>4562</v>
      </c>
      <c r="C67" s="415">
        <v>807</v>
      </c>
      <c r="D67" s="67">
        <v>55</v>
      </c>
      <c r="E67" s="217" t="s">
        <v>544</v>
      </c>
      <c r="F67" s="218" t="s">
        <v>994</v>
      </c>
      <c r="G67" s="924">
        <v>49000</v>
      </c>
      <c r="H67" s="1719" t="s">
        <v>4556</v>
      </c>
      <c r="I67" s="118" t="s">
        <v>25</v>
      </c>
      <c r="J67" s="1270"/>
      <c r="K67" s="1270"/>
      <c r="L67" s="1270"/>
      <c r="M67" s="1270"/>
      <c r="N67" s="1270"/>
      <c r="O67" s="191"/>
      <c r="R67" s="118" t="s">
        <v>25</v>
      </c>
      <c r="S67" s="1270"/>
      <c r="T67" s="1270"/>
      <c r="U67" s="1270"/>
      <c r="V67" s="1270"/>
      <c r="W67" s="1270"/>
    </row>
    <row r="68" spans="1:23" ht="18.600000000000001" customHeight="1" x14ac:dyDescent="0.3">
      <c r="A68" s="2226">
        <v>23</v>
      </c>
      <c r="B68" s="1572" t="s">
        <v>4563</v>
      </c>
      <c r="C68" s="415">
        <v>807</v>
      </c>
      <c r="D68" s="67">
        <v>55</v>
      </c>
      <c r="E68" s="217" t="s">
        <v>545</v>
      </c>
      <c r="F68" s="218" t="s">
        <v>994</v>
      </c>
      <c r="G68" s="924">
        <v>52500</v>
      </c>
      <c r="H68" s="1719" t="s">
        <v>4556</v>
      </c>
      <c r="I68" s="118" t="s">
        <v>25</v>
      </c>
      <c r="J68" s="1270"/>
      <c r="K68" s="1270"/>
      <c r="L68" s="1270"/>
      <c r="M68" s="1270"/>
      <c r="N68" s="1270"/>
      <c r="O68" s="191"/>
      <c r="R68" s="118" t="s">
        <v>25</v>
      </c>
      <c r="S68" s="1270"/>
      <c r="T68" s="1270"/>
      <c r="U68" s="1270"/>
      <c r="V68" s="1270"/>
      <c r="W68" s="1270"/>
    </row>
    <row r="69" spans="1:23" ht="18.600000000000001" customHeight="1" x14ac:dyDescent="0.3">
      <c r="A69" s="2226">
        <v>24</v>
      </c>
      <c r="B69" s="1572" t="s">
        <v>4564</v>
      </c>
      <c r="C69" s="415">
        <v>807</v>
      </c>
      <c r="D69" s="67">
        <v>55</v>
      </c>
      <c r="E69" s="217" t="s">
        <v>546</v>
      </c>
      <c r="F69" s="218" t="s">
        <v>994</v>
      </c>
      <c r="G69" s="924">
        <v>38000</v>
      </c>
      <c r="H69" s="1719" t="s">
        <v>4556</v>
      </c>
      <c r="I69" s="118" t="s">
        <v>25</v>
      </c>
      <c r="J69" s="1270"/>
      <c r="K69" s="1270"/>
      <c r="L69" s="1270"/>
      <c r="M69" s="1270"/>
      <c r="N69" s="1270"/>
      <c r="O69" s="191"/>
      <c r="R69" s="118" t="s">
        <v>25</v>
      </c>
      <c r="S69" s="1270"/>
      <c r="T69" s="1270"/>
      <c r="U69" s="1270"/>
      <c r="V69" s="1270"/>
      <c r="W69" s="1270"/>
    </row>
    <row r="70" spans="1:23" ht="18.600000000000001" customHeight="1" x14ac:dyDescent="0.3">
      <c r="A70" s="2226">
        <v>25</v>
      </c>
      <c r="B70" s="1572" t="s">
        <v>4565</v>
      </c>
      <c r="C70" s="415">
        <v>807</v>
      </c>
      <c r="D70" s="67">
        <v>55</v>
      </c>
      <c r="E70" s="217" t="s">
        <v>547</v>
      </c>
      <c r="F70" s="218" t="s">
        <v>994</v>
      </c>
      <c r="G70" s="924">
        <v>39000</v>
      </c>
      <c r="H70" s="1719" t="s">
        <v>4556</v>
      </c>
      <c r="I70" s="118" t="s">
        <v>25</v>
      </c>
      <c r="J70" s="1270"/>
      <c r="K70" s="1270"/>
      <c r="L70" s="1270"/>
      <c r="M70" s="1270"/>
      <c r="N70" s="1270"/>
      <c r="O70" s="191"/>
      <c r="R70" s="118" t="s">
        <v>25</v>
      </c>
      <c r="S70" s="1270"/>
      <c r="T70" s="1270"/>
      <c r="U70" s="1270"/>
      <c r="V70" s="1270"/>
      <c r="W70" s="1270"/>
    </row>
    <row r="71" spans="1:23" ht="18.600000000000001" customHeight="1" x14ac:dyDescent="0.3">
      <c r="A71" s="2226">
        <v>26</v>
      </c>
      <c r="B71" s="1572" t="s">
        <v>4566</v>
      </c>
      <c r="C71" s="415">
        <v>807</v>
      </c>
      <c r="D71" s="67">
        <v>55</v>
      </c>
      <c r="E71" s="217" t="s">
        <v>319</v>
      </c>
      <c r="F71" s="218" t="s">
        <v>994</v>
      </c>
      <c r="G71" s="924">
        <v>52000</v>
      </c>
      <c r="H71" s="1719" t="s">
        <v>4556</v>
      </c>
      <c r="I71" s="118" t="s">
        <v>25</v>
      </c>
      <c r="J71" s="1270"/>
      <c r="K71" s="1270"/>
      <c r="L71" s="1270"/>
      <c r="M71" s="1270"/>
      <c r="N71" s="1270"/>
      <c r="O71" s="191"/>
      <c r="R71" s="118" t="s">
        <v>25</v>
      </c>
      <c r="S71" s="1270"/>
      <c r="T71" s="1270"/>
      <c r="U71" s="1270"/>
      <c r="V71" s="1270"/>
      <c r="W71" s="1270"/>
    </row>
    <row r="72" spans="1:23" ht="18.600000000000001" customHeight="1" x14ac:dyDescent="0.3">
      <c r="A72" s="2226">
        <v>27</v>
      </c>
      <c r="B72" s="1572" t="s">
        <v>4567</v>
      </c>
      <c r="C72" s="415">
        <v>807</v>
      </c>
      <c r="D72" s="67">
        <v>55</v>
      </c>
      <c r="E72" s="217" t="s">
        <v>320</v>
      </c>
      <c r="F72" s="218" t="s">
        <v>994</v>
      </c>
      <c r="G72" s="924">
        <v>40000</v>
      </c>
      <c r="H72" s="1719" t="s">
        <v>4556</v>
      </c>
      <c r="I72" s="118" t="s">
        <v>25</v>
      </c>
      <c r="J72" s="1270"/>
      <c r="K72" s="1270"/>
      <c r="L72" s="1270"/>
      <c r="M72" s="1270"/>
      <c r="N72" s="1270"/>
      <c r="O72" s="191"/>
      <c r="R72" s="118" t="s">
        <v>25</v>
      </c>
      <c r="S72" s="1270"/>
      <c r="T72" s="1270"/>
      <c r="U72" s="1270"/>
      <c r="V72" s="1270"/>
      <c r="W72" s="1270"/>
    </row>
    <row r="73" spans="1:23" ht="18.600000000000001" customHeight="1" x14ac:dyDescent="0.3">
      <c r="A73" s="2226">
        <v>28</v>
      </c>
      <c r="B73" s="1572" t="s">
        <v>4568</v>
      </c>
      <c r="C73" s="415">
        <v>807</v>
      </c>
      <c r="D73" s="67">
        <v>55</v>
      </c>
      <c r="E73" s="217" t="s">
        <v>322</v>
      </c>
      <c r="F73" s="218" t="s">
        <v>994</v>
      </c>
      <c r="G73" s="924">
        <v>39000</v>
      </c>
      <c r="H73" s="1719" t="s">
        <v>4556</v>
      </c>
      <c r="I73" s="118" t="s">
        <v>25</v>
      </c>
      <c r="J73" s="1270"/>
      <c r="K73" s="1270"/>
      <c r="L73" s="1270"/>
      <c r="M73" s="1270"/>
      <c r="N73" s="1270"/>
      <c r="O73" s="191"/>
      <c r="R73" s="118" t="s">
        <v>25</v>
      </c>
      <c r="S73" s="1270"/>
      <c r="T73" s="1270"/>
      <c r="U73" s="1270"/>
      <c r="V73" s="1270"/>
      <c r="W73" s="1270"/>
    </row>
    <row r="74" spans="1:23" ht="18.600000000000001" customHeight="1" x14ac:dyDescent="0.3">
      <c r="A74" s="2226">
        <v>29</v>
      </c>
      <c r="B74" s="1572" t="s">
        <v>4569</v>
      </c>
      <c r="C74" s="415">
        <v>807</v>
      </c>
      <c r="D74" s="67">
        <v>55</v>
      </c>
      <c r="E74" s="217" t="s">
        <v>324</v>
      </c>
      <c r="F74" s="218" t="s">
        <v>994</v>
      </c>
      <c r="G74" s="924">
        <v>42000</v>
      </c>
      <c r="H74" s="1719" t="s">
        <v>4556</v>
      </c>
      <c r="I74" s="118" t="s">
        <v>25</v>
      </c>
      <c r="J74" s="1270"/>
      <c r="K74" s="1270"/>
      <c r="L74" s="1270"/>
      <c r="M74" s="1270"/>
      <c r="N74" s="1270"/>
      <c r="O74" s="191"/>
      <c r="R74" s="118" t="s">
        <v>25</v>
      </c>
      <c r="S74" s="1270"/>
      <c r="T74" s="1270"/>
      <c r="U74" s="1270"/>
      <c r="V74" s="1270"/>
      <c r="W74" s="1270"/>
    </row>
    <row r="75" spans="1:23" ht="18.600000000000001" customHeight="1" x14ac:dyDescent="0.3">
      <c r="A75" s="2226">
        <v>30</v>
      </c>
      <c r="B75" s="1572" t="s">
        <v>4570</v>
      </c>
      <c r="C75" s="415">
        <v>807</v>
      </c>
      <c r="D75" s="67">
        <v>55</v>
      </c>
      <c r="E75" s="217" t="s">
        <v>408</v>
      </c>
      <c r="F75" s="218" t="s">
        <v>994</v>
      </c>
      <c r="G75" s="924">
        <v>55000</v>
      </c>
      <c r="H75" s="1719" t="s">
        <v>4556</v>
      </c>
      <c r="I75" s="118" t="s">
        <v>25</v>
      </c>
      <c r="J75" s="1270"/>
      <c r="K75" s="1270"/>
      <c r="L75" s="1270"/>
      <c r="M75" s="1270"/>
      <c r="N75" s="1270"/>
      <c r="O75" s="191"/>
      <c r="R75" s="118" t="s">
        <v>25</v>
      </c>
      <c r="S75" s="1270"/>
      <c r="T75" s="1270"/>
      <c r="U75" s="1270"/>
      <c r="V75" s="1270"/>
      <c r="W75" s="1270"/>
    </row>
    <row r="76" spans="1:23" ht="18.600000000000001" customHeight="1" x14ac:dyDescent="0.3">
      <c r="A76" s="2226">
        <v>31</v>
      </c>
      <c r="B76" s="1575" t="s">
        <v>4571</v>
      </c>
      <c r="C76" s="415">
        <v>807</v>
      </c>
      <c r="D76" s="75">
        <v>64</v>
      </c>
      <c r="E76" s="227" t="s">
        <v>570</v>
      </c>
      <c r="F76" s="82" t="s">
        <v>4540</v>
      </c>
      <c r="G76" s="939">
        <v>29800</v>
      </c>
      <c r="H76" s="1719" t="s">
        <v>4572</v>
      </c>
      <c r="I76" s="118" t="s">
        <v>25</v>
      </c>
      <c r="J76" s="1272"/>
      <c r="K76" s="1272"/>
      <c r="L76" s="1272"/>
      <c r="M76" s="1272"/>
      <c r="N76" s="1272"/>
      <c r="O76" s="601"/>
      <c r="R76" s="118" t="s">
        <v>25</v>
      </c>
      <c r="S76" s="1272"/>
      <c r="T76" s="1272"/>
      <c r="U76" s="1272"/>
      <c r="V76" s="1272"/>
      <c r="W76" s="1272"/>
    </row>
    <row r="77" spans="1:23" ht="18.600000000000001" customHeight="1" x14ac:dyDescent="0.3">
      <c r="A77" s="2226">
        <v>32</v>
      </c>
      <c r="B77" s="1575" t="s">
        <v>4573</v>
      </c>
      <c r="C77" s="415">
        <v>807</v>
      </c>
      <c r="D77" s="75">
        <v>64</v>
      </c>
      <c r="E77" s="227" t="s">
        <v>571</v>
      </c>
      <c r="F77" s="82" t="s">
        <v>4540</v>
      </c>
      <c r="G77" s="939">
        <v>29400</v>
      </c>
      <c r="H77" s="1719" t="s">
        <v>4572</v>
      </c>
      <c r="I77" s="118" t="s">
        <v>25</v>
      </c>
      <c r="J77" s="1272"/>
      <c r="K77" s="1272"/>
      <c r="L77" s="1272"/>
      <c r="M77" s="1272"/>
      <c r="N77" s="1272"/>
      <c r="O77" s="601"/>
      <c r="R77" s="118" t="s">
        <v>25</v>
      </c>
      <c r="S77" s="1272"/>
      <c r="T77" s="1272"/>
      <c r="U77" s="1272"/>
      <c r="V77" s="1272"/>
      <c r="W77" s="1272"/>
    </row>
    <row r="78" spans="1:23" ht="18.600000000000001" customHeight="1" x14ac:dyDescent="0.3">
      <c r="A78" s="2226">
        <v>33</v>
      </c>
      <c r="B78" s="1575" t="s">
        <v>4574</v>
      </c>
      <c r="C78" s="415">
        <v>807</v>
      </c>
      <c r="D78" s="75">
        <v>64</v>
      </c>
      <c r="E78" s="227" t="s">
        <v>572</v>
      </c>
      <c r="F78" s="82" t="s">
        <v>4540</v>
      </c>
      <c r="G78" s="939">
        <v>29400</v>
      </c>
      <c r="H78" s="1719" t="s">
        <v>4572</v>
      </c>
      <c r="I78" s="118" t="s">
        <v>25</v>
      </c>
      <c r="J78" s="1272"/>
      <c r="K78" s="1272"/>
      <c r="L78" s="1272"/>
      <c r="M78" s="1272"/>
      <c r="N78" s="1272"/>
      <c r="O78" s="601"/>
      <c r="R78" s="118" t="s">
        <v>25</v>
      </c>
      <c r="S78" s="1272"/>
      <c r="T78" s="1272"/>
      <c r="U78" s="1272"/>
      <c r="V78" s="1272"/>
      <c r="W78" s="1272"/>
    </row>
    <row r="79" spans="1:23" ht="18.600000000000001" customHeight="1" x14ac:dyDescent="0.3">
      <c r="A79" s="2226">
        <v>34</v>
      </c>
      <c r="B79" s="1575" t="s">
        <v>4575</v>
      </c>
      <c r="C79" s="415">
        <v>807</v>
      </c>
      <c r="D79" s="75">
        <v>64</v>
      </c>
      <c r="E79" s="227" t="s">
        <v>573</v>
      </c>
      <c r="F79" s="82" t="s">
        <v>4540</v>
      </c>
      <c r="G79" s="939">
        <v>26800</v>
      </c>
      <c r="H79" s="1719" t="s">
        <v>4572</v>
      </c>
      <c r="I79" s="118" t="s">
        <v>25</v>
      </c>
      <c r="J79" s="1272"/>
      <c r="K79" s="1272"/>
      <c r="L79" s="1272"/>
      <c r="M79" s="1272"/>
      <c r="N79" s="1272"/>
      <c r="O79" s="601"/>
      <c r="R79" s="118" t="s">
        <v>25</v>
      </c>
      <c r="S79" s="1272"/>
      <c r="T79" s="1272"/>
      <c r="U79" s="1272"/>
      <c r="V79" s="1272"/>
      <c r="W79" s="1272"/>
    </row>
    <row r="80" spans="1:23" ht="18.600000000000001" customHeight="1" x14ac:dyDescent="0.3">
      <c r="A80" s="2226">
        <v>35</v>
      </c>
      <c r="B80" s="1575" t="s">
        <v>4576</v>
      </c>
      <c r="C80" s="415">
        <v>807</v>
      </c>
      <c r="D80" s="75">
        <v>64</v>
      </c>
      <c r="E80" s="227" t="s">
        <v>574</v>
      </c>
      <c r="F80" s="82" t="s">
        <v>4540</v>
      </c>
      <c r="G80" s="939">
        <v>26900</v>
      </c>
      <c r="H80" s="1719" t="s">
        <v>4572</v>
      </c>
      <c r="I80" s="118" t="s">
        <v>25</v>
      </c>
      <c r="J80" s="1272"/>
      <c r="K80" s="1272"/>
      <c r="L80" s="1272"/>
      <c r="M80" s="1272"/>
      <c r="N80" s="1272"/>
      <c r="O80" s="601"/>
      <c r="R80" s="118" t="s">
        <v>25</v>
      </c>
      <c r="S80" s="1272"/>
      <c r="T80" s="1272"/>
      <c r="U80" s="1272"/>
      <c r="V80" s="1272"/>
      <c r="W80" s="1272"/>
    </row>
    <row r="81" spans="1:23" ht="18.600000000000001" customHeight="1" x14ac:dyDescent="0.3">
      <c r="A81" s="2226">
        <v>36</v>
      </c>
      <c r="B81" s="1575" t="s">
        <v>4577</v>
      </c>
      <c r="C81" s="415">
        <v>807</v>
      </c>
      <c r="D81" s="75">
        <v>64</v>
      </c>
      <c r="E81" s="227" t="s">
        <v>575</v>
      </c>
      <c r="F81" s="82" t="s">
        <v>4540</v>
      </c>
      <c r="G81" s="939">
        <v>29000</v>
      </c>
      <c r="H81" s="1719" t="s">
        <v>4572</v>
      </c>
      <c r="I81" s="118" t="s">
        <v>25</v>
      </c>
      <c r="J81" s="1272"/>
      <c r="K81" s="1272"/>
      <c r="L81" s="1272"/>
      <c r="M81" s="1272"/>
      <c r="N81" s="1272"/>
      <c r="O81" s="601"/>
      <c r="R81" s="118" t="s">
        <v>25</v>
      </c>
      <c r="S81" s="1272"/>
      <c r="T81" s="1272"/>
      <c r="U81" s="1272"/>
      <c r="V81" s="1272"/>
      <c r="W81" s="1272"/>
    </row>
    <row r="82" spans="1:23" ht="18.600000000000001" customHeight="1" x14ac:dyDescent="0.3">
      <c r="A82" s="2226">
        <v>37</v>
      </c>
      <c r="B82" s="1575" t="s">
        <v>4578</v>
      </c>
      <c r="C82" s="415">
        <v>807</v>
      </c>
      <c r="D82" s="75">
        <v>64</v>
      </c>
      <c r="E82" s="227" t="s">
        <v>576</v>
      </c>
      <c r="F82" s="82" t="s">
        <v>4540</v>
      </c>
      <c r="G82" s="939">
        <v>29000</v>
      </c>
      <c r="H82" s="1719" t="s">
        <v>4572</v>
      </c>
      <c r="I82" s="118" t="s">
        <v>25</v>
      </c>
      <c r="J82" s="1272"/>
      <c r="K82" s="1272"/>
      <c r="L82" s="1272"/>
      <c r="M82" s="1272"/>
      <c r="N82" s="1272"/>
      <c r="O82" s="601"/>
      <c r="R82" s="118" t="s">
        <v>25</v>
      </c>
      <c r="S82" s="1272"/>
      <c r="T82" s="1272"/>
      <c r="U82" s="1272"/>
      <c r="V82" s="1272"/>
      <c r="W82" s="1272"/>
    </row>
    <row r="83" spans="1:23" ht="18.600000000000001" customHeight="1" x14ac:dyDescent="0.3">
      <c r="A83" s="2226">
        <v>38</v>
      </c>
      <c r="B83" s="1575" t="s">
        <v>4579</v>
      </c>
      <c r="C83" s="415">
        <v>807</v>
      </c>
      <c r="D83" s="75">
        <v>64</v>
      </c>
      <c r="E83" s="227" t="s">
        <v>578</v>
      </c>
      <c r="F83" s="82" t="s">
        <v>4540</v>
      </c>
      <c r="G83" s="939">
        <v>26900</v>
      </c>
      <c r="H83" s="1719" t="s">
        <v>4572</v>
      </c>
      <c r="I83" s="118" t="s">
        <v>25</v>
      </c>
      <c r="J83" s="1272"/>
      <c r="K83" s="1272"/>
      <c r="L83" s="1272"/>
      <c r="M83" s="1272"/>
      <c r="N83" s="1272"/>
      <c r="O83" s="601"/>
      <c r="R83" s="118" t="s">
        <v>25</v>
      </c>
      <c r="S83" s="1272"/>
      <c r="T83" s="1272"/>
      <c r="U83" s="1272"/>
      <c r="V83" s="1272"/>
      <c r="W83" s="1272"/>
    </row>
    <row r="84" spans="1:23" ht="18.600000000000001" customHeight="1" x14ac:dyDescent="0.3">
      <c r="A84" s="2226">
        <v>39</v>
      </c>
      <c r="B84" s="1575" t="s">
        <v>4580</v>
      </c>
      <c r="C84" s="415">
        <v>807</v>
      </c>
      <c r="D84" s="75">
        <v>64</v>
      </c>
      <c r="E84" s="227" t="s">
        <v>1361</v>
      </c>
      <c r="F84" s="82" t="s">
        <v>4540</v>
      </c>
      <c r="G84" s="939">
        <v>27800</v>
      </c>
      <c r="H84" s="1719" t="s">
        <v>4572</v>
      </c>
      <c r="I84" s="118" t="s">
        <v>25</v>
      </c>
      <c r="J84" s="1272"/>
      <c r="K84" s="1272"/>
      <c r="L84" s="1272"/>
      <c r="M84" s="1272"/>
      <c r="N84" s="1272"/>
      <c r="O84" s="601"/>
      <c r="R84" s="118" t="s">
        <v>25</v>
      </c>
      <c r="S84" s="1272"/>
      <c r="T84" s="1272"/>
      <c r="U84" s="1272"/>
      <c r="V84" s="1272"/>
      <c r="W84" s="1272"/>
    </row>
    <row r="85" spans="1:23" ht="18.600000000000001" customHeight="1" x14ac:dyDescent="0.3">
      <c r="A85" s="2226">
        <v>40</v>
      </c>
      <c r="B85" s="1575" t="s">
        <v>4581</v>
      </c>
      <c r="C85" s="415">
        <v>807</v>
      </c>
      <c r="D85" s="75">
        <v>64</v>
      </c>
      <c r="E85" s="227" t="s">
        <v>1362</v>
      </c>
      <c r="F85" s="82" t="s">
        <v>4540</v>
      </c>
      <c r="G85" s="939">
        <v>29400</v>
      </c>
      <c r="H85" s="1719" t="s">
        <v>4572</v>
      </c>
      <c r="I85" s="118" t="s">
        <v>25</v>
      </c>
      <c r="J85" s="1272"/>
      <c r="K85" s="1272"/>
      <c r="L85" s="1272"/>
      <c r="M85" s="1272"/>
      <c r="N85" s="1272"/>
      <c r="O85" s="601"/>
      <c r="R85" s="118" t="s">
        <v>25</v>
      </c>
      <c r="S85" s="1272"/>
      <c r="T85" s="1272"/>
      <c r="U85" s="1272"/>
      <c r="V85" s="1272"/>
      <c r="W85" s="1272"/>
    </row>
    <row r="86" spans="1:23" ht="18.600000000000001" customHeight="1" x14ac:dyDescent="0.3">
      <c r="A86" s="2226">
        <v>41</v>
      </c>
      <c r="B86" s="1575" t="s">
        <v>4582</v>
      </c>
      <c r="C86" s="415">
        <v>807</v>
      </c>
      <c r="D86" s="75">
        <v>64</v>
      </c>
      <c r="E86" s="227" t="s">
        <v>1363</v>
      </c>
      <c r="F86" s="82" t="s">
        <v>4540</v>
      </c>
      <c r="G86" s="939">
        <v>29400</v>
      </c>
      <c r="H86" s="1719" t="s">
        <v>4572</v>
      </c>
      <c r="I86" s="118" t="s">
        <v>25</v>
      </c>
      <c r="J86" s="1272"/>
      <c r="K86" s="1272"/>
      <c r="L86" s="1272"/>
      <c r="M86" s="1272"/>
      <c r="N86" s="1272"/>
      <c r="O86" s="601"/>
      <c r="R86" s="118" t="s">
        <v>25</v>
      </c>
      <c r="S86" s="1272"/>
      <c r="T86" s="1272"/>
      <c r="U86" s="1272"/>
      <c r="V86" s="1272"/>
      <c r="W86" s="1272"/>
    </row>
    <row r="87" spans="1:23" ht="18.600000000000001" customHeight="1" x14ac:dyDescent="0.3">
      <c r="A87" s="2226">
        <v>42</v>
      </c>
      <c r="B87" s="1575" t="s">
        <v>4583</v>
      </c>
      <c r="C87" s="415">
        <v>807</v>
      </c>
      <c r="D87" s="75">
        <v>64</v>
      </c>
      <c r="E87" s="227" t="s">
        <v>1364</v>
      </c>
      <c r="F87" s="82" t="s">
        <v>4540</v>
      </c>
      <c r="G87" s="939">
        <v>29400</v>
      </c>
      <c r="H87" s="1719" t="s">
        <v>4572</v>
      </c>
      <c r="I87" s="118" t="s">
        <v>25</v>
      </c>
      <c r="J87" s="1272"/>
      <c r="K87" s="1272"/>
      <c r="L87" s="1272"/>
      <c r="M87" s="1272"/>
      <c r="N87" s="1272"/>
      <c r="O87" s="601"/>
      <c r="R87" s="118" t="s">
        <v>25</v>
      </c>
      <c r="S87" s="1272"/>
      <c r="T87" s="1272"/>
      <c r="U87" s="1272"/>
      <c r="V87" s="1272"/>
      <c r="W87" s="1272"/>
    </row>
    <row r="88" spans="1:23" ht="18.600000000000001" customHeight="1" x14ac:dyDescent="0.3">
      <c r="A88" s="2226">
        <v>43</v>
      </c>
      <c r="B88" s="1575" t="s">
        <v>4584</v>
      </c>
      <c r="C88" s="415">
        <v>807</v>
      </c>
      <c r="D88" s="75">
        <v>64</v>
      </c>
      <c r="E88" s="227" t="s">
        <v>1365</v>
      </c>
      <c r="F88" s="82" t="s">
        <v>4540</v>
      </c>
      <c r="G88" s="939">
        <v>29400</v>
      </c>
      <c r="H88" s="1719" t="s">
        <v>4572</v>
      </c>
      <c r="I88" s="118" t="s">
        <v>25</v>
      </c>
      <c r="J88" s="1272"/>
      <c r="K88" s="1272"/>
      <c r="L88" s="1272"/>
      <c r="M88" s="1272"/>
      <c r="N88" s="1272"/>
      <c r="O88" s="601"/>
      <c r="R88" s="118" t="s">
        <v>25</v>
      </c>
      <c r="S88" s="1272"/>
      <c r="T88" s="1272"/>
      <c r="U88" s="1272"/>
      <c r="V88" s="1272"/>
      <c r="W88" s="1272"/>
    </row>
    <row r="89" spans="1:23" ht="18.600000000000001" customHeight="1" x14ac:dyDescent="0.3">
      <c r="A89" s="2226">
        <v>44</v>
      </c>
      <c r="B89" s="1575" t="s">
        <v>4585</v>
      </c>
      <c r="C89" s="415">
        <v>807</v>
      </c>
      <c r="D89" s="75">
        <v>64</v>
      </c>
      <c r="E89" s="227" t="s">
        <v>948</v>
      </c>
      <c r="F89" s="82" t="s">
        <v>4540</v>
      </c>
      <c r="G89" s="939">
        <v>29400</v>
      </c>
      <c r="H89" s="1719" t="s">
        <v>4572</v>
      </c>
      <c r="I89" s="118" t="s">
        <v>25</v>
      </c>
      <c r="J89" s="1272"/>
      <c r="K89" s="1272"/>
      <c r="L89" s="1272"/>
      <c r="M89" s="1272"/>
      <c r="N89" s="1272"/>
      <c r="O89" s="601"/>
      <c r="R89" s="118" t="s">
        <v>25</v>
      </c>
      <c r="S89" s="1272"/>
      <c r="T89" s="1272"/>
      <c r="U89" s="1272"/>
      <c r="V89" s="1272"/>
      <c r="W89" s="1272"/>
    </row>
    <row r="90" spans="1:23" ht="18.600000000000001" customHeight="1" x14ac:dyDescent="0.3">
      <c r="A90" s="2226">
        <v>45</v>
      </c>
      <c r="B90" s="1575" t="s">
        <v>4586</v>
      </c>
      <c r="C90" s="415">
        <v>807</v>
      </c>
      <c r="D90" s="75">
        <v>64</v>
      </c>
      <c r="E90" s="227" t="s">
        <v>1366</v>
      </c>
      <c r="F90" s="82" t="s">
        <v>4540</v>
      </c>
      <c r="G90" s="939">
        <v>29400</v>
      </c>
      <c r="H90" s="1719" t="s">
        <v>4572</v>
      </c>
      <c r="I90" s="118" t="s">
        <v>25</v>
      </c>
      <c r="J90" s="1272"/>
      <c r="K90" s="1272"/>
      <c r="L90" s="1272"/>
      <c r="M90" s="1272"/>
      <c r="N90" s="1272"/>
      <c r="O90" s="601"/>
      <c r="R90" s="118" t="s">
        <v>25</v>
      </c>
      <c r="S90" s="1272"/>
      <c r="T90" s="1272"/>
      <c r="U90" s="1272"/>
      <c r="V90" s="1272"/>
      <c r="W90" s="1272"/>
    </row>
    <row r="91" spans="1:23" ht="18.600000000000001" customHeight="1" x14ac:dyDescent="0.3">
      <c r="A91" s="2226">
        <v>46</v>
      </c>
      <c r="B91" s="1575" t="s">
        <v>4573</v>
      </c>
      <c r="C91" s="415">
        <v>807</v>
      </c>
      <c r="D91" s="75">
        <v>64</v>
      </c>
      <c r="E91" s="227" t="s">
        <v>1367</v>
      </c>
      <c r="F91" s="82" t="s">
        <v>4540</v>
      </c>
      <c r="G91" s="939">
        <v>29400</v>
      </c>
      <c r="H91" s="1765" t="s">
        <v>4587</v>
      </c>
      <c r="I91" s="118" t="s">
        <v>25</v>
      </c>
      <c r="J91" s="1272"/>
      <c r="K91" s="1272"/>
      <c r="L91" s="1272"/>
      <c r="M91" s="1272"/>
      <c r="N91" s="1272"/>
      <c r="O91" s="601"/>
      <c r="R91" s="118" t="s">
        <v>25</v>
      </c>
      <c r="S91" s="1272"/>
      <c r="T91" s="1272"/>
      <c r="U91" s="1272"/>
      <c r="V91" s="1272"/>
      <c r="W91" s="1272"/>
    </row>
    <row r="92" spans="1:23" ht="18.600000000000001" customHeight="1" x14ac:dyDescent="0.3">
      <c r="A92" s="2226">
        <v>47</v>
      </c>
      <c r="B92" s="1575" t="s">
        <v>4574</v>
      </c>
      <c r="C92" s="415">
        <v>807</v>
      </c>
      <c r="D92" s="75">
        <v>64</v>
      </c>
      <c r="E92" s="227" t="s">
        <v>1369</v>
      </c>
      <c r="F92" s="82" t="s">
        <v>4540</v>
      </c>
      <c r="G92" s="939">
        <v>29400</v>
      </c>
      <c r="H92" s="1765" t="s">
        <v>4587</v>
      </c>
      <c r="I92" s="118" t="s">
        <v>25</v>
      </c>
      <c r="J92" s="1272"/>
      <c r="K92" s="1272"/>
      <c r="L92" s="1272"/>
      <c r="M92" s="1272"/>
      <c r="N92" s="1272"/>
      <c r="O92" s="601"/>
      <c r="R92" s="118" t="s">
        <v>25</v>
      </c>
      <c r="S92" s="1272"/>
      <c r="T92" s="1272"/>
      <c r="U92" s="1272"/>
      <c r="V92" s="1272"/>
      <c r="W92" s="1272"/>
    </row>
    <row r="93" spans="1:23" ht="18.600000000000001" customHeight="1" x14ac:dyDescent="0.3">
      <c r="A93" s="2226">
        <v>48</v>
      </c>
      <c r="B93" s="1575" t="s">
        <v>4574</v>
      </c>
      <c r="C93" s="415">
        <v>807</v>
      </c>
      <c r="D93" s="75">
        <v>64</v>
      </c>
      <c r="E93" s="227" t="s">
        <v>1370</v>
      </c>
      <c r="F93" s="82" t="s">
        <v>4540</v>
      </c>
      <c r="G93" s="939">
        <v>29400</v>
      </c>
      <c r="H93" s="1765" t="s">
        <v>4587</v>
      </c>
      <c r="I93" s="118" t="s">
        <v>25</v>
      </c>
      <c r="J93" s="1272"/>
      <c r="K93" s="1272"/>
      <c r="L93" s="1272"/>
      <c r="M93" s="1272"/>
      <c r="N93" s="1272"/>
      <c r="O93" s="601"/>
      <c r="R93" s="118" t="s">
        <v>25</v>
      </c>
      <c r="S93" s="1272"/>
      <c r="T93" s="1272"/>
      <c r="U93" s="1272"/>
      <c r="V93" s="1272"/>
      <c r="W93" s="1272"/>
    </row>
    <row r="94" spans="1:23" ht="18.600000000000001" customHeight="1" x14ac:dyDescent="0.3">
      <c r="A94" s="2226">
        <v>49</v>
      </c>
      <c r="B94" s="1575" t="s">
        <v>4574</v>
      </c>
      <c r="C94" s="415">
        <v>807</v>
      </c>
      <c r="D94" s="75">
        <v>64</v>
      </c>
      <c r="E94" s="227" t="s">
        <v>1371</v>
      </c>
      <c r="F94" s="82" t="s">
        <v>4540</v>
      </c>
      <c r="G94" s="939">
        <v>29400</v>
      </c>
      <c r="H94" s="1765" t="s">
        <v>4587</v>
      </c>
      <c r="I94" s="118" t="s">
        <v>25</v>
      </c>
      <c r="J94" s="1272"/>
      <c r="K94" s="1272"/>
      <c r="L94" s="1272"/>
      <c r="M94" s="1272"/>
      <c r="N94" s="1272"/>
      <c r="O94" s="601"/>
      <c r="R94" s="118" t="s">
        <v>25</v>
      </c>
      <c r="S94" s="1272"/>
      <c r="T94" s="1272"/>
      <c r="U94" s="1272"/>
      <c r="V94" s="1272"/>
      <c r="W94" s="1272"/>
    </row>
    <row r="95" spans="1:23" ht="18.600000000000001" customHeight="1" x14ac:dyDescent="0.3">
      <c r="A95" s="2226">
        <v>50</v>
      </c>
      <c r="B95" s="1575" t="s">
        <v>4575</v>
      </c>
      <c r="C95" s="415">
        <v>807</v>
      </c>
      <c r="D95" s="75">
        <v>64</v>
      </c>
      <c r="E95" s="227" t="s">
        <v>1372</v>
      </c>
      <c r="F95" s="82" t="s">
        <v>4540</v>
      </c>
      <c r="G95" s="939">
        <v>26800</v>
      </c>
      <c r="H95" s="1765" t="s">
        <v>4587</v>
      </c>
      <c r="I95" s="118" t="s">
        <v>25</v>
      </c>
      <c r="J95" s="1272"/>
      <c r="K95" s="1272"/>
      <c r="L95" s="1272"/>
      <c r="M95" s="1272"/>
      <c r="N95" s="1272"/>
      <c r="O95" s="601"/>
      <c r="R95" s="118" t="s">
        <v>25</v>
      </c>
      <c r="S95" s="1272"/>
      <c r="T95" s="1272"/>
      <c r="U95" s="1272"/>
      <c r="V95" s="1272"/>
      <c r="W95" s="1272"/>
    </row>
    <row r="96" spans="1:23" ht="18.600000000000001" customHeight="1" x14ac:dyDescent="0.3">
      <c r="A96" s="2226">
        <v>51</v>
      </c>
      <c r="B96" s="1575" t="s">
        <v>4577</v>
      </c>
      <c r="C96" s="415">
        <v>807</v>
      </c>
      <c r="D96" s="75">
        <v>64</v>
      </c>
      <c r="E96" s="227" t="s">
        <v>1373</v>
      </c>
      <c r="F96" s="82" t="s">
        <v>4540</v>
      </c>
      <c r="G96" s="939">
        <v>29000</v>
      </c>
      <c r="H96" s="1765" t="s">
        <v>4587</v>
      </c>
      <c r="I96" s="118" t="s">
        <v>25</v>
      </c>
      <c r="J96" s="1272"/>
      <c r="K96" s="1272"/>
      <c r="L96" s="1272"/>
      <c r="M96" s="1272"/>
      <c r="N96" s="1272"/>
      <c r="O96" s="601"/>
      <c r="R96" s="118" t="s">
        <v>25</v>
      </c>
      <c r="S96" s="1272"/>
      <c r="T96" s="1272"/>
      <c r="U96" s="1272"/>
      <c r="V96" s="1272"/>
      <c r="W96" s="1272"/>
    </row>
    <row r="97" spans="1:23" ht="18.600000000000001" customHeight="1" x14ac:dyDescent="0.3">
      <c r="A97" s="2226">
        <v>52</v>
      </c>
      <c r="B97" s="1575" t="s">
        <v>4588</v>
      </c>
      <c r="C97" s="415">
        <v>807</v>
      </c>
      <c r="D97" s="75">
        <v>64</v>
      </c>
      <c r="E97" s="227" t="s">
        <v>1374</v>
      </c>
      <c r="F97" s="82" t="s">
        <v>4540</v>
      </c>
      <c r="G97" s="939">
        <v>29000</v>
      </c>
      <c r="H97" s="1765" t="s">
        <v>4587</v>
      </c>
      <c r="I97" s="118" t="s">
        <v>25</v>
      </c>
      <c r="J97" s="1272"/>
      <c r="K97" s="1272"/>
      <c r="L97" s="1272"/>
      <c r="M97" s="1272"/>
      <c r="N97" s="1272"/>
      <c r="O97" s="601"/>
      <c r="R97" s="118" t="s">
        <v>25</v>
      </c>
      <c r="S97" s="1272"/>
      <c r="T97" s="1272"/>
      <c r="U97" s="1272"/>
      <c r="V97" s="1272"/>
      <c r="W97" s="1272"/>
    </row>
    <row r="98" spans="1:23" ht="18.600000000000001" customHeight="1" x14ac:dyDescent="0.3">
      <c r="A98" s="2226">
        <v>53</v>
      </c>
      <c r="B98" s="1575" t="s">
        <v>4580</v>
      </c>
      <c r="C98" s="415">
        <v>807</v>
      </c>
      <c r="D98" s="75">
        <v>64</v>
      </c>
      <c r="E98" s="227" t="s">
        <v>951</v>
      </c>
      <c r="F98" s="82" t="s">
        <v>4540</v>
      </c>
      <c r="G98" s="939">
        <v>27800</v>
      </c>
      <c r="H98" s="1765" t="s">
        <v>4587</v>
      </c>
      <c r="I98" s="118" t="s">
        <v>25</v>
      </c>
      <c r="J98" s="1272"/>
      <c r="K98" s="1272"/>
      <c r="L98" s="1272"/>
      <c r="M98" s="1272"/>
      <c r="N98" s="1272"/>
      <c r="O98" s="601"/>
      <c r="R98" s="118" t="s">
        <v>25</v>
      </c>
      <c r="S98" s="1272"/>
      <c r="T98" s="1272"/>
      <c r="U98" s="1272"/>
      <c r="V98" s="1272"/>
      <c r="W98" s="1272"/>
    </row>
    <row r="99" spans="1:23" ht="18.600000000000001" customHeight="1" x14ac:dyDescent="0.3">
      <c r="A99" s="2226">
        <v>54</v>
      </c>
      <c r="B99" s="1575" t="s">
        <v>4580</v>
      </c>
      <c r="C99" s="415">
        <v>807</v>
      </c>
      <c r="D99" s="75">
        <v>64</v>
      </c>
      <c r="E99" s="227" t="s">
        <v>953</v>
      </c>
      <c r="F99" s="82" t="s">
        <v>4540</v>
      </c>
      <c r="G99" s="939">
        <v>27800</v>
      </c>
      <c r="H99" s="1765" t="s">
        <v>4587</v>
      </c>
      <c r="I99" s="118" t="s">
        <v>25</v>
      </c>
      <c r="J99" s="1272"/>
      <c r="K99" s="1272"/>
      <c r="L99" s="1272"/>
      <c r="M99" s="1272"/>
      <c r="N99" s="1272"/>
      <c r="O99" s="601"/>
      <c r="R99" s="118" t="s">
        <v>25</v>
      </c>
      <c r="S99" s="1272"/>
      <c r="T99" s="1272"/>
      <c r="U99" s="1272"/>
      <c r="V99" s="1272"/>
      <c r="W99" s="1272"/>
    </row>
    <row r="100" spans="1:23" ht="18.600000000000001" customHeight="1" x14ac:dyDescent="0.3">
      <c r="A100" s="2226">
        <v>55</v>
      </c>
      <c r="B100" s="1575" t="s">
        <v>4581</v>
      </c>
      <c r="C100" s="415">
        <v>807</v>
      </c>
      <c r="D100" s="75">
        <v>64</v>
      </c>
      <c r="E100" s="227" t="s">
        <v>1375</v>
      </c>
      <c r="F100" s="82" t="s">
        <v>4540</v>
      </c>
      <c r="G100" s="939">
        <v>29400</v>
      </c>
      <c r="H100" s="1765" t="s">
        <v>4587</v>
      </c>
      <c r="I100" s="118" t="s">
        <v>25</v>
      </c>
      <c r="J100" s="1272"/>
      <c r="K100" s="1272"/>
      <c r="L100" s="1272"/>
      <c r="M100" s="1272"/>
      <c r="N100" s="1272"/>
      <c r="O100" s="601"/>
      <c r="R100" s="118" t="s">
        <v>25</v>
      </c>
      <c r="S100" s="1272"/>
      <c r="T100" s="1272"/>
      <c r="U100" s="1272"/>
      <c r="V100" s="1272"/>
      <c r="W100" s="1272"/>
    </row>
    <row r="101" spans="1:23" ht="18.600000000000001" customHeight="1" x14ac:dyDescent="0.3">
      <c r="A101" s="2226">
        <v>56</v>
      </c>
      <c r="B101" s="1575" t="s">
        <v>4582</v>
      </c>
      <c r="C101" s="415">
        <v>807</v>
      </c>
      <c r="D101" s="75">
        <v>64</v>
      </c>
      <c r="E101" s="227" t="s">
        <v>1376</v>
      </c>
      <c r="F101" s="82" t="s">
        <v>4540</v>
      </c>
      <c r="G101" s="939">
        <v>29400</v>
      </c>
      <c r="H101" s="1765" t="s">
        <v>4587</v>
      </c>
      <c r="I101" s="118" t="s">
        <v>25</v>
      </c>
      <c r="J101" s="1272"/>
      <c r="K101" s="1272"/>
      <c r="L101" s="1272"/>
      <c r="M101" s="1272"/>
      <c r="N101" s="1272"/>
      <c r="O101" s="601"/>
      <c r="R101" s="118" t="s">
        <v>25</v>
      </c>
      <c r="S101" s="1272"/>
      <c r="T101" s="1272"/>
      <c r="U101" s="1272"/>
      <c r="V101" s="1272"/>
      <c r="W101" s="1272"/>
    </row>
    <row r="102" spans="1:23" ht="18.600000000000001" customHeight="1" x14ac:dyDescent="0.3">
      <c r="A102" s="2226">
        <v>57</v>
      </c>
      <c r="B102" s="1575" t="s">
        <v>4582</v>
      </c>
      <c r="C102" s="415">
        <v>807</v>
      </c>
      <c r="D102" s="75">
        <v>64</v>
      </c>
      <c r="E102" s="227" t="s">
        <v>1377</v>
      </c>
      <c r="F102" s="82" t="s">
        <v>4540</v>
      </c>
      <c r="G102" s="939">
        <v>29400</v>
      </c>
      <c r="H102" s="1765" t="s">
        <v>4587</v>
      </c>
      <c r="I102" s="118" t="s">
        <v>25</v>
      </c>
      <c r="J102" s="1272"/>
      <c r="K102" s="1272"/>
      <c r="L102" s="1272"/>
      <c r="M102" s="1272"/>
      <c r="N102" s="1272"/>
      <c r="O102" s="601"/>
      <c r="R102" s="118" t="s">
        <v>25</v>
      </c>
      <c r="S102" s="1272"/>
      <c r="T102" s="1272"/>
      <c r="U102" s="1272"/>
      <c r="V102" s="1272"/>
      <c r="W102" s="1272"/>
    </row>
    <row r="103" spans="1:23" ht="18.600000000000001" customHeight="1" x14ac:dyDescent="0.3">
      <c r="A103" s="2226">
        <v>58</v>
      </c>
      <c r="B103" s="1575" t="s">
        <v>4584</v>
      </c>
      <c r="C103" s="415">
        <v>807</v>
      </c>
      <c r="D103" s="75">
        <v>64</v>
      </c>
      <c r="E103" s="227" t="s">
        <v>1378</v>
      </c>
      <c r="F103" s="82" t="s">
        <v>4540</v>
      </c>
      <c r="G103" s="939">
        <v>29400</v>
      </c>
      <c r="H103" s="1765" t="s">
        <v>4587</v>
      </c>
      <c r="I103" s="118" t="s">
        <v>25</v>
      </c>
      <c r="J103" s="1272"/>
      <c r="K103" s="1272"/>
      <c r="L103" s="1272"/>
      <c r="M103" s="1272"/>
      <c r="N103" s="1272"/>
      <c r="O103" s="601"/>
      <c r="R103" s="118" t="s">
        <v>25</v>
      </c>
      <c r="S103" s="1272"/>
      <c r="T103" s="1272"/>
      <c r="U103" s="1272"/>
      <c r="V103" s="1272"/>
      <c r="W103" s="1272"/>
    </row>
    <row r="104" spans="1:23" ht="18.600000000000001" customHeight="1" x14ac:dyDescent="0.3">
      <c r="A104" s="2226">
        <v>59</v>
      </c>
      <c r="B104" s="1575" t="s">
        <v>4585</v>
      </c>
      <c r="C104" s="415">
        <v>807</v>
      </c>
      <c r="D104" s="75">
        <v>64</v>
      </c>
      <c r="E104" s="227" t="s">
        <v>1379</v>
      </c>
      <c r="F104" s="82" t="s">
        <v>4540</v>
      </c>
      <c r="G104" s="939">
        <v>29400</v>
      </c>
      <c r="H104" s="1765" t="s">
        <v>4587</v>
      </c>
      <c r="I104" s="118" t="s">
        <v>25</v>
      </c>
      <c r="J104" s="1272"/>
      <c r="K104" s="1272"/>
      <c r="L104" s="1272"/>
      <c r="M104" s="1272"/>
      <c r="N104" s="1272"/>
      <c r="O104" s="601"/>
      <c r="R104" s="118" t="s">
        <v>25</v>
      </c>
      <c r="S104" s="1272"/>
      <c r="T104" s="1272"/>
      <c r="U104" s="1272"/>
      <c r="V104" s="1272"/>
      <c r="W104" s="1272"/>
    </row>
    <row r="105" spans="1:23" ht="18.600000000000001" customHeight="1" x14ac:dyDescent="0.3">
      <c r="A105" s="2226">
        <v>60</v>
      </c>
      <c r="B105" s="1575" t="s">
        <v>4585</v>
      </c>
      <c r="C105" s="415">
        <v>807</v>
      </c>
      <c r="D105" s="75">
        <v>64</v>
      </c>
      <c r="E105" s="227" t="s">
        <v>1380</v>
      </c>
      <c r="F105" s="82" t="s">
        <v>4540</v>
      </c>
      <c r="G105" s="939">
        <v>29400</v>
      </c>
      <c r="H105" s="1765" t="s">
        <v>4587</v>
      </c>
      <c r="I105" s="118" t="s">
        <v>25</v>
      </c>
      <c r="J105" s="1272"/>
      <c r="K105" s="1272"/>
      <c r="L105" s="1272"/>
      <c r="M105" s="1272"/>
      <c r="N105" s="1272"/>
      <c r="O105" s="601"/>
      <c r="R105" s="118" t="s">
        <v>25</v>
      </c>
      <c r="S105" s="1272"/>
      <c r="T105" s="1272"/>
      <c r="U105" s="1272"/>
      <c r="V105" s="1272"/>
      <c r="W105" s="1272"/>
    </row>
    <row r="106" spans="1:23" ht="18.600000000000001" customHeight="1" x14ac:dyDescent="0.3">
      <c r="A106" s="2226">
        <v>61</v>
      </c>
      <c r="B106" s="1575" t="s">
        <v>4586</v>
      </c>
      <c r="C106" s="415">
        <v>807</v>
      </c>
      <c r="D106" s="75">
        <v>64</v>
      </c>
      <c r="E106" s="227" t="s">
        <v>1381</v>
      </c>
      <c r="F106" s="82" t="s">
        <v>4540</v>
      </c>
      <c r="G106" s="939">
        <v>29400</v>
      </c>
      <c r="H106" s="1765" t="s">
        <v>4587</v>
      </c>
      <c r="I106" s="118" t="s">
        <v>25</v>
      </c>
      <c r="J106" s="1272"/>
      <c r="K106" s="1272"/>
      <c r="L106" s="1272"/>
      <c r="M106" s="1272"/>
      <c r="N106" s="1272"/>
      <c r="O106" s="601"/>
      <c r="R106" s="118" t="s">
        <v>25</v>
      </c>
      <c r="S106" s="1272"/>
      <c r="T106" s="1272"/>
      <c r="U106" s="1272"/>
      <c r="V106" s="1272"/>
      <c r="W106" s="1272"/>
    </row>
    <row r="107" spans="1:23" ht="18.600000000000001" customHeight="1" x14ac:dyDescent="0.3">
      <c r="A107" s="2226">
        <v>62</v>
      </c>
      <c r="B107" s="1575" t="s">
        <v>4586</v>
      </c>
      <c r="C107" s="415">
        <v>807</v>
      </c>
      <c r="D107" s="75">
        <v>64</v>
      </c>
      <c r="E107" s="227" t="s">
        <v>1382</v>
      </c>
      <c r="F107" s="82" t="s">
        <v>4540</v>
      </c>
      <c r="G107" s="939">
        <v>29400</v>
      </c>
      <c r="H107" s="1765" t="s">
        <v>4587</v>
      </c>
      <c r="I107" s="118" t="s">
        <v>25</v>
      </c>
      <c r="J107" s="1272"/>
      <c r="K107" s="1272"/>
      <c r="L107" s="1272"/>
      <c r="M107" s="1272"/>
      <c r="N107" s="1272"/>
      <c r="O107" s="601"/>
      <c r="R107" s="118" t="s">
        <v>25</v>
      </c>
      <c r="S107" s="1272"/>
      <c r="T107" s="1272"/>
      <c r="U107" s="1272"/>
      <c r="V107" s="1272"/>
      <c r="W107" s="1272"/>
    </row>
    <row r="108" spans="1:23" ht="18.600000000000001" customHeight="1" x14ac:dyDescent="0.3">
      <c r="A108" s="2226">
        <v>63</v>
      </c>
      <c r="B108" s="1575" t="s">
        <v>4586</v>
      </c>
      <c r="C108" s="415">
        <v>807</v>
      </c>
      <c r="D108" s="75">
        <v>64</v>
      </c>
      <c r="E108" s="227" t="s">
        <v>1383</v>
      </c>
      <c r="F108" s="82" t="s">
        <v>4540</v>
      </c>
      <c r="G108" s="939">
        <v>29400</v>
      </c>
      <c r="H108" s="1765" t="s">
        <v>4587</v>
      </c>
      <c r="I108" s="118" t="s">
        <v>25</v>
      </c>
      <c r="J108" s="1272"/>
      <c r="K108" s="1272"/>
      <c r="L108" s="1272"/>
      <c r="M108" s="1272"/>
      <c r="N108" s="1272"/>
      <c r="O108" s="601"/>
      <c r="R108" s="118" t="s">
        <v>25</v>
      </c>
      <c r="S108" s="1272"/>
      <c r="T108" s="1272"/>
      <c r="U108" s="1272"/>
      <c r="V108" s="1272"/>
      <c r="W108" s="1272"/>
    </row>
    <row r="109" spans="1:23" ht="18.600000000000001" customHeight="1" x14ac:dyDescent="0.45">
      <c r="A109" s="39"/>
      <c r="B109" s="88"/>
      <c r="C109" s="89"/>
      <c r="D109" s="230"/>
      <c r="E109" s="201"/>
      <c r="F109" s="176"/>
      <c r="G109" s="1574">
        <f>SUM(G46:G108)</f>
        <v>4420500</v>
      </c>
      <c r="H109" s="602"/>
      <c r="I109" s="233"/>
      <c r="J109" s="1274"/>
      <c r="K109" s="1274"/>
      <c r="L109" s="1274"/>
      <c r="M109" s="1274"/>
      <c r="N109" s="1274"/>
      <c r="O109" s="1106"/>
      <c r="R109" s="233"/>
      <c r="S109" s="1274"/>
      <c r="T109" s="1274"/>
      <c r="U109" s="1274"/>
      <c r="V109" s="1274"/>
      <c r="W109" s="1274"/>
    </row>
    <row r="110" spans="1:23" ht="18.600000000000001" customHeight="1" x14ac:dyDescent="0.3">
      <c r="A110" s="823">
        <v>808</v>
      </c>
      <c r="B110" s="815" t="s">
        <v>4589</v>
      </c>
      <c r="C110" s="829"/>
      <c r="D110" s="829"/>
      <c r="E110" s="829"/>
      <c r="F110" s="845"/>
      <c r="G110" s="826"/>
      <c r="H110" s="827"/>
      <c r="I110" s="846"/>
      <c r="J110" s="779"/>
      <c r="K110" s="779"/>
      <c r="L110" s="828"/>
      <c r="M110" s="828"/>
      <c r="N110" s="779"/>
      <c r="O110" s="780"/>
    </row>
    <row r="111" spans="1:23" ht="18.600000000000001" customHeight="1" x14ac:dyDescent="0.3">
      <c r="A111" s="2250">
        <v>1</v>
      </c>
      <c r="B111" s="645" t="s">
        <v>4590</v>
      </c>
      <c r="C111" s="348" t="s">
        <v>4591</v>
      </c>
      <c r="D111" s="326">
        <v>51</v>
      </c>
      <c r="E111" s="1576" t="s">
        <v>1125</v>
      </c>
      <c r="F111" s="82" t="s">
        <v>4540</v>
      </c>
      <c r="G111" s="351">
        <v>589000</v>
      </c>
      <c r="H111" s="1718" t="s">
        <v>4541</v>
      </c>
      <c r="I111" s="118" t="s">
        <v>25</v>
      </c>
      <c r="J111" s="352"/>
      <c r="K111" s="945"/>
      <c r="L111" s="945"/>
      <c r="M111" s="945"/>
      <c r="N111" s="945"/>
      <c r="O111" s="697" t="s">
        <v>4592</v>
      </c>
      <c r="R111" s="118" t="s">
        <v>25</v>
      </c>
      <c r="S111" s="352"/>
      <c r="T111" s="945"/>
      <c r="U111" s="945"/>
      <c r="V111" s="945"/>
      <c r="W111" s="945"/>
    </row>
    <row r="112" spans="1:23" ht="18.600000000000001" customHeight="1" x14ac:dyDescent="0.3">
      <c r="A112" s="2250">
        <v>2</v>
      </c>
      <c r="B112" s="645" t="s">
        <v>4593</v>
      </c>
      <c r="C112" s="348" t="s">
        <v>4591</v>
      </c>
      <c r="D112" s="326">
        <v>51</v>
      </c>
      <c r="E112" s="1576" t="s">
        <v>599</v>
      </c>
      <c r="F112" s="82" t="s">
        <v>4540</v>
      </c>
      <c r="G112" s="351">
        <v>28000</v>
      </c>
      <c r="H112" s="1718" t="s">
        <v>4541</v>
      </c>
      <c r="I112" s="118" t="s">
        <v>25</v>
      </c>
      <c r="J112" s="352"/>
      <c r="K112" s="945"/>
      <c r="L112" s="945"/>
      <c r="M112" s="945"/>
      <c r="N112" s="945"/>
      <c r="O112" s="697" t="s">
        <v>4592</v>
      </c>
      <c r="R112" s="118" t="s">
        <v>25</v>
      </c>
      <c r="S112" s="352"/>
      <c r="T112" s="945"/>
      <c r="U112" s="945"/>
      <c r="V112" s="945"/>
      <c r="W112" s="945"/>
    </row>
    <row r="113" spans="1:23" ht="18.600000000000001" customHeight="1" x14ac:dyDescent="0.3">
      <c r="A113" s="2250">
        <v>3</v>
      </c>
      <c r="B113" s="645" t="s">
        <v>4594</v>
      </c>
      <c r="C113" s="348" t="s">
        <v>4591</v>
      </c>
      <c r="D113" s="326">
        <v>51</v>
      </c>
      <c r="E113" s="1576" t="s">
        <v>600</v>
      </c>
      <c r="F113" s="82" t="s">
        <v>4540</v>
      </c>
      <c r="G113" s="351">
        <v>40000</v>
      </c>
      <c r="H113" s="1718" t="s">
        <v>4541</v>
      </c>
      <c r="I113" s="118" t="s">
        <v>25</v>
      </c>
      <c r="J113" s="352"/>
      <c r="K113" s="945"/>
      <c r="L113" s="945"/>
      <c r="M113" s="945"/>
      <c r="N113" s="945"/>
      <c r="O113" s="697" t="s">
        <v>4592</v>
      </c>
      <c r="R113" s="118" t="s">
        <v>25</v>
      </c>
      <c r="S113" s="352"/>
      <c r="T113" s="945"/>
      <c r="U113" s="945"/>
      <c r="V113" s="945"/>
      <c r="W113" s="945"/>
    </row>
    <row r="114" spans="1:23" ht="18.600000000000001" customHeight="1" x14ac:dyDescent="0.3">
      <c r="A114" s="2250">
        <v>4</v>
      </c>
      <c r="B114" s="248" t="s">
        <v>4595</v>
      </c>
      <c r="C114" s="348" t="s">
        <v>4591</v>
      </c>
      <c r="D114" s="326">
        <v>51</v>
      </c>
      <c r="E114" s="1576" t="s">
        <v>1271</v>
      </c>
      <c r="F114" s="82" t="s">
        <v>4540</v>
      </c>
      <c r="G114" s="192">
        <v>52000</v>
      </c>
      <c r="H114" s="1718" t="s">
        <v>4541</v>
      </c>
      <c r="I114" s="118" t="s">
        <v>25</v>
      </c>
      <c r="J114" s="118"/>
      <c r="K114" s="1270"/>
      <c r="L114" s="945"/>
      <c r="M114" s="945"/>
      <c r="N114" s="945"/>
      <c r="O114" s="697" t="s">
        <v>4592</v>
      </c>
      <c r="R114" s="118" t="s">
        <v>25</v>
      </c>
      <c r="S114" s="118"/>
      <c r="T114" s="1270"/>
      <c r="U114" s="945"/>
      <c r="V114" s="945"/>
      <c r="W114" s="945"/>
    </row>
    <row r="115" spans="1:23" ht="18.600000000000001" customHeight="1" x14ac:dyDescent="0.3">
      <c r="A115" s="2226">
        <v>5</v>
      </c>
      <c r="B115" s="248" t="s">
        <v>4596</v>
      </c>
      <c r="C115" s="216" t="s">
        <v>4591</v>
      </c>
      <c r="D115" s="326">
        <v>51</v>
      </c>
      <c r="E115" s="1251" t="s">
        <v>1250</v>
      </c>
      <c r="F115" s="218" t="s">
        <v>4540</v>
      </c>
      <c r="G115" s="192">
        <v>90000</v>
      </c>
      <c r="H115" s="1718" t="s">
        <v>4541</v>
      </c>
      <c r="I115" s="118" t="s">
        <v>25</v>
      </c>
      <c r="J115" s="118"/>
      <c r="K115" s="1270"/>
      <c r="L115" s="1270"/>
      <c r="M115" s="1270"/>
      <c r="N115" s="1270"/>
      <c r="O115" s="697" t="s">
        <v>4592</v>
      </c>
      <c r="R115" s="118" t="s">
        <v>25</v>
      </c>
      <c r="S115" s="118"/>
      <c r="T115" s="1270"/>
      <c r="U115" s="1270"/>
      <c r="V115" s="1270"/>
      <c r="W115" s="1270"/>
    </row>
    <row r="116" spans="1:23" ht="18.600000000000001" customHeight="1" x14ac:dyDescent="0.45">
      <c r="A116" s="39"/>
      <c r="B116" s="172"/>
      <c r="C116" s="89"/>
      <c r="D116" s="230"/>
      <c r="E116" s="201"/>
      <c r="F116" s="39"/>
      <c r="G116" s="231">
        <f>SUM(G111:G115)</f>
        <v>799000</v>
      </c>
      <c r="H116" s="602"/>
      <c r="I116" s="233"/>
      <c r="J116" s="233"/>
      <c r="K116" s="1274"/>
      <c r="L116" s="1274"/>
      <c r="M116" s="1274"/>
      <c r="N116" s="1274"/>
      <c r="O116" s="1106"/>
      <c r="R116" s="233"/>
      <c r="S116" s="233"/>
      <c r="T116" s="1274"/>
      <c r="U116" s="1274"/>
      <c r="V116" s="1274"/>
      <c r="W116" s="1274"/>
    </row>
    <row r="117" spans="1:23" ht="18.600000000000001" customHeight="1" x14ac:dyDescent="0.3">
      <c r="A117" s="823">
        <v>811</v>
      </c>
      <c r="B117" s="815" t="s">
        <v>4597</v>
      </c>
      <c r="C117" s="829"/>
      <c r="D117" s="829"/>
      <c r="E117" s="829"/>
      <c r="F117" s="845"/>
      <c r="G117" s="826"/>
      <c r="H117" s="827"/>
      <c r="I117" s="846"/>
      <c r="J117" s="779"/>
      <c r="K117" s="779"/>
      <c r="L117" s="828"/>
      <c r="M117" s="828"/>
      <c r="N117" s="779"/>
      <c r="O117" s="780"/>
    </row>
    <row r="118" spans="1:23" ht="18.600000000000001" customHeight="1" x14ac:dyDescent="0.3">
      <c r="A118" s="2250">
        <v>1</v>
      </c>
      <c r="B118" s="645" t="s">
        <v>4598</v>
      </c>
      <c r="C118" s="348" t="s">
        <v>4599</v>
      </c>
      <c r="D118" s="326">
        <v>66</v>
      </c>
      <c r="E118" s="1576" t="s">
        <v>1125</v>
      </c>
      <c r="F118" s="82" t="s">
        <v>4600</v>
      </c>
      <c r="G118" s="351">
        <v>15247.5</v>
      </c>
      <c r="H118" s="1718" t="s">
        <v>4541</v>
      </c>
      <c r="I118" s="118" t="s">
        <v>25</v>
      </c>
      <c r="J118" s="352"/>
      <c r="K118" s="945"/>
      <c r="L118" s="945"/>
      <c r="M118" s="945"/>
      <c r="N118" s="945"/>
      <c r="O118" s="697"/>
      <c r="R118" s="118" t="s">
        <v>25</v>
      </c>
      <c r="S118" s="352"/>
      <c r="T118" s="945"/>
      <c r="U118" s="945"/>
      <c r="V118" s="945"/>
      <c r="W118" s="945"/>
    </row>
    <row r="119" spans="1:23" ht="18.600000000000001" customHeight="1" x14ac:dyDescent="0.3">
      <c r="A119" s="2250">
        <v>2</v>
      </c>
      <c r="B119" s="645" t="s">
        <v>4598</v>
      </c>
      <c r="C119" s="348" t="s">
        <v>4599</v>
      </c>
      <c r="D119" s="326">
        <v>66</v>
      </c>
      <c r="E119" s="1576" t="s">
        <v>599</v>
      </c>
      <c r="F119" s="82" t="s">
        <v>4600</v>
      </c>
      <c r="G119" s="351">
        <v>15247.5</v>
      </c>
      <c r="H119" s="1718" t="s">
        <v>4541</v>
      </c>
      <c r="I119" s="118" t="s">
        <v>25</v>
      </c>
      <c r="J119" s="352"/>
      <c r="K119" s="945"/>
      <c r="L119" s="945"/>
      <c r="M119" s="945"/>
      <c r="N119" s="945"/>
      <c r="O119" s="697"/>
      <c r="R119" s="118" t="s">
        <v>25</v>
      </c>
      <c r="S119" s="352"/>
      <c r="T119" s="945"/>
      <c r="U119" s="945"/>
      <c r="V119" s="945"/>
      <c r="W119" s="945"/>
    </row>
    <row r="120" spans="1:23" ht="18.600000000000001" customHeight="1" x14ac:dyDescent="0.3">
      <c r="A120" s="2250">
        <v>3</v>
      </c>
      <c r="B120" s="645" t="s">
        <v>4601</v>
      </c>
      <c r="C120" s="348" t="s">
        <v>4599</v>
      </c>
      <c r="D120" s="326">
        <v>66</v>
      </c>
      <c r="E120" s="1576" t="s">
        <v>600</v>
      </c>
      <c r="F120" s="82" t="s">
        <v>4600</v>
      </c>
      <c r="G120" s="351">
        <v>15247.5</v>
      </c>
      <c r="H120" s="1718" t="s">
        <v>4541</v>
      </c>
      <c r="I120" s="118" t="s">
        <v>25</v>
      </c>
      <c r="J120" s="352"/>
      <c r="K120" s="945"/>
      <c r="L120" s="945"/>
      <c r="M120" s="945"/>
      <c r="N120" s="945"/>
      <c r="O120" s="697"/>
      <c r="R120" s="118" t="s">
        <v>25</v>
      </c>
      <c r="S120" s="352"/>
      <c r="T120" s="945"/>
      <c r="U120" s="945"/>
      <c r="V120" s="945"/>
      <c r="W120" s="945"/>
    </row>
    <row r="121" spans="1:23" ht="18.600000000000001" customHeight="1" x14ac:dyDescent="0.3">
      <c r="A121" s="2250">
        <v>4</v>
      </c>
      <c r="B121" s="645" t="s">
        <v>4601</v>
      </c>
      <c r="C121" s="348" t="s">
        <v>4599</v>
      </c>
      <c r="D121" s="326">
        <v>66</v>
      </c>
      <c r="E121" s="1576" t="s">
        <v>1271</v>
      </c>
      <c r="F121" s="82" t="s">
        <v>4600</v>
      </c>
      <c r="G121" s="351">
        <v>15247.5</v>
      </c>
      <c r="H121" s="1718" t="s">
        <v>4541</v>
      </c>
      <c r="I121" s="118" t="s">
        <v>25</v>
      </c>
      <c r="J121" s="352"/>
      <c r="K121" s="945"/>
      <c r="L121" s="945"/>
      <c r="M121" s="945"/>
      <c r="N121" s="945"/>
      <c r="O121" s="697"/>
      <c r="R121" s="118" t="s">
        <v>25</v>
      </c>
      <c r="S121" s="352"/>
      <c r="T121" s="945"/>
      <c r="U121" s="945"/>
      <c r="V121" s="945"/>
      <c r="W121" s="945"/>
    </row>
    <row r="122" spans="1:23" ht="18.600000000000001" customHeight="1" x14ac:dyDescent="0.3">
      <c r="A122" s="2250">
        <v>5</v>
      </c>
      <c r="B122" s="645" t="s">
        <v>4602</v>
      </c>
      <c r="C122" s="348" t="s">
        <v>4599</v>
      </c>
      <c r="D122" s="326">
        <v>66</v>
      </c>
      <c r="E122" s="1576" t="s">
        <v>1250</v>
      </c>
      <c r="F122" s="82" t="s">
        <v>4600</v>
      </c>
      <c r="G122" s="351">
        <v>62595</v>
      </c>
      <c r="H122" s="1718" t="s">
        <v>4541</v>
      </c>
      <c r="I122" s="118" t="s">
        <v>25</v>
      </c>
      <c r="J122" s="352"/>
      <c r="K122" s="945"/>
      <c r="L122" s="945"/>
      <c r="M122" s="945"/>
      <c r="N122" s="945"/>
      <c r="O122" s="697"/>
      <c r="R122" s="118" t="s">
        <v>25</v>
      </c>
      <c r="S122" s="352"/>
      <c r="T122" s="945"/>
      <c r="U122" s="945"/>
      <c r="V122" s="945"/>
      <c r="W122" s="945"/>
    </row>
    <row r="123" spans="1:23" ht="18.600000000000001" customHeight="1" x14ac:dyDescent="0.3">
      <c r="A123" s="2226">
        <v>6</v>
      </c>
      <c r="B123" s="421" t="s">
        <v>4603</v>
      </c>
      <c r="C123" s="348" t="s">
        <v>4599</v>
      </c>
      <c r="D123" s="320">
        <v>66</v>
      </c>
      <c r="E123" s="1576" t="s">
        <v>1104</v>
      </c>
      <c r="F123" s="82" t="s">
        <v>4600</v>
      </c>
      <c r="G123" s="936">
        <v>20330</v>
      </c>
      <c r="H123" s="1718" t="s">
        <v>4541</v>
      </c>
      <c r="I123" s="118" t="s">
        <v>25</v>
      </c>
      <c r="J123" s="352"/>
      <c r="K123" s="945"/>
      <c r="L123" s="945"/>
      <c r="M123" s="945"/>
      <c r="N123" s="945"/>
      <c r="O123" s="697"/>
      <c r="R123" s="118" t="s">
        <v>25</v>
      </c>
      <c r="S123" s="352"/>
      <c r="T123" s="945"/>
      <c r="U123" s="945"/>
      <c r="V123" s="945"/>
      <c r="W123" s="945"/>
    </row>
    <row r="124" spans="1:23" ht="18.600000000000001" customHeight="1" x14ac:dyDescent="0.3">
      <c r="A124" s="2250">
        <v>7</v>
      </c>
      <c r="B124" s="1577" t="s">
        <v>4604</v>
      </c>
      <c r="C124" s="348" t="s">
        <v>4599</v>
      </c>
      <c r="D124" s="326">
        <v>66</v>
      </c>
      <c r="E124" s="1576" t="s">
        <v>1106</v>
      </c>
      <c r="F124" s="82" t="s">
        <v>23</v>
      </c>
      <c r="G124" s="1578">
        <v>20330</v>
      </c>
      <c r="H124" s="1718" t="s">
        <v>4605</v>
      </c>
      <c r="I124" s="118" t="s">
        <v>25</v>
      </c>
      <c r="J124" s="352"/>
      <c r="K124" s="945"/>
      <c r="L124" s="945"/>
      <c r="M124" s="945"/>
      <c r="N124" s="945"/>
      <c r="O124" s="697"/>
      <c r="R124" s="118" t="s">
        <v>25</v>
      </c>
      <c r="S124" s="352"/>
      <c r="T124" s="945"/>
      <c r="U124" s="945"/>
      <c r="V124" s="945"/>
      <c r="W124" s="945"/>
    </row>
    <row r="125" spans="1:23" ht="18.600000000000001" customHeight="1" x14ac:dyDescent="0.3">
      <c r="A125" s="2226">
        <v>8</v>
      </c>
      <c r="B125" s="1577" t="s">
        <v>4606</v>
      </c>
      <c r="C125" s="348" t="s">
        <v>4599</v>
      </c>
      <c r="D125" s="326">
        <v>66</v>
      </c>
      <c r="E125" s="1576" t="s">
        <v>1107</v>
      </c>
      <c r="F125" s="82" t="s">
        <v>23</v>
      </c>
      <c r="G125" s="1578">
        <v>15242.15</v>
      </c>
      <c r="H125" s="1718" t="s">
        <v>4605</v>
      </c>
      <c r="I125" s="118" t="s">
        <v>25</v>
      </c>
      <c r="J125" s="352"/>
      <c r="K125" s="945"/>
      <c r="L125" s="945"/>
      <c r="M125" s="945"/>
      <c r="N125" s="945"/>
      <c r="O125" s="697"/>
      <c r="R125" s="118" t="s">
        <v>25</v>
      </c>
      <c r="S125" s="352"/>
      <c r="T125" s="945"/>
      <c r="U125" s="945"/>
      <c r="V125" s="945"/>
      <c r="W125" s="945"/>
    </row>
    <row r="126" spans="1:23" ht="18.600000000000001" customHeight="1" x14ac:dyDescent="0.3">
      <c r="A126" s="2250">
        <v>9</v>
      </c>
      <c r="B126" s="1577" t="s">
        <v>4607</v>
      </c>
      <c r="C126" s="348" t="s">
        <v>4599</v>
      </c>
      <c r="D126" s="326">
        <v>66</v>
      </c>
      <c r="E126" s="1576" t="s">
        <v>399</v>
      </c>
      <c r="F126" s="82" t="s">
        <v>23</v>
      </c>
      <c r="G126" s="1578">
        <v>15242.15</v>
      </c>
      <c r="H126" s="1718" t="s">
        <v>4605</v>
      </c>
      <c r="I126" s="118" t="s">
        <v>25</v>
      </c>
      <c r="J126" s="352"/>
      <c r="K126" s="945"/>
      <c r="L126" s="945"/>
      <c r="M126" s="945"/>
      <c r="N126" s="945"/>
      <c r="O126" s="697"/>
      <c r="R126" s="118" t="s">
        <v>25</v>
      </c>
      <c r="S126" s="352"/>
      <c r="T126" s="945"/>
      <c r="U126" s="945"/>
      <c r="V126" s="945"/>
      <c r="W126" s="945"/>
    </row>
    <row r="127" spans="1:23" ht="18.600000000000001" customHeight="1" x14ac:dyDescent="0.3">
      <c r="A127" s="2392">
        <v>10</v>
      </c>
      <c r="B127" s="1579" t="s">
        <v>4607</v>
      </c>
      <c r="C127" s="623" t="s">
        <v>4599</v>
      </c>
      <c r="D127" s="173">
        <v>66</v>
      </c>
      <c r="E127" s="1580" t="s">
        <v>1108</v>
      </c>
      <c r="F127" s="176" t="s">
        <v>23</v>
      </c>
      <c r="G127" s="1581">
        <v>15242.15</v>
      </c>
      <c r="H127" s="1825" t="s">
        <v>4605</v>
      </c>
      <c r="I127" s="233" t="s">
        <v>25</v>
      </c>
      <c r="J127" s="233"/>
      <c r="K127" s="1274"/>
      <c r="L127" s="1274"/>
      <c r="M127" s="1274"/>
      <c r="N127" s="1274"/>
      <c r="O127" s="1106"/>
      <c r="R127" s="233" t="s">
        <v>25</v>
      </c>
      <c r="S127" s="233"/>
      <c r="T127" s="1274"/>
      <c r="U127" s="1274"/>
      <c r="V127" s="1274"/>
      <c r="W127" s="1274"/>
    </row>
    <row r="128" spans="1:23" ht="18.600000000000001" customHeight="1" x14ac:dyDescent="0.45">
      <c r="G128" s="231">
        <f>SUM(G118:G127)</f>
        <v>209971.44999999998</v>
      </c>
      <c r="R128" s="1">
        <f>COUNTA(R7:R127)</f>
        <v>115</v>
      </c>
      <c r="S128" s="1">
        <f t="shared" ref="S128:W128" si="0">COUNTA(S7:S127)</f>
        <v>0</v>
      </c>
      <c r="T128" s="1">
        <f t="shared" si="0"/>
        <v>0</v>
      </c>
      <c r="U128" s="1">
        <f t="shared" si="0"/>
        <v>0</v>
      </c>
      <c r="V128" s="1">
        <f t="shared" si="0"/>
        <v>0</v>
      </c>
      <c r="W128" s="1">
        <f t="shared" si="0"/>
        <v>0</v>
      </c>
    </row>
    <row r="129" spans="2:15" ht="18.600000000000001" customHeight="1" x14ac:dyDescent="0.45">
      <c r="G129" s="1226">
        <f>G44+G109+G116+G128</f>
        <v>6138380.4500000002</v>
      </c>
    </row>
    <row r="131" spans="2:15" ht="20.25" customHeight="1" x14ac:dyDescent="0.35">
      <c r="B131" s="502" t="s">
        <v>601</v>
      </c>
      <c r="C131" s="502"/>
      <c r="D131" s="505"/>
      <c r="E131" s="509"/>
      <c r="F131" s="505"/>
      <c r="G131" s="504" t="s">
        <v>602</v>
      </c>
      <c r="H131" s="1"/>
      <c r="I131" s="505"/>
      <c r="J131" s="505" t="s">
        <v>603</v>
      </c>
      <c r="K131" s="505"/>
      <c r="L131" s="505"/>
      <c r="M131" s="505"/>
      <c r="O131" s="506"/>
    </row>
    <row r="132" spans="2:15" ht="18" x14ac:dyDescent="0.35">
      <c r="B132" s="507" t="s">
        <v>604</v>
      </c>
      <c r="C132" s="508"/>
      <c r="D132" s="505"/>
      <c r="E132" s="509"/>
      <c r="F132" s="505"/>
      <c r="G132" s="504"/>
      <c r="H132" s="509" t="s">
        <v>605</v>
      </c>
      <c r="J132" s="505"/>
      <c r="K132" s="505"/>
      <c r="L132" s="505"/>
      <c r="M132" s="505"/>
      <c r="O132" s="506"/>
    </row>
    <row r="133" spans="2:15" ht="18" x14ac:dyDescent="0.35">
      <c r="B133" s="507" t="s">
        <v>606</v>
      </c>
      <c r="C133" s="508"/>
      <c r="D133" s="505"/>
      <c r="E133" s="509"/>
      <c r="F133" s="505"/>
      <c r="G133" s="504"/>
      <c r="H133" s="509" t="s">
        <v>607</v>
      </c>
      <c r="J133" s="505"/>
      <c r="K133" s="505"/>
      <c r="L133" s="505"/>
      <c r="M133" s="505"/>
      <c r="O133" s="506"/>
    </row>
    <row r="134" spans="2:15" ht="10.5" customHeight="1" x14ac:dyDescent="0.35">
      <c r="B134" s="502"/>
      <c r="C134" s="502"/>
      <c r="D134" s="505"/>
      <c r="E134" s="509"/>
      <c r="F134" s="505"/>
      <c r="G134" s="790"/>
      <c r="H134" s="505"/>
      <c r="I134" s="505"/>
      <c r="J134" s="505"/>
      <c r="K134" s="505"/>
      <c r="L134" s="505"/>
      <c r="M134" s="505"/>
      <c r="O134" s="506"/>
    </row>
    <row r="135" spans="2:15" ht="18" x14ac:dyDescent="0.35">
      <c r="B135" s="502" t="s">
        <v>5313</v>
      </c>
      <c r="C135" s="502"/>
      <c r="D135" s="505"/>
      <c r="E135" s="509"/>
      <c r="F135" s="505"/>
      <c r="G135" s="504"/>
      <c r="H135" s="1"/>
      <c r="I135" s="505"/>
      <c r="J135" s="505"/>
      <c r="K135" s="505"/>
      <c r="L135" s="505"/>
      <c r="M135" s="505"/>
      <c r="O135" s="506"/>
    </row>
    <row r="136" spans="2:15" ht="18" x14ac:dyDescent="0.35">
      <c r="B136" s="507" t="s">
        <v>609</v>
      </c>
      <c r="C136" s="508"/>
      <c r="D136" s="505"/>
      <c r="E136" s="509"/>
      <c r="F136" s="505"/>
      <c r="G136" s="504"/>
      <c r="H136" s="509"/>
      <c r="J136" s="505"/>
      <c r="K136" s="505"/>
      <c r="L136" s="505"/>
      <c r="M136" s="505"/>
      <c r="O136" s="506"/>
    </row>
    <row r="137" spans="2:15" ht="18" x14ac:dyDescent="0.35">
      <c r="B137" s="507" t="s">
        <v>610</v>
      </c>
      <c r="C137" s="508"/>
      <c r="D137" s="505"/>
      <c r="E137" s="509"/>
      <c r="F137" s="505"/>
      <c r="G137" s="504"/>
      <c r="H137" s="509"/>
      <c r="J137" s="505"/>
      <c r="K137" s="505"/>
      <c r="L137" s="505"/>
      <c r="M137" s="505"/>
      <c r="O137" s="506"/>
    </row>
  </sheetData>
  <mergeCells count="10">
    <mergeCell ref="A1:O1"/>
    <mergeCell ref="A2:O2"/>
    <mergeCell ref="A3:B3"/>
    <mergeCell ref="A4:A5"/>
    <mergeCell ref="B4:B5"/>
    <mergeCell ref="C4:E5"/>
    <mergeCell ref="G4:G5"/>
    <mergeCell ref="H4:H5"/>
    <mergeCell ref="I4:N4"/>
    <mergeCell ref="O4:O5"/>
  </mergeCells>
  <pageMargins left="0.31496062992125984" right="0.31496062992125984" top="0.35433070866141736" bottom="0.35433070866141736" header="0.31496062992125984" footer="0.31496062992125984"/>
  <pageSetup paperSize="9" orientation="landscape" horizontalDpi="4294967294" verticalDpi="0" r:id="rId1"/>
  <headerFooter>
    <oddHeader>&amp;R&amp;P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26"/>
  <sheetViews>
    <sheetView topLeftCell="A7" workbookViewId="0">
      <selection activeCell="A14" sqref="A14:XFD14"/>
    </sheetView>
  </sheetViews>
  <sheetFormatPr defaultColWidth="9.109375" defaultRowHeight="15.6" x14ac:dyDescent="0.3"/>
  <cols>
    <col min="1" max="1" width="5.44140625" style="320" customWidth="1"/>
    <col min="2" max="2" width="43.44140625" style="1" customWidth="1"/>
    <col min="3" max="3" width="4.5546875" style="1" customWidth="1"/>
    <col min="4" max="4" width="3.109375" style="1" customWidth="1"/>
    <col min="5" max="5" width="6.109375" style="764" customWidth="1"/>
    <col min="6" max="6" width="9.88671875" style="1" customWidth="1"/>
    <col min="7" max="7" width="12.6640625" style="766" customWidth="1"/>
    <col min="8" max="8" width="25.88671875" style="497" customWidth="1"/>
    <col min="9" max="14" width="3.33203125" style="1" customWidth="1"/>
    <col min="15" max="15" width="10.6640625" style="498" customWidth="1"/>
    <col min="16" max="16384" width="9.109375" style="1"/>
  </cols>
  <sheetData>
    <row r="1" spans="1:22" ht="18" x14ac:dyDescent="0.35">
      <c r="A1" s="2842" t="s">
        <v>0</v>
      </c>
      <c r="B1" s="2842"/>
      <c r="C1" s="2842"/>
      <c r="D1" s="2842"/>
      <c r="E1" s="2842"/>
      <c r="F1" s="2842"/>
      <c r="G1" s="2842"/>
      <c r="H1" s="2842"/>
      <c r="I1" s="2842"/>
      <c r="J1" s="2842"/>
      <c r="K1" s="2842"/>
      <c r="L1" s="2842"/>
      <c r="M1" s="2842"/>
      <c r="N1" s="2842"/>
      <c r="O1" s="2842"/>
    </row>
    <row r="2" spans="1:22" ht="18" x14ac:dyDescent="0.35">
      <c r="A2" s="2842" t="s">
        <v>1</v>
      </c>
      <c r="B2" s="2842"/>
      <c r="C2" s="2842"/>
      <c r="D2" s="2842"/>
      <c r="E2" s="2842"/>
      <c r="F2" s="2842"/>
      <c r="G2" s="2842"/>
      <c r="H2" s="2842"/>
      <c r="I2" s="2842"/>
      <c r="J2" s="2842"/>
      <c r="K2" s="2842"/>
      <c r="L2" s="2842"/>
      <c r="M2" s="2842"/>
      <c r="N2" s="2842"/>
      <c r="O2" s="2842"/>
    </row>
    <row r="3" spans="1:22" x14ac:dyDescent="0.3">
      <c r="A3" s="2861" t="s">
        <v>4608</v>
      </c>
      <c r="B3" s="2861"/>
      <c r="C3" s="3"/>
      <c r="D3" s="3"/>
      <c r="E3" s="3"/>
      <c r="F3" s="3"/>
      <c r="G3" s="5"/>
      <c r="H3" s="7"/>
      <c r="I3" s="3"/>
      <c r="J3" s="3"/>
      <c r="K3" s="3"/>
      <c r="L3" s="3"/>
      <c r="M3" s="3"/>
      <c r="N3" s="3"/>
      <c r="O3" s="7"/>
    </row>
    <row r="4" spans="1:22" s="10" customFormat="1" ht="18.75" customHeight="1" x14ac:dyDescent="0.3">
      <c r="A4" s="2867" t="s">
        <v>3</v>
      </c>
      <c r="B4" s="2868" t="s">
        <v>4</v>
      </c>
      <c r="C4" s="2911" t="s">
        <v>5</v>
      </c>
      <c r="D4" s="2912"/>
      <c r="E4" s="2913"/>
      <c r="F4" s="857" t="s">
        <v>6</v>
      </c>
      <c r="G4" s="2875" t="s">
        <v>7</v>
      </c>
      <c r="H4" s="2868" t="s">
        <v>8</v>
      </c>
      <c r="I4" s="2858" t="s">
        <v>9</v>
      </c>
      <c r="J4" s="2876"/>
      <c r="K4" s="2876"/>
      <c r="L4" s="2876"/>
      <c r="M4" s="2876"/>
      <c r="N4" s="2860"/>
      <c r="O4" s="2868" t="s">
        <v>10</v>
      </c>
    </row>
    <row r="5" spans="1:22" s="10" customFormat="1" ht="43.5" customHeight="1" x14ac:dyDescent="0.3">
      <c r="A5" s="2845"/>
      <c r="B5" s="2857"/>
      <c r="C5" s="2863"/>
      <c r="D5" s="2914"/>
      <c r="E5" s="2915"/>
      <c r="F5" s="514" t="s">
        <v>11</v>
      </c>
      <c r="G5" s="2865"/>
      <c r="H5" s="2857"/>
      <c r="I5" s="14" t="s">
        <v>12</v>
      </c>
      <c r="J5" s="14" t="s">
        <v>13</v>
      </c>
      <c r="K5" s="15" t="s">
        <v>14</v>
      </c>
      <c r="L5" s="15" t="s">
        <v>15</v>
      </c>
      <c r="M5" s="15" t="s">
        <v>16</v>
      </c>
      <c r="N5" s="15" t="s">
        <v>17</v>
      </c>
      <c r="O5" s="2857"/>
    </row>
    <row r="6" spans="1:22" x14ac:dyDescent="0.3">
      <c r="A6" s="772" t="s">
        <v>4609</v>
      </c>
      <c r="B6" s="773" t="s">
        <v>4610</v>
      </c>
      <c r="C6" s="2882"/>
      <c r="D6" s="2882"/>
      <c r="E6" s="2882"/>
      <c r="F6" s="860"/>
      <c r="G6" s="775"/>
      <c r="H6" s="776"/>
      <c r="I6" s="777"/>
      <c r="J6" s="778"/>
      <c r="K6" s="777"/>
      <c r="L6" s="778"/>
      <c r="M6" s="778"/>
      <c r="N6" s="779"/>
      <c r="O6" s="780"/>
    </row>
    <row r="7" spans="1:22" x14ac:dyDescent="0.3">
      <c r="A7" s="2250">
        <v>1</v>
      </c>
      <c r="B7" s="1582" t="s">
        <v>4611</v>
      </c>
      <c r="C7" s="1583" t="s">
        <v>4609</v>
      </c>
      <c r="D7" s="793" t="s">
        <v>1305</v>
      </c>
      <c r="E7" s="1576" t="s">
        <v>600</v>
      </c>
      <c r="F7" s="350" t="s">
        <v>4339</v>
      </c>
      <c r="G7" s="351">
        <v>5000</v>
      </c>
      <c r="H7" s="1826" t="s">
        <v>400</v>
      </c>
      <c r="I7" s="352" t="s">
        <v>25</v>
      </c>
      <c r="J7" s="945"/>
      <c r="K7" s="945"/>
      <c r="L7" s="945"/>
      <c r="M7" s="945"/>
      <c r="N7" s="1585"/>
      <c r="O7" s="2305" t="s">
        <v>5863</v>
      </c>
      <c r="Q7" s="352" t="s">
        <v>25</v>
      </c>
      <c r="R7" s="945"/>
      <c r="S7" s="945"/>
      <c r="T7" s="945"/>
      <c r="U7" s="945"/>
      <c r="V7" s="1585"/>
    </row>
    <row r="8" spans="1:22" ht="17.399999999999999" x14ac:dyDescent="0.3">
      <c r="A8" s="1586"/>
      <c r="B8" s="494"/>
      <c r="C8" s="2948"/>
      <c r="D8" s="2949"/>
      <c r="E8" s="2950"/>
      <c r="F8" s="1587"/>
      <c r="G8" s="1588">
        <f>SUM(G7)</f>
        <v>5000</v>
      </c>
      <c r="H8" s="1589"/>
      <c r="I8" s="1590"/>
      <c r="J8" s="1591"/>
      <c r="K8" s="1592"/>
      <c r="L8" s="1593"/>
      <c r="M8" s="1593"/>
      <c r="N8" s="1593"/>
      <c r="O8" s="1594"/>
      <c r="Q8" s="1590"/>
      <c r="R8" s="1591"/>
      <c r="S8" s="1592"/>
      <c r="T8" s="1593"/>
      <c r="U8" s="1593"/>
      <c r="V8" s="1593"/>
    </row>
    <row r="9" spans="1:22" x14ac:dyDescent="0.3">
      <c r="A9" s="772" t="s">
        <v>4612</v>
      </c>
      <c r="B9" s="773" t="s">
        <v>4613</v>
      </c>
      <c r="C9" s="2882"/>
      <c r="D9" s="2882"/>
      <c r="E9" s="2882"/>
      <c r="F9" s="860"/>
      <c r="G9" s="775"/>
      <c r="H9" s="776"/>
      <c r="I9" s="777"/>
      <c r="J9" s="778"/>
      <c r="K9" s="777"/>
      <c r="L9" s="778"/>
      <c r="M9" s="778"/>
      <c r="N9" s="779"/>
      <c r="O9" s="780"/>
      <c r="Q9" s="777"/>
      <c r="R9" s="778"/>
      <c r="S9" s="777"/>
      <c r="T9" s="778"/>
      <c r="U9" s="778"/>
      <c r="V9" s="779"/>
    </row>
    <row r="10" spans="1:22" x14ac:dyDescent="0.3">
      <c r="A10" s="2250">
        <v>1</v>
      </c>
      <c r="B10" s="645" t="s">
        <v>4614</v>
      </c>
      <c r="C10" s="793" t="s">
        <v>4612</v>
      </c>
      <c r="D10" s="326">
        <v>43</v>
      </c>
      <c r="E10" s="349" t="s">
        <v>600</v>
      </c>
      <c r="F10" s="349" t="s">
        <v>4339</v>
      </c>
      <c r="G10" s="351">
        <v>24000</v>
      </c>
      <c r="H10" s="1826" t="s">
        <v>400</v>
      </c>
      <c r="I10" s="352" t="s">
        <v>25</v>
      </c>
      <c r="J10" s="945"/>
      <c r="K10" s="353"/>
      <c r="L10" s="353"/>
      <c r="M10" s="353"/>
      <c r="N10" s="353"/>
      <c r="O10" s="2305" t="s">
        <v>5863</v>
      </c>
      <c r="Q10" s="352" t="s">
        <v>25</v>
      </c>
      <c r="R10" s="945"/>
      <c r="S10" s="353"/>
      <c r="T10" s="353"/>
      <c r="U10" s="353"/>
      <c r="V10" s="353"/>
    </row>
    <row r="11" spans="1:22" x14ac:dyDescent="0.3">
      <c r="A11" s="2226">
        <v>2</v>
      </c>
      <c r="B11" s="1242" t="s">
        <v>4615</v>
      </c>
      <c r="C11" s="216" t="s">
        <v>4612</v>
      </c>
      <c r="D11" s="67">
        <v>64</v>
      </c>
      <c r="E11" s="217" t="s">
        <v>1106</v>
      </c>
      <c r="F11" s="217" t="s">
        <v>4616</v>
      </c>
      <c r="G11" s="192">
        <v>27900</v>
      </c>
      <c r="H11" s="1622" t="s">
        <v>400</v>
      </c>
      <c r="I11" s="118" t="s">
        <v>25</v>
      </c>
      <c r="J11" s="1270"/>
      <c r="K11" s="119"/>
      <c r="L11" s="119"/>
      <c r="M11" s="119"/>
      <c r="N11" s="119"/>
      <c r="O11" s="2305" t="s">
        <v>5863</v>
      </c>
      <c r="Q11" s="118" t="s">
        <v>25</v>
      </c>
      <c r="R11" s="1270"/>
      <c r="S11" s="119"/>
      <c r="T11" s="119"/>
      <c r="U11" s="119"/>
      <c r="V11" s="119"/>
    </row>
    <row r="12" spans="1:22" x14ac:dyDescent="0.3">
      <c r="A12" s="2262">
        <v>3</v>
      </c>
      <c r="B12" s="1595" t="s">
        <v>4617</v>
      </c>
      <c r="C12" s="793" t="s">
        <v>4612</v>
      </c>
      <c r="D12" s="320">
        <v>64</v>
      </c>
      <c r="E12" s="349" t="s">
        <v>1107</v>
      </c>
      <c r="F12" s="946" t="s">
        <v>4618</v>
      </c>
      <c r="G12" s="936">
        <v>30600</v>
      </c>
      <c r="H12" s="1622" t="s">
        <v>400</v>
      </c>
      <c r="I12" s="118" t="s">
        <v>25</v>
      </c>
      <c r="J12" s="949"/>
      <c r="K12" s="935"/>
      <c r="L12" s="935"/>
      <c r="M12" s="935"/>
      <c r="N12" s="935"/>
      <c r="O12" s="2305" t="s">
        <v>5863</v>
      </c>
      <c r="Q12" s="118" t="s">
        <v>25</v>
      </c>
      <c r="R12" s="949"/>
      <c r="S12" s="935"/>
      <c r="T12" s="935"/>
      <c r="U12" s="935"/>
      <c r="V12" s="935"/>
    </row>
    <row r="13" spans="1:22" ht="17.399999999999999" x14ac:dyDescent="0.45">
      <c r="A13" s="39"/>
      <c r="B13" s="204"/>
      <c r="C13" s="2877"/>
      <c r="D13" s="2878"/>
      <c r="E13" s="2879"/>
      <c r="F13" s="204"/>
      <c r="G13" s="713">
        <f>SUM(G10:G12)</f>
        <v>82500</v>
      </c>
      <c r="H13" s="178"/>
      <c r="I13" s="204"/>
      <c r="J13" s="204"/>
      <c r="K13" s="204"/>
      <c r="L13" s="204"/>
      <c r="M13" s="204"/>
      <c r="N13" s="204"/>
      <c r="O13" s="205"/>
      <c r="Q13" s="204"/>
      <c r="R13" s="204"/>
      <c r="S13" s="204"/>
      <c r="T13" s="204"/>
      <c r="U13" s="204"/>
      <c r="V13" s="204"/>
    </row>
    <row r="14" spans="1:22" x14ac:dyDescent="0.3">
      <c r="A14" s="772" t="s">
        <v>4619</v>
      </c>
      <c r="B14" s="773" t="s">
        <v>4620</v>
      </c>
      <c r="C14" s="2882"/>
      <c r="D14" s="2882"/>
      <c r="E14" s="2882"/>
      <c r="F14" s="860"/>
      <c r="G14" s="775"/>
      <c r="H14" s="776"/>
      <c r="I14" s="777"/>
      <c r="J14" s="778"/>
      <c r="K14" s="777"/>
      <c r="L14" s="778"/>
      <c r="M14" s="778"/>
      <c r="N14" s="779"/>
      <c r="O14" s="780"/>
      <c r="Q14" s="777"/>
      <c r="R14" s="778"/>
      <c r="S14" s="777"/>
      <c r="T14" s="778"/>
      <c r="U14" s="778"/>
      <c r="V14" s="779"/>
    </row>
    <row r="15" spans="1:22" x14ac:dyDescent="0.3">
      <c r="A15" s="2250">
        <v>1</v>
      </c>
      <c r="B15" s="645" t="s">
        <v>4621</v>
      </c>
      <c r="C15" s="793" t="s">
        <v>4619</v>
      </c>
      <c r="D15" s="326">
        <v>64</v>
      </c>
      <c r="E15" s="349" t="s">
        <v>1106</v>
      </c>
      <c r="F15" s="349" t="s">
        <v>4618</v>
      </c>
      <c r="G15" s="351">
        <v>24500</v>
      </c>
      <c r="H15" s="1826" t="s">
        <v>400</v>
      </c>
      <c r="I15" s="352" t="s">
        <v>25</v>
      </c>
      <c r="J15" s="945"/>
      <c r="K15" s="353"/>
      <c r="L15" s="353"/>
      <c r="M15" s="353"/>
      <c r="N15" s="353"/>
      <c r="O15" s="2386" t="s">
        <v>5863</v>
      </c>
      <c r="Q15" s="352" t="s">
        <v>25</v>
      </c>
      <c r="R15" s="945"/>
      <c r="S15" s="353"/>
      <c r="T15" s="353"/>
      <c r="U15" s="353"/>
      <c r="V15" s="353"/>
    </row>
    <row r="16" spans="1:22" x14ac:dyDescent="0.3">
      <c r="A16" s="2262">
        <v>2</v>
      </c>
      <c r="B16" s="645" t="s">
        <v>4621</v>
      </c>
      <c r="C16" s="793" t="s">
        <v>4619</v>
      </c>
      <c r="D16" s="320">
        <v>64</v>
      </c>
      <c r="E16" s="349" t="s">
        <v>1107</v>
      </c>
      <c r="F16" s="349" t="s">
        <v>4618</v>
      </c>
      <c r="G16" s="936">
        <v>24500</v>
      </c>
      <c r="H16" s="1826" t="s">
        <v>400</v>
      </c>
      <c r="I16" s="352" t="s">
        <v>25</v>
      </c>
      <c r="J16" s="949"/>
      <c r="K16" s="935"/>
      <c r="L16" s="935"/>
      <c r="M16" s="935"/>
      <c r="N16" s="935"/>
      <c r="O16" s="2387" t="s">
        <v>5863</v>
      </c>
      <c r="Q16" s="352" t="s">
        <v>25</v>
      </c>
      <c r="R16" s="949"/>
      <c r="S16" s="935"/>
      <c r="T16" s="935"/>
      <c r="U16" s="935"/>
      <c r="V16" s="935"/>
    </row>
    <row r="17" spans="1:22" ht="17.399999999999999" x14ac:dyDescent="0.45">
      <c r="A17" s="39"/>
      <c r="B17" s="204"/>
      <c r="C17" s="2877"/>
      <c r="D17" s="2878"/>
      <c r="E17" s="2879"/>
      <c r="F17" s="204"/>
      <c r="G17" s="713">
        <f>SUM(G15:G16)</f>
        <v>49000</v>
      </c>
      <c r="H17" s="178"/>
      <c r="I17" s="204"/>
      <c r="J17" s="204"/>
      <c r="K17" s="204"/>
      <c r="L17" s="204"/>
      <c r="M17" s="204"/>
      <c r="N17" s="204"/>
      <c r="O17" s="205"/>
    </row>
    <row r="18" spans="1:22" ht="17.399999999999999" x14ac:dyDescent="0.45">
      <c r="G18" s="763">
        <f>G17+G13+G8</f>
        <v>136500</v>
      </c>
      <c r="Q18" s="1">
        <f>COUNTA(Q7:Q17)</f>
        <v>6</v>
      </c>
      <c r="R18" s="1">
        <f t="shared" ref="R18:V18" si="0">COUNTA(R7:R17)</f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</row>
    <row r="19" spans="1:22" x14ac:dyDescent="0.3">
      <c r="H19" s="497" t="s">
        <v>119</v>
      </c>
    </row>
    <row r="20" spans="1:22" ht="20.25" customHeight="1" x14ac:dyDescent="0.35">
      <c r="B20" s="502" t="s">
        <v>601</v>
      </c>
      <c r="C20" s="502"/>
      <c r="D20" s="505"/>
      <c r="E20" s="509"/>
      <c r="F20" s="505"/>
      <c r="G20" s="504" t="s">
        <v>602</v>
      </c>
      <c r="H20" s="1"/>
      <c r="I20" s="505"/>
      <c r="J20" s="505" t="s">
        <v>603</v>
      </c>
      <c r="K20" s="505"/>
      <c r="L20" s="505"/>
      <c r="M20" s="505"/>
      <c r="O20" s="506"/>
    </row>
    <row r="21" spans="1:22" ht="18" x14ac:dyDescent="0.35">
      <c r="B21" s="507" t="s">
        <v>604</v>
      </c>
      <c r="C21" s="508"/>
      <c r="D21" s="505"/>
      <c r="E21" s="509"/>
      <c r="F21" s="505"/>
      <c r="G21" s="504"/>
      <c r="H21" s="509" t="s">
        <v>605</v>
      </c>
      <c r="J21" s="505"/>
      <c r="K21" s="505"/>
      <c r="L21" s="505"/>
      <c r="M21" s="505"/>
      <c r="O21" s="506"/>
    </row>
    <row r="22" spans="1:22" ht="18" x14ac:dyDescent="0.35">
      <c r="B22" s="507" t="s">
        <v>606</v>
      </c>
      <c r="C22" s="508"/>
      <c r="D22" s="505"/>
      <c r="E22" s="509"/>
      <c r="F22" s="505"/>
      <c r="G22" s="504"/>
      <c r="H22" s="509" t="s">
        <v>607</v>
      </c>
      <c r="J22" s="505"/>
      <c r="K22" s="505"/>
      <c r="L22" s="505"/>
      <c r="M22" s="505"/>
      <c r="O22" s="506"/>
    </row>
    <row r="23" spans="1:22" ht="10.5" customHeight="1" x14ac:dyDescent="0.35">
      <c r="B23" s="502"/>
      <c r="C23" s="502"/>
      <c r="D23" s="505"/>
      <c r="E23" s="509"/>
      <c r="F23" s="505"/>
      <c r="G23" s="790"/>
      <c r="H23" s="505"/>
      <c r="I23" s="505"/>
      <c r="J23" s="505"/>
      <c r="K23" s="505"/>
      <c r="L23" s="505"/>
      <c r="M23" s="505"/>
      <c r="O23" s="506"/>
    </row>
    <row r="24" spans="1:22" ht="18" x14ac:dyDescent="0.35">
      <c r="B24" s="502" t="s">
        <v>5313</v>
      </c>
      <c r="C24" s="502"/>
      <c r="D24" s="505"/>
      <c r="E24" s="509"/>
      <c r="F24" s="505"/>
      <c r="G24" s="504"/>
      <c r="H24" s="1"/>
      <c r="I24" s="505"/>
      <c r="J24" s="505"/>
      <c r="K24" s="505"/>
      <c r="L24" s="505"/>
      <c r="M24" s="505"/>
      <c r="O24" s="506"/>
    </row>
    <row r="25" spans="1:22" ht="18" x14ac:dyDescent="0.35">
      <c r="B25" s="507" t="s">
        <v>609</v>
      </c>
      <c r="C25" s="508"/>
      <c r="D25" s="505"/>
      <c r="E25" s="509"/>
      <c r="F25" s="505"/>
      <c r="G25" s="504"/>
      <c r="H25" s="509"/>
      <c r="J25" s="505"/>
      <c r="K25" s="505"/>
      <c r="L25" s="505"/>
      <c r="M25" s="505"/>
      <c r="O25" s="506"/>
    </row>
    <row r="26" spans="1:22" ht="18" x14ac:dyDescent="0.35">
      <c r="B26" s="507" t="s">
        <v>610</v>
      </c>
      <c r="C26" s="508"/>
      <c r="D26" s="505"/>
      <c r="E26" s="509"/>
      <c r="F26" s="505"/>
      <c r="G26" s="504"/>
      <c r="H26" s="509"/>
      <c r="J26" s="505"/>
      <c r="K26" s="505"/>
      <c r="L26" s="505"/>
      <c r="M26" s="505"/>
      <c r="O26" s="506"/>
    </row>
  </sheetData>
  <mergeCells count="16">
    <mergeCell ref="C17:E17"/>
    <mergeCell ref="A1:O1"/>
    <mergeCell ref="A2:O2"/>
    <mergeCell ref="A3:B3"/>
    <mergeCell ref="A4:A5"/>
    <mergeCell ref="B4:B5"/>
    <mergeCell ref="C4:E5"/>
    <mergeCell ref="G4:G5"/>
    <mergeCell ref="H4:H5"/>
    <mergeCell ref="I4:N4"/>
    <mergeCell ref="O4:O5"/>
    <mergeCell ref="C6:E6"/>
    <mergeCell ref="C8:E8"/>
    <mergeCell ref="C9:E9"/>
    <mergeCell ref="C13:E13"/>
    <mergeCell ref="C14:E14"/>
  </mergeCells>
  <pageMargins left="0.31496062992125984" right="0.31496062992125984" top="0.35433070866141736" bottom="0.35433070866141736" header="0.31496062992125984" footer="0.31496062992125984"/>
  <pageSetup paperSize="9" orientation="landscape" horizontalDpi="4294967294" verticalDpi="0" r:id="rId1"/>
  <headerFooter>
    <oddHeader>&amp;R&amp;P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H135"/>
  <sheetViews>
    <sheetView topLeftCell="A117" zoomScale="120" zoomScaleNormal="120" workbookViewId="0">
      <selection activeCell="B27" sqref="B27"/>
    </sheetView>
  </sheetViews>
  <sheetFormatPr defaultColWidth="9.109375" defaultRowHeight="15.6" x14ac:dyDescent="0.3"/>
  <cols>
    <col min="1" max="1" width="5.44140625" style="320" customWidth="1"/>
    <col min="2" max="2" width="41" style="1" customWidth="1"/>
    <col min="3" max="3" width="4.44140625" style="1" customWidth="1"/>
    <col min="4" max="4" width="3.5546875" style="1" customWidth="1"/>
    <col min="5" max="5" width="5" style="764" customWidth="1"/>
    <col min="6" max="6" width="9.88671875" style="1" customWidth="1"/>
    <col min="7" max="7" width="12.6640625" style="766" customWidth="1"/>
    <col min="8" max="8" width="28.44140625" style="497" customWidth="1"/>
    <col min="9" max="14" width="3.33203125" style="1" customWidth="1"/>
    <col min="15" max="15" width="15.44140625" style="498" customWidth="1"/>
    <col min="16" max="16384" width="9.109375" style="1"/>
  </cols>
  <sheetData>
    <row r="1" spans="1:23" ht="17.25" customHeight="1" x14ac:dyDescent="0.35">
      <c r="A1" s="2842" t="s">
        <v>0</v>
      </c>
      <c r="B1" s="2842"/>
      <c r="C1" s="2842"/>
      <c r="D1" s="2842"/>
      <c r="E1" s="2842"/>
      <c r="F1" s="2842"/>
      <c r="G1" s="2842"/>
      <c r="H1" s="2842"/>
      <c r="I1" s="2842"/>
      <c r="J1" s="2842"/>
      <c r="K1" s="2842"/>
      <c r="L1" s="2842"/>
      <c r="M1" s="2842"/>
      <c r="N1" s="2842"/>
      <c r="O1" s="2842"/>
    </row>
    <row r="2" spans="1:23" ht="14.25" customHeight="1" x14ac:dyDescent="0.35">
      <c r="A2" s="2842" t="s">
        <v>1</v>
      </c>
      <c r="B2" s="2842"/>
      <c r="C2" s="2842"/>
      <c r="D2" s="2842"/>
      <c r="E2" s="2842"/>
      <c r="F2" s="2842"/>
      <c r="G2" s="2842"/>
      <c r="H2" s="2842"/>
      <c r="I2" s="2842"/>
      <c r="J2" s="2842"/>
      <c r="K2" s="2842"/>
      <c r="L2" s="2842"/>
      <c r="M2" s="2842"/>
      <c r="N2" s="2842"/>
      <c r="O2" s="2842"/>
    </row>
    <row r="3" spans="1:23" ht="13.5" customHeight="1" x14ac:dyDescent="0.3">
      <c r="A3" s="2861" t="s">
        <v>4622</v>
      </c>
      <c r="B3" s="2861"/>
      <c r="C3" s="3"/>
      <c r="D3" s="3"/>
      <c r="E3" s="3"/>
      <c r="F3" s="3"/>
      <c r="G3" s="5"/>
      <c r="H3" s="7"/>
      <c r="I3" s="3"/>
      <c r="J3" s="3"/>
      <c r="K3" s="3"/>
      <c r="L3" s="3"/>
      <c r="M3" s="3"/>
      <c r="N3" s="3"/>
      <c r="O3" s="7"/>
    </row>
    <row r="4" spans="1:23" s="10" customFormat="1" ht="14.25" customHeight="1" x14ac:dyDescent="0.3">
      <c r="A4" s="2867" t="s">
        <v>3</v>
      </c>
      <c r="B4" s="2868" t="s">
        <v>4</v>
      </c>
      <c r="C4" s="2911" t="s">
        <v>5</v>
      </c>
      <c r="D4" s="2912"/>
      <c r="E4" s="2913"/>
      <c r="F4" s="857" t="s">
        <v>6</v>
      </c>
      <c r="G4" s="2875" t="s">
        <v>7</v>
      </c>
      <c r="H4" s="2868" t="s">
        <v>8</v>
      </c>
      <c r="I4" s="2858" t="s">
        <v>9</v>
      </c>
      <c r="J4" s="2876"/>
      <c r="K4" s="2876"/>
      <c r="L4" s="2876"/>
      <c r="M4" s="2876"/>
      <c r="N4" s="2860"/>
      <c r="O4" s="2868" t="s">
        <v>10</v>
      </c>
    </row>
    <row r="5" spans="1:23" s="10" customFormat="1" ht="37.5" customHeight="1" x14ac:dyDescent="0.3">
      <c r="A5" s="2845"/>
      <c r="B5" s="2857"/>
      <c r="C5" s="2863"/>
      <c r="D5" s="2914"/>
      <c r="E5" s="2915"/>
      <c r="F5" s="514" t="s">
        <v>11</v>
      </c>
      <c r="G5" s="2865"/>
      <c r="H5" s="2857"/>
      <c r="I5" s="14" t="s">
        <v>12</v>
      </c>
      <c r="J5" s="14" t="s">
        <v>13</v>
      </c>
      <c r="K5" s="15" t="s">
        <v>14</v>
      </c>
      <c r="L5" s="15" t="s">
        <v>15</v>
      </c>
      <c r="M5" s="15" t="s">
        <v>16</v>
      </c>
      <c r="N5" s="15" t="s">
        <v>17</v>
      </c>
      <c r="O5" s="2857"/>
    </row>
    <row r="6" spans="1:23" x14ac:dyDescent="0.3">
      <c r="A6" s="356">
        <v>416</v>
      </c>
      <c r="B6" s="815" t="s">
        <v>4623</v>
      </c>
      <c r="C6" s="1597"/>
      <c r="D6" s="815"/>
      <c r="E6" s="1239"/>
      <c r="F6" s="1598"/>
      <c r="G6" s="1599"/>
      <c r="H6" s="1600"/>
      <c r="I6" s="1597"/>
      <c r="J6" s="1597"/>
      <c r="K6" s="1597"/>
      <c r="L6" s="1597"/>
      <c r="M6" s="1597"/>
      <c r="N6" s="1597"/>
      <c r="O6" s="361"/>
    </row>
    <row r="7" spans="1:23" ht="31.2" x14ac:dyDescent="0.3">
      <c r="A7" s="2263">
        <v>1</v>
      </c>
      <c r="B7" s="1601" t="s">
        <v>4624</v>
      </c>
      <c r="C7" s="2960" t="s">
        <v>4625</v>
      </c>
      <c r="D7" s="2961"/>
      <c r="E7" s="2962"/>
      <c r="F7" s="1602" t="s">
        <v>4626</v>
      </c>
      <c r="G7" s="1603">
        <v>51885</v>
      </c>
      <c r="H7" s="1604" t="s">
        <v>811</v>
      </c>
      <c r="I7" s="112" t="s">
        <v>102</v>
      </c>
      <c r="J7" s="112"/>
      <c r="K7" s="112"/>
      <c r="L7" s="112"/>
      <c r="M7" s="112"/>
      <c r="N7" s="112"/>
      <c r="O7" s="369" t="s">
        <v>4627</v>
      </c>
      <c r="R7" s="112" t="s">
        <v>102</v>
      </c>
      <c r="S7" s="112"/>
      <c r="T7" s="112"/>
      <c r="U7" s="112"/>
      <c r="V7" s="112"/>
      <c r="W7" s="112"/>
    </row>
    <row r="8" spans="1:23" x14ac:dyDescent="0.3">
      <c r="A8" s="2227">
        <v>2</v>
      </c>
      <c r="B8" s="700" t="s">
        <v>4628</v>
      </c>
      <c r="C8" s="2957" t="s">
        <v>4629</v>
      </c>
      <c r="D8" s="2958"/>
      <c r="E8" s="2959"/>
      <c r="F8" s="104" t="s">
        <v>4630</v>
      </c>
      <c r="G8" s="703">
        <v>47754.1</v>
      </c>
      <c r="H8" s="1605" t="s">
        <v>4631</v>
      </c>
      <c r="I8" s="104" t="s">
        <v>25</v>
      </c>
      <c r="J8" s="104"/>
      <c r="K8" s="104"/>
      <c r="L8" s="104"/>
      <c r="M8" s="104"/>
      <c r="N8" s="104"/>
      <c r="O8" s="111" t="s">
        <v>4632</v>
      </c>
      <c r="P8" s="1606" t="s">
        <v>4633</v>
      </c>
      <c r="R8" s="104" t="s">
        <v>25</v>
      </c>
      <c r="S8" s="104"/>
      <c r="T8" s="104"/>
      <c r="U8" s="104"/>
      <c r="V8" s="104"/>
      <c r="W8" s="104"/>
    </row>
    <row r="9" spans="1:23" x14ac:dyDescent="0.3">
      <c r="A9" s="2263">
        <v>3</v>
      </c>
      <c r="B9" s="1607" t="s">
        <v>4634</v>
      </c>
      <c r="C9" s="2951" t="s">
        <v>4635</v>
      </c>
      <c r="D9" s="2952"/>
      <c r="E9" s="2953"/>
      <c r="F9" s="711" t="s">
        <v>4630</v>
      </c>
      <c r="G9" s="296">
        <v>0</v>
      </c>
      <c r="H9" s="1608" t="s">
        <v>811</v>
      </c>
      <c r="I9" s="104" t="s">
        <v>25</v>
      </c>
      <c r="J9" s="104"/>
      <c r="K9" s="104"/>
      <c r="L9" s="104"/>
      <c r="M9" s="104"/>
      <c r="N9" s="104"/>
      <c r="O9" s="2626" t="s">
        <v>6395</v>
      </c>
      <c r="P9" s="1606" t="s">
        <v>4637</v>
      </c>
      <c r="R9" s="104" t="s">
        <v>25</v>
      </c>
      <c r="S9" s="104"/>
      <c r="T9" s="104"/>
      <c r="U9" s="104"/>
      <c r="V9" s="104"/>
      <c r="W9" s="104"/>
    </row>
    <row r="10" spans="1:23" x14ac:dyDescent="0.3">
      <c r="A10" s="2227">
        <v>4</v>
      </c>
      <c r="B10" s="219" t="s">
        <v>4638</v>
      </c>
      <c r="C10" s="2892" t="s">
        <v>4639</v>
      </c>
      <c r="D10" s="2893"/>
      <c r="E10" s="2894"/>
      <c r="F10" s="218" t="s">
        <v>4640</v>
      </c>
      <c r="G10" s="192">
        <v>27000</v>
      </c>
      <c r="H10" s="1609" t="s">
        <v>537</v>
      </c>
      <c r="I10" s="34" t="s">
        <v>25</v>
      </c>
      <c r="J10" s="147"/>
      <c r="K10" s="317"/>
      <c r="L10" s="224"/>
      <c r="M10" s="87"/>
      <c r="N10" s="1610"/>
      <c r="O10" s="314" t="s">
        <v>5859</v>
      </c>
      <c r="R10" s="34" t="s">
        <v>25</v>
      </c>
      <c r="S10" s="147"/>
      <c r="T10" s="317"/>
      <c r="U10" s="224"/>
      <c r="V10" s="87"/>
      <c r="W10" s="1610"/>
    </row>
    <row r="11" spans="1:23" x14ac:dyDescent="0.3">
      <c r="A11" s="2263">
        <v>5</v>
      </c>
      <c r="B11" s="1607" t="s">
        <v>4642</v>
      </c>
      <c r="C11" s="2951" t="s">
        <v>4643</v>
      </c>
      <c r="D11" s="2952"/>
      <c r="E11" s="2953"/>
      <c r="F11" s="711" t="s">
        <v>4644</v>
      </c>
      <c r="G11" s="703">
        <v>23400</v>
      </c>
      <c r="H11" s="1608" t="s">
        <v>811</v>
      </c>
      <c r="I11" s="104" t="s">
        <v>102</v>
      </c>
      <c r="J11" s="104"/>
      <c r="K11" s="104"/>
      <c r="L11" s="104"/>
      <c r="M11" s="104"/>
      <c r="N11" s="104"/>
      <c r="O11" s="2303" t="s">
        <v>5870</v>
      </c>
      <c r="R11" s="104" t="s">
        <v>102</v>
      </c>
      <c r="S11" s="104"/>
      <c r="T11" s="104"/>
      <c r="U11" s="104"/>
      <c r="V11" s="104"/>
      <c r="W11" s="104"/>
    </row>
    <row r="12" spans="1:23" x14ac:dyDescent="0.3">
      <c r="A12" s="2227">
        <v>6</v>
      </c>
      <c r="B12" s="700" t="s">
        <v>4645</v>
      </c>
      <c r="C12" s="2957" t="s">
        <v>4646</v>
      </c>
      <c r="D12" s="2958"/>
      <c r="E12" s="2959"/>
      <c r="F12" s="711" t="s">
        <v>4644</v>
      </c>
      <c r="G12" s="703">
        <v>23400</v>
      </c>
      <c r="H12" s="1608" t="s">
        <v>127</v>
      </c>
      <c r="I12" s="104"/>
      <c r="J12" s="104"/>
      <c r="K12" s="104" t="s">
        <v>25</v>
      </c>
      <c r="L12" s="104"/>
      <c r="M12" s="104"/>
      <c r="N12" s="104"/>
      <c r="O12" s="2626" t="s">
        <v>6395</v>
      </c>
      <c r="P12" s="1">
        <v>1</v>
      </c>
      <c r="R12" s="104"/>
      <c r="S12" s="104"/>
      <c r="T12" s="104" t="s">
        <v>25</v>
      </c>
      <c r="U12" s="104"/>
      <c r="V12" s="104"/>
      <c r="W12" s="104"/>
    </row>
    <row r="13" spans="1:23" x14ac:dyDescent="0.3">
      <c r="A13" s="2263">
        <v>7</v>
      </c>
      <c r="B13" s="1607" t="s">
        <v>4648</v>
      </c>
      <c r="C13" s="2957" t="s">
        <v>4649</v>
      </c>
      <c r="D13" s="2958"/>
      <c r="E13" s="2959"/>
      <c r="F13" s="711" t="s">
        <v>4644</v>
      </c>
      <c r="G13" s="703">
        <v>7000</v>
      </c>
      <c r="H13" s="1608" t="s">
        <v>811</v>
      </c>
      <c r="I13" s="104"/>
      <c r="J13" s="104" t="s">
        <v>102</v>
      </c>
      <c r="K13" s="104"/>
      <c r="L13" s="104"/>
      <c r="M13" s="104"/>
      <c r="N13" s="104"/>
      <c r="O13" s="2626" t="s">
        <v>6395</v>
      </c>
      <c r="P13" s="1">
        <v>1</v>
      </c>
      <c r="R13" s="104"/>
      <c r="S13" s="104" t="s">
        <v>102</v>
      </c>
      <c r="T13" s="104"/>
      <c r="U13" s="104"/>
      <c r="V13" s="104"/>
      <c r="W13" s="104"/>
    </row>
    <row r="14" spans="1:23" x14ac:dyDescent="0.3">
      <c r="A14" s="2227">
        <v>8</v>
      </c>
      <c r="B14" s="1607" t="s">
        <v>4648</v>
      </c>
      <c r="C14" s="2951" t="s">
        <v>4650</v>
      </c>
      <c r="D14" s="2952"/>
      <c r="E14" s="2953"/>
      <c r="F14" s="711" t="s">
        <v>4644</v>
      </c>
      <c r="G14" s="703">
        <v>7000</v>
      </c>
      <c r="H14" s="1608" t="s">
        <v>127</v>
      </c>
      <c r="I14" s="104" t="s">
        <v>102</v>
      </c>
      <c r="J14" s="104" t="s">
        <v>119</v>
      </c>
      <c r="K14" s="104"/>
      <c r="L14" s="104"/>
      <c r="M14" s="104"/>
      <c r="N14" s="104"/>
      <c r="O14" s="111" t="s">
        <v>121</v>
      </c>
      <c r="R14" s="104" t="s">
        <v>102</v>
      </c>
      <c r="S14" s="104" t="s">
        <v>119</v>
      </c>
      <c r="T14" s="104"/>
      <c r="U14" s="104"/>
      <c r="V14" s="104"/>
      <c r="W14" s="104"/>
    </row>
    <row r="15" spans="1:23" x14ac:dyDescent="0.3">
      <c r="A15" s="2263">
        <v>9</v>
      </c>
      <c r="B15" s="1607" t="s">
        <v>4651</v>
      </c>
      <c r="C15" s="2951" t="s">
        <v>4652</v>
      </c>
      <c r="D15" s="2952"/>
      <c r="E15" s="2953"/>
      <c r="F15" s="711" t="s">
        <v>4644</v>
      </c>
      <c r="G15" s="703">
        <v>11600</v>
      </c>
      <c r="H15" s="1608" t="s">
        <v>811</v>
      </c>
      <c r="I15" s="104" t="s">
        <v>102</v>
      </c>
      <c r="J15" s="104"/>
      <c r="K15" s="104"/>
      <c r="L15" s="104"/>
      <c r="M15" s="104"/>
      <c r="N15" s="104"/>
      <c r="O15" s="2303" t="s">
        <v>5870</v>
      </c>
      <c r="R15" s="104" t="s">
        <v>102</v>
      </c>
      <c r="S15" s="104"/>
      <c r="T15" s="104"/>
      <c r="U15" s="104"/>
      <c r="V15" s="104"/>
      <c r="W15" s="104"/>
    </row>
    <row r="16" spans="1:23" x14ac:dyDescent="0.3">
      <c r="A16" s="2227">
        <v>10</v>
      </c>
      <c r="B16" s="1611" t="s">
        <v>4651</v>
      </c>
      <c r="C16" s="2957" t="s">
        <v>4653</v>
      </c>
      <c r="D16" s="2958"/>
      <c r="E16" s="2959"/>
      <c r="F16" s="711" t="s">
        <v>4644</v>
      </c>
      <c r="G16" s="703">
        <v>11600</v>
      </c>
      <c r="H16" s="1608" t="s">
        <v>811</v>
      </c>
      <c r="I16" s="104" t="s">
        <v>102</v>
      </c>
      <c r="J16" s="104"/>
      <c r="K16" s="104"/>
      <c r="L16" s="104"/>
      <c r="M16" s="104"/>
      <c r="N16" s="104"/>
      <c r="O16" s="111"/>
      <c r="R16" s="104" t="s">
        <v>102</v>
      </c>
      <c r="S16" s="104"/>
      <c r="T16" s="104"/>
      <c r="U16" s="104"/>
      <c r="V16" s="104"/>
      <c r="W16" s="104"/>
    </row>
    <row r="17" spans="1:23" x14ac:dyDescent="0.3">
      <c r="A17" s="2263">
        <v>11</v>
      </c>
      <c r="B17" s="1607" t="s">
        <v>4654</v>
      </c>
      <c r="C17" s="2951" t="s">
        <v>4655</v>
      </c>
      <c r="D17" s="2952"/>
      <c r="E17" s="2953"/>
      <c r="F17" s="711" t="s">
        <v>4656</v>
      </c>
      <c r="G17" s="703">
        <v>20400</v>
      </c>
      <c r="H17" s="1584" t="s">
        <v>400</v>
      </c>
      <c r="I17" s="104" t="s">
        <v>25</v>
      </c>
      <c r="J17" s="104"/>
      <c r="K17" s="104"/>
      <c r="L17" s="104"/>
      <c r="M17" s="104"/>
      <c r="N17" s="104"/>
      <c r="O17" s="2308" t="s">
        <v>121</v>
      </c>
      <c r="R17" s="104" t="s">
        <v>25</v>
      </c>
      <c r="S17" s="104"/>
      <c r="T17" s="104"/>
      <c r="U17" s="104"/>
      <c r="V17" s="104"/>
      <c r="W17" s="104"/>
    </row>
    <row r="18" spans="1:23" x14ac:dyDescent="0.3">
      <c r="A18" s="2227">
        <v>12</v>
      </c>
      <c r="B18" s="1607" t="s">
        <v>4657</v>
      </c>
      <c r="C18" s="2951" t="s">
        <v>4658</v>
      </c>
      <c r="D18" s="2952"/>
      <c r="E18" s="2953"/>
      <c r="F18" s="711" t="s">
        <v>4656</v>
      </c>
      <c r="G18" s="703">
        <v>7000</v>
      </c>
      <c r="H18" s="1584" t="s">
        <v>400</v>
      </c>
      <c r="I18" s="104" t="s">
        <v>25</v>
      </c>
      <c r="J18" s="104"/>
      <c r="K18" s="104"/>
      <c r="L18" s="104"/>
      <c r="M18" s="104"/>
      <c r="N18" s="104"/>
      <c r="O18" s="2308" t="s">
        <v>121</v>
      </c>
      <c r="R18" s="104" t="s">
        <v>25</v>
      </c>
      <c r="S18" s="104"/>
      <c r="T18" s="104"/>
      <c r="U18" s="104"/>
      <c r="V18" s="104"/>
      <c r="W18" s="104"/>
    </row>
    <row r="19" spans="1:23" x14ac:dyDescent="0.3">
      <c r="A19" s="2263">
        <v>13</v>
      </c>
      <c r="B19" s="1607" t="s">
        <v>4657</v>
      </c>
      <c r="C19" s="2951" t="s">
        <v>4659</v>
      </c>
      <c r="D19" s="2952"/>
      <c r="E19" s="2953"/>
      <c r="F19" s="711" t="s">
        <v>4656</v>
      </c>
      <c r="G19" s="703">
        <v>7000</v>
      </c>
      <c r="H19" s="1827" t="s">
        <v>4660</v>
      </c>
      <c r="I19" s="104" t="s">
        <v>25</v>
      </c>
      <c r="J19" s="104"/>
      <c r="K19" s="104"/>
      <c r="L19" s="104"/>
      <c r="M19" s="104"/>
      <c r="N19" s="104"/>
      <c r="O19" s="2308" t="s">
        <v>143</v>
      </c>
      <c r="R19" s="104" t="s">
        <v>25</v>
      </c>
      <c r="S19" s="104"/>
      <c r="T19" s="104"/>
      <c r="U19" s="104"/>
      <c r="V19" s="104"/>
      <c r="W19" s="104"/>
    </row>
    <row r="20" spans="1:23" x14ac:dyDescent="0.3">
      <c r="A20" s="2227">
        <v>14</v>
      </c>
      <c r="B20" s="698" t="s">
        <v>4661</v>
      </c>
      <c r="C20" s="2957" t="s">
        <v>4662</v>
      </c>
      <c r="D20" s="2958"/>
      <c r="E20" s="2959"/>
      <c r="F20" s="711" t="s">
        <v>4663</v>
      </c>
      <c r="G20" s="703">
        <v>32400</v>
      </c>
      <c r="H20" s="1608" t="s">
        <v>811</v>
      </c>
      <c r="I20" s="104"/>
      <c r="J20" s="104" t="s">
        <v>25</v>
      </c>
      <c r="K20" s="104"/>
      <c r="L20" s="104"/>
      <c r="M20" s="104"/>
      <c r="N20" s="104"/>
      <c r="O20" s="130"/>
      <c r="P20" s="1606" t="s">
        <v>5914</v>
      </c>
      <c r="R20" s="104"/>
      <c r="S20" s="104" t="s">
        <v>25</v>
      </c>
      <c r="T20" s="104"/>
      <c r="U20" s="104"/>
      <c r="V20" s="104"/>
      <c r="W20" s="104"/>
    </row>
    <row r="21" spans="1:23" x14ac:dyDescent="0.3">
      <c r="A21" s="2263">
        <v>15</v>
      </c>
      <c r="B21" s="1607" t="s">
        <v>4664</v>
      </c>
      <c r="C21" s="2957" t="s">
        <v>4665</v>
      </c>
      <c r="D21" s="2958"/>
      <c r="E21" s="2959"/>
      <c r="F21" s="711" t="s">
        <v>4663</v>
      </c>
      <c r="G21" s="703">
        <v>4000</v>
      </c>
      <c r="H21" s="1828" t="s">
        <v>724</v>
      </c>
      <c r="I21" s="104"/>
      <c r="J21" s="104" t="s">
        <v>25</v>
      </c>
      <c r="K21" s="104"/>
      <c r="L21" s="104"/>
      <c r="M21" s="104"/>
      <c r="N21" s="104"/>
      <c r="O21" s="111" t="s">
        <v>4627</v>
      </c>
      <c r="P21" s="1">
        <v>3</v>
      </c>
      <c r="R21" s="104"/>
      <c r="S21" s="104" t="s">
        <v>25</v>
      </c>
      <c r="T21" s="104"/>
      <c r="U21" s="104"/>
      <c r="V21" s="104"/>
      <c r="W21" s="104"/>
    </row>
    <row r="22" spans="1:23" s="1612" customFormat="1" x14ac:dyDescent="0.3">
      <c r="A22" s="2227">
        <v>16</v>
      </c>
      <c r="B22" s="1611" t="s">
        <v>4666</v>
      </c>
      <c r="C22" s="2957" t="s">
        <v>4667</v>
      </c>
      <c r="D22" s="2958"/>
      <c r="E22" s="2958"/>
      <c r="F22" s="711" t="s">
        <v>4668</v>
      </c>
      <c r="G22" s="703">
        <v>3300</v>
      </c>
      <c r="H22" s="1608" t="s">
        <v>811</v>
      </c>
      <c r="I22" s="104" t="s">
        <v>102</v>
      </c>
      <c r="J22" s="104"/>
      <c r="K22" s="104"/>
      <c r="L22" s="104"/>
      <c r="M22" s="104"/>
      <c r="N22" s="104"/>
      <c r="O22" s="111" t="s">
        <v>4669</v>
      </c>
      <c r="R22" s="104" t="s">
        <v>102</v>
      </c>
      <c r="S22" s="104"/>
      <c r="T22" s="104"/>
      <c r="U22" s="104"/>
      <c r="V22" s="104"/>
      <c r="W22" s="104"/>
    </row>
    <row r="23" spans="1:23" ht="31.2" x14ac:dyDescent="0.3">
      <c r="A23" s="2263">
        <v>17</v>
      </c>
      <c r="B23" s="1611" t="s">
        <v>4670</v>
      </c>
      <c r="C23" s="2929" t="s">
        <v>4671</v>
      </c>
      <c r="D23" s="2930"/>
      <c r="E23" s="2931"/>
      <c r="F23" s="411" t="s">
        <v>4672</v>
      </c>
      <c r="G23" s="654">
        <v>15000</v>
      </c>
      <c r="H23" s="1613" t="s">
        <v>811</v>
      </c>
      <c r="I23" s="104" t="s">
        <v>102</v>
      </c>
      <c r="J23" s="104"/>
      <c r="K23" s="104"/>
      <c r="L23" s="133"/>
      <c r="M23" s="104"/>
      <c r="N23" s="104"/>
      <c r="O23" s="2303" t="s">
        <v>4636</v>
      </c>
      <c r="R23" s="104" t="s">
        <v>102</v>
      </c>
      <c r="S23" s="104"/>
      <c r="T23" s="104"/>
      <c r="U23" s="133"/>
      <c r="V23" s="104"/>
      <c r="W23" s="104"/>
    </row>
    <row r="24" spans="1:23" x14ac:dyDescent="0.3">
      <c r="A24" s="2227">
        <v>18</v>
      </c>
      <c r="B24" s="1607" t="s">
        <v>4673</v>
      </c>
      <c r="C24" s="2954" t="s">
        <v>4674</v>
      </c>
      <c r="D24" s="2955"/>
      <c r="E24" s="2956"/>
      <c r="F24" s="1614" t="s">
        <v>4675</v>
      </c>
      <c r="G24" s="1615">
        <v>5250</v>
      </c>
      <c r="H24" s="1616" t="s">
        <v>4264</v>
      </c>
      <c r="I24" s="104" t="s">
        <v>102</v>
      </c>
      <c r="J24" s="1607"/>
      <c r="K24" s="1607"/>
      <c r="L24" s="1607"/>
      <c r="M24" s="1607"/>
      <c r="N24" s="1607"/>
      <c r="O24" s="2313" t="s">
        <v>126</v>
      </c>
      <c r="R24" s="104" t="s">
        <v>102</v>
      </c>
      <c r="S24" s="1607"/>
      <c r="T24" s="1607"/>
      <c r="U24" s="1607"/>
      <c r="V24" s="1607"/>
      <c r="W24" s="1607"/>
    </row>
    <row r="25" spans="1:23" x14ac:dyDescent="0.3">
      <c r="A25" s="2263">
        <v>19</v>
      </c>
      <c r="B25" s="248" t="s">
        <v>4676</v>
      </c>
      <c r="C25" s="2951" t="s">
        <v>4677</v>
      </c>
      <c r="D25" s="2952"/>
      <c r="E25" s="2953"/>
      <c r="F25" s="1617">
        <v>21689</v>
      </c>
      <c r="G25" s="924">
        <v>17000</v>
      </c>
      <c r="H25" s="1618" t="s">
        <v>4264</v>
      </c>
      <c r="I25" s="104" t="s">
        <v>102</v>
      </c>
      <c r="J25" s="248"/>
      <c r="K25" s="248"/>
      <c r="L25" s="248"/>
      <c r="M25" s="248"/>
      <c r="N25" s="248"/>
      <c r="O25" s="2305" t="s">
        <v>131</v>
      </c>
      <c r="R25" s="104" t="s">
        <v>102</v>
      </c>
      <c r="S25" s="248"/>
      <c r="T25" s="248"/>
      <c r="U25" s="248"/>
      <c r="V25" s="248"/>
      <c r="W25" s="248"/>
    </row>
    <row r="26" spans="1:23" x14ac:dyDescent="0.3">
      <c r="A26" s="2227">
        <v>20</v>
      </c>
      <c r="B26" s="248" t="s">
        <v>4678</v>
      </c>
      <c r="C26" s="2951" t="s">
        <v>4679</v>
      </c>
      <c r="D26" s="2952"/>
      <c r="E26" s="2953"/>
      <c r="F26" s="1617">
        <v>21689</v>
      </c>
      <c r="G26" s="1615">
        <v>5000</v>
      </c>
      <c r="H26" s="1618" t="s">
        <v>4264</v>
      </c>
      <c r="I26" s="104" t="s">
        <v>102</v>
      </c>
      <c r="J26" s="248"/>
      <c r="K26" s="248"/>
      <c r="L26" s="248"/>
      <c r="M26" s="248"/>
      <c r="N26" s="248"/>
      <c r="O26" s="2305" t="s">
        <v>131</v>
      </c>
      <c r="R26" s="104" t="s">
        <v>102</v>
      </c>
      <c r="S26" s="248"/>
      <c r="T26" s="248"/>
      <c r="U26" s="248"/>
      <c r="V26" s="248"/>
      <c r="W26" s="248"/>
    </row>
    <row r="27" spans="1:23" x14ac:dyDescent="0.3">
      <c r="A27" s="2263">
        <v>21</v>
      </c>
      <c r="B27" s="248" t="s">
        <v>4680</v>
      </c>
      <c r="C27" s="2951" t="s">
        <v>4681</v>
      </c>
      <c r="D27" s="2952"/>
      <c r="E27" s="2953"/>
      <c r="F27" s="1617">
        <v>21689</v>
      </c>
      <c r="G27" s="924">
        <v>3100</v>
      </c>
      <c r="H27" s="1618" t="s">
        <v>4264</v>
      </c>
      <c r="I27" s="104"/>
      <c r="J27" s="247" t="s">
        <v>25</v>
      </c>
      <c r="K27" s="247"/>
      <c r="L27" s="248"/>
      <c r="M27" s="248"/>
      <c r="N27" s="248"/>
      <c r="O27" s="2626" t="s">
        <v>6395</v>
      </c>
      <c r="P27" s="1">
        <v>4</v>
      </c>
      <c r="R27" s="104"/>
      <c r="S27" s="247" t="s">
        <v>25</v>
      </c>
      <c r="T27" s="247"/>
      <c r="U27" s="248"/>
      <c r="V27" s="248"/>
      <c r="W27" s="248"/>
    </row>
    <row r="28" spans="1:23" x14ac:dyDescent="0.3">
      <c r="A28" s="2227">
        <v>22</v>
      </c>
      <c r="B28" s="248" t="s">
        <v>4676</v>
      </c>
      <c r="C28" s="2951" t="s">
        <v>4682</v>
      </c>
      <c r="D28" s="2952"/>
      <c r="E28" s="2953"/>
      <c r="F28" s="1617">
        <v>21693</v>
      </c>
      <c r="G28" s="1619">
        <v>22519</v>
      </c>
      <c r="H28" s="1618" t="s">
        <v>4264</v>
      </c>
      <c r="I28" s="104" t="s">
        <v>102</v>
      </c>
      <c r="J28" s="248"/>
      <c r="K28" s="248"/>
      <c r="L28" s="248"/>
      <c r="M28" s="248"/>
      <c r="N28" s="248"/>
      <c r="O28" s="2305" t="s">
        <v>145</v>
      </c>
      <c r="R28" s="104" t="s">
        <v>102</v>
      </c>
      <c r="S28" s="248"/>
      <c r="T28" s="248"/>
      <c r="U28" s="248"/>
      <c r="V28" s="248"/>
      <c r="W28" s="248"/>
    </row>
    <row r="29" spans="1:23" x14ac:dyDescent="0.3">
      <c r="A29" s="2263">
        <v>23</v>
      </c>
      <c r="B29" s="248" t="s">
        <v>4683</v>
      </c>
      <c r="C29" s="2951" t="s">
        <v>4684</v>
      </c>
      <c r="D29" s="2952"/>
      <c r="E29" s="2953"/>
      <c r="F29" s="1617">
        <v>21693</v>
      </c>
      <c r="G29" s="1619">
        <v>5000</v>
      </c>
      <c r="H29" s="1618" t="s">
        <v>4264</v>
      </c>
      <c r="I29" s="104" t="s">
        <v>102</v>
      </c>
      <c r="J29" s="248"/>
      <c r="K29" s="248"/>
      <c r="L29" s="248"/>
      <c r="M29" s="248"/>
      <c r="N29" s="248"/>
      <c r="O29" s="2305" t="s">
        <v>145</v>
      </c>
      <c r="R29" s="104" t="s">
        <v>102</v>
      </c>
      <c r="S29" s="248"/>
      <c r="T29" s="248"/>
      <c r="U29" s="248"/>
      <c r="V29" s="248"/>
      <c r="W29" s="248"/>
    </row>
    <row r="30" spans="1:23" x14ac:dyDescent="0.3">
      <c r="A30" s="2227">
        <v>24</v>
      </c>
      <c r="B30" s="1212" t="s">
        <v>4685</v>
      </c>
      <c r="C30" s="2951" t="s">
        <v>4686</v>
      </c>
      <c r="D30" s="2952"/>
      <c r="E30" s="2953"/>
      <c r="F30" s="32">
        <v>23899</v>
      </c>
      <c r="G30" s="1620">
        <v>12710</v>
      </c>
      <c r="H30" s="1773" t="s">
        <v>41</v>
      </c>
      <c r="I30" s="104" t="s">
        <v>102</v>
      </c>
      <c r="J30" s="421"/>
      <c r="K30" s="421"/>
      <c r="L30" s="421"/>
      <c r="M30" s="421"/>
      <c r="N30" s="421"/>
      <c r="O30" s="2264" t="s">
        <v>5898</v>
      </c>
      <c r="R30" s="104" t="s">
        <v>102</v>
      </c>
      <c r="S30" s="421"/>
      <c r="T30" s="421"/>
      <c r="U30" s="421"/>
      <c r="V30" s="421"/>
      <c r="W30" s="421"/>
    </row>
    <row r="31" spans="1:23" x14ac:dyDescent="0.3">
      <c r="A31" s="2263">
        <v>25</v>
      </c>
      <c r="B31" s="1212" t="s">
        <v>4687</v>
      </c>
      <c r="C31" s="2951" t="s">
        <v>4688</v>
      </c>
      <c r="D31" s="2952"/>
      <c r="E31" s="2953"/>
      <c r="F31" s="32">
        <v>23899</v>
      </c>
      <c r="G31" s="1620">
        <v>3790</v>
      </c>
      <c r="H31" s="1773" t="s">
        <v>41</v>
      </c>
      <c r="I31" s="104" t="s">
        <v>102</v>
      </c>
      <c r="J31" s="421"/>
      <c r="K31" s="421"/>
      <c r="L31" s="421"/>
      <c r="M31" s="421"/>
      <c r="N31" s="421"/>
      <c r="O31" s="2264" t="s">
        <v>5898</v>
      </c>
      <c r="R31" s="104" t="s">
        <v>102</v>
      </c>
      <c r="S31" s="421"/>
      <c r="T31" s="421"/>
      <c r="U31" s="421"/>
      <c r="V31" s="421"/>
      <c r="W31" s="421"/>
    </row>
    <row r="32" spans="1:23" x14ac:dyDescent="0.3">
      <c r="A32" s="2227">
        <v>26</v>
      </c>
      <c r="B32" s="1212" t="s">
        <v>4685</v>
      </c>
      <c r="C32" s="2951" t="s">
        <v>4689</v>
      </c>
      <c r="D32" s="2952"/>
      <c r="E32" s="2953"/>
      <c r="F32" s="32">
        <v>23899</v>
      </c>
      <c r="G32" s="1620">
        <v>12710</v>
      </c>
      <c r="H32" s="1829" t="s">
        <v>4201</v>
      </c>
      <c r="I32" s="104" t="s">
        <v>102</v>
      </c>
      <c r="J32" s="421"/>
      <c r="K32" s="421"/>
      <c r="L32" s="421"/>
      <c r="M32" s="421"/>
      <c r="N32" s="421"/>
      <c r="O32" s="229"/>
      <c r="R32" s="104" t="s">
        <v>102</v>
      </c>
      <c r="S32" s="421"/>
      <c r="T32" s="421"/>
      <c r="U32" s="421"/>
      <c r="V32" s="421"/>
      <c r="W32" s="421"/>
    </row>
    <row r="33" spans="1:23" x14ac:dyDescent="0.3">
      <c r="A33" s="2263">
        <v>27</v>
      </c>
      <c r="B33" s="1212" t="s">
        <v>4687</v>
      </c>
      <c r="C33" s="2951" t="s">
        <v>4690</v>
      </c>
      <c r="D33" s="2952"/>
      <c r="E33" s="2953"/>
      <c r="F33" s="32">
        <v>23899</v>
      </c>
      <c r="G33" s="1620">
        <v>3790</v>
      </c>
      <c r="H33" s="1829" t="s">
        <v>4691</v>
      </c>
      <c r="I33" s="104" t="s">
        <v>102</v>
      </c>
      <c r="J33" s="421"/>
      <c r="K33" s="421"/>
      <c r="L33" s="421"/>
      <c r="M33" s="421"/>
      <c r="N33" s="421"/>
      <c r="O33" s="229"/>
      <c r="R33" s="104" t="s">
        <v>102</v>
      </c>
      <c r="S33" s="421"/>
      <c r="T33" s="421"/>
      <c r="U33" s="421"/>
      <c r="V33" s="421"/>
      <c r="W33" s="421"/>
    </row>
    <row r="34" spans="1:23" x14ac:dyDescent="0.3">
      <c r="A34" s="2227">
        <v>28</v>
      </c>
      <c r="B34" s="1212" t="s">
        <v>4685</v>
      </c>
      <c r="C34" s="2951" t="s">
        <v>4692</v>
      </c>
      <c r="D34" s="2952"/>
      <c r="E34" s="2953"/>
      <c r="F34" s="32">
        <v>23899</v>
      </c>
      <c r="G34" s="1620">
        <v>12710</v>
      </c>
      <c r="H34" s="1466" t="s">
        <v>4473</v>
      </c>
      <c r="I34" s="104" t="s">
        <v>102</v>
      </c>
      <c r="J34" s="421"/>
      <c r="K34" s="421"/>
      <c r="L34" s="421"/>
      <c r="M34" s="421"/>
      <c r="N34" s="421"/>
      <c r="O34" s="2264" t="s">
        <v>5860</v>
      </c>
      <c r="R34" s="104" t="s">
        <v>102</v>
      </c>
      <c r="S34" s="421"/>
      <c r="T34" s="421"/>
      <c r="U34" s="421"/>
      <c r="V34" s="421"/>
      <c r="W34" s="421"/>
    </row>
    <row r="35" spans="1:23" x14ac:dyDescent="0.3">
      <c r="A35" s="2263">
        <v>29</v>
      </c>
      <c r="B35" s="1212" t="s">
        <v>4687</v>
      </c>
      <c r="C35" s="2951" t="s">
        <v>4693</v>
      </c>
      <c r="D35" s="2952"/>
      <c r="E35" s="2953"/>
      <c r="F35" s="32">
        <v>23899</v>
      </c>
      <c r="G35" s="1620">
        <v>3790</v>
      </c>
      <c r="H35" s="1466" t="s">
        <v>4473</v>
      </c>
      <c r="I35" s="104" t="s">
        <v>102</v>
      </c>
      <c r="J35" s="421"/>
      <c r="K35" s="421"/>
      <c r="L35" s="421"/>
      <c r="M35" s="421"/>
      <c r="N35" s="421"/>
      <c r="O35" s="2264" t="s">
        <v>5860</v>
      </c>
      <c r="R35" s="104" t="s">
        <v>102</v>
      </c>
      <c r="S35" s="421"/>
      <c r="T35" s="421"/>
      <c r="U35" s="421"/>
      <c r="V35" s="421"/>
      <c r="W35" s="421"/>
    </row>
    <row r="36" spans="1:23" x14ac:dyDescent="0.3">
      <c r="A36" s="2227">
        <v>30</v>
      </c>
      <c r="B36" s="1212" t="s">
        <v>4685</v>
      </c>
      <c r="C36" s="2951" t="s">
        <v>4694</v>
      </c>
      <c r="D36" s="2952"/>
      <c r="E36" s="2953"/>
      <c r="F36" s="32">
        <v>23899</v>
      </c>
      <c r="G36" s="1620">
        <v>12710</v>
      </c>
      <c r="H36" s="1466" t="s">
        <v>4473</v>
      </c>
      <c r="I36" s="104" t="s">
        <v>102</v>
      </c>
      <c r="J36" s="421"/>
      <c r="K36" s="421"/>
      <c r="L36" s="421"/>
      <c r="M36" s="421"/>
      <c r="N36" s="421"/>
      <c r="O36" s="2264" t="s">
        <v>5861</v>
      </c>
      <c r="R36" s="104" t="s">
        <v>102</v>
      </c>
      <c r="S36" s="421"/>
      <c r="T36" s="421"/>
      <c r="U36" s="421"/>
      <c r="V36" s="421"/>
      <c r="W36" s="421"/>
    </row>
    <row r="37" spans="1:23" x14ac:dyDescent="0.3">
      <c r="A37" s="2263">
        <v>31</v>
      </c>
      <c r="B37" s="1212" t="s">
        <v>4687</v>
      </c>
      <c r="C37" s="2951" t="s">
        <v>4695</v>
      </c>
      <c r="D37" s="2952"/>
      <c r="E37" s="2953"/>
      <c r="F37" s="32">
        <v>23899</v>
      </c>
      <c r="G37" s="1620">
        <v>3790</v>
      </c>
      <c r="H37" s="1466" t="s">
        <v>4473</v>
      </c>
      <c r="I37" s="104" t="s">
        <v>102</v>
      </c>
      <c r="J37" s="421"/>
      <c r="K37" s="421"/>
      <c r="L37" s="421"/>
      <c r="M37" s="421"/>
      <c r="N37" s="421"/>
      <c r="O37" s="2264" t="s">
        <v>5861</v>
      </c>
      <c r="R37" s="104" t="s">
        <v>102</v>
      </c>
      <c r="S37" s="421"/>
      <c r="T37" s="421"/>
      <c r="U37" s="421"/>
      <c r="V37" s="421"/>
      <c r="W37" s="421"/>
    </row>
    <row r="38" spans="1:23" x14ac:dyDescent="0.3">
      <c r="A38" s="2227">
        <v>32</v>
      </c>
      <c r="B38" s="1212" t="s">
        <v>4696</v>
      </c>
      <c r="C38" s="2951" t="s">
        <v>4697</v>
      </c>
      <c r="D38" s="2952"/>
      <c r="E38" s="2953"/>
      <c r="F38" s="32">
        <v>23899</v>
      </c>
      <c r="G38" s="1620">
        <v>1500</v>
      </c>
      <c r="H38" s="1466" t="s">
        <v>4473</v>
      </c>
      <c r="I38" s="104" t="s">
        <v>102</v>
      </c>
      <c r="J38" s="421"/>
      <c r="K38" s="421"/>
      <c r="L38" s="421"/>
      <c r="M38" s="421"/>
      <c r="N38" s="421"/>
      <c r="O38" s="2264" t="s">
        <v>5860</v>
      </c>
      <c r="R38" s="104" t="s">
        <v>102</v>
      </c>
      <c r="S38" s="421"/>
      <c r="T38" s="421"/>
      <c r="U38" s="421"/>
      <c r="V38" s="421"/>
      <c r="W38" s="421"/>
    </row>
    <row r="39" spans="1:23" x14ac:dyDescent="0.3">
      <c r="A39" s="2263">
        <v>33</v>
      </c>
      <c r="B39" s="1212" t="s">
        <v>4696</v>
      </c>
      <c r="C39" s="2951" t="s">
        <v>4698</v>
      </c>
      <c r="D39" s="2952"/>
      <c r="E39" s="2953"/>
      <c r="F39" s="32">
        <v>23899</v>
      </c>
      <c r="G39" s="1620">
        <v>1500</v>
      </c>
      <c r="H39" s="1466" t="s">
        <v>4473</v>
      </c>
      <c r="I39" s="104" t="s">
        <v>102</v>
      </c>
      <c r="J39" s="421"/>
      <c r="K39" s="421"/>
      <c r="L39" s="421"/>
      <c r="M39" s="421"/>
      <c r="N39" s="421"/>
      <c r="O39" s="2264" t="s">
        <v>4669</v>
      </c>
      <c r="R39" s="104" t="s">
        <v>102</v>
      </c>
      <c r="S39" s="421"/>
      <c r="T39" s="421"/>
      <c r="U39" s="421"/>
      <c r="V39" s="421"/>
      <c r="W39" s="421"/>
    </row>
    <row r="40" spans="1:23" x14ac:dyDescent="0.3">
      <c r="A40" s="2227">
        <v>34</v>
      </c>
      <c r="B40" s="1212" t="s">
        <v>4699</v>
      </c>
      <c r="C40" s="2951" t="s">
        <v>4700</v>
      </c>
      <c r="D40" s="2952"/>
      <c r="E40" s="2953"/>
      <c r="F40" s="32">
        <v>23899</v>
      </c>
      <c r="G40" s="1620">
        <v>17710</v>
      </c>
      <c r="H40" s="1621" t="s">
        <v>4701</v>
      </c>
      <c r="I40" s="104" t="s">
        <v>102</v>
      </c>
      <c r="J40" s="421"/>
      <c r="K40" s="421"/>
      <c r="L40" s="421"/>
      <c r="M40" s="421"/>
      <c r="N40" s="421"/>
      <c r="O40" s="2264" t="s">
        <v>109</v>
      </c>
      <c r="R40" s="104" t="s">
        <v>102</v>
      </c>
      <c r="S40" s="421"/>
      <c r="T40" s="421"/>
      <c r="U40" s="421"/>
      <c r="V40" s="421"/>
      <c r="W40" s="421"/>
    </row>
    <row r="41" spans="1:23" x14ac:dyDescent="0.3">
      <c r="A41" s="2344"/>
      <c r="B41" s="1212" t="s">
        <v>4702</v>
      </c>
      <c r="C41" s="2951"/>
      <c r="D41" s="2952"/>
      <c r="E41" s="2953"/>
      <c r="F41" s="32"/>
      <c r="G41" s="1620"/>
      <c r="H41" s="2345"/>
      <c r="I41" s="385"/>
      <c r="J41" s="421"/>
      <c r="K41" s="421"/>
      <c r="L41" s="421"/>
      <c r="M41" s="421"/>
      <c r="N41" s="421"/>
      <c r="O41" s="2264"/>
      <c r="R41" s="385"/>
      <c r="S41" s="421"/>
      <c r="T41" s="421"/>
      <c r="U41" s="421"/>
      <c r="V41" s="421"/>
      <c r="W41" s="421"/>
    </row>
    <row r="42" spans="1:23" x14ac:dyDescent="0.3">
      <c r="A42" s="2265">
        <v>35</v>
      </c>
      <c r="B42" s="1212" t="s">
        <v>4687</v>
      </c>
      <c r="C42" s="2951" t="s">
        <v>4703</v>
      </c>
      <c r="D42" s="2952"/>
      <c r="E42" s="2953"/>
      <c r="F42" s="32">
        <v>23899</v>
      </c>
      <c r="G42" s="1620">
        <v>3790</v>
      </c>
      <c r="H42" s="1621" t="s">
        <v>4701</v>
      </c>
      <c r="I42" s="104" t="s">
        <v>102</v>
      </c>
      <c r="J42" s="421"/>
      <c r="K42" s="421"/>
      <c r="L42" s="421"/>
      <c r="M42" s="421"/>
      <c r="N42" s="421"/>
      <c r="O42" s="2264" t="s">
        <v>109</v>
      </c>
      <c r="R42" s="104" t="s">
        <v>102</v>
      </c>
      <c r="S42" s="421"/>
      <c r="T42" s="421"/>
      <c r="U42" s="421"/>
      <c r="V42" s="421"/>
      <c r="W42" s="421"/>
    </row>
    <row r="43" spans="1:23" x14ac:dyDescent="0.3">
      <c r="A43" s="2265">
        <v>36</v>
      </c>
      <c r="B43" s="1212" t="s">
        <v>4699</v>
      </c>
      <c r="C43" s="2951" t="s">
        <v>4704</v>
      </c>
      <c r="D43" s="2952"/>
      <c r="E43" s="2953"/>
      <c r="F43" s="32">
        <v>23899</v>
      </c>
      <c r="G43" s="1620">
        <v>17710</v>
      </c>
      <c r="H43" s="1773" t="s">
        <v>41</v>
      </c>
      <c r="I43" s="104" t="s">
        <v>102</v>
      </c>
      <c r="J43" s="421"/>
      <c r="K43" s="421"/>
      <c r="L43" s="421"/>
      <c r="M43" s="421"/>
      <c r="N43" s="421"/>
      <c r="O43" s="2264" t="s">
        <v>115</v>
      </c>
      <c r="R43" s="104" t="s">
        <v>102</v>
      </c>
      <c r="S43" s="421"/>
      <c r="T43" s="421"/>
      <c r="U43" s="421"/>
      <c r="V43" s="421"/>
      <c r="W43" s="421"/>
    </row>
    <row r="44" spans="1:23" x14ac:dyDescent="0.3">
      <c r="A44" s="385"/>
      <c r="B44" s="1212" t="s">
        <v>4702</v>
      </c>
      <c r="C44" s="2951"/>
      <c r="D44" s="2952"/>
      <c r="E44" s="2953"/>
      <c r="F44" s="32"/>
      <c r="G44" s="1620"/>
      <c r="H44" s="2427"/>
      <c r="I44" s="385"/>
      <c r="J44" s="421"/>
      <c r="K44" s="421"/>
      <c r="L44" s="421"/>
      <c r="M44" s="421"/>
      <c r="N44" s="421"/>
      <c r="O44" s="229"/>
      <c r="R44" s="385"/>
      <c r="S44" s="421"/>
      <c r="T44" s="421"/>
      <c r="U44" s="421"/>
      <c r="V44" s="421"/>
      <c r="W44" s="421"/>
    </row>
    <row r="45" spans="1:23" x14ac:dyDescent="0.3">
      <c r="A45" s="2265">
        <v>37</v>
      </c>
      <c r="B45" s="1212" t="s">
        <v>4687</v>
      </c>
      <c r="C45" s="2951" t="s">
        <v>4705</v>
      </c>
      <c r="D45" s="2952"/>
      <c r="E45" s="2953"/>
      <c r="F45" s="32">
        <v>23899</v>
      </c>
      <c r="G45" s="1620">
        <v>3790</v>
      </c>
      <c r="H45" s="1773" t="s">
        <v>41</v>
      </c>
      <c r="I45" s="104" t="s">
        <v>102</v>
      </c>
      <c r="J45" s="421"/>
      <c r="K45" s="421"/>
      <c r="L45" s="421"/>
      <c r="M45" s="421"/>
      <c r="N45" s="421"/>
      <c r="O45" s="2264" t="s">
        <v>115</v>
      </c>
      <c r="R45" s="104" t="s">
        <v>102</v>
      </c>
      <c r="S45" s="421"/>
      <c r="T45" s="421"/>
      <c r="U45" s="421"/>
      <c r="V45" s="421"/>
      <c r="W45" s="421"/>
    </row>
    <row r="46" spans="1:23" x14ac:dyDescent="0.3">
      <c r="A46" s="2265">
        <v>38</v>
      </c>
      <c r="B46" s="1212" t="s">
        <v>4699</v>
      </c>
      <c r="C46" s="2951" t="s">
        <v>4706</v>
      </c>
      <c r="D46" s="2952"/>
      <c r="E46" s="2953"/>
      <c r="F46" s="32">
        <v>23899</v>
      </c>
      <c r="G46" s="1620">
        <v>17710</v>
      </c>
      <c r="H46" s="1466" t="s">
        <v>4473</v>
      </c>
      <c r="I46" s="104" t="s">
        <v>102</v>
      </c>
      <c r="J46" s="421"/>
      <c r="K46" s="421"/>
      <c r="L46" s="421"/>
      <c r="M46" s="421"/>
      <c r="N46" s="421"/>
      <c r="O46" s="2264" t="s">
        <v>4641</v>
      </c>
      <c r="R46" s="104" t="s">
        <v>102</v>
      </c>
      <c r="S46" s="421"/>
      <c r="T46" s="421"/>
      <c r="U46" s="421"/>
      <c r="V46" s="421"/>
      <c r="W46" s="421"/>
    </row>
    <row r="47" spans="1:23" x14ac:dyDescent="0.3">
      <c r="A47" s="385"/>
      <c r="B47" s="1212" t="s">
        <v>4702</v>
      </c>
      <c r="C47" s="2951"/>
      <c r="D47" s="2952"/>
      <c r="E47" s="2953"/>
      <c r="F47" s="32"/>
      <c r="G47" s="1620"/>
      <c r="H47" s="1624"/>
      <c r="I47" s="104"/>
      <c r="J47" s="421"/>
      <c r="K47" s="421"/>
      <c r="L47" s="421"/>
      <c r="M47" s="421"/>
      <c r="N47" s="421"/>
      <c r="O47" s="229"/>
      <c r="R47" s="104"/>
      <c r="S47" s="421"/>
      <c r="T47" s="421"/>
      <c r="U47" s="421"/>
      <c r="V47" s="421"/>
      <c r="W47" s="421"/>
    </row>
    <row r="48" spans="1:23" x14ac:dyDescent="0.3">
      <c r="A48" s="2265">
        <v>39</v>
      </c>
      <c r="B48" s="1212" t="s">
        <v>4687</v>
      </c>
      <c r="C48" s="2951" t="s">
        <v>4707</v>
      </c>
      <c r="D48" s="2952"/>
      <c r="E48" s="2953"/>
      <c r="F48" s="32">
        <v>23899</v>
      </c>
      <c r="G48" s="1620">
        <v>3790</v>
      </c>
      <c r="H48" s="1466" t="s">
        <v>4473</v>
      </c>
      <c r="I48" s="104" t="s">
        <v>102</v>
      </c>
      <c r="J48" s="421"/>
      <c r="K48" s="421"/>
      <c r="L48" s="421"/>
      <c r="M48" s="421"/>
      <c r="N48" s="421"/>
      <c r="O48" s="2264" t="s">
        <v>4641</v>
      </c>
      <c r="R48" s="104" t="s">
        <v>102</v>
      </c>
      <c r="S48" s="421"/>
      <c r="T48" s="421"/>
      <c r="U48" s="421"/>
      <c r="V48" s="421"/>
      <c r="W48" s="421"/>
    </row>
    <row r="49" spans="1:60" x14ac:dyDescent="0.3">
      <c r="A49" s="2265">
        <v>40</v>
      </c>
      <c r="B49" s="1212" t="s">
        <v>4708</v>
      </c>
      <c r="C49" s="2951" t="s">
        <v>4709</v>
      </c>
      <c r="D49" s="2952"/>
      <c r="E49" s="2953"/>
      <c r="F49" s="32">
        <v>23899</v>
      </c>
      <c r="G49" s="1620">
        <v>7000</v>
      </c>
      <c r="H49" s="1773" t="s">
        <v>41</v>
      </c>
      <c r="I49" s="104" t="s">
        <v>102</v>
      </c>
      <c r="J49" s="421"/>
      <c r="K49" s="421"/>
      <c r="L49" s="421"/>
      <c r="M49" s="421"/>
      <c r="N49" s="421"/>
      <c r="O49" s="2264" t="s">
        <v>5898</v>
      </c>
      <c r="R49" s="104" t="s">
        <v>102</v>
      </c>
      <c r="S49" s="421"/>
      <c r="T49" s="421"/>
      <c r="U49" s="421"/>
      <c r="V49" s="421"/>
      <c r="W49" s="421"/>
    </row>
    <row r="50" spans="1:60" x14ac:dyDescent="0.3">
      <c r="A50" s="385"/>
      <c r="B50" s="1212" t="s">
        <v>4710</v>
      </c>
      <c r="C50" s="2951"/>
      <c r="D50" s="2952"/>
      <c r="E50" s="2953"/>
      <c r="F50" s="32"/>
      <c r="G50" s="1620"/>
      <c r="H50" s="2427"/>
      <c r="I50" s="385"/>
      <c r="J50" s="421"/>
      <c r="K50" s="421"/>
      <c r="L50" s="421"/>
      <c r="M50" s="421"/>
      <c r="N50" s="421"/>
      <c r="O50" s="229"/>
      <c r="R50" s="385"/>
      <c r="S50" s="421"/>
      <c r="T50" s="421"/>
      <c r="U50" s="421"/>
      <c r="V50" s="421"/>
      <c r="W50" s="421"/>
    </row>
    <row r="51" spans="1:60" x14ac:dyDescent="0.3">
      <c r="A51" s="2265">
        <v>41</v>
      </c>
      <c r="B51" s="1212" t="s">
        <v>4708</v>
      </c>
      <c r="C51" s="2951" t="s">
        <v>4711</v>
      </c>
      <c r="D51" s="2952"/>
      <c r="E51" s="2953"/>
      <c r="F51" s="32">
        <v>23899</v>
      </c>
      <c r="G51" s="1620">
        <v>7000</v>
      </c>
      <c r="H51" s="1466" t="s">
        <v>4473</v>
      </c>
      <c r="I51" s="104" t="s">
        <v>102</v>
      </c>
      <c r="J51" s="421"/>
      <c r="K51" s="421"/>
      <c r="L51" s="421"/>
      <c r="M51" s="421"/>
      <c r="N51" s="421"/>
      <c r="O51" s="2264" t="s">
        <v>4641</v>
      </c>
      <c r="R51" s="104" t="s">
        <v>102</v>
      </c>
      <c r="S51" s="421"/>
      <c r="T51" s="421"/>
      <c r="U51" s="421"/>
      <c r="V51" s="421"/>
      <c r="W51" s="421"/>
    </row>
    <row r="52" spans="1:60" x14ac:dyDescent="0.3">
      <c r="A52" s="385"/>
      <c r="B52" s="1212" t="s">
        <v>4710</v>
      </c>
      <c r="C52" s="2951"/>
      <c r="D52" s="2952"/>
      <c r="E52" s="2953"/>
      <c r="F52" s="32"/>
      <c r="G52" s="1620"/>
      <c r="H52" s="1624"/>
      <c r="I52" s="104"/>
      <c r="J52" s="421"/>
      <c r="K52" s="421"/>
      <c r="L52" s="421"/>
      <c r="M52" s="421"/>
      <c r="N52" s="421"/>
      <c r="O52" s="229"/>
      <c r="R52" s="104"/>
      <c r="S52" s="421"/>
      <c r="T52" s="421"/>
      <c r="U52" s="421"/>
      <c r="V52" s="421"/>
      <c r="W52" s="421"/>
    </row>
    <row r="53" spans="1:60" x14ac:dyDescent="0.3">
      <c r="A53" s="2265">
        <v>42</v>
      </c>
      <c r="B53" s="1212" t="s">
        <v>4712</v>
      </c>
      <c r="C53" s="2951" t="s">
        <v>4713</v>
      </c>
      <c r="D53" s="2952"/>
      <c r="E53" s="2953"/>
      <c r="F53" s="32">
        <v>23899</v>
      </c>
      <c r="G53" s="1620">
        <v>5000</v>
      </c>
      <c r="H53" s="1773" t="s">
        <v>41</v>
      </c>
      <c r="I53" s="104" t="s">
        <v>102</v>
      </c>
      <c r="J53" s="421"/>
      <c r="K53" s="421"/>
      <c r="L53" s="421"/>
      <c r="M53" s="421"/>
      <c r="N53" s="421"/>
      <c r="O53" s="2264" t="s">
        <v>5899</v>
      </c>
      <c r="R53" s="104" t="s">
        <v>102</v>
      </c>
      <c r="S53" s="421"/>
      <c r="T53" s="421"/>
      <c r="U53" s="421"/>
      <c r="V53" s="421"/>
      <c r="W53" s="421"/>
    </row>
    <row r="54" spans="1:60" x14ac:dyDescent="0.3">
      <c r="A54" s="385"/>
      <c r="B54" s="1212" t="s">
        <v>4714</v>
      </c>
      <c r="C54" s="2951"/>
      <c r="D54" s="2952"/>
      <c r="E54" s="2953"/>
      <c r="F54" s="32"/>
      <c r="G54" s="1620"/>
      <c r="H54" s="2427"/>
      <c r="I54" s="385"/>
      <c r="J54" s="421"/>
      <c r="K54" s="421"/>
      <c r="L54" s="421"/>
      <c r="M54" s="421"/>
      <c r="N54" s="421"/>
      <c r="O54" s="229"/>
      <c r="R54" s="385"/>
      <c r="S54" s="421"/>
      <c r="T54" s="421"/>
      <c r="U54" s="421"/>
      <c r="V54" s="421"/>
      <c r="W54" s="421"/>
    </row>
    <row r="55" spans="1:60" x14ac:dyDescent="0.3">
      <c r="A55" s="2265">
        <v>43</v>
      </c>
      <c r="B55" s="1212" t="s">
        <v>4715</v>
      </c>
      <c r="C55" s="2951" t="s">
        <v>4716</v>
      </c>
      <c r="D55" s="2952"/>
      <c r="E55" s="2953"/>
      <c r="F55" s="32">
        <v>23899</v>
      </c>
      <c r="G55" s="1620">
        <v>3000</v>
      </c>
      <c r="H55" s="1773" t="s">
        <v>41</v>
      </c>
      <c r="I55" s="104" t="s">
        <v>102</v>
      </c>
      <c r="J55" s="421"/>
      <c r="K55" s="421"/>
      <c r="L55" s="421"/>
      <c r="M55" s="421"/>
      <c r="N55" s="421"/>
      <c r="O55" s="2264" t="s">
        <v>115</v>
      </c>
      <c r="R55" s="104" t="s">
        <v>102</v>
      </c>
      <c r="S55" s="421"/>
      <c r="T55" s="421"/>
      <c r="U55" s="421"/>
      <c r="V55" s="421"/>
      <c r="W55" s="421"/>
    </row>
    <row r="56" spans="1:60" x14ac:dyDescent="0.3">
      <c r="A56" s="2265">
        <v>44</v>
      </c>
      <c r="B56" s="1212" t="s">
        <v>4715</v>
      </c>
      <c r="C56" s="2951" t="s">
        <v>4717</v>
      </c>
      <c r="D56" s="2952"/>
      <c r="E56" s="2953"/>
      <c r="F56" s="32">
        <v>23899</v>
      </c>
      <c r="G56" s="1620">
        <v>3000</v>
      </c>
      <c r="H56" s="1773" t="s">
        <v>41</v>
      </c>
      <c r="I56" s="104" t="s">
        <v>102</v>
      </c>
      <c r="J56" s="421"/>
      <c r="K56" s="421"/>
      <c r="L56" s="421"/>
      <c r="M56" s="421"/>
      <c r="N56" s="421"/>
      <c r="O56" s="2264" t="s">
        <v>5898</v>
      </c>
      <c r="R56" s="104" t="s">
        <v>102</v>
      </c>
      <c r="S56" s="421"/>
      <c r="T56" s="421"/>
      <c r="U56" s="421"/>
      <c r="V56" s="421"/>
      <c r="W56" s="421"/>
    </row>
    <row r="57" spans="1:60" x14ac:dyDescent="0.3">
      <c r="A57" s="2265">
        <v>45</v>
      </c>
      <c r="B57" s="1212" t="s">
        <v>4715</v>
      </c>
      <c r="C57" s="2951" t="s">
        <v>4718</v>
      </c>
      <c r="D57" s="2952"/>
      <c r="E57" s="2953"/>
      <c r="F57" s="32">
        <v>23899</v>
      </c>
      <c r="G57" s="1620">
        <v>3000</v>
      </c>
      <c r="H57" s="1829" t="s">
        <v>4201</v>
      </c>
      <c r="I57" s="104" t="s">
        <v>102</v>
      </c>
      <c r="J57" s="421"/>
      <c r="K57" s="421"/>
      <c r="L57" s="421"/>
      <c r="M57" s="421"/>
      <c r="N57" s="421"/>
      <c r="O57" s="229"/>
      <c r="R57" s="104" t="s">
        <v>102</v>
      </c>
      <c r="S57" s="421"/>
      <c r="T57" s="421"/>
      <c r="U57" s="421"/>
      <c r="V57" s="421"/>
      <c r="W57" s="421"/>
    </row>
    <row r="58" spans="1:60" x14ac:dyDescent="0.3">
      <c r="A58" s="2265">
        <v>46</v>
      </c>
      <c r="B58" s="1212" t="s">
        <v>4715</v>
      </c>
      <c r="C58" s="2951" t="s">
        <v>4719</v>
      </c>
      <c r="D58" s="2952"/>
      <c r="E58" s="2953"/>
      <c r="F58" s="32">
        <v>23899</v>
      </c>
      <c r="G58" s="1620">
        <v>3000</v>
      </c>
      <c r="H58" s="1466" t="s">
        <v>4473</v>
      </c>
      <c r="I58" s="104" t="s">
        <v>102</v>
      </c>
      <c r="J58" s="421"/>
      <c r="K58" s="421"/>
      <c r="L58" s="421"/>
      <c r="M58" s="421"/>
      <c r="N58" s="421"/>
      <c r="O58" s="2264" t="s">
        <v>4641</v>
      </c>
      <c r="R58" s="104" t="s">
        <v>102</v>
      </c>
      <c r="S58" s="421"/>
      <c r="T58" s="421"/>
      <c r="U58" s="421"/>
      <c r="V58" s="421"/>
      <c r="W58" s="421"/>
    </row>
    <row r="59" spans="1:60" x14ac:dyDescent="0.3">
      <c r="A59" s="2265">
        <v>47</v>
      </c>
      <c r="B59" s="1212" t="s">
        <v>4720</v>
      </c>
      <c r="C59" s="2951" t="s">
        <v>4721</v>
      </c>
      <c r="D59" s="2952"/>
      <c r="E59" s="2953"/>
      <c r="F59" s="32">
        <v>23899</v>
      </c>
      <c r="G59" s="1620">
        <v>16500</v>
      </c>
      <c r="H59" s="1466" t="s">
        <v>4473</v>
      </c>
      <c r="I59" s="104" t="s">
        <v>102</v>
      </c>
      <c r="J59" s="421"/>
      <c r="K59" s="421"/>
      <c r="L59" s="421"/>
      <c r="M59" s="421"/>
      <c r="N59" s="421"/>
      <c r="O59" s="2264" t="s">
        <v>4641</v>
      </c>
      <c r="R59" s="104" t="s">
        <v>102</v>
      </c>
      <c r="S59" s="421"/>
      <c r="T59" s="421"/>
      <c r="U59" s="421"/>
      <c r="V59" s="421"/>
      <c r="W59" s="421"/>
    </row>
    <row r="60" spans="1:60" x14ac:dyDescent="0.3">
      <c r="A60" s="385"/>
      <c r="B60" s="1212" t="s">
        <v>4722</v>
      </c>
      <c r="C60" s="2951"/>
      <c r="D60" s="2952"/>
      <c r="E60" s="2953"/>
      <c r="F60" s="32"/>
      <c r="G60" s="1623"/>
      <c r="H60" s="1624"/>
      <c r="I60" s="385"/>
      <c r="J60" s="421"/>
      <c r="K60" s="421"/>
      <c r="L60" s="421"/>
      <c r="M60" s="421"/>
      <c r="N60" s="421"/>
      <c r="O60" s="229"/>
      <c r="R60" s="385"/>
      <c r="S60" s="421"/>
      <c r="T60" s="421"/>
      <c r="U60" s="421"/>
      <c r="V60" s="421"/>
      <c r="W60" s="421"/>
    </row>
    <row r="61" spans="1:60" x14ac:dyDescent="0.3">
      <c r="A61" s="2266">
        <v>48</v>
      </c>
      <c r="B61" s="1625" t="s">
        <v>4710</v>
      </c>
      <c r="C61" s="216" t="s">
        <v>4723</v>
      </c>
      <c r="D61" s="416">
        <v>66</v>
      </c>
      <c r="E61" s="217" t="s">
        <v>4724</v>
      </c>
      <c r="F61" s="32">
        <v>24162</v>
      </c>
      <c r="G61" s="1626">
        <v>40660</v>
      </c>
      <c r="H61" s="1830" t="s">
        <v>4725</v>
      </c>
      <c r="I61" s="104" t="s">
        <v>102</v>
      </c>
      <c r="J61" s="421"/>
      <c r="K61" s="421"/>
      <c r="L61" s="421"/>
      <c r="M61" s="421"/>
      <c r="N61" s="421"/>
      <c r="O61" s="2264" t="s">
        <v>4726</v>
      </c>
      <c r="P61" s="1606" t="s">
        <v>5881</v>
      </c>
      <c r="R61" s="104" t="s">
        <v>102</v>
      </c>
      <c r="S61" s="421"/>
      <c r="T61" s="421"/>
      <c r="U61" s="421"/>
      <c r="V61" s="421"/>
      <c r="W61" s="421"/>
    </row>
    <row r="62" spans="1:60" x14ac:dyDescent="0.3">
      <c r="A62" s="2266">
        <v>49</v>
      </c>
      <c r="B62" s="1627" t="s">
        <v>4727</v>
      </c>
      <c r="C62" s="216" t="s">
        <v>4723</v>
      </c>
      <c r="D62" s="416">
        <v>66</v>
      </c>
      <c r="E62" s="217" t="s">
        <v>4728</v>
      </c>
      <c r="F62" s="32">
        <v>243503</v>
      </c>
      <c r="G62" s="1628">
        <v>17498.43</v>
      </c>
      <c r="H62" s="1831" t="s">
        <v>4729</v>
      </c>
      <c r="I62" s="104" t="s">
        <v>102</v>
      </c>
      <c r="J62" s="421"/>
      <c r="K62" s="421"/>
      <c r="L62" s="421"/>
      <c r="M62" s="421"/>
      <c r="N62" s="421"/>
      <c r="O62" s="229"/>
      <c r="R62" s="104" t="s">
        <v>102</v>
      </c>
      <c r="S62" s="421"/>
      <c r="T62" s="421"/>
      <c r="U62" s="421"/>
      <c r="V62" s="421"/>
      <c r="W62" s="421"/>
    </row>
    <row r="63" spans="1:60" ht="16.2" thickBot="1" x14ac:dyDescent="0.35">
      <c r="A63" s="2295">
        <v>50</v>
      </c>
      <c r="B63" s="1146" t="s">
        <v>4727</v>
      </c>
      <c r="C63" s="1629" t="s">
        <v>4723</v>
      </c>
      <c r="D63" s="1630">
        <v>66</v>
      </c>
      <c r="E63" s="217" t="s">
        <v>4730</v>
      </c>
      <c r="F63" s="1617">
        <v>243503</v>
      </c>
      <c r="G63" s="1631">
        <v>17498.43</v>
      </c>
      <c r="H63" s="1830" t="s">
        <v>4729</v>
      </c>
      <c r="I63" s="104" t="s">
        <v>102</v>
      </c>
      <c r="J63" s="421"/>
      <c r="K63" s="248"/>
      <c r="L63" s="248"/>
      <c r="M63" s="248"/>
      <c r="N63" s="248"/>
      <c r="O63" s="146"/>
      <c r="R63" s="104" t="s">
        <v>102</v>
      </c>
      <c r="S63" s="421"/>
      <c r="T63" s="248"/>
      <c r="U63" s="248"/>
      <c r="V63" s="248"/>
      <c r="W63" s="248"/>
    </row>
    <row r="64" spans="1:60" s="1180" customFormat="1" x14ac:dyDescent="0.3">
      <c r="A64" s="2266">
        <v>51</v>
      </c>
      <c r="B64" s="1632" t="s">
        <v>4731</v>
      </c>
      <c r="C64" s="1310" t="s">
        <v>4723</v>
      </c>
      <c r="D64" s="1311" t="s">
        <v>21</v>
      </c>
      <c r="E64" s="1333" t="s">
        <v>4732</v>
      </c>
      <c r="F64" s="170">
        <v>243572</v>
      </c>
      <c r="G64" s="813">
        <v>13750</v>
      </c>
      <c r="H64" s="1633" t="s">
        <v>101</v>
      </c>
      <c r="I64" s="2291" t="s">
        <v>25</v>
      </c>
      <c r="J64" s="390"/>
      <c r="K64" s="1283"/>
      <c r="L64" s="390"/>
      <c r="M64" s="390"/>
      <c r="N64" s="390"/>
      <c r="O64" s="2314" t="s">
        <v>5865</v>
      </c>
      <c r="R64" s="2291" t="s">
        <v>25</v>
      </c>
      <c r="S64" s="390"/>
      <c r="T64" s="1283"/>
      <c r="U64" s="390"/>
      <c r="V64" s="390"/>
      <c r="W64" s="390"/>
      <c r="AA64" s="1286"/>
      <c r="AB64" s="1286"/>
      <c r="AC64" s="1286"/>
      <c r="AD64" s="1286"/>
      <c r="AE64" s="1286"/>
      <c r="AF64" s="1286"/>
      <c r="AG64" s="1286"/>
      <c r="AH64" s="1286"/>
      <c r="AI64" s="1286"/>
      <c r="AJ64" s="1286"/>
      <c r="AK64" s="1286"/>
      <c r="AL64" s="1286"/>
      <c r="AM64" s="1286"/>
      <c r="AN64" s="1286"/>
      <c r="AO64" s="1286"/>
      <c r="AP64" s="1286"/>
      <c r="AQ64" s="1286"/>
      <c r="AR64" s="1286"/>
      <c r="AS64" s="1286"/>
      <c r="AT64" s="1286"/>
      <c r="AU64" s="1286"/>
      <c r="AV64" s="1286"/>
      <c r="AW64" s="1286"/>
      <c r="AX64" s="1286"/>
      <c r="AY64" s="1286"/>
      <c r="AZ64" s="1286"/>
      <c r="BA64" s="1286"/>
      <c r="BB64" s="1286"/>
      <c r="BC64" s="1286"/>
      <c r="BD64" s="1286"/>
      <c r="BE64" s="1286"/>
      <c r="BF64" s="1286"/>
      <c r="BG64" s="1286"/>
      <c r="BH64" s="1286"/>
    </row>
    <row r="65" spans="1:60" s="1180" customFormat="1" x14ac:dyDescent="0.3">
      <c r="A65" s="2266">
        <v>52</v>
      </c>
      <c r="B65" s="1634" t="s">
        <v>4733</v>
      </c>
      <c r="C65" s="1310" t="s">
        <v>4723</v>
      </c>
      <c r="D65" s="1311" t="s">
        <v>21</v>
      </c>
      <c r="E65" s="1333" t="s">
        <v>4734</v>
      </c>
      <c r="F65" s="170">
        <v>243572</v>
      </c>
      <c r="G65" s="813">
        <v>1190</v>
      </c>
      <c r="H65" s="1633" t="s">
        <v>101</v>
      </c>
      <c r="I65" s="2291" t="s">
        <v>25</v>
      </c>
      <c r="J65" s="390"/>
      <c r="K65" s="1307"/>
      <c r="L65" s="390"/>
      <c r="M65" s="390"/>
      <c r="N65" s="390"/>
      <c r="O65" s="2314" t="s">
        <v>131</v>
      </c>
      <c r="R65" s="2291" t="s">
        <v>25</v>
      </c>
      <c r="S65" s="390"/>
      <c r="T65" s="1307"/>
      <c r="U65" s="390"/>
      <c r="V65" s="390"/>
      <c r="W65" s="390"/>
      <c r="AA65" s="1286"/>
      <c r="AB65" s="1286"/>
      <c r="AC65" s="1286"/>
      <c r="AD65" s="1286"/>
      <c r="AE65" s="1286"/>
      <c r="AF65" s="1286"/>
      <c r="AG65" s="1286"/>
      <c r="AH65" s="1286"/>
      <c r="AI65" s="1286"/>
      <c r="AJ65" s="1286"/>
      <c r="AK65" s="1286"/>
      <c r="AL65" s="1286"/>
      <c r="AM65" s="1286"/>
      <c r="AN65" s="1286"/>
      <c r="AO65" s="1286"/>
      <c r="AP65" s="1286"/>
      <c r="AQ65" s="1286"/>
      <c r="AR65" s="1286"/>
      <c r="AS65" s="1286"/>
      <c r="AT65" s="1286"/>
      <c r="AU65" s="1286"/>
      <c r="AV65" s="1286"/>
      <c r="AW65" s="1286"/>
      <c r="AX65" s="1286"/>
      <c r="AY65" s="1286"/>
      <c r="AZ65" s="1286"/>
      <c r="BA65" s="1286"/>
      <c r="BB65" s="1286"/>
      <c r="BC65" s="1286"/>
      <c r="BD65" s="1286"/>
      <c r="BE65" s="1286"/>
      <c r="BF65" s="1286"/>
      <c r="BG65" s="1286"/>
      <c r="BH65" s="1286"/>
    </row>
    <row r="66" spans="1:60" s="1180" customFormat="1" x14ac:dyDescent="0.3">
      <c r="A66" s="2295">
        <v>53</v>
      </c>
      <c r="B66" s="1634" t="s">
        <v>4733</v>
      </c>
      <c r="C66" s="1310" t="s">
        <v>4723</v>
      </c>
      <c r="D66" s="1311" t="s">
        <v>21</v>
      </c>
      <c r="E66" s="1333" t="s">
        <v>4735</v>
      </c>
      <c r="F66" s="170">
        <v>243572</v>
      </c>
      <c r="G66" s="813">
        <v>1190</v>
      </c>
      <c r="H66" s="1633" t="s">
        <v>101</v>
      </c>
      <c r="I66" s="2291" t="s">
        <v>25</v>
      </c>
      <c r="J66" s="390"/>
      <c r="K66" s="1307"/>
      <c r="L66" s="390"/>
      <c r="M66" s="390"/>
      <c r="N66" s="390"/>
      <c r="O66" s="2314" t="s">
        <v>5865</v>
      </c>
      <c r="P66" s="2326"/>
      <c r="R66" s="2291" t="s">
        <v>25</v>
      </c>
      <c r="S66" s="390"/>
      <c r="T66" s="1307"/>
      <c r="U66" s="390"/>
      <c r="V66" s="390"/>
      <c r="W66" s="390"/>
      <c r="AA66" s="1286"/>
      <c r="AB66" s="1286"/>
      <c r="AC66" s="1286"/>
      <c r="AD66" s="1286"/>
      <c r="AE66" s="1286"/>
      <c r="AF66" s="1286"/>
      <c r="AG66" s="1286"/>
      <c r="AH66" s="1286"/>
      <c r="AI66" s="1286"/>
      <c r="AJ66" s="1286"/>
      <c r="AK66" s="1286"/>
      <c r="AL66" s="1286"/>
      <c r="AM66" s="1286"/>
      <c r="AN66" s="1286"/>
      <c r="AO66" s="1286"/>
      <c r="AP66" s="1286"/>
      <c r="AQ66" s="1286"/>
      <c r="AR66" s="1286"/>
      <c r="AS66" s="1286"/>
      <c r="AT66" s="1286"/>
      <c r="AU66" s="1286"/>
      <c r="AV66" s="1286"/>
      <c r="AW66" s="1286"/>
      <c r="AX66" s="1286"/>
      <c r="AY66" s="1286"/>
      <c r="AZ66" s="1286"/>
      <c r="BA66" s="1286"/>
      <c r="BB66" s="1286"/>
      <c r="BC66" s="1286"/>
      <c r="BD66" s="1286"/>
      <c r="BE66" s="1286"/>
      <c r="BF66" s="1286"/>
      <c r="BG66" s="1286"/>
      <c r="BH66" s="1286"/>
    </row>
    <row r="67" spans="1:60" s="1180" customFormat="1" x14ac:dyDescent="0.3">
      <c r="A67" s="2266">
        <v>54</v>
      </c>
      <c r="B67" s="1634" t="s">
        <v>4733</v>
      </c>
      <c r="C67" s="1310" t="s">
        <v>4723</v>
      </c>
      <c r="D67" s="1311" t="s">
        <v>21</v>
      </c>
      <c r="E67" s="1333" t="s">
        <v>4736</v>
      </c>
      <c r="F67" s="170">
        <v>243572</v>
      </c>
      <c r="G67" s="813">
        <v>1190</v>
      </c>
      <c r="H67" s="1633" t="s">
        <v>101</v>
      </c>
      <c r="I67" s="2291" t="s">
        <v>25</v>
      </c>
      <c r="J67" s="390"/>
      <c r="K67" s="1307"/>
      <c r="L67" s="390"/>
      <c r="M67" s="390"/>
      <c r="N67" s="390"/>
      <c r="O67" s="2314" t="s">
        <v>126</v>
      </c>
      <c r="P67" s="2326"/>
      <c r="R67" s="2291" t="s">
        <v>25</v>
      </c>
      <c r="S67" s="390"/>
      <c r="T67" s="1307"/>
      <c r="U67" s="390"/>
      <c r="V67" s="390"/>
      <c r="W67" s="390"/>
      <c r="AA67" s="1286"/>
      <c r="AB67" s="1286"/>
      <c r="AC67" s="1286"/>
      <c r="AD67" s="1286"/>
      <c r="AE67" s="1286"/>
      <c r="AF67" s="1286"/>
      <c r="AG67" s="1286"/>
      <c r="AH67" s="1286"/>
      <c r="AI67" s="1286"/>
      <c r="AJ67" s="1286"/>
      <c r="AK67" s="1286"/>
      <c r="AL67" s="1286"/>
      <c r="AM67" s="1286"/>
      <c r="AN67" s="1286"/>
      <c r="AO67" s="1286"/>
      <c r="AP67" s="1286"/>
      <c r="AQ67" s="1286"/>
      <c r="AR67" s="1286"/>
      <c r="AS67" s="1286"/>
      <c r="AT67" s="1286"/>
      <c r="AU67" s="1286"/>
      <c r="AV67" s="1286"/>
      <c r="AW67" s="1286"/>
      <c r="AX67" s="1286"/>
      <c r="AY67" s="1286"/>
      <c r="AZ67" s="1286"/>
      <c r="BA67" s="1286"/>
      <c r="BB67" s="1286"/>
      <c r="BC67" s="1286"/>
      <c r="BD67" s="1286"/>
      <c r="BE67" s="1286"/>
      <c r="BF67" s="1286"/>
      <c r="BG67" s="1286"/>
      <c r="BH67" s="1286"/>
    </row>
    <row r="68" spans="1:60" s="1180" customFormat="1" x14ac:dyDescent="0.3">
      <c r="A68" s="2266">
        <v>55</v>
      </c>
      <c r="B68" s="1634" t="s">
        <v>4737</v>
      </c>
      <c r="C68" s="1310" t="s">
        <v>4723</v>
      </c>
      <c r="D68" s="1311" t="s">
        <v>21</v>
      </c>
      <c r="E68" s="1333" t="s">
        <v>4738</v>
      </c>
      <c r="F68" s="170">
        <v>243572</v>
      </c>
      <c r="G68" s="813">
        <v>1790</v>
      </c>
      <c r="H68" s="1635" t="s">
        <v>4739</v>
      </c>
      <c r="I68" s="2291" t="s">
        <v>25</v>
      </c>
      <c r="J68" s="390"/>
      <c r="K68" s="390"/>
      <c r="L68" s="390"/>
      <c r="M68" s="390"/>
      <c r="N68" s="390"/>
      <c r="O68" s="2315" t="s">
        <v>5861</v>
      </c>
      <c r="R68" s="2291" t="s">
        <v>25</v>
      </c>
      <c r="S68" s="390"/>
      <c r="T68" s="390"/>
      <c r="U68" s="390"/>
      <c r="V68" s="390"/>
      <c r="W68" s="390"/>
      <c r="AA68" s="1636"/>
      <c r="AB68" s="1636"/>
      <c r="AC68" s="1636"/>
      <c r="AD68" s="1636"/>
      <c r="AE68" s="1636"/>
      <c r="AF68" s="1636"/>
      <c r="AG68" s="1636"/>
      <c r="AH68" s="1636"/>
      <c r="AI68" s="1636"/>
      <c r="AJ68" s="1636"/>
      <c r="AK68" s="1636"/>
      <c r="AL68" s="1636"/>
      <c r="AM68" s="1636"/>
      <c r="AN68" s="1636"/>
      <c r="AO68" s="1636"/>
      <c r="AP68" s="1636"/>
      <c r="AQ68" s="1636"/>
      <c r="AR68" s="1636"/>
      <c r="AS68" s="1636"/>
      <c r="AT68" s="1636"/>
      <c r="AU68" s="1636"/>
      <c r="AV68" s="1636"/>
      <c r="AW68" s="1636"/>
      <c r="AX68" s="1636"/>
      <c r="AY68" s="1636"/>
      <c r="AZ68" s="1636"/>
      <c r="BA68" s="1636"/>
      <c r="BB68" s="1636"/>
      <c r="BC68" s="1636"/>
      <c r="BD68" s="1636"/>
      <c r="BE68" s="1636"/>
      <c r="BF68" s="1636"/>
      <c r="BG68" s="1636"/>
      <c r="BH68" s="1636"/>
    </row>
    <row r="69" spans="1:60" s="1180" customFormat="1" x14ac:dyDescent="0.3">
      <c r="A69" s="2295">
        <v>56</v>
      </c>
      <c r="B69" s="390" t="s">
        <v>4740</v>
      </c>
      <c r="C69" s="1310" t="s">
        <v>4723</v>
      </c>
      <c r="D69" s="1311" t="s">
        <v>21</v>
      </c>
      <c r="E69" s="1333" t="s">
        <v>4741</v>
      </c>
      <c r="F69" s="170">
        <v>243572</v>
      </c>
      <c r="G69" s="813">
        <v>28200</v>
      </c>
      <c r="H69" s="1832" t="s">
        <v>4742</v>
      </c>
      <c r="I69" s="2291" t="s">
        <v>25</v>
      </c>
      <c r="J69" s="390"/>
      <c r="K69" s="390"/>
      <c r="L69" s="390"/>
      <c r="M69" s="390"/>
      <c r="N69" s="390"/>
      <c r="O69" s="2316" t="s">
        <v>5863</v>
      </c>
      <c r="R69" s="2291" t="s">
        <v>25</v>
      </c>
      <c r="S69" s="390"/>
      <c r="T69" s="390"/>
      <c r="U69" s="390"/>
      <c r="V69" s="390"/>
      <c r="W69" s="390"/>
      <c r="AA69" s="1316"/>
      <c r="AB69" s="1316"/>
      <c r="AC69" s="1316"/>
      <c r="AD69" s="1316"/>
      <c r="AE69" s="1316"/>
      <c r="AF69" s="1316"/>
      <c r="AG69" s="1316"/>
      <c r="AH69" s="1316"/>
      <c r="AI69" s="1316"/>
      <c r="AJ69" s="1316"/>
      <c r="AK69" s="1316"/>
      <c r="AL69" s="1316"/>
      <c r="AM69" s="1316"/>
      <c r="AN69" s="1316"/>
      <c r="AO69" s="1316"/>
      <c r="AP69" s="1316"/>
      <c r="AQ69" s="1316"/>
      <c r="AR69" s="1316"/>
      <c r="AS69" s="1316"/>
      <c r="AT69" s="1316"/>
      <c r="AU69" s="1316"/>
      <c r="AV69" s="1316"/>
      <c r="AW69" s="1316"/>
      <c r="AX69" s="1316"/>
      <c r="AY69" s="1316"/>
      <c r="AZ69" s="1316"/>
      <c r="BA69" s="1316"/>
      <c r="BB69" s="1316"/>
      <c r="BC69" s="1316"/>
      <c r="BD69" s="1316"/>
      <c r="BE69" s="1316"/>
      <c r="BF69" s="1316"/>
      <c r="BG69" s="1316"/>
      <c r="BH69" s="1316"/>
    </row>
    <row r="70" spans="1:60" s="1180" customFormat="1" x14ac:dyDescent="0.3">
      <c r="A70" s="2266">
        <v>57</v>
      </c>
      <c r="B70" s="390" t="s">
        <v>4743</v>
      </c>
      <c r="C70" s="1310" t="s">
        <v>4723</v>
      </c>
      <c r="D70" s="1311" t="s">
        <v>21</v>
      </c>
      <c r="E70" s="1333" t="s">
        <v>4744</v>
      </c>
      <c r="F70" s="170">
        <v>243572</v>
      </c>
      <c r="G70" s="813">
        <v>2800</v>
      </c>
      <c r="H70" s="1832" t="s">
        <v>4742</v>
      </c>
      <c r="I70" s="2291" t="s">
        <v>25</v>
      </c>
      <c r="J70" s="390"/>
      <c r="K70" s="390"/>
      <c r="L70" s="390"/>
      <c r="M70" s="390"/>
      <c r="N70" s="390"/>
      <c r="O70" s="2316" t="s">
        <v>5862</v>
      </c>
      <c r="R70" s="2291" t="s">
        <v>25</v>
      </c>
      <c r="S70" s="390"/>
      <c r="T70" s="390"/>
      <c r="U70" s="390"/>
      <c r="V70" s="390"/>
      <c r="W70" s="390"/>
      <c r="AA70" s="1316"/>
      <c r="AB70" s="1316"/>
      <c r="AC70" s="1316"/>
      <c r="AD70" s="1316"/>
      <c r="AE70" s="1316"/>
      <c r="AF70" s="1316"/>
      <c r="AG70" s="1316"/>
      <c r="AH70" s="1316"/>
      <c r="AI70" s="1316"/>
      <c r="AJ70" s="1316"/>
      <c r="AK70" s="1316"/>
      <c r="AL70" s="1316"/>
      <c r="AM70" s="1316"/>
      <c r="AN70" s="1316"/>
      <c r="AO70" s="1316"/>
      <c r="AP70" s="1316"/>
      <c r="AQ70" s="1316"/>
      <c r="AR70" s="1316"/>
      <c r="AS70" s="1316"/>
      <c r="AT70" s="1316"/>
      <c r="AU70" s="1316"/>
      <c r="AV70" s="1316"/>
      <c r="AW70" s="1316"/>
      <c r="AX70" s="1316"/>
      <c r="AY70" s="1316"/>
      <c r="AZ70" s="1316"/>
      <c r="BA70" s="1316"/>
      <c r="BB70" s="1316"/>
      <c r="BC70" s="1316"/>
      <c r="BD70" s="1316"/>
      <c r="BE70" s="1316"/>
      <c r="BF70" s="1316"/>
      <c r="BG70" s="1316"/>
      <c r="BH70" s="1316"/>
    </row>
    <row r="71" spans="1:60" s="1180" customFormat="1" x14ac:dyDescent="0.3">
      <c r="A71" s="2266">
        <v>58</v>
      </c>
      <c r="B71" s="1637" t="s">
        <v>4745</v>
      </c>
      <c r="C71" s="1310" t="s">
        <v>4723</v>
      </c>
      <c r="D71" s="1311" t="s">
        <v>21</v>
      </c>
      <c r="E71" s="1333" t="s">
        <v>4746</v>
      </c>
      <c r="F71" s="170">
        <v>243572</v>
      </c>
      <c r="G71" s="813">
        <v>6900</v>
      </c>
      <c r="H71" s="1832" t="s">
        <v>4742</v>
      </c>
      <c r="I71" s="2291" t="s">
        <v>25</v>
      </c>
      <c r="J71" s="390"/>
      <c r="K71" s="390"/>
      <c r="L71" s="390"/>
      <c r="M71" s="390"/>
      <c r="N71" s="390"/>
      <c r="O71" s="2316" t="s">
        <v>5862</v>
      </c>
      <c r="R71" s="2291" t="s">
        <v>25</v>
      </c>
      <c r="S71" s="390"/>
      <c r="T71" s="390"/>
      <c r="U71" s="390"/>
      <c r="V71" s="390"/>
      <c r="W71" s="390"/>
      <c r="AA71" s="1316"/>
      <c r="AB71" s="1316"/>
      <c r="AC71" s="1316"/>
      <c r="AD71" s="1316"/>
      <c r="AE71" s="1316"/>
      <c r="AF71" s="1316"/>
      <c r="AG71" s="1316"/>
      <c r="AH71" s="1316"/>
      <c r="AI71" s="1316"/>
      <c r="AJ71" s="1316"/>
      <c r="AK71" s="1316"/>
      <c r="AL71" s="1316"/>
      <c r="AM71" s="1316"/>
      <c r="AN71" s="1316"/>
      <c r="AO71" s="1316"/>
      <c r="AP71" s="1316"/>
      <c r="AQ71" s="1316"/>
      <c r="AR71" s="1316"/>
      <c r="AS71" s="1316"/>
      <c r="AT71" s="1316"/>
      <c r="AU71" s="1316"/>
      <c r="AV71" s="1316"/>
      <c r="AW71" s="1316"/>
      <c r="AX71" s="1316"/>
      <c r="AY71" s="1316"/>
      <c r="AZ71" s="1316"/>
      <c r="BA71" s="1316"/>
      <c r="BB71" s="1316"/>
      <c r="BC71" s="1316"/>
      <c r="BD71" s="1316"/>
      <c r="BE71" s="1316"/>
      <c r="BF71" s="1316"/>
      <c r="BG71" s="1316"/>
      <c r="BH71" s="1316"/>
    </row>
    <row r="72" spans="1:60" s="1180" customFormat="1" x14ac:dyDescent="0.3">
      <c r="A72" s="2317">
        <v>59</v>
      </c>
      <c r="B72" s="1312" t="s">
        <v>4737</v>
      </c>
      <c r="C72" s="2318" t="s">
        <v>4723</v>
      </c>
      <c r="D72" s="2319" t="s">
        <v>21</v>
      </c>
      <c r="E72" s="2320" t="s">
        <v>4747</v>
      </c>
      <c r="F72" s="2321">
        <v>243572</v>
      </c>
      <c r="G72" s="2322">
        <v>1790</v>
      </c>
      <c r="H72" s="2323" t="s">
        <v>4742</v>
      </c>
      <c r="I72" s="2324" t="s">
        <v>25</v>
      </c>
      <c r="J72" s="1312"/>
      <c r="K72" s="1312"/>
      <c r="L72" s="1312"/>
      <c r="M72" s="1312"/>
      <c r="N72" s="1312"/>
      <c r="O72" s="2325" t="s">
        <v>5862</v>
      </c>
      <c r="R72" s="2324" t="s">
        <v>25</v>
      </c>
      <c r="S72" s="1312"/>
      <c r="T72" s="1312"/>
      <c r="U72" s="1312"/>
      <c r="V72" s="1312"/>
      <c r="W72" s="1312"/>
      <c r="AA72" s="1316"/>
      <c r="AB72" s="1316"/>
      <c r="AC72" s="1316"/>
      <c r="AD72" s="1316"/>
      <c r="AE72" s="1316"/>
      <c r="AF72" s="1316"/>
      <c r="AG72" s="1316"/>
      <c r="AH72" s="1316"/>
      <c r="AI72" s="1316"/>
      <c r="AJ72" s="1316"/>
      <c r="AK72" s="1316"/>
      <c r="AL72" s="1316"/>
      <c r="AM72" s="1316"/>
      <c r="AN72" s="1316"/>
      <c r="AO72" s="1316"/>
      <c r="AP72" s="1316"/>
      <c r="AQ72" s="1316"/>
      <c r="AR72" s="1316"/>
      <c r="AS72" s="1316"/>
      <c r="AT72" s="1316"/>
      <c r="AU72" s="1316"/>
      <c r="AV72" s="1316"/>
      <c r="AW72" s="1316"/>
      <c r="AX72" s="1316"/>
      <c r="AY72" s="1316"/>
      <c r="AZ72" s="1316"/>
      <c r="BA72" s="1316"/>
      <c r="BB72" s="1316"/>
      <c r="BC72" s="1316"/>
      <c r="BD72" s="1316"/>
      <c r="BE72" s="1316"/>
      <c r="BF72" s="1316"/>
      <c r="BG72" s="1316"/>
      <c r="BH72" s="1316"/>
    </row>
    <row r="73" spans="1:60" s="1180" customFormat="1" ht="17.399999999999999" x14ac:dyDescent="0.45">
      <c r="A73" s="1314"/>
      <c r="C73" s="1181"/>
      <c r="D73" s="1182"/>
      <c r="E73" s="1182"/>
      <c r="F73" s="1183"/>
      <c r="G73" s="1638">
        <f>SUM(G7:G72)</f>
        <v>673064.96000000008</v>
      </c>
      <c r="H73" s="1639"/>
      <c r="K73" s="1640"/>
      <c r="L73" s="1640"/>
      <c r="M73" s="1640"/>
      <c r="N73" s="1640"/>
      <c r="O73" s="1641"/>
      <c r="T73" s="1640"/>
      <c r="U73" s="1640"/>
      <c r="V73" s="1640"/>
      <c r="W73" s="1640"/>
      <c r="AA73" s="1316"/>
      <c r="AB73" s="1316"/>
      <c r="AC73" s="1316"/>
      <c r="AD73" s="1316"/>
      <c r="AE73" s="1316"/>
      <c r="AF73" s="1316"/>
      <c r="AG73" s="1316"/>
      <c r="AH73" s="1316"/>
      <c r="AI73" s="1316"/>
      <c r="AJ73" s="1316"/>
      <c r="AK73" s="1316"/>
      <c r="AL73" s="1316"/>
      <c r="AM73" s="1316"/>
      <c r="AN73" s="1316"/>
      <c r="AO73" s="1316"/>
      <c r="AP73" s="1316"/>
      <c r="AQ73" s="1316"/>
      <c r="AR73" s="1316"/>
      <c r="AS73" s="1316"/>
      <c r="AT73" s="1316"/>
      <c r="AU73" s="1316"/>
      <c r="AV73" s="1316"/>
      <c r="AW73" s="1316"/>
      <c r="AX73" s="1316"/>
      <c r="AY73" s="1316"/>
      <c r="AZ73" s="1316"/>
      <c r="BA73" s="1316"/>
      <c r="BB73" s="1316"/>
      <c r="BC73" s="1316"/>
      <c r="BD73" s="1316"/>
      <c r="BE73" s="1316"/>
      <c r="BF73" s="1316"/>
      <c r="BG73" s="1316"/>
      <c r="BH73" s="1316"/>
    </row>
    <row r="74" spans="1:60" x14ac:dyDescent="0.3">
      <c r="A74" s="356">
        <v>545</v>
      </c>
      <c r="B74" s="815" t="s">
        <v>4748</v>
      </c>
      <c r="C74" s="1597"/>
      <c r="D74" s="815"/>
      <c r="E74" s="1239"/>
      <c r="F74" s="1598"/>
      <c r="G74" s="1642"/>
      <c r="H74" s="1600"/>
      <c r="I74" s="1597"/>
      <c r="J74" s="1597"/>
      <c r="K74" s="1597"/>
      <c r="L74" s="1597"/>
      <c r="M74" s="1597"/>
      <c r="N74" s="1597"/>
      <c r="O74" s="361"/>
      <c r="R74" s="1597"/>
      <c r="S74" s="1597"/>
      <c r="T74" s="1597"/>
      <c r="U74" s="1597"/>
      <c r="V74" s="1597"/>
      <c r="W74" s="1597"/>
    </row>
    <row r="75" spans="1:60" x14ac:dyDescent="0.3">
      <c r="A75" s="2265">
        <v>1</v>
      </c>
      <c r="B75" s="1643" t="s">
        <v>4749</v>
      </c>
      <c r="C75" s="1198">
        <v>454</v>
      </c>
      <c r="D75" s="326">
        <v>66</v>
      </c>
      <c r="E75" s="349" t="s">
        <v>1012</v>
      </c>
      <c r="F75" s="1644" t="s">
        <v>23</v>
      </c>
      <c r="G75" s="1645">
        <v>5400</v>
      </c>
      <c r="H75" s="1830" t="s">
        <v>4729</v>
      </c>
      <c r="I75" s="104" t="s">
        <v>102</v>
      </c>
      <c r="J75" s="421"/>
      <c r="K75" s="421"/>
      <c r="L75" s="421"/>
      <c r="M75" s="421"/>
      <c r="N75" s="421"/>
      <c r="O75" s="229"/>
      <c r="R75" s="104" t="s">
        <v>102</v>
      </c>
      <c r="S75" s="421"/>
      <c r="T75" s="421"/>
      <c r="U75" s="421"/>
      <c r="V75" s="421"/>
      <c r="W75" s="421"/>
    </row>
    <row r="76" spans="1:60" x14ac:dyDescent="0.3">
      <c r="A76" s="2265">
        <v>2</v>
      </c>
      <c r="B76" s="1577" t="s">
        <v>4749</v>
      </c>
      <c r="C76" s="415">
        <v>454</v>
      </c>
      <c r="D76" s="67">
        <v>66</v>
      </c>
      <c r="E76" s="217" t="s">
        <v>307</v>
      </c>
      <c r="F76" s="32" t="s">
        <v>23</v>
      </c>
      <c r="G76" s="1578">
        <v>5400</v>
      </c>
      <c r="H76" s="1830" t="s">
        <v>4729</v>
      </c>
      <c r="I76" s="104" t="s">
        <v>102</v>
      </c>
      <c r="J76" s="421"/>
      <c r="K76" s="421"/>
      <c r="L76" s="421"/>
      <c r="M76" s="421"/>
      <c r="N76" s="421"/>
      <c r="O76" s="229"/>
      <c r="R76" s="104" t="s">
        <v>102</v>
      </c>
      <c r="S76" s="421"/>
      <c r="T76" s="421"/>
      <c r="U76" s="421"/>
      <c r="V76" s="421"/>
      <c r="W76" s="421"/>
    </row>
    <row r="77" spans="1:60" x14ac:dyDescent="0.3">
      <c r="A77" s="2265">
        <v>3</v>
      </c>
      <c r="B77" s="1577" t="s">
        <v>4749</v>
      </c>
      <c r="C77" s="415">
        <v>454</v>
      </c>
      <c r="D77" s="67">
        <v>66</v>
      </c>
      <c r="E77" s="217" t="s">
        <v>1014</v>
      </c>
      <c r="F77" s="32" t="s">
        <v>23</v>
      </c>
      <c r="G77" s="1578">
        <v>5400</v>
      </c>
      <c r="H77" s="1830" t="s">
        <v>4729</v>
      </c>
      <c r="I77" s="104" t="s">
        <v>102</v>
      </c>
      <c r="J77" s="421"/>
      <c r="K77" s="421"/>
      <c r="L77" s="421"/>
      <c r="M77" s="421"/>
      <c r="N77" s="421"/>
      <c r="O77" s="229"/>
      <c r="R77" s="104" t="s">
        <v>102</v>
      </c>
      <c r="S77" s="421"/>
      <c r="T77" s="421"/>
      <c r="U77" s="421"/>
      <c r="V77" s="421"/>
      <c r="W77" s="421"/>
    </row>
    <row r="78" spans="1:60" x14ac:dyDescent="0.3">
      <c r="A78" s="2265">
        <v>4</v>
      </c>
      <c r="B78" s="1577" t="s">
        <v>4749</v>
      </c>
      <c r="C78" s="415">
        <v>454</v>
      </c>
      <c r="D78" s="67">
        <v>66</v>
      </c>
      <c r="E78" s="217" t="s">
        <v>1016</v>
      </c>
      <c r="F78" s="32" t="s">
        <v>23</v>
      </c>
      <c r="G78" s="1578">
        <v>5400</v>
      </c>
      <c r="H78" s="1830" t="s">
        <v>4729</v>
      </c>
      <c r="I78" s="104" t="s">
        <v>102</v>
      </c>
      <c r="J78" s="421"/>
      <c r="K78" s="421"/>
      <c r="L78" s="421"/>
      <c r="M78" s="421"/>
      <c r="N78" s="421"/>
      <c r="O78" s="229"/>
      <c r="R78" s="104" t="s">
        <v>102</v>
      </c>
      <c r="S78" s="421"/>
      <c r="T78" s="421"/>
      <c r="U78" s="421"/>
      <c r="V78" s="421"/>
      <c r="W78" s="421"/>
    </row>
    <row r="79" spans="1:60" x14ac:dyDescent="0.3">
      <c r="A79" s="2265">
        <v>5</v>
      </c>
      <c r="B79" s="1577" t="s">
        <v>4749</v>
      </c>
      <c r="C79" s="415">
        <v>454</v>
      </c>
      <c r="D79" s="67">
        <v>66</v>
      </c>
      <c r="E79" s="217" t="s">
        <v>1018</v>
      </c>
      <c r="F79" s="32" t="s">
        <v>23</v>
      </c>
      <c r="G79" s="1578">
        <v>5400</v>
      </c>
      <c r="H79" s="1830" t="s">
        <v>4729</v>
      </c>
      <c r="I79" s="104" t="s">
        <v>102</v>
      </c>
      <c r="J79" s="421"/>
      <c r="K79" s="421"/>
      <c r="L79" s="421"/>
      <c r="M79" s="421"/>
      <c r="N79" s="421"/>
      <c r="O79" s="229"/>
      <c r="R79" s="104" t="s">
        <v>102</v>
      </c>
      <c r="S79" s="421"/>
      <c r="T79" s="421"/>
      <c r="U79" s="421"/>
      <c r="V79" s="421"/>
      <c r="W79" s="421"/>
    </row>
    <row r="80" spans="1:60" x14ac:dyDescent="0.3">
      <c r="A80" s="2265">
        <v>6</v>
      </c>
      <c r="B80" s="1577" t="s">
        <v>4749</v>
      </c>
      <c r="C80" s="415">
        <v>454</v>
      </c>
      <c r="D80" s="67">
        <v>66</v>
      </c>
      <c r="E80" s="217" t="s">
        <v>1020</v>
      </c>
      <c r="F80" s="32" t="s">
        <v>23</v>
      </c>
      <c r="G80" s="1578">
        <v>5400</v>
      </c>
      <c r="H80" s="1830" t="s">
        <v>4729</v>
      </c>
      <c r="I80" s="104" t="s">
        <v>102</v>
      </c>
      <c r="J80" s="421"/>
      <c r="K80" s="421"/>
      <c r="L80" s="421"/>
      <c r="M80" s="421"/>
      <c r="N80" s="421"/>
      <c r="O80" s="229"/>
      <c r="R80" s="104" t="s">
        <v>102</v>
      </c>
      <c r="S80" s="421"/>
      <c r="T80" s="421"/>
      <c r="U80" s="421"/>
      <c r="V80" s="421"/>
      <c r="W80" s="421"/>
    </row>
    <row r="81" spans="1:23" x14ac:dyDescent="0.3">
      <c r="A81" s="2265">
        <v>7</v>
      </c>
      <c r="B81" s="1577" t="s">
        <v>4749</v>
      </c>
      <c r="C81" s="415">
        <v>454</v>
      </c>
      <c r="D81" s="67">
        <v>66</v>
      </c>
      <c r="E81" s="217" t="s">
        <v>309</v>
      </c>
      <c r="F81" s="32" t="s">
        <v>23</v>
      </c>
      <c r="G81" s="1578">
        <v>5400</v>
      </c>
      <c r="H81" s="1830" t="s">
        <v>4729</v>
      </c>
      <c r="I81" s="104" t="s">
        <v>102</v>
      </c>
      <c r="J81" s="421"/>
      <c r="K81" s="421"/>
      <c r="L81" s="421"/>
      <c r="M81" s="421"/>
      <c r="N81" s="421"/>
      <c r="O81" s="229"/>
      <c r="R81" s="104" t="s">
        <v>102</v>
      </c>
      <c r="S81" s="421"/>
      <c r="T81" s="421"/>
      <c r="U81" s="421"/>
      <c r="V81" s="421"/>
      <c r="W81" s="421"/>
    </row>
    <row r="82" spans="1:23" x14ac:dyDescent="0.3">
      <c r="A82" s="2265">
        <v>8</v>
      </c>
      <c r="B82" s="1577" t="s">
        <v>4749</v>
      </c>
      <c r="C82" s="415">
        <v>454</v>
      </c>
      <c r="D82" s="67">
        <v>66</v>
      </c>
      <c r="E82" s="217" t="s">
        <v>313</v>
      </c>
      <c r="F82" s="32" t="s">
        <v>23</v>
      </c>
      <c r="G82" s="1578">
        <v>5400</v>
      </c>
      <c r="H82" s="1830" t="s">
        <v>4729</v>
      </c>
      <c r="I82" s="104" t="s">
        <v>102</v>
      </c>
      <c r="J82" s="421"/>
      <c r="K82" s="421"/>
      <c r="L82" s="421"/>
      <c r="M82" s="421"/>
      <c r="N82" s="421"/>
      <c r="O82" s="229"/>
      <c r="R82" s="104" t="s">
        <v>102</v>
      </c>
      <c r="S82" s="421"/>
      <c r="T82" s="421"/>
      <c r="U82" s="421"/>
      <c r="V82" s="421"/>
      <c r="W82" s="421"/>
    </row>
    <row r="83" spans="1:23" x14ac:dyDescent="0.3">
      <c r="A83" s="2265">
        <v>9</v>
      </c>
      <c r="B83" s="1577" t="s">
        <v>4749</v>
      </c>
      <c r="C83" s="415">
        <v>454</v>
      </c>
      <c r="D83" s="67">
        <v>66</v>
      </c>
      <c r="E83" s="217" t="s">
        <v>315</v>
      </c>
      <c r="F83" s="32" t="s">
        <v>23</v>
      </c>
      <c r="G83" s="1578">
        <v>5400</v>
      </c>
      <c r="H83" s="1830" t="s">
        <v>4729</v>
      </c>
      <c r="I83" s="104" t="s">
        <v>102</v>
      </c>
      <c r="J83" s="421"/>
      <c r="K83" s="421"/>
      <c r="L83" s="421"/>
      <c r="M83" s="421"/>
      <c r="N83" s="421"/>
      <c r="O83" s="229"/>
      <c r="R83" s="104" t="s">
        <v>102</v>
      </c>
      <c r="S83" s="421"/>
      <c r="T83" s="421"/>
      <c r="U83" s="421"/>
      <c r="V83" s="421"/>
      <c r="W83" s="421"/>
    </row>
    <row r="84" spans="1:23" x14ac:dyDescent="0.3">
      <c r="A84" s="2265">
        <v>10</v>
      </c>
      <c r="B84" s="1577" t="s">
        <v>4749</v>
      </c>
      <c r="C84" s="415">
        <v>454</v>
      </c>
      <c r="D84" s="67">
        <v>66</v>
      </c>
      <c r="E84" s="217" t="s">
        <v>1413</v>
      </c>
      <c r="F84" s="32" t="s">
        <v>23</v>
      </c>
      <c r="G84" s="1578">
        <v>5400</v>
      </c>
      <c r="H84" s="1830" t="s">
        <v>4729</v>
      </c>
      <c r="I84" s="104" t="s">
        <v>102</v>
      </c>
      <c r="J84" s="421"/>
      <c r="K84" s="421"/>
      <c r="L84" s="421"/>
      <c r="M84" s="421"/>
      <c r="N84" s="421"/>
      <c r="O84" s="229"/>
      <c r="R84" s="104" t="s">
        <v>102</v>
      </c>
      <c r="S84" s="421"/>
      <c r="T84" s="421"/>
      <c r="U84" s="421"/>
      <c r="V84" s="421"/>
      <c r="W84" s="421"/>
    </row>
    <row r="85" spans="1:23" x14ac:dyDescent="0.3">
      <c r="A85" s="2265">
        <v>11</v>
      </c>
      <c r="B85" s="1577" t="s">
        <v>4749</v>
      </c>
      <c r="C85" s="415">
        <v>454</v>
      </c>
      <c r="D85" s="67">
        <v>66</v>
      </c>
      <c r="E85" s="217" t="s">
        <v>1414</v>
      </c>
      <c r="F85" s="32" t="s">
        <v>23</v>
      </c>
      <c r="G85" s="1578">
        <v>5400</v>
      </c>
      <c r="H85" s="1830" t="s">
        <v>4729</v>
      </c>
      <c r="I85" s="104" t="s">
        <v>102</v>
      </c>
      <c r="J85" s="421"/>
      <c r="K85" s="421"/>
      <c r="L85" s="421"/>
      <c r="M85" s="421"/>
      <c r="N85" s="421"/>
      <c r="O85" s="229"/>
      <c r="R85" s="104" t="s">
        <v>102</v>
      </c>
      <c r="S85" s="421"/>
      <c r="T85" s="421"/>
      <c r="U85" s="421"/>
      <c r="V85" s="421"/>
      <c r="W85" s="421"/>
    </row>
    <row r="86" spans="1:23" x14ac:dyDescent="0.3">
      <c r="A86" s="2265">
        <v>12</v>
      </c>
      <c r="B86" s="1577" t="s">
        <v>4749</v>
      </c>
      <c r="C86" s="415">
        <v>454</v>
      </c>
      <c r="D86" s="67">
        <v>66</v>
      </c>
      <c r="E86" s="217" t="s">
        <v>1415</v>
      </c>
      <c r="F86" s="32" t="s">
        <v>23</v>
      </c>
      <c r="G86" s="1578">
        <v>5400</v>
      </c>
      <c r="H86" s="1830" t="s">
        <v>4729</v>
      </c>
      <c r="I86" s="104" t="s">
        <v>102</v>
      </c>
      <c r="J86" s="421"/>
      <c r="K86" s="421"/>
      <c r="L86" s="421"/>
      <c r="M86" s="421"/>
      <c r="N86" s="421"/>
      <c r="O86" s="229"/>
      <c r="R86" s="104" t="s">
        <v>102</v>
      </c>
      <c r="S86" s="421"/>
      <c r="T86" s="421"/>
      <c r="U86" s="421"/>
      <c r="V86" s="421"/>
      <c r="W86" s="421"/>
    </row>
    <row r="87" spans="1:23" x14ac:dyDescent="0.3">
      <c r="A87" s="2265">
        <v>13</v>
      </c>
      <c r="B87" s="1577" t="s">
        <v>4749</v>
      </c>
      <c r="C87" s="415">
        <v>454</v>
      </c>
      <c r="D87" s="67">
        <v>66</v>
      </c>
      <c r="E87" s="217" t="s">
        <v>426</v>
      </c>
      <c r="F87" s="32" t="s">
        <v>23</v>
      </c>
      <c r="G87" s="1578">
        <v>5400</v>
      </c>
      <c r="H87" s="1830" t="s">
        <v>4729</v>
      </c>
      <c r="I87" s="104" t="s">
        <v>102</v>
      </c>
      <c r="J87" s="421"/>
      <c r="K87" s="421"/>
      <c r="L87" s="421"/>
      <c r="M87" s="421"/>
      <c r="N87" s="421"/>
      <c r="O87" s="229"/>
      <c r="R87" s="104" t="s">
        <v>102</v>
      </c>
      <c r="S87" s="421"/>
      <c r="T87" s="421"/>
      <c r="U87" s="421"/>
      <c r="V87" s="421"/>
      <c r="W87" s="421"/>
    </row>
    <row r="88" spans="1:23" x14ac:dyDescent="0.3">
      <c r="A88" s="2265">
        <v>14</v>
      </c>
      <c r="B88" s="1577" t="s">
        <v>4749</v>
      </c>
      <c r="C88" s="415">
        <v>454</v>
      </c>
      <c r="D88" s="67">
        <v>66</v>
      </c>
      <c r="E88" s="217" t="s">
        <v>427</v>
      </c>
      <c r="F88" s="32" t="s">
        <v>23</v>
      </c>
      <c r="G88" s="1578">
        <v>5400</v>
      </c>
      <c r="H88" s="1830" t="s">
        <v>4729</v>
      </c>
      <c r="I88" s="104" t="s">
        <v>102</v>
      </c>
      <c r="J88" s="421"/>
      <c r="K88" s="421"/>
      <c r="L88" s="421"/>
      <c r="M88" s="421"/>
      <c r="N88" s="421"/>
      <c r="O88" s="229"/>
      <c r="R88" s="104" t="s">
        <v>102</v>
      </c>
      <c r="S88" s="421"/>
      <c r="T88" s="421"/>
      <c r="U88" s="421"/>
      <c r="V88" s="421"/>
      <c r="W88" s="421"/>
    </row>
    <row r="89" spans="1:23" x14ac:dyDescent="0.3">
      <c r="A89" s="2265">
        <v>15</v>
      </c>
      <c r="B89" s="1577" t="s">
        <v>4749</v>
      </c>
      <c r="C89" s="415">
        <v>454</v>
      </c>
      <c r="D89" s="67">
        <v>66</v>
      </c>
      <c r="E89" s="217" t="s">
        <v>327</v>
      </c>
      <c r="F89" s="32" t="s">
        <v>23</v>
      </c>
      <c r="G89" s="1578">
        <v>5400</v>
      </c>
      <c r="H89" s="1830" t="s">
        <v>4729</v>
      </c>
      <c r="I89" s="104" t="s">
        <v>102</v>
      </c>
      <c r="J89" s="421"/>
      <c r="K89" s="421"/>
      <c r="L89" s="421"/>
      <c r="M89" s="421"/>
      <c r="N89" s="421"/>
      <c r="O89" s="229"/>
      <c r="R89" s="104" t="s">
        <v>102</v>
      </c>
      <c r="S89" s="421"/>
      <c r="T89" s="421"/>
      <c r="U89" s="421"/>
      <c r="V89" s="421"/>
      <c r="W89" s="421"/>
    </row>
    <row r="90" spans="1:23" x14ac:dyDescent="0.3">
      <c r="A90" s="2265">
        <v>16</v>
      </c>
      <c r="B90" s="1577" t="s">
        <v>4749</v>
      </c>
      <c r="C90" s="415">
        <v>454</v>
      </c>
      <c r="D90" s="67">
        <v>66</v>
      </c>
      <c r="E90" s="217" t="s">
        <v>438</v>
      </c>
      <c r="F90" s="32" t="s">
        <v>23</v>
      </c>
      <c r="G90" s="1578">
        <v>5400</v>
      </c>
      <c r="H90" s="1830" t="s">
        <v>4729</v>
      </c>
      <c r="I90" s="104" t="s">
        <v>102</v>
      </c>
      <c r="J90" s="421"/>
      <c r="K90" s="421"/>
      <c r="L90" s="421"/>
      <c r="M90" s="421"/>
      <c r="N90" s="421"/>
      <c r="O90" s="229"/>
      <c r="R90" s="104" t="s">
        <v>102</v>
      </c>
      <c r="S90" s="421"/>
      <c r="T90" s="421"/>
      <c r="U90" s="421"/>
      <c r="V90" s="421"/>
      <c r="W90" s="421"/>
    </row>
    <row r="91" spans="1:23" x14ac:dyDescent="0.3">
      <c r="A91" s="2265">
        <v>17</v>
      </c>
      <c r="B91" s="1577" t="s">
        <v>4749</v>
      </c>
      <c r="C91" s="415">
        <v>454</v>
      </c>
      <c r="D91" s="67">
        <v>66</v>
      </c>
      <c r="E91" s="217" t="s">
        <v>440</v>
      </c>
      <c r="F91" s="32" t="s">
        <v>23</v>
      </c>
      <c r="G91" s="1578">
        <v>5400</v>
      </c>
      <c r="H91" s="1830" t="s">
        <v>4729</v>
      </c>
      <c r="I91" s="104" t="s">
        <v>102</v>
      </c>
      <c r="J91" s="421"/>
      <c r="K91" s="421"/>
      <c r="L91" s="421"/>
      <c r="M91" s="421"/>
      <c r="N91" s="421"/>
      <c r="O91" s="229"/>
      <c r="R91" s="104" t="s">
        <v>102</v>
      </c>
      <c r="S91" s="421"/>
      <c r="T91" s="421"/>
      <c r="U91" s="421"/>
      <c r="V91" s="421"/>
      <c r="W91" s="421"/>
    </row>
    <row r="92" spans="1:23" x14ac:dyDescent="0.3">
      <c r="A92" s="2265">
        <v>18</v>
      </c>
      <c r="B92" s="1577" t="s">
        <v>4749</v>
      </c>
      <c r="C92" s="415">
        <v>454</v>
      </c>
      <c r="D92" s="67">
        <v>66</v>
      </c>
      <c r="E92" s="217" t="s">
        <v>1024</v>
      </c>
      <c r="F92" s="32" t="s">
        <v>23</v>
      </c>
      <c r="G92" s="1578">
        <v>5400</v>
      </c>
      <c r="H92" s="1830" t="s">
        <v>4729</v>
      </c>
      <c r="I92" s="104" t="s">
        <v>102</v>
      </c>
      <c r="J92" s="421"/>
      <c r="K92" s="421"/>
      <c r="L92" s="421"/>
      <c r="M92" s="421"/>
      <c r="N92" s="421"/>
      <c r="O92" s="229"/>
      <c r="R92" s="104" t="s">
        <v>102</v>
      </c>
      <c r="S92" s="421"/>
      <c r="T92" s="421"/>
      <c r="U92" s="421"/>
      <c r="V92" s="421"/>
      <c r="W92" s="421"/>
    </row>
    <row r="93" spans="1:23" x14ac:dyDescent="0.3">
      <c r="A93" s="2265">
        <v>19</v>
      </c>
      <c r="B93" s="1577" t="s">
        <v>4749</v>
      </c>
      <c r="C93" s="415">
        <v>454</v>
      </c>
      <c r="D93" s="67">
        <v>66</v>
      </c>
      <c r="E93" s="217" t="s">
        <v>1026</v>
      </c>
      <c r="F93" s="32" t="s">
        <v>23</v>
      </c>
      <c r="G93" s="1578">
        <v>5400</v>
      </c>
      <c r="H93" s="1830" t="s">
        <v>4729</v>
      </c>
      <c r="I93" s="104" t="s">
        <v>102</v>
      </c>
      <c r="J93" s="421"/>
      <c r="K93" s="421"/>
      <c r="L93" s="421"/>
      <c r="M93" s="421"/>
      <c r="N93" s="421"/>
      <c r="O93" s="229"/>
      <c r="R93" s="104" t="s">
        <v>102</v>
      </c>
      <c r="S93" s="421"/>
      <c r="T93" s="421"/>
      <c r="U93" s="421"/>
      <c r="V93" s="421"/>
      <c r="W93" s="421"/>
    </row>
    <row r="94" spans="1:23" x14ac:dyDescent="0.3">
      <c r="A94" s="2265">
        <v>20</v>
      </c>
      <c r="B94" s="1577" t="s">
        <v>4749</v>
      </c>
      <c r="C94" s="415">
        <v>454</v>
      </c>
      <c r="D94" s="67">
        <v>66</v>
      </c>
      <c r="E94" s="217" t="s">
        <v>1027</v>
      </c>
      <c r="F94" s="32" t="s">
        <v>23</v>
      </c>
      <c r="G94" s="1578">
        <v>5400</v>
      </c>
      <c r="H94" s="1830" t="s">
        <v>4729</v>
      </c>
      <c r="I94" s="104" t="s">
        <v>102</v>
      </c>
      <c r="J94" s="421"/>
      <c r="K94" s="421"/>
      <c r="L94" s="421"/>
      <c r="M94" s="421"/>
      <c r="N94" s="421"/>
      <c r="O94" s="229"/>
      <c r="R94" s="104" t="s">
        <v>102</v>
      </c>
      <c r="S94" s="421"/>
      <c r="T94" s="421"/>
      <c r="U94" s="421"/>
      <c r="V94" s="421"/>
      <c r="W94" s="421"/>
    </row>
    <row r="95" spans="1:23" x14ac:dyDescent="0.3">
      <c r="A95" s="2265">
        <v>21</v>
      </c>
      <c r="B95" s="1577" t="s">
        <v>4749</v>
      </c>
      <c r="C95" s="415">
        <v>454</v>
      </c>
      <c r="D95" s="67">
        <v>66</v>
      </c>
      <c r="E95" s="217" t="s">
        <v>1030</v>
      </c>
      <c r="F95" s="32" t="s">
        <v>23</v>
      </c>
      <c r="G95" s="1578">
        <v>5400</v>
      </c>
      <c r="H95" s="1830" t="s">
        <v>4729</v>
      </c>
      <c r="I95" s="104" t="s">
        <v>102</v>
      </c>
      <c r="J95" s="421"/>
      <c r="K95" s="421"/>
      <c r="L95" s="421"/>
      <c r="M95" s="421"/>
      <c r="N95" s="421"/>
      <c r="O95" s="229"/>
      <c r="R95" s="104" t="s">
        <v>102</v>
      </c>
      <c r="S95" s="421"/>
      <c r="T95" s="421"/>
      <c r="U95" s="421"/>
      <c r="V95" s="421"/>
      <c r="W95" s="421"/>
    </row>
    <row r="96" spans="1:23" x14ac:dyDescent="0.3">
      <c r="A96" s="2265">
        <v>22</v>
      </c>
      <c r="B96" s="1577" t="s">
        <v>4749</v>
      </c>
      <c r="C96" s="415">
        <v>454</v>
      </c>
      <c r="D96" s="67">
        <v>66</v>
      </c>
      <c r="E96" s="217" t="s">
        <v>1037</v>
      </c>
      <c r="F96" s="32" t="s">
        <v>23</v>
      </c>
      <c r="G96" s="1578">
        <v>5400</v>
      </c>
      <c r="H96" s="1830" t="s">
        <v>4729</v>
      </c>
      <c r="I96" s="104" t="s">
        <v>102</v>
      </c>
      <c r="J96" s="421"/>
      <c r="K96" s="421"/>
      <c r="L96" s="421"/>
      <c r="M96" s="421"/>
      <c r="N96" s="421"/>
      <c r="O96" s="229"/>
      <c r="R96" s="104" t="s">
        <v>102</v>
      </c>
      <c r="S96" s="421"/>
      <c r="T96" s="421"/>
      <c r="U96" s="421"/>
      <c r="V96" s="421"/>
      <c r="W96" s="421"/>
    </row>
    <row r="97" spans="1:23" x14ac:dyDescent="0.3">
      <c r="A97" s="2265">
        <v>23</v>
      </c>
      <c r="B97" s="1577" t="s">
        <v>4749</v>
      </c>
      <c r="C97" s="415">
        <v>454</v>
      </c>
      <c r="D97" s="67">
        <v>66</v>
      </c>
      <c r="E97" s="217" t="s">
        <v>1039</v>
      </c>
      <c r="F97" s="32" t="s">
        <v>23</v>
      </c>
      <c r="G97" s="1578">
        <v>5400</v>
      </c>
      <c r="H97" s="1830" t="s">
        <v>4729</v>
      </c>
      <c r="I97" s="104" t="s">
        <v>102</v>
      </c>
      <c r="J97" s="421"/>
      <c r="K97" s="421"/>
      <c r="L97" s="421"/>
      <c r="M97" s="421"/>
      <c r="N97" s="421"/>
      <c r="O97" s="229"/>
      <c r="R97" s="104" t="s">
        <v>102</v>
      </c>
      <c r="S97" s="421"/>
      <c r="T97" s="421"/>
      <c r="U97" s="421"/>
      <c r="V97" s="421"/>
      <c r="W97" s="421"/>
    </row>
    <row r="98" spans="1:23" x14ac:dyDescent="0.3">
      <c r="A98" s="2265">
        <v>24</v>
      </c>
      <c r="B98" s="1577" t="s">
        <v>4749</v>
      </c>
      <c r="C98" s="415">
        <v>454</v>
      </c>
      <c r="D98" s="67">
        <v>66</v>
      </c>
      <c r="E98" s="217" t="s">
        <v>1040</v>
      </c>
      <c r="F98" s="32" t="s">
        <v>23</v>
      </c>
      <c r="G98" s="1578">
        <v>5400</v>
      </c>
      <c r="H98" s="1830" t="s">
        <v>4729</v>
      </c>
      <c r="I98" s="104" t="s">
        <v>102</v>
      </c>
      <c r="J98" s="421"/>
      <c r="K98" s="421"/>
      <c r="L98" s="421"/>
      <c r="M98" s="421"/>
      <c r="N98" s="421"/>
      <c r="O98" s="229"/>
      <c r="R98" s="104" t="s">
        <v>102</v>
      </c>
      <c r="S98" s="421"/>
      <c r="T98" s="421"/>
      <c r="U98" s="421"/>
      <c r="V98" s="421"/>
      <c r="W98" s="421"/>
    </row>
    <row r="99" spans="1:23" x14ac:dyDescent="0.3">
      <c r="A99" s="2265">
        <v>25</v>
      </c>
      <c r="B99" s="1577" t="s">
        <v>4749</v>
      </c>
      <c r="C99" s="415">
        <v>454</v>
      </c>
      <c r="D99" s="67">
        <v>66</v>
      </c>
      <c r="E99" s="217" t="s">
        <v>1041</v>
      </c>
      <c r="F99" s="32" t="s">
        <v>23</v>
      </c>
      <c r="G99" s="1578">
        <v>5400</v>
      </c>
      <c r="H99" s="1830" t="s">
        <v>4729</v>
      </c>
      <c r="I99" s="104" t="s">
        <v>102</v>
      </c>
      <c r="J99" s="421"/>
      <c r="K99" s="421"/>
      <c r="L99" s="421"/>
      <c r="M99" s="421"/>
      <c r="N99" s="421"/>
      <c r="O99" s="229"/>
      <c r="R99" s="104" t="s">
        <v>102</v>
      </c>
      <c r="S99" s="421"/>
      <c r="T99" s="421"/>
      <c r="U99" s="421"/>
      <c r="V99" s="421"/>
      <c r="W99" s="421"/>
    </row>
    <row r="100" spans="1:23" x14ac:dyDescent="0.3">
      <c r="A100" s="2265">
        <v>26</v>
      </c>
      <c r="B100" s="1577" t="s">
        <v>4749</v>
      </c>
      <c r="C100" s="415">
        <v>454</v>
      </c>
      <c r="D100" s="67">
        <v>66</v>
      </c>
      <c r="E100" s="217" t="s">
        <v>429</v>
      </c>
      <c r="F100" s="32" t="s">
        <v>23</v>
      </c>
      <c r="G100" s="1578">
        <v>5400</v>
      </c>
      <c r="H100" s="1830" t="s">
        <v>4729</v>
      </c>
      <c r="I100" s="104" t="s">
        <v>102</v>
      </c>
      <c r="J100" s="421"/>
      <c r="K100" s="421"/>
      <c r="L100" s="421"/>
      <c r="M100" s="421"/>
      <c r="N100" s="421"/>
      <c r="O100" s="229"/>
      <c r="R100" s="104" t="s">
        <v>102</v>
      </c>
      <c r="S100" s="421"/>
      <c r="T100" s="421"/>
      <c r="U100" s="421"/>
      <c r="V100" s="421"/>
      <c r="W100" s="421"/>
    </row>
    <row r="101" spans="1:23" x14ac:dyDescent="0.3">
      <c r="A101" s="2265">
        <v>27</v>
      </c>
      <c r="B101" s="1577" t="s">
        <v>4749</v>
      </c>
      <c r="C101" s="415">
        <v>454</v>
      </c>
      <c r="D101" s="67">
        <v>66</v>
      </c>
      <c r="E101" s="217" t="s">
        <v>431</v>
      </c>
      <c r="F101" s="32" t="s">
        <v>23</v>
      </c>
      <c r="G101" s="1578">
        <v>5400</v>
      </c>
      <c r="H101" s="1830" t="s">
        <v>4729</v>
      </c>
      <c r="I101" s="104" t="s">
        <v>102</v>
      </c>
      <c r="J101" s="421"/>
      <c r="K101" s="421"/>
      <c r="L101" s="421"/>
      <c r="M101" s="421"/>
      <c r="N101" s="421"/>
      <c r="O101" s="229"/>
      <c r="R101" s="104" t="s">
        <v>102</v>
      </c>
      <c r="S101" s="421"/>
      <c r="T101" s="421"/>
      <c r="U101" s="421"/>
      <c r="V101" s="421"/>
      <c r="W101" s="421"/>
    </row>
    <row r="102" spans="1:23" x14ac:dyDescent="0.3">
      <c r="A102" s="2265">
        <v>28</v>
      </c>
      <c r="B102" s="1577" t="s">
        <v>4749</v>
      </c>
      <c r="C102" s="415">
        <v>454</v>
      </c>
      <c r="D102" s="67">
        <v>66</v>
      </c>
      <c r="E102" s="217" t="s">
        <v>433</v>
      </c>
      <c r="F102" s="32" t="s">
        <v>23</v>
      </c>
      <c r="G102" s="1578">
        <v>5400</v>
      </c>
      <c r="H102" s="1830" t="s">
        <v>4729</v>
      </c>
      <c r="I102" s="104" t="s">
        <v>102</v>
      </c>
      <c r="J102" s="421"/>
      <c r="K102" s="421"/>
      <c r="L102" s="421"/>
      <c r="M102" s="421"/>
      <c r="N102" s="421"/>
      <c r="O102" s="229"/>
      <c r="R102" s="104" t="s">
        <v>102</v>
      </c>
      <c r="S102" s="421"/>
      <c r="T102" s="421"/>
      <c r="U102" s="421"/>
      <c r="V102" s="421"/>
      <c r="W102" s="421"/>
    </row>
    <row r="103" spans="1:23" x14ac:dyDescent="0.3">
      <c r="A103" s="2265">
        <v>29</v>
      </c>
      <c r="B103" s="1577" t="s">
        <v>4749</v>
      </c>
      <c r="C103" s="415">
        <v>454</v>
      </c>
      <c r="D103" s="67">
        <v>66</v>
      </c>
      <c r="E103" s="217" t="s">
        <v>436</v>
      </c>
      <c r="F103" s="32" t="s">
        <v>23</v>
      </c>
      <c r="G103" s="1578">
        <v>5400</v>
      </c>
      <c r="H103" s="1830" t="s">
        <v>4729</v>
      </c>
      <c r="I103" s="104" t="s">
        <v>102</v>
      </c>
      <c r="J103" s="421"/>
      <c r="K103" s="421"/>
      <c r="L103" s="421"/>
      <c r="M103" s="421"/>
      <c r="N103" s="421"/>
      <c r="O103" s="229"/>
      <c r="R103" s="104" t="s">
        <v>102</v>
      </c>
      <c r="S103" s="421"/>
      <c r="T103" s="421"/>
      <c r="U103" s="421"/>
      <c r="V103" s="421"/>
      <c r="W103" s="421"/>
    </row>
    <row r="104" spans="1:23" x14ac:dyDescent="0.3">
      <c r="A104" s="2265">
        <v>30</v>
      </c>
      <c r="B104" s="1577" t="s">
        <v>4749</v>
      </c>
      <c r="C104" s="415">
        <v>454</v>
      </c>
      <c r="D104" s="67">
        <v>66</v>
      </c>
      <c r="E104" s="217" t="s">
        <v>1047</v>
      </c>
      <c r="F104" s="32" t="s">
        <v>23</v>
      </c>
      <c r="G104" s="1578">
        <v>5400</v>
      </c>
      <c r="H104" s="1830" t="s">
        <v>4729</v>
      </c>
      <c r="I104" s="104" t="s">
        <v>102</v>
      </c>
      <c r="J104" s="421"/>
      <c r="K104" s="421"/>
      <c r="L104" s="421"/>
      <c r="M104" s="421"/>
      <c r="N104" s="421"/>
      <c r="O104" s="229"/>
      <c r="R104" s="104" t="s">
        <v>102</v>
      </c>
      <c r="S104" s="421"/>
      <c r="T104" s="421"/>
      <c r="U104" s="421"/>
      <c r="V104" s="421"/>
      <c r="W104" s="421"/>
    </row>
    <row r="105" spans="1:23" x14ac:dyDescent="0.3">
      <c r="A105" s="2265">
        <v>31</v>
      </c>
      <c r="B105" s="1577" t="s">
        <v>4749</v>
      </c>
      <c r="C105" s="415">
        <v>454</v>
      </c>
      <c r="D105" s="67">
        <v>66</v>
      </c>
      <c r="E105" s="217" t="s">
        <v>1049</v>
      </c>
      <c r="F105" s="32" t="s">
        <v>23</v>
      </c>
      <c r="G105" s="1578">
        <v>5400</v>
      </c>
      <c r="H105" s="1830" t="s">
        <v>4729</v>
      </c>
      <c r="I105" s="104" t="s">
        <v>102</v>
      </c>
      <c r="J105" s="421"/>
      <c r="K105" s="421"/>
      <c r="L105" s="421"/>
      <c r="M105" s="421"/>
      <c r="N105" s="421"/>
      <c r="O105" s="229"/>
      <c r="R105" s="104" t="s">
        <v>102</v>
      </c>
      <c r="S105" s="421"/>
      <c r="T105" s="421"/>
      <c r="U105" s="421"/>
      <c r="V105" s="421"/>
      <c r="W105" s="421"/>
    </row>
    <row r="106" spans="1:23" x14ac:dyDescent="0.3">
      <c r="A106" s="2265">
        <v>32</v>
      </c>
      <c r="B106" s="1577" t="s">
        <v>4749</v>
      </c>
      <c r="C106" s="415">
        <v>454</v>
      </c>
      <c r="D106" s="67">
        <v>66</v>
      </c>
      <c r="E106" s="217" t="s">
        <v>1051</v>
      </c>
      <c r="F106" s="32" t="s">
        <v>23</v>
      </c>
      <c r="G106" s="1578">
        <v>5400</v>
      </c>
      <c r="H106" s="1830" t="s">
        <v>4729</v>
      </c>
      <c r="I106" s="104" t="s">
        <v>102</v>
      </c>
      <c r="J106" s="421"/>
      <c r="K106" s="421"/>
      <c r="L106" s="421"/>
      <c r="M106" s="421"/>
      <c r="N106" s="421"/>
      <c r="O106" s="229"/>
      <c r="R106" s="104" t="s">
        <v>102</v>
      </c>
      <c r="S106" s="421"/>
      <c r="T106" s="421"/>
      <c r="U106" s="421"/>
      <c r="V106" s="421"/>
      <c r="W106" s="421"/>
    </row>
    <row r="107" spans="1:23" x14ac:dyDescent="0.3">
      <c r="A107" s="2265">
        <v>33</v>
      </c>
      <c r="B107" s="1643" t="s">
        <v>4750</v>
      </c>
      <c r="C107" s="1198">
        <v>454</v>
      </c>
      <c r="D107" s="326">
        <v>66</v>
      </c>
      <c r="E107" s="349" t="s">
        <v>1412</v>
      </c>
      <c r="F107" s="1644" t="s">
        <v>23</v>
      </c>
      <c r="G107" s="1645">
        <v>24997.75</v>
      </c>
      <c r="H107" s="1830" t="s">
        <v>4729</v>
      </c>
      <c r="I107" s="104" t="s">
        <v>102</v>
      </c>
      <c r="J107" s="1242"/>
      <c r="K107" s="1242"/>
      <c r="L107" s="1242"/>
      <c r="M107" s="1242"/>
      <c r="N107" s="1242"/>
      <c r="O107" s="1596"/>
      <c r="R107" s="104" t="s">
        <v>102</v>
      </c>
      <c r="S107" s="1242"/>
      <c r="T107" s="1242"/>
      <c r="U107" s="1242"/>
      <c r="V107" s="1242"/>
      <c r="W107" s="1242"/>
    </row>
    <row r="108" spans="1:23" x14ac:dyDescent="0.3">
      <c r="A108" s="2265">
        <v>34</v>
      </c>
      <c r="B108" s="1577" t="s">
        <v>4750</v>
      </c>
      <c r="C108" s="415">
        <v>454</v>
      </c>
      <c r="D108" s="67">
        <v>66</v>
      </c>
      <c r="E108" s="217" t="s">
        <v>4751</v>
      </c>
      <c r="F108" s="32" t="s">
        <v>23</v>
      </c>
      <c r="G108" s="1578">
        <v>24997.759999999998</v>
      </c>
      <c r="H108" s="1830" t="s">
        <v>4729</v>
      </c>
      <c r="I108" s="104" t="s">
        <v>102</v>
      </c>
      <c r="J108" s="421"/>
      <c r="K108" s="421"/>
      <c r="L108" s="421"/>
      <c r="M108" s="421"/>
      <c r="N108" s="421"/>
      <c r="O108" s="229"/>
      <c r="R108" s="104" t="s">
        <v>102</v>
      </c>
      <c r="S108" s="421"/>
      <c r="T108" s="421"/>
      <c r="U108" s="421"/>
      <c r="V108" s="421"/>
      <c r="W108" s="421"/>
    </row>
    <row r="109" spans="1:23" x14ac:dyDescent="0.3">
      <c r="A109" s="2265">
        <v>35</v>
      </c>
      <c r="B109" s="1577" t="s">
        <v>4750</v>
      </c>
      <c r="C109" s="415">
        <v>454</v>
      </c>
      <c r="D109" s="67">
        <v>66</v>
      </c>
      <c r="E109" s="217" t="s">
        <v>4752</v>
      </c>
      <c r="F109" s="32" t="s">
        <v>23</v>
      </c>
      <c r="G109" s="1578">
        <v>24997.759999999998</v>
      </c>
      <c r="H109" s="1830" t="s">
        <v>4729</v>
      </c>
      <c r="I109" s="104" t="s">
        <v>102</v>
      </c>
      <c r="J109" s="421"/>
      <c r="K109" s="421"/>
      <c r="L109" s="421"/>
      <c r="M109" s="421"/>
      <c r="N109" s="421"/>
      <c r="O109" s="229"/>
      <c r="R109" s="104" t="s">
        <v>102</v>
      </c>
      <c r="S109" s="421"/>
      <c r="T109" s="421"/>
      <c r="U109" s="421"/>
      <c r="V109" s="421"/>
      <c r="W109" s="421"/>
    </row>
    <row r="110" spans="1:23" x14ac:dyDescent="0.3">
      <c r="A110" s="2265">
        <v>36</v>
      </c>
      <c r="B110" s="1577" t="s">
        <v>4750</v>
      </c>
      <c r="C110" s="415">
        <v>454</v>
      </c>
      <c r="D110" s="67">
        <v>66</v>
      </c>
      <c r="E110" s="217" t="s">
        <v>4753</v>
      </c>
      <c r="F110" s="32" t="s">
        <v>23</v>
      </c>
      <c r="G110" s="1646">
        <v>24997.759999999998</v>
      </c>
      <c r="H110" s="1830" t="s">
        <v>4729</v>
      </c>
      <c r="I110" s="104" t="s">
        <v>102</v>
      </c>
      <c r="J110" s="421"/>
      <c r="K110" s="421"/>
      <c r="L110" s="421"/>
      <c r="M110" s="421"/>
      <c r="N110" s="421"/>
      <c r="O110" s="229"/>
      <c r="R110" s="104" t="s">
        <v>102</v>
      </c>
      <c r="S110" s="421"/>
      <c r="T110" s="421"/>
      <c r="U110" s="421"/>
      <c r="V110" s="421"/>
      <c r="W110" s="421"/>
    </row>
    <row r="111" spans="1:23" ht="16.2" thickBot="1" x14ac:dyDescent="0.35">
      <c r="A111" s="385"/>
      <c r="B111" s="1647"/>
      <c r="C111" s="451"/>
      <c r="D111" s="75"/>
      <c r="E111" s="1211"/>
      <c r="F111" s="32"/>
      <c r="G111" s="1648">
        <f>SUM(G75:G110)</f>
        <v>272791.03000000003</v>
      </c>
      <c r="H111" s="1649"/>
      <c r="I111" s="385"/>
      <c r="J111" s="421"/>
      <c r="K111" s="421"/>
      <c r="L111" s="421"/>
      <c r="M111" s="421"/>
      <c r="N111" s="421"/>
      <c r="O111" s="229"/>
      <c r="R111" s="385"/>
      <c r="S111" s="421"/>
      <c r="T111" s="421"/>
      <c r="U111" s="421"/>
      <c r="V111" s="421"/>
      <c r="W111" s="421"/>
    </row>
    <row r="112" spans="1:23" ht="16.2" thickTop="1" x14ac:dyDescent="0.3">
      <c r="A112" s="1650"/>
      <c r="B112" s="1651" t="s">
        <v>4754</v>
      </c>
      <c r="C112" s="346"/>
      <c r="D112" s="1461"/>
      <c r="E112" s="1652"/>
      <c r="F112" s="1653"/>
      <c r="G112" s="1654"/>
      <c r="H112" s="1655"/>
      <c r="I112" s="1650"/>
      <c r="J112" s="1656"/>
      <c r="K112" s="1656"/>
      <c r="L112" s="1656"/>
      <c r="M112" s="1656"/>
      <c r="N112" s="1656"/>
      <c r="O112" s="1657"/>
      <c r="R112" s="1650"/>
      <c r="S112" s="1656"/>
      <c r="T112" s="1656"/>
      <c r="U112" s="1656"/>
      <c r="V112" s="1656"/>
      <c r="W112" s="1656"/>
    </row>
    <row r="113" spans="1:23" x14ac:dyDescent="0.3">
      <c r="A113" s="2371">
        <v>1</v>
      </c>
      <c r="B113" s="1658" t="s">
        <v>4755</v>
      </c>
      <c r="C113" s="1198">
        <v>430</v>
      </c>
      <c r="D113" s="326">
        <v>66</v>
      </c>
      <c r="E113" s="349" t="s">
        <v>399</v>
      </c>
      <c r="F113" s="1644" t="s">
        <v>23</v>
      </c>
      <c r="G113" s="1659">
        <v>9430.9699999999993</v>
      </c>
      <c r="H113" s="1830" t="s">
        <v>4729</v>
      </c>
      <c r="I113" s="112" t="s">
        <v>102</v>
      </c>
      <c r="J113" s="1242"/>
      <c r="K113" s="1242"/>
      <c r="L113" s="1242"/>
      <c r="M113" s="1242"/>
      <c r="N113" s="1242"/>
      <c r="O113" s="1596"/>
      <c r="R113" s="112" t="s">
        <v>102</v>
      </c>
      <c r="S113" s="1242"/>
      <c r="T113" s="1242"/>
      <c r="U113" s="1242"/>
      <c r="V113" s="1242"/>
      <c r="W113" s="1242"/>
    </row>
    <row r="114" spans="1:23" x14ac:dyDescent="0.3">
      <c r="A114" s="2265">
        <v>2</v>
      </c>
      <c r="B114" s="1577" t="s">
        <v>4755</v>
      </c>
      <c r="C114" s="415">
        <v>430</v>
      </c>
      <c r="D114" s="67">
        <v>66</v>
      </c>
      <c r="E114" s="217" t="s">
        <v>1108</v>
      </c>
      <c r="F114" s="32" t="s">
        <v>23</v>
      </c>
      <c r="G114" s="1660">
        <v>9430.9699999999993</v>
      </c>
      <c r="H114" s="1830" t="s">
        <v>4729</v>
      </c>
      <c r="I114" s="104" t="s">
        <v>102</v>
      </c>
      <c r="J114" s="421"/>
      <c r="K114" s="421"/>
      <c r="L114" s="421"/>
      <c r="M114" s="421"/>
      <c r="N114" s="421"/>
      <c r="O114" s="229"/>
      <c r="R114" s="104" t="s">
        <v>102</v>
      </c>
      <c r="S114" s="421"/>
      <c r="T114" s="421"/>
      <c r="U114" s="421"/>
      <c r="V114" s="421"/>
      <c r="W114" s="421"/>
    </row>
    <row r="115" spans="1:23" x14ac:dyDescent="0.3">
      <c r="A115" s="2265">
        <v>3</v>
      </c>
      <c r="B115" s="1577" t="s">
        <v>4755</v>
      </c>
      <c r="C115" s="415">
        <v>430</v>
      </c>
      <c r="D115" s="67">
        <v>66</v>
      </c>
      <c r="E115" s="217" t="s">
        <v>1110</v>
      </c>
      <c r="F115" s="32" t="s">
        <v>23</v>
      </c>
      <c r="G115" s="1660">
        <v>9430.9699999999993</v>
      </c>
      <c r="H115" s="1830" t="s">
        <v>4729</v>
      </c>
      <c r="I115" s="104" t="s">
        <v>102</v>
      </c>
      <c r="J115" s="421"/>
      <c r="K115" s="421"/>
      <c r="L115" s="421"/>
      <c r="M115" s="421"/>
      <c r="N115" s="421"/>
      <c r="O115" s="229"/>
      <c r="R115" s="104" t="s">
        <v>102</v>
      </c>
      <c r="S115" s="421"/>
      <c r="T115" s="421"/>
      <c r="U115" s="421"/>
      <c r="V115" s="421"/>
      <c r="W115" s="421"/>
    </row>
    <row r="116" spans="1:23" x14ac:dyDescent="0.3">
      <c r="A116" s="2227">
        <v>4</v>
      </c>
      <c r="B116" s="1577" t="s">
        <v>4755</v>
      </c>
      <c r="C116" s="415">
        <v>430</v>
      </c>
      <c r="D116" s="75">
        <v>66</v>
      </c>
      <c r="E116" s="217" t="s">
        <v>1112</v>
      </c>
      <c r="F116" s="1617" t="s">
        <v>23</v>
      </c>
      <c r="G116" s="1578">
        <v>9430.98</v>
      </c>
      <c r="H116" s="1830" t="s">
        <v>4729</v>
      </c>
      <c r="I116" s="104" t="s">
        <v>102</v>
      </c>
      <c r="J116" s="421"/>
      <c r="K116" s="421"/>
      <c r="L116" s="248"/>
      <c r="M116" s="248"/>
      <c r="N116" s="248"/>
      <c r="O116" s="146"/>
      <c r="R116" s="104" t="s">
        <v>102</v>
      </c>
      <c r="S116" s="421"/>
      <c r="T116" s="421"/>
      <c r="U116" s="248"/>
      <c r="V116" s="248"/>
      <c r="W116" s="248"/>
    </row>
    <row r="117" spans="1:23" ht="20.25" customHeight="1" x14ac:dyDescent="0.3">
      <c r="A117" s="1661"/>
      <c r="B117" s="1661"/>
      <c r="C117" s="51"/>
      <c r="D117" s="90"/>
      <c r="E117" s="1662"/>
      <c r="F117" s="1663"/>
      <c r="G117" s="1664">
        <f>SUM(G113:G116)</f>
        <v>37723.89</v>
      </c>
      <c r="H117" s="1665"/>
      <c r="I117" s="1666"/>
      <c r="J117" s="172"/>
      <c r="K117" s="172"/>
      <c r="L117" s="331"/>
      <c r="M117" s="331"/>
      <c r="N117" s="331"/>
      <c r="O117" s="631"/>
      <c r="R117" s="1666"/>
      <c r="S117" s="172"/>
      <c r="T117" s="172"/>
      <c r="U117" s="331"/>
      <c r="V117" s="331"/>
      <c r="W117" s="331"/>
    </row>
    <row r="118" spans="1:23" ht="16.2" thickBot="1" x14ac:dyDescent="0.35">
      <c r="A118" s="432"/>
      <c r="B118" s="1667"/>
      <c r="C118" s="320"/>
      <c r="D118" s="320"/>
      <c r="E118" s="320"/>
      <c r="F118" s="1668"/>
      <c r="G118" s="1669">
        <f>G117+G111+G73</f>
        <v>983579.88000000012</v>
      </c>
      <c r="H118" s="1670"/>
      <c r="I118" s="432"/>
      <c r="J118" s="438"/>
      <c r="K118" s="438"/>
      <c r="L118" s="438"/>
      <c r="M118" s="438"/>
      <c r="N118" s="438"/>
      <c r="O118" s="1671"/>
      <c r="R118" s="1">
        <f>COUNTA(R7:R117)</f>
        <v>94</v>
      </c>
      <c r="S118" s="1">
        <f t="shared" ref="S118:W118" si="0">COUNTA(S7:S117)</f>
        <v>5</v>
      </c>
      <c r="T118" s="1">
        <f t="shared" si="0"/>
        <v>1</v>
      </c>
      <c r="U118" s="1">
        <f t="shared" si="0"/>
        <v>0</v>
      </c>
      <c r="V118" s="1">
        <f t="shared" si="0"/>
        <v>0</v>
      </c>
      <c r="W118" s="1">
        <f t="shared" si="0"/>
        <v>0</v>
      </c>
    </row>
    <row r="119" spans="1:23" ht="16.2" thickTop="1" x14ac:dyDescent="0.3">
      <c r="A119" s="432"/>
      <c r="B119" s="1667"/>
      <c r="C119" s="320"/>
      <c r="D119" s="320"/>
      <c r="E119" s="320"/>
      <c r="F119" s="1668"/>
      <c r="G119" s="1672"/>
      <c r="H119" s="1670"/>
      <c r="I119" s="432"/>
      <c r="J119" s="438"/>
      <c r="K119" s="438"/>
      <c r="L119" s="438"/>
      <c r="M119" s="438"/>
      <c r="N119" s="438"/>
      <c r="O119" s="1671"/>
    </row>
    <row r="120" spans="1:23" ht="19.2" customHeight="1" x14ac:dyDescent="0.35">
      <c r="B120" s="502" t="s">
        <v>601</v>
      </c>
      <c r="C120" s="502"/>
      <c r="D120" s="505"/>
      <c r="E120" s="509"/>
      <c r="F120" s="505"/>
      <c r="G120" s="504" t="s">
        <v>602</v>
      </c>
      <c r="H120" s="1"/>
      <c r="I120" s="505"/>
      <c r="J120" s="505" t="s">
        <v>603</v>
      </c>
      <c r="K120" s="505"/>
      <c r="L120" s="505"/>
      <c r="M120" s="505"/>
      <c r="O120" s="506"/>
    </row>
    <row r="121" spans="1:23" ht="18" x14ac:dyDescent="0.35">
      <c r="B121" s="507" t="s">
        <v>604</v>
      </c>
      <c r="C121" s="508"/>
      <c r="D121" s="505"/>
      <c r="E121" s="509"/>
      <c r="F121" s="505"/>
      <c r="G121" s="504"/>
      <c r="H121" s="509" t="s">
        <v>605</v>
      </c>
      <c r="J121" s="505"/>
      <c r="K121" s="505"/>
      <c r="L121" s="505"/>
      <c r="M121" s="505"/>
      <c r="O121" s="506"/>
    </row>
    <row r="122" spans="1:23" ht="17.25" customHeight="1" x14ac:dyDescent="0.35">
      <c r="B122" s="507" t="s">
        <v>606</v>
      </c>
      <c r="C122" s="508"/>
      <c r="D122" s="505"/>
      <c r="E122" s="509"/>
      <c r="F122" s="505"/>
      <c r="G122" s="504"/>
      <c r="H122" s="509" t="s">
        <v>607</v>
      </c>
      <c r="J122" s="505"/>
      <c r="K122" s="505"/>
      <c r="L122" s="505"/>
      <c r="M122" s="505"/>
      <c r="O122" s="506"/>
    </row>
    <row r="123" spans="1:23" ht="18" x14ac:dyDescent="0.35">
      <c r="B123" s="502"/>
      <c r="C123" s="502"/>
      <c r="D123" s="505"/>
      <c r="E123" s="509"/>
      <c r="F123" s="505"/>
      <c r="G123" s="790"/>
      <c r="H123" s="505"/>
      <c r="I123" s="505"/>
      <c r="J123" s="505"/>
      <c r="K123" s="505"/>
      <c r="L123" s="505"/>
      <c r="M123" s="505"/>
      <c r="O123" s="506"/>
    </row>
    <row r="124" spans="1:23" ht="18" x14ac:dyDescent="0.35">
      <c r="B124" s="502" t="s">
        <v>5313</v>
      </c>
      <c r="C124" s="502"/>
      <c r="D124" s="505"/>
      <c r="E124" s="509"/>
      <c r="F124" s="505"/>
      <c r="G124" s="504"/>
      <c r="H124" s="1"/>
      <c r="I124" s="505"/>
      <c r="J124" s="505"/>
      <c r="K124" s="505"/>
      <c r="L124" s="505"/>
      <c r="M124" s="505"/>
      <c r="O124" s="506"/>
    </row>
    <row r="125" spans="1:23" ht="18" x14ac:dyDescent="0.35">
      <c r="B125" s="507" t="s">
        <v>609</v>
      </c>
      <c r="C125" s="508"/>
      <c r="D125" s="505"/>
      <c r="E125" s="509"/>
      <c r="F125" s="505"/>
      <c r="G125" s="504"/>
      <c r="H125" s="509"/>
      <c r="J125" s="505"/>
      <c r="K125" s="505"/>
      <c r="L125" s="505"/>
      <c r="M125" s="505"/>
      <c r="O125" s="506"/>
    </row>
    <row r="126" spans="1:23" ht="18" x14ac:dyDescent="0.35">
      <c r="B126" s="507" t="s">
        <v>610</v>
      </c>
      <c r="C126" s="508"/>
      <c r="D126" s="505"/>
      <c r="E126" s="509"/>
      <c r="F126" s="505"/>
      <c r="G126" s="504"/>
      <c r="H126" s="509"/>
      <c r="J126" s="505"/>
      <c r="K126" s="505"/>
      <c r="L126" s="505"/>
      <c r="M126" s="505"/>
      <c r="O126" s="506"/>
    </row>
    <row r="127" spans="1:23" x14ac:dyDescent="0.3">
      <c r="O127" s="498" t="s">
        <v>119</v>
      </c>
    </row>
    <row r="129" spans="2:7" x14ac:dyDescent="0.3">
      <c r="B129" s="767" t="s">
        <v>611</v>
      </c>
      <c r="F129" s="766">
        <f>[11]งานธุรการ!G29</f>
        <v>260584</v>
      </c>
    </row>
    <row r="130" spans="2:7" x14ac:dyDescent="0.3">
      <c r="B130" s="767" t="s">
        <v>920</v>
      </c>
      <c r="F130" s="766">
        <f>'[11] ฝ่ายสาธารณูปโภค ทางและสะพาน'!G9</f>
        <v>4000</v>
      </c>
    </row>
    <row r="131" spans="2:7" x14ac:dyDescent="0.3">
      <c r="B131" s="767" t="s">
        <v>4322</v>
      </c>
      <c r="F131" s="766">
        <f>[11]ฝ่ายส่วนสาธารณะ!G58</f>
        <v>405671.78</v>
      </c>
    </row>
    <row r="132" spans="2:7" x14ac:dyDescent="0.3">
      <c r="B132" s="767" t="s">
        <v>615</v>
      </c>
      <c r="F132" s="766">
        <f>[11]กลุ่มงานเครื่องจักรกล!G11</f>
        <v>21500</v>
      </c>
    </row>
    <row r="133" spans="2:7" x14ac:dyDescent="0.3">
      <c r="B133" s="767" t="s">
        <v>4756</v>
      </c>
      <c r="F133" s="766">
        <f>'[11]ฝ่ายช่างสุขาภิบาล  (รวม)'!G27</f>
        <v>187944.1</v>
      </c>
    </row>
    <row r="134" spans="2:7" ht="16.2" thickBot="1" x14ac:dyDescent="0.35">
      <c r="F134" s="1391">
        <f>SUM(F129:F133)</f>
        <v>879699.88</v>
      </c>
      <c r="G134" s="766">
        <f>F134-G118</f>
        <v>-103880.00000000012</v>
      </c>
    </row>
    <row r="135" spans="2:7" ht="16.2" thickTop="1" x14ac:dyDescent="0.3"/>
  </sheetData>
  <mergeCells count="64">
    <mergeCell ref="C12:E12"/>
    <mergeCell ref="A1:O1"/>
    <mergeCell ref="A2:O2"/>
    <mergeCell ref="A3:B3"/>
    <mergeCell ref="A4:A5"/>
    <mergeCell ref="B4:B5"/>
    <mergeCell ref="C4:E5"/>
    <mergeCell ref="G4:G5"/>
    <mergeCell ref="H4:H5"/>
    <mergeCell ref="I4:N4"/>
    <mergeCell ref="O4:O5"/>
    <mergeCell ref="C7:E7"/>
    <mergeCell ref="C8:E8"/>
    <mergeCell ref="C9:E9"/>
    <mergeCell ref="C10:E10"/>
    <mergeCell ref="C11:E11"/>
    <mergeCell ref="C24:E24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36:E36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48:E48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60:E60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</mergeCells>
  <pageMargins left="0.31496062992125984" right="0.31496062992125984" top="0.35433070866141736" bottom="0.35433070866141736" header="0.11811023622047245" footer="0.31496062992125984"/>
  <pageSetup paperSize="9" orientation="landscape" horizontalDpi="4294967294" verticalDpi="0" r:id="rId1"/>
  <headerFooter>
    <oddHeader>&amp;R&amp;P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H123"/>
  <sheetViews>
    <sheetView topLeftCell="A97" workbookViewId="0">
      <selection activeCell="X122" sqref="X122"/>
    </sheetView>
  </sheetViews>
  <sheetFormatPr defaultColWidth="9.109375" defaultRowHeight="15.6" x14ac:dyDescent="0.3"/>
  <cols>
    <col min="1" max="1" width="5.44140625" style="320" customWidth="1"/>
    <col min="2" max="2" width="43.44140625" style="1" customWidth="1"/>
    <col min="3" max="3" width="4.5546875" style="1" customWidth="1"/>
    <col min="4" max="4" width="3.109375" style="1" customWidth="1"/>
    <col min="5" max="5" width="6.109375" style="764" customWidth="1"/>
    <col min="6" max="6" width="9.88671875" style="1" customWidth="1"/>
    <col min="7" max="7" width="12.6640625" style="766" customWidth="1"/>
    <col min="8" max="8" width="27.33203125" style="497" customWidth="1"/>
    <col min="9" max="14" width="3.33203125" style="1" customWidth="1"/>
    <col min="15" max="15" width="10.6640625" style="498" customWidth="1"/>
    <col min="16" max="16384" width="9.109375" style="1"/>
  </cols>
  <sheetData>
    <row r="1" spans="1:60" ht="18" x14ac:dyDescent="0.35">
      <c r="A1" s="2842" t="s">
        <v>931</v>
      </c>
      <c r="B1" s="2842"/>
      <c r="C1" s="2842"/>
      <c r="D1" s="2842"/>
      <c r="E1" s="2842"/>
      <c r="F1" s="2842"/>
      <c r="G1" s="2842"/>
      <c r="H1" s="2842"/>
      <c r="I1" s="2842"/>
      <c r="J1" s="2842"/>
      <c r="K1" s="2842"/>
      <c r="L1" s="2842"/>
      <c r="M1" s="2842"/>
      <c r="N1" s="2842"/>
      <c r="O1" s="2842"/>
    </row>
    <row r="2" spans="1:60" ht="18" customHeight="1" x14ac:dyDescent="0.35">
      <c r="A2" s="2842" t="s">
        <v>4757</v>
      </c>
      <c r="B2" s="2842"/>
      <c r="C2" s="2842"/>
      <c r="D2" s="2842"/>
      <c r="E2" s="2842"/>
      <c r="F2" s="2842"/>
      <c r="G2" s="2842"/>
      <c r="H2" s="2842"/>
      <c r="I2" s="2842"/>
      <c r="J2" s="2842"/>
      <c r="K2" s="2842"/>
      <c r="L2" s="2842"/>
      <c r="M2" s="2842"/>
      <c r="N2" s="2842"/>
      <c r="O2" s="2842"/>
    </row>
    <row r="3" spans="1:60" ht="17.25" customHeight="1" x14ac:dyDescent="0.3">
      <c r="A3" s="2861" t="s">
        <v>4758</v>
      </c>
      <c r="B3" s="2861"/>
      <c r="C3" s="3"/>
      <c r="D3" s="3"/>
      <c r="E3" s="3"/>
      <c r="F3" s="3"/>
      <c r="G3" s="5"/>
      <c r="H3" s="7"/>
      <c r="I3" s="3"/>
      <c r="J3" s="3"/>
      <c r="K3" s="3"/>
      <c r="L3" s="3"/>
      <c r="M3" s="3"/>
      <c r="N3" s="3"/>
      <c r="O3" s="7"/>
    </row>
    <row r="4" spans="1:60" s="10" customFormat="1" x14ac:dyDescent="0.3">
      <c r="A4" s="2867" t="s">
        <v>3</v>
      </c>
      <c r="B4" s="2868" t="s">
        <v>4</v>
      </c>
      <c r="C4" s="2911" t="s">
        <v>5</v>
      </c>
      <c r="D4" s="2912"/>
      <c r="E4" s="2913"/>
      <c r="F4" s="857" t="s">
        <v>6</v>
      </c>
      <c r="G4" s="2875" t="s">
        <v>7</v>
      </c>
      <c r="H4" s="2868" t="s">
        <v>8</v>
      </c>
      <c r="I4" s="2858" t="s">
        <v>9</v>
      </c>
      <c r="J4" s="2876"/>
      <c r="K4" s="2876"/>
      <c r="L4" s="2876"/>
      <c r="M4" s="2876"/>
      <c r="N4" s="2860"/>
      <c r="O4" s="2868" t="s">
        <v>10</v>
      </c>
    </row>
    <row r="5" spans="1:60" s="10" customFormat="1" ht="42" customHeight="1" x14ac:dyDescent="0.3">
      <c r="A5" s="2845"/>
      <c r="B5" s="2857"/>
      <c r="C5" s="2863"/>
      <c r="D5" s="2914"/>
      <c r="E5" s="2915"/>
      <c r="F5" s="514" t="s">
        <v>11</v>
      </c>
      <c r="G5" s="2865"/>
      <c r="H5" s="2857"/>
      <c r="I5" s="14" t="s">
        <v>12</v>
      </c>
      <c r="J5" s="14" t="s">
        <v>13</v>
      </c>
      <c r="K5" s="15" t="s">
        <v>14</v>
      </c>
      <c r="L5" s="15" t="s">
        <v>15</v>
      </c>
      <c r="M5" s="15" t="s">
        <v>16</v>
      </c>
      <c r="N5" s="15" t="s">
        <v>17</v>
      </c>
      <c r="O5" s="2857"/>
    </row>
    <row r="6" spans="1:60" s="1282" customFormat="1" x14ac:dyDescent="0.3">
      <c r="A6" s="1673">
        <v>192</v>
      </c>
      <c r="B6" s="1674" t="s">
        <v>4759</v>
      </c>
      <c r="C6" s="1675"/>
      <c r="D6" s="1676"/>
      <c r="E6" s="1677"/>
      <c r="F6" s="1678"/>
      <c r="G6" s="1679"/>
      <c r="H6" s="1680"/>
      <c r="I6" s="1681"/>
      <c r="J6" s="1682"/>
      <c r="K6" s="1683"/>
      <c r="L6" s="1684"/>
      <c r="M6" s="1685"/>
      <c r="N6" s="1686"/>
      <c r="O6" s="1687"/>
      <c r="P6" s="1285"/>
      <c r="Q6" s="1286"/>
      <c r="R6" s="1286"/>
      <c r="S6" s="1286"/>
      <c r="T6" s="1286"/>
      <c r="U6" s="1286"/>
      <c r="V6" s="1286"/>
      <c r="W6" s="1286"/>
      <c r="X6" s="1286"/>
      <c r="Y6" s="1286"/>
      <c r="Z6" s="1286"/>
      <c r="AA6" s="1286"/>
      <c r="AB6" s="1286"/>
      <c r="AC6" s="1286"/>
      <c r="AD6" s="1286"/>
      <c r="AE6" s="1286"/>
      <c r="AF6" s="1286"/>
      <c r="AG6" s="1286"/>
      <c r="AH6" s="1286"/>
      <c r="AI6" s="1286"/>
      <c r="AJ6" s="1286"/>
      <c r="AK6" s="1286"/>
      <c r="AL6" s="1286"/>
      <c r="AM6" s="1286"/>
      <c r="AN6" s="1286"/>
      <c r="AO6" s="1286"/>
      <c r="AP6" s="1286"/>
      <c r="AQ6" s="1286"/>
      <c r="AR6" s="1286"/>
      <c r="AS6" s="1286"/>
      <c r="AT6" s="1286"/>
      <c r="AU6" s="1286"/>
      <c r="AV6" s="1286"/>
      <c r="AW6" s="1286"/>
      <c r="AX6" s="1286"/>
      <c r="AY6" s="1286"/>
      <c r="AZ6" s="1286"/>
      <c r="BA6" s="1286"/>
      <c r="BB6" s="1286"/>
      <c r="BC6" s="1286"/>
      <c r="BD6" s="1286"/>
      <c r="BE6" s="1286"/>
      <c r="BF6" s="1286"/>
      <c r="BG6" s="1286"/>
      <c r="BH6" s="1286"/>
    </row>
    <row r="7" spans="1:60" s="1282" customFormat="1" x14ac:dyDescent="0.3">
      <c r="A7" s="2290">
        <v>1</v>
      </c>
      <c r="B7" s="390" t="s">
        <v>4760</v>
      </c>
      <c r="C7" s="163" t="s">
        <v>4761</v>
      </c>
      <c r="D7" s="391" t="s">
        <v>172</v>
      </c>
      <c r="E7" s="1688" t="s">
        <v>568</v>
      </c>
      <c r="F7" s="170">
        <v>24612</v>
      </c>
      <c r="G7" s="171">
        <v>5286.69</v>
      </c>
      <c r="H7" s="1833" t="s">
        <v>4762</v>
      </c>
      <c r="I7" s="352" t="s">
        <v>25</v>
      </c>
      <c r="J7" s="1308"/>
      <c r="K7" s="1689"/>
      <c r="L7" s="1690"/>
      <c r="M7" s="1187"/>
      <c r="N7" s="1301"/>
      <c r="O7" s="390"/>
      <c r="P7" s="1285"/>
      <c r="Q7" s="352" t="s">
        <v>25</v>
      </c>
      <c r="R7" s="1308"/>
      <c r="S7" s="1689"/>
      <c r="T7" s="1690"/>
      <c r="U7" s="1187"/>
      <c r="V7" s="1301"/>
      <c r="W7" s="1286"/>
      <c r="X7" s="1286"/>
      <c r="Y7" s="1286"/>
      <c r="Z7" s="1286"/>
      <c r="AA7" s="1286"/>
      <c r="AB7" s="1286"/>
      <c r="AC7" s="1286"/>
      <c r="AD7" s="1286"/>
      <c r="AE7" s="1286"/>
      <c r="AF7" s="1286"/>
      <c r="AG7" s="1286"/>
      <c r="AH7" s="1286"/>
      <c r="AI7" s="1286"/>
      <c r="AJ7" s="1286"/>
      <c r="AK7" s="1286"/>
      <c r="AL7" s="1286"/>
      <c r="AM7" s="1286"/>
      <c r="AN7" s="1286"/>
      <c r="AO7" s="1286"/>
      <c r="AP7" s="1286"/>
      <c r="AQ7" s="1286"/>
      <c r="AR7" s="1286"/>
      <c r="AS7" s="1286"/>
      <c r="AT7" s="1286"/>
      <c r="AU7" s="1286"/>
      <c r="AV7" s="1286"/>
      <c r="AW7" s="1286"/>
      <c r="AX7" s="1286"/>
      <c r="AY7" s="1286"/>
      <c r="AZ7" s="1286"/>
      <c r="BA7" s="1286"/>
      <c r="BB7" s="1286"/>
      <c r="BC7" s="1286"/>
      <c r="BD7" s="1286"/>
      <c r="BE7" s="1286"/>
      <c r="BF7" s="1286"/>
      <c r="BG7" s="1286"/>
      <c r="BH7" s="1286"/>
    </row>
    <row r="8" spans="1:60" s="1282" customFormat="1" x14ac:dyDescent="0.3">
      <c r="A8" s="2290">
        <v>2</v>
      </c>
      <c r="B8" s="390" t="s">
        <v>4760</v>
      </c>
      <c r="C8" s="163" t="s">
        <v>4761</v>
      </c>
      <c r="D8" s="164" t="s">
        <v>172</v>
      </c>
      <c r="E8" s="1688" t="s">
        <v>4763</v>
      </c>
      <c r="F8" s="170">
        <v>24612</v>
      </c>
      <c r="G8" s="171">
        <v>5286.69</v>
      </c>
      <c r="H8" s="1833" t="s">
        <v>4762</v>
      </c>
      <c r="I8" s="352" t="s">
        <v>25</v>
      </c>
      <c r="K8" s="1691"/>
      <c r="L8" s="1566"/>
      <c r="M8" s="390"/>
      <c r="N8" s="1284"/>
      <c r="O8" s="390"/>
      <c r="P8" s="1285"/>
      <c r="Q8" s="352" t="s">
        <v>25</v>
      </c>
      <c r="S8" s="1691"/>
      <c r="T8" s="1566"/>
      <c r="U8" s="390"/>
      <c r="V8" s="1284"/>
      <c r="W8" s="1286"/>
      <c r="X8" s="1286"/>
      <c r="Y8" s="1286"/>
      <c r="Z8" s="1286"/>
      <c r="AA8" s="1286"/>
      <c r="AB8" s="1286"/>
      <c r="AC8" s="1286"/>
      <c r="AD8" s="1286"/>
      <c r="AE8" s="1286"/>
      <c r="AF8" s="1286"/>
      <c r="AG8" s="1286"/>
      <c r="AH8" s="1286"/>
      <c r="AI8" s="1286"/>
      <c r="AJ8" s="1286"/>
      <c r="AK8" s="1286"/>
      <c r="AL8" s="1286"/>
      <c r="AM8" s="1286"/>
      <c r="AN8" s="1286"/>
      <c r="AO8" s="1286"/>
      <c r="AP8" s="1286"/>
      <c r="AQ8" s="1286"/>
      <c r="AR8" s="1286"/>
      <c r="AS8" s="1286"/>
      <c r="AT8" s="1286"/>
      <c r="AU8" s="1286"/>
      <c r="AV8" s="1286"/>
      <c r="AW8" s="1286"/>
      <c r="AX8" s="1286"/>
      <c r="AY8" s="1286"/>
      <c r="AZ8" s="1286"/>
      <c r="BA8" s="1286"/>
      <c r="BB8" s="1286"/>
      <c r="BC8" s="1286"/>
      <c r="BD8" s="1286"/>
      <c r="BE8" s="1286"/>
      <c r="BF8" s="1286"/>
      <c r="BG8" s="1286"/>
      <c r="BH8" s="1286"/>
    </row>
    <row r="9" spans="1:60" s="1282" customFormat="1" x14ac:dyDescent="0.3">
      <c r="A9" s="2290">
        <v>3</v>
      </c>
      <c r="B9" s="390" t="s">
        <v>4760</v>
      </c>
      <c r="C9" s="163" t="s">
        <v>4761</v>
      </c>
      <c r="D9" s="164" t="s">
        <v>172</v>
      </c>
      <c r="E9" s="1688" t="s">
        <v>4764</v>
      </c>
      <c r="F9" s="170">
        <v>24612</v>
      </c>
      <c r="G9" s="171">
        <v>5286.69</v>
      </c>
      <c r="H9" s="1833" t="s">
        <v>4762</v>
      </c>
      <c r="I9" s="352" t="s">
        <v>25</v>
      </c>
      <c r="K9" s="1691"/>
      <c r="L9" s="1566"/>
      <c r="M9" s="390"/>
      <c r="N9" s="1284"/>
      <c r="O9" s="390"/>
      <c r="P9" s="1285"/>
      <c r="Q9" s="352" t="s">
        <v>25</v>
      </c>
      <c r="S9" s="1691"/>
      <c r="T9" s="1566"/>
      <c r="U9" s="390"/>
      <c r="V9" s="1284"/>
      <c r="W9" s="1286"/>
      <c r="X9" s="1286"/>
      <c r="Y9" s="1286"/>
      <c r="Z9" s="1286"/>
      <c r="AA9" s="1286"/>
      <c r="AB9" s="1286"/>
      <c r="AC9" s="1286"/>
      <c r="AD9" s="1286"/>
      <c r="AE9" s="1286"/>
      <c r="AF9" s="1286"/>
      <c r="AG9" s="1286"/>
      <c r="AH9" s="1286"/>
      <c r="AI9" s="1286"/>
      <c r="AJ9" s="1286"/>
      <c r="AK9" s="1286"/>
      <c r="AL9" s="1286"/>
      <c r="AM9" s="1286"/>
      <c r="AN9" s="1286"/>
      <c r="AO9" s="1286"/>
      <c r="AP9" s="1286"/>
      <c r="AQ9" s="1286"/>
      <c r="AR9" s="1286"/>
      <c r="AS9" s="1286"/>
      <c r="AT9" s="1286"/>
      <c r="AU9" s="1286"/>
      <c r="AV9" s="1286"/>
      <c r="AW9" s="1286"/>
      <c r="AX9" s="1286"/>
      <c r="AY9" s="1286"/>
      <c r="AZ9" s="1286"/>
      <c r="BA9" s="1286"/>
      <c r="BB9" s="1286"/>
      <c r="BC9" s="1286"/>
      <c r="BD9" s="1286"/>
      <c r="BE9" s="1286"/>
      <c r="BF9" s="1286"/>
      <c r="BG9" s="1286"/>
      <c r="BH9" s="1286"/>
    </row>
    <row r="10" spans="1:60" s="1282" customFormat="1" x14ac:dyDescent="0.3">
      <c r="A10" s="2290">
        <v>4</v>
      </c>
      <c r="B10" s="390" t="s">
        <v>4760</v>
      </c>
      <c r="C10" s="163" t="s">
        <v>4761</v>
      </c>
      <c r="D10" s="391" t="s">
        <v>172</v>
      </c>
      <c r="E10" s="1688" t="s">
        <v>4765</v>
      </c>
      <c r="F10" s="170">
        <v>24612</v>
      </c>
      <c r="G10" s="171">
        <v>5286.69</v>
      </c>
      <c r="H10" s="1833" t="s">
        <v>4762</v>
      </c>
      <c r="I10" s="352" t="s">
        <v>25</v>
      </c>
      <c r="K10" s="1691"/>
      <c r="L10" s="1566"/>
      <c r="M10" s="390"/>
      <c r="N10" s="1284"/>
      <c r="O10" s="390"/>
      <c r="P10" s="1285"/>
      <c r="Q10" s="352" t="s">
        <v>25</v>
      </c>
      <c r="S10" s="1691"/>
      <c r="T10" s="1566"/>
      <c r="U10" s="390"/>
      <c r="V10" s="1284"/>
      <c r="W10" s="1286"/>
      <c r="X10" s="1286"/>
      <c r="Y10" s="1286"/>
      <c r="Z10" s="1286"/>
      <c r="AA10" s="1286"/>
      <c r="AB10" s="1286"/>
      <c r="AC10" s="1286"/>
      <c r="AD10" s="1286"/>
      <c r="AE10" s="1286"/>
      <c r="AF10" s="1286"/>
      <c r="AG10" s="1286"/>
      <c r="AH10" s="1286"/>
      <c r="AI10" s="1286"/>
      <c r="AJ10" s="1286"/>
      <c r="AK10" s="1286"/>
      <c r="AL10" s="1286"/>
      <c r="AM10" s="1286"/>
      <c r="AN10" s="1286"/>
      <c r="AO10" s="1286"/>
      <c r="AP10" s="1286"/>
      <c r="AQ10" s="1286"/>
      <c r="AR10" s="1286"/>
      <c r="AS10" s="1286"/>
      <c r="AT10" s="1286"/>
      <c r="AU10" s="1286"/>
      <c r="AV10" s="1286"/>
      <c r="AW10" s="1286"/>
      <c r="AX10" s="1286"/>
      <c r="AY10" s="1286"/>
      <c r="AZ10" s="1286"/>
      <c r="BA10" s="1286"/>
      <c r="BB10" s="1286"/>
      <c r="BC10" s="1286"/>
      <c r="BD10" s="1286"/>
      <c r="BE10" s="1286"/>
      <c r="BF10" s="1286"/>
      <c r="BG10" s="1286"/>
      <c r="BH10" s="1286"/>
    </row>
    <row r="11" spans="1:60" s="1282" customFormat="1" x14ac:dyDescent="0.3">
      <c r="A11" s="2290">
        <v>5</v>
      </c>
      <c r="B11" s="390" t="s">
        <v>4760</v>
      </c>
      <c r="C11" s="163" t="s">
        <v>4761</v>
      </c>
      <c r="D11" s="164" t="s">
        <v>172</v>
      </c>
      <c r="E11" s="1688" t="s">
        <v>569</v>
      </c>
      <c r="F11" s="170">
        <v>24612</v>
      </c>
      <c r="G11" s="171">
        <v>5286.69</v>
      </c>
      <c r="H11" s="1833" t="s">
        <v>4762</v>
      </c>
      <c r="I11" s="352" t="s">
        <v>25</v>
      </c>
      <c r="K11" s="1691"/>
      <c r="L11" s="1566"/>
      <c r="M11" s="390"/>
      <c r="N11" s="1284"/>
      <c r="O11" s="390"/>
      <c r="P11" s="1285"/>
      <c r="Q11" s="352" t="s">
        <v>25</v>
      </c>
      <c r="S11" s="1691"/>
      <c r="T11" s="1566"/>
      <c r="U11" s="390"/>
      <c r="V11" s="1284"/>
      <c r="W11" s="1286"/>
      <c r="X11" s="1286"/>
      <c r="Y11" s="1286"/>
      <c r="Z11" s="1286"/>
      <c r="AA11" s="1286"/>
      <c r="AB11" s="1286"/>
      <c r="AC11" s="1286"/>
      <c r="AD11" s="1286"/>
      <c r="AE11" s="1286"/>
      <c r="AF11" s="1286"/>
      <c r="AG11" s="1286"/>
      <c r="AH11" s="1286"/>
      <c r="AI11" s="1286"/>
      <c r="AJ11" s="1286"/>
      <c r="AK11" s="1286"/>
      <c r="AL11" s="1286"/>
      <c r="AM11" s="1286"/>
      <c r="AN11" s="1286"/>
      <c r="AO11" s="1286"/>
      <c r="AP11" s="1286"/>
      <c r="AQ11" s="1286"/>
      <c r="AR11" s="1286"/>
      <c r="AS11" s="1286"/>
      <c r="AT11" s="1286"/>
      <c r="AU11" s="1286"/>
      <c r="AV11" s="1286"/>
      <c r="AW11" s="1286"/>
      <c r="AX11" s="1286"/>
      <c r="AY11" s="1286"/>
      <c r="AZ11" s="1286"/>
      <c r="BA11" s="1286"/>
      <c r="BB11" s="1286"/>
      <c r="BC11" s="1286"/>
      <c r="BD11" s="1286"/>
      <c r="BE11" s="1286"/>
      <c r="BF11" s="1286"/>
      <c r="BG11" s="1286"/>
      <c r="BH11" s="1286"/>
    </row>
    <row r="12" spans="1:60" s="1282" customFormat="1" x14ac:dyDescent="0.3">
      <c r="A12" s="2290">
        <v>6</v>
      </c>
      <c r="B12" s="390" t="s">
        <v>4760</v>
      </c>
      <c r="C12" s="163" t="s">
        <v>4761</v>
      </c>
      <c r="D12" s="164" t="s">
        <v>172</v>
      </c>
      <c r="E12" s="1688" t="s">
        <v>4766</v>
      </c>
      <c r="F12" s="170">
        <v>24612</v>
      </c>
      <c r="G12" s="171">
        <v>5286.69</v>
      </c>
      <c r="H12" s="1833" t="s">
        <v>4762</v>
      </c>
      <c r="I12" s="352" t="s">
        <v>25</v>
      </c>
      <c r="K12" s="1691"/>
      <c r="L12" s="1566"/>
      <c r="M12" s="390"/>
      <c r="N12" s="1284"/>
      <c r="O12" s="390"/>
      <c r="P12" s="1285"/>
      <c r="Q12" s="352" t="s">
        <v>25</v>
      </c>
      <c r="S12" s="1691"/>
      <c r="T12" s="1566"/>
      <c r="U12" s="390"/>
      <c r="V12" s="1284"/>
      <c r="W12" s="1286"/>
      <c r="X12" s="1286"/>
      <c r="Y12" s="1286"/>
      <c r="Z12" s="1286"/>
      <c r="AA12" s="1286"/>
      <c r="AB12" s="1286"/>
      <c r="AC12" s="1286"/>
      <c r="AD12" s="1286"/>
      <c r="AE12" s="1286"/>
      <c r="AF12" s="1286"/>
      <c r="AG12" s="1286"/>
      <c r="AH12" s="1286"/>
      <c r="AI12" s="1286"/>
      <c r="AJ12" s="1286"/>
      <c r="AK12" s="1286"/>
      <c r="AL12" s="1286"/>
      <c r="AM12" s="1286"/>
      <c r="AN12" s="1286"/>
      <c r="AO12" s="1286"/>
      <c r="AP12" s="1286"/>
      <c r="AQ12" s="1286"/>
      <c r="AR12" s="1286"/>
      <c r="AS12" s="1286"/>
      <c r="AT12" s="1286"/>
      <c r="AU12" s="1286"/>
      <c r="AV12" s="1286"/>
      <c r="AW12" s="1286"/>
      <c r="AX12" s="1286"/>
      <c r="AY12" s="1286"/>
      <c r="AZ12" s="1286"/>
      <c r="BA12" s="1286"/>
      <c r="BB12" s="1286"/>
      <c r="BC12" s="1286"/>
      <c r="BD12" s="1286"/>
      <c r="BE12" s="1286"/>
      <c r="BF12" s="1286"/>
      <c r="BG12" s="1286"/>
      <c r="BH12" s="1286"/>
    </row>
    <row r="13" spans="1:60" s="1282" customFormat="1" x14ac:dyDescent="0.3">
      <c r="A13" s="2290">
        <v>7</v>
      </c>
      <c r="B13" s="390" t="s">
        <v>4760</v>
      </c>
      <c r="C13" s="163" t="s">
        <v>4761</v>
      </c>
      <c r="D13" s="391" t="s">
        <v>172</v>
      </c>
      <c r="E13" s="1688" t="s">
        <v>570</v>
      </c>
      <c r="F13" s="170">
        <v>24612</v>
      </c>
      <c r="G13" s="171">
        <v>5286.69</v>
      </c>
      <c r="H13" s="1833" t="s">
        <v>4762</v>
      </c>
      <c r="I13" s="352" t="s">
        <v>25</v>
      </c>
      <c r="K13" s="1691"/>
      <c r="L13" s="1566"/>
      <c r="M13" s="390"/>
      <c r="N13" s="1284"/>
      <c r="O13" s="390"/>
      <c r="P13" s="1285"/>
      <c r="Q13" s="352" t="s">
        <v>25</v>
      </c>
      <c r="S13" s="1691"/>
      <c r="T13" s="1566"/>
      <c r="U13" s="390"/>
      <c r="V13" s="1284"/>
      <c r="W13" s="1286"/>
      <c r="X13" s="1286"/>
      <c r="Y13" s="1286"/>
      <c r="Z13" s="1286"/>
      <c r="AA13" s="1286"/>
      <c r="AB13" s="1286"/>
      <c r="AC13" s="1286"/>
      <c r="AD13" s="1286"/>
      <c r="AE13" s="1286"/>
      <c r="AF13" s="1286"/>
      <c r="AG13" s="1286"/>
      <c r="AH13" s="1286"/>
      <c r="AI13" s="1286"/>
      <c r="AJ13" s="1286"/>
      <c r="AK13" s="1286"/>
      <c r="AL13" s="1286"/>
      <c r="AM13" s="1286"/>
      <c r="AN13" s="1286"/>
      <c r="AO13" s="1286"/>
      <c r="AP13" s="1286"/>
      <c r="AQ13" s="1286"/>
      <c r="AR13" s="1286"/>
      <c r="AS13" s="1286"/>
      <c r="AT13" s="1286"/>
      <c r="AU13" s="1286"/>
      <c r="AV13" s="1286"/>
      <c r="AW13" s="1286"/>
      <c r="AX13" s="1286"/>
      <c r="AY13" s="1286"/>
      <c r="AZ13" s="1286"/>
      <c r="BA13" s="1286"/>
      <c r="BB13" s="1286"/>
      <c r="BC13" s="1286"/>
      <c r="BD13" s="1286"/>
      <c r="BE13" s="1286"/>
      <c r="BF13" s="1286"/>
      <c r="BG13" s="1286"/>
      <c r="BH13" s="1286"/>
    </row>
    <row r="14" spans="1:60" s="1282" customFormat="1" x14ac:dyDescent="0.3">
      <c r="A14" s="2290">
        <v>8</v>
      </c>
      <c r="B14" s="390" t="s">
        <v>4760</v>
      </c>
      <c r="C14" s="163" t="s">
        <v>4761</v>
      </c>
      <c r="D14" s="164" t="s">
        <v>172</v>
      </c>
      <c r="E14" s="1688" t="s">
        <v>4767</v>
      </c>
      <c r="F14" s="170">
        <v>24612</v>
      </c>
      <c r="G14" s="171">
        <v>5286.69</v>
      </c>
      <c r="H14" s="1833" t="s">
        <v>4762</v>
      </c>
      <c r="I14" s="352" t="s">
        <v>25</v>
      </c>
      <c r="K14" s="1691"/>
      <c r="L14" s="1566"/>
      <c r="M14" s="390"/>
      <c r="N14" s="1284"/>
      <c r="O14" s="390"/>
      <c r="P14" s="1285"/>
      <c r="Q14" s="352" t="s">
        <v>25</v>
      </c>
      <c r="S14" s="1691"/>
      <c r="T14" s="1566"/>
      <c r="U14" s="390"/>
      <c r="V14" s="1284"/>
      <c r="W14" s="1286"/>
      <c r="X14" s="1286"/>
      <c r="Y14" s="1286"/>
      <c r="Z14" s="1286"/>
      <c r="AA14" s="1286"/>
      <c r="AB14" s="1286"/>
      <c r="AC14" s="1286"/>
      <c r="AD14" s="1286"/>
      <c r="AE14" s="1286"/>
      <c r="AF14" s="1286"/>
      <c r="AG14" s="1286"/>
      <c r="AH14" s="1286"/>
      <c r="AI14" s="1286"/>
      <c r="AJ14" s="1286"/>
      <c r="AK14" s="1286"/>
      <c r="AL14" s="1286"/>
      <c r="AM14" s="1286"/>
      <c r="AN14" s="1286"/>
      <c r="AO14" s="1286"/>
      <c r="AP14" s="1286"/>
      <c r="AQ14" s="1286"/>
      <c r="AR14" s="1286"/>
      <c r="AS14" s="1286"/>
      <c r="AT14" s="1286"/>
      <c r="AU14" s="1286"/>
      <c r="AV14" s="1286"/>
      <c r="AW14" s="1286"/>
      <c r="AX14" s="1286"/>
      <c r="AY14" s="1286"/>
      <c r="AZ14" s="1286"/>
      <c r="BA14" s="1286"/>
      <c r="BB14" s="1286"/>
      <c r="BC14" s="1286"/>
      <c r="BD14" s="1286"/>
      <c r="BE14" s="1286"/>
      <c r="BF14" s="1286"/>
      <c r="BG14" s="1286"/>
      <c r="BH14" s="1286"/>
    </row>
    <row r="15" spans="1:60" s="1282" customFormat="1" x14ac:dyDescent="0.3">
      <c r="A15" s="2290">
        <v>9</v>
      </c>
      <c r="B15" s="390" t="s">
        <v>4760</v>
      </c>
      <c r="C15" s="163" t="s">
        <v>4761</v>
      </c>
      <c r="D15" s="164" t="s">
        <v>172</v>
      </c>
      <c r="E15" s="1688" t="s">
        <v>571</v>
      </c>
      <c r="F15" s="170">
        <v>24612</v>
      </c>
      <c r="G15" s="171">
        <v>5286.69</v>
      </c>
      <c r="H15" s="1833" t="s">
        <v>4762</v>
      </c>
      <c r="I15" s="352" t="s">
        <v>25</v>
      </c>
      <c r="K15" s="1691"/>
      <c r="L15" s="1566"/>
      <c r="M15" s="390"/>
      <c r="N15" s="1284"/>
      <c r="O15" s="390"/>
      <c r="P15" s="1285"/>
      <c r="Q15" s="352" t="s">
        <v>25</v>
      </c>
      <c r="S15" s="1691"/>
      <c r="T15" s="1566"/>
      <c r="U15" s="390"/>
      <c r="V15" s="1284"/>
      <c r="W15" s="1286"/>
      <c r="X15" s="1286"/>
      <c r="Y15" s="1286"/>
      <c r="Z15" s="1286"/>
      <c r="AA15" s="1286"/>
      <c r="AB15" s="1286"/>
      <c r="AC15" s="1286"/>
      <c r="AD15" s="1286"/>
      <c r="AE15" s="1286"/>
      <c r="AF15" s="1286"/>
      <c r="AG15" s="1286"/>
      <c r="AH15" s="1286"/>
      <c r="AI15" s="1286"/>
      <c r="AJ15" s="1286"/>
      <c r="AK15" s="1286"/>
      <c r="AL15" s="1286"/>
      <c r="AM15" s="1286"/>
      <c r="AN15" s="1286"/>
      <c r="AO15" s="1286"/>
      <c r="AP15" s="1286"/>
      <c r="AQ15" s="1286"/>
      <c r="AR15" s="1286"/>
      <c r="AS15" s="1286"/>
      <c r="AT15" s="1286"/>
      <c r="AU15" s="1286"/>
      <c r="AV15" s="1286"/>
      <c r="AW15" s="1286"/>
      <c r="AX15" s="1286"/>
      <c r="AY15" s="1286"/>
      <c r="AZ15" s="1286"/>
      <c r="BA15" s="1286"/>
      <c r="BB15" s="1286"/>
      <c r="BC15" s="1286"/>
      <c r="BD15" s="1286"/>
      <c r="BE15" s="1286"/>
      <c r="BF15" s="1286"/>
      <c r="BG15" s="1286"/>
      <c r="BH15" s="1286"/>
    </row>
    <row r="16" spans="1:60" s="1282" customFormat="1" x14ac:dyDescent="0.3">
      <c r="A16" s="2290">
        <v>10</v>
      </c>
      <c r="B16" s="390" t="s">
        <v>4760</v>
      </c>
      <c r="C16" s="163" t="s">
        <v>4761</v>
      </c>
      <c r="D16" s="391" t="s">
        <v>172</v>
      </c>
      <c r="E16" s="1688" t="s">
        <v>4768</v>
      </c>
      <c r="F16" s="170">
        <v>24612</v>
      </c>
      <c r="G16" s="171">
        <v>5286.69</v>
      </c>
      <c r="H16" s="1833" t="s">
        <v>4762</v>
      </c>
      <c r="I16" s="352" t="s">
        <v>25</v>
      </c>
      <c r="K16" s="1691"/>
      <c r="L16" s="1566"/>
      <c r="M16" s="390"/>
      <c r="N16" s="1284"/>
      <c r="O16" s="390"/>
      <c r="P16" s="1285"/>
      <c r="Q16" s="352" t="s">
        <v>25</v>
      </c>
      <c r="S16" s="1691"/>
      <c r="T16" s="1566"/>
      <c r="U16" s="390"/>
      <c r="V16" s="1284"/>
      <c r="W16" s="1286"/>
      <c r="X16" s="1286"/>
      <c r="Y16" s="1286"/>
      <c r="Z16" s="1286"/>
      <c r="AA16" s="1286"/>
      <c r="AB16" s="1286"/>
      <c r="AC16" s="1286"/>
      <c r="AD16" s="1286"/>
      <c r="AE16" s="1286"/>
      <c r="AF16" s="1286"/>
      <c r="AG16" s="1286"/>
      <c r="AH16" s="1286"/>
      <c r="AI16" s="1286"/>
      <c r="AJ16" s="1286"/>
      <c r="AK16" s="1286"/>
      <c r="AL16" s="1286"/>
      <c r="AM16" s="1286"/>
      <c r="AN16" s="1286"/>
      <c r="AO16" s="1286"/>
      <c r="AP16" s="1286"/>
      <c r="AQ16" s="1286"/>
      <c r="AR16" s="1286"/>
      <c r="AS16" s="1286"/>
      <c r="AT16" s="1286"/>
      <c r="AU16" s="1286"/>
      <c r="AV16" s="1286"/>
      <c r="AW16" s="1286"/>
      <c r="AX16" s="1286"/>
      <c r="AY16" s="1286"/>
      <c r="AZ16" s="1286"/>
      <c r="BA16" s="1286"/>
      <c r="BB16" s="1286"/>
      <c r="BC16" s="1286"/>
      <c r="BD16" s="1286"/>
      <c r="BE16" s="1286"/>
      <c r="BF16" s="1286"/>
      <c r="BG16" s="1286"/>
      <c r="BH16" s="1286"/>
    </row>
    <row r="17" spans="1:60" s="1282" customFormat="1" x14ac:dyDescent="0.3">
      <c r="A17" s="2290">
        <v>11</v>
      </c>
      <c r="B17" s="390" t="s">
        <v>4760</v>
      </c>
      <c r="C17" s="163" t="s">
        <v>4761</v>
      </c>
      <c r="D17" s="164" t="s">
        <v>172</v>
      </c>
      <c r="E17" s="1688" t="s">
        <v>572</v>
      </c>
      <c r="F17" s="170">
        <v>24612</v>
      </c>
      <c r="G17" s="171">
        <v>5286.69</v>
      </c>
      <c r="H17" s="1833" t="s">
        <v>4762</v>
      </c>
      <c r="I17" s="352" t="s">
        <v>25</v>
      </c>
      <c r="K17" s="1691"/>
      <c r="L17" s="1566"/>
      <c r="M17" s="390"/>
      <c r="N17" s="1284"/>
      <c r="O17" s="390"/>
      <c r="P17" s="1285"/>
      <c r="Q17" s="352" t="s">
        <v>25</v>
      </c>
      <c r="S17" s="1691"/>
      <c r="T17" s="1566"/>
      <c r="U17" s="390"/>
      <c r="V17" s="1284"/>
      <c r="W17" s="1286"/>
      <c r="X17" s="1286"/>
      <c r="Y17" s="1286"/>
      <c r="Z17" s="1286"/>
      <c r="AA17" s="1286"/>
      <c r="AB17" s="1286"/>
      <c r="AC17" s="1286"/>
      <c r="AD17" s="1286"/>
      <c r="AE17" s="1286"/>
      <c r="AF17" s="1286"/>
      <c r="AG17" s="1286"/>
      <c r="AH17" s="1286"/>
      <c r="AI17" s="1286"/>
      <c r="AJ17" s="1286"/>
      <c r="AK17" s="1286"/>
      <c r="AL17" s="1286"/>
      <c r="AM17" s="1286"/>
      <c r="AN17" s="1286"/>
      <c r="AO17" s="1286"/>
      <c r="AP17" s="1286"/>
      <c r="AQ17" s="1286"/>
      <c r="AR17" s="1286"/>
      <c r="AS17" s="1286"/>
      <c r="AT17" s="1286"/>
      <c r="AU17" s="1286"/>
      <c r="AV17" s="1286"/>
      <c r="AW17" s="1286"/>
      <c r="AX17" s="1286"/>
      <c r="AY17" s="1286"/>
      <c r="AZ17" s="1286"/>
      <c r="BA17" s="1286"/>
      <c r="BB17" s="1286"/>
      <c r="BC17" s="1286"/>
      <c r="BD17" s="1286"/>
      <c r="BE17" s="1286"/>
      <c r="BF17" s="1286"/>
      <c r="BG17" s="1286"/>
      <c r="BH17" s="1286"/>
    </row>
    <row r="18" spans="1:60" s="1282" customFormat="1" x14ac:dyDescent="0.3">
      <c r="A18" s="2290">
        <v>12</v>
      </c>
      <c r="B18" s="390" t="s">
        <v>4760</v>
      </c>
      <c r="C18" s="163" t="s">
        <v>4761</v>
      </c>
      <c r="D18" s="164" t="s">
        <v>172</v>
      </c>
      <c r="E18" s="1688" t="s">
        <v>4769</v>
      </c>
      <c r="F18" s="170">
        <v>24612</v>
      </c>
      <c r="G18" s="171">
        <v>5286.69</v>
      </c>
      <c r="H18" s="1833" t="s">
        <v>4762</v>
      </c>
      <c r="I18" s="352" t="s">
        <v>25</v>
      </c>
      <c r="K18" s="1691"/>
      <c r="L18" s="1566"/>
      <c r="M18" s="390"/>
      <c r="N18" s="1284"/>
      <c r="O18" s="390"/>
      <c r="P18" s="1285"/>
      <c r="Q18" s="352" t="s">
        <v>25</v>
      </c>
      <c r="S18" s="1691"/>
      <c r="T18" s="1566"/>
      <c r="U18" s="390"/>
      <c r="V18" s="1284"/>
      <c r="W18" s="1286"/>
      <c r="X18" s="1286"/>
      <c r="Y18" s="1286"/>
      <c r="Z18" s="1286"/>
      <c r="AA18" s="1286"/>
      <c r="AB18" s="1286"/>
      <c r="AC18" s="1286"/>
      <c r="AD18" s="1286"/>
      <c r="AE18" s="1286"/>
      <c r="AF18" s="1286"/>
      <c r="AG18" s="1286"/>
      <c r="AH18" s="1286"/>
      <c r="AI18" s="1286"/>
      <c r="AJ18" s="1286"/>
      <c r="AK18" s="1286"/>
      <c r="AL18" s="1286"/>
      <c r="AM18" s="1286"/>
      <c r="AN18" s="1286"/>
      <c r="AO18" s="1286"/>
      <c r="AP18" s="1286"/>
      <c r="AQ18" s="1286"/>
      <c r="AR18" s="1286"/>
      <c r="AS18" s="1286"/>
      <c r="AT18" s="1286"/>
      <c r="AU18" s="1286"/>
      <c r="AV18" s="1286"/>
      <c r="AW18" s="1286"/>
      <c r="AX18" s="1286"/>
      <c r="AY18" s="1286"/>
      <c r="AZ18" s="1286"/>
      <c r="BA18" s="1286"/>
      <c r="BB18" s="1286"/>
      <c r="BC18" s="1286"/>
      <c r="BD18" s="1286"/>
      <c r="BE18" s="1286"/>
      <c r="BF18" s="1286"/>
      <c r="BG18" s="1286"/>
      <c r="BH18" s="1286"/>
    </row>
    <row r="19" spans="1:60" s="1282" customFormat="1" x14ac:dyDescent="0.3">
      <c r="A19" s="2290">
        <v>13</v>
      </c>
      <c r="B19" s="390" t="s">
        <v>4760</v>
      </c>
      <c r="C19" s="163" t="s">
        <v>4761</v>
      </c>
      <c r="D19" s="391" t="s">
        <v>172</v>
      </c>
      <c r="E19" s="1688" t="s">
        <v>573</v>
      </c>
      <c r="F19" s="170">
        <v>24612</v>
      </c>
      <c r="G19" s="171">
        <v>5286.69</v>
      </c>
      <c r="H19" s="1833" t="s">
        <v>4762</v>
      </c>
      <c r="I19" s="352" t="s">
        <v>25</v>
      </c>
      <c r="K19" s="1691"/>
      <c r="L19" s="1566"/>
      <c r="M19" s="390"/>
      <c r="N19" s="1284"/>
      <c r="O19" s="390"/>
      <c r="P19" s="1285"/>
      <c r="Q19" s="352" t="s">
        <v>25</v>
      </c>
      <c r="S19" s="1691"/>
      <c r="T19" s="1566"/>
      <c r="U19" s="390"/>
      <c r="V19" s="1284"/>
      <c r="W19" s="1286"/>
      <c r="X19" s="1286"/>
      <c r="Y19" s="1286"/>
      <c r="Z19" s="1286"/>
      <c r="AA19" s="1286"/>
      <c r="AB19" s="1286"/>
      <c r="AC19" s="1286"/>
      <c r="AD19" s="1286"/>
      <c r="AE19" s="1286"/>
      <c r="AF19" s="1286"/>
      <c r="AG19" s="1286"/>
      <c r="AH19" s="1286"/>
      <c r="AI19" s="1286"/>
      <c r="AJ19" s="1286"/>
      <c r="AK19" s="1286"/>
      <c r="AL19" s="1286"/>
      <c r="AM19" s="1286"/>
      <c r="AN19" s="1286"/>
      <c r="AO19" s="1286"/>
      <c r="AP19" s="1286"/>
      <c r="AQ19" s="1286"/>
      <c r="AR19" s="1286"/>
      <c r="AS19" s="1286"/>
      <c r="AT19" s="1286"/>
      <c r="AU19" s="1286"/>
      <c r="AV19" s="1286"/>
      <c r="AW19" s="1286"/>
      <c r="AX19" s="1286"/>
      <c r="AY19" s="1286"/>
      <c r="AZ19" s="1286"/>
      <c r="BA19" s="1286"/>
      <c r="BB19" s="1286"/>
      <c r="BC19" s="1286"/>
      <c r="BD19" s="1286"/>
      <c r="BE19" s="1286"/>
      <c r="BF19" s="1286"/>
      <c r="BG19" s="1286"/>
      <c r="BH19" s="1286"/>
    </row>
    <row r="20" spans="1:60" s="1282" customFormat="1" x14ac:dyDescent="0.3">
      <c r="A20" s="2290">
        <v>14</v>
      </c>
      <c r="B20" s="390" t="s">
        <v>4760</v>
      </c>
      <c r="C20" s="163" t="s">
        <v>4761</v>
      </c>
      <c r="D20" s="164" t="s">
        <v>172</v>
      </c>
      <c r="E20" s="1688" t="s">
        <v>4770</v>
      </c>
      <c r="F20" s="170">
        <v>24612</v>
      </c>
      <c r="G20" s="171">
        <v>5286.69</v>
      </c>
      <c r="H20" s="1833" t="s">
        <v>4762</v>
      </c>
      <c r="I20" s="352" t="s">
        <v>25</v>
      </c>
      <c r="K20" s="1691"/>
      <c r="L20" s="1566"/>
      <c r="M20" s="390"/>
      <c r="N20" s="1284"/>
      <c r="O20" s="390"/>
      <c r="P20" s="1285"/>
      <c r="Q20" s="352" t="s">
        <v>25</v>
      </c>
      <c r="S20" s="1691"/>
      <c r="T20" s="1566"/>
      <c r="U20" s="390"/>
      <c r="V20" s="1284"/>
      <c r="W20" s="1286"/>
      <c r="X20" s="1286"/>
      <c r="Y20" s="1286"/>
      <c r="Z20" s="1286"/>
      <c r="AA20" s="1286"/>
      <c r="AB20" s="1286"/>
      <c r="AC20" s="1286"/>
      <c r="AD20" s="1286"/>
      <c r="AE20" s="1286"/>
      <c r="AF20" s="1286"/>
      <c r="AG20" s="1286"/>
      <c r="AH20" s="1286"/>
      <c r="AI20" s="1286"/>
      <c r="AJ20" s="1286"/>
      <c r="AK20" s="1286"/>
      <c r="AL20" s="1286"/>
      <c r="AM20" s="1286"/>
      <c r="AN20" s="1286"/>
      <c r="AO20" s="1286"/>
      <c r="AP20" s="1286"/>
      <c r="AQ20" s="1286"/>
      <c r="AR20" s="1286"/>
      <c r="AS20" s="1286"/>
      <c r="AT20" s="1286"/>
      <c r="AU20" s="1286"/>
      <c r="AV20" s="1286"/>
      <c r="AW20" s="1286"/>
      <c r="AX20" s="1286"/>
      <c r="AY20" s="1286"/>
      <c r="AZ20" s="1286"/>
      <c r="BA20" s="1286"/>
      <c r="BB20" s="1286"/>
      <c r="BC20" s="1286"/>
      <c r="BD20" s="1286"/>
      <c r="BE20" s="1286"/>
      <c r="BF20" s="1286"/>
      <c r="BG20" s="1286"/>
      <c r="BH20" s="1286"/>
    </row>
    <row r="21" spans="1:60" s="1282" customFormat="1" x14ac:dyDescent="0.3">
      <c r="A21" s="2290">
        <v>15</v>
      </c>
      <c r="B21" s="390" t="s">
        <v>4760</v>
      </c>
      <c r="C21" s="163" t="s">
        <v>4761</v>
      </c>
      <c r="D21" s="164" t="s">
        <v>172</v>
      </c>
      <c r="E21" s="1688" t="s">
        <v>574</v>
      </c>
      <c r="F21" s="170">
        <v>24612</v>
      </c>
      <c r="G21" s="171">
        <v>5286.69</v>
      </c>
      <c r="H21" s="1833" t="s">
        <v>4762</v>
      </c>
      <c r="I21" s="352" t="s">
        <v>25</v>
      </c>
      <c r="K21" s="1691"/>
      <c r="L21" s="1566"/>
      <c r="M21" s="390"/>
      <c r="N21" s="1284"/>
      <c r="O21" s="390"/>
      <c r="P21" s="1285"/>
      <c r="Q21" s="352" t="s">
        <v>25</v>
      </c>
      <c r="S21" s="1691"/>
      <c r="T21" s="1566"/>
      <c r="U21" s="390"/>
      <c r="V21" s="1284"/>
      <c r="W21" s="1286"/>
      <c r="X21" s="1286"/>
      <c r="Y21" s="1286"/>
      <c r="Z21" s="1286"/>
      <c r="AA21" s="1286"/>
      <c r="AB21" s="1286"/>
      <c r="AC21" s="1286"/>
      <c r="AD21" s="1286"/>
      <c r="AE21" s="1286"/>
      <c r="AF21" s="1286"/>
      <c r="AG21" s="1286"/>
      <c r="AH21" s="1286"/>
      <c r="AI21" s="1286"/>
      <c r="AJ21" s="1286"/>
      <c r="AK21" s="1286"/>
      <c r="AL21" s="1286"/>
      <c r="AM21" s="1286"/>
      <c r="AN21" s="1286"/>
      <c r="AO21" s="1286"/>
      <c r="AP21" s="1286"/>
      <c r="AQ21" s="1286"/>
      <c r="AR21" s="1286"/>
      <c r="AS21" s="1286"/>
      <c r="AT21" s="1286"/>
      <c r="AU21" s="1286"/>
      <c r="AV21" s="1286"/>
      <c r="AW21" s="1286"/>
      <c r="AX21" s="1286"/>
      <c r="AY21" s="1286"/>
      <c r="AZ21" s="1286"/>
      <c r="BA21" s="1286"/>
      <c r="BB21" s="1286"/>
      <c r="BC21" s="1286"/>
      <c r="BD21" s="1286"/>
      <c r="BE21" s="1286"/>
      <c r="BF21" s="1286"/>
      <c r="BG21" s="1286"/>
      <c r="BH21" s="1286"/>
    </row>
    <row r="22" spans="1:60" s="1282" customFormat="1" x14ac:dyDescent="0.3">
      <c r="A22" s="2290">
        <v>16</v>
      </c>
      <c r="B22" s="390" t="s">
        <v>4760</v>
      </c>
      <c r="C22" s="163" t="s">
        <v>4761</v>
      </c>
      <c r="D22" s="391" t="s">
        <v>172</v>
      </c>
      <c r="E22" s="1688" t="s">
        <v>4771</v>
      </c>
      <c r="F22" s="170">
        <v>24612</v>
      </c>
      <c r="G22" s="171">
        <v>5286.69</v>
      </c>
      <c r="H22" s="1833" t="s">
        <v>4762</v>
      </c>
      <c r="I22" s="352" t="s">
        <v>25</v>
      </c>
      <c r="K22" s="1691"/>
      <c r="L22" s="1566"/>
      <c r="M22" s="390"/>
      <c r="N22" s="1284"/>
      <c r="O22" s="390"/>
      <c r="P22" s="1285"/>
      <c r="Q22" s="352" t="s">
        <v>25</v>
      </c>
      <c r="S22" s="1691"/>
      <c r="T22" s="1566"/>
      <c r="U22" s="390"/>
      <c r="V22" s="1284"/>
      <c r="W22" s="1286"/>
      <c r="X22" s="1286"/>
      <c r="Y22" s="1286"/>
      <c r="Z22" s="1286"/>
      <c r="AA22" s="1286"/>
      <c r="AB22" s="1286"/>
      <c r="AC22" s="1286"/>
      <c r="AD22" s="1286"/>
      <c r="AE22" s="1286"/>
      <c r="AF22" s="1286"/>
      <c r="AG22" s="1286"/>
      <c r="AH22" s="1286"/>
      <c r="AI22" s="1286"/>
      <c r="AJ22" s="1286"/>
      <c r="AK22" s="1286"/>
      <c r="AL22" s="1286"/>
      <c r="AM22" s="1286"/>
      <c r="AN22" s="1286"/>
      <c r="AO22" s="1286"/>
      <c r="AP22" s="1286"/>
      <c r="AQ22" s="1286"/>
      <c r="AR22" s="1286"/>
      <c r="AS22" s="1286"/>
      <c r="AT22" s="1286"/>
      <c r="AU22" s="1286"/>
      <c r="AV22" s="1286"/>
      <c r="AW22" s="1286"/>
      <c r="AX22" s="1286"/>
      <c r="AY22" s="1286"/>
      <c r="AZ22" s="1286"/>
      <c r="BA22" s="1286"/>
      <c r="BB22" s="1286"/>
      <c r="BC22" s="1286"/>
      <c r="BD22" s="1286"/>
      <c r="BE22" s="1286"/>
      <c r="BF22" s="1286"/>
      <c r="BG22" s="1286"/>
      <c r="BH22" s="1286"/>
    </row>
    <row r="23" spans="1:60" s="1282" customFormat="1" x14ac:dyDescent="0.3">
      <c r="A23" s="2290">
        <v>17</v>
      </c>
      <c r="B23" s="390" t="s">
        <v>4760</v>
      </c>
      <c r="C23" s="163" t="s">
        <v>4761</v>
      </c>
      <c r="D23" s="164" t="s">
        <v>172</v>
      </c>
      <c r="E23" s="1688" t="s">
        <v>4772</v>
      </c>
      <c r="F23" s="170">
        <v>24612</v>
      </c>
      <c r="G23" s="171">
        <v>5286.69</v>
      </c>
      <c r="H23" s="1833" t="s">
        <v>4762</v>
      </c>
      <c r="I23" s="352" t="s">
        <v>25</v>
      </c>
      <c r="K23" s="1691"/>
      <c r="L23" s="1566"/>
      <c r="M23" s="390"/>
      <c r="N23" s="1284"/>
      <c r="O23" s="390"/>
      <c r="P23" s="1285"/>
      <c r="Q23" s="352" t="s">
        <v>25</v>
      </c>
      <c r="S23" s="1691"/>
      <c r="T23" s="1566"/>
      <c r="U23" s="390"/>
      <c r="V23" s="1284"/>
      <c r="W23" s="1286"/>
      <c r="X23" s="1286"/>
      <c r="Y23" s="1286"/>
      <c r="Z23" s="1286"/>
      <c r="AA23" s="1286"/>
      <c r="AB23" s="1286"/>
      <c r="AC23" s="1286"/>
      <c r="AD23" s="1286"/>
      <c r="AE23" s="1286"/>
      <c r="AF23" s="1286"/>
      <c r="AG23" s="1286"/>
      <c r="AH23" s="1286"/>
      <c r="AI23" s="1286"/>
      <c r="AJ23" s="1286"/>
      <c r="AK23" s="1286"/>
      <c r="AL23" s="1286"/>
      <c r="AM23" s="1286"/>
      <c r="AN23" s="1286"/>
      <c r="AO23" s="1286"/>
      <c r="AP23" s="1286"/>
      <c r="AQ23" s="1286"/>
      <c r="AR23" s="1286"/>
      <c r="AS23" s="1286"/>
      <c r="AT23" s="1286"/>
      <c r="AU23" s="1286"/>
      <c r="AV23" s="1286"/>
      <c r="AW23" s="1286"/>
      <c r="AX23" s="1286"/>
      <c r="AY23" s="1286"/>
      <c r="AZ23" s="1286"/>
      <c r="BA23" s="1286"/>
      <c r="BB23" s="1286"/>
      <c r="BC23" s="1286"/>
      <c r="BD23" s="1286"/>
      <c r="BE23" s="1286"/>
      <c r="BF23" s="1286"/>
      <c r="BG23" s="1286"/>
      <c r="BH23" s="1286"/>
    </row>
    <row r="24" spans="1:60" s="1282" customFormat="1" x14ac:dyDescent="0.3">
      <c r="A24" s="2290">
        <v>18</v>
      </c>
      <c r="B24" s="390" t="s">
        <v>4760</v>
      </c>
      <c r="C24" s="163" t="s">
        <v>4761</v>
      </c>
      <c r="D24" s="164" t="s">
        <v>172</v>
      </c>
      <c r="E24" s="1688" t="s">
        <v>4773</v>
      </c>
      <c r="F24" s="170">
        <v>24612</v>
      </c>
      <c r="G24" s="171">
        <v>5286.69</v>
      </c>
      <c r="H24" s="1833" t="s">
        <v>4762</v>
      </c>
      <c r="I24" s="352" t="s">
        <v>25</v>
      </c>
      <c r="K24" s="1691"/>
      <c r="L24" s="1566"/>
      <c r="M24" s="390"/>
      <c r="N24" s="1284"/>
      <c r="O24" s="390"/>
      <c r="P24" s="1285"/>
      <c r="Q24" s="352" t="s">
        <v>25</v>
      </c>
      <c r="S24" s="1691"/>
      <c r="T24" s="1566"/>
      <c r="U24" s="390"/>
      <c r="V24" s="1284"/>
      <c r="W24" s="1286"/>
      <c r="X24" s="1286"/>
      <c r="Y24" s="1286"/>
      <c r="Z24" s="1286"/>
      <c r="AA24" s="1286"/>
      <c r="AB24" s="1286"/>
      <c r="AC24" s="1286"/>
      <c r="AD24" s="1286"/>
      <c r="AE24" s="1286"/>
      <c r="AF24" s="1286"/>
      <c r="AG24" s="1286"/>
      <c r="AH24" s="1286"/>
      <c r="AI24" s="1286"/>
      <c r="AJ24" s="1286"/>
      <c r="AK24" s="1286"/>
      <c r="AL24" s="1286"/>
      <c r="AM24" s="1286"/>
      <c r="AN24" s="1286"/>
      <c r="AO24" s="1286"/>
      <c r="AP24" s="1286"/>
      <c r="AQ24" s="1286"/>
      <c r="AR24" s="1286"/>
      <c r="AS24" s="1286"/>
      <c r="AT24" s="1286"/>
      <c r="AU24" s="1286"/>
      <c r="AV24" s="1286"/>
      <c r="AW24" s="1286"/>
      <c r="AX24" s="1286"/>
      <c r="AY24" s="1286"/>
      <c r="AZ24" s="1286"/>
      <c r="BA24" s="1286"/>
      <c r="BB24" s="1286"/>
      <c r="BC24" s="1286"/>
      <c r="BD24" s="1286"/>
      <c r="BE24" s="1286"/>
      <c r="BF24" s="1286"/>
      <c r="BG24" s="1286"/>
      <c r="BH24" s="1286"/>
    </row>
    <row r="25" spans="1:60" s="1282" customFormat="1" x14ac:dyDescent="0.3">
      <c r="A25" s="2290">
        <v>19</v>
      </c>
      <c r="B25" s="390" t="s">
        <v>4760</v>
      </c>
      <c r="C25" s="163" t="s">
        <v>4761</v>
      </c>
      <c r="D25" s="391" t="s">
        <v>172</v>
      </c>
      <c r="E25" s="1688" t="s">
        <v>4774</v>
      </c>
      <c r="F25" s="170">
        <v>24612</v>
      </c>
      <c r="G25" s="171">
        <v>5286.69</v>
      </c>
      <c r="H25" s="1833" t="s">
        <v>4762</v>
      </c>
      <c r="I25" s="352" t="s">
        <v>25</v>
      </c>
      <c r="K25" s="1691"/>
      <c r="L25" s="1566"/>
      <c r="M25" s="390"/>
      <c r="N25" s="1284"/>
      <c r="O25" s="390"/>
      <c r="P25" s="1285"/>
      <c r="Q25" s="352" t="s">
        <v>25</v>
      </c>
      <c r="S25" s="1691"/>
      <c r="T25" s="1566"/>
      <c r="U25" s="390"/>
      <c r="V25" s="1284"/>
      <c r="W25" s="1286"/>
      <c r="X25" s="1286"/>
      <c r="Y25" s="1286"/>
      <c r="Z25" s="1286"/>
      <c r="AA25" s="1286"/>
      <c r="AB25" s="1286"/>
      <c r="AC25" s="1286"/>
      <c r="AD25" s="1286"/>
      <c r="AE25" s="1286"/>
      <c r="AF25" s="1286"/>
      <c r="AG25" s="1286"/>
      <c r="AH25" s="1286"/>
      <c r="AI25" s="1286"/>
      <c r="AJ25" s="1286"/>
      <c r="AK25" s="1286"/>
      <c r="AL25" s="1286"/>
      <c r="AM25" s="1286"/>
      <c r="AN25" s="1286"/>
      <c r="AO25" s="1286"/>
      <c r="AP25" s="1286"/>
      <c r="AQ25" s="1286"/>
      <c r="AR25" s="1286"/>
      <c r="AS25" s="1286"/>
      <c r="AT25" s="1286"/>
      <c r="AU25" s="1286"/>
      <c r="AV25" s="1286"/>
      <c r="AW25" s="1286"/>
      <c r="AX25" s="1286"/>
      <c r="AY25" s="1286"/>
      <c r="AZ25" s="1286"/>
      <c r="BA25" s="1286"/>
      <c r="BB25" s="1286"/>
      <c r="BC25" s="1286"/>
      <c r="BD25" s="1286"/>
      <c r="BE25" s="1286"/>
      <c r="BF25" s="1286"/>
      <c r="BG25" s="1286"/>
      <c r="BH25" s="1286"/>
    </row>
    <row r="26" spans="1:60" s="1282" customFormat="1" x14ac:dyDescent="0.3">
      <c r="A26" s="2290">
        <v>20</v>
      </c>
      <c r="B26" s="390" t="s">
        <v>4760</v>
      </c>
      <c r="C26" s="163" t="s">
        <v>4761</v>
      </c>
      <c r="D26" s="164" t="s">
        <v>172</v>
      </c>
      <c r="E26" s="1688" t="s">
        <v>575</v>
      </c>
      <c r="F26" s="170">
        <v>24612</v>
      </c>
      <c r="G26" s="171">
        <v>5286.69</v>
      </c>
      <c r="H26" s="1833" t="s">
        <v>4762</v>
      </c>
      <c r="I26" s="352" t="s">
        <v>25</v>
      </c>
      <c r="K26" s="1691"/>
      <c r="L26" s="1566"/>
      <c r="M26" s="390"/>
      <c r="N26" s="1284"/>
      <c r="O26" s="390"/>
      <c r="P26" s="1285"/>
      <c r="Q26" s="352" t="s">
        <v>25</v>
      </c>
      <c r="S26" s="1691"/>
      <c r="T26" s="1566"/>
      <c r="U26" s="390"/>
      <c r="V26" s="1284"/>
      <c r="W26" s="1286"/>
      <c r="X26" s="1286"/>
      <c r="Y26" s="1286"/>
      <c r="Z26" s="1286"/>
      <c r="AA26" s="1286"/>
      <c r="AB26" s="1286"/>
      <c r="AC26" s="1286"/>
      <c r="AD26" s="1286"/>
      <c r="AE26" s="1286"/>
      <c r="AF26" s="1286"/>
      <c r="AG26" s="1286"/>
      <c r="AH26" s="1286"/>
      <c r="AI26" s="1286"/>
      <c r="AJ26" s="1286"/>
      <c r="AK26" s="1286"/>
      <c r="AL26" s="1286"/>
      <c r="AM26" s="1286"/>
      <c r="AN26" s="1286"/>
      <c r="AO26" s="1286"/>
      <c r="AP26" s="1286"/>
      <c r="AQ26" s="1286"/>
      <c r="AR26" s="1286"/>
      <c r="AS26" s="1286"/>
      <c r="AT26" s="1286"/>
      <c r="AU26" s="1286"/>
      <c r="AV26" s="1286"/>
      <c r="AW26" s="1286"/>
      <c r="AX26" s="1286"/>
      <c r="AY26" s="1286"/>
      <c r="AZ26" s="1286"/>
      <c r="BA26" s="1286"/>
      <c r="BB26" s="1286"/>
      <c r="BC26" s="1286"/>
      <c r="BD26" s="1286"/>
      <c r="BE26" s="1286"/>
      <c r="BF26" s="1286"/>
      <c r="BG26" s="1286"/>
      <c r="BH26" s="1286"/>
    </row>
    <row r="27" spans="1:60" s="1282" customFormat="1" x14ac:dyDescent="0.3">
      <c r="A27" s="2290">
        <v>21</v>
      </c>
      <c r="B27" s="390" t="s">
        <v>4760</v>
      </c>
      <c r="C27" s="163" t="s">
        <v>4761</v>
      </c>
      <c r="D27" s="164" t="s">
        <v>172</v>
      </c>
      <c r="E27" s="1688" t="s">
        <v>4775</v>
      </c>
      <c r="F27" s="170">
        <v>24612</v>
      </c>
      <c r="G27" s="171">
        <v>5286.69</v>
      </c>
      <c r="H27" s="1833" t="s">
        <v>4762</v>
      </c>
      <c r="I27" s="352" t="s">
        <v>25</v>
      </c>
      <c r="K27" s="1691"/>
      <c r="L27" s="1566"/>
      <c r="M27" s="390"/>
      <c r="N27" s="1284"/>
      <c r="O27" s="390"/>
      <c r="P27" s="1285"/>
      <c r="Q27" s="352" t="s">
        <v>25</v>
      </c>
      <c r="S27" s="1691"/>
      <c r="T27" s="1566"/>
      <c r="U27" s="390"/>
      <c r="V27" s="1284"/>
      <c r="W27" s="1286"/>
      <c r="X27" s="1286"/>
      <c r="Y27" s="1286"/>
      <c r="Z27" s="1286"/>
      <c r="AA27" s="1286"/>
      <c r="AB27" s="1286"/>
      <c r="AC27" s="1286"/>
      <c r="AD27" s="1286"/>
      <c r="AE27" s="1286"/>
      <c r="AF27" s="1286"/>
      <c r="AG27" s="1286"/>
      <c r="AH27" s="1286"/>
      <c r="AI27" s="1286"/>
      <c r="AJ27" s="1286"/>
      <c r="AK27" s="1286"/>
      <c r="AL27" s="1286"/>
      <c r="AM27" s="1286"/>
      <c r="AN27" s="1286"/>
      <c r="AO27" s="1286"/>
      <c r="AP27" s="1286"/>
      <c r="AQ27" s="1286"/>
      <c r="AR27" s="1286"/>
      <c r="AS27" s="1286"/>
      <c r="AT27" s="1286"/>
      <c r="AU27" s="1286"/>
      <c r="AV27" s="1286"/>
      <c r="AW27" s="1286"/>
      <c r="AX27" s="1286"/>
      <c r="AY27" s="1286"/>
      <c r="AZ27" s="1286"/>
      <c r="BA27" s="1286"/>
      <c r="BB27" s="1286"/>
      <c r="BC27" s="1286"/>
      <c r="BD27" s="1286"/>
      <c r="BE27" s="1286"/>
      <c r="BF27" s="1286"/>
      <c r="BG27" s="1286"/>
      <c r="BH27" s="1286"/>
    </row>
    <row r="28" spans="1:60" s="1282" customFormat="1" x14ac:dyDescent="0.3">
      <c r="A28" s="2290">
        <v>22</v>
      </c>
      <c r="B28" s="390" t="s">
        <v>4760</v>
      </c>
      <c r="C28" s="163" t="s">
        <v>4761</v>
      </c>
      <c r="D28" s="391" t="s">
        <v>172</v>
      </c>
      <c r="E28" s="1688" t="s">
        <v>576</v>
      </c>
      <c r="F28" s="170">
        <v>24612</v>
      </c>
      <c r="G28" s="171">
        <v>5286.69</v>
      </c>
      <c r="H28" s="1833" t="s">
        <v>4762</v>
      </c>
      <c r="I28" s="352" t="s">
        <v>25</v>
      </c>
      <c r="K28" s="1691"/>
      <c r="L28" s="1566"/>
      <c r="M28" s="390"/>
      <c r="N28" s="1284"/>
      <c r="O28" s="390"/>
      <c r="P28" s="1285"/>
      <c r="Q28" s="352" t="s">
        <v>25</v>
      </c>
      <c r="S28" s="1691"/>
      <c r="T28" s="1566"/>
      <c r="U28" s="390"/>
      <c r="V28" s="1284"/>
      <c r="W28" s="1286"/>
      <c r="X28" s="1286"/>
      <c r="Y28" s="1286"/>
      <c r="Z28" s="1286"/>
      <c r="AA28" s="1286"/>
      <c r="AB28" s="1286"/>
      <c r="AC28" s="1286"/>
      <c r="AD28" s="1286"/>
      <c r="AE28" s="1286"/>
      <c r="AF28" s="1286"/>
      <c r="AG28" s="1286"/>
      <c r="AH28" s="1286"/>
      <c r="AI28" s="1286"/>
      <c r="AJ28" s="1286"/>
      <c r="AK28" s="1286"/>
      <c r="AL28" s="1286"/>
      <c r="AM28" s="1286"/>
      <c r="AN28" s="1286"/>
      <c r="AO28" s="1286"/>
      <c r="AP28" s="1286"/>
      <c r="AQ28" s="1286"/>
      <c r="AR28" s="1286"/>
      <c r="AS28" s="1286"/>
      <c r="AT28" s="1286"/>
      <c r="AU28" s="1286"/>
      <c r="AV28" s="1286"/>
      <c r="AW28" s="1286"/>
      <c r="AX28" s="1286"/>
      <c r="AY28" s="1286"/>
      <c r="AZ28" s="1286"/>
      <c r="BA28" s="1286"/>
      <c r="BB28" s="1286"/>
      <c r="BC28" s="1286"/>
      <c r="BD28" s="1286"/>
      <c r="BE28" s="1286"/>
      <c r="BF28" s="1286"/>
      <c r="BG28" s="1286"/>
      <c r="BH28" s="1286"/>
    </row>
    <row r="29" spans="1:60" s="1282" customFormat="1" x14ac:dyDescent="0.3">
      <c r="A29" s="2290">
        <v>23</v>
      </c>
      <c r="B29" s="390" t="s">
        <v>4760</v>
      </c>
      <c r="C29" s="163" t="s">
        <v>4761</v>
      </c>
      <c r="D29" s="164" t="s">
        <v>172</v>
      </c>
      <c r="E29" s="1688" t="s">
        <v>4776</v>
      </c>
      <c r="F29" s="170">
        <v>24612</v>
      </c>
      <c r="G29" s="171">
        <v>5286.69</v>
      </c>
      <c r="H29" s="1833" t="s">
        <v>4762</v>
      </c>
      <c r="I29" s="352" t="s">
        <v>25</v>
      </c>
      <c r="K29" s="1691"/>
      <c r="L29" s="1566"/>
      <c r="M29" s="390"/>
      <c r="N29" s="1284"/>
      <c r="O29" s="390"/>
      <c r="P29" s="1285"/>
      <c r="Q29" s="352" t="s">
        <v>25</v>
      </c>
      <c r="S29" s="1691"/>
      <c r="T29" s="1566"/>
      <c r="U29" s="390"/>
      <c r="V29" s="1284"/>
      <c r="W29" s="1286"/>
      <c r="X29" s="1286"/>
      <c r="Y29" s="1286"/>
      <c r="Z29" s="1286"/>
      <c r="AA29" s="1286"/>
      <c r="AB29" s="1286"/>
      <c r="AC29" s="1286"/>
      <c r="AD29" s="1286"/>
      <c r="AE29" s="1286"/>
      <c r="AF29" s="1286"/>
      <c r="AG29" s="1286"/>
      <c r="AH29" s="1286"/>
      <c r="AI29" s="1286"/>
      <c r="AJ29" s="1286"/>
      <c r="AK29" s="1286"/>
      <c r="AL29" s="1286"/>
      <c r="AM29" s="1286"/>
      <c r="AN29" s="1286"/>
      <c r="AO29" s="1286"/>
      <c r="AP29" s="1286"/>
      <c r="AQ29" s="1286"/>
      <c r="AR29" s="1286"/>
      <c r="AS29" s="1286"/>
      <c r="AT29" s="1286"/>
      <c r="AU29" s="1286"/>
      <c r="AV29" s="1286"/>
      <c r="AW29" s="1286"/>
      <c r="AX29" s="1286"/>
      <c r="AY29" s="1286"/>
      <c r="AZ29" s="1286"/>
      <c r="BA29" s="1286"/>
      <c r="BB29" s="1286"/>
      <c r="BC29" s="1286"/>
      <c r="BD29" s="1286"/>
      <c r="BE29" s="1286"/>
      <c r="BF29" s="1286"/>
      <c r="BG29" s="1286"/>
      <c r="BH29" s="1286"/>
    </row>
    <row r="30" spans="1:60" s="1282" customFormat="1" x14ac:dyDescent="0.3">
      <c r="A30" s="2290">
        <v>24</v>
      </c>
      <c r="B30" s="390" t="s">
        <v>4760</v>
      </c>
      <c r="C30" s="163" t="s">
        <v>4761</v>
      </c>
      <c r="D30" s="164" t="s">
        <v>172</v>
      </c>
      <c r="E30" s="1688" t="s">
        <v>578</v>
      </c>
      <c r="F30" s="170">
        <v>24612</v>
      </c>
      <c r="G30" s="171">
        <v>5286.69</v>
      </c>
      <c r="H30" s="1833" t="s">
        <v>4762</v>
      </c>
      <c r="I30" s="352" t="s">
        <v>25</v>
      </c>
      <c r="K30" s="1691"/>
      <c r="L30" s="1566"/>
      <c r="M30" s="390"/>
      <c r="N30" s="1284"/>
      <c r="O30" s="390"/>
      <c r="P30" s="1285"/>
      <c r="Q30" s="352" t="s">
        <v>25</v>
      </c>
      <c r="S30" s="1691"/>
      <c r="T30" s="1566"/>
      <c r="U30" s="390"/>
      <c r="V30" s="1284"/>
      <c r="W30" s="1286"/>
      <c r="X30" s="1286"/>
      <c r="Y30" s="1286"/>
      <c r="Z30" s="1286"/>
      <c r="AA30" s="1286"/>
      <c r="AB30" s="1286"/>
      <c r="AC30" s="1286"/>
      <c r="AD30" s="1286"/>
      <c r="AE30" s="1286"/>
      <c r="AF30" s="1286"/>
      <c r="AG30" s="1286"/>
      <c r="AH30" s="1286"/>
      <c r="AI30" s="1286"/>
      <c r="AJ30" s="1286"/>
      <c r="AK30" s="1286"/>
      <c r="AL30" s="1286"/>
      <c r="AM30" s="1286"/>
      <c r="AN30" s="1286"/>
      <c r="AO30" s="1286"/>
      <c r="AP30" s="1286"/>
      <c r="AQ30" s="1286"/>
      <c r="AR30" s="1286"/>
      <c r="AS30" s="1286"/>
      <c r="AT30" s="1286"/>
      <c r="AU30" s="1286"/>
      <c r="AV30" s="1286"/>
      <c r="AW30" s="1286"/>
      <c r="AX30" s="1286"/>
      <c r="AY30" s="1286"/>
      <c r="AZ30" s="1286"/>
      <c r="BA30" s="1286"/>
      <c r="BB30" s="1286"/>
      <c r="BC30" s="1286"/>
      <c r="BD30" s="1286"/>
      <c r="BE30" s="1286"/>
      <c r="BF30" s="1286"/>
      <c r="BG30" s="1286"/>
      <c r="BH30" s="1286"/>
    </row>
    <row r="31" spans="1:60" s="1282" customFormat="1" x14ac:dyDescent="0.3">
      <c r="A31" s="2290">
        <v>25</v>
      </c>
      <c r="B31" s="390" t="s">
        <v>4760</v>
      </c>
      <c r="C31" s="163" t="s">
        <v>4761</v>
      </c>
      <c r="D31" s="391" t="s">
        <v>172</v>
      </c>
      <c r="E31" s="1688" t="s">
        <v>4777</v>
      </c>
      <c r="F31" s="170">
        <v>24612</v>
      </c>
      <c r="G31" s="171">
        <v>5286.69</v>
      </c>
      <c r="H31" s="1833" t="s">
        <v>4762</v>
      </c>
      <c r="I31" s="352" t="s">
        <v>25</v>
      </c>
      <c r="K31" s="1691"/>
      <c r="L31" s="1566"/>
      <c r="M31" s="390"/>
      <c r="N31" s="1284"/>
      <c r="O31" s="390"/>
      <c r="P31" s="1285"/>
      <c r="Q31" s="352" t="s">
        <v>25</v>
      </c>
      <c r="S31" s="1691"/>
      <c r="T31" s="1566"/>
      <c r="U31" s="390"/>
      <c r="V31" s="1284"/>
      <c r="W31" s="1286"/>
      <c r="X31" s="1286"/>
      <c r="Y31" s="1286"/>
      <c r="Z31" s="1286"/>
      <c r="AA31" s="1286"/>
      <c r="AB31" s="1286"/>
      <c r="AC31" s="1286"/>
      <c r="AD31" s="1286"/>
      <c r="AE31" s="1286"/>
      <c r="AF31" s="1286"/>
      <c r="AG31" s="1286"/>
      <c r="AH31" s="1286"/>
      <c r="AI31" s="1286"/>
      <c r="AJ31" s="1286"/>
      <c r="AK31" s="1286"/>
      <c r="AL31" s="1286"/>
      <c r="AM31" s="1286"/>
      <c r="AN31" s="1286"/>
      <c r="AO31" s="1286"/>
      <c r="AP31" s="1286"/>
      <c r="AQ31" s="1286"/>
      <c r="AR31" s="1286"/>
      <c r="AS31" s="1286"/>
      <c r="AT31" s="1286"/>
      <c r="AU31" s="1286"/>
      <c r="AV31" s="1286"/>
      <c r="AW31" s="1286"/>
      <c r="AX31" s="1286"/>
      <c r="AY31" s="1286"/>
      <c r="AZ31" s="1286"/>
      <c r="BA31" s="1286"/>
      <c r="BB31" s="1286"/>
      <c r="BC31" s="1286"/>
      <c r="BD31" s="1286"/>
      <c r="BE31" s="1286"/>
      <c r="BF31" s="1286"/>
      <c r="BG31" s="1286"/>
      <c r="BH31" s="1286"/>
    </row>
    <row r="32" spans="1:60" s="1282" customFormat="1" x14ac:dyDescent="0.3">
      <c r="A32" s="2290">
        <v>26</v>
      </c>
      <c r="B32" s="390" t="s">
        <v>4760</v>
      </c>
      <c r="C32" s="163" t="s">
        <v>4761</v>
      </c>
      <c r="D32" s="164" t="s">
        <v>172</v>
      </c>
      <c r="E32" s="1688" t="s">
        <v>1361</v>
      </c>
      <c r="F32" s="170">
        <v>24612</v>
      </c>
      <c r="G32" s="171">
        <v>5286.69</v>
      </c>
      <c r="H32" s="1833" t="s">
        <v>4762</v>
      </c>
      <c r="I32" s="352" t="s">
        <v>25</v>
      </c>
      <c r="K32" s="1691"/>
      <c r="L32" s="1566"/>
      <c r="M32" s="390"/>
      <c r="N32" s="1284"/>
      <c r="O32" s="390"/>
      <c r="P32" s="1285"/>
      <c r="Q32" s="352" t="s">
        <v>25</v>
      </c>
      <c r="S32" s="1691"/>
      <c r="T32" s="1566"/>
      <c r="U32" s="390"/>
      <c r="V32" s="1284"/>
      <c r="W32" s="1286"/>
      <c r="X32" s="1286"/>
      <c r="Y32" s="1286"/>
      <c r="Z32" s="1286"/>
      <c r="AA32" s="1286"/>
      <c r="AB32" s="1286"/>
      <c r="AC32" s="1286"/>
      <c r="AD32" s="1286"/>
      <c r="AE32" s="1286"/>
      <c r="AF32" s="1286"/>
      <c r="AG32" s="1286"/>
      <c r="AH32" s="1286"/>
      <c r="AI32" s="1286"/>
      <c r="AJ32" s="1286"/>
      <c r="AK32" s="1286"/>
      <c r="AL32" s="1286"/>
      <c r="AM32" s="1286"/>
      <c r="AN32" s="1286"/>
      <c r="AO32" s="1286"/>
      <c r="AP32" s="1286"/>
      <c r="AQ32" s="1286"/>
      <c r="AR32" s="1286"/>
      <c r="AS32" s="1286"/>
      <c r="AT32" s="1286"/>
      <c r="AU32" s="1286"/>
      <c r="AV32" s="1286"/>
      <c r="AW32" s="1286"/>
      <c r="AX32" s="1286"/>
      <c r="AY32" s="1286"/>
      <c r="AZ32" s="1286"/>
      <c r="BA32" s="1286"/>
      <c r="BB32" s="1286"/>
      <c r="BC32" s="1286"/>
      <c r="BD32" s="1286"/>
      <c r="BE32" s="1286"/>
      <c r="BF32" s="1286"/>
      <c r="BG32" s="1286"/>
      <c r="BH32" s="1286"/>
    </row>
    <row r="33" spans="1:60" s="1282" customFormat="1" x14ac:dyDescent="0.3">
      <c r="A33" s="2290">
        <v>27</v>
      </c>
      <c r="B33" s="390" t="s">
        <v>4760</v>
      </c>
      <c r="C33" s="163" t="s">
        <v>4761</v>
      </c>
      <c r="D33" s="164" t="s">
        <v>172</v>
      </c>
      <c r="E33" s="1688" t="s">
        <v>4778</v>
      </c>
      <c r="F33" s="170">
        <v>24612</v>
      </c>
      <c r="G33" s="171">
        <v>5286.69</v>
      </c>
      <c r="H33" s="1833" t="s">
        <v>4762</v>
      </c>
      <c r="I33" s="352" t="s">
        <v>25</v>
      </c>
      <c r="K33" s="1691"/>
      <c r="L33" s="1566"/>
      <c r="M33" s="390"/>
      <c r="N33" s="1284"/>
      <c r="O33" s="390"/>
      <c r="P33" s="1285"/>
      <c r="Q33" s="352" t="s">
        <v>25</v>
      </c>
      <c r="S33" s="1691"/>
      <c r="T33" s="1566"/>
      <c r="U33" s="390"/>
      <c r="V33" s="1284"/>
      <c r="W33" s="1286"/>
      <c r="X33" s="1286"/>
      <c r="Y33" s="1286"/>
      <c r="Z33" s="1286"/>
      <c r="AA33" s="1286"/>
      <c r="AB33" s="1286"/>
      <c r="AC33" s="1286"/>
      <c r="AD33" s="1286"/>
      <c r="AE33" s="1286"/>
      <c r="AF33" s="1286"/>
      <c r="AG33" s="1286"/>
      <c r="AH33" s="1286"/>
      <c r="AI33" s="1286"/>
      <c r="AJ33" s="1286"/>
      <c r="AK33" s="1286"/>
      <c r="AL33" s="1286"/>
      <c r="AM33" s="1286"/>
      <c r="AN33" s="1286"/>
      <c r="AO33" s="1286"/>
      <c r="AP33" s="1286"/>
      <c r="AQ33" s="1286"/>
      <c r="AR33" s="1286"/>
      <c r="AS33" s="1286"/>
      <c r="AT33" s="1286"/>
      <c r="AU33" s="1286"/>
      <c r="AV33" s="1286"/>
      <c r="AW33" s="1286"/>
      <c r="AX33" s="1286"/>
      <c r="AY33" s="1286"/>
      <c r="AZ33" s="1286"/>
      <c r="BA33" s="1286"/>
      <c r="BB33" s="1286"/>
      <c r="BC33" s="1286"/>
      <c r="BD33" s="1286"/>
      <c r="BE33" s="1286"/>
      <c r="BF33" s="1286"/>
      <c r="BG33" s="1286"/>
      <c r="BH33" s="1286"/>
    </row>
    <row r="34" spans="1:60" s="1282" customFormat="1" x14ac:dyDescent="0.3">
      <c r="A34" s="2290">
        <v>28</v>
      </c>
      <c r="B34" s="390" t="s">
        <v>4760</v>
      </c>
      <c r="C34" s="163" t="s">
        <v>4761</v>
      </c>
      <c r="D34" s="391" t="s">
        <v>172</v>
      </c>
      <c r="E34" s="1688" t="s">
        <v>1362</v>
      </c>
      <c r="F34" s="170">
        <v>24612</v>
      </c>
      <c r="G34" s="171">
        <v>5286.69</v>
      </c>
      <c r="H34" s="1833" t="s">
        <v>4762</v>
      </c>
      <c r="I34" s="352" t="s">
        <v>25</v>
      </c>
      <c r="K34" s="1691"/>
      <c r="L34" s="1566"/>
      <c r="M34" s="390"/>
      <c r="N34" s="1284"/>
      <c r="O34" s="390"/>
      <c r="P34" s="1285"/>
      <c r="Q34" s="352" t="s">
        <v>25</v>
      </c>
      <c r="S34" s="1691"/>
      <c r="T34" s="1566"/>
      <c r="U34" s="390"/>
      <c r="V34" s="1284"/>
      <c r="W34" s="1286"/>
      <c r="X34" s="1286"/>
      <c r="Y34" s="1286"/>
      <c r="Z34" s="1286"/>
      <c r="AA34" s="1286"/>
      <c r="AB34" s="1286"/>
      <c r="AC34" s="1286"/>
      <c r="AD34" s="1286"/>
      <c r="AE34" s="1286"/>
      <c r="AF34" s="1286"/>
      <c r="AG34" s="1286"/>
      <c r="AH34" s="1286"/>
      <c r="AI34" s="1286"/>
      <c r="AJ34" s="1286"/>
      <c r="AK34" s="1286"/>
      <c r="AL34" s="1286"/>
      <c r="AM34" s="1286"/>
      <c r="AN34" s="1286"/>
      <c r="AO34" s="1286"/>
      <c r="AP34" s="1286"/>
      <c r="AQ34" s="1286"/>
      <c r="AR34" s="1286"/>
      <c r="AS34" s="1286"/>
      <c r="AT34" s="1286"/>
      <c r="AU34" s="1286"/>
      <c r="AV34" s="1286"/>
      <c r="AW34" s="1286"/>
      <c r="AX34" s="1286"/>
      <c r="AY34" s="1286"/>
      <c r="AZ34" s="1286"/>
      <c r="BA34" s="1286"/>
      <c r="BB34" s="1286"/>
      <c r="BC34" s="1286"/>
      <c r="BD34" s="1286"/>
      <c r="BE34" s="1286"/>
      <c r="BF34" s="1286"/>
      <c r="BG34" s="1286"/>
      <c r="BH34" s="1286"/>
    </row>
    <row r="35" spans="1:60" s="1282" customFormat="1" x14ac:dyDescent="0.3">
      <c r="A35" s="2290">
        <v>29</v>
      </c>
      <c r="B35" s="390" t="s">
        <v>4760</v>
      </c>
      <c r="C35" s="163" t="s">
        <v>4761</v>
      </c>
      <c r="D35" s="164" t="s">
        <v>172</v>
      </c>
      <c r="E35" s="1688" t="s">
        <v>4779</v>
      </c>
      <c r="F35" s="170">
        <v>24612</v>
      </c>
      <c r="G35" s="171">
        <v>5286.69</v>
      </c>
      <c r="H35" s="1833" t="s">
        <v>4762</v>
      </c>
      <c r="I35" s="352" t="s">
        <v>25</v>
      </c>
      <c r="K35" s="1691"/>
      <c r="L35" s="1566"/>
      <c r="M35" s="390"/>
      <c r="N35" s="1284"/>
      <c r="O35" s="390"/>
      <c r="P35" s="1285"/>
      <c r="Q35" s="352" t="s">
        <v>25</v>
      </c>
      <c r="S35" s="1691"/>
      <c r="T35" s="1566"/>
      <c r="U35" s="390"/>
      <c r="V35" s="1284"/>
      <c r="W35" s="1286"/>
      <c r="X35" s="1286"/>
      <c r="Y35" s="1286"/>
      <c r="Z35" s="1286"/>
      <c r="AA35" s="1286"/>
      <c r="AB35" s="1286"/>
      <c r="AC35" s="1286"/>
      <c r="AD35" s="1286"/>
      <c r="AE35" s="1286"/>
      <c r="AF35" s="1286"/>
      <c r="AG35" s="1286"/>
      <c r="AH35" s="1286"/>
      <c r="AI35" s="1286"/>
      <c r="AJ35" s="1286"/>
      <c r="AK35" s="1286"/>
      <c r="AL35" s="1286"/>
      <c r="AM35" s="1286"/>
      <c r="AN35" s="1286"/>
      <c r="AO35" s="1286"/>
      <c r="AP35" s="1286"/>
      <c r="AQ35" s="1286"/>
      <c r="AR35" s="1286"/>
      <c r="AS35" s="1286"/>
      <c r="AT35" s="1286"/>
      <c r="AU35" s="1286"/>
      <c r="AV35" s="1286"/>
      <c r="AW35" s="1286"/>
      <c r="AX35" s="1286"/>
      <c r="AY35" s="1286"/>
      <c r="AZ35" s="1286"/>
      <c r="BA35" s="1286"/>
      <c r="BB35" s="1286"/>
      <c r="BC35" s="1286"/>
      <c r="BD35" s="1286"/>
      <c r="BE35" s="1286"/>
      <c r="BF35" s="1286"/>
      <c r="BG35" s="1286"/>
      <c r="BH35" s="1286"/>
    </row>
    <row r="36" spans="1:60" s="1282" customFormat="1" x14ac:dyDescent="0.3">
      <c r="A36" s="2290">
        <v>30</v>
      </c>
      <c r="B36" s="390" t="s">
        <v>4760</v>
      </c>
      <c r="C36" s="163" t="s">
        <v>4761</v>
      </c>
      <c r="D36" s="164" t="s">
        <v>172</v>
      </c>
      <c r="E36" s="1688" t="s">
        <v>1363</v>
      </c>
      <c r="F36" s="170">
        <v>24612</v>
      </c>
      <c r="G36" s="171">
        <v>5286.69</v>
      </c>
      <c r="H36" s="1833" t="s">
        <v>4762</v>
      </c>
      <c r="I36" s="352" t="s">
        <v>25</v>
      </c>
      <c r="K36" s="1691"/>
      <c r="L36" s="1566"/>
      <c r="M36" s="390"/>
      <c r="N36" s="1284"/>
      <c r="O36" s="390"/>
      <c r="P36" s="1285"/>
      <c r="Q36" s="352" t="s">
        <v>25</v>
      </c>
      <c r="S36" s="1691"/>
      <c r="T36" s="1566"/>
      <c r="U36" s="390"/>
      <c r="V36" s="1284"/>
      <c r="W36" s="1286"/>
      <c r="X36" s="1286"/>
      <c r="Y36" s="1286"/>
      <c r="Z36" s="1286"/>
      <c r="AA36" s="1286"/>
      <c r="AB36" s="1286"/>
      <c r="AC36" s="1286"/>
      <c r="AD36" s="1286"/>
      <c r="AE36" s="1286"/>
      <c r="AF36" s="1286"/>
      <c r="AG36" s="1286"/>
      <c r="AH36" s="1286"/>
      <c r="AI36" s="1286"/>
      <c r="AJ36" s="1286"/>
      <c r="AK36" s="1286"/>
      <c r="AL36" s="1286"/>
      <c r="AM36" s="1286"/>
      <c r="AN36" s="1286"/>
      <c r="AO36" s="1286"/>
      <c r="AP36" s="1286"/>
      <c r="AQ36" s="1286"/>
      <c r="AR36" s="1286"/>
      <c r="AS36" s="1286"/>
      <c r="AT36" s="1286"/>
      <c r="AU36" s="1286"/>
      <c r="AV36" s="1286"/>
      <c r="AW36" s="1286"/>
      <c r="AX36" s="1286"/>
      <c r="AY36" s="1286"/>
      <c r="AZ36" s="1286"/>
      <c r="BA36" s="1286"/>
      <c r="BB36" s="1286"/>
      <c r="BC36" s="1286"/>
      <c r="BD36" s="1286"/>
      <c r="BE36" s="1286"/>
      <c r="BF36" s="1286"/>
      <c r="BG36" s="1286"/>
      <c r="BH36" s="1286"/>
    </row>
    <row r="37" spans="1:60" s="1282" customFormat="1" x14ac:dyDescent="0.3">
      <c r="A37" s="2290">
        <v>31</v>
      </c>
      <c r="B37" s="390" t="s">
        <v>4760</v>
      </c>
      <c r="C37" s="163" t="s">
        <v>4761</v>
      </c>
      <c r="D37" s="391" t="s">
        <v>172</v>
      </c>
      <c r="E37" s="1688" t="s">
        <v>4780</v>
      </c>
      <c r="F37" s="170">
        <v>24612</v>
      </c>
      <c r="G37" s="171">
        <v>5286.69</v>
      </c>
      <c r="H37" s="1833" t="s">
        <v>4762</v>
      </c>
      <c r="I37" s="352" t="s">
        <v>25</v>
      </c>
      <c r="K37" s="1691"/>
      <c r="L37" s="1566"/>
      <c r="M37" s="390"/>
      <c r="N37" s="1284"/>
      <c r="O37" s="390"/>
      <c r="P37" s="1285"/>
      <c r="Q37" s="352" t="s">
        <v>25</v>
      </c>
      <c r="S37" s="1691"/>
      <c r="T37" s="1566"/>
      <c r="U37" s="390"/>
      <c r="V37" s="1284"/>
      <c r="W37" s="1286"/>
      <c r="X37" s="1286"/>
      <c r="Y37" s="1286"/>
      <c r="Z37" s="1286"/>
      <c r="AA37" s="1286"/>
      <c r="AB37" s="1286"/>
      <c r="AC37" s="1286"/>
      <c r="AD37" s="1286"/>
      <c r="AE37" s="1286"/>
      <c r="AF37" s="1286"/>
      <c r="AG37" s="1286"/>
      <c r="AH37" s="1286"/>
      <c r="AI37" s="1286"/>
      <c r="AJ37" s="1286"/>
      <c r="AK37" s="1286"/>
      <c r="AL37" s="1286"/>
      <c r="AM37" s="1286"/>
      <c r="AN37" s="1286"/>
      <c r="AO37" s="1286"/>
      <c r="AP37" s="1286"/>
      <c r="AQ37" s="1286"/>
      <c r="AR37" s="1286"/>
      <c r="AS37" s="1286"/>
      <c r="AT37" s="1286"/>
      <c r="AU37" s="1286"/>
      <c r="AV37" s="1286"/>
      <c r="AW37" s="1286"/>
      <c r="AX37" s="1286"/>
      <c r="AY37" s="1286"/>
      <c r="AZ37" s="1286"/>
      <c r="BA37" s="1286"/>
      <c r="BB37" s="1286"/>
      <c r="BC37" s="1286"/>
      <c r="BD37" s="1286"/>
      <c r="BE37" s="1286"/>
      <c r="BF37" s="1286"/>
      <c r="BG37" s="1286"/>
      <c r="BH37" s="1286"/>
    </row>
    <row r="38" spans="1:60" s="1282" customFormat="1" x14ac:dyDescent="0.3">
      <c r="A38" s="2290">
        <v>32</v>
      </c>
      <c r="B38" s="390" t="s">
        <v>4760</v>
      </c>
      <c r="C38" s="163" t="s">
        <v>4761</v>
      </c>
      <c r="D38" s="164" t="s">
        <v>172</v>
      </c>
      <c r="E38" s="1688" t="s">
        <v>1364</v>
      </c>
      <c r="F38" s="170">
        <v>24612</v>
      </c>
      <c r="G38" s="171">
        <v>5286.69</v>
      </c>
      <c r="H38" s="1833" t="s">
        <v>4762</v>
      </c>
      <c r="I38" s="352" t="s">
        <v>25</v>
      </c>
      <c r="K38" s="1691"/>
      <c r="L38" s="1566"/>
      <c r="M38" s="390"/>
      <c r="N38" s="1284"/>
      <c r="O38" s="390"/>
      <c r="P38" s="1285"/>
      <c r="Q38" s="352" t="s">
        <v>25</v>
      </c>
      <c r="S38" s="1691"/>
      <c r="T38" s="1566"/>
      <c r="U38" s="390"/>
      <c r="V38" s="1284"/>
      <c r="W38" s="1286"/>
      <c r="X38" s="1286"/>
      <c r="Y38" s="1286"/>
      <c r="Z38" s="1286"/>
      <c r="AA38" s="1286"/>
      <c r="AB38" s="1286"/>
      <c r="AC38" s="1286"/>
      <c r="AD38" s="1286"/>
      <c r="AE38" s="1286"/>
      <c r="AF38" s="1286"/>
      <c r="AG38" s="1286"/>
      <c r="AH38" s="1286"/>
      <c r="AI38" s="1286"/>
      <c r="AJ38" s="1286"/>
      <c r="AK38" s="1286"/>
      <c r="AL38" s="1286"/>
      <c r="AM38" s="1286"/>
      <c r="AN38" s="1286"/>
      <c r="AO38" s="1286"/>
      <c r="AP38" s="1286"/>
      <c r="AQ38" s="1286"/>
      <c r="AR38" s="1286"/>
      <c r="AS38" s="1286"/>
      <c r="AT38" s="1286"/>
      <c r="AU38" s="1286"/>
      <c r="AV38" s="1286"/>
      <c r="AW38" s="1286"/>
      <c r="AX38" s="1286"/>
      <c r="AY38" s="1286"/>
      <c r="AZ38" s="1286"/>
      <c r="BA38" s="1286"/>
      <c r="BB38" s="1286"/>
      <c r="BC38" s="1286"/>
      <c r="BD38" s="1286"/>
      <c r="BE38" s="1286"/>
      <c r="BF38" s="1286"/>
      <c r="BG38" s="1286"/>
      <c r="BH38" s="1286"/>
    </row>
    <row r="39" spans="1:60" s="1282" customFormat="1" x14ac:dyDescent="0.3">
      <c r="A39" s="2290">
        <v>33</v>
      </c>
      <c r="B39" s="390" t="s">
        <v>4760</v>
      </c>
      <c r="C39" s="163" t="s">
        <v>4761</v>
      </c>
      <c r="D39" s="164" t="s">
        <v>172</v>
      </c>
      <c r="E39" s="1688" t="s">
        <v>4781</v>
      </c>
      <c r="F39" s="170">
        <v>24612</v>
      </c>
      <c r="G39" s="171">
        <v>5286.69</v>
      </c>
      <c r="H39" s="1833" t="s">
        <v>4762</v>
      </c>
      <c r="I39" s="352" t="s">
        <v>25</v>
      </c>
      <c r="K39" s="1691"/>
      <c r="L39" s="1566"/>
      <c r="M39" s="390"/>
      <c r="N39" s="1284"/>
      <c r="O39" s="390"/>
      <c r="P39" s="1285"/>
      <c r="Q39" s="352" t="s">
        <v>25</v>
      </c>
      <c r="S39" s="1691"/>
      <c r="T39" s="1566"/>
      <c r="U39" s="390"/>
      <c r="V39" s="1284"/>
      <c r="W39" s="1286"/>
      <c r="X39" s="1286"/>
      <c r="Y39" s="1286"/>
      <c r="Z39" s="1286"/>
      <c r="AA39" s="1286"/>
      <c r="AB39" s="1286"/>
      <c r="AC39" s="1286"/>
      <c r="AD39" s="1286"/>
      <c r="AE39" s="1286"/>
      <c r="AF39" s="1286"/>
      <c r="AG39" s="1286"/>
      <c r="AH39" s="1286"/>
      <c r="AI39" s="1286"/>
      <c r="AJ39" s="1286"/>
      <c r="AK39" s="1286"/>
      <c r="AL39" s="1286"/>
      <c r="AM39" s="1286"/>
      <c r="AN39" s="1286"/>
      <c r="AO39" s="1286"/>
      <c r="AP39" s="1286"/>
      <c r="AQ39" s="1286"/>
      <c r="AR39" s="1286"/>
      <c r="AS39" s="1286"/>
      <c r="AT39" s="1286"/>
      <c r="AU39" s="1286"/>
      <c r="AV39" s="1286"/>
      <c r="AW39" s="1286"/>
      <c r="AX39" s="1286"/>
      <c r="AY39" s="1286"/>
      <c r="AZ39" s="1286"/>
      <c r="BA39" s="1286"/>
      <c r="BB39" s="1286"/>
      <c r="BC39" s="1286"/>
      <c r="BD39" s="1286"/>
      <c r="BE39" s="1286"/>
      <c r="BF39" s="1286"/>
      <c r="BG39" s="1286"/>
      <c r="BH39" s="1286"/>
    </row>
    <row r="40" spans="1:60" s="1282" customFormat="1" x14ac:dyDescent="0.3">
      <c r="A40" s="2290">
        <v>34</v>
      </c>
      <c r="B40" s="390" t="s">
        <v>4760</v>
      </c>
      <c r="C40" s="163" t="s">
        <v>4761</v>
      </c>
      <c r="D40" s="391" t="s">
        <v>172</v>
      </c>
      <c r="E40" s="1688" t="s">
        <v>1365</v>
      </c>
      <c r="F40" s="170">
        <v>24612</v>
      </c>
      <c r="G40" s="171">
        <v>5286.69</v>
      </c>
      <c r="H40" s="1833" t="s">
        <v>4762</v>
      </c>
      <c r="I40" s="352" t="s">
        <v>25</v>
      </c>
      <c r="K40" s="1691"/>
      <c r="L40" s="1566"/>
      <c r="M40" s="390"/>
      <c r="N40" s="1284"/>
      <c r="O40" s="390"/>
      <c r="P40" s="1285"/>
      <c r="Q40" s="352" t="s">
        <v>25</v>
      </c>
      <c r="S40" s="1691"/>
      <c r="T40" s="1566"/>
      <c r="U40" s="390"/>
      <c r="V40" s="1284"/>
      <c r="W40" s="1286"/>
      <c r="X40" s="1286"/>
      <c r="Y40" s="1286"/>
      <c r="Z40" s="1286"/>
      <c r="AA40" s="1286"/>
      <c r="AB40" s="1286"/>
      <c r="AC40" s="1286"/>
      <c r="AD40" s="1286"/>
      <c r="AE40" s="1286"/>
      <c r="AF40" s="1286"/>
      <c r="AG40" s="1286"/>
      <c r="AH40" s="1286"/>
      <c r="AI40" s="1286"/>
      <c r="AJ40" s="1286"/>
      <c r="AK40" s="1286"/>
      <c r="AL40" s="1286"/>
      <c r="AM40" s="1286"/>
      <c r="AN40" s="1286"/>
      <c r="AO40" s="1286"/>
      <c r="AP40" s="1286"/>
      <c r="AQ40" s="1286"/>
      <c r="AR40" s="1286"/>
      <c r="AS40" s="1286"/>
      <c r="AT40" s="1286"/>
      <c r="AU40" s="1286"/>
      <c r="AV40" s="1286"/>
      <c r="AW40" s="1286"/>
      <c r="AX40" s="1286"/>
      <c r="AY40" s="1286"/>
      <c r="AZ40" s="1286"/>
      <c r="BA40" s="1286"/>
      <c r="BB40" s="1286"/>
      <c r="BC40" s="1286"/>
      <c r="BD40" s="1286"/>
      <c r="BE40" s="1286"/>
      <c r="BF40" s="1286"/>
      <c r="BG40" s="1286"/>
      <c r="BH40" s="1286"/>
    </row>
    <row r="41" spans="1:60" s="1282" customFormat="1" x14ac:dyDescent="0.3">
      <c r="A41" s="2290">
        <v>35</v>
      </c>
      <c r="B41" s="390" t="s">
        <v>4760</v>
      </c>
      <c r="C41" s="163" t="s">
        <v>4761</v>
      </c>
      <c r="D41" s="164" t="s">
        <v>172</v>
      </c>
      <c r="E41" s="1688" t="s">
        <v>4782</v>
      </c>
      <c r="F41" s="170">
        <v>24612</v>
      </c>
      <c r="G41" s="171">
        <v>5286.69</v>
      </c>
      <c r="H41" s="1833" t="s">
        <v>4762</v>
      </c>
      <c r="I41" s="352" t="s">
        <v>25</v>
      </c>
      <c r="K41" s="1691"/>
      <c r="L41" s="1566"/>
      <c r="M41" s="390"/>
      <c r="N41" s="1284"/>
      <c r="O41" s="390"/>
      <c r="P41" s="1285"/>
      <c r="Q41" s="352" t="s">
        <v>25</v>
      </c>
      <c r="S41" s="1691"/>
      <c r="T41" s="1566"/>
      <c r="U41" s="390"/>
      <c r="V41" s="1284"/>
      <c r="W41" s="1286"/>
      <c r="X41" s="1286"/>
      <c r="Y41" s="1286"/>
      <c r="Z41" s="1286"/>
      <c r="AA41" s="1286"/>
      <c r="AB41" s="1286"/>
      <c r="AC41" s="1286"/>
      <c r="AD41" s="1286"/>
      <c r="AE41" s="1286"/>
      <c r="AF41" s="1286"/>
      <c r="AG41" s="1286"/>
      <c r="AH41" s="1286"/>
      <c r="AI41" s="1286"/>
      <c r="AJ41" s="1286"/>
      <c r="AK41" s="1286"/>
      <c r="AL41" s="1286"/>
      <c r="AM41" s="1286"/>
      <c r="AN41" s="1286"/>
      <c r="AO41" s="1286"/>
      <c r="AP41" s="1286"/>
      <c r="AQ41" s="1286"/>
      <c r="AR41" s="1286"/>
      <c r="AS41" s="1286"/>
      <c r="AT41" s="1286"/>
      <c r="AU41" s="1286"/>
      <c r="AV41" s="1286"/>
      <c r="AW41" s="1286"/>
      <c r="AX41" s="1286"/>
      <c r="AY41" s="1286"/>
      <c r="AZ41" s="1286"/>
      <c r="BA41" s="1286"/>
      <c r="BB41" s="1286"/>
      <c r="BC41" s="1286"/>
      <c r="BD41" s="1286"/>
      <c r="BE41" s="1286"/>
      <c r="BF41" s="1286"/>
      <c r="BG41" s="1286"/>
      <c r="BH41" s="1286"/>
    </row>
    <row r="42" spans="1:60" s="1282" customFormat="1" x14ac:dyDescent="0.3">
      <c r="A42" s="2290">
        <v>36</v>
      </c>
      <c r="B42" s="390" t="s">
        <v>4760</v>
      </c>
      <c r="C42" s="163" t="s">
        <v>4761</v>
      </c>
      <c r="D42" s="164" t="s">
        <v>172</v>
      </c>
      <c r="E42" s="1688" t="s">
        <v>4783</v>
      </c>
      <c r="F42" s="170">
        <v>24612</v>
      </c>
      <c r="G42" s="171">
        <v>5286.69</v>
      </c>
      <c r="H42" s="1833" t="s">
        <v>4762</v>
      </c>
      <c r="I42" s="352" t="s">
        <v>25</v>
      </c>
      <c r="K42" s="1691"/>
      <c r="L42" s="1566"/>
      <c r="M42" s="390"/>
      <c r="N42" s="1284"/>
      <c r="O42" s="390"/>
      <c r="P42" s="1285"/>
      <c r="Q42" s="352" t="s">
        <v>25</v>
      </c>
      <c r="S42" s="1691"/>
      <c r="T42" s="1566"/>
      <c r="U42" s="390"/>
      <c r="V42" s="1284"/>
      <c r="W42" s="1286"/>
      <c r="X42" s="1286"/>
      <c r="Y42" s="1286"/>
      <c r="Z42" s="1286"/>
      <c r="AA42" s="1286"/>
      <c r="AB42" s="1286"/>
      <c r="AC42" s="1286"/>
      <c r="AD42" s="1286"/>
      <c r="AE42" s="1286"/>
      <c r="AF42" s="1286"/>
      <c r="AG42" s="1286"/>
      <c r="AH42" s="1286"/>
      <c r="AI42" s="1286"/>
      <c r="AJ42" s="1286"/>
      <c r="AK42" s="1286"/>
      <c r="AL42" s="1286"/>
      <c r="AM42" s="1286"/>
      <c r="AN42" s="1286"/>
      <c r="AO42" s="1286"/>
      <c r="AP42" s="1286"/>
      <c r="AQ42" s="1286"/>
      <c r="AR42" s="1286"/>
      <c r="AS42" s="1286"/>
      <c r="AT42" s="1286"/>
      <c r="AU42" s="1286"/>
      <c r="AV42" s="1286"/>
      <c r="AW42" s="1286"/>
      <c r="AX42" s="1286"/>
      <c r="AY42" s="1286"/>
      <c r="AZ42" s="1286"/>
      <c r="BA42" s="1286"/>
      <c r="BB42" s="1286"/>
      <c r="BC42" s="1286"/>
      <c r="BD42" s="1286"/>
      <c r="BE42" s="1286"/>
      <c r="BF42" s="1286"/>
      <c r="BG42" s="1286"/>
      <c r="BH42" s="1286"/>
    </row>
    <row r="43" spans="1:60" s="1282" customFormat="1" x14ac:dyDescent="0.3">
      <c r="A43" s="2290">
        <v>37</v>
      </c>
      <c r="B43" s="390" t="s">
        <v>4760</v>
      </c>
      <c r="C43" s="163" t="s">
        <v>4761</v>
      </c>
      <c r="D43" s="391" t="s">
        <v>172</v>
      </c>
      <c r="E43" s="1688" t="s">
        <v>4784</v>
      </c>
      <c r="F43" s="170">
        <v>24612</v>
      </c>
      <c r="G43" s="171">
        <v>5286.69</v>
      </c>
      <c r="H43" s="1833" t="s">
        <v>4762</v>
      </c>
      <c r="I43" s="352" t="s">
        <v>25</v>
      </c>
      <c r="K43" s="1691"/>
      <c r="L43" s="1566"/>
      <c r="M43" s="390"/>
      <c r="N43" s="1284"/>
      <c r="O43" s="390"/>
      <c r="P43" s="1285"/>
      <c r="Q43" s="352" t="s">
        <v>25</v>
      </c>
      <c r="S43" s="1691"/>
      <c r="T43" s="1566"/>
      <c r="U43" s="390"/>
      <c r="V43" s="1284"/>
      <c r="W43" s="1286"/>
      <c r="X43" s="1286"/>
      <c r="Y43" s="1286"/>
      <c r="Z43" s="1286"/>
      <c r="AA43" s="1286"/>
      <c r="AB43" s="1286"/>
      <c r="AC43" s="1286"/>
      <c r="AD43" s="1286"/>
      <c r="AE43" s="1286"/>
      <c r="AF43" s="1286"/>
      <c r="AG43" s="1286"/>
      <c r="AH43" s="1286"/>
      <c r="AI43" s="1286"/>
      <c r="AJ43" s="1286"/>
      <c r="AK43" s="1286"/>
      <c r="AL43" s="1286"/>
      <c r="AM43" s="1286"/>
      <c r="AN43" s="1286"/>
      <c r="AO43" s="1286"/>
      <c r="AP43" s="1286"/>
      <c r="AQ43" s="1286"/>
      <c r="AR43" s="1286"/>
      <c r="AS43" s="1286"/>
      <c r="AT43" s="1286"/>
      <c r="AU43" s="1286"/>
      <c r="AV43" s="1286"/>
      <c r="AW43" s="1286"/>
      <c r="AX43" s="1286"/>
      <c r="AY43" s="1286"/>
      <c r="AZ43" s="1286"/>
      <c r="BA43" s="1286"/>
      <c r="BB43" s="1286"/>
      <c r="BC43" s="1286"/>
      <c r="BD43" s="1286"/>
      <c r="BE43" s="1286"/>
      <c r="BF43" s="1286"/>
      <c r="BG43" s="1286"/>
      <c r="BH43" s="1286"/>
    </row>
    <row r="44" spans="1:60" s="1282" customFormat="1" x14ac:dyDescent="0.3">
      <c r="A44" s="2290">
        <v>38</v>
      </c>
      <c r="B44" s="390" t="s">
        <v>4760</v>
      </c>
      <c r="C44" s="163" t="s">
        <v>4761</v>
      </c>
      <c r="D44" s="164" t="s">
        <v>172</v>
      </c>
      <c r="E44" s="1688" t="s">
        <v>948</v>
      </c>
      <c r="F44" s="170">
        <v>24612</v>
      </c>
      <c r="G44" s="171">
        <v>5286.69</v>
      </c>
      <c r="H44" s="1833" t="s">
        <v>4762</v>
      </c>
      <c r="I44" s="352" t="s">
        <v>25</v>
      </c>
      <c r="K44" s="1691"/>
      <c r="L44" s="1566"/>
      <c r="M44" s="390"/>
      <c r="N44" s="1284"/>
      <c r="O44" s="390"/>
      <c r="P44" s="1285"/>
      <c r="Q44" s="352" t="s">
        <v>25</v>
      </c>
      <c r="S44" s="1691"/>
      <c r="T44" s="1566"/>
      <c r="U44" s="390"/>
      <c r="V44" s="1284"/>
      <c r="W44" s="1286"/>
      <c r="X44" s="1286"/>
      <c r="Y44" s="1286"/>
      <c r="Z44" s="1286"/>
      <c r="AA44" s="1286"/>
      <c r="AB44" s="1286"/>
      <c r="AC44" s="1286"/>
      <c r="AD44" s="1286"/>
      <c r="AE44" s="1286"/>
      <c r="AF44" s="1286"/>
      <c r="AG44" s="1286"/>
      <c r="AH44" s="1286"/>
      <c r="AI44" s="1286"/>
      <c r="AJ44" s="1286"/>
      <c r="AK44" s="1286"/>
      <c r="AL44" s="1286"/>
      <c r="AM44" s="1286"/>
      <c r="AN44" s="1286"/>
      <c r="AO44" s="1286"/>
      <c r="AP44" s="1286"/>
      <c r="AQ44" s="1286"/>
      <c r="AR44" s="1286"/>
      <c r="AS44" s="1286"/>
      <c r="AT44" s="1286"/>
      <c r="AU44" s="1286"/>
      <c r="AV44" s="1286"/>
      <c r="AW44" s="1286"/>
      <c r="AX44" s="1286"/>
      <c r="AY44" s="1286"/>
      <c r="AZ44" s="1286"/>
      <c r="BA44" s="1286"/>
      <c r="BB44" s="1286"/>
      <c r="BC44" s="1286"/>
      <c r="BD44" s="1286"/>
      <c r="BE44" s="1286"/>
      <c r="BF44" s="1286"/>
      <c r="BG44" s="1286"/>
      <c r="BH44" s="1286"/>
    </row>
    <row r="45" spans="1:60" s="1282" customFormat="1" x14ac:dyDescent="0.3">
      <c r="A45" s="2290">
        <v>39</v>
      </c>
      <c r="B45" s="390" t="s">
        <v>4760</v>
      </c>
      <c r="C45" s="163" t="s">
        <v>4761</v>
      </c>
      <c r="D45" s="164" t="s">
        <v>172</v>
      </c>
      <c r="E45" s="1688" t="s">
        <v>4785</v>
      </c>
      <c r="F45" s="170">
        <v>24612</v>
      </c>
      <c r="G45" s="171">
        <v>5286.69</v>
      </c>
      <c r="H45" s="1833" t="s">
        <v>4762</v>
      </c>
      <c r="I45" s="352" t="s">
        <v>25</v>
      </c>
      <c r="K45" s="1691"/>
      <c r="L45" s="1566"/>
      <c r="M45" s="390"/>
      <c r="N45" s="1284"/>
      <c r="O45" s="390"/>
      <c r="P45" s="1285"/>
      <c r="Q45" s="352" t="s">
        <v>25</v>
      </c>
      <c r="S45" s="1691"/>
      <c r="T45" s="1566"/>
      <c r="U45" s="390"/>
      <c r="V45" s="1284"/>
      <c r="W45" s="1286"/>
      <c r="X45" s="1286"/>
      <c r="Y45" s="1286"/>
      <c r="Z45" s="1286"/>
      <c r="AA45" s="1286"/>
      <c r="AB45" s="1286"/>
      <c r="AC45" s="1286"/>
      <c r="AD45" s="1286"/>
      <c r="AE45" s="1286"/>
      <c r="AF45" s="1286"/>
      <c r="AG45" s="1286"/>
      <c r="AH45" s="1286"/>
      <c r="AI45" s="1286"/>
      <c r="AJ45" s="1286"/>
      <c r="AK45" s="1286"/>
      <c r="AL45" s="1286"/>
      <c r="AM45" s="1286"/>
      <c r="AN45" s="1286"/>
      <c r="AO45" s="1286"/>
      <c r="AP45" s="1286"/>
      <c r="AQ45" s="1286"/>
      <c r="AR45" s="1286"/>
      <c r="AS45" s="1286"/>
      <c r="AT45" s="1286"/>
      <c r="AU45" s="1286"/>
      <c r="AV45" s="1286"/>
      <c r="AW45" s="1286"/>
      <c r="AX45" s="1286"/>
      <c r="AY45" s="1286"/>
      <c r="AZ45" s="1286"/>
      <c r="BA45" s="1286"/>
      <c r="BB45" s="1286"/>
      <c r="BC45" s="1286"/>
      <c r="BD45" s="1286"/>
      <c r="BE45" s="1286"/>
      <c r="BF45" s="1286"/>
      <c r="BG45" s="1286"/>
      <c r="BH45" s="1286"/>
    </row>
    <row r="46" spans="1:60" s="1282" customFormat="1" x14ac:dyDescent="0.3">
      <c r="A46" s="2290">
        <v>40</v>
      </c>
      <c r="B46" s="390" t="s">
        <v>4760</v>
      </c>
      <c r="C46" s="163" t="s">
        <v>4761</v>
      </c>
      <c r="D46" s="391" t="s">
        <v>172</v>
      </c>
      <c r="E46" s="1688" t="s">
        <v>1366</v>
      </c>
      <c r="F46" s="170">
        <v>24612</v>
      </c>
      <c r="G46" s="171">
        <v>5286.69</v>
      </c>
      <c r="H46" s="1833" t="s">
        <v>4762</v>
      </c>
      <c r="I46" s="352" t="s">
        <v>25</v>
      </c>
      <c r="K46" s="1691"/>
      <c r="L46" s="1566"/>
      <c r="M46" s="390"/>
      <c r="N46" s="1284"/>
      <c r="O46" s="390"/>
      <c r="P46" s="1285"/>
      <c r="Q46" s="352" t="s">
        <v>25</v>
      </c>
      <c r="S46" s="1691"/>
      <c r="T46" s="1566"/>
      <c r="U46" s="390"/>
      <c r="V46" s="1284"/>
      <c r="W46" s="1286"/>
      <c r="X46" s="1286"/>
      <c r="Y46" s="1286"/>
      <c r="Z46" s="1286"/>
      <c r="AA46" s="1286"/>
      <c r="AB46" s="1286"/>
      <c r="AC46" s="1286"/>
      <c r="AD46" s="1286"/>
      <c r="AE46" s="1286"/>
      <c r="AF46" s="1286"/>
      <c r="AG46" s="1286"/>
      <c r="AH46" s="1286"/>
      <c r="AI46" s="1286"/>
      <c r="AJ46" s="1286"/>
      <c r="AK46" s="1286"/>
      <c r="AL46" s="1286"/>
      <c r="AM46" s="1286"/>
      <c r="AN46" s="1286"/>
      <c r="AO46" s="1286"/>
      <c r="AP46" s="1286"/>
      <c r="AQ46" s="1286"/>
      <c r="AR46" s="1286"/>
      <c r="AS46" s="1286"/>
      <c r="AT46" s="1286"/>
      <c r="AU46" s="1286"/>
      <c r="AV46" s="1286"/>
      <c r="AW46" s="1286"/>
      <c r="AX46" s="1286"/>
      <c r="AY46" s="1286"/>
      <c r="AZ46" s="1286"/>
      <c r="BA46" s="1286"/>
      <c r="BB46" s="1286"/>
      <c r="BC46" s="1286"/>
      <c r="BD46" s="1286"/>
      <c r="BE46" s="1286"/>
      <c r="BF46" s="1286"/>
      <c r="BG46" s="1286"/>
      <c r="BH46" s="1286"/>
    </row>
    <row r="47" spans="1:60" s="1282" customFormat="1" x14ac:dyDescent="0.3">
      <c r="A47" s="2290">
        <v>41</v>
      </c>
      <c r="B47" s="390" t="s">
        <v>4760</v>
      </c>
      <c r="C47" s="163" t="s">
        <v>4761</v>
      </c>
      <c r="D47" s="164" t="s">
        <v>172</v>
      </c>
      <c r="E47" s="1688" t="s">
        <v>4786</v>
      </c>
      <c r="F47" s="170">
        <v>24612</v>
      </c>
      <c r="G47" s="171">
        <v>5286.69</v>
      </c>
      <c r="H47" s="1833" t="s">
        <v>4762</v>
      </c>
      <c r="I47" s="352" t="s">
        <v>25</v>
      </c>
      <c r="K47" s="1691"/>
      <c r="L47" s="1566"/>
      <c r="M47" s="390"/>
      <c r="N47" s="1284"/>
      <c r="O47" s="390"/>
      <c r="P47" s="1285"/>
      <c r="Q47" s="352" t="s">
        <v>25</v>
      </c>
      <c r="S47" s="1691"/>
      <c r="T47" s="1566"/>
      <c r="U47" s="390"/>
      <c r="V47" s="1284"/>
      <c r="W47" s="1286"/>
      <c r="X47" s="1286"/>
      <c r="Y47" s="1286"/>
      <c r="Z47" s="1286"/>
      <c r="AA47" s="1286"/>
      <c r="AB47" s="1286"/>
      <c r="AC47" s="1286"/>
      <c r="AD47" s="1286"/>
      <c r="AE47" s="1286"/>
      <c r="AF47" s="1286"/>
      <c r="AG47" s="1286"/>
      <c r="AH47" s="1286"/>
      <c r="AI47" s="1286"/>
      <c r="AJ47" s="1286"/>
      <c r="AK47" s="1286"/>
      <c r="AL47" s="1286"/>
      <c r="AM47" s="1286"/>
      <c r="AN47" s="1286"/>
      <c r="AO47" s="1286"/>
      <c r="AP47" s="1286"/>
      <c r="AQ47" s="1286"/>
      <c r="AR47" s="1286"/>
      <c r="AS47" s="1286"/>
      <c r="AT47" s="1286"/>
      <c r="AU47" s="1286"/>
      <c r="AV47" s="1286"/>
      <c r="AW47" s="1286"/>
      <c r="AX47" s="1286"/>
      <c r="AY47" s="1286"/>
      <c r="AZ47" s="1286"/>
      <c r="BA47" s="1286"/>
      <c r="BB47" s="1286"/>
      <c r="BC47" s="1286"/>
      <c r="BD47" s="1286"/>
      <c r="BE47" s="1286"/>
      <c r="BF47" s="1286"/>
      <c r="BG47" s="1286"/>
      <c r="BH47" s="1286"/>
    </row>
    <row r="48" spans="1:60" s="1282" customFormat="1" x14ac:dyDescent="0.3">
      <c r="A48" s="2290">
        <v>42</v>
      </c>
      <c r="B48" s="390" t="s">
        <v>4760</v>
      </c>
      <c r="C48" s="163" t="s">
        <v>4761</v>
      </c>
      <c r="D48" s="164" t="s">
        <v>172</v>
      </c>
      <c r="E48" s="1688" t="s">
        <v>1367</v>
      </c>
      <c r="F48" s="170">
        <v>24612</v>
      </c>
      <c r="G48" s="171">
        <v>5286.69</v>
      </c>
      <c r="H48" s="1833" t="s">
        <v>4762</v>
      </c>
      <c r="I48" s="352" t="s">
        <v>25</v>
      </c>
      <c r="K48" s="1691"/>
      <c r="L48" s="1566"/>
      <c r="M48" s="390"/>
      <c r="N48" s="1284"/>
      <c r="O48" s="390"/>
      <c r="P48" s="1285"/>
      <c r="Q48" s="352" t="s">
        <v>25</v>
      </c>
      <c r="S48" s="1691"/>
      <c r="T48" s="1566"/>
      <c r="U48" s="390"/>
      <c r="V48" s="1284"/>
      <c r="W48" s="1286"/>
      <c r="X48" s="1286"/>
      <c r="Y48" s="1286"/>
      <c r="Z48" s="1286"/>
      <c r="AA48" s="1286"/>
      <c r="AB48" s="1286"/>
      <c r="AC48" s="1286"/>
      <c r="AD48" s="1286"/>
      <c r="AE48" s="1286"/>
      <c r="AF48" s="1286"/>
      <c r="AG48" s="1286"/>
      <c r="AH48" s="1286"/>
      <c r="AI48" s="1286"/>
      <c r="AJ48" s="1286"/>
      <c r="AK48" s="1286"/>
      <c r="AL48" s="1286"/>
      <c r="AM48" s="1286"/>
      <c r="AN48" s="1286"/>
      <c r="AO48" s="1286"/>
      <c r="AP48" s="1286"/>
      <c r="AQ48" s="1286"/>
      <c r="AR48" s="1286"/>
      <c r="AS48" s="1286"/>
      <c r="AT48" s="1286"/>
      <c r="AU48" s="1286"/>
      <c r="AV48" s="1286"/>
      <c r="AW48" s="1286"/>
      <c r="AX48" s="1286"/>
      <c r="AY48" s="1286"/>
      <c r="AZ48" s="1286"/>
      <c r="BA48" s="1286"/>
      <c r="BB48" s="1286"/>
      <c r="BC48" s="1286"/>
      <c r="BD48" s="1286"/>
      <c r="BE48" s="1286"/>
      <c r="BF48" s="1286"/>
      <c r="BG48" s="1286"/>
      <c r="BH48" s="1286"/>
    </row>
    <row r="49" spans="1:60" s="1282" customFormat="1" x14ac:dyDescent="0.3">
      <c r="A49" s="2290">
        <v>43</v>
      </c>
      <c r="B49" s="390" t="s">
        <v>4760</v>
      </c>
      <c r="C49" s="163" t="s">
        <v>4761</v>
      </c>
      <c r="D49" s="391" t="s">
        <v>172</v>
      </c>
      <c r="E49" s="1688" t="s">
        <v>4787</v>
      </c>
      <c r="F49" s="170">
        <v>24612</v>
      </c>
      <c r="G49" s="171">
        <v>5286.69</v>
      </c>
      <c r="H49" s="1833" t="s">
        <v>4762</v>
      </c>
      <c r="I49" s="352" t="s">
        <v>25</v>
      </c>
      <c r="K49" s="1691"/>
      <c r="L49" s="1566"/>
      <c r="M49" s="390"/>
      <c r="N49" s="1284"/>
      <c r="O49" s="390"/>
      <c r="P49" s="1285"/>
      <c r="Q49" s="352" t="s">
        <v>25</v>
      </c>
      <c r="S49" s="1691"/>
      <c r="T49" s="1566"/>
      <c r="U49" s="390"/>
      <c r="V49" s="1284"/>
      <c r="W49" s="1286"/>
      <c r="X49" s="1286"/>
      <c r="Y49" s="1286"/>
      <c r="Z49" s="1286"/>
      <c r="AA49" s="1286"/>
      <c r="AB49" s="1286"/>
      <c r="AC49" s="1286"/>
      <c r="AD49" s="1286"/>
      <c r="AE49" s="1286"/>
      <c r="AF49" s="1286"/>
      <c r="AG49" s="1286"/>
      <c r="AH49" s="1286"/>
      <c r="AI49" s="1286"/>
      <c r="AJ49" s="1286"/>
      <c r="AK49" s="1286"/>
      <c r="AL49" s="1286"/>
      <c r="AM49" s="1286"/>
      <c r="AN49" s="1286"/>
      <c r="AO49" s="1286"/>
      <c r="AP49" s="1286"/>
      <c r="AQ49" s="1286"/>
      <c r="AR49" s="1286"/>
      <c r="AS49" s="1286"/>
      <c r="AT49" s="1286"/>
      <c r="AU49" s="1286"/>
      <c r="AV49" s="1286"/>
      <c r="AW49" s="1286"/>
      <c r="AX49" s="1286"/>
      <c r="AY49" s="1286"/>
      <c r="AZ49" s="1286"/>
      <c r="BA49" s="1286"/>
      <c r="BB49" s="1286"/>
      <c r="BC49" s="1286"/>
      <c r="BD49" s="1286"/>
      <c r="BE49" s="1286"/>
      <c r="BF49" s="1286"/>
      <c r="BG49" s="1286"/>
      <c r="BH49" s="1286"/>
    </row>
    <row r="50" spans="1:60" s="1282" customFormat="1" x14ac:dyDescent="0.3">
      <c r="A50" s="2290">
        <v>44</v>
      </c>
      <c r="B50" s="390" t="s">
        <v>4760</v>
      </c>
      <c r="C50" s="163" t="s">
        <v>4761</v>
      </c>
      <c r="D50" s="164" t="s">
        <v>172</v>
      </c>
      <c r="E50" s="1688" t="s">
        <v>1369</v>
      </c>
      <c r="F50" s="170">
        <v>24612</v>
      </c>
      <c r="G50" s="171">
        <v>5286.69</v>
      </c>
      <c r="H50" s="1833" t="s">
        <v>4762</v>
      </c>
      <c r="I50" s="352" t="s">
        <v>25</v>
      </c>
      <c r="K50" s="1691"/>
      <c r="L50" s="1566"/>
      <c r="M50" s="390"/>
      <c r="N50" s="1284"/>
      <c r="O50" s="390"/>
      <c r="P50" s="1285"/>
      <c r="Q50" s="352" t="s">
        <v>25</v>
      </c>
      <c r="S50" s="1691"/>
      <c r="T50" s="1566"/>
      <c r="U50" s="390"/>
      <c r="V50" s="1284"/>
      <c r="W50" s="1286"/>
      <c r="X50" s="1286"/>
      <c r="Y50" s="1286"/>
      <c r="Z50" s="1286"/>
      <c r="AA50" s="1286"/>
      <c r="AB50" s="1286"/>
      <c r="AC50" s="1286"/>
      <c r="AD50" s="1286"/>
      <c r="AE50" s="1286"/>
      <c r="AF50" s="1286"/>
      <c r="AG50" s="1286"/>
      <c r="AH50" s="1286"/>
      <c r="AI50" s="1286"/>
      <c r="AJ50" s="1286"/>
      <c r="AK50" s="1286"/>
      <c r="AL50" s="1286"/>
      <c r="AM50" s="1286"/>
      <c r="AN50" s="1286"/>
      <c r="AO50" s="1286"/>
      <c r="AP50" s="1286"/>
      <c r="AQ50" s="1286"/>
      <c r="AR50" s="1286"/>
      <c r="AS50" s="1286"/>
      <c r="AT50" s="1286"/>
      <c r="AU50" s="1286"/>
      <c r="AV50" s="1286"/>
      <c r="AW50" s="1286"/>
      <c r="AX50" s="1286"/>
      <c r="AY50" s="1286"/>
      <c r="AZ50" s="1286"/>
      <c r="BA50" s="1286"/>
      <c r="BB50" s="1286"/>
      <c r="BC50" s="1286"/>
      <c r="BD50" s="1286"/>
      <c r="BE50" s="1286"/>
      <c r="BF50" s="1286"/>
      <c r="BG50" s="1286"/>
      <c r="BH50" s="1286"/>
    </row>
    <row r="51" spans="1:60" s="1695" customFormat="1" x14ac:dyDescent="0.3">
      <c r="A51" s="2290">
        <v>45</v>
      </c>
      <c r="B51" s="1634" t="s">
        <v>4760</v>
      </c>
      <c r="C51" s="1692" t="s">
        <v>4761</v>
      </c>
      <c r="D51" s="1693" t="s">
        <v>172</v>
      </c>
      <c r="E51" s="1694" t="s">
        <v>4788</v>
      </c>
      <c r="F51" s="170">
        <v>24612</v>
      </c>
      <c r="G51" s="171">
        <v>5286.69</v>
      </c>
      <c r="H51" s="1833" t="s">
        <v>4762</v>
      </c>
      <c r="I51" s="352" t="s">
        <v>25</v>
      </c>
      <c r="K51" s="1696"/>
      <c r="L51" s="1697"/>
      <c r="M51" s="1634"/>
      <c r="N51" s="1698"/>
      <c r="O51" s="1634"/>
      <c r="P51" s="1699"/>
      <c r="Q51" s="352" t="s">
        <v>25</v>
      </c>
      <c r="S51" s="1696"/>
      <c r="T51" s="1697"/>
      <c r="U51" s="1634"/>
      <c r="V51" s="1698"/>
      <c r="W51" s="1700"/>
      <c r="X51" s="1700"/>
      <c r="Y51" s="1700"/>
      <c r="Z51" s="1700"/>
      <c r="AA51" s="1700"/>
      <c r="AB51" s="1700"/>
      <c r="AC51" s="1700"/>
      <c r="AD51" s="1700"/>
      <c r="AE51" s="1700"/>
      <c r="AF51" s="1700"/>
      <c r="AG51" s="1700"/>
      <c r="AH51" s="1700"/>
      <c r="AI51" s="1700"/>
      <c r="AJ51" s="1700"/>
      <c r="AK51" s="1700"/>
      <c r="AL51" s="1700"/>
      <c r="AM51" s="1700"/>
      <c r="AN51" s="1700"/>
      <c r="AO51" s="1700"/>
      <c r="AP51" s="1700"/>
      <c r="AQ51" s="1700"/>
      <c r="AR51" s="1700"/>
      <c r="AS51" s="1700"/>
      <c r="AT51" s="1700"/>
      <c r="AU51" s="1700"/>
      <c r="AV51" s="1700"/>
      <c r="AW51" s="1700"/>
      <c r="AX51" s="1700"/>
      <c r="AY51" s="1700"/>
      <c r="AZ51" s="1700"/>
      <c r="BA51" s="1700"/>
      <c r="BB51" s="1700"/>
      <c r="BC51" s="1700"/>
      <c r="BD51" s="1700"/>
      <c r="BE51" s="1700"/>
      <c r="BF51" s="1700"/>
      <c r="BG51" s="1700"/>
      <c r="BH51" s="1700"/>
    </row>
    <row r="52" spans="1:60" s="1282" customFormat="1" x14ac:dyDescent="0.3">
      <c r="A52" s="2290">
        <v>46</v>
      </c>
      <c r="B52" s="390" t="s">
        <v>4789</v>
      </c>
      <c r="C52" s="163" t="s">
        <v>4761</v>
      </c>
      <c r="D52" s="391" t="s">
        <v>172</v>
      </c>
      <c r="E52" s="1688" t="s">
        <v>1394</v>
      </c>
      <c r="F52" s="170">
        <v>24612</v>
      </c>
      <c r="G52" s="171">
        <v>8419.7900000000009</v>
      </c>
      <c r="H52" s="1833" t="s">
        <v>4762</v>
      </c>
      <c r="I52" s="352" t="s">
        <v>25</v>
      </c>
      <c r="K52" s="1691"/>
      <c r="L52" s="1566"/>
      <c r="M52" s="390"/>
      <c r="N52" s="1284"/>
      <c r="O52" s="390"/>
      <c r="P52" s="1285"/>
      <c r="Q52" s="352" t="s">
        <v>25</v>
      </c>
      <c r="S52" s="1691"/>
      <c r="T52" s="1566"/>
      <c r="U52" s="390"/>
      <c r="V52" s="1284"/>
      <c r="W52" s="1286"/>
      <c r="X52" s="1286"/>
      <c r="Y52" s="1286"/>
      <c r="Z52" s="1286"/>
      <c r="AA52" s="1286"/>
      <c r="AB52" s="1286"/>
      <c r="AC52" s="1286"/>
      <c r="AD52" s="1286"/>
      <c r="AE52" s="1286"/>
      <c r="AF52" s="1286"/>
      <c r="AG52" s="1286"/>
      <c r="AH52" s="1286"/>
      <c r="AI52" s="1286"/>
      <c r="AJ52" s="1286"/>
      <c r="AK52" s="1286"/>
      <c r="AL52" s="1286"/>
      <c r="AM52" s="1286"/>
      <c r="AN52" s="1286"/>
      <c r="AO52" s="1286"/>
      <c r="AP52" s="1286"/>
      <c r="AQ52" s="1286"/>
      <c r="AR52" s="1286"/>
      <c r="AS52" s="1286"/>
      <c r="AT52" s="1286"/>
      <c r="AU52" s="1286"/>
      <c r="AV52" s="1286"/>
      <c r="AW52" s="1286"/>
      <c r="AX52" s="1286"/>
      <c r="AY52" s="1286"/>
      <c r="AZ52" s="1286"/>
      <c r="BA52" s="1286"/>
      <c r="BB52" s="1286"/>
      <c r="BC52" s="1286"/>
      <c r="BD52" s="1286"/>
      <c r="BE52" s="1286"/>
      <c r="BF52" s="1286"/>
      <c r="BG52" s="1286"/>
      <c r="BH52" s="1286"/>
    </row>
    <row r="53" spans="1:60" s="1282" customFormat="1" x14ac:dyDescent="0.3">
      <c r="A53" s="2290">
        <v>47</v>
      </c>
      <c r="B53" s="390" t="s">
        <v>4789</v>
      </c>
      <c r="C53" s="163" t="s">
        <v>4761</v>
      </c>
      <c r="D53" s="164" t="s">
        <v>172</v>
      </c>
      <c r="E53" s="1688" t="s">
        <v>1395</v>
      </c>
      <c r="F53" s="170">
        <v>24612</v>
      </c>
      <c r="G53" s="171">
        <v>8419.7900000000009</v>
      </c>
      <c r="H53" s="1833" t="s">
        <v>4762</v>
      </c>
      <c r="I53" s="352" t="s">
        <v>25</v>
      </c>
      <c r="K53" s="1691"/>
      <c r="L53" s="1566"/>
      <c r="M53" s="390"/>
      <c r="N53" s="1284"/>
      <c r="O53" s="390"/>
      <c r="P53" s="1285"/>
      <c r="Q53" s="352" t="s">
        <v>25</v>
      </c>
      <c r="S53" s="1691"/>
      <c r="T53" s="1566"/>
      <c r="U53" s="390"/>
      <c r="V53" s="1284"/>
      <c r="W53" s="1286"/>
      <c r="X53" s="1286"/>
      <c r="Y53" s="1286"/>
      <c r="Z53" s="1286"/>
      <c r="AA53" s="1286"/>
      <c r="AB53" s="1286"/>
      <c r="AC53" s="1286"/>
      <c r="AD53" s="1286"/>
      <c r="AE53" s="1286"/>
      <c r="AF53" s="1286"/>
      <c r="AG53" s="1286"/>
      <c r="AH53" s="1286"/>
      <c r="AI53" s="1286"/>
      <c r="AJ53" s="1286"/>
      <c r="AK53" s="1286"/>
      <c r="AL53" s="1286"/>
      <c r="AM53" s="1286"/>
      <c r="AN53" s="1286"/>
      <c r="AO53" s="1286"/>
      <c r="AP53" s="1286"/>
      <c r="AQ53" s="1286"/>
      <c r="AR53" s="1286"/>
      <c r="AS53" s="1286"/>
      <c r="AT53" s="1286"/>
      <c r="AU53" s="1286"/>
      <c r="AV53" s="1286"/>
      <c r="AW53" s="1286"/>
      <c r="AX53" s="1286"/>
      <c r="AY53" s="1286"/>
      <c r="AZ53" s="1286"/>
      <c r="BA53" s="1286"/>
      <c r="BB53" s="1286"/>
      <c r="BC53" s="1286"/>
      <c r="BD53" s="1286"/>
      <c r="BE53" s="1286"/>
      <c r="BF53" s="1286"/>
      <c r="BG53" s="1286"/>
      <c r="BH53" s="1286"/>
    </row>
    <row r="54" spans="1:60" s="1282" customFormat="1" x14ac:dyDescent="0.3">
      <c r="A54" s="2290">
        <v>48</v>
      </c>
      <c r="B54" s="390" t="s">
        <v>4789</v>
      </c>
      <c r="C54" s="163" t="s">
        <v>4761</v>
      </c>
      <c r="D54" s="164" t="s">
        <v>172</v>
      </c>
      <c r="E54" s="1688" t="s">
        <v>1396</v>
      </c>
      <c r="F54" s="170">
        <v>24612</v>
      </c>
      <c r="G54" s="171">
        <v>8419.7900000000009</v>
      </c>
      <c r="H54" s="1833" t="s">
        <v>4762</v>
      </c>
      <c r="I54" s="352" t="s">
        <v>25</v>
      </c>
      <c r="K54" s="1691"/>
      <c r="L54" s="1566"/>
      <c r="M54" s="390"/>
      <c r="N54" s="1284"/>
      <c r="O54" s="390"/>
      <c r="P54" s="1285"/>
      <c r="Q54" s="352" t="s">
        <v>25</v>
      </c>
      <c r="S54" s="1691"/>
      <c r="T54" s="1566"/>
      <c r="U54" s="390"/>
      <c r="V54" s="1284"/>
      <c r="W54" s="1286"/>
      <c r="X54" s="1286"/>
      <c r="Y54" s="1286"/>
      <c r="Z54" s="1286"/>
      <c r="AA54" s="1286"/>
      <c r="AB54" s="1286"/>
      <c r="AC54" s="1286"/>
      <c r="AD54" s="1286"/>
      <c r="AE54" s="1286"/>
      <c r="AF54" s="1286"/>
      <c r="AG54" s="1286"/>
      <c r="AH54" s="1286"/>
      <c r="AI54" s="1286"/>
      <c r="AJ54" s="1286"/>
      <c r="AK54" s="1286"/>
      <c r="AL54" s="1286"/>
      <c r="AM54" s="1286"/>
      <c r="AN54" s="1286"/>
      <c r="AO54" s="1286"/>
      <c r="AP54" s="1286"/>
      <c r="AQ54" s="1286"/>
      <c r="AR54" s="1286"/>
      <c r="AS54" s="1286"/>
      <c r="AT54" s="1286"/>
      <c r="AU54" s="1286"/>
      <c r="AV54" s="1286"/>
      <c r="AW54" s="1286"/>
      <c r="AX54" s="1286"/>
      <c r="AY54" s="1286"/>
      <c r="AZ54" s="1286"/>
      <c r="BA54" s="1286"/>
      <c r="BB54" s="1286"/>
      <c r="BC54" s="1286"/>
      <c r="BD54" s="1286"/>
      <c r="BE54" s="1286"/>
      <c r="BF54" s="1286"/>
      <c r="BG54" s="1286"/>
      <c r="BH54" s="1286"/>
    </row>
    <row r="55" spans="1:60" s="1282" customFormat="1" x14ac:dyDescent="0.3">
      <c r="A55" s="2290">
        <v>49</v>
      </c>
      <c r="B55" s="390" t="s">
        <v>4789</v>
      </c>
      <c r="C55" s="163" t="s">
        <v>4761</v>
      </c>
      <c r="D55" s="391" t="s">
        <v>172</v>
      </c>
      <c r="E55" s="1688" t="s">
        <v>1397</v>
      </c>
      <c r="F55" s="170">
        <v>24612</v>
      </c>
      <c r="G55" s="171">
        <v>8419.7900000000009</v>
      </c>
      <c r="H55" s="1833" t="s">
        <v>4762</v>
      </c>
      <c r="I55" s="352" t="s">
        <v>25</v>
      </c>
      <c r="K55" s="1691"/>
      <c r="L55" s="1566"/>
      <c r="M55" s="390"/>
      <c r="N55" s="1284"/>
      <c r="O55" s="390"/>
      <c r="P55" s="1285"/>
      <c r="Q55" s="352" t="s">
        <v>25</v>
      </c>
      <c r="S55" s="1691"/>
      <c r="T55" s="1566"/>
      <c r="U55" s="390"/>
      <c r="V55" s="1284"/>
      <c r="W55" s="1286"/>
      <c r="X55" s="1286"/>
      <c r="Y55" s="1286"/>
      <c r="Z55" s="1286"/>
      <c r="AA55" s="1286"/>
      <c r="AB55" s="1286"/>
      <c r="AC55" s="1286"/>
      <c r="AD55" s="1286"/>
      <c r="AE55" s="1286"/>
      <c r="AF55" s="1286"/>
      <c r="AG55" s="1286"/>
      <c r="AH55" s="1286"/>
      <c r="AI55" s="1286"/>
      <c r="AJ55" s="1286"/>
      <c r="AK55" s="1286"/>
      <c r="AL55" s="1286"/>
      <c r="AM55" s="1286"/>
      <c r="AN55" s="1286"/>
      <c r="AO55" s="1286"/>
      <c r="AP55" s="1286"/>
      <c r="AQ55" s="1286"/>
      <c r="AR55" s="1286"/>
      <c r="AS55" s="1286"/>
      <c r="AT55" s="1286"/>
      <c r="AU55" s="1286"/>
      <c r="AV55" s="1286"/>
      <c r="AW55" s="1286"/>
      <c r="AX55" s="1286"/>
      <c r="AY55" s="1286"/>
      <c r="AZ55" s="1286"/>
      <c r="BA55" s="1286"/>
      <c r="BB55" s="1286"/>
      <c r="BC55" s="1286"/>
      <c r="BD55" s="1286"/>
      <c r="BE55" s="1286"/>
      <c r="BF55" s="1286"/>
      <c r="BG55" s="1286"/>
      <c r="BH55" s="1286"/>
    </row>
    <row r="56" spans="1:60" s="1282" customFormat="1" x14ac:dyDescent="0.3">
      <c r="A56" s="2290">
        <v>50</v>
      </c>
      <c r="B56" s="390" t="s">
        <v>4789</v>
      </c>
      <c r="C56" s="163" t="s">
        <v>4761</v>
      </c>
      <c r="D56" s="164" t="s">
        <v>172</v>
      </c>
      <c r="E56" s="1688" t="s">
        <v>1398</v>
      </c>
      <c r="F56" s="170">
        <v>24612</v>
      </c>
      <c r="G56" s="171">
        <v>8419.7900000000009</v>
      </c>
      <c r="H56" s="1833" t="s">
        <v>4762</v>
      </c>
      <c r="I56" s="352" t="s">
        <v>25</v>
      </c>
      <c r="K56" s="1691"/>
      <c r="L56" s="1566"/>
      <c r="M56" s="390"/>
      <c r="N56" s="1284"/>
      <c r="O56" s="390"/>
      <c r="P56" s="1285"/>
      <c r="Q56" s="352" t="s">
        <v>25</v>
      </c>
      <c r="S56" s="1691"/>
      <c r="T56" s="1566"/>
      <c r="U56" s="390"/>
      <c r="V56" s="1284"/>
      <c r="W56" s="1286"/>
      <c r="X56" s="1286"/>
      <c r="Y56" s="1286"/>
      <c r="Z56" s="1286"/>
      <c r="AA56" s="1286"/>
      <c r="AB56" s="1286"/>
      <c r="AC56" s="1286"/>
      <c r="AD56" s="1286"/>
      <c r="AE56" s="1286"/>
      <c r="AF56" s="1286"/>
      <c r="AG56" s="1286"/>
      <c r="AH56" s="1286"/>
      <c r="AI56" s="1286"/>
      <c r="AJ56" s="1286"/>
      <c r="AK56" s="1286"/>
      <c r="AL56" s="1286"/>
      <c r="AM56" s="1286"/>
      <c r="AN56" s="1286"/>
      <c r="AO56" s="1286"/>
      <c r="AP56" s="1286"/>
      <c r="AQ56" s="1286"/>
      <c r="AR56" s="1286"/>
      <c r="AS56" s="1286"/>
      <c r="AT56" s="1286"/>
      <c r="AU56" s="1286"/>
      <c r="AV56" s="1286"/>
      <c r="AW56" s="1286"/>
      <c r="AX56" s="1286"/>
      <c r="AY56" s="1286"/>
      <c r="AZ56" s="1286"/>
      <c r="BA56" s="1286"/>
      <c r="BB56" s="1286"/>
      <c r="BC56" s="1286"/>
      <c r="BD56" s="1286"/>
      <c r="BE56" s="1286"/>
      <c r="BF56" s="1286"/>
      <c r="BG56" s="1286"/>
      <c r="BH56" s="1286"/>
    </row>
    <row r="57" spans="1:60" s="1282" customFormat="1" x14ac:dyDescent="0.3">
      <c r="A57" s="2290">
        <v>51</v>
      </c>
      <c r="B57" s="390" t="s">
        <v>4789</v>
      </c>
      <c r="C57" s="163" t="s">
        <v>4761</v>
      </c>
      <c r="D57" s="164" t="s">
        <v>172</v>
      </c>
      <c r="E57" s="1688" t="s">
        <v>1399</v>
      </c>
      <c r="F57" s="170">
        <v>24612</v>
      </c>
      <c r="G57" s="171">
        <v>8419.7900000000009</v>
      </c>
      <c r="H57" s="1833" t="s">
        <v>4762</v>
      </c>
      <c r="I57" s="352" t="s">
        <v>25</v>
      </c>
      <c r="K57" s="1691"/>
      <c r="L57" s="1566"/>
      <c r="M57" s="390"/>
      <c r="N57" s="1284"/>
      <c r="O57" s="390"/>
      <c r="P57" s="1285"/>
      <c r="Q57" s="352" t="s">
        <v>25</v>
      </c>
      <c r="S57" s="1691"/>
      <c r="T57" s="1566"/>
      <c r="U57" s="390"/>
      <c r="V57" s="1284"/>
      <c r="W57" s="1286"/>
      <c r="X57" s="1286"/>
      <c r="Y57" s="1286"/>
      <c r="Z57" s="1286"/>
      <c r="AA57" s="1286"/>
      <c r="AB57" s="1286"/>
      <c r="AC57" s="1286"/>
      <c r="AD57" s="1286"/>
      <c r="AE57" s="1286"/>
      <c r="AF57" s="1286"/>
      <c r="AG57" s="1286"/>
      <c r="AH57" s="1286"/>
      <c r="AI57" s="1286"/>
      <c r="AJ57" s="1286"/>
      <c r="AK57" s="1286"/>
      <c r="AL57" s="1286"/>
      <c r="AM57" s="1286"/>
      <c r="AN57" s="1286"/>
      <c r="AO57" s="1286"/>
      <c r="AP57" s="1286"/>
      <c r="AQ57" s="1286"/>
      <c r="AR57" s="1286"/>
      <c r="AS57" s="1286"/>
      <c r="AT57" s="1286"/>
      <c r="AU57" s="1286"/>
      <c r="AV57" s="1286"/>
      <c r="AW57" s="1286"/>
      <c r="AX57" s="1286"/>
      <c r="AY57" s="1286"/>
      <c r="AZ57" s="1286"/>
      <c r="BA57" s="1286"/>
      <c r="BB57" s="1286"/>
      <c r="BC57" s="1286"/>
      <c r="BD57" s="1286"/>
      <c r="BE57" s="1286"/>
      <c r="BF57" s="1286"/>
      <c r="BG57" s="1286"/>
      <c r="BH57" s="1286"/>
    </row>
    <row r="58" spans="1:60" s="1282" customFormat="1" x14ac:dyDescent="0.3">
      <c r="A58" s="2290">
        <v>52</v>
      </c>
      <c r="B58" s="390" t="s">
        <v>4789</v>
      </c>
      <c r="C58" s="163" t="s">
        <v>4761</v>
      </c>
      <c r="D58" s="391" t="s">
        <v>172</v>
      </c>
      <c r="E58" s="1688" t="s">
        <v>1400</v>
      </c>
      <c r="F58" s="170">
        <v>24612</v>
      </c>
      <c r="G58" s="171">
        <v>8419.7900000000009</v>
      </c>
      <c r="H58" s="1833" t="s">
        <v>4762</v>
      </c>
      <c r="I58" s="352" t="s">
        <v>25</v>
      </c>
      <c r="K58" s="1691"/>
      <c r="L58" s="1566"/>
      <c r="M58" s="390"/>
      <c r="N58" s="1284"/>
      <c r="O58" s="390"/>
      <c r="P58" s="1285"/>
      <c r="Q58" s="352" t="s">
        <v>25</v>
      </c>
      <c r="S58" s="1691"/>
      <c r="T58" s="1566"/>
      <c r="U58" s="390"/>
      <c r="V58" s="1284"/>
      <c r="W58" s="1286"/>
      <c r="X58" s="1286"/>
      <c r="Y58" s="1286"/>
      <c r="Z58" s="1286"/>
      <c r="AA58" s="1286"/>
      <c r="AB58" s="1286"/>
      <c r="AC58" s="1286"/>
      <c r="AD58" s="1286"/>
      <c r="AE58" s="1286"/>
      <c r="AF58" s="1286"/>
      <c r="AG58" s="1286"/>
      <c r="AH58" s="1286"/>
      <c r="AI58" s="1286"/>
      <c r="AJ58" s="1286"/>
      <c r="AK58" s="1286"/>
      <c r="AL58" s="1286"/>
      <c r="AM58" s="1286"/>
      <c r="AN58" s="1286"/>
      <c r="AO58" s="1286"/>
      <c r="AP58" s="1286"/>
      <c r="AQ58" s="1286"/>
      <c r="AR58" s="1286"/>
      <c r="AS58" s="1286"/>
      <c r="AT58" s="1286"/>
      <c r="AU58" s="1286"/>
      <c r="AV58" s="1286"/>
      <c r="AW58" s="1286"/>
      <c r="AX58" s="1286"/>
      <c r="AY58" s="1286"/>
      <c r="AZ58" s="1286"/>
      <c r="BA58" s="1286"/>
      <c r="BB58" s="1286"/>
      <c r="BC58" s="1286"/>
      <c r="BD58" s="1286"/>
      <c r="BE58" s="1286"/>
      <c r="BF58" s="1286"/>
      <c r="BG58" s="1286"/>
      <c r="BH58" s="1286"/>
    </row>
    <row r="59" spans="1:60" s="1282" customFormat="1" x14ac:dyDescent="0.3">
      <c r="A59" s="2290">
        <v>53</v>
      </c>
      <c r="B59" s="390" t="s">
        <v>4789</v>
      </c>
      <c r="C59" s="163" t="s">
        <v>4761</v>
      </c>
      <c r="D59" s="164" t="s">
        <v>172</v>
      </c>
      <c r="E59" s="1688" t="s">
        <v>1401</v>
      </c>
      <c r="F59" s="170">
        <v>24612</v>
      </c>
      <c r="G59" s="171">
        <v>8419.7900000000009</v>
      </c>
      <c r="H59" s="1833" t="s">
        <v>4762</v>
      </c>
      <c r="I59" s="352" t="s">
        <v>25</v>
      </c>
      <c r="K59" s="1691"/>
      <c r="L59" s="1566"/>
      <c r="M59" s="390"/>
      <c r="N59" s="1284"/>
      <c r="O59" s="390"/>
      <c r="P59" s="1285"/>
      <c r="Q59" s="352" t="s">
        <v>25</v>
      </c>
      <c r="S59" s="1691"/>
      <c r="T59" s="1566"/>
      <c r="U59" s="390"/>
      <c r="V59" s="1284"/>
      <c r="W59" s="1286"/>
      <c r="X59" s="1286"/>
      <c r="Y59" s="1286"/>
      <c r="Z59" s="1286"/>
      <c r="AA59" s="1286"/>
      <c r="AB59" s="1286"/>
      <c r="AC59" s="1286"/>
      <c r="AD59" s="1286"/>
      <c r="AE59" s="1286"/>
      <c r="AF59" s="1286"/>
      <c r="AG59" s="1286"/>
      <c r="AH59" s="1286"/>
      <c r="AI59" s="1286"/>
      <c r="AJ59" s="1286"/>
      <c r="AK59" s="1286"/>
      <c r="AL59" s="1286"/>
      <c r="AM59" s="1286"/>
      <c r="AN59" s="1286"/>
      <c r="AO59" s="1286"/>
      <c r="AP59" s="1286"/>
      <c r="AQ59" s="1286"/>
      <c r="AR59" s="1286"/>
      <c r="AS59" s="1286"/>
      <c r="AT59" s="1286"/>
      <c r="AU59" s="1286"/>
      <c r="AV59" s="1286"/>
      <c r="AW59" s="1286"/>
      <c r="AX59" s="1286"/>
      <c r="AY59" s="1286"/>
      <c r="AZ59" s="1286"/>
      <c r="BA59" s="1286"/>
      <c r="BB59" s="1286"/>
      <c r="BC59" s="1286"/>
      <c r="BD59" s="1286"/>
      <c r="BE59" s="1286"/>
      <c r="BF59" s="1286"/>
      <c r="BG59" s="1286"/>
      <c r="BH59" s="1286"/>
    </row>
    <row r="60" spans="1:60" s="1282" customFormat="1" x14ac:dyDescent="0.3">
      <c r="A60" s="2290">
        <v>54</v>
      </c>
      <c r="B60" s="390" t="s">
        <v>4789</v>
      </c>
      <c r="C60" s="163" t="s">
        <v>4761</v>
      </c>
      <c r="D60" s="164" t="s">
        <v>172</v>
      </c>
      <c r="E60" s="1688" t="s">
        <v>955</v>
      </c>
      <c r="F60" s="170">
        <v>24612</v>
      </c>
      <c r="G60" s="171">
        <v>8419.7900000000009</v>
      </c>
      <c r="H60" s="1833" t="s">
        <v>4762</v>
      </c>
      <c r="I60" s="352" t="s">
        <v>25</v>
      </c>
      <c r="K60" s="1691"/>
      <c r="L60" s="1566"/>
      <c r="M60" s="390"/>
      <c r="N60" s="1284"/>
      <c r="O60" s="390"/>
      <c r="P60" s="1285"/>
      <c r="Q60" s="352" t="s">
        <v>25</v>
      </c>
      <c r="S60" s="1691"/>
      <c r="T60" s="1566"/>
      <c r="U60" s="390"/>
      <c r="V60" s="1284"/>
      <c r="W60" s="1286"/>
      <c r="X60" s="1286"/>
      <c r="Y60" s="1286"/>
      <c r="Z60" s="1286"/>
      <c r="AA60" s="1286"/>
      <c r="AB60" s="1286"/>
      <c r="AC60" s="1286"/>
      <c r="AD60" s="1286"/>
      <c r="AE60" s="1286"/>
      <c r="AF60" s="1286"/>
      <c r="AG60" s="1286"/>
      <c r="AH60" s="1286"/>
      <c r="AI60" s="1286"/>
      <c r="AJ60" s="1286"/>
      <c r="AK60" s="1286"/>
      <c r="AL60" s="1286"/>
      <c r="AM60" s="1286"/>
      <c r="AN60" s="1286"/>
      <c r="AO60" s="1286"/>
      <c r="AP60" s="1286"/>
      <c r="AQ60" s="1286"/>
      <c r="AR60" s="1286"/>
      <c r="AS60" s="1286"/>
      <c r="AT60" s="1286"/>
      <c r="AU60" s="1286"/>
      <c r="AV60" s="1286"/>
      <c r="AW60" s="1286"/>
      <c r="AX60" s="1286"/>
      <c r="AY60" s="1286"/>
      <c r="AZ60" s="1286"/>
      <c r="BA60" s="1286"/>
      <c r="BB60" s="1286"/>
      <c r="BC60" s="1286"/>
      <c r="BD60" s="1286"/>
      <c r="BE60" s="1286"/>
      <c r="BF60" s="1286"/>
      <c r="BG60" s="1286"/>
      <c r="BH60" s="1286"/>
    </row>
    <row r="61" spans="1:60" s="1282" customFormat="1" x14ac:dyDescent="0.3">
      <c r="A61" s="2290">
        <v>55</v>
      </c>
      <c r="B61" s="390" t="s">
        <v>4789</v>
      </c>
      <c r="C61" s="163" t="s">
        <v>4761</v>
      </c>
      <c r="D61" s="391" t="s">
        <v>172</v>
      </c>
      <c r="E61" s="1688" t="s">
        <v>957</v>
      </c>
      <c r="F61" s="170">
        <v>24612</v>
      </c>
      <c r="G61" s="171">
        <v>8419.7900000000009</v>
      </c>
      <c r="H61" s="1833" t="s">
        <v>4762</v>
      </c>
      <c r="I61" s="352" t="s">
        <v>25</v>
      </c>
      <c r="K61" s="1691"/>
      <c r="L61" s="1566"/>
      <c r="M61" s="390"/>
      <c r="N61" s="1284"/>
      <c r="O61" s="390"/>
      <c r="P61" s="1285"/>
      <c r="Q61" s="352" t="s">
        <v>25</v>
      </c>
      <c r="S61" s="1691"/>
      <c r="T61" s="1566"/>
      <c r="U61" s="390"/>
      <c r="V61" s="1284"/>
      <c r="W61" s="1286"/>
      <c r="X61" s="1286"/>
      <c r="Y61" s="1286"/>
      <c r="Z61" s="1286"/>
      <c r="AA61" s="1286"/>
      <c r="AB61" s="1286"/>
      <c r="AC61" s="1286"/>
      <c r="AD61" s="1286"/>
      <c r="AE61" s="1286"/>
      <c r="AF61" s="1286"/>
      <c r="AG61" s="1286"/>
      <c r="AH61" s="1286"/>
      <c r="AI61" s="1286"/>
      <c r="AJ61" s="1286"/>
      <c r="AK61" s="1286"/>
      <c r="AL61" s="1286"/>
      <c r="AM61" s="1286"/>
      <c r="AN61" s="1286"/>
      <c r="AO61" s="1286"/>
      <c r="AP61" s="1286"/>
      <c r="AQ61" s="1286"/>
      <c r="AR61" s="1286"/>
      <c r="AS61" s="1286"/>
      <c r="AT61" s="1286"/>
      <c r="AU61" s="1286"/>
      <c r="AV61" s="1286"/>
      <c r="AW61" s="1286"/>
      <c r="AX61" s="1286"/>
      <c r="AY61" s="1286"/>
      <c r="AZ61" s="1286"/>
      <c r="BA61" s="1286"/>
      <c r="BB61" s="1286"/>
      <c r="BC61" s="1286"/>
      <c r="BD61" s="1286"/>
      <c r="BE61" s="1286"/>
      <c r="BF61" s="1286"/>
      <c r="BG61" s="1286"/>
      <c r="BH61" s="1286"/>
    </row>
    <row r="62" spans="1:60" s="1282" customFormat="1" x14ac:dyDescent="0.3">
      <c r="A62" s="2290">
        <v>56</v>
      </c>
      <c r="B62" s="390" t="s">
        <v>4789</v>
      </c>
      <c r="C62" s="163" t="s">
        <v>4761</v>
      </c>
      <c r="D62" s="164" t="s">
        <v>172</v>
      </c>
      <c r="E62" s="1688" t="s">
        <v>4790</v>
      </c>
      <c r="F62" s="170">
        <v>24612</v>
      </c>
      <c r="G62" s="171">
        <v>8419.7900000000009</v>
      </c>
      <c r="H62" s="1833" t="s">
        <v>4762</v>
      </c>
      <c r="I62" s="352" t="s">
        <v>25</v>
      </c>
      <c r="K62" s="1691"/>
      <c r="L62" s="1566"/>
      <c r="M62" s="390"/>
      <c r="N62" s="1284"/>
      <c r="O62" s="390"/>
      <c r="P62" s="1285"/>
      <c r="Q62" s="352" t="s">
        <v>25</v>
      </c>
      <c r="S62" s="1691"/>
      <c r="T62" s="1566"/>
      <c r="U62" s="390"/>
      <c r="V62" s="1284"/>
      <c r="W62" s="1286"/>
      <c r="X62" s="1286"/>
      <c r="Y62" s="1286"/>
      <c r="Z62" s="1286"/>
      <c r="AA62" s="1286"/>
      <c r="AB62" s="1286"/>
      <c r="AC62" s="1286"/>
      <c r="AD62" s="1286"/>
      <c r="AE62" s="1286"/>
      <c r="AF62" s="1286"/>
      <c r="AG62" s="1286"/>
      <c r="AH62" s="1286"/>
      <c r="AI62" s="1286"/>
      <c r="AJ62" s="1286"/>
      <c r="AK62" s="1286"/>
      <c r="AL62" s="1286"/>
      <c r="AM62" s="1286"/>
      <c r="AN62" s="1286"/>
      <c r="AO62" s="1286"/>
      <c r="AP62" s="1286"/>
      <c r="AQ62" s="1286"/>
      <c r="AR62" s="1286"/>
      <c r="AS62" s="1286"/>
      <c r="AT62" s="1286"/>
      <c r="AU62" s="1286"/>
      <c r="AV62" s="1286"/>
      <c r="AW62" s="1286"/>
      <c r="AX62" s="1286"/>
      <c r="AY62" s="1286"/>
      <c r="AZ62" s="1286"/>
      <c r="BA62" s="1286"/>
      <c r="BB62" s="1286"/>
      <c r="BC62" s="1286"/>
      <c r="BD62" s="1286"/>
      <c r="BE62" s="1286"/>
      <c r="BF62" s="1286"/>
      <c r="BG62" s="1286"/>
      <c r="BH62" s="1286"/>
    </row>
    <row r="63" spans="1:60" s="1282" customFormat="1" x14ac:dyDescent="0.3">
      <c r="A63" s="2290">
        <v>57</v>
      </c>
      <c r="B63" s="390" t="s">
        <v>4789</v>
      </c>
      <c r="C63" s="163" t="s">
        <v>4761</v>
      </c>
      <c r="D63" s="164" t="s">
        <v>172</v>
      </c>
      <c r="E63" s="1688" t="s">
        <v>1402</v>
      </c>
      <c r="F63" s="170">
        <v>24612</v>
      </c>
      <c r="G63" s="171">
        <v>8419.7900000000009</v>
      </c>
      <c r="H63" s="1833" t="s">
        <v>4762</v>
      </c>
      <c r="I63" s="352" t="s">
        <v>25</v>
      </c>
      <c r="K63" s="1691"/>
      <c r="L63" s="1566"/>
      <c r="M63" s="390"/>
      <c r="N63" s="1284"/>
      <c r="O63" s="390"/>
      <c r="P63" s="1285"/>
      <c r="Q63" s="352" t="s">
        <v>25</v>
      </c>
      <c r="S63" s="1691"/>
      <c r="T63" s="1566"/>
      <c r="U63" s="390"/>
      <c r="V63" s="1284"/>
      <c r="W63" s="1286"/>
      <c r="X63" s="1286"/>
      <c r="Y63" s="1286"/>
      <c r="Z63" s="1286"/>
      <c r="AA63" s="1286"/>
      <c r="AB63" s="1286"/>
      <c r="AC63" s="1286"/>
      <c r="AD63" s="1286"/>
      <c r="AE63" s="1286"/>
      <c r="AF63" s="1286"/>
      <c r="AG63" s="1286"/>
      <c r="AH63" s="1286"/>
      <c r="AI63" s="1286"/>
      <c r="AJ63" s="1286"/>
      <c r="AK63" s="1286"/>
      <c r="AL63" s="1286"/>
      <c r="AM63" s="1286"/>
      <c r="AN63" s="1286"/>
      <c r="AO63" s="1286"/>
      <c r="AP63" s="1286"/>
      <c r="AQ63" s="1286"/>
      <c r="AR63" s="1286"/>
      <c r="AS63" s="1286"/>
      <c r="AT63" s="1286"/>
      <c r="AU63" s="1286"/>
      <c r="AV63" s="1286"/>
      <c r="AW63" s="1286"/>
      <c r="AX63" s="1286"/>
      <c r="AY63" s="1286"/>
      <c r="AZ63" s="1286"/>
      <c r="BA63" s="1286"/>
      <c r="BB63" s="1286"/>
      <c r="BC63" s="1286"/>
      <c r="BD63" s="1286"/>
      <c r="BE63" s="1286"/>
      <c r="BF63" s="1286"/>
      <c r="BG63" s="1286"/>
      <c r="BH63" s="1286"/>
    </row>
    <row r="64" spans="1:60" s="1282" customFormat="1" x14ac:dyDescent="0.3">
      <c r="A64" s="2290">
        <v>58</v>
      </c>
      <c r="B64" s="390" t="s">
        <v>4789</v>
      </c>
      <c r="C64" s="163" t="s">
        <v>4761</v>
      </c>
      <c r="D64" s="391" t="s">
        <v>172</v>
      </c>
      <c r="E64" s="1688" t="s">
        <v>959</v>
      </c>
      <c r="F64" s="170">
        <v>24612</v>
      </c>
      <c r="G64" s="171">
        <v>8419.7900000000009</v>
      </c>
      <c r="H64" s="1833" t="s">
        <v>4762</v>
      </c>
      <c r="I64" s="352" t="s">
        <v>25</v>
      </c>
      <c r="K64" s="1691"/>
      <c r="L64" s="1566"/>
      <c r="M64" s="390"/>
      <c r="N64" s="1284"/>
      <c r="O64" s="390"/>
      <c r="P64" s="1285"/>
      <c r="Q64" s="352" t="s">
        <v>25</v>
      </c>
      <c r="S64" s="1691"/>
      <c r="T64" s="1566"/>
      <c r="U64" s="390"/>
      <c r="V64" s="1284"/>
      <c r="W64" s="1286"/>
      <c r="X64" s="1286"/>
      <c r="Y64" s="1286"/>
      <c r="Z64" s="1286"/>
      <c r="AA64" s="1286"/>
      <c r="AB64" s="1286"/>
      <c r="AC64" s="1286"/>
      <c r="AD64" s="1286"/>
      <c r="AE64" s="1286"/>
      <c r="AF64" s="1286"/>
      <c r="AG64" s="1286"/>
      <c r="AH64" s="1286"/>
      <c r="AI64" s="1286"/>
      <c r="AJ64" s="1286"/>
      <c r="AK64" s="1286"/>
      <c r="AL64" s="1286"/>
      <c r="AM64" s="1286"/>
      <c r="AN64" s="1286"/>
      <c r="AO64" s="1286"/>
      <c r="AP64" s="1286"/>
      <c r="AQ64" s="1286"/>
      <c r="AR64" s="1286"/>
      <c r="AS64" s="1286"/>
      <c r="AT64" s="1286"/>
      <c r="AU64" s="1286"/>
      <c r="AV64" s="1286"/>
      <c r="AW64" s="1286"/>
      <c r="AX64" s="1286"/>
      <c r="AY64" s="1286"/>
      <c r="AZ64" s="1286"/>
      <c r="BA64" s="1286"/>
      <c r="BB64" s="1286"/>
      <c r="BC64" s="1286"/>
      <c r="BD64" s="1286"/>
      <c r="BE64" s="1286"/>
      <c r="BF64" s="1286"/>
      <c r="BG64" s="1286"/>
      <c r="BH64" s="1286"/>
    </row>
    <row r="65" spans="1:60" s="1282" customFormat="1" x14ac:dyDescent="0.3">
      <c r="A65" s="2290">
        <v>59</v>
      </c>
      <c r="B65" s="390" t="s">
        <v>4789</v>
      </c>
      <c r="C65" s="163" t="s">
        <v>4761</v>
      </c>
      <c r="D65" s="164" t="s">
        <v>172</v>
      </c>
      <c r="E65" s="1688" t="s">
        <v>962</v>
      </c>
      <c r="F65" s="170">
        <v>24612</v>
      </c>
      <c r="G65" s="171">
        <v>8419.7900000000009</v>
      </c>
      <c r="H65" s="1833" t="s">
        <v>4762</v>
      </c>
      <c r="I65" s="352" t="s">
        <v>25</v>
      </c>
      <c r="K65" s="1691"/>
      <c r="L65" s="1566"/>
      <c r="M65" s="390"/>
      <c r="N65" s="1284"/>
      <c r="O65" s="390"/>
      <c r="P65" s="1285"/>
      <c r="Q65" s="352" t="s">
        <v>25</v>
      </c>
      <c r="S65" s="1691"/>
      <c r="T65" s="1566"/>
      <c r="U65" s="390"/>
      <c r="V65" s="1284"/>
      <c r="W65" s="1286"/>
      <c r="X65" s="1286"/>
      <c r="Y65" s="1286"/>
      <c r="Z65" s="1286"/>
      <c r="AA65" s="1286"/>
      <c r="AB65" s="1286"/>
      <c r="AC65" s="1286"/>
      <c r="AD65" s="1286"/>
      <c r="AE65" s="1286"/>
      <c r="AF65" s="1286"/>
      <c r="AG65" s="1286"/>
      <c r="AH65" s="1286"/>
      <c r="AI65" s="1286"/>
      <c r="AJ65" s="1286"/>
      <c r="AK65" s="1286"/>
      <c r="AL65" s="1286"/>
      <c r="AM65" s="1286"/>
      <c r="AN65" s="1286"/>
      <c r="AO65" s="1286"/>
      <c r="AP65" s="1286"/>
      <c r="AQ65" s="1286"/>
      <c r="AR65" s="1286"/>
      <c r="AS65" s="1286"/>
      <c r="AT65" s="1286"/>
      <c r="AU65" s="1286"/>
      <c r="AV65" s="1286"/>
      <c r="AW65" s="1286"/>
      <c r="AX65" s="1286"/>
      <c r="AY65" s="1286"/>
      <c r="AZ65" s="1286"/>
      <c r="BA65" s="1286"/>
      <c r="BB65" s="1286"/>
      <c r="BC65" s="1286"/>
      <c r="BD65" s="1286"/>
      <c r="BE65" s="1286"/>
      <c r="BF65" s="1286"/>
      <c r="BG65" s="1286"/>
      <c r="BH65" s="1286"/>
    </row>
    <row r="66" spans="1:60" s="1282" customFormat="1" x14ac:dyDescent="0.3">
      <c r="A66" s="2290">
        <v>60</v>
      </c>
      <c r="B66" s="390" t="s">
        <v>4789</v>
      </c>
      <c r="C66" s="163" t="s">
        <v>4761</v>
      </c>
      <c r="D66" s="164" t="s">
        <v>172</v>
      </c>
      <c r="E66" s="1688" t="s">
        <v>4791</v>
      </c>
      <c r="F66" s="170">
        <v>24612</v>
      </c>
      <c r="G66" s="171">
        <v>8419.7900000000009</v>
      </c>
      <c r="H66" s="1833" t="s">
        <v>4762</v>
      </c>
      <c r="I66" s="352" t="s">
        <v>25</v>
      </c>
      <c r="K66" s="1691"/>
      <c r="L66" s="1566"/>
      <c r="M66" s="390"/>
      <c r="N66" s="1284"/>
      <c r="O66" s="390"/>
      <c r="P66" s="1285"/>
      <c r="Q66" s="352" t="s">
        <v>25</v>
      </c>
      <c r="S66" s="1691"/>
      <c r="T66" s="1566"/>
      <c r="U66" s="390"/>
      <c r="V66" s="1284"/>
      <c r="W66" s="1286"/>
      <c r="X66" s="1286"/>
      <c r="Y66" s="1286"/>
      <c r="Z66" s="1286"/>
      <c r="AA66" s="1286"/>
      <c r="AB66" s="1286"/>
      <c r="AC66" s="1286"/>
      <c r="AD66" s="1286"/>
      <c r="AE66" s="1286"/>
      <c r="AF66" s="1286"/>
      <c r="AG66" s="1286"/>
      <c r="AH66" s="1286"/>
      <c r="AI66" s="1286"/>
      <c r="AJ66" s="1286"/>
      <c r="AK66" s="1286"/>
      <c r="AL66" s="1286"/>
      <c r="AM66" s="1286"/>
      <c r="AN66" s="1286"/>
      <c r="AO66" s="1286"/>
      <c r="AP66" s="1286"/>
      <c r="AQ66" s="1286"/>
      <c r="AR66" s="1286"/>
      <c r="AS66" s="1286"/>
      <c r="AT66" s="1286"/>
      <c r="AU66" s="1286"/>
      <c r="AV66" s="1286"/>
      <c r="AW66" s="1286"/>
      <c r="AX66" s="1286"/>
      <c r="AY66" s="1286"/>
      <c r="AZ66" s="1286"/>
      <c r="BA66" s="1286"/>
      <c r="BB66" s="1286"/>
      <c r="BC66" s="1286"/>
      <c r="BD66" s="1286"/>
      <c r="BE66" s="1286"/>
      <c r="BF66" s="1286"/>
      <c r="BG66" s="1286"/>
      <c r="BH66" s="1286"/>
    </row>
    <row r="67" spans="1:60" s="1282" customFormat="1" x14ac:dyDescent="0.3">
      <c r="A67" s="2290">
        <v>61</v>
      </c>
      <c r="B67" s="390" t="s">
        <v>4789</v>
      </c>
      <c r="C67" s="163" t="s">
        <v>4761</v>
      </c>
      <c r="D67" s="391" t="s">
        <v>172</v>
      </c>
      <c r="E67" s="1688" t="s">
        <v>1403</v>
      </c>
      <c r="F67" s="170">
        <v>24612</v>
      </c>
      <c r="G67" s="171">
        <v>8419.7900000000009</v>
      </c>
      <c r="H67" s="1833" t="s">
        <v>4762</v>
      </c>
      <c r="I67" s="352" t="s">
        <v>25</v>
      </c>
      <c r="K67" s="1691"/>
      <c r="L67" s="1566"/>
      <c r="M67" s="390"/>
      <c r="N67" s="1284"/>
      <c r="O67" s="390"/>
      <c r="P67" s="1285"/>
      <c r="Q67" s="352" t="s">
        <v>25</v>
      </c>
      <c r="S67" s="1691"/>
      <c r="T67" s="1566"/>
      <c r="U67" s="390"/>
      <c r="V67" s="1284"/>
      <c r="W67" s="1286"/>
      <c r="X67" s="1286"/>
      <c r="Y67" s="1286"/>
      <c r="Z67" s="1286"/>
      <c r="AA67" s="1286"/>
      <c r="AB67" s="1286"/>
      <c r="AC67" s="1286"/>
      <c r="AD67" s="1286"/>
      <c r="AE67" s="1286"/>
      <c r="AF67" s="1286"/>
      <c r="AG67" s="1286"/>
      <c r="AH67" s="1286"/>
      <c r="AI67" s="1286"/>
      <c r="AJ67" s="1286"/>
      <c r="AK67" s="1286"/>
      <c r="AL67" s="1286"/>
      <c r="AM67" s="1286"/>
      <c r="AN67" s="1286"/>
      <c r="AO67" s="1286"/>
      <c r="AP67" s="1286"/>
      <c r="AQ67" s="1286"/>
      <c r="AR67" s="1286"/>
      <c r="AS67" s="1286"/>
      <c r="AT67" s="1286"/>
      <c r="AU67" s="1286"/>
      <c r="AV67" s="1286"/>
      <c r="AW67" s="1286"/>
      <c r="AX67" s="1286"/>
      <c r="AY67" s="1286"/>
      <c r="AZ67" s="1286"/>
      <c r="BA67" s="1286"/>
      <c r="BB67" s="1286"/>
      <c r="BC67" s="1286"/>
      <c r="BD67" s="1286"/>
      <c r="BE67" s="1286"/>
      <c r="BF67" s="1286"/>
      <c r="BG67" s="1286"/>
      <c r="BH67" s="1286"/>
    </row>
    <row r="68" spans="1:60" s="1282" customFormat="1" x14ac:dyDescent="0.3">
      <c r="A68" s="2290">
        <v>62</v>
      </c>
      <c r="B68" s="390" t="s">
        <v>4789</v>
      </c>
      <c r="C68" s="163" t="s">
        <v>4761</v>
      </c>
      <c r="D68" s="164" t="s">
        <v>172</v>
      </c>
      <c r="E68" s="1688" t="s">
        <v>1404</v>
      </c>
      <c r="F68" s="170">
        <v>24612</v>
      </c>
      <c r="G68" s="171">
        <v>8419.7900000000009</v>
      </c>
      <c r="H68" s="1833" t="s">
        <v>4762</v>
      </c>
      <c r="I68" s="352" t="s">
        <v>25</v>
      </c>
      <c r="K68" s="1691"/>
      <c r="L68" s="1566"/>
      <c r="M68" s="390"/>
      <c r="N68" s="1284"/>
      <c r="O68" s="390"/>
      <c r="P68" s="1285"/>
      <c r="Q68" s="352" t="s">
        <v>25</v>
      </c>
      <c r="S68" s="1691"/>
      <c r="T68" s="1566"/>
      <c r="U68" s="390"/>
      <c r="V68" s="1284"/>
      <c r="W68" s="1286"/>
      <c r="X68" s="1286"/>
      <c r="Y68" s="1286"/>
      <c r="Z68" s="1286"/>
      <c r="AA68" s="1286"/>
      <c r="AB68" s="1286"/>
      <c r="AC68" s="1286"/>
      <c r="AD68" s="1286"/>
      <c r="AE68" s="1286"/>
      <c r="AF68" s="1286"/>
      <c r="AG68" s="1286"/>
      <c r="AH68" s="1286"/>
      <c r="AI68" s="1286"/>
      <c r="AJ68" s="1286"/>
      <c r="AK68" s="1286"/>
      <c r="AL68" s="1286"/>
      <c r="AM68" s="1286"/>
      <c r="AN68" s="1286"/>
      <c r="AO68" s="1286"/>
      <c r="AP68" s="1286"/>
      <c r="AQ68" s="1286"/>
      <c r="AR68" s="1286"/>
      <c r="AS68" s="1286"/>
      <c r="AT68" s="1286"/>
      <c r="AU68" s="1286"/>
      <c r="AV68" s="1286"/>
      <c r="AW68" s="1286"/>
      <c r="AX68" s="1286"/>
      <c r="AY68" s="1286"/>
      <c r="AZ68" s="1286"/>
      <c r="BA68" s="1286"/>
      <c r="BB68" s="1286"/>
      <c r="BC68" s="1286"/>
      <c r="BD68" s="1286"/>
      <c r="BE68" s="1286"/>
      <c r="BF68" s="1286"/>
      <c r="BG68" s="1286"/>
      <c r="BH68" s="1286"/>
    </row>
    <row r="69" spans="1:60" s="1282" customFormat="1" x14ac:dyDescent="0.3">
      <c r="A69" s="2290">
        <v>63</v>
      </c>
      <c r="B69" s="390" t="s">
        <v>4789</v>
      </c>
      <c r="C69" s="163" t="s">
        <v>4761</v>
      </c>
      <c r="D69" s="164" t="s">
        <v>172</v>
      </c>
      <c r="E69" s="1688" t="s">
        <v>1405</v>
      </c>
      <c r="F69" s="170">
        <v>24612</v>
      </c>
      <c r="G69" s="171">
        <v>8419.7900000000009</v>
      </c>
      <c r="H69" s="1833" t="s">
        <v>4762</v>
      </c>
      <c r="I69" s="352" t="s">
        <v>25</v>
      </c>
      <c r="K69" s="1691"/>
      <c r="L69" s="1566"/>
      <c r="M69" s="390"/>
      <c r="N69" s="1284"/>
      <c r="O69" s="390"/>
      <c r="P69" s="1285"/>
      <c r="Q69" s="352" t="s">
        <v>25</v>
      </c>
      <c r="S69" s="1691"/>
      <c r="T69" s="1566"/>
      <c r="U69" s="390"/>
      <c r="V69" s="1284"/>
      <c r="W69" s="1286"/>
      <c r="X69" s="1286"/>
      <c r="Y69" s="1286"/>
      <c r="Z69" s="1286"/>
      <c r="AA69" s="1286"/>
      <c r="AB69" s="1286"/>
      <c r="AC69" s="1286"/>
      <c r="AD69" s="1286"/>
      <c r="AE69" s="1286"/>
      <c r="AF69" s="1286"/>
      <c r="AG69" s="1286"/>
      <c r="AH69" s="1286"/>
      <c r="AI69" s="1286"/>
      <c r="AJ69" s="1286"/>
      <c r="AK69" s="1286"/>
      <c r="AL69" s="1286"/>
      <c r="AM69" s="1286"/>
      <c r="AN69" s="1286"/>
      <c r="AO69" s="1286"/>
      <c r="AP69" s="1286"/>
      <c r="AQ69" s="1286"/>
      <c r="AR69" s="1286"/>
      <c r="AS69" s="1286"/>
      <c r="AT69" s="1286"/>
      <c r="AU69" s="1286"/>
      <c r="AV69" s="1286"/>
      <c r="AW69" s="1286"/>
      <c r="AX69" s="1286"/>
      <c r="AY69" s="1286"/>
      <c r="AZ69" s="1286"/>
      <c r="BA69" s="1286"/>
      <c r="BB69" s="1286"/>
      <c r="BC69" s="1286"/>
      <c r="BD69" s="1286"/>
      <c r="BE69" s="1286"/>
      <c r="BF69" s="1286"/>
      <c r="BG69" s="1286"/>
      <c r="BH69" s="1286"/>
    </row>
    <row r="70" spans="1:60" s="1282" customFormat="1" x14ac:dyDescent="0.3">
      <c r="A70" s="2290">
        <v>64</v>
      </c>
      <c r="B70" s="390" t="s">
        <v>4789</v>
      </c>
      <c r="C70" s="163" t="s">
        <v>4761</v>
      </c>
      <c r="D70" s="391" t="s">
        <v>172</v>
      </c>
      <c r="E70" s="1688" t="s">
        <v>1405</v>
      </c>
      <c r="F70" s="170">
        <v>24612</v>
      </c>
      <c r="G70" s="171">
        <v>8419.7900000000009</v>
      </c>
      <c r="H70" s="1833" t="s">
        <v>4762</v>
      </c>
      <c r="I70" s="352" t="s">
        <v>25</v>
      </c>
      <c r="K70" s="1691"/>
      <c r="L70" s="1566"/>
      <c r="M70" s="390"/>
      <c r="N70" s="1284"/>
      <c r="O70" s="390"/>
      <c r="P70" s="1285"/>
      <c r="Q70" s="352" t="s">
        <v>25</v>
      </c>
      <c r="S70" s="1691"/>
      <c r="T70" s="1566"/>
      <c r="U70" s="390"/>
      <c r="V70" s="1284"/>
      <c r="W70" s="1286"/>
      <c r="X70" s="1286"/>
      <c r="Y70" s="1286"/>
      <c r="Z70" s="1286"/>
      <c r="AA70" s="1286"/>
      <c r="AB70" s="1286"/>
      <c r="AC70" s="1286"/>
      <c r="AD70" s="1286"/>
      <c r="AE70" s="1286"/>
      <c r="AF70" s="1286"/>
      <c r="AG70" s="1286"/>
      <c r="AH70" s="1286"/>
      <c r="AI70" s="1286"/>
      <c r="AJ70" s="1286"/>
      <c r="AK70" s="1286"/>
      <c r="AL70" s="1286"/>
      <c r="AM70" s="1286"/>
      <c r="AN70" s="1286"/>
      <c r="AO70" s="1286"/>
      <c r="AP70" s="1286"/>
      <c r="AQ70" s="1286"/>
      <c r="AR70" s="1286"/>
      <c r="AS70" s="1286"/>
      <c r="AT70" s="1286"/>
      <c r="AU70" s="1286"/>
      <c r="AV70" s="1286"/>
      <c r="AW70" s="1286"/>
      <c r="AX70" s="1286"/>
      <c r="AY70" s="1286"/>
      <c r="AZ70" s="1286"/>
      <c r="BA70" s="1286"/>
      <c r="BB70" s="1286"/>
      <c r="BC70" s="1286"/>
      <c r="BD70" s="1286"/>
      <c r="BE70" s="1286"/>
      <c r="BF70" s="1286"/>
      <c r="BG70" s="1286"/>
      <c r="BH70" s="1286"/>
    </row>
    <row r="71" spans="1:60" s="1282" customFormat="1" x14ac:dyDescent="0.3">
      <c r="A71" s="2290">
        <v>65</v>
      </c>
      <c r="B71" s="390" t="s">
        <v>4789</v>
      </c>
      <c r="C71" s="163" t="s">
        <v>4761</v>
      </c>
      <c r="D71" s="164" t="s">
        <v>172</v>
      </c>
      <c r="E71" s="1688" t="s">
        <v>1407</v>
      </c>
      <c r="F71" s="170">
        <v>24612</v>
      </c>
      <c r="G71" s="171">
        <v>8419.7900000000009</v>
      </c>
      <c r="H71" s="1833" t="s">
        <v>4762</v>
      </c>
      <c r="I71" s="352" t="s">
        <v>25</v>
      </c>
      <c r="K71" s="1691"/>
      <c r="L71" s="1566"/>
      <c r="M71" s="390"/>
      <c r="N71" s="1284"/>
      <c r="O71" s="390"/>
      <c r="P71" s="1285"/>
      <c r="Q71" s="352" t="s">
        <v>25</v>
      </c>
      <c r="S71" s="1691"/>
      <c r="T71" s="1566"/>
      <c r="U71" s="390"/>
      <c r="V71" s="1284"/>
      <c r="W71" s="1286"/>
      <c r="X71" s="1286"/>
      <c r="Y71" s="1286"/>
      <c r="Z71" s="1286"/>
      <c r="AA71" s="1286"/>
      <c r="AB71" s="1286"/>
      <c r="AC71" s="1286"/>
      <c r="AD71" s="1286"/>
      <c r="AE71" s="1286"/>
      <c r="AF71" s="1286"/>
      <c r="AG71" s="1286"/>
      <c r="AH71" s="1286"/>
      <c r="AI71" s="1286"/>
      <c r="AJ71" s="1286"/>
      <c r="AK71" s="1286"/>
      <c r="AL71" s="1286"/>
      <c r="AM71" s="1286"/>
      <c r="AN71" s="1286"/>
      <c r="AO71" s="1286"/>
      <c r="AP71" s="1286"/>
      <c r="AQ71" s="1286"/>
      <c r="AR71" s="1286"/>
      <c r="AS71" s="1286"/>
      <c r="AT71" s="1286"/>
      <c r="AU71" s="1286"/>
      <c r="AV71" s="1286"/>
      <c r="AW71" s="1286"/>
      <c r="AX71" s="1286"/>
      <c r="AY71" s="1286"/>
      <c r="AZ71" s="1286"/>
      <c r="BA71" s="1286"/>
      <c r="BB71" s="1286"/>
      <c r="BC71" s="1286"/>
      <c r="BD71" s="1286"/>
      <c r="BE71" s="1286"/>
      <c r="BF71" s="1286"/>
      <c r="BG71" s="1286"/>
      <c r="BH71" s="1286"/>
    </row>
    <row r="72" spans="1:60" s="1282" customFormat="1" x14ac:dyDescent="0.3">
      <c r="A72" s="2290">
        <v>66</v>
      </c>
      <c r="B72" s="390" t="s">
        <v>4789</v>
      </c>
      <c r="C72" s="163" t="s">
        <v>4761</v>
      </c>
      <c r="D72" s="164" t="s">
        <v>172</v>
      </c>
      <c r="E72" s="1688" t="s">
        <v>1408</v>
      </c>
      <c r="F72" s="170">
        <v>24612</v>
      </c>
      <c r="G72" s="171">
        <v>8419.7900000000009</v>
      </c>
      <c r="H72" s="1833" t="s">
        <v>4762</v>
      </c>
      <c r="I72" s="352" t="s">
        <v>25</v>
      </c>
      <c r="K72" s="1691"/>
      <c r="L72" s="1566"/>
      <c r="M72" s="390"/>
      <c r="N72" s="1284"/>
      <c r="O72" s="390"/>
      <c r="P72" s="1285"/>
      <c r="Q72" s="352" t="s">
        <v>25</v>
      </c>
      <c r="S72" s="1691"/>
      <c r="T72" s="1566"/>
      <c r="U72" s="390"/>
      <c r="V72" s="1284"/>
      <c r="W72" s="1286"/>
      <c r="X72" s="1286"/>
      <c r="Y72" s="1286"/>
      <c r="Z72" s="1286"/>
      <c r="AA72" s="1286"/>
      <c r="AB72" s="1286"/>
      <c r="AC72" s="1286"/>
      <c r="AD72" s="1286"/>
      <c r="AE72" s="1286"/>
      <c r="AF72" s="1286"/>
      <c r="AG72" s="1286"/>
      <c r="AH72" s="1286"/>
      <c r="AI72" s="1286"/>
      <c r="AJ72" s="1286"/>
      <c r="AK72" s="1286"/>
      <c r="AL72" s="1286"/>
      <c r="AM72" s="1286"/>
      <c r="AN72" s="1286"/>
      <c r="AO72" s="1286"/>
      <c r="AP72" s="1286"/>
      <c r="AQ72" s="1286"/>
      <c r="AR72" s="1286"/>
      <c r="AS72" s="1286"/>
      <c r="AT72" s="1286"/>
      <c r="AU72" s="1286"/>
      <c r="AV72" s="1286"/>
      <c r="AW72" s="1286"/>
      <c r="AX72" s="1286"/>
      <c r="AY72" s="1286"/>
      <c r="AZ72" s="1286"/>
      <c r="BA72" s="1286"/>
      <c r="BB72" s="1286"/>
      <c r="BC72" s="1286"/>
      <c r="BD72" s="1286"/>
      <c r="BE72" s="1286"/>
      <c r="BF72" s="1286"/>
      <c r="BG72" s="1286"/>
      <c r="BH72" s="1286"/>
    </row>
    <row r="73" spans="1:60" s="1282" customFormat="1" x14ac:dyDescent="0.3">
      <c r="A73" s="2290">
        <v>67</v>
      </c>
      <c r="B73" s="390" t="s">
        <v>4789</v>
      </c>
      <c r="C73" s="163" t="s">
        <v>4761</v>
      </c>
      <c r="D73" s="391" t="s">
        <v>172</v>
      </c>
      <c r="E73" s="1688" t="s">
        <v>1409</v>
      </c>
      <c r="F73" s="170">
        <v>24612</v>
      </c>
      <c r="G73" s="171">
        <v>8419.7900000000009</v>
      </c>
      <c r="H73" s="1833" t="s">
        <v>4762</v>
      </c>
      <c r="I73" s="352" t="s">
        <v>25</v>
      </c>
      <c r="K73" s="1691"/>
      <c r="L73" s="1566"/>
      <c r="M73" s="390"/>
      <c r="N73" s="1284"/>
      <c r="O73" s="390"/>
      <c r="P73" s="1285"/>
      <c r="Q73" s="352" t="s">
        <v>25</v>
      </c>
      <c r="S73" s="1691"/>
      <c r="T73" s="1566"/>
      <c r="U73" s="390"/>
      <c r="V73" s="1284"/>
      <c r="W73" s="1286"/>
      <c r="X73" s="1286"/>
      <c r="Y73" s="1286"/>
      <c r="Z73" s="1286"/>
      <c r="AA73" s="1286"/>
      <c r="AB73" s="1286"/>
      <c r="AC73" s="1286"/>
      <c r="AD73" s="1286"/>
      <c r="AE73" s="1286"/>
      <c r="AF73" s="1286"/>
      <c r="AG73" s="1286"/>
      <c r="AH73" s="1286"/>
      <c r="AI73" s="1286"/>
      <c r="AJ73" s="1286"/>
      <c r="AK73" s="1286"/>
      <c r="AL73" s="1286"/>
      <c r="AM73" s="1286"/>
      <c r="AN73" s="1286"/>
      <c r="AO73" s="1286"/>
      <c r="AP73" s="1286"/>
      <c r="AQ73" s="1286"/>
      <c r="AR73" s="1286"/>
      <c r="AS73" s="1286"/>
      <c r="AT73" s="1286"/>
      <c r="AU73" s="1286"/>
      <c r="AV73" s="1286"/>
      <c r="AW73" s="1286"/>
      <c r="AX73" s="1286"/>
      <c r="AY73" s="1286"/>
      <c r="AZ73" s="1286"/>
      <c r="BA73" s="1286"/>
      <c r="BB73" s="1286"/>
      <c r="BC73" s="1286"/>
      <c r="BD73" s="1286"/>
      <c r="BE73" s="1286"/>
      <c r="BF73" s="1286"/>
      <c r="BG73" s="1286"/>
      <c r="BH73" s="1286"/>
    </row>
    <row r="74" spans="1:60" s="1282" customFormat="1" x14ac:dyDescent="0.3">
      <c r="A74" s="2290">
        <v>68</v>
      </c>
      <c r="B74" s="390" t="s">
        <v>4789</v>
      </c>
      <c r="C74" s="163" t="s">
        <v>4761</v>
      </c>
      <c r="D74" s="164" t="s">
        <v>172</v>
      </c>
      <c r="E74" s="1688" t="s">
        <v>1410</v>
      </c>
      <c r="F74" s="170">
        <v>24612</v>
      </c>
      <c r="G74" s="171">
        <v>8419.7900000000009</v>
      </c>
      <c r="H74" s="1833" t="s">
        <v>4762</v>
      </c>
      <c r="I74" s="352" t="s">
        <v>25</v>
      </c>
      <c r="K74" s="1691"/>
      <c r="L74" s="1566"/>
      <c r="M74" s="390"/>
      <c r="N74" s="1284"/>
      <c r="O74" s="390"/>
      <c r="P74" s="1285"/>
      <c r="Q74" s="352" t="s">
        <v>25</v>
      </c>
      <c r="S74" s="1691"/>
      <c r="T74" s="1566"/>
      <c r="U74" s="390"/>
      <c r="V74" s="1284"/>
      <c r="W74" s="1286"/>
      <c r="X74" s="1286"/>
      <c r="Y74" s="1286"/>
      <c r="Z74" s="1286"/>
      <c r="AA74" s="1286"/>
      <c r="AB74" s="1286"/>
      <c r="AC74" s="1286"/>
      <c r="AD74" s="1286"/>
      <c r="AE74" s="1286"/>
      <c r="AF74" s="1286"/>
      <c r="AG74" s="1286"/>
      <c r="AH74" s="1286"/>
      <c r="AI74" s="1286"/>
      <c r="AJ74" s="1286"/>
      <c r="AK74" s="1286"/>
      <c r="AL74" s="1286"/>
      <c r="AM74" s="1286"/>
      <c r="AN74" s="1286"/>
      <c r="AO74" s="1286"/>
      <c r="AP74" s="1286"/>
      <c r="AQ74" s="1286"/>
      <c r="AR74" s="1286"/>
      <c r="AS74" s="1286"/>
      <c r="AT74" s="1286"/>
      <c r="AU74" s="1286"/>
      <c r="AV74" s="1286"/>
      <c r="AW74" s="1286"/>
      <c r="AX74" s="1286"/>
      <c r="AY74" s="1286"/>
      <c r="AZ74" s="1286"/>
      <c r="BA74" s="1286"/>
      <c r="BB74" s="1286"/>
      <c r="BC74" s="1286"/>
      <c r="BD74" s="1286"/>
      <c r="BE74" s="1286"/>
      <c r="BF74" s="1286"/>
      <c r="BG74" s="1286"/>
      <c r="BH74" s="1286"/>
    </row>
    <row r="75" spans="1:60" s="1282" customFormat="1" x14ac:dyDescent="0.3">
      <c r="A75" s="2290">
        <v>69</v>
      </c>
      <c r="B75" s="390" t="s">
        <v>4789</v>
      </c>
      <c r="C75" s="163" t="s">
        <v>4761</v>
      </c>
      <c r="D75" s="164" t="s">
        <v>172</v>
      </c>
      <c r="E75" s="1688" t="s">
        <v>39</v>
      </c>
      <c r="F75" s="170">
        <v>24612</v>
      </c>
      <c r="G75" s="171">
        <v>8419.7900000000009</v>
      </c>
      <c r="H75" s="1833" t="s">
        <v>4762</v>
      </c>
      <c r="I75" s="352" t="s">
        <v>25</v>
      </c>
      <c r="K75" s="1691"/>
      <c r="L75" s="1566"/>
      <c r="M75" s="390"/>
      <c r="N75" s="1284"/>
      <c r="O75" s="390"/>
      <c r="P75" s="1285"/>
      <c r="Q75" s="352" t="s">
        <v>25</v>
      </c>
      <c r="S75" s="1691"/>
      <c r="T75" s="1566"/>
      <c r="U75" s="390"/>
      <c r="V75" s="1284"/>
      <c r="W75" s="1286"/>
      <c r="X75" s="1286"/>
      <c r="Y75" s="1286"/>
      <c r="Z75" s="1286"/>
      <c r="AA75" s="1286"/>
      <c r="AB75" s="1286"/>
      <c r="AC75" s="1286"/>
      <c r="AD75" s="1286"/>
      <c r="AE75" s="1286"/>
      <c r="AF75" s="1286"/>
      <c r="AG75" s="1286"/>
      <c r="AH75" s="1286"/>
      <c r="AI75" s="1286"/>
      <c r="AJ75" s="1286"/>
      <c r="AK75" s="1286"/>
      <c r="AL75" s="1286"/>
      <c r="AM75" s="1286"/>
      <c r="AN75" s="1286"/>
      <c r="AO75" s="1286"/>
      <c r="AP75" s="1286"/>
      <c r="AQ75" s="1286"/>
      <c r="AR75" s="1286"/>
      <c r="AS75" s="1286"/>
      <c r="AT75" s="1286"/>
      <c r="AU75" s="1286"/>
      <c r="AV75" s="1286"/>
      <c r="AW75" s="1286"/>
      <c r="AX75" s="1286"/>
      <c r="AY75" s="1286"/>
      <c r="AZ75" s="1286"/>
      <c r="BA75" s="1286"/>
      <c r="BB75" s="1286"/>
      <c r="BC75" s="1286"/>
      <c r="BD75" s="1286"/>
      <c r="BE75" s="1286"/>
      <c r="BF75" s="1286"/>
      <c r="BG75" s="1286"/>
      <c r="BH75" s="1286"/>
    </row>
    <row r="76" spans="1:60" s="1282" customFormat="1" x14ac:dyDescent="0.3">
      <c r="A76" s="2290">
        <v>70</v>
      </c>
      <c r="B76" s="390" t="s">
        <v>4789</v>
      </c>
      <c r="C76" s="163" t="s">
        <v>4761</v>
      </c>
      <c r="D76" s="391" t="s">
        <v>172</v>
      </c>
      <c r="E76" s="1688" t="s">
        <v>42</v>
      </c>
      <c r="F76" s="170">
        <v>24612</v>
      </c>
      <c r="G76" s="171">
        <v>8419.7900000000009</v>
      </c>
      <c r="H76" s="1833" t="s">
        <v>4762</v>
      </c>
      <c r="I76" s="352" t="s">
        <v>25</v>
      </c>
      <c r="K76" s="1691"/>
      <c r="L76" s="1566"/>
      <c r="M76" s="390"/>
      <c r="N76" s="1284"/>
      <c r="O76" s="390"/>
      <c r="P76" s="1285"/>
      <c r="Q76" s="352" t="s">
        <v>25</v>
      </c>
      <c r="S76" s="1691"/>
      <c r="T76" s="1566"/>
      <c r="U76" s="390"/>
      <c r="V76" s="1284"/>
      <c r="W76" s="1286"/>
      <c r="X76" s="1286"/>
      <c r="Y76" s="1286"/>
      <c r="Z76" s="1286"/>
      <c r="AA76" s="1286"/>
      <c r="AB76" s="1286"/>
      <c r="AC76" s="1286"/>
      <c r="AD76" s="1286"/>
      <c r="AE76" s="1286"/>
      <c r="AF76" s="1286"/>
      <c r="AG76" s="1286"/>
      <c r="AH76" s="1286"/>
      <c r="AI76" s="1286"/>
      <c r="AJ76" s="1286"/>
      <c r="AK76" s="1286"/>
      <c r="AL76" s="1286"/>
      <c r="AM76" s="1286"/>
      <c r="AN76" s="1286"/>
      <c r="AO76" s="1286"/>
      <c r="AP76" s="1286"/>
      <c r="AQ76" s="1286"/>
      <c r="AR76" s="1286"/>
      <c r="AS76" s="1286"/>
      <c r="AT76" s="1286"/>
      <c r="AU76" s="1286"/>
      <c r="AV76" s="1286"/>
      <c r="AW76" s="1286"/>
      <c r="AX76" s="1286"/>
      <c r="AY76" s="1286"/>
      <c r="AZ76" s="1286"/>
      <c r="BA76" s="1286"/>
      <c r="BB76" s="1286"/>
      <c r="BC76" s="1286"/>
      <c r="BD76" s="1286"/>
      <c r="BE76" s="1286"/>
      <c r="BF76" s="1286"/>
      <c r="BG76" s="1286"/>
      <c r="BH76" s="1286"/>
    </row>
    <row r="77" spans="1:60" s="1282" customFormat="1" x14ac:dyDescent="0.3">
      <c r="A77" s="2290">
        <v>71</v>
      </c>
      <c r="B77" s="390" t="s">
        <v>4789</v>
      </c>
      <c r="C77" s="163" t="s">
        <v>4761</v>
      </c>
      <c r="D77" s="164" t="s">
        <v>172</v>
      </c>
      <c r="E77" s="1688" t="s">
        <v>43</v>
      </c>
      <c r="F77" s="170">
        <v>24612</v>
      </c>
      <c r="G77" s="171">
        <v>8419.7900000000009</v>
      </c>
      <c r="H77" s="1833" t="s">
        <v>4762</v>
      </c>
      <c r="I77" s="352" t="s">
        <v>25</v>
      </c>
      <c r="K77" s="1691"/>
      <c r="L77" s="1566"/>
      <c r="M77" s="390"/>
      <c r="N77" s="1284"/>
      <c r="O77" s="390"/>
      <c r="P77" s="1285"/>
      <c r="Q77" s="352" t="s">
        <v>25</v>
      </c>
      <c r="S77" s="1691"/>
      <c r="T77" s="1566"/>
      <c r="U77" s="390"/>
      <c r="V77" s="1284"/>
      <c r="W77" s="1286"/>
      <c r="X77" s="1286"/>
      <c r="Y77" s="1286"/>
      <c r="Z77" s="1286"/>
      <c r="AA77" s="1286"/>
      <c r="AB77" s="1286"/>
      <c r="AC77" s="1286"/>
      <c r="AD77" s="1286"/>
      <c r="AE77" s="1286"/>
      <c r="AF77" s="1286"/>
      <c r="AG77" s="1286"/>
      <c r="AH77" s="1286"/>
      <c r="AI77" s="1286"/>
      <c r="AJ77" s="1286"/>
      <c r="AK77" s="1286"/>
      <c r="AL77" s="1286"/>
      <c r="AM77" s="1286"/>
      <c r="AN77" s="1286"/>
      <c r="AO77" s="1286"/>
      <c r="AP77" s="1286"/>
      <c r="AQ77" s="1286"/>
      <c r="AR77" s="1286"/>
      <c r="AS77" s="1286"/>
      <c r="AT77" s="1286"/>
      <c r="AU77" s="1286"/>
      <c r="AV77" s="1286"/>
      <c r="AW77" s="1286"/>
      <c r="AX77" s="1286"/>
      <c r="AY77" s="1286"/>
      <c r="AZ77" s="1286"/>
      <c r="BA77" s="1286"/>
      <c r="BB77" s="1286"/>
      <c r="BC77" s="1286"/>
      <c r="BD77" s="1286"/>
      <c r="BE77" s="1286"/>
      <c r="BF77" s="1286"/>
      <c r="BG77" s="1286"/>
      <c r="BH77" s="1286"/>
    </row>
    <row r="78" spans="1:60" s="1282" customFormat="1" x14ac:dyDescent="0.3">
      <c r="A78" s="2290">
        <v>72</v>
      </c>
      <c r="B78" s="390" t="s">
        <v>4789</v>
      </c>
      <c r="C78" s="163" t="s">
        <v>4761</v>
      </c>
      <c r="D78" s="164" t="s">
        <v>172</v>
      </c>
      <c r="E78" s="1688" t="s">
        <v>44</v>
      </c>
      <c r="F78" s="170">
        <v>24612</v>
      </c>
      <c r="G78" s="171">
        <v>8419.7900000000009</v>
      </c>
      <c r="H78" s="1833" t="s">
        <v>4762</v>
      </c>
      <c r="I78" s="352" t="s">
        <v>25</v>
      </c>
      <c r="K78" s="1691"/>
      <c r="L78" s="1566"/>
      <c r="M78" s="390"/>
      <c r="N78" s="1284"/>
      <c r="O78" s="390"/>
      <c r="P78" s="1285"/>
      <c r="Q78" s="352" t="s">
        <v>25</v>
      </c>
      <c r="S78" s="1691"/>
      <c r="T78" s="1566"/>
      <c r="U78" s="390"/>
      <c r="V78" s="1284"/>
      <c r="W78" s="1286"/>
      <c r="X78" s="1286"/>
      <c r="Y78" s="1286"/>
      <c r="Z78" s="1286"/>
      <c r="AA78" s="1286"/>
      <c r="AB78" s="1286"/>
      <c r="AC78" s="1286"/>
      <c r="AD78" s="1286"/>
      <c r="AE78" s="1286"/>
      <c r="AF78" s="1286"/>
      <c r="AG78" s="1286"/>
      <c r="AH78" s="1286"/>
      <c r="AI78" s="1286"/>
      <c r="AJ78" s="1286"/>
      <c r="AK78" s="1286"/>
      <c r="AL78" s="1286"/>
      <c r="AM78" s="1286"/>
      <c r="AN78" s="1286"/>
      <c r="AO78" s="1286"/>
      <c r="AP78" s="1286"/>
      <c r="AQ78" s="1286"/>
      <c r="AR78" s="1286"/>
      <c r="AS78" s="1286"/>
      <c r="AT78" s="1286"/>
      <c r="AU78" s="1286"/>
      <c r="AV78" s="1286"/>
      <c r="AW78" s="1286"/>
      <c r="AX78" s="1286"/>
      <c r="AY78" s="1286"/>
      <c r="AZ78" s="1286"/>
      <c r="BA78" s="1286"/>
      <c r="BB78" s="1286"/>
      <c r="BC78" s="1286"/>
      <c r="BD78" s="1286"/>
      <c r="BE78" s="1286"/>
      <c r="BF78" s="1286"/>
      <c r="BG78" s="1286"/>
      <c r="BH78" s="1286"/>
    </row>
    <row r="79" spans="1:60" s="1282" customFormat="1" x14ac:dyDescent="0.3">
      <c r="A79" s="2290">
        <v>73</v>
      </c>
      <c r="B79" s="390" t="s">
        <v>4789</v>
      </c>
      <c r="C79" s="163" t="s">
        <v>4761</v>
      </c>
      <c r="D79" s="391" t="s">
        <v>172</v>
      </c>
      <c r="E79" s="1688" t="s">
        <v>45</v>
      </c>
      <c r="F79" s="170">
        <v>24612</v>
      </c>
      <c r="G79" s="171">
        <v>8419.7900000000009</v>
      </c>
      <c r="H79" s="1833" t="s">
        <v>4762</v>
      </c>
      <c r="I79" s="352" t="s">
        <v>25</v>
      </c>
      <c r="K79" s="1691"/>
      <c r="L79" s="1566"/>
      <c r="M79" s="390"/>
      <c r="N79" s="1284"/>
      <c r="O79" s="390"/>
      <c r="P79" s="1285"/>
      <c r="Q79" s="352" t="s">
        <v>25</v>
      </c>
      <c r="S79" s="1691"/>
      <c r="T79" s="1566"/>
      <c r="U79" s="390"/>
      <c r="V79" s="1284"/>
      <c r="W79" s="1286"/>
      <c r="X79" s="1286"/>
      <c r="Y79" s="1286"/>
      <c r="Z79" s="1286"/>
      <c r="AA79" s="1286"/>
      <c r="AB79" s="1286"/>
      <c r="AC79" s="1286"/>
      <c r="AD79" s="1286"/>
      <c r="AE79" s="1286"/>
      <c r="AF79" s="1286"/>
      <c r="AG79" s="1286"/>
      <c r="AH79" s="1286"/>
      <c r="AI79" s="1286"/>
      <c r="AJ79" s="1286"/>
      <c r="AK79" s="1286"/>
      <c r="AL79" s="1286"/>
      <c r="AM79" s="1286"/>
      <c r="AN79" s="1286"/>
      <c r="AO79" s="1286"/>
      <c r="AP79" s="1286"/>
      <c r="AQ79" s="1286"/>
      <c r="AR79" s="1286"/>
      <c r="AS79" s="1286"/>
      <c r="AT79" s="1286"/>
      <c r="AU79" s="1286"/>
      <c r="AV79" s="1286"/>
      <c r="AW79" s="1286"/>
      <c r="AX79" s="1286"/>
      <c r="AY79" s="1286"/>
      <c r="AZ79" s="1286"/>
      <c r="BA79" s="1286"/>
      <c r="BB79" s="1286"/>
      <c r="BC79" s="1286"/>
      <c r="BD79" s="1286"/>
      <c r="BE79" s="1286"/>
      <c r="BF79" s="1286"/>
      <c r="BG79" s="1286"/>
      <c r="BH79" s="1286"/>
    </row>
    <row r="80" spans="1:60" s="1282" customFormat="1" x14ac:dyDescent="0.3">
      <c r="A80" s="2290">
        <v>74</v>
      </c>
      <c r="B80" s="390" t="s">
        <v>4789</v>
      </c>
      <c r="C80" s="163" t="s">
        <v>4761</v>
      </c>
      <c r="D80" s="164" t="s">
        <v>172</v>
      </c>
      <c r="E80" s="1688" t="s">
        <v>46</v>
      </c>
      <c r="F80" s="170">
        <v>24612</v>
      </c>
      <c r="G80" s="171">
        <v>8419.7900000000009</v>
      </c>
      <c r="H80" s="1833" t="s">
        <v>4762</v>
      </c>
      <c r="I80" s="352" t="s">
        <v>25</v>
      </c>
      <c r="K80" s="1691"/>
      <c r="L80" s="1566"/>
      <c r="M80" s="390"/>
      <c r="N80" s="1284"/>
      <c r="O80" s="390"/>
      <c r="P80" s="1285"/>
      <c r="Q80" s="352" t="s">
        <v>25</v>
      </c>
      <c r="S80" s="1691"/>
      <c r="T80" s="1566"/>
      <c r="U80" s="390"/>
      <c r="V80" s="1284"/>
      <c r="W80" s="1286"/>
      <c r="X80" s="1286"/>
      <c r="Y80" s="1286"/>
      <c r="Z80" s="1286"/>
      <c r="AA80" s="1286"/>
      <c r="AB80" s="1286"/>
      <c r="AC80" s="1286"/>
      <c r="AD80" s="1286"/>
      <c r="AE80" s="1286"/>
      <c r="AF80" s="1286"/>
      <c r="AG80" s="1286"/>
      <c r="AH80" s="1286"/>
      <c r="AI80" s="1286"/>
      <c r="AJ80" s="1286"/>
      <c r="AK80" s="1286"/>
      <c r="AL80" s="1286"/>
      <c r="AM80" s="1286"/>
      <c r="AN80" s="1286"/>
      <c r="AO80" s="1286"/>
      <c r="AP80" s="1286"/>
      <c r="AQ80" s="1286"/>
      <c r="AR80" s="1286"/>
      <c r="AS80" s="1286"/>
      <c r="AT80" s="1286"/>
      <c r="AU80" s="1286"/>
      <c r="AV80" s="1286"/>
      <c r="AW80" s="1286"/>
      <c r="AX80" s="1286"/>
      <c r="AY80" s="1286"/>
      <c r="AZ80" s="1286"/>
      <c r="BA80" s="1286"/>
      <c r="BB80" s="1286"/>
      <c r="BC80" s="1286"/>
      <c r="BD80" s="1286"/>
      <c r="BE80" s="1286"/>
      <c r="BF80" s="1286"/>
      <c r="BG80" s="1286"/>
      <c r="BH80" s="1286"/>
    </row>
    <row r="81" spans="1:60" s="1282" customFormat="1" x14ac:dyDescent="0.3">
      <c r="A81" s="2290">
        <v>75</v>
      </c>
      <c r="B81" s="390" t="s">
        <v>4789</v>
      </c>
      <c r="C81" s="163" t="s">
        <v>4761</v>
      </c>
      <c r="D81" s="164" t="s">
        <v>172</v>
      </c>
      <c r="E81" s="1688" t="s">
        <v>47</v>
      </c>
      <c r="F81" s="170">
        <v>24612</v>
      </c>
      <c r="G81" s="171">
        <v>8419.7900000000009</v>
      </c>
      <c r="H81" s="1833" t="s">
        <v>4762</v>
      </c>
      <c r="I81" s="352" t="s">
        <v>25</v>
      </c>
      <c r="K81" s="1691"/>
      <c r="L81" s="1566"/>
      <c r="M81" s="390"/>
      <c r="N81" s="1284"/>
      <c r="O81" s="390"/>
      <c r="P81" s="1285"/>
      <c r="Q81" s="352" t="s">
        <v>25</v>
      </c>
      <c r="S81" s="1691"/>
      <c r="T81" s="1566"/>
      <c r="U81" s="390"/>
      <c r="V81" s="1284"/>
      <c r="W81" s="1286"/>
      <c r="X81" s="1286"/>
      <c r="Y81" s="1286"/>
      <c r="Z81" s="1286"/>
      <c r="AA81" s="1286"/>
      <c r="AB81" s="1286"/>
      <c r="AC81" s="1286"/>
      <c r="AD81" s="1286"/>
      <c r="AE81" s="1286"/>
      <c r="AF81" s="1286"/>
      <c r="AG81" s="1286"/>
      <c r="AH81" s="1286"/>
      <c r="AI81" s="1286"/>
      <c r="AJ81" s="1286"/>
      <c r="AK81" s="1286"/>
      <c r="AL81" s="1286"/>
      <c r="AM81" s="1286"/>
      <c r="AN81" s="1286"/>
      <c r="AO81" s="1286"/>
      <c r="AP81" s="1286"/>
      <c r="AQ81" s="1286"/>
      <c r="AR81" s="1286"/>
      <c r="AS81" s="1286"/>
      <c r="AT81" s="1286"/>
      <c r="AU81" s="1286"/>
      <c r="AV81" s="1286"/>
      <c r="AW81" s="1286"/>
      <c r="AX81" s="1286"/>
      <c r="AY81" s="1286"/>
      <c r="AZ81" s="1286"/>
      <c r="BA81" s="1286"/>
      <c r="BB81" s="1286"/>
      <c r="BC81" s="1286"/>
      <c r="BD81" s="1286"/>
      <c r="BE81" s="1286"/>
      <c r="BF81" s="1286"/>
      <c r="BG81" s="1286"/>
      <c r="BH81" s="1286"/>
    </row>
    <row r="82" spans="1:60" s="1282" customFormat="1" x14ac:dyDescent="0.3">
      <c r="A82" s="2290">
        <v>76</v>
      </c>
      <c r="B82" s="390" t="s">
        <v>4792</v>
      </c>
      <c r="C82" s="163" t="s">
        <v>4761</v>
      </c>
      <c r="D82" s="164" t="s">
        <v>172</v>
      </c>
      <c r="E82" s="1701" t="s">
        <v>71</v>
      </c>
      <c r="F82" s="170">
        <v>24612</v>
      </c>
      <c r="G82" s="1177">
        <v>11744.76</v>
      </c>
      <c r="H82" s="1833" t="s">
        <v>4762</v>
      </c>
      <c r="I82" s="352" t="s">
        <v>25</v>
      </c>
      <c r="K82" s="1691"/>
      <c r="L82" s="1566"/>
      <c r="M82" s="390"/>
      <c r="N82" s="1284"/>
      <c r="O82" s="390"/>
      <c r="P82" s="1285"/>
      <c r="Q82" s="352" t="s">
        <v>25</v>
      </c>
      <c r="S82" s="1691"/>
      <c r="T82" s="1566"/>
      <c r="U82" s="390"/>
      <c r="V82" s="1284"/>
      <c r="W82" s="1286"/>
      <c r="X82" s="1286"/>
      <c r="Y82" s="1286"/>
      <c r="Z82" s="1286"/>
      <c r="AA82" s="1286"/>
      <c r="AB82" s="1286"/>
      <c r="AC82" s="1286"/>
      <c r="AD82" s="1286"/>
      <c r="AE82" s="1286"/>
      <c r="AF82" s="1286"/>
      <c r="AG82" s="1286"/>
      <c r="AH82" s="1286"/>
      <c r="AI82" s="1286"/>
      <c r="AJ82" s="1286"/>
      <c r="AK82" s="1286"/>
      <c r="AL82" s="1286"/>
      <c r="AM82" s="1286"/>
      <c r="AN82" s="1286"/>
      <c r="AO82" s="1286"/>
      <c r="AP82" s="1286"/>
      <c r="AQ82" s="1286"/>
      <c r="AR82" s="1286"/>
      <c r="AS82" s="1286"/>
      <c r="AT82" s="1286"/>
      <c r="AU82" s="1286"/>
      <c r="AV82" s="1286"/>
      <c r="AW82" s="1286"/>
      <c r="AX82" s="1286"/>
      <c r="AY82" s="1286"/>
      <c r="AZ82" s="1286"/>
      <c r="BA82" s="1286"/>
      <c r="BB82" s="1286"/>
      <c r="BC82" s="1286"/>
      <c r="BD82" s="1286"/>
      <c r="BE82" s="1286"/>
      <c r="BF82" s="1286"/>
      <c r="BG82" s="1286"/>
      <c r="BH82" s="1286"/>
    </row>
    <row r="83" spans="1:60" s="1282" customFormat="1" x14ac:dyDescent="0.3">
      <c r="A83" s="2290">
        <v>77</v>
      </c>
      <c r="B83" s="390" t="s">
        <v>4792</v>
      </c>
      <c r="C83" s="163" t="s">
        <v>4761</v>
      </c>
      <c r="D83" s="164" t="s">
        <v>172</v>
      </c>
      <c r="E83" s="1688" t="s">
        <v>72</v>
      </c>
      <c r="F83" s="170">
        <v>24612</v>
      </c>
      <c r="G83" s="1177">
        <v>11744.76</v>
      </c>
      <c r="H83" s="1833" t="s">
        <v>4762</v>
      </c>
      <c r="I83" s="352" t="s">
        <v>25</v>
      </c>
      <c r="K83" s="1691"/>
      <c r="L83" s="1566"/>
      <c r="M83" s="390"/>
      <c r="N83" s="1284"/>
      <c r="O83" s="390"/>
      <c r="P83" s="1285"/>
      <c r="Q83" s="352" t="s">
        <v>25</v>
      </c>
      <c r="S83" s="1691"/>
      <c r="T83" s="1566"/>
      <c r="U83" s="390"/>
      <c r="V83" s="1284"/>
      <c r="W83" s="1286"/>
      <c r="X83" s="1286"/>
      <c r="Y83" s="1286"/>
      <c r="Z83" s="1286"/>
      <c r="AA83" s="1286"/>
      <c r="AB83" s="1286"/>
      <c r="AC83" s="1286"/>
      <c r="AD83" s="1286"/>
      <c r="AE83" s="1286"/>
      <c r="AF83" s="1286"/>
      <c r="AG83" s="1286"/>
      <c r="AH83" s="1286"/>
      <c r="AI83" s="1286"/>
      <c r="AJ83" s="1286"/>
      <c r="AK83" s="1286"/>
      <c r="AL83" s="1286"/>
      <c r="AM83" s="1286"/>
      <c r="AN83" s="1286"/>
      <c r="AO83" s="1286"/>
      <c r="AP83" s="1286"/>
      <c r="AQ83" s="1286"/>
      <c r="AR83" s="1286"/>
      <c r="AS83" s="1286"/>
      <c r="AT83" s="1286"/>
      <c r="AU83" s="1286"/>
      <c r="AV83" s="1286"/>
      <c r="AW83" s="1286"/>
      <c r="AX83" s="1286"/>
      <c r="AY83" s="1286"/>
      <c r="AZ83" s="1286"/>
      <c r="BA83" s="1286"/>
      <c r="BB83" s="1286"/>
      <c r="BC83" s="1286"/>
      <c r="BD83" s="1286"/>
      <c r="BE83" s="1286"/>
      <c r="BF83" s="1286"/>
      <c r="BG83" s="1286"/>
      <c r="BH83" s="1286"/>
    </row>
    <row r="84" spans="1:60" s="1282" customFormat="1" x14ac:dyDescent="0.3">
      <c r="A84" s="2290">
        <v>78</v>
      </c>
      <c r="B84" s="390" t="s">
        <v>4792</v>
      </c>
      <c r="C84" s="163" t="s">
        <v>4761</v>
      </c>
      <c r="D84" s="164" t="s">
        <v>172</v>
      </c>
      <c r="E84" s="1688" t="s">
        <v>73</v>
      </c>
      <c r="F84" s="170">
        <v>24612</v>
      </c>
      <c r="G84" s="1177">
        <v>11744.76</v>
      </c>
      <c r="H84" s="1833" t="s">
        <v>4762</v>
      </c>
      <c r="I84" s="352" t="s">
        <v>25</v>
      </c>
      <c r="K84" s="1691"/>
      <c r="L84" s="1566"/>
      <c r="M84" s="390"/>
      <c r="N84" s="1284"/>
      <c r="O84" s="390"/>
      <c r="P84" s="1285"/>
      <c r="Q84" s="352" t="s">
        <v>25</v>
      </c>
      <c r="S84" s="1691"/>
      <c r="T84" s="1566"/>
      <c r="U84" s="390"/>
      <c r="V84" s="1284"/>
      <c r="W84" s="1286"/>
      <c r="X84" s="1286"/>
      <c r="Y84" s="1286"/>
      <c r="Z84" s="1286"/>
      <c r="AA84" s="1286"/>
      <c r="AB84" s="1286"/>
      <c r="AC84" s="1286"/>
      <c r="AD84" s="1286"/>
      <c r="AE84" s="1286"/>
      <c r="AF84" s="1286"/>
      <c r="AG84" s="1286"/>
      <c r="AH84" s="1286"/>
      <c r="AI84" s="1286"/>
      <c r="AJ84" s="1286"/>
      <c r="AK84" s="1286"/>
      <c r="AL84" s="1286"/>
      <c r="AM84" s="1286"/>
      <c r="AN84" s="1286"/>
      <c r="AO84" s="1286"/>
      <c r="AP84" s="1286"/>
      <c r="AQ84" s="1286"/>
      <c r="AR84" s="1286"/>
      <c r="AS84" s="1286"/>
      <c r="AT84" s="1286"/>
      <c r="AU84" s="1286"/>
      <c r="AV84" s="1286"/>
      <c r="AW84" s="1286"/>
      <c r="AX84" s="1286"/>
      <c r="AY84" s="1286"/>
      <c r="AZ84" s="1286"/>
      <c r="BA84" s="1286"/>
      <c r="BB84" s="1286"/>
      <c r="BC84" s="1286"/>
      <c r="BD84" s="1286"/>
      <c r="BE84" s="1286"/>
      <c r="BF84" s="1286"/>
      <c r="BG84" s="1286"/>
      <c r="BH84" s="1286"/>
    </row>
    <row r="85" spans="1:60" s="1282" customFormat="1" x14ac:dyDescent="0.3">
      <c r="A85" s="2290">
        <v>79</v>
      </c>
      <c r="B85" s="390" t="s">
        <v>4792</v>
      </c>
      <c r="C85" s="163" t="s">
        <v>4761</v>
      </c>
      <c r="D85" s="164" t="s">
        <v>172</v>
      </c>
      <c r="E85" s="1688" t="s">
        <v>74</v>
      </c>
      <c r="F85" s="170">
        <v>24612</v>
      </c>
      <c r="G85" s="1177">
        <v>11744.76</v>
      </c>
      <c r="H85" s="1833" t="s">
        <v>4762</v>
      </c>
      <c r="I85" s="352" t="s">
        <v>25</v>
      </c>
      <c r="K85" s="1691"/>
      <c r="L85" s="1566"/>
      <c r="M85" s="390"/>
      <c r="N85" s="1284"/>
      <c r="O85" s="390"/>
      <c r="P85" s="1285"/>
      <c r="Q85" s="352" t="s">
        <v>25</v>
      </c>
      <c r="S85" s="1691"/>
      <c r="T85" s="1566"/>
      <c r="U85" s="390"/>
      <c r="V85" s="1284"/>
      <c r="W85" s="1286"/>
      <c r="X85" s="1286"/>
      <c r="Y85" s="1286"/>
      <c r="Z85" s="1286"/>
      <c r="AA85" s="1286"/>
      <c r="AB85" s="1286"/>
      <c r="AC85" s="1286"/>
      <c r="AD85" s="1286"/>
      <c r="AE85" s="1286"/>
      <c r="AF85" s="1286"/>
      <c r="AG85" s="1286"/>
      <c r="AH85" s="1286"/>
      <c r="AI85" s="1286"/>
      <c r="AJ85" s="1286"/>
      <c r="AK85" s="1286"/>
      <c r="AL85" s="1286"/>
      <c r="AM85" s="1286"/>
      <c r="AN85" s="1286"/>
      <c r="AO85" s="1286"/>
      <c r="AP85" s="1286"/>
      <c r="AQ85" s="1286"/>
      <c r="AR85" s="1286"/>
      <c r="AS85" s="1286"/>
      <c r="AT85" s="1286"/>
      <c r="AU85" s="1286"/>
      <c r="AV85" s="1286"/>
      <c r="AW85" s="1286"/>
      <c r="AX85" s="1286"/>
      <c r="AY85" s="1286"/>
      <c r="AZ85" s="1286"/>
      <c r="BA85" s="1286"/>
      <c r="BB85" s="1286"/>
      <c r="BC85" s="1286"/>
      <c r="BD85" s="1286"/>
      <c r="BE85" s="1286"/>
      <c r="BF85" s="1286"/>
      <c r="BG85" s="1286"/>
      <c r="BH85" s="1286"/>
    </row>
    <row r="86" spans="1:60" s="1282" customFormat="1" x14ac:dyDescent="0.3">
      <c r="A86" s="2290">
        <v>80</v>
      </c>
      <c r="B86" s="390" t="s">
        <v>4792</v>
      </c>
      <c r="C86" s="163" t="s">
        <v>4761</v>
      </c>
      <c r="D86" s="164" t="s">
        <v>172</v>
      </c>
      <c r="E86" s="1688" t="s">
        <v>75</v>
      </c>
      <c r="F86" s="170">
        <v>24612</v>
      </c>
      <c r="G86" s="1177">
        <v>11744.76</v>
      </c>
      <c r="H86" s="1833" t="s">
        <v>4762</v>
      </c>
      <c r="I86" s="352" t="s">
        <v>25</v>
      </c>
      <c r="K86" s="1691"/>
      <c r="L86" s="1566"/>
      <c r="M86" s="390"/>
      <c r="N86" s="1284"/>
      <c r="O86" s="390"/>
      <c r="P86" s="1285"/>
      <c r="Q86" s="352" t="s">
        <v>25</v>
      </c>
      <c r="S86" s="1691"/>
      <c r="T86" s="1566"/>
      <c r="U86" s="390"/>
      <c r="V86" s="1284"/>
      <c r="W86" s="1286"/>
      <c r="X86" s="1286"/>
      <c r="Y86" s="1286"/>
      <c r="Z86" s="1286"/>
      <c r="AA86" s="1286"/>
      <c r="AB86" s="1286"/>
      <c r="AC86" s="1286"/>
      <c r="AD86" s="1286"/>
      <c r="AE86" s="1286"/>
      <c r="AF86" s="1286"/>
      <c r="AG86" s="1286"/>
      <c r="AH86" s="1286"/>
      <c r="AI86" s="1286"/>
      <c r="AJ86" s="1286"/>
      <c r="AK86" s="1286"/>
      <c r="AL86" s="1286"/>
      <c r="AM86" s="1286"/>
      <c r="AN86" s="1286"/>
      <c r="AO86" s="1286"/>
      <c r="AP86" s="1286"/>
      <c r="AQ86" s="1286"/>
      <c r="AR86" s="1286"/>
      <c r="AS86" s="1286"/>
      <c r="AT86" s="1286"/>
      <c r="AU86" s="1286"/>
      <c r="AV86" s="1286"/>
      <c r="AW86" s="1286"/>
      <c r="AX86" s="1286"/>
      <c r="AY86" s="1286"/>
      <c r="AZ86" s="1286"/>
      <c r="BA86" s="1286"/>
      <c r="BB86" s="1286"/>
      <c r="BC86" s="1286"/>
      <c r="BD86" s="1286"/>
      <c r="BE86" s="1286"/>
      <c r="BF86" s="1286"/>
      <c r="BG86" s="1286"/>
      <c r="BH86" s="1286"/>
    </row>
    <row r="87" spans="1:60" s="1282" customFormat="1" x14ac:dyDescent="0.3">
      <c r="A87" s="2290">
        <v>81</v>
      </c>
      <c r="B87" s="390" t="s">
        <v>4792</v>
      </c>
      <c r="C87" s="163" t="s">
        <v>4761</v>
      </c>
      <c r="D87" s="164" t="s">
        <v>172</v>
      </c>
      <c r="E87" s="1688" t="s">
        <v>77</v>
      </c>
      <c r="F87" s="170">
        <v>24612</v>
      </c>
      <c r="G87" s="1177">
        <v>11744.76</v>
      </c>
      <c r="H87" s="1833" t="s">
        <v>4762</v>
      </c>
      <c r="I87" s="352" t="s">
        <v>25</v>
      </c>
      <c r="K87" s="1691"/>
      <c r="L87" s="1566"/>
      <c r="M87" s="390"/>
      <c r="N87" s="1284"/>
      <c r="O87" s="390"/>
      <c r="P87" s="1285"/>
      <c r="Q87" s="352" t="s">
        <v>25</v>
      </c>
      <c r="S87" s="1691"/>
      <c r="T87" s="1566"/>
      <c r="U87" s="390"/>
      <c r="V87" s="1284"/>
      <c r="W87" s="1286"/>
      <c r="X87" s="1286"/>
      <c r="Y87" s="1286"/>
      <c r="Z87" s="1286"/>
      <c r="AA87" s="1286"/>
      <c r="AB87" s="1286"/>
      <c r="AC87" s="1286"/>
      <c r="AD87" s="1286"/>
      <c r="AE87" s="1286"/>
      <c r="AF87" s="1286"/>
      <c r="AG87" s="1286"/>
      <c r="AH87" s="1286"/>
      <c r="AI87" s="1286"/>
      <c r="AJ87" s="1286"/>
      <c r="AK87" s="1286"/>
      <c r="AL87" s="1286"/>
      <c r="AM87" s="1286"/>
      <c r="AN87" s="1286"/>
      <c r="AO87" s="1286"/>
      <c r="AP87" s="1286"/>
      <c r="AQ87" s="1286"/>
      <c r="AR87" s="1286"/>
      <c r="AS87" s="1286"/>
      <c r="AT87" s="1286"/>
      <c r="AU87" s="1286"/>
      <c r="AV87" s="1286"/>
      <c r="AW87" s="1286"/>
      <c r="AX87" s="1286"/>
      <c r="AY87" s="1286"/>
      <c r="AZ87" s="1286"/>
      <c r="BA87" s="1286"/>
      <c r="BB87" s="1286"/>
      <c r="BC87" s="1286"/>
      <c r="BD87" s="1286"/>
      <c r="BE87" s="1286"/>
      <c r="BF87" s="1286"/>
      <c r="BG87" s="1286"/>
      <c r="BH87" s="1286"/>
    </row>
    <row r="88" spans="1:60" s="1282" customFormat="1" x14ac:dyDescent="0.3">
      <c r="A88" s="2290">
        <v>82</v>
      </c>
      <c r="B88" s="390" t="s">
        <v>4792</v>
      </c>
      <c r="C88" s="163" t="s">
        <v>4761</v>
      </c>
      <c r="D88" s="164" t="s">
        <v>172</v>
      </c>
      <c r="E88" s="1688" t="s">
        <v>79</v>
      </c>
      <c r="F88" s="170">
        <v>24612</v>
      </c>
      <c r="G88" s="1177">
        <v>11744.76</v>
      </c>
      <c r="H88" s="1833" t="s">
        <v>4762</v>
      </c>
      <c r="I88" s="352" t="s">
        <v>25</v>
      </c>
      <c r="K88" s="1691"/>
      <c r="L88" s="1566"/>
      <c r="M88" s="390"/>
      <c r="N88" s="1284"/>
      <c r="O88" s="390"/>
      <c r="P88" s="1285"/>
      <c r="Q88" s="352" t="s">
        <v>25</v>
      </c>
      <c r="S88" s="1691"/>
      <c r="T88" s="1566"/>
      <c r="U88" s="390"/>
      <c r="V88" s="1284"/>
      <c r="W88" s="1286"/>
      <c r="X88" s="1286"/>
      <c r="Y88" s="1286"/>
      <c r="Z88" s="1286"/>
      <c r="AA88" s="1286"/>
      <c r="AB88" s="1286"/>
      <c r="AC88" s="1286"/>
      <c r="AD88" s="1286"/>
      <c r="AE88" s="1286"/>
      <c r="AF88" s="1286"/>
      <c r="AG88" s="1286"/>
      <c r="AH88" s="1286"/>
      <c r="AI88" s="1286"/>
      <c r="AJ88" s="1286"/>
      <c r="AK88" s="1286"/>
      <c r="AL88" s="1286"/>
      <c r="AM88" s="1286"/>
      <c r="AN88" s="1286"/>
      <c r="AO88" s="1286"/>
      <c r="AP88" s="1286"/>
      <c r="AQ88" s="1286"/>
      <c r="AR88" s="1286"/>
      <c r="AS88" s="1286"/>
      <c r="AT88" s="1286"/>
      <c r="AU88" s="1286"/>
      <c r="AV88" s="1286"/>
      <c r="AW88" s="1286"/>
      <c r="AX88" s="1286"/>
      <c r="AY88" s="1286"/>
      <c r="AZ88" s="1286"/>
      <c r="BA88" s="1286"/>
      <c r="BB88" s="1286"/>
      <c r="BC88" s="1286"/>
      <c r="BD88" s="1286"/>
      <c r="BE88" s="1286"/>
      <c r="BF88" s="1286"/>
      <c r="BG88" s="1286"/>
      <c r="BH88" s="1286"/>
    </row>
    <row r="89" spans="1:60" s="1282" customFormat="1" x14ac:dyDescent="0.3">
      <c r="A89" s="2290">
        <v>83</v>
      </c>
      <c r="B89" s="390" t="s">
        <v>4792</v>
      </c>
      <c r="C89" s="163" t="s">
        <v>4761</v>
      </c>
      <c r="D89" s="164" t="s">
        <v>172</v>
      </c>
      <c r="E89" s="1688" t="s">
        <v>80</v>
      </c>
      <c r="F89" s="170">
        <v>24612</v>
      </c>
      <c r="G89" s="1177">
        <v>11744.76</v>
      </c>
      <c r="H89" s="1833" t="s">
        <v>4762</v>
      </c>
      <c r="I89" s="352" t="s">
        <v>25</v>
      </c>
      <c r="K89" s="1691"/>
      <c r="L89" s="1566"/>
      <c r="M89" s="390"/>
      <c r="N89" s="1284"/>
      <c r="O89" s="390"/>
      <c r="P89" s="1285"/>
      <c r="Q89" s="352" t="s">
        <v>25</v>
      </c>
      <c r="S89" s="1691"/>
      <c r="T89" s="1566"/>
      <c r="U89" s="390"/>
      <c r="V89" s="1284"/>
      <c r="W89" s="1286"/>
      <c r="X89" s="1286"/>
      <c r="Y89" s="1286"/>
      <c r="Z89" s="1286"/>
      <c r="AA89" s="1286"/>
      <c r="AB89" s="1286"/>
      <c r="AC89" s="1286"/>
      <c r="AD89" s="1286"/>
      <c r="AE89" s="1286"/>
      <c r="AF89" s="1286"/>
      <c r="AG89" s="1286"/>
      <c r="AH89" s="1286"/>
      <c r="AI89" s="1286"/>
      <c r="AJ89" s="1286"/>
      <c r="AK89" s="1286"/>
      <c r="AL89" s="1286"/>
      <c r="AM89" s="1286"/>
      <c r="AN89" s="1286"/>
      <c r="AO89" s="1286"/>
      <c r="AP89" s="1286"/>
      <c r="AQ89" s="1286"/>
      <c r="AR89" s="1286"/>
      <c r="AS89" s="1286"/>
      <c r="AT89" s="1286"/>
      <c r="AU89" s="1286"/>
      <c r="AV89" s="1286"/>
      <c r="AW89" s="1286"/>
      <c r="AX89" s="1286"/>
      <c r="AY89" s="1286"/>
      <c r="AZ89" s="1286"/>
      <c r="BA89" s="1286"/>
      <c r="BB89" s="1286"/>
      <c r="BC89" s="1286"/>
      <c r="BD89" s="1286"/>
      <c r="BE89" s="1286"/>
      <c r="BF89" s="1286"/>
      <c r="BG89" s="1286"/>
      <c r="BH89" s="1286"/>
    </row>
    <row r="90" spans="1:60" s="1282" customFormat="1" x14ac:dyDescent="0.3">
      <c r="A90" s="2290">
        <v>84</v>
      </c>
      <c r="B90" s="390" t="s">
        <v>4792</v>
      </c>
      <c r="C90" s="163" t="s">
        <v>4761</v>
      </c>
      <c r="D90" s="164" t="s">
        <v>172</v>
      </c>
      <c r="E90" s="1688" t="s">
        <v>81</v>
      </c>
      <c r="F90" s="170">
        <v>24612</v>
      </c>
      <c r="G90" s="1177">
        <v>11744.76</v>
      </c>
      <c r="H90" s="1833" t="s">
        <v>4762</v>
      </c>
      <c r="I90" s="352" t="s">
        <v>25</v>
      </c>
      <c r="K90" s="1691"/>
      <c r="L90" s="1566"/>
      <c r="M90" s="390"/>
      <c r="N90" s="1284"/>
      <c r="O90" s="390"/>
      <c r="P90" s="1285"/>
      <c r="Q90" s="352" t="s">
        <v>25</v>
      </c>
      <c r="S90" s="1691"/>
      <c r="T90" s="1566"/>
      <c r="U90" s="390"/>
      <c r="V90" s="1284"/>
      <c r="W90" s="1286"/>
      <c r="X90" s="1286"/>
      <c r="Y90" s="1286"/>
      <c r="Z90" s="1286"/>
      <c r="AA90" s="1286"/>
      <c r="AB90" s="1286"/>
      <c r="AC90" s="1286"/>
      <c r="AD90" s="1286"/>
      <c r="AE90" s="1286"/>
      <c r="AF90" s="1286"/>
      <c r="AG90" s="1286"/>
      <c r="AH90" s="1286"/>
      <c r="AI90" s="1286"/>
      <c r="AJ90" s="1286"/>
      <c r="AK90" s="1286"/>
      <c r="AL90" s="1286"/>
      <c r="AM90" s="1286"/>
      <c r="AN90" s="1286"/>
      <c r="AO90" s="1286"/>
      <c r="AP90" s="1286"/>
      <c r="AQ90" s="1286"/>
      <c r="AR90" s="1286"/>
      <c r="AS90" s="1286"/>
      <c r="AT90" s="1286"/>
      <c r="AU90" s="1286"/>
      <c r="AV90" s="1286"/>
      <c r="AW90" s="1286"/>
      <c r="AX90" s="1286"/>
      <c r="AY90" s="1286"/>
      <c r="AZ90" s="1286"/>
      <c r="BA90" s="1286"/>
      <c r="BB90" s="1286"/>
      <c r="BC90" s="1286"/>
      <c r="BD90" s="1286"/>
      <c r="BE90" s="1286"/>
      <c r="BF90" s="1286"/>
      <c r="BG90" s="1286"/>
      <c r="BH90" s="1286"/>
    </row>
    <row r="91" spans="1:60" s="1282" customFormat="1" x14ac:dyDescent="0.3">
      <c r="A91" s="2290">
        <v>85</v>
      </c>
      <c r="B91" s="390" t="s">
        <v>4792</v>
      </c>
      <c r="C91" s="163" t="s">
        <v>4761</v>
      </c>
      <c r="D91" s="164" t="s">
        <v>172</v>
      </c>
      <c r="E91" s="1688" t="s">
        <v>82</v>
      </c>
      <c r="F91" s="170">
        <v>24612</v>
      </c>
      <c r="G91" s="1177">
        <v>11744.76</v>
      </c>
      <c r="H91" s="1833" t="s">
        <v>4762</v>
      </c>
      <c r="I91" s="352" t="s">
        <v>25</v>
      </c>
      <c r="K91" s="1691"/>
      <c r="L91" s="1566"/>
      <c r="M91" s="390"/>
      <c r="N91" s="1284"/>
      <c r="O91" s="390"/>
      <c r="P91" s="1285"/>
      <c r="Q91" s="352" t="s">
        <v>25</v>
      </c>
      <c r="S91" s="1691"/>
      <c r="T91" s="1566"/>
      <c r="U91" s="390"/>
      <c r="V91" s="1284"/>
      <c r="W91" s="1286"/>
      <c r="X91" s="1286"/>
      <c r="Y91" s="1286"/>
      <c r="Z91" s="1286"/>
      <c r="AA91" s="1286"/>
      <c r="AB91" s="1286"/>
      <c r="AC91" s="1286"/>
      <c r="AD91" s="1286"/>
      <c r="AE91" s="1286"/>
      <c r="AF91" s="1286"/>
      <c r="AG91" s="1286"/>
      <c r="AH91" s="1286"/>
      <c r="AI91" s="1286"/>
      <c r="AJ91" s="1286"/>
      <c r="AK91" s="1286"/>
      <c r="AL91" s="1286"/>
      <c r="AM91" s="1286"/>
      <c r="AN91" s="1286"/>
      <c r="AO91" s="1286"/>
      <c r="AP91" s="1286"/>
      <c r="AQ91" s="1286"/>
      <c r="AR91" s="1286"/>
      <c r="AS91" s="1286"/>
      <c r="AT91" s="1286"/>
      <c r="AU91" s="1286"/>
      <c r="AV91" s="1286"/>
      <c r="AW91" s="1286"/>
      <c r="AX91" s="1286"/>
      <c r="AY91" s="1286"/>
      <c r="AZ91" s="1286"/>
      <c r="BA91" s="1286"/>
      <c r="BB91" s="1286"/>
      <c r="BC91" s="1286"/>
      <c r="BD91" s="1286"/>
      <c r="BE91" s="1286"/>
      <c r="BF91" s="1286"/>
      <c r="BG91" s="1286"/>
      <c r="BH91" s="1286"/>
    </row>
    <row r="92" spans="1:60" s="1282" customFormat="1" x14ac:dyDescent="0.3">
      <c r="A92" s="2290">
        <v>86</v>
      </c>
      <c r="B92" s="390" t="s">
        <v>4792</v>
      </c>
      <c r="C92" s="163" t="s">
        <v>4761</v>
      </c>
      <c r="D92" s="164" t="s">
        <v>172</v>
      </c>
      <c r="E92" s="1688" t="s">
        <v>83</v>
      </c>
      <c r="F92" s="170">
        <v>24612</v>
      </c>
      <c r="G92" s="1177">
        <v>11744.76</v>
      </c>
      <c r="H92" s="1833" t="s">
        <v>4762</v>
      </c>
      <c r="I92" s="352" t="s">
        <v>25</v>
      </c>
      <c r="K92" s="1691"/>
      <c r="L92" s="1566"/>
      <c r="M92" s="390"/>
      <c r="N92" s="1284"/>
      <c r="O92" s="390"/>
      <c r="P92" s="1285"/>
      <c r="Q92" s="352" t="s">
        <v>25</v>
      </c>
      <c r="S92" s="1691"/>
      <c r="T92" s="1566"/>
      <c r="U92" s="390"/>
      <c r="V92" s="1284"/>
      <c r="W92" s="1286"/>
      <c r="X92" s="1286"/>
      <c r="Y92" s="1286"/>
      <c r="Z92" s="1286"/>
      <c r="AA92" s="1286"/>
      <c r="AB92" s="1286"/>
      <c r="AC92" s="1286"/>
      <c r="AD92" s="1286"/>
      <c r="AE92" s="1286"/>
      <c r="AF92" s="1286"/>
      <c r="AG92" s="1286"/>
      <c r="AH92" s="1286"/>
      <c r="AI92" s="1286"/>
      <c r="AJ92" s="1286"/>
      <c r="AK92" s="1286"/>
      <c r="AL92" s="1286"/>
      <c r="AM92" s="1286"/>
      <c r="AN92" s="1286"/>
      <c r="AO92" s="1286"/>
      <c r="AP92" s="1286"/>
      <c r="AQ92" s="1286"/>
      <c r="AR92" s="1286"/>
      <c r="AS92" s="1286"/>
      <c r="AT92" s="1286"/>
      <c r="AU92" s="1286"/>
      <c r="AV92" s="1286"/>
      <c r="AW92" s="1286"/>
      <c r="AX92" s="1286"/>
      <c r="AY92" s="1286"/>
      <c r="AZ92" s="1286"/>
      <c r="BA92" s="1286"/>
      <c r="BB92" s="1286"/>
      <c r="BC92" s="1286"/>
      <c r="BD92" s="1286"/>
      <c r="BE92" s="1286"/>
      <c r="BF92" s="1286"/>
      <c r="BG92" s="1286"/>
      <c r="BH92" s="1286"/>
    </row>
    <row r="93" spans="1:60" s="1282" customFormat="1" x14ac:dyDescent="0.3">
      <c r="A93" s="2290">
        <v>87</v>
      </c>
      <c r="B93" s="390" t="s">
        <v>4792</v>
      </c>
      <c r="C93" s="163" t="s">
        <v>4761</v>
      </c>
      <c r="D93" s="164" t="s">
        <v>172</v>
      </c>
      <c r="E93" s="1688" t="s">
        <v>84</v>
      </c>
      <c r="F93" s="170">
        <v>24612</v>
      </c>
      <c r="G93" s="1177">
        <v>11744.76</v>
      </c>
      <c r="H93" s="1833" t="s">
        <v>4762</v>
      </c>
      <c r="I93" s="352" t="s">
        <v>25</v>
      </c>
      <c r="K93" s="1691"/>
      <c r="L93" s="1566"/>
      <c r="M93" s="390"/>
      <c r="N93" s="1284"/>
      <c r="O93" s="390"/>
      <c r="P93" s="1285"/>
      <c r="Q93" s="352" t="s">
        <v>25</v>
      </c>
      <c r="S93" s="1691"/>
      <c r="T93" s="1566"/>
      <c r="U93" s="390"/>
      <c r="V93" s="1284"/>
      <c r="W93" s="1286"/>
      <c r="X93" s="1286"/>
      <c r="Y93" s="1286"/>
      <c r="Z93" s="1286"/>
      <c r="AA93" s="1286"/>
      <c r="AB93" s="1286"/>
      <c r="AC93" s="1286"/>
      <c r="AD93" s="1286"/>
      <c r="AE93" s="1286"/>
      <c r="AF93" s="1286"/>
      <c r="AG93" s="1286"/>
      <c r="AH93" s="1286"/>
      <c r="AI93" s="1286"/>
      <c r="AJ93" s="1286"/>
      <c r="AK93" s="1286"/>
      <c r="AL93" s="1286"/>
      <c r="AM93" s="1286"/>
      <c r="AN93" s="1286"/>
      <c r="AO93" s="1286"/>
      <c r="AP93" s="1286"/>
      <c r="AQ93" s="1286"/>
      <c r="AR93" s="1286"/>
      <c r="AS93" s="1286"/>
      <c r="AT93" s="1286"/>
      <c r="AU93" s="1286"/>
      <c r="AV93" s="1286"/>
      <c r="AW93" s="1286"/>
      <c r="AX93" s="1286"/>
      <c r="AY93" s="1286"/>
      <c r="AZ93" s="1286"/>
      <c r="BA93" s="1286"/>
      <c r="BB93" s="1286"/>
      <c r="BC93" s="1286"/>
      <c r="BD93" s="1286"/>
      <c r="BE93" s="1286"/>
      <c r="BF93" s="1286"/>
      <c r="BG93" s="1286"/>
      <c r="BH93" s="1286"/>
    </row>
    <row r="94" spans="1:60" s="1282" customFormat="1" x14ac:dyDescent="0.3">
      <c r="A94" s="2290">
        <v>88</v>
      </c>
      <c r="B94" s="390" t="s">
        <v>4792</v>
      </c>
      <c r="C94" s="163" t="s">
        <v>4761</v>
      </c>
      <c r="D94" s="164" t="s">
        <v>172</v>
      </c>
      <c r="E94" s="1688" t="s">
        <v>85</v>
      </c>
      <c r="F94" s="170">
        <v>24612</v>
      </c>
      <c r="G94" s="1177">
        <v>11744.76</v>
      </c>
      <c r="H94" s="1833" t="s">
        <v>4762</v>
      </c>
      <c r="I94" s="352" t="s">
        <v>25</v>
      </c>
      <c r="K94" s="1691"/>
      <c r="L94" s="1566"/>
      <c r="M94" s="390"/>
      <c r="N94" s="1284"/>
      <c r="O94" s="390"/>
      <c r="P94" s="1285"/>
      <c r="Q94" s="352" t="s">
        <v>25</v>
      </c>
      <c r="S94" s="1691"/>
      <c r="T94" s="1566"/>
      <c r="U94" s="390"/>
      <c r="V94" s="1284"/>
      <c r="W94" s="1286"/>
      <c r="X94" s="1286"/>
      <c r="Y94" s="1286"/>
      <c r="Z94" s="1286"/>
      <c r="AA94" s="1286"/>
      <c r="AB94" s="1286"/>
      <c r="AC94" s="1286"/>
      <c r="AD94" s="1286"/>
      <c r="AE94" s="1286"/>
      <c r="AF94" s="1286"/>
      <c r="AG94" s="1286"/>
      <c r="AH94" s="1286"/>
      <c r="AI94" s="1286"/>
      <c r="AJ94" s="1286"/>
      <c r="AK94" s="1286"/>
      <c r="AL94" s="1286"/>
      <c r="AM94" s="1286"/>
      <c r="AN94" s="1286"/>
      <c r="AO94" s="1286"/>
      <c r="AP94" s="1286"/>
      <c r="AQ94" s="1286"/>
      <c r="AR94" s="1286"/>
      <c r="AS94" s="1286"/>
      <c r="AT94" s="1286"/>
      <c r="AU94" s="1286"/>
      <c r="AV94" s="1286"/>
      <c r="AW94" s="1286"/>
      <c r="AX94" s="1286"/>
      <c r="AY94" s="1286"/>
      <c r="AZ94" s="1286"/>
      <c r="BA94" s="1286"/>
      <c r="BB94" s="1286"/>
      <c r="BC94" s="1286"/>
      <c r="BD94" s="1286"/>
      <c r="BE94" s="1286"/>
      <c r="BF94" s="1286"/>
      <c r="BG94" s="1286"/>
      <c r="BH94" s="1286"/>
    </row>
    <row r="95" spans="1:60" s="1282" customFormat="1" x14ac:dyDescent="0.3">
      <c r="A95" s="2290">
        <v>89</v>
      </c>
      <c r="B95" s="390" t="s">
        <v>4792</v>
      </c>
      <c r="C95" s="163" t="s">
        <v>4761</v>
      </c>
      <c r="D95" s="164" t="s">
        <v>172</v>
      </c>
      <c r="E95" s="1688" t="s">
        <v>86</v>
      </c>
      <c r="F95" s="170">
        <v>24612</v>
      </c>
      <c r="G95" s="1177">
        <v>11744.76</v>
      </c>
      <c r="H95" s="1833" t="s">
        <v>4762</v>
      </c>
      <c r="I95" s="352" t="s">
        <v>25</v>
      </c>
      <c r="K95" s="1691"/>
      <c r="L95" s="1566"/>
      <c r="M95" s="390"/>
      <c r="N95" s="1284"/>
      <c r="O95" s="390"/>
      <c r="P95" s="1285"/>
      <c r="Q95" s="352" t="s">
        <v>25</v>
      </c>
      <c r="S95" s="1691"/>
      <c r="T95" s="1566"/>
      <c r="U95" s="390"/>
      <c r="V95" s="1284"/>
      <c r="W95" s="1286"/>
      <c r="X95" s="1286"/>
      <c r="Y95" s="1286"/>
      <c r="Z95" s="1286"/>
      <c r="AA95" s="1286"/>
      <c r="AB95" s="1286"/>
      <c r="AC95" s="1286"/>
      <c r="AD95" s="1286"/>
      <c r="AE95" s="1286"/>
      <c r="AF95" s="1286"/>
      <c r="AG95" s="1286"/>
      <c r="AH95" s="1286"/>
      <c r="AI95" s="1286"/>
      <c r="AJ95" s="1286"/>
      <c r="AK95" s="1286"/>
      <c r="AL95" s="1286"/>
      <c r="AM95" s="1286"/>
      <c r="AN95" s="1286"/>
      <c r="AO95" s="1286"/>
      <c r="AP95" s="1286"/>
      <c r="AQ95" s="1286"/>
      <c r="AR95" s="1286"/>
      <c r="AS95" s="1286"/>
      <c r="AT95" s="1286"/>
      <c r="AU95" s="1286"/>
      <c r="AV95" s="1286"/>
      <c r="AW95" s="1286"/>
      <c r="AX95" s="1286"/>
      <c r="AY95" s="1286"/>
      <c r="AZ95" s="1286"/>
      <c r="BA95" s="1286"/>
      <c r="BB95" s="1286"/>
      <c r="BC95" s="1286"/>
      <c r="BD95" s="1286"/>
      <c r="BE95" s="1286"/>
      <c r="BF95" s="1286"/>
      <c r="BG95" s="1286"/>
      <c r="BH95" s="1286"/>
    </row>
    <row r="96" spans="1:60" s="1282" customFormat="1" x14ac:dyDescent="0.3">
      <c r="A96" s="2290">
        <v>90</v>
      </c>
      <c r="B96" s="390" t="s">
        <v>4792</v>
      </c>
      <c r="C96" s="163" t="s">
        <v>4761</v>
      </c>
      <c r="D96" s="164" t="s">
        <v>172</v>
      </c>
      <c r="E96" s="1688" t="s">
        <v>87</v>
      </c>
      <c r="F96" s="170">
        <v>24612</v>
      </c>
      <c r="G96" s="1177">
        <v>11744.79</v>
      </c>
      <c r="H96" s="1833" t="s">
        <v>4762</v>
      </c>
      <c r="I96" s="352" t="s">
        <v>25</v>
      </c>
      <c r="K96" s="1691"/>
      <c r="L96" s="1566"/>
      <c r="M96" s="1312"/>
      <c r="N96" s="1702"/>
      <c r="O96" s="390"/>
      <c r="P96" s="1285"/>
      <c r="Q96" s="352" t="s">
        <v>25</v>
      </c>
      <c r="S96" s="1691"/>
      <c r="T96" s="1566"/>
      <c r="U96" s="1312"/>
      <c r="V96" s="1702"/>
      <c r="W96" s="1286"/>
      <c r="X96" s="1286"/>
      <c r="Y96" s="1286"/>
      <c r="Z96" s="1286"/>
      <c r="AA96" s="1286"/>
      <c r="AB96" s="1286"/>
      <c r="AC96" s="1286"/>
      <c r="AD96" s="1286"/>
      <c r="AE96" s="1286"/>
      <c r="AF96" s="1286"/>
      <c r="AG96" s="1286"/>
      <c r="AH96" s="1286"/>
      <c r="AI96" s="1286"/>
      <c r="AJ96" s="1286"/>
      <c r="AK96" s="1286"/>
      <c r="AL96" s="1286"/>
      <c r="AM96" s="1286"/>
      <c r="AN96" s="1286"/>
      <c r="AO96" s="1286"/>
      <c r="AP96" s="1286"/>
      <c r="AQ96" s="1286"/>
      <c r="AR96" s="1286"/>
      <c r="AS96" s="1286"/>
      <c r="AT96" s="1286"/>
      <c r="AU96" s="1286"/>
      <c r="AV96" s="1286"/>
      <c r="AW96" s="1286"/>
      <c r="AX96" s="1286"/>
      <c r="AY96" s="1286"/>
      <c r="AZ96" s="1286"/>
      <c r="BA96" s="1286"/>
      <c r="BB96" s="1286"/>
      <c r="BC96" s="1286"/>
      <c r="BD96" s="1286"/>
      <c r="BE96" s="1286"/>
      <c r="BF96" s="1286"/>
      <c r="BG96" s="1286"/>
      <c r="BH96" s="1286"/>
    </row>
    <row r="97" spans="1:22" s="10" customFormat="1" ht="17.399999999999999" customHeight="1" x14ac:dyDescent="0.3">
      <c r="A97" s="12"/>
      <c r="B97" s="1703"/>
      <c r="C97" s="858"/>
      <c r="D97" s="858"/>
      <c r="E97" s="858"/>
      <c r="F97" s="858"/>
      <c r="G97" s="1704">
        <f>SUM(G7:G96)</f>
        <v>666666.1799999997</v>
      </c>
      <c r="H97" s="1703"/>
      <c r="I97" s="352"/>
      <c r="J97" s="1705"/>
      <c r="K97" s="1706"/>
      <c r="L97" s="1706"/>
      <c r="M97" s="1706"/>
      <c r="N97" s="1706"/>
      <c r="O97" s="13"/>
      <c r="Q97" s="352"/>
      <c r="R97" s="1705"/>
      <c r="S97" s="1706"/>
      <c r="T97" s="1706"/>
      <c r="U97" s="1706"/>
      <c r="V97" s="1706"/>
    </row>
    <row r="98" spans="1:22" x14ac:dyDescent="0.3">
      <c r="A98" s="823">
        <v>200</v>
      </c>
      <c r="B98" s="815" t="s">
        <v>4793</v>
      </c>
      <c r="C98" s="1460"/>
      <c r="D98" s="1460"/>
      <c r="E98" s="1460"/>
      <c r="F98" s="1460"/>
      <c r="G98" s="1555"/>
      <c r="H98" s="1463"/>
      <c r="I98" s="352"/>
      <c r="J98" s="1464"/>
      <c r="K98" s="1464"/>
      <c r="L98" s="1464"/>
      <c r="M98" s="1464"/>
      <c r="N98" s="1464"/>
      <c r="O98" s="103"/>
      <c r="Q98" s="352"/>
      <c r="R98" s="1464"/>
      <c r="S98" s="1464"/>
      <c r="T98" s="1464"/>
      <c r="U98" s="1464"/>
      <c r="V98" s="1464"/>
    </row>
    <row r="99" spans="1:22" x14ac:dyDescent="0.3">
      <c r="A99" s="2250">
        <v>1</v>
      </c>
      <c r="B99" s="347" t="s">
        <v>4794</v>
      </c>
      <c r="C99" s="348" t="s">
        <v>4795</v>
      </c>
      <c r="D99" s="793" t="s">
        <v>993</v>
      </c>
      <c r="E99" s="349" t="s">
        <v>1125</v>
      </c>
      <c r="F99" s="350" t="s">
        <v>4796</v>
      </c>
      <c r="G99" s="351">
        <v>85000</v>
      </c>
      <c r="H99" s="1834" t="s">
        <v>1337</v>
      </c>
      <c r="I99" s="352" t="s">
        <v>25</v>
      </c>
      <c r="J99" s="353"/>
      <c r="K99" s="353"/>
      <c r="L99" s="353"/>
      <c r="M99" s="353"/>
      <c r="N99" s="353"/>
      <c r="O99" s="354"/>
      <c r="Q99" s="352" t="s">
        <v>25</v>
      </c>
      <c r="R99" s="353"/>
      <c r="S99" s="353"/>
      <c r="T99" s="353"/>
      <c r="U99" s="353"/>
      <c r="V99" s="353"/>
    </row>
    <row r="100" spans="1:22" x14ac:dyDescent="0.3">
      <c r="A100" s="2226">
        <v>2</v>
      </c>
      <c r="B100" s="215" t="s">
        <v>4794</v>
      </c>
      <c r="C100" s="216" t="s">
        <v>4795</v>
      </c>
      <c r="D100" s="416" t="s">
        <v>993</v>
      </c>
      <c r="E100" s="217" t="s">
        <v>599</v>
      </c>
      <c r="F100" s="218" t="s">
        <v>4796</v>
      </c>
      <c r="G100" s="192">
        <v>85000</v>
      </c>
      <c r="H100" s="1834" t="s">
        <v>1337</v>
      </c>
      <c r="I100" s="118" t="s">
        <v>25</v>
      </c>
      <c r="J100" s="119"/>
      <c r="K100" s="119"/>
      <c r="L100" s="119"/>
      <c r="M100" s="119"/>
      <c r="N100" s="119"/>
      <c r="O100" s="146"/>
      <c r="Q100" s="118" t="s">
        <v>25</v>
      </c>
      <c r="R100" s="119"/>
      <c r="S100" s="119"/>
      <c r="T100" s="119"/>
      <c r="U100" s="119"/>
      <c r="V100" s="119"/>
    </row>
    <row r="101" spans="1:22" s="1180" customFormat="1" x14ac:dyDescent="0.3">
      <c r="A101" s="2290">
        <v>1</v>
      </c>
      <c r="B101" s="1707" t="s">
        <v>4797</v>
      </c>
      <c r="C101" s="163" t="s">
        <v>4798</v>
      </c>
      <c r="D101" s="1552" t="s">
        <v>21</v>
      </c>
      <c r="E101" s="1688" t="s">
        <v>1271</v>
      </c>
      <c r="F101" s="170">
        <v>243525</v>
      </c>
      <c r="G101" s="171">
        <v>900000</v>
      </c>
      <c r="H101" s="1835" t="s">
        <v>4799</v>
      </c>
      <c r="I101" s="1708"/>
      <c r="J101" s="1282"/>
      <c r="K101" s="1709"/>
      <c r="L101" s="390"/>
      <c r="M101" s="390"/>
      <c r="N101" s="390"/>
      <c r="O101" s="1388"/>
      <c r="Q101" s="1708"/>
      <c r="R101" s="1282"/>
      <c r="S101" s="1709"/>
      <c r="T101" s="390"/>
      <c r="U101" s="390"/>
      <c r="V101" s="390"/>
    </row>
    <row r="102" spans="1:22" ht="17.399999999999999" x14ac:dyDescent="0.45">
      <c r="A102" s="891"/>
      <c r="B102" s="1710"/>
      <c r="C102" s="1421"/>
      <c r="D102" s="1422"/>
      <c r="E102" s="1711"/>
      <c r="F102" s="1711"/>
      <c r="G102" s="906">
        <f>SUM(G99:G101)</f>
        <v>1070000</v>
      </c>
      <c r="H102" s="1426"/>
      <c r="I102" s="84"/>
      <c r="J102" s="85"/>
      <c r="K102" s="85"/>
      <c r="L102" s="85"/>
      <c r="M102" s="85"/>
      <c r="N102" s="85"/>
      <c r="O102" s="86"/>
      <c r="Q102" s="84"/>
      <c r="R102" s="85"/>
      <c r="S102" s="85"/>
      <c r="T102" s="85"/>
      <c r="U102" s="85"/>
      <c r="V102" s="85"/>
    </row>
    <row r="103" spans="1:22" x14ac:dyDescent="0.3">
      <c r="A103" s="825">
        <v>488</v>
      </c>
      <c r="B103" s="815" t="s">
        <v>4800</v>
      </c>
      <c r="C103" s="829"/>
      <c r="D103" s="829"/>
      <c r="E103" s="829"/>
      <c r="F103" s="845"/>
      <c r="G103" s="826"/>
      <c r="H103" s="827"/>
      <c r="I103" s="779"/>
      <c r="J103" s="779"/>
      <c r="K103" s="828"/>
      <c r="L103" s="828"/>
      <c r="M103" s="779"/>
      <c r="N103" s="829"/>
      <c r="O103" s="830"/>
      <c r="Q103" s="779"/>
      <c r="R103" s="779"/>
      <c r="S103" s="828"/>
      <c r="T103" s="828"/>
      <c r="U103" s="779"/>
      <c r="V103" s="829"/>
    </row>
    <row r="104" spans="1:22" x14ac:dyDescent="0.3">
      <c r="A104" s="2250">
        <v>1</v>
      </c>
      <c r="B104" s="676" t="s">
        <v>4801</v>
      </c>
      <c r="C104" s="1198" t="s">
        <v>4802</v>
      </c>
      <c r="D104" s="793" t="s">
        <v>933</v>
      </c>
      <c r="E104" s="349" t="s">
        <v>1125</v>
      </c>
      <c r="F104" s="350" t="s">
        <v>4803</v>
      </c>
      <c r="G104" s="351">
        <v>12000</v>
      </c>
      <c r="H104" s="1834" t="s">
        <v>4804</v>
      </c>
      <c r="I104" s="352" t="s">
        <v>25</v>
      </c>
      <c r="J104" s="353"/>
      <c r="K104" s="1166"/>
      <c r="L104" s="351"/>
      <c r="M104" s="351"/>
      <c r="N104" s="347"/>
      <c r="O104" s="821"/>
      <c r="Q104" s="352" t="s">
        <v>25</v>
      </c>
      <c r="R104" s="353"/>
      <c r="S104" s="1166"/>
      <c r="T104" s="351"/>
      <c r="U104" s="351"/>
      <c r="V104" s="347"/>
    </row>
    <row r="105" spans="1:22" ht="17.399999999999999" x14ac:dyDescent="0.45">
      <c r="A105" s="39"/>
      <c r="B105" s="172"/>
      <c r="C105" s="89"/>
      <c r="D105" s="230"/>
      <c r="E105" s="201"/>
      <c r="F105" s="176"/>
      <c r="G105" s="231">
        <f>SUM(G104)</f>
        <v>12000</v>
      </c>
      <c r="H105" s="602"/>
      <c r="I105" s="233"/>
      <c r="J105" s="355"/>
      <c r="K105" s="1196"/>
      <c r="L105" s="234"/>
      <c r="M105" s="234"/>
      <c r="N105" s="88"/>
      <c r="O105" s="469"/>
      <c r="Q105" s="233"/>
      <c r="R105" s="355"/>
      <c r="S105" s="1196"/>
      <c r="T105" s="234"/>
      <c r="U105" s="234"/>
      <c r="V105" s="88"/>
    </row>
    <row r="106" spans="1:22" x14ac:dyDescent="0.3">
      <c r="A106" s="825">
        <v>888</v>
      </c>
      <c r="B106" s="1712" t="s">
        <v>4805</v>
      </c>
      <c r="C106" s="829"/>
      <c r="D106" s="829"/>
      <c r="E106" s="829"/>
      <c r="F106" s="845"/>
      <c r="G106" s="1713"/>
      <c r="H106" s="1714"/>
      <c r="I106" s="779"/>
      <c r="J106" s="779"/>
      <c r="K106" s="828"/>
      <c r="L106" s="828"/>
      <c r="M106" s="779"/>
      <c r="N106" s="829"/>
      <c r="O106" s="830"/>
      <c r="Q106" s="779"/>
      <c r="R106" s="779"/>
      <c r="S106" s="828"/>
      <c r="T106" s="828"/>
      <c r="U106" s="779"/>
      <c r="V106" s="829"/>
    </row>
    <row r="107" spans="1:22" x14ac:dyDescent="0.3">
      <c r="A107" s="2226">
        <v>1</v>
      </c>
      <c r="B107" s="1643" t="s">
        <v>4806</v>
      </c>
      <c r="C107" s="216" t="s">
        <v>4798</v>
      </c>
      <c r="D107" s="416" t="s">
        <v>21</v>
      </c>
      <c r="E107" s="217" t="s">
        <v>1125</v>
      </c>
      <c r="F107" s="218" t="s">
        <v>23</v>
      </c>
      <c r="G107" s="1645">
        <v>107000</v>
      </c>
      <c r="H107" s="1830" t="s">
        <v>4729</v>
      </c>
      <c r="I107" s="118" t="s">
        <v>25</v>
      </c>
      <c r="J107" s="119"/>
      <c r="K107" s="1168"/>
      <c r="L107" s="192"/>
      <c r="M107" s="192"/>
      <c r="N107" s="215"/>
      <c r="O107" s="449" t="s">
        <v>5882</v>
      </c>
      <c r="Q107" s="118" t="s">
        <v>25</v>
      </c>
      <c r="R107" s="119"/>
      <c r="S107" s="1168"/>
      <c r="T107" s="192"/>
      <c r="U107" s="192"/>
      <c r="V107" s="215"/>
    </row>
    <row r="108" spans="1:22" x14ac:dyDescent="0.3">
      <c r="A108" s="2226">
        <v>2</v>
      </c>
      <c r="B108" s="1577" t="s">
        <v>4806</v>
      </c>
      <c r="C108" s="415">
        <v>888</v>
      </c>
      <c r="D108" s="416" t="s">
        <v>21</v>
      </c>
      <c r="E108" s="217" t="s">
        <v>599</v>
      </c>
      <c r="F108" s="218" t="s">
        <v>23</v>
      </c>
      <c r="G108" s="1578">
        <v>107000</v>
      </c>
      <c r="H108" s="1830" t="s">
        <v>4729</v>
      </c>
      <c r="I108" s="118" t="s">
        <v>25</v>
      </c>
      <c r="J108" s="119"/>
      <c r="K108" s="1168"/>
      <c r="L108" s="192"/>
      <c r="M108" s="192"/>
      <c r="N108" s="215"/>
      <c r="O108" s="449" t="s">
        <v>5883</v>
      </c>
      <c r="Q108" s="118" t="s">
        <v>25</v>
      </c>
      <c r="R108" s="119"/>
      <c r="S108" s="1168"/>
      <c r="T108" s="192"/>
      <c r="U108" s="192"/>
      <c r="V108" s="215"/>
    </row>
    <row r="109" spans="1:22" x14ac:dyDescent="0.3">
      <c r="A109" s="2392">
        <v>3</v>
      </c>
      <c r="B109" s="1579" t="s">
        <v>4806</v>
      </c>
      <c r="C109" s="89" t="s">
        <v>4798</v>
      </c>
      <c r="D109" s="230" t="s">
        <v>21</v>
      </c>
      <c r="E109" s="201" t="s">
        <v>600</v>
      </c>
      <c r="F109" s="176" t="s">
        <v>23</v>
      </c>
      <c r="G109" s="1581">
        <v>107000</v>
      </c>
      <c r="H109" s="1830" t="s">
        <v>4729</v>
      </c>
      <c r="I109" s="118"/>
      <c r="J109" s="1274" t="s">
        <v>25</v>
      </c>
      <c r="K109" s="1196"/>
      <c r="L109" s="234"/>
      <c r="M109" s="234"/>
      <c r="N109" s="88"/>
      <c r="O109" s="469" t="s">
        <v>5884</v>
      </c>
      <c r="P109" s="1">
        <v>1</v>
      </c>
      <c r="Q109" s="118"/>
      <c r="R109" s="1274" t="s">
        <v>25</v>
      </c>
      <c r="S109" s="1196"/>
      <c r="T109" s="234"/>
      <c r="U109" s="234"/>
      <c r="V109" s="88"/>
    </row>
    <row r="110" spans="1:22" ht="17.399999999999999" x14ac:dyDescent="0.45">
      <c r="G110" s="231">
        <f>SUM(G107:G109)</f>
        <v>321000</v>
      </c>
      <c r="Q110" s="1">
        <f>COUNTA(Q7:Q109)</f>
        <v>95</v>
      </c>
      <c r="R110" s="1">
        <f t="shared" ref="R110:V110" si="0">COUNTA(R7:R109)</f>
        <v>1</v>
      </c>
      <c r="S110" s="1">
        <f t="shared" si="0"/>
        <v>0</v>
      </c>
      <c r="T110" s="1">
        <f t="shared" si="0"/>
        <v>0</v>
      </c>
      <c r="U110" s="1">
        <f t="shared" si="0"/>
        <v>0</v>
      </c>
      <c r="V110" s="1">
        <f t="shared" si="0"/>
        <v>0</v>
      </c>
    </row>
    <row r="111" spans="1:22" ht="17.399999999999999" x14ac:dyDescent="0.45">
      <c r="G111" s="763">
        <f>G102+G105+G110</f>
        <v>1403000</v>
      </c>
    </row>
    <row r="112" spans="1:22" ht="7.5" customHeight="1" x14ac:dyDescent="0.45">
      <c r="G112" s="763"/>
    </row>
    <row r="113" spans="1:15" ht="20.25" customHeight="1" x14ac:dyDescent="0.35">
      <c r="B113" s="502" t="s">
        <v>601</v>
      </c>
      <c r="C113" s="502"/>
      <c r="D113" s="505"/>
      <c r="E113" s="509"/>
      <c r="F113" s="505"/>
      <c r="G113" s="504" t="s">
        <v>602</v>
      </c>
      <c r="H113" s="1"/>
      <c r="I113" s="505"/>
      <c r="J113" s="505" t="s">
        <v>603</v>
      </c>
      <c r="K113" s="505"/>
      <c r="L113" s="505"/>
      <c r="M113" s="505"/>
      <c r="O113" s="506"/>
    </row>
    <row r="114" spans="1:15" ht="18" x14ac:dyDescent="0.35">
      <c r="B114" s="507" t="s">
        <v>604</v>
      </c>
      <c r="C114" s="508"/>
      <c r="D114" s="505"/>
      <c r="E114" s="509"/>
      <c r="F114" s="505"/>
      <c r="G114" s="504"/>
      <c r="H114" s="509" t="s">
        <v>605</v>
      </c>
      <c r="J114" s="505"/>
      <c r="K114" s="505"/>
      <c r="L114" s="505"/>
      <c r="M114" s="505"/>
      <c r="O114" s="506"/>
    </row>
    <row r="115" spans="1:15" ht="18" x14ac:dyDescent="0.35">
      <c r="B115" s="507" t="s">
        <v>606</v>
      </c>
      <c r="C115" s="508"/>
      <c r="D115" s="505"/>
      <c r="E115" s="509"/>
      <c r="F115" s="505"/>
      <c r="G115" s="504"/>
      <c r="H115" s="509" t="s">
        <v>607</v>
      </c>
      <c r="J115" s="505"/>
      <c r="K115" s="505"/>
      <c r="L115" s="505"/>
      <c r="M115" s="505"/>
      <c r="O115" s="506"/>
    </row>
    <row r="116" spans="1:15" ht="10.5" customHeight="1" x14ac:dyDescent="0.35">
      <c r="B116" s="502"/>
      <c r="C116" s="502"/>
      <c r="D116" s="505"/>
      <c r="E116" s="509"/>
      <c r="F116" s="505"/>
      <c r="G116" s="790"/>
      <c r="H116" s="505"/>
      <c r="I116" s="505"/>
      <c r="J116" s="505"/>
      <c r="K116" s="505"/>
      <c r="L116" s="505"/>
      <c r="M116" s="505"/>
      <c r="O116" s="506"/>
    </row>
    <row r="117" spans="1:15" ht="18" x14ac:dyDescent="0.35">
      <c r="B117" s="502" t="s">
        <v>5313</v>
      </c>
      <c r="C117" s="502"/>
      <c r="D117" s="505"/>
      <c r="E117" s="509"/>
      <c r="F117" s="505"/>
      <c r="G117" s="504"/>
      <c r="H117" s="1"/>
      <c r="I117" s="505"/>
      <c r="J117" s="505"/>
      <c r="K117" s="505"/>
      <c r="L117" s="505"/>
      <c r="M117" s="505"/>
      <c r="O117" s="506"/>
    </row>
    <row r="118" spans="1:15" ht="18" x14ac:dyDescent="0.35">
      <c r="B118" s="507" t="s">
        <v>609</v>
      </c>
      <c r="C118" s="508"/>
      <c r="D118" s="505"/>
      <c r="E118" s="509"/>
      <c r="F118" s="505"/>
      <c r="G118" s="504"/>
      <c r="H118" s="509"/>
      <c r="J118" s="505"/>
      <c r="K118" s="505"/>
      <c r="L118" s="505"/>
      <c r="M118" s="505"/>
      <c r="O118" s="506"/>
    </row>
    <row r="119" spans="1:15" ht="18" x14ac:dyDescent="0.35">
      <c r="B119" s="507" t="s">
        <v>610</v>
      </c>
      <c r="C119" s="508"/>
      <c r="D119" s="505"/>
      <c r="E119" s="509"/>
      <c r="F119" s="505"/>
      <c r="G119" s="504"/>
      <c r="H119" s="509"/>
      <c r="J119" s="505"/>
      <c r="K119" s="505"/>
      <c r="L119" s="505"/>
      <c r="M119" s="505"/>
      <c r="O119" s="506"/>
    </row>
    <row r="120" spans="1:15" ht="9.75" customHeight="1" x14ac:dyDescent="0.35">
      <c r="B120" s="505"/>
      <c r="C120" s="505"/>
      <c r="D120" s="505"/>
      <c r="E120" s="509"/>
      <c r="F120" s="505"/>
      <c r="G120" s="790"/>
      <c r="H120" s="505"/>
      <c r="I120" s="505"/>
      <c r="J120" s="505"/>
      <c r="K120" s="505"/>
      <c r="L120" s="505"/>
      <c r="M120" s="505"/>
      <c r="O120" s="506"/>
    </row>
    <row r="121" spans="1:15" ht="18" x14ac:dyDescent="0.35">
      <c r="C121" s="505"/>
      <c r="D121" s="505"/>
      <c r="E121" s="509"/>
      <c r="F121" s="505"/>
      <c r="G121" s="504"/>
      <c r="H121" s="505"/>
      <c r="I121" s="505"/>
      <c r="J121" s="505"/>
      <c r="K121" s="505"/>
      <c r="L121" s="505"/>
      <c r="M121" s="505"/>
      <c r="O121" s="506"/>
    </row>
    <row r="122" spans="1:15" ht="18" x14ac:dyDescent="0.35">
      <c r="A122" s="1"/>
      <c r="B122" s="509"/>
      <c r="C122" s="505"/>
      <c r="D122" s="505"/>
      <c r="E122" s="509"/>
      <c r="F122" s="505"/>
      <c r="G122" s="504"/>
      <c r="H122" s="509"/>
      <c r="I122" s="505"/>
      <c r="J122" s="505"/>
      <c r="K122" s="505"/>
      <c r="L122" s="505"/>
      <c r="M122" s="505"/>
      <c r="O122" s="506"/>
    </row>
    <row r="123" spans="1:15" ht="18" x14ac:dyDescent="0.35">
      <c r="A123" s="1"/>
      <c r="B123" s="509"/>
      <c r="C123" s="505"/>
      <c r="D123" s="505"/>
      <c r="E123" s="509"/>
      <c r="F123" s="505"/>
      <c r="G123" s="504"/>
      <c r="H123" s="509"/>
      <c r="I123" s="505"/>
      <c r="J123" s="505"/>
      <c r="K123" s="505"/>
      <c r="L123" s="505"/>
      <c r="M123" s="505"/>
      <c r="O123" s="1"/>
    </row>
  </sheetData>
  <mergeCells count="10">
    <mergeCell ref="A1:O1"/>
    <mergeCell ref="A2:O2"/>
    <mergeCell ref="A3:B3"/>
    <mergeCell ref="A4:A5"/>
    <mergeCell ref="B4:B5"/>
    <mergeCell ref="C4:E5"/>
    <mergeCell ref="G4:G5"/>
    <mergeCell ref="H4:H5"/>
    <mergeCell ref="I4:N4"/>
    <mergeCell ref="O4:O5"/>
  </mergeCells>
  <pageMargins left="0.31496062992125984" right="0.31496062992125984" top="0.55000000000000004" bottom="0.11811023622047245" header="0.11811023622047245" footer="0.31496062992125984"/>
  <pageSetup paperSize="9" orientation="landscape" horizontalDpi="4294967293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430"/>
  <sheetViews>
    <sheetView topLeftCell="A412" workbookViewId="0">
      <selection activeCell="B381" sqref="B381"/>
    </sheetView>
  </sheetViews>
  <sheetFormatPr defaultColWidth="9.109375" defaultRowHeight="15.6" x14ac:dyDescent="0.3"/>
  <cols>
    <col min="1" max="1" width="5.44140625" style="320" customWidth="1"/>
    <col min="2" max="2" width="39.109375" style="1" customWidth="1"/>
    <col min="3" max="3" width="4.5546875" style="1" customWidth="1"/>
    <col min="4" max="4" width="3.109375" style="1" customWidth="1"/>
    <col min="5" max="5" width="4.44140625" style="764" customWidth="1"/>
    <col min="6" max="6" width="4" style="1839" customWidth="1"/>
    <col min="7" max="7" width="9.88671875" style="1" customWidth="1"/>
    <col min="8" max="8" width="12.6640625" style="766" customWidth="1"/>
    <col min="9" max="9" width="25.88671875" style="497" customWidth="1"/>
    <col min="10" max="15" width="3.33203125" style="1" customWidth="1"/>
    <col min="16" max="16" width="13" style="498" customWidth="1"/>
    <col min="17" max="16384" width="9.109375" style="1612"/>
  </cols>
  <sheetData>
    <row r="1" spans="1:24" s="1" customFormat="1" ht="18" x14ac:dyDescent="0.35">
      <c r="A1" s="2842" t="s">
        <v>5759</v>
      </c>
      <c r="B1" s="2842"/>
      <c r="C1" s="2842"/>
      <c r="D1" s="2842"/>
      <c r="E1" s="2842"/>
      <c r="F1" s="2842"/>
      <c r="G1" s="2842"/>
      <c r="H1" s="2842"/>
      <c r="I1" s="2842"/>
      <c r="J1" s="2842"/>
      <c r="K1" s="2842"/>
      <c r="L1" s="2842"/>
      <c r="M1" s="2842"/>
      <c r="N1" s="2842"/>
      <c r="O1" s="2842"/>
      <c r="P1" s="2842"/>
    </row>
    <row r="2" spans="1:24" s="1" customFormat="1" ht="18" x14ac:dyDescent="0.35">
      <c r="B2" s="1946"/>
      <c r="C2" s="1946"/>
      <c r="D2" s="1946"/>
      <c r="E2" s="1946"/>
      <c r="F2" s="1946"/>
      <c r="G2" s="1946" t="s">
        <v>1</v>
      </c>
      <c r="H2" s="1946"/>
      <c r="I2" s="1946"/>
      <c r="J2" s="1946"/>
      <c r="K2" s="1946"/>
      <c r="L2" s="1946"/>
      <c r="M2" s="1946"/>
      <c r="N2" s="1946" t="s">
        <v>5758</v>
      </c>
      <c r="O2" s="1946"/>
      <c r="P2" s="1946"/>
    </row>
    <row r="3" spans="1:24" s="10" customFormat="1" x14ac:dyDescent="0.3">
      <c r="A3" s="2844" t="s">
        <v>3</v>
      </c>
      <c r="B3" s="2856" t="s">
        <v>4</v>
      </c>
      <c r="C3" s="2862" t="s">
        <v>5</v>
      </c>
      <c r="D3" s="2966"/>
      <c r="E3" s="2966"/>
      <c r="F3" s="2967"/>
      <c r="G3" s="513" t="s">
        <v>6</v>
      </c>
      <c r="H3" s="2864" t="s">
        <v>7</v>
      </c>
      <c r="I3" s="2856" t="s">
        <v>8</v>
      </c>
      <c r="J3" s="2858" t="s">
        <v>9</v>
      </c>
      <c r="K3" s="2859"/>
      <c r="L3" s="2859"/>
      <c r="M3" s="2859"/>
      <c r="N3" s="2859"/>
      <c r="O3" s="2860"/>
      <c r="P3" s="9" t="s">
        <v>10</v>
      </c>
    </row>
    <row r="4" spans="1:24" s="10" customFormat="1" ht="33" x14ac:dyDescent="0.3">
      <c r="A4" s="2845"/>
      <c r="B4" s="2857"/>
      <c r="C4" s="2863"/>
      <c r="D4" s="2914"/>
      <c r="E4" s="2914"/>
      <c r="F4" s="2915"/>
      <c r="G4" s="514" t="s">
        <v>11</v>
      </c>
      <c r="H4" s="2865"/>
      <c r="I4" s="2857"/>
      <c r="J4" s="14" t="s">
        <v>12</v>
      </c>
      <c r="K4" s="14" t="s">
        <v>13</v>
      </c>
      <c r="L4" s="15" t="s">
        <v>14</v>
      </c>
      <c r="M4" s="15" t="s">
        <v>15</v>
      </c>
      <c r="N4" s="15" t="s">
        <v>16</v>
      </c>
      <c r="O4" s="15" t="s">
        <v>17</v>
      </c>
      <c r="P4" s="13"/>
    </row>
    <row r="5" spans="1:24" s="10" customFormat="1" ht="18" x14ac:dyDescent="0.35">
      <c r="A5" s="2968" t="s">
        <v>5757</v>
      </c>
      <c r="B5" s="2969"/>
      <c r="C5" s="858"/>
      <c r="D5" s="858"/>
      <c r="E5" s="858"/>
      <c r="F5" s="858"/>
      <c r="G5" s="858"/>
      <c r="H5" s="1846"/>
      <c r="I5" s="1703"/>
      <c r="J5" s="1945"/>
      <c r="K5" s="1945"/>
      <c r="L5" s="1944"/>
      <c r="M5" s="1944"/>
      <c r="N5" s="1944"/>
      <c r="O5" s="1944"/>
      <c r="P5" s="1943"/>
    </row>
    <row r="6" spans="1:24" s="1" customFormat="1" x14ac:dyDescent="0.3">
      <c r="A6" s="96">
        <v>400</v>
      </c>
      <c r="B6" s="97" t="s">
        <v>98</v>
      </c>
      <c r="C6" s="97"/>
      <c r="D6" s="97"/>
      <c r="E6" s="1843"/>
      <c r="F6" s="1842"/>
      <c r="G6" s="97"/>
      <c r="H6" s="100"/>
      <c r="I6" s="101"/>
      <c r="J6" s="97"/>
      <c r="K6" s="97"/>
      <c r="L6" s="97"/>
      <c r="M6" s="97"/>
      <c r="N6" s="97"/>
      <c r="O6" s="102"/>
      <c r="P6" s="103"/>
    </row>
    <row r="7" spans="1:24" x14ac:dyDescent="0.3">
      <c r="A7" s="2227">
        <v>1</v>
      </c>
      <c r="B7" s="248" t="s">
        <v>5706</v>
      </c>
      <c r="C7" s="2970" t="s">
        <v>5756</v>
      </c>
      <c r="D7" s="2971"/>
      <c r="E7" s="2971"/>
      <c r="F7" s="1942" t="s">
        <v>5316</v>
      </c>
      <c r="G7" s="218" t="s">
        <v>5315</v>
      </c>
      <c r="H7" s="192">
        <v>850</v>
      </c>
      <c r="I7" s="1773" t="s">
        <v>41</v>
      </c>
      <c r="J7" s="34"/>
      <c r="K7" s="34"/>
      <c r="L7" s="2233" t="s">
        <v>25</v>
      </c>
      <c r="M7" s="147"/>
      <c r="N7" s="147"/>
      <c r="O7" s="147"/>
      <c r="P7" s="2627" t="s">
        <v>6395</v>
      </c>
      <c r="Q7" s="1612">
        <v>1</v>
      </c>
      <c r="S7" s="34"/>
      <c r="T7" s="34"/>
      <c r="U7" s="2233" t="s">
        <v>25</v>
      </c>
      <c r="V7" s="147"/>
      <c r="W7" s="147"/>
      <c r="X7" s="147"/>
    </row>
    <row r="8" spans="1:24" x14ac:dyDescent="0.3">
      <c r="A8" s="2227">
        <v>2</v>
      </c>
      <c r="B8" s="248" t="s">
        <v>5706</v>
      </c>
      <c r="C8" s="2951" t="s">
        <v>5755</v>
      </c>
      <c r="D8" s="2952"/>
      <c r="E8" s="2952"/>
      <c r="F8" s="448" t="s">
        <v>5316</v>
      </c>
      <c r="G8" s="218" t="s">
        <v>5315</v>
      </c>
      <c r="H8" s="192">
        <v>850</v>
      </c>
      <c r="I8" s="1773" t="s">
        <v>41</v>
      </c>
      <c r="J8" s="34"/>
      <c r="K8" s="34"/>
      <c r="L8" s="2233" t="s">
        <v>25</v>
      </c>
      <c r="M8" s="147"/>
      <c r="N8" s="147"/>
      <c r="O8" s="147"/>
      <c r="P8" s="2627" t="s">
        <v>6395</v>
      </c>
      <c r="Q8" s="1612">
        <v>2</v>
      </c>
      <c r="S8" s="34"/>
      <c r="T8" s="34"/>
      <c r="U8" s="2233" t="s">
        <v>25</v>
      </c>
      <c r="V8" s="147"/>
      <c r="W8" s="147"/>
      <c r="X8" s="147"/>
    </row>
    <row r="9" spans="1:24" x14ac:dyDescent="0.3">
      <c r="A9" s="2227">
        <v>3</v>
      </c>
      <c r="B9" s="248" t="s">
        <v>5706</v>
      </c>
      <c r="C9" s="2951" t="s">
        <v>5754</v>
      </c>
      <c r="D9" s="2952"/>
      <c r="E9" s="2952"/>
      <c r="F9" s="448" t="s">
        <v>5316</v>
      </c>
      <c r="G9" s="218" t="s">
        <v>5315</v>
      </c>
      <c r="H9" s="192">
        <v>850</v>
      </c>
      <c r="I9" s="1773" t="s">
        <v>41</v>
      </c>
      <c r="J9" s="34"/>
      <c r="K9" s="34"/>
      <c r="L9" s="2233" t="s">
        <v>25</v>
      </c>
      <c r="M9" s="147"/>
      <c r="N9" s="147"/>
      <c r="O9" s="147"/>
      <c r="P9" s="2627" t="s">
        <v>6395</v>
      </c>
      <c r="Q9" s="1612">
        <v>3</v>
      </c>
      <c r="S9" s="34"/>
      <c r="T9" s="34"/>
      <c r="U9" s="2233" t="s">
        <v>25</v>
      </c>
      <c r="V9" s="147"/>
      <c r="W9" s="147"/>
      <c r="X9" s="147"/>
    </row>
    <row r="10" spans="1:24" x14ac:dyDescent="0.3">
      <c r="A10" s="2227">
        <v>4</v>
      </c>
      <c r="B10" s="248" t="s">
        <v>5706</v>
      </c>
      <c r="C10" s="2951" t="s">
        <v>5753</v>
      </c>
      <c r="D10" s="2952"/>
      <c r="E10" s="2952"/>
      <c r="F10" s="448" t="s">
        <v>5316</v>
      </c>
      <c r="G10" s="218" t="s">
        <v>5315</v>
      </c>
      <c r="H10" s="192">
        <v>850</v>
      </c>
      <c r="I10" s="1773" t="s">
        <v>41</v>
      </c>
      <c r="J10" s="34"/>
      <c r="K10" s="34"/>
      <c r="L10" s="2233" t="s">
        <v>25</v>
      </c>
      <c r="M10" s="147"/>
      <c r="N10" s="147"/>
      <c r="O10" s="147"/>
      <c r="P10" s="2627" t="s">
        <v>6395</v>
      </c>
      <c r="Q10" s="1612">
        <v>4</v>
      </c>
      <c r="S10" s="34"/>
      <c r="T10" s="34"/>
      <c r="U10" s="2233" t="s">
        <v>25</v>
      </c>
      <c r="V10" s="147"/>
      <c r="W10" s="147"/>
      <c r="X10" s="147"/>
    </row>
    <row r="11" spans="1:24" x14ac:dyDescent="0.3">
      <c r="A11" s="2227">
        <v>5</v>
      </c>
      <c r="B11" s="248" t="s">
        <v>5706</v>
      </c>
      <c r="C11" s="2951" t="s">
        <v>5752</v>
      </c>
      <c r="D11" s="2952"/>
      <c r="E11" s="2952"/>
      <c r="F11" s="448" t="s">
        <v>5316</v>
      </c>
      <c r="G11" s="218" t="s">
        <v>5315</v>
      </c>
      <c r="H11" s="192">
        <v>850</v>
      </c>
      <c r="I11" s="1773" t="s">
        <v>41</v>
      </c>
      <c r="J11" s="34"/>
      <c r="K11" s="34"/>
      <c r="L11" s="2233" t="s">
        <v>25</v>
      </c>
      <c r="M11" s="147"/>
      <c r="N11" s="147"/>
      <c r="O11" s="147"/>
      <c r="P11" s="2627" t="s">
        <v>6395</v>
      </c>
      <c r="Q11" s="1612">
        <v>5</v>
      </c>
      <c r="S11" s="34"/>
      <c r="T11" s="34"/>
      <c r="U11" s="2233" t="s">
        <v>25</v>
      </c>
      <c r="V11" s="147"/>
      <c r="W11" s="147"/>
      <c r="X11" s="147"/>
    </row>
    <row r="12" spans="1:24" x14ac:dyDescent="0.3">
      <c r="A12" s="2227">
        <v>6</v>
      </c>
      <c r="B12" s="248" t="s">
        <v>5706</v>
      </c>
      <c r="C12" s="2951" t="s">
        <v>5751</v>
      </c>
      <c r="D12" s="2952"/>
      <c r="E12" s="2952"/>
      <c r="F12" s="448" t="s">
        <v>5316</v>
      </c>
      <c r="G12" s="218" t="s">
        <v>5315</v>
      </c>
      <c r="H12" s="192">
        <v>850</v>
      </c>
      <c r="I12" s="1773" t="s">
        <v>41</v>
      </c>
      <c r="J12" s="34"/>
      <c r="K12" s="34"/>
      <c r="L12" s="2233" t="s">
        <v>25</v>
      </c>
      <c r="M12" s="147"/>
      <c r="N12" s="147"/>
      <c r="O12" s="147"/>
      <c r="P12" s="2627" t="s">
        <v>6395</v>
      </c>
      <c r="Q12" s="1612">
        <v>6</v>
      </c>
      <c r="S12" s="34"/>
      <c r="T12" s="34"/>
      <c r="U12" s="2233" t="s">
        <v>25</v>
      </c>
      <c r="V12" s="147"/>
      <c r="W12" s="147"/>
      <c r="X12" s="147"/>
    </row>
    <row r="13" spans="1:24" x14ac:dyDescent="0.3">
      <c r="A13" s="2227">
        <v>7</v>
      </c>
      <c r="B13" s="248" t="s">
        <v>5706</v>
      </c>
      <c r="C13" s="2951" t="s">
        <v>5750</v>
      </c>
      <c r="D13" s="2952"/>
      <c r="E13" s="2952"/>
      <c r="F13" s="448" t="s">
        <v>5316</v>
      </c>
      <c r="G13" s="218" t="s">
        <v>5315</v>
      </c>
      <c r="H13" s="192">
        <v>850</v>
      </c>
      <c r="I13" s="1773" t="s">
        <v>41</v>
      </c>
      <c r="J13" s="34"/>
      <c r="K13" s="34"/>
      <c r="L13" s="2233" t="s">
        <v>25</v>
      </c>
      <c r="M13" s="147"/>
      <c r="N13" s="147"/>
      <c r="O13" s="147"/>
      <c r="P13" s="2627" t="s">
        <v>6395</v>
      </c>
      <c r="Q13" s="1612">
        <v>7</v>
      </c>
      <c r="S13" s="34"/>
      <c r="T13" s="34"/>
      <c r="U13" s="2233" t="s">
        <v>25</v>
      </c>
      <c r="V13" s="147"/>
      <c r="W13" s="147"/>
      <c r="X13" s="147"/>
    </row>
    <row r="14" spans="1:24" x14ac:dyDescent="0.3">
      <c r="A14" s="2227">
        <v>8</v>
      </c>
      <c r="B14" s="248" t="s">
        <v>5706</v>
      </c>
      <c r="C14" s="2951" t="s">
        <v>5749</v>
      </c>
      <c r="D14" s="2952"/>
      <c r="E14" s="2952"/>
      <c r="F14" s="448" t="s">
        <v>5316</v>
      </c>
      <c r="G14" s="218" t="s">
        <v>5315</v>
      </c>
      <c r="H14" s="192">
        <v>850</v>
      </c>
      <c r="I14" s="1773" t="s">
        <v>41</v>
      </c>
      <c r="J14" s="34"/>
      <c r="K14" s="34"/>
      <c r="L14" s="2233" t="s">
        <v>25</v>
      </c>
      <c r="M14" s="147"/>
      <c r="N14" s="147"/>
      <c r="O14" s="147"/>
      <c r="P14" s="2627" t="s">
        <v>6395</v>
      </c>
      <c r="Q14" s="1612">
        <v>8</v>
      </c>
      <c r="S14" s="34"/>
      <c r="T14" s="34"/>
      <c r="U14" s="2233" t="s">
        <v>25</v>
      </c>
      <c r="V14" s="147"/>
      <c r="W14" s="147"/>
      <c r="X14" s="147"/>
    </row>
    <row r="15" spans="1:24" x14ac:dyDescent="0.3">
      <c r="A15" s="2227">
        <v>9</v>
      </c>
      <c r="B15" s="248" t="s">
        <v>5706</v>
      </c>
      <c r="C15" s="2951" t="s">
        <v>5748</v>
      </c>
      <c r="D15" s="2952"/>
      <c r="E15" s="2952"/>
      <c r="F15" s="448" t="s">
        <v>5316</v>
      </c>
      <c r="G15" s="218" t="s">
        <v>5315</v>
      </c>
      <c r="H15" s="192">
        <v>850</v>
      </c>
      <c r="I15" s="1773" t="s">
        <v>41</v>
      </c>
      <c r="J15" s="34"/>
      <c r="K15" s="34"/>
      <c r="L15" s="2233" t="s">
        <v>25</v>
      </c>
      <c r="M15" s="147"/>
      <c r="N15" s="147"/>
      <c r="O15" s="147"/>
      <c r="P15" s="2627" t="s">
        <v>6395</v>
      </c>
      <c r="Q15" s="1612">
        <v>9</v>
      </c>
      <c r="S15" s="34"/>
      <c r="T15" s="34"/>
      <c r="U15" s="2233" t="s">
        <v>25</v>
      </c>
      <c r="V15" s="147"/>
      <c r="W15" s="147"/>
      <c r="X15" s="147"/>
    </row>
    <row r="16" spans="1:24" x14ac:dyDescent="0.3">
      <c r="A16" s="2227">
        <v>10</v>
      </c>
      <c r="B16" s="248" t="s">
        <v>5706</v>
      </c>
      <c r="C16" s="2951" t="s">
        <v>5747</v>
      </c>
      <c r="D16" s="2952"/>
      <c r="E16" s="2952"/>
      <c r="F16" s="448" t="s">
        <v>5316</v>
      </c>
      <c r="G16" s="218" t="s">
        <v>5315</v>
      </c>
      <c r="H16" s="192">
        <v>850</v>
      </c>
      <c r="I16" s="1773" t="s">
        <v>41</v>
      </c>
      <c r="J16" s="34"/>
      <c r="K16" s="34"/>
      <c r="L16" s="2233" t="s">
        <v>25</v>
      </c>
      <c r="M16" s="147"/>
      <c r="N16" s="147"/>
      <c r="O16" s="147"/>
      <c r="P16" s="2627" t="s">
        <v>6395</v>
      </c>
      <c r="Q16" s="1612">
        <v>10</v>
      </c>
      <c r="S16" s="34"/>
      <c r="T16" s="34"/>
      <c r="U16" s="2233" t="s">
        <v>25</v>
      </c>
      <c r="V16" s="147"/>
      <c r="W16" s="147"/>
      <c r="X16" s="147"/>
    </row>
    <row r="17" spans="1:24" x14ac:dyDescent="0.3">
      <c r="A17" s="2227">
        <v>11</v>
      </c>
      <c r="B17" s="248" t="s">
        <v>5706</v>
      </c>
      <c r="C17" s="2951" t="s">
        <v>5746</v>
      </c>
      <c r="D17" s="2952"/>
      <c r="E17" s="2952"/>
      <c r="F17" s="448" t="s">
        <v>5316</v>
      </c>
      <c r="G17" s="218" t="s">
        <v>5315</v>
      </c>
      <c r="H17" s="192">
        <v>850</v>
      </c>
      <c r="I17" s="1773" t="s">
        <v>41</v>
      </c>
      <c r="J17" s="34"/>
      <c r="K17" s="34"/>
      <c r="L17" s="2233" t="s">
        <v>25</v>
      </c>
      <c r="M17" s="147"/>
      <c r="N17" s="147"/>
      <c r="O17" s="147"/>
      <c r="P17" s="2627" t="s">
        <v>6395</v>
      </c>
      <c r="Q17" s="1612">
        <v>11</v>
      </c>
      <c r="S17" s="34"/>
      <c r="T17" s="34"/>
      <c r="U17" s="2233" t="s">
        <v>25</v>
      </c>
      <c r="V17" s="147"/>
      <c r="W17" s="147"/>
      <c r="X17" s="147"/>
    </row>
    <row r="18" spans="1:24" x14ac:dyDescent="0.3">
      <c r="A18" s="2227">
        <v>12</v>
      </c>
      <c r="B18" s="248" t="s">
        <v>5706</v>
      </c>
      <c r="C18" s="2951" t="s">
        <v>5745</v>
      </c>
      <c r="D18" s="2952"/>
      <c r="E18" s="2952"/>
      <c r="F18" s="448" t="s">
        <v>5316</v>
      </c>
      <c r="G18" s="218" t="s">
        <v>5315</v>
      </c>
      <c r="H18" s="192">
        <v>850</v>
      </c>
      <c r="I18" s="1773" t="s">
        <v>41</v>
      </c>
      <c r="J18" s="34"/>
      <c r="K18" s="34"/>
      <c r="L18" s="2233" t="s">
        <v>25</v>
      </c>
      <c r="M18" s="147"/>
      <c r="N18" s="147"/>
      <c r="O18" s="147"/>
      <c r="P18" s="2627" t="s">
        <v>6395</v>
      </c>
      <c r="Q18" s="1612">
        <v>12</v>
      </c>
      <c r="S18" s="34"/>
      <c r="T18" s="34"/>
      <c r="U18" s="2233" t="s">
        <v>25</v>
      </c>
      <c r="V18" s="147"/>
      <c r="W18" s="147"/>
      <c r="X18" s="147"/>
    </row>
    <row r="19" spans="1:24" x14ac:dyDescent="0.3">
      <c r="A19" s="2227">
        <v>13</v>
      </c>
      <c r="B19" s="248" t="s">
        <v>5706</v>
      </c>
      <c r="C19" s="2951" t="s">
        <v>5744</v>
      </c>
      <c r="D19" s="2952"/>
      <c r="E19" s="2952"/>
      <c r="F19" s="448" t="s">
        <v>5316</v>
      </c>
      <c r="G19" s="218" t="s">
        <v>5315</v>
      </c>
      <c r="H19" s="192">
        <v>850</v>
      </c>
      <c r="I19" s="1773" t="s">
        <v>41</v>
      </c>
      <c r="J19" s="34"/>
      <c r="K19" s="34"/>
      <c r="L19" s="2233" t="s">
        <v>25</v>
      </c>
      <c r="M19" s="147"/>
      <c r="N19" s="147"/>
      <c r="O19" s="147"/>
      <c r="P19" s="2627" t="s">
        <v>6395</v>
      </c>
      <c r="Q19" s="1612">
        <v>13</v>
      </c>
      <c r="S19" s="34"/>
      <c r="T19" s="34"/>
      <c r="U19" s="2233" t="s">
        <v>25</v>
      </c>
      <c r="V19" s="147"/>
      <c r="W19" s="147"/>
      <c r="X19" s="147"/>
    </row>
    <row r="20" spans="1:24" x14ac:dyDescent="0.3">
      <c r="A20" s="2227">
        <v>14</v>
      </c>
      <c r="B20" s="248" t="s">
        <v>5706</v>
      </c>
      <c r="C20" s="2951" t="s">
        <v>5743</v>
      </c>
      <c r="D20" s="2952"/>
      <c r="E20" s="2952"/>
      <c r="F20" s="448" t="s">
        <v>5316</v>
      </c>
      <c r="G20" s="218" t="s">
        <v>5315</v>
      </c>
      <c r="H20" s="192">
        <v>850</v>
      </c>
      <c r="I20" s="1773" t="s">
        <v>41</v>
      </c>
      <c r="J20" s="34"/>
      <c r="K20" s="34"/>
      <c r="L20" s="2233" t="s">
        <v>25</v>
      </c>
      <c r="M20" s="147"/>
      <c r="N20" s="147"/>
      <c r="O20" s="147"/>
      <c r="P20" s="2627" t="s">
        <v>6395</v>
      </c>
      <c r="Q20" s="1612">
        <v>14</v>
      </c>
      <c r="S20" s="34"/>
      <c r="T20" s="34"/>
      <c r="U20" s="2233" t="s">
        <v>25</v>
      </c>
      <c r="V20" s="147"/>
      <c r="W20" s="147"/>
      <c r="X20" s="147"/>
    </row>
    <row r="21" spans="1:24" x14ac:dyDescent="0.3">
      <c r="A21" s="2227">
        <v>15</v>
      </c>
      <c r="B21" s="248" t="s">
        <v>5706</v>
      </c>
      <c r="C21" s="2951" t="s">
        <v>5742</v>
      </c>
      <c r="D21" s="2952"/>
      <c r="E21" s="2952"/>
      <c r="F21" s="448" t="s">
        <v>5316</v>
      </c>
      <c r="G21" s="218" t="s">
        <v>5315</v>
      </c>
      <c r="H21" s="192">
        <v>850</v>
      </c>
      <c r="I21" s="1773" t="s">
        <v>41</v>
      </c>
      <c r="J21" s="34"/>
      <c r="K21" s="34"/>
      <c r="L21" s="2233" t="s">
        <v>25</v>
      </c>
      <c r="M21" s="803"/>
      <c r="N21" s="803"/>
      <c r="O21" s="803"/>
      <c r="P21" s="2627" t="s">
        <v>6395</v>
      </c>
      <c r="Q21" s="1612">
        <v>15</v>
      </c>
      <c r="S21" s="34"/>
      <c r="T21" s="34"/>
      <c r="U21" s="2233" t="s">
        <v>25</v>
      </c>
      <c r="V21" s="803"/>
      <c r="W21" s="803"/>
      <c r="X21" s="803"/>
    </row>
    <row r="22" spans="1:24" x14ac:dyDescent="0.3">
      <c r="A22" s="2227">
        <v>16</v>
      </c>
      <c r="B22" s="248" t="s">
        <v>5706</v>
      </c>
      <c r="C22" s="2951" t="s">
        <v>5741</v>
      </c>
      <c r="D22" s="2952"/>
      <c r="E22" s="2952"/>
      <c r="F22" s="448" t="s">
        <v>5316</v>
      </c>
      <c r="G22" s="218" t="s">
        <v>5315</v>
      </c>
      <c r="H22" s="192">
        <v>850</v>
      </c>
      <c r="I22" s="1773" t="s">
        <v>41</v>
      </c>
      <c r="J22" s="34"/>
      <c r="K22" s="34"/>
      <c r="L22" s="2233" t="s">
        <v>25</v>
      </c>
      <c r="M22" s="803"/>
      <c r="N22" s="803"/>
      <c r="O22" s="803"/>
      <c r="P22" s="2627" t="s">
        <v>6395</v>
      </c>
      <c r="Q22" s="1612">
        <v>16</v>
      </c>
      <c r="S22" s="34"/>
      <c r="T22" s="34"/>
      <c r="U22" s="2233" t="s">
        <v>25</v>
      </c>
      <c r="V22" s="803"/>
      <c r="W22" s="803"/>
      <c r="X22" s="803"/>
    </row>
    <row r="23" spans="1:24" x14ac:dyDescent="0.3">
      <c r="A23" s="2227">
        <v>17</v>
      </c>
      <c r="B23" s="248" t="s">
        <v>5706</v>
      </c>
      <c r="C23" s="2951" t="s">
        <v>5740</v>
      </c>
      <c r="D23" s="2952"/>
      <c r="E23" s="2952"/>
      <c r="F23" s="448" t="s">
        <v>5316</v>
      </c>
      <c r="G23" s="218" t="s">
        <v>5315</v>
      </c>
      <c r="H23" s="192">
        <v>850</v>
      </c>
      <c r="I23" s="1773" t="s">
        <v>41</v>
      </c>
      <c r="J23" s="34"/>
      <c r="K23" s="34"/>
      <c r="L23" s="2233" t="s">
        <v>25</v>
      </c>
      <c r="M23" s="803"/>
      <c r="N23" s="803"/>
      <c r="O23" s="803"/>
      <c r="P23" s="2627" t="s">
        <v>6395</v>
      </c>
      <c r="Q23" s="1612">
        <v>17</v>
      </c>
      <c r="S23" s="34"/>
      <c r="T23" s="34"/>
      <c r="U23" s="2233" t="s">
        <v>25</v>
      </c>
      <c r="V23" s="803"/>
      <c r="W23" s="803"/>
      <c r="X23" s="803"/>
    </row>
    <row r="24" spans="1:24" x14ac:dyDescent="0.3">
      <c r="A24" s="2227">
        <v>18</v>
      </c>
      <c r="B24" s="248" t="s">
        <v>5706</v>
      </c>
      <c r="C24" s="2951" t="s">
        <v>5739</v>
      </c>
      <c r="D24" s="2952"/>
      <c r="E24" s="2952"/>
      <c r="F24" s="448" t="s">
        <v>5316</v>
      </c>
      <c r="G24" s="218" t="s">
        <v>5315</v>
      </c>
      <c r="H24" s="192">
        <v>850</v>
      </c>
      <c r="I24" s="1773" t="s">
        <v>41</v>
      </c>
      <c r="J24" s="34"/>
      <c r="K24" s="34"/>
      <c r="L24" s="2233" t="s">
        <v>25</v>
      </c>
      <c r="M24" s="803"/>
      <c r="N24" s="803"/>
      <c r="O24" s="803"/>
      <c r="P24" s="2627" t="s">
        <v>6395</v>
      </c>
      <c r="Q24" s="1612">
        <v>18</v>
      </c>
      <c r="S24" s="34"/>
      <c r="T24" s="34"/>
      <c r="U24" s="2233" t="s">
        <v>25</v>
      </c>
      <c r="V24" s="803"/>
      <c r="W24" s="803"/>
      <c r="X24" s="803"/>
    </row>
    <row r="25" spans="1:24" x14ac:dyDescent="0.3">
      <c r="A25" s="2227">
        <v>19</v>
      </c>
      <c r="B25" s="248" t="s">
        <v>5706</v>
      </c>
      <c r="C25" s="2951" t="s">
        <v>5738</v>
      </c>
      <c r="D25" s="2952"/>
      <c r="E25" s="2952"/>
      <c r="F25" s="448" t="s">
        <v>5316</v>
      </c>
      <c r="G25" s="218" t="s">
        <v>5315</v>
      </c>
      <c r="H25" s="192">
        <v>850</v>
      </c>
      <c r="I25" s="1773" t="s">
        <v>41</v>
      </c>
      <c r="J25" s="34"/>
      <c r="K25" s="34"/>
      <c r="L25" s="2233" t="s">
        <v>25</v>
      </c>
      <c r="M25" s="803"/>
      <c r="N25" s="803"/>
      <c r="O25" s="803"/>
      <c r="P25" s="2627" t="s">
        <v>6395</v>
      </c>
      <c r="Q25" s="1612">
        <v>19</v>
      </c>
      <c r="S25" s="34"/>
      <c r="T25" s="34"/>
      <c r="U25" s="2233" t="s">
        <v>25</v>
      </c>
      <c r="V25" s="803"/>
      <c r="W25" s="803"/>
      <c r="X25" s="803"/>
    </row>
    <row r="26" spans="1:24" x14ac:dyDescent="0.3">
      <c r="A26" s="2227">
        <v>20</v>
      </c>
      <c r="B26" s="248" t="s">
        <v>5706</v>
      </c>
      <c r="C26" s="2951" t="s">
        <v>5737</v>
      </c>
      <c r="D26" s="2952"/>
      <c r="E26" s="2952"/>
      <c r="F26" s="448" t="s">
        <v>5316</v>
      </c>
      <c r="G26" s="218" t="s">
        <v>5315</v>
      </c>
      <c r="H26" s="192">
        <v>850</v>
      </c>
      <c r="I26" s="1773" t="s">
        <v>41</v>
      </c>
      <c r="J26" s="34"/>
      <c r="K26" s="34"/>
      <c r="L26" s="2233" t="s">
        <v>25</v>
      </c>
      <c r="M26" s="803"/>
      <c r="N26" s="803"/>
      <c r="O26" s="803"/>
      <c r="P26" s="2627" t="s">
        <v>6395</v>
      </c>
      <c r="Q26" s="1612">
        <v>20</v>
      </c>
      <c r="S26" s="34"/>
      <c r="T26" s="34"/>
      <c r="U26" s="2233" t="s">
        <v>25</v>
      </c>
      <c r="V26" s="803"/>
      <c r="W26" s="803"/>
      <c r="X26" s="803"/>
    </row>
    <row r="27" spans="1:24" x14ac:dyDescent="0.3">
      <c r="A27" s="2227">
        <v>21</v>
      </c>
      <c r="B27" s="248" t="s">
        <v>5706</v>
      </c>
      <c r="C27" s="2951" t="s">
        <v>5736</v>
      </c>
      <c r="D27" s="2952"/>
      <c r="E27" s="2952"/>
      <c r="F27" s="448" t="s">
        <v>5316</v>
      </c>
      <c r="G27" s="218" t="s">
        <v>5315</v>
      </c>
      <c r="H27" s="192">
        <v>850</v>
      </c>
      <c r="I27" s="1773" t="s">
        <v>41</v>
      </c>
      <c r="J27" s="34"/>
      <c r="K27" s="34"/>
      <c r="L27" s="2233" t="s">
        <v>25</v>
      </c>
      <c r="M27" s="803"/>
      <c r="N27" s="803"/>
      <c r="O27" s="803"/>
      <c r="P27" s="2627" t="s">
        <v>6395</v>
      </c>
      <c r="Q27" s="1612">
        <v>21</v>
      </c>
      <c r="S27" s="34"/>
      <c r="T27" s="34"/>
      <c r="U27" s="2233" t="s">
        <v>25</v>
      </c>
      <c r="V27" s="803"/>
      <c r="W27" s="803"/>
      <c r="X27" s="803"/>
    </row>
    <row r="28" spans="1:24" x14ac:dyDescent="0.3">
      <c r="A28" s="2227">
        <v>22</v>
      </c>
      <c r="B28" s="248" t="s">
        <v>5706</v>
      </c>
      <c r="C28" s="2951" t="s">
        <v>5735</v>
      </c>
      <c r="D28" s="2952"/>
      <c r="E28" s="2952"/>
      <c r="F28" s="448" t="s">
        <v>5316</v>
      </c>
      <c r="G28" s="218" t="s">
        <v>5315</v>
      </c>
      <c r="H28" s="192">
        <v>850</v>
      </c>
      <c r="I28" s="1773" t="s">
        <v>41</v>
      </c>
      <c r="J28" s="34"/>
      <c r="K28" s="34"/>
      <c r="L28" s="2233" t="s">
        <v>25</v>
      </c>
      <c r="M28" s="803"/>
      <c r="N28" s="803"/>
      <c r="O28" s="803"/>
      <c r="P28" s="2627" t="s">
        <v>6395</v>
      </c>
      <c r="Q28" s="1612">
        <v>22</v>
      </c>
      <c r="S28" s="34"/>
      <c r="T28" s="34"/>
      <c r="U28" s="2233" t="s">
        <v>25</v>
      </c>
      <c r="V28" s="803"/>
      <c r="W28" s="803"/>
      <c r="X28" s="803"/>
    </row>
    <row r="29" spans="1:24" x14ac:dyDescent="0.3">
      <c r="A29" s="2227">
        <v>23</v>
      </c>
      <c r="B29" s="248" t="s">
        <v>5706</v>
      </c>
      <c r="C29" s="2951" t="s">
        <v>5734</v>
      </c>
      <c r="D29" s="2952"/>
      <c r="E29" s="2952"/>
      <c r="F29" s="448" t="s">
        <v>5316</v>
      </c>
      <c r="G29" s="218" t="s">
        <v>5315</v>
      </c>
      <c r="H29" s="192">
        <v>850</v>
      </c>
      <c r="I29" s="1773" t="s">
        <v>41</v>
      </c>
      <c r="J29" s="34"/>
      <c r="K29" s="34"/>
      <c r="L29" s="2233" t="s">
        <v>25</v>
      </c>
      <c r="M29" s="803"/>
      <c r="N29" s="803"/>
      <c r="O29" s="803"/>
      <c r="P29" s="2627" t="s">
        <v>6395</v>
      </c>
      <c r="Q29" s="1612">
        <v>23</v>
      </c>
      <c r="S29" s="34"/>
      <c r="T29" s="34"/>
      <c r="U29" s="2233" t="s">
        <v>25</v>
      </c>
      <c r="V29" s="803"/>
      <c r="W29" s="803"/>
      <c r="X29" s="803"/>
    </row>
    <row r="30" spans="1:24" x14ac:dyDescent="0.3">
      <c r="A30" s="2227">
        <v>24</v>
      </c>
      <c r="B30" s="248" t="s">
        <v>5706</v>
      </c>
      <c r="C30" s="2951" t="s">
        <v>5733</v>
      </c>
      <c r="D30" s="2952"/>
      <c r="E30" s="2952"/>
      <c r="F30" s="448" t="s">
        <v>5316</v>
      </c>
      <c r="G30" s="218" t="s">
        <v>5315</v>
      </c>
      <c r="H30" s="192">
        <v>850</v>
      </c>
      <c r="I30" s="1773" t="s">
        <v>41</v>
      </c>
      <c r="J30" s="34"/>
      <c r="K30" s="34"/>
      <c r="L30" s="2233" t="s">
        <v>25</v>
      </c>
      <c r="M30" s="803"/>
      <c r="N30" s="803"/>
      <c r="O30" s="803"/>
      <c r="P30" s="2627" t="s">
        <v>6395</v>
      </c>
      <c r="Q30" s="1612">
        <v>24</v>
      </c>
      <c r="S30" s="34"/>
      <c r="T30" s="34"/>
      <c r="U30" s="2233" t="s">
        <v>25</v>
      </c>
      <c r="V30" s="803"/>
      <c r="W30" s="803"/>
      <c r="X30" s="803"/>
    </row>
    <row r="31" spans="1:24" x14ac:dyDescent="0.3">
      <c r="A31" s="2227">
        <v>25</v>
      </c>
      <c r="B31" s="248" t="s">
        <v>5706</v>
      </c>
      <c r="C31" s="2951" t="s">
        <v>5732</v>
      </c>
      <c r="D31" s="2952"/>
      <c r="E31" s="2952"/>
      <c r="F31" s="448" t="s">
        <v>5316</v>
      </c>
      <c r="G31" s="218" t="s">
        <v>5315</v>
      </c>
      <c r="H31" s="192">
        <v>850</v>
      </c>
      <c r="I31" s="1773" t="s">
        <v>41</v>
      </c>
      <c r="J31" s="34"/>
      <c r="K31" s="34"/>
      <c r="L31" s="2233" t="s">
        <v>25</v>
      </c>
      <c r="M31" s="803"/>
      <c r="N31" s="803"/>
      <c r="O31" s="803"/>
      <c r="P31" s="2627" t="s">
        <v>6395</v>
      </c>
      <c r="Q31" s="1612">
        <v>25</v>
      </c>
      <c r="S31" s="34"/>
      <c r="T31" s="34"/>
      <c r="U31" s="2233" t="s">
        <v>25</v>
      </c>
      <c r="V31" s="803"/>
      <c r="W31" s="803"/>
      <c r="X31" s="803"/>
    </row>
    <row r="32" spans="1:24" x14ac:dyDescent="0.3">
      <c r="A32" s="2227">
        <v>26</v>
      </c>
      <c r="B32" s="248" t="s">
        <v>5706</v>
      </c>
      <c r="C32" s="2951" t="s">
        <v>5731</v>
      </c>
      <c r="D32" s="2952"/>
      <c r="E32" s="2952"/>
      <c r="F32" s="448" t="s">
        <v>5316</v>
      </c>
      <c r="G32" s="218" t="s">
        <v>5315</v>
      </c>
      <c r="H32" s="192">
        <v>850</v>
      </c>
      <c r="I32" s="1773" t="s">
        <v>41</v>
      </c>
      <c r="J32" s="34"/>
      <c r="K32" s="34"/>
      <c r="L32" s="2233" t="s">
        <v>25</v>
      </c>
      <c r="M32" s="803"/>
      <c r="N32" s="803"/>
      <c r="O32" s="803"/>
      <c r="P32" s="2627" t="s">
        <v>6395</v>
      </c>
      <c r="Q32" s="1612">
        <v>26</v>
      </c>
      <c r="S32" s="34"/>
      <c r="T32" s="34"/>
      <c r="U32" s="2233" t="s">
        <v>25</v>
      </c>
      <c r="V32" s="803"/>
      <c r="W32" s="803"/>
      <c r="X32" s="803"/>
    </row>
    <row r="33" spans="1:24" x14ac:dyDescent="0.3">
      <c r="A33" s="2227">
        <v>27</v>
      </c>
      <c r="B33" s="248" t="s">
        <v>5706</v>
      </c>
      <c r="C33" s="2951" t="s">
        <v>5730</v>
      </c>
      <c r="D33" s="2952"/>
      <c r="E33" s="2952"/>
      <c r="F33" s="448" t="s">
        <v>5316</v>
      </c>
      <c r="G33" s="218" t="s">
        <v>5315</v>
      </c>
      <c r="H33" s="192">
        <v>850</v>
      </c>
      <c r="I33" s="1773" t="s">
        <v>41</v>
      </c>
      <c r="J33" s="34"/>
      <c r="K33" s="34"/>
      <c r="L33" s="2233" t="s">
        <v>25</v>
      </c>
      <c r="M33" s="803"/>
      <c r="N33" s="803"/>
      <c r="O33" s="803"/>
      <c r="P33" s="2627" t="s">
        <v>6395</v>
      </c>
      <c r="Q33" s="1612">
        <v>27</v>
      </c>
      <c r="S33" s="34"/>
      <c r="T33" s="34"/>
      <c r="U33" s="2233" t="s">
        <v>25</v>
      </c>
      <c r="V33" s="803"/>
      <c r="W33" s="803"/>
      <c r="X33" s="803"/>
    </row>
    <row r="34" spans="1:24" x14ac:dyDescent="0.3">
      <c r="A34" s="2227">
        <v>28</v>
      </c>
      <c r="B34" s="248" t="s">
        <v>5706</v>
      </c>
      <c r="C34" s="2951" t="s">
        <v>5729</v>
      </c>
      <c r="D34" s="2952"/>
      <c r="E34" s="2952"/>
      <c r="F34" s="448" t="s">
        <v>5316</v>
      </c>
      <c r="G34" s="218" t="s">
        <v>5315</v>
      </c>
      <c r="H34" s="192">
        <v>850</v>
      </c>
      <c r="I34" s="1773" t="s">
        <v>41</v>
      </c>
      <c r="J34" s="34"/>
      <c r="K34" s="34"/>
      <c r="L34" s="2233" t="s">
        <v>25</v>
      </c>
      <c r="M34" s="803"/>
      <c r="N34" s="803"/>
      <c r="O34" s="803"/>
      <c r="P34" s="2627" t="s">
        <v>6395</v>
      </c>
      <c r="Q34" s="1612">
        <v>28</v>
      </c>
      <c r="S34" s="34"/>
      <c r="T34" s="34"/>
      <c r="U34" s="2233" t="s">
        <v>25</v>
      </c>
      <c r="V34" s="803"/>
      <c r="W34" s="803"/>
      <c r="X34" s="803"/>
    </row>
    <row r="35" spans="1:24" x14ac:dyDescent="0.3">
      <c r="A35" s="2227">
        <v>29</v>
      </c>
      <c r="B35" s="248" t="s">
        <v>5706</v>
      </c>
      <c r="C35" s="2951" t="s">
        <v>5728</v>
      </c>
      <c r="D35" s="2952"/>
      <c r="E35" s="2952"/>
      <c r="F35" s="448" t="s">
        <v>5316</v>
      </c>
      <c r="G35" s="218" t="s">
        <v>5315</v>
      </c>
      <c r="H35" s="192">
        <v>850</v>
      </c>
      <c r="I35" s="1773" t="s">
        <v>41</v>
      </c>
      <c r="J35" s="34"/>
      <c r="K35" s="34"/>
      <c r="L35" s="2233" t="s">
        <v>25</v>
      </c>
      <c r="M35" s="803"/>
      <c r="N35" s="803"/>
      <c r="O35" s="803"/>
      <c r="P35" s="2627" t="s">
        <v>6395</v>
      </c>
      <c r="Q35" s="1612">
        <v>29</v>
      </c>
      <c r="S35" s="34"/>
      <c r="T35" s="34"/>
      <c r="U35" s="2233" t="s">
        <v>25</v>
      </c>
      <c r="V35" s="803"/>
      <c r="W35" s="803"/>
      <c r="X35" s="803"/>
    </row>
    <row r="36" spans="1:24" x14ac:dyDescent="0.3">
      <c r="A36" s="2227">
        <v>30</v>
      </c>
      <c r="B36" s="248" t="s">
        <v>5706</v>
      </c>
      <c r="C36" s="2951" t="s">
        <v>5727</v>
      </c>
      <c r="D36" s="2952"/>
      <c r="E36" s="2952"/>
      <c r="F36" s="448" t="s">
        <v>5316</v>
      </c>
      <c r="G36" s="218" t="s">
        <v>5315</v>
      </c>
      <c r="H36" s="192">
        <v>850</v>
      </c>
      <c r="I36" s="1773" t="s">
        <v>41</v>
      </c>
      <c r="J36" s="34"/>
      <c r="K36" s="34"/>
      <c r="L36" s="2233" t="s">
        <v>25</v>
      </c>
      <c r="M36" s="803"/>
      <c r="N36" s="803"/>
      <c r="O36" s="803"/>
      <c r="P36" s="2627" t="s">
        <v>6395</v>
      </c>
      <c r="Q36" s="1612">
        <v>30</v>
      </c>
      <c r="S36" s="34"/>
      <c r="T36" s="34"/>
      <c r="U36" s="2233" t="s">
        <v>25</v>
      </c>
      <c r="V36" s="803"/>
      <c r="W36" s="803"/>
      <c r="X36" s="803"/>
    </row>
    <row r="37" spans="1:24" x14ac:dyDescent="0.3">
      <c r="A37" s="2227">
        <v>31</v>
      </c>
      <c r="B37" s="248" t="s">
        <v>5706</v>
      </c>
      <c r="C37" s="2951" t="s">
        <v>5726</v>
      </c>
      <c r="D37" s="2952"/>
      <c r="E37" s="2952"/>
      <c r="F37" s="448" t="s">
        <v>5316</v>
      </c>
      <c r="G37" s="218" t="s">
        <v>5315</v>
      </c>
      <c r="H37" s="192">
        <v>850</v>
      </c>
      <c r="I37" s="1773" t="s">
        <v>41</v>
      </c>
      <c r="J37" s="34"/>
      <c r="K37" s="34"/>
      <c r="L37" s="2233" t="s">
        <v>25</v>
      </c>
      <c r="M37" s="803"/>
      <c r="N37" s="803"/>
      <c r="O37" s="803"/>
      <c r="P37" s="2627" t="s">
        <v>6395</v>
      </c>
      <c r="Q37" s="1612">
        <v>31</v>
      </c>
      <c r="S37" s="34"/>
      <c r="T37" s="34"/>
      <c r="U37" s="2233" t="s">
        <v>25</v>
      </c>
      <c r="V37" s="803"/>
      <c r="W37" s="803"/>
      <c r="X37" s="803"/>
    </row>
    <row r="38" spans="1:24" x14ac:dyDescent="0.3">
      <c r="A38" s="2227">
        <v>32</v>
      </c>
      <c r="B38" s="248" t="s">
        <v>5706</v>
      </c>
      <c r="C38" s="2951" t="s">
        <v>5725</v>
      </c>
      <c r="D38" s="2952"/>
      <c r="E38" s="2952"/>
      <c r="F38" s="448" t="s">
        <v>5316</v>
      </c>
      <c r="G38" s="218" t="s">
        <v>5315</v>
      </c>
      <c r="H38" s="192">
        <v>850</v>
      </c>
      <c r="I38" s="1773" t="s">
        <v>41</v>
      </c>
      <c r="J38" s="34"/>
      <c r="K38" s="34"/>
      <c r="L38" s="2233" t="s">
        <v>25</v>
      </c>
      <c r="M38" s="803"/>
      <c r="N38" s="803"/>
      <c r="O38" s="803"/>
      <c r="P38" s="2627" t="s">
        <v>6395</v>
      </c>
      <c r="Q38" s="1612">
        <v>32</v>
      </c>
      <c r="S38" s="34"/>
      <c r="T38" s="34"/>
      <c r="U38" s="2233" t="s">
        <v>25</v>
      </c>
      <c r="V38" s="803"/>
      <c r="W38" s="803"/>
      <c r="X38" s="803"/>
    </row>
    <row r="39" spans="1:24" x14ac:dyDescent="0.3">
      <c r="A39" s="2227">
        <v>33</v>
      </c>
      <c r="B39" s="248" t="s">
        <v>5706</v>
      </c>
      <c r="C39" s="2951" t="s">
        <v>5724</v>
      </c>
      <c r="D39" s="2952"/>
      <c r="E39" s="2952"/>
      <c r="F39" s="448" t="s">
        <v>5316</v>
      </c>
      <c r="G39" s="218" t="s">
        <v>5315</v>
      </c>
      <c r="H39" s="192">
        <v>850</v>
      </c>
      <c r="I39" s="1773" t="s">
        <v>41</v>
      </c>
      <c r="J39" s="34"/>
      <c r="K39" s="34"/>
      <c r="L39" s="2233" t="s">
        <v>25</v>
      </c>
      <c r="M39" s="803"/>
      <c r="N39" s="803"/>
      <c r="O39" s="803"/>
      <c r="P39" s="2627" t="s">
        <v>6395</v>
      </c>
      <c r="Q39" s="1612">
        <v>33</v>
      </c>
      <c r="S39" s="34"/>
      <c r="T39" s="34"/>
      <c r="U39" s="2233" t="s">
        <v>25</v>
      </c>
      <c r="V39" s="803"/>
      <c r="W39" s="803"/>
      <c r="X39" s="803"/>
    </row>
    <row r="40" spans="1:24" x14ac:dyDescent="0.3">
      <c r="A40" s="2227">
        <v>34</v>
      </c>
      <c r="B40" s="248" t="s">
        <v>5706</v>
      </c>
      <c r="C40" s="2951" t="s">
        <v>5723</v>
      </c>
      <c r="D40" s="2952"/>
      <c r="E40" s="2952"/>
      <c r="F40" s="448" t="s">
        <v>5316</v>
      </c>
      <c r="G40" s="218" t="s">
        <v>5315</v>
      </c>
      <c r="H40" s="192">
        <v>850</v>
      </c>
      <c r="I40" s="1773" t="s">
        <v>41</v>
      </c>
      <c r="J40" s="34"/>
      <c r="K40" s="34"/>
      <c r="L40" s="2233" t="s">
        <v>25</v>
      </c>
      <c r="M40" s="803"/>
      <c r="N40" s="803"/>
      <c r="O40" s="803"/>
      <c r="P40" s="2627" t="s">
        <v>6395</v>
      </c>
      <c r="Q40" s="1612">
        <v>34</v>
      </c>
      <c r="S40" s="34"/>
      <c r="T40" s="34"/>
      <c r="U40" s="2233" t="s">
        <v>25</v>
      </c>
      <c r="V40" s="803"/>
      <c r="W40" s="803"/>
      <c r="X40" s="803"/>
    </row>
    <row r="41" spans="1:24" x14ac:dyDescent="0.3">
      <c r="A41" s="2227">
        <v>35</v>
      </c>
      <c r="B41" s="248" t="s">
        <v>5706</v>
      </c>
      <c r="C41" s="2951" t="s">
        <v>5722</v>
      </c>
      <c r="D41" s="2952"/>
      <c r="E41" s="2952"/>
      <c r="F41" s="448" t="s">
        <v>5316</v>
      </c>
      <c r="G41" s="218" t="s">
        <v>5315</v>
      </c>
      <c r="H41" s="192">
        <v>850</v>
      </c>
      <c r="I41" s="1773" t="s">
        <v>41</v>
      </c>
      <c r="J41" s="34"/>
      <c r="K41" s="34"/>
      <c r="L41" s="2233" t="s">
        <v>25</v>
      </c>
      <c r="M41" s="803"/>
      <c r="N41" s="803"/>
      <c r="O41" s="803"/>
      <c r="P41" s="2627" t="s">
        <v>6395</v>
      </c>
      <c r="Q41" s="1612">
        <v>35</v>
      </c>
      <c r="S41" s="34"/>
      <c r="T41" s="34"/>
      <c r="U41" s="2233" t="s">
        <v>25</v>
      </c>
      <c r="V41" s="803"/>
      <c r="W41" s="803"/>
      <c r="X41" s="803"/>
    </row>
    <row r="42" spans="1:24" x14ac:dyDescent="0.3">
      <c r="A42" s="2227">
        <v>36</v>
      </c>
      <c r="B42" s="248" t="s">
        <v>5706</v>
      </c>
      <c r="C42" s="2951" t="s">
        <v>5721</v>
      </c>
      <c r="D42" s="2952"/>
      <c r="E42" s="2952"/>
      <c r="F42" s="448" t="s">
        <v>5316</v>
      </c>
      <c r="G42" s="218" t="s">
        <v>5315</v>
      </c>
      <c r="H42" s="192">
        <v>850</v>
      </c>
      <c r="I42" s="1773" t="s">
        <v>41</v>
      </c>
      <c r="J42" s="34"/>
      <c r="K42" s="34"/>
      <c r="L42" s="2233" t="s">
        <v>25</v>
      </c>
      <c r="M42" s="147"/>
      <c r="N42" s="147"/>
      <c r="O42" s="147"/>
      <c r="P42" s="2627" t="s">
        <v>6395</v>
      </c>
      <c r="Q42" s="1612">
        <v>36</v>
      </c>
      <c r="S42" s="34"/>
      <c r="T42" s="34"/>
      <c r="U42" s="2233" t="s">
        <v>25</v>
      </c>
      <c r="V42" s="147"/>
      <c r="W42" s="147"/>
      <c r="X42" s="147"/>
    </row>
    <row r="43" spans="1:24" x14ac:dyDescent="0.3">
      <c r="A43" s="2227">
        <v>37</v>
      </c>
      <c r="B43" s="248" t="s">
        <v>5706</v>
      </c>
      <c r="C43" s="2951" t="s">
        <v>5720</v>
      </c>
      <c r="D43" s="2952"/>
      <c r="E43" s="2952"/>
      <c r="F43" s="448" t="s">
        <v>5316</v>
      </c>
      <c r="G43" s="218" t="s">
        <v>5315</v>
      </c>
      <c r="H43" s="192">
        <v>850</v>
      </c>
      <c r="I43" s="1773" t="s">
        <v>41</v>
      </c>
      <c r="J43" s="34"/>
      <c r="K43" s="34"/>
      <c r="L43" s="2233" t="s">
        <v>25</v>
      </c>
      <c r="M43" s="147"/>
      <c r="N43" s="147"/>
      <c r="O43" s="147"/>
      <c r="P43" s="2627" t="s">
        <v>6395</v>
      </c>
      <c r="Q43" s="1612">
        <v>37</v>
      </c>
      <c r="S43" s="34"/>
      <c r="T43" s="34"/>
      <c r="U43" s="2233" t="s">
        <v>25</v>
      </c>
      <c r="V43" s="147"/>
      <c r="W43" s="147"/>
      <c r="X43" s="147"/>
    </row>
    <row r="44" spans="1:24" x14ac:dyDescent="0.3">
      <c r="A44" s="2227">
        <v>38</v>
      </c>
      <c r="B44" s="248" t="s">
        <v>5706</v>
      </c>
      <c r="C44" s="2951" t="s">
        <v>5719</v>
      </c>
      <c r="D44" s="2952"/>
      <c r="E44" s="2952"/>
      <c r="F44" s="448" t="s">
        <v>5316</v>
      </c>
      <c r="G44" s="218" t="s">
        <v>5315</v>
      </c>
      <c r="H44" s="192">
        <v>850</v>
      </c>
      <c r="I44" s="1773" t="s">
        <v>41</v>
      </c>
      <c r="J44" s="34"/>
      <c r="K44" s="34"/>
      <c r="L44" s="2233" t="s">
        <v>25</v>
      </c>
      <c r="M44" s="147"/>
      <c r="N44" s="147"/>
      <c r="O44" s="147"/>
      <c r="P44" s="2627" t="s">
        <v>6395</v>
      </c>
      <c r="Q44" s="1612">
        <v>38</v>
      </c>
      <c r="S44" s="34"/>
      <c r="T44" s="34"/>
      <c r="U44" s="2233" t="s">
        <v>25</v>
      </c>
      <c r="V44" s="147"/>
      <c r="W44" s="147"/>
      <c r="X44" s="147"/>
    </row>
    <row r="45" spans="1:24" x14ac:dyDescent="0.3">
      <c r="A45" s="2227">
        <v>39</v>
      </c>
      <c r="B45" s="248" t="s">
        <v>5706</v>
      </c>
      <c r="C45" s="2951" t="s">
        <v>5718</v>
      </c>
      <c r="D45" s="2952"/>
      <c r="E45" s="2952"/>
      <c r="F45" s="448" t="s">
        <v>5316</v>
      </c>
      <c r="G45" s="218" t="s">
        <v>5315</v>
      </c>
      <c r="H45" s="192">
        <v>850</v>
      </c>
      <c r="I45" s="1773" t="s">
        <v>41</v>
      </c>
      <c r="J45" s="34"/>
      <c r="K45" s="34"/>
      <c r="L45" s="2233" t="s">
        <v>25</v>
      </c>
      <c r="M45" s="147"/>
      <c r="N45" s="147"/>
      <c r="O45" s="147"/>
      <c r="P45" s="2627" t="s">
        <v>6395</v>
      </c>
      <c r="Q45" s="1612">
        <v>39</v>
      </c>
      <c r="S45" s="34"/>
      <c r="T45" s="34"/>
      <c r="U45" s="2233" t="s">
        <v>25</v>
      </c>
      <c r="V45" s="147"/>
      <c r="W45" s="147"/>
      <c r="X45" s="147"/>
    </row>
    <row r="46" spans="1:24" x14ac:dyDescent="0.3">
      <c r="A46" s="2227">
        <v>40</v>
      </c>
      <c r="B46" s="248" t="s">
        <v>5706</v>
      </c>
      <c r="C46" s="2951" t="s">
        <v>5717</v>
      </c>
      <c r="D46" s="2952"/>
      <c r="E46" s="2952"/>
      <c r="F46" s="448" t="s">
        <v>5316</v>
      </c>
      <c r="G46" s="218" t="s">
        <v>5315</v>
      </c>
      <c r="H46" s="192">
        <v>850</v>
      </c>
      <c r="I46" s="1773" t="s">
        <v>41</v>
      </c>
      <c r="J46" s="34"/>
      <c r="K46" s="34"/>
      <c r="L46" s="2233" t="s">
        <v>25</v>
      </c>
      <c r="M46" s="147"/>
      <c r="N46" s="147"/>
      <c r="O46" s="147"/>
      <c r="P46" s="2627" t="s">
        <v>6395</v>
      </c>
      <c r="Q46" s="1612">
        <v>40</v>
      </c>
      <c r="S46" s="34"/>
      <c r="T46" s="34"/>
      <c r="U46" s="2233" t="s">
        <v>25</v>
      </c>
      <c r="V46" s="147"/>
      <c r="W46" s="147"/>
      <c r="X46" s="147"/>
    </row>
    <row r="47" spans="1:24" x14ac:dyDescent="0.3">
      <c r="A47" s="2227">
        <v>41</v>
      </c>
      <c r="B47" s="248" t="s">
        <v>5706</v>
      </c>
      <c r="C47" s="2951" t="s">
        <v>5716</v>
      </c>
      <c r="D47" s="2952"/>
      <c r="E47" s="2952"/>
      <c r="F47" s="448" t="s">
        <v>5316</v>
      </c>
      <c r="G47" s="218" t="s">
        <v>5315</v>
      </c>
      <c r="H47" s="192">
        <v>850</v>
      </c>
      <c r="I47" s="1773" t="s">
        <v>41</v>
      </c>
      <c r="J47" s="34"/>
      <c r="K47" s="34"/>
      <c r="L47" s="2233" t="s">
        <v>25</v>
      </c>
      <c r="M47" s="147"/>
      <c r="N47" s="147"/>
      <c r="O47" s="147"/>
      <c r="P47" s="2627" t="s">
        <v>6395</v>
      </c>
      <c r="Q47" s="1612">
        <v>41</v>
      </c>
      <c r="S47" s="34"/>
      <c r="T47" s="34"/>
      <c r="U47" s="2233" t="s">
        <v>25</v>
      </c>
      <c r="V47" s="147"/>
      <c r="W47" s="147"/>
      <c r="X47" s="147"/>
    </row>
    <row r="48" spans="1:24" x14ac:dyDescent="0.3">
      <c r="A48" s="2227">
        <v>42</v>
      </c>
      <c r="B48" s="248" t="s">
        <v>5706</v>
      </c>
      <c r="C48" s="2951" t="s">
        <v>5715</v>
      </c>
      <c r="D48" s="2952"/>
      <c r="E48" s="2952"/>
      <c r="F48" s="448" t="s">
        <v>5316</v>
      </c>
      <c r="G48" s="218" t="s">
        <v>5315</v>
      </c>
      <c r="H48" s="192">
        <v>850</v>
      </c>
      <c r="I48" s="1773" t="s">
        <v>41</v>
      </c>
      <c r="J48" s="34"/>
      <c r="K48" s="34"/>
      <c r="L48" s="2233" t="s">
        <v>25</v>
      </c>
      <c r="M48" s="147"/>
      <c r="N48" s="147"/>
      <c r="O48" s="147"/>
      <c r="P48" s="2627" t="s">
        <v>6395</v>
      </c>
      <c r="Q48" s="1612">
        <v>42</v>
      </c>
      <c r="S48" s="34"/>
      <c r="T48" s="34"/>
      <c r="U48" s="2233" t="s">
        <v>25</v>
      </c>
      <c r="V48" s="147"/>
      <c r="W48" s="147"/>
      <c r="X48" s="147"/>
    </row>
    <row r="49" spans="1:24" x14ac:dyDescent="0.3">
      <c r="A49" s="2227">
        <v>43</v>
      </c>
      <c r="B49" s="248" t="s">
        <v>5706</v>
      </c>
      <c r="C49" s="2951" t="s">
        <v>5714</v>
      </c>
      <c r="D49" s="2952"/>
      <c r="E49" s="2952"/>
      <c r="F49" s="448" t="s">
        <v>5316</v>
      </c>
      <c r="G49" s="218" t="s">
        <v>5315</v>
      </c>
      <c r="H49" s="192">
        <v>850</v>
      </c>
      <c r="I49" s="1773" t="s">
        <v>41</v>
      </c>
      <c r="J49" s="34"/>
      <c r="K49" s="34"/>
      <c r="L49" s="2233" t="s">
        <v>25</v>
      </c>
      <c r="M49" s="147"/>
      <c r="N49" s="147"/>
      <c r="O49" s="147"/>
      <c r="P49" s="2627" t="s">
        <v>6395</v>
      </c>
      <c r="Q49" s="1612">
        <v>43</v>
      </c>
      <c r="S49" s="34"/>
      <c r="T49" s="34"/>
      <c r="U49" s="2233" t="s">
        <v>25</v>
      </c>
      <c r="V49" s="147"/>
      <c r="W49" s="147"/>
      <c r="X49" s="147"/>
    </row>
    <row r="50" spans="1:24" x14ac:dyDescent="0.3">
      <c r="A50" s="2227">
        <v>44</v>
      </c>
      <c r="B50" s="248" t="s">
        <v>5706</v>
      </c>
      <c r="C50" s="2951" t="s">
        <v>5713</v>
      </c>
      <c r="D50" s="2952"/>
      <c r="E50" s="2952"/>
      <c r="F50" s="448" t="s">
        <v>5316</v>
      </c>
      <c r="G50" s="218" t="s">
        <v>5315</v>
      </c>
      <c r="H50" s="192">
        <v>850</v>
      </c>
      <c r="I50" s="1773" t="s">
        <v>41</v>
      </c>
      <c r="J50" s="34"/>
      <c r="K50" s="34"/>
      <c r="L50" s="2233" t="s">
        <v>25</v>
      </c>
      <c r="M50" s="147"/>
      <c r="N50" s="147"/>
      <c r="O50" s="147"/>
      <c r="P50" s="2627" t="s">
        <v>6395</v>
      </c>
      <c r="Q50" s="1612">
        <v>44</v>
      </c>
      <c r="S50" s="34"/>
      <c r="T50" s="34"/>
      <c r="U50" s="2233" t="s">
        <v>25</v>
      </c>
      <c r="V50" s="147"/>
      <c r="W50" s="147"/>
      <c r="X50" s="147"/>
    </row>
    <row r="51" spans="1:24" x14ac:dyDescent="0.3">
      <c r="A51" s="2227">
        <v>45</v>
      </c>
      <c r="B51" s="248" t="s">
        <v>5706</v>
      </c>
      <c r="C51" s="2951" t="s">
        <v>5712</v>
      </c>
      <c r="D51" s="2952"/>
      <c r="E51" s="2952"/>
      <c r="F51" s="448" t="s">
        <v>5316</v>
      </c>
      <c r="G51" s="218" t="s">
        <v>5315</v>
      </c>
      <c r="H51" s="192">
        <v>850</v>
      </c>
      <c r="I51" s="1773" t="s">
        <v>41</v>
      </c>
      <c r="J51" s="34"/>
      <c r="K51" s="34"/>
      <c r="L51" s="2233" t="s">
        <v>25</v>
      </c>
      <c r="M51" s="803"/>
      <c r="N51" s="803"/>
      <c r="O51" s="803"/>
      <c r="P51" s="2627" t="s">
        <v>6395</v>
      </c>
      <c r="Q51" s="1612">
        <v>45</v>
      </c>
      <c r="S51" s="34"/>
      <c r="T51" s="34"/>
      <c r="U51" s="2233" t="s">
        <v>25</v>
      </c>
      <c r="V51" s="803"/>
      <c r="W51" s="803"/>
      <c r="X51" s="803"/>
    </row>
    <row r="52" spans="1:24" x14ac:dyDescent="0.3">
      <c r="A52" s="2227">
        <v>46</v>
      </c>
      <c r="B52" s="248" t="s">
        <v>5706</v>
      </c>
      <c r="C52" s="2951" t="s">
        <v>5711</v>
      </c>
      <c r="D52" s="2952"/>
      <c r="E52" s="2952"/>
      <c r="F52" s="448" t="s">
        <v>5316</v>
      </c>
      <c r="G52" s="218" t="s">
        <v>5315</v>
      </c>
      <c r="H52" s="192">
        <v>850</v>
      </c>
      <c r="I52" s="1773" t="s">
        <v>41</v>
      </c>
      <c r="J52" s="34"/>
      <c r="K52" s="34"/>
      <c r="L52" s="2233" t="s">
        <v>25</v>
      </c>
      <c r="M52" s="803"/>
      <c r="N52" s="803"/>
      <c r="O52" s="803"/>
      <c r="P52" s="2627" t="s">
        <v>6395</v>
      </c>
      <c r="Q52" s="1612">
        <v>46</v>
      </c>
      <c r="S52" s="34"/>
      <c r="T52" s="34"/>
      <c r="U52" s="2233" t="s">
        <v>25</v>
      </c>
      <c r="V52" s="803"/>
      <c r="W52" s="803"/>
      <c r="X52" s="803"/>
    </row>
    <row r="53" spans="1:24" x14ac:dyDescent="0.3">
      <c r="A53" s="2227">
        <v>47</v>
      </c>
      <c r="B53" s="248" t="s">
        <v>5706</v>
      </c>
      <c r="C53" s="2951" t="s">
        <v>5710</v>
      </c>
      <c r="D53" s="2952"/>
      <c r="E53" s="2952"/>
      <c r="F53" s="448" t="s">
        <v>5316</v>
      </c>
      <c r="G53" s="218" t="s">
        <v>5315</v>
      </c>
      <c r="H53" s="192">
        <v>850</v>
      </c>
      <c r="I53" s="1773" t="s">
        <v>41</v>
      </c>
      <c r="J53" s="34"/>
      <c r="K53" s="34"/>
      <c r="L53" s="2233" t="s">
        <v>25</v>
      </c>
      <c r="M53" s="803"/>
      <c r="N53" s="803"/>
      <c r="O53" s="803"/>
      <c r="P53" s="2627" t="s">
        <v>6395</v>
      </c>
      <c r="Q53" s="1612">
        <v>47</v>
      </c>
      <c r="S53" s="34"/>
      <c r="T53" s="34"/>
      <c r="U53" s="2233" t="s">
        <v>25</v>
      </c>
      <c r="V53" s="803"/>
      <c r="W53" s="803"/>
      <c r="X53" s="803"/>
    </row>
    <row r="54" spans="1:24" x14ac:dyDescent="0.3">
      <c r="A54" s="2227">
        <v>48</v>
      </c>
      <c r="B54" s="248" t="s">
        <v>5706</v>
      </c>
      <c r="C54" s="2951" t="s">
        <v>5709</v>
      </c>
      <c r="D54" s="2952"/>
      <c r="E54" s="2952"/>
      <c r="F54" s="448" t="s">
        <v>5316</v>
      </c>
      <c r="G54" s="218" t="s">
        <v>5315</v>
      </c>
      <c r="H54" s="192">
        <v>850</v>
      </c>
      <c r="I54" s="1773" t="s">
        <v>41</v>
      </c>
      <c r="J54" s="34"/>
      <c r="K54" s="34"/>
      <c r="L54" s="2233" t="s">
        <v>25</v>
      </c>
      <c r="M54" s="803"/>
      <c r="N54" s="803"/>
      <c r="O54" s="803"/>
      <c r="P54" s="2627" t="s">
        <v>6395</v>
      </c>
      <c r="Q54" s="1612">
        <v>48</v>
      </c>
      <c r="S54" s="34"/>
      <c r="T54" s="34"/>
      <c r="U54" s="2233" t="s">
        <v>25</v>
      </c>
      <c r="V54" s="803"/>
      <c r="W54" s="803"/>
      <c r="X54" s="803"/>
    </row>
    <row r="55" spans="1:24" x14ac:dyDescent="0.3">
      <c r="A55" s="2227">
        <v>49</v>
      </c>
      <c r="B55" s="248" t="s">
        <v>5706</v>
      </c>
      <c r="C55" s="2951" t="s">
        <v>5708</v>
      </c>
      <c r="D55" s="2952"/>
      <c r="E55" s="2952"/>
      <c r="F55" s="448" t="s">
        <v>5316</v>
      </c>
      <c r="G55" s="218" t="s">
        <v>5315</v>
      </c>
      <c r="H55" s="192">
        <v>850</v>
      </c>
      <c r="I55" s="1773" t="s">
        <v>41</v>
      </c>
      <c r="J55" s="34"/>
      <c r="K55" s="34"/>
      <c r="L55" s="2233" t="s">
        <v>25</v>
      </c>
      <c r="M55" s="803"/>
      <c r="N55" s="803"/>
      <c r="O55" s="803"/>
      <c r="P55" s="2627" t="s">
        <v>6395</v>
      </c>
      <c r="Q55" s="1612">
        <v>49</v>
      </c>
      <c r="S55" s="34"/>
      <c r="T55" s="34"/>
      <c r="U55" s="2233" t="s">
        <v>25</v>
      </c>
      <c r="V55" s="803"/>
      <c r="W55" s="803"/>
      <c r="X55" s="803"/>
    </row>
    <row r="56" spans="1:24" x14ac:dyDescent="0.3">
      <c r="A56" s="2227">
        <v>50</v>
      </c>
      <c r="B56" s="248" t="s">
        <v>5706</v>
      </c>
      <c r="C56" s="2951" t="s">
        <v>5707</v>
      </c>
      <c r="D56" s="2952"/>
      <c r="E56" s="2952"/>
      <c r="F56" s="448" t="s">
        <v>5316</v>
      </c>
      <c r="G56" s="218" t="s">
        <v>5315</v>
      </c>
      <c r="H56" s="192">
        <v>850</v>
      </c>
      <c r="I56" s="1773" t="s">
        <v>41</v>
      </c>
      <c r="J56" s="34"/>
      <c r="K56" s="34"/>
      <c r="L56" s="2233" t="s">
        <v>25</v>
      </c>
      <c r="M56" s="803"/>
      <c r="N56" s="803"/>
      <c r="O56" s="803"/>
      <c r="P56" s="2627" t="s">
        <v>6395</v>
      </c>
      <c r="Q56" s="1612">
        <v>50</v>
      </c>
      <c r="S56" s="34"/>
      <c r="T56" s="34"/>
      <c r="U56" s="2233" t="s">
        <v>25</v>
      </c>
      <c r="V56" s="803"/>
      <c r="W56" s="803"/>
      <c r="X56" s="803"/>
    </row>
    <row r="57" spans="1:24" x14ac:dyDescent="0.3">
      <c r="A57" s="2227">
        <v>51</v>
      </c>
      <c r="B57" s="248" t="s">
        <v>5706</v>
      </c>
      <c r="C57" s="2951" t="s">
        <v>5705</v>
      </c>
      <c r="D57" s="2952"/>
      <c r="E57" s="2952"/>
      <c r="F57" s="448" t="s">
        <v>5316</v>
      </c>
      <c r="G57" s="218" t="s">
        <v>5315</v>
      </c>
      <c r="H57" s="192">
        <v>850</v>
      </c>
      <c r="I57" s="1773" t="s">
        <v>41</v>
      </c>
      <c r="J57" s="34"/>
      <c r="K57" s="34"/>
      <c r="L57" s="2233" t="s">
        <v>25</v>
      </c>
      <c r="M57" s="803"/>
      <c r="N57" s="803"/>
      <c r="O57" s="803"/>
      <c r="P57" s="2627" t="s">
        <v>6395</v>
      </c>
      <c r="Q57" s="1612">
        <v>51</v>
      </c>
      <c r="S57" s="34"/>
      <c r="T57" s="34"/>
      <c r="U57" s="2233" t="s">
        <v>25</v>
      </c>
      <c r="V57" s="803"/>
      <c r="W57" s="803"/>
      <c r="X57" s="803"/>
    </row>
    <row r="58" spans="1:24" x14ac:dyDescent="0.3">
      <c r="A58" s="2227">
        <v>52</v>
      </c>
      <c r="B58" s="248" t="s">
        <v>5318</v>
      </c>
      <c r="C58" s="2951" t="s">
        <v>5704</v>
      </c>
      <c r="D58" s="2952"/>
      <c r="E58" s="2952"/>
      <c r="F58" s="448" t="s">
        <v>5316</v>
      </c>
      <c r="G58" s="218" t="s">
        <v>5315</v>
      </c>
      <c r="H58" s="192">
        <v>850</v>
      </c>
      <c r="I58" s="1773" t="s">
        <v>41</v>
      </c>
      <c r="J58" s="34"/>
      <c r="K58" s="34"/>
      <c r="L58" s="2233" t="s">
        <v>25</v>
      </c>
      <c r="M58" s="803"/>
      <c r="N58" s="803"/>
      <c r="O58" s="803"/>
      <c r="P58" s="2627" t="s">
        <v>6395</v>
      </c>
      <c r="Q58" s="1612">
        <v>52</v>
      </c>
      <c r="S58" s="34"/>
      <c r="T58" s="34"/>
      <c r="U58" s="2233" t="s">
        <v>25</v>
      </c>
      <c r="V58" s="803"/>
      <c r="W58" s="803"/>
      <c r="X58" s="803"/>
    </row>
    <row r="59" spans="1:24" x14ac:dyDescent="0.3">
      <c r="A59" s="2227">
        <v>53</v>
      </c>
      <c r="B59" s="248" t="s">
        <v>5318</v>
      </c>
      <c r="C59" s="2951" t="s">
        <v>5703</v>
      </c>
      <c r="D59" s="2952"/>
      <c r="E59" s="2952"/>
      <c r="F59" s="448" t="s">
        <v>5316</v>
      </c>
      <c r="G59" s="218" t="s">
        <v>5315</v>
      </c>
      <c r="H59" s="192">
        <v>850</v>
      </c>
      <c r="I59" s="1773" t="s">
        <v>41</v>
      </c>
      <c r="J59" s="34"/>
      <c r="K59" s="34"/>
      <c r="L59" s="2233" t="s">
        <v>25</v>
      </c>
      <c r="M59" s="803"/>
      <c r="N59" s="803"/>
      <c r="O59" s="803"/>
      <c r="P59" s="2627" t="s">
        <v>6395</v>
      </c>
      <c r="Q59" s="1612">
        <v>53</v>
      </c>
      <c r="S59" s="34"/>
      <c r="T59" s="34"/>
      <c r="U59" s="2233" t="s">
        <v>25</v>
      </c>
      <c r="V59" s="803"/>
      <c r="W59" s="803"/>
      <c r="X59" s="803"/>
    </row>
    <row r="60" spans="1:24" x14ac:dyDescent="0.3">
      <c r="A60" s="2227">
        <v>54</v>
      </c>
      <c r="B60" s="248" t="s">
        <v>5318</v>
      </c>
      <c r="C60" s="2951" t="s">
        <v>5702</v>
      </c>
      <c r="D60" s="2952"/>
      <c r="E60" s="2952"/>
      <c r="F60" s="448" t="s">
        <v>5316</v>
      </c>
      <c r="G60" s="218" t="s">
        <v>5315</v>
      </c>
      <c r="H60" s="192">
        <v>850</v>
      </c>
      <c r="I60" s="1773" t="s">
        <v>41</v>
      </c>
      <c r="J60" s="34"/>
      <c r="K60" s="34"/>
      <c r="L60" s="2233" t="s">
        <v>25</v>
      </c>
      <c r="M60" s="803"/>
      <c r="N60" s="803"/>
      <c r="O60" s="803"/>
      <c r="P60" s="2627" t="s">
        <v>6395</v>
      </c>
      <c r="Q60" s="1612">
        <v>54</v>
      </c>
      <c r="S60" s="34"/>
      <c r="T60" s="34"/>
      <c r="U60" s="2233" t="s">
        <v>25</v>
      </c>
      <c r="V60" s="803"/>
      <c r="W60" s="803"/>
      <c r="X60" s="803"/>
    </row>
    <row r="61" spans="1:24" x14ac:dyDescent="0.3">
      <c r="A61" s="2227">
        <v>55</v>
      </c>
      <c r="B61" s="248" t="s">
        <v>5318</v>
      </c>
      <c r="C61" s="2951" t="s">
        <v>5701</v>
      </c>
      <c r="D61" s="2952"/>
      <c r="E61" s="2952"/>
      <c r="F61" s="448" t="s">
        <v>5316</v>
      </c>
      <c r="G61" s="218" t="s">
        <v>5315</v>
      </c>
      <c r="H61" s="192">
        <v>850</v>
      </c>
      <c r="I61" s="1773" t="s">
        <v>41</v>
      </c>
      <c r="J61" s="34"/>
      <c r="K61" s="34"/>
      <c r="L61" s="2233" t="s">
        <v>25</v>
      </c>
      <c r="M61" s="803"/>
      <c r="N61" s="803"/>
      <c r="O61" s="803"/>
      <c r="P61" s="2627" t="s">
        <v>6395</v>
      </c>
      <c r="Q61" s="1612">
        <v>55</v>
      </c>
      <c r="S61" s="34"/>
      <c r="T61" s="34"/>
      <c r="U61" s="2233" t="s">
        <v>25</v>
      </c>
      <c r="V61" s="803"/>
      <c r="W61" s="803"/>
      <c r="X61" s="803"/>
    </row>
    <row r="62" spans="1:24" x14ac:dyDescent="0.3">
      <c r="A62" s="2227">
        <v>56</v>
      </c>
      <c r="B62" s="248" t="s">
        <v>5318</v>
      </c>
      <c r="C62" s="2951" t="s">
        <v>5700</v>
      </c>
      <c r="D62" s="2952"/>
      <c r="E62" s="2952"/>
      <c r="F62" s="448" t="s">
        <v>5316</v>
      </c>
      <c r="G62" s="218" t="s">
        <v>5315</v>
      </c>
      <c r="H62" s="192">
        <v>850</v>
      </c>
      <c r="I62" s="1773" t="s">
        <v>41</v>
      </c>
      <c r="J62" s="34"/>
      <c r="K62" s="34"/>
      <c r="L62" s="2233" t="s">
        <v>25</v>
      </c>
      <c r="M62" s="803"/>
      <c r="N62" s="803"/>
      <c r="O62" s="803"/>
      <c r="P62" s="2627" t="s">
        <v>6395</v>
      </c>
      <c r="Q62" s="1612">
        <v>56</v>
      </c>
      <c r="S62" s="34"/>
      <c r="T62" s="34"/>
      <c r="U62" s="2233" t="s">
        <v>25</v>
      </c>
      <c r="V62" s="803"/>
      <c r="W62" s="803"/>
      <c r="X62" s="803"/>
    </row>
    <row r="63" spans="1:24" x14ac:dyDescent="0.3">
      <c r="A63" s="2227">
        <v>57</v>
      </c>
      <c r="B63" s="248" t="s">
        <v>5318</v>
      </c>
      <c r="C63" s="2951" t="s">
        <v>5699</v>
      </c>
      <c r="D63" s="2952"/>
      <c r="E63" s="2952"/>
      <c r="F63" s="448" t="s">
        <v>5316</v>
      </c>
      <c r="G63" s="218" t="s">
        <v>5315</v>
      </c>
      <c r="H63" s="192">
        <v>850</v>
      </c>
      <c r="I63" s="1773" t="s">
        <v>41</v>
      </c>
      <c r="J63" s="34"/>
      <c r="K63" s="34"/>
      <c r="L63" s="2233" t="s">
        <v>25</v>
      </c>
      <c r="M63" s="803"/>
      <c r="N63" s="803"/>
      <c r="O63" s="803"/>
      <c r="P63" s="2627" t="s">
        <v>6395</v>
      </c>
      <c r="Q63" s="1612">
        <v>57</v>
      </c>
      <c r="S63" s="34"/>
      <c r="T63" s="34"/>
      <c r="U63" s="2233" t="s">
        <v>25</v>
      </c>
      <c r="V63" s="803"/>
      <c r="W63" s="803"/>
      <c r="X63" s="803"/>
    </row>
    <row r="64" spans="1:24" x14ac:dyDescent="0.3">
      <c r="A64" s="2227">
        <v>58</v>
      </c>
      <c r="B64" s="248" t="s">
        <v>5318</v>
      </c>
      <c r="C64" s="2951" t="s">
        <v>5698</v>
      </c>
      <c r="D64" s="2952"/>
      <c r="E64" s="2952"/>
      <c r="F64" s="448" t="s">
        <v>5316</v>
      </c>
      <c r="G64" s="218" t="s">
        <v>5315</v>
      </c>
      <c r="H64" s="192">
        <v>850</v>
      </c>
      <c r="I64" s="1773" t="s">
        <v>41</v>
      </c>
      <c r="J64" s="34"/>
      <c r="K64" s="34"/>
      <c r="L64" s="2233" t="s">
        <v>25</v>
      </c>
      <c r="M64" s="803"/>
      <c r="N64" s="803"/>
      <c r="O64" s="803"/>
      <c r="P64" s="2627" t="s">
        <v>6395</v>
      </c>
      <c r="Q64" s="1612">
        <v>58</v>
      </c>
      <c r="S64" s="34"/>
      <c r="T64" s="34"/>
      <c r="U64" s="2233" t="s">
        <v>25</v>
      </c>
      <c r="V64" s="803"/>
      <c r="W64" s="803"/>
      <c r="X64" s="803"/>
    </row>
    <row r="65" spans="1:24" x14ac:dyDescent="0.3">
      <c r="A65" s="2227">
        <v>59</v>
      </c>
      <c r="B65" s="248" t="s">
        <v>5318</v>
      </c>
      <c r="C65" s="2951" t="s">
        <v>5697</v>
      </c>
      <c r="D65" s="2952"/>
      <c r="E65" s="2952"/>
      <c r="F65" s="448" t="s">
        <v>5316</v>
      </c>
      <c r="G65" s="218" t="s">
        <v>5315</v>
      </c>
      <c r="H65" s="192">
        <v>850</v>
      </c>
      <c r="I65" s="1773" t="s">
        <v>41</v>
      </c>
      <c r="J65" s="34"/>
      <c r="K65" s="34"/>
      <c r="L65" s="2233" t="s">
        <v>25</v>
      </c>
      <c r="M65" s="803"/>
      <c r="N65" s="803"/>
      <c r="O65" s="803"/>
      <c r="P65" s="2627" t="s">
        <v>6395</v>
      </c>
      <c r="Q65" s="1612">
        <v>59</v>
      </c>
      <c r="S65" s="34"/>
      <c r="T65" s="34"/>
      <c r="U65" s="2233" t="s">
        <v>25</v>
      </c>
      <c r="V65" s="803"/>
      <c r="W65" s="803"/>
      <c r="X65" s="803"/>
    </row>
    <row r="66" spans="1:24" x14ac:dyDescent="0.3">
      <c r="A66" s="2227">
        <v>60</v>
      </c>
      <c r="B66" s="248" t="s">
        <v>5318</v>
      </c>
      <c r="C66" s="2951" t="s">
        <v>5696</v>
      </c>
      <c r="D66" s="2952"/>
      <c r="E66" s="2952"/>
      <c r="F66" s="448" t="s">
        <v>5316</v>
      </c>
      <c r="G66" s="218" t="s">
        <v>5315</v>
      </c>
      <c r="H66" s="192">
        <v>850</v>
      </c>
      <c r="I66" s="1773" t="s">
        <v>41</v>
      </c>
      <c r="J66" s="34"/>
      <c r="K66" s="34"/>
      <c r="L66" s="2233" t="s">
        <v>25</v>
      </c>
      <c r="M66" s="803"/>
      <c r="N66" s="803"/>
      <c r="O66" s="803"/>
      <c r="P66" s="2627" t="s">
        <v>6395</v>
      </c>
      <c r="Q66" s="1612">
        <v>60</v>
      </c>
      <c r="S66" s="34"/>
      <c r="T66" s="34"/>
      <c r="U66" s="2233" t="s">
        <v>25</v>
      </c>
      <c r="V66" s="803"/>
      <c r="W66" s="803"/>
      <c r="X66" s="803"/>
    </row>
    <row r="67" spans="1:24" x14ac:dyDescent="0.3">
      <c r="A67" s="2227">
        <v>61</v>
      </c>
      <c r="B67" s="248" t="s">
        <v>5318</v>
      </c>
      <c r="C67" s="2951" t="s">
        <v>5695</v>
      </c>
      <c r="D67" s="2952"/>
      <c r="E67" s="2952"/>
      <c r="F67" s="448" t="s">
        <v>5316</v>
      </c>
      <c r="G67" s="218" t="s">
        <v>5315</v>
      </c>
      <c r="H67" s="192">
        <v>850</v>
      </c>
      <c r="I67" s="1773" t="s">
        <v>41</v>
      </c>
      <c r="J67" s="34"/>
      <c r="K67" s="34"/>
      <c r="L67" s="2233" t="s">
        <v>25</v>
      </c>
      <c r="M67" s="803"/>
      <c r="N67" s="803"/>
      <c r="O67" s="803"/>
      <c r="P67" s="2627" t="s">
        <v>6395</v>
      </c>
      <c r="Q67" s="1612">
        <v>61</v>
      </c>
      <c r="S67" s="34"/>
      <c r="T67" s="34"/>
      <c r="U67" s="2233" t="s">
        <v>25</v>
      </c>
      <c r="V67" s="803"/>
      <c r="W67" s="803"/>
      <c r="X67" s="803"/>
    </row>
    <row r="68" spans="1:24" x14ac:dyDescent="0.3">
      <c r="A68" s="2227">
        <v>62</v>
      </c>
      <c r="B68" s="248" t="s">
        <v>5318</v>
      </c>
      <c r="C68" s="2951" t="s">
        <v>5694</v>
      </c>
      <c r="D68" s="2952"/>
      <c r="E68" s="2952"/>
      <c r="F68" s="448" t="s">
        <v>5316</v>
      </c>
      <c r="G68" s="218" t="s">
        <v>5315</v>
      </c>
      <c r="H68" s="192">
        <v>850</v>
      </c>
      <c r="I68" s="1773" t="s">
        <v>41</v>
      </c>
      <c r="J68" s="34"/>
      <c r="K68" s="34"/>
      <c r="L68" s="2233" t="s">
        <v>25</v>
      </c>
      <c r="M68" s="803"/>
      <c r="N68" s="803"/>
      <c r="O68" s="803"/>
      <c r="P68" s="2627" t="s">
        <v>6395</v>
      </c>
      <c r="Q68" s="1612">
        <v>62</v>
      </c>
      <c r="S68" s="34"/>
      <c r="T68" s="34"/>
      <c r="U68" s="2233" t="s">
        <v>25</v>
      </c>
      <c r="V68" s="803"/>
      <c r="W68" s="803"/>
      <c r="X68" s="803"/>
    </row>
    <row r="69" spans="1:24" x14ac:dyDescent="0.3">
      <c r="A69" s="2227">
        <v>63</v>
      </c>
      <c r="B69" s="248" t="s">
        <v>5318</v>
      </c>
      <c r="C69" s="2951" t="s">
        <v>5693</v>
      </c>
      <c r="D69" s="2952"/>
      <c r="E69" s="2952"/>
      <c r="F69" s="448" t="s">
        <v>5316</v>
      </c>
      <c r="G69" s="218" t="s">
        <v>5315</v>
      </c>
      <c r="H69" s="192">
        <v>850</v>
      </c>
      <c r="I69" s="1773" t="s">
        <v>41</v>
      </c>
      <c r="J69" s="34"/>
      <c r="K69" s="34"/>
      <c r="L69" s="2233" t="s">
        <v>25</v>
      </c>
      <c r="M69" s="803"/>
      <c r="N69" s="803"/>
      <c r="O69" s="803"/>
      <c r="P69" s="2627" t="s">
        <v>6395</v>
      </c>
      <c r="Q69" s="1612">
        <v>63</v>
      </c>
      <c r="S69" s="34"/>
      <c r="T69" s="34"/>
      <c r="U69" s="2233" t="s">
        <v>25</v>
      </c>
      <c r="V69" s="803"/>
      <c r="W69" s="803"/>
      <c r="X69" s="803"/>
    </row>
    <row r="70" spans="1:24" x14ac:dyDescent="0.3">
      <c r="A70" s="2227">
        <v>64</v>
      </c>
      <c r="B70" s="248" t="s">
        <v>5318</v>
      </c>
      <c r="C70" s="2951" t="s">
        <v>5692</v>
      </c>
      <c r="D70" s="2952"/>
      <c r="E70" s="2952"/>
      <c r="F70" s="448" t="s">
        <v>5316</v>
      </c>
      <c r="G70" s="218" t="s">
        <v>5315</v>
      </c>
      <c r="H70" s="192">
        <v>850</v>
      </c>
      <c r="I70" s="1773" t="s">
        <v>41</v>
      </c>
      <c r="J70" s="34"/>
      <c r="K70" s="34"/>
      <c r="L70" s="2233" t="s">
        <v>25</v>
      </c>
      <c r="M70" s="803"/>
      <c r="N70" s="803"/>
      <c r="O70" s="803"/>
      <c r="P70" s="2627" t="s">
        <v>6395</v>
      </c>
      <c r="Q70" s="1612">
        <v>64</v>
      </c>
      <c r="S70" s="34"/>
      <c r="T70" s="34"/>
      <c r="U70" s="2233" t="s">
        <v>25</v>
      </c>
      <c r="V70" s="803"/>
      <c r="W70" s="803"/>
      <c r="X70" s="803"/>
    </row>
    <row r="71" spans="1:24" x14ac:dyDescent="0.3">
      <c r="A71" s="2227">
        <v>65</v>
      </c>
      <c r="B71" s="248" t="s">
        <v>5318</v>
      </c>
      <c r="C71" s="2951" t="s">
        <v>5691</v>
      </c>
      <c r="D71" s="2952"/>
      <c r="E71" s="2952"/>
      <c r="F71" s="448" t="s">
        <v>5316</v>
      </c>
      <c r="G71" s="218" t="s">
        <v>5315</v>
      </c>
      <c r="H71" s="192">
        <v>850</v>
      </c>
      <c r="I71" s="1773" t="s">
        <v>41</v>
      </c>
      <c r="J71" s="34"/>
      <c r="K71" s="34"/>
      <c r="L71" s="2233" t="s">
        <v>25</v>
      </c>
      <c r="M71" s="803"/>
      <c r="N71" s="803"/>
      <c r="O71" s="803"/>
      <c r="P71" s="2627" t="s">
        <v>6395</v>
      </c>
      <c r="Q71" s="1612">
        <v>65</v>
      </c>
      <c r="S71" s="34"/>
      <c r="T71" s="34"/>
      <c r="U71" s="2233" t="s">
        <v>25</v>
      </c>
      <c r="V71" s="803"/>
      <c r="W71" s="803"/>
      <c r="X71" s="803"/>
    </row>
    <row r="72" spans="1:24" x14ac:dyDescent="0.3">
      <c r="A72" s="2227">
        <v>66</v>
      </c>
      <c r="B72" s="248" t="s">
        <v>5318</v>
      </c>
      <c r="C72" s="2951" t="s">
        <v>5690</v>
      </c>
      <c r="D72" s="2952"/>
      <c r="E72" s="2952"/>
      <c r="F72" s="448" t="s">
        <v>5316</v>
      </c>
      <c r="G72" s="218" t="s">
        <v>5315</v>
      </c>
      <c r="H72" s="192">
        <v>850</v>
      </c>
      <c r="I72" s="1773" t="s">
        <v>41</v>
      </c>
      <c r="J72" s="34"/>
      <c r="K72" s="34"/>
      <c r="L72" s="2233" t="s">
        <v>25</v>
      </c>
      <c r="M72" s="803"/>
      <c r="N72" s="803"/>
      <c r="O72" s="803"/>
      <c r="P72" s="2627" t="s">
        <v>6395</v>
      </c>
      <c r="Q72" s="1612">
        <v>66</v>
      </c>
      <c r="S72" s="34"/>
      <c r="T72" s="34"/>
      <c r="U72" s="2233" t="s">
        <v>25</v>
      </c>
      <c r="V72" s="803"/>
      <c r="W72" s="803"/>
      <c r="X72" s="803"/>
    </row>
    <row r="73" spans="1:24" x14ac:dyDescent="0.3">
      <c r="A73" s="2227">
        <v>67</v>
      </c>
      <c r="B73" s="248" t="s">
        <v>5318</v>
      </c>
      <c r="C73" s="2951" t="s">
        <v>5689</v>
      </c>
      <c r="D73" s="2952"/>
      <c r="E73" s="2952"/>
      <c r="F73" s="448" t="s">
        <v>5316</v>
      </c>
      <c r="G73" s="218" t="s">
        <v>5315</v>
      </c>
      <c r="H73" s="192">
        <v>850</v>
      </c>
      <c r="I73" s="1773" t="s">
        <v>41</v>
      </c>
      <c r="J73" s="34"/>
      <c r="K73" s="34"/>
      <c r="L73" s="2233" t="s">
        <v>25</v>
      </c>
      <c r="M73" s="803"/>
      <c r="N73" s="803"/>
      <c r="O73" s="803"/>
      <c r="P73" s="2627" t="s">
        <v>6395</v>
      </c>
      <c r="Q73" s="1612">
        <v>67</v>
      </c>
      <c r="S73" s="34"/>
      <c r="T73" s="34"/>
      <c r="U73" s="2233" t="s">
        <v>25</v>
      </c>
      <c r="V73" s="803"/>
      <c r="W73" s="803"/>
      <c r="X73" s="803"/>
    </row>
    <row r="74" spans="1:24" x14ac:dyDescent="0.3">
      <c r="A74" s="2227">
        <v>68</v>
      </c>
      <c r="B74" s="248" t="s">
        <v>5318</v>
      </c>
      <c r="C74" s="2951" t="s">
        <v>5688</v>
      </c>
      <c r="D74" s="2952"/>
      <c r="E74" s="2952"/>
      <c r="F74" s="448" t="s">
        <v>5316</v>
      </c>
      <c r="G74" s="218" t="s">
        <v>5315</v>
      </c>
      <c r="H74" s="192">
        <v>850</v>
      </c>
      <c r="I74" s="1773" t="s">
        <v>41</v>
      </c>
      <c r="J74" s="34"/>
      <c r="K74" s="34"/>
      <c r="L74" s="2233" t="s">
        <v>25</v>
      </c>
      <c r="M74" s="803"/>
      <c r="N74" s="803"/>
      <c r="O74" s="803"/>
      <c r="P74" s="2627" t="s">
        <v>6395</v>
      </c>
      <c r="Q74" s="1612">
        <v>68</v>
      </c>
      <c r="S74" s="34"/>
      <c r="T74" s="34"/>
      <c r="U74" s="2233" t="s">
        <v>25</v>
      </c>
      <c r="V74" s="803"/>
      <c r="W74" s="803"/>
      <c r="X74" s="803"/>
    </row>
    <row r="75" spans="1:24" x14ac:dyDescent="0.3">
      <c r="A75" s="2227">
        <v>69</v>
      </c>
      <c r="B75" s="248" t="s">
        <v>5318</v>
      </c>
      <c r="C75" s="2951" t="s">
        <v>5687</v>
      </c>
      <c r="D75" s="2952"/>
      <c r="E75" s="2952"/>
      <c r="F75" s="448" t="s">
        <v>5316</v>
      </c>
      <c r="G75" s="218" t="s">
        <v>5315</v>
      </c>
      <c r="H75" s="192">
        <v>850</v>
      </c>
      <c r="I75" s="1773" t="s">
        <v>41</v>
      </c>
      <c r="J75" s="34"/>
      <c r="K75" s="34"/>
      <c r="L75" s="2233" t="s">
        <v>25</v>
      </c>
      <c r="M75" s="803"/>
      <c r="N75" s="803"/>
      <c r="O75" s="803"/>
      <c r="P75" s="2627" t="s">
        <v>6395</v>
      </c>
      <c r="Q75" s="1612">
        <v>69</v>
      </c>
      <c r="S75" s="34"/>
      <c r="T75" s="34"/>
      <c r="U75" s="2233" t="s">
        <v>25</v>
      </c>
      <c r="V75" s="803"/>
      <c r="W75" s="803"/>
      <c r="X75" s="803"/>
    </row>
    <row r="76" spans="1:24" x14ac:dyDescent="0.3">
      <c r="A76" s="2227">
        <v>70</v>
      </c>
      <c r="B76" s="248" t="s">
        <v>5318</v>
      </c>
      <c r="C76" s="2951" t="s">
        <v>5686</v>
      </c>
      <c r="D76" s="2952"/>
      <c r="E76" s="2952"/>
      <c r="F76" s="448" t="s">
        <v>5316</v>
      </c>
      <c r="G76" s="218" t="s">
        <v>5315</v>
      </c>
      <c r="H76" s="192">
        <v>850</v>
      </c>
      <c r="I76" s="1773" t="s">
        <v>41</v>
      </c>
      <c r="J76" s="34"/>
      <c r="K76" s="34"/>
      <c r="L76" s="2233" t="s">
        <v>25</v>
      </c>
      <c r="M76" s="803"/>
      <c r="N76" s="803"/>
      <c r="O76" s="803"/>
      <c r="P76" s="2627" t="s">
        <v>6395</v>
      </c>
      <c r="Q76" s="1612">
        <v>70</v>
      </c>
      <c r="S76" s="34"/>
      <c r="T76" s="34"/>
      <c r="U76" s="2233" t="s">
        <v>25</v>
      </c>
      <c r="V76" s="803"/>
      <c r="W76" s="803"/>
      <c r="X76" s="803"/>
    </row>
    <row r="77" spans="1:24" x14ac:dyDescent="0.3">
      <c r="A77" s="2227">
        <v>71</v>
      </c>
      <c r="B77" s="248" t="s">
        <v>5318</v>
      </c>
      <c r="C77" s="2951" t="s">
        <v>5685</v>
      </c>
      <c r="D77" s="2952"/>
      <c r="E77" s="2952"/>
      <c r="F77" s="448" t="s">
        <v>5316</v>
      </c>
      <c r="G77" s="218" t="s">
        <v>5315</v>
      </c>
      <c r="H77" s="192">
        <v>850</v>
      </c>
      <c r="I77" s="1773" t="s">
        <v>41</v>
      </c>
      <c r="J77" s="34"/>
      <c r="K77" s="34"/>
      <c r="L77" s="2233" t="s">
        <v>25</v>
      </c>
      <c r="M77" s="147"/>
      <c r="N77" s="803"/>
      <c r="O77" s="803"/>
      <c r="P77" s="2627" t="s">
        <v>6395</v>
      </c>
      <c r="Q77" s="1612">
        <v>71</v>
      </c>
      <c r="S77" s="34"/>
      <c r="T77" s="34"/>
      <c r="U77" s="2233" t="s">
        <v>25</v>
      </c>
      <c r="V77" s="147"/>
      <c r="W77" s="803"/>
      <c r="X77" s="803"/>
    </row>
    <row r="78" spans="1:24" x14ac:dyDescent="0.3">
      <c r="A78" s="2227">
        <v>72</v>
      </c>
      <c r="B78" s="248" t="s">
        <v>5318</v>
      </c>
      <c r="C78" s="2951" t="s">
        <v>5684</v>
      </c>
      <c r="D78" s="2952"/>
      <c r="E78" s="2952"/>
      <c r="F78" s="448" t="s">
        <v>5316</v>
      </c>
      <c r="G78" s="218" t="s">
        <v>5315</v>
      </c>
      <c r="H78" s="192">
        <v>850</v>
      </c>
      <c r="I78" s="1773" t="s">
        <v>41</v>
      </c>
      <c r="J78" s="34"/>
      <c r="K78" s="34"/>
      <c r="L78" s="2233" t="s">
        <v>25</v>
      </c>
      <c r="M78" s="147"/>
      <c r="N78" s="803"/>
      <c r="O78" s="803"/>
      <c r="P78" s="2627" t="s">
        <v>6395</v>
      </c>
      <c r="Q78" s="1612">
        <v>72</v>
      </c>
      <c r="S78" s="34"/>
      <c r="T78" s="34"/>
      <c r="U78" s="2233" t="s">
        <v>25</v>
      </c>
      <c r="V78" s="147"/>
      <c r="W78" s="803"/>
      <c r="X78" s="803"/>
    </row>
    <row r="79" spans="1:24" x14ac:dyDescent="0.3">
      <c r="A79" s="2227">
        <v>73</v>
      </c>
      <c r="B79" s="248" t="s">
        <v>5318</v>
      </c>
      <c r="C79" s="2951" t="s">
        <v>5683</v>
      </c>
      <c r="D79" s="2952"/>
      <c r="E79" s="2952"/>
      <c r="F79" s="448" t="s">
        <v>5316</v>
      </c>
      <c r="G79" s="218" t="s">
        <v>5315</v>
      </c>
      <c r="H79" s="192">
        <v>850</v>
      </c>
      <c r="I79" s="1773" t="s">
        <v>41</v>
      </c>
      <c r="J79" s="34"/>
      <c r="K79" s="34"/>
      <c r="L79" s="2233" t="s">
        <v>25</v>
      </c>
      <c r="M79" s="147"/>
      <c r="N79" s="803"/>
      <c r="O79" s="803"/>
      <c r="P79" s="2627" t="s">
        <v>6395</v>
      </c>
      <c r="Q79" s="1612">
        <v>73</v>
      </c>
      <c r="S79" s="34"/>
      <c r="T79" s="34"/>
      <c r="U79" s="2233" t="s">
        <v>25</v>
      </c>
      <c r="V79" s="147"/>
      <c r="W79" s="803"/>
      <c r="X79" s="803"/>
    </row>
    <row r="80" spans="1:24" x14ac:dyDescent="0.3">
      <c r="A80" s="2227">
        <v>74</v>
      </c>
      <c r="B80" s="248" t="s">
        <v>5318</v>
      </c>
      <c r="C80" s="2951" t="s">
        <v>5682</v>
      </c>
      <c r="D80" s="2952"/>
      <c r="E80" s="2952"/>
      <c r="F80" s="448" t="s">
        <v>5316</v>
      </c>
      <c r="G80" s="218" t="s">
        <v>5315</v>
      </c>
      <c r="H80" s="192">
        <v>850</v>
      </c>
      <c r="I80" s="1773" t="s">
        <v>41</v>
      </c>
      <c r="J80" s="34"/>
      <c r="K80" s="34"/>
      <c r="L80" s="2233" t="s">
        <v>25</v>
      </c>
      <c r="M80" s="147"/>
      <c r="N80" s="803"/>
      <c r="O80" s="803"/>
      <c r="P80" s="2627" t="s">
        <v>6395</v>
      </c>
      <c r="Q80" s="1612">
        <v>74</v>
      </c>
      <c r="S80" s="34"/>
      <c r="T80" s="34"/>
      <c r="U80" s="2233" t="s">
        <v>25</v>
      </c>
      <c r="V80" s="147"/>
      <c r="W80" s="803"/>
      <c r="X80" s="803"/>
    </row>
    <row r="81" spans="1:24" x14ac:dyDescent="0.3">
      <c r="A81" s="2227">
        <v>75</v>
      </c>
      <c r="B81" s="248" t="s">
        <v>5318</v>
      </c>
      <c r="C81" s="2951" t="s">
        <v>5681</v>
      </c>
      <c r="D81" s="2952"/>
      <c r="E81" s="2952"/>
      <c r="F81" s="448" t="s">
        <v>5316</v>
      </c>
      <c r="G81" s="218" t="s">
        <v>5315</v>
      </c>
      <c r="H81" s="192">
        <v>850</v>
      </c>
      <c r="I81" s="1773" t="s">
        <v>41</v>
      </c>
      <c r="J81" s="34"/>
      <c r="K81" s="34"/>
      <c r="L81" s="2233" t="s">
        <v>25</v>
      </c>
      <c r="M81" s="147"/>
      <c r="N81" s="803"/>
      <c r="O81" s="803"/>
      <c r="P81" s="2627" t="s">
        <v>6395</v>
      </c>
      <c r="Q81" s="1612">
        <v>75</v>
      </c>
      <c r="S81" s="34"/>
      <c r="T81" s="34"/>
      <c r="U81" s="2233" t="s">
        <v>25</v>
      </c>
      <c r="V81" s="147"/>
      <c r="W81" s="803"/>
      <c r="X81" s="803"/>
    </row>
    <row r="82" spans="1:24" x14ac:dyDescent="0.3">
      <c r="A82" s="2227">
        <v>76</v>
      </c>
      <c r="B82" s="248" t="s">
        <v>5318</v>
      </c>
      <c r="C82" s="2951" t="s">
        <v>5680</v>
      </c>
      <c r="D82" s="2952"/>
      <c r="E82" s="2952"/>
      <c r="F82" s="448" t="s">
        <v>5316</v>
      </c>
      <c r="G82" s="218" t="s">
        <v>5315</v>
      </c>
      <c r="H82" s="192">
        <v>850</v>
      </c>
      <c r="I82" s="1773" t="s">
        <v>41</v>
      </c>
      <c r="J82" s="34"/>
      <c r="K82" s="34"/>
      <c r="L82" s="2233" t="s">
        <v>25</v>
      </c>
      <c r="M82" s="147"/>
      <c r="N82" s="803"/>
      <c r="O82" s="803"/>
      <c r="P82" s="2627" t="s">
        <v>6395</v>
      </c>
      <c r="Q82" s="1612">
        <v>76</v>
      </c>
      <c r="S82" s="34"/>
      <c r="T82" s="34"/>
      <c r="U82" s="2233" t="s">
        <v>25</v>
      </c>
      <c r="V82" s="147"/>
      <c r="W82" s="803"/>
      <c r="X82" s="803"/>
    </row>
    <row r="83" spans="1:24" x14ac:dyDescent="0.3">
      <c r="A83" s="2227">
        <v>77</v>
      </c>
      <c r="B83" s="248" t="s">
        <v>5318</v>
      </c>
      <c r="C83" s="2951" t="s">
        <v>5679</v>
      </c>
      <c r="D83" s="2952"/>
      <c r="E83" s="2952"/>
      <c r="F83" s="448" t="s">
        <v>5316</v>
      </c>
      <c r="G83" s="218" t="s">
        <v>5315</v>
      </c>
      <c r="H83" s="192">
        <v>850</v>
      </c>
      <c r="I83" s="1773" t="s">
        <v>41</v>
      </c>
      <c r="J83" s="34"/>
      <c r="K83" s="34"/>
      <c r="L83" s="2233" t="s">
        <v>25</v>
      </c>
      <c r="M83" s="147"/>
      <c r="N83" s="803"/>
      <c r="O83" s="803"/>
      <c r="P83" s="2627" t="s">
        <v>6395</v>
      </c>
      <c r="Q83" s="1612">
        <v>77</v>
      </c>
      <c r="S83" s="34"/>
      <c r="T83" s="34"/>
      <c r="U83" s="2233" t="s">
        <v>25</v>
      </c>
      <c r="V83" s="147"/>
      <c r="W83" s="803"/>
      <c r="X83" s="803"/>
    </row>
    <row r="84" spans="1:24" x14ac:dyDescent="0.3">
      <c r="A84" s="2227">
        <v>78</v>
      </c>
      <c r="B84" s="248" t="s">
        <v>5318</v>
      </c>
      <c r="C84" s="2951" t="s">
        <v>5678</v>
      </c>
      <c r="D84" s="2952"/>
      <c r="E84" s="2952"/>
      <c r="F84" s="448" t="s">
        <v>5316</v>
      </c>
      <c r="G84" s="218" t="s">
        <v>5315</v>
      </c>
      <c r="H84" s="192">
        <v>850</v>
      </c>
      <c r="I84" s="1773" t="s">
        <v>41</v>
      </c>
      <c r="J84" s="34"/>
      <c r="K84" s="34"/>
      <c r="L84" s="2233" t="s">
        <v>25</v>
      </c>
      <c r="M84" s="803"/>
      <c r="N84" s="803"/>
      <c r="O84" s="803"/>
      <c r="P84" s="2627" t="s">
        <v>6395</v>
      </c>
      <c r="Q84" s="1612">
        <v>78</v>
      </c>
      <c r="S84" s="34"/>
      <c r="T84" s="34"/>
      <c r="U84" s="2233" t="s">
        <v>25</v>
      </c>
      <c r="V84" s="803"/>
      <c r="W84" s="803"/>
      <c r="X84" s="803"/>
    </row>
    <row r="85" spans="1:24" x14ac:dyDescent="0.3">
      <c r="A85" s="2227">
        <v>79</v>
      </c>
      <c r="B85" s="248" t="s">
        <v>5318</v>
      </c>
      <c r="C85" s="2951" t="s">
        <v>5677</v>
      </c>
      <c r="D85" s="2952"/>
      <c r="E85" s="2952"/>
      <c r="F85" s="448" t="s">
        <v>5316</v>
      </c>
      <c r="G85" s="218" t="s">
        <v>5315</v>
      </c>
      <c r="H85" s="192">
        <v>850</v>
      </c>
      <c r="I85" s="1773" t="s">
        <v>41</v>
      </c>
      <c r="J85" s="34"/>
      <c r="K85" s="34"/>
      <c r="L85" s="2233" t="s">
        <v>25</v>
      </c>
      <c r="M85" s="803"/>
      <c r="N85" s="803"/>
      <c r="O85" s="803"/>
      <c r="P85" s="2627" t="s">
        <v>6395</v>
      </c>
      <c r="Q85" s="1612">
        <v>79</v>
      </c>
      <c r="S85" s="34"/>
      <c r="T85" s="34"/>
      <c r="U85" s="2233" t="s">
        <v>25</v>
      </c>
      <c r="V85" s="803"/>
      <c r="W85" s="803"/>
      <c r="X85" s="803"/>
    </row>
    <row r="86" spans="1:24" x14ac:dyDescent="0.3">
      <c r="A86" s="2227">
        <v>80</v>
      </c>
      <c r="B86" s="248" t="s">
        <v>5318</v>
      </c>
      <c r="C86" s="2951" t="s">
        <v>5676</v>
      </c>
      <c r="D86" s="2952"/>
      <c r="E86" s="2952"/>
      <c r="F86" s="448" t="s">
        <v>5316</v>
      </c>
      <c r="G86" s="218" t="s">
        <v>5315</v>
      </c>
      <c r="H86" s="192">
        <v>850</v>
      </c>
      <c r="I86" s="1773" t="s">
        <v>41</v>
      </c>
      <c r="J86" s="34"/>
      <c r="K86" s="34"/>
      <c r="L86" s="2233" t="s">
        <v>25</v>
      </c>
      <c r="M86" s="803"/>
      <c r="N86" s="803"/>
      <c r="O86" s="803"/>
      <c r="P86" s="2627" t="s">
        <v>6395</v>
      </c>
      <c r="Q86" s="1612">
        <v>80</v>
      </c>
      <c r="S86" s="34"/>
      <c r="T86" s="34"/>
      <c r="U86" s="2233" t="s">
        <v>25</v>
      </c>
      <c r="V86" s="803"/>
      <c r="W86" s="803"/>
      <c r="X86" s="803"/>
    </row>
    <row r="87" spans="1:24" x14ac:dyDescent="0.3">
      <c r="A87" s="2227">
        <v>81</v>
      </c>
      <c r="B87" s="248" t="s">
        <v>5318</v>
      </c>
      <c r="C87" s="2951" t="s">
        <v>5675</v>
      </c>
      <c r="D87" s="2952"/>
      <c r="E87" s="2952"/>
      <c r="F87" s="448" t="s">
        <v>5316</v>
      </c>
      <c r="G87" s="218" t="s">
        <v>5315</v>
      </c>
      <c r="H87" s="192">
        <v>850</v>
      </c>
      <c r="I87" s="1773" t="s">
        <v>41</v>
      </c>
      <c r="J87" s="34"/>
      <c r="K87" s="34"/>
      <c r="L87" s="2233" t="s">
        <v>25</v>
      </c>
      <c r="M87" s="803"/>
      <c r="N87" s="803"/>
      <c r="O87" s="803"/>
      <c r="P87" s="2627" t="s">
        <v>6395</v>
      </c>
      <c r="Q87" s="1612">
        <v>81</v>
      </c>
      <c r="S87" s="34"/>
      <c r="T87" s="34"/>
      <c r="U87" s="2233" t="s">
        <v>25</v>
      </c>
      <c r="V87" s="803"/>
      <c r="W87" s="803"/>
      <c r="X87" s="803"/>
    </row>
    <row r="88" spans="1:24" x14ac:dyDescent="0.3">
      <c r="A88" s="2227">
        <v>82</v>
      </c>
      <c r="B88" s="248" t="s">
        <v>5318</v>
      </c>
      <c r="C88" s="2951" t="s">
        <v>5674</v>
      </c>
      <c r="D88" s="2952"/>
      <c r="E88" s="2952"/>
      <c r="F88" s="448" t="s">
        <v>5316</v>
      </c>
      <c r="G88" s="218" t="s">
        <v>5315</v>
      </c>
      <c r="H88" s="192">
        <v>850</v>
      </c>
      <c r="I88" s="1773" t="s">
        <v>41</v>
      </c>
      <c r="J88" s="34"/>
      <c r="K88" s="34"/>
      <c r="L88" s="2233" t="s">
        <v>25</v>
      </c>
      <c r="M88" s="803"/>
      <c r="N88" s="803"/>
      <c r="O88" s="803"/>
      <c r="P88" s="2627" t="s">
        <v>6395</v>
      </c>
      <c r="Q88" s="1612">
        <v>82</v>
      </c>
      <c r="S88" s="34"/>
      <c r="T88" s="34"/>
      <c r="U88" s="2233" t="s">
        <v>25</v>
      </c>
      <c r="V88" s="803"/>
      <c r="W88" s="803"/>
      <c r="X88" s="803"/>
    </row>
    <row r="89" spans="1:24" x14ac:dyDescent="0.3">
      <c r="A89" s="2227">
        <v>83</v>
      </c>
      <c r="B89" s="248" t="s">
        <v>5318</v>
      </c>
      <c r="C89" s="2951" t="s">
        <v>5673</v>
      </c>
      <c r="D89" s="2952"/>
      <c r="E89" s="2952"/>
      <c r="F89" s="448" t="s">
        <v>5316</v>
      </c>
      <c r="G89" s="218" t="s">
        <v>5315</v>
      </c>
      <c r="H89" s="192">
        <v>850</v>
      </c>
      <c r="I89" s="1773" t="s">
        <v>41</v>
      </c>
      <c r="J89" s="34"/>
      <c r="K89" s="34"/>
      <c r="L89" s="2233" t="s">
        <v>25</v>
      </c>
      <c r="M89" s="803"/>
      <c r="N89" s="803"/>
      <c r="O89" s="803"/>
      <c r="P89" s="2627" t="s">
        <v>6395</v>
      </c>
      <c r="Q89" s="1612">
        <v>83</v>
      </c>
      <c r="S89" s="34"/>
      <c r="T89" s="34"/>
      <c r="U89" s="2233" t="s">
        <v>25</v>
      </c>
      <c r="V89" s="803"/>
      <c r="W89" s="803"/>
      <c r="X89" s="803"/>
    </row>
    <row r="90" spans="1:24" x14ac:dyDescent="0.3">
      <c r="A90" s="2227">
        <v>84</v>
      </c>
      <c r="B90" s="248" t="s">
        <v>5318</v>
      </c>
      <c r="C90" s="2951" t="s">
        <v>5672</v>
      </c>
      <c r="D90" s="2952"/>
      <c r="E90" s="2952"/>
      <c r="F90" s="448" t="s">
        <v>5316</v>
      </c>
      <c r="G90" s="218" t="s">
        <v>5315</v>
      </c>
      <c r="H90" s="192">
        <v>850</v>
      </c>
      <c r="I90" s="1773" t="s">
        <v>41</v>
      </c>
      <c r="J90" s="34"/>
      <c r="K90" s="34"/>
      <c r="L90" s="2233" t="s">
        <v>25</v>
      </c>
      <c r="M90" s="803"/>
      <c r="N90" s="803"/>
      <c r="O90" s="803"/>
      <c r="P90" s="2627" t="s">
        <v>6395</v>
      </c>
      <c r="Q90" s="1612">
        <v>84</v>
      </c>
      <c r="S90" s="34"/>
      <c r="T90" s="34"/>
      <c r="U90" s="2233" t="s">
        <v>25</v>
      </c>
      <c r="V90" s="803"/>
      <c r="W90" s="803"/>
      <c r="X90" s="803"/>
    </row>
    <row r="91" spans="1:24" x14ac:dyDescent="0.3">
      <c r="A91" s="2227">
        <v>85</v>
      </c>
      <c r="B91" s="248" t="s">
        <v>5318</v>
      </c>
      <c r="C91" s="2951" t="s">
        <v>5671</v>
      </c>
      <c r="D91" s="2952"/>
      <c r="E91" s="2952"/>
      <c r="F91" s="448" t="s">
        <v>5316</v>
      </c>
      <c r="G91" s="218" t="s">
        <v>5315</v>
      </c>
      <c r="H91" s="192">
        <v>850</v>
      </c>
      <c r="I91" s="1773" t="s">
        <v>41</v>
      </c>
      <c r="J91" s="34"/>
      <c r="K91" s="34"/>
      <c r="L91" s="2233" t="s">
        <v>25</v>
      </c>
      <c r="M91" s="803"/>
      <c r="N91" s="803"/>
      <c r="O91" s="803"/>
      <c r="P91" s="2627" t="s">
        <v>6395</v>
      </c>
      <c r="Q91" s="1612">
        <v>85</v>
      </c>
      <c r="S91" s="34"/>
      <c r="T91" s="34"/>
      <c r="U91" s="2233" t="s">
        <v>25</v>
      </c>
      <c r="V91" s="803"/>
      <c r="W91" s="803"/>
      <c r="X91" s="803"/>
    </row>
    <row r="92" spans="1:24" x14ac:dyDescent="0.3">
      <c r="A92" s="2227">
        <v>86</v>
      </c>
      <c r="B92" s="248" t="s">
        <v>5318</v>
      </c>
      <c r="C92" s="2951" t="s">
        <v>5670</v>
      </c>
      <c r="D92" s="2952"/>
      <c r="E92" s="2952"/>
      <c r="F92" s="448" t="s">
        <v>5316</v>
      </c>
      <c r="G92" s="218" t="s">
        <v>5315</v>
      </c>
      <c r="H92" s="192">
        <v>850</v>
      </c>
      <c r="I92" s="1773" t="s">
        <v>41</v>
      </c>
      <c r="J92" s="34"/>
      <c r="K92" s="34"/>
      <c r="L92" s="2233" t="s">
        <v>25</v>
      </c>
      <c r="M92" s="803"/>
      <c r="N92" s="803"/>
      <c r="O92" s="803"/>
      <c r="P92" s="2627" t="s">
        <v>6395</v>
      </c>
      <c r="Q92" s="1612">
        <v>86</v>
      </c>
      <c r="S92" s="34"/>
      <c r="T92" s="34"/>
      <c r="U92" s="2233" t="s">
        <v>25</v>
      </c>
      <c r="V92" s="803"/>
      <c r="W92" s="803"/>
      <c r="X92" s="803"/>
    </row>
    <row r="93" spans="1:24" x14ac:dyDescent="0.3">
      <c r="A93" s="2227">
        <v>87</v>
      </c>
      <c r="B93" s="248" t="s">
        <v>5318</v>
      </c>
      <c r="C93" s="2951" t="s">
        <v>5669</v>
      </c>
      <c r="D93" s="2952"/>
      <c r="E93" s="2952"/>
      <c r="F93" s="448" t="s">
        <v>5316</v>
      </c>
      <c r="G93" s="218" t="s">
        <v>5315</v>
      </c>
      <c r="H93" s="192">
        <v>850</v>
      </c>
      <c r="I93" s="1773" t="s">
        <v>41</v>
      </c>
      <c r="J93" s="34"/>
      <c r="K93" s="34"/>
      <c r="L93" s="2233" t="s">
        <v>25</v>
      </c>
      <c r="M93" s="803"/>
      <c r="N93" s="803"/>
      <c r="O93" s="803"/>
      <c r="P93" s="2627" t="s">
        <v>6395</v>
      </c>
      <c r="Q93" s="1612">
        <v>87</v>
      </c>
      <c r="S93" s="34"/>
      <c r="T93" s="34"/>
      <c r="U93" s="2233" t="s">
        <v>25</v>
      </c>
      <c r="V93" s="803"/>
      <c r="W93" s="803"/>
      <c r="X93" s="803"/>
    </row>
    <row r="94" spans="1:24" x14ac:dyDescent="0.3">
      <c r="A94" s="2227">
        <v>88</v>
      </c>
      <c r="B94" s="248" t="s">
        <v>5318</v>
      </c>
      <c r="C94" s="2951" t="s">
        <v>5668</v>
      </c>
      <c r="D94" s="2952"/>
      <c r="E94" s="2952"/>
      <c r="F94" s="448" t="s">
        <v>5316</v>
      </c>
      <c r="G94" s="218" t="s">
        <v>5315</v>
      </c>
      <c r="H94" s="192">
        <v>850</v>
      </c>
      <c r="I94" s="1773" t="s">
        <v>41</v>
      </c>
      <c r="J94" s="34"/>
      <c r="K94" s="34"/>
      <c r="L94" s="2233" t="s">
        <v>25</v>
      </c>
      <c r="M94" s="803"/>
      <c r="N94" s="803"/>
      <c r="O94" s="803"/>
      <c r="P94" s="2627" t="s">
        <v>6395</v>
      </c>
      <c r="Q94" s="1612">
        <v>88</v>
      </c>
      <c r="S94" s="34"/>
      <c r="T94" s="34"/>
      <c r="U94" s="2233" t="s">
        <v>25</v>
      </c>
      <c r="V94" s="803"/>
      <c r="W94" s="803"/>
      <c r="X94" s="803"/>
    </row>
    <row r="95" spans="1:24" x14ac:dyDescent="0.3">
      <c r="A95" s="2227">
        <v>89</v>
      </c>
      <c r="B95" s="248" t="s">
        <v>5318</v>
      </c>
      <c r="C95" s="2951" t="s">
        <v>5667</v>
      </c>
      <c r="D95" s="2952"/>
      <c r="E95" s="2952"/>
      <c r="F95" s="448" t="s">
        <v>5316</v>
      </c>
      <c r="G95" s="218" t="s">
        <v>5315</v>
      </c>
      <c r="H95" s="192">
        <v>850</v>
      </c>
      <c r="I95" s="1773" t="s">
        <v>41</v>
      </c>
      <c r="J95" s="34"/>
      <c r="K95" s="34"/>
      <c r="L95" s="2233" t="s">
        <v>25</v>
      </c>
      <c r="M95" s="803"/>
      <c r="N95" s="803"/>
      <c r="O95" s="803"/>
      <c r="P95" s="2627" t="s">
        <v>6395</v>
      </c>
      <c r="Q95" s="1612">
        <v>89</v>
      </c>
      <c r="S95" s="34"/>
      <c r="T95" s="34"/>
      <c r="U95" s="2233" t="s">
        <v>25</v>
      </c>
      <c r="V95" s="803"/>
      <c r="W95" s="803"/>
      <c r="X95" s="803"/>
    </row>
    <row r="96" spans="1:24" x14ac:dyDescent="0.3">
      <c r="A96" s="2227">
        <v>90</v>
      </c>
      <c r="B96" s="248" t="s">
        <v>5638</v>
      </c>
      <c r="C96" s="2951" t="s">
        <v>5666</v>
      </c>
      <c r="D96" s="2952"/>
      <c r="E96" s="2952"/>
      <c r="F96" s="448" t="s">
        <v>5316</v>
      </c>
      <c r="G96" s="218" t="s">
        <v>5446</v>
      </c>
      <c r="H96" s="192">
        <v>850</v>
      </c>
      <c r="I96" s="1773" t="s">
        <v>41</v>
      </c>
      <c r="J96" s="34"/>
      <c r="K96" s="34"/>
      <c r="L96" s="2233" t="s">
        <v>25</v>
      </c>
      <c r="M96" s="147"/>
      <c r="N96" s="803"/>
      <c r="O96" s="803"/>
      <c r="P96" s="2627" t="s">
        <v>6395</v>
      </c>
      <c r="Q96" s="1612">
        <v>90</v>
      </c>
      <c r="S96" s="34"/>
      <c r="T96" s="34"/>
      <c r="U96" s="2233" t="s">
        <v>25</v>
      </c>
      <c r="V96" s="147"/>
      <c r="W96" s="803"/>
      <c r="X96" s="803"/>
    </row>
    <row r="97" spans="1:24" x14ac:dyDescent="0.3">
      <c r="A97" s="2227">
        <v>91</v>
      </c>
      <c r="B97" s="248" t="s">
        <v>5638</v>
      </c>
      <c r="C97" s="2951" t="s">
        <v>5665</v>
      </c>
      <c r="D97" s="2952"/>
      <c r="E97" s="2952"/>
      <c r="F97" s="448" t="s">
        <v>5316</v>
      </c>
      <c r="G97" s="218" t="s">
        <v>5446</v>
      </c>
      <c r="H97" s="192">
        <v>850</v>
      </c>
      <c r="I97" s="1773" t="s">
        <v>41</v>
      </c>
      <c r="J97" s="34"/>
      <c r="K97" s="34"/>
      <c r="L97" s="2233" t="s">
        <v>25</v>
      </c>
      <c r="M97" s="147"/>
      <c r="N97" s="803"/>
      <c r="O97" s="803"/>
      <c r="P97" s="2627" t="s">
        <v>6395</v>
      </c>
      <c r="Q97" s="1612">
        <v>91</v>
      </c>
      <c r="S97" s="34"/>
      <c r="T97" s="34"/>
      <c r="U97" s="2233" t="s">
        <v>25</v>
      </c>
      <c r="V97" s="147"/>
      <c r="W97" s="803"/>
      <c r="X97" s="803"/>
    </row>
    <row r="98" spans="1:24" x14ac:dyDescent="0.3">
      <c r="A98" s="2227">
        <v>92</v>
      </c>
      <c r="B98" s="248" t="s">
        <v>5638</v>
      </c>
      <c r="C98" s="2951" t="s">
        <v>5664</v>
      </c>
      <c r="D98" s="2952"/>
      <c r="E98" s="2952"/>
      <c r="F98" s="448" t="s">
        <v>5316</v>
      </c>
      <c r="G98" s="218" t="s">
        <v>5446</v>
      </c>
      <c r="H98" s="192">
        <v>850</v>
      </c>
      <c r="I98" s="1773" t="s">
        <v>41</v>
      </c>
      <c r="J98" s="34"/>
      <c r="K98" s="34"/>
      <c r="L98" s="2233" t="s">
        <v>25</v>
      </c>
      <c r="M98" s="147"/>
      <c r="N98" s="803"/>
      <c r="O98" s="803"/>
      <c r="P98" s="2627" t="s">
        <v>6395</v>
      </c>
      <c r="Q98" s="1612">
        <v>92</v>
      </c>
      <c r="S98" s="34"/>
      <c r="T98" s="34"/>
      <c r="U98" s="2233" t="s">
        <v>25</v>
      </c>
      <c r="V98" s="147"/>
      <c r="W98" s="803"/>
      <c r="X98" s="803"/>
    </row>
    <row r="99" spans="1:24" x14ac:dyDescent="0.3">
      <c r="A99" s="2227">
        <v>93</v>
      </c>
      <c r="B99" s="248" t="s">
        <v>5638</v>
      </c>
      <c r="C99" s="2951" t="s">
        <v>5663</v>
      </c>
      <c r="D99" s="2952"/>
      <c r="E99" s="2952"/>
      <c r="F99" s="448" t="s">
        <v>5316</v>
      </c>
      <c r="G99" s="218" t="s">
        <v>5446</v>
      </c>
      <c r="H99" s="192">
        <v>850</v>
      </c>
      <c r="I99" s="1773" t="s">
        <v>41</v>
      </c>
      <c r="J99" s="34"/>
      <c r="K99" s="34"/>
      <c r="L99" s="2233" t="s">
        <v>25</v>
      </c>
      <c r="M99" s="147"/>
      <c r="N99" s="803"/>
      <c r="O99" s="803"/>
      <c r="P99" s="2627" t="s">
        <v>6395</v>
      </c>
      <c r="Q99" s="1612">
        <v>93</v>
      </c>
      <c r="S99" s="34"/>
      <c r="T99" s="34"/>
      <c r="U99" s="2233" t="s">
        <v>25</v>
      </c>
      <c r="V99" s="147"/>
      <c r="W99" s="803"/>
      <c r="X99" s="803"/>
    </row>
    <row r="100" spans="1:24" x14ac:dyDescent="0.3">
      <c r="A100" s="2227">
        <v>94</v>
      </c>
      <c r="B100" s="248" t="s">
        <v>5638</v>
      </c>
      <c r="C100" s="2951" t="s">
        <v>5662</v>
      </c>
      <c r="D100" s="2952"/>
      <c r="E100" s="2952"/>
      <c r="F100" s="448" t="s">
        <v>5316</v>
      </c>
      <c r="G100" s="218" t="s">
        <v>5446</v>
      </c>
      <c r="H100" s="192">
        <v>850</v>
      </c>
      <c r="I100" s="1773" t="s">
        <v>41</v>
      </c>
      <c r="J100" s="34"/>
      <c r="K100" s="34"/>
      <c r="L100" s="2233" t="s">
        <v>25</v>
      </c>
      <c r="M100" s="147"/>
      <c r="N100" s="803"/>
      <c r="O100" s="803"/>
      <c r="P100" s="2627" t="s">
        <v>6395</v>
      </c>
      <c r="Q100" s="1612">
        <v>94</v>
      </c>
      <c r="S100" s="34"/>
      <c r="T100" s="34"/>
      <c r="U100" s="2233" t="s">
        <v>25</v>
      </c>
      <c r="V100" s="147"/>
      <c r="W100" s="803"/>
      <c r="X100" s="803"/>
    </row>
    <row r="101" spans="1:24" x14ac:dyDescent="0.3">
      <c r="A101" s="2227">
        <v>95</v>
      </c>
      <c r="B101" s="248" t="s">
        <v>5638</v>
      </c>
      <c r="C101" s="2951" t="s">
        <v>5661</v>
      </c>
      <c r="D101" s="2952"/>
      <c r="E101" s="2952"/>
      <c r="F101" s="448" t="s">
        <v>5316</v>
      </c>
      <c r="G101" s="218" t="s">
        <v>5446</v>
      </c>
      <c r="H101" s="192">
        <v>850</v>
      </c>
      <c r="I101" s="1773" t="s">
        <v>41</v>
      </c>
      <c r="J101" s="34"/>
      <c r="K101" s="34"/>
      <c r="L101" s="2233" t="s">
        <v>25</v>
      </c>
      <c r="M101" s="147"/>
      <c r="N101" s="803"/>
      <c r="O101" s="803"/>
      <c r="P101" s="2627" t="s">
        <v>6395</v>
      </c>
      <c r="Q101" s="1612">
        <v>95</v>
      </c>
      <c r="S101" s="34"/>
      <c r="T101" s="34"/>
      <c r="U101" s="2233" t="s">
        <v>25</v>
      </c>
      <c r="V101" s="147"/>
      <c r="W101" s="803"/>
      <c r="X101" s="803"/>
    </row>
    <row r="102" spans="1:24" x14ac:dyDescent="0.3">
      <c r="A102" s="2227">
        <v>96</v>
      </c>
      <c r="B102" s="248" t="s">
        <v>5638</v>
      </c>
      <c r="C102" s="2951" t="s">
        <v>5660</v>
      </c>
      <c r="D102" s="2952"/>
      <c r="E102" s="2952"/>
      <c r="F102" s="448" t="s">
        <v>5316</v>
      </c>
      <c r="G102" s="218" t="s">
        <v>5446</v>
      </c>
      <c r="H102" s="192">
        <v>850</v>
      </c>
      <c r="I102" s="1773" t="s">
        <v>41</v>
      </c>
      <c r="J102" s="34"/>
      <c r="K102" s="34"/>
      <c r="L102" s="2233" t="s">
        <v>25</v>
      </c>
      <c r="M102" s="803"/>
      <c r="N102" s="803"/>
      <c r="O102" s="803"/>
      <c r="P102" s="2627" t="s">
        <v>6395</v>
      </c>
      <c r="Q102" s="1612">
        <v>96</v>
      </c>
      <c r="S102" s="34"/>
      <c r="T102" s="34"/>
      <c r="U102" s="2233" t="s">
        <v>25</v>
      </c>
      <c r="V102" s="803"/>
      <c r="W102" s="803"/>
      <c r="X102" s="803"/>
    </row>
    <row r="103" spans="1:24" x14ac:dyDescent="0.3">
      <c r="A103" s="2227">
        <v>97</v>
      </c>
      <c r="B103" s="248" t="s">
        <v>5638</v>
      </c>
      <c r="C103" s="2951" t="s">
        <v>5659</v>
      </c>
      <c r="D103" s="2952"/>
      <c r="E103" s="2952"/>
      <c r="F103" s="448" t="s">
        <v>5316</v>
      </c>
      <c r="G103" s="218" t="s">
        <v>5446</v>
      </c>
      <c r="H103" s="192">
        <v>850</v>
      </c>
      <c r="I103" s="1773" t="s">
        <v>41</v>
      </c>
      <c r="J103" s="34"/>
      <c r="K103" s="34"/>
      <c r="L103" s="2233" t="s">
        <v>25</v>
      </c>
      <c r="M103" s="803"/>
      <c r="N103" s="803"/>
      <c r="O103" s="803"/>
      <c r="P103" s="2627" t="s">
        <v>6395</v>
      </c>
      <c r="Q103" s="1612">
        <v>97</v>
      </c>
      <c r="S103" s="34"/>
      <c r="T103" s="34"/>
      <c r="U103" s="2233" t="s">
        <v>25</v>
      </c>
      <c r="V103" s="803"/>
      <c r="W103" s="803"/>
      <c r="X103" s="803"/>
    </row>
    <row r="104" spans="1:24" x14ac:dyDescent="0.3">
      <c r="A104" s="2227">
        <v>98</v>
      </c>
      <c r="B104" s="248" t="s">
        <v>5638</v>
      </c>
      <c r="C104" s="2951" t="s">
        <v>5658</v>
      </c>
      <c r="D104" s="2952"/>
      <c r="E104" s="2952"/>
      <c r="F104" s="448" t="s">
        <v>5316</v>
      </c>
      <c r="G104" s="218" t="s">
        <v>5446</v>
      </c>
      <c r="H104" s="192">
        <v>850</v>
      </c>
      <c r="I104" s="1773" t="s">
        <v>41</v>
      </c>
      <c r="J104" s="34"/>
      <c r="K104" s="34"/>
      <c r="L104" s="2233" t="s">
        <v>25</v>
      </c>
      <c r="M104" s="803"/>
      <c r="N104" s="803"/>
      <c r="O104" s="803"/>
      <c r="P104" s="2627" t="s">
        <v>6395</v>
      </c>
      <c r="Q104" s="1612">
        <v>98</v>
      </c>
      <c r="S104" s="34"/>
      <c r="T104" s="34"/>
      <c r="U104" s="2233" t="s">
        <v>25</v>
      </c>
      <c r="V104" s="803"/>
      <c r="W104" s="803"/>
      <c r="X104" s="803"/>
    </row>
    <row r="105" spans="1:24" x14ac:dyDescent="0.3">
      <c r="A105" s="2227">
        <v>99</v>
      </c>
      <c r="B105" s="248" t="s">
        <v>5638</v>
      </c>
      <c r="C105" s="2951" t="s">
        <v>5657</v>
      </c>
      <c r="D105" s="2952"/>
      <c r="E105" s="2952"/>
      <c r="F105" s="448" t="s">
        <v>5316</v>
      </c>
      <c r="G105" s="218" t="s">
        <v>5446</v>
      </c>
      <c r="H105" s="192">
        <v>850</v>
      </c>
      <c r="I105" s="1773" t="s">
        <v>41</v>
      </c>
      <c r="J105" s="34"/>
      <c r="K105" s="34"/>
      <c r="L105" s="2233" t="s">
        <v>25</v>
      </c>
      <c r="M105" s="803"/>
      <c r="N105" s="803"/>
      <c r="O105" s="803"/>
      <c r="P105" s="2627" t="s">
        <v>6395</v>
      </c>
      <c r="Q105" s="1612">
        <v>99</v>
      </c>
      <c r="S105" s="34"/>
      <c r="T105" s="34"/>
      <c r="U105" s="2233" t="s">
        <v>25</v>
      </c>
      <c r="V105" s="803"/>
      <c r="W105" s="803"/>
      <c r="X105" s="803"/>
    </row>
    <row r="106" spans="1:24" x14ac:dyDescent="0.3">
      <c r="A106" s="2227">
        <v>100</v>
      </c>
      <c r="B106" s="248" t="s">
        <v>5638</v>
      </c>
      <c r="C106" s="2951" t="s">
        <v>5656</v>
      </c>
      <c r="D106" s="2952"/>
      <c r="E106" s="2952"/>
      <c r="F106" s="448" t="s">
        <v>5316</v>
      </c>
      <c r="G106" s="218" t="s">
        <v>5446</v>
      </c>
      <c r="H106" s="192">
        <v>850</v>
      </c>
      <c r="I106" s="1773" t="s">
        <v>41</v>
      </c>
      <c r="J106" s="34"/>
      <c r="K106" s="34"/>
      <c r="L106" s="2233" t="s">
        <v>25</v>
      </c>
      <c r="M106" s="803"/>
      <c r="N106" s="803"/>
      <c r="O106" s="803"/>
      <c r="P106" s="2627" t="s">
        <v>6395</v>
      </c>
      <c r="Q106" s="1612">
        <v>100</v>
      </c>
      <c r="S106" s="34"/>
      <c r="T106" s="34"/>
      <c r="U106" s="2233" t="s">
        <v>25</v>
      </c>
      <c r="V106" s="803"/>
      <c r="W106" s="803"/>
      <c r="X106" s="803"/>
    </row>
    <row r="107" spans="1:24" x14ac:dyDescent="0.3">
      <c r="A107" s="2227">
        <v>101</v>
      </c>
      <c r="B107" s="248" t="s">
        <v>5638</v>
      </c>
      <c r="C107" s="2951" t="s">
        <v>5655</v>
      </c>
      <c r="D107" s="2952"/>
      <c r="E107" s="2952"/>
      <c r="F107" s="448" t="s">
        <v>5316</v>
      </c>
      <c r="G107" s="218" t="s">
        <v>5446</v>
      </c>
      <c r="H107" s="192">
        <v>850</v>
      </c>
      <c r="I107" s="1773" t="s">
        <v>41</v>
      </c>
      <c r="J107" s="34"/>
      <c r="K107" s="34"/>
      <c r="L107" s="2233" t="s">
        <v>25</v>
      </c>
      <c r="M107" s="803"/>
      <c r="N107" s="803"/>
      <c r="O107" s="803"/>
      <c r="P107" s="2627" t="s">
        <v>6395</v>
      </c>
      <c r="Q107" s="1612">
        <v>101</v>
      </c>
      <c r="S107" s="34"/>
      <c r="T107" s="34"/>
      <c r="U107" s="2233" t="s">
        <v>25</v>
      </c>
      <c r="V107" s="803"/>
      <c r="W107" s="803"/>
      <c r="X107" s="803"/>
    </row>
    <row r="108" spans="1:24" x14ac:dyDescent="0.3">
      <c r="A108" s="2227">
        <v>102</v>
      </c>
      <c r="B108" s="248" t="s">
        <v>5638</v>
      </c>
      <c r="C108" s="2951" t="s">
        <v>5654</v>
      </c>
      <c r="D108" s="2952"/>
      <c r="E108" s="2952"/>
      <c r="F108" s="448" t="s">
        <v>5316</v>
      </c>
      <c r="G108" s="218" t="s">
        <v>5446</v>
      </c>
      <c r="H108" s="192">
        <v>850</v>
      </c>
      <c r="I108" s="1773" t="s">
        <v>41</v>
      </c>
      <c r="J108" s="34"/>
      <c r="K108" s="34"/>
      <c r="L108" s="2233" t="s">
        <v>25</v>
      </c>
      <c r="M108" s="803"/>
      <c r="N108" s="803"/>
      <c r="O108" s="803"/>
      <c r="P108" s="2627" t="s">
        <v>6395</v>
      </c>
      <c r="Q108" s="1612">
        <v>102</v>
      </c>
      <c r="S108" s="34"/>
      <c r="T108" s="34"/>
      <c r="U108" s="2233" t="s">
        <v>25</v>
      </c>
      <c r="V108" s="803"/>
      <c r="W108" s="803"/>
      <c r="X108" s="803"/>
    </row>
    <row r="109" spans="1:24" x14ac:dyDescent="0.3">
      <c r="A109" s="2227">
        <v>103</v>
      </c>
      <c r="B109" s="248" t="s">
        <v>5638</v>
      </c>
      <c r="C109" s="2951" t="s">
        <v>5653</v>
      </c>
      <c r="D109" s="2952"/>
      <c r="E109" s="2952"/>
      <c r="F109" s="448" t="s">
        <v>5316</v>
      </c>
      <c r="G109" s="218" t="s">
        <v>5446</v>
      </c>
      <c r="H109" s="192">
        <v>850</v>
      </c>
      <c r="I109" s="1773" t="s">
        <v>41</v>
      </c>
      <c r="J109" s="34"/>
      <c r="K109" s="34"/>
      <c r="L109" s="2233" t="s">
        <v>25</v>
      </c>
      <c r="M109" s="803"/>
      <c r="N109" s="803"/>
      <c r="O109" s="803"/>
      <c r="P109" s="2627" t="s">
        <v>6395</v>
      </c>
      <c r="Q109" s="1612">
        <v>103</v>
      </c>
      <c r="S109" s="34"/>
      <c r="T109" s="34"/>
      <c r="U109" s="2233" t="s">
        <v>25</v>
      </c>
      <c r="V109" s="803"/>
      <c r="W109" s="803"/>
      <c r="X109" s="803"/>
    </row>
    <row r="110" spans="1:24" x14ac:dyDescent="0.3">
      <c r="A110" s="2227">
        <v>104</v>
      </c>
      <c r="B110" s="248" t="s">
        <v>5638</v>
      </c>
      <c r="C110" s="2951" t="s">
        <v>5652</v>
      </c>
      <c r="D110" s="2952"/>
      <c r="E110" s="2952"/>
      <c r="F110" s="448" t="s">
        <v>5316</v>
      </c>
      <c r="G110" s="218" t="s">
        <v>5446</v>
      </c>
      <c r="H110" s="192">
        <v>850</v>
      </c>
      <c r="I110" s="1773" t="s">
        <v>41</v>
      </c>
      <c r="J110" s="34"/>
      <c r="K110" s="34"/>
      <c r="L110" s="2233" t="s">
        <v>25</v>
      </c>
      <c r="M110" s="803"/>
      <c r="N110" s="803"/>
      <c r="O110" s="803"/>
      <c r="P110" s="2627" t="s">
        <v>6395</v>
      </c>
      <c r="Q110" s="1612">
        <v>104</v>
      </c>
      <c r="S110" s="34"/>
      <c r="T110" s="34"/>
      <c r="U110" s="2233" t="s">
        <v>25</v>
      </c>
      <c r="V110" s="803"/>
      <c r="W110" s="803"/>
      <c r="X110" s="803"/>
    </row>
    <row r="111" spans="1:24" x14ac:dyDescent="0.3">
      <c r="A111" s="2227">
        <v>105</v>
      </c>
      <c r="B111" s="248" t="s">
        <v>5638</v>
      </c>
      <c r="C111" s="2951" t="s">
        <v>5651</v>
      </c>
      <c r="D111" s="2952"/>
      <c r="E111" s="2952"/>
      <c r="F111" s="448" t="s">
        <v>5316</v>
      </c>
      <c r="G111" s="218" t="s">
        <v>5446</v>
      </c>
      <c r="H111" s="192">
        <v>850</v>
      </c>
      <c r="I111" s="1773" t="s">
        <v>41</v>
      </c>
      <c r="J111" s="34"/>
      <c r="K111" s="34"/>
      <c r="L111" s="2233" t="s">
        <v>25</v>
      </c>
      <c r="M111" s="803"/>
      <c r="N111" s="803"/>
      <c r="O111" s="803"/>
      <c r="P111" s="2627" t="s">
        <v>6395</v>
      </c>
      <c r="Q111" s="1612">
        <v>105</v>
      </c>
      <c r="S111" s="34"/>
      <c r="T111" s="34"/>
      <c r="U111" s="2233" t="s">
        <v>25</v>
      </c>
      <c r="V111" s="803"/>
      <c r="W111" s="803"/>
      <c r="X111" s="803"/>
    </row>
    <row r="112" spans="1:24" x14ac:dyDescent="0.3">
      <c r="A112" s="2227">
        <v>106</v>
      </c>
      <c r="B112" s="248" t="s">
        <v>5638</v>
      </c>
      <c r="C112" s="2951" t="s">
        <v>5650</v>
      </c>
      <c r="D112" s="2952"/>
      <c r="E112" s="2952"/>
      <c r="F112" s="448" t="s">
        <v>5316</v>
      </c>
      <c r="G112" s="218" t="s">
        <v>5446</v>
      </c>
      <c r="H112" s="192">
        <v>850</v>
      </c>
      <c r="I112" s="1773" t="s">
        <v>41</v>
      </c>
      <c r="J112" s="34"/>
      <c r="K112" s="34"/>
      <c r="L112" s="2233" t="s">
        <v>25</v>
      </c>
      <c r="M112" s="803"/>
      <c r="N112" s="803"/>
      <c r="O112" s="803"/>
      <c r="P112" s="2627" t="s">
        <v>6395</v>
      </c>
      <c r="Q112" s="1612">
        <v>106</v>
      </c>
      <c r="S112" s="34"/>
      <c r="T112" s="34"/>
      <c r="U112" s="2233" t="s">
        <v>25</v>
      </c>
      <c r="V112" s="803"/>
      <c r="W112" s="803"/>
      <c r="X112" s="803"/>
    </row>
    <row r="113" spans="1:24" x14ac:dyDescent="0.3">
      <c r="A113" s="2227">
        <v>107</v>
      </c>
      <c r="B113" s="248" t="s">
        <v>5638</v>
      </c>
      <c r="C113" s="2951" t="s">
        <v>5649</v>
      </c>
      <c r="D113" s="2952"/>
      <c r="E113" s="2952"/>
      <c r="F113" s="448" t="s">
        <v>5316</v>
      </c>
      <c r="G113" s="218" t="s">
        <v>5446</v>
      </c>
      <c r="H113" s="192">
        <v>850</v>
      </c>
      <c r="I113" s="1773" t="s">
        <v>41</v>
      </c>
      <c r="J113" s="34"/>
      <c r="K113" s="34"/>
      <c r="L113" s="2233" t="s">
        <v>25</v>
      </c>
      <c r="M113" s="803"/>
      <c r="N113" s="803"/>
      <c r="O113" s="803"/>
      <c r="P113" s="2627" t="s">
        <v>6395</v>
      </c>
      <c r="Q113" s="1612">
        <v>107</v>
      </c>
      <c r="S113" s="34"/>
      <c r="T113" s="34"/>
      <c r="U113" s="2233" t="s">
        <v>25</v>
      </c>
      <c r="V113" s="803"/>
      <c r="W113" s="803"/>
      <c r="X113" s="803"/>
    </row>
    <row r="114" spans="1:24" x14ac:dyDescent="0.3">
      <c r="A114" s="2227">
        <v>108</v>
      </c>
      <c r="B114" s="248" t="s">
        <v>5638</v>
      </c>
      <c r="C114" s="2951" t="s">
        <v>5648</v>
      </c>
      <c r="D114" s="2952"/>
      <c r="E114" s="2952"/>
      <c r="F114" s="448" t="s">
        <v>5316</v>
      </c>
      <c r="G114" s="218" t="s">
        <v>5446</v>
      </c>
      <c r="H114" s="192">
        <v>850</v>
      </c>
      <c r="I114" s="1773" t="s">
        <v>41</v>
      </c>
      <c r="J114" s="34"/>
      <c r="K114" s="34"/>
      <c r="L114" s="2233" t="s">
        <v>25</v>
      </c>
      <c r="M114" s="803"/>
      <c r="N114" s="803"/>
      <c r="O114" s="803"/>
      <c r="P114" s="2627" t="s">
        <v>6395</v>
      </c>
      <c r="Q114" s="1612">
        <v>108</v>
      </c>
      <c r="S114" s="34"/>
      <c r="T114" s="34"/>
      <c r="U114" s="2233" t="s">
        <v>25</v>
      </c>
      <c r="V114" s="803"/>
      <c r="W114" s="803"/>
      <c r="X114" s="803"/>
    </row>
    <row r="115" spans="1:24" x14ac:dyDescent="0.3">
      <c r="A115" s="2227">
        <v>109</v>
      </c>
      <c r="B115" s="248" t="s">
        <v>5638</v>
      </c>
      <c r="C115" s="2951" t="s">
        <v>5647</v>
      </c>
      <c r="D115" s="2952"/>
      <c r="E115" s="2952"/>
      <c r="F115" s="448" t="s">
        <v>5316</v>
      </c>
      <c r="G115" s="218" t="s">
        <v>5446</v>
      </c>
      <c r="H115" s="192">
        <v>850</v>
      </c>
      <c r="I115" s="1773" t="s">
        <v>41</v>
      </c>
      <c r="J115" s="34"/>
      <c r="K115" s="34"/>
      <c r="L115" s="2233" t="s">
        <v>25</v>
      </c>
      <c r="M115" s="803"/>
      <c r="N115" s="803"/>
      <c r="O115" s="803"/>
      <c r="P115" s="2627" t="s">
        <v>6395</v>
      </c>
      <c r="Q115" s="1612">
        <v>109</v>
      </c>
      <c r="S115" s="34"/>
      <c r="T115" s="34"/>
      <c r="U115" s="2233" t="s">
        <v>25</v>
      </c>
      <c r="V115" s="803"/>
      <c r="W115" s="803"/>
      <c r="X115" s="803"/>
    </row>
    <row r="116" spans="1:24" x14ac:dyDescent="0.3">
      <c r="A116" s="2227">
        <v>110</v>
      </c>
      <c r="B116" s="248" t="s">
        <v>5638</v>
      </c>
      <c r="C116" s="2951" t="s">
        <v>5646</v>
      </c>
      <c r="D116" s="2952"/>
      <c r="E116" s="2952"/>
      <c r="F116" s="448" t="s">
        <v>5316</v>
      </c>
      <c r="G116" s="218" t="s">
        <v>5446</v>
      </c>
      <c r="H116" s="192">
        <v>850</v>
      </c>
      <c r="I116" s="1773" t="s">
        <v>41</v>
      </c>
      <c r="J116" s="34"/>
      <c r="K116" s="34"/>
      <c r="L116" s="2233" t="s">
        <v>25</v>
      </c>
      <c r="M116" s="803"/>
      <c r="N116" s="803"/>
      <c r="O116" s="803"/>
      <c r="P116" s="2627" t="s">
        <v>6395</v>
      </c>
      <c r="Q116" s="1612">
        <v>110</v>
      </c>
      <c r="S116" s="34"/>
      <c r="T116" s="34"/>
      <c r="U116" s="2233" t="s">
        <v>25</v>
      </c>
      <c r="V116" s="803"/>
      <c r="W116" s="803"/>
      <c r="X116" s="803"/>
    </row>
    <row r="117" spans="1:24" x14ac:dyDescent="0.3">
      <c r="A117" s="2227">
        <v>111</v>
      </c>
      <c r="B117" s="248" t="s">
        <v>5638</v>
      </c>
      <c r="C117" s="2951" t="s">
        <v>5645</v>
      </c>
      <c r="D117" s="2952"/>
      <c r="E117" s="2952"/>
      <c r="F117" s="448" t="s">
        <v>5316</v>
      </c>
      <c r="G117" s="218" t="s">
        <v>5446</v>
      </c>
      <c r="H117" s="192">
        <v>850</v>
      </c>
      <c r="I117" s="1773" t="s">
        <v>41</v>
      </c>
      <c r="J117" s="34"/>
      <c r="K117" s="34"/>
      <c r="L117" s="2233" t="s">
        <v>25</v>
      </c>
      <c r="M117" s="803"/>
      <c r="N117" s="803"/>
      <c r="O117" s="803"/>
      <c r="P117" s="2627" t="s">
        <v>6395</v>
      </c>
      <c r="Q117" s="1612">
        <v>111</v>
      </c>
      <c r="S117" s="34"/>
      <c r="T117" s="34"/>
      <c r="U117" s="2233" t="s">
        <v>25</v>
      </c>
      <c r="V117" s="803"/>
      <c r="W117" s="803"/>
      <c r="X117" s="803"/>
    </row>
    <row r="118" spans="1:24" x14ac:dyDescent="0.3">
      <c r="A118" s="2227">
        <v>112</v>
      </c>
      <c r="B118" s="248" t="s">
        <v>5638</v>
      </c>
      <c r="C118" s="2951" t="s">
        <v>5644</v>
      </c>
      <c r="D118" s="2952"/>
      <c r="E118" s="2952"/>
      <c r="F118" s="448" t="s">
        <v>5316</v>
      </c>
      <c r="G118" s="218" t="s">
        <v>5446</v>
      </c>
      <c r="H118" s="192">
        <v>850</v>
      </c>
      <c r="I118" s="1773" t="s">
        <v>41</v>
      </c>
      <c r="J118" s="34"/>
      <c r="K118" s="34"/>
      <c r="L118" s="2233" t="s">
        <v>25</v>
      </c>
      <c r="M118" s="224"/>
      <c r="N118" s="803"/>
      <c r="O118" s="803"/>
      <c r="P118" s="2627" t="s">
        <v>6395</v>
      </c>
      <c r="Q118" s="1612">
        <v>112</v>
      </c>
      <c r="S118" s="34"/>
      <c r="T118" s="34"/>
      <c r="U118" s="2233" t="s">
        <v>25</v>
      </c>
      <c r="V118" s="224"/>
      <c r="W118" s="803"/>
      <c r="X118" s="803"/>
    </row>
    <row r="119" spans="1:24" x14ac:dyDescent="0.3">
      <c r="A119" s="2227">
        <v>113</v>
      </c>
      <c r="B119" s="248" t="s">
        <v>5638</v>
      </c>
      <c r="C119" s="2951" t="s">
        <v>5643</v>
      </c>
      <c r="D119" s="2952"/>
      <c r="E119" s="2952"/>
      <c r="F119" s="448" t="s">
        <v>5316</v>
      </c>
      <c r="G119" s="218" t="s">
        <v>5446</v>
      </c>
      <c r="H119" s="192">
        <v>850</v>
      </c>
      <c r="I119" s="1773" t="s">
        <v>41</v>
      </c>
      <c r="J119" s="34"/>
      <c r="K119" s="34"/>
      <c r="L119" s="2233" t="s">
        <v>25</v>
      </c>
      <c r="M119" s="224"/>
      <c r="N119" s="803"/>
      <c r="O119" s="803"/>
      <c r="P119" s="2627" t="s">
        <v>6395</v>
      </c>
      <c r="Q119" s="1612">
        <v>113</v>
      </c>
      <c r="S119" s="34"/>
      <c r="T119" s="34"/>
      <c r="U119" s="2233" t="s">
        <v>25</v>
      </c>
      <c r="V119" s="224"/>
      <c r="W119" s="803"/>
      <c r="X119" s="803"/>
    </row>
    <row r="120" spans="1:24" x14ac:dyDescent="0.3">
      <c r="A120" s="2227">
        <v>114</v>
      </c>
      <c r="B120" s="248" t="s">
        <v>5638</v>
      </c>
      <c r="C120" s="2951" t="s">
        <v>5642</v>
      </c>
      <c r="D120" s="2952"/>
      <c r="E120" s="2952"/>
      <c r="F120" s="448" t="s">
        <v>5316</v>
      </c>
      <c r="G120" s="218" t="s">
        <v>5446</v>
      </c>
      <c r="H120" s="192">
        <v>850</v>
      </c>
      <c r="I120" s="1773" t="s">
        <v>41</v>
      </c>
      <c r="J120" s="34"/>
      <c r="K120" s="34"/>
      <c r="L120" s="2233" t="s">
        <v>25</v>
      </c>
      <c r="M120" s="224"/>
      <c r="N120" s="803"/>
      <c r="O120" s="803"/>
      <c r="P120" s="2627" t="s">
        <v>6395</v>
      </c>
      <c r="Q120" s="1612">
        <v>114</v>
      </c>
      <c r="S120" s="34"/>
      <c r="T120" s="34"/>
      <c r="U120" s="2233" t="s">
        <v>25</v>
      </c>
      <c r="V120" s="224"/>
      <c r="W120" s="803"/>
      <c r="X120" s="803"/>
    </row>
    <row r="121" spans="1:24" x14ac:dyDescent="0.3">
      <c r="A121" s="2227">
        <v>115</v>
      </c>
      <c r="B121" s="248" t="s">
        <v>5638</v>
      </c>
      <c r="C121" s="2951" t="s">
        <v>5641</v>
      </c>
      <c r="D121" s="2952"/>
      <c r="E121" s="2952"/>
      <c r="F121" s="448" t="s">
        <v>5316</v>
      </c>
      <c r="G121" s="218" t="s">
        <v>5446</v>
      </c>
      <c r="H121" s="192">
        <v>850</v>
      </c>
      <c r="I121" s="1773" t="s">
        <v>41</v>
      </c>
      <c r="J121" s="34"/>
      <c r="K121" s="34"/>
      <c r="L121" s="2233" t="s">
        <v>25</v>
      </c>
      <c r="M121" s="224"/>
      <c r="N121" s="803"/>
      <c r="O121" s="803"/>
      <c r="P121" s="2627" t="s">
        <v>6395</v>
      </c>
      <c r="Q121" s="1612">
        <v>115</v>
      </c>
      <c r="S121" s="34"/>
      <c r="T121" s="34"/>
      <c r="U121" s="2233" t="s">
        <v>25</v>
      </c>
      <c r="V121" s="224"/>
      <c r="W121" s="803"/>
      <c r="X121" s="803"/>
    </row>
    <row r="122" spans="1:24" x14ac:dyDescent="0.3">
      <c r="A122" s="2227">
        <v>116</v>
      </c>
      <c r="B122" s="248" t="s">
        <v>5638</v>
      </c>
      <c r="C122" s="2951" t="s">
        <v>5640</v>
      </c>
      <c r="D122" s="2952"/>
      <c r="E122" s="2952"/>
      <c r="F122" s="448" t="s">
        <v>5316</v>
      </c>
      <c r="G122" s="218" t="s">
        <v>5446</v>
      </c>
      <c r="H122" s="192">
        <v>850</v>
      </c>
      <c r="I122" s="1773" t="s">
        <v>41</v>
      </c>
      <c r="J122" s="34"/>
      <c r="K122" s="34"/>
      <c r="L122" s="2233" t="s">
        <v>25</v>
      </c>
      <c r="M122" s="224"/>
      <c r="N122" s="803"/>
      <c r="O122" s="803"/>
      <c r="P122" s="2627" t="s">
        <v>6395</v>
      </c>
      <c r="Q122" s="1612">
        <v>116</v>
      </c>
      <c r="S122" s="34"/>
      <c r="T122" s="34"/>
      <c r="U122" s="2233" t="s">
        <v>25</v>
      </c>
      <c r="V122" s="224"/>
      <c r="W122" s="803"/>
      <c r="X122" s="803"/>
    </row>
    <row r="123" spans="1:24" x14ac:dyDescent="0.3">
      <c r="A123" s="2227">
        <v>117</v>
      </c>
      <c r="B123" s="248" t="s">
        <v>5638</v>
      </c>
      <c r="C123" s="2951" t="s">
        <v>5639</v>
      </c>
      <c r="D123" s="2952"/>
      <c r="E123" s="2952"/>
      <c r="F123" s="448" t="s">
        <v>5316</v>
      </c>
      <c r="G123" s="218" t="s">
        <v>5446</v>
      </c>
      <c r="H123" s="192">
        <v>850</v>
      </c>
      <c r="I123" s="1773" t="s">
        <v>41</v>
      </c>
      <c r="J123" s="34"/>
      <c r="K123" s="34"/>
      <c r="L123" s="2233" t="s">
        <v>25</v>
      </c>
      <c r="M123" s="224"/>
      <c r="N123" s="803"/>
      <c r="O123" s="803"/>
      <c r="P123" s="2627" t="s">
        <v>6395</v>
      </c>
      <c r="Q123" s="1612">
        <v>117</v>
      </c>
      <c r="S123" s="34"/>
      <c r="T123" s="34"/>
      <c r="U123" s="2233" t="s">
        <v>25</v>
      </c>
      <c r="V123" s="224"/>
      <c r="W123" s="803"/>
      <c r="X123" s="803"/>
    </row>
    <row r="124" spans="1:24" x14ac:dyDescent="0.3">
      <c r="A124" s="2227">
        <v>118</v>
      </c>
      <c r="B124" s="248" t="s">
        <v>5638</v>
      </c>
      <c r="C124" s="2951" t="s">
        <v>5637</v>
      </c>
      <c r="D124" s="2952"/>
      <c r="E124" s="2952"/>
      <c r="F124" s="448" t="s">
        <v>5316</v>
      </c>
      <c r="G124" s="218" t="s">
        <v>5446</v>
      </c>
      <c r="H124" s="192">
        <v>850</v>
      </c>
      <c r="I124" s="1773" t="s">
        <v>41</v>
      </c>
      <c r="J124" s="34"/>
      <c r="K124" s="34"/>
      <c r="L124" s="2233" t="s">
        <v>25</v>
      </c>
      <c r="M124" s="224"/>
      <c r="N124" s="803"/>
      <c r="O124" s="803"/>
      <c r="P124" s="2627" t="s">
        <v>6395</v>
      </c>
      <c r="Q124" s="1612">
        <v>118</v>
      </c>
      <c r="S124" s="34"/>
      <c r="T124" s="34"/>
      <c r="U124" s="2233" t="s">
        <v>25</v>
      </c>
      <c r="V124" s="224"/>
      <c r="W124" s="803"/>
      <c r="X124" s="803"/>
    </row>
    <row r="125" spans="1:24" x14ac:dyDescent="0.3">
      <c r="A125" s="2227">
        <v>119</v>
      </c>
      <c r="B125" s="248" t="s">
        <v>5597</v>
      </c>
      <c r="C125" s="2951" t="s">
        <v>5636</v>
      </c>
      <c r="D125" s="2952"/>
      <c r="E125" s="2952"/>
      <c r="F125" s="448" t="s">
        <v>5316</v>
      </c>
      <c r="G125" s="218" t="s">
        <v>5595</v>
      </c>
      <c r="H125" s="192">
        <v>900</v>
      </c>
      <c r="I125" s="1773" t="s">
        <v>41</v>
      </c>
      <c r="J125" s="34"/>
      <c r="K125" s="34"/>
      <c r="L125" s="2233" t="s">
        <v>25</v>
      </c>
      <c r="M125" s="803"/>
      <c r="N125" s="803"/>
      <c r="O125" s="803"/>
      <c r="P125" s="2627" t="s">
        <v>6395</v>
      </c>
      <c r="Q125" s="1612">
        <v>119</v>
      </c>
      <c r="S125" s="34"/>
      <c r="T125" s="34"/>
      <c r="U125" s="2233" t="s">
        <v>25</v>
      </c>
      <c r="V125" s="803"/>
      <c r="W125" s="803"/>
      <c r="X125" s="803"/>
    </row>
    <row r="126" spans="1:24" x14ac:dyDescent="0.3">
      <c r="A126" s="2227">
        <v>120</v>
      </c>
      <c r="B126" s="248" t="s">
        <v>5597</v>
      </c>
      <c r="C126" s="2951" t="s">
        <v>5635</v>
      </c>
      <c r="D126" s="2952"/>
      <c r="E126" s="2952"/>
      <c r="F126" s="448" t="s">
        <v>5316</v>
      </c>
      <c r="G126" s="218" t="s">
        <v>5595</v>
      </c>
      <c r="H126" s="192">
        <v>900</v>
      </c>
      <c r="I126" s="1773" t="s">
        <v>41</v>
      </c>
      <c r="J126" s="34"/>
      <c r="K126" s="34"/>
      <c r="L126" s="2233" t="s">
        <v>25</v>
      </c>
      <c r="M126" s="803"/>
      <c r="N126" s="803"/>
      <c r="O126" s="803"/>
      <c r="P126" s="2627" t="s">
        <v>6395</v>
      </c>
      <c r="Q126" s="1612">
        <v>120</v>
      </c>
      <c r="S126" s="34"/>
      <c r="T126" s="34"/>
      <c r="U126" s="2233" t="s">
        <v>25</v>
      </c>
      <c r="V126" s="803"/>
      <c r="W126" s="803"/>
      <c r="X126" s="803"/>
    </row>
    <row r="127" spans="1:24" x14ac:dyDescent="0.3">
      <c r="A127" s="2227">
        <v>121</v>
      </c>
      <c r="B127" s="248" t="s">
        <v>5597</v>
      </c>
      <c r="C127" s="2951" t="s">
        <v>5634</v>
      </c>
      <c r="D127" s="2952"/>
      <c r="E127" s="2952"/>
      <c r="F127" s="448" t="s">
        <v>5316</v>
      </c>
      <c r="G127" s="218" t="s">
        <v>5595</v>
      </c>
      <c r="H127" s="192">
        <v>900</v>
      </c>
      <c r="I127" s="1773" t="s">
        <v>41</v>
      </c>
      <c r="J127" s="34"/>
      <c r="K127" s="34"/>
      <c r="L127" s="2233" t="s">
        <v>25</v>
      </c>
      <c r="M127" s="803"/>
      <c r="N127" s="803"/>
      <c r="O127" s="803"/>
      <c r="P127" s="2627" t="s">
        <v>6395</v>
      </c>
      <c r="Q127" s="1612">
        <v>121</v>
      </c>
      <c r="S127" s="34"/>
      <c r="T127" s="34"/>
      <c r="U127" s="2233" t="s">
        <v>25</v>
      </c>
      <c r="V127" s="803"/>
      <c r="W127" s="803"/>
      <c r="X127" s="803"/>
    </row>
    <row r="128" spans="1:24" x14ac:dyDescent="0.3">
      <c r="A128" s="2227">
        <v>122</v>
      </c>
      <c r="B128" s="248" t="s">
        <v>5597</v>
      </c>
      <c r="C128" s="2951" t="s">
        <v>5633</v>
      </c>
      <c r="D128" s="2952"/>
      <c r="E128" s="2952"/>
      <c r="F128" s="448" t="s">
        <v>5316</v>
      </c>
      <c r="G128" s="218" t="s">
        <v>5595</v>
      </c>
      <c r="H128" s="192">
        <v>900</v>
      </c>
      <c r="I128" s="1773" t="s">
        <v>41</v>
      </c>
      <c r="J128" s="34"/>
      <c r="K128" s="34"/>
      <c r="L128" s="2233" t="s">
        <v>25</v>
      </c>
      <c r="M128" s="803"/>
      <c r="N128" s="803"/>
      <c r="O128" s="803"/>
      <c r="P128" s="2627" t="s">
        <v>6395</v>
      </c>
      <c r="Q128" s="1612">
        <v>122</v>
      </c>
      <c r="S128" s="34"/>
      <c r="T128" s="34"/>
      <c r="U128" s="2233" t="s">
        <v>25</v>
      </c>
      <c r="V128" s="803"/>
      <c r="W128" s="803"/>
      <c r="X128" s="803"/>
    </row>
    <row r="129" spans="1:24" x14ac:dyDescent="0.3">
      <c r="A129" s="2227">
        <v>123</v>
      </c>
      <c r="B129" s="248" t="s">
        <v>5597</v>
      </c>
      <c r="C129" s="2951" t="s">
        <v>5632</v>
      </c>
      <c r="D129" s="2952"/>
      <c r="E129" s="2952"/>
      <c r="F129" s="448" t="s">
        <v>5316</v>
      </c>
      <c r="G129" s="218" t="s">
        <v>5595</v>
      </c>
      <c r="H129" s="192">
        <v>900</v>
      </c>
      <c r="I129" s="1773" t="s">
        <v>41</v>
      </c>
      <c r="J129" s="34"/>
      <c r="K129" s="34"/>
      <c r="L129" s="2233" t="s">
        <v>25</v>
      </c>
      <c r="M129" s="803"/>
      <c r="N129" s="803"/>
      <c r="O129" s="803"/>
      <c r="P129" s="2627" t="s">
        <v>6395</v>
      </c>
      <c r="Q129" s="1612">
        <v>123</v>
      </c>
      <c r="S129" s="34"/>
      <c r="T129" s="34"/>
      <c r="U129" s="2233" t="s">
        <v>25</v>
      </c>
      <c r="V129" s="803"/>
      <c r="W129" s="803"/>
      <c r="X129" s="803"/>
    </row>
    <row r="130" spans="1:24" x14ac:dyDescent="0.3">
      <c r="A130" s="2227">
        <v>124</v>
      </c>
      <c r="B130" s="248" t="s">
        <v>5597</v>
      </c>
      <c r="C130" s="2951" t="s">
        <v>5631</v>
      </c>
      <c r="D130" s="2952"/>
      <c r="E130" s="2952"/>
      <c r="F130" s="448" t="s">
        <v>5316</v>
      </c>
      <c r="G130" s="218" t="s">
        <v>5595</v>
      </c>
      <c r="H130" s="192">
        <v>900</v>
      </c>
      <c r="I130" s="1773" t="s">
        <v>41</v>
      </c>
      <c r="J130" s="34"/>
      <c r="K130" s="34"/>
      <c r="L130" s="2233" t="s">
        <v>25</v>
      </c>
      <c r="M130" s="803"/>
      <c r="N130" s="803"/>
      <c r="O130" s="803"/>
      <c r="P130" s="2627" t="s">
        <v>6395</v>
      </c>
      <c r="Q130" s="1612">
        <v>124</v>
      </c>
      <c r="S130" s="34"/>
      <c r="T130" s="34"/>
      <c r="U130" s="2233" t="s">
        <v>25</v>
      </c>
      <c r="V130" s="803"/>
      <c r="W130" s="803"/>
      <c r="X130" s="803"/>
    </row>
    <row r="131" spans="1:24" x14ac:dyDescent="0.3">
      <c r="A131" s="2227">
        <v>125</v>
      </c>
      <c r="B131" s="248" t="s">
        <v>5597</v>
      </c>
      <c r="C131" s="2951" t="s">
        <v>5630</v>
      </c>
      <c r="D131" s="2952"/>
      <c r="E131" s="2952"/>
      <c r="F131" s="448" t="s">
        <v>5316</v>
      </c>
      <c r="G131" s="218" t="s">
        <v>5595</v>
      </c>
      <c r="H131" s="192">
        <v>900</v>
      </c>
      <c r="I131" s="1773" t="s">
        <v>41</v>
      </c>
      <c r="J131" s="34"/>
      <c r="K131" s="34"/>
      <c r="L131" s="2233" t="s">
        <v>25</v>
      </c>
      <c r="M131" s="803"/>
      <c r="N131" s="803"/>
      <c r="O131" s="803"/>
      <c r="P131" s="2627" t="s">
        <v>6395</v>
      </c>
      <c r="Q131" s="1612">
        <v>125</v>
      </c>
      <c r="S131" s="34"/>
      <c r="T131" s="34"/>
      <c r="U131" s="2233" t="s">
        <v>25</v>
      </c>
      <c r="V131" s="803"/>
      <c r="W131" s="803"/>
      <c r="X131" s="803"/>
    </row>
    <row r="132" spans="1:24" x14ac:dyDescent="0.3">
      <c r="A132" s="2227">
        <v>126</v>
      </c>
      <c r="B132" s="248" t="s">
        <v>5597</v>
      </c>
      <c r="C132" s="2951" t="s">
        <v>5629</v>
      </c>
      <c r="D132" s="2952"/>
      <c r="E132" s="2952"/>
      <c r="F132" s="448" t="s">
        <v>5316</v>
      </c>
      <c r="G132" s="218" t="s">
        <v>5595</v>
      </c>
      <c r="H132" s="192">
        <v>900</v>
      </c>
      <c r="I132" s="1773" t="s">
        <v>41</v>
      </c>
      <c r="J132" s="34"/>
      <c r="K132" s="34"/>
      <c r="L132" s="2233" t="s">
        <v>25</v>
      </c>
      <c r="M132" s="803"/>
      <c r="N132" s="803"/>
      <c r="O132" s="803"/>
      <c r="P132" s="2627" t="s">
        <v>6395</v>
      </c>
      <c r="Q132" s="1612">
        <v>126</v>
      </c>
      <c r="S132" s="34"/>
      <c r="T132" s="34"/>
      <c r="U132" s="2233" t="s">
        <v>25</v>
      </c>
      <c r="V132" s="803"/>
      <c r="W132" s="803"/>
      <c r="X132" s="803"/>
    </row>
    <row r="133" spans="1:24" x14ac:dyDescent="0.3">
      <c r="A133" s="2227">
        <v>127</v>
      </c>
      <c r="B133" s="248" t="s">
        <v>5597</v>
      </c>
      <c r="C133" s="2951" t="s">
        <v>5628</v>
      </c>
      <c r="D133" s="2952"/>
      <c r="E133" s="2952"/>
      <c r="F133" s="448" t="s">
        <v>5316</v>
      </c>
      <c r="G133" s="218" t="s">
        <v>5595</v>
      </c>
      <c r="H133" s="192">
        <v>900</v>
      </c>
      <c r="I133" s="1773" t="s">
        <v>41</v>
      </c>
      <c r="J133" s="34"/>
      <c r="K133" s="34"/>
      <c r="L133" s="2233" t="s">
        <v>25</v>
      </c>
      <c r="M133" s="803"/>
      <c r="N133" s="803"/>
      <c r="O133" s="803"/>
      <c r="P133" s="2627" t="s">
        <v>6395</v>
      </c>
      <c r="Q133" s="1612">
        <v>127</v>
      </c>
      <c r="S133" s="34"/>
      <c r="T133" s="34"/>
      <c r="U133" s="2233" t="s">
        <v>25</v>
      </c>
      <c r="V133" s="803"/>
      <c r="W133" s="803"/>
      <c r="X133" s="803"/>
    </row>
    <row r="134" spans="1:24" x14ac:dyDescent="0.3">
      <c r="A134" s="2227">
        <v>128</v>
      </c>
      <c r="B134" s="248" t="s">
        <v>5597</v>
      </c>
      <c r="C134" s="2951" t="s">
        <v>5627</v>
      </c>
      <c r="D134" s="2952"/>
      <c r="E134" s="2952"/>
      <c r="F134" s="448" t="s">
        <v>5316</v>
      </c>
      <c r="G134" s="218" t="s">
        <v>5595</v>
      </c>
      <c r="H134" s="192">
        <v>900</v>
      </c>
      <c r="I134" s="1773" t="s">
        <v>41</v>
      </c>
      <c r="J134" s="34"/>
      <c r="K134" s="34"/>
      <c r="L134" s="2233" t="s">
        <v>25</v>
      </c>
      <c r="M134" s="803"/>
      <c r="N134" s="803"/>
      <c r="O134" s="803"/>
      <c r="P134" s="2627" t="s">
        <v>6395</v>
      </c>
      <c r="Q134" s="1612">
        <v>128</v>
      </c>
      <c r="S134" s="34"/>
      <c r="T134" s="34"/>
      <c r="U134" s="2233" t="s">
        <v>25</v>
      </c>
      <c r="V134" s="803"/>
      <c r="W134" s="803"/>
      <c r="X134" s="803"/>
    </row>
    <row r="135" spans="1:24" x14ac:dyDescent="0.3">
      <c r="A135" s="2227">
        <v>129</v>
      </c>
      <c r="B135" s="248" t="s">
        <v>5597</v>
      </c>
      <c r="C135" s="2951" t="s">
        <v>5626</v>
      </c>
      <c r="D135" s="2952"/>
      <c r="E135" s="2952"/>
      <c r="F135" s="448" t="s">
        <v>5316</v>
      </c>
      <c r="G135" s="218" t="s">
        <v>5595</v>
      </c>
      <c r="H135" s="192">
        <v>900</v>
      </c>
      <c r="I135" s="1773" t="s">
        <v>41</v>
      </c>
      <c r="J135" s="34"/>
      <c r="K135" s="34"/>
      <c r="L135" s="2233" t="s">
        <v>25</v>
      </c>
      <c r="M135" s="803"/>
      <c r="N135" s="803"/>
      <c r="O135" s="803"/>
      <c r="P135" s="2627" t="s">
        <v>6395</v>
      </c>
      <c r="Q135" s="1612">
        <v>129</v>
      </c>
      <c r="S135" s="34"/>
      <c r="T135" s="34"/>
      <c r="U135" s="2233" t="s">
        <v>25</v>
      </c>
      <c r="V135" s="803"/>
      <c r="W135" s="803"/>
      <c r="X135" s="803"/>
    </row>
    <row r="136" spans="1:24" x14ac:dyDescent="0.3">
      <c r="A136" s="2227">
        <v>130</v>
      </c>
      <c r="B136" s="248" t="s">
        <v>5597</v>
      </c>
      <c r="C136" s="2951" t="s">
        <v>5625</v>
      </c>
      <c r="D136" s="2952"/>
      <c r="E136" s="2952"/>
      <c r="F136" s="448" t="s">
        <v>5316</v>
      </c>
      <c r="G136" s="218" t="s">
        <v>5595</v>
      </c>
      <c r="H136" s="192">
        <v>900</v>
      </c>
      <c r="I136" s="1773" t="s">
        <v>41</v>
      </c>
      <c r="J136" s="34"/>
      <c r="K136" s="34"/>
      <c r="L136" s="2233" t="s">
        <v>25</v>
      </c>
      <c r="M136" s="803"/>
      <c r="N136" s="803"/>
      <c r="O136" s="803"/>
      <c r="P136" s="2627" t="s">
        <v>6395</v>
      </c>
      <c r="Q136" s="1612">
        <v>130</v>
      </c>
      <c r="S136" s="34"/>
      <c r="T136" s="34"/>
      <c r="U136" s="2233" t="s">
        <v>25</v>
      </c>
      <c r="V136" s="803"/>
      <c r="W136" s="803"/>
      <c r="X136" s="803"/>
    </row>
    <row r="137" spans="1:24" x14ac:dyDescent="0.3">
      <c r="A137" s="2227">
        <v>131</v>
      </c>
      <c r="B137" s="248" t="s">
        <v>5597</v>
      </c>
      <c r="C137" s="2951" t="s">
        <v>5624</v>
      </c>
      <c r="D137" s="2952"/>
      <c r="E137" s="2952"/>
      <c r="F137" s="448" t="s">
        <v>5316</v>
      </c>
      <c r="G137" s="218" t="s">
        <v>5595</v>
      </c>
      <c r="H137" s="192">
        <v>900</v>
      </c>
      <c r="I137" s="1773" t="s">
        <v>41</v>
      </c>
      <c r="J137" s="34"/>
      <c r="K137" s="34"/>
      <c r="L137" s="2233" t="s">
        <v>25</v>
      </c>
      <c r="M137" s="803"/>
      <c r="N137" s="803"/>
      <c r="O137" s="803"/>
      <c r="P137" s="2627" t="s">
        <v>6395</v>
      </c>
      <c r="Q137" s="1612">
        <v>131</v>
      </c>
      <c r="S137" s="34"/>
      <c r="T137" s="34"/>
      <c r="U137" s="2233" t="s">
        <v>25</v>
      </c>
      <c r="V137" s="803"/>
      <c r="W137" s="803"/>
      <c r="X137" s="803"/>
    </row>
    <row r="138" spans="1:24" x14ac:dyDescent="0.3">
      <c r="A138" s="2227">
        <v>132</v>
      </c>
      <c r="B138" s="248" t="s">
        <v>5597</v>
      </c>
      <c r="C138" s="2951" t="s">
        <v>5623</v>
      </c>
      <c r="D138" s="2952"/>
      <c r="E138" s="2952"/>
      <c r="F138" s="448" t="s">
        <v>5316</v>
      </c>
      <c r="G138" s="218" t="s">
        <v>5595</v>
      </c>
      <c r="H138" s="192">
        <v>900</v>
      </c>
      <c r="I138" s="1773" t="s">
        <v>41</v>
      </c>
      <c r="J138" s="34"/>
      <c r="K138" s="34"/>
      <c r="L138" s="2233" t="s">
        <v>25</v>
      </c>
      <c r="M138" s="803"/>
      <c r="N138" s="803"/>
      <c r="O138" s="803"/>
      <c r="P138" s="2627" t="s">
        <v>6395</v>
      </c>
      <c r="Q138" s="1612">
        <v>132</v>
      </c>
      <c r="S138" s="34"/>
      <c r="T138" s="34"/>
      <c r="U138" s="2233" t="s">
        <v>25</v>
      </c>
      <c r="V138" s="803"/>
      <c r="W138" s="803"/>
      <c r="X138" s="803"/>
    </row>
    <row r="139" spans="1:24" x14ac:dyDescent="0.3">
      <c r="A139" s="2227">
        <v>133</v>
      </c>
      <c r="B139" s="248" t="s">
        <v>5597</v>
      </c>
      <c r="C139" s="2951" t="s">
        <v>5622</v>
      </c>
      <c r="D139" s="2952"/>
      <c r="E139" s="2952"/>
      <c r="F139" s="448" t="s">
        <v>5316</v>
      </c>
      <c r="G139" s="218" t="s">
        <v>5595</v>
      </c>
      <c r="H139" s="192">
        <v>900</v>
      </c>
      <c r="I139" s="1773" t="s">
        <v>41</v>
      </c>
      <c r="J139" s="34"/>
      <c r="K139" s="34"/>
      <c r="L139" s="2233" t="s">
        <v>25</v>
      </c>
      <c r="M139" s="803"/>
      <c r="N139" s="803"/>
      <c r="O139" s="803"/>
      <c r="P139" s="2627" t="s">
        <v>6395</v>
      </c>
      <c r="Q139" s="1612">
        <v>133</v>
      </c>
      <c r="S139" s="34"/>
      <c r="T139" s="34"/>
      <c r="U139" s="2233" t="s">
        <v>25</v>
      </c>
      <c r="V139" s="803"/>
      <c r="W139" s="803"/>
      <c r="X139" s="803"/>
    </row>
    <row r="140" spans="1:24" x14ac:dyDescent="0.3">
      <c r="A140" s="2227">
        <v>134</v>
      </c>
      <c r="B140" s="248" t="s">
        <v>5597</v>
      </c>
      <c r="C140" s="2951" t="s">
        <v>5621</v>
      </c>
      <c r="D140" s="2952"/>
      <c r="E140" s="2952"/>
      <c r="F140" s="448" t="s">
        <v>5316</v>
      </c>
      <c r="G140" s="218" t="s">
        <v>5595</v>
      </c>
      <c r="H140" s="192">
        <v>900</v>
      </c>
      <c r="I140" s="1773" t="s">
        <v>41</v>
      </c>
      <c r="J140" s="34"/>
      <c r="K140" s="34"/>
      <c r="L140" s="2233" t="s">
        <v>25</v>
      </c>
      <c r="M140" s="803"/>
      <c r="N140" s="803"/>
      <c r="O140" s="803"/>
      <c r="P140" s="2627" t="s">
        <v>6395</v>
      </c>
      <c r="Q140" s="1612">
        <v>134</v>
      </c>
      <c r="S140" s="34"/>
      <c r="T140" s="34"/>
      <c r="U140" s="2233" t="s">
        <v>25</v>
      </c>
      <c r="V140" s="803"/>
      <c r="W140" s="803"/>
      <c r="X140" s="803"/>
    </row>
    <row r="141" spans="1:24" x14ac:dyDescent="0.3">
      <c r="A141" s="2227">
        <v>135</v>
      </c>
      <c r="B141" s="248" t="s">
        <v>5597</v>
      </c>
      <c r="C141" s="2951" t="s">
        <v>5620</v>
      </c>
      <c r="D141" s="2952"/>
      <c r="E141" s="2952"/>
      <c r="F141" s="448" t="s">
        <v>5316</v>
      </c>
      <c r="G141" s="218" t="s">
        <v>5595</v>
      </c>
      <c r="H141" s="192">
        <v>900</v>
      </c>
      <c r="I141" s="1773" t="s">
        <v>41</v>
      </c>
      <c r="J141" s="34"/>
      <c r="K141" s="34"/>
      <c r="L141" s="2233" t="s">
        <v>25</v>
      </c>
      <c r="M141" s="803"/>
      <c r="N141" s="803"/>
      <c r="O141" s="803"/>
      <c r="P141" s="2627" t="s">
        <v>6395</v>
      </c>
      <c r="Q141" s="1612">
        <v>135</v>
      </c>
      <c r="S141" s="34"/>
      <c r="T141" s="34"/>
      <c r="U141" s="2233" t="s">
        <v>25</v>
      </c>
      <c r="V141" s="803"/>
      <c r="W141" s="803"/>
      <c r="X141" s="803"/>
    </row>
    <row r="142" spans="1:24" x14ac:dyDescent="0.3">
      <c r="A142" s="2227">
        <v>136</v>
      </c>
      <c r="B142" s="248" t="s">
        <v>5597</v>
      </c>
      <c r="C142" s="2951" t="s">
        <v>5619</v>
      </c>
      <c r="D142" s="2952"/>
      <c r="E142" s="2952"/>
      <c r="F142" s="448" t="s">
        <v>5316</v>
      </c>
      <c r="G142" s="218" t="s">
        <v>5595</v>
      </c>
      <c r="H142" s="192">
        <v>900</v>
      </c>
      <c r="I142" s="1773" t="s">
        <v>41</v>
      </c>
      <c r="J142" s="34"/>
      <c r="K142" s="34"/>
      <c r="L142" s="2233" t="s">
        <v>25</v>
      </c>
      <c r="M142" s="803"/>
      <c r="N142" s="803"/>
      <c r="O142" s="803"/>
      <c r="P142" s="2627" t="s">
        <v>6395</v>
      </c>
      <c r="Q142" s="1612">
        <v>136</v>
      </c>
      <c r="S142" s="34"/>
      <c r="T142" s="34"/>
      <c r="U142" s="2233" t="s">
        <v>25</v>
      </c>
      <c r="V142" s="803"/>
      <c r="W142" s="803"/>
      <c r="X142" s="803"/>
    </row>
    <row r="143" spans="1:24" x14ac:dyDescent="0.3">
      <c r="A143" s="2227">
        <v>137</v>
      </c>
      <c r="B143" s="248" t="s">
        <v>5597</v>
      </c>
      <c r="C143" s="2951" t="s">
        <v>5618</v>
      </c>
      <c r="D143" s="2952"/>
      <c r="E143" s="2952"/>
      <c r="F143" s="448" t="s">
        <v>5316</v>
      </c>
      <c r="G143" s="218" t="s">
        <v>5595</v>
      </c>
      <c r="H143" s="192">
        <v>900</v>
      </c>
      <c r="I143" s="1773" t="s">
        <v>41</v>
      </c>
      <c r="J143" s="34"/>
      <c r="K143" s="34"/>
      <c r="L143" s="2233" t="s">
        <v>25</v>
      </c>
      <c r="M143" s="803"/>
      <c r="N143" s="803"/>
      <c r="O143" s="803"/>
      <c r="P143" s="2627" t="s">
        <v>6395</v>
      </c>
      <c r="Q143" s="1612">
        <v>137</v>
      </c>
      <c r="S143" s="34"/>
      <c r="T143" s="34"/>
      <c r="U143" s="2233" t="s">
        <v>25</v>
      </c>
      <c r="V143" s="803"/>
      <c r="W143" s="803"/>
      <c r="X143" s="803"/>
    </row>
    <row r="144" spans="1:24" x14ac:dyDescent="0.3">
      <c r="A144" s="2227">
        <v>138</v>
      </c>
      <c r="B144" s="248" t="s">
        <v>5597</v>
      </c>
      <c r="C144" s="2951" t="s">
        <v>5617</v>
      </c>
      <c r="D144" s="2952"/>
      <c r="E144" s="2952"/>
      <c r="F144" s="448" t="s">
        <v>5316</v>
      </c>
      <c r="G144" s="218" t="s">
        <v>5595</v>
      </c>
      <c r="H144" s="192">
        <v>900</v>
      </c>
      <c r="I144" s="1773" t="s">
        <v>41</v>
      </c>
      <c r="J144" s="34"/>
      <c r="K144" s="34"/>
      <c r="L144" s="2233" t="s">
        <v>25</v>
      </c>
      <c r="M144" s="803"/>
      <c r="N144" s="803"/>
      <c r="O144" s="803"/>
      <c r="P144" s="2627" t="s">
        <v>6395</v>
      </c>
      <c r="Q144" s="1612">
        <v>138</v>
      </c>
      <c r="S144" s="34"/>
      <c r="T144" s="34"/>
      <c r="U144" s="2233" t="s">
        <v>25</v>
      </c>
      <c r="V144" s="803"/>
      <c r="W144" s="803"/>
      <c r="X144" s="803"/>
    </row>
    <row r="145" spans="1:24" x14ac:dyDescent="0.3">
      <c r="A145" s="2227">
        <v>139</v>
      </c>
      <c r="B145" s="248" t="s">
        <v>5597</v>
      </c>
      <c r="C145" s="2951" t="s">
        <v>5616</v>
      </c>
      <c r="D145" s="2952"/>
      <c r="E145" s="2952"/>
      <c r="F145" s="448" t="s">
        <v>5316</v>
      </c>
      <c r="G145" s="218" t="s">
        <v>5595</v>
      </c>
      <c r="H145" s="192">
        <v>900</v>
      </c>
      <c r="I145" s="1773" t="s">
        <v>41</v>
      </c>
      <c r="J145" s="34"/>
      <c r="K145" s="34"/>
      <c r="L145" s="2233" t="s">
        <v>25</v>
      </c>
      <c r="M145" s="803"/>
      <c r="N145" s="803"/>
      <c r="O145" s="803"/>
      <c r="P145" s="2627" t="s">
        <v>6395</v>
      </c>
      <c r="Q145" s="1612">
        <v>139</v>
      </c>
      <c r="S145" s="34"/>
      <c r="T145" s="34"/>
      <c r="U145" s="2233" t="s">
        <v>25</v>
      </c>
      <c r="V145" s="803"/>
      <c r="W145" s="803"/>
      <c r="X145" s="803"/>
    </row>
    <row r="146" spans="1:24" x14ac:dyDescent="0.3">
      <c r="A146" s="2227">
        <v>140</v>
      </c>
      <c r="B146" s="248" t="s">
        <v>5597</v>
      </c>
      <c r="C146" s="2951" t="s">
        <v>5615</v>
      </c>
      <c r="D146" s="2952"/>
      <c r="E146" s="2952"/>
      <c r="F146" s="448" t="s">
        <v>5316</v>
      </c>
      <c r="G146" s="218" t="s">
        <v>5595</v>
      </c>
      <c r="H146" s="192">
        <v>900</v>
      </c>
      <c r="I146" s="1773" t="s">
        <v>41</v>
      </c>
      <c r="J146" s="34"/>
      <c r="K146" s="34"/>
      <c r="L146" s="2233" t="s">
        <v>25</v>
      </c>
      <c r="M146" s="803"/>
      <c r="N146" s="803"/>
      <c r="O146" s="803"/>
      <c r="P146" s="2627" t="s">
        <v>6395</v>
      </c>
      <c r="Q146" s="1612">
        <v>140</v>
      </c>
      <c r="S146" s="34"/>
      <c r="T146" s="34"/>
      <c r="U146" s="2233" t="s">
        <v>25</v>
      </c>
      <c r="V146" s="803"/>
      <c r="W146" s="803"/>
      <c r="X146" s="803"/>
    </row>
    <row r="147" spans="1:24" x14ac:dyDescent="0.3">
      <c r="A147" s="2227">
        <v>141</v>
      </c>
      <c r="B147" s="248" t="s">
        <v>5597</v>
      </c>
      <c r="C147" s="2951" t="s">
        <v>5614</v>
      </c>
      <c r="D147" s="2952"/>
      <c r="E147" s="2952"/>
      <c r="F147" s="448" t="s">
        <v>5316</v>
      </c>
      <c r="G147" s="218" t="s">
        <v>5595</v>
      </c>
      <c r="H147" s="192">
        <v>900</v>
      </c>
      <c r="I147" s="1773" t="s">
        <v>41</v>
      </c>
      <c r="J147" s="34"/>
      <c r="K147" s="34"/>
      <c r="L147" s="2233" t="s">
        <v>25</v>
      </c>
      <c r="M147" s="803"/>
      <c r="N147" s="803"/>
      <c r="O147" s="803"/>
      <c r="P147" s="2627" t="s">
        <v>6395</v>
      </c>
      <c r="Q147" s="1612">
        <v>141</v>
      </c>
      <c r="S147" s="34"/>
      <c r="T147" s="34"/>
      <c r="U147" s="2233" t="s">
        <v>25</v>
      </c>
      <c r="V147" s="803"/>
      <c r="W147" s="803"/>
      <c r="X147" s="803"/>
    </row>
    <row r="148" spans="1:24" x14ac:dyDescent="0.3">
      <c r="A148" s="2227">
        <v>142</v>
      </c>
      <c r="B148" s="248" t="s">
        <v>5597</v>
      </c>
      <c r="C148" s="2951" t="s">
        <v>5613</v>
      </c>
      <c r="D148" s="2952"/>
      <c r="E148" s="2952"/>
      <c r="F148" s="448" t="s">
        <v>5316</v>
      </c>
      <c r="G148" s="218" t="s">
        <v>5595</v>
      </c>
      <c r="H148" s="192">
        <v>900</v>
      </c>
      <c r="I148" s="1773" t="s">
        <v>41</v>
      </c>
      <c r="J148" s="34"/>
      <c r="K148" s="34"/>
      <c r="L148" s="2233" t="s">
        <v>25</v>
      </c>
      <c r="M148" s="224"/>
      <c r="N148" s="224"/>
      <c r="O148" s="224"/>
      <c r="P148" s="2627" t="s">
        <v>6395</v>
      </c>
      <c r="Q148" s="1612">
        <v>142</v>
      </c>
      <c r="S148" s="34"/>
      <c r="T148" s="34"/>
      <c r="U148" s="2233" t="s">
        <v>25</v>
      </c>
      <c r="V148" s="224"/>
      <c r="W148" s="224"/>
      <c r="X148" s="224"/>
    </row>
    <row r="149" spans="1:24" x14ac:dyDescent="0.3">
      <c r="A149" s="2227">
        <v>143</v>
      </c>
      <c r="B149" s="248" t="s">
        <v>5597</v>
      </c>
      <c r="C149" s="2951" t="s">
        <v>5612</v>
      </c>
      <c r="D149" s="2952"/>
      <c r="E149" s="2952"/>
      <c r="F149" s="448" t="s">
        <v>5316</v>
      </c>
      <c r="G149" s="218" t="s">
        <v>5595</v>
      </c>
      <c r="H149" s="192">
        <v>900</v>
      </c>
      <c r="I149" s="1773" t="s">
        <v>41</v>
      </c>
      <c r="J149" s="34"/>
      <c r="K149" s="34"/>
      <c r="L149" s="2233" t="s">
        <v>25</v>
      </c>
      <c r="M149" s="224"/>
      <c r="N149" s="224"/>
      <c r="O149" s="224"/>
      <c r="P149" s="2627" t="s">
        <v>6395</v>
      </c>
      <c r="Q149" s="1612">
        <v>143</v>
      </c>
      <c r="S149" s="34"/>
      <c r="T149" s="34"/>
      <c r="U149" s="2233" t="s">
        <v>25</v>
      </c>
      <c r="V149" s="224"/>
      <c r="W149" s="224"/>
      <c r="X149" s="224"/>
    </row>
    <row r="150" spans="1:24" x14ac:dyDescent="0.3">
      <c r="A150" s="2227">
        <v>144</v>
      </c>
      <c r="B150" s="248" t="s">
        <v>5597</v>
      </c>
      <c r="C150" s="2951" t="s">
        <v>5611</v>
      </c>
      <c r="D150" s="2952"/>
      <c r="E150" s="2952"/>
      <c r="F150" s="448" t="s">
        <v>5316</v>
      </c>
      <c r="G150" s="218" t="s">
        <v>5595</v>
      </c>
      <c r="H150" s="192">
        <v>900</v>
      </c>
      <c r="I150" s="1773" t="s">
        <v>41</v>
      </c>
      <c r="J150" s="34"/>
      <c r="K150" s="34"/>
      <c r="L150" s="2233" t="s">
        <v>25</v>
      </c>
      <c r="M150" s="224"/>
      <c r="N150" s="224"/>
      <c r="O150" s="224"/>
      <c r="P150" s="2627" t="s">
        <v>6395</v>
      </c>
      <c r="Q150" s="1612">
        <v>144</v>
      </c>
      <c r="S150" s="34"/>
      <c r="T150" s="34"/>
      <c r="U150" s="2233" t="s">
        <v>25</v>
      </c>
      <c r="V150" s="224"/>
      <c r="W150" s="224"/>
      <c r="X150" s="224"/>
    </row>
    <row r="151" spans="1:24" x14ac:dyDescent="0.3">
      <c r="A151" s="2227">
        <v>145</v>
      </c>
      <c r="B151" s="248" t="s">
        <v>5597</v>
      </c>
      <c r="C151" s="2951" t="s">
        <v>5610</v>
      </c>
      <c r="D151" s="2952"/>
      <c r="E151" s="2952"/>
      <c r="F151" s="448" t="s">
        <v>5316</v>
      </c>
      <c r="G151" s="218" t="s">
        <v>5595</v>
      </c>
      <c r="H151" s="192">
        <v>900</v>
      </c>
      <c r="I151" s="1773" t="s">
        <v>41</v>
      </c>
      <c r="J151" s="34"/>
      <c r="K151" s="34"/>
      <c r="L151" s="2233" t="s">
        <v>25</v>
      </c>
      <c r="M151" s="224"/>
      <c r="N151" s="224"/>
      <c r="O151" s="224"/>
      <c r="P151" s="2627" t="s">
        <v>6395</v>
      </c>
      <c r="Q151" s="1612">
        <v>145</v>
      </c>
      <c r="S151" s="34"/>
      <c r="T151" s="34"/>
      <c r="U151" s="2233" t="s">
        <v>25</v>
      </c>
      <c r="V151" s="224"/>
      <c r="W151" s="224"/>
      <c r="X151" s="224"/>
    </row>
    <row r="152" spans="1:24" x14ac:dyDescent="0.3">
      <c r="A152" s="2227">
        <v>146</v>
      </c>
      <c r="B152" s="248" t="s">
        <v>5597</v>
      </c>
      <c r="C152" s="2951" t="s">
        <v>5609</v>
      </c>
      <c r="D152" s="2952"/>
      <c r="E152" s="2952"/>
      <c r="F152" s="448" t="s">
        <v>5316</v>
      </c>
      <c r="G152" s="218" t="s">
        <v>5595</v>
      </c>
      <c r="H152" s="192">
        <v>900</v>
      </c>
      <c r="I152" s="1773" t="s">
        <v>41</v>
      </c>
      <c r="J152" s="34"/>
      <c r="K152" s="34"/>
      <c r="L152" s="2233" t="s">
        <v>25</v>
      </c>
      <c r="M152" s="224"/>
      <c r="N152" s="224"/>
      <c r="O152" s="224"/>
      <c r="P152" s="2627" t="s">
        <v>6395</v>
      </c>
      <c r="Q152" s="1612">
        <v>146</v>
      </c>
      <c r="S152" s="34"/>
      <c r="T152" s="34"/>
      <c r="U152" s="2233" t="s">
        <v>25</v>
      </c>
      <c r="V152" s="224"/>
      <c r="W152" s="224"/>
      <c r="X152" s="224"/>
    </row>
    <row r="153" spans="1:24" x14ac:dyDescent="0.3">
      <c r="A153" s="2227">
        <v>147</v>
      </c>
      <c r="B153" s="248" t="s">
        <v>5597</v>
      </c>
      <c r="C153" s="2951" t="s">
        <v>5608</v>
      </c>
      <c r="D153" s="2952"/>
      <c r="E153" s="2952"/>
      <c r="F153" s="448" t="s">
        <v>5316</v>
      </c>
      <c r="G153" s="218" t="s">
        <v>5595</v>
      </c>
      <c r="H153" s="192">
        <v>900</v>
      </c>
      <c r="I153" s="1773" t="s">
        <v>41</v>
      </c>
      <c r="J153" s="34"/>
      <c r="K153" s="34"/>
      <c r="L153" s="2233" t="s">
        <v>25</v>
      </c>
      <c r="M153" s="224"/>
      <c r="N153" s="224"/>
      <c r="O153" s="224"/>
      <c r="P153" s="2627" t="s">
        <v>6395</v>
      </c>
      <c r="Q153" s="1612">
        <v>147</v>
      </c>
      <c r="S153" s="34"/>
      <c r="T153" s="34"/>
      <c r="U153" s="2233" t="s">
        <v>25</v>
      </c>
      <c r="V153" s="224"/>
      <c r="W153" s="224"/>
      <c r="X153" s="224"/>
    </row>
    <row r="154" spans="1:24" x14ac:dyDescent="0.3">
      <c r="A154" s="2227">
        <v>148</v>
      </c>
      <c r="B154" s="248" t="s">
        <v>5597</v>
      </c>
      <c r="C154" s="2951" t="s">
        <v>5607</v>
      </c>
      <c r="D154" s="2952"/>
      <c r="E154" s="2952"/>
      <c r="F154" s="448" t="s">
        <v>5316</v>
      </c>
      <c r="G154" s="218" t="s">
        <v>5595</v>
      </c>
      <c r="H154" s="192">
        <v>900</v>
      </c>
      <c r="I154" s="1773" t="s">
        <v>41</v>
      </c>
      <c r="J154" s="34"/>
      <c r="K154" s="34"/>
      <c r="L154" s="2233" t="s">
        <v>25</v>
      </c>
      <c r="M154" s="224"/>
      <c r="N154" s="224"/>
      <c r="O154" s="224"/>
      <c r="P154" s="2627" t="s">
        <v>6395</v>
      </c>
      <c r="Q154" s="1612">
        <v>148</v>
      </c>
      <c r="S154" s="34"/>
      <c r="T154" s="34"/>
      <c r="U154" s="2233" t="s">
        <v>25</v>
      </c>
      <c r="V154" s="224"/>
      <c r="W154" s="224"/>
      <c r="X154" s="224"/>
    </row>
    <row r="155" spans="1:24" x14ac:dyDescent="0.3">
      <c r="A155" s="2227">
        <v>149</v>
      </c>
      <c r="B155" s="248" t="s">
        <v>5597</v>
      </c>
      <c r="C155" s="2951" t="s">
        <v>5606</v>
      </c>
      <c r="D155" s="2952"/>
      <c r="E155" s="2952"/>
      <c r="F155" s="448" t="s">
        <v>5316</v>
      </c>
      <c r="G155" s="218" t="s">
        <v>5595</v>
      </c>
      <c r="H155" s="192">
        <v>900</v>
      </c>
      <c r="I155" s="1773" t="s">
        <v>41</v>
      </c>
      <c r="J155" s="34"/>
      <c r="K155" s="34"/>
      <c r="L155" s="2233" t="s">
        <v>25</v>
      </c>
      <c r="M155" s="224"/>
      <c r="N155" s="224"/>
      <c r="O155" s="224"/>
      <c r="P155" s="2627" t="s">
        <v>6395</v>
      </c>
      <c r="Q155" s="1612">
        <v>149</v>
      </c>
      <c r="S155" s="34"/>
      <c r="T155" s="34"/>
      <c r="U155" s="2233" t="s">
        <v>25</v>
      </c>
      <c r="V155" s="224"/>
      <c r="W155" s="224"/>
      <c r="X155" s="224"/>
    </row>
    <row r="156" spans="1:24" x14ac:dyDescent="0.3">
      <c r="A156" s="2227">
        <v>150</v>
      </c>
      <c r="B156" s="248" t="s">
        <v>5597</v>
      </c>
      <c r="C156" s="2951" t="s">
        <v>5605</v>
      </c>
      <c r="D156" s="2952"/>
      <c r="E156" s="2952"/>
      <c r="F156" s="448" t="s">
        <v>5316</v>
      </c>
      <c r="G156" s="218" t="s">
        <v>5595</v>
      </c>
      <c r="H156" s="192">
        <v>900</v>
      </c>
      <c r="I156" s="1773" t="s">
        <v>41</v>
      </c>
      <c r="J156" s="34"/>
      <c r="K156" s="34"/>
      <c r="L156" s="2233" t="s">
        <v>25</v>
      </c>
      <c r="M156" s="224"/>
      <c r="N156" s="224"/>
      <c r="O156" s="224"/>
      <c r="P156" s="2627" t="s">
        <v>6395</v>
      </c>
      <c r="Q156" s="1612">
        <v>150</v>
      </c>
      <c r="S156" s="34"/>
      <c r="T156" s="34"/>
      <c r="U156" s="2233" t="s">
        <v>25</v>
      </c>
      <c r="V156" s="224"/>
      <c r="W156" s="224"/>
      <c r="X156" s="224"/>
    </row>
    <row r="157" spans="1:24" x14ac:dyDescent="0.3">
      <c r="A157" s="2227">
        <v>151</v>
      </c>
      <c r="B157" s="248" t="s">
        <v>5597</v>
      </c>
      <c r="C157" s="2951" t="s">
        <v>5604</v>
      </c>
      <c r="D157" s="2952"/>
      <c r="E157" s="2952"/>
      <c r="F157" s="448" t="s">
        <v>5316</v>
      </c>
      <c r="G157" s="218" t="s">
        <v>5595</v>
      </c>
      <c r="H157" s="192">
        <v>900</v>
      </c>
      <c r="I157" s="1773" t="s">
        <v>41</v>
      </c>
      <c r="J157" s="34"/>
      <c r="K157" s="34"/>
      <c r="L157" s="2233" t="s">
        <v>25</v>
      </c>
      <c r="M157" s="224"/>
      <c r="N157" s="224"/>
      <c r="O157" s="224"/>
      <c r="P157" s="2627" t="s">
        <v>6395</v>
      </c>
      <c r="Q157" s="1612">
        <v>151</v>
      </c>
      <c r="S157" s="34"/>
      <c r="T157" s="34"/>
      <c r="U157" s="2233" t="s">
        <v>25</v>
      </c>
      <c r="V157" s="224"/>
      <c r="W157" s="224"/>
      <c r="X157" s="224"/>
    </row>
    <row r="158" spans="1:24" x14ac:dyDescent="0.3">
      <c r="A158" s="2227">
        <v>152</v>
      </c>
      <c r="B158" s="248" t="s">
        <v>5597</v>
      </c>
      <c r="C158" s="2951" t="s">
        <v>5603</v>
      </c>
      <c r="D158" s="2952"/>
      <c r="E158" s="2952"/>
      <c r="F158" s="448" t="s">
        <v>5316</v>
      </c>
      <c r="G158" s="218" t="s">
        <v>5595</v>
      </c>
      <c r="H158" s="192">
        <v>900</v>
      </c>
      <c r="I158" s="1773" t="s">
        <v>41</v>
      </c>
      <c r="J158" s="34"/>
      <c r="K158" s="34"/>
      <c r="L158" s="2233" t="s">
        <v>25</v>
      </c>
      <c r="M158" s="147"/>
      <c r="N158" s="803"/>
      <c r="O158" s="803"/>
      <c r="P158" s="2627" t="s">
        <v>6395</v>
      </c>
      <c r="Q158" s="1612">
        <v>152</v>
      </c>
      <c r="S158" s="34"/>
      <c r="T158" s="34"/>
      <c r="U158" s="2233" t="s">
        <v>25</v>
      </c>
      <c r="V158" s="147"/>
      <c r="W158" s="803"/>
      <c r="X158" s="803"/>
    </row>
    <row r="159" spans="1:24" x14ac:dyDescent="0.3">
      <c r="A159" s="2227">
        <v>153</v>
      </c>
      <c r="B159" s="248" t="s">
        <v>5597</v>
      </c>
      <c r="C159" s="2951" t="s">
        <v>5602</v>
      </c>
      <c r="D159" s="2952"/>
      <c r="E159" s="2952"/>
      <c r="F159" s="448" t="s">
        <v>5316</v>
      </c>
      <c r="G159" s="218" t="s">
        <v>5595</v>
      </c>
      <c r="H159" s="192">
        <v>900</v>
      </c>
      <c r="I159" s="1773" t="s">
        <v>41</v>
      </c>
      <c r="J159" s="34"/>
      <c r="K159" s="34"/>
      <c r="L159" s="2233" t="s">
        <v>25</v>
      </c>
      <c r="M159" s="147"/>
      <c r="N159" s="803"/>
      <c r="O159" s="803"/>
      <c r="P159" s="2627" t="s">
        <v>6395</v>
      </c>
      <c r="Q159" s="1612">
        <v>153</v>
      </c>
      <c r="S159" s="34"/>
      <c r="T159" s="34"/>
      <c r="U159" s="2233" t="s">
        <v>25</v>
      </c>
      <c r="V159" s="147"/>
      <c r="W159" s="803"/>
      <c r="X159" s="803"/>
    </row>
    <row r="160" spans="1:24" x14ac:dyDescent="0.3">
      <c r="A160" s="2227">
        <v>154</v>
      </c>
      <c r="B160" s="248" t="s">
        <v>5597</v>
      </c>
      <c r="C160" s="2951" t="s">
        <v>5601</v>
      </c>
      <c r="D160" s="2952"/>
      <c r="E160" s="2952"/>
      <c r="F160" s="448" t="s">
        <v>5316</v>
      </c>
      <c r="G160" s="218" t="s">
        <v>5595</v>
      </c>
      <c r="H160" s="192">
        <v>900</v>
      </c>
      <c r="I160" s="1773" t="s">
        <v>41</v>
      </c>
      <c r="J160" s="34"/>
      <c r="K160" s="34"/>
      <c r="L160" s="2233" t="s">
        <v>25</v>
      </c>
      <c r="M160" s="147"/>
      <c r="N160" s="803"/>
      <c r="O160" s="803"/>
      <c r="P160" s="2627" t="s">
        <v>6395</v>
      </c>
      <c r="Q160" s="1612">
        <v>154</v>
      </c>
      <c r="S160" s="34"/>
      <c r="T160" s="34"/>
      <c r="U160" s="2233" t="s">
        <v>25</v>
      </c>
      <c r="V160" s="147"/>
      <c r="W160" s="803"/>
      <c r="X160" s="803"/>
    </row>
    <row r="161" spans="1:24" x14ac:dyDescent="0.3">
      <c r="A161" s="2227">
        <v>155</v>
      </c>
      <c r="B161" s="248" t="s">
        <v>5597</v>
      </c>
      <c r="C161" s="2951" t="s">
        <v>5600</v>
      </c>
      <c r="D161" s="2952"/>
      <c r="E161" s="2952"/>
      <c r="F161" s="448" t="s">
        <v>5316</v>
      </c>
      <c r="G161" s="218" t="s">
        <v>5595</v>
      </c>
      <c r="H161" s="192">
        <v>900</v>
      </c>
      <c r="I161" s="1773" t="s">
        <v>41</v>
      </c>
      <c r="J161" s="34"/>
      <c r="K161" s="34"/>
      <c r="L161" s="2233" t="s">
        <v>25</v>
      </c>
      <c r="M161" s="147"/>
      <c r="N161" s="803"/>
      <c r="O161" s="803"/>
      <c r="P161" s="2627" t="s">
        <v>6395</v>
      </c>
      <c r="Q161" s="1612">
        <v>155</v>
      </c>
      <c r="S161" s="34"/>
      <c r="T161" s="34"/>
      <c r="U161" s="2233" t="s">
        <v>25</v>
      </c>
      <c r="V161" s="147"/>
      <c r="W161" s="803"/>
      <c r="X161" s="803"/>
    </row>
    <row r="162" spans="1:24" x14ac:dyDescent="0.3">
      <c r="A162" s="2227">
        <v>156</v>
      </c>
      <c r="B162" s="248" t="s">
        <v>5597</v>
      </c>
      <c r="C162" s="2951" t="s">
        <v>5599</v>
      </c>
      <c r="D162" s="2952"/>
      <c r="E162" s="2952"/>
      <c r="F162" s="448" t="s">
        <v>5316</v>
      </c>
      <c r="G162" s="218" t="s">
        <v>5595</v>
      </c>
      <c r="H162" s="192">
        <v>900</v>
      </c>
      <c r="I162" s="1773" t="s">
        <v>41</v>
      </c>
      <c r="J162" s="34"/>
      <c r="K162" s="34"/>
      <c r="L162" s="2233" t="s">
        <v>25</v>
      </c>
      <c r="M162" s="147"/>
      <c r="N162" s="803"/>
      <c r="O162" s="803"/>
      <c r="P162" s="2627" t="s">
        <v>6395</v>
      </c>
      <c r="Q162" s="1612">
        <v>156</v>
      </c>
      <c r="S162" s="34"/>
      <c r="T162" s="34"/>
      <c r="U162" s="2233" t="s">
        <v>25</v>
      </c>
      <c r="V162" s="147"/>
      <c r="W162" s="803"/>
      <c r="X162" s="803"/>
    </row>
    <row r="163" spans="1:24" x14ac:dyDescent="0.3">
      <c r="A163" s="2227">
        <v>157</v>
      </c>
      <c r="B163" s="248" t="s">
        <v>5597</v>
      </c>
      <c r="C163" s="2951" t="s">
        <v>5598</v>
      </c>
      <c r="D163" s="2952"/>
      <c r="E163" s="2952"/>
      <c r="F163" s="448" t="s">
        <v>5316</v>
      </c>
      <c r="G163" s="218" t="s">
        <v>5595</v>
      </c>
      <c r="H163" s="192">
        <v>900</v>
      </c>
      <c r="I163" s="1773" t="s">
        <v>41</v>
      </c>
      <c r="J163" s="34"/>
      <c r="K163" s="34"/>
      <c r="L163" s="2233" t="s">
        <v>25</v>
      </c>
      <c r="M163" s="147"/>
      <c r="N163" s="803"/>
      <c r="O163" s="803"/>
      <c r="P163" s="2627" t="s">
        <v>6395</v>
      </c>
      <c r="Q163" s="1612">
        <v>157</v>
      </c>
      <c r="S163" s="34"/>
      <c r="T163" s="34"/>
      <c r="U163" s="2233" t="s">
        <v>25</v>
      </c>
      <c r="V163" s="147"/>
      <c r="W163" s="803"/>
      <c r="X163" s="803"/>
    </row>
    <row r="164" spans="1:24" x14ac:dyDescent="0.3">
      <c r="A164" s="2227">
        <v>158</v>
      </c>
      <c r="B164" s="248" t="s">
        <v>5597</v>
      </c>
      <c r="C164" s="2951" t="s">
        <v>5596</v>
      </c>
      <c r="D164" s="2952"/>
      <c r="E164" s="2952"/>
      <c r="F164" s="448" t="s">
        <v>5316</v>
      </c>
      <c r="G164" s="218" t="s">
        <v>5595</v>
      </c>
      <c r="H164" s="192">
        <v>900</v>
      </c>
      <c r="I164" s="1773" t="s">
        <v>41</v>
      </c>
      <c r="J164" s="34"/>
      <c r="K164" s="34"/>
      <c r="L164" s="2233" t="s">
        <v>25</v>
      </c>
      <c r="M164" s="147"/>
      <c r="N164" s="803"/>
      <c r="O164" s="803"/>
      <c r="P164" s="2627" t="s">
        <v>6395</v>
      </c>
      <c r="Q164" s="1612">
        <v>158</v>
      </c>
      <c r="S164" s="34"/>
      <c r="T164" s="34"/>
      <c r="U164" s="2233" t="s">
        <v>25</v>
      </c>
      <c r="V164" s="147"/>
      <c r="W164" s="803"/>
      <c r="X164" s="803"/>
    </row>
    <row r="165" spans="1:24" x14ac:dyDescent="0.3">
      <c r="A165" s="2227">
        <v>159</v>
      </c>
      <c r="B165" s="698" t="s">
        <v>5594</v>
      </c>
      <c r="C165" s="2957" t="s">
        <v>5593</v>
      </c>
      <c r="D165" s="2958"/>
      <c r="E165" s="2958"/>
      <c r="F165" s="1926" t="s">
        <v>5316</v>
      </c>
      <c r="G165" s="711" t="s">
        <v>5391</v>
      </c>
      <c r="H165" s="703">
        <v>2900</v>
      </c>
      <c r="I165" s="1884" t="s">
        <v>811</v>
      </c>
      <c r="J165" s="104" t="s">
        <v>25</v>
      </c>
      <c r="K165" s="34"/>
      <c r="L165" s="537"/>
      <c r="M165" s="803"/>
      <c r="N165" s="803"/>
      <c r="O165" s="803"/>
      <c r="P165" s="2327" t="s">
        <v>115</v>
      </c>
      <c r="S165" s="104" t="s">
        <v>25</v>
      </c>
      <c r="T165" s="34"/>
      <c r="U165" s="537"/>
      <c r="V165" s="803"/>
      <c r="W165" s="803"/>
      <c r="X165" s="803"/>
    </row>
    <row r="166" spans="1:24" x14ac:dyDescent="0.3">
      <c r="A166" s="2227">
        <v>160</v>
      </c>
      <c r="B166" s="698" t="s">
        <v>5592</v>
      </c>
      <c r="C166" s="2957" t="s">
        <v>5591</v>
      </c>
      <c r="D166" s="2958"/>
      <c r="E166" s="2958"/>
      <c r="F166" s="1926" t="s">
        <v>5316</v>
      </c>
      <c r="G166" s="711" t="s">
        <v>5372</v>
      </c>
      <c r="H166" s="703">
        <v>4900</v>
      </c>
      <c r="I166" s="1884" t="s">
        <v>811</v>
      </c>
      <c r="J166" s="104" t="s">
        <v>25</v>
      </c>
      <c r="K166" s="104"/>
      <c r="L166" s="104"/>
      <c r="M166" s="104"/>
      <c r="N166" s="104"/>
      <c r="O166" s="104"/>
      <c r="P166" s="2303" t="s">
        <v>5871</v>
      </c>
      <c r="S166" s="104" t="s">
        <v>25</v>
      </c>
      <c r="T166" s="104"/>
      <c r="U166" s="104"/>
      <c r="V166" s="104"/>
      <c r="W166" s="104"/>
      <c r="X166" s="104"/>
    </row>
    <row r="167" spans="1:24" ht="17.399999999999999" x14ac:dyDescent="0.3">
      <c r="A167" s="363"/>
      <c r="B167" s="1941"/>
      <c r="C167" s="364"/>
      <c r="D167" s="364"/>
      <c r="E167" s="364"/>
      <c r="F167" s="1940"/>
      <c r="G167" s="1939"/>
      <c r="H167" s="1938">
        <f>SUM(H7:H166)</f>
        <v>144100</v>
      </c>
      <c r="I167" s="1937"/>
      <c r="J167" s="364"/>
      <c r="K167" s="364"/>
      <c r="L167" s="364"/>
      <c r="M167" s="364"/>
      <c r="N167" s="364"/>
      <c r="O167" s="364"/>
      <c r="P167" s="1936"/>
      <c r="S167" s="364"/>
      <c r="T167" s="364"/>
      <c r="U167" s="364"/>
      <c r="V167" s="364"/>
      <c r="W167" s="364"/>
      <c r="X167" s="364"/>
    </row>
    <row r="168" spans="1:24" x14ac:dyDescent="0.3">
      <c r="A168" s="1935">
        <v>401</v>
      </c>
      <c r="B168" s="1934" t="s">
        <v>178</v>
      </c>
      <c r="C168" s="186"/>
      <c r="D168" s="440"/>
      <c r="E168" s="1244"/>
      <c r="F168" s="1933"/>
      <c r="G168" s="1932"/>
      <c r="H168" s="1931"/>
      <c r="I168" s="185"/>
      <c r="J168" s="186"/>
      <c r="K168" s="186"/>
      <c r="L168" s="186"/>
      <c r="M168" s="186"/>
      <c r="N168" s="186"/>
      <c r="O168" s="186"/>
      <c r="P168" s="187"/>
      <c r="S168" s="186"/>
      <c r="T168" s="186"/>
      <c r="U168" s="186"/>
      <c r="V168" s="186"/>
      <c r="W168" s="186"/>
      <c r="X168" s="186"/>
    </row>
    <row r="169" spans="1:24" x14ac:dyDescent="0.3">
      <c r="A169" s="2227">
        <v>1</v>
      </c>
      <c r="B169" s="215" t="s">
        <v>5501</v>
      </c>
      <c r="C169" s="2892" t="s">
        <v>5590</v>
      </c>
      <c r="D169" s="2893"/>
      <c r="E169" s="2893"/>
      <c r="F169" s="1929" t="s">
        <v>5316</v>
      </c>
      <c r="G169" s="218" t="s">
        <v>5499</v>
      </c>
      <c r="H169" s="192">
        <v>250</v>
      </c>
      <c r="I169" s="1773" t="s">
        <v>41</v>
      </c>
      <c r="J169" s="34"/>
      <c r="K169" s="34"/>
      <c r="L169" s="147" t="s">
        <v>25</v>
      </c>
      <c r="M169" s="147"/>
      <c r="N169" s="803"/>
      <c r="O169" s="803"/>
      <c r="P169" s="2627" t="s">
        <v>6395</v>
      </c>
      <c r="Q169" s="1612">
        <v>159</v>
      </c>
      <c r="S169" s="34"/>
      <c r="T169" s="34"/>
      <c r="U169" s="147" t="s">
        <v>25</v>
      </c>
      <c r="V169" s="147"/>
      <c r="W169" s="803"/>
      <c r="X169" s="803"/>
    </row>
    <row r="170" spans="1:24" x14ac:dyDescent="0.3">
      <c r="A170" s="2227">
        <v>2</v>
      </c>
      <c r="B170" s="215" t="s">
        <v>5501</v>
      </c>
      <c r="C170" s="2892" t="s">
        <v>5589</v>
      </c>
      <c r="D170" s="2893"/>
      <c r="E170" s="2893"/>
      <c r="F170" s="1929" t="s">
        <v>5316</v>
      </c>
      <c r="G170" s="218" t="s">
        <v>5499</v>
      </c>
      <c r="H170" s="192">
        <v>250</v>
      </c>
      <c r="I170" s="1773" t="s">
        <v>41</v>
      </c>
      <c r="J170" s="34"/>
      <c r="K170" s="34"/>
      <c r="L170" s="147" t="s">
        <v>25</v>
      </c>
      <c r="M170" s="147"/>
      <c r="N170" s="803"/>
      <c r="O170" s="803"/>
      <c r="P170" s="2627" t="s">
        <v>6395</v>
      </c>
      <c r="Q170" s="1612">
        <v>160</v>
      </c>
      <c r="S170" s="34"/>
      <c r="T170" s="34"/>
      <c r="U170" s="147" t="s">
        <v>25</v>
      </c>
      <c r="V170" s="147"/>
      <c r="W170" s="803"/>
      <c r="X170" s="803"/>
    </row>
    <row r="171" spans="1:24" x14ac:dyDescent="0.3">
      <c r="A171" s="2227">
        <v>3</v>
      </c>
      <c r="B171" s="215" t="s">
        <v>5501</v>
      </c>
      <c r="C171" s="2892" t="s">
        <v>5588</v>
      </c>
      <c r="D171" s="2893"/>
      <c r="E171" s="2893"/>
      <c r="F171" s="1929" t="s">
        <v>5316</v>
      </c>
      <c r="G171" s="218" t="s">
        <v>5499</v>
      </c>
      <c r="H171" s="192">
        <v>250</v>
      </c>
      <c r="I171" s="1773" t="s">
        <v>41</v>
      </c>
      <c r="J171" s="34"/>
      <c r="K171" s="34"/>
      <c r="L171" s="147" t="s">
        <v>25</v>
      </c>
      <c r="M171" s="147"/>
      <c r="N171" s="803"/>
      <c r="O171" s="803"/>
      <c r="P171" s="2627" t="s">
        <v>6395</v>
      </c>
      <c r="Q171" s="1612">
        <v>161</v>
      </c>
      <c r="S171" s="34"/>
      <c r="T171" s="34"/>
      <c r="U171" s="147" t="s">
        <v>25</v>
      </c>
      <c r="V171" s="147"/>
      <c r="W171" s="803"/>
      <c r="X171" s="803"/>
    </row>
    <row r="172" spans="1:24" x14ac:dyDescent="0.3">
      <c r="A172" s="2227">
        <v>4</v>
      </c>
      <c r="B172" s="215" t="s">
        <v>5501</v>
      </c>
      <c r="C172" s="2892" t="s">
        <v>5587</v>
      </c>
      <c r="D172" s="2893"/>
      <c r="E172" s="2893"/>
      <c r="F172" s="1929" t="s">
        <v>5316</v>
      </c>
      <c r="G172" s="218" t="s">
        <v>5499</v>
      </c>
      <c r="H172" s="192">
        <v>250</v>
      </c>
      <c r="I172" s="1773" t="s">
        <v>41</v>
      </c>
      <c r="J172" s="34"/>
      <c r="K172" s="34"/>
      <c r="L172" s="147" t="s">
        <v>25</v>
      </c>
      <c r="M172" s="147"/>
      <c r="N172" s="803"/>
      <c r="O172" s="803"/>
      <c r="P172" s="2627" t="s">
        <v>6395</v>
      </c>
      <c r="Q172" s="1612">
        <v>162</v>
      </c>
      <c r="S172" s="34"/>
      <c r="T172" s="34"/>
      <c r="U172" s="147" t="s">
        <v>25</v>
      </c>
      <c r="V172" s="147"/>
      <c r="W172" s="803"/>
      <c r="X172" s="803"/>
    </row>
    <row r="173" spans="1:24" x14ac:dyDescent="0.3">
      <c r="A173" s="2227">
        <v>5</v>
      </c>
      <c r="B173" s="215" t="s">
        <v>5501</v>
      </c>
      <c r="C173" s="2892" t="s">
        <v>5586</v>
      </c>
      <c r="D173" s="2893"/>
      <c r="E173" s="2893"/>
      <c r="F173" s="1929" t="s">
        <v>5316</v>
      </c>
      <c r="G173" s="218" t="s">
        <v>5499</v>
      </c>
      <c r="H173" s="192">
        <v>250</v>
      </c>
      <c r="I173" s="1773" t="s">
        <v>41</v>
      </c>
      <c r="J173" s="34"/>
      <c r="K173" s="34"/>
      <c r="L173" s="147" t="s">
        <v>25</v>
      </c>
      <c r="M173" s="147"/>
      <c r="N173" s="803"/>
      <c r="O173" s="803"/>
      <c r="P173" s="2627" t="s">
        <v>6395</v>
      </c>
      <c r="Q173" s="1612">
        <v>163</v>
      </c>
      <c r="S173" s="34"/>
      <c r="T173" s="34"/>
      <c r="U173" s="147" t="s">
        <v>25</v>
      </c>
      <c r="V173" s="147"/>
      <c r="W173" s="803"/>
      <c r="X173" s="803"/>
    </row>
    <row r="174" spans="1:24" x14ac:dyDescent="0.3">
      <c r="A174" s="2227">
        <v>6</v>
      </c>
      <c r="B174" s="215" t="s">
        <v>5501</v>
      </c>
      <c r="C174" s="2892" t="s">
        <v>5585</v>
      </c>
      <c r="D174" s="2893"/>
      <c r="E174" s="2893"/>
      <c r="F174" s="1929" t="s">
        <v>5316</v>
      </c>
      <c r="G174" s="218" t="s">
        <v>5499</v>
      </c>
      <c r="H174" s="192">
        <v>250</v>
      </c>
      <c r="I174" s="1773" t="s">
        <v>41</v>
      </c>
      <c r="J174" s="34"/>
      <c r="K174" s="34"/>
      <c r="L174" s="147" t="s">
        <v>25</v>
      </c>
      <c r="M174" s="147"/>
      <c r="N174" s="803"/>
      <c r="O174" s="803"/>
      <c r="P174" s="2627" t="s">
        <v>6395</v>
      </c>
      <c r="Q174" s="1612">
        <v>164</v>
      </c>
      <c r="S174" s="34"/>
      <c r="T174" s="34"/>
      <c r="U174" s="147" t="s">
        <v>25</v>
      </c>
      <c r="V174" s="147"/>
      <c r="W174" s="803"/>
      <c r="X174" s="803"/>
    </row>
    <row r="175" spans="1:24" x14ac:dyDescent="0.3">
      <c r="A175" s="2227">
        <v>7</v>
      </c>
      <c r="B175" s="215" t="s">
        <v>5501</v>
      </c>
      <c r="C175" s="2892" t="s">
        <v>5584</v>
      </c>
      <c r="D175" s="2893"/>
      <c r="E175" s="2893"/>
      <c r="F175" s="1929" t="s">
        <v>5316</v>
      </c>
      <c r="G175" s="218" t="s">
        <v>5499</v>
      </c>
      <c r="H175" s="192">
        <v>250</v>
      </c>
      <c r="I175" s="1773" t="s">
        <v>41</v>
      </c>
      <c r="J175" s="34"/>
      <c r="K175" s="34"/>
      <c r="L175" s="147" t="s">
        <v>25</v>
      </c>
      <c r="M175" s="147"/>
      <c r="N175" s="803"/>
      <c r="O175" s="803"/>
      <c r="P175" s="2627" t="s">
        <v>6395</v>
      </c>
      <c r="Q175" s="1612">
        <v>165</v>
      </c>
      <c r="S175" s="34"/>
      <c r="T175" s="34"/>
      <c r="U175" s="147" t="s">
        <v>25</v>
      </c>
      <c r="V175" s="147"/>
      <c r="W175" s="803"/>
      <c r="X175" s="803"/>
    </row>
    <row r="176" spans="1:24" x14ac:dyDescent="0.3">
      <c r="A176" s="2227">
        <v>8</v>
      </c>
      <c r="B176" s="215" t="s">
        <v>5501</v>
      </c>
      <c r="C176" s="2892" t="s">
        <v>5583</v>
      </c>
      <c r="D176" s="2893"/>
      <c r="E176" s="2893"/>
      <c r="F176" s="1929" t="s">
        <v>5316</v>
      </c>
      <c r="G176" s="218" t="s">
        <v>5499</v>
      </c>
      <c r="H176" s="192">
        <v>250</v>
      </c>
      <c r="I176" s="1773" t="s">
        <v>41</v>
      </c>
      <c r="J176" s="34"/>
      <c r="K176" s="34"/>
      <c r="L176" s="147" t="s">
        <v>25</v>
      </c>
      <c r="M176" s="803"/>
      <c r="N176" s="803"/>
      <c r="O176" s="803"/>
      <c r="P176" s="2627" t="s">
        <v>6395</v>
      </c>
      <c r="Q176" s="1612">
        <v>166</v>
      </c>
      <c r="S176" s="34"/>
      <c r="T176" s="34"/>
      <c r="U176" s="147" t="s">
        <v>25</v>
      </c>
      <c r="V176" s="803"/>
      <c r="W176" s="803"/>
      <c r="X176" s="803"/>
    </row>
    <row r="177" spans="1:24" x14ac:dyDescent="0.3">
      <c r="A177" s="2227">
        <v>9</v>
      </c>
      <c r="B177" s="215" t="s">
        <v>5501</v>
      </c>
      <c r="C177" s="2892" t="s">
        <v>5582</v>
      </c>
      <c r="D177" s="2893"/>
      <c r="E177" s="2893"/>
      <c r="F177" s="1929" t="s">
        <v>5316</v>
      </c>
      <c r="G177" s="218" t="s">
        <v>5499</v>
      </c>
      <c r="H177" s="192">
        <v>250</v>
      </c>
      <c r="I177" s="1773" t="s">
        <v>41</v>
      </c>
      <c r="J177" s="34"/>
      <c r="K177" s="34"/>
      <c r="L177" s="147" t="s">
        <v>25</v>
      </c>
      <c r="M177" s="803"/>
      <c r="N177" s="803"/>
      <c r="O177" s="803"/>
      <c r="P177" s="2627" t="s">
        <v>6395</v>
      </c>
      <c r="Q177" s="1612">
        <v>167</v>
      </c>
      <c r="S177" s="34"/>
      <c r="T177" s="34"/>
      <c r="U177" s="147" t="s">
        <v>25</v>
      </c>
      <c r="V177" s="803"/>
      <c r="W177" s="803"/>
      <c r="X177" s="803"/>
    </row>
    <row r="178" spans="1:24" x14ac:dyDescent="0.3">
      <c r="A178" s="2227">
        <v>10</v>
      </c>
      <c r="B178" s="215" t="s">
        <v>5501</v>
      </c>
      <c r="C178" s="2892" t="s">
        <v>5581</v>
      </c>
      <c r="D178" s="2893"/>
      <c r="E178" s="2893"/>
      <c r="F178" s="1929" t="s">
        <v>5316</v>
      </c>
      <c r="G178" s="218" t="s">
        <v>5499</v>
      </c>
      <c r="H178" s="192">
        <v>250</v>
      </c>
      <c r="I178" s="1773" t="s">
        <v>41</v>
      </c>
      <c r="J178" s="34"/>
      <c r="K178" s="34"/>
      <c r="L178" s="147" t="s">
        <v>25</v>
      </c>
      <c r="M178" s="803"/>
      <c r="N178" s="803"/>
      <c r="O178" s="803"/>
      <c r="P178" s="2627" t="s">
        <v>6395</v>
      </c>
      <c r="Q178" s="1612">
        <v>168</v>
      </c>
      <c r="S178" s="34"/>
      <c r="T178" s="34"/>
      <c r="U178" s="147" t="s">
        <v>25</v>
      </c>
      <c r="V178" s="803"/>
      <c r="W178" s="803"/>
      <c r="X178" s="803"/>
    </row>
    <row r="179" spans="1:24" x14ac:dyDescent="0.3">
      <c r="A179" s="2227">
        <v>11</v>
      </c>
      <c r="B179" s="215" t="s">
        <v>5501</v>
      </c>
      <c r="C179" s="2892" t="s">
        <v>5580</v>
      </c>
      <c r="D179" s="2893"/>
      <c r="E179" s="2893"/>
      <c r="F179" s="1929" t="s">
        <v>5316</v>
      </c>
      <c r="G179" s="218" t="s">
        <v>5499</v>
      </c>
      <c r="H179" s="192">
        <v>250</v>
      </c>
      <c r="I179" s="1773" t="s">
        <v>41</v>
      </c>
      <c r="J179" s="34"/>
      <c r="K179" s="34"/>
      <c r="L179" s="147" t="s">
        <v>25</v>
      </c>
      <c r="M179" s="803"/>
      <c r="N179" s="803"/>
      <c r="O179" s="803"/>
      <c r="P179" s="2627" t="s">
        <v>6395</v>
      </c>
      <c r="Q179" s="1612">
        <v>169</v>
      </c>
      <c r="S179" s="34"/>
      <c r="T179" s="34"/>
      <c r="U179" s="147" t="s">
        <v>25</v>
      </c>
      <c r="V179" s="803"/>
      <c r="W179" s="803"/>
      <c r="X179" s="803"/>
    </row>
    <row r="180" spans="1:24" x14ac:dyDescent="0.3">
      <c r="A180" s="2227">
        <v>12</v>
      </c>
      <c r="B180" s="215" t="s">
        <v>5501</v>
      </c>
      <c r="C180" s="2892" t="s">
        <v>5579</v>
      </c>
      <c r="D180" s="2893"/>
      <c r="E180" s="2893"/>
      <c r="F180" s="1929" t="s">
        <v>5316</v>
      </c>
      <c r="G180" s="218" t="s">
        <v>5499</v>
      </c>
      <c r="H180" s="192">
        <v>250</v>
      </c>
      <c r="I180" s="1773" t="s">
        <v>41</v>
      </c>
      <c r="J180" s="34"/>
      <c r="K180" s="34"/>
      <c r="L180" s="147" t="s">
        <v>25</v>
      </c>
      <c r="M180" s="803"/>
      <c r="N180" s="803"/>
      <c r="O180" s="803"/>
      <c r="P180" s="2627" t="s">
        <v>6395</v>
      </c>
      <c r="Q180" s="1612">
        <v>170</v>
      </c>
      <c r="S180" s="34"/>
      <c r="T180" s="34"/>
      <c r="U180" s="147" t="s">
        <v>25</v>
      </c>
      <c r="V180" s="803"/>
      <c r="W180" s="803"/>
      <c r="X180" s="803"/>
    </row>
    <row r="181" spans="1:24" x14ac:dyDescent="0.3">
      <c r="A181" s="2227">
        <v>13</v>
      </c>
      <c r="B181" s="215" t="s">
        <v>5501</v>
      </c>
      <c r="C181" s="2892" t="s">
        <v>5578</v>
      </c>
      <c r="D181" s="2893"/>
      <c r="E181" s="2893"/>
      <c r="F181" s="1929" t="s">
        <v>5316</v>
      </c>
      <c r="G181" s="218" t="s">
        <v>5499</v>
      </c>
      <c r="H181" s="192">
        <v>250</v>
      </c>
      <c r="I181" s="1773" t="s">
        <v>41</v>
      </c>
      <c r="J181" s="34"/>
      <c r="K181" s="34"/>
      <c r="L181" s="147" t="s">
        <v>25</v>
      </c>
      <c r="M181" s="803"/>
      <c r="N181" s="803"/>
      <c r="O181" s="803"/>
      <c r="P181" s="2627" t="s">
        <v>6395</v>
      </c>
      <c r="Q181" s="1612">
        <v>171</v>
      </c>
      <c r="S181" s="34"/>
      <c r="T181" s="34"/>
      <c r="U181" s="147" t="s">
        <v>25</v>
      </c>
      <c r="V181" s="803"/>
      <c r="W181" s="803"/>
      <c r="X181" s="803"/>
    </row>
    <row r="182" spans="1:24" x14ac:dyDescent="0.3">
      <c r="A182" s="2227">
        <v>14</v>
      </c>
      <c r="B182" s="215" t="s">
        <v>5501</v>
      </c>
      <c r="C182" s="2892" t="s">
        <v>5577</v>
      </c>
      <c r="D182" s="2893"/>
      <c r="E182" s="2893"/>
      <c r="F182" s="1929" t="s">
        <v>5316</v>
      </c>
      <c r="G182" s="218" t="s">
        <v>5499</v>
      </c>
      <c r="H182" s="192">
        <v>250</v>
      </c>
      <c r="I182" s="1773" t="s">
        <v>41</v>
      </c>
      <c r="J182" s="34"/>
      <c r="K182" s="34"/>
      <c r="L182" s="147" t="s">
        <v>25</v>
      </c>
      <c r="M182" s="803"/>
      <c r="N182" s="803"/>
      <c r="O182" s="803"/>
      <c r="P182" s="2627" t="s">
        <v>6395</v>
      </c>
      <c r="Q182" s="1612">
        <v>172</v>
      </c>
      <c r="S182" s="34"/>
      <c r="T182" s="34"/>
      <c r="U182" s="147" t="s">
        <v>25</v>
      </c>
      <c r="V182" s="803"/>
      <c r="W182" s="803"/>
      <c r="X182" s="803"/>
    </row>
    <row r="183" spans="1:24" x14ac:dyDescent="0.3">
      <c r="A183" s="2227">
        <v>15</v>
      </c>
      <c r="B183" s="215" t="s">
        <v>5501</v>
      </c>
      <c r="C183" s="2892" t="s">
        <v>5576</v>
      </c>
      <c r="D183" s="2893"/>
      <c r="E183" s="2893"/>
      <c r="F183" s="1929" t="s">
        <v>5316</v>
      </c>
      <c r="G183" s="218" t="s">
        <v>5499</v>
      </c>
      <c r="H183" s="192">
        <v>250</v>
      </c>
      <c r="I183" s="1773" t="s">
        <v>41</v>
      </c>
      <c r="J183" s="34"/>
      <c r="K183" s="34"/>
      <c r="L183" s="147" t="s">
        <v>25</v>
      </c>
      <c r="M183" s="803"/>
      <c r="N183" s="803"/>
      <c r="O183" s="803"/>
      <c r="P183" s="2627" t="s">
        <v>6395</v>
      </c>
      <c r="Q183" s="1612">
        <v>173</v>
      </c>
      <c r="S183" s="34"/>
      <c r="T183" s="34"/>
      <c r="U183" s="147" t="s">
        <v>25</v>
      </c>
      <c r="V183" s="803"/>
      <c r="W183" s="803"/>
      <c r="X183" s="803"/>
    </row>
    <row r="184" spans="1:24" x14ac:dyDescent="0.3">
      <c r="A184" s="2227">
        <v>16</v>
      </c>
      <c r="B184" s="215" t="s">
        <v>5501</v>
      </c>
      <c r="C184" s="2892" t="s">
        <v>5575</v>
      </c>
      <c r="D184" s="2893"/>
      <c r="E184" s="2893"/>
      <c r="F184" s="1929" t="s">
        <v>5316</v>
      </c>
      <c r="G184" s="218" t="s">
        <v>5499</v>
      </c>
      <c r="H184" s="192">
        <v>250</v>
      </c>
      <c r="I184" s="1773" t="s">
        <v>41</v>
      </c>
      <c r="J184" s="34"/>
      <c r="K184" s="34"/>
      <c r="L184" s="147" t="s">
        <v>25</v>
      </c>
      <c r="M184" s="803"/>
      <c r="N184" s="803"/>
      <c r="O184" s="803"/>
      <c r="P184" s="2627" t="s">
        <v>6395</v>
      </c>
      <c r="Q184" s="1612">
        <v>174</v>
      </c>
      <c r="S184" s="34"/>
      <c r="T184" s="34"/>
      <c r="U184" s="147" t="s">
        <v>25</v>
      </c>
      <c r="V184" s="803"/>
      <c r="W184" s="803"/>
      <c r="X184" s="803"/>
    </row>
    <row r="185" spans="1:24" x14ac:dyDescent="0.3">
      <c r="A185" s="2227">
        <v>17</v>
      </c>
      <c r="B185" s="215" t="s">
        <v>5501</v>
      </c>
      <c r="C185" s="2892" t="s">
        <v>5574</v>
      </c>
      <c r="D185" s="2893"/>
      <c r="E185" s="2893"/>
      <c r="F185" s="1929" t="s">
        <v>5316</v>
      </c>
      <c r="G185" s="218" t="s">
        <v>5499</v>
      </c>
      <c r="H185" s="192">
        <v>250</v>
      </c>
      <c r="I185" s="1773" t="s">
        <v>41</v>
      </c>
      <c r="J185" s="34"/>
      <c r="K185" s="34"/>
      <c r="L185" s="147" t="s">
        <v>25</v>
      </c>
      <c r="M185" s="803"/>
      <c r="N185" s="803"/>
      <c r="O185" s="803"/>
      <c r="P185" s="2627" t="s">
        <v>6395</v>
      </c>
      <c r="Q185" s="1612">
        <v>175</v>
      </c>
      <c r="S185" s="34"/>
      <c r="T185" s="34"/>
      <c r="U185" s="147" t="s">
        <v>25</v>
      </c>
      <c r="V185" s="803"/>
      <c r="W185" s="803"/>
      <c r="X185" s="803"/>
    </row>
    <row r="186" spans="1:24" x14ac:dyDescent="0.3">
      <c r="A186" s="2227">
        <v>18</v>
      </c>
      <c r="B186" s="215" t="s">
        <v>5501</v>
      </c>
      <c r="C186" s="2892" t="s">
        <v>5573</v>
      </c>
      <c r="D186" s="2893"/>
      <c r="E186" s="2893"/>
      <c r="F186" s="1929" t="s">
        <v>5316</v>
      </c>
      <c r="G186" s="218" t="s">
        <v>5499</v>
      </c>
      <c r="H186" s="192">
        <v>250</v>
      </c>
      <c r="I186" s="1773" t="s">
        <v>41</v>
      </c>
      <c r="J186" s="34"/>
      <c r="K186" s="34"/>
      <c r="L186" s="147" t="s">
        <v>25</v>
      </c>
      <c r="M186" s="803"/>
      <c r="N186" s="803"/>
      <c r="O186" s="803"/>
      <c r="P186" s="2627" t="s">
        <v>6395</v>
      </c>
      <c r="Q186" s="1612">
        <v>176</v>
      </c>
      <c r="S186" s="34"/>
      <c r="T186" s="34"/>
      <c r="U186" s="147" t="s">
        <v>25</v>
      </c>
      <c r="V186" s="803"/>
      <c r="W186" s="803"/>
      <c r="X186" s="803"/>
    </row>
    <row r="187" spans="1:24" x14ac:dyDescent="0.3">
      <c r="A187" s="2227">
        <v>19</v>
      </c>
      <c r="B187" s="215" t="s">
        <v>5501</v>
      </c>
      <c r="C187" s="2892" t="s">
        <v>5572</v>
      </c>
      <c r="D187" s="2893"/>
      <c r="E187" s="2893"/>
      <c r="F187" s="1929" t="s">
        <v>5316</v>
      </c>
      <c r="G187" s="218" t="s">
        <v>5499</v>
      </c>
      <c r="H187" s="192">
        <v>250</v>
      </c>
      <c r="I187" s="1773" t="s">
        <v>41</v>
      </c>
      <c r="J187" s="34"/>
      <c r="K187" s="34"/>
      <c r="L187" s="147" t="s">
        <v>25</v>
      </c>
      <c r="M187" s="803"/>
      <c r="N187" s="803"/>
      <c r="O187" s="803"/>
      <c r="P187" s="2627" t="s">
        <v>6395</v>
      </c>
      <c r="Q187" s="1612">
        <v>177</v>
      </c>
      <c r="S187" s="34"/>
      <c r="T187" s="34"/>
      <c r="U187" s="147" t="s">
        <v>25</v>
      </c>
      <c r="V187" s="803"/>
      <c r="W187" s="803"/>
      <c r="X187" s="803"/>
    </row>
    <row r="188" spans="1:24" x14ac:dyDescent="0.3">
      <c r="A188" s="2227">
        <v>20</v>
      </c>
      <c r="B188" s="215" t="s">
        <v>5501</v>
      </c>
      <c r="C188" s="2892" t="s">
        <v>5571</v>
      </c>
      <c r="D188" s="2893"/>
      <c r="E188" s="2893"/>
      <c r="F188" s="1929" t="s">
        <v>5316</v>
      </c>
      <c r="G188" s="218" t="s">
        <v>5499</v>
      </c>
      <c r="H188" s="192">
        <v>250</v>
      </c>
      <c r="I188" s="1773" t="s">
        <v>41</v>
      </c>
      <c r="J188" s="34"/>
      <c r="K188" s="34"/>
      <c r="L188" s="147" t="s">
        <v>25</v>
      </c>
      <c r="M188" s="803"/>
      <c r="N188" s="803"/>
      <c r="O188" s="803"/>
      <c r="P188" s="2627" t="s">
        <v>6395</v>
      </c>
      <c r="Q188" s="1612">
        <v>178</v>
      </c>
      <c r="S188" s="34"/>
      <c r="T188" s="34"/>
      <c r="U188" s="147" t="s">
        <v>25</v>
      </c>
      <c r="V188" s="803"/>
      <c r="W188" s="803"/>
      <c r="X188" s="803"/>
    </row>
    <row r="189" spans="1:24" x14ac:dyDescent="0.3">
      <c r="A189" s="2227">
        <v>21</v>
      </c>
      <c r="B189" s="215" t="s">
        <v>5501</v>
      </c>
      <c r="C189" s="2892" t="s">
        <v>5570</v>
      </c>
      <c r="D189" s="2893"/>
      <c r="E189" s="2893"/>
      <c r="F189" s="1929" t="s">
        <v>5316</v>
      </c>
      <c r="G189" s="218" t="s">
        <v>5499</v>
      </c>
      <c r="H189" s="192">
        <v>250</v>
      </c>
      <c r="I189" s="1773" t="s">
        <v>41</v>
      </c>
      <c r="J189" s="34"/>
      <c r="K189" s="34"/>
      <c r="L189" s="147" t="s">
        <v>25</v>
      </c>
      <c r="M189" s="803"/>
      <c r="N189" s="803"/>
      <c r="O189" s="803"/>
      <c r="P189" s="2627" t="s">
        <v>6395</v>
      </c>
      <c r="Q189" s="1612">
        <v>179</v>
      </c>
      <c r="S189" s="34"/>
      <c r="T189" s="34"/>
      <c r="U189" s="147" t="s">
        <v>25</v>
      </c>
      <c r="V189" s="803"/>
      <c r="W189" s="803"/>
      <c r="X189" s="803"/>
    </row>
    <row r="190" spans="1:24" x14ac:dyDescent="0.3">
      <c r="A190" s="2227">
        <v>22</v>
      </c>
      <c r="B190" s="215" t="s">
        <v>5501</v>
      </c>
      <c r="C190" s="2892" t="s">
        <v>5569</v>
      </c>
      <c r="D190" s="2893"/>
      <c r="E190" s="2893"/>
      <c r="F190" s="1929" t="s">
        <v>5316</v>
      </c>
      <c r="G190" s="218" t="s">
        <v>5499</v>
      </c>
      <c r="H190" s="192">
        <v>250</v>
      </c>
      <c r="I190" s="1773" t="s">
        <v>41</v>
      </c>
      <c r="J190" s="34"/>
      <c r="K190" s="34"/>
      <c r="L190" s="147" t="s">
        <v>25</v>
      </c>
      <c r="M190" s="147"/>
      <c r="N190" s="803"/>
      <c r="O190" s="803"/>
      <c r="P190" s="2627" t="s">
        <v>6395</v>
      </c>
      <c r="Q190" s="1612">
        <v>180</v>
      </c>
      <c r="S190" s="34"/>
      <c r="T190" s="34"/>
      <c r="U190" s="147" t="s">
        <v>25</v>
      </c>
      <c r="V190" s="147"/>
      <c r="W190" s="803"/>
      <c r="X190" s="803"/>
    </row>
    <row r="191" spans="1:24" x14ac:dyDescent="0.3">
      <c r="A191" s="2227">
        <v>23</v>
      </c>
      <c r="B191" s="215" t="s">
        <v>5501</v>
      </c>
      <c r="C191" s="2892" t="s">
        <v>5568</v>
      </c>
      <c r="D191" s="2893"/>
      <c r="E191" s="2893"/>
      <c r="F191" s="1929" t="s">
        <v>5316</v>
      </c>
      <c r="G191" s="218" t="s">
        <v>5499</v>
      </c>
      <c r="H191" s="192">
        <v>250</v>
      </c>
      <c r="I191" s="1773" t="s">
        <v>41</v>
      </c>
      <c r="J191" s="34"/>
      <c r="K191" s="34"/>
      <c r="L191" s="147" t="s">
        <v>25</v>
      </c>
      <c r="M191" s="147"/>
      <c r="N191" s="803"/>
      <c r="O191" s="803"/>
      <c r="P191" s="2627" t="s">
        <v>6395</v>
      </c>
      <c r="Q191" s="1612">
        <v>181</v>
      </c>
      <c r="S191" s="34"/>
      <c r="T191" s="34"/>
      <c r="U191" s="147" t="s">
        <v>25</v>
      </c>
      <c r="V191" s="147"/>
      <c r="W191" s="803"/>
      <c r="X191" s="803"/>
    </row>
    <row r="192" spans="1:24" x14ac:dyDescent="0.3">
      <c r="A192" s="2227">
        <v>24</v>
      </c>
      <c r="B192" s="215" t="s">
        <v>5501</v>
      </c>
      <c r="C192" s="2892" t="s">
        <v>5567</v>
      </c>
      <c r="D192" s="2893"/>
      <c r="E192" s="2893"/>
      <c r="F192" s="1929" t="s">
        <v>5316</v>
      </c>
      <c r="G192" s="218" t="s">
        <v>5499</v>
      </c>
      <c r="H192" s="192">
        <v>250</v>
      </c>
      <c r="I192" s="1773" t="s">
        <v>41</v>
      </c>
      <c r="J192" s="34"/>
      <c r="K192" s="34"/>
      <c r="L192" s="147" t="s">
        <v>25</v>
      </c>
      <c r="M192" s="147"/>
      <c r="N192" s="803"/>
      <c r="O192" s="803"/>
      <c r="P192" s="2627" t="s">
        <v>6395</v>
      </c>
      <c r="Q192" s="1612">
        <v>182</v>
      </c>
      <c r="S192" s="34"/>
      <c r="T192" s="34"/>
      <c r="U192" s="147" t="s">
        <v>25</v>
      </c>
      <c r="V192" s="147"/>
      <c r="W192" s="803"/>
      <c r="X192" s="803"/>
    </row>
    <row r="193" spans="1:24" x14ac:dyDescent="0.3">
      <c r="A193" s="2227">
        <v>25</v>
      </c>
      <c r="B193" s="215" t="s">
        <v>5501</v>
      </c>
      <c r="C193" s="2892" t="s">
        <v>5566</v>
      </c>
      <c r="D193" s="2893"/>
      <c r="E193" s="2893"/>
      <c r="F193" s="1929" t="s">
        <v>5316</v>
      </c>
      <c r="G193" s="218" t="s">
        <v>5499</v>
      </c>
      <c r="H193" s="192">
        <v>250</v>
      </c>
      <c r="I193" s="1773" t="s">
        <v>41</v>
      </c>
      <c r="J193" s="34"/>
      <c r="K193" s="34"/>
      <c r="L193" s="147" t="s">
        <v>25</v>
      </c>
      <c r="M193" s="147"/>
      <c r="N193" s="803"/>
      <c r="O193" s="803"/>
      <c r="P193" s="2627" t="s">
        <v>6395</v>
      </c>
      <c r="Q193" s="1612">
        <v>183</v>
      </c>
      <c r="S193" s="34"/>
      <c r="T193" s="34"/>
      <c r="U193" s="147" t="s">
        <v>25</v>
      </c>
      <c r="V193" s="147"/>
      <c r="W193" s="803"/>
      <c r="X193" s="803"/>
    </row>
    <row r="194" spans="1:24" x14ac:dyDescent="0.3">
      <c r="A194" s="2227">
        <v>26</v>
      </c>
      <c r="B194" s="215" t="s">
        <v>5501</v>
      </c>
      <c r="C194" s="2892" t="s">
        <v>5565</v>
      </c>
      <c r="D194" s="2893"/>
      <c r="E194" s="2893"/>
      <c r="F194" s="1929" t="s">
        <v>5316</v>
      </c>
      <c r="G194" s="218" t="s">
        <v>5499</v>
      </c>
      <c r="H194" s="192">
        <v>250</v>
      </c>
      <c r="I194" s="1773" t="s">
        <v>41</v>
      </c>
      <c r="J194" s="34"/>
      <c r="K194" s="34"/>
      <c r="L194" s="147" t="s">
        <v>25</v>
      </c>
      <c r="M194" s="147"/>
      <c r="N194" s="803"/>
      <c r="O194" s="803"/>
      <c r="P194" s="2627" t="s">
        <v>6395</v>
      </c>
      <c r="Q194" s="1612">
        <v>184</v>
      </c>
      <c r="S194" s="34"/>
      <c r="T194" s="34"/>
      <c r="U194" s="147" t="s">
        <v>25</v>
      </c>
      <c r="V194" s="147"/>
      <c r="W194" s="803"/>
      <c r="X194" s="803"/>
    </row>
    <row r="195" spans="1:24" x14ac:dyDescent="0.3">
      <c r="A195" s="2227">
        <v>27</v>
      </c>
      <c r="B195" s="215" t="s">
        <v>5501</v>
      </c>
      <c r="C195" s="2892" t="s">
        <v>5564</v>
      </c>
      <c r="D195" s="2893"/>
      <c r="E195" s="2893"/>
      <c r="F195" s="1929" t="s">
        <v>5316</v>
      </c>
      <c r="G195" s="218" t="s">
        <v>5499</v>
      </c>
      <c r="H195" s="192">
        <v>250</v>
      </c>
      <c r="I195" s="1773" t="s">
        <v>41</v>
      </c>
      <c r="J195" s="34"/>
      <c r="K195" s="34"/>
      <c r="L195" s="147" t="s">
        <v>25</v>
      </c>
      <c r="M195" s="147"/>
      <c r="N195" s="803"/>
      <c r="O195" s="803"/>
      <c r="P195" s="2627" t="s">
        <v>6395</v>
      </c>
      <c r="Q195" s="1612">
        <v>185</v>
      </c>
      <c r="S195" s="34"/>
      <c r="T195" s="34"/>
      <c r="U195" s="147" t="s">
        <v>25</v>
      </c>
      <c r="V195" s="147"/>
      <c r="W195" s="803"/>
      <c r="X195" s="803"/>
    </row>
    <row r="196" spans="1:24" x14ac:dyDescent="0.3">
      <c r="A196" s="2227">
        <v>28</v>
      </c>
      <c r="B196" s="215" t="s">
        <v>5501</v>
      </c>
      <c r="C196" s="2892" t="s">
        <v>5563</v>
      </c>
      <c r="D196" s="2893"/>
      <c r="E196" s="2893"/>
      <c r="F196" s="1929" t="s">
        <v>5316</v>
      </c>
      <c r="G196" s="218" t="s">
        <v>5499</v>
      </c>
      <c r="H196" s="192">
        <v>250</v>
      </c>
      <c r="I196" s="1773" t="s">
        <v>41</v>
      </c>
      <c r="J196" s="34"/>
      <c r="K196" s="34"/>
      <c r="L196" s="147" t="s">
        <v>25</v>
      </c>
      <c r="M196" s="147"/>
      <c r="N196" s="803"/>
      <c r="O196" s="803"/>
      <c r="P196" s="2627" t="s">
        <v>6395</v>
      </c>
      <c r="Q196" s="1612">
        <v>186</v>
      </c>
      <c r="S196" s="34"/>
      <c r="T196" s="34"/>
      <c r="U196" s="147" t="s">
        <v>25</v>
      </c>
      <c r="V196" s="147"/>
      <c r="W196" s="803"/>
      <c r="X196" s="803"/>
    </row>
    <row r="197" spans="1:24" x14ac:dyDescent="0.3">
      <c r="A197" s="2227">
        <v>29</v>
      </c>
      <c r="B197" s="215" t="s">
        <v>5501</v>
      </c>
      <c r="C197" s="2892" t="s">
        <v>5562</v>
      </c>
      <c r="D197" s="2893"/>
      <c r="E197" s="2893"/>
      <c r="F197" s="1929" t="s">
        <v>5316</v>
      </c>
      <c r="G197" s="218" t="s">
        <v>5499</v>
      </c>
      <c r="H197" s="192">
        <v>250</v>
      </c>
      <c r="I197" s="1773" t="s">
        <v>41</v>
      </c>
      <c r="J197" s="34"/>
      <c r="K197" s="34"/>
      <c r="L197" s="147" t="s">
        <v>25</v>
      </c>
      <c r="M197" s="803"/>
      <c r="N197" s="803"/>
      <c r="O197" s="803"/>
      <c r="P197" s="2627" t="s">
        <v>6395</v>
      </c>
      <c r="Q197" s="1612">
        <v>187</v>
      </c>
      <c r="S197" s="34"/>
      <c r="T197" s="34"/>
      <c r="U197" s="147" t="s">
        <v>25</v>
      </c>
      <c r="V197" s="803"/>
      <c r="W197" s="803"/>
      <c r="X197" s="803"/>
    </row>
    <row r="198" spans="1:24" x14ac:dyDescent="0.3">
      <c r="A198" s="2227">
        <v>30</v>
      </c>
      <c r="B198" s="215" t="s">
        <v>5501</v>
      </c>
      <c r="C198" s="2892" t="s">
        <v>5561</v>
      </c>
      <c r="D198" s="2893"/>
      <c r="E198" s="2893"/>
      <c r="F198" s="1929" t="s">
        <v>5316</v>
      </c>
      <c r="G198" s="218" t="s">
        <v>5499</v>
      </c>
      <c r="H198" s="192">
        <v>250</v>
      </c>
      <c r="I198" s="1773" t="s">
        <v>41</v>
      </c>
      <c r="J198" s="34"/>
      <c r="K198" s="34"/>
      <c r="L198" s="147" t="s">
        <v>25</v>
      </c>
      <c r="M198" s="803"/>
      <c r="N198" s="803"/>
      <c r="O198" s="803"/>
      <c r="P198" s="2627" t="s">
        <v>6395</v>
      </c>
      <c r="Q198" s="1612">
        <v>188</v>
      </c>
      <c r="S198" s="34"/>
      <c r="T198" s="34"/>
      <c r="U198" s="147" t="s">
        <v>25</v>
      </c>
      <c r="V198" s="803"/>
      <c r="W198" s="803"/>
      <c r="X198" s="803"/>
    </row>
    <row r="199" spans="1:24" x14ac:dyDescent="0.3">
      <c r="A199" s="2227">
        <v>31</v>
      </c>
      <c r="B199" s="215" t="s">
        <v>5501</v>
      </c>
      <c r="C199" s="2892" t="s">
        <v>5560</v>
      </c>
      <c r="D199" s="2893"/>
      <c r="E199" s="2893"/>
      <c r="F199" s="1929" t="s">
        <v>5316</v>
      </c>
      <c r="G199" s="218" t="s">
        <v>5499</v>
      </c>
      <c r="H199" s="192">
        <v>250</v>
      </c>
      <c r="I199" s="1773" t="s">
        <v>41</v>
      </c>
      <c r="J199" s="34"/>
      <c r="K199" s="34"/>
      <c r="L199" s="147" t="s">
        <v>25</v>
      </c>
      <c r="M199" s="803"/>
      <c r="N199" s="803"/>
      <c r="O199" s="803"/>
      <c r="P199" s="2627" t="s">
        <v>6395</v>
      </c>
      <c r="Q199" s="1612">
        <v>189</v>
      </c>
      <c r="S199" s="34"/>
      <c r="T199" s="34"/>
      <c r="U199" s="147" t="s">
        <v>25</v>
      </c>
      <c r="V199" s="803"/>
      <c r="W199" s="803"/>
      <c r="X199" s="803"/>
    </row>
    <row r="200" spans="1:24" x14ac:dyDescent="0.3">
      <c r="A200" s="2227">
        <v>32</v>
      </c>
      <c r="B200" s="215" t="s">
        <v>5501</v>
      </c>
      <c r="C200" s="2892" t="s">
        <v>5559</v>
      </c>
      <c r="D200" s="2893"/>
      <c r="E200" s="2893"/>
      <c r="F200" s="1929" t="s">
        <v>5316</v>
      </c>
      <c r="G200" s="218" t="s">
        <v>5499</v>
      </c>
      <c r="H200" s="192">
        <v>250</v>
      </c>
      <c r="I200" s="1773" t="s">
        <v>41</v>
      </c>
      <c r="J200" s="34"/>
      <c r="K200" s="34"/>
      <c r="L200" s="147" t="s">
        <v>25</v>
      </c>
      <c r="M200" s="803"/>
      <c r="N200" s="803"/>
      <c r="O200" s="803"/>
      <c r="P200" s="2627" t="s">
        <v>6395</v>
      </c>
      <c r="Q200" s="1612">
        <v>190</v>
      </c>
      <c r="S200" s="34"/>
      <c r="T200" s="34"/>
      <c r="U200" s="147" t="s">
        <v>25</v>
      </c>
      <c r="V200" s="803"/>
      <c r="W200" s="803"/>
      <c r="X200" s="803"/>
    </row>
    <row r="201" spans="1:24" x14ac:dyDescent="0.3">
      <c r="A201" s="2227">
        <v>33</v>
      </c>
      <c r="B201" s="215" t="s">
        <v>5501</v>
      </c>
      <c r="C201" s="2892" t="s">
        <v>5558</v>
      </c>
      <c r="D201" s="2893"/>
      <c r="E201" s="2893"/>
      <c r="F201" s="1929" t="s">
        <v>5316</v>
      </c>
      <c r="G201" s="218" t="s">
        <v>5499</v>
      </c>
      <c r="H201" s="192">
        <v>250</v>
      </c>
      <c r="I201" s="1773" t="s">
        <v>41</v>
      </c>
      <c r="J201" s="34"/>
      <c r="K201" s="34"/>
      <c r="L201" s="147" t="s">
        <v>25</v>
      </c>
      <c r="M201" s="803"/>
      <c r="N201" s="803"/>
      <c r="O201" s="803"/>
      <c r="P201" s="2627" t="s">
        <v>6395</v>
      </c>
      <c r="Q201" s="1612">
        <v>191</v>
      </c>
      <c r="S201" s="34"/>
      <c r="T201" s="34"/>
      <c r="U201" s="147" t="s">
        <v>25</v>
      </c>
      <c r="V201" s="803"/>
      <c r="W201" s="803"/>
      <c r="X201" s="803"/>
    </row>
    <row r="202" spans="1:24" x14ac:dyDescent="0.3">
      <c r="A202" s="2227">
        <v>34</v>
      </c>
      <c r="B202" s="215" t="s">
        <v>5501</v>
      </c>
      <c r="C202" s="2892" t="s">
        <v>5557</v>
      </c>
      <c r="D202" s="2893"/>
      <c r="E202" s="2893"/>
      <c r="F202" s="1929" t="s">
        <v>5316</v>
      </c>
      <c r="G202" s="218" t="s">
        <v>5499</v>
      </c>
      <c r="H202" s="192">
        <v>250</v>
      </c>
      <c r="I202" s="1773" t="s">
        <v>41</v>
      </c>
      <c r="J202" s="34"/>
      <c r="K202" s="34"/>
      <c r="L202" s="147" t="s">
        <v>25</v>
      </c>
      <c r="M202" s="803"/>
      <c r="N202" s="803"/>
      <c r="O202" s="803"/>
      <c r="P202" s="2627" t="s">
        <v>6395</v>
      </c>
      <c r="Q202" s="1612">
        <v>192</v>
      </c>
      <c r="S202" s="34"/>
      <c r="T202" s="34"/>
      <c r="U202" s="147" t="s">
        <v>25</v>
      </c>
      <c r="V202" s="803"/>
      <c r="W202" s="803"/>
      <c r="X202" s="803"/>
    </row>
    <row r="203" spans="1:24" x14ac:dyDescent="0.3">
      <c r="A203" s="2227">
        <v>35</v>
      </c>
      <c r="B203" s="215" t="s">
        <v>5501</v>
      </c>
      <c r="C203" s="2892" t="s">
        <v>5556</v>
      </c>
      <c r="D203" s="2893"/>
      <c r="E203" s="2893"/>
      <c r="F203" s="1929" t="s">
        <v>5316</v>
      </c>
      <c r="G203" s="218" t="s">
        <v>5499</v>
      </c>
      <c r="H203" s="192">
        <v>250</v>
      </c>
      <c r="I203" s="1773" t="s">
        <v>41</v>
      </c>
      <c r="J203" s="34"/>
      <c r="K203" s="34"/>
      <c r="L203" s="147" t="s">
        <v>25</v>
      </c>
      <c r="M203" s="803"/>
      <c r="N203" s="803"/>
      <c r="O203" s="803"/>
      <c r="P203" s="2627" t="s">
        <v>6395</v>
      </c>
      <c r="Q203" s="1612">
        <v>193</v>
      </c>
      <c r="S203" s="34"/>
      <c r="T203" s="34"/>
      <c r="U203" s="147" t="s">
        <v>25</v>
      </c>
      <c r="V203" s="803"/>
      <c r="W203" s="803"/>
      <c r="X203" s="803"/>
    </row>
    <row r="204" spans="1:24" x14ac:dyDescent="0.3">
      <c r="A204" s="2227">
        <v>36</v>
      </c>
      <c r="B204" s="215" t="s">
        <v>5501</v>
      </c>
      <c r="C204" s="2892" t="s">
        <v>5555</v>
      </c>
      <c r="D204" s="2893"/>
      <c r="E204" s="2893"/>
      <c r="F204" s="1929" t="s">
        <v>5316</v>
      </c>
      <c r="G204" s="218" t="s">
        <v>5499</v>
      </c>
      <c r="H204" s="192">
        <v>250</v>
      </c>
      <c r="I204" s="1773" t="s">
        <v>41</v>
      </c>
      <c r="J204" s="34"/>
      <c r="K204" s="34"/>
      <c r="L204" s="147" t="s">
        <v>25</v>
      </c>
      <c r="M204" s="803"/>
      <c r="N204" s="803"/>
      <c r="O204" s="803"/>
      <c r="P204" s="2627" t="s">
        <v>6395</v>
      </c>
      <c r="Q204" s="1612">
        <v>194</v>
      </c>
      <c r="S204" s="34"/>
      <c r="T204" s="34"/>
      <c r="U204" s="147" t="s">
        <v>25</v>
      </c>
      <c r="V204" s="803"/>
      <c r="W204" s="803"/>
      <c r="X204" s="803"/>
    </row>
    <row r="205" spans="1:24" x14ac:dyDescent="0.3">
      <c r="A205" s="2227">
        <v>37</v>
      </c>
      <c r="B205" s="215" t="s">
        <v>5501</v>
      </c>
      <c r="C205" s="2892" t="s">
        <v>5554</v>
      </c>
      <c r="D205" s="2893"/>
      <c r="E205" s="2893"/>
      <c r="F205" s="1929" t="s">
        <v>5316</v>
      </c>
      <c r="G205" s="218" t="s">
        <v>5499</v>
      </c>
      <c r="H205" s="192">
        <v>250</v>
      </c>
      <c r="I205" s="1773" t="s">
        <v>41</v>
      </c>
      <c r="J205" s="34"/>
      <c r="K205" s="34"/>
      <c r="L205" s="147" t="s">
        <v>25</v>
      </c>
      <c r="M205" s="803"/>
      <c r="N205" s="803"/>
      <c r="O205" s="803"/>
      <c r="P205" s="2627" t="s">
        <v>6395</v>
      </c>
      <c r="Q205" s="1612">
        <v>195</v>
      </c>
      <c r="S205" s="34"/>
      <c r="T205" s="34"/>
      <c r="U205" s="147" t="s">
        <v>25</v>
      </c>
      <c r="V205" s="803"/>
      <c r="W205" s="803"/>
      <c r="X205" s="803"/>
    </row>
    <row r="206" spans="1:24" x14ac:dyDescent="0.3">
      <c r="A206" s="2227">
        <v>38</v>
      </c>
      <c r="B206" s="215" t="s">
        <v>5501</v>
      </c>
      <c r="C206" s="2892" t="s">
        <v>5553</v>
      </c>
      <c r="D206" s="2893"/>
      <c r="E206" s="2893"/>
      <c r="F206" s="1929" t="s">
        <v>5316</v>
      </c>
      <c r="G206" s="218" t="s">
        <v>5499</v>
      </c>
      <c r="H206" s="192">
        <v>250</v>
      </c>
      <c r="I206" s="1773" t="s">
        <v>41</v>
      </c>
      <c r="J206" s="34"/>
      <c r="K206" s="34"/>
      <c r="L206" s="147" t="s">
        <v>25</v>
      </c>
      <c r="M206" s="803"/>
      <c r="N206" s="803"/>
      <c r="O206" s="803"/>
      <c r="P206" s="2627" t="s">
        <v>6395</v>
      </c>
      <c r="Q206" s="1612">
        <v>196</v>
      </c>
      <c r="S206" s="34"/>
      <c r="T206" s="34"/>
      <c r="U206" s="147" t="s">
        <v>25</v>
      </c>
      <c r="V206" s="803"/>
      <c r="W206" s="803"/>
      <c r="X206" s="803"/>
    </row>
    <row r="207" spans="1:24" x14ac:dyDescent="0.3">
      <c r="A207" s="2227">
        <v>39</v>
      </c>
      <c r="B207" s="215" t="s">
        <v>5501</v>
      </c>
      <c r="C207" s="2892" t="s">
        <v>5552</v>
      </c>
      <c r="D207" s="2893"/>
      <c r="E207" s="2893"/>
      <c r="F207" s="1929" t="s">
        <v>5316</v>
      </c>
      <c r="G207" s="218" t="s">
        <v>5499</v>
      </c>
      <c r="H207" s="192">
        <v>250</v>
      </c>
      <c r="I207" s="1773" t="s">
        <v>41</v>
      </c>
      <c r="J207" s="34"/>
      <c r="K207" s="34"/>
      <c r="L207" s="147" t="s">
        <v>25</v>
      </c>
      <c r="M207" s="803"/>
      <c r="N207" s="803"/>
      <c r="O207" s="803"/>
      <c r="P207" s="2627" t="s">
        <v>6395</v>
      </c>
      <c r="Q207" s="1612">
        <v>197</v>
      </c>
      <c r="S207" s="34"/>
      <c r="T207" s="34"/>
      <c r="U207" s="147" t="s">
        <v>25</v>
      </c>
      <c r="V207" s="803"/>
      <c r="W207" s="803"/>
      <c r="X207" s="803"/>
    </row>
    <row r="208" spans="1:24" x14ac:dyDescent="0.3">
      <c r="A208" s="2227">
        <v>40</v>
      </c>
      <c r="B208" s="215" t="s">
        <v>5501</v>
      </c>
      <c r="C208" s="2892" t="s">
        <v>5551</v>
      </c>
      <c r="D208" s="2893"/>
      <c r="E208" s="2893"/>
      <c r="F208" s="1929" t="s">
        <v>5316</v>
      </c>
      <c r="G208" s="218" t="s">
        <v>5499</v>
      </c>
      <c r="H208" s="192">
        <v>250</v>
      </c>
      <c r="I208" s="1773" t="s">
        <v>41</v>
      </c>
      <c r="J208" s="34"/>
      <c r="K208" s="34"/>
      <c r="L208" s="147" t="s">
        <v>25</v>
      </c>
      <c r="M208" s="803"/>
      <c r="N208" s="803"/>
      <c r="O208" s="803"/>
      <c r="P208" s="2627" t="s">
        <v>6395</v>
      </c>
      <c r="Q208" s="1612">
        <v>198</v>
      </c>
      <c r="S208" s="34"/>
      <c r="T208" s="34"/>
      <c r="U208" s="147" t="s">
        <v>25</v>
      </c>
      <c r="V208" s="803"/>
      <c r="W208" s="803"/>
      <c r="X208" s="803"/>
    </row>
    <row r="209" spans="1:24" x14ac:dyDescent="0.3">
      <c r="A209" s="2227">
        <v>41</v>
      </c>
      <c r="B209" s="215" t="s">
        <v>5501</v>
      </c>
      <c r="C209" s="2892" t="s">
        <v>5550</v>
      </c>
      <c r="D209" s="2893"/>
      <c r="E209" s="2893"/>
      <c r="F209" s="1929" t="s">
        <v>5316</v>
      </c>
      <c r="G209" s="218" t="s">
        <v>5499</v>
      </c>
      <c r="H209" s="192">
        <v>250</v>
      </c>
      <c r="I209" s="1773" t="s">
        <v>41</v>
      </c>
      <c r="J209" s="34"/>
      <c r="K209" s="34"/>
      <c r="L209" s="147" t="s">
        <v>25</v>
      </c>
      <c r="M209" s="803"/>
      <c r="N209" s="803"/>
      <c r="O209" s="803"/>
      <c r="P209" s="2627" t="s">
        <v>6395</v>
      </c>
      <c r="Q209" s="1612">
        <v>199</v>
      </c>
      <c r="S209" s="34"/>
      <c r="T209" s="34"/>
      <c r="U209" s="147" t="s">
        <v>25</v>
      </c>
      <c r="V209" s="803"/>
      <c r="W209" s="803"/>
      <c r="X209" s="803"/>
    </row>
    <row r="210" spans="1:24" x14ac:dyDescent="0.3">
      <c r="A210" s="2227">
        <v>42</v>
      </c>
      <c r="B210" s="215" t="s">
        <v>5501</v>
      </c>
      <c r="C210" s="2892" t="s">
        <v>5549</v>
      </c>
      <c r="D210" s="2893"/>
      <c r="E210" s="2893"/>
      <c r="F210" s="1929" t="s">
        <v>5316</v>
      </c>
      <c r="G210" s="218" t="s">
        <v>5499</v>
      </c>
      <c r="H210" s="192">
        <v>250</v>
      </c>
      <c r="I210" s="1773" t="s">
        <v>41</v>
      </c>
      <c r="J210" s="34"/>
      <c r="K210" s="34"/>
      <c r="L210" s="147" t="s">
        <v>25</v>
      </c>
      <c r="M210" s="803"/>
      <c r="N210" s="803"/>
      <c r="O210" s="803"/>
      <c r="P210" s="2627" t="s">
        <v>6395</v>
      </c>
      <c r="Q210" s="1612">
        <v>200</v>
      </c>
      <c r="S210" s="34"/>
      <c r="T210" s="34"/>
      <c r="U210" s="147" t="s">
        <v>25</v>
      </c>
      <c r="V210" s="803"/>
      <c r="W210" s="803"/>
      <c r="X210" s="803"/>
    </row>
    <row r="211" spans="1:24" x14ac:dyDescent="0.3">
      <c r="A211" s="2227">
        <v>43</v>
      </c>
      <c r="B211" s="215" t="s">
        <v>5501</v>
      </c>
      <c r="C211" s="2892" t="s">
        <v>5548</v>
      </c>
      <c r="D211" s="2893"/>
      <c r="E211" s="2893"/>
      <c r="F211" s="1929" t="s">
        <v>5316</v>
      </c>
      <c r="G211" s="218" t="s">
        <v>5499</v>
      </c>
      <c r="H211" s="192">
        <v>250</v>
      </c>
      <c r="I211" s="1773" t="s">
        <v>41</v>
      </c>
      <c r="J211" s="34"/>
      <c r="K211" s="34"/>
      <c r="L211" s="147" t="s">
        <v>25</v>
      </c>
      <c r="M211" s="147"/>
      <c r="N211" s="803"/>
      <c r="O211" s="803"/>
      <c r="P211" s="2627" t="s">
        <v>6395</v>
      </c>
      <c r="Q211" s="1612">
        <v>201</v>
      </c>
      <c r="S211" s="34"/>
      <c r="T211" s="34"/>
      <c r="U211" s="147" t="s">
        <v>25</v>
      </c>
      <c r="V211" s="147"/>
      <c r="W211" s="803"/>
      <c r="X211" s="803"/>
    </row>
    <row r="212" spans="1:24" x14ac:dyDescent="0.3">
      <c r="A212" s="2227">
        <v>44</v>
      </c>
      <c r="B212" s="215" t="s">
        <v>5501</v>
      </c>
      <c r="C212" s="2892" t="s">
        <v>5547</v>
      </c>
      <c r="D212" s="2893"/>
      <c r="E212" s="2893"/>
      <c r="F212" s="1929" t="s">
        <v>5316</v>
      </c>
      <c r="G212" s="218" t="s">
        <v>5499</v>
      </c>
      <c r="H212" s="192">
        <v>250</v>
      </c>
      <c r="I212" s="1773" t="s">
        <v>41</v>
      </c>
      <c r="J212" s="34"/>
      <c r="K212" s="34"/>
      <c r="L212" s="147" t="s">
        <v>25</v>
      </c>
      <c r="M212" s="147"/>
      <c r="N212" s="803"/>
      <c r="O212" s="803"/>
      <c r="P212" s="2627" t="s">
        <v>6395</v>
      </c>
      <c r="Q212" s="1612">
        <v>202</v>
      </c>
      <c r="S212" s="34"/>
      <c r="T212" s="34"/>
      <c r="U212" s="147" t="s">
        <v>25</v>
      </c>
      <c r="V212" s="147"/>
      <c r="W212" s="803"/>
      <c r="X212" s="803"/>
    </row>
    <row r="213" spans="1:24" x14ac:dyDescent="0.3">
      <c r="A213" s="2227">
        <v>45</v>
      </c>
      <c r="B213" s="215" t="s">
        <v>5501</v>
      </c>
      <c r="C213" s="2892" t="s">
        <v>5546</v>
      </c>
      <c r="D213" s="2893"/>
      <c r="E213" s="2893"/>
      <c r="F213" s="1929" t="s">
        <v>5316</v>
      </c>
      <c r="G213" s="218" t="s">
        <v>5499</v>
      </c>
      <c r="H213" s="192">
        <v>250</v>
      </c>
      <c r="I213" s="1773" t="s">
        <v>41</v>
      </c>
      <c r="J213" s="34"/>
      <c r="K213" s="34"/>
      <c r="L213" s="147" t="s">
        <v>25</v>
      </c>
      <c r="M213" s="147"/>
      <c r="N213" s="803"/>
      <c r="O213" s="803"/>
      <c r="P213" s="2627" t="s">
        <v>6395</v>
      </c>
      <c r="Q213" s="1612">
        <v>203</v>
      </c>
      <c r="S213" s="34"/>
      <c r="T213" s="34"/>
      <c r="U213" s="147" t="s">
        <v>25</v>
      </c>
      <c r="V213" s="147"/>
      <c r="W213" s="803"/>
      <c r="X213" s="803"/>
    </row>
    <row r="214" spans="1:24" x14ac:dyDescent="0.3">
      <c r="A214" s="2227">
        <v>46</v>
      </c>
      <c r="B214" s="215" t="s">
        <v>5501</v>
      </c>
      <c r="C214" s="2892" t="s">
        <v>5545</v>
      </c>
      <c r="D214" s="2893"/>
      <c r="E214" s="2893"/>
      <c r="F214" s="1929" t="s">
        <v>5316</v>
      </c>
      <c r="G214" s="218" t="s">
        <v>5499</v>
      </c>
      <c r="H214" s="192">
        <v>250</v>
      </c>
      <c r="I214" s="1773" t="s">
        <v>41</v>
      </c>
      <c r="J214" s="34"/>
      <c r="K214" s="34"/>
      <c r="L214" s="147" t="s">
        <v>25</v>
      </c>
      <c r="M214" s="147"/>
      <c r="N214" s="803"/>
      <c r="O214" s="803"/>
      <c r="P214" s="2627" t="s">
        <v>6395</v>
      </c>
      <c r="Q214" s="1612">
        <v>204</v>
      </c>
      <c r="S214" s="34"/>
      <c r="T214" s="34"/>
      <c r="U214" s="147" t="s">
        <v>25</v>
      </c>
      <c r="V214" s="147"/>
      <c r="W214" s="803"/>
      <c r="X214" s="803"/>
    </row>
    <row r="215" spans="1:24" x14ac:dyDescent="0.3">
      <c r="A215" s="2227">
        <v>47</v>
      </c>
      <c r="B215" s="215" t="s">
        <v>5501</v>
      </c>
      <c r="C215" s="2892" t="s">
        <v>5544</v>
      </c>
      <c r="D215" s="2893"/>
      <c r="E215" s="2893"/>
      <c r="F215" s="1929" t="s">
        <v>5316</v>
      </c>
      <c r="G215" s="218" t="s">
        <v>5499</v>
      </c>
      <c r="H215" s="192">
        <v>250</v>
      </c>
      <c r="I215" s="1773" t="s">
        <v>41</v>
      </c>
      <c r="J215" s="34"/>
      <c r="K215" s="34"/>
      <c r="L215" s="147" t="s">
        <v>25</v>
      </c>
      <c r="M215" s="147"/>
      <c r="N215" s="803"/>
      <c r="O215" s="803"/>
      <c r="P215" s="2627" t="s">
        <v>6395</v>
      </c>
      <c r="Q215" s="1612">
        <v>205</v>
      </c>
      <c r="S215" s="34"/>
      <c r="T215" s="34"/>
      <c r="U215" s="147" t="s">
        <v>25</v>
      </c>
      <c r="V215" s="147"/>
      <c r="W215" s="803"/>
      <c r="X215" s="803"/>
    </row>
    <row r="216" spans="1:24" x14ac:dyDescent="0.3">
      <c r="A216" s="2227">
        <v>48</v>
      </c>
      <c r="B216" s="215" t="s">
        <v>5501</v>
      </c>
      <c r="C216" s="2892" t="s">
        <v>5543</v>
      </c>
      <c r="D216" s="2893"/>
      <c r="E216" s="2893"/>
      <c r="F216" s="1929" t="s">
        <v>5316</v>
      </c>
      <c r="G216" s="218" t="s">
        <v>5499</v>
      </c>
      <c r="H216" s="192">
        <v>250</v>
      </c>
      <c r="I216" s="1773" t="s">
        <v>41</v>
      </c>
      <c r="J216" s="34"/>
      <c r="K216" s="34"/>
      <c r="L216" s="147" t="s">
        <v>25</v>
      </c>
      <c r="M216" s="147"/>
      <c r="N216" s="803"/>
      <c r="O216" s="803"/>
      <c r="P216" s="2627" t="s">
        <v>6395</v>
      </c>
      <c r="Q216" s="1612">
        <v>206</v>
      </c>
      <c r="S216" s="34"/>
      <c r="T216" s="34"/>
      <c r="U216" s="147" t="s">
        <v>25</v>
      </c>
      <c r="V216" s="147"/>
      <c r="W216" s="803"/>
      <c r="X216" s="803"/>
    </row>
    <row r="217" spans="1:24" x14ac:dyDescent="0.3">
      <c r="A217" s="2227">
        <v>49</v>
      </c>
      <c r="B217" s="215" t="s">
        <v>5501</v>
      </c>
      <c r="C217" s="2892" t="s">
        <v>5542</v>
      </c>
      <c r="D217" s="2893"/>
      <c r="E217" s="2893"/>
      <c r="F217" s="1929" t="s">
        <v>5316</v>
      </c>
      <c r="G217" s="218" t="s">
        <v>5499</v>
      </c>
      <c r="H217" s="192">
        <v>250</v>
      </c>
      <c r="I217" s="1773" t="s">
        <v>41</v>
      </c>
      <c r="J217" s="34"/>
      <c r="K217" s="34"/>
      <c r="L217" s="147" t="s">
        <v>25</v>
      </c>
      <c r="M217" s="147"/>
      <c r="N217" s="803"/>
      <c r="O217" s="803"/>
      <c r="P217" s="2627" t="s">
        <v>6395</v>
      </c>
      <c r="Q217" s="1612">
        <v>207</v>
      </c>
      <c r="S217" s="34"/>
      <c r="T217" s="34"/>
      <c r="U217" s="147" t="s">
        <v>25</v>
      </c>
      <c r="V217" s="147"/>
      <c r="W217" s="803"/>
      <c r="X217" s="803"/>
    </row>
    <row r="218" spans="1:24" x14ac:dyDescent="0.3">
      <c r="A218" s="2227">
        <v>50</v>
      </c>
      <c r="B218" s="215" t="s">
        <v>5501</v>
      </c>
      <c r="C218" s="2892" t="s">
        <v>5541</v>
      </c>
      <c r="D218" s="2893"/>
      <c r="E218" s="2893"/>
      <c r="F218" s="1929" t="s">
        <v>5316</v>
      </c>
      <c r="G218" s="218" t="s">
        <v>5499</v>
      </c>
      <c r="H218" s="192">
        <v>250</v>
      </c>
      <c r="I218" s="1773" t="s">
        <v>41</v>
      </c>
      <c r="J218" s="34"/>
      <c r="K218" s="34"/>
      <c r="L218" s="147" t="s">
        <v>25</v>
      </c>
      <c r="M218" s="803"/>
      <c r="N218" s="803"/>
      <c r="O218" s="803"/>
      <c r="P218" s="2627" t="s">
        <v>6395</v>
      </c>
      <c r="Q218" s="1612">
        <v>208</v>
      </c>
      <c r="S218" s="34"/>
      <c r="T218" s="34"/>
      <c r="U218" s="147" t="s">
        <v>25</v>
      </c>
      <c r="V218" s="803"/>
      <c r="W218" s="803"/>
      <c r="X218" s="803"/>
    </row>
    <row r="219" spans="1:24" x14ac:dyDescent="0.3">
      <c r="A219" s="2227">
        <v>51</v>
      </c>
      <c r="B219" s="215" t="s">
        <v>5501</v>
      </c>
      <c r="C219" s="2892" t="s">
        <v>5540</v>
      </c>
      <c r="D219" s="2893"/>
      <c r="E219" s="2893"/>
      <c r="F219" s="1929" t="s">
        <v>5316</v>
      </c>
      <c r="G219" s="218" t="s">
        <v>5499</v>
      </c>
      <c r="H219" s="192">
        <v>250</v>
      </c>
      <c r="I219" s="1773" t="s">
        <v>41</v>
      </c>
      <c r="J219" s="34"/>
      <c r="K219" s="34"/>
      <c r="L219" s="147" t="s">
        <v>25</v>
      </c>
      <c r="M219" s="803"/>
      <c r="N219" s="803"/>
      <c r="O219" s="803"/>
      <c r="P219" s="2627" t="s">
        <v>6395</v>
      </c>
      <c r="Q219" s="1612">
        <v>209</v>
      </c>
      <c r="S219" s="34"/>
      <c r="T219" s="34"/>
      <c r="U219" s="147" t="s">
        <v>25</v>
      </c>
      <c r="V219" s="803"/>
      <c r="W219" s="803"/>
      <c r="X219" s="803"/>
    </row>
    <row r="220" spans="1:24" x14ac:dyDescent="0.3">
      <c r="A220" s="2227">
        <v>52</v>
      </c>
      <c r="B220" s="215" t="s">
        <v>5501</v>
      </c>
      <c r="C220" s="2892" t="s">
        <v>5539</v>
      </c>
      <c r="D220" s="2893"/>
      <c r="E220" s="2893"/>
      <c r="F220" s="1929" t="s">
        <v>5316</v>
      </c>
      <c r="G220" s="218" t="s">
        <v>5499</v>
      </c>
      <c r="H220" s="192">
        <v>250</v>
      </c>
      <c r="I220" s="1773" t="s">
        <v>41</v>
      </c>
      <c r="J220" s="34"/>
      <c r="K220" s="34"/>
      <c r="L220" s="147" t="s">
        <v>25</v>
      </c>
      <c r="M220" s="803"/>
      <c r="N220" s="803"/>
      <c r="O220" s="803"/>
      <c r="P220" s="2627" t="s">
        <v>6395</v>
      </c>
      <c r="Q220" s="1612">
        <v>210</v>
      </c>
      <c r="S220" s="34"/>
      <c r="T220" s="34"/>
      <c r="U220" s="147" t="s">
        <v>25</v>
      </c>
      <c r="V220" s="803"/>
      <c r="W220" s="803"/>
      <c r="X220" s="803"/>
    </row>
    <row r="221" spans="1:24" x14ac:dyDescent="0.3">
      <c r="A221" s="2227">
        <v>53</v>
      </c>
      <c r="B221" s="215" t="s">
        <v>5501</v>
      </c>
      <c r="C221" s="2892" t="s">
        <v>5538</v>
      </c>
      <c r="D221" s="2893"/>
      <c r="E221" s="2893"/>
      <c r="F221" s="1929" t="s">
        <v>5316</v>
      </c>
      <c r="G221" s="218" t="s">
        <v>5499</v>
      </c>
      <c r="H221" s="192">
        <v>250</v>
      </c>
      <c r="I221" s="1773" t="s">
        <v>41</v>
      </c>
      <c r="J221" s="34"/>
      <c r="K221" s="34"/>
      <c r="L221" s="147" t="s">
        <v>25</v>
      </c>
      <c r="M221" s="803"/>
      <c r="N221" s="803"/>
      <c r="O221" s="803"/>
      <c r="P221" s="2627" t="s">
        <v>6395</v>
      </c>
      <c r="Q221" s="1612">
        <v>211</v>
      </c>
      <c r="S221" s="34"/>
      <c r="T221" s="34"/>
      <c r="U221" s="147" t="s">
        <v>25</v>
      </c>
      <c r="V221" s="803"/>
      <c r="W221" s="803"/>
      <c r="X221" s="803"/>
    </row>
    <row r="222" spans="1:24" x14ac:dyDescent="0.3">
      <c r="A222" s="2227">
        <v>54</v>
      </c>
      <c r="B222" s="215" t="s">
        <v>5501</v>
      </c>
      <c r="C222" s="2892" t="s">
        <v>5537</v>
      </c>
      <c r="D222" s="2893"/>
      <c r="E222" s="2893"/>
      <c r="F222" s="1929" t="s">
        <v>5316</v>
      </c>
      <c r="G222" s="218" t="s">
        <v>5499</v>
      </c>
      <c r="H222" s="192">
        <v>250</v>
      </c>
      <c r="I222" s="1773" t="s">
        <v>41</v>
      </c>
      <c r="J222" s="34"/>
      <c r="K222" s="34"/>
      <c r="L222" s="147" t="s">
        <v>25</v>
      </c>
      <c r="M222" s="803"/>
      <c r="N222" s="803"/>
      <c r="O222" s="803"/>
      <c r="P222" s="2627" t="s">
        <v>6395</v>
      </c>
      <c r="Q222" s="1612">
        <v>212</v>
      </c>
      <c r="S222" s="34"/>
      <c r="T222" s="34"/>
      <c r="U222" s="147" t="s">
        <v>25</v>
      </c>
      <c r="V222" s="803"/>
      <c r="W222" s="803"/>
      <c r="X222" s="803"/>
    </row>
    <row r="223" spans="1:24" x14ac:dyDescent="0.3">
      <c r="A223" s="2227">
        <v>55</v>
      </c>
      <c r="B223" s="215" t="s">
        <v>5501</v>
      </c>
      <c r="C223" s="2892" t="s">
        <v>5536</v>
      </c>
      <c r="D223" s="2893"/>
      <c r="E223" s="2893"/>
      <c r="F223" s="1929" t="s">
        <v>5316</v>
      </c>
      <c r="G223" s="218" t="s">
        <v>5499</v>
      </c>
      <c r="H223" s="192">
        <v>250</v>
      </c>
      <c r="I223" s="1773" t="s">
        <v>41</v>
      </c>
      <c r="J223" s="34"/>
      <c r="K223" s="34"/>
      <c r="L223" s="147" t="s">
        <v>25</v>
      </c>
      <c r="M223" s="803"/>
      <c r="N223" s="803"/>
      <c r="O223" s="803"/>
      <c r="P223" s="2627" t="s">
        <v>6395</v>
      </c>
      <c r="Q223" s="1612">
        <v>213</v>
      </c>
      <c r="S223" s="34"/>
      <c r="T223" s="34"/>
      <c r="U223" s="147" t="s">
        <v>25</v>
      </c>
      <c r="V223" s="803"/>
      <c r="W223" s="803"/>
      <c r="X223" s="803"/>
    </row>
    <row r="224" spans="1:24" x14ac:dyDescent="0.3">
      <c r="A224" s="2227">
        <v>56</v>
      </c>
      <c r="B224" s="215" t="s">
        <v>5501</v>
      </c>
      <c r="C224" s="2892" t="s">
        <v>5535</v>
      </c>
      <c r="D224" s="2893"/>
      <c r="E224" s="2893"/>
      <c r="F224" s="1929" t="s">
        <v>5316</v>
      </c>
      <c r="G224" s="218" t="s">
        <v>5499</v>
      </c>
      <c r="H224" s="192">
        <v>250</v>
      </c>
      <c r="I224" s="1773" t="s">
        <v>41</v>
      </c>
      <c r="J224" s="34"/>
      <c r="K224" s="34"/>
      <c r="L224" s="147" t="s">
        <v>25</v>
      </c>
      <c r="M224" s="803"/>
      <c r="N224" s="803"/>
      <c r="O224" s="803"/>
      <c r="P224" s="2627" t="s">
        <v>6395</v>
      </c>
      <c r="Q224" s="1612">
        <v>214</v>
      </c>
      <c r="S224" s="34"/>
      <c r="T224" s="34"/>
      <c r="U224" s="147" t="s">
        <v>25</v>
      </c>
      <c r="V224" s="803"/>
      <c r="W224" s="803"/>
      <c r="X224" s="803"/>
    </row>
    <row r="225" spans="1:24" x14ac:dyDescent="0.3">
      <c r="A225" s="2227">
        <v>57</v>
      </c>
      <c r="B225" s="215" t="s">
        <v>5501</v>
      </c>
      <c r="C225" s="2892" t="s">
        <v>5534</v>
      </c>
      <c r="D225" s="2893"/>
      <c r="E225" s="2893"/>
      <c r="F225" s="1929" t="s">
        <v>5316</v>
      </c>
      <c r="G225" s="218" t="s">
        <v>5499</v>
      </c>
      <c r="H225" s="192">
        <v>250</v>
      </c>
      <c r="I225" s="1773" t="s">
        <v>41</v>
      </c>
      <c r="J225" s="34"/>
      <c r="K225" s="34"/>
      <c r="L225" s="147" t="s">
        <v>25</v>
      </c>
      <c r="M225" s="803"/>
      <c r="N225" s="803"/>
      <c r="O225" s="803"/>
      <c r="P225" s="2627" t="s">
        <v>6395</v>
      </c>
      <c r="Q225" s="1612">
        <v>215</v>
      </c>
      <c r="S225" s="34"/>
      <c r="T225" s="34"/>
      <c r="U225" s="147" t="s">
        <v>25</v>
      </c>
      <c r="V225" s="803"/>
      <c r="W225" s="803"/>
      <c r="X225" s="803"/>
    </row>
    <row r="226" spans="1:24" x14ac:dyDescent="0.3">
      <c r="A226" s="2227">
        <v>58</v>
      </c>
      <c r="B226" s="215" t="s">
        <v>5501</v>
      </c>
      <c r="C226" s="2892" t="s">
        <v>5533</v>
      </c>
      <c r="D226" s="2893"/>
      <c r="E226" s="2893"/>
      <c r="F226" s="1929" t="s">
        <v>5316</v>
      </c>
      <c r="G226" s="218" t="s">
        <v>5499</v>
      </c>
      <c r="H226" s="192">
        <v>250</v>
      </c>
      <c r="I226" s="1773" t="s">
        <v>41</v>
      </c>
      <c r="J226" s="34"/>
      <c r="K226" s="34"/>
      <c r="L226" s="147" t="s">
        <v>25</v>
      </c>
      <c r="M226" s="803"/>
      <c r="N226" s="803"/>
      <c r="O226" s="803"/>
      <c r="P226" s="2627" t="s">
        <v>6395</v>
      </c>
      <c r="Q226" s="1612">
        <v>216</v>
      </c>
      <c r="S226" s="34"/>
      <c r="T226" s="34"/>
      <c r="U226" s="147" t="s">
        <v>25</v>
      </c>
      <c r="V226" s="803"/>
      <c r="W226" s="803"/>
      <c r="X226" s="803"/>
    </row>
    <row r="227" spans="1:24" x14ac:dyDescent="0.3">
      <c r="A227" s="2227">
        <v>59</v>
      </c>
      <c r="B227" s="215" t="s">
        <v>5501</v>
      </c>
      <c r="C227" s="2892" t="s">
        <v>5532</v>
      </c>
      <c r="D227" s="2893"/>
      <c r="E227" s="2893"/>
      <c r="F227" s="1929" t="s">
        <v>5316</v>
      </c>
      <c r="G227" s="218" t="s">
        <v>5499</v>
      </c>
      <c r="H227" s="192">
        <v>250</v>
      </c>
      <c r="I227" s="1773" t="s">
        <v>41</v>
      </c>
      <c r="J227" s="34"/>
      <c r="K227" s="34"/>
      <c r="L227" s="147" t="s">
        <v>25</v>
      </c>
      <c r="M227" s="803"/>
      <c r="N227" s="803"/>
      <c r="O227" s="803"/>
      <c r="P227" s="2627" t="s">
        <v>6395</v>
      </c>
      <c r="Q227" s="1612">
        <v>217</v>
      </c>
      <c r="S227" s="34"/>
      <c r="T227" s="34"/>
      <c r="U227" s="147" t="s">
        <v>25</v>
      </c>
      <c r="V227" s="803"/>
      <c r="W227" s="803"/>
      <c r="X227" s="803"/>
    </row>
    <row r="228" spans="1:24" x14ac:dyDescent="0.3">
      <c r="A228" s="2227">
        <v>60</v>
      </c>
      <c r="B228" s="215" t="s">
        <v>5501</v>
      </c>
      <c r="C228" s="2892" t="s">
        <v>5531</v>
      </c>
      <c r="D228" s="2893"/>
      <c r="E228" s="2893"/>
      <c r="F228" s="1929" t="s">
        <v>5316</v>
      </c>
      <c r="G228" s="218" t="s">
        <v>5499</v>
      </c>
      <c r="H228" s="192">
        <v>250</v>
      </c>
      <c r="I228" s="1773" t="s">
        <v>41</v>
      </c>
      <c r="J228" s="34"/>
      <c r="K228" s="34"/>
      <c r="L228" s="147" t="s">
        <v>25</v>
      </c>
      <c r="M228" s="803"/>
      <c r="N228" s="803"/>
      <c r="O228" s="803"/>
      <c r="P228" s="2627" t="s">
        <v>6395</v>
      </c>
      <c r="Q228" s="1612">
        <v>218</v>
      </c>
      <c r="S228" s="34"/>
      <c r="T228" s="34"/>
      <c r="U228" s="147" t="s">
        <v>25</v>
      </c>
      <c r="V228" s="803"/>
      <c r="W228" s="803"/>
      <c r="X228" s="803"/>
    </row>
    <row r="229" spans="1:24" x14ac:dyDescent="0.3">
      <c r="A229" s="2227">
        <v>61</v>
      </c>
      <c r="B229" s="215" t="s">
        <v>5501</v>
      </c>
      <c r="C229" s="2892" t="s">
        <v>5530</v>
      </c>
      <c r="D229" s="2893"/>
      <c r="E229" s="2893"/>
      <c r="F229" s="1929" t="s">
        <v>5316</v>
      </c>
      <c r="G229" s="218" t="s">
        <v>5499</v>
      </c>
      <c r="H229" s="192">
        <v>250</v>
      </c>
      <c r="I229" s="1773" t="s">
        <v>41</v>
      </c>
      <c r="J229" s="34"/>
      <c r="K229" s="34"/>
      <c r="L229" s="147" t="s">
        <v>25</v>
      </c>
      <c r="M229" s="803"/>
      <c r="N229" s="803"/>
      <c r="O229" s="803"/>
      <c r="P229" s="2627" t="s">
        <v>6395</v>
      </c>
      <c r="Q229" s="1612">
        <v>219</v>
      </c>
      <c r="S229" s="34"/>
      <c r="T229" s="34"/>
      <c r="U229" s="147" t="s">
        <v>25</v>
      </c>
      <c r="V229" s="803"/>
      <c r="W229" s="803"/>
      <c r="X229" s="803"/>
    </row>
    <row r="230" spans="1:24" x14ac:dyDescent="0.3">
      <c r="A230" s="2227">
        <v>62</v>
      </c>
      <c r="B230" s="215" t="s">
        <v>5501</v>
      </c>
      <c r="C230" s="2892" t="s">
        <v>5529</v>
      </c>
      <c r="D230" s="2893"/>
      <c r="E230" s="2893"/>
      <c r="F230" s="1929" t="s">
        <v>5316</v>
      </c>
      <c r="G230" s="218" t="s">
        <v>5499</v>
      </c>
      <c r="H230" s="192">
        <v>250</v>
      </c>
      <c r="I230" s="1773" t="s">
        <v>41</v>
      </c>
      <c r="J230" s="34"/>
      <c r="K230" s="34"/>
      <c r="L230" s="147" t="s">
        <v>25</v>
      </c>
      <c r="M230" s="803"/>
      <c r="N230" s="803"/>
      <c r="O230" s="803"/>
      <c r="P230" s="2627" t="s">
        <v>6395</v>
      </c>
      <c r="Q230" s="1612">
        <v>220</v>
      </c>
      <c r="S230" s="34"/>
      <c r="T230" s="34"/>
      <c r="U230" s="147" t="s">
        <v>25</v>
      </c>
      <c r="V230" s="803"/>
      <c r="W230" s="803"/>
      <c r="X230" s="803"/>
    </row>
    <row r="231" spans="1:24" x14ac:dyDescent="0.3">
      <c r="A231" s="2227">
        <v>63</v>
      </c>
      <c r="B231" s="215" t="s">
        <v>5501</v>
      </c>
      <c r="C231" s="2892" t="s">
        <v>5528</v>
      </c>
      <c r="D231" s="2893"/>
      <c r="E231" s="2893"/>
      <c r="F231" s="1929" t="s">
        <v>5316</v>
      </c>
      <c r="G231" s="218" t="s">
        <v>5499</v>
      </c>
      <c r="H231" s="192">
        <v>250</v>
      </c>
      <c r="I231" s="1773" t="s">
        <v>41</v>
      </c>
      <c r="J231" s="34"/>
      <c r="K231" s="34"/>
      <c r="L231" s="147" t="s">
        <v>25</v>
      </c>
      <c r="M231" s="803"/>
      <c r="N231" s="803"/>
      <c r="O231" s="803"/>
      <c r="P231" s="2627" t="s">
        <v>6395</v>
      </c>
      <c r="Q231" s="1612">
        <v>221</v>
      </c>
      <c r="S231" s="34"/>
      <c r="T231" s="34"/>
      <c r="U231" s="147" t="s">
        <v>25</v>
      </c>
      <c r="V231" s="803"/>
      <c r="W231" s="803"/>
      <c r="X231" s="803"/>
    </row>
    <row r="232" spans="1:24" x14ac:dyDescent="0.3">
      <c r="A232" s="2227">
        <v>64</v>
      </c>
      <c r="B232" s="215" t="s">
        <v>5501</v>
      </c>
      <c r="C232" s="2892" t="s">
        <v>5527</v>
      </c>
      <c r="D232" s="2893"/>
      <c r="E232" s="2893"/>
      <c r="F232" s="1929" t="s">
        <v>5316</v>
      </c>
      <c r="G232" s="218" t="s">
        <v>5499</v>
      </c>
      <c r="H232" s="192">
        <v>250</v>
      </c>
      <c r="I232" s="1773" t="s">
        <v>41</v>
      </c>
      <c r="J232" s="34"/>
      <c r="K232" s="34"/>
      <c r="L232" s="147" t="s">
        <v>25</v>
      </c>
      <c r="M232" s="147"/>
      <c r="N232" s="803"/>
      <c r="O232" s="803"/>
      <c r="P232" s="2627" t="s">
        <v>6395</v>
      </c>
      <c r="Q232" s="1612">
        <v>222</v>
      </c>
      <c r="S232" s="34"/>
      <c r="T232" s="34"/>
      <c r="U232" s="147" t="s">
        <v>25</v>
      </c>
      <c r="V232" s="147"/>
      <c r="W232" s="803"/>
      <c r="X232" s="803"/>
    </row>
    <row r="233" spans="1:24" x14ac:dyDescent="0.3">
      <c r="A233" s="2227">
        <v>65</v>
      </c>
      <c r="B233" s="215" t="s">
        <v>5501</v>
      </c>
      <c r="C233" s="2892" t="s">
        <v>5526</v>
      </c>
      <c r="D233" s="2893"/>
      <c r="E233" s="2893"/>
      <c r="F233" s="1929" t="s">
        <v>5316</v>
      </c>
      <c r="G233" s="218" t="s">
        <v>5499</v>
      </c>
      <c r="H233" s="192">
        <v>250</v>
      </c>
      <c r="I233" s="1773" t="s">
        <v>41</v>
      </c>
      <c r="J233" s="34"/>
      <c r="K233" s="34"/>
      <c r="L233" s="147" t="s">
        <v>25</v>
      </c>
      <c r="M233" s="147"/>
      <c r="N233" s="803"/>
      <c r="O233" s="803"/>
      <c r="P233" s="2627" t="s">
        <v>6395</v>
      </c>
      <c r="Q233" s="1612">
        <v>223</v>
      </c>
      <c r="S233" s="34"/>
      <c r="T233" s="34"/>
      <c r="U233" s="147" t="s">
        <v>25</v>
      </c>
      <c r="V233" s="147"/>
      <c r="W233" s="803"/>
      <c r="X233" s="803"/>
    </row>
    <row r="234" spans="1:24" x14ac:dyDescent="0.3">
      <c r="A234" s="2227">
        <v>66</v>
      </c>
      <c r="B234" s="215" t="s">
        <v>5501</v>
      </c>
      <c r="C234" s="2892" t="s">
        <v>5525</v>
      </c>
      <c r="D234" s="2893"/>
      <c r="E234" s="2893"/>
      <c r="F234" s="1929" t="s">
        <v>5316</v>
      </c>
      <c r="G234" s="218" t="s">
        <v>5499</v>
      </c>
      <c r="H234" s="192">
        <v>250</v>
      </c>
      <c r="I234" s="1773" t="s">
        <v>41</v>
      </c>
      <c r="J234" s="34"/>
      <c r="K234" s="34"/>
      <c r="L234" s="147" t="s">
        <v>25</v>
      </c>
      <c r="M234" s="147"/>
      <c r="N234" s="803"/>
      <c r="O234" s="803"/>
      <c r="P234" s="2627" t="s">
        <v>6395</v>
      </c>
      <c r="Q234" s="1612">
        <v>224</v>
      </c>
      <c r="S234" s="34"/>
      <c r="T234" s="34"/>
      <c r="U234" s="147" t="s">
        <v>25</v>
      </c>
      <c r="V234" s="147"/>
      <c r="W234" s="803"/>
      <c r="X234" s="803"/>
    </row>
    <row r="235" spans="1:24" x14ac:dyDescent="0.3">
      <c r="A235" s="2227">
        <v>67</v>
      </c>
      <c r="B235" s="215" t="s">
        <v>5501</v>
      </c>
      <c r="C235" s="2892" t="s">
        <v>5524</v>
      </c>
      <c r="D235" s="2893"/>
      <c r="E235" s="2893"/>
      <c r="F235" s="1929" t="s">
        <v>5316</v>
      </c>
      <c r="G235" s="218" t="s">
        <v>5499</v>
      </c>
      <c r="H235" s="192">
        <v>250</v>
      </c>
      <c r="I235" s="1773" t="s">
        <v>41</v>
      </c>
      <c r="J235" s="34"/>
      <c r="K235" s="34"/>
      <c r="L235" s="147" t="s">
        <v>25</v>
      </c>
      <c r="M235" s="147"/>
      <c r="N235" s="803"/>
      <c r="O235" s="803"/>
      <c r="P235" s="2627" t="s">
        <v>6395</v>
      </c>
      <c r="Q235" s="1612">
        <v>225</v>
      </c>
      <c r="S235" s="34"/>
      <c r="T235" s="34"/>
      <c r="U235" s="147" t="s">
        <v>25</v>
      </c>
      <c r="V235" s="147"/>
      <c r="W235" s="803"/>
      <c r="X235" s="803"/>
    </row>
    <row r="236" spans="1:24" x14ac:dyDescent="0.3">
      <c r="A236" s="2227">
        <v>68</v>
      </c>
      <c r="B236" s="215" t="s">
        <v>5501</v>
      </c>
      <c r="C236" s="2892" t="s">
        <v>5523</v>
      </c>
      <c r="D236" s="2893"/>
      <c r="E236" s="2893"/>
      <c r="F236" s="1929" t="s">
        <v>5316</v>
      </c>
      <c r="G236" s="218" t="s">
        <v>5499</v>
      </c>
      <c r="H236" s="192">
        <v>250</v>
      </c>
      <c r="I236" s="1773" t="s">
        <v>41</v>
      </c>
      <c r="J236" s="34"/>
      <c r="K236" s="34"/>
      <c r="L236" s="147" t="s">
        <v>25</v>
      </c>
      <c r="M236" s="147"/>
      <c r="N236" s="803"/>
      <c r="O236" s="803"/>
      <c r="P236" s="2627" t="s">
        <v>6395</v>
      </c>
      <c r="Q236" s="1612">
        <v>226</v>
      </c>
      <c r="S236" s="34"/>
      <c r="T236" s="34"/>
      <c r="U236" s="147" t="s">
        <v>25</v>
      </c>
      <c r="V236" s="147"/>
      <c r="W236" s="803"/>
      <c r="X236" s="803"/>
    </row>
    <row r="237" spans="1:24" x14ac:dyDescent="0.3">
      <c r="A237" s="2227">
        <v>69</v>
      </c>
      <c r="B237" s="215" t="s">
        <v>5501</v>
      </c>
      <c r="C237" s="2892" t="s">
        <v>5522</v>
      </c>
      <c r="D237" s="2893"/>
      <c r="E237" s="2893"/>
      <c r="F237" s="1929" t="s">
        <v>5316</v>
      </c>
      <c r="G237" s="218" t="s">
        <v>5499</v>
      </c>
      <c r="H237" s="192">
        <v>250</v>
      </c>
      <c r="I237" s="1773" t="s">
        <v>41</v>
      </c>
      <c r="J237" s="34"/>
      <c r="K237" s="34"/>
      <c r="L237" s="147" t="s">
        <v>25</v>
      </c>
      <c r="M237" s="147"/>
      <c r="N237" s="803"/>
      <c r="O237" s="803"/>
      <c r="P237" s="2627" t="s">
        <v>6395</v>
      </c>
      <c r="Q237" s="1612">
        <v>227</v>
      </c>
      <c r="S237" s="34"/>
      <c r="T237" s="34"/>
      <c r="U237" s="147" t="s">
        <v>25</v>
      </c>
      <c r="V237" s="147"/>
      <c r="W237" s="803"/>
      <c r="X237" s="803"/>
    </row>
    <row r="238" spans="1:24" x14ac:dyDescent="0.3">
      <c r="A238" s="2227">
        <v>70</v>
      </c>
      <c r="B238" s="215" t="s">
        <v>5501</v>
      </c>
      <c r="C238" s="2892" t="s">
        <v>5521</v>
      </c>
      <c r="D238" s="2893"/>
      <c r="E238" s="2893"/>
      <c r="F238" s="1929" t="s">
        <v>5316</v>
      </c>
      <c r="G238" s="218" t="s">
        <v>5499</v>
      </c>
      <c r="H238" s="192">
        <v>250</v>
      </c>
      <c r="I238" s="1773" t="s">
        <v>41</v>
      </c>
      <c r="J238" s="34"/>
      <c r="K238" s="34"/>
      <c r="L238" s="147" t="s">
        <v>25</v>
      </c>
      <c r="M238" s="147"/>
      <c r="N238" s="803"/>
      <c r="O238" s="803"/>
      <c r="P238" s="2627" t="s">
        <v>6395</v>
      </c>
      <c r="Q238" s="1612">
        <v>228</v>
      </c>
      <c r="S238" s="34"/>
      <c r="T238" s="34"/>
      <c r="U238" s="147" t="s">
        <v>25</v>
      </c>
      <c r="V238" s="147"/>
      <c r="W238" s="803"/>
      <c r="X238" s="803"/>
    </row>
    <row r="239" spans="1:24" x14ac:dyDescent="0.3">
      <c r="A239" s="2227">
        <v>71</v>
      </c>
      <c r="B239" s="215" t="s">
        <v>5501</v>
      </c>
      <c r="C239" s="2892" t="s">
        <v>5520</v>
      </c>
      <c r="D239" s="2893"/>
      <c r="E239" s="2893"/>
      <c r="F239" s="1929" t="s">
        <v>5316</v>
      </c>
      <c r="G239" s="218" t="s">
        <v>5499</v>
      </c>
      <c r="H239" s="192">
        <v>250</v>
      </c>
      <c r="I239" s="1773" t="s">
        <v>41</v>
      </c>
      <c r="J239" s="34"/>
      <c r="K239" s="34"/>
      <c r="L239" s="147" t="s">
        <v>25</v>
      </c>
      <c r="M239" s="803"/>
      <c r="N239" s="803"/>
      <c r="O239" s="803"/>
      <c r="P239" s="2627" t="s">
        <v>6395</v>
      </c>
      <c r="Q239" s="1612">
        <v>229</v>
      </c>
      <c r="S239" s="34"/>
      <c r="T239" s="34"/>
      <c r="U239" s="147" t="s">
        <v>25</v>
      </c>
      <c r="V239" s="803"/>
      <c r="W239" s="803"/>
      <c r="X239" s="803"/>
    </row>
    <row r="240" spans="1:24" x14ac:dyDescent="0.3">
      <c r="A240" s="2227">
        <v>72</v>
      </c>
      <c r="B240" s="215" t="s">
        <v>5501</v>
      </c>
      <c r="C240" s="2892" t="s">
        <v>5519</v>
      </c>
      <c r="D240" s="2893"/>
      <c r="E240" s="2893"/>
      <c r="F240" s="1929" t="s">
        <v>5316</v>
      </c>
      <c r="G240" s="218" t="s">
        <v>5499</v>
      </c>
      <c r="H240" s="192">
        <v>250</v>
      </c>
      <c r="I240" s="1773" t="s">
        <v>41</v>
      </c>
      <c r="J240" s="34"/>
      <c r="K240" s="34"/>
      <c r="L240" s="147" t="s">
        <v>25</v>
      </c>
      <c r="M240" s="803"/>
      <c r="N240" s="803"/>
      <c r="O240" s="803"/>
      <c r="P240" s="2627" t="s">
        <v>6395</v>
      </c>
      <c r="Q240" s="1612">
        <v>230</v>
      </c>
      <c r="S240" s="34"/>
      <c r="T240" s="34"/>
      <c r="U240" s="147" t="s">
        <v>25</v>
      </c>
      <c r="V240" s="803"/>
      <c r="W240" s="803"/>
      <c r="X240" s="803"/>
    </row>
    <row r="241" spans="1:24" x14ac:dyDescent="0.3">
      <c r="A241" s="2227">
        <v>73</v>
      </c>
      <c r="B241" s="215" t="s">
        <v>5501</v>
      </c>
      <c r="C241" s="2892" t="s">
        <v>5518</v>
      </c>
      <c r="D241" s="2893"/>
      <c r="E241" s="2893"/>
      <c r="F241" s="1929" t="s">
        <v>5316</v>
      </c>
      <c r="G241" s="218" t="s">
        <v>5499</v>
      </c>
      <c r="H241" s="192">
        <v>250</v>
      </c>
      <c r="I241" s="1773" t="s">
        <v>41</v>
      </c>
      <c r="J241" s="34"/>
      <c r="K241" s="34"/>
      <c r="L241" s="147" t="s">
        <v>25</v>
      </c>
      <c r="M241" s="803"/>
      <c r="N241" s="803"/>
      <c r="O241" s="803"/>
      <c r="P241" s="2627" t="s">
        <v>6395</v>
      </c>
      <c r="Q241" s="1612">
        <v>231</v>
      </c>
      <c r="S241" s="34"/>
      <c r="T241" s="34"/>
      <c r="U241" s="147" t="s">
        <v>25</v>
      </c>
      <c r="V241" s="803"/>
      <c r="W241" s="803"/>
      <c r="X241" s="803"/>
    </row>
    <row r="242" spans="1:24" x14ac:dyDescent="0.3">
      <c r="A242" s="2227">
        <v>74</v>
      </c>
      <c r="B242" s="215" t="s">
        <v>5501</v>
      </c>
      <c r="C242" s="2892" t="s">
        <v>5517</v>
      </c>
      <c r="D242" s="2893"/>
      <c r="E242" s="2893"/>
      <c r="F242" s="1929" t="s">
        <v>5316</v>
      </c>
      <c r="G242" s="218" t="s">
        <v>5499</v>
      </c>
      <c r="H242" s="192">
        <v>250</v>
      </c>
      <c r="I242" s="1773" t="s">
        <v>41</v>
      </c>
      <c r="J242" s="34"/>
      <c r="K242" s="34"/>
      <c r="L242" s="147" t="s">
        <v>25</v>
      </c>
      <c r="M242" s="803"/>
      <c r="N242" s="803"/>
      <c r="O242" s="803"/>
      <c r="P242" s="2627" t="s">
        <v>6395</v>
      </c>
      <c r="Q242" s="1612">
        <v>232</v>
      </c>
      <c r="S242" s="34"/>
      <c r="T242" s="34"/>
      <c r="U242" s="147" t="s">
        <v>25</v>
      </c>
      <c r="V242" s="803"/>
      <c r="W242" s="803"/>
      <c r="X242" s="803"/>
    </row>
    <row r="243" spans="1:24" x14ac:dyDescent="0.3">
      <c r="A243" s="2227">
        <v>75</v>
      </c>
      <c r="B243" s="215" t="s">
        <v>5501</v>
      </c>
      <c r="C243" s="2892" t="s">
        <v>5516</v>
      </c>
      <c r="D243" s="2893"/>
      <c r="E243" s="2893"/>
      <c r="F243" s="1929" t="s">
        <v>5316</v>
      </c>
      <c r="G243" s="218" t="s">
        <v>5499</v>
      </c>
      <c r="H243" s="192">
        <v>250</v>
      </c>
      <c r="I243" s="1773" t="s">
        <v>41</v>
      </c>
      <c r="J243" s="34"/>
      <c r="K243" s="34"/>
      <c r="L243" s="147" t="s">
        <v>25</v>
      </c>
      <c r="M243" s="803"/>
      <c r="N243" s="803"/>
      <c r="O243" s="803"/>
      <c r="P243" s="2627" t="s">
        <v>6395</v>
      </c>
      <c r="Q243" s="1612">
        <v>233</v>
      </c>
      <c r="S243" s="34"/>
      <c r="T243" s="34"/>
      <c r="U243" s="147" t="s">
        <v>25</v>
      </c>
      <c r="V243" s="803"/>
      <c r="W243" s="803"/>
      <c r="X243" s="803"/>
    </row>
    <row r="244" spans="1:24" x14ac:dyDescent="0.3">
      <c r="A244" s="2227">
        <v>76</v>
      </c>
      <c r="B244" s="215" t="s">
        <v>5501</v>
      </c>
      <c r="C244" s="2892" t="s">
        <v>5515</v>
      </c>
      <c r="D244" s="2893"/>
      <c r="E244" s="2893"/>
      <c r="F244" s="1929" t="s">
        <v>5316</v>
      </c>
      <c r="G244" s="218" t="s">
        <v>5499</v>
      </c>
      <c r="H244" s="192">
        <v>250</v>
      </c>
      <c r="I244" s="1773" t="s">
        <v>41</v>
      </c>
      <c r="J244" s="34"/>
      <c r="K244" s="34"/>
      <c r="L244" s="147" t="s">
        <v>25</v>
      </c>
      <c r="M244" s="803"/>
      <c r="N244" s="803"/>
      <c r="O244" s="803"/>
      <c r="P244" s="2627" t="s">
        <v>6395</v>
      </c>
      <c r="Q244" s="1612">
        <v>234</v>
      </c>
      <c r="S244" s="34"/>
      <c r="T244" s="34"/>
      <c r="U244" s="147" t="s">
        <v>25</v>
      </c>
      <c r="V244" s="803"/>
      <c r="W244" s="803"/>
      <c r="X244" s="803"/>
    </row>
    <row r="245" spans="1:24" x14ac:dyDescent="0.3">
      <c r="A245" s="2227">
        <v>77</v>
      </c>
      <c r="B245" s="215" t="s">
        <v>5501</v>
      </c>
      <c r="C245" s="2892" t="s">
        <v>5514</v>
      </c>
      <c r="D245" s="2893"/>
      <c r="E245" s="2893"/>
      <c r="F245" s="1929" t="s">
        <v>5316</v>
      </c>
      <c r="G245" s="218" t="s">
        <v>5499</v>
      </c>
      <c r="H245" s="192">
        <v>250</v>
      </c>
      <c r="I245" s="1773" t="s">
        <v>41</v>
      </c>
      <c r="J245" s="34"/>
      <c r="K245" s="34"/>
      <c r="L245" s="147" t="s">
        <v>25</v>
      </c>
      <c r="M245" s="803"/>
      <c r="N245" s="803"/>
      <c r="O245" s="803"/>
      <c r="P245" s="2627" t="s">
        <v>6395</v>
      </c>
      <c r="Q245" s="1612">
        <v>235</v>
      </c>
      <c r="S245" s="34"/>
      <c r="T245" s="34"/>
      <c r="U245" s="147" t="s">
        <v>25</v>
      </c>
      <c r="V245" s="803"/>
      <c r="W245" s="803"/>
      <c r="X245" s="803"/>
    </row>
    <row r="246" spans="1:24" x14ac:dyDescent="0.3">
      <c r="A246" s="2227">
        <v>78</v>
      </c>
      <c r="B246" s="215" t="s">
        <v>5501</v>
      </c>
      <c r="C246" s="2892" t="s">
        <v>5513</v>
      </c>
      <c r="D246" s="2893"/>
      <c r="E246" s="2893"/>
      <c r="F246" s="1929" t="s">
        <v>5316</v>
      </c>
      <c r="G246" s="218" t="s">
        <v>5499</v>
      </c>
      <c r="H246" s="192">
        <v>250</v>
      </c>
      <c r="I246" s="1773" t="s">
        <v>41</v>
      </c>
      <c r="J246" s="34"/>
      <c r="K246" s="34"/>
      <c r="L246" s="147" t="s">
        <v>25</v>
      </c>
      <c r="M246" s="803"/>
      <c r="N246" s="803"/>
      <c r="O246" s="803"/>
      <c r="P246" s="2627" t="s">
        <v>6395</v>
      </c>
      <c r="Q246" s="1612">
        <v>236</v>
      </c>
      <c r="S246" s="34"/>
      <c r="T246" s="34"/>
      <c r="U246" s="147" t="s">
        <v>25</v>
      </c>
      <c r="V246" s="803"/>
      <c r="W246" s="803"/>
      <c r="X246" s="803"/>
    </row>
    <row r="247" spans="1:24" x14ac:dyDescent="0.3">
      <c r="A247" s="2227">
        <v>79</v>
      </c>
      <c r="B247" s="215" t="s">
        <v>5501</v>
      </c>
      <c r="C247" s="2892" t="s">
        <v>5512</v>
      </c>
      <c r="D247" s="2893"/>
      <c r="E247" s="2893"/>
      <c r="F247" s="1929" t="s">
        <v>5316</v>
      </c>
      <c r="G247" s="218" t="s">
        <v>5499</v>
      </c>
      <c r="H247" s="192">
        <v>250</v>
      </c>
      <c r="I247" s="1773" t="s">
        <v>41</v>
      </c>
      <c r="J247" s="34"/>
      <c r="K247" s="34"/>
      <c r="L247" s="147" t="s">
        <v>25</v>
      </c>
      <c r="M247" s="803"/>
      <c r="N247" s="803"/>
      <c r="O247" s="803"/>
      <c r="P247" s="2627" t="s">
        <v>6395</v>
      </c>
      <c r="Q247" s="1612">
        <v>237</v>
      </c>
      <c r="S247" s="34"/>
      <c r="T247" s="34"/>
      <c r="U247" s="147" t="s">
        <v>25</v>
      </c>
      <c r="V247" s="803"/>
      <c r="W247" s="803"/>
      <c r="X247" s="803"/>
    </row>
    <row r="248" spans="1:24" x14ac:dyDescent="0.3">
      <c r="A248" s="2227">
        <v>80</v>
      </c>
      <c r="B248" s="215" t="s">
        <v>5501</v>
      </c>
      <c r="C248" s="2892" t="s">
        <v>5511</v>
      </c>
      <c r="D248" s="2893"/>
      <c r="E248" s="2893"/>
      <c r="F248" s="1929" t="s">
        <v>5316</v>
      </c>
      <c r="G248" s="218" t="s">
        <v>5499</v>
      </c>
      <c r="H248" s="192">
        <v>250</v>
      </c>
      <c r="I248" s="1773" t="s">
        <v>41</v>
      </c>
      <c r="J248" s="34"/>
      <c r="K248" s="34"/>
      <c r="L248" s="147" t="s">
        <v>25</v>
      </c>
      <c r="M248" s="317"/>
      <c r="N248" s="224"/>
      <c r="O248" s="87"/>
      <c r="P248" s="2627" t="s">
        <v>6395</v>
      </c>
      <c r="Q248" s="1612">
        <v>238</v>
      </c>
      <c r="S248" s="34"/>
      <c r="T248" s="34"/>
      <c r="U248" s="147" t="s">
        <v>25</v>
      </c>
      <c r="V248" s="317"/>
      <c r="W248" s="224"/>
      <c r="X248" s="87"/>
    </row>
    <row r="249" spans="1:24" x14ac:dyDescent="0.3">
      <c r="A249" s="2227">
        <v>81</v>
      </c>
      <c r="B249" s="215" t="s">
        <v>5501</v>
      </c>
      <c r="C249" s="2892" t="s">
        <v>5510</v>
      </c>
      <c r="D249" s="2893"/>
      <c r="E249" s="2893"/>
      <c r="F249" s="1929" t="s">
        <v>5316</v>
      </c>
      <c r="G249" s="218" t="s">
        <v>5499</v>
      </c>
      <c r="H249" s="192">
        <v>250</v>
      </c>
      <c r="I249" s="1773" t="s">
        <v>41</v>
      </c>
      <c r="J249" s="34"/>
      <c r="K249" s="34"/>
      <c r="L249" s="147" t="s">
        <v>25</v>
      </c>
      <c r="M249" s="317"/>
      <c r="N249" s="224"/>
      <c r="O249" s="87"/>
      <c r="P249" s="2627" t="s">
        <v>6395</v>
      </c>
      <c r="Q249" s="1612">
        <v>239</v>
      </c>
      <c r="S249" s="34"/>
      <c r="T249" s="34"/>
      <c r="U249" s="147" t="s">
        <v>25</v>
      </c>
      <c r="V249" s="317"/>
      <c r="W249" s="224"/>
      <c r="X249" s="87"/>
    </row>
    <row r="250" spans="1:24" x14ac:dyDescent="0.3">
      <c r="A250" s="2227">
        <v>82</v>
      </c>
      <c r="B250" s="215" t="s">
        <v>5501</v>
      </c>
      <c r="C250" s="2892" t="s">
        <v>5509</v>
      </c>
      <c r="D250" s="2893"/>
      <c r="E250" s="2893"/>
      <c r="F250" s="1929" t="s">
        <v>5316</v>
      </c>
      <c r="G250" s="218" t="s">
        <v>5499</v>
      </c>
      <c r="H250" s="192">
        <v>250</v>
      </c>
      <c r="I250" s="1773" t="s">
        <v>41</v>
      </c>
      <c r="J250" s="34"/>
      <c r="K250" s="34"/>
      <c r="L250" s="147" t="s">
        <v>25</v>
      </c>
      <c r="M250" s="317"/>
      <c r="N250" s="224"/>
      <c r="O250" s="87"/>
      <c r="P250" s="2627" t="s">
        <v>6395</v>
      </c>
      <c r="Q250" s="1612">
        <v>240</v>
      </c>
      <c r="S250" s="34"/>
      <c r="T250" s="34"/>
      <c r="U250" s="147" t="s">
        <v>25</v>
      </c>
      <c r="V250" s="317"/>
      <c r="W250" s="224"/>
      <c r="X250" s="87"/>
    </row>
    <row r="251" spans="1:24" x14ac:dyDescent="0.3">
      <c r="A251" s="2227">
        <v>83</v>
      </c>
      <c r="B251" s="215" t="s">
        <v>5501</v>
      </c>
      <c r="C251" s="2892" t="s">
        <v>5508</v>
      </c>
      <c r="D251" s="2893"/>
      <c r="E251" s="2893"/>
      <c r="F251" s="1929" t="s">
        <v>5316</v>
      </c>
      <c r="G251" s="218" t="s">
        <v>5499</v>
      </c>
      <c r="H251" s="192">
        <v>250</v>
      </c>
      <c r="I251" s="1773" t="s">
        <v>41</v>
      </c>
      <c r="J251" s="34"/>
      <c r="K251" s="34"/>
      <c r="L251" s="147" t="s">
        <v>25</v>
      </c>
      <c r="M251" s="317"/>
      <c r="N251" s="224"/>
      <c r="O251" s="87"/>
      <c r="P251" s="2627" t="s">
        <v>6395</v>
      </c>
      <c r="Q251" s="1612">
        <v>241</v>
      </c>
      <c r="S251" s="34"/>
      <c r="T251" s="34"/>
      <c r="U251" s="147" t="s">
        <v>25</v>
      </c>
      <c r="V251" s="317"/>
      <c r="W251" s="224"/>
      <c r="X251" s="87"/>
    </row>
    <row r="252" spans="1:24" x14ac:dyDescent="0.3">
      <c r="A252" s="2227">
        <v>84</v>
      </c>
      <c r="B252" s="215" t="s">
        <v>5501</v>
      </c>
      <c r="C252" s="2892" t="s">
        <v>5507</v>
      </c>
      <c r="D252" s="2893"/>
      <c r="E252" s="2893"/>
      <c r="F252" s="1929" t="s">
        <v>5316</v>
      </c>
      <c r="G252" s="218" t="s">
        <v>5499</v>
      </c>
      <c r="H252" s="192">
        <v>250</v>
      </c>
      <c r="I252" s="1773" t="s">
        <v>41</v>
      </c>
      <c r="J252" s="34"/>
      <c r="K252" s="34"/>
      <c r="L252" s="147" t="s">
        <v>25</v>
      </c>
      <c r="M252" s="317"/>
      <c r="N252" s="224"/>
      <c r="O252" s="87"/>
      <c r="P252" s="2627" t="s">
        <v>6395</v>
      </c>
      <c r="Q252" s="1612">
        <v>242</v>
      </c>
      <c r="S252" s="34"/>
      <c r="T252" s="34"/>
      <c r="U252" s="147" t="s">
        <v>25</v>
      </c>
      <c r="V252" s="317"/>
      <c r="W252" s="224"/>
      <c r="X252" s="87"/>
    </row>
    <row r="253" spans="1:24" x14ac:dyDescent="0.3">
      <c r="A253" s="2227">
        <v>85</v>
      </c>
      <c r="B253" s="215" t="s">
        <v>5501</v>
      </c>
      <c r="C253" s="2892" t="s">
        <v>5506</v>
      </c>
      <c r="D253" s="2893"/>
      <c r="E253" s="2893"/>
      <c r="F253" s="1929" t="s">
        <v>5316</v>
      </c>
      <c r="G253" s="218" t="s">
        <v>5499</v>
      </c>
      <c r="H253" s="192">
        <v>250</v>
      </c>
      <c r="I253" s="1773" t="s">
        <v>41</v>
      </c>
      <c r="J253" s="34"/>
      <c r="K253" s="34"/>
      <c r="L253" s="147" t="s">
        <v>25</v>
      </c>
      <c r="M253" s="317"/>
      <c r="N253" s="224"/>
      <c r="O253" s="87"/>
      <c r="P253" s="2627" t="s">
        <v>6395</v>
      </c>
      <c r="Q253" s="1612">
        <v>243</v>
      </c>
      <c r="S253" s="34"/>
      <c r="T253" s="34"/>
      <c r="U253" s="147" t="s">
        <v>25</v>
      </c>
      <c r="V253" s="317"/>
      <c r="W253" s="224"/>
      <c r="X253" s="87"/>
    </row>
    <row r="254" spans="1:24" x14ac:dyDescent="0.3">
      <c r="A254" s="2227">
        <v>86</v>
      </c>
      <c r="B254" s="215" t="s">
        <v>5501</v>
      </c>
      <c r="C254" s="2892" t="s">
        <v>5505</v>
      </c>
      <c r="D254" s="2893"/>
      <c r="E254" s="2893"/>
      <c r="F254" s="1929" t="s">
        <v>5316</v>
      </c>
      <c r="G254" s="218" t="s">
        <v>5499</v>
      </c>
      <c r="H254" s="192">
        <v>250</v>
      </c>
      <c r="I254" s="1773" t="s">
        <v>41</v>
      </c>
      <c r="J254" s="34"/>
      <c r="K254" s="34"/>
      <c r="L254" s="147" t="s">
        <v>25</v>
      </c>
      <c r="M254" s="803"/>
      <c r="N254" s="803"/>
      <c r="O254" s="803"/>
      <c r="P254" s="2627" t="s">
        <v>6395</v>
      </c>
      <c r="Q254" s="1612">
        <v>244</v>
      </c>
      <c r="S254" s="34"/>
      <c r="T254" s="34"/>
      <c r="U254" s="147" t="s">
        <v>25</v>
      </c>
      <c r="V254" s="803"/>
      <c r="W254" s="803"/>
      <c r="X254" s="803"/>
    </row>
    <row r="255" spans="1:24" x14ac:dyDescent="0.3">
      <c r="A255" s="2227">
        <v>87</v>
      </c>
      <c r="B255" s="215" t="s">
        <v>5501</v>
      </c>
      <c r="C255" s="2892" t="s">
        <v>5504</v>
      </c>
      <c r="D255" s="2893"/>
      <c r="E255" s="2893"/>
      <c r="F255" s="1929" t="s">
        <v>5316</v>
      </c>
      <c r="G255" s="218" t="s">
        <v>5499</v>
      </c>
      <c r="H255" s="192">
        <v>250</v>
      </c>
      <c r="I255" s="1773" t="s">
        <v>41</v>
      </c>
      <c r="J255" s="34"/>
      <c r="K255" s="34"/>
      <c r="L255" s="147" t="s">
        <v>25</v>
      </c>
      <c r="M255" s="803"/>
      <c r="N255" s="803"/>
      <c r="O255" s="803"/>
      <c r="P255" s="2627" t="s">
        <v>6395</v>
      </c>
      <c r="Q255" s="1612">
        <v>245</v>
      </c>
      <c r="S255" s="34"/>
      <c r="T255" s="34"/>
      <c r="U255" s="147" t="s">
        <v>25</v>
      </c>
      <c r="V255" s="803"/>
      <c r="W255" s="803"/>
      <c r="X255" s="803"/>
    </row>
    <row r="256" spans="1:24" x14ac:dyDescent="0.3">
      <c r="A256" s="2227">
        <v>88</v>
      </c>
      <c r="B256" s="215" t="s">
        <v>5501</v>
      </c>
      <c r="C256" s="2892" t="s">
        <v>5503</v>
      </c>
      <c r="D256" s="2893"/>
      <c r="E256" s="2893"/>
      <c r="F256" s="1929" t="s">
        <v>5316</v>
      </c>
      <c r="G256" s="218" t="s">
        <v>5499</v>
      </c>
      <c r="H256" s="192">
        <v>250</v>
      </c>
      <c r="I256" s="1773" t="s">
        <v>41</v>
      </c>
      <c r="J256" s="34"/>
      <c r="K256" s="34"/>
      <c r="L256" s="147" t="s">
        <v>25</v>
      </c>
      <c r="M256" s="803"/>
      <c r="N256" s="803"/>
      <c r="O256" s="803"/>
      <c r="P256" s="2627" t="s">
        <v>6395</v>
      </c>
      <c r="Q256" s="1612">
        <v>246</v>
      </c>
      <c r="S256" s="34"/>
      <c r="T256" s="34"/>
      <c r="U256" s="147" t="s">
        <v>25</v>
      </c>
      <c r="V256" s="803"/>
      <c r="W256" s="803"/>
      <c r="X256" s="803"/>
    </row>
    <row r="257" spans="1:24" x14ac:dyDescent="0.3">
      <c r="A257" s="2227">
        <v>89</v>
      </c>
      <c r="B257" s="215" t="s">
        <v>5501</v>
      </c>
      <c r="C257" s="2892" t="s">
        <v>5502</v>
      </c>
      <c r="D257" s="2893"/>
      <c r="E257" s="2893"/>
      <c r="F257" s="1929" t="s">
        <v>5316</v>
      </c>
      <c r="G257" s="218" t="s">
        <v>5499</v>
      </c>
      <c r="H257" s="192">
        <v>250</v>
      </c>
      <c r="I257" s="1773" t="s">
        <v>41</v>
      </c>
      <c r="J257" s="34"/>
      <c r="K257" s="34"/>
      <c r="L257" s="147" t="s">
        <v>25</v>
      </c>
      <c r="M257" s="803"/>
      <c r="N257" s="803"/>
      <c r="O257" s="803"/>
      <c r="P257" s="2627" t="s">
        <v>6395</v>
      </c>
      <c r="Q257" s="1612">
        <v>247</v>
      </c>
      <c r="S257" s="34"/>
      <c r="T257" s="34"/>
      <c r="U257" s="147" t="s">
        <v>25</v>
      </c>
      <c r="V257" s="803"/>
      <c r="W257" s="803"/>
      <c r="X257" s="803"/>
    </row>
    <row r="258" spans="1:24" x14ac:dyDescent="0.3">
      <c r="A258" s="2227">
        <v>90</v>
      </c>
      <c r="B258" s="215" t="s">
        <v>5501</v>
      </c>
      <c r="C258" s="2892" t="s">
        <v>5500</v>
      </c>
      <c r="D258" s="2893"/>
      <c r="E258" s="2893"/>
      <c r="F258" s="1929" t="s">
        <v>5316</v>
      </c>
      <c r="G258" s="218" t="s">
        <v>5499</v>
      </c>
      <c r="H258" s="192">
        <v>250</v>
      </c>
      <c r="I258" s="1773" t="s">
        <v>41</v>
      </c>
      <c r="J258" s="34"/>
      <c r="K258" s="34"/>
      <c r="L258" s="147" t="s">
        <v>25</v>
      </c>
      <c r="M258" s="147"/>
      <c r="N258" s="803"/>
      <c r="O258" s="803"/>
      <c r="P258" s="2627" t="s">
        <v>6395</v>
      </c>
      <c r="Q258" s="1612">
        <v>248</v>
      </c>
      <c r="S258" s="34"/>
      <c r="T258" s="34"/>
      <c r="U258" s="147" t="s">
        <v>25</v>
      </c>
      <c r="V258" s="147"/>
      <c r="W258" s="803"/>
      <c r="X258" s="803"/>
    </row>
    <row r="259" spans="1:24" x14ac:dyDescent="0.3">
      <c r="A259" s="2227">
        <v>91</v>
      </c>
      <c r="B259" s="1611" t="s">
        <v>5498</v>
      </c>
      <c r="C259" s="2957" t="s">
        <v>5497</v>
      </c>
      <c r="D259" s="2958"/>
      <c r="E259" s="2958"/>
      <c r="F259" s="1926" t="s">
        <v>5316</v>
      </c>
      <c r="G259" s="711" t="s">
        <v>5496</v>
      </c>
      <c r="H259" s="703">
        <v>2300</v>
      </c>
      <c r="I259" s="1773" t="s">
        <v>41</v>
      </c>
      <c r="J259" s="104"/>
      <c r="K259" s="104"/>
      <c r="L259" s="104"/>
      <c r="M259" s="104"/>
      <c r="N259" s="104"/>
      <c r="O259" s="104"/>
      <c r="P259" s="2308" t="s">
        <v>5900</v>
      </c>
      <c r="S259" s="104"/>
      <c r="T259" s="104"/>
      <c r="U259" s="104"/>
      <c r="V259" s="104"/>
      <c r="W259" s="104"/>
      <c r="X259" s="104"/>
    </row>
    <row r="260" spans="1:24" x14ac:dyDescent="0.3">
      <c r="A260" s="2227">
        <v>92</v>
      </c>
      <c r="B260" s="215" t="s">
        <v>189</v>
      </c>
      <c r="C260" s="2892" t="s">
        <v>5495</v>
      </c>
      <c r="D260" s="2893"/>
      <c r="E260" s="2893"/>
      <c r="F260" s="1929" t="s">
        <v>5316</v>
      </c>
      <c r="G260" s="218" t="s">
        <v>5492</v>
      </c>
      <c r="H260" s="192">
        <v>2300</v>
      </c>
      <c r="I260" s="1773" t="s">
        <v>41</v>
      </c>
      <c r="J260" s="118"/>
      <c r="K260" s="118"/>
      <c r="L260" s="192"/>
      <c r="M260" s="192"/>
      <c r="N260" s="192"/>
      <c r="O260" s="192"/>
      <c r="P260" s="2304" t="s">
        <v>5901</v>
      </c>
      <c r="S260" s="118"/>
      <c r="T260" s="118"/>
      <c r="U260" s="192"/>
      <c r="V260" s="192"/>
      <c r="W260" s="192"/>
      <c r="X260" s="192"/>
    </row>
    <row r="261" spans="1:24" x14ac:dyDescent="0.3">
      <c r="A261" s="2227">
        <v>93</v>
      </c>
      <c r="B261" s="215" t="s">
        <v>5494</v>
      </c>
      <c r="C261" s="2892" t="s">
        <v>5493</v>
      </c>
      <c r="D261" s="2893"/>
      <c r="E261" s="2893"/>
      <c r="F261" s="1929" t="s">
        <v>5316</v>
      </c>
      <c r="G261" s="218" t="s">
        <v>5492</v>
      </c>
      <c r="H261" s="192">
        <v>2300</v>
      </c>
      <c r="I261" s="1773" t="s">
        <v>41</v>
      </c>
      <c r="J261" s="118" t="s">
        <v>25</v>
      </c>
      <c r="K261" s="118"/>
      <c r="L261" s="119"/>
      <c r="M261" s="119"/>
      <c r="N261" s="119"/>
      <c r="O261" s="119"/>
      <c r="P261" s="312"/>
      <c r="S261" s="118" t="s">
        <v>25</v>
      </c>
      <c r="T261" s="118"/>
      <c r="U261" s="119"/>
      <c r="V261" s="119"/>
      <c r="W261" s="119"/>
      <c r="X261" s="119"/>
    </row>
    <row r="262" spans="1:24" x14ac:dyDescent="0.3">
      <c r="A262" s="2227">
        <v>94</v>
      </c>
      <c r="B262" s="215" t="s">
        <v>5491</v>
      </c>
      <c r="C262" s="2892" t="s">
        <v>5490</v>
      </c>
      <c r="D262" s="2893"/>
      <c r="E262" s="2893"/>
      <c r="F262" s="1929" t="s">
        <v>5316</v>
      </c>
      <c r="G262" s="218" t="s">
        <v>5489</v>
      </c>
      <c r="H262" s="192">
        <v>3000</v>
      </c>
      <c r="I262" s="1773" t="s">
        <v>41</v>
      </c>
      <c r="J262" s="118" t="s">
        <v>25</v>
      </c>
      <c r="K262" s="118"/>
      <c r="L262" s="119"/>
      <c r="M262" s="119"/>
      <c r="N262" s="119"/>
      <c r="O262" s="119"/>
      <c r="P262" s="312" t="s">
        <v>148</v>
      </c>
      <c r="S262" s="118" t="s">
        <v>25</v>
      </c>
      <c r="T262" s="118"/>
      <c r="U262" s="119"/>
      <c r="V262" s="119"/>
      <c r="W262" s="119"/>
      <c r="X262" s="119"/>
    </row>
    <row r="263" spans="1:24" x14ac:dyDescent="0.3">
      <c r="A263" s="2227">
        <v>95</v>
      </c>
      <c r="B263" s="219" t="s">
        <v>5448</v>
      </c>
      <c r="C263" s="2892" t="s">
        <v>5488</v>
      </c>
      <c r="D263" s="2893"/>
      <c r="E263" s="2893"/>
      <c r="F263" s="1929" t="s">
        <v>5316</v>
      </c>
      <c r="G263" s="218" t="s">
        <v>5446</v>
      </c>
      <c r="H263" s="192">
        <v>250</v>
      </c>
      <c r="I263" s="1773" t="s">
        <v>41</v>
      </c>
      <c r="J263" s="118" t="s">
        <v>25</v>
      </c>
      <c r="K263" s="34"/>
      <c r="L263" s="147"/>
      <c r="M263" s="147"/>
      <c r="N263" s="803"/>
      <c r="O263" s="803"/>
      <c r="P263" s="2428" t="s">
        <v>5885</v>
      </c>
      <c r="S263" s="118" t="s">
        <v>25</v>
      </c>
      <c r="T263" s="34"/>
      <c r="U263" s="147"/>
      <c r="V263" s="147"/>
      <c r="W263" s="803"/>
      <c r="X263" s="803"/>
    </row>
    <row r="264" spans="1:24" x14ac:dyDescent="0.3">
      <c r="A264" s="2227">
        <v>96</v>
      </c>
      <c r="B264" s="219" t="s">
        <v>5448</v>
      </c>
      <c r="C264" s="2892" t="s">
        <v>5487</v>
      </c>
      <c r="D264" s="2893"/>
      <c r="E264" s="2893"/>
      <c r="F264" s="1929" t="s">
        <v>5316</v>
      </c>
      <c r="G264" s="218" t="s">
        <v>5446</v>
      </c>
      <c r="H264" s="192">
        <v>250</v>
      </c>
      <c r="I264" s="1773" t="s">
        <v>41</v>
      </c>
      <c r="J264" s="118" t="s">
        <v>25</v>
      </c>
      <c r="K264" s="34"/>
      <c r="L264" s="147"/>
      <c r="M264" s="147"/>
      <c r="N264" s="803"/>
      <c r="O264" s="803"/>
      <c r="P264" s="2428" t="s">
        <v>5885</v>
      </c>
      <c r="S264" s="118" t="s">
        <v>25</v>
      </c>
      <c r="T264" s="34"/>
      <c r="U264" s="147"/>
      <c r="V264" s="147"/>
      <c r="W264" s="803"/>
      <c r="X264" s="803"/>
    </row>
    <row r="265" spans="1:24" x14ac:dyDescent="0.3">
      <c r="A265" s="2227">
        <v>97</v>
      </c>
      <c r="B265" s="219" t="s">
        <v>5448</v>
      </c>
      <c r="C265" s="2892" t="s">
        <v>5486</v>
      </c>
      <c r="D265" s="2893"/>
      <c r="E265" s="2893"/>
      <c r="F265" s="1929" t="s">
        <v>5316</v>
      </c>
      <c r="G265" s="218" t="s">
        <v>5446</v>
      </c>
      <c r="H265" s="192">
        <v>250</v>
      </c>
      <c r="I265" s="1773" t="s">
        <v>41</v>
      </c>
      <c r="J265" s="118" t="s">
        <v>25</v>
      </c>
      <c r="K265" s="34"/>
      <c r="L265" s="147"/>
      <c r="M265" s="147"/>
      <c r="N265" s="803"/>
      <c r="O265" s="803"/>
      <c r="P265" s="2428" t="s">
        <v>5885</v>
      </c>
      <c r="S265" s="118" t="s">
        <v>25</v>
      </c>
      <c r="T265" s="34"/>
      <c r="U265" s="147"/>
      <c r="V265" s="147"/>
      <c r="W265" s="803"/>
      <c r="X265" s="803"/>
    </row>
    <row r="266" spans="1:24" x14ac:dyDescent="0.3">
      <c r="A266" s="2227">
        <v>98</v>
      </c>
      <c r="B266" s="219" t="s">
        <v>5448</v>
      </c>
      <c r="C266" s="2892" t="s">
        <v>5485</v>
      </c>
      <c r="D266" s="2893"/>
      <c r="E266" s="2893"/>
      <c r="F266" s="1929" t="s">
        <v>5316</v>
      </c>
      <c r="G266" s="218" t="s">
        <v>5446</v>
      </c>
      <c r="H266" s="192">
        <v>250</v>
      </c>
      <c r="I266" s="1773" t="s">
        <v>41</v>
      </c>
      <c r="J266" s="118" t="s">
        <v>25</v>
      </c>
      <c r="K266" s="34"/>
      <c r="L266" s="537"/>
      <c r="M266" s="803"/>
      <c r="N266" s="803"/>
      <c r="O266" s="803"/>
      <c r="P266" s="2428" t="s">
        <v>5885</v>
      </c>
      <c r="S266" s="118" t="s">
        <v>25</v>
      </c>
      <c r="T266" s="34"/>
      <c r="U266" s="537"/>
      <c r="V266" s="803"/>
      <c r="W266" s="803"/>
      <c r="X266" s="803"/>
    </row>
    <row r="267" spans="1:24" x14ac:dyDescent="0.3">
      <c r="A267" s="2227">
        <v>99</v>
      </c>
      <c r="B267" s="219" t="s">
        <v>5448</v>
      </c>
      <c r="C267" s="2892" t="s">
        <v>5484</v>
      </c>
      <c r="D267" s="2893"/>
      <c r="E267" s="2893"/>
      <c r="F267" s="1929" t="s">
        <v>5316</v>
      </c>
      <c r="G267" s="218" t="s">
        <v>5446</v>
      </c>
      <c r="H267" s="192">
        <v>250</v>
      </c>
      <c r="I267" s="1773" t="s">
        <v>41</v>
      </c>
      <c r="J267" s="118" t="s">
        <v>25</v>
      </c>
      <c r="K267" s="34"/>
      <c r="L267" s="537"/>
      <c r="M267" s="803"/>
      <c r="N267" s="803"/>
      <c r="O267" s="803"/>
      <c r="P267" s="2428" t="s">
        <v>5885</v>
      </c>
      <c r="S267" s="118" t="s">
        <v>25</v>
      </c>
      <c r="T267" s="34"/>
      <c r="U267" s="537"/>
      <c r="V267" s="803"/>
      <c r="W267" s="803"/>
      <c r="X267" s="803"/>
    </row>
    <row r="268" spans="1:24" x14ac:dyDescent="0.3">
      <c r="A268" s="2227">
        <v>100</v>
      </c>
      <c r="B268" s="219" t="s">
        <v>5448</v>
      </c>
      <c r="C268" s="2892" t="s">
        <v>5483</v>
      </c>
      <c r="D268" s="2893"/>
      <c r="E268" s="2893"/>
      <c r="F268" s="1929" t="s">
        <v>5316</v>
      </c>
      <c r="G268" s="218" t="s">
        <v>5446</v>
      </c>
      <c r="H268" s="192">
        <v>250</v>
      </c>
      <c r="I268" s="1773" t="s">
        <v>41</v>
      </c>
      <c r="J268" s="118" t="s">
        <v>25</v>
      </c>
      <c r="K268" s="34"/>
      <c r="L268" s="147"/>
      <c r="M268" s="317"/>
      <c r="N268" s="224"/>
      <c r="O268" s="87"/>
      <c r="P268" s="2428" t="s">
        <v>5885</v>
      </c>
      <c r="S268" s="118" t="s">
        <v>25</v>
      </c>
      <c r="T268" s="34"/>
      <c r="U268" s="147"/>
      <c r="V268" s="317"/>
      <c r="W268" s="224"/>
      <c r="X268" s="87"/>
    </row>
    <row r="269" spans="1:24" x14ac:dyDescent="0.3">
      <c r="A269" s="2227">
        <v>101</v>
      </c>
      <c r="B269" s="219" t="s">
        <v>5448</v>
      </c>
      <c r="C269" s="2892" t="s">
        <v>5482</v>
      </c>
      <c r="D269" s="2893"/>
      <c r="E269" s="2893"/>
      <c r="F269" s="1929" t="s">
        <v>5316</v>
      </c>
      <c r="G269" s="218" t="s">
        <v>5446</v>
      </c>
      <c r="H269" s="192">
        <v>250</v>
      </c>
      <c r="I269" s="1773" t="s">
        <v>41</v>
      </c>
      <c r="J269" s="118" t="s">
        <v>25</v>
      </c>
      <c r="K269" s="34"/>
      <c r="L269" s="147"/>
      <c r="M269" s="317"/>
      <c r="N269" s="224"/>
      <c r="O269" s="87"/>
      <c r="P269" s="2428" t="s">
        <v>5885</v>
      </c>
      <c r="S269" s="118" t="s">
        <v>25</v>
      </c>
      <c r="T269" s="34"/>
      <c r="U269" s="147"/>
      <c r="V269" s="317"/>
      <c r="W269" s="224"/>
      <c r="X269" s="87"/>
    </row>
    <row r="270" spans="1:24" x14ac:dyDescent="0.3">
      <c r="A270" s="2227">
        <v>102</v>
      </c>
      <c r="B270" s="219" t="s">
        <v>5448</v>
      </c>
      <c r="C270" s="2892" t="s">
        <v>5481</v>
      </c>
      <c r="D270" s="2893"/>
      <c r="E270" s="2893"/>
      <c r="F270" s="1929" t="s">
        <v>5316</v>
      </c>
      <c r="G270" s="218" t="s">
        <v>5446</v>
      </c>
      <c r="H270" s="192">
        <v>250</v>
      </c>
      <c r="I270" s="1773" t="s">
        <v>41</v>
      </c>
      <c r="J270" s="118" t="s">
        <v>25</v>
      </c>
      <c r="K270" s="34"/>
      <c r="L270" s="147"/>
      <c r="M270" s="317"/>
      <c r="N270" s="224"/>
      <c r="O270" s="87"/>
      <c r="P270" s="2428" t="s">
        <v>5885</v>
      </c>
      <c r="S270" s="118" t="s">
        <v>25</v>
      </c>
      <c r="T270" s="34"/>
      <c r="U270" s="147"/>
      <c r="V270" s="317"/>
      <c r="W270" s="224"/>
      <c r="X270" s="87"/>
    </row>
    <row r="271" spans="1:24" x14ac:dyDescent="0.3">
      <c r="A271" s="2227">
        <v>103</v>
      </c>
      <c r="B271" s="219" t="s">
        <v>5448</v>
      </c>
      <c r="C271" s="2892" t="s">
        <v>5480</v>
      </c>
      <c r="D271" s="2893"/>
      <c r="E271" s="2893"/>
      <c r="F271" s="1929" t="s">
        <v>5316</v>
      </c>
      <c r="G271" s="218" t="s">
        <v>5446</v>
      </c>
      <c r="H271" s="192">
        <v>250</v>
      </c>
      <c r="I271" s="1773" t="s">
        <v>41</v>
      </c>
      <c r="J271" s="118" t="s">
        <v>25</v>
      </c>
      <c r="K271" s="34"/>
      <c r="L271" s="147"/>
      <c r="M271" s="317"/>
      <c r="N271" s="224"/>
      <c r="O271" s="87"/>
      <c r="P271" s="2428" t="s">
        <v>5885</v>
      </c>
      <c r="S271" s="118" t="s">
        <v>25</v>
      </c>
      <c r="T271" s="34"/>
      <c r="U271" s="147"/>
      <c r="V271" s="317"/>
      <c r="W271" s="224"/>
      <c r="X271" s="87"/>
    </row>
    <row r="272" spans="1:24" x14ac:dyDescent="0.3">
      <c r="A272" s="2227">
        <v>104</v>
      </c>
      <c r="B272" s="219" t="s">
        <v>5448</v>
      </c>
      <c r="C272" s="2892" t="s">
        <v>5479</v>
      </c>
      <c r="D272" s="2893"/>
      <c r="E272" s="2893"/>
      <c r="F272" s="1929" t="s">
        <v>5316</v>
      </c>
      <c r="G272" s="218" t="s">
        <v>5446</v>
      </c>
      <c r="H272" s="192">
        <v>250</v>
      </c>
      <c r="I272" s="1773" t="s">
        <v>41</v>
      </c>
      <c r="J272" s="118" t="s">
        <v>25</v>
      </c>
      <c r="K272" s="34"/>
      <c r="L272" s="147"/>
      <c r="M272" s="317"/>
      <c r="N272" s="224"/>
      <c r="O272" s="87"/>
      <c r="P272" s="2428" t="s">
        <v>5885</v>
      </c>
      <c r="S272" s="118" t="s">
        <v>25</v>
      </c>
      <c r="T272" s="34"/>
      <c r="U272" s="147"/>
      <c r="V272" s="317"/>
      <c r="W272" s="224"/>
      <c r="X272" s="87"/>
    </row>
    <row r="273" spans="1:24" x14ac:dyDescent="0.3">
      <c r="A273" s="2227">
        <v>105</v>
      </c>
      <c r="B273" s="219" t="s">
        <v>5448</v>
      </c>
      <c r="C273" s="2892" t="s">
        <v>5478</v>
      </c>
      <c r="D273" s="2893"/>
      <c r="E273" s="2893"/>
      <c r="F273" s="1929" t="s">
        <v>5316</v>
      </c>
      <c r="G273" s="218" t="s">
        <v>5446</v>
      </c>
      <c r="H273" s="192">
        <v>250</v>
      </c>
      <c r="I273" s="1773" t="s">
        <v>41</v>
      </c>
      <c r="J273" s="118" t="s">
        <v>25</v>
      </c>
      <c r="K273" s="34"/>
      <c r="L273" s="147"/>
      <c r="M273" s="317"/>
      <c r="N273" s="224"/>
      <c r="O273" s="87"/>
      <c r="P273" s="2428" t="s">
        <v>5885</v>
      </c>
      <c r="S273" s="118" t="s">
        <v>25</v>
      </c>
      <c r="T273" s="34"/>
      <c r="U273" s="147"/>
      <c r="V273" s="317"/>
      <c r="W273" s="224"/>
      <c r="X273" s="87"/>
    </row>
    <row r="274" spans="1:24" x14ac:dyDescent="0.3">
      <c r="A274" s="2227">
        <v>106</v>
      </c>
      <c r="B274" s="219" t="s">
        <v>5448</v>
      </c>
      <c r="C274" s="2892" t="s">
        <v>5477</v>
      </c>
      <c r="D274" s="2893"/>
      <c r="E274" s="2893"/>
      <c r="F274" s="1929" t="s">
        <v>5316</v>
      </c>
      <c r="G274" s="218" t="s">
        <v>5446</v>
      </c>
      <c r="H274" s="192">
        <v>250</v>
      </c>
      <c r="I274" s="1773" t="s">
        <v>41</v>
      </c>
      <c r="J274" s="118" t="s">
        <v>25</v>
      </c>
      <c r="K274" s="34"/>
      <c r="L274" s="537"/>
      <c r="M274" s="803"/>
      <c r="N274" s="803"/>
      <c r="O274" s="803"/>
      <c r="P274" s="2428" t="s">
        <v>5885</v>
      </c>
      <c r="S274" s="118" t="s">
        <v>25</v>
      </c>
      <c r="T274" s="34"/>
      <c r="U274" s="537"/>
      <c r="V274" s="803"/>
      <c r="W274" s="803"/>
      <c r="X274" s="803"/>
    </row>
    <row r="275" spans="1:24" x14ac:dyDescent="0.3">
      <c r="A275" s="2227">
        <v>107</v>
      </c>
      <c r="B275" s="219" t="s">
        <v>5448</v>
      </c>
      <c r="C275" s="2892" t="s">
        <v>5476</v>
      </c>
      <c r="D275" s="2893"/>
      <c r="E275" s="2893"/>
      <c r="F275" s="1929" t="s">
        <v>5316</v>
      </c>
      <c r="G275" s="218" t="s">
        <v>5446</v>
      </c>
      <c r="H275" s="192">
        <v>250</v>
      </c>
      <c r="I275" s="1773" t="s">
        <v>41</v>
      </c>
      <c r="J275" s="118" t="s">
        <v>25</v>
      </c>
      <c r="K275" s="34"/>
      <c r="L275" s="537"/>
      <c r="M275" s="803"/>
      <c r="N275" s="803"/>
      <c r="O275" s="803"/>
      <c r="P275" s="2428" t="s">
        <v>5885</v>
      </c>
      <c r="S275" s="118" t="s">
        <v>25</v>
      </c>
      <c r="T275" s="34"/>
      <c r="U275" s="537"/>
      <c r="V275" s="803"/>
      <c r="W275" s="803"/>
      <c r="X275" s="803"/>
    </row>
    <row r="276" spans="1:24" x14ac:dyDescent="0.3">
      <c r="A276" s="2227">
        <v>108</v>
      </c>
      <c r="B276" s="219" t="s">
        <v>5448</v>
      </c>
      <c r="C276" s="2892" t="s">
        <v>5475</v>
      </c>
      <c r="D276" s="2893"/>
      <c r="E276" s="2893"/>
      <c r="F276" s="1929" t="s">
        <v>5316</v>
      </c>
      <c r="G276" s="218" t="s">
        <v>5446</v>
      </c>
      <c r="H276" s="192">
        <v>250</v>
      </c>
      <c r="I276" s="1773" t="s">
        <v>41</v>
      </c>
      <c r="J276" s="118" t="s">
        <v>25</v>
      </c>
      <c r="K276" s="34"/>
      <c r="L276" s="537"/>
      <c r="M276" s="803"/>
      <c r="N276" s="803"/>
      <c r="O276" s="803"/>
      <c r="P276" s="2428" t="s">
        <v>5885</v>
      </c>
      <c r="S276" s="118" t="s">
        <v>25</v>
      </c>
      <c r="T276" s="34"/>
      <c r="U276" s="537"/>
      <c r="V276" s="803"/>
      <c r="W276" s="803"/>
      <c r="X276" s="803"/>
    </row>
    <row r="277" spans="1:24" x14ac:dyDescent="0.3">
      <c r="A277" s="2227">
        <v>109</v>
      </c>
      <c r="B277" s="219" t="s">
        <v>5448</v>
      </c>
      <c r="C277" s="2892" t="s">
        <v>5474</v>
      </c>
      <c r="D277" s="2893"/>
      <c r="E277" s="2893"/>
      <c r="F277" s="1929" t="s">
        <v>5316</v>
      </c>
      <c r="G277" s="218" t="s">
        <v>5446</v>
      </c>
      <c r="H277" s="192">
        <v>250</v>
      </c>
      <c r="I277" s="1773" t="s">
        <v>41</v>
      </c>
      <c r="J277" s="118" t="s">
        <v>25</v>
      </c>
      <c r="K277" s="34"/>
      <c r="L277" s="537"/>
      <c r="M277" s="803"/>
      <c r="N277" s="803"/>
      <c r="O277" s="803"/>
      <c r="P277" s="2428" t="s">
        <v>5885</v>
      </c>
      <c r="S277" s="118" t="s">
        <v>25</v>
      </c>
      <c r="T277" s="34"/>
      <c r="U277" s="537"/>
      <c r="V277" s="803"/>
      <c r="W277" s="803"/>
      <c r="X277" s="803"/>
    </row>
    <row r="278" spans="1:24" x14ac:dyDescent="0.3">
      <c r="A278" s="2227">
        <v>110</v>
      </c>
      <c r="B278" s="219" t="s">
        <v>5448</v>
      </c>
      <c r="C278" s="2892" t="s">
        <v>5473</v>
      </c>
      <c r="D278" s="2893"/>
      <c r="E278" s="2893"/>
      <c r="F278" s="1929" t="s">
        <v>5316</v>
      </c>
      <c r="G278" s="218" t="s">
        <v>5446</v>
      </c>
      <c r="H278" s="192">
        <v>250</v>
      </c>
      <c r="I278" s="1773" t="s">
        <v>41</v>
      </c>
      <c r="J278" s="118" t="s">
        <v>25</v>
      </c>
      <c r="K278" s="34"/>
      <c r="L278" s="537"/>
      <c r="M278" s="803"/>
      <c r="N278" s="803"/>
      <c r="O278" s="803"/>
      <c r="P278" s="2428" t="s">
        <v>5885</v>
      </c>
      <c r="S278" s="118" t="s">
        <v>25</v>
      </c>
      <c r="T278" s="34"/>
      <c r="U278" s="537"/>
      <c r="V278" s="803"/>
      <c r="W278" s="803"/>
      <c r="X278" s="803"/>
    </row>
    <row r="279" spans="1:24" x14ac:dyDescent="0.3">
      <c r="A279" s="2227">
        <v>111</v>
      </c>
      <c r="B279" s="219" t="s">
        <v>5448</v>
      </c>
      <c r="C279" s="2892" t="s">
        <v>5472</v>
      </c>
      <c r="D279" s="2893"/>
      <c r="E279" s="2893"/>
      <c r="F279" s="1929" t="s">
        <v>5316</v>
      </c>
      <c r="G279" s="218" t="s">
        <v>5446</v>
      </c>
      <c r="H279" s="192">
        <v>250</v>
      </c>
      <c r="I279" s="1773" t="s">
        <v>41</v>
      </c>
      <c r="J279" s="118" t="s">
        <v>25</v>
      </c>
      <c r="K279" s="34"/>
      <c r="L279" s="537"/>
      <c r="M279" s="803"/>
      <c r="N279" s="803"/>
      <c r="O279" s="803"/>
      <c r="P279" s="2428" t="s">
        <v>5885</v>
      </c>
      <c r="S279" s="118" t="s">
        <v>25</v>
      </c>
      <c r="T279" s="34"/>
      <c r="U279" s="537"/>
      <c r="V279" s="803"/>
      <c r="W279" s="803"/>
      <c r="X279" s="803"/>
    </row>
    <row r="280" spans="1:24" x14ac:dyDescent="0.3">
      <c r="A280" s="2227">
        <v>112</v>
      </c>
      <c r="B280" s="219" t="s">
        <v>5448</v>
      </c>
      <c r="C280" s="2892" t="s">
        <v>5471</v>
      </c>
      <c r="D280" s="2893"/>
      <c r="E280" s="2893"/>
      <c r="F280" s="1929" t="s">
        <v>5316</v>
      </c>
      <c r="G280" s="218" t="s">
        <v>5446</v>
      </c>
      <c r="H280" s="192">
        <v>250</v>
      </c>
      <c r="I280" s="1773" t="s">
        <v>41</v>
      </c>
      <c r="J280" s="118" t="s">
        <v>25</v>
      </c>
      <c r="K280" s="34"/>
      <c r="L280" s="147"/>
      <c r="M280" s="147"/>
      <c r="N280" s="803"/>
      <c r="O280" s="803"/>
      <c r="P280" s="2428" t="s">
        <v>5885</v>
      </c>
      <c r="S280" s="118" t="s">
        <v>25</v>
      </c>
      <c r="T280" s="34"/>
      <c r="U280" s="147"/>
      <c r="V280" s="147"/>
      <c r="W280" s="803"/>
      <c r="X280" s="803"/>
    </row>
    <row r="281" spans="1:24" x14ac:dyDescent="0.3">
      <c r="A281" s="2227">
        <v>113</v>
      </c>
      <c r="B281" s="219" t="s">
        <v>5448</v>
      </c>
      <c r="C281" s="2892" t="s">
        <v>5470</v>
      </c>
      <c r="D281" s="2893"/>
      <c r="E281" s="2893"/>
      <c r="F281" s="1929" t="s">
        <v>5316</v>
      </c>
      <c r="G281" s="218" t="s">
        <v>5446</v>
      </c>
      <c r="H281" s="192">
        <v>250</v>
      </c>
      <c r="I281" s="1773" t="s">
        <v>41</v>
      </c>
      <c r="J281" s="118" t="s">
        <v>25</v>
      </c>
      <c r="K281" s="34"/>
      <c r="L281" s="147"/>
      <c r="M281" s="147"/>
      <c r="N281" s="803"/>
      <c r="O281" s="803"/>
      <c r="P281" s="2428" t="s">
        <v>5885</v>
      </c>
      <c r="S281" s="118" t="s">
        <v>25</v>
      </c>
      <c r="T281" s="34"/>
      <c r="U281" s="147"/>
      <c r="V281" s="147"/>
      <c r="W281" s="803"/>
      <c r="X281" s="803"/>
    </row>
    <row r="282" spans="1:24" x14ac:dyDescent="0.3">
      <c r="A282" s="2227">
        <v>114</v>
      </c>
      <c r="B282" s="219" t="s">
        <v>5448</v>
      </c>
      <c r="C282" s="2892" t="s">
        <v>5469</v>
      </c>
      <c r="D282" s="2893"/>
      <c r="E282" s="2893"/>
      <c r="F282" s="1929" t="s">
        <v>5316</v>
      </c>
      <c r="G282" s="218" t="s">
        <v>5446</v>
      </c>
      <c r="H282" s="192">
        <v>250</v>
      </c>
      <c r="I282" s="1773" t="s">
        <v>41</v>
      </c>
      <c r="J282" s="118" t="s">
        <v>25</v>
      </c>
      <c r="K282" s="34"/>
      <c r="L282" s="147"/>
      <c r="M282" s="147"/>
      <c r="N282" s="803"/>
      <c r="O282" s="803"/>
      <c r="P282" s="2428" t="s">
        <v>5885</v>
      </c>
      <c r="S282" s="118" t="s">
        <v>25</v>
      </c>
      <c r="T282" s="34"/>
      <c r="U282" s="147"/>
      <c r="V282" s="147"/>
      <c r="W282" s="803"/>
      <c r="X282" s="803"/>
    </row>
    <row r="283" spans="1:24" x14ac:dyDescent="0.3">
      <c r="A283" s="2227">
        <v>115</v>
      </c>
      <c r="B283" s="219" t="s">
        <v>5448</v>
      </c>
      <c r="C283" s="2892" t="s">
        <v>5468</v>
      </c>
      <c r="D283" s="2893"/>
      <c r="E283" s="2893"/>
      <c r="F283" s="1929" t="s">
        <v>5316</v>
      </c>
      <c r="G283" s="218" t="s">
        <v>5446</v>
      </c>
      <c r="H283" s="192">
        <v>250</v>
      </c>
      <c r="I283" s="1773" t="s">
        <v>41</v>
      </c>
      <c r="J283" s="118" t="s">
        <v>25</v>
      </c>
      <c r="K283" s="34"/>
      <c r="L283" s="147"/>
      <c r="M283" s="147"/>
      <c r="N283" s="803"/>
      <c r="O283" s="803"/>
      <c r="P283" s="2428" t="s">
        <v>5885</v>
      </c>
      <c r="S283" s="118" t="s">
        <v>25</v>
      </c>
      <c r="T283" s="34"/>
      <c r="U283" s="147"/>
      <c r="V283" s="147"/>
      <c r="W283" s="803"/>
      <c r="X283" s="803"/>
    </row>
    <row r="284" spans="1:24" x14ac:dyDescent="0.3">
      <c r="A284" s="2227">
        <v>116</v>
      </c>
      <c r="B284" s="219" t="s">
        <v>5448</v>
      </c>
      <c r="C284" s="2892" t="s">
        <v>5467</v>
      </c>
      <c r="D284" s="2893"/>
      <c r="E284" s="2893"/>
      <c r="F284" s="1929" t="s">
        <v>5316</v>
      </c>
      <c r="G284" s="218" t="s">
        <v>5446</v>
      </c>
      <c r="H284" s="192">
        <v>250</v>
      </c>
      <c r="I284" s="1773" t="s">
        <v>41</v>
      </c>
      <c r="J284" s="118" t="s">
        <v>25</v>
      </c>
      <c r="K284" s="34"/>
      <c r="L284" s="147"/>
      <c r="M284" s="147"/>
      <c r="N284" s="803"/>
      <c r="O284" s="803"/>
      <c r="P284" s="2428" t="s">
        <v>5885</v>
      </c>
      <c r="S284" s="118" t="s">
        <v>25</v>
      </c>
      <c r="T284" s="34"/>
      <c r="U284" s="147"/>
      <c r="V284" s="147"/>
      <c r="W284" s="803"/>
      <c r="X284" s="803"/>
    </row>
    <row r="285" spans="1:24" x14ac:dyDescent="0.3">
      <c r="A285" s="2227">
        <v>117</v>
      </c>
      <c r="B285" s="219" t="s">
        <v>5448</v>
      </c>
      <c r="C285" s="2892" t="s">
        <v>5466</v>
      </c>
      <c r="D285" s="2893"/>
      <c r="E285" s="2893"/>
      <c r="F285" s="1929" t="s">
        <v>5316</v>
      </c>
      <c r="G285" s="218" t="s">
        <v>5446</v>
      </c>
      <c r="H285" s="192">
        <v>250</v>
      </c>
      <c r="I285" s="1773" t="s">
        <v>41</v>
      </c>
      <c r="J285" s="118" t="s">
        <v>25</v>
      </c>
      <c r="K285" s="34"/>
      <c r="L285" s="147"/>
      <c r="M285" s="147"/>
      <c r="N285" s="803"/>
      <c r="O285" s="803"/>
      <c r="P285" s="2428" t="s">
        <v>5885</v>
      </c>
      <c r="S285" s="118" t="s">
        <v>25</v>
      </c>
      <c r="T285" s="34"/>
      <c r="U285" s="147"/>
      <c r="V285" s="147"/>
      <c r="W285" s="803"/>
      <c r="X285" s="803"/>
    </row>
    <row r="286" spans="1:24" x14ac:dyDescent="0.3">
      <c r="A286" s="2227">
        <v>118</v>
      </c>
      <c r="B286" s="219" t="s">
        <v>5448</v>
      </c>
      <c r="C286" s="2892" t="s">
        <v>5465</v>
      </c>
      <c r="D286" s="2893"/>
      <c r="E286" s="2893"/>
      <c r="F286" s="1929" t="s">
        <v>5316</v>
      </c>
      <c r="G286" s="218" t="s">
        <v>5446</v>
      </c>
      <c r="H286" s="192">
        <v>250</v>
      </c>
      <c r="I286" s="1773" t="s">
        <v>41</v>
      </c>
      <c r="J286" s="118" t="s">
        <v>25</v>
      </c>
      <c r="K286" s="34"/>
      <c r="L286" s="537"/>
      <c r="M286" s="803"/>
      <c r="N286" s="803"/>
      <c r="O286" s="803"/>
      <c r="P286" s="2428" t="s">
        <v>5885</v>
      </c>
      <c r="S286" s="118" t="s">
        <v>25</v>
      </c>
      <c r="T286" s="34"/>
      <c r="U286" s="537"/>
      <c r="V286" s="803"/>
      <c r="W286" s="803"/>
      <c r="X286" s="803"/>
    </row>
    <row r="287" spans="1:24" x14ac:dyDescent="0.3">
      <c r="A287" s="2227">
        <v>119</v>
      </c>
      <c r="B287" s="219" t="s">
        <v>5448</v>
      </c>
      <c r="C287" s="2892" t="s">
        <v>5464</v>
      </c>
      <c r="D287" s="2893"/>
      <c r="E287" s="2893"/>
      <c r="F287" s="1929" t="s">
        <v>5316</v>
      </c>
      <c r="G287" s="218" t="s">
        <v>5446</v>
      </c>
      <c r="H287" s="192">
        <v>250</v>
      </c>
      <c r="I287" s="1773" t="s">
        <v>41</v>
      </c>
      <c r="J287" s="118" t="s">
        <v>25</v>
      </c>
      <c r="K287" s="34"/>
      <c r="L287" s="537"/>
      <c r="M287" s="803"/>
      <c r="N287" s="803"/>
      <c r="O287" s="803"/>
      <c r="P287" s="2428" t="s">
        <v>5885</v>
      </c>
      <c r="S287" s="118" t="s">
        <v>25</v>
      </c>
      <c r="T287" s="34"/>
      <c r="U287" s="537"/>
      <c r="V287" s="803"/>
      <c r="W287" s="803"/>
      <c r="X287" s="803"/>
    </row>
    <row r="288" spans="1:24" x14ac:dyDescent="0.3">
      <c r="A288" s="2227">
        <v>120</v>
      </c>
      <c r="B288" s="219" t="s">
        <v>5448</v>
      </c>
      <c r="C288" s="2892" t="s">
        <v>5463</v>
      </c>
      <c r="D288" s="2893"/>
      <c r="E288" s="2893"/>
      <c r="F288" s="1929" t="s">
        <v>5316</v>
      </c>
      <c r="G288" s="218" t="s">
        <v>5446</v>
      </c>
      <c r="H288" s="192">
        <v>250</v>
      </c>
      <c r="I288" s="1773" t="s">
        <v>41</v>
      </c>
      <c r="J288" s="118" t="s">
        <v>25</v>
      </c>
      <c r="K288" s="34"/>
      <c r="L288" s="537"/>
      <c r="M288" s="803"/>
      <c r="N288" s="803"/>
      <c r="O288" s="803"/>
      <c r="P288" s="2428" t="s">
        <v>5885</v>
      </c>
      <c r="S288" s="118" t="s">
        <v>25</v>
      </c>
      <c r="T288" s="34"/>
      <c r="U288" s="537"/>
      <c r="V288" s="803"/>
      <c r="W288" s="803"/>
      <c r="X288" s="803"/>
    </row>
    <row r="289" spans="1:24" x14ac:dyDescent="0.3">
      <c r="A289" s="2227">
        <v>121</v>
      </c>
      <c r="B289" s="219" t="s">
        <v>5448</v>
      </c>
      <c r="C289" s="2892" t="s">
        <v>5462</v>
      </c>
      <c r="D289" s="2893"/>
      <c r="E289" s="2893"/>
      <c r="F289" s="1929" t="s">
        <v>5316</v>
      </c>
      <c r="G289" s="218" t="s">
        <v>5446</v>
      </c>
      <c r="H289" s="192">
        <v>250</v>
      </c>
      <c r="I289" s="1773" t="s">
        <v>41</v>
      </c>
      <c r="J289" s="118" t="s">
        <v>25</v>
      </c>
      <c r="K289" s="34"/>
      <c r="L289" s="537"/>
      <c r="M289" s="803"/>
      <c r="N289" s="803"/>
      <c r="O289" s="803"/>
      <c r="P289" s="2428" t="s">
        <v>5885</v>
      </c>
      <c r="S289" s="118" t="s">
        <v>25</v>
      </c>
      <c r="T289" s="34"/>
      <c r="U289" s="537"/>
      <c r="V289" s="803"/>
      <c r="W289" s="803"/>
      <c r="X289" s="803"/>
    </row>
    <row r="290" spans="1:24" x14ac:dyDescent="0.3">
      <c r="A290" s="2227">
        <v>122</v>
      </c>
      <c r="B290" s="219" t="s">
        <v>5448</v>
      </c>
      <c r="C290" s="2892" t="s">
        <v>5461</v>
      </c>
      <c r="D290" s="2893"/>
      <c r="E290" s="2893"/>
      <c r="F290" s="1929" t="s">
        <v>5316</v>
      </c>
      <c r="G290" s="218" t="s">
        <v>5446</v>
      </c>
      <c r="H290" s="192">
        <v>250</v>
      </c>
      <c r="I290" s="1773" t="s">
        <v>41</v>
      </c>
      <c r="J290" s="118" t="s">
        <v>25</v>
      </c>
      <c r="K290" s="34"/>
      <c r="L290" s="537"/>
      <c r="M290" s="803"/>
      <c r="N290" s="803"/>
      <c r="O290" s="803"/>
      <c r="P290" s="2428" t="s">
        <v>5885</v>
      </c>
      <c r="S290" s="118" t="s">
        <v>25</v>
      </c>
      <c r="T290" s="34"/>
      <c r="U290" s="537"/>
      <c r="V290" s="803"/>
      <c r="W290" s="803"/>
      <c r="X290" s="803"/>
    </row>
    <row r="291" spans="1:24" x14ac:dyDescent="0.3">
      <c r="A291" s="2227">
        <v>123</v>
      </c>
      <c r="B291" s="219" t="s">
        <v>5448</v>
      </c>
      <c r="C291" s="2892" t="s">
        <v>5460</v>
      </c>
      <c r="D291" s="2893"/>
      <c r="E291" s="2893"/>
      <c r="F291" s="1929" t="s">
        <v>5316</v>
      </c>
      <c r="G291" s="218" t="s">
        <v>5446</v>
      </c>
      <c r="H291" s="192">
        <v>250</v>
      </c>
      <c r="I291" s="1773" t="s">
        <v>41</v>
      </c>
      <c r="J291" s="118" t="s">
        <v>25</v>
      </c>
      <c r="K291" s="34"/>
      <c r="L291" s="537"/>
      <c r="M291" s="803"/>
      <c r="N291" s="803"/>
      <c r="O291" s="803"/>
      <c r="P291" s="2428" t="s">
        <v>5885</v>
      </c>
      <c r="S291" s="118" t="s">
        <v>25</v>
      </c>
      <c r="T291" s="34"/>
      <c r="U291" s="537"/>
      <c r="V291" s="803"/>
      <c r="W291" s="803"/>
      <c r="X291" s="803"/>
    </row>
    <row r="292" spans="1:24" x14ac:dyDescent="0.3">
      <c r="A292" s="2227">
        <v>124</v>
      </c>
      <c r="B292" s="219" t="s">
        <v>5448</v>
      </c>
      <c r="C292" s="2892" t="s">
        <v>5459</v>
      </c>
      <c r="D292" s="2893"/>
      <c r="E292" s="2893"/>
      <c r="F292" s="1929" t="s">
        <v>5316</v>
      </c>
      <c r="G292" s="218" t="s">
        <v>5446</v>
      </c>
      <c r="H292" s="192">
        <v>250</v>
      </c>
      <c r="I292" s="1773" t="s">
        <v>41</v>
      </c>
      <c r="J292" s="118" t="s">
        <v>25</v>
      </c>
      <c r="K292" s="34"/>
      <c r="L292" s="537"/>
      <c r="M292" s="803"/>
      <c r="N292" s="803"/>
      <c r="O292" s="803"/>
      <c r="P292" s="2428" t="s">
        <v>5885</v>
      </c>
      <c r="S292" s="118" t="s">
        <v>25</v>
      </c>
      <c r="T292" s="34"/>
      <c r="U292" s="537"/>
      <c r="V292" s="803"/>
      <c r="W292" s="803"/>
      <c r="X292" s="803"/>
    </row>
    <row r="293" spans="1:24" x14ac:dyDescent="0.3">
      <c r="A293" s="2227">
        <v>125</v>
      </c>
      <c r="B293" s="219" t="s">
        <v>5448</v>
      </c>
      <c r="C293" s="2892" t="s">
        <v>5458</v>
      </c>
      <c r="D293" s="2893"/>
      <c r="E293" s="2893"/>
      <c r="F293" s="1929" t="s">
        <v>5316</v>
      </c>
      <c r="G293" s="218" t="s">
        <v>5446</v>
      </c>
      <c r="H293" s="192">
        <v>250</v>
      </c>
      <c r="I293" s="1773" t="s">
        <v>41</v>
      </c>
      <c r="J293" s="118" t="s">
        <v>25</v>
      </c>
      <c r="K293" s="34"/>
      <c r="L293" s="537"/>
      <c r="M293" s="803"/>
      <c r="N293" s="803"/>
      <c r="O293" s="803"/>
      <c r="P293" s="2428" t="s">
        <v>5885</v>
      </c>
      <c r="S293" s="118" t="s">
        <v>25</v>
      </c>
      <c r="T293" s="34"/>
      <c r="U293" s="537"/>
      <c r="V293" s="803"/>
      <c r="W293" s="803"/>
      <c r="X293" s="803"/>
    </row>
    <row r="294" spans="1:24" x14ac:dyDescent="0.3">
      <c r="A294" s="2227">
        <v>126</v>
      </c>
      <c r="B294" s="219" t="s">
        <v>5448</v>
      </c>
      <c r="C294" s="2892" t="s">
        <v>5457</v>
      </c>
      <c r="D294" s="2893"/>
      <c r="E294" s="2893"/>
      <c r="F294" s="1929" t="s">
        <v>5316</v>
      </c>
      <c r="G294" s="218" t="s">
        <v>5446</v>
      </c>
      <c r="H294" s="192">
        <v>250</v>
      </c>
      <c r="I294" s="1773" t="s">
        <v>41</v>
      </c>
      <c r="J294" s="118" t="s">
        <v>25</v>
      </c>
      <c r="K294" s="34"/>
      <c r="L294" s="147"/>
      <c r="M294" s="317"/>
      <c r="N294" s="224"/>
      <c r="O294" s="87"/>
      <c r="P294" s="2428" t="s">
        <v>5885</v>
      </c>
      <c r="S294" s="118" t="s">
        <v>25</v>
      </c>
      <c r="T294" s="34"/>
      <c r="U294" s="147"/>
      <c r="V294" s="317"/>
      <c r="W294" s="224"/>
      <c r="X294" s="87"/>
    </row>
    <row r="295" spans="1:24" x14ac:dyDescent="0.3">
      <c r="A295" s="2227">
        <v>127</v>
      </c>
      <c r="B295" s="219" t="s">
        <v>5448</v>
      </c>
      <c r="C295" s="2892" t="s">
        <v>5456</v>
      </c>
      <c r="D295" s="2893"/>
      <c r="E295" s="2893"/>
      <c r="F295" s="1929" t="s">
        <v>5316</v>
      </c>
      <c r="G295" s="218" t="s">
        <v>5446</v>
      </c>
      <c r="H295" s="192">
        <v>250</v>
      </c>
      <c r="I295" s="1773" t="s">
        <v>41</v>
      </c>
      <c r="J295" s="118" t="s">
        <v>25</v>
      </c>
      <c r="K295" s="34"/>
      <c r="L295" s="147"/>
      <c r="M295" s="317"/>
      <c r="N295" s="224"/>
      <c r="O295" s="87"/>
      <c r="P295" s="2428" t="s">
        <v>5885</v>
      </c>
      <c r="S295" s="118" t="s">
        <v>25</v>
      </c>
      <c r="T295" s="34"/>
      <c r="U295" s="147"/>
      <c r="V295" s="317"/>
      <c r="W295" s="224"/>
      <c r="X295" s="87"/>
    </row>
    <row r="296" spans="1:24" x14ac:dyDescent="0.3">
      <c r="A296" s="2227">
        <v>128</v>
      </c>
      <c r="B296" s="219" t="s">
        <v>5448</v>
      </c>
      <c r="C296" s="2892" t="s">
        <v>5455</v>
      </c>
      <c r="D296" s="2893"/>
      <c r="E296" s="2893"/>
      <c r="F296" s="1929" t="s">
        <v>5316</v>
      </c>
      <c r="G296" s="218" t="s">
        <v>5446</v>
      </c>
      <c r="H296" s="192">
        <v>250</v>
      </c>
      <c r="I296" s="1773" t="s">
        <v>41</v>
      </c>
      <c r="J296" s="118" t="s">
        <v>25</v>
      </c>
      <c r="K296" s="34"/>
      <c r="L296" s="147"/>
      <c r="M296" s="317"/>
      <c r="N296" s="224"/>
      <c r="O296" s="87"/>
      <c r="P296" s="2428" t="s">
        <v>5885</v>
      </c>
      <c r="S296" s="118" t="s">
        <v>25</v>
      </c>
      <c r="T296" s="34"/>
      <c r="U296" s="147"/>
      <c r="V296" s="317"/>
      <c r="W296" s="224"/>
      <c r="X296" s="87"/>
    </row>
    <row r="297" spans="1:24" x14ac:dyDescent="0.3">
      <c r="A297" s="2227">
        <v>129</v>
      </c>
      <c r="B297" s="219" t="s">
        <v>5448</v>
      </c>
      <c r="C297" s="2892" t="s">
        <v>5454</v>
      </c>
      <c r="D297" s="2893"/>
      <c r="E297" s="2893"/>
      <c r="F297" s="1929" t="s">
        <v>5316</v>
      </c>
      <c r="G297" s="218" t="s">
        <v>5446</v>
      </c>
      <c r="H297" s="192">
        <v>250</v>
      </c>
      <c r="I297" s="1773" t="s">
        <v>41</v>
      </c>
      <c r="J297" s="118" t="s">
        <v>25</v>
      </c>
      <c r="K297" s="34"/>
      <c r="L297" s="147"/>
      <c r="M297" s="317"/>
      <c r="N297" s="224"/>
      <c r="O297" s="87"/>
      <c r="P297" s="2428" t="s">
        <v>5885</v>
      </c>
      <c r="S297" s="118" t="s">
        <v>25</v>
      </c>
      <c r="T297" s="34"/>
      <c r="U297" s="147"/>
      <c r="V297" s="317"/>
      <c r="W297" s="224"/>
      <c r="X297" s="87"/>
    </row>
    <row r="298" spans="1:24" x14ac:dyDescent="0.3">
      <c r="A298" s="2227">
        <v>130</v>
      </c>
      <c r="B298" s="219" t="s">
        <v>5448</v>
      </c>
      <c r="C298" s="2892" t="s">
        <v>5453</v>
      </c>
      <c r="D298" s="2893"/>
      <c r="E298" s="2893"/>
      <c r="F298" s="1929" t="s">
        <v>5316</v>
      </c>
      <c r="G298" s="218" t="s">
        <v>5446</v>
      </c>
      <c r="H298" s="192">
        <v>250</v>
      </c>
      <c r="I298" s="1773" t="s">
        <v>41</v>
      </c>
      <c r="J298" s="118" t="s">
        <v>25</v>
      </c>
      <c r="K298" s="34"/>
      <c r="L298" s="224"/>
      <c r="M298" s="224"/>
      <c r="N298" s="224"/>
      <c r="O298" s="224"/>
      <c r="P298" s="2428" t="s">
        <v>5885</v>
      </c>
      <c r="S298" s="118" t="s">
        <v>25</v>
      </c>
      <c r="T298" s="34"/>
      <c r="U298" s="224"/>
      <c r="V298" s="224"/>
      <c r="W298" s="224"/>
      <c r="X298" s="224"/>
    </row>
    <row r="299" spans="1:24" x14ac:dyDescent="0.3">
      <c r="A299" s="2227">
        <v>131</v>
      </c>
      <c r="B299" s="219" t="s">
        <v>5448</v>
      </c>
      <c r="C299" s="2892" t="s">
        <v>5452</v>
      </c>
      <c r="D299" s="2893"/>
      <c r="E299" s="2893"/>
      <c r="F299" s="1929" t="s">
        <v>5316</v>
      </c>
      <c r="G299" s="218" t="s">
        <v>5446</v>
      </c>
      <c r="H299" s="192">
        <v>250</v>
      </c>
      <c r="I299" s="1773" t="s">
        <v>41</v>
      </c>
      <c r="J299" s="118" t="s">
        <v>25</v>
      </c>
      <c r="K299" s="34"/>
      <c r="L299" s="537"/>
      <c r="M299" s="803"/>
      <c r="N299" s="803"/>
      <c r="O299" s="803"/>
      <c r="P299" s="2428" t="s">
        <v>5885</v>
      </c>
      <c r="S299" s="118" t="s">
        <v>25</v>
      </c>
      <c r="T299" s="34"/>
      <c r="U299" s="537"/>
      <c r="V299" s="803"/>
      <c r="W299" s="803"/>
      <c r="X299" s="803"/>
    </row>
    <row r="300" spans="1:24" x14ac:dyDescent="0.3">
      <c r="A300" s="2227">
        <v>132</v>
      </c>
      <c r="B300" s="219" t="s">
        <v>5448</v>
      </c>
      <c r="C300" s="2892" t="s">
        <v>5451</v>
      </c>
      <c r="D300" s="2893"/>
      <c r="E300" s="2893"/>
      <c r="F300" s="1929" t="s">
        <v>5316</v>
      </c>
      <c r="G300" s="218" t="s">
        <v>5446</v>
      </c>
      <c r="H300" s="192">
        <v>250</v>
      </c>
      <c r="I300" s="1773" t="s">
        <v>41</v>
      </c>
      <c r="J300" s="118" t="s">
        <v>25</v>
      </c>
      <c r="K300" s="34"/>
      <c r="L300" s="537"/>
      <c r="M300" s="803"/>
      <c r="N300" s="803"/>
      <c r="O300" s="803"/>
      <c r="P300" s="2428" t="s">
        <v>5885</v>
      </c>
      <c r="S300" s="118" t="s">
        <v>25</v>
      </c>
      <c r="T300" s="34"/>
      <c r="U300" s="537"/>
      <c r="V300" s="803"/>
      <c r="W300" s="803"/>
      <c r="X300" s="803"/>
    </row>
    <row r="301" spans="1:24" x14ac:dyDescent="0.3">
      <c r="A301" s="2227">
        <v>133</v>
      </c>
      <c r="B301" s="219" t="s">
        <v>5448</v>
      </c>
      <c r="C301" s="2892" t="s">
        <v>5450</v>
      </c>
      <c r="D301" s="2893"/>
      <c r="E301" s="2893"/>
      <c r="F301" s="1929" t="s">
        <v>5316</v>
      </c>
      <c r="G301" s="218" t="s">
        <v>5446</v>
      </c>
      <c r="H301" s="192">
        <v>250</v>
      </c>
      <c r="I301" s="1773" t="s">
        <v>41</v>
      </c>
      <c r="J301" s="118" t="s">
        <v>25</v>
      </c>
      <c r="K301" s="34"/>
      <c r="L301" s="537"/>
      <c r="M301" s="803"/>
      <c r="N301" s="803"/>
      <c r="O301" s="803"/>
      <c r="P301" s="2428" t="s">
        <v>5885</v>
      </c>
      <c r="S301" s="118" t="s">
        <v>25</v>
      </c>
      <c r="T301" s="34"/>
      <c r="U301" s="537"/>
      <c r="V301" s="803"/>
      <c r="W301" s="803"/>
      <c r="X301" s="803"/>
    </row>
    <row r="302" spans="1:24" x14ac:dyDescent="0.3">
      <c r="A302" s="2227">
        <v>134</v>
      </c>
      <c r="B302" s="219" t="s">
        <v>5448</v>
      </c>
      <c r="C302" s="2892" t="s">
        <v>5449</v>
      </c>
      <c r="D302" s="2893"/>
      <c r="E302" s="2893"/>
      <c r="F302" s="1929" t="s">
        <v>5316</v>
      </c>
      <c r="G302" s="218" t="s">
        <v>5446</v>
      </c>
      <c r="H302" s="192">
        <v>250</v>
      </c>
      <c r="I302" s="1773" t="s">
        <v>41</v>
      </c>
      <c r="J302" s="118" t="s">
        <v>25</v>
      </c>
      <c r="K302" s="34"/>
      <c r="L302" s="537"/>
      <c r="M302" s="803"/>
      <c r="N302" s="803"/>
      <c r="O302" s="803"/>
      <c r="P302" s="2428" t="s">
        <v>5885</v>
      </c>
      <c r="S302" s="118" t="s">
        <v>25</v>
      </c>
      <c r="T302" s="34"/>
      <c r="U302" s="537"/>
      <c r="V302" s="803"/>
      <c r="W302" s="803"/>
      <c r="X302" s="803"/>
    </row>
    <row r="303" spans="1:24" x14ac:dyDescent="0.3">
      <c r="A303" s="2227">
        <v>135</v>
      </c>
      <c r="B303" s="219" t="s">
        <v>5448</v>
      </c>
      <c r="C303" s="2892" t="s">
        <v>5447</v>
      </c>
      <c r="D303" s="2893"/>
      <c r="E303" s="2893"/>
      <c r="F303" s="1929" t="s">
        <v>5316</v>
      </c>
      <c r="G303" s="218" t="s">
        <v>5446</v>
      </c>
      <c r="H303" s="192">
        <v>250</v>
      </c>
      <c r="I303" s="1773" t="s">
        <v>41</v>
      </c>
      <c r="J303" s="118" t="s">
        <v>25</v>
      </c>
      <c r="K303" s="34"/>
      <c r="L303" s="537"/>
      <c r="M303" s="803"/>
      <c r="N303" s="803"/>
      <c r="O303" s="803"/>
      <c r="P303" s="2428" t="s">
        <v>5885</v>
      </c>
      <c r="S303" s="118" t="s">
        <v>25</v>
      </c>
      <c r="T303" s="34"/>
      <c r="U303" s="537"/>
      <c r="V303" s="803"/>
      <c r="W303" s="803"/>
      <c r="X303" s="803"/>
    </row>
    <row r="304" spans="1:24" x14ac:dyDescent="0.3">
      <c r="A304" s="2227">
        <v>136</v>
      </c>
      <c r="B304" s="219" t="s">
        <v>5396</v>
      </c>
      <c r="C304" s="2892" t="s">
        <v>5445</v>
      </c>
      <c r="D304" s="2893"/>
      <c r="E304" s="2893"/>
      <c r="F304" s="1929" t="s">
        <v>5316</v>
      </c>
      <c r="G304" s="218" t="s">
        <v>5394</v>
      </c>
      <c r="H304" s="192">
        <v>250</v>
      </c>
      <c r="I304" s="1773" t="s">
        <v>41</v>
      </c>
      <c r="J304" s="118" t="s">
        <v>25</v>
      </c>
      <c r="K304" s="34"/>
      <c r="L304" s="147"/>
      <c r="M304" s="317"/>
      <c r="N304" s="224"/>
      <c r="O304" s="87"/>
      <c r="P304" s="2428" t="s">
        <v>5885</v>
      </c>
      <c r="S304" s="118" t="s">
        <v>25</v>
      </c>
      <c r="T304" s="34"/>
      <c r="U304" s="147"/>
      <c r="V304" s="317"/>
      <c r="W304" s="224"/>
      <c r="X304" s="87"/>
    </row>
    <row r="305" spans="1:24" x14ac:dyDescent="0.3">
      <c r="A305" s="2227">
        <v>137</v>
      </c>
      <c r="B305" s="219" t="s">
        <v>5396</v>
      </c>
      <c r="C305" s="2892" t="s">
        <v>5444</v>
      </c>
      <c r="D305" s="2893"/>
      <c r="E305" s="2893"/>
      <c r="F305" s="1929" t="s">
        <v>5316</v>
      </c>
      <c r="G305" s="218" t="s">
        <v>5394</v>
      </c>
      <c r="H305" s="192">
        <v>250</v>
      </c>
      <c r="I305" s="1773" t="s">
        <v>41</v>
      </c>
      <c r="J305" s="118" t="s">
        <v>25</v>
      </c>
      <c r="K305" s="34"/>
      <c r="L305" s="537"/>
      <c r="M305" s="803"/>
      <c r="N305" s="803"/>
      <c r="O305" s="803"/>
      <c r="P305" s="2428" t="s">
        <v>5885</v>
      </c>
      <c r="S305" s="118" t="s">
        <v>25</v>
      </c>
      <c r="T305" s="34"/>
      <c r="U305" s="537"/>
      <c r="V305" s="803"/>
      <c r="W305" s="803"/>
      <c r="X305" s="803"/>
    </row>
    <row r="306" spans="1:24" x14ac:dyDescent="0.3">
      <c r="A306" s="2227">
        <v>138</v>
      </c>
      <c r="B306" s="219" t="s">
        <v>5396</v>
      </c>
      <c r="C306" s="2892" t="s">
        <v>5443</v>
      </c>
      <c r="D306" s="2893"/>
      <c r="E306" s="2893"/>
      <c r="F306" s="1929" t="s">
        <v>5316</v>
      </c>
      <c r="G306" s="218" t="s">
        <v>5394</v>
      </c>
      <c r="H306" s="192">
        <v>250</v>
      </c>
      <c r="I306" s="1773" t="s">
        <v>41</v>
      </c>
      <c r="J306" s="118" t="s">
        <v>25</v>
      </c>
      <c r="K306" s="34"/>
      <c r="L306" s="147"/>
      <c r="M306" s="147"/>
      <c r="N306" s="803"/>
      <c r="O306" s="803"/>
      <c r="P306" s="2428" t="s">
        <v>5885</v>
      </c>
      <c r="S306" s="118" t="s">
        <v>25</v>
      </c>
      <c r="T306" s="34"/>
      <c r="U306" s="147"/>
      <c r="V306" s="147"/>
      <c r="W306" s="803"/>
      <c r="X306" s="803"/>
    </row>
    <row r="307" spans="1:24" x14ac:dyDescent="0.3">
      <c r="A307" s="2227">
        <v>139</v>
      </c>
      <c r="B307" s="219" t="s">
        <v>5396</v>
      </c>
      <c r="C307" s="2892" t="s">
        <v>5442</v>
      </c>
      <c r="D307" s="2893"/>
      <c r="E307" s="2893"/>
      <c r="F307" s="1929" t="s">
        <v>5316</v>
      </c>
      <c r="G307" s="218" t="s">
        <v>5394</v>
      </c>
      <c r="H307" s="192">
        <v>250</v>
      </c>
      <c r="I307" s="1773" t="s">
        <v>41</v>
      </c>
      <c r="J307" s="118" t="s">
        <v>25</v>
      </c>
      <c r="K307" s="34"/>
      <c r="L307" s="147"/>
      <c r="M307" s="147"/>
      <c r="N307" s="803"/>
      <c r="O307" s="803"/>
      <c r="P307" s="2428" t="s">
        <v>5885</v>
      </c>
      <c r="S307" s="118" t="s">
        <v>25</v>
      </c>
      <c r="T307" s="34"/>
      <c r="U307" s="147"/>
      <c r="V307" s="147"/>
      <c r="W307" s="803"/>
      <c r="X307" s="803"/>
    </row>
    <row r="308" spans="1:24" x14ac:dyDescent="0.3">
      <c r="A308" s="2227">
        <v>140</v>
      </c>
      <c r="B308" s="219" t="s">
        <v>5396</v>
      </c>
      <c r="C308" s="2892" t="s">
        <v>5441</v>
      </c>
      <c r="D308" s="2893"/>
      <c r="E308" s="2893"/>
      <c r="F308" s="1929" t="s">
        <v>5316</v>
      </c>
      <c r="G308" s="218" t="s">
        <v>5394</v>
      </c>
      <c r="H308" s="192">
        <v>250</v>
      </c>
      <c r="I308" s="1773" t="s">
        <v>41</v>
      </c>
      <c r="J308" s="118" t="s">
        <v>25</v>
      </c>
      <c r="K308" s="34"/>
      <c r="L308" s="147"/>
      <c r="M308" s="147"/>
      <c r="N308" s="803"/>
      <c r="O308" s="803"/>
      <c r="P308" s="2428" t="s">
        <v>5885</v>
      </c>
      <c r="S308" s="118" t="s">
        <v>25</v>
      </c>
      <c r="T308" s="34"/>
      <c r="U308" s="147"/>
      <c r="V308" s="147"/>
      <c r="W308" s="803"/>
      <c r="X308" s="803"/>
    </row>
    <row r="309" spans="1:24" x14ac:dyDescent="0.3">
      <c r="A309" s="2227">
        <v>141</v>
      </c>
      <c r="B309" s="219" t="s">
        <v>5396</v>
      </c>
      <c r="C309" s="2892" t="s">
        <v>5440</v>
      </c>
      <c r="D309" s="2893"/>
      <c r="E309" s="2893"/>
      <c r="F309" s="1929" t="s">
        <v>5316</v>
      </c>
      <c r="G309" s="218" t="s">
        <v>5394</v>
      </c>
      <c r="H309" s="192">
        <v>250</v>
      </c>
      <c r="I309" s="1773" t="s">
        <v>41</v>
      </c>
      <c r="J309" s="118" t="s">
        <v>25</v>
      </c>
      <c r="K309" s="34"/>
      <c r="L309" s="147"/>
      <c r="M309" s="147"/>
      <c r="N309" s="803"/>
      <c r="O309" s="803"/>
      <c r="P309" s="2428" t="s">
        <v>5885</v>
      </c>
      <c r="S309" s="118" t="s">
        <v>25</v>
      </c>
      <c r="T309" s="34"/>
      <c r="U309" s="147"/>
      <c r="V309" s="147"/>
      <c r="W309" s="803"/>
      <c r="X309" s="803"/>
    </row>
    <row r="310" spans="1:24" x14ac:dyDescent="0.3">
      <c r="A310" s="2227">
        <v>142</v>
      </c>
      <c r="B310" s="219" t="s">
        <v>5396</v>
      </c>
      <c r="C310" s="2892" t="s">
        <v>5439</v>
      </c>
      <c r="D310" s="2893"/>
      <c r="E310" s="2893"/>
      <c r="F310" s="1929" t="s">
        <v>5316</v>
      </c>
      <c r="G310" s="218" t="s">
        <v>5394</v>
      </c>
      <c r="H310" s="192">
        <v>250</v>
      </c>
      <c r="I310" s="1773" t="s">
        <v>41</v>
      </c>
      <c r="J310" s="118" t="s">
        <v>25</v>
      </c>
      <c r="K310" s="34"/>
      <c r="L310" s="537"/>
      <c r="M310" s="803"/>
      <c r="N310" s="803"/>
      <c r="O310" s="803"/>
      <c r="P310" s="2428" t="s">
        <v>5885</v>
      </c>
      <c r="S310" s="118" t="s">
        <v>25</v>
      </c>
      <c r="T310" s="34"/>
      <c r="U310" s="537"/>
      <c r="V310" s="803"/>
      <c r="W310" s="803"/>
      <c r="X310" s="803"/>
    </row>
    <row r="311" spans="1:24" x14ac:dyDescent="0.3">
      <c r="A311" s="2227">
        <v>143</v>
      </c>
      <c r="B311" s="219" t="s">
        <v>5396</v>
      </c>
      <c r="C311" s="2892" t="s">
        <v>5438</v>
      </c>
      <c r="D311" s="2893"/>
      <c r="E311" s="2893"/>
      <c r="F311" s="1929" t="s">
        <v>5316</v>
      </c>
      <c r="G311" s="218" t="s">
        <v>5394</v>
      </c>
      <c r="H311" s="192">
        <v>250</v>
      </c>
      <c r="I311" s="1773" t="s">
        <v>41</v>
      </c>
      <c r="J311" s="118" t="s">
        <v>25</v>
      </c>
      <c r="K311" s="34"/>
      <c r="L311" s="537"/>
      <c r="M311" s="803"/>
      <c r="N311" s="803"/>
      <c r="O311" s="803"/>
      <c r="P311" s="2428" t="s">
        <v>5885</v>
      </c>
      <c r="S311" s="118" t="s">
        <v>25</v>
      </c>
      <c r="T311" s="34"/>
      <c r="U311" s="537"/>
      <c r="V311" s="803"/>
      <c r="W311" s="803"/>
      <c r="X311" s="803"/>
    </row>
    <row r="312" spans="1:24" x14ac:dyDescent="0.3">
      <c r="A312" s="2227">
        <v>144</v>
      </c>
      <c r="B312" s="219" t="s">
        <v>5396</v>
      </c>
      <c r="C312" s="2892" t="s">
        <v>5437</v>
      </c>
      <c r="D312" s="2893"/>
      <c r="E312" s="2893"/>
      <c r="F312" s="1929" t="s">
        <v>5316</v>
      </c>
      <c r="G312" s="218" t="s">
        <v>5394</v>
      </c>
      <c r="H312" s="192">
        <v>250</v>
      </c>
      <c r="I312" s="1773" t="s">
        <v>41</v>
      </c>
      <c r="J312" s="118" t="s">
        <v>25</v>
      </c>
      <c r="K312" s="34"/>
      <c r="L312" s="537"/>
      <c r="M312" s="803"/>
      <c r="N312" s="803"/>
      <c r="O312" s="803"/>
      <c r="P312" s="2428" t="s">
        <v>5885</v>
      </c>
      <c r="S312" s="118" t="s">
        <v>25</v>
      </c>
      <c r="T312" s="34"/>
      <c r="U312" s="537"/>
      <c r="V312" s="803"/>
      <c r="W312" s="803"/>
      <c r="X312" s="803"/>
    </row>
    <row r="313" spans="1:24" x14ac:dyDescent="0.3">
      <c r="A313" s="2227">
        <v>145</v>
      </c>
      <c r="B313" s="219" t="s">
        <v>5396</v>
      </c>
      <c r="C313" s="2892" t="s">
        <v>5436</v>
      </c>
      <c r="D313" s="2893"/>
      <c r="E313" s="2893"/>
      <c r="F313" s="1929" t="s">
        <v>5316</v>
      </c>
      <c r="G313" s="218" t="s">
        <v>5394</v>
      </c>
      <c r="H313" s="192">
        <v>250</v>
      </c>
      <c r="I313" s="1773" t="s">
        <v>41</v>
      </c>
      <c r="J313" s="118" t="s">
        <v>25</v>
      </c>
      <c r="K313" s="34"/>
      <c r="L313" s="537"/>
      <c r="M313" s="803"/>
      <c r="N313" s="803"/>
      <c r="O313" s="803"/>
      <c r="P313" s="2428" t="s">
        <v>5885</v>
      </c>
      <c r="S313" s="118" t="s">
        <v>25</v>
      </c>
      <c r="T313" s="34"/>
      <c r="U313" s="537"/>
      <c r="V313" s="803"/>
      <c r="W313" s="803"/>
      <c r="X313" s="803"/>
    </row>
    <row r="314" spans="1:24" x14ac:dyDescent="0.3">
      <c r="A314" s="2227">
        <v>146</v>
      </c>
      <c r="B314" s="219" t="s">
        <v>5396</v>
      </c>
      <c r="C314" s="2892" t="s">
        <v>5435</v>
      </c>
      <c r="D314" s="2893"/>
      <c r="E314" s="2893"/>
      <c r="F314" s="1929" t="s">
        <v>5316</v>
      </c>
      <c r="G314" s="218" t="s">
        <v>5394</v>
      </c>
      <c r="H314" s="192">
        <v>250</v>
      </c>
      <c r="I314" s="1773" t="s">
        <v>41</v>
      </c>
      <c r="J314" s="118" t="s">
        <v>25</v>
      </c>
      <c r="K314" s="34"/>
      <c r="L314" s="537"/>
      <c r="M314" s="803"/>
      <c r="N314" s="803"/>
      <c r="O314" s="803"/>
      <c r="P314" s="2428" t="s">
        <v>5885</v>
      </c>
      <c r="S314" s="118" t="s">
        <v>25</v>
      </c>
      <c r="T314" s="34"/>
      <c r="U314" s="537"/>
      <c r="V314" s="803"/>
      <c r="W314" s="803"/>
      <c r="X314" s="803"/>
    </row>
    <row r="315" spans="1:24" x14ac:dyDescent="0.3">
      <c r="A315" s="2227">
        <v>147</v>
      </c>
      <c r="B315" s="219" t="s">
        <v>5396</v>
      </c>
      <c r="C315" s="2892" t="s">
        <v>5434</v>
      </c>
      <c r="D315" s="2893"/>
      <c r="E315" s="2893"/>
      <c r="F315" s="1929" t="s">
        <v>5316</v>
      </c>
      <c r="G315" s="218" t="s">
        <v>5394</v>
      </c>
      <c r="H315" s="192">
        <v>250</v>
      </c>
      <c r="I315" s="1773" t="s">
        <v>41</v>
      </c>
      <c r="J315" s="118" t="s">
        <v>25</v>
      </c>
      <c r="K315" s="34"/>
      <c r="L315" s="537"/>
      <c r="M315" s="803"/>
      <c r="N315" s="803"/>
      <c r="O315" s="803"/>
      <c r="P315" s="2428" t="s">
        <v>5885</v>
      </c>
      <c r="S315" s="118" t="s">
        <v>25</v>
      </c>
      <c r="T315" s="34"/>
      <c r="U315" s="537"/>
      <c r="V315" s="803"/>
      <c r="W315" s="803"/>
      <c r="X315" s="803"/>
    </row>
    <row r="316" spans="1:24" x14ac:dyDescent="0.3">
      <c r="A316" s="2227">
        <v>148</v>
      </c>
      <c r="B316" s="219" t="s">
        <v>5396</v>
      </c>
      <c r="C316" s="2892" t="s">
        <v>5433</v>
      </c>
      <c r="D316" s="2893"/>
      <c r="E316" s="2893"/>
      <c r="F316" s="1929" t="s">
        <v>5316</v>
      </c>
      <c r="G316" s="218" t="s">
        <v>5394</v>
      </c>
      <c r="H316" s="192">
        <v>250</v>
      </c>
      <c r="I316" s="1773" t="s">
        <v>41</v>
      </c>
      <c r="J316" s="118" t="s">
        <v>25</v>
      </c>
      <c r="K316" s="34"/>
      <c r="L316" s="537"/>
      <c r="M316" s="803"/>
      <c r="N316" s="803"/>
      <c r="O316" s="803"/>
      <c r="P316" s="2428" t="s">
        <v>5885</v>
      </c>
      <c r="S316" s="118" t="s">
        <v>25</v>
      </c>
      <c r="T316" s="34"/>
      <c r="U316" s="537"/>
      <c r="V316" s="803"/>
      <c r="W316" s="803"/>
      <c r="X316" s="803"/>
    </row>
    <row r="317" spans="1:24" x14ac:dyDescent="0.3">
      <c r="A317" s="2227">
        <v>149</v>
      </c>
      <c r="B317" s="219" t="s">
        <v>5396</v>
      </c>
      <c r="C317" s="2892" t="s">
        <v>5432</v>
      </c>
      <c r="D317" s="2893"/>
      <c r="E317" s="2893"/>
      <c r="F317" s="1929" t="s">
        <v>5316</v>
      </c>
      <c r="G317" s="218" t="s">
        <v>5394</v>
      </c>
      <c r="H317" s="192">
        <v>250</v>
      </c>
      <c r="I317" s="1773" t="s">
        <v>41</v>
      </c>
      <c r="J317" s="118" t="s">
        <v>25</v>
      </c>
      <c r="K317" s="34"/>
      <c r="L317" s="537"/>
      <c r="M317" s="803"/>
      <c r="N317" s="803"/>
      <c r="O317" s="803"/>
      <c r="P317" s="2428" t="s">
        <v>5885</v>
      </c>
      <c r="S317" s="118" t="s">
        <v>25</v>
      </c>
      <c r="T317" s="34"/>
      <c r="U317" s="537"/>
      <c r="V317" s="803"/>
      <c r="W317" s="803"/>
      <c r="X317" s="803"/>
    </row>
    <row r="318" spans="1:24" x14ac:dyDescent="0.3">
      <c r="A318" s="2227">
        <v>150</v>
      </c>
      <c r="B318" s="219" t="s">
        <v>5396</v>
      </c>
      <c r="C318" s="2892" t="s">
        <v>5431</v>
      </c>
      <c r="D318" s="2893"/>
      <c r="E318" s="2893"/>
      <c r="F318" s="1929" t="s">
        <v>5316</v>
      </c>
      <c r="G318" s="218" t="s">
        <v>5394</v>
      </c>
      <c r="H318" s="192">
        <v>250</v>
      </c>
      <c r="I318" s="1773" t="s">
        <v>41</v>
      </c>
      <c r="J318" s="118" t="s">
        <v>25</v>
      </c>
      <c r="K318" s="34"/>
      <c r="L318" s="537"/>
      <c r="M318" s="803"/>
      <c r="N318" s="803"/>
      <c r="O318" s="803"/>
      <c r="P318" s="2428" t="s">
        <v>5885</v>
      </c>
      <c r="S318" s="118" t="s">
        <v>25</v>
      </c>
      <c r="T318" s="34"/>
      <c r="U318" s="537"/>
      <c r="V318" s="803"/>
      <c r="W318" s="803"/>
      <c r="X318" s="803"/>
    </row>
    <row r="319" spans="1:24" x14ac:dyDescent="0.3">
      <c r="A319" s="2227">
        <v>151</v>
      </c>
      <c r="B319" s="219" t="s">
        <v>5396</v>
      </c>
      <c r="C319" s="2892" t="s">
        <v>5430</v>
      </c>
      <c r="D319" s="2893"/>
      <c r="E319" s="2893"/>
      <c r="F319" s="1929" t="s">
        <v>5316</v>
      </c>
      <c r="G319" s="218" t="s">
        <v>5394</v>
      </c>
      <c r="H319" s="192">
        <v>250</v>
      </c>
      <c r="I319" s="1773" t="s">
        <v>41</v>
      </c>
      <c r="J319" s="118" t="s">
        <v>25</v>
      </c>
      <c r="K319" s="34"/>
      <c r="L319" s="147"/>
      <c r="M319" s="317"/>
      <c r="N319" s="224"/>
      <c r="O319" s="87"/>
      <c r="P319" s="2428" t="s">
        <v>5885</v>
      </c>
      <c r="S319" s="118" t="s">
        <v>25</v>
      </c>
      <c r="T319" s="34"/>
      <c r="U319" s="147"/>
      <c r="V319" s="317"/>
      <c r="W319" s="224"/>
      <c r="X319" s="87"/>
    </row>
    <row r="320" spans="1:24" x14ac:dyDescent="0.3">
      <c r="A320" s="2227">
        <v>152</v>
      </c>
      <c r="B320" s="219" t="s">
        <v>5396</v>
      </c>
      <c r="C320" s="2892" t="s">
        <v>5429</v>
      </c>
      <c r="D320" s="2893"/>
      <c r="E320" s="2893"/>
      <c r="F320" s="1929" t="s">
        <v>5316</v>
      </c>
      <c r="G320" s="218" t="s">
        <v>5394</v>
      </c>
      <c r="H320" s="192">
        <v>250</v>
      </c>
      <c r="I320" s="1773" t="s">
        <v>41</v>
      </c>
      <c r="J320" s="118" t="s">
        <v>25</v>
      </c>
      <c r="K320" s="34"/>
      <c r="L320" s="147"/>
      <c r="M320" s="317"/>
      <c r="N320" s="224"/>
      <c r="O320" s="87"/>
      <c r="P320" s="2428" t="s">
        <v>5885</v>
      </c>
      <c r="S320" s="118" t="s">
        <v>25</v>
      </c>
      <c r="T320" s="34"/>
      <c r="U320" s="147"/>
      <c r="V320" s="317"/>
      <c r="W320" s="224"/>
      <c r="X320" s="87"/>
    </row>
    <row r="321" spans="1:24" x14ac:dyDescent="0.3">
      <c r="A321" s="2227">
        <v>153</v>
      </c>
      <c r="B321" s="219" t="s">
        <v>5396</v>
      </c>
      <c r="C321" s="2892" t="s">
        <v>5428</v>
      </c>
      <c r="D321" s="2893"/>
      <c r="E321" s="2893"/>
      <c r="F321" s="1929" t="s">
        <v>5316</v>
      </c>
      <c r="G321" s="218" t="s">
        <v>5394</v>
      </c>
      <c r="H321" s="192">
        <v>250</v>
      </c>
      <c r="I321" s="1773" t="s">
        <v>41</v>
      </c>
      <c r="J321" s="118" t="s">
        <v>25</v>
      </c>
      <c r="K321" s="34"/>
      <c r="L321" s="147"/>
      <c r="M321" s="317"/>
      <c r="N321" s="224"/>
      <c r="O321" s="87"/>
      <c r="P321" s="2428" t="s">
        <v>5885</v>
      </c>
      <c r="S321" s="118" t="s">
        <v>25</v>
      </c>
      <c r="T321" s="34"/>
      <c r="U321" s="147"/>
      <c r="V321" s="317"/>
      <c r="W321" s="224"/>
      <c r="X321" s="87"/>
    </row>
    <row r="322" spans="1:24" x14ac:dyDescent="0.3">
      <c r="A322" s="2227">
        <v>154</v>
      </c>
      <c r="B322" s="219" t="s">
        <v>5396</v>
      </c>
      <c r="C322" s="2892" t="s">
        <v>5427</v>
      </c>
      <c r="D322" s="2893"/>
      <c r="E322" s="2893"/>
      <c r="F322" s="1929" t="s">
        <v>5316</v>
      </c>
      <c r="G322" s="218" t="s">
        <v>5394</v>
      </c>
      <c r="H322" s="192">
        <v>250</v>
      </c>
      <c r="I322" s="1773" t="s">
        <v>41</v>
      </c>
      <c r="J322" s="118" t="s">
        <v>25</v>
      </c>
      <c r="K322" s="34"/>
      <c r="L322" s="537"/>
      <c r="M322" s="803"/>
      <c r="N322" s="803"/>
      <c r="O322" s="803"/>
      <c r="P322" s="2428" t="s">
        <v>5885</v>
      </c>
      <c r="S322" s="118" t="s">
        <v>25</v>
      </c>
      <c r="T322" s="34"/>
      <c r="U322" s="537"/>
      <c r="V322" s="803"/>
      <c r="W322" s="803"/>
      <c r="X322" s="803"/>
    </row>
    <row r="323" spans="1:24" x14ac:dyDescent="0.3">
      <c r="A323" s="2227">
        <v>155</v>
      </c>
      <c r="B323" s="219" t="s">
        <v>5396</v>
      </c>
      <c r="C323" s="2892" t="s">
        <v>5426</v>
      </c>
      <c r="D323" s="2893"/>
      <c r="E323" s="2893"/>
      <c r="F323" s="1929" t="s">
        <v>5316</v>
      </c>
      <c r="G323" s="218" t="s">
        <v>5394</v>
      </c>
      <c r="H323" s="192">
        <v>250</v>
      </c>
      <c r="I323" s="1773" t="s">
        <v>41</v>
      </c>
      <c r="J323" s="118" t="s">
        <v>25</v>
      </c>
      <c r="K323" s="34"/>
      <c r="L323" s="147"/>
      <c r="M323" s="147"/>
      <c r="N323" s="803"/>
      <c r="O323" s="803"/>
      <c r="P323" s="2428" t="s">
        <v>5885</v>
      </c>
      <c r="S323" s="118" t="s">
        <v>25</v>
      </c>
      <c r="T323" s="34"/>
      <c r="U323" s="147"/>
      <c r="V323" s="147"/>
      <c r="W323" s="803"/>
      <c r="X323" s="803"/>
    </row>
    <row r="324" spans="1:24" x14ac:dyDescent="0.3">
      <c r="A324" s="2227">
        <v>156</v>
      </c>
      <c r="B324" s="219" t="s">
        <v>5396</v>
      </c>
      <c r="C324" s="2892" t="s">
        <v>5425</v>
      </c>
      <c r="D324" s="2893"/>
      <c r="E324" s="2893"/>
      <c r="F324" s="1929" t="s">
        <v>5316</v>
      </c>
      <c r="G324" s="218" t="s">
        <v>5394</v>
      </c>
      <c r="H324" s="192">
        <v>250</v>
      </c>
      <c r="I324" s="1773" t="s">
        <v>41</v>
      </c>
      <c r="J324" s="118" t="s">
        <v>25</v>
      </c>
      <c r="K324" s="34"/>
      <c r="L324" s="147"/>
      <c r="M324" s="147"/>
      <c r="N324" s="803"/>
      <c r="O324" s="803"/>
      <c r="P324" s="2428" t="s">
        <v>5885</v>
      </c>
      <c r="S324" s="118" t="s">
        <v>25</v>
      </c>
      <c r="T324" s="34"/>
      <c r="U324" s="147"/>
      <c r="V324" s="147"/>
      <c r="W324" s="803"/>
      <c r="X324" s="803"/>
    </row>
    <row r="325" spans="1:24" x14ac:dyDescent="0.3">
      <c r="A325" s="2227">
        <v>157</v>
      </c>
      <c r="B325" s="219" t="s">
        <v>5396</v>
      </c>
      <c r="C325" s="2892" t="s">
        <v>5424</v>
      </c>
      <c r="D325" s="2893"/>
      <c r="E325" s="2893"/>
      <c r="F325" s="1929" t="s">
        <v>5316</v>
      </c>
      <c r="G325" s="218" t="s">
        <v>5394</v>
      </c>
      <c r="H325" s="192">
        <v>250</v>
      </c>
      <c r="I325" s="1773" t="s">
        <v>41</v>
      </c>
      <c r="J325" s="118" t="s">
        <v>25</v>
      </c>
      <c r="K325" s="147"/>
      <c r="L325" s="147"/>
      <c r="M325" s="147"/>
      <c r="N325" s="803"/>
      <c r="O325" s="803"/>
      <c r="P325" s="2428" t="s">
        <v>5885</v>
      </c>
      <c r="S325" s="118" t="s">
        <v>25</v>
      </c>
      <c r="T325" s="147"/>
      <c r="U325" s="147"/>
      <c r="V325" s="147"/>
      <c r="W325" s="803"/>
      <c r="X325" s="803"/>
    </row>
    <row r="326" spans="1:24" x14ac:dyDescent="0.3">
      <c r="A326" s="2227">
        <v>158</v>
      </c>
      <c r="B326" s="219" t="s">
        <v>5396</v>
      </c>
      <c r="C326" s="2892" t="s">
        <v>5423</v>
      </c>
      <c r="D326" s="2893"/>
      <c r="E326" s="2893"/>
      <c r="F326" s="1929" t="s">
        <v>5316</v>
      </c>
      <c r="G326" s="218" t="s">
        <v>5394</v>
      </c>
      <c r="H326" s="192">
        <v>250</v>
      </c>
      <c r="I326" s="1773" t="s">
        <v>41</v>
      </c>
      <c r="J326" s="118" t="s">
        <v>25</v>
      </c>
      <c r="K326" s="147"/>
      <c r="L326" s="147"/>
      <c r="M326" s="147"/>
      <c r="N326" s="803"/>
      <c r="O326" s="803"/>
      <c r="P326" s="2428" t="s">
        <v>5885</v>
      </c>
      <c r="S326" s="118" t="s">
        <v>25</v>
      </c>
      <c r="T326" s="147"/>
      <c r="U326" s="147"/>
      <c r="V326" s="147"/>
      <c r="W326" s="803"/>
      <c r="X326" s="803"/>
    </row>
    <row r="327" spans="1:24" x14ac:dyDescent="0.3">
      <c r="A327" s="2227">
        <v>159</v>
      </c>
      <c r="B327" s="219" t="s">
        <v>5396</v>
      </c>
      <c r="C327" s="2892" t="s">
        <v>5422</v>
      </c>
      <c r="D327" s="2893"/>
      <c r="E327" s="2893"/>
      <c r="F327" s="1929" t="s">
        <v>5316</v>
      </c>
      <c r="G327" s="218" t="s">
        <v>5394</v>
      </c>
      <c r="H327" s="192">
        <v>250</v>
      </c>
      <c r="I327" s="1773" t="s">
        <v>41</v>
      </c>
      <c r="J327" s="118" t="s">
        <v>25</v>
      </c>
      <c r="K327" s="147"/>
      <c r="L327" s="537"/>
      <c r="M327" s="803"/>
      <c r="N327" s="803"/>
      <c r="O327" s="803"/>
      <c r="P327" s="2428" t="s">
        <v>5885</v>
      </c>
      <c r="S327" s="118" t="s">
        <v>25</v>
      </c>
      <c r="T327" s="147"/>
      <c r="U327" s="537"/>
      <c r="V327" s="803"/>
      <c r="W327" s="803"/>
      <c r="X327" s="803"/>
    </row>
    <row r="328" spans="1:24" x14ac:dyDescent="0.3">
      <c r="A328" s="2227">
        <v>160</v>
      </c>
      <c r="B328" s="219" t="s">
        <v>5396</v>
      </c>
      <c r="C328" s="2892" t="s">
        <v>5421</v>
      </c>
      <c r="D328" s="2893"/>
      <c r="E328" s="2893"/>
      <c r="F328" s="1929" t="s">
        <v>5316</v>
      </c>
      <c r="G328" s="218" t="s">
        <v>5394</v>
      </c>
      <c r="H328" s="192">
        <v>250</v>
      </c>
      <c r="I328" s="1773" t="s">
        <v>41</v>
      </c>
      <c r="J328" s="118" t="s">
        <v>25</v>
      </c>
      <c r="K328" s="147"/>
      <c r="L328" s="537"/>
      <c r="M328" s="803"/>
      <c r="N328" s="803"/>
      <c r="O328" s="803"/>
      <c r="P328" s="2428" t="s">
        <v>5885</v>
      </c>
      <c r="S328" s="118" t="s">
        <v>25</v>
      </c>
      <c r="T328" s="147"/>
      <c r="U328" s="537"/>
      <c r="V328" s="803"/>
      <c r="W328" s="803"/>
      <c r="X328" s="803"/>
    </row>
    <row r="329" spans="1:24" x14ac:dyDescent="0.3">
      <c r="A329" s="2227">
        <v>161</v>
      </c>
      <c r="B329" s="219" t="s">
        <v>5396</v>
      </c>
      <c r="C329" s="2892" t="s">
        <v>5420</v>
      </c>
      <c r="D329" s="2893"/>
      <c r="E329" s="2893"/>
      <c r="F329" s="1929" t="s">
        <v>5316</v>
      </c>
      <c r="G329" s="218" t="s">
        <v>5394</v>
      </c>
      <c r="H329" s="192">
        <v>250</v>
      </c>
      <c r="I329" s="1773" t="s">
        <v>41</v>
      </c>
      <c r="J329" s="118" t="s">
        <v>25</v>
      </c>
      <c r="K329" s="147"/>
      <c r="L329" s="537"/>
      <c r="M329" s="803"/>
      <c r="N329" s="803"/>
      <c r="O329" s="803"/>
      <c r="P329" s="2428" t="s">
        <v>5885</v>
      </c>
      <c r="S329" s="118" t="s">
        <v>25</v>
      </c>
      <c r="T329" s="147"/>
      <c r="U329" s="537"/>
      <c r="V329" s="803"/>
      <c r="W329" s="803"/>
      <c r="X329" s="803"/>
    </row>
    <row r="330" spans="1:24" x14ac:dyDescent="0.3">
      <c r="A330" s="2227">
        <v>162</v>
      </c>
      <c r="B330" s="219" t="s">
        <v>5396</v>
      </c>
      <c r="C330" s="2892" t="s">
        <v>5419</v>
      </c>
      <c r="D330" s="2893"/>
      <c r="E330" s="2893"/>
      <c r="F330" s="1929" t="s">
        <v>5316</v>
      </c>
      <c r="G330" s="218" t="s">
        <v>5394</v>
      </c>
      <c r="H330" s="192">
        <v>250</v>
      </c>
      <c r="I330" s="1773" t="s">
        <v>41</v>
      </c>
      <c r="J330" s="118" t="s">
        <v>25</v>
      </c>
      <c r="K330" s="147"/>
      <c r="L330" s="537"/>
      <c r="M330" s="803"/>
      <c r="N330" s="803"/>
      <c r="O330" s="803"/>
      <c r="P330" s="2428" t="s">
        <v>5885</v>
      </c>
      <c r="S330" s="118" t="s">
        <v>25</v>
      </c>
      <c r="T330" s="147"/>
      <c r="U330" s="537"/>
      <c r="V330" s="803"/>
      <c r="W330" s="803"/>
      <c r="X330" s="803"/>
    </row>
    <row r="331" spans="1:24" x14ac:dyDescent="0.3">
      <c r="A331" s="2227">
        <v>163</v>
      </c>
      <c r="B331" s="219" t="s">
        <v>5396</v>
      </c>
      <c r="C331" s="2892" t="s">
        <v>5418</v>
      </c>
      <c r="D331" s="2893"/>
      <c r="E331" s="2893"/>
      <c r="F331" s="1929" t="s">
        <v>5316</v>
      </c>
      <c r="G331" s="218" t="s">
        <v>5394</v>
      </c>
      <c r="H331" s="192">
        <v>250</v>
      </c>
      <c r="I331" s="1773" t="s">
        <v>41</v>
      </c>
      <c r="J331" s="118" t="s">
        <v>25</v>
      </c>
      <c r="K331" s="147"/>
      <c r="L331" s="537"/>
      <c r="M331" s="803"/>
      <c r="N331" s="803"/>
      <c r="O331" s="803"/>
      <c r="P331" s="2428" t="s">
        <v>5885</v>
      </c>
      <c r="S331" s="118" t="s">
        <v>25</v>
      </c>
      <c r="T331" s="147"/>
      <c r="U331" s="537"/>
      <c r="V331" s="803"/>
      <c r="W331" s="803"/>
      <c r="X331" s="803"/>
    </row>
    <row r="332" spans="1:24" x14ac:dyDescent="0.3">
      <c r="A332" s="2227">
        <v>164</v>
      </c>
      <c r="B332" s="219" t="s">
        <v>5396</v>
      </c>
      <c r="C332" s="2892" t="s">
        <v>5417</v>
      </c>
      <c r="D332" s="2893"/>
      <c r="E332" s="2893"/>
      <c r="F332" s="1929" t="s">
        <v>5316</v>
      </c>
      <c r="G332" s="218" t="s">
        <v>5394</v>
      </c>
      <c r="H332" s="192">
        <v>250</v>
      </c>
      <c r="I332" s="1773" t="s">
        <v>41</v>
      </c>
      <c r="J332" s="118" t="s">
        <v>25</v>
      </c>
      <c r="K332" s="147"/>
      <c r="L332" s="537"/>
      <c r="M332" s="803"/>
      <c r="N332" s="803"/>
      <c r="O332" s="803"/>
      <c r="P332" s="2428" t="s">
        <v>5885</v>
      </c>
      <c r="S332" s="118" t="s">
        <v>25</v>
      </c>
      <c r="T332" s="147"/>
      <c r="U332" s="537"/>
      <c r="V332" s="803"/>
      <c r="W332" s="803"/>
      <c r="X332" s="803"/>
    </row>
    <row r="333" spans="1:24" x14ac:dyDescent="0.3">
      <c r="A333" s="2227">
        <v>165</v>
      </c>
      <c r="B333" s="219" t="s">
        <v>5396</v>
      </c>
      <c r="C333" s="2892" t="s">
        <v>5416</v>
      </c>
      <c r="D333" s="2893"/>
      <c r="E333" s="2893"/>
      <c r="F333" s="1929" t="s">
        <v>5316</v>
      </c>
      <c r="G333" s="218" t="s">
        <v>5394</v>
      </c>
      <c r="H333" s="192">
        <v>250</v>
      </c>
      <c r="I333" s="1773" t="s">
        <v>41</v>
      </c>
      <c r="J333" s="118" t="s">
        <v>25</v>
      </c>
      <c r="K333" s="147"/>
      <c r="L333" s="537"/>
      <c r="M333" s="803"/>
      <c r="N333" s="803"/>
      <c r="O333" s="803"/>
      <c r="P333" s="2428" t="s">
        <v>5885</v>
      </c>
      <c r="S333" s="118" t="s">
        <v>25</v>
      </c>
      <c r="T333" s="147"/>
      <c r="U333" s="537"/>
      <c r="V333" s="803"/>
      <c r="W333" s="803"/>
      <c r="X333" s="803"/>
    </row>
    <row r="334" spans="1:24" x14ac:dyDescent="0.3">
      <c r="A334" s="2227">
        <v>166</v>
      </c>
      <c r="B334" s="219" t="s">
        <v>5396</v>
      </c>
      <c r="C334" s="2892" t="s">
        <v>5415</v>
      </c>
      <c r="D334" s="2893"/>
      <c r="E334" s="2893"/>
      <c r="F334" s="1929" t="s">
        <v>5316</v>
      </c>
      <c r="G334" s="218" t="s">
        <v>5394</v>
      </c>
      <c r="H334" s="192">
        <v>250</v>
      </c>
      <c r="I334" s="1773" t="s">
        <v>41</v>
      </c>
      <c r="J334" s="118" t="s">
        <v>25</v>
      </c>
      <c r="K334" s="147"/>
      <c r="L334" s="537"/>
      <c r="M334" s="803"/>
      <c r="N334" s="803"/>
      <c r="O334" s="803"/>
      <c r="P334" s="2428" t="s">
        <v>5885</v>
      </c>
      <c r="S334" s="118" t="s">
        <v>25</v>
      </c>
      <c r="T334" s="147"/>
      <c r="U334" s="537"/>
      <c r="V334" s="803"/>
      <c r="W334" s="803"/>
      <c r="X334" s="803"/>
    </row>
    <row r="335" spans="1:24" x14ac:dyDescent="0.3">
      <c r="A335" s="2227">
        <v>167</v>
      </c>
      <c r="B335" s="219" t="s">
        <v>5396</v>
      </c>
      <c r="C335" s="2892" t="s">
        <v>5414</v>
      </c>
      <c r="D335" s="2893"/>
      <c r="E335" s="2893"/>
      <c r="F335" s="1929" t="s">
        <v>5316</v>
      </c>
      <c r="G335" s="218" t="s">
        <v>5394</v>
      </c>
      <c r="H335" s="192">
        <v>250</v>
      </c>
      <c r="I335" s="1773" t="s">
        <v>41</v>
      </c>
      <c r="J335" s="118" t="s">
        <v>25</v>
      </c>
      <c r="K335" s="147"/>
      <c r="L335" s="537"/>
      <c r="M335" s="803"/>
      <c r="N335" s="803"/>
      <c r="O335" s="803"/>
      <c r="P335" s="2428" t="s">
        <v>5885</v>
      </c>
      <c r="S335" s="118" t="s">
        <v>25</v>
      </c>
      <c r="T335" s="147"/>
      <c r="U335" s="537"/>
      <c r="V335" s="803"/>
      <c r="W335" s="803"/>
      <c r="X335" s="803"/>
    </row>
    <row r="336" spans="1:24" x14ac:dyDescent="0.3">
      <c r="A336" s="2227">
        <v>168</v>
      </c>
      <c r="B336" s="219" t="s">
        <v>5396</v>
      </c>
      <c r="C336" s="2892" t="s">
        <v>5413</v>
      </c>
      <c r="D336" s="2893"/>
      <c r="E336" s="2893"/>
      <c r="F336" s="1929" t="s">
        <v>5316</v>
      </c>
      <c r="G336" s="218" t="s">
        <v>5394</v>
      </c>
      <c r="H336" s="192">
        <v>250</v>
      </c>
      <c r="I336" s="1773" t="s">
        <v>41</v>
      </c>
      <c r="J336" s="118" t="s">
        <v>25</v>
      </c>
      <c r="K336" s="224"/>
      <c r="L336" s="147"/>
      <c r="M336" s="317"/>
      <c r="N336" s="224"/>
      <c r="O336" s="87"/>
      <c r="P336" s="2428" t="s">
        <v>5885</v>
      </c>
      <c r="S336" s="118" t="s">
        <v>25</v>
      </c>
      <c r="T336" s="224"/>
      <c r="U336" s="147"/>
      <c r="V336" s="317"/>
      <c r="W336" s="224"/>
      <c r="X336" s="87"/>
    </row>
    <row r="337" spans="1:24" x14ac:dyDescent="0.3">
      <c r="A337" s="2227">
        <v>169</v>
      </c>
      <c r="B337" s="219" t="s">
        <v>5396</v>
      </c>
      <c r="C337" s="2892" t="s">
        <v>5412</v>
      </c>
      <c r="D337" s="2893"/>
      <c r="E337" s="2893"/>
      <c r="F337" s="1929" t="s">
        <v>5316</v>
      </c>
      <c r="G337" s="218" t="s">
        <v>5394</v>
      </c>
      <c r="H337" s="192">
        <v>250</v>
      </c>
      <c r="I337" s="1773" t="s">
        <v>41</v>
      </c>
      <c r="J337" s="118" t="s">
        <v>25</v>
      </c>
      <c r="K337" s="224"/>
      <c r="L337" s="147"/>
      <c r="M337" s="317"/>
      <c r="N337" s="224"/>
      <c r="O337" s="87"/>
      <c r="P337" s="2428" t="s">
        <v>5885</v>
      </c>
      <c r="S337" s="118" t="s">
        <v>25</v>
      </c>
      <c r="T337" s="224"/>
      <c r="U337" s="147"/>
      <c r="V337" s="317"/>
      <c r="W337" s="224"/>
      <c r="X337" s="87"/>
    </row>
    <row r="338" spans="1:24" x14ac:dyDescent="0.3">
      <c r="A338" s="2227">
        <v>170</v>
      </c>
      <c r="B338" s="219" t="s">
        <v>5396</v>
      </c>
      <c r="C338" s="2892" t="s">
        <v>5411</v>
      </c>
      <c r="D338" s="2893"/>
      <c r="E338" s="2893"/>
      <c r="F338" s="1929" t="s">
        <v>5316</v>
      </c>
      <c r="G338" s="218" t="s">
        <v>5394</v>
      </c>
      <c r="H338" s="192">
        <v>250</v>
      </c>
      <c r="I338" s="1773" t="s">
        <v>41</v>
      </c>
      <c r="J338" s="118" t="s">
        <v>25</v>
      </c>
      <c r="K338" s="224"/>
      <c r="L338" s="147"/>
      <c r="M338" s="317"/>
      <c r="N338" s="224"/>
      <c r="O338" s="87"/>
      <c r="P338" s="2428" t="s">
        <v>5885</v>
      </c>
      <c r="S338" s="118" t="s">
        <v>25</v>
      </c>
      <c r="T338" s="224"/>
      <c r="U338" s="147"/>
      <c r="V338" s="317"/>
      <c r="W338" s="224"/>
      <c r="X338" s="87"/>
    </row>
    <row r="339" spans="1:24" x14ac:dyDescent="0.3">
      <c r="A339" s="2227">
        <v>171</v>
      </c>
      <c r="B339" s="219" t="s">
        <v>5396</v>
      </c>
      <c r="C339" s="2892" t="s">
        <v>5410</v>
      </c>
      <c r="D339" s="2893"/>
      <c r="E339" s="2893"/>
      <c r="F339" s="1929" t="s">
        <v>5316</v>
      </c>
      <c r="G339" s="218" t="s">
        <v>5394</v>
      </c>
      <c r="H339" s="192">
        <v>250</v>
      </c>
      <c r="I339" s="1773" t="s">
        <v>41</v>
      </c>
      <c r="J339" s="118" t="s">
        <v>25</v>
      </c>
      <c r="K339" s="147"/>
      <c r="L339" s="537"/>
      <c r="M339" s="803"/>
      <c r="N339" s="803"/>
      <c r="O339" s="803"/>
      <c r="P339" s="2428" t="s">
        <v>5885</v>
      </c>
      <c r="S339" s="118" t="s">
        <v>25</v>
      </c>
      <c r="T339" s="147"/>
      <c r="U339" s="537"/>
      <c r="V339" s="803"/>
      <c r="W339" s="803"/>
      <c r="X339" s="803"/>
    </row>
    <row r="340" spans="1:24" x14ac:dyDescent="0.3">
      <c r="A340" s="2227">
        <v>172</v>
      </c>
      <c r="B340" s="219" t="s">
        <v>5396</v>
      </c>
      <c r="C340" s="2892" t="s">
        <v>5409</v>
      </c>
      <c r="D340" s="2893"/>
      <c r="E340" s="2893"/>
      <c r="F340" s="1929" t="s">
        <v>5316</v>
      </c>
      <c r="G340" s="218" t="s">
        <v>5394</v>
      </c>
      <c r="H340" s="192">
        <v>250</v>
      </c>
      <c r="I340" s="1773" t="s">
        <v>41</v>
      </c>
      <c r="J340" s="118" t="s">
        <v>25</v>
      </c>
      <c r="K340" s="224"/>
      <c r="L340" s="147"/>
      <c r="M340" s="317"/>
      <c r="N340" s="224"/>
      <c r="O340" s="87"/>
      <c r="P340" s="2428" t="s">
        <v>5885</v>
      </c>
      <c r="S340" s="118" t="s">
        <v>25</v>
      </c>
      <c r="T340" s="224"/>
      <c r="U340" s="147"/>
      <c r="V340" s="317"/>
      <c r="W340" s="224"/>
      <c r="X340" s="87"/>
    </row>
    <row r="341" spans="1:24" x14ac:dyDescent="0.3">
      <c r="A341" s="2227">
        <v>173</v>
      </c>
      <c r="B341" s="219" t="s">
        <v>5396</v>
      </c>
      <c r="C341" s="2892" t="s">
        <v>5408</v>
      </c>
      <c r="D341" s="2893"/>
      <c r="E341" s="2893"/>
      <c r="F341" s="1929" t="s">
        <v>5316</v>
      </c>
      <c r="G341" s="218" t="s">
        <v>5394</v>
      </c>
      <c r="H341" s="192">
        <v>250</v>
      </c>
      <c r="I341" s="1773" t="s">
        <v>41</v>
      </c>
      <c r="J341" s="118" t="s">
        <v>25</v>
      </c>
      <c r="K341" s="224"/>
      <c r="L341" s="147"/>
      <c r="M341" s="317"/>
      <c r="N341" s="224"/>
      <c r="O341" s="87"/>
      <c r="P341" s="2428" t="s">
        <v>5885</v>
      </c>
      <c r="S341" s="118" t="s">
        <v>25</v>
      </c>
      <c r="T341" s="224"/>
      <c r="U341" s="147"/>
      <c r="V341" s="317"/>
      <c r="W341" s="224"/>
      <c r="X341" s="87"/>
    </row>
    <row r="342" spans="1:24" x14ac:dyDescent="0.3">
      <c r="A342" s="2227">
        <v>174</v>
      </c>
      <c r="B342" s="219" t="s">
        <v>5396</v>
      </c>
      <c r="C342" s="2892" t="s">
        <v>5407</v>
      </c>
      <c r="D342" s="2893"/>
      <c r="E342" s="2893"/>
      <c r="F342" s="1929" t="s">
        <v>5316</v>
      </c>
      <c r="G342" s="218" t="s">
        <v>5394</v>
      </c>
      <c r="H342" s="192">
        <v>250</v>
      </c>
      <c r="I342" s="1773" t="s">
        <v>41</v>
      </c>
      <c r="J342" s="118" t="s">
        <v>25</v>
      </c>
      <c r="K342" s="224"/>
      <c r="L342" s="147"/>
      <c r="M342" s="317"/>
      <c r="N342" s="224"/>
      <c r="O342" s="87"/>
      <c r="P342" s="2428" t="s">
        <v>5885</v>
      </c>
      <c r="S342" s="118" t="s">
        <v>25</v>
      </c>
      <c r="T342" s="224"/>
      <c r="U342" s="147"/>
      <c r="V342" s="317"/>
      <c r="W342" s="224"/>
      <c r="X342" s="87"/>
    </row>
    <row r="343" spans="1:24" x14ac:dyDescent="0.3">
      <c r="A343" s="2227">
        <v>175</v>
      </c>
      <c r="B343" s="219" t="s">
        <v>5396</v>
      </c>
      <c r="C343" s="2892" t="s">
        <v>5406</v>
      </c>
      <c r="D343" s="2893"/>
      <c r="E343" s="2893"/>
      <c r="F343" s="1929" t="s">
        <v>5316</v>
      </c>
      <c r="G343" s="218" t="s">
        <v>5394</v>
      </c>
      <c r="H343" s="192">
        <v>250</v>
      </c>
      <c r="I343" s="1773" t="s">
        <v>41</v>
      </c>
      <c r="J343" s="118" t="s">
        <v>25</v>
      </c>
      <c r="K343" s="224"/>
      <c r="L343" s="147"/>
      <c r="M343" s="317"/>
      <c r="N343" s="224"/>
      <c r="O343" s="87"/>
      <c r="P343" s="2428" t="s">
        <v>5885</v>
      </c>
      <c r="S343" s="118" t="s">
        <v>25</v>
      </c>
      <c r="T343" s="224"/>
      <c r="U343" s="147"/>
      <c r="V343" s="317"/>
      <c r="W343" s="224"/>
      <c r="X343" s="87"/>
    </row>
    <row r="344" spans="1:24" x14ac:dyDescent="0.3">
      <c r="A344" s="2227">
        <v>176</v>
      </c>
      <c r="B344" s="219" t="s">
        <v>5396</v>
      </c>
      <c r="C344" s="2892" t="s">
        <v>5405</v>
      </c>
      <c r="D344" s="2893"/>
      <c r="E344" s="2893"/>
      <c r="F344" s="1929" t="s">
        <v>5316</v>
      </c>
      <c r="G344" s="218" t="s">
        <v>5394</v>
      </c>
      <c r="H344" s="192">
        <v>250</v>
      </c>
      <c r="I344" s="1773" t="s">
        <v>41</v>
      </c>
      <c r="J344" s="118" t="s">
        <v>25</v>
      </c>
      <c r="K344" s="224"/>
      <c r="L344" s="147"/>
      <c r="M344" s="317"/>
      <c r="N344" s="224"/>
      <c r="O344" s="87"/>
      <c r="P344" s="2428" t="s">
        <v>5885</v>
      </c>
      <c r="S344" s="118" t="s">
        <v>25</v>
      </c>
      <c r="T344" s="224"/>
      <c r="U344" s="147"/>
      <c r="V344" s="317"/>
      <c r="W344" s="224"/>
      <c r="X344" s="87"/>
    </row>
    <row r="345" spans="1:24" x14ac:dyDescent="0.3">
      <c r="A345" s="2227">
        <v>177</v>
      </c>
      <c r="B345" s="219" t="s">
        <v>5396</v>
      </c>
      <c r="C345" s="2892" t="s">
        <v>5404</v>
      </c>
      <c r="D345" s="2893"/>
      <c r="E345" s="2893"/>
      <c r="F345" s="1929" t="s">
        <v>5316</v>
      </c>
      <c r="G345" s="218" t="s">
        <v>5394</v>
      </c>
      <c r="H345" s="192">
        <v>250</v>
      </c>
      <c r="I345" s="1773" t="s">
        <v>41</v>
      </c>
      <c r="J345" s="118" t="s">
        <v>25</v>
      </c>
      <c r="K345" s="224"/>
      <c r="L345" s="147"/>
      <c r="M345" s="317"/>
      <c r="N345" s="224"/>
      <c r="O345" s="87"/>
      <c r="P345" s="2428" t="s">
        <v>5885</v>
      </c>
      <c r="S345" s="118" t="s">
        <v>25</v>
      </c>
      <c r="T345" s="224"/>
      <c r="U345" s="147"/>
      <c r="V345" s="317"/>
      <c r="W345" s="224"/>
      <c r="X345" s="87"/>
    </row>
    <row r="346" spans="1:24" x14ac:dyDescent="0.3">
      <c r="A346" s="2227">
        <v>178</v>
      </c>
      <c r="B346" s="219" t="s">
        <v>5396</v>
      </c>
      <c r="C346" s="2892" t="s">
        <v>5403</v>
      </c>
      <c r="D346" s="2893"/>
      <c r="E346" s="2893"/>
      <c r="F346" s="1929" t="s">
        <v>5316</v>
      </c>
      <c r="G346" s="218" t="s">
        <v>5394</v>
      </c>
      <c r="H346" s="192">
        <v>250</v>
      </c>
      <c r="I346" s="1773" t="s">
        <v>41</v>
      </c>
      <c r="J346" s="118" t="s">
        <v>25</v>
      </c>
      <c r="K346" s="224"/>
      <c r="L346" s="147"/>
      <c r="M346" s="317"/>
      <c r="N346" s="224"/>
      <c r="O346" s="87"/>
      <c r="P346" s="2428" t="s">
        <v>5885</v>
      </c>
      <c r="S346" s="118" t="s">
        <v>25</v>
      </c>
      <c r="T346" s="224"/>
      <c r="U346" s="147"/>
      <c r="V346" s="317"/>
      <c r="W346" s="224"/>
      <c r="X346" s="87"/>
    </row>
    <row r="347" spans="1:24" x14ac:dyDescent="0.3">
      <c r="A347" s="2227">
        <v>179</v>
      </c>
      <c r="B347" s="219" t="s">
        <v>5396</v>
      </c>
      <c r="C347" s="2892" t="s">
        <v>5402</v>
      </c>
      <c r="D347" s="2893"/>
      <c r="E347" s="2893"/>
      <c r="F347" s="1929" t="s">
        <v>5316</v>
      </c>
      <c r="G347" s="218" t="s">
        <v>5394</v>
      </c>
      <c r="H347" s="192">
        <v>250</v>
      </c>
      <c r="I347" s="1773" t="s">
        <v>41</v>
      </c>
      <c r="J347" s="118" t="s">
        <v>25</v>
      </c>
      <c r="K347" s="224"/>
      <c r="L347" s="147"/>
      <c r="M347" s="317"/>
      <c r="N347" s="224"/>
      <c r="O347" s="87"/>
      <c r="P347" s="2428" t="s">
        <v>5885</v>
      </c>
      <c r="S347" s="118" t="s">
        <v>25</v>
      </c>
      <c r="T347" s="224"/>
      <c r="U347" s="147"/>
      <c r="V347" s="317"/>
      <c r="W347" s="224"/>
      <c r="X347" s="87"/>
    </row>
    <row r="348" spans="1:24" x14ac:dyDescent="0.3">
      <c r="A348" s="2227">
        <v>180</v>
      </c>
      <c r="B348" s="1930" t="s">
        <v>5396</v>
      </c>
      <c r="C348" s="2892" t="s">
        <v>5401</v>
      </c>
      <c r="D348" s="2893"/>
      <c r="E348" s="2893"/>
      <c r="F348" s="1929" t="s">
        <v>5316</v>
      </c>
      <c r="G348" s="218" t="s">
        <v>5394</v>
      </c>
      <c r="H348" s="192">
        <v>250</v>
      </c>
      <c r="I348" s="1773" t="s">
        <v>41</v>
      </c>
      <c r="J348" s="118" t="s">
        <v>25</v>
      </c>
      <c r="K348" s="224"/>
      <c r="L348" s="147"/>
      <c r="M348" s="317"/>
      <c r="N348" s="224"/>
      <c r="O348" s="87"/>
      <c r="P348" s="2428" t="s">
        <v>5885</v>
      </c>
      <c r="S348" s="118" t="s">
        <v>25</v>
      </c>
      <c r="T348" s="224"/>
      <c r="U348" s="147"/>
      <c r="V348" s="317"/>
      <c r="W348" s="224"/>
      <c r="X348" s="87"/>
    </row>
    <row r="349" spans="1:24" x14ac:dyDescent="0.3">
      <c r="A349" s="2227">
        <v>181</v>
      </c>
      <c r="B349" s="219" t="s">
        <v>5396</v>
      </c>
      <c r="C349" s="2892" t="s">
        <v>5400</v>
      </c>
      <c r="D349" s="2893"/>
      <c r="E349" s="2893"/>
      <c r="F349" s="1929" t="s">
        <v>5316</v>
      </c>
      <c r="G349" s="218" t="s">
        <v>5394</v>
      </c>
      <c r="H349" s="192">
        <v>250</v>
      </c>
      <c r="I349" s="1773" t="s">
        <v>41</v>
      </c>
      <c r="J349" s="118" t="s">
        <v>25</v>
      </c>
      <c r="K349" s="224"/>
      <c r="L349" s="537"/>
      <c r="M349" s="803"/>
      <c r="N349" s="803"/>
      <c r="O349" s="803"/>
      <c r="P349" s="2428" t="s">
        <v>5885</v>
      </c>
      <c r="S349" s="118" t="s">
        <v>25</v>
      </c>
      <c r="T349" s="224"/>
      <c r="U349" s="537"/>
      <c r="V349" s="803"/>
      <c r="W349" s="803"/>
      <c r="X349" s="803"/>
    </row>
    <row r="350" spans="1:24" x14ac:dyDescent="0.3">
      <c r="A350" s="2227">
        <v>182</v>
      </c>
      <c r="B350" s="219" t="s">
        <v>5396</v>
      </c>
      <c r="C350" s="2892" t="s">
        <v>5399</v>
      </c>
      <c r="D350" s="2893"/>
      <c r="E350" s="2893"/>
      <c r="F350" s="1929" t="s">
        <v>5316</v>
      </c>
      <c r="G350" s="218" t="s">
        <v>5394</v>
      </c>
      <c r="H350" s="192">
        <v>250</v>
      </c>
      <c r="I350" s="1773" t="s">
        <v>41</v>
      </c>
      <c r="J350" s="118" t="s">
        <v>25</v>
      </c>
      <c r="K350" s="224"/>
      <c r="L350" s="537"/>
      <c r="M350" s="803"/>
      <c r="N350" s="803"/>
      <c r="O350" s="803"/>
      <c r="P350" s="2428" t="s">
        <v>5885</v>
      </c>
      <c r="S350" s="118" t="s">
        <v>25</v>
      </c>
      <c r="T350" s="224"/>
      <c r="U350" s="537"/>
      <c r="V350" s="803"/>
      <c r="W350" s="803"/>
      <c r="X350" s="803"/>
    </row>
    <row r="351" spans="1:24" x14ac:dyDescent="0.3">
      <c r="A351" s="2227">
        <v>183</v>
      </c>
      <c r="B351" s="219" t="s">
        <v>5396</v>
      </c>
      <c r="C351" s="2892" t="s">
        <v>5398</v>
      </c>
      <c r="D351" s="2893"/>
      <c r="E351" s="2893"/>
      <c r="F351" s="1929" t="s">
        <v>5316</v>
      </c>
      <c r="G351" s="218" t="s">
        <v>5394</v>
      </c>
      <c r="H351" s="192">
        <v>250</v>
      </c>
      <c r="I351" s="1773" t="s">
        <v>41</v>
      </c>
      <c r="J351" s="118" t="s">
        <v>25</v>
      </c>
      <c r="K351" s="224"/>
      <c r="L351" s="537"/>
      <c r="M351" s="803"/>
      <c r="N351" s="803"/>
      <c r="O351" s="803"/>
      <c r="P351" s="2428" t="s">
        <v>5885</v>
      </c>
      <c r="S351" s="118" t="s">
        <v>25</v>
      </c>
      <c r="T351" s="224"/>
      <c r="U351" s="537"/>
      <c r="V351" s="803"/>
      <c r="W351" s="803"/>
      <c r="X351" s="803"/>
    </row>
    <row r="352" spans="1:24" x14ac:dyDescent="0.3">
      <c r="A352" s="2227">
        <v>184</v>
      </c>
      <c r="B352" s="219" t="s">
        <v>5396</v>
      </c>
      <c r="C352" s="2892" t="s">
        <v>5397</v>
      </c>
      <c r="D352" s="2893"/>
      <c r="E352" s="2893"/>
      <c r="F352" s="1929" t="s">
        <v>5316</v>
      </c>
      <c r="G352" s="218" t="s">
        <v>5394</v>
      </c>
      <c r="H352" s="192">
        <v>250</v>
      </c>
      <c r="I352" s="1773" t="s">
        <v>41</v>
      </c>
      <c r="J352" s="118" t="s">
        <v>25</v>
      </c>
      <c r="K352" s="224"/>
      <c r="L352" s="537"/>
      <c r="M352" s="803"/>
      <c r="N352" s="803"/>
      <c r="O352" s="803"/>
      <c r="P352" s="2428" t="s">
        <v>5885</v>
      </c>
      <c r="S352" s="118" t="s">
        <v>25</v>
      </c>
      <c r="T352" s="224"/>
      <c r="U352" s="537"/>
      <c r="V352" s="803"/>
      <c r="W352" s="803"/>
      <c r="X352" s="803"/>
    </row>
    <row r="353" spans="1:24" x14ac:dyDescent="0.3">
      <c r="A353" s="2227">
        <v>185</v>
      </c>
      <c r="B353" s="219" t="s">
        <v>5396</v>
      </c>
      <c r="C353" s="2892" t="s">
        <v>5395</v>
      </c>
      <c r="D353" s="2893"/>
      <c r="E353" s="2893"/>
      <c r="F353" s="1929" t="s">
        <v>5316</v>
      </c>
      <c r="G353" s="218" t="s">
        <v>5394</v>
      </c>
      <c r="H353" s="192">
        <v>250</v>
      </c>
      <c r="I353" s="1773" t="s">
        <v>41</v>
      </c>
      <c r="J353" s="118" t="s">
        <v>25</v>
      </c>
      <c r="K353" s="224"/>
      <c r="L353" s="537"/>
      <c r="M353" s="803"/>
      <c r="N353" s="803"/>
      <c r="O353" s="803"/>
      <c r="P353" s="2428" t="s">
        <v>5885</v>
      </c>
      <c r="S353" s="118" t="s">
        <v>25</v>
      </c>
      <c r="T353" s="224"/>
      <c r="U353" s="537"/>
      <c r="V353" s="803"/>
      <c r="W353" s="803"/>
      <c r="X353" s="803"/>
    </row>
    <row r="354" spans="1:24" x14ac:dyDescent="0.3">
      <c r="A354" s="2227">
        <v>186</v>
      </c>
      <c r="B354" s="1611" t="s">
        <v>5384</v>
      </c>
      <c r="C354" s="2957" t="s">
        <v>5393</v>
      </c>
      <c r="D354" s="2958"/>
      <c r="E354" s="2958"/>
      <c r="F354" s="1926" t="s">
        <v>5316</v>
      </c>
      <c r="G354" s="711" t="s">
        <v>5391</v>
      </c>
      <c r="H354" s="703">
        <v>2000</v>
      </c>
      <c r="I354" s="1925" t="s">
        <v>811</v>
      </c>
      <c r="J354" s="118" t="s">
        <v>25</v>
      </c>
      <c r="K354" s="104"/>
      <c r="L354" s="104"/>
      <c r="M354" s="104"/>
      <c r="N354" s="104"/>
      <c r="O354" s="104"/>
      <c r="P354" s="2303" t="s">
        <v>4641</v>
      </c>
      <c r="S354" s="118" t="s">
        <v>25</v>
      </c>
      <c r="T354" s="104"/>
      <c r="U354" s="104"/>
      <c r="V354" s="104"/>
      <c r="W354" s="104"/>
      <c r="X354" s="104"/>
    </row>
    <row r="355" spans="1:24" x14ac:dyDescent="0.3">
      <c r="A355" s="2227">
        <v>187</v>
      </c>
      <c r="B355" s="1611" t="s">
        <v>5384</v>
      </c>
      <c r="C355" s="2957" t="s">
        <v>5392</v>
      </c>
      <c r="D355" s="2958"/>
      <c r="E355" s="2958"/>
      <c r="F355" s="1926" t="s">
        <v>5316</v>
      </c>
      <c r="G355" s="711" t="s">
        <v>5391</v>
      </c>
      <c r="H355" s="703">
        <v>2000</v>
      </c>
      <c r="I355" s="1925" t="s">
        <v>811</v>
      </c>
      <c r="J355" s="118" t="s">
        <v>25</v>
      </c>
      <c r="K355" s="104"/>
      <c r="L355" s="104"/>
      <c r="M355" s="104"/>
      <c r="N355" s="104"/>
      <c r="O355" s="104"/>
      <c r="P355" s="111"/>
      <c r="S355" s="118" t="s">
        <v>25</v>
      </c>
      <c r="T355" s="104"/>
      <c r="U355" s="104"/>
      <c r="V355" s="104"/>
      <c r="W355" s="104"/>
      <c r="X355" s="104"/>
    </row>
    <row r="356" spans="1:24" x14ac:dyDescent="0.3">
      <c r="A356" s="2227">
        <v>188</v>
      </c>
      <c r="B356" s="1611" t="s">
        <v>5390</v>
      </c>
      <c r="C356" s="2957" t="s">
        <v>5389</v>
      </c>
      <c r="D356" s="2958"/>
      <c r="E356" s="2958"/>
      <c r="F356" s="1926" t="s">
        <v>5316</v>
      </c>
      <c r="G356" s="711" t="s">
        <v>5388</v>
      </c>
      <c r="H356" s="703">
        <v>2000</v>
      </c>
      <c r="I356" s="1925" t="s">
        <v>811</v>
      </c>
      <c r="J356" s="104" t="s">
        <v>25</v>
      </c>
      <c r="K356" s="104"/>
      <c r="L356" s="104"/>
      <c r="M356" s="104"/>
      <c r="N356" s="104"/>
      <c r="O356" s="104"/>
      <c r="P356" s="2308" t="s">
        <v>115</v>
      </c>
      <c r="S356" s="104" t="s">
        <v>25</v>
      </c>
      <c r="T356" s="104"/>
      <c r="U356" s="104"/>
      <c r="V356" s="104"/>
      <c r="W356" s="104"/>
      <c r="X356" s="104"/>
    </row>
    <row r="357" spans="1:24" x14ac:dyDescent="0.3">
      <c r="A357" s="2227">
        <v>189</v>
      </c>
      <c r="B357" s="531" t="s">
        <v>5386</v>
      </c>
      <c r="C357" s="2929" t="s">
        <v>5387</v>
      </c>
      <c r="D357" s="2930"/>
      <c r="E357" s="2930"/>
      <c r="F357" s="1927" t="s">
        <v>5316</v>
      </c>
      <c r="G357" s="1440">
        <v>21039</v>
      </c>
      <c r="H357" s="412">
        <v>2000</v>
      </c>
      <c r="I357" s="1928" t="s">
        <v>865</v>
      </c>
      <c r="J357" s="121" t="s">
        <v>25</v>
      </c>
      <c r="K357" s="121"/>
      <c r="L357" s="121"/>
      <c r="M357" s="121"/>
      <c r="N357" s="121"/>
      <c r="O357" s="121"/>
      <c r="P357" s="2328" t="s">
        <v>109</v>
      </c>
      <c r="S357" s="121" t="s">
        <v>25</v>
      </c>
      <c r="T357" s="121"/>
      <c r="U357" s="121"/>
      <c r="V357" s="121"/>
      <c r="W357" s="121"/>
      <c r="X357" s="121"/>
    </row>
    <row r="358" spans="1:24" x14ac:dyDescent="0.3">
      <c r="A358" s="2227">
        <v>190</v>
      </c>
      <c r="B358" s="531" t="s">
        <v>5386</v>
      </c>
      <c r="C358" s="2929" t="s">
        <v>5385</v>
      </c>
      <c r="D358" s="2930"/>
      <c r="E358" s="2930"/>
      <c r="F358" s="1927" t="s">
        <v>5316</v>
      </c>
      <c r="G358" s="1440">
        <v>21039</v>
      </c>
      <c r="H358" s="412">
        <v>2000</v>
      </c>
      <c r="I358" s="1928" t="s">
        <v>865</v>
      </c>
      <c r="J358" s="121" t="s">
        <v>25</v>
      </c>
      <c r="K358" s="121"/>
      <c r="L358" s="121"/>
      <c r="M358" s="121"/>
      <c r="N358" s="121"/>
      <c r="O358" s="121"/>
      <c r="P358" s="2328" t="s">
        <v>109</v>
      </c>
      <c r="S358" s="121" t="s">
        <v>25</v>
      </c>
      <c r="T358" s="121"/>
      <c r="U358" s="121"/>
      <c r="V358" s="121"/>
      <c r="W358" s="121"/>
      <c r="X358" s="121"/>
    </row>
    <row r="359" spans="1:24" x14ac:dyDescent="0.3">
      <c r="A359" s="2227">
        <v>191</v>
      </c>
      <c r="B359" s="531" t="s">
        <v>5384</v>
      </c>
      <c r="C359" s="2929" t="s">
        <v>5383</v>
      </c>
      <c r="D359" s="2930"/>
      <c r="E359" s="2930"/>
      <c r="F359" s="1927" t="s">
        <v>5316</v>
      </c>
      <c r="G359" s="1440">
        <v>21039</v>
      </c>
      <c r="H359" s="412">
        <v>3500</v>
      </c>
      <c r="I359" s="1925" t="s">
        <v>101</v>
      </c>
      <c r="J359" s="121" t="s">
        <v>25</v>
      </c>
      <c r="K359" s="121"/>
      <c r="L359" s="121"/>
      <c r="M359" s="121"/>
      <c r="N359" s="121"/>
      <c r="O359" s="121"/>
      <c r="P359" s="2328" t="s">
        <v>143</v>
      </c>
      <c r="S359" s="121" t="s">
        <v>25</v>
      </c>
      <c r="T359" s="121"/>
      <c r="U359" s="121"/>
      <c r="V359" s="121"/>
      <c r="W359" s="121"/>
      <c r="X359" s="121"/>
    </row>
    <row r="360" spans="1:24" x14ac:dyDescent="0.3">
      <c r="A360" s="2227">
        <v>192</v>
      </c>
      <c r="B360" s="1611" t="s">
        <v>5382</v>
      </c>
      <c r="C360" s="2957" t="s">
        <v>5381</v>
      </c>
      <c r="D360" s="2958"/>
      <c r="E360" s="2958"/>
      <c r="F360" s="1926" t="s">
        <v>5316</v>
      </c>
      <c r="G360" s="711" t="s">
        <v>5380</v>
      </c>
      <c r="H360" s="703">
        <v>4390</v>
      </c>
      <c r="I360" s="1925" t="s">
        <v>101</v>
      </c>
      <c r="J360" s="104"/>
      <c r="K360" s="104"/>
      <c r="L360" s="104" t="s">
        <v>25</v>
      </c>
      <c r="M360" s="104"/>
      <c r="N360" s="104"/>
      <c r="O360" s="104"/>
      <c r="P360" s="2621" t="s">
        <v>6395</v>
      </c>
      <c r="Q360" s="1612">
        <v>249</v>
      </c>
      <c r="S360" s="104"/>
      <c r="T360" s="104"/>
      <c r="U360" s="104" t="s">
        <v>25</v>
      </c>
      <c r="V360" s="104"/>
      <c r="W360" s="104"/>
      <c r="X360" s="104"/>
    </row>
    <row r="361" spans="1:24" x14ac:dyDescent="0.3">
      <c r="A361" s="2227">
        <v>193</v>
      </c>
      <c r="B361" s="1611" t="s">
        <v>5379</v>
      </c>
      <c r="C361" s="2957" t="s">
        <v>5378</v>
      </c>
      <c r="D361" s="2958"/>
      <c r="E361" s="2958"/>
      <c r="F361" s="1926" t="s">
        <v>5316</v>
      </c>
      <c r="G361" s="711" t="s">
        <v>5377</v>
      </c>
      <c r="H361" s="703">
        <v>3000</v>
      </c>
      <c r="I361" s="1925" t="s">
        <v>101</v>
      </c>
      <c r="J361" s="104" t="s">
        <v>25</v>
      </c>
      <c r="K361" s="104"/>
      <c r="L361" s="104"/>
      <c r="M361" s="104"/>
      <c r="N361" s="104"/>
      <c r="O361" s="104"/>
      <c r="P361" s="2308" t="s">
        <v>148</v>
      </c>
      <c r="S361" s="104" t="s">
        <v>25</v>
      </c>
      <c r="T361" s="104"/>
      <c r="U361" s="104"/>
      <c r="V361" s="104"/>
      <c r="W361" s="104"/>
      <c r="X361" s="104"/>
    </row>
    <row r="362" spans="1:24" ht="17.399999999999999" x14ac:dyDescent="0.45">
      <c r="A362" s="39"/>
      <c r="B362" s="88"/>
      <c r="C362" s="89"/>
      <c r="D362" s="230"/>
      <c r="E362" s="230"/>
      <c r="F362" s="1924"/>
      <c r="G362" s="176"/>
      <c r="H362" s="231">
        <f>SUM(H169:H361)</f>
        <v>76040</v>
      </c>
      <c r="I362" s="88"/>
      <c r="J362" s="233"/>
      <c r="K362" s="233"/>
      <c r="L362" s="234"/>
      <c r="M362" s="234"/>
      <c r="N362" s="234"/>
      <c r="O362" s="234"/>
      <c r="P362" s="235"/>
      <c r="S362" s="233"/>
      <c r="T362" s="233"/>
      <c r="U362" s="234"/>
      <c r="V362" s="234"/>
      <c r="W362" s="234"/>
      <c r="X362" s="234"/>
    </row>
    <row r="363" spans="1:24" x14ac:dyDescent="0.3">
      <c r="A363" s="1459">
        <v>404</v>
      </c>
      <c r="B363" s="1868" t="s">
        <v>5376</v>
      </c>
      <c r="C363" s="357"/>
      <c r="D363" s="357"/>
      <c r="E363" s="357"/>
      <c r="F363" s="1856"/>
      <c r="G363" s="357"/>
      <c r="H363" s="1913"/>
      <c r="I363" s="360"/>
      <c r="J363" s="357"/>
      <c r="K363" s="357"/>
      <c r="L363" s="357"/>
      <c r="M363" s="357"/>
      <c r="N363" s="357"/>
      <c r="O363" s="209"/>
      <c r="P363" s="103"/>
      <c r="S363" s="357"/>
      <c r="T363" s="357"/>
      <c r="U363" s="357"/>
      <c r="V363" s="357"/>
      <c r="W363" s="357"/>
      <c r="X363" s="209"/>
    </row>
    <row r="364" spans="1:24" x14ac:dyDescent="0.3">
      <c r="A364" s="2434">
        <v>1</v>
      </c>
      <c r="B364" s="337" t="s">
        <v>5375</v>
      </c>
      <c r="C364" s="1923">
        <v>404</v>
      </c>
      <c r="D364" s="181">
        <v>57</v>
      </c>
      <c r="E364" s="1922" t="s">
        <v>543</v>
      </c>
      <c r="F364" s="1921" t="s">
        <v>5316</v>
      </c>
      <c r="G364" s="1920">
        <v>21068</v>
      </c>
      <c r="H364" s="1919">
        <v>1000</v>
      </c>
      <c r="I364" s="1918" t="s">
        <v>101</v>
      </c>
      <c r="J364" s="104" t="s">
        <v>25</v>
      </c>
      <c r="K364" s="1917"/>
      <c r="L364" s="1917"/>
      <c r="M364" s="1917"/>
      <c r="N364" s="1917"/>
      <c r="O364" s="1032"/>
      <c r="P364" s="2386" t="s">
        <v>126</v>
      </c>
      <c r="S364" s="104" t="s">
        <v>25</v>
      </c>
      <c r="T364" s="1917"/>
      <c r="U364" s="1917"/>
      <c r="V364" s="1917"/>
      <c r="W364" s="1917"/>
      <c r="X364" s="1032"/>
    </row>
    <row r="365" spans="1:24" ht="17.399999999999999" x14ac:dyDescent="0.3">
      <c r="A365" s="1916"/>
      <c r="B365" s="1287"/>
      <c r="C365" s="372"/>
      <c r="D365" s="424"/>
      <c r="E365" s="424"/>
      <c r="F365" s="1915"/>
      <c r="G365" s="370"/>
      <c r="H365" s="1914">
        <f>SUM(H364)</f>
        <v>1000</v>
      </c>
      <c r="I365" s="376"/>
      <c r="J365" s="370"/>
      <c r="K365" s="370"/>
      <c r="L365" s="370"/>
      <c r="M365" s="370"/>
      <c r="N365" s="370"/>
      <c r="O365" s="234"/>
      <c r="P365" s="235"/>
      <c r="S365" s="370"/>
      <c r="T365" s="370"/>
      <c r="U365" s="370"/>
      <c r="V365" s="370"/>
      <c r="W365" s="370"/>
      <c r="X365" s="234"/>
    </row>
    <row r="366" spans="1:24" x14ac:dyDescent="0.3">
      <c r="A366" s="356">
        <v>406</v>
      </c>
      <c r="B366" s="17" t="s">
        <v>5374</v>
      </c>
      <c r="C366" s="357"/>
      <c r="D366" s="357"/>
      <c r="E366" s="357"/>
      <c r="F366" s="1856"/>
      <c r="G366" s="357"/>
      <c r="H366" s="1913"/>
      <c r="I366" s="360"/>
      <c r="J366" s="357"/>
      <c r="K366" s="357"/>
      <c r="L366" s="357"/>
      <c r="M366" s="357"/>
      <c r="N366" s="357"/>
      <c r="O366" s="209"/>
      <c r="P366" s="103"/>
      <c r="S366" s="357"/>
      <c r="T366" s="357"/>
      <c r="U366" s="357"/>
      <c r="V366" s="357"/>
      <c r="W366" s="357"/>
      <c r="X366" s="209"/>
    </row>
    <row r="367" spans="1:24" x14ac:dyDescent="0.3">
      <c r="A367" s="2302">
        <v>1</v>
      </c>
      <c r="B367" s="1611" t="s">
        <v>5373</v>
      </c>
      <c r="C367" s="1912">
        <v>406</v>
      </c>
      <c r="D367" s="1911">
        <v>57</v>
      </c>
      <c r="E367" s="1910" t="s">
        <v>1361</v>
      </c>
      <c r="F367" s="1909" t="s">
        <v>5316</v>
      </c>
      <c r="G367" s="711" t="s">
        <v>5372</v>
      </c>
      <c r="H367" s="703">
        <v>3800</v>
      </c>
      <c r="I367" s="1892" t="s">
        <v>811</v>
      </c>
      <c r="J367" s="104" t="s">
        <v>25</v>
      </c>
      <c r="K367" s="104"/>
      <c r="L367" s="104"/>
      <c r="M367" s="104"/>
      <c r="N367" s="104"/>
      <c r="O367" s="104"/>
      <c r="P367" s="2303" t="s">
        <v>145</v>
      </c>
      <c r="S367" s="104" t="s">
        <v>25</v>
      </c>
      <c r="T367" s="104"/>
      <c r="U367" s="104"/>
      <c r="V367" s="104"/>
      <c r="W367" s="104"/>
      <c r="X367" s="104"/>
    </row>
    <row r="368" spans="1:24" s="1" customFormat="1" x14ac:dyDescent="0.3">
      <c r="A368" s="2302">
        <v>2</v>
      </c>
      <c r="B368" s="700" t="s">
        <v>5370</v>
      </c>
      <c r="C368" s="1836">
        <v>406</v>
      </c>
      <c r="D368" s="1895">
        <v>56</v>
      </c>
      <c r="E368" s="416" t="s">
        <v>324</v>
      </c>
      <c r="F368" s="1908" t="s">
        <v>5316</v>
      </c>
      <c r="G368" s="711" t="s">
        <v>5371</v>
      </c>
      <c r="H368" s="834">
        <v>4100</v>
      </c>
      <c r="I368" s="1906" t="s">
        <v>5368</v>
      </c>
      <c r="J368" s="104" t="s">
        <v>25</v>
      </c>
      <c r="K368" s="1905"/>
      <c r="L368" s="700"/>
      <c r="M368" s="132"/>
      <c r="N368" s="132"/>
      <c r="O368" s="132"/>
      <c r="P368" s="2350" t="s">
        <v>5875</v>
      </c>
      <c r="S368" s="104" t="s">
        <v>25</v>
      </c>
      <c r="T368" s="1905"/>
      <c r="U368" s="700"/>
      <c r="V368" s="132"/>
      <c r="W368" s="132"/>
      <c r="X368" s="132"/>
    </row>
    <row r="369" spans="1:24" s="1" customFormat="1" x14ac:dyDescent="0.3">
      <c r="A369" s="2226">
        <v>3</v>
      </c>
      <c r="B369" s="700" t="s">
        <v>5370</v>
      </c>
      <c r="C369" s="1836">
        <v>406</v>
      </c>
      <c r="D369" s="1895">
        <v>56</v>
      </c>
      <c r="E369" s="416" t="s">
        <v>1357</v>
      </c>
      <c r="F369" s="1907" t="s">
        <v>5316</v>
      </c>
      <c r="G369" s="711" t="s">
        <v>5369</v>
      </c>
      <c r="H369" s="834">
        <v>4100</v>
      </c>
      <c r="I369" s="1906" t="s">
        <v>5368</v>
      </c>
      <c r="J369" s="104" t="s">
        <v>25</v>
      </c>
      <c r="K369" s="1905"/>
      <c r="L369" s="700"/>
      <c r="M369" s="132"/>
      <c r="N369" s="132"/>
      <c r="O369" s="132"/>
      <c r="P369" s="2350" t="s">
        <v>5875</v>
      </c>
      <c r="S369" s="104" t="s">
        <v>25</v>
      </c>
      <c r="T369" s="1905"/>
      <c r="U369" s="700"/>
      <c r="V369" s="132"/>
      <c r="W369" s="132"/>
      <c r="X369" s="132"/>
    </row>
    <row r="370" spans="1:24" x14ac:dyDescent="0.3">
      <c r="A370" s="2302">
        <v>4</v>
      </c>
      <c r="B370" s="1903" t="s">
        <v>5367</v>
      </c>
      <c r="C370" s="1902" t="s">
        <v>5359</v>
      </c>
      <c r="D370" s="1901">
        <v>58</v>
      </c>
      <c r="E370" s="1900" t="s">
        <v>1377</v>
      </c>
      <c r="F370" s="1899" t="s">
        <v>5316</v>
      </c>
      <c r="G370" s="1898" t="s">
        <v>5366</v>
      </c>
      <c r="H370" s="796">
        <v>3900</v>
      </c>
      <c r="I370" s="1773" t="s">
        <v>41</v>
      </c>
      <c r="J370" s="104" t="s">
        <v>25</v>
      </c>
      <c r="K370" s="1897"/>
      <c r="L370" s="1904"/>
      <c r="M370" s="1896"/>
      <c r="N370" s="1896"/>
      <c r="O370" s="1896"/>
      <c r="P370" s="2429" t="s">
        <v>5890</v>
      </c>
      <c r="S370" s="104" t="s">
        <v>25</v>
      </c>
      <c r="T370" s="1897"/>
      <c r="U370" s="1904"/>
      <c r="V370" s="1896"/>
      <c r="W370" s="1896"/>
      <c r="X370" s="1896"/>
    </row>
    <row r="371" spans="1:24" x14ac:dyDescent="0.3">
      <c r="A371" s="2226">
        <v>5</v>
      </c>
      <c r="B371" s="1903" t="s">
        <v>5367</v>
      </c>
      <c r="C371" s="1902" t="s">
        <v>5359</v>
      </c>
      <c r="D371" s="1901">
        <v>58</v>
      </c>
      <c r="E371" s="1900" t="s">
        <v>1378</v>
      </c>
      <c r="F371" s="1899" t="s">
        <v>5316</v>
      </c>
      <c r="G371" s="1898" t="s">
        <v>5366</v>
      </c>
      <c r="H371" s="796">
        <v>3900</v>
      </c>
      <c r="I371" s="1773" t="s">
        <v>41</v>
      </c>
      <c r="J371" s="104" t="s">
        <v>25</v>
      </c>
      <c r="K371" s="1897"/>
      <c r="L371" s="1897"/>
      <c r="M371" s="1897"/>
      <c r="N371" s="1896"/>
      <c r="O371" s="1896"/>
      <c r="P371" s="2429" t="s">
        <v>5890</v>
      </c>
      <c r="S371" s="104" t="s">
        <v>25</v>
      </c>
      <c r="T371" s="1897"/>
      <c r="U371" s="1897"/>
      <c r="V371" s="1897"/>
      <c r="W371" s="1896"/>
      <c r="X371" s="1896"/>
    </row>
    <row r="372" spans="1:24" x14ac:dyDescent="0.3">
      <c r="A372" s="2302">
        <v>6</v>
      </c>
      <c r="B372" s="1903" t="s">
        <v>5367</v>
      </c>
      <c r="C372" s="1902" t="s">
        <v>5359</v>
      </c>
      <c r="D372" s="1901">
        <v>58</v>
      </c>
      <c r="E372" s="1900" t="s">
        <v>1379</v>
      </c>
      <c r="F372" s="1899" t="s">
        <v>5316</v>
      </c>
      <c r="G372" s="1898" t="s">
        <v>5366</v>
      </c>
      <c r="H372" s="796">
        <v>3900</v>
      </c>
      <c r="I372" s="1773" t="s">
        <v>41</v>
      </c>
      <c r="J372" s="104" t="s">
        <v>25</v>
      </c>
      <c r="K372" s="1897"/>
      <c r="L372" s="1897"/>
      <c r="M372" s="1897"/>
      <c r="N372" s="1896"/>
      <c r="O372" s="1896"/>
      <c r="P372" s="2429" t="s">
        <v>5890</v>
      </c>
      <c r="S372" s="104" t="s">
        <v>25</v>
      </c>
      <c r="T372" s="1897"/>
      <c r="U372" s="1897"/>
      <c r="V372" s="1897"/>
      <c r="W372" s="1896"/>
      <c r="X372" s="1896"/>
    </row>
    <row r="373" spans="1:24" x14ac:dyDescent="0.3">
      <c r="A373" s="2226">
        <v>7</v>
      </c>
      <c r="B373" s="1903" t="s">
        <v>5367</v>
      </c>
      <c r="C373" s="1902" t="s">
        <v>5359</v>
      </c>
      <c r="D373" s="1901">
        <v>58</v>
      </c>
      <c r="E373" s="1900" t="s">
        <v>1380</v>
      </c>
      <c r="F373" s="1899" t="s">
        <v>5316</v>
      </c>
      <c r="G373" s="1898" t="s">
        <v>5366</v>
      </c>
      <c r="H373" s="796">
        <v>3900</v>
      </c>
      <c r="I373" s="1773" t="s">
        <v>41</v>
      </c>
      <c r="J373" s="104" t="s">
        <v>25</v>
      </c>
      <c r="K373" s="1897"/>
      <c r="L373" s="1897"/>
      <c r="M373" s="1897"/>
      <c r="N373" s="1896"/>
      <c r="O373" s="1896"/>
      <c r="P373" s="2429" t="s">
        <v>5890</v>
      </c>
      <c r="S373" s="104" t="s">
        <v>25</v>
      </c>
      <c r="T373" s="1897"/>
      <c r="U373" s="1897"/>
      <c r="V373" s="1897"/>
      <c r="W373" s="1896"/>
      <c r="X373" s="1896"/>
    </row>
    <row r="374" spans="1:24" x14ac:dyDescent="0.3">
      <c r="A374" s="2302">
        <v>8</v>
      </c>
      <c r="B374" s="700" t="s">
        <v>5365</v>
      </c>
      <c r="C374" s="701">
        <v>406</v>
      </c>
      <c r="D374" s="1895">
        <v>58</v>
      </c>
      <c r="E374" s="416" t="s">
        <v>1381</v>
      </c>
      <c r="F374" s="1880" t="s">
        <v>5316</v>
      </c>
      <c r="G374" s="104" t="s">
        <v>5364</v>
      </c>
      <c r="H374" s="834">
        <v>3900</v>
      </c>
      <c r="I374" s="1894" t="s">
        <v>901</v>
      </c>
      <c r="J374" s="118" t="s">
        <v>25</v>
      </c>
      <c r="K374" s="700"/>
      <c r="L374" s="700"/>
      <c r="M374" s="132"/>
      <c r="N374" s="132"/>
      <c r="O374" s="132"/>
      <c r="P374" s="2350" t="s">
        <v>5857</v>
      </c>
      <c r="S374" s="118" t="s">
        <v>25</v>
      </c>
      <c r="T374" s="700"/>
      <c r="U374" s="700"/>
      <c r="V374" s="132"/>
      <c r="W374" s="132"/>
      <c r="X374" s="132"/>
    </row>
    <row r="375" spans="1:24" x14ac:dyDescent="0.3">
      <c r="A375" s="2226">
        <v>9</v>
      </c>
      <c r="B375" s="215" t="s">
        <v>5363</v>
      </c>
      <c r="C375" s="216" t="s">
        <v>5359</v>
      </c>
      <c r="D375" s="67">
        <v>58</v>
      </c>
      <c r="E375" s="416" t="s">
        <v>1384</v>
      </c>
      <c r="F375" s="1880" t="s">
        <v>5316</v>
      </c>
      <c r="G375" s="218" t="s">
        <v>5362</v>
      </c>
      <c r="H375" s="192">
        <v>4557</v>
      </c>
      <c r="I375" s="1893" t="s">
        <v>5361</v>
      </c>
      <c r="J375" s="118" t="s">
        <v>25</v>
      </c>
      <c r="K375" s="192"/>
      <c r="L375" s="192"/>
      <c r="M375" s="192"/>
      <c r="N375" s="192"/>
      <c r="O375" s="192"/>
      <c r="P375" s="146" t="s">
        <v>181</v>
      </c>
      <c r="S375" s="118" t="s">
        <v>25</v>
      </c>
      <c r="T375" s="192"/>
      <c r="U375" s="192"/>
      <c r="V375" s="192"/>
      <c r="W375" s="192"/>
      <c r="X375" s="192"/>
    </row>
    <row r="376" spans="1:24" x14ac:dyDescent="0.3">
      <c r="A376" s="2299">
        <v>10</v>
      </c>
      <c r="B376" s="226" t="s">
        <v>5360</v>
      </c>
      <c r="C376" s="216" t="s">
        <v>5359</v>
      </c>
      <c r="D376" s="67">
        <v>58</v>
      </c>
      <c r="E376" s="416" t="s">
        <v>1386</v>
      </c>
      <c r="F376" s="1880" t="s">
        <v>5316</v>
      </c>
      <c r="G376" s="82" t="s">
        <v>5358</v>
      </c>
      <c r="H376" s="83">
        <v>3800</v>
      </c>
      <c r="I376" s="1892" t="s">
        <v>101</v>
      </c>
      <c r="J376" s="118" t="s">
        <v>25</v>
      </c>
      <c r="K376" s="83"/>
      <c r="L376" s="83"/>
      <c r="M376" s="83"/>
      <c r="N376" s="83"/>
      <c r="O376" s="83"/>
      <c r="P376" s="298" t="s">
        <v>329</v>
      </c>
      <c r="Q376" s="1" t="s">
        <v>238</v>
      </c>
      <c r="S376" s="118" t="s">
        <v>25</v>
      </c>
      <c r="T376" s="83"/>
      <c r="U376" s="83"/>
      <c r="V376" s="83"/>
      <c r="W376" s="83"/>
      <c r="X376" s="83"/>
    </row>
    <row r="377" spans="1:24" ht="17.399999999999999" x14ac:dyDescent="0.45">
      <c r="A377" s="39"/>
      <c r="B377" s="204"/>
      <c r="C377" s="950"/>
      <c r="D377" s="951"/>
      <c r="E377" s="910"/>
      <c r="F377" s="1840"/>
      <c r="G377" s="204"/>
      <c r="H377" s="713">
        <f>SUM(H367:H376)</f>
        <v>39857</v>
      </c>
      <c r="I377" s="1891"/>
      <c r="J377" s="204"/>
      <c r="K377" s="234"/>
      <c r="L377" s="234"/>
      <c r="M377" s="234"/>
      <c r="N377" s="234"/>
      <c r="O377" s="234"/>
      <c r="P377" s="235"/>
      <c r="S377" s="204"/>
      <c r="T377" s="234"/>
      <c r="U377" s="234"/>
      <c r="V377" s="234"/>
      <c r="W377" s="234"/>
      <c r="X377" s="234"/>
    </row>
    <row r="378" spans="1:24" x14ac:dyDescent="0.3">
      <c r="A378" s="356">
        <v>432</v>
      </c>
      <c r="B378" s="17" t="s">
        <v>465</v>
      </c>
      <c r="C378" s="357"/>
      <c r="D378" s="395"/>
      <c r="E378" s="1858"/>
      <c r="F378" s="211"/>
      <c r="G378" s="357"/>
      <c r="H378" s="1890"/>
      <c r="I378" s="360"/>
      <c r="J378" s="357"/>
      <c r="K378" s="357"/>
      <c r="L378" s="357"/>
      <c r="M378" s="357"/>
      <c r="N378" s="357"/>
      <c r="O378" s="357"/>
      <c r="P378" s="398"/>
      <c r="S378" s="357"/>
      <c r="T378" s="357"/>
      <c r="U378" s="357"/>
      <c r="V378" s="357"/>
      <c r="W378" s="357"/>
      <c r="X378" s="357"/>
    </row>
    <row r="379" spans="1:24" x14ac:dyDescent="0.3">
      <c r="A379" s="2306">
        <v>1</v>
      </c>
      <c r="B379" s="1888" t="s">
        <v>5357</v>
      </c>
      <c r="C379" s="538">
        <v>432</v>
      </c>
      <c r="D379" s="409">
        <v>56</v>
      </c>
      <c r="E379" s="1887" t="s">
        <v>322</v>
      </c>
      <c r="F379" s="1889" t="s">
        <v>5316</v>
      </c>
      <c r="G379" s="1885" t="s">
        <v>5356</v>
      </c>
      <c r="H379" s="708">
        <v>1600</v>
      </c>
      <c r="I379" s="1884" t="s">
        <v>811</v>
      </c>
      <c r="J379" s="381"/>
      <c r="K379" s="381"/>
      <c r="L379" s="381" t="s">
        <v>25</v>
      </c>
      <c r="M379" s="381"/>
      <c r="N379" s="381"/>
      <c r="O379" s="381"/>
      <c r="P379" s="2628" t="s">
        <v>6395</v>
      </c>
      <c r="Q379" s="1612">
        <v>250</v>
      </c>
      <c r="S379" s="381"/>
      <c r="T379" s="381"/>
      <c r="U379" s="381" t="s">
        <v>25</v>
      </c>
      <c r="V379" s="381"/>
      <c r="W379" s="381"/>
      <c r="X379" s="381"/>
    </row>
    <row r="380" spans="1:24" x14ac:dyDescent="0.3">
      <c r="A380" s="2302">
        <v>2</v>
      </c>
      <c r="B380" s="1888" t="s">
        <v>5357</v>
      </c>
      <c r="C380" s="538">
        <v>432</v>
      </c>
      <c r="D380" s="409">
        <v>56</v>
      </c>
      <c r="E380" s="1887" t="s">
        <v>324</v>
      </c>
      <c r="F380" s="1886" t="s">
        <v>5316</v>
      </c>
      <c r="G380" s="711" t="s">
        <v>5356</v>
      </c>
      <c r="H380" s="703">
        <v>1600</v>
      </c>
      <c r="I380" s="1884" t="s">
        <v>811</v>
      </c>
      <c r="J380" s="104" t="s">
        <v>25</v>
      </c>
      <c r="K380" s="104"/>
      <c r="L380" s="104"/>
      <c r="M380" s="104"/>
      <c r="N380" s="104"/>
      <c r="O380" s="104"/>
      <c r="P380" s="2303" t="s">
        <v>5864</v>
      </c>
      <c r="S380" s="104" t="s">
        <v>25</v>
      </c>
      <c r="T380" s="104"/>
      <c r="U380" s="104"/>
      <c r="V380" s="104"/>
      <c r="W380" s="104"/>
      <c r="X380" s="104"/>
    </row>
    <row r="381" spans="1:24" x14ac:dyDescent="0.3">
      <c r="A381" s="2306">
        <v>3</v>
      </c>
      <c r="B381" s="1888" t="s">
        <v>5357</v>
      </c>
      <c r="C381" s="538">
        <v>432</v>
      </c>
      <c r="D381" s="409">
        <v>56</v>
      </c>
      <c r="E381" s="1887" t="s">
        <v>408</v>
      </c>
      <c r="F381" s="1886" t="s">
        <v>5316</v>
      </c>
      <c r="G381" s="1885" t="s">
        <v>5356</v>
      </c>
      <c r="H381" s="708">
        <v>1600</v>
      </c>
      <c r="I381" s="1884" t="s">
        <v>811</v>
      </c>
      <c r="J381" s="381"/>
      <c r="K381" s="1883"/>
      <c r="L381" s="2435" t="s">
        <v>25</v>
      </c>
      <c r="M381" s="1883"/>
      <c r="N381" s="248"/>
      <c r="O381" s="248"/>
      <c r="P381" s="2628" t="s">
        <v>6395</v>
      </c>
      <c r="Q381" s="1612">
        <v>251</v>
      </c>
      <c r="S381" s="381"/>
      <c r="T381" s="1883"/>
      <c r="U381" s="2435" t="s">
        <v>25</v>
      </c>
      <c r="V381" s="1883"/>
      <c r="W381" s="248"/>
      <c r="X381" s="248"/>
    </row>
    <row r="382" spans="1:24" x14ac:dyDescent="0.3">
      <c r="A382" s="2302">
        <v>4</v>
      </c>
      <c r="B382" s="1882" t="s">
        <v>5355</v>
      </c>
      <c r="C382" s="1881" t="s">
        <v>474</v>
      </c>
      <c r="D382" s="485">
        <v>58</v>
      </c>
      <c r="E382" s="486" t="s">
        <v>1358</v>
      </c>
      <c r="F382" s="1880" t="s">
        <v>5316</v>
      </c>
      <c r="G382" s="218" t="s">
        <v>5354</v>
      </c>
      <c r="H382" s="192">
        <v>3424</v>
      </c>
      <c r="I382" s="1879" t="s">
        <v>400</v>
      </c>
      <c r="J382" s="118" t="s">
        <v>25</v>
      </c>
      <c r="K382" s="192"/>
      <c r="L382" s="192"/>
      <c r="M382" s="192"/>
      <c r="N382" s="192"/>
      <c r="O382" s="192"/>
      <c r="P382" s="2388" t="s">
        <v>477</v>
      </c>
      <c r="S382" s="118" t="s">
        <v>25</v>
      </c>
      <c r="T382" s="192"/>
      <c r="U382" s="192"/>
      <c r="V382" s="192"/>
      <c r="W382" s="192"/>
      <c r="X382" s="192"/>
    </row>
    <row r="383" spans="1:24" x14ac:dyDescent="0.3">
      <c r="A383" s="2302">
        <v>5</v>
      </c>
      <c r="B383" s="1882" t="s">
        <v>5355</v>
      </c>
      <c r="C383" s="1881" t="s">
        <v>474</v>
      </c>
      <c r="D383" s="485">
        <v>58</v>
      </c>
      <c r="E383" s="486" t="s">
        <v>1359</v>
      </c>
      <c r="F383" s="1880" t="s">
        <v>5316</v>
      </c>
      <c r="G383" s="218" t="s">
        <v>5354</v>
      </c>
      <c r="H383" s="192">
        <v>3424</v>
      </c>
      <c r="I383" s="1879" t="s">
        <v>400</v>
      </c>
      <c r="J383" s="118" t="s">
        <v>25</v>
      </c>
      <c r="K383" s="192"/>
      <c r="L383" s="192"/>
      <c r="M383" s="192"/>
      <c r="N383" s="192"/>
      <c r="O383" s="192"/>
      <c r="P383" s="2361" t="s">
        <v>477</v>
      </c>
      <c r="S383" s="118" t="s">
        <v>25</v>
      </c>
      <c r="T383" s="192"/>
      <c r="U383" s="192"/>
      <c r="V383" s="192"/>
      <c r="W383" s="192"/>
      <c r="X383" s="192"/>
    </row>
    <row r="384" spans="1:24" ht="17.399999999999999" x14ac:dyDescent="0.45">
      <c r="A384" s="552"/>
      <c r="B384" s="423"/>
      <c r="C384" s="372"/>
      <c r="D384" s="424"/>
      <c r="E384" s="424"/>
      <c r="F384" s="1878"/>
      <c r="G384" s="426"/>
      <c r="H384" s="427">
        <f>SUM(H379:H383)</f>
        <v>11648</v>
      </c>
      <c r="I384" s="376"/>
      <c r="J384" s="370"/>
      <c r="K384" s="429"/>
      <c r="L384" s="429"/>
      <c r="M384" s="429"/>
      <c r="N384" s="172"/>
      <c r="O384" s="172"/>
      <c r="P384" s="235"/>
      <c r="S384" s="370"/>
      <c r="T384" s="429"/>
      <c r="U384" s="429"/>
      <c r="V384" s="429"/>
      <c r="W384" s="172"/>
      <c r="X384" s="172"/>
    </row>
    <row r="385" spans="1:24" ht="18" x14ac:dyDescent="0.35">
      <c r="A385" s="1851" t="s">
        <v>5353</v>
      </c>
      <c r="B385" s="1870"/>
      <c r="S385" s="1"/>
      <c r="T385" s="1"/>
      <c r="U385" s="1"/>
      <c r="V385" s="1"/>
      <c r="W385" s="1"/>
      <c r="X385" s="1"/>
    </row>
    <row r="386" spans="1:24" s="1" customFormat="1" x14ac:dyDescent="0.3">
      <c r="A386" s="1850" t="s">
        <v>1159</v>
      </c>
      <c r="B386" s="97" t="s">
        <v>5352</v>
      </c>
      <c r="C386" s="97"/>
      <c r="D386" s="97"/>
      <c r="E386" s="1843"/>
      <c r="F386" s="1842"/>
      <c r="G386" s="97"/>
      <c r="H386" s="100"/>
      <c r="I386" s="101"/>
      <c r="J386" s="97"/>
      <c r="K386" s="97"/>
      <c r="L386" s="97"/>
      <c r="M386" s="97"/>
      <c r="N386" s="97"/>
      <c r="O386" s="102"/>
      <c r="P386" s="103"/>
      <c r="S386" s="97"/>
      <c r="T386" s="97"/>
      <c r="U386" s="97"/>
      <c r="V386" s="97"/>
      <c r="W386" s="97"/>
      <c r="X386" s="102"/>
    </row>
    <row r="387" spans="1:24" x14ac:dyDescent="0.3">
      <c r="A387" s="2226">
        <v>1</v>
      </c>
      <c r="B387" s="313" t="s">
        <v>5351</v>
      </c>
      <c r="C387" s="1877" t="s">
        <v>1159</v>
      </c>
      <c r="D387" s="1876" t="s">
        <v>5350</v>
      </c>
      <c r="E387" s="416" t="s">
        <v>1250</v>
      </c>
      <c r="F387" s="1031" t="s">
        <v>5316</v>
      </c>
      <c r="G387" s="218" t="s">
        <v>5349</v>
      </c>
      <c r="H387" s="192">
        <v>2450</v>
      </c>
      <c r="I387" s="1875" t="s">
        <v>5348</v>
      </c>
      <c r="J387" s="34" t="s">
        <v>25</v>
      </c>
      <c r="K387" s="147"/>
      <c r="L387" s="147"/>
      <c r="M387" s="147"/>
      <c r="N387" s="147"/>
      <c r="O387" s="147"/>
      <c r="P387" s="2267" t="s">
        <v>477</v>
      </c>
      <c r="S387" s="34" t="s">
        <v>25</v>
      </c>
      <c r="T387" s="147"/>
      <c r="U387" s="147"/>
      <c r="V387" s="147"/>
      <c r="W387" s="147"/>
      <c r="X387" s="147"/>
    </row>
    <row r="388" spans="1:24" x14ac:dyDescent="0.3">
      <c r="A388" s="2226">
        <v>2</v>
      </c>
      <c r="B388" s="313" t="s">
        <v>5351</v>
      </c>
      <c r="C388" s="1877" t="s">
        <v>1159</v>
      </c>
      <c r="D388" s="1876" t="s">
        <v>5350</v>
      </c>
      <c r="E388" s="416" t="s">
        <v>1104</v>
      </c>
      <c r="F388" s="217" t="s">
        <v>5316</v>
      </c>
      <c r="G388" s="218" t="s">
        <v>5349</v>
      </c>
      <c r="H388" s="192">
        <v>2450</v>
      </c>
      <c r="I388" s="1875" t="s">
        <v>5348</v>
      </c>
      <c r="J388" s="34" t="s">
        <v>25</v>
      </c>
      <c r="K388" s="147"/>
      <c r="L388" s="147"/>
      <c r="M388" s="147"/>
      <c r="N388" s="147"/>
      <c r="O388" s="147"/>
      <c r="P388" s="2267" t="s">
        <v>5347</v>
      </c>
      <c r="S388" s="34" t="s">
        <v>25</v>
      </c>
      <c r="T388" s="147"/>
      <c r="U388" s="147"/>
      <c r="V388" s="147"/>
      <c r="W388" s="147"/>
      <c r="X388" s="147"/>
    </row>
    <row r="389" spans="1:24" ht="17.399999999999999" x14ac:dyDescent="0.45">
      <c r="A389" s="39"/>
      <c r="B389" s="204"/>
      <c r="C389" s="950"/>
      <c r="D389" s="951"/>
      <c r="E389" s="910"/>
      <c r="F389" s="1840"/>
      <c r="G389" s="204"/>
      <c r="H389" s="713">
        <f>SUM(H387:H388)</f>
        <v>4900</v>
      </c>
      <c r="I389" s="178"/>
      <c r="J389" s="204"/>
      <c r="K389" s="204"/>
      <c r="L389" s="204"/>
      <c r="M389" s="204"/>
      <c r="N389" s="204"/>
      <c r="O389" s="204"/>
      <c r="P389" s="205"/>
      <c r="S389" s="204"/>
      <c r="T389" s="204"/>
      <c r="U389" s="204"/>
      <c r="V389" s="204"/>
      <c r="W389" s="204"/>
      <c r="X389" s="204"/>
    </row>
    <row r="390" spans="1:24" ht="19.2" x14ac:dyDescent="0.45">
      <c r="A390" s="1874" t="s">
        <v>5346</v>
      </c>
      <c r="B390" s="1061"/>
      <c r="C390" s="1061"/>
      <c r="D390" s="1061"/>
      <c r="E390" s="1039"/>
      <c r="F390" s="1056"/>
      <c r="G390" s="1061"/>
      <c r="H390" s="1554"/>
      <c r="I390" s="344"/>
      <c r="J390" s="1061"/>
      <c r="K390" s="1061"/>
      <c r="L390" s="1061"/>
      <c r="M390" s="1061"/>
      <c r="N390" s="1061"/>
      <c r="O390" s="1061"/>
      <c r="P390" s="1062"/>
      <c r="S390" s="1061"/>
      <c r="T390" s="1061"/>
      <c r="U390" s="1061"/>
      <c r="V390" s="1061"/>
      <c r="W390" s="1061"/>
      <c r="X390" s="1061"/>
    </row>
    <row r="391" spans="1:24" s="1" customFormat="1" x14ac:dyDescent="0.3">
      <c r="A391" s="481">
        <v>462</v>
      </c>
      <c r="B391" s="282" t="s">
        <v>5345</v>
      </c>
      <c r="C391" s="283"/>
      <c r="D391" s="283"/>
      <c r="E391" s="283"/>
      <c r="F391" s="286"/>
      <c r="G391" s="286"/>
      <c r="H391" s="287"/>
      <c r="I391" s="970"/>
      <c r="J391" s="290"/>
      <c r="K391" s="290"/>
      <c r="L391" s="291"/>
      <c r="M391" s="291"/>
      <c r="N391" s="290"/>
      <c r="O391" s="283"/>
      <c r="P391" s="1873"/>
      <c r="S391" s="290"/>
      <c r="T391" s="290"/>
      <c r="U391" s="291"/>
      <c r="V391" s="291"/>
      <c r="W391" s="290"/>
      <c r="X391" s="283"/>
    </row>
    <row r="392" spans="1:24" s="1" customFormat="1" x14ac:dyDescent="0.3">
      <c r="A392" s="2226">
        <v>1</v>
      </c>
      <c r="B392" s="248" t="s">
        <v>5344</v>
      </c>
      <c r="C392" s="415" t="s">
        <v>4156</v>
      </c>
      <c r="D392" s="67">
        <v>58</v>
      </c>
      <c r="E392" s="416" t="s">
        <v>1106</v>
      </c>
      <c r="F392" s="217" t="s">
        <v>5316</v>
      </c>
      <c r="G392" s="218" t="s">
        <v>5343</v>
      </c>
      <c r="H392" s="192">
        <v>2700</v>
      </c>
      <c r="I392" s="1872" t="s">
        <v>400</v>
      </c>
      <c r="J392" s="924"/>
      <c r="K392" s="119"/>
      <c r="L392" s="1168"/>
      <c r="M392" s="192"/>
      <c r="N392" s="192"/>
      <c r="O392" s="907"/>
      <c r="P392" s="2305" t="s">
        <v>5875</v>
      </c>
      <c r="S392" s="924"/>
      <c r="T392" s="119"/>
      <c r="U392" s="1168"/>
      <c r="V392" s="192"/>
      <c r="W392" s="192"/>
      <c r="X392" s="907"/>
    </row>
    <row r="393" spans="1:24" s="1" customFormat="1" ht="17.399999999999999" x14ac:dyDescent="0.45">
      <c r="A393" s="39"/>
      <c r="B393" s="172"/>
      <c r="C393" s="1218"/>
      <c r="D393" s="1219"/>
      <c r="E393" s="1871"/>
      <c r="F393" s="1220"/>
      <c r="G393" s="1220"/>
      <c r="H393" s="231">
        <f>SUM(H392:H392)</f>
        <v>2700</v>
      </c>
      <c r="I393" s="1221"/>
      <c r="J393" s="1195"/>
      <c r="K393" s="355"/>
      <c r="L393" s="1196"/>
      <c r="M393" s="234"/>
      <c r="N393" s="234"/>
      <c r="O393" s="1206"/>
      <c r="P393" s="1106"/>
      <c r="S393" s="1195"/>
      <c r="T393" s="355"/>
      <c r="U393" s="1196"/>
      <c r="V393" s="234"/>
      <c r="W393" s="234"/>
      <c r="X393" s="1206"/>
    </row>
    <row r="394" spans="1:24" ht="18" x14ac:dyDescent="0.35">
      <c r="A394" s="1851" t="s">
        <v>5342</v>
      </c>
      <c r="B394" s="1870"/>
      <c r="S394" s="1"/>
      <c r="T394" s="1"/>
      <c r="U394" s="1"/>
      <c r="V394" s="1"/>
      <c r="W394" s="1"/>
      <c r="X394" s="1"/>
    </row>
    <row r="395" spans="1:24" s="1" customFormat="1" x14ac:dyDescent="0.3">
      <c r="A395" s="772" t="s">
        <v>4324</v>
      </c>
      <c r="B395" s="1869" t="s">
        <v>4325</v>
      </c>
      <c r="C395" s="2964"/>
      <c r="D395" s="2964"/>
      <c r="E395" s="2964"/>
      <c r="F395" s="1868"/>
      <c r="G395" s="1868"/>
      <c r="H395" s="1867"/>
      <c r="I395" s="1866"/>
      <c r="J395" s="1865"/>
      <c r="K395" s="1864"/>
      <c r="L395" s="1865"/>
      <c r="M395" s="1864"/>
      <c r="N395" s="1864"/>
      <c r="O395" s="24"/>
      <c r="P395" s="780"/>
      <c r="S395" s="1865"/>
      <c r="T395" s="1864"/>
      <c r="U395" s="1865"/>
      <c r="V395" s="1864"/>
      <c r="W395" s="1864"/>
      <c r="X395" s="24"/>
    </row>
    <row r="396" spans="1:24" s="1" customFormat="1" x14ac:dyDescent="0.3">
      <c r="A396" s="2300">
        <v>1</v>
      </c>
      <c r="B396" s="313" t="s">
        <v>5341</v>
      </c>
      <c r="C396" s="216" t="s">
        <v>4324</v>
      </c>
      <c r="D396" s="67">
        <v>55</v>
      </c>
      <c r="E396" s="416" t="s">
        <v>1125</v>
      </c>
      <c r="F396" s="1031" t="s">
        <v>5316</v>
      </c>
      <c r="G396" s="218" t="s">
        <v>5340</v>
      </c>
      <c r="H396" s="192">
        <v>2800</v>
      </c>
      <c r="I396" s="1773" t="s">
        <v>41</v>
      </c>
      <c r="J396" s="34" t="s">
        <v>25</v>
      </c>
      <c r="K396" s="34"/>
      <c r="L396" s="147"/>
      <c r="M396" s="224"/>
      <c r="N396" s="224"/>
      <c r="O396" s="147"/>
      <c r="P396" s="2418" t="s">
        <v>5902</v>
      </c>
      <c r="S396" s="34" t="s">
        <v>25</v>
      </c>
      <c r="T396" s="34"/>
      <c r="U396" s="147"/>
      <c r="V396" s="224"/>
      <c r="W396" s="224"/>
      <c r="X396" s="147"/>
    </row>
    <row r="397" spans="1:24" s="1" customFormat="1" x14ac:dyDescent="0.3">
      <c r="A397" s="2300">
        <v>2</v>
      </c>
      <c r="B397" s="313" t="s">
        <v>5341</v>
      </c>
      <c r="C397" s="216" t="s">
        <v>4324</v>
      </c>
      <c r="D397" s="67">
        <v>55</v>
      </c>
      <c r="E397" s="416" t="s">
        <v>599</v>
      </c>
      <c r="F397" s="217" t="s">
        <v>5316</v>
      </c>
      <c r="G397" s="218" t="s">
        <v>5340</v>
      </c>
      <c r="H397" s="192">
        <v>2800</v>
      </c>
      <c r="I397" s="1773" t="s">
        <v>41</v>
      </c>
      <c r="J397" s="34" t="s">
        <v>25</v>
      </c>
      <c r="K397" s="34"/>
      <c r="L397" s="147"/>
      <c r="M397" s="224"/>
      <c r="N397" s="224"/>
      <c r="O397" s="147"/>
      <c r="P397" s="2418" t="s">
        <v>5902</v>
      </c>
      <c r="S397" s="34" t="s">
        <v>25</v>
      </c>
      <c r="T397" s="34"/>
      <c r="U397" s="147"/>
      <c r="V397" s="224"/>
      <c r="W397" s="224"/>
      <c r="X397" s="147"/>
    </row>
    <row r="398" spans="1:24" s="1" customFormat="1" x14ac:dyDescent="0.3">
      <c r="A398" s="2300">
        <v>3</v>
      </c>
      <c r="B398" s="313" t="s">
        <v>5341</v>
      </c>
      <c r="C398" s="216" t="s">
        <v>4324</v>
      </c>
      <c r="D398" s="67">
        <v>55</v>
      </c>
      <c r="E398" s="416" t="s">
        <v>600</v>
      </c>
      <c r="F398" s="217" t="s">
        <v>5316</v>
      </c>
      <c r="G398" s="218" t="s">
        <v>5340</v>
      </c>
      <c r="H398" s="192">
        <v>2800</v>
      </c>
      <c r="I398" s="1773" t="s">
        <v>41</v>
      </c>
      <c r="J398" s="34" t="s">
        <v>25</v>
      </c>
      <c r="K398" s="34"/>
      <c r="L398" s="147"/>
      <c r="M398" s="224"/>
      <c r="N398" s="224"/>
      <c r="O398" s="147"/>
      <c r="P398" s="2430"/>
      <c r="S398" s="34" t="s">
        <v>25</v>
      </c>
      <c r="T398" s="34"/>
      <c r="U398" s="147"/>
      <c r="V398" s="224"/>
      <c r="W398" s="224"/>
      <c r="X398" s="147"/>
    </row>
    <row r="399" spans="1:24" s="1" customFormat="1" x14ac:dyDescent="0.3">
      <c r="A399" s="552"/>
      <c r="B399" s="1405"/>
      <c r="C399" s="2945"/>
      <c r="D399" s="2946"/>
      <c r="E399" s="2946"/>
      <c r="F399" s="1863"/>
      <c r="G399" s="1406"/>
      <c r="H399" s="1862">
        <f>SUM(H396:H398)</f>
        <v>8400</v>
      </c>
      <c r="I399" s="1408"/>
      <c r="J399" s="552"/>
      <c r="K399" s="552"/>
      <c r="L399" s="552"/>
      <c r="M399" s="552"/>
      <c r="N399" s="552"/>
      <c r="O399" s="355"/>
      <c r="P399" s="938"/>
      <c r="S399" s="552"/>
      <c r="T399" s="552"/>
      <c r="U399" s="552"/>
      <c r="V399" s="552"/>
      <c r="W399" s="552"/>
      <c r="X399" s="355"/>
    </row>
    <row r="400" spans="1:24" s="1" customFormat="1" x14ac:dyDescent="0.3">
      <c r="A400" s="823">
        <v>210</v>
      </c>
      <c r="B400" s="1861" t="s">
        <v>5339</v>
      </c>
      <c r="C400" s="1856"/>
      <c r="D400" s="1856"/>
      <c r="E400" s="207"/>
      <c r="F400" s="378"/>
      <c r="G400" s="1860"/>
      <c r="H400" s="1859"/>
      <c r="I400" s="1858"/>
      <c r="J400" s="1857"/>
      <c r="K400" s="1856"/>
      <c r="L400" s="211"/>
      <c r="M400" s="211"/>
      <c r="N400" s="211"/>
      <c r="O400" s="1855"/>
      <c r="P400" s="335"/>
      <c r="S400" s="1857"/>
      <c r="T400" s="1856"/>
      <c r="U400" s="211"/>
      <c r="V400" s="211"/>
      <c r="W400" s="211"/>
      <c r="X400" s="1855"/>
    </row>
    <row r="401" spans="1:24" s="1" customFormat="1" x14ac:dyDescent="0.3">
      <c r="A401" s="2394">
        <v>1</v>
      </c>
      <c r="B401" s="643" t="s">
        <v>5338</v>
      </c>
      <c r="C401" s="593" t="s">
        <v>5337</v>
      </c>
      <c r="D401" s="1030">
        <v>55</v>
      </c>
      <c r="E401" s="183" t="s">
        <v>5336</v>
      </c>
      <c r="F401" s="1854" t="s">
        <v>5316</v>
      </c>
      <c r="G401" s="350" t="s">
        <v>5335</v>
      </c>
      <c r="H401" s="351">
        <v>2300</v>
      </c>
      <c r="I401" s="1773" t="s">
        <v>41</v>
      </c>
      <c r="J401" s="644"/>
      <c r="K401" s="692"/>
      <c r="L401" s="692"/>
      <c r="M401" s="692"/>
      <c r="N401" s="692"/>
      <c r="O401" s="1853"/>
      <c r="P401" s="2431" t="s">
        <v>5903</v>
      </c>
      <c r="S401" s="644"/>
      <c r="T401" s="692"/>
      <c r="U401" s="692"/>
      <c r="V401" s="692"/>
      <c r="W401" s="692"/>
      <c r="X401" s="1853"/>
    </row>
    <row r="402" spans="1:24" s="1" customFormat="1" ht="17.399999999999999" x14ac:dyDescent="0.45">
      <c r="A402" s="1591"/>
      <c r="B402" s="204"/>
      <c r="C402" s="664"/>
      <c r="D402" s="910"/>
      <c r="E402" s="903"/>
      <c r="F402" s="1841"/>
      <c r="G402" s="905"/>
      <c r="H402" s="906">
        <v>2300</v>
      </c>
      <c r="I402" s="178"/>
      <c r="J402" s="46"/>
      <c r="K402" s="49"/>
      <c r="L402" s="49"/>
      <c r="M402" s="49"/>
      <c r="N402" s="49"/>
      <c r="O402" s="1852"/>
      <c r="P402" s="1852"/>
      <c r="S402" s="46"/>
      <c r="T402" s="49"/>
      <c r="U402" s="49"/>
      <c r="V402" s="49"/>
      <c r="W402" s="49"/>
      <c r="X402" s="1852"/>
    </row>
    <row r="403" spans="1:24" ht="18" x14ac:dyDescent="0.35">
      <c r="A403" s="1851" t="s">
        <v>5334</v>
      </c>
      <c r="S403" s="1"/>
      <c r="T403" s="1"/>
      <c r="U403" s="1"/>
      <c r="V403" s="1"/>
      <c r="W403" s="1"/>
      <c r="X403" s="1"/>
    </row>
    <row r="404" spans="1:24" s="1" customFormat="1" x14ac:dyDescent="0.3">
      <c r="A404" s="1850">
        <v>416</v>
      </c>
      <c r="B404" s="97" t="s">
        <v>5333</v>
      </c>
      <c r="C404" s="97"/>
      <c r="D404" s="97"/>
      <c r="E404" s="1843"/>
      <c r="F404" s="1842"/>
      <c r="G404" s="97"/>
      <c r="H404" s="100"/>
      <c r="I404" s="101"/>
      <c r="J404" s="97"/>
      <c r="K404" s="97"/>
      <c r="L404" s="97"/>
      <c r="M404" s="97"/>
      <c r="N404" s="97"/>
      <c r="O404" s="102"/>
      <c r="P404" s="103"/>
      <c r="S404" s="97"/>
      <c r="T404" s="97"/>
      <c r="U404" s="97"/>
      <c r="V404" s="97"/>
      <c r="W404" s="97"/>
      <c r="X404" s="102"/>
    </row>
    <row r="405" spans="1:24" x14ac:dyDescent="0.3">
      <c r="A405" s="2227">
        <v>1</v>
      </c>
      <c r="B405" s="1611" t="s">
        <v>5332</v>
      </c>
      <c r="C405" s="2957" t="s">
        <v>5331</v>
      </c>
      <c r="D405" s="2958"/>
      <c r="E405" s="2958"/>
      <c r="F405" s="1849" t="s">
        <v>5316</v>
      </c>
      <c r="G405" s="711" t="s">
        <v>5330</v>
      </c>
      <c r="H405" s="703">
        <v>3190</v>
      </c>
      <c r="I405" s="704" t="s">
        <v>811</v>
      </c>
      <c r="J405" s="104" t="s">
        <v>25</v>
      </c>
      <c r="K405" s="104"/>
      <c r="L405" s="104"/>
      <c r="M405" s="104"/>
      <c r="N405" s="104"/>
      <c r="O405" s="104"/>
      <c r="P405" s="2308" t="s">
        <v>126</v>
      </c>
      <c r="S405" s="104" t="s">
        <v>25</v>
      </c>
      <c r="T405" s="104"/>
      <c r="U405" s="104"/>
      <c r="V405" s="104"/>
      <c r="W405" s="104"/>
      <c r="X405" s="104"/>
    </row>
    <row r="406" spans="1:24" x14ac:dyDescent="0.3">
      <c r="A406" s="2227">
        <v>2</v>
      </c>
      <c r="B406" s="531" t="s">
        <v>5329</v>
      </c>
      <c r="C406" s="2929" t="s">
        <v>5328</v>
      </c>
      <c r="D406" s="2930"/>
      <c r="E406" s="2930"/>
      <c r="F406" s="1847" t="s">
        <v>5316</v>
      </c>
      <c r="G406" s="1440">
        <v>20689</v>
      </c>
      <c r="H406" s="412">
        <v>3790</v>
      </c>
      <c r="I406" s="1848" t="s">
        <v>865</v>
      </c>
      <c r="J406" s="121" t="s">
        <v>25</v>
      </c>
      <c r="K406" s="121"/>
      <c r="L406" s="121"/>
      <c r="M406" s="121"/>
      <c r="N406" s="121"/>
      <c r="O406" s="121"/>
      <c r="P406" s="2328" t="s">
        <v>109</v>
      </c>
      <c r="S406" s="121" t="s">
        <v>25</v>
      </c>
      <c r="T406" s="121"/>
      <c r="U406" s="121"/>
      <c r="V406" s="121"/>
      <c r="W406" s="121"/>
      <c r="X406" s="121"/>
    </row>
    <row r="407" spans="1:24" x14ac:dyDescent="0.3">
      <c r="A407" s="2227">
        <v>3</v>
      </c>
      <c r="B407" s="1611" t="s">
        <v>5327</v>
      </c>
      <c r="C407" s="2957" t="s">
        <v>5326</v>
      </c>
      <c r="D407" s="2958"/>
      <c r="E407" s="2958"/>
      <c r="F407" s="1847" t="s">
        <v>5316</v>
      </c>
      <c r="G407" s="711" t="s">
        <v>5325</v>
      </c>
      <c r="H407" s="703">
        <v>4900</v>
      </c>
      <c r="I407" s="704" t="s">
        <v>811</v>
      </c>
      <c r="J407" s="104" t="s">
        <v>25</v>
      </c>
      <c r="K407" s="104"/>
      <c r="L407" s="104"/>
      <c r="M407" s="104"/>
      <c r="N407" s="104"/>
      <c r="O407" s="104"/>
      <c r="P407" s="2303" t="s">
        <v>5859</v>
      </c>
      <c r="S407" s="104" t="s">
        <v>25</v>
      </c>
      <c r="T407" s="104"/>
      <c r="U407" s="104"/>
      <c r="V407" s="104"/>
      <c r="W407" s="104"/>
      <c r="X407" s="104"/>
    </row>
    <row r="408" spans="1:24" ht="17.399999999999999" x14ac:dyDescent="0.45">
      <c r="A408" s="39"/>
      <c r="B408" s="204" t="s">
        <v>5872</v>
      </c>
      <c r="C408" s="950"/>
      <c r="D408" s="951"/>
      <c r="E408" s="910"/>
      <c r="F408" s="1840"/>
      <c r="G408" s="204"/>
      <c r="H408" s="713">
        <f>SUM(H405:H407)</f>
        <v>11880</v>
      </c>
      <c r="I408" s="178"/>
      <c r="J408" s="204"/>
      <c r="K408" s="204"/>
      <c r="L408" s="204"/>
      <c r="M408" s="204"/>
      <c r="N408" s="204"/>
      <c r="O408" s="204"/>
      <c r="P408" s="205"/>
      <c r="S408" s="204"/>
      <c r="T408" s="204"/>
      <c r="U408" s="204"/>
      <c r="V408" s="204"/>
      <c r="W408" s="204"/>
      <c r="X408" s="204"/>
    </row>
    <row r="409" spans="1:24" ht="17.399999999999999" x14ac:dyDescent="0.45">
      <c r="H409" s="763">
        <f>H408+H402+H399+H393+H389+H384+H377+H365+H362+L410</f>
        <v>158725</v>
      </c>
      <c r="S409" s="1"/>
      <c r="T409" s="1"/>
      <c r="U409" s="1"/>
      <c r="V409" s="1"/>
      <c r="W409" s="1"/>
      <c r="X409" s="1"/>
    </row>
    <row r="410" spans="1:24" ht="17.399999999999999" x14ac:dyDescent="0.45">
      <c r="H410" s="763"/>
      <c r="S410" s="1"/>
      <c r="T410" s="1"/>
      <c r="U410" s="1"/>
      <c r="V410" s="1"/>
      <c r="W410" s="1"/>
      <c r="X410" s="1"/>
    </row>
    <row r="411" spans="1:24" ht="17.399999999999999" x14ac:dyDescent="0.45">
      <c r="H411" s="763"/>
      <c r="S411" s="1"/>
      <c r="T411" s="1"/>
      <c r="U411" s="1"/>
      <c r="V411" s="1"/>
      <c r="W411" s="1"/>
      <c r="X411" s="1"/>
    </row>
    <row r="412" spans="1:24" s="10" customFormat="1" ht="18" x14ac:dyDescent="0.35">
      <c r="A412" s="2965" t="s">
        <v>5324</v>
      </c>
      <c r="B412" s="2965"/>
      <c r="C412" s="858"/>
      <c r="D412" s="858"/>
      <c r="E412" s="858"/>
      <c r="F412" s="858"/>
      <c r="G412" s="858"/>
      <c r="H412" s="1846"/>
      <c r="I412" s="1703"/>
      <c r="J412" s="1845"/>
      <c r="K412" s="1845"/>
      <c r="L412" s="1844"/>
      <c r="M412" s="1844"/>
      <c r="N412" s="1844"/>
      <c r="O412" s="1844"/>
      <c r="P412" s="1703"/>
      <c r="S412" s="1845"/>
      <c r="T412" s="1845"/>
      <c r="U412" s="1844"/>
      <c r="V412" s="1844"/>
      <c r="W412" s="1844"/>
      <c r="X412" s="1844"/>
    </row>
    <row r="413" spans="1:24" s="1" customFormat="1" x14ac:dyDescent="0.3">
      <c r="A413" s="96">
        <v>400</v>
      </c>
      <c r="B413" s="97" t="s">
        <v>98</v>
      </c>
      <c r="C413" s="97"/>
      <c r="D413" s="97"/>
      <c r="E413" s="1843"/>
      <c r="F413" s="1842"/>
      <c r="G413" s="97"/>
      <c r="H413" s="100"/>
      <c r="I413" s="101"/>
      <c r="J413" s="97"/>
      <c r="K413" s="97"/>
      <c r="L413" s="97"/>
      <c r="M413" s="97"/>
      <c r="N413" s="97"/>
      <c r="O413" s="102"/>
      <c r="P413" s="103"/>
      <c r="S413" s="97"/>
      <c r="T413" s="97"/>
      <c r="U413" s="97"/>
      <c r="V413" s="97"/>
      <c r="W413" s="97"/>
      <c r="X413" s="102"/>
    </row>
    <row r="414" spans="1:24" x14ac:dyDescent="0.3">
      <c r="A414" s="2227">
        <v>1</v>
      </c>
      <c r="B414" s="313" t="s">
        <v>5318</v>
      </c>
      <c r="C414" s="2951" t="s">
        <v>5323</v>
      </c>
      <c r="D414" s="2952"/>
      <c r="E414" s="2952"/>
      <c r="F414" s="448" t="s">
        <v>5316</v>
      </c>
      <c r="G414" s="218" t="s">
        <v>5315</v>
      </c>
      <c r="H414" s="192">
        <v>850</v>
      </c>
      <c r="I414" s="1773" t="s">
        <v>41</v>
      </c>
      <c r="J414" s="34"/>
      <c r="K414" s="34"/>
      <c r="L414" s="2233" t="s">
        <v>25</v>
      </c>
      <c r="M414" s="147"/>
      <c r="N414" s="803"/>
      <c r="O414" s="803"/>
      <c r="P414" s="2629" t="s">
        <v>6395</v>
      </c>
      <c r="Q414" s="1612">
        <v>252</v>
      </c>
      <c r="S414" s="34"/>
      <c r="T414" s="34"/>
      <c r="U414" s="2233" t="s">
        <v>25</v>
      </c>
      <c r="V414" s="147"/>
      <c r="W414" s="803"/>
      <c r="X414" s="803"/>
    </row>
    <row r="415" spans="1:24" x14ac:dyDescent="0.3">
      <c r="A415" s="2227">
        <v>2</v>
      </c>
      <c r="B415" s="313" t="s">
        <v>5318</v>
      </c>
      <c r="C415" s="2951" t="s">
        <v>5322</v>
      </c>
      <c r="D415" s="2952"/>
      <c r="E415" s="2952"/>
      <c r="F415" s="448" t="s">
        <v>5316</v>
      </c>
      <c r="G415" s="218" t="s">
        <v>5315</v>
      </c>
      <c r="H415" s="192">
        <v>850</v>
      </c>
      <c r="I415" s="1773" t="s">
        <v>41</v>
      </c>
      <c r="J415" s="34"/>
      <c r="K415" s="34"/>
      <c r="L415" s="2233" t="s">
        <v>25</v>
      </c>
      <c r="M415" s="147"/>
      <c r="N415" s="803"/>
      <c r="O415" s="803"/>
      <c r="P415" s="2629" t="s">
        <v>6395</v>
      </c>
      <c r="Q415" s="1612">
        <v>253</v>
      </c>
      <c r="S415" s="34"/>
      <c r="T415" s="34"/>
      <c r="U415" s="2233" t="s">
        <v>25</v>
      </c>
      <c r="V415" s="147"/>
      <c r="W415" s="803"/>
      <c r="X415" s="803"/>
    </row>
    <row r="416" spans="1:24" x14ac:dyDescent="0.3">
      <c r="A416" s="2227">
        <v>3</v>
      </c>
      <c r="B416" s="313" t="s">
        <v>5318</v>
      </c>
      <c r="C416" s="2951" t="s">
        <v>5321</v>
      </c>
      <c r="D416" s="2952"/>
      <c r="E416" s="2952"/>
      <c r="F416" s="448" t="s">
        <v>5316</v>
      </c>
      <c r="G416" s="218" t="s">
        <v>5315</v>
      </c>
      <c r="H416" s="192">
        <v>850</v>
      </c>
      <c r="I416" s="1773" t="s">
        <v>41</v>
      </c>
      <c r="J416" s="34"/>
      <c r="K416" s="34"/>
      <c r="L416" s="2233" t="s">
        <v>25</v>
      </c>
      <c r="M416" s="147"/>
      <c r="N416" s="803"/>
      <c r="O416" s="803"/>
      <c r="P416" s="2629" t="s">
        <v>6395</v>
      </c>
      <c r="Q416" s="1612">
        <v>254</v>
      </c>
      <c r="S416" s="34"/>
      <c r="T416" s="34"/>
      <c r="U416" s="2233" t="s">
        <v>25</v>
      </c>
      <c r="V416" s="147"/>
      <c r="W416" s="803"/>
      <c r="X416" s="803"/>
    </row>
    <row r="417" spans="1:24" x14ac:dyDescent="0.3">
      <c r="A417" s="2227">
        <v>4</v>
      </c>
      <c r="B417" s="313" t="s">
        <v>5318</v>
      </c>
      <c r="C417" s="2951" t="s">
        <v>5320</v>
      </c>
      <c r="D417" s="2952"/>
      <c r="E417" s="2952"/>
      <c r="F417" s="448" t="s">
        <v>5316</v>
      </c>
      <c r="G417" s="218" t="s">
        <v>5315</v>
      </c>
      <c r="H417" s="192">
        <v>850</v>
      </c>
      <c r="I417" s="1773" t="s">
        <v>41</v>
      </c>
      <c r="J417" s="34"/>
      <c r="K417" s="34"/>
      <c r="L417" s="2233" t="s">
        <v>25</v>
      </c>
      <c r="M417" s="147"/>
      <c r="N417" s="803"/>
      <c r="O417" s="803"/>
      <c r="P417" s="2629" t="s">
        <v>6395</v>
      </c>
      <c r="Q417" s="1612">
        <v>255</v>
      </c>
      <c r="S417" s="34"/>
      <c r="T417" s="34"/>
      <c r="U417" s="2233" t="s">
        <v>25</v>
      </c>
      <c r="V417" s="147"/>
      <c r="W417" s="803"/>
      <c r="X417" s="803"/>
    </row>
    <row r="418" spans="1:24" x14ac:dyDescent="0.3">
      <c r="A418" s="2227">
        <v>5</v>
      </c>
      <c r="B418" s="313" t="s">
        <v>5318</v>
      </c>
      <c r="C418" s="2951" t="s">
        <v>5319</v>
      </c>
      <c r="D418" s="2952"/>
      <c r="E418" s="2952"/>
      <c r="F418" s="448" t="s">
        <v>5316</v>
      </c>
      <c r="G418" s="218" t="s">
        <v>5315</v>
      </c>
      <c r="H418" s="192">
        <v>850</v>
      </c>
      <c r="I418" s="1773" t="s">
        <v>41</v>
      </c>
      <c r="J418" s="34"/>
      <c r="K418" s="34"/>
      <c r="L418" s="2233" t="s">
        <v>25</v>
      </c>
      <c r="M418" s="147"/>
      <c r="N418" s="803"/>
      <c r="O418" s="803"/>
      <c r="P418" s="2629" t="s">
        <v>6395</v>
      </c>
      <c r="Q418" s="1612">
        <v>256</v>
      </c>
      <c r="S418" s="34"/>
      <c r="T418" s="34"/>
      <c r="U418" s="2233" t="s">
        <v>25</v>
      </c>
      <c r="V418" s="147"/>
      <c r="W418" s="803"/>
      <c r="X418" s="803"/>
    </row>
    <row r="419" spans="1:24" x14ac:dyDescent="0.3">
      <c r="A419" s="2227">
        <v>6</v>
      </c>
      <c r="B419" s="313" t="s">
        <v>5318</v>
      </c>
      <c r="C419" s="2951" t="s">
        <v>5317</v>
      </c>
      <c r="D419" s="2952"/>
      <c r="E419" s="2952"/>
      <c r="F419" s="448" t="s">
        <v>5316</v>
      </c>
      <c r="G419" s="218" t="s">
        <v>5315</v>
      </c>
      <c r="H419" s="192">
        <v>850</v>
      </c>
      <c r="I419" s="1773" t="s">
        <v>41</v>
      </c>
      <c r="J419" s="34"/>
      <c r="K419" s="34"/>
      <c r="L419" s="2233" t="s">
        <v>25</v>
      </c>
      <c r="M419" s="147"/>
      <c r="N419" s="803"/>
      <c r="O419" s="803"/>
      <c r="P419" s="2629" t="s">
        <v>6395</v>
      </c>
      <c r="Q419" s="1612">
        <v>257</v>
      </c>
      <c r="S419" s="34"/>
      <c r="T419" s="34"/>
      <c r="U419" s="2233" t="s">
        <v>25</v>
      </c>
      <c r="V419" s="147"/>
      <c r="W419" s="803"/>
      <c r="X419" s="803"/>
    </row>
    <row r="420" spans="1:24" ht="18" customHeight="1" x14ac:dyDescent="0.45">
      <c r="A420" s="477"/>
      <c r="B420" s="1841"/>
      <c r="C420" s="951"/>
      <c r="D420" s="951"/>
      <c r="E420" s="910"/>
      <c r="F420" s="1840"/>
      <c r="G420" s="204"/>
      <c r="H420" s="713">
        <f>SUM(H414:H419)</f>
        <v>5100</v>
      </c>
      <c r="I420" s="1208"/>
      <c r="J420" s="204"/>
      <c r="K420" s="204"/>
      <c r="L420" s="204"/>
      <c r="M420" s="204"/>
      <c r="N420" s="204"/>
      <c r="O420" s="204"/>
      <c r="P420" s="205"/>
      <c r="S420" s="204"/>
      <c r="T420" s="204"/>
      <c r="U420" s="204"/>
      <c r="V420" s="204"/>
      <c r="W420" s="204"/>
      <c r="X420" s="204"/>
    </row>
    <row r="421" spans="1:24" ht="18" customHeight="1" x14ac:dyDescent="0.45">
      <c r="H421" s="763">
        <f>H167+H362+H365+H377+H384+H389+H393++H399+H402+H408+H420</f>
        <v>307925</v>
      </c>
      <c r="S421" s="1612">
        <f>COUNTA(S7:S420)</f>
        <v>124</v>
      </c>
      <c r="T421" s="1612">
        <f t="shared" ref="T421:X421" si="0">COUNTA(T7:T420)</f>
        <v>0</v>
      </c>
      <c r="U421" s="1612">
        <f t="shared" si="0"/>
        <v>257</v>
      </c>
      <c r="V421" s="1612">
        <f t="shared" si="0"/>
        <v>0</v>
      </c>
      <c r="W421" s="1612">
        <f t="shared" si="0"/>
        <v>0</v>
      </c>
      <c r="X421" s="1612">
        <f t="shared" si="0"/>
        <v>0</v>
      </c>
    </row>
    <row r="422" spans="1:24" s="1" customFormat="1" ht="18" x14ac:dyDescent="0.35">
      <c r="A422" s="320"/>
      <c r="B422" s="505"/>
      <c r="C422" s="505"/>
      <c r="D422" s="505"/>
      <c r="E422" s="509"/>
      <c r="F422" s="505"/>
      <c r="G422" s="504"/>
      <c r="I422" s="505"/>
      <c r="J422" s="505"/>
      <c r="K422" s="505"/>
      <c r="L422" s="505"/>
      <c r="M422" s="505"/>
      <c r="O422" s="506"/>
    </row>
    <row r="423" spans="1:24" s="1" customFormat="1" ht="18" x14ac:dyDescent="0.35">
      <c r="A423" s="320"/>
      <c r="B423" s="509"/>
      <c r="C423" s="1107"/>
      <c r="D423" s="505"/>
      <c r="E423" s="509"/>
      <c r="F423" s="505"/>
      <c r="G423" s="504"/>
      <c r="H423" s="2963"/>
      <c r="I423" s="2963"/>
      <c r="J423" s="505"/>
      <c r="K423" s="505"/>
      <c r="L423" s="505"/>
      <c r="M423" s="505"/>
      <c r="O423" s="506"/>
    </row>
    <row r="424" spans="1:24" s="1" customFormat="1" ht="18" x14ac:dyDescent="0.35">
      <c r="A424" s="320"/>
      <c r="B424" s="502" t="s">
        <v>601</v>
      </c>
      <c r="C424" s="502"/>
      <c r="D424" s="502"/>
      <c r="E424" s="503"/>
      <c r="F424" s="502"/>
      <c r="G424" s="504" t="s">
        <v>602</v>
      </c>
      <c r="H424" s="497"/>
      <c r="I424" s="505"/>
      <c r="J424" s="505" t="s">
        <v>603</v>
      </c>
      <c r="K424" s="505"/>
      <c r="L424" s="505"/>
      <c r="M424" s="505"/>
      <c r="O424" s="506"/>
    </row>
    <row r="425" spans="1:24" s="1" customFormat="1" ht="18" x14ac:dyDescent="0.35">
      <c r="A425" s="320"/>
      <c r="B425" s="507" t="s">
        <v>604</v>
      </c>
      <c r="C425" s="508"/>
      <c r="D425" s="502"/>
      <c r="E425" s="503"/>
      <c r="F425" s="502"/>
      <c r="G425" s="504"/>
      <c r="H425" s="509" t="s">
        <v>605</v>
      </c>
      <c r="J425" s="505"/>
      <c r="K425" s="505"/>
      <c r="L425" s="505"/>
      <c r="M425" s="505"/>
      <c r="O425" s="506"/>
    </row>
    <row r="426" spans="1:24" s="1" customFormat="1" ht="18" x14ac:dyDescent="0.35">
      <c r="A426" s="320"/>
      <c r="B426" s="507" t="s">
        <v>606</v>
      </c>
      <c r="C426" s="508"/>
      <c r="D426" s="502"/>
      <c r="E426" s="503"/>
      <c r="F426" s="502"/>
      <c r="G426" s="504"/>
      <c r="H426" s="509" t="s">
        <v>607</v>
      </c>
      <c r="J426" s="505"/>
      <c r="K426" s="505"/>
      <c r="L426" s="505"/>
      <c r="M426" s="505"/>
      <c r="O426" s="506"/>
    </row>
    <row r="427" spans="1:24" s="1" customFormat="1" ht="18" x14ac:dyDescent="0.35">
      <c r="A427" s="320"/>
      <c r="B427" s="502"/>
      <c r="C427" s="502"/>
      <c r="D427" s="502"/>
      <c r="E427" s="503"/>
      <c r="F427" s="502"/>
      <c r="G427" s="510"/>
      <c r="H427" s="497"/>
      <c r="I427" s="505"/>
      <c r="J427" s="505"/>
      <c r="K427" s="505"/>
      <c r="L427" s="505"/>
      <c r="M427" s="505"/>
      <c r="O427" s="506"/>
    </row>
    <row r="428" spans="1:24" s="1" customFormat="1" ht="18" x14ac:dyDescent="0.35">
      <c r="A428" s="320"/>
      <c r="B428" s="502" t="s">
        <v>1153</v>
      </c>
      <c r="C428" s="502"/>
      <c r="D428" s="502"/>
      <c r="E428" s="503"/>
      <c r="F428" s="502"/>
      <c r="G428" s="504"/>
      <c r="H428" s="497"/>
      <c r="I428" s="505"/>
      <c r="J428" s="505"/>
      <c r="K428" s="505"/>
      <c r="L428" s="505"/>
      <c r="M428" s="505"/>
      <c r="O428" s="506"/>
    </row>
    <row r="429" spans="1:24" s="1" customFormat="1" ht="18" x14ac:dyDescent="0.35">
      <c r="A429" s="320"/>
      <c r="B429" s="507" t="s">
        <v>609</v>
      </c>
      <c r="C429" s="508"/>
      <c r="D429" s="502"/>
      <c r="E429" s="503"/>
      <c r="F429" s="502"/>
      <c r="G429" s="504"/>
      <c r="H429" s="506"/>
      <c r="J429" s="505"/>
      <c r="K429" s="505"/>
      <c r="L429" s="505"/>
      <c r="M429" s="505"/>
      <c r="O429" s="506"/>
    </row>
    <row r="430" spans="1:24" s="1" customFormat="1" ht="18" x14ac:dyDescent="0.35">
      <c r="A430" s="320"/>
      <c r="B430" s="507" t="s">
        <v>610</v>
      </c>
      <c r="C430" s="508"/>
      <c r="D430" s="502"/>
      <c r="E430" s="503"/>
      <c r="F430" s="502"/>
      <c r="G430" s="504"/>
      <c r="H430" s="506"/>
      <c r="J430" s="505"/>
      <c r="K430" s="505"/>
      <c r="L430" s="505"/>
      <c r="M430" s="505"/>
      <c r="O430" s="506"/>
    </row>
  </sheetData>
  <mergeCells count="374">
    <mergeCell ref="A1:P1"/>
    <mergeCell ref="A3:A4"/>
    <mergeCell ref="B3:B4"/>
    <mergeCell ref="C3:F4"/>
    <mergeCell ref="H3:H4"/>
    <mergeCell ref="I3:I4"/>
    <mergeCell ref="J3:O3"/>
    <mergeCell ref="C12:E12"/>
    <mergeCell ref="C13:E13"/>
    <mergeCell ref="A5:B5"/>
    <mergeCell ref="C7:E7"/>
    <mergeCell ref="C8:E8"/>
    <mergeCell ref="C9:E9"/>
    <mergeCell ref="C10:E10"/>
    <mergeCell ref="C11:E11"/>
    <mergeCell ref="C14:E14"/>
    <mergeCell ref="C15:E15"/>
    <mergeCell ref="C16:E16"/>
    <mergeCell ref="C17:E17"/>
    <mergeCell ref="C30:E30"/>
    <mergeCell ref="C31:E31"/>
    <mergeCell ref="C18:E18"/>
    <mergeCell ref="C19:E19"/>
    <mergeCell ref="C20:E20"/>
    <mergeCell ref="C21:E21"/>
    <mergeCell ref="C22:E22"/>
    <mergeCell ref="C23:E23"/>
    <mergeCell ref="C32:E32"/>
    <mergeCell ref="C33:E33"/>
    <mergeCell ref="C34:E34"/>
    <mergeCell ref="C35:E35"/>
    <mergeCell ref="C24:E24"/>
    <mergeCell ref="C25:E25"/>
    <mergeCell ref="C26:E26"/>
    <mergeCell ref="C27:E27"/>
    <mergeCell ref="C28:E28"/>
    <mergeCell ref="C29:E29"/>
    <mergeCell ref="C57:E57"/>
    <mergeCell ref="C58:E58"/>
    <mergeCell ref="C59:E59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81:E81"/>
    <mergeCell ref="C82:E82"/>
    <mergeCell ref="C83:E83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105:E105"/>
    <mergeCell ref="C106:E106"/>
    <mergeCell ref="C107:E107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29:E129"/>
    <mergeCell ref="C130:E130"/>
    <mergeCell ref="C131:E131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53:E153"/>
    <mergeCell ref="C154:E154"/>
    <mergeCell ref="C155:E155"/>
    <mergeCell ref="C132:E132"/>
    <mergeCell ref="C133:E133"/>
    <mergeCell ref="C134:E134"/>
    <mergeCell ref="C135:E135"/>
    <mergeCell ref="C136:E136"/>
    <mergeCell ref="C137:E137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79:E179"/>
    <mergeCell ref="C180:E180"/>
    <mergeCell ref="C181:E181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9:E169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C178:E178"/>
    <mergeCell ref="C203:E203"/>
    <mergeCell ref="C204:E204"/>
    <mergeCell ref="C205:E205"/>
    <mergeCell ref="C182:E182"/>
    <mergeCell ref="C183:E183"/>
    <mergeCell ref="C184:E184"/>
    <mergeCell ref="C185:E185"/>
    <mergeCell ref="C186:E186"/>
    <mergeCell ref="C187:E187"/>
    <mergeCell ref="C188:E188"/>
    <mergeCell ref="C189:E189"/>
    <mergeCell ref="C190:E190"/>
    <mergeCell ref="C191:E191"/>
    <mergeCell ref="C192:E192"/>
    <mergeCell ref="C193:E193"/>
    <mergeCell ref="C194:E194"/>
    <mergeCell ref="C195:E195"/>
    <mergeCell ref="C196:E196"/>
    <mergeCell ref="C197:E197"/>
    <mergeCell ref="C198:E198"/>
    <mergeCell ref="C199:E199"/>
    <mergeCell ref="C200:E200"/>
    <mergeCell ref="C201:E201"/>
    <mergeCell ref="C202:E202"/>
    <mergeCell ref="C227:E227"/>
    <mergeCell ref="C228:E228"/>
    <mergeCell ref="C229:E229"/>
    <mergeCell ref="C206:E206"/>
    <mergeCell ref="C207:E207"/>
    <mergeCell ref="C208:E208"/>
    <mergeCell ref="C209:E209"/>
    <mergeCell ref="C210:E210"/>
    <mergeCell ref="C211:E211"/>
    <mergeCell ref="C212:E212"/>
    <mergeCell ref="C213:E213"/>
    <mergeCell ref="C214:E214"/>
    <mergeCell ref="C215:E215"/>
    <mergeCell ref="C216:E216"/>
    <mergeCell ref="C217:E217"/>
    <mergeCell ref="C218:E218"/>
    <mergeCell ref="C219:E219"/>
    <mergeCell ref="C220:E220"/>
    <mergeCell ref="C221:E221"/>
    <mergeCell ref="C222:E222"/>
    <mergeCell ref="C223:E223"/>
    <mergeCell ref="C224:E224"/>
    <mergeCell ref="C225:E225"/>
    <mergeCell ref="C226:E226"/>
    <mergeCell ref="C251:E251"/>
    <mergeCell ref="C252:E252"/>
    <mergeCell ref="C253:E253"/>
    <mergeCell ref="C230:E230"/>
    <mergeCell ref="C231:E231"/>
    <mergeCell ref="C232:E232"/>
    <mergeCell ref="C233:E233"/>
    <mergeCell ref="C234:E234"/>
    <mergeCell ref="C235:E235"/>
    <mergeCell ref="C236:E236"/>
    <mergeCell ref="C237:E237"/>
    <mergeCell ref="C238:E238"/>
    <mergeCell ref="C239:E239"/>
    <mergeCell ref="C240:E240"/>
    <mergeCell ref="C241:E241"/>
    <mergeCell ref="C242:E242"/>
    <mergeCell ref="C243:E243"/>
    <mergeCell ref="C244:E244"/>
    <mergeCell ref="C245:E245"/>
    <mergeCell ref="C246:E246"/>
    <mergeCell ref="C247:E247"/>
    <mergeCell ref="C248:E248"/>
    <mergeCell ref="C249:E249"/>
    <mergeCell ref="C250:E250"/>
    <mergeCell ref="C275:E275"/>
    <mergeCell ref="C276:E276"/>
    <mergeCell ref="C277:E277"/>
    <mergeCell ref="C254:E254"/>
    <mergeCell ref="C255:E255"/>
    <mergeCell ref="C256:E256"/>
    <mergeCell ref="C257:E257"/>
    <mergeCell ref="C258:E258"/>
    <mergeCell ref="C259:E259"/>
    <mergeCell ref="C260:E260"/>
    <mergeCell ref="C261:E261"/>
    <mergeCell ref="C262:E262"/>
    <mergeCell ref="C263:E263"/>
    <mergeCell ref="C264:E264"/>
    <mergeCell ref="C265:E265"/>
    <mergeCell ref="C266:E266"/>
    <mergeCell ref="C267:E267"/>
    <mergeCell ref="C268:E268"/>
    <mergeCell ref="C269:E269"/>
    <mergeCell ref="C270:E270"/>
    <mergeCell ref="C271:E271"/>
    <mergeCell ref="C272:E272"/>
    <mergeCell ref="C273:E273"/>
    <mergeCell ref="C274:E274"/>
    <mergeCell ref="C299:E299"/>
    <mergeCell ref="C300:E300"/>
    <mergeCell ref="C301:E301"/>
    <mergeCell ref="C278:E278"/>
    <mergeCell ref="C279:E279"/>
    <mergeCell ref="C280:E280"/>
    <mergeCell ref="C281:E281"/>
    <mergeCell ref="C282:E282"/>
    <mergeCell ref="C283:E283"/>
    <mergeCell ref="C284:E284"/>
    <mergeCell ref="C285:E285"/>
    <mergeCell ref="C286:E286"/>
    <mergeCell ref="C287:E287"/>
    <mergeCell ref="C288:E288"/>
    <mergeCell ref="C289:E289"/>
    <mergeCell ref="C290:E290"/>
    <mergeCell ref="C291:E291"/>
    <mergeCell ref="C292:E292"/>
    <mergeCell ref="C293:E293"/>
    <mergeCell ref="C294:E294"/>
    <mergeCell ref="C295:E295"/>
    <mergeCell ref="C296:E296"/>
    <mergeCell ref="C297:E297"/>
    <mergeCell ref="C298:E298"/>
    <mergeCell ref="C323:E323"/>
    <mergeCell ref="C324:E324"/>
    <mergeCell ref="C325:E325"/>
    <mergeCell ref="C302:E302"/>
    <mergeCell ref="C303:E303"/>
    <mergeCell ref="C304:E304"/>
    <mergeCell ref="C305:E305"/>
    <mergeCell ref="C306:E306"/>
    <mergeCell ref="C307:E307"/>
    <mergeCell ref="C308:E308"/>
    <mergeCell ref="C309:E309"/>
    <mergeCell ref="C310:E310"/>
    <mergeCell ref="C311:E311"/>
    <mergeCell ref="C312:E312"/>
    <mergeCell ref="C313:E313"/>
    <mergeCell ref="C314:E314"/>
    <mergeCell ref="C315:E315"/>
    <mergeCell ref="C316:E316"/>
    <mergeCell ref="C317:E317"/>
    <mergeCell ref="C318:E318"/>
    <mergeCell ref="C319:E319"/>
    <mergeCell ref="C320:E320"/>
    <mergeCell ref="C321:E321"/>
    <mergeCell ref="C322:E322"/>
    <mergeCell ref="C347:E347"/>
    <mergeCell ref="C348:E348"/>
    <mergeCell ref="C349:E349"/>
    <mergeCell ref="C326:E326"/>
    <mergeCell ref="C327:E327"/>
    <mergeCell ref="C328:E328"/>
    <mergeCell ref="C329:E329"/>
    <mergeCell ref="C330:E330"/>
    <mergeCell ref="C331:E331"/>
    <mergeCell ref="C332:E332"/>
    <mergeCell ref="C333:E333"/>
    <mergeCell ref="C334:E334"/>
    <mergeCell ref="C335:E335"/>
    <mergeCell ref="C336:E336"/>
    <mergeCell ref="C337:E337"/>
    <mergeCell ref="C338:E338"/>
    <mergeCell ref="C339:E339"/>
    <mergeCell ref="C340:E340"/>
    <mergeCell ref="C341:E341"/>
    <mergeCell ref="C342:E342"/>
    <mergeCell ref="C343:E343"/>
    <mergeCell ref="C344:E344"/>
    <mergeCell ref="C345:E345"/>
    <mergeCell ref="C346:E346"/>
    <mergeCell ref="C350:E350"/>
    <mergeCell ref="C351:E351"/>
    <mergeCell ref="C352:E352"/>
    <mergeCell ref="C353:E353"/>
    <mergeCell ref="C354:E354"/>
    <mergeCell ref="C355:E355"/>
    <mergeCell ref="A412:B412"/>
    <mergeCell ref="C356:E356"/>
    <mergeCell ref="C357:E357"/>
    <mergeCell ref="C358:E358"/>
    <mergeCell ref="C359:E359"/>
    <mergeCell ref="C360:E360"/>
    <mergeCell ref="C361:E361"/>
    <mergeCell ref="H423:I423"/>
    <mergeCell ref="C395:E395"/>
    <mergeCell ref="C399:E399"/>
    <mergeCell ref="C405:E405"/>
    <mergeCell ref="C406:E406"/>
    <mergeCell ref="C407:E407"/>
    <mergeCell ref="C414:E414"/>
    <mergeCell ref="C415:E415"/>
    <mergeCell ref="C416:E416"/>
    <mergeCell ref="C417:E417"/>
    <mergeCell ref="C418:E418"/>
    <mergeCell ref="C419:E41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645"/>
  <sheetViews>
    <sheetView zoomScale="90" zoomScaleNormal="90" workbookViewId="0">
      <pane xSplit="1" ySplit="5" topLeftCell="B628" activePane="bottomRight" state="frozen"/>
      <selection pane="topRight" activeCell="B1" sqref="B1"/>
      <selection pane="bottomLeft" activeCell="A6" sqref="A6"/>
      <selection pane="bottomRight" sqref="A1:O1"/>
    </sheetView>
  </sheetViews>
  <sheetFormatPr defaultColWidth="9.109375" defaultRowHeight="15.6" x14ac:dyDescent="0.3"/>
  <cols>
    <col min="1" max="1" width="10.88671875" style="1992" customWidth="1"/>
    <col min="2" max="2" width="43.44140625" style="1947" customWidth="1"/>
    <col min="3" max="3" width="4.5546875" style="1947" customWidth="1"/>
    <col min="4" max="4" width="3.109375" style="1947" customWidth="1"/>
    <col min="5" max="5" width="6.109375" style="1993" customWidth="1"/>
    <col min="6" max="6" width="9.88671875" style="1947" customWidth="1"/>
    <col min="7" max="7" width="12.6640625" style="2002" customWidth="1"/>
    <col min="8" max="8" width="24.44140625" style="1995" customWidth="1"/>
    <col min="9" max="14" width="3.33203125" style="1947" customWidth="1"/>
    <col min="15" max="15" width="11.33203125" style="1996" customWidth="1"/>
    <col min="16" max="16384" width="9.109375" style="1947"/>
  </cols>
  <sheetData>
    <row r="1" spans="1:23" ht="18" x14ac:dyDescent="0.35">
      <c r="A1" s="2974" t="s">
        <v>5760</v>
      </c>
      <c r="B1" s="2974"/>
      <c r="C1" s="2974"/>
      <c r="D1" s="2974"/>
      <c r="E1" s="2974"/>
      <c r="F1" s="2974"/>
      <c r="G1" s="2974"/>
      <c r="H1" s="2974"/>
      <c r="I1" s="2974"/>
      <c r="J1" s="2974"/>
      <c r="K1" s="2974"/>
      <c r="L1" s="2974"/>
      <c r="M1" s="2974"/>
      <c r="N1" s="2974"/>
      <c r="O1" s="2974"/>
    </row>
    <row r="2" spans="1:23" ht="18" x14ac:dyDescent="0.35">
      <c r="A2" s="2974" t="s">
        <v>1</v>
      </c>
      <c r="B2" s="2974"/>
      <c r="C2" s="2974"/>
      <c r="D2" s="2974"/>
      <c r="E2" s="2974"/>
      <c r="F2" s="2974"/>
      <c r="G2" s="2974"/>
      <c r="H2" s="2974"/>
      <c r="I2" s="2974"/>
      <c r="J2" s="2974"/>
      <c r="K2" s="2974"/>
      <c r="L2" s="2974"/>
      <c r="M2" s="2974"/>
      <c r="N2" s="2974"/>
      <c r="O2" s="2974"/>
    </row>
    <row r="3" spans="1:23" x14ac:dyDescent="0.3">
      <c r="A3" s="2975" t="s">
        <v>5761</v>
      </c>
      <c r="B3" s="2975"/>
      <c r="C3" s="1948"/>
      <c r="D3" s="1948"/>
      <c r="E3" s="1948"/>
      <c r="F3" s="1948"/>
      <c r="G3" s="1949"/>
      <c r="H3" s="1950"/>
      <c r="I3" s="1948"/>
      <c r="J3" s="1948"/>
      <c r="K3" s="1948"/>
      <c r="L3" s="1948"/>
      <c r="M3" s="1948"/>
      <c r="N3" s="1948"/>
      <c r="O3" s="1950"/>
    </row>
    <row r="4" spans="1:23" s="1952" customFormat="1" x14ac:dyDescent="0.3">
      <c r="A4" s="2976" t="s">
        <v>3</v>
      </c>
      <c r="B4" s="2972" t="s">
        <v>4</v>
      </c>
      <c r="C4" s="2978" t="s">
        <v>5</v>
      </c>
      <c r="D4" s="2979"/>
      <c r="E4" s="2980"/>
      <c r="F4" s="2984" t="s">
        <v>1158</v>
      </c>
      <c r="G4" s="2986" t="s">
        <v>7</v>
      </c>
      <c r="H4" s="2972" t="s">
        <v>8</v>
      </c>
      <c r="I4" s="2988" t="s">
        <v>9</v>
      </c>
      <c r="J4" s="2989"/>
      <c r="K4" s="2989"/>
      <c r="L4" s="2989"/>
      <c r="M4" s="2989"/>
      <c r="N4" s="2990"/>
      <c r="O4" s="2972" t="s">
        <v>10</v>
      </c>
    </row>
    <row r="5" spans="1:23" s="1952" customFormat="1" ht="33" x14ac:dyDescent="0.3">
      <c r="A5" s="2977"/>
      <c r="B5" s="2973"/>
      <c r="C5" s="2981"/>
      <c r="D5" s="2982"/>
      <c r="E5" s="2983"/>
      <c r="F5" s="2985"/>
      <c r="G5" s="2987"/>
      <c r="H5" s="2973"/>
      <c r="I5" s="1954" t="s">
        <v>12</v>
      </c>
      <c r="J5" s="1954" t="s">
        <v>13</v>
      </c>
      <c r="K5" s="1955" t="s">
        <v>14</v>
      </c>
      <c r="L5" s="1955" t="s">
        <v>15</v>
      </c>
      <c r="M5" s="1955" t="s">
        <v>16</v>
      </c>
      <c r="N5" s="1955" t="s">
        <v>17</v>
      </c>
      <c r="O5" s="2973"/>
    </row>
    <row r="6" spans="1:23" x14ac:dyDescent="0.3">
      <c r="A6" s="1956" t="s">
        <v>1344</v>
      </c>
      <c r="B6" s="1957" t="s">
        <v>5762</v>
      </c>
      <c r="C6" s="1958"/>
      <c r="D6" s="1958"/>
      <c r="E6" s="1958"/>
      <c r="F6" s="1959"/>
      <c r="G6" s="1960"/>
      <c r="H6" s="22"/>
      <c r="I6" s="23"/>
      <c r="J6" s="24"/>
      <c r="K6" s="24"/>
      <c r="L6" s="25"/>
      <c r="M6" s="25"/>
      <c r="N6" s="24"/>
      <c r="O6" s="1961"/>
    </row>
    <row r="7" spans="1:23" ht="18" x14ac:dyDescent="0.3">
      <c r="A7" s="2436">
        <v>1</v>
      </c>
      <c r="B7" s="1962" t="s">
        <v>5763</v>
      </c>
      <c r="C7" s="1963" t="s">
        <v>1344</v>
      </c>
      <c r="D7" s="1964">
        <v>64</v>
      </c>
      <c r="E7" s="1965">
        <v>2252</v>
      </c>
      <c r="F7" s="1966" t="s">
        <v>5764</v>
      </c>
      <c r="G7" s="455">
        <v>1250</v>
      </c>
      <c r="H7" s="1967" t="s">
        <v>4128</v>
      </c>
      <c r="I7" s="1968" t="s">
        <v>25</v>
      </c>
      <c r="J7" s="147"/>
      <c r="K7" s="147"/>
      <c r="L7" s="147"/>
      <c r="M7" s="147"/>
      <c r="N7" s="147"/>
      <c r="O7" s="1969"/>
      <c r="R7" s="1968" t="s">
        <v>25</v>
      </c>
      <c r="S7" s="147"/>
      <c r="T7" s="147"/>
      <c r="U7" s="147"/>
      <c r="V7" s="147"/>
      <c r="W7" s="147"/>
    </row>
    <row r="8" spans="1:23" ht="18" x14ac:dyDescent="0.3">
      <c r="A8" s="2436">
        <v>2</v>
      </c>
      <c r="B8" s="1962" t="s">
        <v>5763</v>
      </c>
      <c r="C8" s="1963" t="s">
        <v>1344</v>
      </c>
      <c r="D8" s="1964">
        <v>64</v>
      </c>
      <c r="E8" s="1965">
        <v>2253</v>
      </c>
      <c r="F8" s="1966" t="s">
        <v>5764</v>
      </c>
      <c r="G8" s="455">
        <v>1250</v>
      </c>
      <c r="H8" s="1967" t="s">
        <v>4128</v>
      </c>
      <c r="I8" s="1968" t="s">
        <v>25</v>
      </c>
      <c r="J8" s="147"/>
      <c r="K8" s="147"/>
      <c r="L8" s="147"/>
      <c r="M8" s="147"/>
      <c r="N8" s="147"/>
      <c r="O8" s="1969"/>
      <c r="R8" s="1968" t="s">
        <v>25</v>
      </c>
      <c r="S8" s="147"/>
      <c r="T8" s="147"/>
      <c r="U8" s="147"/>
      <c r="V8" s="147"/>
      <c r="W8" s="147"/>
    </row>
    <row r="9" spans="1:23" ht="18" x14ac:dyDescent="0.3">
      <c r="A9" s="2436">
        <v>3</v>
      </c>
      <c r="B9" s="1962" t="s">
        <v>5763</v>
      </c>
      <c r="C9" s="1963" t="s">
        <v>1344</v>
      </c>
      <c r="D9" s="1964">
        <v>64</v>
      </c>
      <c r="E9" s="1965">
        <v>2254</v>
      </c>
      <c r="F9" s="1966" t="s">
        <v>5764</v>
      </c>
      <c r="G9" s="455">
        <v>1250</v>
      </c>
      <c r="H9" s="1967" t="s">
        <v>4128</v>
      </c>
      <c r="I9" s="1968" t="s">
        <v>25</v>
      </c>
      <c r="J9" s="147"/>
      <c r="K9" s="147"/>
      <c r="L9" s="147"/>
      <c r="M9" s="147"/>
      <c r="N9" s="147"/>
      <c r="O9" s="1969"/>
      <c r="R9" s="1968" t="s">
        <v>25</v>
      </c>
      <c r="S9" s="147"/>
      <c r="T9" s="147"/>
      <c r="U9" s="147"/>
      <c r="V9" s="147"/>
      <c r="W9" s="147"/>
    </row>
    <row r="10" spans="1:23" ht="18" x14ac:dyDescent="0.3">
      <c r="A10" s="2436">
        <v>4</v>
      </c>
      <c r="B10" s="1962" t="s">
        <v>5763</v>
      </c>
      <c r="C10" s="1963" t="s">
        <v>1344</v>
      </c>
      <c r="D10" s="1964">
        <v>64</v>
      </c>
      <c r="E10" s="1965">
        <v>2255</v>
      </c>
      <c r="F10" s="1966" t="s">
        <v>5764</v>
      </c>
      <c r="G10" s="455">
        <v>1250</v>
      </c>
      <c r="H10" s="1967" t="s">
        <v>4128</v>
      </c>
      <c r="I10" s="1968" t="s">
        <v>25</v>
      </c>
      <c r="J10" s="147"/>
      <c r="K10" s="147"/>
      <c r="L10" s="147"/>
      <c r="M10" s="147"/>
      <c r="N10" s="147"/>
      <c r="O10" s="1969"/>
      <c r="R10" s="1968" t="s">
        <v>25</v>
      </c>
      <c r="S10" s="147"/>
      <c r="T10" s="147"/>
      <c r="U10" s="147"/>
      <c r="V10" s="147"/>
      <c r="W10" s="147"/>
    </row>
    <row r="11" spans="1:23" ht="18" x14ac:dyDescent="0.3">
      <c r="A11" s="2436">
        <v>5</v>
      </c>
      <c r="B11" s="1962" t="s">
        <v>5763</v>
      </c>
      <c r="C11" s="1963" t="s">
        <v>1344</v>
      </c>
      <c r="D11" s="1964">
        <v>64</v>
      </c>
      <c r="E11" s="1965">
        <v>2256</v>
      </c>
      <c r="F11" s="1966" t="s">
        <v>5764</v>
      </c>
      <c r="G11" s="455">
        <v>1250</v>
      </c>
      <c r="H11" s="1967" t="s">
        <v>4128</v>
      </c>
      <c r="I11" s="1968" t="s">
        <v>25</v>
      </c>
      <c r="J11" s="147"/>
      <c r="K11" s="147"/>
      <c r="L11" s="147"/>
      <c r="M11" s="147"/>
      <c r="N11" s="147"/>
      <c r="O11" s="1969"/>
      <c r="R11" s="1968" t="s">
        <v>25</v>
      </c>
      <c r="S11" s="147"/>
      <c r="T11" s="147"/>
      <c r="U11" s="147"/>
      <c r="V11" s="147"/>
      <c r="W11" s="147"/>
    </row>
    <row r="12" spans="1:23" ht="18" x14ac:dyDescent="0.3">
      <c r="A12" s="2436">
        <v>6</v>
      </c>
      <c r="B12" s="1962" t="s">
        <v>5763</v>
      </c>
      <c r="C12" s="1963" t="s">
        <v>1344</v>
      </c>
      <c r="D12" s="1964">
        <v>64</v>
      </c>
      <c r="E12" s="1965">
        <v>2257</v>
      </c>
      <c r="F12" s="1966" t="s">
        <v>5764</v>
      </c>
      <c r="G12" s="455">
        <v>1250</v>
      </c>
      <c r="H12" s="1967" t="s">
        <v>4128</v>
      </c>
      <c r="I12" s="1968" t="s">
        <v>25</v>
      </c>
      <c r="J12" s="147"/>
      <c r="K12" s="147"/>
      <c r="L12" s="147"/>
      <c r="M12" s="147"/>
      <c r="N12" s="147"/>
      <c r="O12" s="1969"/>
      <c r="R12" s="1968" t="s">
        <v>25</v>
      </c>
      <c r="S12" s="147"/>
      <c r="T12" s="147"/>
      <c r="U12" s="147"/>
      <c r="V12" s="147"/>
      <c r="W12" s="147"/>
    </row>
    <row r="13" spans="1:23" ht="18" x14ac:dyDescent="0.3">
      <c r="A13" s="2436">
        <v>7</v>
      </c>
      <c r="B13" s="1962" t="s">
        <v>5763</v>
      </c>
      <c r="C13" s="1963" t="s">
        <v>1344</v>
      </c>
      <c r="D13" s="1964">
        <v>64</v>
      </c>
      <c r="E13" s="1965">
        <v>2258</v>
      </c>
      <c r="F13" s="1966" t="s">
        <v>5764</v>
      </c>
      <c r="G13" s="455">
        <v>1250</v>
      </c>
      <c r="H13" s="1967" t="s">
        <v>4128</v>
      </c>
      <c r="I13" s="1968" t="s">
        <v>25</v>
      </c>
      <c r="J13" s="147"/>
      <c r="K13" s="147"/>
      <c r="L13" s="147"/>
      <c r="M13" s="147"/>
      <c r="N13" s="147"/>
      <c r="O13" s="1969"/>
      <c r="R13" s="1968" t="s">
        <v>25</v>
      </c>
      <c r="S13" s="147"/>
      <c r="T13" s="147"/>
      <c r="U13" s="147"/>
      <c r="V13" s="147"/>
      <c r="W13" s="147"/>
    </row>
    <row r="14" spans="1:23" ht="18" x14ac:dyDescent="0.3">
      <c r="A14" s="2436">
        <v>8</v>
      </c>
      <c r="B14" s="1962" t="s">
        <v>5763</v>
      </c>
      <c r="C14" s="1963" t="s">
        <v>1344</v>
      </c>
      <c r="D14" s="1964">
        <v>64</v>
      </c>
      <c r="E14" s="1965">
        <v>2259</v>
      </c>
      <c r="F14" s="1966" t="s">
        <v>5764</v>
      </c>
      <c r="G14" s="455">
        <v>1250</v>
      </c>
      <c r="H14" s="1967" t="s">
        <v>4128</v>
      </c>
      <c r="I14" s="1968" t="s">
        <v>25</v>
      </c>
      <c r="J14" s="147"/>
      <c r="K14" s="147"/>
      <c r="L14" s="147"/>
      <c r="M14" s="147"/>
      <c r="N14" s="147"/>
      <c r="O14" s="1969"/>
      <c r="R14" s="1968" t="s">
        <v>25</v>
      </c>
      <c r="S14" s="147"/>
      <c r="T14" s="147"/>
      <c r="U14" s="147"/>
      <c r="V14" s="147"/>
      <c r="W14" s="147"/>
    </row>
    <row r="15" spans="1:23" ht="18" x14ac:dyDescent="0.3">
      <c r="A15" s="2436">
        <v>9</v>
      </c>
      <c r="B15" s="1962" t="s">
        <v>5763</v>
      </c>
      <c r="C15" s="1963" t="s">
        <v>1344</v>
      </c>
      <c r="D15" s="1964">
        <v>64</v>
      </c>
      <c r="E15" s="1965">
        <v>2260</v>
      </c>
      <c r="F15" s="1966" t="s">
        <v>5764</v>
      </c>
      <c r="G15" s="455">
        <v>1250</v>
      </c>
      <c r="H15" s="1967" t="s">
        <v>4128</v>
      </c>
      <c r="I15" s="1968" t="s">
        <v>25</v>
      </c>
      <c r="J15" s="147"/>
      <c r="K15" s="147"/>
      <c r="L15" s="147"/>
      <c r="M15" s="147"/>
      <c r="N15" s="147"/>
      <c r="O15" s="1969"/>
      <c r="R15" s="1968" t="s">
        <v>25</v>
      </c>
      <c r="S15" s="147"/>
      <c r="T15" s="147"/>
      <c r="U15" s="147"/>
      <c r="V15" s="147"/>
      <c r="W15" s="147"/>
    </row>
    <row r="16" spans="1:23" ht="18" x14ac:dyDescent="0.3">
      <c r="A16" s="2436">
        <v>10</v>
      </c>
      <c r="B16" s="1962" t="s">
        <v>5763</v>
      </c>
      <c r="C16" s="1963" t="s">
        <v>1344</v>
      </c>
      <c r="D16" s="1964">
        <v>64</v>
      </c>
      <c r="E16" s="1965">
        <v>2261</v>
      </c>
      <c r="F16" s="1966" t="s">
        <v>5764</v>
      </c>
      <c r="G16" s="455">
        <v>1250</v>
      </c>
      <c r="H16" s="1967" t="s">
        <v>4128</v>
      </c>
      <c r="I16" s="1968" t="s">
        <v>25</v>
      </c>
      <c r="J16" s="147"/>
      <c r="K16" s="147"/>
      <c r="L16" s="147"/>
      <c r="M16" s="147"/>
      <c r="N16" s="147"/>
      <c r="O16" s="1969"/>
      <c r="R16" s="1968" t="s">
        <v>25</v>
      </c>
      <c r="S16" s="147"/>
      <c r="T16" s="147"/>
      <c r="U16" s="147"/>
      <c r="V16" s="147"/>
      <c r="W16" s="147"/>
    </row>
    <row r="17" spans="1:23" ht="18" x14ac:dyDescent="0.3">
      <c r="A17" s="2436">
        <v>11</v>
      </c>
      <c r="B17" s="1962" t="s">
        <v>5763</v>
      </c>
      <c r="C17" s="1963" t="s">
        <v>1344</v>
      </c>
      <c r="D17" s="1964">
        <v>64</v>
      </c>
      <c r="E17" s="1965">
        <v>2262</v>
      </c>
      <c r="F17" s="1966" t="s">
        <v>5764</v>
      </c>
      <c r="G17" s="455">
        <v>1250</v>
      </c>
      <c r="H17" s="1967" t="s">
        <v>4128</v>
      </c>
      <c r="I17" s="1968" t="s">
        <v>25</v>
      </c>
      <c r="J17" s="147"/>
      <c r="K17" s="147"/>
      <c r="L17" s="147"/>
      <c r="M17" s="147"/>
      <c r="N17" s="147"/>
      <c r="O17" s="1969"/>
      <c r="R17" s="1968" t="s">
        <v>25</v>
      </c>
      <c r="S17" s="147"/>
      <c r="T17" s="147"/>
      <c r="U17" s="147"/>
      <c r="V17" s="147"/>
      <c r="W17" s="147"/>
    </row>
    <row r="18" spans="1:23" ht="18" x14ac:dyDescent="0.3">
      <c r="A18" s="2436">
        <v>12</v>
      </c>
      <c r="B18" s="1962" t="s">
        <v>5763</v>
      </c>
      <c r="C18" s="1963" t="s">
        <v>1344</v>
      </c>
      <c r="D18" s="1964">
        <v>64</v>
      </c>
      <c r="E18" s="1965">
        <v>2263</v>
      </c>
      <c r="F18" s="1966" t="s">
        <v>5764</v>
      </c>
      <c r="G18" s="455">
        <v>1250</v>
      </c>
      <c r="H18" s="1967" t="s">
        <v>4128</v>
      </c>
      <c r="I18" s="1968" t="s">
        <v>25</v>
      </c>
      <c r="J18" s="147"/>
      <c r="K18" s="147"/>
      <c r="L18" s="147"/>
      <c r="M18" s="147"/>
      <c r="N18" s="147"/>
      <c r="O18" s="1969"/>
      <c r="R18" s="1968" t="s">
        <v>25</v>
      </c>
      <c r="S18" s="147"/>
      <c r="T18" s="147"/>
      <c r="U18" s="147"/>
      <c r="V18" s="147"/>
      <c r="W18" s="147"/>
    </row>
    <row r="19" spans="1:23" ht="18" x14ac:dyDescent="0.3">
      <c r="A19" s="2436">
        <v>13</v>
      </c>
      <c r="B19" s="1962" t="s">
        <v>5763</v>
      </c>
      <c r="C19" s="1963" t="s">
        <v>1344</v>
      </c>
      <c r="D19" s="1964">
        <v>64</v>
      </c>
      <c r="E19" s="1965">
        <v>2264</v>
      </c>
      <c r="F19" s="1966" t="s">
        <v>5764</v>
      </c>
      <c r="G19" s="455">
        <v>1250</v>
      </c>
      <c r="H19" s="1967" t="s">
        <v>4128</v>
      </c>
      <c r="I19" s="1968" t="s">
        <v>25</v>
      </c>
      <c r="J19" s="147"/>
      <c r="K19" s="147"/>
      <c r="L19" s="147"/>
      <c r="M19" s="147"/>
      <c r="N19" s="147"/>
      <c r="O19" s="1969"/>
      <c r="R19" s="1968" t="s">
        <v>25</v>
      </c>
      <c r="S19" s="147"/>
      <c r="T19" s="147"/>
      <c r="U19" s="147"/>
      <c r="V19" s="147"/>
      <c r="W19" s="147"/>
    </row>
    <row r="20" spans="1:23" ht="18" x14ac:dyDescent="0.3">
      <c r="A20" s="2436">
        <v>14</v>
      </c>
      <c r="B20" s="1962" t="s">
        <v>5763</v>
      </c>
      <c r="C20" s="1963" t="s">
        <v>1344</v>
      </c>
      <c r="D20" s="1964">
        <v>64</v>
      </c>
      <c r="E20" s="1965">
        <v>2265</v>
      </c>
      <c r="F20" s="1966" t="s">
        <v>5764</v>
      </c>
      <c r="G20" s="455">
        <v>1250</v>
      </c>
      <c r="H20" s="1967" t="s">
        <v>4128</v>
      </c>
      <c r="I20" s="1968" t="s">
        <v>25</v>
      </c>
      <c r="J20" s="147"/>
      <c r="K20" s="147"/>
      <c r="L20" s="147"/>
      <c r="M20" s="147"/>
      <c r="N20" s="147"/>
      <c r="O20" s="1969"/>
      <c r="R20" s="1968" t="s">
        <v>25</v>
      </c>
      <c r="S20" s="147"/>
      <c r="T20" s="147"/>
      <c r="U20" s="147"/>
      <c r="V20" s="147"/>
      <c r="W20" s="147"/>
    </row>
    <row r="21" spans="1:23" ht="18" x14ac:dyDescent="0.3">
      <c r="A21" s="2436">
        <v>15</v>
      </c>
      <c r="B21" s="1962" t="s">
        <v>5763</v>
      </c>
      <c r="C21" s="1963" t="s">
        <v>1344</v>
      </c>
      <c r="D21" s="1964">
        <v>64</v>
      </c>
      <c r="E21" s="1965">
        <v>2266</v>
      </c>
      <c r="F21" s="1966" t="s">
        <v>5764</v>
      </c>
      <c r="G21" s="455">
        <v>1250</v>
      </c>
      <c r="H21" s="1967" t="s">
        <v>4128</v>
      </c>
      <c r="I21" s="1968" t="s">
        <v>25</v>
      </c>
      <c r="J21" s="147"/>
      <c r="K21" s="147"/>
      <c r="L21" s="147"/>
      <c r="M21" s="147"/>
      <c r="N21" s="147"/>
      <c r="O21" s="1969"/>
      <c r="R21" s="1968" t="s">
        <v>25</v>
      </c>
      <c r="S21" s="147"/>
      <c r="T21" s="147"/>
      <c r="U21" s="147"/>
      <c r="V21" s="147"/>
      <c r="W21" s="147"/>
    </row>
    <row r="22" spans="1:23" ht="18" x14ac:dyDescent="0.3">
      <c r="A22" s="2436">
        <v>16</v>
      </c>
      <c r="B22" s="1962" t="s">
        <v>5763</v>
      </c>
      <c r="C22" s="1963" t="s">
        <v>1344</v>
      </c>
      <c r="D22" s="1964">
        <v>64</v>
      </c>
      <c r="E22" s="1965">
        <v>2267</v>
      </c>
      <c r="F22" s="1966" t="s">
        <v>5764</v>
      </c>
      <c r="G22" s="455">
        <v>1250</v>
      </c>
      <c r="H22" s="1967" t="s">
        <v>4128</v>
      </c>
      <c r="I22" s="1968" t="s">
        <v>25</v>
      </c>
      <c r="J22" s="147"/>
      <c r="K22" s="147"/>
      <c r="L22" s="147"/>
      <c r="M22" s="147"/>
      <c r="N22" s="147"/>
      <c r="O22" s="1969"/>
      <c r="R22" s="1968" t="s">
        <v>25</v>
      </c>
      <c r="S22" s="147"/>
      <c r="T22" s="147"/>
      <c r="U22" s="147"/>
      <c r="V22" s="147"/>
      <c r="W22" s="147"/>
    </row>
    <row r="23" spans="1:23" ht="18" x14ac:dyDescent="0.3">
      <c r="A23" s="2436">
        <v>17</v>
      </c>
      <c r="B23" s="1962" t="s">
        <v>5763</v>
      </c>
      <c r="C23" s="1963" t="s">
        <v>1344</v>
      </c>
      <c r="D23" s="1964">
        <v>64</v>
      </c>
      <c r="E23" s="1965">
        <v>2268</v>
      </c>
      <c r="F23" s="1966" t="s">
        <v>5764</v>
      </c>
      <c r="G23" s="455">
        <v>1250</v>
      </c>
      <c r="H23" s="1967" t="s">
        <v>4128</v>
      </c>
      <c r="I23" s="1968" t="s">
        <v>25</v>
      </c>
      <c r="J23" s="147"/>
      <c r="K23" s="147"/>
      <c r="L23" s="147"/>
      <c r="M23" s="147"/>
      <c r="N23" s="147"/>
      <c r="O23" s="1969"/>
      <c r="R23" s="1968" t="s">
        <v>25</v>
      </c>
      <c r="S23" s="147"/>
      <c r="T23" s="147"/>
      <c r="U23" s="147"/>
      <c r="V23" s="147"/>
      <c r="W23" s="147"/>
    </row>
    <row r="24" spans="1:23" ht="18" x14ac:dyDescent="0.3">
      <c r="A24" s="2436">
        <v>18</v>
      </c>
      <c r="B24" s="1962" t="s">
        <v>5763</v>
      </c>
      <c r="C24" s="1963" t="s">
        <v>1344</v>
      </c>
      <c r="D24" s="1964">
        <v>64</v>
      </c>
      <c r="E24" s="1965">
        <v>2269</v>
      </c>
      <c r="F24" s="1966" t="s">
        <v>5764</v>
      </c>
      <c r="G24" s="455">
        <v>1250</v>
      </c>
      <c r="H24" s="1967" t="s">
        <v>4128</v>
      </c>
      <c r="I24" s="1968" t="s">
        <v>25</v>
      </c>
      <c r="J24" s="147"/>
      <c r="K24" s="147"/>
      <c r="L24" s="147"/>
      <c r="M24" s="147"/>
      <c r="N24" s="147"/>
      <c r="O24" s="1969"/>
      <c r="R24" s="1968" t="s">
        <v>25</v>
      </c>
      <c r="S24" s="147"/>
      <c r="T24" s="147"/>
      <c r="U24" s="147"/>
      <c r="V24" s="147"/>
      <c r="W24" s="147"/>
    </row>
    <row r="25" spans="1:23" ht="18" x14ac:dyDescent="0.3">
      <c r="A25" s="2436">
        <v>19</v>
      </c>
      <c r="B25" s="1962" t="s">
        <v>5763</v>
      </c>
      <c r="C25" s="1963" t="s">
        <v>1344</v>
      </c>
      <c r="D25" s="1964">
        <v>64</v>
      </c>
      <c r="E25" s="1965">
        <v>2270</v>
      </c>
      <c r="F25" s="1966" t="s">
        <v>5764</v>
      </c>
      <c r="G25" s="455">
        <v>1250</v>
      </c>
      <c r="H25" s="1967" t="s">
        <v>4128</v>
      </c>
      <c r="I25" s="1968" t="s">
        <v>25</v>
      </c>
      <c r="J25" s="147"/>
      <c r="K25" s="147"/>
      <c r="L25" s="147"/>
      <c r="M25" s="147"/>
      <c r="N25" s="147"/>
      <c r="O25" s="1969"/>
      <c r="R25" s="1968" t="s">
        <v>25</v>
      </c>
      <c r="S25" s="147"/>
      <c r="T25" s="147"/>
      <c r="U25" s="147"/>
      <c r="V25" s="147"/>
      <c r="W25" s="147"/>
    </row>
    <row r="26" spans="1:23" ht="18" x14ac:dyDescent="0.3">
      <c r="A26" s="2436">
        <v>20</v>
      </c>
      <c r="B26" s="1962" t="s">
        <v>5763</v>
      </c>
      <c r="C26" s="1963" t="s">
        <v>1344</v>
      </c>
      <c r="D26" s="1964">
        <v>64</v>
      </c>
      <c r="E26" s="1965">
        <v>2271</v>
      </c>
      <c r="F26" s="1966" t="s">
        <v>5764</v>
      </c>
      <c r="G26" s="455">
        <v>1250</v>
      </c>
      <c r="H26" s="1967" t="s">
        <v>4128</v>
      </c>
      <c r="I26" s="1968" t="s">
        <v>25</v>
      </c>
      <c r="J26" s="147"/>
      <c r="K26" s="147"/>
      <c r="L26" s="147"/>
      <c r="M26" s="147"/>
      <c r="N26" s="147"/>
      <c r="O26" s="1969"/>
      <c r="R26" s="1968" t="s">
        <v>25</v>
      </c>
      <c r="S26" s="147"/>
      <c r="T26" s="147"/>
      <c r="U26" s="147"/>
      <c r="V26" s="147"/>
      <c r="W26" s="147"/>
    </row>
    <row r="27" spans="1:23" ht="18" x14ac:dyDescent="0.3">
      <c r="A27" s="2436">
        <v>21</v>
      </c>
      <c r="B27" s="1962" t="s">
        <v>5763</v>
      </c>
      <c r="C27" s="1963" t="s">
        <v>1344</v>
      </c>
      <c r="D27" s="1964">
        <v>64</v>
      </c>
      <c r="E27" s="1965">
        <v>2272</v>
      </c>
      <c r="F27" s="1966" t="s">
        <v>5764</v>
      </c>
      <c r="G27" s="455">
        <v>1250</v>
      </c>
      <c r="H27" s="1967" t="s">
        <v>4128</v>
      </c>
      <c r="I27" s="1968" t="s">
        <v>25</v>
      </c>
      <c r="J27" s="147"/>
      <c r="K27" s="147"/>
      <c r="L27" s="147"/>
      <c r="M27" s="147"/>
      <c r="N27" s="147"/>
      <c r="O27" s="1969"/>
      <c r="R27" s="1968" t="s">
        <v>25</v>
      </c>
      <c r="S27" s="147"/>
      <c r="T27" s="147"/>
      <c r="U27" s="147"/>
      <c r="V27" s="147"/>
      <c r="W27" s="147"/>
    </row>
    <row r="28" spans="1:23" ht="18" x14ac:dyDescent="0.3">
      <c r="A28" s="2436">
        <v>22</v>
      </c>
      <c r="B28" s="1962" t="s">
        <v>5763</v>
      </c>
      <c r="C28" s="1963" t="s">
        <v>1344</v>
      </c>
      <c r="D28" s="1964">
        <v>64</v>
      </c>
      <c r="E28" s="1965">
        <v>2273</v>
      </c>
      <c r="F28" s="1966" t="s">
        <v>5764</v>
      </c>
      <c r="G28" s="455">
        <v>1250</v>
      </c>
      <c r="H28" s="1967" t="s">
        <v>4128</v>
      </c>
      <c r="I28" s="1968" t="s">
        <v>25</v>
      </c>
      <c r="J28" s="147"/>
      <c r="K28" s="147"/>
      <c r="L28" s="147"/>
      <c r="M28" s="147"/>
      <c r="N28" s="147"/>
      <c r="O28" s="1969"/>
      <c r="R28" s="1968" t="s">
        <v>25</v>
      </c>
      <c r="S28" s="147"/>
      <c r="T28" s="147"/>
      <c r="U28" s="147"/>
      <c r="V28" s="147"/>
      <c r="W28" s="147"/>
    </row>
    <row r="29" spans="1:23" ht="18" x14ac:dyDescent="0.3">
      <c r="A29" s="2436">
        <v>23</v>
      </c>
      <c r="B29" s="1962" t="s">
        <v>5763</v>
      </c>
      <c r="C29" s="1963" t="s">
        <v>1344</v>
      </c>
      <c r="D29" s="1964">
        <v>64</v>
      </c>
      <c r="E29" s="1965">
        <v>2274</v>
      </c>
      <c r="F29" s="1966" t="s">
        <v>5764</v>
      </c>
      <c r="G29" s="455">
        <v>1250</v>
      </c>
      <c r="H29" s="1967" t="s">
        <v>4128</v>
      </c>
      <c r="I29" s="1968" t="s">
        <v>25</v>
      </c>
      <c r="J29" s="147"/>
      <c r="K29" s="147"/>
      <c r="L29" s="147"/>
      <c r="M29" s="147"/>
      <c r="N29" s="147"/>
      <c r="O29" s="1969"/>
      <c r="R29" s="1968" t="s">
        <v>25</v>
      </c>
      <c r="S29" s="147"/>
      <c r="T29" s="147"/>
      <c r="U29" s="147"/>
      <c r="V29" s="147"/>
      <c r="W29" s="147"/>
    </row>
    <row r="30" spans="1:23" ht="18" x14ac:dyDescent="0.3">
      <c r="A30" s="2436">
        <v>24</v>
      </c>
      <c r="B30" s="1962" t="s">
        <v>5763</v>
      </c>
      <c r="C30" s="1963" t="s">
        <v>1344</v>
      </c>
      <c r="D30" s="1964">
        <v>64</v>
      </c>
      <c r="E30" s="1965">
        <v>2275</v>
      </c>
      <c r="F30" s="1966" t="s">
        <v>5764</v>
      </c>
      <c r="G30" s="455">
        <v>1250</v>
      </c>
      <c r="H30" s="1967" t="s">
        <v>4128</v>
      </c>
      <c r="I30" s="1968" t="s">
        <v>25</v>
      </c>
      <c r="J30" s="147"/>
      <c r="K30" s="147"/>
      <c r="L30" s="147"/>
      <c r="M30" s="147"/>
      <c r="N30" s="147"/>
      <c r="O30" s="1969"/>
      <c r="R30" s="1968" t="s">
        <v>25</v>
      </c>
      <c r="S30" s="147"/>
      <c r="T30" s="147"/>
      <c r="U30" s="147"/>
      <c r="V30" s="147"/>
      <c r="W30" s="147"/>
    </row>
    <row r="31" spans="1:23" ht="18" x14ac:dyDescent="0.3">
      <c r="A31" s="2436">
        <v>25</v>
      </c>
      <c r="B31" s="1962" t="s">
        <v>5763</v>
      </c>
      <c r="C31" s="1963" t="s">
        <v>1344</v>
      </c>
      <c r="D31" s="1964">
        <v>64</v>
      </c>
      <c r="E31" s="1965">
        <v>2276</v>
      </c>
      <c r="F31" s="1966" t="s">
        <v>5764</v>
      </c>
      <c r="G31" s="455">
        <v>1250</v>
      </c>
      <c r="H31" s="1967" t="s">
        <v>4128</v>
      </c>
      <c r="I31" s="1968" t="s">
        <v>25</v>
      </c>
      <c r="J31" s="147"/>
      <c r="K31" s="147"/>
      <c r="L31" s="147"/>
      <c r="M31" s="147"/>
      <c r="N31" s="147"/>
      <c r="O31" s="1969"/>
      <c r="R31" s="1968" t="s">
        <v>25</v>
      </c>
      <c r="S31" s="147"/>
      <c r="T31" s="147"/>
      <c r="U31" s="147"/>
      <c r="V31" s="147"/>
      <c r="W31" s="147"/>
    </row>
    <row r="32" spans="1:23" ht="18" x14ac:dyDescent="0.3">
      <c r="A32" s="2436">
        <v>26</v>
      </c>
      <c r="B32" s="1962" t="s">
        <v>5763</v>
      </c>
      <c r="C32" s="1963" t="s">
        <v>1344</v>
      </c>
      <c r="D32" s="1964">
        <v>64</v>
      </c>
      <c r="E32" s="1965">
        <v>2277</v>
      </c>
      <c r="F32" s="1966" t="s">
        <v>5764</v>
      </c>
      <c r="G32" s="455">
        <v>1250</v>
      </c>
      <c r="H32" s="1967" t="s">
        <v>4128</v>
      </c>
      <c r="I32" s="1968" t="s">
        <v>25</v>
      </c>
      <c r="J32" s="147"/>
      <c r="K32" s="147"/>
      <c r="L32" s="147"/>
      <c r="M32" s="147"/>
      <c r="N32" s="147"/>
      <c r="O32" s="1969"/>
      <c r="R32" s="1968" t="s">
        <v>25</v>
      </c>
      <c r="S32" s="147"/>
      <c r="T32" s="147"/>
      <c r="U32" s="147"/>
      <c r="V32" s="147"/>
      <c r="W32" s="147"/>
    </row>
    <row r="33" spans="1:23" ht="18" x14ac:dyDescent="0.3">
      <c r="A33" s="2436">
        <v>27</v>
      </c>
      <c r="B33" s="1962" t="s">
        <v>5763</v>
      </c>
      <c r="C33" s="1963" t="s">
        <v>1344</v>
      </c>
      <c r="D33" s="1964">
        <v>64</v>
      </c>
      <c r="E33" s="1965">
        <v>2278</v>
      </c>
      <c r="F33" s="1966" t="s">
        <v>5764</v>
      </c>
      <c r="G33" s="455">
        <v>1250</v>
      </c>
      <c r="H33" s="1967" t="s">
        <v>4128</v>
      </c>
      <c r="I33" s="1968" t="s">
        <v>25</v>
      </c>
      <c r="J33" s="147"/>
      <c r="K33" s="147"/>
      <c r="L33" s="147"/>
      <c r="M33" s="147"/>
      <c r="N33" s="147"/>
      <c r="O33" s="1969"/>
      <c r="R33" s="1968" t="s">
        <v>25</v>
      </c>
      <c r="S33" s="147"/>
      <c r="T33" s="147"/>
      <c r="U33" s="147"/>
      <c r="V33" s="147"/>
      <c r="W33" s="147"/>
    </row>
    <row r="34" spans="1:23" ht="18" x14ac:dyDescent="0.3">
      <c r="A34" s="2436">
        <v>28</v>
      </c>
      <c r="B34" s="1962" t="s">
        <v>5763</v>
      </c>
      <c r="C34" s="1963" t="s">
        <v>1344</v>
      </c>
      <c r="D34" s="1964">
        <v>64</v>
      </c>
      <c r="E34" s="1965">
        <v>2279</v>
      </c>
      <c r="F34" s="1966" t="s">
        <v>5764</v>
      </c>
      <c r="G34" s="455">
        <v>1250</v>
      </c>
      <c r="H34" s="1967" t="s">
        <v>4128</v>
      </c>
      <c r="I34" s="1968" t="s">
        <v>25</v>
      </c>
      <c r="J34" s="147"/>
      <c r="K34" s="147"/>
      <c r="L34" s="147"/>
      <c r="M34" s="147"/>
      <c r="N34" s="147"/>
      <c r="O34" s="1969"/>
      <c r="R34" s="1968" t="s">
        <v>25</v>
      </c>
      <c r="S34" s="147"/>
      <c r="T34" s="147"/>
      <c r="U34" s="147"/>
      <c r="V34" s="147"/>
      <c r="W34" s="147"/>
    </row>
    <row r="35" spans="1:23" ht="18" x14ac:dyDescent="0.3">
      <c r="A35" s="2436">
        <v>29</v>
      </c>
      <c r="B35" s="1962" t="s">
        <v>5763</v>
      </c>
      <c r="C35" s="1963" t="s">
        <v>1344</v>
      </c>
      <c r="D35" s="1964">
        <v>64</v>
      </c>
      <c r="E35" s="1965">
        <v>2280</v>
      </c>
      <c r="F35" s="1966" t="s">
        <v>5764</v>
      </c>
      <c r="G35" s="455">
        <v>1250</v>
      </c>
      <c r="H35" s="1967" t="s">
        <v>4128</v>
      </c>
      <c r="I35" s="1968" t="s">
        <v>25</v>
      </c>
      <c r="J35" s="147"/>
      <c r="K35" s="147"/>
      <c r="L35" s="147"/>
      <c r="M35" s="147"/>
      <c r="N35" s="147"/>
      <c r="O35" s="1969"/>
      <c r="R35" s="1968" t="s">
        <v>25</v>
      </c>
      <c r="S35" s="147"/>
      <c r="T35" s="147"/>
      <c r="U35" s="147"/>
      <c r="V35" s="147"/>
      <c r="W35" s="147"/>
    </row>
    <row r="36" spans="1:23" ht="18" x14ac:dyDescent="0.3">
      <c r="A36" s="2436">
        <v>30</v>
      </c>
      <c r="B36" s="1962" t="s">
        <v>5763</v>
      </c>
      <c r="C36" s="1963" t="s">
        <v>1344</v>
      </c>
      <c r="D36" s="1964">
        <v>64</v>
      </c>
      <c r="E36" s="1965">
        <v>2281</v>
      </c>
      <c r="F36" s="1966" t="s">
        <v>5764</v>
      </c>
      <c r="G36" s="455">
        <v>1250</v>
      </c>
      <c r="H36" s="1967" t="s">
        <v>4128</v>
      </c>
      <c r="I36" s="1968" t="s">
        <v>25</v>
      </c>
      <c r="J36" s="147"/>
      <c r="K36" s="147"/>
      <c r="L36" s="147"/>
      <c r="M36" s="147"/>
      <c r="N36" s="147"/>
      <c r="O36" s="1969"/>
      <c r="R36" s="1968" t="s">
        <v>25</v>
      </c>
      <c r="S36" s="147"/>
      <c r="T36" s="147"/>
      <c r="U36" s="147"/>
      <c r="V36" s="147"/>
      <c r="W36" s="147"/>
    </row>
    <row r="37" spans="1:23" ht="18" x14ac:dyDescent="0.3">
      <c r="A37" s="2436">
        <v>31</v>
      </c>
      <c r="B37" s="1962" t="s">
        <v>5763</v>
      </c>
      <c r="C37" s="1963" t="s">
        <v>1344</v>
      </c>
      <c r="D37" s="1964">
        <v>64</v>
      </c>
      <c r="E37" s="1965">
        <v>2282</v>
      </c>
      <c r="F37" s="1966" t="s">
        <v>5764</v>
      </c>
      <c r="G37" s="455">
        <v>1250</v>
      </c>
      <c r="H37" s="1967" t="s">
        <v>4128</v>
      </c>
      <c r="I37" s="1968" t="s">
        <v>25</v>
      </c>
      <c r="J37" s="147"/>
      <c r="K37" s="147"/>
      <c r="L37" s="147"/>
      <c r="M37" s="147"/>
      <c r="N37" s="147"/>
      <c r="O37" s="1969"/>
      <c r="R37" s="1968" t="s">
        <v>25</v>
      </c>
      <c r="S37" s="147"/>
      <c r="T37" s="147"/>
      <c r="U37" s="147"/>
      <c r="V37" s="147"/>
      <c r="W37" s="147"/>
    </row>
    <row r="38" spans="1:23" ht="18" x14ac:dyDescent="0.3">
      <c r="A38" s="2436">
        <v>32</v>
      </c>
      <c r="B38" s="1962" t="s">
        <v>5763</v>
      </c>
      <c r="C38" s="1963" t="s">
        <v>1344</v>
      </c>
      <c r="D38" s="1964">
        <v>64</v>
      </c>
      <c r="E38" s="1965">
        <v>2283</v>
      </c>
      <c r="F38" s="1966" t="s">
        <v>5764</v>
      </c>
      <c r="G38" s="455">
        <v>1250</v>
      </c>
      <c r="H38" s="1967" t="s">
        <v>4128</v>
      </c>
      <c r="I38" s="1968" t="s">
        <v>25</v>
      </c>
      <c r="J38" s="147"/>
      <c r="K38" s="147"/>
      <c r="L38" s="147"/>
      <c r="M38" s="147"/>
      <c r="N38" s="147"/>
      <c r="O38" s="1969"/>
      <c r="R38" s="1968" t="s">
        <v>25</v>
      </c>
      <c r="S38" s="147"/>
      <c r="T38" s="147"/>
      <c r="U38" s="147"/>
      <c r="V38" s="147"/>
      <c r="W38" s="147"/>
    </row>
    <row r="39" spans="1:23" ht="18" x14ac:dyDescent="0.3">
      <c r="A39" s="2436">
        <v>33</v>
      </c>
      <c r="B39" s="1962" t="s">
        <v>5763</v>
      </c>
      <c r="C39" s="1963" t="s">
        <v>1344</v>
      </c>
      <c r="D39" s="1964">
        <v>64</v>
      </c>
      <c r="E39" s="1965">
        <v>2284</v>
      </c>
      <c r="F39" s="1966" t="s">
        <v>5764</v>
      </c>
      <c r="G39" s="455">
        <v>1250</v>
      </c>
      <c r="H39" s="1967" t="s">
        <v>4128</v>
      </c>
      <c r="I39" s="1968" t="s">
        <v>25</v>
      </c>
      <c r="J39" s="147"/>
      <c r="K39" s="147"/>
      <c r="L39" s="147"/>
      <c r="M39" s="147"/>
      <c r="N39" s="147"/>
      <c r="O39" s="1969"/>
      <c r="R39" s="1968" t="s">
        <v>25</v>
      </c>
      <c r="S39" s="147"/>
      <c r="T39" s="147"/>
      <c r="U39" s="147"/>
      <c r="V39" s="147"/>
      <c r="W39" s="147"/>
    </row>
    <row r="40" spans="1:23" ht="18" x14ac:dyDescent="0.3">
      <c r="A40" s="2436">
        <v>34</v>
      </c>
      <c r="B40" s="1962" t="s">
        <v>5763</v>
      </c>
      <c r="C40" s="1963" t="s">
        <v>1344</v>
      </c>
      <c r="D40" s="1964">
        <v>64</v>
      </c>
      <c r="E40" s="1965">
        <v>2285</v>
      </c>
      <c r="F40" s="1966" t="s">
        <v>5764</v>
      </c>
      <c r="G40" s="455">
        <v>1250</v>
      </c>
      <c r="H40" s="1967" t="s">
        <v>4128</v>
      </c>
      <c r="I40" s="1968" t="s">
        <v>25</v>
      </c>
      <c r="J40" s="147"/>
      <c r="K40" s="147"/>
      <c r="L40" s="147"/>
      <c r="M40" s="147"/>
      <c r="N40" s="147"/>
      <c r="O40" s="1969"/>
      <c r="R40" s="1968" t="s">
        <v>25</v>
      </c>
      <c r="S40" s="147"/>
      <c r="T40" s="147"/>
      <c r="U40" s="147"/>
      <c r="V40" s="147"/>
      <c r="W40" s="147"/>
    </row>
    <row r="41" spans="1:23" ht="18" x14ac:dyDescent="0.3">
      <c r="A41" s="2436">
        <v>35</v>
      </c>
      <c r="B41" s="1962" t="s">
        <v>5763</v>
      </c>
      <c r="C41" s="1963" t="s">
        <v>1344</v>
      </c>
      <c r="D41" s="1964">
        <v>64</v>
      </c>
      <c r="E41" s="1965">
        <v>2286</v>
      </c>
      <c r="F41" s="1966" t="s">
        <v>5764</v>
      </c>
      <c r="G41" s="455">
        <v>1250</v>
      </c>
      <c r="H41" s="1967" t="s">
        <v>4128</v>
      </c>
      <c r="I41" s="1968" t="s">
        <v>25</v>
      </c>
      <c r="J41" s="147"/>
      <c r="K41" s="147"/>
      <c r="L41" s="147"/>
      <c r="M41" s="147"/>
      <c r="N41" s="147"/>
      <c r="O41" s="1969"/>
      <c r="R41" s="1968" t="s">
        <v>25</v>
      </c>
      <c r="S41" s="147"/>
      <c r="T41" s="147"/>
      <c r="U41" s="147"/>
      <c r="V41" s="147"/>
      <c r="W41" s="147"/>
    </row>
    <row r="42" spans="1:23" ht="18" x14ac:dyDescent="0.3">
      <c r="A42" s="2436">
        <v>36</v>
      </c>
      <c r="B42" s="1962" t="s">
        <v>5763</v>
      </c>
      <c r="C42" s="1963" t="s">
        <v>1344</v>
      </c>
      <c r="D42" s="1964">
        <v>64</v>
      </c>
      <c r="E42" s="1965">
        <v>2287</v>
      </c>
      <c r="F42" s="1966" t="s">
        <v>5764</v>
      </c>
      <c r="G42" s="455">
        <v>1250</v>
      </c>
      <c r="H42" s="1967" t="s">
        <v>4128</v>
      </c>
      <c r="I42" s="1968" t="s">
        <v>25</v>
      </c>
      <c r="J42" s="147"/>
      <c r="K42" s="147"/>
      <c r="L42" s="147"/>
      <c r="M42" s="147"/>
      <c r="N42" s="147"/>
      <c r="O42" s="1969"/>
      <c r="R42" s="1968" t="s">
        <v>25</v>
      </c>
      <c r="S42" s="147"/>
      <c r="T42" s="147"/>
      <c r="U42" s="147"/>
      <c r="V42" s="147"/>
      <c r="W42" s="147"/>
    </row>
    <row r="43" spans="1:23" ht="18" x14ac:dyDescent="0.3">
      <c r="A43" s="2436">
        <v>37</v>
      </c>
      <c r="B43" s="1962" t="s">
        <v>5763</v>
      </c>
      <c r="C43" s="1963" t="s">
        <v>1344</v>
      </c>
      <c r="D43" s="1964">
        <v>64</v>
      </c>
      <c r="E43" s="1965">
        <v>2288</v>
      </c>
      <c r="F43" s="1966" t="s">
        <v>5764</v>
      </c>
      <c r="G43" s="455">
        <v>1250</v>
      </c>
      <c r="H43" s="1967" t="s">
        <v>4128</v>
      </c>
      <c r="I43" s="1968" t="s">
        <v>25</v>
      </c>
      <c r="J43" s="147"/>
      <c r="K43" s="147"/>
      <c r="L43" s="147"/>
      <c r="M43" s="147"/>
      <c r="N43" s="147"/>
      <c r="O43" s="1969"/>
      <c r="R43" s="1968" t="s">
        <v>25</v>
      </c>
      <c r="S43" s="147"/>
      <c r="T43" s="147"/>
      <c r="U43" s="147"/>
      <c r="V43" s="147"/>
      <c r="W43" s="147"/>
    </row>
    <row r="44" spans="1:23" ht="18" x14ac:dyDescent="0.3">
      <c r="A44" s="2436">
        <v>38</v>
      </c>
      <c r="B44" s="1962" t="s">
        <v>5763</v>
      </c>
      <c r="C44" s="1963" t="s">
        <v>1344</v>
      </c>
      <c r="D44" s="1964">
        <v>64</v>
      </c>
      <c r="E44" s="1965">
        <v>2289</v>
      </c>
      <c r="F44" s="1966" t="s">
        <v>5764</v>
      </c>
      <c r="G44" s="455">
        <v>1250</v>
      </c>
      <c r="H44" s="1967" t="s">
        <v>4128</v>
      </c>
      <c r="I44" s="1968" t="s">
        <v>25</v>
      </c>
      <c r="J44" s="147"/>
      <c r="K44" s="147"/>
      <c r="L44" s="147"/>
      <c r="M44" s="147"/>
      <c r="N44" s="147"/>
      <c r="O44" s="1969"/>
      <c r="R44" s="1968" t="s">
        <v>25</v>
      </c>
      <c r="S44" s="147"/>
      <c r="T44" s="147"/>
      <c r="U44" s="147"/>
      <c r="V44" s="147"/>
      <c r="W44" s="147"/>
    </row>
    <row r="45" spans="1:23" ht="18" x14ac:dyDescent="0.3">
      <c r="A45" s="2436">
        <v>39</v>
      </c>
      <c r="B45" s="1962" t="s">
        <v>5763</v>
      </c>
      <c r="C45" s="1963" t="s">
        <v>1344</v>
      </c>
      <c r="D45" s="1964">
        <v>64</v>
      </c>
      <c r="E45" s="1965">
        <v>2290</v>
      </c>
      <c r="F45" s="1966" t="s">
        <v>5764</v>
      </c>
      <c r="G45" s="455">
        <v>1250</v>
      </c>
      <c r="H45" s="1967" t="s">
        <v>4128</v>
      </c>
      <c r="I45" s="1968" t="s">
        <v>25</v>
      </c>
      <c r="J45" s="147"/>
      <c r="K45" s="147"/>
      <c r="L45" s="147"/>
      <c r="M45" s="147"/>
      <c r="N45" s="147"/>
      <c r="O45" s="1969"/>
      <c r="R45" s="1968" t="s">
        <v>25</v>
      </c>
      <c r="S45" s="147"/>
      <c r="T45" s="147"/>
      <c r="U45" s="147"/>
      <c r="V45" s="147"/>
      <c r="W45" s="147"/>
    </row>
    <row r="46" spans="1:23" ht="18" x14ac:dyDescent="0.3">
      <c r="A46" s="2436">
        <v>40</v>
      </c>
      <c r="B46" s="1962" t="s">
        <v>5763</v>
      </c>
      <c r="C46" s="1963" t="s">
        <v>1344</v>
      </c>
      <c r="D46" s="1964">
        <v>64</v>
      </c>
      <c r="E46" s="1965">
        <v>2291</v>
      </c>
      <c r="F46" s="1966" t="s">
        <v>5764</v>
      </c>
      <c r="G46" s="455">
        <v>1250</v>
      </c>
      <c r="H46" s="1967" t="s">
        <v>4128</v>
      </c>
      <c r="I46" s="1968" t="s">
        <v>25</v>
      </c>
      <c r="J46" s="147"/>
      <c r="K46" s="147"/>
      <c r="L46" s="147"/>
      <c r="M46" s="147"/>
      <c r="N46" s="147"/>
      <c r="O46" s="1969"/>
      <c r="R46" s="1968" t="s">
        <v>25</v>
      </c>
      <c r="S46" s="147"/>
      <c r="T46" s="147"/>
      <c r="U46" s="147"/>
      <c r="V46" s="147"/>
      <c r="W46" s="147"/>
    </row>
    <row r="47" spans="1:23" ht="18" x14ac:dyDescent="0.3">
      <c r="A47" s="2436">
        <v>41</v>
      </c>
      <c r="B47" s="1962" t="s">
        <v>5763</v>
      </c>
      <c r="C47" s="1963" t="s">
        <v>1344</v>
      </c>
      <c r="D47" s="1964">
        <v>64</v>
      </c>
      <c r="E47" s="1965">
        <v>2292</v>
      </c>
      <c r="F47" s="1966" t="s">
        <v>5764</v>
      </c>
      <c r="G47" s="455">
        <v>1250</v>
      </c>
      <c r="H47" s="1967" t="s">
        <v>4128</v>
      </c>
      <c r="I47" s="1968" t="s">
        <v>25</v>
      </c>
      <c r="J47" s="147"/>
      <c r="K47" s="147"/>
      <c r="L47" s="147"/>
      <c r="M47" s="147"/>
      <c r="N47" s="147"/>
      <c r="O47" s="1969"/>
      <c r="R47" s="1968" t="s">
        <v>25</v>
      </c>
      <c r="S47" s="147"/>
      <c r="T47" s="147"/>
      <c r="U47" s="147"/>
      <c r="V47" s="147"/>
      <c r="W47" s="147"/>
    </row>
    <row r="48" spans="1:23" ht="18" x14ac:dyDescent="0.3">
      <c r="A48" s="2436">
        <v>42</v>
      </c>
      <c r="B48" s="1962" t="s">
        <v>5763</v>
      </c>
      <c r="C48" s="1963" t="s">
        <v>1344</v>
      </c>
      <c r="D48" s="1964">
        <v>64</v>
      </c>
      <c r="E48" s="1965">
        <v>2293</v>
      </c>
      <c r="F48" s="1966" t="s">
        <v>5764</v>
      </c>
      <c r="G48" s="455">
        <v>1250</v>
      </c>
      <c r="H48" s="1967" t="s">
        <v>4128</v>
      </c>
      <c r="I48" s="1968" t="s">
        <v>25</v>
      </c>
      <c r="J48" s="147"/>
      <c r="K48" s="147"/>
      <c r="L48" s="147"/>
      <c r="M48" s="147"/>
      <c r="N48" s="147"/>
      <c r="O48" s="1969"/>
      <c r="R48" s="1968" t="s">
        <v>25</v>
      </c>
      <c r="S48" s="147"/>
      <c r="T48" s="147"/>
      <c r="U48" s="147"/>
      <c r="V48" s="147"/>
      <c r="W48" s="147"/>
    </row>
    <row r="49" spans="1:23" ht="18" x14ac:dyDescent="0.3">
      <c r="A49" s="2436">
        <v>43</v>
      </c>
      <c r="B49" s="1962" t="s">
        <v>5763</v>
      </c>
      <c r="C49" s="1963" t="s">
        <v>1344</v>
      </c>
      <c r="D49" s="1964">
        <v>64</v>
      </c>
      <c r="E49" s="1965">
        <v>2294</v>
      </c>
      <c r="F49" s="1966" t="s">
        <v>5764</v>
      </c>
      <c r="G49" s="455">
        <v>1250</v>
      </c>
      <c r="H49" s="1967" t="s">
        <v>4128</v>
      </c>
      <c r="I49" s="1968" t="s">
        <v>25</v>
      </c>
      <c r="J49" s="147"/>
      <c r="K49" s="147"/>
      <c r="L49" s="147"/>
      <c r="M49" s="147"/>
      <c r="N49" s="147"/>
      <c r="O49" s="1969"/>
      <c r="R49" s="1968" t="s">
        <v>25</v>
      </c>
      <c r="S49" s="147"/>
      <c r="T49" s="147"/>
      <c r="U49" s="147"/>
      <c r="V49" s="147"/>
      <c r="W49" s="147"/>
    </row>
    <row r="50" spans="1:23" ht="18" x14ac:dyDescent="0.3">
      <c r="A50" s="2436">
        <v>44</v>
      </c>
      <c r="B50" s="1962" t="s">
        <v>5763</v>
      </c>
      <c r="C50" s="1963" t="s">
        <v>1344</v>
      </c>
      <c r="D50" s="1964">
        <v>64</v>
      </c>
      <c r="E50" s="1965">
        <v>2295</v>
      </c>
      <c r="F50" s="1966" t="s">
        <v>5764</v>
      </c>
      <c r="G50" s="455">
        <v>1250</v>
      </c>
      <c r="H50" s="1967" t="s">
        <v>4128</v>
      </c>
      <c r="I50" s="1968" t="s">
        <v>25</v>
      </c>
      <c r="J50" s="147"/>
      <c r="K50" s="147"/>
      <c r="L50" s="147"/>
      <c r="M50" s="147"/>
      <c r="N50" s="147"/>
      <c r="O50" s="1969"/>
      <c r="R50" s="1968" t="s">
        <v>25</v>
      </c>
      <c r="S50" s="147"/>
      <c r="T50" s="147"/>
      <c r="U50" s="147"/>
      <c r="V50" s="147"/>
      <c r="W50" s="147"/>
    </row>
    <row r="51" spans="1:23" ht="18" x14ac:dyDescent="0.3">
      <c r="A51" s="2436">
        <v>45</v>
      </c>
      <c r="B51" s="1962" t="s">
        <v>5763</v>
      </c>
      <c r="C51" s="1963" t="s">
        <v>1344</v>
      </c>
      <c r="D51" s="1964">
        <v>64</v>
      </c>
      <c r="E51" s="1965">
        <v>2296</v>
      </c>
      <c r="F51" s="1966" t="s">
        <v>5764</v>
      </c>
      <c r="G51" s="455">
        <v>1250</v>
      </c>
      <c r="H51" s="1967" t="s">
        <v>4128</v>
      </c>
      <c r="I51" s="1968" t="s">
        <v>25</v>
      </c>
      <c r="J51" s="147"/>
      <c r="K51" s="147"/>
      <c r="L51" s="147"/>
      <c r="M51" s="147"/>
      <c r="N51" s="147"/>
      <c r="O51" s="1969"/>
      <c r="R51" s="1968" t="s">
        <v>25</v>
      </c>
      <c r="S51" s="147"/>
      <c r="T51" s="147"/>
      <c r="U51" s="147"/>
      <c r="V51" s="147"/>
      <c r="W51" s="147"/>
    </row>
    <row r="52" spans="1:23" ht="18" x14ac:dyDescent="0.3">
      <c r="A52" s="2436">
        <v>46</v>
      </c>
      <c r="B52" s="1962" t="s">
        <v>5763</v>
      </c>
      <c r="C52" s="1963" t="s">
        <v>1344</v>
      </c>
      <c r="D52" s="1964">
        <v>64</v>
      </c>
      <c r="E52" s="1965">
        <v>2297</v>
      </c>
      <c r="F52" s="1966" t="s">
        <v>5764</v>
      </c>
      <c r="G52" s="455">
        <v>1250</v>
      </c>
      <c r="H52" s="1967" t="s">
        <v>4128</v>
      </c>
      <c r="I52" s="1968" t="s">
        <v>25</v>
      </c>
      <c r="J52" s="147"/>
      <c r="K52" s="147"/>
      <c r="L52" s="147"/>
      <c r="M52" s="147"/>
      <c r="N52" s="147"/>
      <c r="O52" s="1969"/>
      <c r="R52" s="1968" t="s">
        <v>25</v>
      </c>
      <c r="S52" s="147"/>
      <c r="T52" s="147"/>
      <c r="U52" s="147"/>
      <c r="V52" s="147"/>
      <c r="W52" s="147"/>
    </row>
    <row r="53" spans="1:23" ht="18" x14ac:dyDescent="0.3">
      <c r="A53" s="2436">
        <v>47</v>
      </c>
      <c r="B53" s="1962" t="s">
        <v>5763</v>
      </c>
      <c r="C53" s="1963" t="s">
        <v>1344</v>
      </c>
      <c r="D53" s="1964">
        <v>64</v>
      </c>
      <c r="E53" s="1965">
        <v>2298</v>
      </c>
      <c r="F53" s="1966" t="s">
        <v>5764</v>
      </c>
      <c r="G53" s="455">
        <v>1250</v>
      </c>
      <c r="H53" s="1967" t="s">
        <v>4128</v>
      </c>
      <c r="I53" s="1968" t="s">
        <v>25</v>
      </c>
      <c r="J53" s="147"/>
      <c r="K53" s="147"/>
      <c r="L53" s="147"/>
      <c r="M53" s="147"/>
      <c r="N53" s="147"/>
      <c r="O53" s="1969"/>
      <c r="R53" s="1968" t="s">
        <v>25</v>
      </c>
      <c r="S53" s="147"/>
      <c r="T53" s="147"/>
      <c r="U53" s="147"/>
      <c r="V53" s="147"/>
      <c r="W53" s="147"/>
    </row>
    <row r="54" spans="1:23" ht="18" x14ac:dyDescent="0.3">
      <c r="A54" s="2436">
        <v>48</v>
      </c>
      <c r="B54" s="1962" t="s">
        <v>5763</v>
      </c>
      <c r="C54" s="1963" t="s">
        <v>1344</v>
      </c>
      <c r="D54" s="1964">
        <v>64</v>
      </c>
      <c r="E54" s="1965">
        <v>2299</v>
      </c>
      <c r="F54" s="1966" t="s">
        <v>5764</v>
      </c>
      <c r="G54" s="455">
        <v>1250</v>
      </c>
      <c r="H54" s="1967" t="s">
        <v>4128</v>
      </c>
      <c r="I54" s="1968" t="s">
        <v>25</v>
      </c>
      <c r="J54" s="147"/>
      <c r="K54" s="147"/>
      <c r="L54" s="147"/>
      <c r="M54" s="147"/>
      <c r="N54" s="147"/>
      <c r="O54" s="1969"/>
      <c r="R54" s="1968" t="s">
        <v>25</v>
      </c>
      <c r="S54" s="147"/>
      <c r="T54" s="147"/>
      <c r="U54" s="147"/>
      <c r="V54" s="147"/>
      <c r="W54" s="147"/>
    </row>
    <row r="55" spans="1:23" ht="18" x14ac:dyDescent="0.3">
      <c r="A55" s="2436">
        <v>49</v>
      </c>
      <c r="B55" s="1962" t="s">
        <v>5763</v>
      </c>
      <c r="C55" s="1963" t="s">
        <v>1344</v>
      </c>
      <c r="D55" s="1964">
        <v>64</v>
      </c>
      <c r="E55" s="1965">
        <v>2300</v>
      </c>
      <c r="F55" s="1966" t="s">
        <v>5764</v>
      </c>
      <c r="G55" s="455">
        <v>1250</v>
      </c>
      <c r="H55" s="1967" t="s">
        <v>4128</v>
      </c>
      <c r="I55" s="1968" t="s">
        <v>25</v>
      </c>
      <c r="J55" s="147"/>
      <c r="K55" s="147"/>
      <c r="L55" s="147"/>
      <c r="M55" s="147"/>
      <c r="N55" s="147"/>
      <c r="O55" s="1969"/>
      <c r="R55" s="1968" t="s">
        <v>25</v>
      </c>
      <c r="S55" s="147"/>
      <c r="T55" s="147"/>
      <c r="U55" s="147"/>
      <c r="V55" s="147"/>
      <c r="W55" s="147"/>
    </row>
    <row r="56" spans="1:23" ht="18" x14ac:dyDescent="0.3">
      <c r="A56" s="2436">
        <v>50</v>
      </c>
      <c r="B56" s="1962" t="s">
        <v>5763</v>
      </c>
      <c r="C56" s="1963" t="s">
        <v>1344</v>
      </c>
      <c r="D56" s="1964">
        <v>64</v>
      </c>
      <c r="E56" s="1965">
        <v>2301</v>
      </c>
      <c r="F56" s="1966" t="s">
        <v>5764</v>
      </c>
      <c r="G56" s="455">
        <v>1250</v>
      </c>
      <c r="H56" s="1967" t="s">
        <v>4128</v>
      </c>
      <c r="I56" s="1968" t="s">
        <v>25</v>
      </c>
      <c r="J56" s="147"/>
      <c r="K56" s="147"/>
      <c r="L56" s="147"/>
      <c r="M56" s="147"/>
      <c r="N56" s="147"/>
      <c r="O56" s="1969"/>
      <c r="R56" s="1968" t="s">
        <v>25</v>
      </c>
      <c r="S56" s="147"/>
      <c r="T56" s="147"/>
      <c r="U56" s="147"/>
      <c r="V56" s="147"/>
      <c r="W56" s="147"/>
    </row>
    <row r="57" spans="1:23" ht="18" x14ac:dyDescent="0.3">
      <c r="A57" s="2436">
        <v>51</v>
      </c>
      <c r="B57" s="1962" t="s">
        <v>5763</v>
      </c>
      <c r="C57" s="1963" t="s">
        <v>1344</v>
      </c>
      <c r="D57" s="1964">
        <v>64</v>
      </c>
      <c r="E57" s="1965">
        <v>2302</v>
      </c>
      <c r="F57" s="1966" t="s">
        <v>5764</v>
      </c>
      <c r="G57" s="455">
        <v>1250</v>
      </c>
      <c r="H57" s="1967" t="s">
        <v>4128</v>
      </c>
      <c r="I57" s="1968" t="s">
        <v>25</v>
      </c>
      <c r="J57" s="147"/>
      <c r="K57" s="147"/>
      <c r="L57" s="147"/>
      <c r="M57" s="147"/>
      <c r="N57" s="147"/>
      <c r="O57" s="1969"/>
      <c r="R57" s="1968" t="s">
        <v>25</v>
      </c>
      <c r="S57" s="147"/>
      <c r="T57" s="147"/>
      <c r="U57" s="147"/>
      <c r="V57" s="147"/>
      <c r="W57" s="147"/>
    </row>
    <row r="58" spans="1:23" ht="18" x14ac:dyDescent="0.3">
      <c r="A58" s="2436">
        <v>52</v>
      </c>
      <c r="B58" s="1962" t="s">
        <v>5763</v>
      </c>
      <c r="C58" s="1963" t="s">
        <v>1344</v>
      </c>
      <c r="D58" s="1964">
        <v>64</v>
      </c>
      <c r="E58" s="1965">
        <v>2303</v>
      </c>
      <c r="F58" s="1966" t="s">
        <v>5764</v>
      </c>
      <c r="G58" s="455">
        <v>1250</v>
      </c>
      <c r="H58" s="1967" t="s">
        <v>4128</v>
      </c>
      <c r="I58" s="1968" t="s">
        <v>25</v>
      </c>
      <c r="J58" s="147"/>
      <c r="K58" s="147"/>
      <c r="L58" s="147"/>
      <c r="M58" s="147"/>
      <c r="N58" s="147"/>
      <c r="O58" s="1969"/>
      <c r="R58" s="1968" t="s">
        <v>25</v>
      </c>
      <c r="S58" s="147"/>
      <c r="T58" s="147"/>
      <c r="U58" s="147"/>
      <c r="V58" s="147"/>
      <c r="W58" s="147"/>
    </row>
    <row r="59" spans="1:23" ht="18" x14ac:dyDescent="0.3">
      <c r="A59" s="2436">
        <v>53</v>
      </c>
      <c r="B59" s="1962" t="s">
        <v>5763</v>
      </c>
      <c r="C59" s="1963" t="s">
        <v>1344</v>
      </c>
      <c r="D59" s="1964">
        <v>64</v>
      </c>
      <c r="E59" s="1965">
        <v>2304</v>
      </c>
      <c r="F59" s="1966" t="s">
        <v>5764</v>
      </c>
      <c r="G59" s="455">
        <v>1250</v>
      </c>
      <c r="H59" s="1967" t="s">
        <v>4128</v>
      </c>
      <c r="I59" s="1968" t="s">
        <v>25</v>
      </c>
      <c r="J59" s="147"/>
      <c r="K59" s="147"/>
      <c r="L59" s="147"/>
      <c r="M59" s="147"/>
      <c r="N59" s="147"/>
      <c r="O59" s="1969"/>
      <c r="R59" s="1968" t="s">
        <v>25</v>
      </c>
      <c r="S59" s="147"/>
      <c r="T59" s="147"/>
      <c r="U59" s="147"/>
      <c r="V59" s="147"/>
      <c r="W59" s="147"/>
    </row>
    <row r="60" spans="1:23" ht="18" x14ac:dyDescent="0.3">
      <c r="A60" s="2436">
        <v>54</v>
      </c>
      <c r="B60" s="1962" t="s">
        <v>5763</v>
      </c>
      <c r="C60" s="1963" t="s">
        <v>1344</v>
      </c>
      <c r="D60" s="1964">
        <v>64</v>
      </c>
      <c r="E60" s="1965">
        <v>2305</v>
      </c>
      <c r="F60" s="1966" t="s">
        <v>5764</v>
      </c>
      <c r="G60" s="455">
        <v>1250</v>
      </c>
      <c r="H60" s="1967" t="s">
        <v>4128</v>
      </c>
      <c r="I60" s="1968" t="s">
        <v>25</v>
      </c>
      <c r="J60" s="147"/>
      <c r="K60" s="147"/>
      <c r="L60" s="147"/>
      <c r="M60" s="147"/>
      <c r="N60" s="147"/>
      <c r="O60" s="1969"/>
      <c r="R60" s="1968" t="s">
        <v>25</v>
      </c>
      <c r="S60" s="147"/>
      <c r="T60" s="147"/>
      <c r="U60" s="147"/>
      <c r="V60" s="147"/>
      <c r="W60" s="147"/>
    </row>
    <row r="61" spans="1:23" ht="18" x14ac:dyDescent="0.3">
      <c r="A61" s="2436">
        <v>55</v>
      </c>
      <c r="B61" s="1962" t="s">
        <v>5763</v>
      </c>
      <c r="C61" s="1963" t="s">
        <v>1344</v>
      </c>
      <c r="D61" s="1964">
        <v>64</v>
      </c>
      <c r="E61" s="1965">
        <v>2306</v>
      </c>
      <c r="F61" s="1966" t="s">
        <v>5764</v>
      </c>
      <c r="G61" s="455">
        <v>1250</v>
      </c>
      <c r="H61" s="1967" t="s">
        <v>4128</v>
      </c>
      <c r="I61" s="1968" t="s">
        <v>25</v>
      </c>
      <c r="J61" s="147"/>
      <c r="K61" s="147"/>
      <c r="L61" s="147"/>
      <c r="M61" s="147"/>
      <c r="N61" s="147"/>
      <c r="O61" s="1969"/>
      <c r="R61" s="1968" t="s">
        <v>25</v>
      </c>
      <c r="S61" s="147"/>
      <c r="T61" s="147"/>
      <c r="U61" s="147"/>
      <c r="V61" s="147"/>
      <c r="W61" s="147"/>
    </row>
    <row r="62" spans="1:23" ht="18" x14ac:dyDescent="0.3">
      <c r="A62" s="2436">
        <v>56</v>
      </c>
      <c r="B62" s="1962" t="s">
        <v>5763</v>
      </c>
      <c r="C62" s="1963" t="s">
        <v>1344</v>
      </c>
      <c r="D62" s="1964">
        <v>64</v>
      </c>
      <c r="E62" s="1965">
        <v>2307</v>
      </c>
      <c r="F62" s="1966" t="s">
        <v>5764</v>
      </c>
      <c r="G62" s="455">
        <v>1250</v>
      </c>
      <c r="H62" s="1967" t="s">
        <v>4128</v>
      </c>
      <c r="I62" s="1968" t="s">
        <v>25</v>
      </c>
      <c r="J62" s="147"/>
      <c r="K62" s="147"/>
      <c r="L62" s="147"/>
      <c r="M62" s="147"/>
      <c r="N62" s="147"/>
      <c r="O62" s="1969"/>
      <c r="R62" s="1968" t="s">
        <v>25</v>
      </c>
      <c r="S62" s="147"/>
      <c r="T62" s="147"/>
      <c r="U62" s="147"/>
      <c r="V62" s="147"/>
      <c r="W62" s="147"/>
    </row>
    <row r="63" spans="1:23" ht="18" x14ac:dyDescent="0.3">
      <c r="A63" s="2436">
        <v>57</v>
      </c>
      <c r="B63" s="1962" t="s">
        <v>5763</v>
      </c>
      <c r="C63" s="1963" t="s">
        <v>1344</v>
      </c>
      <c r="D63" s="1964">
        <v>64</v>
      </c>
      <c r="E63" s="1965">
        <v>2308</v>
      </c>
      <c r="F63" s="1966" t="s">
        <v>5764</v>
      </c>
      <c r="G63" s="455">
        <v>1250</v>
      </c>
      <c r="H63" s="1967" t="s">
        <v>4128</v>
      </c>
      <c r="I63" s="1968" t="s">
        <v>25</v>
      </c>
      <c r="J63" s="147"/>
      <c r="K63" s="147"/>
      <c r="L63" s="147"/>
      <c r="M63" s="147"/>
      <c r="N63" s="147"/>
      <c r="O63" s="1969"/>
      <c r="R63" s="1968" t="s">
        <v>25</v>
      </c>
      <c r="S63" s="147"/>
      <c r="T63" s="147"/>
      <c r="U63" s="147"/>
      <c r="V63" s="147"/>
      <c r="W63" s="147"/>
    </row>
    <row r="64" spans="1:23" ht="18" x14ac:dyDescent="0.3">
      <c r="A64" s="2436">
        <v>58</v>
      </c>
      <c r="B64" s="1962" t="s">
        <v>5763</v>
      </c>
      <c r="C64" s="1963" t="s">
        <v>1344</v>
      </c>
      <c r="D64" s="1964">
        <v>64</v>
      </c>
      <c r="E64" s="1965">
        <v>2309</v>
      </c>
      <c r="F64" s="1966" t="s">
        <v>5764</v>
      </c>
      <c r="G64" s="455">
        <v>1250</v>
      </c>
      <c r="H64" s="1967" t="s">
        <v>4128</v>
      </c>
      <c r="I64" s="1968" t="s">
        <v>25</v>
      </c>
      <c r="J64" s="147"/>
      <c r="K64" s="147"/>
      <c r="L64" s="147"/>
      <c r="M64" s="147"/>
      <c r="N64" s="147"/>
      <c r="O64" s="1969"/>
      <c r="R64" s="1968" t="s">
        <v>25</v>
      </c>
      <c r="S64" s="147"/>
      <c r="T64" s="147"/>
      <c r="U64" s="147"/>
      <c r="V64" s="147"/>
      <c r="W64" s="147"/>
    </row>
    <row r="65" spans="1:23" ht="18" x14ac:dyDescent="0.3">
      <c r="A65" s="2436">
        <v>59</v>
      </c>
      <c r="B65" s="1962" t="s">
        <v>5763</v>
      </c>
      <c r="C65" s="1963" t="s">
        <v>1344</v>
      </c>
      <c r="D65" s="1964">
        <v>64</v>
      </c>
      <c r="E65" s="1965">
        <v>2310</v>
      </c>
      <c r="F65" s="1966" t="s">
        <v>5764</v>
      </c>
      <c r="G65" s="455">
        <v>1250</v>
      </c>
      <c r="H65" s="1967" t="s">
        <v>4128</v>
      </c>
      <c r="I65" s="1968" t="s">
        <v>25</v>
      </c>
      <c r="J65" s="147"/>
      <c r="K65" s="147"/>
      <c r="L65" s="147"/>
      <c r="M65" s="147"/>
      <c r="N65" s="147"/>
      <c r="O65" s="1969"/>
      <c r="R65" s="1968" t="s">
        <v>25</v>
      </c>
      <c r="S65" s="147"/>
      <c r="T65" s="147"/>
      <c r="U65" s="147"/>
      <c r="V65" s="147"/>
      <c r="W65" s="147"/>
    </row>
    <row r="66" spans="1:23" ht="18" x14ac:dyDescent="0.3">
      <c r="A66" s="2436">
        <v>60</v>
      </c>
      <c r="B66" s="1962" t="s">
        <v>5763</v>
      </c>
      <c r="C66" s="1963" t="s">
        <v>1344</v>
      </c>
      <c r="D66" s="1964">
        <v>64</v>
      </c>
      <c r="E66" s="1965">
        <v>2311</v>
      </c>
      <c r="F66" s="1966" t="s">
        <v>5764</v>
      </c>
      <c r="G66" s="455">
        <v>1250</v>
      </c>
      <c r="H66" s="1967" t="s">
        <v>4128</v>
      </c>
      <c r="I66" s="1968" t="s">
        <v>25</v>
      </c>
      <c r="J66" s="147"/>
      <c r="K66" s="147"/>
      <c r="L66" s="147"/>
      <c r="M66" s="147"/>
      <c r="N66" s="147"/>
      <c r="O66" s="1969"/>
      <c r="R66" s="1968" t="s">
        <v>25</v>
      </c>
      <c r="S66" s="147"/>
      <c r="T66" s="147"/>
      <c r="U66" s="147"/>
      <c r="V66" s="147"/>
      <c r="W66" s="147"/>
    </row>
    <row r="67" spans="1:23" ht="18" x14ac:dyDescent="0.3">
      <c r="A67" s="2436">
        <v>61</v>
      </c>
      <c r="B67" s="1962" t="s">
        <v>5763</v>
      </c>
      <c r="C67" s="1963" t="s">
        <v>1344</v>
      </c>
      <c r="D67" s="1964">
        <v>64</v>
      </c>
      <c r="E67" s="1965">
        <v>2312</v>
      </c>
      <c r="F67" s="1966" t="s">
        <v>5764</v>
      </c>
      <c r="G67" s="455">
        <v>1250</v>
      </c>
      <c r="H67" s="1967" t="s">
        <v>4128</v>
      </c>
      <c r="I67" s="1968" t="s">
        <v>25</v>
      </c>
      <c r="J67" s="147"/>
      <c r="K67" s="147"/>
      <c r="L67" s="147"/>
      <c r="M67" s="147"/>
      <c r="N67" s="147"/>
      <c r="O67" s="1969"/>
      <c r="R67" s="1968" t="s">
        <v>25</v>
      </c>
      <c r="S67" s="147"/>
      <c r="T67" s="147"/>
      <c r="U67" s="147"/>
      <c r="V67" s="147"/>
      <c r="W67" s="147"/>
    </row>
    <row r="68" spans="1:23" ht="18" x14ac:dyDescent="0.3">
      <c r="A68" s="2436">
        <v>62</v>
      </c>
      <c r="B68" s="1962" t="s">
        <v>5763</v>
      </c>
      <c r="C68" s="1963" t="s">
        <v>1344</v>
      </c>
      <c r="D68" s="1964">
        <v>64</v>
      </c>
      <c r="E68" s="1965">
        <v>2313</v>
      </c>
      <c r="F68" s="1966" t="s">
        <v>5764</v>
      </c>
      <c r="G68" s="455">
        <v>1250</v>
      </c>
      <c r="H68" s="1967" t="s">
        <v>4128</v>
      </c>
      <c r="I68" s="1968" t="s">
        <v>25</v>
      </c>
      <c r="J68" s="147"/>
      <c r="K68" s="147"/>
      <c r="L68" s="147"/>
      <c r="M68" s="147"/>
      <c r="N68" s="147"/>
      <c r="O68" s="1969"/>
      <c r="R68" s="1968" t="s">
        <v>25</v>
      </c>
      <c r="S68" s="147"/>
      <c r="T68" s="147"/>
      <c r="U68" s="147"/>
      <c r="V68" s="147"/>
      <c r="W68" s="147"/>
    </row>
    <row r="69" spans="1:23" ht="18" x14ac:dyDescent="0.3">
      <c r="A69" s="2436">
        <v>63</v>
      </c>
      <c r="B69" s="1962" t="s">
        <v>5763</v>
      </c>
      <c r="C69" s="1963" t="s">
        <v>1344</v>
      </c>
      <c r="D69" s="1964">
        <v>64</v>
      </c>
      <c r="E69" s="1965">
        <v>2314</v>
      </c>
      <c r="F69" s="1966" t="s">
        <v>5764</v>
      </c>
      <c r="G69" s="455">
        <v>1250</v>
      </c>
      <c r="H69" s="1967" t="s">
        <v>4128</v>
      </c>
      <c r="I69" s="1968" t="s">
        <v>25</v>
      </c>
      <c r="J69" s="147"/>
      <c r="K69" s="147"/>
      <c r="L69" s="147"/>
      <c r="M69" s="147"/>
      <c r="N69" s="147"/>
      <c r="O69" s="1969"/>
      <c r="R69" s="1968" t="s">
        <v>25</v>
      </c>
      <c r="S69" s="147"/>
      <c r="T69" s="147"/>
      <c r="U69" s="147"/>
      <c r="V69" s="147"/>
      <c r="W69" s="147"/>
    </row>
    <row r="70" spans="1:23" ht="18" x14ac:dyDescent="0.3">
      <c r="A70" s="2436">
        <v>64</v>
      </c>
      <c r="B70" s="1962" t="s">
        <v>5763</v>
      </c>
      <c r="C70" s="1963" t="s">
        <v>1344</v>
      </c>
      <c r="D70" s="1964">
        <v>64</v>
      </c>
      <c r="E70" s="1965">
        <v>2315</v>
      </c>
      <c r="F70" s="1966" t="s">
        <v>5764</v>
      </c>
      <c r="G70" s="455">
        <v>1250</v>
      </c>
      <c r="H70" s="1967" t="s">
        <v>4128</v>
      </c>
      <c r="I70" s="1968" t="s">
        <v>25</v>
      </c>
      <c r="J70" s="147"/>
      <c r="K70" s="147"/>
      <c r="L70" s="147"/>
      <c r="M70" s="147"/>
      <c r="N70" s="147"/>
      <c r="O70" s="1969"/>
      <c r="R70" s="1968" t="s">
        <v>25</v>
      </c>
      <c r="S70" s="147"/>
      <c r="T70" s="147"/>
      <c r="U70" s="147"/>
      <c r="V70" s="147"/>
      <c r="W70" s="147"/>
    </row>
    <row r="71" spans="1:23" ht="18" x14ac:dyDescent="0.3">
      <c r="A71" s="2436">
        <v>65</v>
      </c>
      <c r="B71" s="1962" t="s">
        <v>5763</v>
      </c>
      <c r="C71" s="1963" t="s">
        <v>1344</v>
      </c>
      <c r="D71" s="1964">
        <v>64</v>
      </c>
      <c r="E71" s="1965">
        <v>2316</v>
      </c>
      <c r="F71" s="1966" t="s">
        <v>5764</v>
      </c>
      <c r="G71" s="455">
        <v>1250</v>
      </c>
      <c r="H71" s="1967" t="s">
        <v>4128</v>
      </c>
      <c r="I71" s="1968" t="s">
        <v>25</v>
      </c>
      <c r="J71" s="147"/>
      <c r="K71" s="147"/>
      <c r="L71" s="147"/>
      <c r="M71" s="147"/>
      <c r="N71" s="147"/>
      <c r="O71" s="1969"/>
      <c r="R71" s="1968" t="s">
        <v>25</v>
      </c>
      <c r="S71" s="147"/>
      <c r="T71" s="147"/>
      <c r="U71" s="147"/>
      <c r="V71" s="147"/>
      <c r="W71" s="147"/>
    </row>
    <row r="72" spans="1:23" ht="18" x14ac:dyDescent="0.3">
      <c r="A72" s="2436">
        <v>66</v>
      </c>
      <c r="B72" s="1962" t="s">
        <v>5763</v>
      </c>
      <c r="C72" s="1963" t="s">
        <v>1344</v>
      </c>
      <c r="D72" s="1964">
        <v>64</v>
      </c>
      <c r="E72" s="1965">
        <v>2317</v>
      </c>
      <c r="F72" s="1966" t="s">
        <v>5764</v>
      </c>
      <c r="G72" s="455">
        <v>1250</v>
      </c>
      <c r="H72" s="1967" t="s">
        <v>4128</v>
      </c>
      <c r="I72" s="1968" t="s">
        <v>25</v>
      </c>
      <c r="J72" s="147"/>
      <c r="K72" s="147"/>
      <c r="L72" s="147"/>
      <c r="M72" s="147"/>
      <c r="N72" s="147"/>
      <c r="O72" s="1969"/>
      <c r="R72" s="1968" t="s">
        <v>25</v>
      </c>
      <c r="S72" s="147"/>
      <c r="T72" s="147"/>
      <c r="U72" s="147"/>
      <c r="V72" s="147"/>
      <c r="W72" s="147"/>
    </row>
    <row r="73" spans="1:23" ht="18" x14ac:dyDescent="0.3">
      <c r="A73" s="2436">
        <v>67</v>
      </c>
      <c r="B73" s="1962" t="s">
        <v>5763</v>
      </c>
      <c r="C73" s="1963" t="s">
        <v>1344</v>
      </c>
      <c r="D73" s="1964">
        <v>64</v>
      </c>
      <c r="E73" s="1965">
        <v>2318</v>
      </c>
      <c r="F73" s="1966" t="s">
        <v>5764</v>
      </c>
      <c r="G73" s="455">
        <v>1250</v>
      </c>
      <c r="H73" s="1967" t="s">
        <v>4128</v>
      </c>
      <c r="I73" s="1968" t="s">
        <v>25</v>
      </c>
      <c r="J73" s="147"/>
      <c r="K73" s="147"/>
      <c r="L73" s="147"/>
      <c r="M73" s="147"/>
      <c r="N73" s="147"/>
      <c r="O73" s="1969"/>
      <c r="R73" s="1968" t="s">
        <v>25</v>
      </c>
      <c r="S73" s="147"/>
      <c r="T73" s="147"/>
      <c r="U73" s="147"/>
      <c r="V73" s="147"/>
      <c r="W73" s="147"/>
    </row>
    <row r="74" spans="1:23" ht="18" x14ac:dyDescent="0.3">
      <c r="A74" s="2436">
        <v>68</v>
      </c>
      <c r="B74" s="1962" t="s">
        <v>5763</v>
      </c>
      <c r="C74" s="1963" t="s">
        <v>1344</v>
      </c>
      <c r="D74" s="1964">
        <v>64</v>
      </c>
      <c r="E74" s="1965">
        <v>2319</v>
      </c>
      <c r="F74" s="1966" t="s">
        <v>5764</v>
      </c>
      <c r="G74" s="455">
        <v>1250</v>
      </c>
      <c r="H74" s="1967" t="s">
        <v>4128</v>
      </c>
      <c r="I74" s="1968" t="s">
        <v>25</v>
      </c>
      <c r="J74" s="147"/>
      <c r="K74" s="147"/>
      <c r="L74" s="147"/>
      <c r="M74" s="147"/>
      <c r="N74" s="147"/>
      <c r="O74" s="1969"/>
      <c r="R74" s="1968" t="s">
        <v>25</v>
      </c>
      <c r="S74" s="147"/>
      <c r="T74" s="147"/>
      <c r="U74" s="147"/>
      <c r="V74" s="147"/>
      <c r="W74" s="147"/>
    </row>
    <row r="75" spans="1:23" ht="18" x14ac:dyDescent="0.3">
      <c r="A75" s="2436">
        <v>69</v>
      </c>
      <c r="B75" s="1962" t="s">
        <v>5763</v>
      </c>
      <c r="C75" s="1963" t="s">
        <v>1344</v>
      </c>
      <c r="D75" s="1964">
        <v>64</v>
      </c>
      <c r="E75" s="1965">
        <v>2320</v>
      </c>
      <c r="F75" s="1966" t="s">
        <v>5764</v>
      </c>
      <c r="G75" s="455">
        <v>1250</v>
      </c>
      <c r="H75" s="1967" t="s">
        <v>4128</v>
      </c>
      <c r="I75" s="1968" t="s">
        <v>25</v>
      </c>
      <c r="J75" s="147"/>
      <c r="K75" s="147"/>
      <c r="L75" s="147"/>
      <c r="M75" s="147"/>
      <c r="N75" s="147"/>
      <c r="O75" s="1969"/>
      <c r="R75" s="1968" t="s">
        <v>25</v>
      </c>
      <c r="S75" s="147"/>
      <c r="T75" s="147"/>
      <c r="U75" s="147"/>
      <c r="V75" s="147"/>
      <c r="W75" s="147"/>
    </row>
    <row r="76" spans="1:23" ht="18" x14ac:dyDescent="0.3">
      <c r="A76" s="2436">
        <v>70</v>
      </c>
      <c r="B76" s="1962" t="s">
        <v>5763</v>
      </c>
      <c r="C76" s="1963" t="s">
        <v>1344</v>
      </c>
      <c r="D76" s="1964">
        <v>64</v>
      </c>
      <c r="E76" s="1965">
        <v>2321</v>
      </c>
      <c r="F76" s="1966" t="s">
        <v>5764</v>
      </c>
      <c r="G76" s="455">
        <v>1250</v>
      </c>
      <c r="H76" s="1967" t="s">
        <v>4128</v>
      </c>
      <c r="I76" s="1968" t="s">
        <v>25</v>
      </c>
      <c r="J76" s="147"/>
      <c r="K76" s="147"/>
      <c r="L76" s="147"/>
      <c r="M76" s="147"/>
      <c r="N76" s="147"/>
      <c r="O76" s="1969"/>
      <c r="R76" s="1968" t="s">
        <v>25</v>
      </c>
      <c r="S76" s="147"/>
      <c r="T76" s="147"/>
      <c r="U76" s="147"/>
      <c r="V76" s="147"/>
      <c r="W76" s="147"/>
    </row>
    <row r="77" spans="1:23" ht="18" x14ac:dyDescent="0.3">
      <c r="A77" s="2436">
        <v>71</v>
      </c>
      <c r="B77" s="1962" t="s">
        <v>5763</v>
      </c>
      <c r="C77" s="1963" t="s">
        <v>1344</v>
      </c>
      <c r="D77" s="1964">
        <v>64</v>
      </c>
      <c r="E77" s="1965">
        <v>2322</v>
      </c>
      <c r="F77" s="1966" t="s">
        <v>5764</v>
      </c>
      <c r="G77" s="455">
        <v>1250</v>
      </c>
      <c r="H77" s="1967" t="s">
        <v>4128</v>
      </c>
      <c r="I77" s="1968" t="s">
        <v>25</v>
      </c>
      <c r="J77" s="147"/>
      <c r="K77" s="147"/>
      <c r="L77" s="147"/>
      <c r="M77" s="147"/>
      <c r="N77" s="147"/>
      <c r="O77" s="1969"/>
      <c r="R77" s="1968" t="s">
        <v>25</v>
      </c>
      <c r="S77" s="147"/>
      <c r="T77" s="147"/>
      <c r="U77" s="147"/>
      <c r="V77" s="147"/>
      <c r="W77" s="147"/>
    </row>
    <row r="78" spans="1:23" ht="18" x14ac:dyDescent="0.3">
      <c r="A78" s="2436">
        <v>72</v>
      </c>
      <c r="B78" s="1962" t="s">
        <v>5763</v>
      </c>
      <c r="C78" s="1963" t="s">
        <v>1344</v>
      </c>
      <c r="D78" s="1964">
        <v>64</v>
      </c>
      <c r="E78" s="1965">
        <v>2323</v>
      </c>
      <c r="F78" s="1966" t="s">
        <v>5764</v>
      </c>
      <c r="G78" s="455">
        <v>1250</v>
      </c>
      <c r="H78" s="1967" t="s">
        <v>4128</v>
      </c>
      <c r="I78" s="1968" t="s">
        <v>25</v>
      </c>
      <c r="J78" s="147"/>
      <c r="K78" s="147"/>
      <c r="L78" s="147"/>
      <c r="M78" s="147"/>
      <c r="N78" s="147"/>
      <c r="O78" s="1969"/>
      <c r="R78" s="1968" t="s">
        <v>25</v>
      </c>
      <c r="S78" s="147"/>
      <c r="T78" s="147"/>
      <c r="U78" s="147"/>
      <c r="V78" s="147"/>
      <c r="W78" s="147"/>
    </row>
    <row r="79" spans="1:23" ht="18" x14ac:dyDescent="0.3">
      <c r="A79" s="2436">
        <v>73</v>
      </c>
      <c r="B79" s="1962" t="s">
        <v>5763</v>
      </c>
      <c r="C79" s="1963" t="s">
        <v>1344</v>
      </c>
      <c r="D79" s="1964">
        <v>64</v>
      </c>
      <c r="E79" s="1965">
        <v>2324</v>
      </c>
      <c r="F79" s="1966" t="s">
        <v>5764</v>
      </c>
      <c r="G79" s="455">
        <v>1250</v>
      </c>
      <c r="H79" s="1967" t="s">
        <v>4128</v>
      </c>
      <c r="I79" s="1968" t="s">
        <v>25</v>
      </c>
      <c r="J79" s="147"/>
      <c r="K79" s="147"/>
      <c r="L79" s="147"/>
      <c r="M79" s="147"/>
      <c r="N79" s="147"/>
      <c r="O79" s="1969"/>
      <c r="R79" s="1968" t="s">
        <v>25</v>
      </c>
      <c r="S79" s="147"/>
      <c r="T79" s="147"/>
      <c r="U79" s="147"/>
      <c r="V79" s="147"/>
      <c r="W79" s="147"/>
    </row>
    <row r="80" spans="1:23" ht="18" x14ac:dyDescent="0.3">
      <c r="A80" s="2436">
        <v>74</v>
      </c>
      <c r="B80" s="1962" t="s">
        <v>5763</v>
      </c>
      <c r="C80" s="1963" t="s">
        <v>1344</v>
      </c>
      <c r="D80" s="1964">
        <v>64</v>
      </c>
      <c r="E80" s="1965">
        <v>2325</v>
      </c>
      <c r="F80" s="1966" t="s">
        <v>5764</v>
      </c>
      <c r="G80" s="455">
        <v>1250</v>
      </c>
      <c r="H80" s="1967" t="s">
        <v>4128</v>
      </c>
      <c r="I80" s="1968" t="s">
        <v>25</v>
      </c>
      <c r="J80" s="147"/>
      <c r="K80" s="147"/>
      <c r="L80" s="147"/>
      <c r="M80" s="147"/>
      <c r="N80" s="147"/>
      <c r="O80" s="1969"/>
      <c r="R80" s="1968" t="s">
        <v>25</v>
      </c>
      <c r="S80" s="147"/>
      <c r="T80" s="147"/>
      <c r="U80" s="147"/>
      <c r="V80" s="147"/>
      <c r="W80" s="147"/>
    </row>
    <row r="81" spans="1:23" ht="18" x14ac:dyDescent="0.3">
      <c r="A81" s="2436">
        <v>75</v>
      </c>
      <c r="B81" s="1962" t="s">
        <v>5763</v>
      </c>
      <c r="C81" s="1963" t="s">
        <v>1344</v>
      </c>
      <c r="D81" s="1964">
        <v>64</v>
      </c>
      <c r="E81" s="1965">
        <v>2326</v>
      </c>
      <c r="F81" s="1966" t="s">
        <v>5764</v>
      </c>
      <c r="G81" s="455">
        <v>1250</v>
      </c>
      <c r="H81" s="1967" t="s">
        <v>4128</v>
      </c>
      <c r="I81" s="1968" t="s">
        <v>25</v>
      </c>
      <c r="J81" s="147"/>
      <c r="K81" s="147"/>
      <c r="L81" s="147"/>
      <c r="M81" s="147"/>
      <c r="N81" s="147"/>
      <c r="O81" s="1969"/>
      <c r="R81" s="1968" t="s">
        <v>25</v>
      </c>
      <c r="S81" s="147"/>
      <c r="T81" s="147"/>
      <c r="U81" s="147"/>
      <c r="V81" s="147"/>
      <c r="W81" s="147"/>
    </row>
    <row r="82" spans="1:23" ht="18" x14ac:dyDescent="0.3">
      <c r="A82" s="2436">
        <v>76</v>
      </c>
      <c r="B82" s="1962" t="s">
        <v>5763</v>
      </c>
      <c r="C82" s="1963" t="s">
        <v>1344</v>
      </c>
      <c r="D82" s="1964">
        <v>64</v>
      </c>
      <c r="E82" s="1965">
        <v>2327</v>
      </c>
      <c r="F82" s="1966" t="s">
        <v>5764</v>
      </c>
      <c r="G82" s="455">
        <v>1250</v>
      </c>
      <c r="H82" s="1967" t="s">
        <v>4128</v>
      </c>
      <c r="I82" s="1968" t="s">
        <v>25</v>
      </c>
      <c r="J82" s="147"/>
      <c r="K82" s="147"/>
      <c r="L82" s="147"/>
      <c r="M82" s="147"/>
      <c r="N82" s="147"/>
      <c r="O82" s="1969"/>
      <c r="R82" s="1968" t="s">
        <v>25</v>
      </c>
      <c r="S82" s="147"/>
      <c r="T82" s="147"/>
      <c r="U82" s="147"/>
      <c r="V82" s="147"/>
      <c r="W82" s="147"/>
    </row>
    <row r="83" spans="1:23" ht="18" x14ac:dyDescent="0.3">
      <c r="A83" s="2436">
        <v>77</v>
      </c>
      <c r="B83" s="1962" t="s">
        <v>5763</v>
      </c>
      <c r="C83" s="1963" t="s">
        <v>1344</v>
      </c>
      <c r="D83" s="1964">
        <v>64</v>
      </c>
      <c r="E83" s="1965">
        <v>2328</v>
      </c>
      <c r="F83" s="1966" t="s">
        <v>5764</v>
      </c>
      <c r="G83" s="455">
        <v>1250</v>
      </c>
      <c r="H83" s="1967" t="s">
        <v>4128</v>
      </c>
      <c r="I83" s="1968" t="s">
        <v>25</v>
      </c>
      <c r="J83" s="147"/>
      <c r="K83" s="147"/>
      <c r="L83" s="147"/>
      <c r="M83" s="147"/>
      <c r="N83" s="147"/>
      <c r="O83" s="1969"/>
      <c r="R83" s="1968" t="s">
        <v>25</v>
      </c>
      <c r="S83" s="147"/>
      <c r="T83" s="147"/>
      <c r="U83" s="147"/>
      <c r="V83" s="147"/>
      <c r="W83" s="147"/>
    </row>
    <row r="84" spans="1:23" ht="18" x14ac:dyDescent="0.3">
      <c r="A84" s="2436">
        <v>78</v>
      </c>
      <c r="B84" s="1962" t="s">
        <v>5763</v>
      </c>
      <c r="C84" s="1963" t="s">
        <v>1344</v>
      </c>
      <c r="D84" s="1964">
        <v>64</v>
      </c>
      <c r="E84" s="1965">
        <v>2329</v>
      </c>
      <c r="F84" s="1966" t="s">
        <v>5764</v>
      </c>
      <c r="G84" s="455">
        <v>1250</v>
      </c>
      <c r="H84" s="1967" t="s">
        <v>4128</v>
      </c>
      <c r="I84" s="1968" t="s">
        <v>25</v>
      </c>
      <c r="J84" s="147"/>
      <c r="K84" s="147"/>
      <c r="L84" s="147"/>
      <c r="M84" s="147"/>
      <c r="N84" s="147"/>
      <c r="O84" s="1969"/>
      <c r="R84" s="1968" t="s">
        <v>25</v>
      </c>
      <c r="S84" s="147"/>
      <c r="T84" s="147"/>
      <c r="U84" s="147"/>
      <c r="V84" s="147"/>
      <c r="W84" s="147"/>
    </row>
    <row r="85" spans="1:23" ht="18" x14ac:dyDescent="0.3">
      <c r="A85" s="2436">
        <v>79</v>
      </c>
      <c r="B85" s="1962" t="s">
        <v>5763</v>
      </c>
      <c r="C85" s="1963" t="s">
        <v>1344</v>
      </c>
      <c r="D85" s="1964">
        <v>64</v>
      </c>
      <c r="E85" s="1965">
        <v>2330</v>
      </c>
      <c r="F85" s="1966" t="s">
        <v>5764</v>
      </c>
      <c r="G85" s="455">
        <v>1250</v>
      </c>
      <c r="H85" s="1967" t="s">
        <v>4128</v>
      </c>
      <c r="I85" s="1968" t="s">
        <v>25</v>
      </c>
      <c r="J85" s="147"/>
      <c r="K85" s="147"/>
      <c r="L85" s="147"/>
      <c r="M85" s="147"/>
      <c r="N85" s="147"/>
      <c r="O85" s="1969"/>
      <c r="R85" s="1968" t="s">
        <v>25</v>
      </c>
      <c r="S85" s="147"/>
      <c r="T85" s="147"/>
      <c r="U85" s="147"/>
      <c r="V85" s="147"/>
      <c r="W85" s="147"/>
    </row>
    <row r="86" spans="1:23" ht="18" x14ac:dyDescent="0.3">
      <c r="A86" s="2436">
        <v>80</v>
      </c>
      <c r="B86" s="1962" t="s">
        <v>5763</v>
      </c>
      <c r="C86" s="1963" t="s">
        <v>1344</v>
      </c>
      <c r="D86" s="1964">
        <v>64</v>
      </c>
      <c r="E86" s="1965">
        <v>2331</v>
      </c>
      <c r="F86" s="1966" t="s">
        <v>5764</v>
      </c>
      <c r="G86" s="455">
        <v>1250</v>
      </c>
      <c r="H86" s="1967" t="s">
        <v>4128</v>
      </c>
      <c r="I86" s="1968" t="s">
        <v>25</v>
      </c>
      <c r="J86" s="147"/>
      <c r="K86" s="147"/>
      <c r="L86" s="147"/>
      <c r="M86" s="147"/>
      <c r="N86" s="147"/>
      <c r="O86" s="1969"/>
      <c r="R86" s="1968" t="s">
        <v>25</v>
      </c>
      <c r="S86" s="147"/>
      <c r="T86" s="147"/>
      <c r="U86" s="147"/>
      <c r="V86" s="147"/>
      <c r="W86" s="147"/>
    </row>
    <row r="87" spans="1:23" ht="18" x14ac:dyDescent="0.3">
      <c r="A87" s="2436">
        <v>81</v>
      </c>
      <c r="B87" s="1962" t="s">
        <v>5763</v>
      </c>
      <c r="C87" s="1963" t="s">
        <v>1344</v>
      </c>
      <c r="D87" s="1964">
        <v>64</v>
      </c>
      <c r="E87" s="1965">
        <v>2332</v>
      </c>
      <c r="F87" s="1966" t="s">
        <v>5764</v>
      </c>
      <c r="G87" s="455">
        <v>1250</v>
      </c>
      <c r="H87" s="1967" t="s">
        <v>4128</v>
      </c>
      <c r="I87" s="1968" t="s">
        <v>25</v>
      </c>
      <c r="J87" s="147"/>
      <c r="K87" s="147"/>
      <c r="L87" s="147"/>
      <c r="M87" s="147"/>
      <c r="N87" s="147"/>
      <c r="O87" s="1969"/>
      <c r="R87" s="1968" t="s">
        <v>25</v>
      </c>
      <c r="S87" s="147"/>
      <c r="T87" s="147"/>
      <c r="U87" s="147"/>
      <c r="V87" s="147"/>
      <c r="W87" s="147"/>
    </row>
    <row r="88" spans="1:23" ht="18" x14ac:dyDescent="0.3">
      <c r="A88" s="2436">
        <v>82</v>
      </c>
      <c r="B88" s="1962" t="s">
        <v>5763</v>
      </c>
      <c r="C88" s="1963" t="s">
        <v>1344</v>
      </c>
      <c r="D88" s="1964">
        <v>64</v>
      </c>
      <c r="E88" s="1965">
        <v>2333</v>
      </c>
      <c r="F88" s="1966" t="s">
        <v>5764</v>
      </c>
      <c r="G88" s="455">
        <v>1250</v>
      </c>
      <c r="H88" s="1967" t="s">
        <v>4128</v>
      </c>
      <c r="I88" s="1968" t="s">
        <v>25</v>
      </c>
      <c r="J88" s="147"/>
      <c r="K88" s="147"/>
      <c r="L88" s="147"/>
      <c r="M88" s="147"/>
      <c r="N88" s="147"/>
      <c r="O88" s="1969"/>
      <c r="R88" s="1968" t="s">
        <v>25</v>
      </c>
      <c r="S88" s="147"/>
      <c r="T88" s="147"/>
      <c r="U88" s="147"/>
      <c r="V88" s="147"/>
      <c r="W88" s="147"/>
    </row>
    <row r="89" spans="1:23" ht="18" x14ac:dyDescent="0.3">
      <c r="A89" s="2436">
        <v>83</v>
      </c>
      <c r="B89" s="1962" t="s">
        <v>5763</v>
      </c>
      <c r="C89" s="1963" t="s">
        <v>1344</v>
      </c>
      <c r="D89" s="1964">
        <v>64</v>
      </c>
      <c r="E89" s="1965">
        <v>2334</v>
      </c>
      <c r="F89" s="1966" t="s">
        <v>5764</v>
      </c>
      <c r="G89" s="455">
        <v>1250</v>
      </c>
      <c r="H89" s="1967" t="s">
        <v>4128</v>
      </c>
      <c r="I89" s="1968" t="s">
        <v>25</v>
      </c>
      <c r="J89" s="147"/>
      <c r="K89" s="147"/>
      <c r="L89" s="147"/>
      <c r="M89" s="147"/>
      <c r="N89" s="147"/>
      <c r="O89" s="1969"/>
      <c r="R89" s="1968" t="s">
        <v>25</v>
      </c>
      <c r="S89" s="147"/>
      <c r="T89" s="147"/>
      <c r="U89" s="147"/>
      <c r="V89" s="147"/>
      <c r="W89" s="147"/>
    </row>
    <row r="90" spans="1:23" ht="18" x14ac:dyDescent="0.3">
      <c r="A90" s="2436">
        <v>84</v>
      </c>
      <c r="B90" s="1962" t="s">
        <v>5763</v>
      </c>
      <c r="C90" s="1963" t="s">
        <v>1344</v>
      </c>
      <c r="D90" s="1964">
        <v>64</v>
      </c>
      <c r="E90" s="1965">
        <v>2335</v>
      </c>
      <c r="F90" s="1966" t="s">
        <v>5764</v>
      </c>
      <c r="G90" s="455">
        <v>1250</v>
      </c>
      <c r="H90" s="1967" t="s">
        <v>4128</v>
      </c>
      <c r="I90" s="1968" t="s">
        <v>25</v>
      </c>
      <c r="J90" s="147"/>
      <c r="K90" s="147"/>
      <c r="L90" s="147"/>
      <c r="M90" s="147"/>
      <c r="N90" s="147"/>
      <c r="O90" s="1969"/>
      <c r="R90" s="1968" t="s">
        <v>25</v>
      </c>
      <c r="S90" s="147"/>
      <c r="T90" s="147"/>
      <c r="U90" s="147"/>
      <c r="V90" s="147"/>
      <c r="W90" s="147"/>
    </row>
    <row r="91" spans="1:23" ht="18" x14ac:dyDescent="0.3">
      <c r="A91" s="2436">
        <v>85</v>
      </c>
      <c r="B91" s="1962" t="s">
        <v>5763</v>
      </c>
      <c r="C91" s="1963" t="s">
        <v>1344</v>
      </c>
      <c r="D91" s="1964">
        <v>64</v>
      </c>
      <c r="E91" s="1965">
        <v>2336</v>
      </c>
      <c r="F91" s="1966" t="s">
        <v>5764</v>
      </c>
      <c r="G91" s="455">
        <v>1250</v>
      </c>
      <c r="H91" s="1967" t="s">
        <v>4128</v>
      </c>
      <c r="I91" s="1968" t="s">
        <v>25</v>
      </c>
      <c r="J91" s="147"/>
      <c r="K91" s="147"/>
      <c r="L91" s="147"/>
      <c r="M91" s="147"/>
      <c r="N91" s="147"/>
      <c r="O91" s="1969"/>
      <c r="R91" s="1968" t="s">
        <v>25</v>
      </c>
      <c r="S91" s="147"/>
      <c r="T91" s="147"/>
      <c r="U91" s="147"/>
      <c r="V91" s="147"/>
      <c r="W91" s="147"/>
    </row>
    <row r="92" spans="1:23" ht="18" x14ac:dyDescent="0.3">
      <c r="A92" s="2436">
        <v>86</v>
      </c>
      <c r="B92" s="1962" t="s">
        <v>5763</v>
      </c>
      <c r="C92" s="1963" t="s">
        <v>1344</v>
      </c>
      <c r="D92" s="1964">
        <v>64</v>
      </c>
      <c r="E92" s="1965">
        <v>2337</v>
      </c>
      <c r="F92" s="1966" t="s">
        <v>5764</v>
      </c>
      <c r="G92" s="455">
        <v>1250</v>
      </c>
      <c r="H92" s="1967" t="s">
        <v>4128</v>
      </c>
      <c r="I92" s="1968" t="s">
        <v>25</v>
      </c>
      <c r="J92" s="147"/>
      <c r="K92" s="147"/>
      <c r="L92" s="147"/>
      <c r="M92" s="147"/>
      <c r="N92" s="147"/>
      <c r="O92" s="1969"/>
      <c r="R92" s="1968" t="s">
        <v>25</v>
      </c>
      <c r="S92" s="147"/>
      <c r="T92" s="147"/>
      <c r="U92" s="147"/>
      <c r="V92" s="147"/>
      <c r="W92" s="147"/>
    </row>
    <row r="93" spans="1:23" ht="18" x14ac:dyDescent="0.3">
      <c r="A93" s="2436">
        <v>87</v>
      </c>
      <c r="B93" s="1962" t="s">
        <v>5763</v>
      </c>
      <c r="C93" s="1963" t="s">
        <v>1344</v>
      </c>
      <c r="D93" s="1964">
        <v>64</v>
      </c>
      <c r="E93" s="1965">
        <v>2338</v>
      </c>
      <c r="F93" s="1966" t="s">
        <v>5764</v>
      </c>
      <c r="G93" s="455">
        <v>1250</v>
      </c>
      <c r="H93" s="1967" t="s">
        <v>4128</v>
      </c>
      <c r="I93" s="1968" t="s">
        <v>25</v>
      </c>
      <c r="J93" s="147"/>
      <c r="K93" s="147"/>
      <c r="L93" s="147"/>
      <c r="M93" s="147"/>
      <c r="N93" s="147"/>
      <c r="O93" s="1969"/>
      <c r="R93" s="1968" t="s">
        <v>25</v>
      </c>
      <c r="S93" s="147"/>
      <c r="T93" s="147"/>
      <c r="U93" s="147"/>
      <c r="V93" s="147"/>
      <c r="W93" s="147"/>
    </row>
    <row r="94" spans="1:23" ht="18" x14ac:dyDescent="0.3">
      <c r="A94" s="2436">
        <v>88</v>
      </c>
      <c r="B94" s="1962" t="s">
        <v>5763</v>
      </c>
      <c r="C94" s="1963" t="s">
        <v>1344</v>
      </c>
      <c r="D94" s="1964">
        <v>64</v>
      </c>
      <c r="E94" s="1965">
        <v>2339</v>
      </c>
      <c r="F94" s="1966" t="s">
        <v>5764</v>
      </c>
      <c r="G94" s="455">
        <v>1250</v>
      </c>
      <c r="H94" s="1967" t="s">
        <v>4128</v>
      </c>
      <c r="I94" s="1968" t="s">
        <v>25</v>
      </c>
      <c r="J94" s="147"/>
      <c r="K94" s="147"/>
      <c r="L94" s="147"/>
      <c r="M94" s="147"/>
      <c r="N94" s="147"/>
      <c r="O94" s="1969"/>
      <c r="R94" s="1968" t="s">
        <v>25</v>
      </c>
      <c r="S94" s="147"/>
      <c r="T94" s="147"/>
      <c r="U94" s="147"/>
      <c r="V94" s="147"/>
      <c r="W94" s="147"/>
    </row>
    <row r="95" spans="1:23" ht="18" x14ac:dyDescent="0.3">
      <c r="A95" s="2436">
        <v>89</v>
      </c>
      <c r="B95" s="1962" t="s">
        <v>5763</v>
      </c>
      <c r="C95" s="1963" t="s">
        <v>1344</v>
      </c>
      <c r="D95" s="1964">
        <v>64</v>
      </c>
      <c r="E95" s="1965">
        <v>2340</v>
      </c>
      <c r="F95" s="1966" t="s">
        <v>5764</v>
      </c>
      <c r="G95" s="455">
        <v>1250</v>
      </c>
      <c r="H95" s="1967" t="s">
        <v>4128</v>
      </c>
      <c r="I95" s="1968" t="s">
        <v>25</v>
      </c>
      <c r="J95" s="147"/>
      <c r="K95" s="147"/>
      <c r="L95" s="147"/>
      <c r="M95" s="147"/>
      <c r="N95" s="147"/>
      <c r="O95" s="1969"/>
      <c r="R95" s="1968" t="s">
        <v>25</v>
      </c>
      <c r="S95" s="147"/>
      <c r="T95" s="147"/>
      <c r="U95" s="147"/>
      <c r="V95" s="147"/>
      <c r="W95" s="147"/>
    </row>
    <row r="96" spans="1:23" ht="18" x14ac:dyDescent="0.3">
      <c r="A96" s="2436">
        <v>90</v>
      </c>
      <c r="B96" s="1962" t="s">
        <v>5763</v>
      </c>
      <c r="C96" s="1963" t="s">
        <v>1344</v>
      </c>
      <c r="D96" s="1964">
        <v>64</v>
      </c>
      <c r="E96" s="1965">
        <v>2341</v>
      </c>
      <c r="F96" s="1966" t="s">
        <v>5764</v>
      </c>
      <c r="G96" s="455">
        <v>1250</v>
      </c>
      <c r="H96" s="1967" t="s">
        <v>4128</v>
      </c>
      <c r="I96" s="1968" t="s">
        <v>25</v>
      </c>
      <c r="J96" s="147"/>
      <c r="K96" s="147"/>
      <c r="L96" s="147"/>
      <c r="M96" s="147"/>
      <c r="N96" s="147"/>
      <c r="O96" s="1969"/>
      <c r="R96" s="1968" t="s">
        <v>25</v>
      </c>
      <c r="S96" s="147"/>
      <c r="T96" s="147"/>
      <c r="U96" s="147"/>
      <c r="V96" s="147"/>
      <c r="W96" s="147"/>
    </row>
    <row r="97" spans="1:23" ht="18" x14ac:dyDescent="0.3">
      <c r="A97" s="2436">
        <v>91</v>
      </c>
      <c r="B97" s="1962" t="s">
        <v>5763</v>
      </c>
      <c r="C97" s="1963" t="s">
        <v>1344</v>
      </c>
      <c r="D97" s="1964">
        <v>64</v>
      </c>
      <c r="E97" s="1965">
        <v>2342</v>
      </c>
      <c r="F97" s="1966" t="s">
        <v>5764</v>
      </c>
      <c r="G97" s="455">
        <v>1250</v>
      </c>
      <c r="H97" s="1967" t="s">
        <v>4128</v>
      </c>
      <c r="I97" s="1968" t="s">
        <v>25</v>
      </c>
      <c r="J97" s="147"/>
      <c r="K97" s="147"/>
      <c r="L97" s="147"/>
      <c r="M97" s="147"/>
      <c r="N97" s="147"/>
      <c r="O97" s="1969"/>
      <c r="R97" s="1968" t="s">
        <v>25</v>
      </c>
      <c r="S97" s="147"/>
      <c r="T97" s="147"/>
      <c r="U97" s="147"/>
      <c r="V97" s="147"/>
      <c r="W97" s="147"/>
    </row>
    <row r="98" spans="1:23" ht="18" x14ac:dyDescent="0.3">
      <c r="A98" s="2436">
        <v>92</v>
      </c>
      <c r="B98" s="1962" t="s">
        <v>5763</v>
      </c>
      <c r="C98" s="1963" t="s">
        <v>1344</v>
      </c>
      <c r="D98" s="1964">
        <v>64</v>
      </c>
      <c r="E98" s="1965">
        <v>2343</v>
      </c>
      <c r="F98" s="1966" t="s">
        <v>5764</v>
      </c>
      <c r="G98" s="455">
        <v>1250</v>
      </c>
      <c r="H98" s="1967" t="s">
        <v>4128</v>
      </c>
      <c r="I98" s="1968" t="s">
        <v>25</v>
      </c>
      <c r="J98" s="147"/>
      <c r="K98" s="147"/>
      <c r="L98" s="147"/>
      <c r="M98" s="147"/>
      <c r="N98" s="147"/>
      <c r="O98" s="1969"/>
      <c r="R98" s="1968" t="s">
        <v>25</v>
      </c>
      <c r="S98" s="147"/>
      <c r="T98" s="147"/>
      <c r="U98" s="147"/>
      <c r="V98" s="147"/>
      <c r="W98" s="147"/>
    </row>
    <row r="99" spans="1:23" ht="18" x14ac:dyDescent="0.3">
      <c r="A99" s="2436">
        <v>93</v>
      </c>
      <c r="B99" s="1962" t="s">
        <v>5763</v>
      </c>
      <c r="C99" s="1963" t="s">
        <v>1344</v>
      </c>
      <c r="D99" s="1964">
        <v>64</v>
      </c>
      <c r="E99" s="1965">
        <v>2344</v>
      </c>
      <c r="F99" s="1966" t="s">
        <v>5764</v>
      </c>
      <c r="G99" s="455">
        <v>1250</v>
      </c>
      <c r="H99" s="1967" t="s">
        <v>4128</v>
      </c>
      <c r="I99" s="1968" t="s">
        <v>25</v>
      </c>
      <c r="J99" s="147"/>
      <c r="K99" s="147"/>
      <c r="L99" s="147"/>
      <c r="M99" s="147"/>
      <c r="N99" s="147"/>
      <c r="O99" s="1969"/>
      <c r="R99" s="1968" t="s">
        <v>25</v>
      </c>
      <c r="S99" s="147"/>
      <c r="T99" s="147"/>
      <c r="U99" s="147"/>
      <c r="V99" s="147"/>
      <c r="W99" s="147"/>
    </row>
    <row r="100" spans="1:23" ht="18" x14ac:dyDescent="0.3">
      <c r="A100" s="2436">
        <v>94</v>
      </c>
      <c r="B100" s="1962" t="s">
        <v>5763</v>
      </c>
      <c r="C100" s="1963" t="s">
        <v>1344</v>
      </c>
      <c r="D100" s="1964">
        <v>64</v>
      </c>
      <c r="E100" s="1965">
        <v>2345</v>
      </c>
      <c r="F100" s="1966" t="s">
        <v>5764</v>
      </c>
      <c r="G100" s="455">
        <v>1250</v>
      </c>
      <c r="H100" s="1967" t="s">
        <v>4128</v>
      </c>
      <c r="I100" s="1968" t="s">
        <v>25</v>
      </c>
      <c r="J100" s="147"/>
      <c r="K100" s="147"/>
      <c r="L100" s="147"/>
      <c r="M100" s="147"/>
      <c r="N100" s="147"/>
      <c r="O100" s="1969"/>
      <c r="R100" s="1968" t="s">
        <v>25</v>
      </c>
      <c r="S100" s="147"/>
      <c r="T100" s="147"/>
      <c r="U100" s="147"/>
      <c r="V100" s="147"/>
      <c r="W100" s="147"/>
    </row>
    <row r="101" spans="1:23" ht="18" x14ac:dyDescent="0.3">
      <c r="A101" s="2436">
        <v>95</v>
      </c>
      <c r="B101" s="1962" t="s">
        <v>5763</v>
      </c>
      <c r="C101" s="1963" t="s">
        <v>1344</v>
      </c>
      <c r="D101" s="1964">
        <v>64</v>
      </c>
      <c r="E101" s="1965">
        <v>2346</v>
      </c>
      <c r="F101" s="1966" t="s">
        <v>5764</v>
      </c>
      <c r="G101" s="455">
        <v>1250</v>
      </c>
      <c r="H101" s="1967" t="s">
        <v>4128</v>
      </c>
      <c r="I101" s="1968" t="s">
        <v>25</v>
      </c>
      <c r="J101" s="147"/>
      <c r="K101" s="147"/>
      <c r="L101" s="147"/>
      <c r="M101" s="147"/>
      <c r="N101" s="147"/>
      <c r="O101" s="1969"/>
      <c r="R101" s="1968" t="s">
        <v>25</v>
      </c>
      <c r="S101" s="147"/>
      <c r="T101" s="147"/>
      <c r="U101" s="147"/>
      <c r="V101" s="147"/>
      <c r="W101" s="147"/>
    </row>
    <row r="102" spans="1:23" ht="18" x14ac:dyDescent="0.3">
      <c r="A102" s="2436">
        <v>96</v>
      </c>
      <c r="B102" s="1962" t="s">
        <v>5763</v>
      </c>
      <c r="C102" s="1963" t="s">
        <v>1344</v>
      </c>
      <c r="D102" s="1964">
        <v>64</v>
      </c>
      <c r="E102" s="1965">
        <v>2347</v>
      </c>
      <c r="F102" s="1966" t="s">
        <v>5764</v>
      </c>
      <c r="G102" s="455">
        <v>1250</v>
      </c>
      <c r="H102" s="1967" t="s">
        <v>4128</v>
      </c>
      <c r="I102" s="1968" t="s">
        <v>25</v>
      </c>
      <c r="J102" s="147"/>
      <c r="K102" s="147"/>
      <c r="L102" s="147"/>
      <c r="M102" s="147"/>
      <c r="N102" s="147"/>
      <c r="O102" s="1969"/>
      <c r="R102" s="1968" t="s">
        <v>25</v>
      </c>
      <c r="S102" s="147"/>
      <c r="T102" s="147"/>
      <c r="U102" s="147"/>
      <c r="V102" s="147"/>
      <c r="W102" s="147"/>
    </row>
    <row r="103" spans="1:23" ht="18" x14ac:dyDescent="0.3">
      <c r="A103" s="2436">
        <v>97</v>
      </c>
      <c r="B103" s="1962" t="s">
        <v>5763</v>
      </c>
      <c r="C103" s="1963" t="s">
        <v>1344</v>
      </c>
      <c r="D103" s="1964">
        <v>64</v>
      </c>
      <c r="E103" s="1965">
        <v>2348</v>
      </c>
      <c r="F103" s="1966" t="s">
        <v>5764</v>
      </c>
      <c r="G103" s="455">
        <v>1250</v>
      </c>
      <c r="H103" s="1967" t="s">
        <v>4128</v>
      </c>
      <c r="I103" s="1968" t="s">
        <v>25</v>
      </c>
      <c r="J103" s="147"/>
      <c r="K103" s="147"/>
      <c r="L103" s="147"/>
      <c r="M103" s="147"/>
      <c r="N103" s="147"/>
      <c r="O103" s="1969"/>
      <c r="R103" s="1968" t="s">
        <v>25</v>
      </c>
      <c r="S103" s="147"/>
      <c r="T103" s="147"/>
      <c r="U103" s="147"/>
      <c r="V103" s="147"/>
      <c r="W103" s="147"/>
    </row>
    <row r="104" spans="1:23" ht="18" x14ac:dyDescent="0.3">
      <c r="A104" s="2436">
        <v>98</v>
      </c>
      <c r="B104" s="1962" t="s">
        <v>5763</v>
      </c>
      <c r="C104" s="1963" t="s">
        <v>1344</v>
      </c>
      <c r="D104" s="1964">
        <v>64</v>
      </c>
      <c r="E104" s="1965">
        <v>2349</v>
      </c>
      <c r="F104" s="1966" t="s">
        <v>5764</v>
      </c>
      <c r="G104" s="455">
        <v>1250</v>
      </c>
      <c r="H104" s="1967" t="s">
        <v>4128</v>
      </c>
      <c r="I104" s="1968" t="s">
        <v>25</v>
      </c>
      <c r="J104" s="147"/>
      <c r="K104" s="147"/>
      <c r="L104" s="147"/>
      <c r="M104" s="147"/>
      <c r="N104" s="147"/>
      <c r="O104" s="1969"/>
      <c r="R104" s="1968" t="s">
        <v>25</v>
      </c>
      <c r="S104" s="147"/>
      <c r="T104" s="147"/>
      <c r="U104" s="147"/>
      <c r="V104" s="147"/>
      <c r="W104" s="147"/>
    </row>
    <row r="105" spans="1:23" ht="18" x14ac:dyDescent="0.3">
      <c r="A105" s="2436">
        <v>99</v>
      </c>
      <c r="B105" s="1962" t="s">
        <v>5763</v>
      </c>
      <c r="C105" s="1963" t="s">
        <v>1344</v>
      </c>
      <c r="D105" s="1964">
        <v>64</v>
      </c>
      <c r="E105" s="1965">
        <v>2350</v>
      </c>
      <c r="F105" s="1966" t="s">
        <v>5764</v>
      </c>
      <c r="G105" s="455">
        <v>1250</v>
      </c>
      <c r="H105" s="1967" t="s">
        <v>4128</v>
      </c>
      <c r="I105" s="1968" t="s">
        <v>25</v>
      </c>
      <c r="J105" s="147"/>
      <c r="K105" s="147"/>
      <c r="L105" s="147"/>
      <c r="M105" s="147"/>
      <c r="N105" s="147"/>
      <c r="O105" s="1969"/>
      <c r="R105" s="1968" t="s">
        <v>25</v>
      </c>
      <c r="S105" s="147"/>
      <c r="T105" s="147"/>
      <c r="U105" s="147"/>
      <c r="V105" s="147"/>
      <c r="W105" s="147"/>
    </row>
    <row r="106" spans="1:23" ht="18" x14ac:dyDescent="0.3">
      <c r="A106" s="2436">
        <v>100</v>
      </c>
      <c r="B106" s="1962" t="s">
        <v>5763</v>
      </c>
      <c r="C106" s="1963" t="s">
        <v>1344</v>
      </c>
      <c r="D106" s="1964">
        <v>64</v>
      </c>
      <c r="E106" s="1965">
        <v>2351</v>
      </c>
      <c r="F106" s="1966" t="s">
        <v>5764</v>
      </c>
      <c r="G106" s="455">
        <v>1250</v>
      </c>
      <c r="H106" s="1967" t="s">
        <v>4128</v>
      </c>
      <c r="I106" s="1968" t="s">
        <v>25</v>
      </c>
      <c r="J106" s="147"/>
      <c r="K106" s="147"/>
      <c r="L106" s="147"/>
      <c r="M106" s="147"/>
      <c r="N106" s="147"/>
      <c r="O106" s="1969"/>
      <c r="R106" s="1968" t="s">
        <v>25</v>
      </c>
      <c r="S106" s="147"/>
      <c r="T106" s="147"/>
      <c r="U106" s="147"/>
      <c r="V106" s="147"/>
      <c r="W106" s="147"/>
    </row>
    <row r="107" spans="1:23" ht="18" x14ac:dyDescent="0.3">
      <c r="A107" s="2436">
        <v>101</v>
      </c>
      <c r="B107" s="1962" t="s">
        <v>5763</v>
      </c>
      <c r="C107" s="1963" t="s">
        <v>1344</v>
      </c>
      <c r="D107" s="1964">
        <v>64</v>
      </c>
      <c r="E107" s="1965">
        <v>2352</v>
      </c>
      <c r="F107" s="1966" t="s">
        <v>5764</v>
      </c>
      <c r="G107" s="455">
        <v>1250</v>
      </c>
      <c r="H107" s="1967" t="s">
        <v>4128</v>
      </c>
      <c r="I107" s="1968" t="s">
        <v>25</v>
      </c>
      <c r="J107" s="147"/>
      <c r="K107" s="147"/>
      <c r="L107" s="147"/>
      <c r="M107" s="147"/>
      <c r="N107" s="147"/>
      <c r="O107" s="1969"/>
      <c r="R107" s="1968" t="s">
        <v>25</v>
      </c>
      <c r="S107" s="147"/>
      <c r="T107" s="147"/>
      <c r="U107" s="147"/>
      <c r="V107" s="147"/>
      <c r="W107" s="147"/>
    </row>
    <row r="108" spans="1:23" ht="18" x14ac:dyDescent="0.3">
      <c r="A108" s="2436">
        <v>102</v>
      </c>
      <c r="B108" s="1962" t="s">
        <v>5763</v>
      </c>
      <c r="C108" s="1963" t="s">
        <v>1344</v>
      </c>
      <c r="D108" s="1964">
        <v>64</v>
      </c>
      <c r="E108" s="1965">
        <v>2353</v>
      </c>
      <c r="F108" s="1966" t="s">
        <v>5764</v>
      </c>
      <c r="G108" s="455">
        <v>1250</v>
      </c>
      <c r="H108" s="1967" t="s">
        <v>4128</v>
      </c>
      <c r="I108" s="1968" t="s">
        <v>25</v>
      </c>
      <c r="J108" s="147"/>
      <c r="K108" s="147"/>
      <c r="L108" s="147"/>
      <c r="M108" s="147"/>
      <c r="N108" s="147"/>
      <c r="O108" s="1969"/>
      <c r="R108" s="1968" t="s">
        <v>25</v>
      </c>
      <c r="S108" s="147"/>
      <c r="T108" s="147"/>
      <c r="U108" s="147"/>
      <c r="V108" s="147"/>
      <c r="W108" s="147"/>
    </row>
    <row r="109" spans="1:23" ht="18" x14ac:dyDescent="0.3">
      <c r="A109" s="2436">
        <v>103</v>
      </c>
      <c r="B109" s="1962" t="s">
        <v>5763</v>
      </c>
      <c r="C109" s="1963" t="s">
        <v>1344</v>
      </c>
      <c r="D109" s="1964">
        <v>64</v>
      </c>
      <c r="E109" s="1965">
        <v>2354</v>
      </c>
      <c r="F109" s="1966" t="s">
        <v>5764</v>
      </c>
      <c r="G109" s="455">
        <v>1250</v>
      </c>
      <c r="H109" s="1967" t="s">
        <v>4128</v>
      </c>
      <c r="I109" s="1968" t="s">
        <v>25</v>
      </c>
      <c r="J109" s="147"/>
      <c r="K109" s="147"/>
      <c r="L109" s="147"/>
      <c r="M109" s="147"/>
      <c r="N109" s="147"/>
      <c r="O109" s="1969"/>
      <c r="R109" s="1968" t="s">
        <v>25</v>
      </c>
      <c r="S109" s="147"/>
      <c r="T109" s="147"/>
      <c r="U109" s="147"/>
      <c r="V109" s="147"/>
      <c r="W109" s="147"/>
    </row>
    <row r="110" spans="1:23" ht="18" x14ac:dyDescent="0.3">
      <c r="A110" s="2436">
        <v>104</v>
      </c>
      <c r="B110" s="1962" t="s">
        <v>5763</v>
      </c>
      <c r="C110" s="1963" t="s">
        <v>1344</v>
      </c>
      <c r="D110" s="1964">
        <v>64</v>
      </c>
      <c r="E110" s="1965">
        <v>2355</v>
      </c>
      <c r="F110" s="1966" t="s">
        <v>5764</v>
      </c>
      <c r="G110" s="455">
        <v>1250</v>
      </c>
      <c r="H110" s="1967" t="s">
        <v>4128</v>
      </c>
      <c r="I110" s="1968" t="s">
        <v>25</v>
      </c>
      <c r="J110" s="147"/>
      <c r="K110" s="147"/>
      <c r="L110" s="147"/>
      <c r="M110" s="147"/>
      <c r="N110" s="147"/>
      <c r="O110" s="1969"/>
      <c r="R110" s="1968" t="s">
        <v>25</v>
      </c>
      <c r="S110" s="147"/>
      <c r="T110" s="147"/>
      <c r="U110" s="147"/>
      <c r="V110" s="147"/>
      <c r="W110" s="147"/>
    </row>
    <row r="111" spans="1:23" ht="18" x14ac:dyDescent="0.3">
      <c r="A111" s="2436">
        <v>105</v>
      </c>
      <c r="B111" s="1962" t="s">
        <v>5763</v>
      </c>
      <c r="C111" s="1963" t="s">
        <v>1344</v>
      </c>
      <c r="D111" s="1964">
        <v>64</v>
      </c>
      <c r="E111" s="1965">
        <v>2356</v>
      </c>
      <c r="F111" s="1966" t="s">
        <v>5764</v>
      </c>
      <c r="G111" s="455">
        <v>1250</v>
      </c>
      <c r="H111" s="1967" t="s">
        <v>4128</v>
      </c>
      <c r="I111" s="1968" t="s">
        <v>25</v>
      </c>
      <c r="J111" s="147"/>
      <c r="K111" s="147"/>
      <c r="L111" s="147"/>
      <c r="M111" s="147"/>
      <c r="N111" s="147"/>
      <c r="O111" s="1969"/>
      <c r="R111" s="1968" t="s">
        <v>25</v>
      </c>
      <c r="S111" s="147"/>
      <c r="T111" s="147"/>
      <c r="U111" s="147"/>
      <c r="V111" s="147"/>
      <c r="W111" s="147"/>
    </row>
    <row r="112" spans="1:23" ht="18" x14ac:dyDescent="0.3">
      <c r="A112" s="2436">
        <v>106</v>
      </c>
      <c r="B112" s="1962" t="s">
        <v>5763</v>
      </c>
      <c r="C112" s="1963" t="s">
        <v>1344</v>
      </c>
      <c r="D112" s="1964">
        <v>64</v>
      </c>
      <c r="E112" s="1965">
        <v>2357</v>
      </c>
      <c r="F112" s="1966" t="s">
        <v>5764</v>
      </c>
      <c r="G112" s="455">
        <v>1250</v>
      </c>
      <c r="H112" s="1967" t="s">
        <v>4128</v>
      </c>
      <c r="I112" s="1968" t="s">
        <v>25</v>
      </c>
      <c r="J112" s="147"/>
      <c r="K112" s="147"/>
      <c r="L112" s="147"/>
      <c r="M112" s="147"/>
      <c r="N112" s="147"/>
      <c r="O112" s="1969"/>
      <c r="R112" s="1968" t="s">
        <v>25</v>
      </c>
      <c r="S112" s="147"/>
      <c r="T112" s="147"/>
      <c r="U112" s="147"/>
      <c r="V112" s="147"/>
      <c r="W112" s="147"/>
    </row>
    <row r="113" spans="1:23" ht="18" x14ac:dyDescent="0.3">
      <c r="A113" s="2436">
        <v>107</v>
      </c>
      <c r="B113" s="1962" t="s">
        <v>5763</v>
      </c>
      <c r="C113" s="1963" t="s">
        <v>1344</v>
      </c>
      <c r="D113" s="1964">
        <v>64</v>
      </c>
      <c r="E113" s="1965">
        <v>2358</v>
      </c>
      <c r="F113" s="1966" t="s">
        <v>5764</v>
      </c>
      <c r="G113" s="455">
        <v>1250</v>
      </c>
      <c r="H113" s="1967" t="s">
        <v>4128</v>
      </c>
      <c r="I113" s="1968" t="s">
        <v>25</v>
      </c>
      <c r="J113" s="147"/>
      <c r="K113" s="147"/>
      <c r="L113" s="147"/>
      <c r="M113" s="147"/>
      <c r="N113" s="147"/>
      <c r="O113" s="1969"/>
      <c r="R113" s="1968" t="s">
        <v>25</v>
      </c>
      <c r="S113" s="147"/>
      <c r="T113" s="147"/>
      <c r="U113" s="147"/>
      <c r="V113" s="147"/>
      <c r="W113" s="147"/>
    </row>
    <row r="114" spans="1:23" ht="18" x14ac:dyDescent="0.3">
      <c r="A114" s="2436">
        <v>108</v>
      </c>
      <c r="B114" s="1962" t="s">
        <v>5763</v>
      </c>
      <c r="C114" s="1963" t="s">
        <v>1344</v>
      </c>
      <c r="D114" s="1964">
        <v>64</v>
      </c>
      <c r="E114" s="1965">
        <v>2359</v>
      </c>
      <c r="F114" s="1966" t="s">
        <v>5764</v>
      </c>
      <c r="G114" s="455">
        <v>1250</v>
      </c>
      <c r="H114" s="1967" t="s">
        <v>4128</v>
      </c>
      <c r="I114" s="1968" t="s">
        <v>25</v>
      </c>
      <c r="J114" s="147"/>
      <c r="K114" s="147"/>
      <c r="L114" s="147"/>
      <c r="M114" s="147"/>
      <c r="N114" s="147"/>
      <c r="O114" s="1969"/>
      <c r="R114" s="1968" t="s">
        <v>25</v>
      </c>
      <c r="S114" s="147"/>
      <c r="T114" s="147"/>
      <c r="U114" s="147"/>
      <c r="V114" s="147"/>
      <c r="W114" s="147"/>
    </row>
    <row r="115" spans="1:23" ht="18" x14ac:dyDescent="0.3">
      <c r="A115" s="2436">
        <v>109</v>
      </c>
      <c r="B115" s="1962" t="s">
        <v>5763</v>
      </c>
      <c r="C115" s="1963" t="s">
        <v>1344</v>
      </c>
      <c r="D115" s="1964">
        <v>64</v>
      </c>
      <c r="E115" s="1965">
        <v>2360</v>
      </c>
      <c r="F115" s="1966" t="s">
        <v>5764</v>
      </c>
      <c r="G115" s="455">
        <v>1250</v>
      </c>
      <c r="H115" s="1967" t="s">
        <v>4128</v>
      </c>
      <c r="I115" s="1968" t="s">
        <v>25</v>
      </c>
      <c r="J115" s="147"/>
      <c r="K115" s="147"/>
      <c r="L115" s="147"/>
      <c r="M115" s="147"/>
      <c r="N115" s="147"/>
      <c r="O115" s="1969"/>
      <c r="R115" s="1968" t="s">
        <v>25</v>
      </c>
      <c r="S115" s="147"/>
      <c r="T115" s="147"/>
      <c r="U115" s="147"/>
      <c r="V115" s="147"/>
      <c r="W115" s="147"/>
    </row>
    <row r="116" spans="1:23" ht="18" x14ac:dyDescent="0.3">
      <c r="A116" s="2436">
        <v>110</v>
      </c>
      <c r="B116" s="1962" t="s">
        <v>5763</v>
      </c>
      <c r="C116" s="1963" t="s">
        <v>1344</v>
      </c>
      <c r="D116" s="1964">
        <v>64</v>
      </c>
      <c r="E116" s="1965">
        <v>2361</v>
      </c>
      <c r="F116" s="1966" t="s">
        <v>5764</v>
      </c>
      <c r="G116" s="455">
        <v>1250</v>
      </c>
      <c r="H116" s="1967" t="s">
        <v>4128</v>
      </c>
      <c r="I116" s="1968" t="s">
        <v>25</v>
      </c>
      <c r="J116" s="147"/>
      <c r="K116" s="147"/>
      <c r="L116" s="147"/>
      <c r="M116" s="147"/>
      <c r="N116" s="147"/>
      <c r="O116" s="1969"/>
      <c r="R116" s="1968" t="s">
        <v>25</v>
      </c>
      <c r="S116" s="147"/>
      <c r="T116" s="147"/>
      <c r="U116" s="147"/>
      <c r="V116" s="147"/>
      <c r="W116" s="147"/>
    </row>
    <row r="117" spans="1:23" ht="18" x14ac:dyDescent="0.3">
      <c r="A117" s="2436">
        <v>111</v>
      </c>
      <c r="B117" s="1962" t="s">
        <v>5763</v>
      </c>
      <c r="C117" s="1963" t="s">
        <v>1344</v>
      </c>
      <c r="D117" s="1964">
        <v>64</v>
      </c>
      <c r="E117" s="1965">
        <v>2362</v>
      </c>
      <c r="F117" s="1966" t="s">
        <v>5764</v>
      </c>
      <c r="G117" s="455">
        <v>1250</v>
      </c>
      <c r="H117" s="1967" t="s">
        <v>4128</v>
      </c>
      <c r="I117" s="1968" t="s">
        <v>25</v>
      </c>
      <c r="J117" s="147"/>
      <c r="K117" s="147"/>
      <c r="L117" s="147"/>
      <c r="M117" s="147"/>
      <c r="N117" s="147"/>
      <c r="O117" s="1969"/>
      <c r="R117" s="1968" t="s">
        <v>25</v>
      </c>
      <c r="S117" s="147"/>
      <c r="T117" s="147"/>
      <c r="U117" s="147"/>
      <c r="V117" s="147"/>
      <c r="W117" s="147"/>
    </row>
    <row r="118" spans="1:23" ht="18" x14ac:dyDescent="0.3">
      <c r="A118" s="2436">
        <v>112</v>
      </c>
      <c r="B118" s="1962" t="s">
        <v>5763</v>
      </c>
      <c r="C118" s="1963" t="s">
        <v>1344</v>
      </c>
      <c r="D118" s="1964">
        <v>64</v>
      </c>
      <c r="E118" s="1965">
        <v>2363</v>
      </c>
      <c r="F118" s="1966" t="s">
        <v>5764</v>
      </c>
      <c r="G118" s="455">
        <v>1250</v>
      </c>
      <c r="H118" s="1967" t="s">
        <v>4128</v>
      </c>
      <c r="I118" s="1968" t="s">
        <v>25</v>
      </c>
      <c r="J118" s="147"/>
      <c r="K118" s="147"/>
      <c r="L118" s="147"/>
      <c r="M118" s="147"/>
      <c r="N118" s="147"/>
      <c r="O118" s="1969"/>
      <c r="R118" s="1968" t="s">
        <v>25</v>
      </c>
      <c r="S118" s="147"/>
      <c r="T118" s="147"/>
      <c r="U118" s="147"/>
      <c r="V118" s="147"/>
      <c r="W118" s="147"/>
    </row>
    <row r="119" spans="1:23" ht="18" x14ac:dyDescent="0.3">
      <c r="A119" s="2436">
        <v>113</v>
      </c>
      <c r="B119" s="1962" t="s">
        <v>5763</v>
      </c>
      <c r="C119" s="1963" t="s">
        <v>1344</v>
      </c>
      <c r="D119" s="1964">
        <v>64</v>
      </c>
      <c r="E119" s="1965">
        <v>2364</v>
      </c>
      <c r="F119" s="1966" t="s">
        <v>5764</v>
      </c>
      <c r="G119" s="455">
        <v>1250</v>
      </c>
      <c r="H119" s="1967" t="s">
        <v>4128</v>
      </c>
      <c r="I119" s="1968" t="s">
        <v>25</v>
      </c>
      <c r="J119" s="147"/>
      <c r="K119" s="147"/>
      <c r="L119" s="147"/>
      <c r="M119" s="147"/>
      <c r="N119" s="147"/>
      <c r="O119" s="1969"/>
      <c r="R119" s="1968" t="s">
        <v>25</v>
      </c>
      <c r="S119" s="147"/>
      <c r="T119" s="147"/>
      <c r="U119" s="147"/>
      <c r="V119" s="147"/>
      <c r="W119" s="147"/>
    </row>
    <row r="120" spans="1:23" ht="18" x14ac:dyDescent="0.3">
      <c r="A120" s="2436">
        <v>114</v>
      </c>
      <c r="B120" s="1962" t="s">
        <v>5763</v>
      </c>
      <c r="C120" s="1963" t="s">
        <v>1344</v>
      </c>
      <c r="D120" s="1964">
        <v>64</v>
      </c>
      <c r="E120" s="1965">
        <v>2365</v>
      </c>
      <c r="F120" s="1966" t="s">
        <v>5764</v>
      </c>
      <c r="G120" s="455">
        <v>1250</v>
      </c>
      <c r="H120" s="1967" t="s">
        <v>4128</v>
      </c>
      <c r="I120" s="1968" t="s">
        <v>25</v>
      </c>
      <c r="J120" s="147"/>
      <c r="K120" s="147"/>
      <c r="L120" s="147"/>
      <c r="M120" s="147"/>
      <c r="N120" s="147"/>
      <c r="O120" s="1969"/>
      <c r="R120" s="1968" t="s">
        <v>25</v>
      </c>
      <c r="S120" s="147"/>
      <c r="T120" s="147"/>
      <c r="U120" s="147"/>
      <c r="V120" s="147"/>
      <c r="W120" s="147"/>
    </row>
    <row r="121" spans="1:23" ht="18" x14ac:dyDescent="0.3">
      <c r="A121" s="2436">
        <v>115</v>
      </c>
      <c r="B121" s="1962" t="s">
        <v>5763</v>
      </c>
      <c r="C121" s="1963" t="s">
        <v>1344</v>
      </c>
      <c r="D121" s="1964">
        <v>64</v>
      </c>
      <c r="E121" s="1965">
        <v>2366</v>
      </c>
      <c r="F121" s="1966" t="s">
        <v>5764</v>
      </c>
      <c r="G121" s="455">
        <v>1250</v>
      </c>
      <c r="H121" s="1967" t="s">
        <v>4128</v>
      </c>
      <c r="I121" s="1968" t="s">
        <v>25</v>
      </c>
      <c r="J121" s="147"/>
      <c r="K121" s="147"/>
      <c r="L121" s="147"/>
      <c r="M121" s="147"/>
      <c r="N121" s="147"/>
      <c r="O121" s="1969"/>
      <c r="R121" s="1968" t="s">
        <v>25</v>
      </c>
      <c r="S121" s="147"/>
      <c r="T121" s="147"/>
      <c r="U121" s="147"/>
      <c r="V121" s="147"/>
      <c r="W121" s="147"/>
    </row>
    <row r="122" spans="1:23" ht="18" x14ac:dyDescent="0.3">
      <c r="A122" s="2436">
        <v>116</v>
      </c>
      <c r="B122" s="1962" t="s">
        <v>5763</v>
      </c>
      <c r="C122" s="1963" t="s">
        <v>1344</v>
      </c>
      <c r="D122" s="1964">
        <v>64</v>
      </c>
      <c r="E122" s="1965">
        <v>2367</v>
      </c>
      <c r="F122" s="1966" t="s">
        <v>5764</v>
      </c>
      <c r="G122" s="455">
        <v>1250</v>
      </c>
      <c r="H122" s="1967" t="s">
        <v>4128</v>
      </c>
      <c r="I122" s="1968" t="s">
        <v>25</v>
      </c>
      <c r="J122" s="147"/>
      <c r="K122" s="147"/>
      <c r="L122" s="147"/>
      <c r="M122" s="147"/>
      <c r="N122" s="147"/>
      <c r="O122" s="1969"/>
      <c r="R122" s="1968" t="s">
        <v>25</v>
      </c>
      <c r="S122" s="147"/>
      <c r="T122" s="147"/>
      <c r="U122" s="147"/>
      <c r="V122" s="147"/>
      <c r="W122" s="147"/>
    </row>
    <row r="123" spans="1:23" ht="18" x14ac:dyDescent="0.3">
      <c r="A123" s="2436">
        <v>117</v>
      </c>
      <c r="B123" s="1962" t="s">
        <v>5763</v>
      </c>
      <c r="C123" s="1963" t="s">
        <v>1344</v>
      </c>
      <c r="D123" s="1964">
        <v>64</v>
      </c>
      <c r="E123" s="1965">
        <v>2368</v>
      </c>
      <c r="F123" s="1966" t="s">
        <v>5764</v>
      </c>
      <c r="G123" s="455">
        <v>1250</v>
      </c>
      <c r="H123" s="1967" t="s">
        <v>4128</v>
      </c>
      <c r="I123" s="1968" t="s">
        <v>25</v>
      </c>
      <c r="J123" s="147"/>
      <c r="K123" s="147"/>
      <c r="L123" s="147"/>
      <c r="M123" s="147"/>
      <c r="N123" s="147"/>
      <c r="O123" s="1969"/>
      <c r="R123" s="1968" t="s">
        <v>25</v>
      </c>
      <c r="S123" s="147"/>
      <c r="T123" s="147"/>
      <c r="U123" s="147"/>
      <c r="V123" s="147"/>
      <c r="W123" s="147"/>
    </row>
    <row r="124" spans="1:23" ht="18" x14ac:dyDescent="0.3">
      <c r="A124" s="2436">
        <v>118</v>
      </c>
      <c r="B124" s="1962" t="s">
        <v>5763</v>
      </c>
      <c r="C124" s="1963" t="s">
        <v>1344</v>
      </c>
      <c r="D124" s="1964">
        <v>64</v>
      </c>
      <c r="E124" s="1965">
        <v>2369</v>
      </c>
      <c r="F124" s="1966" t="s">
        <v>5764</v>
      </c>
      <c r="G124" s="455">
        <v>1250</v>
      </c>
      <c r="H124" s="1967" t="s">
        <v>4128</v>
      </c>
      <c r="I124" s="1968" t="s">
        <v>25</v>
      </c>
      <c r="J124" s="147"/>
      <c r="K124" s="147"/>
      <c r="L124" s="147"/>
      <c r="M124" s="147"/>
      <c r="N124" s="147"/>
      <c r="O124" s="1969"/>
      <c r="R124" s="1968" t="s">
        <v>25</v>
      </c>
      <c r="S124" s="147"/>
      <c r="T124" s="147"/>
      <c r="U124" s="147"/>
      <c r="V124" s="147"/>
      <c r="W124" s="147"/>
    </row>
    <row r="125" spans="1:23" ht="18" x14ac:dyDescent="0.3">
      <c r="A125" s="2436">
        <v>119</v>
      </c>
      <c r="B125" s="1962" t="s">
        <v>5763</v>
      </c>
      <c r="C125" s="1963" t="s">
        <v>1344</v>
      </c>
      <c r="D125" s="1964">
        <v>64</v>
      </c>
      <c r="E125" s="1965">
        <v>2370</v>
      </c>
      <c r="F125" s="1966" t="s">
        <v>5764</v>
      </c>
      <c r="G125" s="455">
        <v>1250</v>
      </c>
      <c r="H125" s="1967" t="s">
        <v>4128</v>
      </c>
      <c r="I125" s="1968" t="s">
        <v>25</v>
      </c>
      <c r="J125" s="147"/>
      <c r="K125" s="147"/>
      <c r="L125" s="147"/>
      <c r="M125" s="147"/>
      <c r="N125" s="147"/>
      <c r="O125" s="1969"/>
      <c r="R125" s="1968" t="s">
        <v>25</v>
      </c>
      <c r="S125" s="147"/>
      <c r="T125" s="147"/>
      <c r="U125" s="147"/>
      <c r="V125" s="147"/>
      <c r="W125" s="147"/>
    </row>
    <row r="126" spans="1:23" ht="18" x14ac:dyDescent="0.3">
      <c r="A126" s="2436">
        <v>120</v>
      </c>
      <c r="B126" s="1962" t="s">
        <v>5763</v>
      </c>
      <c r="C126" s="1963" t="s">
        <v>1344</v>
      </c>
      <c r="D126" s="1964">
        <v>64</v>
      </c>
      <c r="E126" s="1965">
        <v>2371</v>
      </c>
      <c r="F126" s="1966" t="s">
        <v>5764</v>
      </c>
      <c r="G126" s="455">
        <v>1250</v>
      </c>
      <c r="H126" s="1967" t="s">
        <v>4128</v>
      </c>
      <c r="I126" s="1968" t="s">
        <v>25</v>
      </c>
      <c r="J126" s="147"/>
      <c r="K126" s="147"/>
      <c r="L126" s="147"/>
      <c r="M126" s="147"/>
      <c r="N126" s="147"/>
      <c r="O126" s="1969"/>
      <c r="R126" s="1968" t="s">
        <v>25</v>
      </c>
      <c r="S126" s="147"/>
      <c r="T126" s="147"/>
      <c r="U126" s="147"/>
      <c r="V126" s="147"/>
      <c r="W126" s="147"/>
    </row>
    <row r="127" spans="1:23" ht="18" x14ac:dyDescent="0.3">
      <c r="A127" s="2436">
        <v>121</v>
      </c>
      <c r="B127" s="1962" t="s">
        <v>5763</v>
      </c>
      <c r="C127" s="1963" t="s">
        <v>1344</v>
      </c>
      <c r="D127" s="1964">
        <v>64</v>
      </c>
      <c r="E127" s="1965">
        <v>2372</v>
      </c>
      <c r="F127" s="1966" t="s">
        <v>5764</v>
      </c>
      <c r="G127" s="455">
        <v>1250</v>
      </c>
      <c r="H127" s="1967" t="s">
        <v>4128</v>
      </c>
      <c r="I127" s="1968" t="s">
        <v>25</v>
      </c>
      <c r="J127" s="147"/>
      <c r="K127" s="147"/>
      <c r="L127" s="147"/>
      <c r="M127" s="147"/>
      <c r="N127" s="147"/>
      <c r="O127" s="1969"/>
      <c r="R127" s="1968" t="s">
        <v>25</v>
      </c>
      <c r="S127" s="147"/>
      <c r="T127" s="147"/>
      <c r="U127" s="147"/>
      <c r="V127" s="147"/>
      <c r="W127" s="147"/>
    </row>
    <row r="128" spans="1:23" ht="18" x14ac:dyDescent="0.3">
      <c r="A128" s="2436">
        <v>122</v>
      </c>
      <c r="B128" s="1962" t="s">
        <v>5763</v>
      </c>
      <c r="C128" s="1963" t="s">
        <v>1344</v>
      </c>
      <c r="D128" s="1964">
        <v>64</v>
      </c>
      <c r="E128" s="1965">
        <v>2373</v>
      </c>
      <c r="F128" s="1966" t="s">
        <v>5764</v>
      </c>
      <c r="G128" s="455">
        <v>1250</v>
      </c>
      <c r="H128" s="1967" t="s">
        <v>4128</v>
      </c>
      <c r="I128" s="1968" t="s">
        <v>25</v>
      </c>
      <c r="J128" s="147"/>
      <c r="K128" s="147"/>
      <c r="L128" s="147"/>
      <c r="M128" s="147"/>
      <c r="N128" s="147"/>
      <c r="O128" s="1969"/>
      <c r="R128" s="1968" t="s">
        <v>25</v>
      </c>
      <c r="S128" s="147"/>
      <c r="T128" s="147"/>
      <c r="U128" s="147"/>
      <c r="V128" s="147"/>
      <c r="W128" s="147"/>
    </row>
    <row r="129" spans="1:23" ht="18" x14ac:dyDescent="0.3">
      <c r="A129" s="2436">
        <v>123</v>
      </c>
      <c r="B129" s="1962" t="s">
        <v>5763</v>
      </c>
      <c r="C129" s="1963" t="s">
        <v>1344</v>
      </c>
      <c r="D129" s="1964">
        <v>64</v>
      </c>
      <c r="E129" s="1965">
        <v>2374</v>
      </c>
      <c r="F129" s="1966" t="s">
        <v>5764</v>
      </c>
      <c r="G129" s="455">
        <v>1250</v>
      </c>
      <c r="H129" s="1967" t="s">
        <v>4128</v>
      </c>
      <c r="I129" s="1968" t="s">
        <v>25</v>
      </c>
      <c r="J129" s="147"/>
      <c r="K129" s="147"/>
      <c r="L129" s="147"/>
      <c r="M129" s="147"/>
      <c r="N129" s="147"/>
      <c r="O129" s="1969"/>
      <c r="R129" s="1968" t="s">
        <v>25</v>
      </c>
      <c r="S129" s="147"/>
      <c r="T129" s="147"/>
      <c r="U129" s="147"/>
      <c r="V129" s="147"/>
      <c r="W129" s="147"/>
    </row>
    <row r="130" spans="1:23" ht="18" x14ac:dyDescent="0.3">
      <c r="A130" s="2436">
        <v>124</v>
      </c>
      <c r="B130" s="1962" t="s">
        <v>5763</v>
      </c>
      <c r="C130" s="1963" t="s">
        <v>1344</v>
      </c>
      <c r="D130" s="1964">
        <v>64</v>
      </c>
      <c r="E130" s="1965">
        <v>2375</v>
      </c>
      <c r="F130" s="1966" t="s">
        <v>5764</v>
      </c>
      <c r="G130" s="455">
        <v>1250</v>
      </c>
      <c r="H130" s="1967" t="s">
        <v>4128</v>
      </c>
      <c r="I130" s="1968" t="s">
        <v>25</v>
      </c>
      <c r="J130" s="147"/>
      <c r="K130" s="147"/>
      <c r="L130" s="147"/>
      <c r="M130" s="147"/>
      <c r="N130" s="147"/>
      <c r="O130" s="1969"/>
      <c r="R130" s="1968" t="s">
        <v>25</v>
      </c>
      <c r="S130" s="147"/>
      <c r="T130" s="147"/>
      <c r="U130" s="147"/>
      <c r="V130" s="147"/>
      <c r="W130" s="147"/>
    </row>
    <row r="131" spans="1:23" ht="18" x14ac:dyDescent="0.3">
      <c r="A131" s="2436">
        <v>125</v>
      </c>
      <c r="B131" s="1962" t="s">
        <v>5763</v>
      </c>
      <c r="C131" s="1963" t="s">
        <v>1344</v>
      </c>
      <c r="D131" s="1964">
        <v>64</v>
      </c>
      <c r="E131" s="1965">
        <v>2376</v>
      </c>
      <c r="F131" s="1966" t="s">
        <v>5764</v>
      </c>
      <c r="G131" s="455">
        <v>1250</v>
      </c>
      <c r="H131" s="1967" t="s">
        <v>4128</v>
      </c>
      <c r="I131" s="1968" t="s">
        <v>25</v>
      </c>
      <c r="J131" s="147"/>
      <c r="K131" s="147"/>
      <c r="L131" s="147"/>
      <c r="M131" s="147"/>
      <c r="N131" s="147"/>
      <c r="O131" s="1969"/>
      <c r="R131" s="1968" t="s">
        <v>25</v>
      </c>
      <c r="S131" s="147"/>
      <c r="T131" s="147"/>
      <c r="U131" s="147"/>
      <c r="V131" s="147"/>
      <c r="W131" s="147"/>
    </row>
    <row r="132" spans="1:23" ht="18" x14ac:dyDescent="0.3">
      <c r="A132" s="2436">
        <v>126</v>
      </c>
      <c r="B132" s="1962" t="s">
        <v>5763</v>
      </c>
      <c r="C132" s="1963" t="s">
        <v>1344</v>
      </c>
      <c r="D132" s="1964">
        <v>64</v>
      </c>
      <c r="E132" s="1965">
        <v>2377</v>
      </c>
      <c r="F132" s="1966" t="s">
        <v>5764</v>
      </c>
      <c r="G132" s="455">
        <v>1250</v>
      </c>
      <c r="H132" s="1967" t="s">
        <v>4128</v>
      </c>
      <c r="I132" s="1968" t="s">
        <v>25</v>
      </c>
      <c r="J132" s="147"/>
      <c r="K132" s="147"/>
      <c r="L132" s="147"/>
      <c r="M132" s="147"/>
      <c r="N132" s="147"/>
      <c r="O132" s="1969"/>
      <c r="R132" s="1968" t="s">
        <v>25</v>
      </c>
      <c r="S132" s="147"/>
      <c r="T132" s="147"/>
      <c r="U132" s="147"/>
      <c r="V132" s="147"/>
      <c r="W132" s="147"/>
    </row>
    <row r="133" spans="1:23" ht="18" x14ac:dyDescent="0.3">
      <c r="A133" s="2436">
        <v>127</v>
      </c>
      <c r="B133" s="1962" t="s">
        <v>5763</v>
      </c>
      <c r="C133" s="1963" t="s">
        <v>1344</v>
      </c>
      <c r="D133" s="1964">
        <v>64</v>
      </c>
      <c r="E133" s="1965">
        <v>2378</v>
      </c>
      <c r="F133" s="1966" t="s">
        <v>5764</v>
      </c>
      <c r="G133" s="455">
        <v>1250</v>
      </c>
      <c r="H133" s="1967" t="s">
        <v>4128</v>
      </c>
      <c r="I133" s="1968" t="s">
        <v>25</v>
      </c>
      <c r="J133" s="147"/>
      <c r="K133" s="147"/>
      <c r="L133" s="147"/>
      <c r="M133" s="147"/>
      <c r="N133" s="147"/>
      <c r="O133" s="1969"/>
      <c r="R133" s="1968" t="s">
        <v>25</v>
      </c>
      <c r="S133" s="147"/>
      <c r="T133" s="147"/>
      <c r="U133" s="147"/>
      <c r="V133" s="147"/>
      <c r="W133" s="147"/>
    </row>
    <row r="134" spans="1:23" ht="18" x14ac:dyDescent="0.3">
      <c r="A134" s="2436">
        <v>128</v>
      </c>
      <c r="B134" s="1962" t="s">
        <v>5763</v>
      </c>
      <c r="C134" s="1963" t="s">
        <v>1344</v>
      </c>
      <c r="D134" s="1964">
        <v>64</v>
      </c>
      <c r="E134" s="1965">
        <v>2379</v>
      </c>
      <c r="F134" s="1966" t="s">
        <v>5764</v>
      </c>
      <c r="G134" s="455">
        <v>1250</v>
      </c>
      <c r="H134" s="1967" t="s">
        <v>4128</v>
      </c>
      <c r="I134" s="1968" t="s">
        <v>25</v>
      </c>
      <c r="J134" s="147"/>
      <c r="K134" s="147"/>
      <c r="L134" s="147"/>
      <c r="M134" s="147"/>
      <c r="N134" s="147"/>
      <c r="O134" s="1969"/>
      <c r="R134" s="1968" t="s">
        <v>25</v>
      </c>
      <c r="S134" s="147"/>
      <c r="T134" s="147"/>
      <c r="U134" s="147"/>
      <c r="V134" s="147"/>
      <c r="W134" s="147"/>
    </row>
    <row r="135" spans="1:23" ht="18" x14ac:dyDescent="0.3">
      <c r="A135" s="2436">
        <v>129</v>
      </c>
      <c r="B135" s="1962" t="s">
        <v>5763</v>
      </c>
      <c r="C135" s="1963" t="s">
        <v>1344</v>
      </c>
      <c r="D135" s="1964">
        <v>64</v>
      </c>
      <c r="E135" s="1965">
        <v>2380</v>
      </c>
      <c r="F135" s="1966" t="s">
        <v>5764</v>
      </c>
      <c r="G135" s="455">
        <v>1250</v>
      </c>
      <c r="H135" s="1967" t="s">
        <v>4128</v>
      </c>
      <c r="I135" s="1968" t="s">
        <v>25</v>
      </c>
      <c r="J135" s="147"/>
      <c r="K135" s="147"/>
      <c r="L135" s="147"/>
      <c r="M135" s="147"/>
      <c r="N135" s="147"/>
      <c r="O135" s="1969"/>
      <c r="R135" s="1968" t="s">
        <v>25</v>
      </c>
      <c r="S135" s="147"/>
      <c r="T135" s="147"/>
      <c r="U135" s="147"/>
      <c r="V135" s="147"/>
      <c r="W135" s="147"/>
    </row>
    <row r="136" spans="1:23" ht="18" x14ac:dyDescent="0.3">
      <c r="A136" s="2436">
        <v>130</v>
      </c>
      <c r="B136" s="1962" t="s">
        <v>5763</v>
      </c>
      <c r="C136" s="1963" t="s">
        <v>1344</v>
      </c>
      <c r="D136" s="1964">
        <v>64</v>
      </c>
      <c r="E136" s="1965">
        <v>2381</v>
      </c>
      <c r="F136" s="1966" t="s">
        <v>5764</v>
      </c>
      <c r="G136" s="455">
        <v>1250</v>
      </c>
      <c r="H136" s="1967" t="s">
        <v>4128</v>
      </c>
      <c r="I136" s="1968" t="s">
        <v>25</v>
      </c>
      <c r="J136" s="147"/>
      <c r="K136" s="147"/>
      <c r="L136" s="147"/>
      <c r="M136" s="147"/>
      <c r="N136" s="147"/>
      <c r="O136" s="1969"/>
      <c r="R136" s="1968" t="s">
        <v>25</v>
      </c>
      <c r="S136" s="147"/>
      <c r="T136" s="147"/>
      <c r="U136" s="147"/>
      <c r="V136" s="147"/>
      <c r="W136" s="147"/>
    </row>
    <row r="137" spans="1:23" ht="18" x14ac:dyDescent="0.3">
      <c r="A137" s="2436">
        <v>131</v>
      </c>
      <c r="B137" s="1962" t="s">
        <v>5763</v>
      </c>
      <c r="C137" s="1963" t="s">
        <v>1344</v>
      </c>
      <c r="D137" s="1964">
        <v>64</v>
      </c>
      <c r="E137" s="1965">
        <v>2382</v>
      </c>
      <c r="F137" s="1966" t="s">
        <v>5764</v>
      </c>
      <c r="G137" s="455">
        <v>1250</v>
      </c>
      <c r="H137" s="1967" t="s">
        <v>4128</v>
      </c>
      <c r="I137" s="1968" t="s">
        <v>25</v>
      </c>
      <c r="J137" s="147"/>
      <c r="K137" s="147"/>
      <c r="L137" s="147"/>
      <c r="M137" s="147"/>
      <c r="N137" s="147"/>
      <c r="O137" s="1969"/>
      <c r="R137" s="1968" t="s">
        <v>25</v>
      </c>
      <c r="S137" s="147"/>
      <c r="T137" s="147"/>
      <c r="U137" s="147"/>
      <c r="V137" s="147"/>
      <c r="W137" s="147"/>
    </row>
    <row r="138" spans="1:23" ht="18" x14ac:dyDescent="0.3">
      <c r="A138" s="2436">
        <v>132</v>
      </c>
      <c r="B138" s="1962" t="s">
        <v>5763</v>
      </c>
      <c r="C138" s="1963" t="s">
        <v>1344</v>
      </c>
      <c r="D138" s="1964">
        <v>64</v>
      </c>
      <c r="E138" s="1965">
        <v>2383</v>
      </c>
      <c r="F138" s="1966" t="s">
        <v>5764</v>
      </c>
      <c r="G138" s="455">
        <v>1250</v>
      </c>
      <c r="H138" s="1967" t="s">
        <v>4128</v>
      </c>
      <c r="I138" s="1968" t="s">
        <v>25</v>
      </c>
      <c r="J138" s="147"/>
      <c r="K138" s="147"/>
      <c r="L138" s="147"/>
      <c r="M138" s="147"/>
      <c r="N138" s="147"/>
      <c r="O138" s="1969"/>
      <c r="R138" s="1968" t="s">
        <v>25</v>
      </c>
      <c r="S138" s="147"/>
      <c r="T138" s="147"/>
      <c r="U138" s="147"/>
      <c r="V138" s="147"/>
      <c r="W138" s="147"/>
    </row>
    <row r="139" spans="1:23" ht="18" x14ac:dyDescent="0.3">
      <c r="A139" s="2436">
        <v>133</v>
      </c>
      <c r="B139" s="1962" t="s">
        <v>5763</v>
      </c>
      <c r="C139" s="1963" t="s">
        <v>1344</v>
      </c>
      <c r="D139" s="1964">
        <v>64</v>
      </c>
      <c r="E139" s="1965">
        <v>2384</v>
      </c>
      <c r="F139" s="1966" t="s">
        <v>5764</v>
      </c>
      <c r="G139" s="455">
        <v>1250</v>
      </c>
      <c r="H139" s="1967" t="s">
        <v>4128</v>
      </c>
      <c r="I139" s="1968" t="s">
        <v>25</v>
      </c>
      <c r="J139" s="147"/>
      <c r="K139" s="147"/>
      <c r="L139" s="147"/>
      <c r="M139" s="147"/>
      <c r="N139" s="147"/>
      <c r="O139" s="1969"/>
      <c r="R139" s="1968" t="s">
        <v>25</v>
      </c>
      <c r="S139" s="147"/>
      <c r="T139" s="147"/>
      <c r="U139" s="147"/>
      <c r="V139" s="147"/>
      <c r="W139" s="147"/>
    </row>
    <row r="140" spans="1:23" ht="18" x14ac:dyDescent="0.3">
      <c r="A140" s="2436">
        <v>134</v>
      </c>
      <c r="B140" s="1962" t="s">
        <v>5763</v>
      </c>
      <c r="C140" s="1963" t="s">
        <v>1344</v>
      </c>
      <c r="D140" s="1964">
        <v>64</v>
      </c>
      <c r="E140" s="1965">
        <v>2385</v>
      </c>
      <c r="F140" s="1966" t="s">
        <v>5764</v>
      </c>
      <c r="G140" s="455">
        <v>1250</v>
      </c>
      <c r="H140" s="1967" t="s">
        <v>4128</v>
      </c>
      <c r="I140" s="1968" t="s">
        <v>25</v>
      </c>
      <c r="J140" s="147"/>
      <c r="K140" s="147"/>
      <c r="L140" s="147"/>
      <c r="M140" s="147"/>
      <c r="N140" s="147"/>
      <c r="O140" s="1969"/>
      <c r="R140" s="1968" t="s">
        <v>25</v>
      </c>
      <c r="S140" s="147"/>
      <c r="T140" s="147"/>
      <c r="U140" s="147"/>
      <c r="V140" s="147"/>
      <c r="W140" s="147"/>
    </row>
    <row r="141" spans="1:23" ht="18" x14ac:dyDescent="0.3">
      <c r="A141" s="2436">
        <v>135</v>
      </c>
      <c r="B141" s="1962" t="s">
        <v>5763</v>
      </c>
      <c r="C141" s="1963" t="s">
        <v>1344</v>
      </c>
      <c r="D141" s="1964">
        <v>64</v>
      </c>
      <c r="E141" s="1965">
        <v>2386</v>
      </c>
      <c r="F141" s="1966" t="s">
        <v>5764</v>
      </c>
      <c r="G141" s="455">
        <v>1250</v>
      </c>
      <c r="H141" s="1967" t="s">
        <v>4128</v>
      </c>
      <c r="I141" s="1968" t="s">
        <v>25</v>
      </c>
      <c r="J141" s="147"/>
      <c r="K141" s="147"/>
      <c r="L141" s="147"/>
      <c r="M141" s="147"/>
      <c r="N141" s="147"/>
      <c r="O141" s="1969"/>
      <c r="R141" s="1968" t="s">
        <v>25</v>
      </c>
      <c r="S141" s="147"/>
      <c r="T141" s="147"/>
      <c r="U141" s="147"/>
      <c r="V141" s="147"/>
      <c r="W141" s="147"/>
    </row>
    <row r="142" spans="1:23" ht="18" x14ac:dyDescent="0.3">
      <c r="A142" s="2436">
        <v>136</v>
      </c>
      <c r="B142" s="1962" t="s">
        <v>5763</v>
      </c>
      <c r="C142" s="1963" t="s">
        <v>1344</v>
      </c>
      <c r="D142" s="1964">
        <v>64</v>
      </c>
      <c r="E142" s="1965">
        <v>2387</v>
      </c>
      <c r="F142" s="1966" t="s">
        <v>5764</v>
      </c>
      <c r="G142" s="455">
        <v>1250</v>
      </c>
      <c r="H142" s="1967" t="s">
        <v>4128</v>
      </c>
      <c r="I142" s="1968" t="s">
        <v>25</v>
      </c>
      <c r="J142" s="147"/>
      <c r="K142" s="147"/>
      <c r="L142" s="147"/>
      <c r="M142" s="147"/>
      <c r="N142" s="147"/>
      <c r="O142" s="1969"/>
      <c r="R142" s="1968" t="s">
        <v>25</v>
      </c>
      <c r="S142" s="147"/>
      <c r="T142" s="147"/>
      <c r="U142" s="147"/>
      <c r="V142" s="147"/>
      <c r="W142" s="147"/>
    </row>
    <row r="143" spans="1:23" ht="18" x14ac:dyDescent="0.3">
      <c r="A143" s="2436">
        <v>137</v>
      </c>
      <c r="B143" s="1962" t="s">
        <v>5763</v>
      </c>
      <c r="C143" s="1963" t="s">
        <v>1344</v>
      </c>
      <c r="D143" s="1964">
        <v>64</v>
      </c>
      <c r="E143" s="1965">
        <v>2388</v>
      </c>
      <c r="F143" s="1966" t="s">
        <v>5764</v>
      </c>
      <c r="G143" s="455">
        <v>1250</v>
      </c>
      <c r="H143" s="1967" t="s">
        <v>4128</v>
      </c>
      <c r="I143" s="1968" t="s">
        <v>25</v>
      </c>
      <c r="J143" s="147"/>
      <c r="K143" s="147"/>
      <c r="L143" s="147"/>
      <c r="M143" s="147"/>
      <c r="N143" s="147"/>
      <c r="O143" s="1969"/>
      <c r="R143" s="1968" t="s">
        <v>25</v>
      </c>
      <c r="S143" s="147"/>
      <c r="T143" s="147"/>
      <c r="U143" s="147"/>
      <c r="V143" s="147"/>
      <c r="W143" s="147"/>
    </row>
    <row r="144" spans="1:23" ht="18" x14ac:dyDescent="0.3">
      <c r="A144" s="2436">
        <v>138</v>
      </c>
      <c r="B144" s="1962" t="s">
        <v>5763</v>
      </c>
      <c r="C144" s="1963" t="s">
        <v>1344</v>
      </c>
      <c r="D144" s="1964">
        <v>64</v>
      </c>
      <c r="E144" s="1965">
        <v>2389</v>
      </c>
      <c r="F144" s="1966" t="s">
        <v>5764</v>
      </c>
      <c r="G144" s="455">
        <v>1250</v>
      </c>
      <c r="H144" s="1967" t="s">
        <v>4128</v>
      </c>
      <c r="I144" s="1968" t="s">
        <v>25</v>
      </c>
      <c r="J144" s="147"/>
      <c r="K144" s="147"/>
      <c r="L144" s="147"/>
      <c r="M144" s="147"/>
      <c r="N144" s="147"/>
      <c r="O144" s="1969"/>
      <c r="R144" s="1968" t="s">
        <v>25</v>
      </c>
      <c r="S144" s="147"/>
      <c r="T144" s="147"/>
      <c r="U144" s="147"/>
      <c r="V144" s="147"/>
      <c r="W144" s="147"/>
    </row>
    <row r="145" spans="1:23" ht="18" x14ac:dyDescent="0.3">
      <c r="A145" s="2436">
        <v>139</v>
      </c>
      <c r="B145" s="1962" t="s">
        <v>5763</v>
      </c>
      <c r="C145" s="1963" t="s">
        <v>1344</v>
      </c>
      <c r="D145" s="1964">
        <v>64</v>
      </c>
      <c r="E145" s="1965">
        <v>2390</v>
      </c>
      <c r="F145" s="1966" t="s">
        <v>5764</v>
      </c>
      <c r="G145" s="455">
        <v>1250</v>
      </c>
      <c r="H145" s="1967" t="s">
        <v>4128</v>
      </c>
      <c r="I145" s="1968" t="s">
        <v>25</v>
      </c>
      <c r="J145" s="147"/>
      <c r="K145" s="147"/>
      <c r="L145" s="147"/>
      <c r="M145" s="147"/>
      <c r="N145" s="147"/>
      <c r="O145" s="1969"/>
      <c r="R145" s="1968" t="s">
        <v>25</v>
      </c>
      <c r="S145" s="147"/>
      <c r="T145" s="147"/>
      <c r="U145" s="147"/>
      <c r="V145" s="147"/>
      <c r="W145" s="147"/>
    </row>
    <row r="146" spans="1:23" ht="18" x14ac:dyDescent="0.3">
      <c r="A146" s="2436">
        <v>140</v>
      </c>
      <c r="B146" s="1962" t="s">
        <v>5763</v>
      </c>
      <c r="C146" s="1963" t="s">
        <v>1344</v>
      </c>
      <c r="D146" s="1964">
        <v>64</v>
      </c>
      <c r="E146" s="1965">
        <v>2391</v>
      </c>
      <c r="F146" s="1966" t="s">
        <v>5764</v>
      </c>
      <c r="G146" s="455">
        <v>1250</v>
      </c>
      <c r="H146" s="1967" t="s">
        <v>4128</v>
      </c>
      <c r="I146" s="1968" t="s">
        <v>25</v>
      </c>
      <c r="J146" s="147"/>
      <c r="K146" s="147"/>
      <c r="L146" s="147"/>
      <c r="M146" s="147"/>
      <c r="N146" s="147"/>
      <c r="O146" s="1969"/>
      <c r="R146" s="1968" t="s">
        <v>25</v>
      </c>
      <c r="S146" s="147"/>
      <c r="T146" s="147"/>
      <c r="U146" s="147"/>
      <c r="V146" s="147"/>
      <c r="W146" s="147"/>
    </row>
    <row r="147" spans="1:23" ht="18" x14ac:dyDescent="0.3">
      <c r="A147" s="2436">
        <v>141</v>
      </c>
      <c r="B147" s="1962" t="s">
        <v>5763</v>
      </c>
      <c r="C147" s="1963" t="s">
        <v>1344</v>
      </c>
      <c r="D147" s="1964">
        <v>64</v>
      </c>
      <c r="E147" s="1965">
        <v>2392</v>
      </c>
      <c r="F147" s="1966" t="s">
        <v>5764</v>
      </c>
      <c r="G147" s="455">
        <v>1250</v>
      </c>
      <c r="H147" s="1967" t="s">
        <v>4128</v>
      </c>
      <c r="I147" s="1968" t="s">
        <v>25</v>
      </c>
      <c r="J147" s="147"/>
      <c r="K147" s="147"/>
      <c r="L147" s="147"/>
      <c r="M147" s="147"/>
      <c r="N147" s="147"/>
      <c r="O147" s="1969"/>
      <c r="R147" s="1968" t="s">
        <v>25</v>
      </c>
      <c r="S147" s="147"/>
      <c r="T147" s="147"/>
      <c r="U147" s="147"/>
      <c r="V147" s="147"/>
      <c r="W147" s="147"/>
    </row>
    <row r="148" spans="1:23" ht="18" x14ac:dyDescent="0.3">
      <c r="A148" s="2436">
        <v>142</v>
      </c>
      <c r="B148" s="1962" t="s">
        <v>5763</v>
      </c>
      <c r="C148" s="1963" t="s">
        <v>1344</v>
      </c>
      <c r="D148" s="1964">
        <v>64</v>
      </c>
      <c r="E148" s="1965">
        <v>2393</v>
      </c>
      <c r="F148" s="1966" t="s">
        <v>5764</v>
      </c>
      <c r="G148" s="455">
        <v>1250</v>
      </c>
      <c r="H148" s="1967" t="s">
        <v>4128</v>
      </c>
      <c r="I148" s="1968" t="s">
        <v>25</v>
      </c>
      <c r="J148" s="147"/>
      <c r="K148" s="147"/>
      <c r="L148" s="147"/>
      <c r="M148" s="147"/>
      <c r="N148" s="147"/>
      <c r="O148" s="1969"/>
      <c r="R148" s="1968" t="s">
        <v>25</v>
      </c>
      <c r="S148" s="147"/>
      <c r="T148" s="147"/>
      <c r="U148" s="147"/>
      <c r="V148" s="147"/>
      <c r="W148" s="147"/>
    </row>
    <row r="149" spans="1:23" ht="18" x14ac:dyDescent="0.3">
      <c r="A149" s="2436">
        <v>143</v>
      </c>
      <c r="B149" s="1962" t="s">
        <v>5763</v>
      </c>
      <c r="C149" s="1963" t="s">
        <v>1344</v>
      </c>
      <c r="D149" s="1964">
        <v>64</v>
      </c>
      <c r="E149" s="1965">
        <v>2394</v>
      </c>
      <c r="F149" s="1966" t="s">
        <v>5764</v>
      </c>
      <c r="G149" s="455">
        <v>1250</v>
      </c>
      <c r="H149" s="1967" t="s">
        <v>4128</v>
      </c>
      <c r="I149" s="1968" t="s">
        <v>25</v>
      </c>
      <c r="J149" s="147"/>
      <c r="K149" s="147"/>
      <c r="L149" s="147"/>
      <c r="M149" s="147"/>
      <c r="N149" s="147"/>
      <c r="O149" s="1969"/>
      <c r="R149" s="1968" t="s">
        <v>25</v>
      </c>
      <c r="S149" s="147"/>
      <c r="T149" s="147"/>
      <c r="U149" s="147"/>
      <c r="V149" s="147"/>
      <c r="W149" s="147"/>
    </row>
    <row r="150" spans="1:23" ht="18" x14ac:dyDescent="0.3">
      <c r="A150" s="2436">
        <v>144</v>
      </c>
      <c r="B150" s="1962" t="s">
        <v>5763</v>
      </c>
      <c r="C150" s="1963" t="s">
        <v>1344</v>
      </c>
      <c r="D150" s="1964">
        <v>64</v>
      </c>
      <c r="E150" s="1965">
        <v>2395</v>
      </c>
      <c r="F150" s="1966" t="s">
        <v>5764</v>
      </c>
      <c r="G150" s="455">
        <v>1250</v>
      </c>
      <c r="H150" s="1967" t="s">
        <v>4128</v>
      </c>
      <c r="I150" s="1968" t="s">
        <v>25</v>
      </c>
      <c r="J150" s="147"/>
      <c r="K150" s="147"/>
      <c r="L150" s="147"/>
      <c r="M150" s="147"/>
      <c r="N150" s="147"/>
      <c r="O150" s="1969"/>
      <c r="R150" s="1968" t="s">
        <v>25</v>
      </c>
      <c r="S150" s="147"/>
      <c r="T150" s="147"/>
      <c r="U150" s="147"/>
      <c r="V150" s="147"/>
      <c r="W150" s="147"/>
    </row>
    <row r="151" spans="1:23" ht="18" x14ac:dyDescent="0.3">
      <c r="A151" s="2436">
        <v>145</v>
      </c>
      <c r="B151" s="1962" t="s">
        <v>5763</v>
      </c>
      <c r="C151" s="1963" t="s">
        <v>1344</v>
      </c>
      <c r="D151" s="1964">
        <v>64</v>
      </c>
      <c r="E151" s="1965">
        <v>2396</v>
      </c>
      <c r="F151" s="1966" t="s">
        <v>5764</v>
      </c>
      <c r="G151" s="455">
        <v>1250</v>
      </c>
      <c r="H151" s="1967" t="s">
        <v>4128</v>
      </c>
      <c r="I151" s="1968" t="s">
        <v>25</v>
      </c>
      <c r="J151" s="147"/>
      <c r="K151" s="147"/>
      <c r="L151" s="147"/>
      <c r="M151" s="147"/>
      <c r="N151" s="147"/>
      <c r="O151" s="1969"/>
      <c r="R151" s="1968" t="s">
        <v>25</v>
      </c>
      <c r="S151" s="147"/>
      <c r="T151" s="147"/>
      <c r="U151" s="147"/>
      <c r="V151" s="147"/>
      <c r="W151" s="147"/>
    </row>
    <row r="152" spans="1:23" ht="18" x14ac:dyDescent="0.3">
      <c r="A152" s="2436">
        <v>146</v>
      </c>
      <c r="B152" s="1962" t="s">
        <v>5763</v>
      </c>
      <c r="C152" s="1963" t="s">
        <v>1344</v>
      </c>
      <c r="D152" s="1964">
        <v>64</v>
      </c>
      <c r="E152" s="1965">
        <v>2397</v>
      </c>
      <c r="F152" s="1966" t="s">
        <v>5764</v>
      </c>
      <c r="G152" s="455">
        <v>1250</v>
      </c>
      <c r="H152" s="1967" t="s">
        <v>4128</v>
      </c>
      <c r="I152" s="1968" t="s">
        <v>25</v>
      </c>
      <c r="J152" s="147"/>
      <c r="K152" s="147"/>
      <c r="L152" s="147"/>
      <c r="M152" s="147"/>
      <c r="N152" s="147"/>
      <c r="O152" s="1969"/>
      <c r="R152" s="1968" t="s">
        <v>25</v>
      </c>
      <c r="S152" s="147"/>
      <c r="T152" s="147"/>
      <c r="U152" s="147"/>
      <c r="V152" s="147"/>
      <c r="W152" s="147"/>
    </row>
    <row r="153" spans="1:23" ht="18" x14ac:dyDescent="0.3">
      <c r="A153" s="2436">
        <v>147</v>
      </c>
      <c r="B153" s="1962" t="s">
        <v>5763</v>
      </c>
      <c r="C153" s="1963" t="s">
        <v>1344</v>
      </c>
      <c r="D153" s="1964">
        <v>64</v>
      </c>
      <c r="E153" s="1965">
        <v>2398</v>
      </c>
      <c r="F153" s="1966" t="s">
        <v>5764</v>
      </c>
      <c r="G153" s="455">
        <v>1250</v>
      </c>
      <c r="H153" s="1967" t="s">
        <v>4128</v>
      </c>
      <c r="I153" s="1968" t="s">
        <v>25</v>
      </c>
      <c r="J153" s="147"/>
      <c r="K153" s="147"/>
      <c r="L153" s="147"/>
      <c r="M153" s="147"/>
      <c r="N153" s="147"/>
      <c r="O153" s="1969"/>
      <c r="R153" s="1968" t="s">
        <v>25</v>
      </c>
      <c r="S153" s="147"/>
      <c r="T153" s="147"/>
      <c r="U153" s="147"/>
      <c r="V153" s="147"/>
      <c r="W153" s="147"/>
    </row>
    <row r="154" spans="1:23" ht="18" x14ac:dyDescent="0.3">
      <c r="A154" s="2436">
        <v>148</v>
      </c>
      <c r="B154" s="1962" t="s">
        <v>5763</v>
      </c>
      <c r="C154" s="1963" t="s">
        <v>1344</v>
      </c>
      <c r="D154" s="1964">
        <v>64</v>
      </c>
      <c r="E154" s="1965">
        <v>2399</v>
      </c>
      <c r="F154" s="1966" t="s">
        <v>5764</v>
      </c>
      <c r="G154" s="455">
        <v>1250</v>
      </c>
      <c r="H154" s="1967" t="s">
        <v>4128</v>
      </c>
      <c r="I154" s="1968" t="s">
        <v>25</v>
      </c>
      <c r="J154" s="147"/>
      <c r="K154" s="147"/>
      <c r="L154" s="147"/>
      <c r="M154" s="147"/>
      <c r="N154" s="147"/>
      <c r="O154" s="1969"/>
      <c r="R154" s="1968" t="s">
        <v>25</v>
      </c>
      <c r="S154" s="147"/>
      <c r="T154" s="147"/>
      <c r="U154" s="147"/>
      <c r="V154" s="147"/>
      <c r="W154" s="147"/>
    </row>
    <row r="155" spans="1:23" ht="18" x14ac:dyDescent="0.3">
      <c r="A155" s="2436">
        <v>149</v>
      </c>
      <c r="B155" s="1962" t="s">
        <v>5763</v>
      </c>
      <c r="C155" s="1963" t="s">
        <v>1344</v>
      </c>
      <c r="D155" s="1964">
        <v>64</v>
      </c>
      <c r="E155" s="1965">
        <v>2400</v>
      </c>
      <c r="F155" s="1966" t="s">
        <v>5764</v>
      </c>
      <c r="G155" s="455">
        <v>1250</v>
      </c>
      <c r="H155" s="1967" t="s">
        <v>4128</v>
      </c>
      <c r="I155" s="1968" t="s">
        <v>25</v>
      </c>
      <c r="J155" s="147"/>
      <c r="K155" s="147"/>
      <c r="L155" s="147"/>
      <c r="M155" s="147"/>
      <c r="N155" s="147"/>
      <c r="O155" s="1969"/>
      <c r="R155" s="1968" t="s">
        <v>25</v>
      </c>
      <c r="S155" s="147"/>
      <c r="T155" s="147"/>
      <c r="U155" s="147"/>
      <c r="V155" s="147"/>
      <c r="W155" s="147"/>
    </row>
    <row r="156" spans="1:23" ht="18" x14ac:dyDescent="0.3">
      <c r="A156" s="2436">
        <v>150</v>
      </c>
      <c r="B156" s="1962" t="s">
        <v>5763</v>
      </c>
      <c r="C156" s="1963" t="s">
        <v>1344</v>
      </c>
      <c r="D156" s="1964">
        <v>64</v>
      </c>
      <c r="E156" s="1965">
        <v>2401</v>
      </c>
      <c r="F156" s="1966" t="s">
        <v>5764</v>
      </c>
      <c r="G156" s="455">
        <v>1250</v>
      </c>
      <c r="H156" s="1967" t="s">
        <v>4128</v>
      </c>
      <c r="I156" s="1968" t="s">
        <v>25</v>
      </c>
      <c r="J156" s="147"/>
      <c r="K156" s="147"/>
      <c r="L156" s="147"/>
      <c r="M156" s="147"/>
      <c r="N156" s="147"/>
      <c r="O156" s="1969"/>
      <c r="R156" s="1968" t="s">
        <v>25</v>
      </c>
      <c r="S156" s="147"/>
      <c r="T156" s="147"/>
      <c r="U156" s="147"/>
      <c r="V156" s="147"/>
      <c r="W156" s="147"/>
    </row>
    <row r="157" spans="1:23" ht="18" x14ac:dyDescent="0.3">
      <c r="A157" s="2436">
        <v>151</v>
      </c>
      <c r="B157" s="1962" t="s">
        <v>5765</v>
      </c>
      <c r="C157" s="1963" t="s">
        <v>1344</v>
      </c>
      <c r="D157" s="1964">
        <v>64</v>
      </c>
      <c r="E157" s="1965">
        <v>2402</v>
      </c>
      <c r="F157" s="1966" t="s">
        <v>5764</v>
      </c>
      <c r="G157" s="455">
        <v>1400</v>
      </c>
      <c r="H157" s="1967" t="s">
        <v>4128</v>
      </c>
      <c r="I157" s="1968" t="s">
        <v>25</v>
      </c>
      <c r="J157" s="147"/>
      <c r="K157" s="147"/>
      <c r="L157" s="147"/>
      <c r="M157" s="147"/>
      <c r="N157" s="147"/>
      <c r="O157" s="1969"/>
      <c r="R157" s="1968" t="s">
        <v>25</v>
      </c>
      <c r="S157" s="147"/>
      <c r="T157" s="147"/>
      <c r="U157" s="147"/>
      <c r="V157" s="147"/>
      <c r="W157" s="147"/>
    </row>
    <row r="158" spans="1:23" ht="18" x14ac:dyDescent="0.3">
      <c r="A158" s="2436">
        <v>152</v>
      </c>
      <c r="B158" s="1962" t="s">
        <v>5765</v>
      </c>
      <c r="C158" s="1963" t="s">
        <v>1344</v>
      </c>
      <c r="D158" s="1964">
        <v>64</v>
      </c>
      <c r="E158" s="1965">
        <v>2403</v>
      </c>
      <c r="F158" s="1966" t="s">
        <v>5764</v>
      </c>
      <c r="G158" s="455">
        <v>1400</v>
      </c>
      <c r="H158" s="1967" t="s">
        <v>4128</v>
      </c>
      <c r="I158" s="1968" t="s">
        <v>25</v>
      </c>
      <c r="J158" s="147"/>
      <c r="K158" s="147"/>
      <c r="L158" s="147"/>
      <c r="M158" s="147"/>
      <c r="N158" s="147"/>
      <c r="O158" s="1969"/>
      <c r="R158" s="1968" t="s">
        <v>25</v>
      </c>
      <c r="S158" s="147"/>
      <c r="T158" s="147"/>
      <c r="U158" s="147"/>
      <c r="V158" s="147"/>
      <c r="W158" s="147"/>
    </row>
    <row r="159" spans="1:23" ht="18" x14ac:dyDescent="0.3">
      <c r="A159" s="2436">
        <v>153</v>
      </c>
      <c r="B159" s="1962" t="s">
        <v>5765</v>
      </c>
      <c r="C159" s="1963" t="s">
        <v>1344</v>
      </c>
      <c r="D159" s="1964">
        <v>64</v>
      </c>
      <c r="E159" s="1965">
        <v>2404</v>
      </c>
      <c r="F159" s="1966" t="s">
        <v>5764</v>
      </c>
      <c r="G159" s="455">
        <v>1400</v>
      </c>
      <c r="H159" s="1967" t="s">
        <v>4128</v>
      </c>
      <c r="I159" s="1968" t="s">
        <v>25</v>
      </c>
      <c r="J159" s="147"/>
      <c r="K159" s="147"/>
      <c r="L159" s="147"/>
      <c r="M159" s="147"/>
      <c r="N159" s="147"/>
      <c r="O159" s="1969"/>
      <c r="R159" s="1968" t="s">
        <v>25</v>
      </c>
      <c r="S159" s="147"/>
      <c r="T159" s="147"/>
      <c r="U159" s="147"/>
      <c r="V159" s="147"/>
      <c r="W159" s="147"/>
    </row>
    <row r="160" spans="1:23" ht="18" x14ac:dyDescent="0.3">
      <c r="A160" s="2436">
        <v>154</v>
      </c>
      <c r="B160" s="1962" t="s">
        <v>5765</v>
      </c>
      <c r="C160" s="1963" t="s">
        <v>1344</v>
      </c>
      <c r="D160" s="1964">
        <v>64</v>
      </c>
      <c r="E160" s="1965">
        <v>2405</v>
      </c>
      <c r="F160" s="1966" t="s">
        <v>5764</v>
      </c>
      <c r="G160" s="455">
        <v>1400</v>
      </c>
      <c r="H160" s="1967" t="s">
        <v>4128</v>
      </c>
      <c r="I160" s="1968" t="s">
        <v>25</v>
      </c>
      <c r="J160" s="147"/>
      <c r="K160" s="147"/>
      <c r="L160" s="147"/>
      <c r="M160" s="147"/>
      <c r="N160" s="147"/>
      <c r="O160" s="1969"/>
      <c r="R160" s="1968" t="s">
        <v>25</v>
      </c>
      <c r="S160" s="147"/>
      <c r="T160" s="147"/>
      <c r="U160" s="147"/>
      <c r="V160" s="147"/>
      <c r="W160" s="147"/>
    </row>
    <row r="161" spans="1:23" ht="18" x14ac:dyDescent="0.3">
      <c r="A161" s="2436">
        <v>155</v>
      </c>
      <c r="B161" s="1962" t="s">
        <v>5765</v>
      </c>
      <c r="C161" s="1963" t="s">
        <v>1344</v>
      </c>
      <c r="D161" s="1964">
        <v>64</v>
      </c>
      <c r="E161" s="1965">
        <v>2406</v>
      </c>
      <c r="F161" s="1966" t="s">
        <v>5764</v>
      </c>
      <c r="G161" s="455">
        <v>1400</v>
      </c>
      <c r="H161" s="1967" t="s">
        <v>4128</v>
      </c>
      <c r="I161" s="1968" t="s">
        <v>25</v>
      </c>
      <c r="J161" s="147"/>
      <c r="K161" s="147"/>
      <c r="L161" s="147"/>
      <c r="M161" s="147"/>
      <c r="N161" s="147"/>
      <c r="O161" s="1969"/>
      <c r="R161" s="1968" t="s">
        <v>25</v>
      </c>
      <c r="S161" s="147"/>
      <c r="T161" s="147"/>
      <c r="U161" s="147"/>
      <c r="V161" s="147"/>
      <c r="W161" s="147"/>
    </row>
    <row r="162" spans="1:23" ht="18" x14ac:dyDescent="0.3">
      <c r="A162" s="2436">
        <v>156</v>
      </c>
      <c r="B162" s="1962" t="s">
        <v>5765</v>
      </c>
      <c r="C162" s="1963" t="s">
        <v>1344</v>
      </c>
      <c r="D162" s="1964">
        <v>64</v>
      </c>
      <c r="E162" s="1965">
        <v>2407</v>
      </c>
      <c r="F162" s="1966" t="s">
        <v>5764</v>
      </c>
      <c r="G162" s="455">
        <v>1400</v>
      </c>
      <c r="H162" s="1967" t="s">
        <v>4128</v>
      </c>
      <c r="I162" s="1968" t="s">
        <v>25</v>
      </c>
      <c r="J162" s="147"/>
      <c r="K162" s="147"/>
      <c r="L162" s="147"/>
      <c r="M162" s="147"/>
      <c r="N162" s="147"/>
      <c r="O162" s="1969"/>
      <c r="R162" s="1968" t="s">
        <v>25</v>
      </c>
      <c r="S162" s="147"/>
      <c r="T162" s="147"/>
      <c r="U162" s="147"/>
      <c r="V162" s="147"/>
      <c r="W162" s="147"/>
    </row>
    <row r="163" spans="1:23" ht="18" x14ac:dyDescent="0.3">
      <c r="A163" s="2436">
        <v>157</v>
      </c>
      <c r="B163" s="1962" t="s">
        <v>5765</v>
      </c>
      <c r="C163" s="1963" t="s">
        <v>1344</v>
      </c>
      <c r="D163" s="1964">
        <v>64</v>
      </c>
      <c r="E163" s="1965">
        <v>2408</v>
      </c>
      <c r="F163" s="1966" t="s">
        <v>5764</v>
      </c>
      <c r="G163" s="455">
        <v>1400</v>
      </c>
      <c r="H163" s="1967" t="s">
        <v>4128</v>
      </c>
      <c r="I163" s="1968" t="s">
        <v>25</v>
      </c>
      <c r="J163" s="147"/>
      <c r="K163" s="147"/>
      <c r="L163" s="147"/>
      <c r="M163" s="147"/>
      <c r="N163" s="147"/>
      <c r="O163" s="1969"/>
      <c r="R163" s="1968" t="s">
        <v>25</v>
      </c>
      <c r="S163" s="147"/>
      <c r="T163" s="147"/>
      <c r="U163" s="147"/>
      <c r="V163" s="147"/>
      <c r="W163" s="147"/>
    </row>
    <row r="164" spans="1:23" ht="18" x14ac:dyDescent="0.3">
      <c r="A164" s="2436">
        <v>158</v>
      </c>
      <c r="B164" s="1962" t="s">
        <v>5765</v>
      </c>
      <c r="C164" s="1963" t="s">
        <v>1344</v>
      </c>
      <c r="D164" s="1964">
        <v>64</v>
      </c>
      <c r="E164" s="1965">
        <v>2409</v>
      </c>
      <c r="F164" s="1966" t="s">
        <v>5764</v>
      </c>
      <c r="G164" s="455">
        <v>1400</v>
      </c>
      <c r="H164" s="1967" t="s">
        <v>4128</v>
      </c>
      <c r="I164" s="1968" t="s">
        <v>25</v>
      </c>
      <c r="J164" s="147"/>
      <c r="K164" s="147"/>
      <c r="L164" s="147"/>
      <c r="M164" s="147"/>
      <c r="N164" s="147"/>
      <c r="O164" s="1969"/>
      <c r="R164" s="1968" t="s">
        <v>25</v>
      </c>
      <c r="S164" s="147"/>
      <c r="T164" s="147"/>
      <c r="U164" s="147"/>
      <c r="V164" s="147"/>
      <c r="W164" s="147"/>
    </row>
    <row r="165" spans="1:23" ht="18" x14ac:dyDescent="0.3">
      <c r="A165" s="2436">
        <v>159</v>
      </c>
      <c r="B165" s="1962" t="s">
        <v>5765</v>
      </c>
      <c r="C165" s="1963" t="s">
        <v>1344</v>
      </c>
      <c r="D165" s="1964">
        <v>64</v>
      </c>
      <c r="E165" s="1965">
        <v>2410</v>
      </c>
      <c r="F165" s="1966" t="s">
        <v>5764</v>
      </c>
      <c r="G165" s="455">
        <v>1400</v>
      </c>
      <c r="H165" s="1967" t="s">
        <v>4128</v>
      </c>
      <c r="I165" s="1968" t="s">
        <v>25</v>
      </c>
      <c r="J165" s="147"/>
      <c r="K165" s="147"/>
      <c r="L165" s="147"/>
      <c r="M165" s="147"/>
      <c r="N165" s="147"/>
      <c r="O165" s="1969"/>
      <c r="R165" s="1968" t="s">
        <v>25</v>
      </c>
      <c r="S165" s="147"/>
      <c r="T165" s="147"/>
      <c r="U165" s="147"/>
      <c r="V165" s="147"/>
      <c r="W165" s="147"/>
    </row>
    <row r="166" spans="1:23" ht="18" x14ac:dyDescent="0.3">
      <c r="A166" s="2436">
        <v>160</v>
      </c>
      <c r="B166" s="1962" t="s">
        <v>5765</v>
      </c>
      <c r="C166" s="1963" t="s">
        <v>1344</v>
      </c>
      <c r="D166" s="1964">
        <v>64</v>
      </c>
      <c r="E166" s="1965">
        <v>2411</v>
      </c>
      <c r="F166" s="1966" t="s">
        <v>5764</v>
      </c>
      <c r="G166" s="455">
        <v>1400</v>
      </c>
      <c r="H166" s="1967" t="s">
        <v>4128</v>
      </c>
      <c r="I166" s="1968" t="s">
        <v>25</v>
      </c>
      <c r="J166" s="147"/>
      <c r="K166" s="147"/>
      <c r="L166" s="147"/>
      <c r="M166" s="147"/>
      <c r="N166" s="147"/>
      <c r="O166" s="1969"/>
      <c r="R166" s="1968" t="s">
        <v>25</v>
      </c>
      <c r="S166" s="147"/>
      <c r="T166" s="147"/>
      <c r="U166" s="147"/>
      <c r="V166" s="147"/>
      <c r="W166" s="147"/>
    </row>
    <row r="167" spans="1:23" ht="18" x14ac:dyDescent="0.3">
      <c r="A167" s="2436">
        <v>161</v>
      </c>
      <c r="B167" s="1962" t="s">
        <v>5765</v>
      </c>
      <c r="C167" s="1963" t="s">
        <v>1344</v>
      </c>
      <c r="D167" s="1964">
        <v>64</v>
      </c>
      <c r="E167" s="1965">
        <v>2412</v>
      </c>
      <c r="F167" s="1966" t="s">
        <v>5764</v>
      </c>
      <c r="G167" s="455">
        <v>1400</v>
      </c>
      <c r="H167" s="1967" t="s">
        <v>4128</v>
      </c>
      <c r="I167" s="1968" t="s">
        <v>25</v>
      </c>
      <c r="J167" s="147"/>
      <c r="K167" s="147"/>
      <c r="L167" s="147"/>
      <c r="M167" s="147"/>
      <c r="N167" s="147"/>
      <c r="O167" s="1969"/>
      <c r="R167" s="1968" t="s">
        <v>25</v>
      </c>
      <c r="S167" s="147"/>
      <c r="T167" s="147"/>
      <c r="U167" s="147"/>
      <c r="V167" s="147"/>
      <c r="W167" s="147"/>
    </row>
    <row r="168" spans="1:23" ht="18" x14ac:dyDescent="0.3">
      <c r="A168" s="2436">
        <v>162</v>
      </c>
      <c r="B168" s="1962" t="s">
        <v>5765</v>
      </c>
      <c r="C168" s="1963" t="s">
        <v>1344</v>
      </c>
      <c r="D168" s="1964">
        <v>64</v>
      </c>
      <c r="E168" s="1965">
        <v>2413</v>
      </c>
      <c r="F168" s="1966" t="s">
        <v>5764</v>
      </c>
      <c r="G168" s="455">
        <v>1400</v>
      </c>
      <c r="H168" s="1967" t="s">
        <v>4128</v>
      </c>
      <c r="I168" s="1968" t="s">
        <v>25</v>
      </c>
      <c r="J168" s="147"/>
      <c r="K168" s="147"/>
      <c r="L168" s="147"/>
      <c r="M168" s="147"/>
      <c r="N168" s="147"/>
      <c r="O168" s="1969"/>
      <c r="R168" s="1968" t="s">
        <v>25</v>
      </c>
      <c r="S168" s="147"/>
      <c r="T168" s="147"/>
      <c r="U168" s="147"/>
      <c r="V168" s="147"/>
      <c r="W168" s="147"/>
    </row>
    <row r="169" spans="1:23" ht="18" x14ac:dyDescent="0.3">
      <c r="A169" s="2436">
        <v>163</v>
      </c>
      <c r="B169" s="1962" t="s">
        <v>5765</v>
      </c>
      <c r="C169" s="1963" t="s">
        <v>1344</v>
      </c>
      <c r="D169" s="1964">
        <v>64</v>
      </c>
      <c r="E169" s="1965">
        <v>2414</v>
      </c>
      <c r="F169" s="1966" t="s">
        <v>5764</v>
      </c>
      <c r="G169" s="455">
        <v>1400</v>
      </c>
      <c r="H169" s="1967" t="s">
        <v>4128</v>
      </c>
      <c r="I169" s="1968" t="s">
        <v>25</v>
      </c>
      <c r="J169" s="147"/>
      <c r="K169" s="147"/>
      <c r="L169" s="147"/>
      <c r="M169" s="147"/>
      <c r="N169" s="147"/>
      <c r="O169" s="1969"/>
      <c r="R169" s="1968" t="s">
        <v>25</v>
      </c>
      <c r="S169" s="147"/>
      <c r="T169" s="147"/>
      <c r="U169" s="147"/>
      <c r="V169" s="147"/>
      <c r="W169" s="147"/>
    </row>
    <row r="170" spans="1:23" ht="18" x14ac:dyDescent="0.3">
      <c r="A170" s="2436">
        <v>164</v>
      </c>
      <c r="B170" s="1962" t="s">
        <v>5765</v>
      </c>
      <c r="C170" s="1963" t="s">
        <v>1344</v>
      </c>
      <c r="D170" s="1964">
        <v>64</v>
      </c>
      <c r="E170" s="1965">
        <v>2415</v>
      </c>
      <c r="F170" s="1966" t="s">
        <v>5764</v>
      </c>
      <c r="G170" s="455">
        <v>1400</v>
      </c>
      <c r="H170" s="1967" t="s">
        <v>4128</v>
      </c>
      <c r="I170" s="1968" t="s">
        <v>25</v>
      </c>
      <c r="J170" s="147"/>
      <c r="K170" s="147"/>
      <c r="L170" s="147"/>
      <c r="M170" s="147"/>
      <c r="N170" s="147"/>
      <c r="O170" s="1969"/>
      <c r="R170" s="1968" t="s">
        <v>25</v>
      </c>
      <c r="S170" s="147"/>
      <c r="T170" s="147"/>
      <c r="U170" s="147"/>
      <c r="V170" s="147"/>
      <c r="W170" s="147"/>
    </row>
    <row r="171" spans="1:23" ht="18" x14ac:dyDescent="0.3">
      <c r="A171" s="2436">
        <v>165</v>
      </c>
      <c r="B171" s="1962" t="s">
        <v>5765</v>
      </c>
      <c r="C171" s="1963" t="s">
        <v>1344</v>
      </c>
      <c r="D171" s="1964">
        <v>64</v>
      </c>
      <c r="E171" s="1965">
        <v>2416</v>
      </c>
      <c r="F171" s="1966" t="s">
        <v>5764</v>
      </c>
      <c r="G171" s="455">
        <v>1400</v>
      </c>
      <c r="H171" s="1967" t="s">
        <v>4128</v>
      </c>
      <c r="I171" s="1968" t="s">
        <v>25</v>
      </c>
      <c r="J171" s="147"/>
      <c r="K171" s="147"/>
      <c r="L171" s="147"/>
      <c r="M171" s="147"/>
      <c r="N171" s="147"/>
      <c r="O171" s="1969"/>
      <c r="R171" s="1968" t="s">
        <v>25</v>
      </c>
      <c r="S171" s="147"/>
      <c r="T171" s="147"/>
      <c r="U171" s="147"/>
      <c r="V171" s="147"/>
      <c r="W171" s="147"/>
    </row>
    <row r="172" spans="1:23" ht="18" x14ac:dyDescent="0.3">
      <c r="A172" s="2436">
        <v>166</v>
      </c>
      <c r="B172" s="1962" t="s">
        <v>5765</v>
      </c>
      <c r="C172" s="1963" t="s">
        <v>1344</v>
      </c>
      <c r="D172" s="1964">
        <v>64</v>
      </c>
      <c r="E172" s="1965">
        <v>2417</v>
      </c>
      <c r="F172" s="1966" t="s">
        <v>5764</v>
      </c>
      <c r="G172" s="455">
        <v>1400</v>
      </c>
      <c r="H172" s="1967" t="s">
        <v>4128</v>
      </c>
      <c r="I172" s="1968" t="s">
        <v>25</v>
      </c>
      <c r="J172" s="147"/>
      <c r="K172" s="147"/>
      <c r="L172" s="147"/>
      <c r="M172" s="147"/>
      <c r="N172" s="147"/>
      <c r="O172" s="1969"/>
      <c r="R172" s="1968" t="s">
        <v>25</v>
      </c>
      <c r="S172" s="147"/>
      <c r="T172" s="147"/>
      <c r="U172" s="147"/>
      <c r="V172" s="147"/>
      <c r="W172" s="147"/>
    </row>
    <row r="173" spans="1:23" ht="18" x14ac:dyDescent="0.3">
      <c r="A173" s="2436">
        <v>167</v>
      </c>
      <c r="B173" s="1962" t="s">
        <v>5765</v>
      </c>
      <c r="C173" s="1963" t="s">
        <v>1344</v>
      </c>
      <c r="D173" s="1964">
        <v>64</v>
      </c>
      <c r="E173" s="1965">
        <v>2418</v>
      </c>
      <c r="F173" s="1966" t="s">
        <v>5764</v>
      </c>
      <c r="G173" s="455">
        <v>1400</v>
      </c>
      <c r="H173" s="1967" t="s">
        <v>4128</v>
      </c>
      <c r="I173" s="1968" t="s">
        <v>25</v>
      </c>
      <c r="J173" s="147"/>
      <c r="K173" s="147"/>
      <c r="L173" s="147"/>
      <c r="M173" s="147"/>
      <c r="N173" s="147"/>
      <c r="O173" s="1969"/>
      <c r="R173" s="1968" t="s">
        <v>25</v>
      </c>
      <c r="S173" s="147"/>
      <c r="T173" s="147"/>
      <c r="U173" s="147"/>
      <c r="V173" s="147"/>
      <c r="W173" s="147"/>
    </row>
    <row r="174" spans="1:23" ht="18" x14ac:dyDescent="0.3">
      <c r="A174" s="2436">
        <v>168</v>
      </c>
      <c r="B174" s="1962" t="s">
        <v>5765</v>
      </c>
      <c r="C174" s="1963" t="s">
        <v>1344</v>
      </c>
      <c r="D174" s="1964">
        <v>64</v>
      </c>
      <c r="E174" s="1965">
        <v>2419</v>
      </c>
      <c r="F174" s="1966" t="s">
        <v>5764</v>
      </c>
      <c r="G174" s="455">
        <v>1400</v>
      </c>
      <c r="H174" s="1967" t="s">
        <v>4128</v>
      </c>
      <c r="I174" s="1968" t="s">
        <v>25</v>
      </c>
      <c r="J174" s="147"/>
      <c r="K174" s="147"/>
      <c r="L174" s="147"/>
      <c r="M174" s="147"/>
      <c r="N174" s="147"/>
      <c r="O174" s="1969"/>
      <c r="R174" s="1968" t="s">
        <v>25</v>
      </c>
      <c r="S174" s="147"/>
      <c r="T174" s="147"/>
      <c r="U174" s="147"/>
      <c r="V174" s="147"/>
      <c r="W174" s="147"/>
    </row>
    <row r="175" spans="1:23" ht="18" x14ac:dyDescent="0.3">
      <c r="A175" s="2436">
        <v>169</v>
      </c>
      <c r="B175" s="1962" t="s">
        <v>5765</v>
      </c>
      <c r="C175" s="1963" t="s">
        <v>1344</v>
      </c>
      <c r="D175" s="1964">
        <v>64</v>
      </c>
      <c r="E175" s="1965">
        <v>2420</v>
      </c>
      <c r="F175" s="1966" t="s">
        <v>5764</v>
      </c>
      <c r="G175" s="455">
        <v>1400</v>
      </c>
      <c r="H175" s="1967" t="s">
        <v>4128</v>
      </c>
      <c r="I175" s="1968" t="s">
        <v>25</v>
      </c>
      <c r="J175" s="147"/>
      <c r="K175" s="147"/>
      <c r="L175" s="147"/>
      <c r="M175" s="147"/>
      <c r="N175" s="147"/>
      <c r="O175" s="1969"/>
      <c r="R175" s="1968" t="s">
        <v>25</v>
      </c>
      <c r="S175" s="147"/>
      <c r="T175" s="147"/>
      <c r="U175" s="147"/>
      <c r="V175" s="147"/>
      <c r="W175" s="147"/>
    </row>
    <row r="176" spans="1:23" ht="18" x14ac:dyDescent="0.3">
      <c r="A176" s="2436">
        <v>170</v>
      </c>
      <c r="B176" s="1962" t="s">
        <v>5765</v>
      </c>
      <c r="C176" s="1963" t="s">
        <v>1344</v>
      </c>
      <c r="D176" s="1964">
        <v>64</v>
      </c>
      <c r="E176" s="1965">
        <v>2421</v>
      </c>
      <c r="F176" s="1966" t="s">
        <v>5764</v>
      </c>
      <c r="G176" s="455">
        <v>1400</v>
      </c>
      <c r="H176" s="1967" t="s">
        <v>4128</v>
      </c>
      <c r="I176" s="1968" t="s">
        <v>25</v>
      </c>
      <c r="J176" s="147"/>
      <c r="K176" s="147"/>
      <c r="L176" s="147"/>
      <c r="M176" s="147"/>
      <c r="N176" s="147"/>
      <c r="O176" s="1969"/>
      <c r="R176" s="1968" t="s">
        <v>25</v>
      </c>
      <c r="S176" s="147"/>
      <c r="T176" s="147"/>
      <c r="U176" s="147"/>
      <c r="V176" s="147"/>
      <c r="W176" s="147"/>
    </row>
    <row r="177" spans="1:23" ht="18" x14ac:dyDescent="0.3">
      <c r="A177" s="2436">
        <v>171</v>
      </c>
      <c r="B177" s="1962" t="s">
        <v>5765</v>
      </c>
      <c r="C177" s="1963" t="s">
        <v>1344</v>
      </c>
      <c r="D177" s="1964">
        <v>64</v>
      </c>
      <c r="E177" s="1965">
        <v>2422</v>
      </c>
      <c r="F177" s="1966" t="s">
        <v>5764</v>
      </c>
      <c r="G177" s="455">
        <v>1400</v>
      </c>
      <c r="H177" s="1967" t="s">
        <v>4128</v>
      </c>
      <c r="I177" s="1968" t="s">
        <v>25</v>
      </c>
      <c r="J177" s="147"/>
      <c r="K177" s="147"/>
      <c r="L177" s="147"/>
      <c r="M177" s="147"/>
      <c r="N177" s="147"/>
      <c r="O177" s="1969"/>
      <c r="R177" s="1968" t="s">
        <v>25</v>
      </c>
      <c r="S177" s="147"/>
      <c r="T177" s="147"/>
      <c r="U177" s="147"/>
      <c r="V177" s="147"/>
      <c r="W177" s="147"/>
    </row>
    <row r="178" spans="1:23" ht="18" x14ac:dyDescent="0.3">
      <c r="A178" s="2436">
        <v>172</v>
      </c>
      <c r="B178" s="1962" t="s">
        <v>5765</v>
      </c>
      <c r="C178" s="1963" t="s">
        <v>1344</v>
      </c>
      <c r="D178" s="1964">
        <v>64</v>
      </c>
      <c r="E178" s="1965">
        <v>2423</v>
      </c>
      <c r="F178" s="1966" t="s">
        <v>5764</v>
      </c>
      <c r="G178" s="455">
        <v>1400</v>
      </c>
      <c r="H178" s="1967" t="s">
        <v>4128</v>
      </c>
      <c r="I178" s="1968" t="s">
        <v>25</v>
      </c>
      <c r="J178" s="147"/>
      <c r="K178" s="147"/>
      <c r="L178" s="147"/>
      <c r="M178" s="147"/>
      <c r="N178" s="147"/>
      <c r="O178" s="1969"/>
      <c r="R178" s="1968" t="s">
        <v>25</v>
      </c>
      <c r="S178" s="147"/>
      <c r="T178" s="147"/>
      <c r="U178" s="147"/>
      <c r="V178" s="147"/>
      <c r="W178" s="147"/>
    </row>
    <row r="179" spans="1:23" ht="18" x14ac:dyDescent="0.3">
      <c r="A179" s="2436">
        <v>173</v>
      </c>
      <c r="B179" s="1962" t="s">
        <v>5765</v>
      </c>
      <c r="C179" s="1963" t="s">
        <v>1344</v>
      </c>
      <c r="D179" s="1964">
        <v>64</v>
      </c>
      <c r="E179" s="1965">
        <v>2424</v>
      </c>
      <c r="F179" s="1966" t="s">
        <v>5764</v>
      </c>
      <c r="G179" s="455">
        <v>1400</v>
      </c>
      <c r="H179" s="1967" t="s">
        <v>4128</v>
      </c>
      <c r="I179" s="1968" t="s">
        <v>25</v>
      </c>
      <c r="J179" s="147"/>
      <c r="K179" s="147"/>
      <c r="L179" s="147"/>
      <c r="M179" s="147"/>
      <c r="N179" s="147"/>
      <c r="O179" s="1969"/>
      <c r="R179" s="1968" t="s">
        <v>25</v>
      </c>
      <c r="S179" s="147"/>
      <c r="T179" s="147"/>
      <c r="U179" s="147"/>
      <c r="V179" s="147"/>
      <c r="W179" s="147"/>
    </row>
    <row r="180" spans="1:23" ht="18" x14ac:dyDescent="0.3">
      <c r="A180" s="2436">
        <v>174</v>
      </c>
      <c r="B180" s="1962" t="s">
        <v>5765</v>
      </c>
      <c r="C180" s="1963" t="s">
        <v>1344</v>
      </c>
      <c r="D180" s="1964">
        <v>64</v>
      </c>
      <c r="E180" s="1965">
        <v>2425</v>
      </c>
      <c r="F180" s="1966" t="s">
        <v>5764</v>
      </c>
      <c r="G180" s="455">
        <v>1400</v>
      </c>
      <c r="H180" s="1967" t="s">
        <v>4128</v>
      </c>
      <c r="I180" s="1968" t="s">
        <v>25</v>
      </c>
      <c r="J180" s="147"/>
      <c r="K180" s="147"/>
      <c r="L180" s="147"/>
      <c r="M180" s="147"/>
      <c r="N180" s="147"/>
      <c r="O180" s="1969"/>
      <c r="R180" s="1968" t="s">
        <v>25</v>
      </c>
      <c r="S180" s="147"/>
      <c r="T180" s="147"/>
      <c r="U180" s="147"/>
      <c r="V180" s="147"/>
      <c r="W180" s="147"/>
    </row>
    <row r="181" spans="1:23" ht="18" x14ac:dyDescent="0.3">
      <c r="A181" s="2436">
        <v>175</v>
      </c>
      <c r="B181" s="1962" t="s">
        <v>5765</v>
      </c>
      <c r="C181" s="1963" t="s">
        <v>1344</v>
      </c>
      <c r="D181" s="1964">
        <v>64</v>
      </c>
      <c r="E181" s="1965">
        <v>2426</v>
      </c>
      <c r="F181" s="1966" t="s">
        <v>5764</v>
      </c>
      <c r="G181" s="455">
        <v>1400</v>
      </c>
      <c r="H181" s="1967" t="s">
        <v>4128</v>
      </c>
      <c r="I181" s="1968" t="s">
        <v>25</v>
      </c>
      <c r="J181" s="147"/>
      <c r="K181" s="147"/>
      <c r="L181" s="147"/>
      <c r="M181" s="147"/>
      <c r="N181" s="147"/>
      <c r="O181" s="1969"/>
      <c r="R181" s="1968" t="s">
        <v>25</v>
      </c>
      <c r="S181" s="147"/>
      <c r="T181" s="147"/>
      <c r="U181" s="147"/>
      <c r="V181" s="147"/>
      <c r="W181" s="147"/>
    </row>
    <row r="182" spans="1:23" ht="18" x14ac:dyDescent="0.3">
      <c r="A182" s="2436">
        <v>176</v>
      </c>
      <c r="B182" s="1962" t="s">
        <v>5765</v>
      </c>
      <c r="C182" s="1963" t="s">
        <v>1344</v>
      </c>
      <c r="D182" s="1964">
        <v>64</v>
      </c>
      <c r="E182" s="1965">
        <v>2427</v>
      </c>
      <c r="F182" s="1966" t="s">
        <v>5764</v>
      </c>
      <c r="G182" s="455">
        <v>1400</v>
      </c>
      <c r="H182" s="1967" t="s">
        <v>4128</v>
      </c>
      <c r="I182" s="1968" t="s">
        <v>25</v>
      </c>
      <c r="J182" s="147"/>
      <c r="K182" s="147"/>
      <c r="L182" s="147"/>
      <c r="M182" s="147"/>
      <c r="N182" s="147"/>
      <c r="O182" s="1969"/>
      <c r="R182" s="1968" t="s">
        <v>25</v>
      </c>
      <c r="S182" s="147"/>
      <c r="T182" s="147"/>
      <c r="U182" s="147"/>
      <c r="V182" s="147"/>
      <c r="W182" s="147"/>
    </row>
    <row r="183" spans="1:23" ht="18" x14ac:dyDescent="0.3">
      <c r="A183" s="2436">
        <v>177</v>
      </c>
      <c r="B183" s="1962" t="s">
        <v>5765</v>
      </c>
      <c r="C183" s="1963" t="s">
        <v>1344</v>
      </c>
      <c r="D183" s="1964">
        <v>64</v>
      </c>
      <c r="E183" s="1965">
        <v>2428</v>
      </c>
      <c r="F183" s="1966" t="s">
        <v>5764</v>
      </c>
      <c r="G183" s="455">
        <v>1400</v>
      </c>
      <c r="H183" s="1967" t="s">
        <v>4128</v>
      </c>
      <c r="I183" s="1968" t="s">
        <v>25</v>
      </c>
      <c r="J183" s="147"/>
      <c r="K183" s="147"/>
      <c r="L183" s="147"/>
      <c r="M183" s="147"/>
      <c r="N183" s="147"/>
      <c r="O183" s="1969"/>
      <c r="R183" s="1968" t="s">
        <v>25</v>
      </c>
      <c r="S183" s="147"/>
      <c r="T183" s="147"/>
      <c r="U183" s="147"/>
      <c r="V183" s="147"/>
      <c r="W183" s="147"/>
    </row>
    <row r="184" spans="1:23" ht="18" x14ac:dyDescent="0.3">
      <c r="A184" s="2436">
        <v>178</v>
      </c>
      <c r="B184" s="1962" t="s">
        <v>5765</v>
      </c>
      <c r="C184" s="1963" t="s">
        <v>1344</v>
      </c>
      <c r="D184" s="1964">
        <v>64</v>
      </c>
      <c r="E184" s="1965">
        <v>2429</v>
      </c>
      <c r="F184" s="1966" t="s">
        <v>5764</v>
      </c>
      <c r="G184" s="455">
        <v>1400</v>
      </c>
      <c r="H184" s="1967" t="s">
        <v>4128</v>
      </c>
      <c r="I184" s="1968" t="s">
        <v>25</v>
      </c>
      <c r="J184" s="147"/>
      <c r="K184" s="147"/>
      <c r="L184" s="147"/>
      <c r="M184" s="147"/>
      <c r="N184" s="147"/>
      <c r="O184" s="1969"/>
      <c r="R184" s="1968" t="s">
        <v>25</v>
      </c>
      <c r="S184" s="147"/>
      <c r="T184" s="147"/>
      <c r="U184" s="147"/>
      <c r="V184" s="147"/>
      <c r="W184" s="147"/>
    </row>
    <row r="185" spans="1:23" ht="18" x14ac:dyDescent="0.3">
      <c r="A185" s="2436">
        <v>179</v>
      </c>
      <c r="B185" s="1962" t="s">
        <v>5765</v>
      </c>
      <c r="C185" s="1963" t="s">
        <v>1344</v>
      </c>
      <c r="D185" s="1964">
        <v>64</v>
      </c>
      <c r="E185" s="1965">
        <v>2430</v>
      </c>
      <c r="F185" s="1966" t="s">
        <v>5764</v>
      </c>
      <c r="G185" s="455">
        <v>1400</v>
      </c>
      <c r="H185" s="1967" t="s">
        <v>4128</v>
      </c>
      <c r="I185" s="1968" t="s">
        <v>25</v>
      </c>
      <c r="J185" s="147"/>
      <c r="K185" s="147"/>
      <c r="L185" s="147"/>
      <c r="M185" s="147"/>
      <c r="N185" s="147"/>
      <c r="O185" s="1969"/>
      <c r="R185" s="1968" t="s">
        <v>25</v>
      </c>
      <c r="S185" s="147"/>
      <c r="T185" s="147"/>
      <c r="U185" s="147"/>
      <c r="V185" s="147"/>
      <c r="W185" s="147"/>
    </row>
    <row r="186" spans="1:23" ht="18" x14ac:dyDescent="0.3">
      <c r="A186" s="2436">
        <v>180</v>
      </c>
      <c r="B186" s="1962" t="s">
        <v>5765</v>
      </c>
      <c r="C186" s="1963" t="s">
        <v>1344</v>
      </c>
      <c r="D186" s="1964">
        <v>64</v>
      </c>
      <c r="E186" s="1965">
        <v>2431</v>
      </c>
      <c r="F186" s="1966" t="s">
        <v>5764</v>
      </c>
      <c r="G186" s="455">
        <v>1400</v>
      </c>
      <c r="H186" s="1967" t="s">
        <v>4128</v>
      </c>
      <c r="I186" s="1968" t="s">
        <v>25</v>
      </c>
      <c r="J186" s="147"/>
      <c r="K186" s="147"/>
      <c r="L186" s="147"/>
      <c r="M186" s="147"/>
      <c r="N186" s="147"/>
      <c r="O186" s="1969"/>
      <c r="R186" s="1968" t="s">
        <v>25</v>
      </c>
      <c r="S186" s="147"/>
      <c r="T186" s="147"/>
      <c r="U186" s="147"/>
      <c r="V186" s="147"/>
      <c r="W186" s="147"/>
    </row>
    <row r="187" spans="1:23" ht="18" x14ac:dyDescent="0.3">
      <c r="A187" s="2436">
        <v>181</v>
      </c>
      <c r="B187" s="1962" t="s">
        <v>5765</v>
      </c>
      <c r="C187" s="1963" t="s">
        <v>1344</v>
      </c>
      <c r="D187" s="1964">
        <v>64</v>
      </c>
      <c r="E187" s="1965">
        <v>2432</v>
      </c>
      <c r="F187" s="1966" t="s">
        <v>5764</v>
      </c>
      <c r="G187" s="455">
        <v>1400</v>
      </c>
      <c r="H187" s="1967" t="s">
        <v>4128</v>
      </c>
      <c r="I187" s="1968" t="s">
        <v>25</v>
      </c>
      <c r="J187" s="147"/>
      <c r="K187" s="147"/>
      <c r="L187" s="147"/>
      <c r="M187" s="147"/>
      <c r="N187" s="147"/>
      <c r="O187" s="1969"/>
      <c r="R187" s="1968" t="s">
        <v>25</v>
      </c>
      <c r="S187" s="147"/>
      <c r="T187" s="147"/>
      <c r="U187" s="147"/>
      <c r="V187" s="147"/>
      <c r="W187" s="147"/>
    </row>
    <row r="188" spans="1:23" ht="18" x14ac:dyDescent="0.3">
      <c r="A188" s="2436">
        <v>182</v>
      </c>
      <c r="B188" s="1962" t="s">
        <v>5765</v>
      </c>
      <c r="C188" s="1963" t="s">
        <v>1344</v>
      </c>
      <c r="D188" s="1964">
        <v>64</v>
      </c>
      <c r="E188" s="1965">
        <v>2433</v>
      </c>
      <c r="F188" s="1966" t="s">
        <v>5764</v>
      </c>
      <c r="G188" s="455">
        <v>1400</v>
      </c>
      <c r="H188" s="1967" t="s">
        <v>4128</v>
      </c>
      <c r="I188" s="1968" t="s">
        <v>25</v>
      </c>
      <c r="J188" s="147"/>
      <c r="K188" s="147"/>
      <c r="L188" s="147"/>
      <c r="M188" s="147"/>
      <c r="N188" s="147"/>
      <c r="O188" s="1969"/>
      <c r="R188" s="1968" t="s">
        <v>25</v>
      </c>
      <c r="S188" s="147"/>
      <c r="T188" s="147"/>
      <c r="U188" s="147"/>
      <c r="V188" s="147"/>
      <c r="W188" s="147"/>
    </row>
    <row r="189" spans="1:23" ht="18" x14ac:dyDescent="0.3">
      <c r="A189" s="2436">
        <v>183</v>
      </c>
      <c r="B189" s="1962" t="s">
        <v>5765</v>
      </c>
      <c r="C189" s="1963" t="s">
        <v>1344</v>
      </c>
      <c r="D189" s="1964">
        <v>64</v>
      </c>
      <c r="E189" s="1965">
        <v>2434</v>
      </c>
      <c r="F189" s="1966" t="s">
        <v>5764</v>
      </c>
      <c r="G189" s="455">
        <v>1400</v>
      </c>
      <c r="H189" s="1967" t="s">
        <v>4128</v>
      </c>
      <c r="I189" s="1968" t="s">
        <v>25</v>
      </c>
      <c r="J189" s="147"/>
      <c r="K189" s="147"/>
      <c r="L189" s="147"/>
      <c r="M189" s="147"/>
      <c r="N189" s="147"/>
      <c r="O189" s="1969"/>
      <c r="R189" s="1968" t="s">
        <v>25</v>
      </c>
      <c r="S189" s="147"/>
      <c r="T189" s="147"/>
      <c r="U189" s="147"/>
      <c r="V189" s="147"/>
      <c r="W189" s="147"/>
    </row>
    <row r="190" spans="1:23" ht="18" x14ac:dyDescent="0.3">
      <c r="A190" s="2436">
        <v>184</v>
      </c>
      <c r="B190" s="1962" t="s">
        <v>5765</v>
      </c>
      <c r="C190" s="1963" t="s">
        <v>1344</v>
      </c>
      <c r="D190" s="1964">
        <v>64</v>
      </c>
      <c r="E190" s="1965">
        <v>2435</v>
      </c>
      <c r="F190" s="1966" t="s">
        <v>5764</v>
      </c>
      <c r="G190" s="455">
        <v>1400</v>
      </c>
      <c r="H190" s="1967" t="s">
        <v>4128</v>
      </c>
      <c r="I190" s="1968" t="s">
        <v>25</v>
      </c>
      <c r="J190" s="147"/>
      <c r="K190" s="147"/>
      <c r="L190" s="147"/>
      <c r="M190" s="147"/>
      <c r="N190" s="147"/>
      <c r="O190" s="1969"/>
      <c r="R190" s="1968" t="s">
        <v>25</v>
      </c>
      <c r="S190" s="147"/>
      <c r="T190" s="147"/>
      <c r="U190" s="147"/>
      <c r="V190" s="147"/>
      <c r="W190" s="147"/>
    </row>
    <row r="191" spans="1:23" ht="18" x14ac:dyDescent="0.3">
      <c r="A191" s="2436">
        <v>185</v>
      </c>
      <c r="B191" s="1962" t="s">
        <v>5765</v>
      </c>
      <c r="C191" s="1963" t="s">
        <v>1344</v>
      </c>
      <c r="D191" s="1964">
        <v>64</v>
      </c>
      <c r="E191" s="1965">
        <v>2436</v>
      </c>
      <c r="F191" s="1966" t="s">
        <v>5764</v>
      </c>
      <c r="G191" s="455">
        <v>1400</v>
      </c>
      <c r="H191" s="1967" t="s">
        <v>4128</v>
      </c>
      <c r="I191" s="1968" t="s">
        <v>25</v>
      </c>
      <c r="J191" s="147"/>
      <c r="K191" s="147"/>
      <c r="L191" s="147"/>
      <c r="M191" s="147"/>
      <c r="N191" s="147"/>
      <c r="O191" s="1969"/>
      <c r="R191" s="1968" t="s">
        <v>25</v>
      </c>
      <c r="S191" s="147"/>
      <c r="T191" s="147"/>
      <c r="U191" s="147"/>
      <c r="V191" s="147"/>
      <c r="W191" s="147"/>
    </row>
    <row r="192" spans="1:23" ht="18" x14ac:dyDescent="0.3">
      <c r="A192" s="2436">
        <v>186</v>
      </c>
      <c r="B192" s="1962" t="s">
        <v>5765</v>
      </c>
      <c r="C192" s="1963" t="s">
        <v>1344</v>
      </c>
      <c r="D192" s="1964">
        <v>64</v>
      </c>
      <c r="E192" s="1965">
        <v>2437</v>
      </c>
      <c r="F192" s="1966" t="s">
        <v>5764</v>
      </c>
      <c r="G192" s="455">
        <v>1400</v>
      </c>
      <c r="H192" s="1967" t="s">
        <v>4128</v>
      </c>
      <c r="I192" s="1968" t="s">
        <v>25</v>
      </c>
      <c r="J192" s="147"/>
      <c r="K192" s="147"/>
      <c r="L192" s="147"/>
      <c r="M192" s="147"/>
      <c r="N192" s="147"/>
      <c r="O192" s="1969"/>
      <c r="R192" s="1968" t="s">
        <v>25</v>
      </c>
      <c r="S192" s="147"/>
      <c r="T192" s="147"/>
      <c r="U192" s="147"/>
      <c r="V192" s="147"/>
      <c r="W192" s="147"/>
    </row>
    <row r="193" spans="1:23" ht="18" x14ac:dyDescent="0.3">
      <c r="A193" s="2436">
        <v>187</v>
      </c>
      <c r="B193" s="1962" t="s">
        <v>5765</v>
      </c>
      <c r="C193" s="1963" t="s">
        <v>1344</v>
      </c>
      <c r="D193" s="1964">
        <v>64</v>
      </c>
      <c r="E193" s="1965">
        <v>2438</v>
      </c>
      <c r="F193" s="1966" t="s">
        <v>5764</v>
      </c>
      <c r="G193" s="455">
        <v>1400</v>
      </c>
      <c r="H193" s="1967" t="s">
        <v>4128</v>
      </c>
      <c r="I193" s="1968" t="s">
        <v>25</v>
      </c>
      <c r="J193" s="147"/>
      <c r="K193" s="147"/>
      <c r="L193" s="147"/>
      <c r="M193" s="147"/>
      <c r="N193" s="147"/>
      <c r="O193" s="1969"/>
      <c r="R193" s="1968" t="s">
        <v>25</v>
      </c>
      <c r="S193" s="147"/>
      <c r="T193" s="147"/>
      <c r="U193" s="147"/>
      <c r="V193" s="147"/>
      <c r="W193" s="147"/>
    </row>
    <row r="194" spans="1:23" ht="18" x14ac:dyDescent="0.3">
      <c r="A194" s="2436">
        <v>188</v>
      </c>
      <c r="B194" s="1962" t="s">
        <v>5765</v>
      </c>
      <c r="C194" s="1963" t="s">
        <v>1344</v>
      </c>
      <c r="D194" s="1964">
        <v>64</v>
      </c>
      <c r="E194" s="1965">
        <v>2439</v>
      </c>
      <c r="F194" s="1966" t="s">
        <v>5764</v>
      </c>
      <c r="G194" s="455">
        <v>1400</v>
      </c>
      <c r="H194" s="1967" t="s">
        <v>4128</v>
      </c>
      <c r="I194" s="1968" t="s">
        <v>25</v>
      </c>
      <c r="J194" s="147"/>
      <c r="K194" s="147"/>
      <c r="L194" s="147"/>
      <c r="M194" s="147"/>
      <c r="N194" s="147"/>
      <c r="O194" s="1969"/>
      <c r="R194" s="1968" t="s">
        <v>25</v>
      </c>
      <c r="S194" s="147"/>
      <c r="T194" s="147"/>
      <c r="U194" s="147"/>
      <c r="V194" s="147"/>
      <c r="W194" s="147"/>
    </row>
    <row r="195" spans="1:23" ht="18" x14ac:dyDescent="0.3">
      <c r="A195" s="2436">
        <v>189</v>
      </c>
      <c r="B195" s="1962" t="s">
        <v>5765</v>
      </c>
      <c r="C195" s="1963" t="s">
        <v>1344</v>
      </c>
      <c r="D195" s="1964">
        <v>64</v>
      </c>
      <c r="E195" s="1965">
        <v>2440</v>
      </c>
      <c r="F195" s="1966" t="s">
        <v>5764</v>
      </c>
      <c r="G195" s="455">
        <v>1400</v>
      </c>
      <c r="H195" s="1967" t="s">
        <v>4128</v>
      </c>
      <c r="I195" s="1968" t="s">
        <v>25</v>
      </c>
      <c r="J195" s="147"/>
      <c r="K195" s="147"/>
      <c r="L195" s="147"/>
      <c r="M195" s="147"/>
      <c r="N195" s="147"/>
      <c r="O195" s="1969"/>
      <c r="R195" s="1968" t="s">
        <v>25</v>
      </c>
      <c r="S195" s="147"/>
      <c r="T195" s="147"/>
      <c r="U195" s="147"/>
      <c r="V195" s="147"/>
      <c r="W195" s="147"/>
    </row>
    <row r="196" spans="1:23" ht="18" x14ac:dyDescent="0.3">
      <c r="A196" s="2436">
        <v>190</v>
      </c>
      <c r="B196" s="1962" t="s">
        <v>5765</v>
      </c>
      <c r="C196" s="1963" t="s">
        <v>1344</v>
      </c>
      <c r="D196" s="1964">
        <v>64</v>
      </c>
      <c r="E196" s="1965">
        <v>2441</v>
      </c>
      <c r="F196" s="1966" t="s">
        <v>5764</v>
      </c>
      <c r="G196" s="455">
        <v>1400</v>
      </c>
      <c r="H196" s="1967" t="s">
        <v>4128</v>
      </c>
      <c r="I196" s="1968" t="s">
        <v>25</v>
      </c>
      <c r="J196" s="147"/>
      <c r="K196" s="147"/>
      <c r="L196" s="147"/>
      <c r="M196" s="147"/>
      <c r="N196" s="147"/>
      <c r="O196" s="1969"/>
      <c r="R196" s="1968" t="s">
        <v>25</v>
      </c>
      <c r="S196" s="147"/>
      <c r="T196" s="147"/>
      <c r="U196" s="147"/>
      <c r="V196" s="147"/>
      <c r="W196" s="147"/>
    </row>
    <row r="197" spans="1:23" ht="18" x14ac:dyDescent="0.3">
      <c r="A197" s="2436">
        <v>191</v>
      </c>
      <c r="B197" s="1962" t="s">
        <v>5765</v>
      </c>
      <c r="C197" s="1963" t="s">
        <v>1344</v>
      </c>
      <c r="D197" s="1964">
        <v>64</v>
      </c>
      <c r="E197" s="1965">
        <v>2442</v>
      </c>
      <c r="F197" s="1966" t="s">
        <v>5764</v>
      </c>
      <c r="G197" s="455">
        <v>1400</v>
      </c>
      <c r="H197" s="1967" t="s">
        <v>4128</v>
      </c>
      <c r="I197" s="1968" t="s">
        <v>25</v>
      </c>
      <c r="J197" s="147"/>
      <c r="K197" s="147"/>
      <c r="L197" s="147"/>
      <c r="M197" s="147"/>
      <c r="N197" s="147"/>
      <c r="O197" s="1969"/>
      <c r="R197" s="1968" t="s">
        <v>25</v>
      </c>
      <c r="S197" s="147"/>
      <c r="T197" s="147"/>
      <c r="U197" s="147"/>
      <c r="V197" s="147"/>
      <c r="W197" s="147"/>
    </row>
    <row r="198" spans="1:23" ht="18" x14ac:dyDescent="0.3">
      <c r="A198" s="2436">
        <v>192</v>
      </c>
      <c r="B198" s="1962" t="s">
        <v>5765</v>
      </c>
      <c r="C198" s="1963" t="s">
        <v>1344</v>
      </c>
      <c r="D198" s="1964">
        <v>64</v>
      </c>
      <c r="E198" s="1965">
        <v>2443</v>
      </c>
      <c r="F198" s="1966" t="s">
        <v>5764</v>
      </c>
      <c r="G198" s="455">
        <v>1400</v>
      </c>
      <c r="H198" s="1967" t="s">
        <v>4128</v>
      </c>
      <c r="I198" s="1968" t="s">
        <v>25</v>
      </c>
      <c r="J198" s="147"/>
      <c r="K198" s="147"/>
      <c r="L198" s="147"/>
      <c r="M198" s="147"/>
      <c r="N198" s="147"/>
      <c r="O198" s="1969"/>
      <c r="R198" s="1968" t="s">
        <v>25</v>
      </c>
      <c r="S198" s="147"/>
      <c r="T198" s="147"/>
      <c r="U198" s="147"/>
      <c r="V198" s="147"/>
      <c r="W198" s="147"/>
    </row>
    <row r="199" spans="1:23" ht="18" x14ac:dyDescent="0.3">
      <c r="A199" s="2436">
        <v>193</v>
      </c>
      <c r="B199" s="1962" t="s">
        <v>5765</v>
      </c>
      <c r="C199" s="1963" t="s">
        <v>1344</v>
      </c>
      <c r="D199" s="1964">
        <v>64</v>
      </c>
      <c r="E199" s="1965">
        <v>2444</v>
      </c>
      <c r="F199" s="1966" t="s">
        <v>5764</v>
      </c>
      <c r="G199" s="455">
        <v>1400</v>
      </c>
      <c r="H199" s="1967" t="s">
        <v>4128</v>
      </c>
      <c r="I199" s="1968" t="s">
        <v>25</v>
      </c>
      <c r="J199" s="147"/>
      <c r="K199" s="147"/>
      <c r="L199" s="147"/>
      <c r="M199" s="147"/>
      <c r="N199" s="147"/>
      <c r="O199" s="1969"/>
      <c r="R199" s="1968" t="s">
        <v>25</v>
      </c>
      <c r="S199" s="147"/>
      <c r="T199" s="147"/>
      <c r="U199" s="147"/>
      <c r="V199" s="147"/>
      <c r="W199" s="147"/>
    </row>
    <row r="200" spans="1:23" ht="18" x14ac:dyDescent="0.3">
      <c r="A200" s="2436">
        <v>194</v>
      </c>
      <c r="B200" s="1962" t="s">
        <v>5765</v>
      </c>
      <c r="C200" s="1963" t="s">
        <v>1344</v>
      </c>
      <c r="D200" s="1964">
        <v>64</v>
      </c>
      <c r="E200" s="1965">
        <v>2445</v>
      </c>
      <c r="F200" s="1966" t="s">
        <v>5764</v>
      </c>
      <c r="G200" s="455">
        <v>1400</v>
      </c>
      <c r="H200" s="1967" t="s">
        <v>4128</v>
      </c>
      <c r="I200" s="1968" t="s">
        <v>25</v>
      </c>
      <c r="J200" s="147"/>
      <c r="K200" s="147"/>
      <c r="L200" s="147"/>
      <c r="M200" s="147"/>
      <c r="N200" s="147"/>
      <c r="O200" s="1969"/>
      <c r="R200" s="1968" t="s">
        <v>25</v>
      </c>
      <c r="S200" s="147"/>
      <c r="T200" s="147"/>
      <c r="U200" s="147"/>
      <c r="V200" s="147"/>
      <c r="W200" s="147"/>
    </row>
    <row r="201" spans="1:23" ht="18" x14ac:dyDescent="0.3">
      <c r="A201" s="2436">
        <v>195</v>
      </c>
      <c r="B201" s="1962" t="s">
        <v>5765</v>
      </c>
      <c r="C201" s="1963" t="s">
        <v>1344</v>
      </c>
      <c r="D201" s="1964">
        <v>64</v>
      </c>
      <c r="E201" s="1965">
        <v>2446</v>
      </c>
      <c r="F201" s="1966" t="s">
        <v>5764</v>
      </c>
      <c r="G201" s="455">
        <v>1400</v>
      </c>
      <c r="H201" s="1967" t="s">
        <v>4128</v>
      </c>
      <c r="I201" s="1968" t="s">
        <v>25</v>
      </c>
      <c r="J201" s="147"/>
      <c r="K201" s="147"/>
      <c r="L201" s="147"/>
      <c r="M201" s="147"/>
      <c r="N201" s="147"/>
      <c r="O201" s="1969"/>
      <c r="R201" s="1968" t="s">
        <v>25</v>
      </c>
      <c r="S201" s="147"/>
      <c r="T201" s="147"/>
      <c r="U201" s="147"/>
      <c r="V201" s="147"/>
      <c r="W201" s="147"/>
    </row>
    <row r="202" spans="1:23" ht="18" x14ac:dyDescent="0.3">
      <c r="A202" s="2436">
        <v>196</v>
      </c>
      <c r="B202" s="1962" t="s">
        <v>5765</v>
      </c>
      <c r="C202" s="1963" t="s">
        <v>1344</v>
      </c>
      <c r="D202" s="1964">
        <v>64</v>
      </c>
      <c r="E202" s="1965">
        <v>2447</v>
      </c>
      <c r="F202" s="1966" t="s">
        <v>5764</v>
      </c>
      <c r="G202" s="455">
        <v>1400</v>
      </c>
      <c r="H202" s="1967" t="s">
        <v>4128</v>
      </c>
      <c r="I202" s="1968" t="s">
        <v>25</v>
      </c>
      <c r="J202" s="147"/>
      <c r="K202" s="147"/>
      <c r="L202" s="147"/>
      <c r="M202" s="147"/>
      <c r="N202" s="147"/>
      <c r="O202" s="1969"/>
      <c r="R202" s="1968" t="s">
        <v>25</v>
      </c>
      <c r="S202" s="147"/>
      <c r="T202" s="147"/>
      <c r="U202" s="147"/>
      <c r="V202" s="147"/>
      <c r="W202" s="147"/>
    </row>
    <row r="203" spans="1:23" ht="18" x14ac:dyDescent="0.3">
      <c r="A203" s="2436">
        <v>197</v>
      </c>
      <c r="B203" s="1962" t="s">
        <v>5765</v>
      </c>
      <c r="C203" s="1963" t="s">
        <v>1344</v>
      </c>
      <c r="D203" s="1964">
        <v>64</v>
      </c>
      <c r="E203" s="1965">
        <v>2448</v>
      </c>
      <c r="F203" s="1966" t="s">
        <v>5764</v>
      </c>
      <c r="G203" s="455">
        <v>1400</v>
      </c>
      <c r="H203" s="1967" t="s">
        <v>4128</v>
      </c>
      <c r="I203" s="1968" t="s">
        <v>25</v>
      </c>
      <c r="J203" s="147"/>
      <c r="K203" s="147"/>
      <c r="L203" s="147"/>
      <c r="M203" s="147"/>
      <c r="N203" s="147"/>
      <c r="O203" s="1969"/>
      <c r="R203" s="1968" t="s">
        <v>25</v>
      </c>
      <c r="S203" s="147"/>
      <c r="T203" s="147"/>
      <c r="U203" s="147"/>
      <c r="V203" s="147"/>
      <c r="W203" s="147"/>
    </row>
    <row r="204" spans="1:23" ht="18" x14ac:dyDescent="0.3">
      <c r="A204" s="2436">
        <v>198</v>
      </c>
      <c r="B204" s="1962" t="s">
        <v>5765</v>
      </c>
      <c r="C204" s="1963" t="s">
        <v>1344</v>
      </c>
      <c r="D204" s="1964">
        <v>64</v>
      </c>
      <c r="E204" s="1965">
        <v>2449</v>
      </c>
      <c r="F204" s="1966" t="s">
        <v>5764</v>
      </c>
      <c r="G204" s="455">
        <v>1400</v>
      </c>
      <c r="H204" s="1967" t="s">
        <v>4128</v>
      </c>
      <c r="I204" s="1968" t="s">
        <v>25</v>
      </c>
      <c r="J204" s="147"/>
      <c r="K204" s="147"/>
      <c r="L204" s="147"/>
      <c r="M204" s="147"/>
      <c r="N204" s="147"/>
      <c r="O204" s="1969"/>
      <c r="R204" s="1968" t="s">
        <v>25</v>
      </c>
      <c r="S204" s="147"/>
      <c r="T204" s="147"/>
      <c r="U204" s="147"/>
      <c r="V204" s="147"/>
      <c r="W204" s="147"/>
    </row>
    <row r="205" spans="1:23" ht="18" x14ac:dyDescent="0.3">
      <c r="A205" s="2436">
        <v>199</v>
      </c>
      <c r="B205" s="1962" t="s">
        <v>5765</v>
      </c>
      <c r="C205" s="1963" t="s">
        <v>1344</v>
      </c>
      <c r="D205" s="1964">
        <v>64</v>
      </c>
      <c r="E205" s="1965">
        <v>2450</v>
      </c>
      <c r="F205" s="1966" t="s">
        <v>5764</v>
      </c>
      <c r="G205" s="455">
        <v>1400</v>
      </c>
      <c r="H205" s="1967" t="s">
        <v>4128</v>
      </c>
      <c r="I205" s="1968" t="s">
        <v>25</v>
      </c>
      <c r="J205" s="147"/>
      <c r="K205" s="147"/>
      <c r="L205" s="147"/>
      <c r="M205" s="147"/>
      <c r="N205" s="147"/>
      <c r="O205" s="1969"/>
      <c r="R205" s="1968" t="s">
        <v>25</v>
      </c>
      <c r="S205" s="147"/>
      <c r="T205" s="147"/>
      <c r="U205" s="147"/>
      <c r="V205" s="147"/>
      <c r="W205" s="147"/>
    </row>
    <row r="206" spans="1:23" ht="18" x14ac:dyDescent="0.3">
      <c r="A206" s="2436">
        <v>200</v>
      </c>
      <c r="B206" s="1962" t="s">
        <v>5765</v>
      </c>
      <c r="C206" s="1963" t="s">
        <v>1344</v>
      </c>
      <c r="D206" s="1964">
        <v>64</v>
      </c>
      <c r="E206" s="1965">
        <v>2451</v>
      </c>
      <c r="F206" s="1966" t="s">
        <v>5764</v>
      </c>
      <c r="G206" s="455">
        <v>1400</v>
      </c>
      <c r="H206" s="1967" t="s">
        <v>4128</v>
      </c>
      <c r="I206" s="1968" t="s">
        <v>25</v>
      </c>
      <c r="J206" s="147"/>
      <c r="K206" s="147"/>
      <c r="L206" s="147"/>
      <c r="M206" s="147"/>
      <c r="N206" s="147"/>
      <c r="O206" s="1969"/>
      <c r="R206" s="1968" t="s">
        <v>25</v>
      </c>
      <c r="S206" s="147"/>
      <c r="T206" s="147"/>
      <c r="U206" s="147"/>
      <c r="V206" s="147"/>
      <c r="W206" s="147"/>
    </row>
    <row r="207" spans="1:23" ht="18" x14ac:dyDescent="0.3">
      <c r="A207" s="2436">
        <v>201</v>
      </c>
      <c r="B207" s="1962" t="s">
        <v>5765</v>
      </c>
      <c r="C207" s="1963" t="s">
        <v>1344</v>
      </c>
      <c r="D207" s="1964">
        <v>64</v>
      </c>
      <c r="E207" s="1965">
        <v>2452</v>
      </c>
      <c r="F207" s="1966" t="s">
        <v>5764</v>
      </c>
      <c r="G207" s="455">
        <v>1400</v>
      </c>
      <c r="H207" s="1967" t="s">
        <v>4128</v>
      </c>
      <c r="I207" s="1968" t="s">
        <v>25</v>
      </c>
      <c r="J207" s="147"/>
      <c r="K207" s="147"/>
      <c r="L207" s="147"/>
      <c r="M207" s="147"/>
      <c r="N207" s="147"/>
      <c r="O207" s="1969"/>
      <c r="R207" s="1968" t="s">
        <v>25</v>
      </c>
      <c r="S207" s="147"/>
      <c r="T207" s="147"/>
      <c r="U207" s="147"/>
      <c r="V207" s="147"/>
      <c r="W207" s="147"/>
    </row>
    <row r="208" spans="1:23" ht="18" x14ac:dyDescent="0.3">
      <c r="A208" s="2436">
        <v>202</v>
      </c>
      <c r="B208" s="1962" t="s">
        <v>5765</v>
      </c>
      <c r="C208" s="1963" t="s">
        <v>1344</v>
      </c>
      <c r="D208" s="1964">
        <v>64</v>
      </c>
      <c r="E208" s="1965">
        <v>2453</v>
      </c>
      <c r="F208" s="1966" t="s">
        <v>5764</v>
      </c>
      <c r="G208" s="455">
        <v>1400</v>
      </c>
      <c r="H208" s="1967" t="s">
        <v>4128</v>
      </c>
      <c r="I208" s="1968" t="s">
        <v>25</v>
      </c>
      <c r="J208" s="147"/>
      <c r="K208" s="147"/>
      <c r="L208" s="147"/>
      <c r="M208" s="147"/>
      <c r="N208" s="147"/>
      <c r="O208" s="1969"/>
      <c r="R208" s="1968" t="s">
        <v>25</v>
      </c>
      <c r="S208" s="147"/>
      <c r="T208" s="147"/>
      <c r="U208" s="147"/>
      <c r="V208" s="147"/>
      <c r="W208" s="147"/>
    </row>
    <row r="209" spans="1:23" ht="18" x14ac:dyDescent="0.3">
      <c r="A209" s="2436">
        <v>203</v>
      </c>
      <c r="B209" s="1962" t="s">
        <v>5765</v>
      </c>
      <c r="C209" s="1963" t="s">
        <v>1344</v>
      </c>
      <c r="D209" s="1964">
        <v>64</v>
      </c>
      <c r="E209" s="1965">
        <v>2454</v>
      </c>
      <c r="F209" s="1966" t="s">
        <v>5764</v>
      </c>
      <c r="G209" s="455">
        <v>1400</v>
      </c>
      <c r="H209" s="1967" t="s">
        <v>4128</v>
      </c>
      <c r="I209" s="1968" t="s">
        <v>25</v>
      </c>
      <c r="J209" s="147"/>
      <c r="K209" s="147"/>
      <c r="L209" s="147"/>
      <c r="M209" s="147"/>
      <c r="N209" s="147"/>
      <c r="O209" s="1969"/>
      <c r="R209" s="1968" t="s">
        <v>25</v>
      </c>
      <c r="S209" s="147"/>
      <c r="T209" s="147"/>
      <c r="U209" s="147"/>
      <c r="V209" s="147"/>
      <c r="W209" s="147"/>
    </row>
    <row r="210" spans="1:23" ht="18" x14ac:dyDescent="0.3">
      <c r="A210" s="2436">
        <v>204</v>
      </c>
      <c r="B210" s="1962" t="s">
        <v>5765</v>
      </c>
      <c r="C210" s="1963" t="s">
        <v>1344</v>
      </c>
      <c r="D210" s="1964">
        <v>64</v>
      </c>
      <c r="E210" s="1965">
        <v>2455</v>
      </c>
      <c r="F210" s="1966" t="s">
        <v>5764</v>
      </c>
      <c r="G210" s="455">
        <v>1400</v>
      </c>
      <c r="H210" s="1967" t="s">
        <v>4128</v>
      </c>
      <c r="I210" s="1968" t="s">
        <v>25</v>
      </c>
      <c r="J210" s="147"/>
      <c r="K210" s="147"/>
      <c r="L210" s="147"/>
      <c r="M210" s="147"/>
      <c r="N210" s="147"/>
      <c r="O210" s="1969"/>
      <c r="R210" s="1968" t="s">
        <v>25</v>
      </c>
      <c r="S210" s="147"/>
      <c r="T210" s="147"/>
      <c r="U210" s="147"/>
      <c r="V210" s="147"/>
      <c r="W210" s="147"/>
    </row>
    <row r="211" spans="1:23" ht="18" x14ac:dyDescent="0.3">
      <c r="A211" s="2436">
        <v>205</v>
      </c>
      <c r="B211" s="1962" t="s">
        <v>5765</v>
      </c>
      <c r="C211" s="1963" t="s">
        <v>1344</v>
      </c>
      <c r="D211" s="1964">
        <v>64</v>
      </c>
      <c r="E211" s="1965">
        <v>2456</v>
      </c>
      <c r="F211" s="1966" t="s">
        <v>5764</v>
      </c>
      <c r="G211" s="455">
        <v>1400</v>
      </c>
      <c r="H211" s="1967" t="s">
        <v>4128</v>
      </c>
      <c r="I211" s="1968" t="s">
        <v>25</v>
      </c>
      <c r="J211" s="147"/>
      <c r="K211" s="147"/>
      <c r="L211" s="147"/>
      <c r="M211" s="147"/>
      <c r="N211" s="147"/>
      <c r="O211" s="1969"/>
      <c r="R211" s="1968" t="s">
        <v>25</v>
      </c>
      <c r="S211" s="147"/>
      <c r="T211" s="147"/>
      <c r="U211" s="147"/>
      <c r="V211" s="147"/>
      <c r="W211" s="147"/>
    </row>
    <row r="212" spans="1:23" ht="18" x14ac:dyDescent="0.3">
      <c r="A212" s="2436">
        <v>206</v>
      </c>
      <c r="B212" s="1962" t="s">
        <v>5765</v>
      </c>
      <c r="C212" s="1963" t="s">
        <v>1344</v>
      </c>
      <c r="D212" s="1964">
        <v>64</v>
      </c>
      <c r="E212" s="1965">
        <v>2457</v>
      </c>
      <c r="F212" s="1966" t="s">
        <v>5764</v>
      </c>
      <c r="G212" s="455">
        <v>1400</v>
      </c>
      <c r="H212" s="1967" t="s">
        <v>4128</v>
      </c>
      <c r="I212" s="1968" t="s">
        <v>25</v>
      </c>
      <c r="J212" s="147"/>
      <c r="K212" s="147"/>
      <c r="L212" s="147"/>
      <c r="M212" s="147"/>
      <c r="N212" s="147"/>
      <c r="O212" s="1969"/>
      <c r="R212" s="1968" t="s">
        <v>25</v>
      </c>
      <c r="S212" s="147"/>
      <c r="T212" s="147"/>
      <c r="U212" s="147"/>
      <c r="V212" s="147"/>
      <c r="W212" s="147"/>
    </row>
    <row r="213" spans="1:23" ht="18" x14ac:dyDescent="0.3">
      <c r="A213" s="2436">
        <v>207</v>
      </c>
      <c r="B213" s="1962" t="s">
        <v>5765</v>
      </c>
      <c r="C213" s="1963" t="s">
        <v>1344</v>
      </c>
      <c r="D213" s="1964">
        <v>64</v>
      </c>
      <c r="E213" s="1965">
        <v>2458</v>
      </c>
      <c r="F213" s="1966" t="s">
        <v>5764</v>
      </c>
      <c r="G213" s="455">
        <v>1400</v>
      </c>
      <c r="H213" s="1967" t="s">
        <v>4128</v>
      </c>
      <c r="I213" s="1968" t="s">
        <v>25</v>
      </c>
      <c r="J213" s="147"/>
      <c r="K213" s="147"/>
      <c r="L213" s="147"/>
      <c r="M213" s="147"/>
      <c r="N213" s="147"/>
      <c r="O213" s="1969"/>
      <c r="R213" s="1968" t="s">
        <v>25</v>
      </c>
      <c r="S213" s="147"/>
      <c r="T213" s="147"/>
      <c r="U213" s="147"/>
      <c r="V213" s="147"/>
      <c r="W213" s="147"/>
    </row>
    <row r="214" spans="1:23" ht="18" x14ac:dyDescent="0.3">
      <c r="A214" s="2436">
        <v>208</v>
      </c>
      <c r="B214" s="1962" t="s">
        <v>5765</v>
      </c>
      <c r="C214" s="1963" t="s">
        <v>1344</v>
      </c>
      <c r="D214" s="1964">
        <v>64</v>
      </c>
      <c r="E214" s="1965">
        <v>2459</v>
      </c>
      <c r="F214" s="1966" t="s">
        <v>5764</v>
      </c>
      <c r="G214" s="455">
        <v>1400</v>
      </c>
      <c r="H214" s="1967" t="s">
        <v>4128</v>
      </c>
      <c r="I214" s="1968" t="s">
        <v>25</v>
      </c>
      <c r="J214" s="147"/>
      <c r="K214" s="147"/>
      <c r="L214" s="147"/>
      <c r="M214" s="147"/>
      <c r="N214" s="147"/>
      <c r="O214" s="1969"/>
      <c r="R214" s="1968" t="s">
        <v>25</v>
      </c>
      <c r="S214" s="147"/>
      <c r="T214" s="147"/>
      <c r="U214" s="147"/>
      <c r="V214" s="147"/>
      <c r="W214" s="147"/>
    </row>
    <row r="215" spans="1:23" ht="18" x14ac:dyDescent="0.3">
      <c r="A215" s="2436">
        <v>209</v>
      </c>
      <c r="B215" s="1962" t="s">
        <v>5765</v>
      </c>
      <c r="C215" s="1963" t="s">
        <v>1344</v>
      </c>
      <c r="D215" s="1964">
        <v>64</v>
      </c>
      <c r="E215" s="1965">
        <v>2460</v>
      </c>
      <c r="F215" s="1966" t="s">
        <v>5764</v>
      </c>
      <c r="G215" s="455">
        <v>1400</v>
      </c>
      <c r="H215" s="1967" t="s">
        <v>4128</v>
      </c>
      <c r="I215" s="1968" t="s">
        <v>25</v>
      </c>
      <c r="J215" s="147"/>
      <c r="K215" s="147"/>
      <c r="L215" s="147"/>
      <c r="M215" s="147"/>
      <c r="N215" s="147"/>
      <c r="O215" s="1969"/>
      <c r="R215" s="1968" t="s">
        <v>25</v>
      </c>
      <c r="S215" s="147"/>
      <c r="T215" s="147"/>
      <c r="U215" s="147"/>
      <c r="V215" s="147"/>
      <c r="W215" s="147"/>
    </row>
    <row r="216" spans="1:23" ht="18" x14ac:dyDescent="0.3">
      <c r="A216" s="2436">
        <v>210</v>
      </c>
      <c r="B216" s="1962" t="s">
        <v>5765</v>
      </c>
      <c r="C216" s="1963" t="s">
        <v>1344</v>
      </c>
      <c r="D216" s="1964">
        <v>64</v>
      </c>
      <c r="E216" s="1965">
        <v>2461</v>
      </c>
      <c r="F216" s="1966" t="s">
        <v>5764</v>
      </c>
      <c r="G216" s="455">
        <v>1400</v>
      </c>
      <c r="H216" s="1967" t="s">
        <v>4128</v>
      </c>
      <c r="I216" s="1968" t="s">
        <v>25</v>
      </c>
      <c r="J216" s="147"/>
      <c r="K216" s="147"/>
      <c r="L216" s="147"/>
      <c r="M216" s="147"/>
      <c r="N216" s="147"/>
      <c r="O216" s="1969"/>
      <c r="R216" s="1968" t="s">
        <v>25</v>
      </c>
      <c r="S216" s="147"/>
      <c r="T216" s="147"/>
      <c r="U216" s="147"/>
      <c r="V216" s="147"/>
      <c r="W216" s="147"/>
    </row>
    <row r="217" spans="1:23" ht="18" x14ac:dyDescent="0.3">
      <c r="A217" s="2436">
        <v>211</v>
      </c>
      <c r="B217" s="1962" t="s">
        <v>5765</v>
      </c>
      <c r="C217" s="1963" t="s">
        <v>1344</v>
      </c>
      <c r="D217" s="1964">
        <v>64</v>
      </c>
      <c r="E217" s="1965">
        <v>2462</v>
      </c>
      <c r="F217" s="1966" t="s">
        <v>5764</v>
      </c>
      <c r="G217" s="455">
        <v>1400</v>
      </c>
      <c r="H217" s="1967" t="s">
        <v>4128</v>
      </c>
      <c r="I217" s="1968" t="s">
        <v>25</v>
      </c>
      <c r="J217" s="147"/>
      <c r="K217" s="147"/>
      <c r="L217" s="147"/>
      <c r="M217" s="147"/>
      <c r="N217" s="147"/>
      <c r="O217" s="1969"/>
      <c r="R217" s="1968" t="s">
        <v>25</v>
      </c>
      <c r="S217" s="147"/>
      <c r="T217" s="147"/>
      <c r="U217" s="147"/>
      <c r="V217" s="147"/>
      <c r="W217" s="147"/>
    </row>
    <row r="218" spans="1:23" ht="18" x14ac:dyDescent="0.3">
      <c r="A218" s="2436">
        <v>212</v>
      </c>
      <c r="B218" s="1962" t="s">
        <v>5765</v>
      </c>
      <c r="C218" s="1963" t="s">
        <v>1344</v>
      </c>
      <c r="D218" s="1964">
        <v>64</v>
      </c>
      <c r="E218" s="1965">
        <v>2463</v>
      </c>
      <c r="F218" s="1966" t="s">
        <v>5764</v>
      </c>
      <c r="G218" s="455">
        <v>1400</v>
      </c>
      <c r="H218" s="1967" t="s">
        <v>4128</v>
      </c>
      <c r="I218" s="1968" t="s">
        <v>25</v>
      </c>
      <c r="J218" s="147"/>
      <c r="K218" s="147"/>
      <c r="L218" s="147"/>
      <c r="M218" s="147"/>
      <c r="N218" s="147"/>
      <c r="O218" s="1969"/>
      <c r="R218" s="1968" t="s">
        <v>25</v>
      </c>
      <c r="S218" s="147"/>
      <c r="T218" s="147"/>
      <c r="U218" s="147"/>
      <c r="V218" s="147"/>
      <c r="W218" s="147"/>
    </row>
    <row r="219" spans="1:23" ht="18" x14ac:dyDescent="0.3">
      <c r="A219" s="2436">
        <v>213</v>
      </c>
      <c r="B219" s="1962" t="s">
        <v>5765</v>
      </c>
      <c r="C219" s="1963" t="s">
        <v>1344</v>
      </c>
      <c r="D219" s="1964">
        <v>64</v>
      </c>
      <c r="E219" s="1965">
        <v>2464</v>
      </c>
      <c r="F219" s="1966" t="s">
        <v>5764</v>
      </c>
      <c r="G219" s="455">
        <v>1400</v>
      </c>
      <c r="H219" s="1967" t="s">
        <v>4128</v>
      </c>
      <c r="I219" s="1968" t="s">
        <v>25</v>
      </c>
      <c r="J219" s="147"/>
      <c r="K219" s="147"/>
      <c r="L219" s="147"/>
      <c r="M219" s="147"/>
      <c r="N219" s="147"/>
      <c r="O219" s="1969"/>
      <c r="R219" s="1968" t="s">
        <v>25</v>
      </c>
      <c r="S219" s="147"/>
      <c r="T219" s="147"/>
      <c r="U219" s="147"/>
      <c r="V219" s="147"/>
      <c r="W219" s="147"/>
    </row>
    <row r="220" spans="1:23" ht="18" x14ac:dyDescent="0.3">
      <c r="A220" s="2436">
        <v>214</v>
      </c>
      <c r="B220" s="1962" t="s">
        <v>5765</v>
      </c>
      <c r="C220" s="1963" t="s">
        <v>1344</v>
      </c>
      <c r="D220" s="1964">
        <v>64</v>
      </c>
      <c r="E220" s="1965">
        <v>2465</v>
      </c>
      <c r="F220" s="1966" t="s">
        <v>5764</v>
      </c>
      <c r="G220" s="455">
        <v>1400</v>
      </c>
      <c r="H220" s="1967" t="s">
        <v>4128</v>
      </c>
      <c r="I220" s="1968" t="s">
        <v>25</v>
      </c>
      <c r="J220" s="147"/>
      <c r="K220" s="147"/>
      <c r="L220" s="147"/>
      <c r="M220" s="147"/>
      <c r="N220" s="147"/>
      <c r="O220" s="1969"/>
      <c r="R220" s="1968" t="s">
        <v>25</v>
      </c>
      <c r="S220" s="147"/>
      <c r="T220" s="147"/>
      <c r="U220" s="147"/>
      <c r="V220" s="147"/>
      <c r="W220" s="147"/>
    </row>
    <row r="221" spans="1:23" ht="18" x14ac:dyDescent="0.3">
      <c r="A221" s="2436">
        <v>215</v>
      </c>
      <c r="B221" s="1962" t="s">
        <v>5765</v>
      </c>
      <c r="C221" s="1963" t="s">
        <v>1344</v>
      </c>
      <c r="D221" s="1964">
        <v>64</v>
      </c>
      <c r="E221" s="1965">
        <v>2466</v>
      </c>
      <c r="F221" s="1966" t="s">
        <v>5764</v>
      </c>
      <c r="G221" s="455">
        <v>1400</v>
      </c>
      <c r="H221" s="1967" t="s">
        <v>4128</v>
      </c>
      <c r="I221" s="1968" t="s">
        <v>25</v>
      </c>
      <c r="J221" s="147"/>
      <c r="K221" s="147"/>
      <c r="L221" s="147"/>
      <c r="M221" s="147"/>
      <c r="N221" s="147"/>
      <c r="O221" s="1969"/>
      <c r="R221" s="1968" t="s">
        <v>25</v>
      </c>
      <c r="S221" s="147"/>
      <c r="T221" s="147"/>
      <c r="U221" s="147"/>
      <c r="V221" s="147"/>
      <c r="W221" s="147"/>
    </row>
    <row r="222" spans="1:23" ht="18" x14ac:dyDescent="0.3">
      <c r="A222" s="2436">
        <v>216</v>
      </c>
      <c r="B222" s="1962" t="s">
        <v>5765</v>
      </c>
      <c r="C222" s="1963" t="s">
        <v>1344</v>
      </c>
      <c r="D222" s="1964">
        <v>64</v>
      </c>
      <c r="E222" s="1965">
        <v>2467</v>
      </c>
      <c r="F222" s="1966" t="s">
        <v>5764</v>
      </c>
      <c r="G222" s="455">
        <v>1400</v>
      </c>
      <c r="H222" s="1967" t="s">
        <v>4128</v>
      </c>
      <c r="I222" s="1968" t="s">
        <v>25</v>
      </c>
      <c r="J222" s="147"/>
      <c r="K222" s="147"/>
      <c r="L222" s="147"/>
      <c r="M222" s="147"/>
      <c r="N222" s="147"/>
      <c r="O222" s="1969"/>
      <c r="R222" s="1968" t="s">
        <v>25</v>
      </c>
      <c r="S222" s="147"/>
      <c r="T222" s="147"/>
      <c r="U222" s="147"/>
      <c r="V222" s="147"/>
      <c r="W222" s="147"/>
    </row>
    <row r="223" spans="1:23" ht="18" x14ac:dyDescent="0.3">
      <c r="A223" s="2436">
        <v>217</v>
      </c>
      <c r="B223" s="1962" t="s">
        <v>5765</v>
      </c>
      <c r="C223" s="1963" t="s">
        <v>1344</v>
      </c>
      <c r="D223" s="1964">
        <v>64</v>
      </c>
      <c r="E223" s="1965">
        <v>2468</v>
      </c>
      <c r="F223" s="1966" t="s">
        <v>5764</v>
      </c>
      <c r="G223" s="455">
        <v>1400</v>
      </c>
      <c r="H223" s="1967" t="s">
        <v>4128</v>
      </c>
      <c r="I223" s="1968" t="s">
        <v>25</v>
      </c>
      <c r="J223" s="147"/>
      <c r="K223" s="147"/>
      <c r="L223" s="147"/>
      <c r="M223" s="147"/>
      <c r="N223" s="147"/>
      <c r="O223" s="1969"/>
      <c r="R223" s="1968" t="s">
        <v>25</v>
      </c>
      <c r="S223" s="147"/>
      <c r="T223" s="147"/>
      <c r="U223" s="147"/>
      <c r="V223" s="147"/>
      <c r="W223" s="147"/>
    </row>
    <row r="224" spans="1:23" ht="18" x14ac:dyDescent="0.3">
      <c r="A224" s="2436">
        <v>218</v>
      </c>
      <c r="B224" s="1962" t="s">
        <v>5765</v>
      </c>
      <c r="C224" s="1963" t="s">
        <v>1344</v>
      </c>
      <c r="D224" s="1964">
        <v>64</v>
      </c>
      <c r="E224" s="1965">
        <v>2469</v>
      </c>
      <c r="F224" s="1966" t="s">
        <v>5764</v>
      </c>
      <c r="G224" s="455">
        <v>1400</v>
      </c>
      <c r="H224" s="1967" t="s">
        <v>4128</v>
      </c>
      <c r="I224" s="1968" t="s">
        <v>25</v>
      </c>
      <c r="J224" s="147"/>
      <c r="K224" s="147"/>
      <c r="L224" s="147"/>
      <c r="M224" s="147"/>
      <c r="N224" s="147"/>
      <c r="O224" s="1969"/>
      <c r="R224" s="1968" t="s">
        <v>25</v>
      </c>
      <c r="S224" s="147"/>
      <c r="T224" s="147"/>
      <c r="U224" s="147"/>
      <c r="V224" s="147"/>
      <c r="W224" s="147"/>
    </row>
    <row r="225" spans="1:23" ht="18" x14ac:dyDescent="0.3">
      <c r="A225" s="2436">
        <v>219</v>
      </c>
      <c r="B225" s="1962" t="s">
        <v>5765</v>
      </c>
      <c r="C225" s="1963" t="s">
        <v>1344</v>
      </c>
      <c r="D225" s="1964">
        <v>64</v>
      </c>
      <c r="E225" s="1965">
        <v>2470</v>
      </c>
      <c r="F225" s="1966" t="s">
        <v>5764</v>
      </c>
      <c r="G225" s="455">
        <v>1400</v>
      </c>
      <c r="H225" s="1967" t="s">
        <v>4128</v>
      </c>
      <c r="I225" s="1968" t="s">
        <v>25</v>
      </c>
      <c r="J225" s="147"/>
      <c r="K225" s="147"/>
      <c r="L225" s="147"/>
      <c r="M225" s="147"/>
      <c r="N225" s="147"/>
      <c r="O225" s="1969"/>
      <c r="R225" s="1968" t="s">
        <v>25</v>
      </c>
      <c r="S225" s="147"/>
      <c r="T225" s="147"/>
      <c r="U225" s="147"/>
      <c r="V225" s="147"/>
      <c r="W225" s="147"/>
    </row>
    <row r="226" spans="1:23" ht="18" x14ac:dyDescent="0.3">
      <c r="A226" s="2436">
        <v>220</v>
      </c>
      <c r="B226" s="1962" t="s">
        <v>5765</v>
      </c>
      <c r="C226" s="1963" t="s">
        <v>1344</v>
      </c>
      <c r="D226" s="1964">
        <v>64</v>
      </c>
      <c r="E226" s="1965">
        <v>2471</v>
      </c>
      <c r="F226" s="1966" t="s">
        <v>5764</v>
      </c>
      <c r="G226" s="455">
        <v>1400</v>
      </c>
      <c r="H226" s="1967" t="s">
        <v>4128</v>
      </c>
      <c r="I226" s="1968" t="s">
        <v>25</v>
      </c>
      <c r="J226" s="147"/>
      <c r="K226" s="147"/>
      <c r="L226" s="147"/>
      <c r="M226" s="147"/>
      <c r="N226" s="147"/>
      <c r="O226" s="1969"/>
      <c r="R226" s="1968" t="s">
        <v>25</v>
      </c>
      <c r="S226" s="147"/>
      <c r="T226" s="147"/>
      <c r="U226" s="147"/>
      <c r="V226" s="147"/>
      <c r="W226" s="147"/>
    </row>
    <row r="227" spans="1:23" ht="18" x14ac:dyDescent="0.3">
      <c r="A227" s="2436">
        <v>221</v>
      </c>
      <c r="B227" s="1962" t="s">
        <v>5765</v>
      </c>
      <c r="C227" s="1963" t="s">
        <v>1344</v>
      </c>
      <c r="D227" s="1964">
        <v>64</v>
      </c>
      <c r="E227" s="1965">
        <v>2472</v>
      </c>
      <c r="F227" s="1966" t="s">
        <v>5764</v>
      </c>
      <c r="G227" s="455">
        <v>1400</v>
      </c>
      <c r="H227" s="1967" t="s">
        <v>4128</v>
      </c>
      <c r="I227" s="1968" t="s">
        <v>25</v>
      </c>
      <c r="J227" s="147"/>
      <c r="K227" s="147"/>
      <c r="L227" s="147"/>
      <c r="M227" s="147"/>
      <c r="N227" s="147"/>
      <c r="O227" s="1969"/>
      <c r="R227" s="1968" t="s">
        <v>25</v>
      </c>
      <c r="S227" s="147"/>
      <c r="T227" s="147"/>
      <c r="U227" s="147"/>
      <c r="V227" s="147"/>
      <c r="W227" s="147"/>
    </row>
    <row r="228" spans="1:23" ht="18" x14ac:dyDescent="0.3">
      <c r="A228" s="2436">
        <v>222</v>
      </c>
      <c r="B228" s="1962" t="s">
        <v>5765</v>
      </c>
      <c r="C228" s="1963" t="s">
        <v>1344</v>
      </c>
      <c r="D228" s="1964">
        <v>64</v>
      </c>
      <c r="E228" s="1965">
        <v>2473</v>
      </c>
      <c r="F228" s="1966" t="s">
        <v>5764</v>
      </c>
      <c r="G228" s="455">
        <v>1400</v>
      </c>
      <c r="H228" s="1967" t="s">
        <v>4128</v>
      </c>
      <c r="I228" s="1968" t="s">
        <v>25</v>
      </c>
      <c r="J228" s="147"/>
      <c r="K228" s="147"/>
      <c r="L228" s="147"/>
      <c r="M228" s="147"/>
      <c r="N228" s="147"/>
      <c r="O228" s="1969"/>
      <c r="R228" s="1968" t="s">
        <v>25</v>
      </c>
      <c r="S228" s="147"/>
      <c r="T228" s="147"/>
      <c r="U228" s="147"/>
      <c r="V228" s="147"/>
      <c r="W228" s="147"/>
    </row>
    <row r="229" spans="1:23" ht="18" x14ac:dyDescent="0.3">
      <c r="A229" s="2436">
        <v>223</v>
      </c>
      <c r="B229" s="1962" t="s">
        <v>5765</v>
      </c>
      <c r="C229" s="1963" t="s">
        <v>1344</v>
      </c>
      <c r="D229" s="1964">
        <v>64</v>
      </c>
      <c r="E229" s="1965">
        <v>2474</v>
      </c>
      <c r="F229" s="1966" t="s">
        <v>5764</v>
      </c>
      <c r="G229" s="455">
        <v>1400</v>
      </c>
      <c r="H229" s="1967" t="s">
        <v>4128</v>
      </c>
      <c r="I229" s="1968" t="s">
        <v>25</v>
      </c>
      <c r="J229" s="147"/>
      <c r="K229" s="147"/>
      <c r="L229" s="147"/>
      <c r="M229" s="147"/>
      <c r="N229" s="147"/>
      <c r="O229" s="1969"/>
      <c r="R229" s="1968" t="s">
        <v>25</v>
      </c>
      <c r="S229" s="147"/>
      <c r="T229" s="147"/>
      <c r="U229" s="147"/>
      <c r="V229" s="147"/>
      <c r="W229" s="147"/>
    </row>
    <row r="230" spans="1:23" ht="18" x14ac:dyDescent="0.3">
      <c r="A230" s="2436">
        <v>224</v>
      </c>
      <c r="B230" s="1962" t="s">
        <v>5765</v>
      </c>
      <c r="C230" s="1963" t="s">
        <v>1344</v>
      </c>
      <c r="D230" s="1964">
        <v>64</v>
      </c>
      <c r="E230" s="1965">
        <v>2475</v>
      </c>
      <c r="F230" s="1966" t="s">
        <v>5764</v>
      </c>
      <c r="G230" s="455">
        <v>1400</v>
      </c>
      <c r="H230" s="1967" t="s">
        <v>4128</v>
      </c>
      <c r="I230" s="1968" t="s">
        <v>25</v>
      </c>
      <c r="J230" s="147"/>
      <c r="K230" s="147"/>
      <c r="L230" s="147"/>
      <c r="M230" s="147"/>
      <c r="N230" s="147"/>
      <c r="O230" s="1969"/>
      <c r="R230" s="1968" t="s">
        <v>25</v>
      </c>
      <c r="S230" s="147"/>
      <c r="T230" s="147"/>
      <c r="U230" s="147"/>
      <c r="V230" s="147"/>
      <c r="W230" s="147"/>
    </row>
    <row r="231" spans="1:23" ht="18" x14ac:dyDescent="0.3">
      <c r="A231" s="2436">
        <v>225</v>
      </c>
      <c r="B231" s="1962" t="s">
        <v>5765</v>
      </c>
      <c r="C231" s="1963" t="s">
        <v>1344</v>
      </c>
      <c r="D231" s="1964">
        <v>64</v>
      </c>
      <c r="E231" s="1965">
        <v>2476</v>
      </c>
      <c r="F231" s="1966" t="s">
        <v>5764</v>
      </c>
      <c r="G231" s="455">
        <v>1400</v>
      </c>
      <c r="H231" s="1967" t="s">
        <v>4128</v>
      </c>
      <c r="I231" s="1968" t="s">
        <v>25</v>
      </c>
      <c r="J231" s="147"/>
      <c r="K231" s="147"/>
      <c r="L231" s="147"/>
      <c r="M231" s="147"/>
      <c r="N231" s="147"/>
      <c r="O231" s="1969"/>
      <c r="R231" s="1968" t="s">
        <v>25</v>
      </c>
      <c r="S231" s="147"/>
      <c r="T231" s="147"/>
      <c r="U231" s="147"/>
      <c r="V231" s="147"/>
      <c r="W231" s="147"/>
    </row>
    <row r="232" spans="1:23" ht="18" x14ac:dyDescent="0.3">
      <c r="A232" s="2436">
        <v>226</v>
      </c>
      <c r="B232" s="1962" t="s">
        <v>5765</v>
      </c>
      <c r="C232" s="1963" t="s">
        <v>1344</v>
      </c>
      <c r="D232" s="1964">
        <v>64</v>
      </c>
      <c r="E232" s="1965">
        <v>2477</v>
      </c>
      <c r="F232" s="1966" t="s">
        <v>5764</v>
      </c>
      <c r="G232" s="455">
        <v>1400</v>
      </c>
      <c r="H232" s="1967" t="s">
        <v>4128</v>
      </c>
      <c r="I232" s="1968" t="s">
        <v>25</v>
      </c>
      <c r="J232" s="147"/>
      <c r="K232" s="147"/>
      <c r="L232" s="147"/>
      <c r="M232" s="147"/>
      <c r="N232" s="147"/>
      <c r="O232" s="1969"/>
      <c r="R232" s="1968" t="s">
        <v>25</v>
      </c>
      <c r="S232" s="147"/>
      <c r="T232" s="147"/>
      <c r="U232" s="147"/>
      <c r="V232" s="147"/>
      <c r="W232" s="147"/>
    </row>
    <row r="233" spans="1:23" ht="18" x14ac:dyDescent="0.3">
      <c r="A233" s="2436">
        <v>227</v>
      </c>
      <c r="B233" s="1962" t="s">
        <v>5765</v>
      </c>
      <c r="C233" s="1963" t="s">
        <v>1344</v>
      </c>
      <c r="D233" s="1964">
        <v>64</v>
      </c>
      <c r="E233" s="1965">
        <v>2478</v>
      </c>
      <c r="F233" s="1966" t="s">
        <v>5764</v>
      </c>
      <c r="G233" s="455">
        <v>1400</v>
      </c>
      <c r="H233" s="1967" t="s">
        <v>4128</v>
      </c>
      <c r="I233" s="1968" t="s">
        <v>25</v>
      </c>
      <c r="J233" s="147"/>
      <c r="K233" s="147"/>
      <c r="L233" s="147"/>
      <c r="M233" s="147"/>
      <c r="N233" s="147"/>
      <c r="O233" s="1969"/>
      <c r="R233" s="1968" t="s">
        <v>25</v>
      </c>
      <c r="S233" s="147"/>
      <c r="T233" s="147"/>
      <c r="U233" s="147"/>
      <c r="V233" s="147"/>
      <c r="W233" s="147"/>
    </row>
    <row r="234" spans="1:23" ht="18" x14ac:dyDescent="0.3">
      <c r="A234" s="2436">
        <v>228</v>
      </c>
      <c r="B234" s="1962" t="s">
        <v>5765</v>
      </c>
      <c r="C234" s="1963" t="s">
        <v>1344</v>
      </c>
      <c r="D234" s="1964">
        <v>64</v>
      </c>
      <c r="E234" s="1965">
        <v>2479</v>
      </c>
      <c r="F234" s="1966" t="s">
        <v>5764</v>
      </c>
      <c r="G234" s="455">
        <v>1400</v>
      </c>
      <c r="H234" s="1967" t="s">
        <v>4128</v>
      </c>
      <c r="I234" s="1968" t="s">
        <v>25</v>
      </c>
      <c r="J234" s="147"/>
      <c r="K234" s="147"/>
      <c r="L234" s="147"/>
      <c r="M234" s="147"/>
      <c r="N234" s="147"/>
      <c r="O234" s="1969"/>
      <c r="R234" s="1968" t="s">
        <v>25</v>
      </c>
      <c r="S234" s="147"/>
      <c r="T234" s="147"/>
      <c r="U234" s="147"/>
      <c r="V234" s="147"/>
      <c r="W234" s="147"/>
    </row>
    <row r="235" spans="1:23" ht="18" x14ac:dyDescent="0.3">
      <c r="A235" s="2436">
        <v>229</v>
      </c>
      <c r="B235" s="1962" t="s">
        <v>5765</v>
      </c>
      <c r="C235" s="1963" t="s">
        <v>1344</v>
      </c>
      <c r="D235" s="1964">
        <v>64</v>
      </c>
      <c r="E235" s="1965">
        <v>2480</v>
      </c>
      <c r="F235" s="1966" t="s">
        <v>5764</v>
      </c>
      <c r="G235" s="455">
        <v>1400</v>
      </c>
      <c r="H235" s="1967" t="s">
        <v>4128</v>
      </c>
      <c r="I235" s="1968" t="s">
        <v>25</v>
      </c>
      <c r="J235" s="147"/>
      <c r="K235" s="147"/>
      <c r="L235" s="147"/>
      <c r="M235" s="147"/>
      <c r="N235" s="147"/>
      <c r="O235" s="1969"/>
      <c r="R235" s="1968" t="s">
        <v>25</v>
      </c>
      <c r="S235" s="147"/>
      <c r="T235" s="147"/>
      <c r="U235" s="147"/>
      <c r="V235" s="147"/>
      <c r="W235" s="147"/>
    </row>
    <row r="236" spans="1:23" ht="18" x14ac:dyDescent="0.3">
      <c r="A236" s="2436">
        <v>230</v>
      </c>
      <c r="B236" s="1962" t="s">
        <v>5765</v>
      </c>
      <c r="C236" s="1963" t="s">
        <v>1344</v>
      </c>
      <c r="D236" s="1964">
        <v>64</v>
      </c>
      <c r="E236" s="1965">
        <v>2481</v>
      </c>
      <c r="F236" s="1966" t="s">
        <v>5764</v>
      </c>
      <c r="G236" s="455">
        <v>1400</v>
      </c>
      <c r="H236" s="1967" t="s">
        <v>4128</v>
      </c>
      <c r="I236" s="1968" t="s">
        <v>25</v>
      </c>
      <c r="J236" s="147"/>
      <c r="K236" s="147"/>
      <c r="L236" s="147"/>
      <c r="M236" s="147"/>
      <c r="N236" s="147"/>
      <c r="O236" s="1969"/>
      <c r="R236" s="1968" t="s">
        <v>25</v>
      </c>
      <c r="S236" s="147"/>
      <c r="T236" s="147"/>
      <c r="U236" s="147"/>
      <c r="V236" s="147"/>
      <c r="W236" s="147"/>
    </row>
    <row r="237" spans="1:23" ht="18" x14ac:dyDescent="0.3">
      <c r="A237" s="2436">
        <v>231</v>
      </c>
      <c r="B237" s="1962" t="s">
        <v>5765</v>
      </c>
      <c r="C237" s="1963" t="s">
        <v>1344</v>
      </c>
      <c r="D237" s="1964">
        <v>64</v>
      </c>
      <c r="E237" s="1965">
        <v>2482</v>
      </c>
      <c r="F237" s="1966" t="s">
        <v>5764</v>
      </c>
      <c r="G237" s="455">
        <v>1400</v>
      </c>
      <c r="H237" s="1967" t="s">
        <v>4128</v>
      </c>
      <c r="I237" s="1968" t="s">
        <v>25</v>
      </c>
      <c r="J237" s="147"/>
      <c r="K237" s="147"/>
      <c r="L237" s="147"/>
      <c r="M237" s="147"/>
      <c r="N237" s="147"/>
      <c r="O237" s="1969"/>
      <c r="R237" s="1968" t="s">
        <v>25</v>
      </c>
      <c r="S237" s="147"/>
      <c r="T237" s="147"/>
      <c r="U237" s="147"/>
      <c r="V237" s="147"/>
      <c r="W237" s="147"/>
    </row>
    <row r="238" spans="1:23" ht="18" x14ac:dyDescent="0.3">
      <c r="A238" s="2436">
        <v>232</v>
      </c>
      <c r="B238" s="1962" t="s">
        <v>5765</v>
      </c>
      <c r="C238" s="1963" t="s">
        <v>1344</v>
      </c>
      <c r="D238" s="1964">
        <v>64</v>
      </c>
      <c r="E238" s="1965">
        <v>2483</v>
      </c>
      <c r="F238" s="1966" t="s">
        <v>5764</v>
      </c>
      <c r="G238" s="455">
        <v>1400</v>
      </c>
      <c r="H238" s="1967" t="s">
        <v>4128</v>
      </c>
      <c r="I238" s="1968" t="s">
        <v>25</v>
      </c>
      <c r="J238" s="147"/>
      <c r="K238" s="147"/>
      <c r="L238" s="147"/>
      <c r="M238" s="147"/>
      <c r="N238" s="147"/>
      <c r="O238" s="1969"/>
      <c r="R238" s="1968" t="s">
        <v>25</v>
      </c>
      <c r="S238" s="147"/>
      <c r="T238" s="147"/>
      <c r="U238" s="147"/>
      <c r="V238" s="147"/>
      <c r="W238" s="147"/>
    </row>
    <row r="239" spans="1:23" ht="18" x14ac:dyDescent="0.3">
      <c r="A239" s="2436">
        <v>233</v>
      </c>
      <c r="B239" s="1962" t="s">
        <v>5765</v>
      </c>
      <c r="C239" s="1963" t="s">
        <v>1344</v>
      </c>
      <c r="D239" s="1964">
        <v>64</v>
      </c>
      <c r="E239" s="1965">
        <v>2484</v>
      </c>
      <c r="F239" s="1966" t="s">
        <v>5764</v>
      </c>
      <c r="G239" s="455">
        <v>1400</v>
      </c>
      <c r="H239" s="1967" t="s">
        <v>4128</v>
      </c>
      <c r="I239" s="1968" t="s">
        <v>25</v>
      </c>
      <c r="J239" s="147"/>
      <c r="K239" s="147"/>
      <c r="L239" s="147"/>
      <c r="M239" s="147"/>
      <c r="N239" s="147"/>
      <c r="O239" s="1969"/>
      <c r="R239" s="1968" t="s">
        <v>25</v>
      </c>
      <c r="S239" s="147"/>
      <c r="T239" s="147"/>
      <c r="U239" s="147"/>
      <c r="V239" s="147"/>
      <c r="W239" s="147"/>
    </row>
    <row r="240" spans="1:23" ht="18" x14ac:dyDescent="0.3">
      <c r="A240" s="2436">
        <v>234</v>
      </c>
      <c r="B240" s="1962" t="s">
        <v>5765</v>
      </c>
      <c r="C240" s="1963" t="s">
        <v>1344</v>
      </c>
      <c r="D240" s="1964">
        <v>64</v>
      </c>
      <c r="E240" s="1965">
        <v>2485</v>
      </c>
      <c r="F240" s="1966" t="s">
        <v>5764</v>
      </c>
      <c r="G240" s="455">
        <v>1400</v>
      </c>
      <c r="H240" s="1967" t="s">
        <v>4128</v>
      </c>
      <c r="I240" s="1968" t="s">
        <v>25</v>
      </c>
      <c r="J240" s="147"/>
      <c r="K240" s="147"/>
      <c r="L240" s="147"/>
      <c r="M240" s="147"/>
      <c r="N240" s="147"/>
      <c r="O240" s="1969"/>
      <c r="R240" s="1968" t="s">
        <v>25</v>
      </c>
      <c r="S240" s="147"/>
      <c r="T240" s="147"/>
      <c r="U240" s="147"/>
      <c r="V240" s="147"/>
      <c r="W240" s="147"/>
    </row>
    <row r="241" spans="1:23" ht="18" x14ac:dyDescent="0.3">
      <c r="A241" s="2436">
        <v>235</v>
      </c>
      <c r="B241" s="1962" t="s">
        <v>5765</v>
      </c>
      <c r="C241" s="1963" t="s">
        <v>1344</v>
      </c>
      <c r="D241" s="1964">
        <v>64</v>
      </c>
      <c r="E241" s="1965">
        <v>2486</v>
      </c>
      <c r="F241" s="1966" t="s">
        <v>5764</v>
      </c>
      <c r="G241" s="455">
        <v>1400</v>
      </c>
      <c r="H241" s="1967" t="s">
        <v>4128</v>
      </c>
      <c r="I241" s="1968" t="s">
        <v>25</v>
      </c>
      <c r="J241" s="147"/>
      <c r="K241" s="147"/>
      <c r="L241" s="147"/>
      <c r="M241" s="147"/>
      <c r="N241" s="147"/>
      <c r="O241" s="1969"/>
      <c r="R241" s="1968" t="s">
        <v>25</v>
      </c>
      <c r="S241" s="147"/>
      <c r="T241" s="147"/>
      <c r="U241" s="147"/>
      <c r="V241" s="147"/>
      <c r="W241" s="147"/>
    </row>
    <row r="242" spans="1:23" ht="18" x14ac:dyDescent="0.3">
      <c r="A242" s="2436">
        <v>236</v>
      </c>
      <c r="B242" s="1962" t="s">
        <v>5765</v>
      </c>
      <c r="C242" s="1963" t="s">
        <v>1344</v>
      </c>
      <c r="D242" s="1964">
        <v>64</v>
      </c>
      <c r="E242" s="1965">
        <v>2487</v>
      </c>
      <c r="F242" s="1966" t="s">
        <v>5764</v>
      </c>
      <c r="G242" s="455">
        <v>1400</v>
      </c>
      <c r="H242" s="1967" t="s">
        <v>4128</v>
      </c>
      <c r="I242" s="1968" t="s">
        <v>25</v>
      </c>
      <c r="J242" s="147"/>
      <c r="K242" s="147"/>
      <c r="L242" s="147"/>
      <c r="M242" s="147"/>
      <c r="N242" s="147"/>
      <c r="O242" s="1969"/>
      <c r="R242" s="1968" t="s">
        <v>25</v>
      </c>
      <c r="S242" s="147"/>
      <c r="T242" s="147"/>
      <c r="U242" s="147"/>
      <c r="V242" s="147"/>
      <c r="W242" s="147"/>
    </row>
    <row r="243" spans="1:23" ht="18" x14ac:dyDescent="0.3">
      <c r="A243" s="2436">
        <v>237</v>
      </c>
      <c r="B243" s="1962" t="s">
        <v>5765</v>
      </c>
      <c r="C243" s="1963" t="s">
        <v>1344</v>
      </c>
      <c r="D243" s="1964">
        <v>64</v>
      </c>
      <c r="E243" s="1965">
        <v>2488</v>
      </c>
      <c r="F243" s="1966" t="s">
        <v>5764</v>
      </c>
      <c r="G243" s="455">
        <v>1400</v>
      </c>
      <c r="H243" s="1967" t="s">
        <v>4128</v>
      </c>
      <c r="I243" s="1968" t="s">
        <v>25</v>
      </c>
      <c r="J243" s="147"/>
      <c r="K243" s="147"/>
      <c r="L243" s="147"/>
      <c r="M243" s="147"/>
      <c r="N243" s="147"/>
      <c r="O243" s="1969"/>
      <c r="R243" s="1968" t="s">
        <v>25</v>
      </c>
      <c r="S243" s="147"/>
      <c r="T243" s="147"/>
      <c r="U243" s="147"/>
      <c r="V243" s="147"/>
      <c r="W243" s="147"/>
    </row>
    <row r="244" spans="1:23" ht="18" x14ac:dyDescent="0.3">
      <c r="A244" s="2436">
        <v>238</v>
      </c>
      <c r="B244" s="1962" t="s">
        <v>5765</v>
      </c>
      <c r="C244" s="1963" t="s">
        <v>1344</v>
      </c>
      <c r="D244" s="1964">
        <v>64</v>
      </c>
      <c r="E244" s="1965">
        <v>2489</v>
      </c>
      <c r="F244" s="1966" t="s">
        <v>5764</v>
      </c>
      <c r="G244" s="455">
        <v>1400</v>
      </c>
      <c r="H244" s="1967" t="s">
        <v>4128</v>
      </c>
      <c r="I244" s="1968" t="s">
        <v>25</v>
      </c>
      <c r="J244" s="147"/>
      <c r="K244" s="147"/>
      <c r="L244" s="147"/>
      <c r="M244" s="147"/>
      <c r="N244" s="147"/>
      <c r="O244" s="1969"/>
      <c r="R244" s="1968" t="s">
        <v>25</v>
      </c>
      <c r="S244" s="147"/>
      <c r="T244" s="147"/>
      <c r="U244" s="147"/>
      <c r="V244" s="147"/>
      <c r="W244" s="147"/>
    </row>
    <row r="245" spans="1:23" ht="18" x14ac:dyDescent="0.3">
      <c r="A245" s="2436">
        <v>239</v>
      </c>
      <c r="B245" s="1962" t="s">
        <v>5765</v>
      </c>
      <c r="C245" s="1963" t="s">
        <v>1344</v>
      </c>
      <c r="D245" s="1964">
        <v>64</v>
      </c>
      <c r="E245" s="1965">
        <v>2490</v>
      </c>
      <c r="F245" s="1966" t="s">
        <v>5764</v>
      </c>
      <c r="G245" s="455">
        <v>1400</v>
      </c>
      <c r="H245" s="1967" t="s">
        <v>4128</v>
      </c>
      <c r="I245" s="1968" t="s">
        <v>25</v>
      </c>
      <c r="J245" s="147"/>
      <c r="K245" s="147"/>
      <c r="L245" s="147"/>
      <c r="M245" s="147"/>
      <c r="N245" s="147"/>
      <c r="O245" s="1969"/>
      <c r="R245" s="1968" t="s">
        <v>25</v>
      </c>
      <c r="S245" s="147"/>
      <c r="T245" s="147"/>
      <c r="U245" s="147"/>
      <c r="V245" s="147"/>
      <c r="W245" s="147"/>
    </row>
    <row r="246" spans="1:23" ht="18" x14ac:dyDescent="0.3">
      <c r="A246" s="2436">
        <v>240</v>
      </c>
      <c r="B246" s="1962" t="s">
        <v>5765</v>
      </c>
      <c r="C246" s="1963" t="s">
        <v>1344</v>
      </c>
      <c r="D246" s="1964">
        <v>64</v>
      </c>
      <c r="E246" s="1965">
        <v>2491</v>
      </c>
      <c r="F246" s="1966" t="s">
        <v>5764</v>
      </c>
      <c r="G246" s="455">
        <v>1400</v>
      </c>
      <c r="H246" s="1967" t="s">
        <v>4128</v>
      </c>
      <c r="I246" s="1968" t="s">
        <v>25</v>
      </c>
      <c r="J246" s="147"/>
      <c r="K246" s="147"/>
      <c r="L246" s="147"/>
      <c r="M246" s="147"/>
      <c r="N246" s="147"/>
      <c r="O246" s="1969"/>
      <c r="R246" s="1968" t="s">
        <v>25</v>
      </c>
      <c r="S246" s="147"/>
      <c r="T246" s="147"/>
      <c r="U246" s="147"/>
      <c r="V246" s="147"/>
      <c r="W246" s="147"/>
    </row>
    <row r="247" spans="1:23" ht="18" x14ac:dyDescent="0.3">
      <c r="A247" s="2436">
        <v>241</v>
      </c>
      <c r="B247" s="1962" t="s">
        <v>5765</v>
      </c>
      <c r="C247" s="1963" t="s">
        <v>1344</v>
      </c>
      <c r="D247" s="1964">
        <v>64</v>
      </c>
      <c r="E247" s="1965">
        <v>2492</v>
      </c>
      <c r="F247" s="1966" t="s">
        <v>5764</v>
      </c>
      <c r="G247" s="455">
        <v>1400</v>
      </c>
      <c r="H247" s="1967" t="s">
        <v>4128</v>
      </c>
      <c r="I247" s="1968" t="s">
        <v>25</v>
      </c>
      <c r="J247" s="147"/>
      <c r="K247" s="147"/>
      <c r="L247" s="147"/>
      <c r="M247" s="147"/>
      <c r="N247" s="147"/>
      <c r="O247" s="1969"/>
      <c r="R247" s="1968" t="s">
        <v>25</v>
      </c>
      <c r="S247" s="147"/>
      <c r="T247" s="147"/>
      <c r="U247" s="147"/>
      <c r="V247" s="147"/>
      <c r="W247" s="147"/>
    </row>
    <row r="248" spans="1:23" ht="18" x14ac:dyDescent="0.3">
      <c r="A248" s="2436">
        <v>242</v>
      </c>
      <c r="B248" s="1962" t="s">
        <v>5765</v>
      </c>
      <c r="C248" s="1963" t="s">
        <v>1344</v>
      </c>
      <c r="D248" s="1964">
        <v>64</v>
      </c>
      <c r="E248" s="1965">
        <v>2493</v>
      </c>
      <c r="F248" s="1966" t="s">
        <v>5764</v>
      </c>
      <c r="G248" s="455">
        <v>1400</v>
      </c>
      <c r="H248" s="1967" t="s">
        <v>4128</v>
      </c>
      <c r="I248" s="1968" t="s">
        <v>25</v>
      </c>
      <c r="J248" s="147"/>
      <c r="K248" s="147"/>
      <c r="L248" s="147"/>
      <c r="M248" s="147"/>
      <c r="N248" s="147"/>
      <c r="O248" s="1969"/>
      <c r="R248" s="1968" t="s">
        <v>25</v>
      </c>
      <c r="S248" s="147"/>
      <c r="T248" s="147"/>
      <c r="U248" s="147"/>
      <c r="V248" s="147"/>
      <c r="W248" s="147"/>
    </row>
    <row r="249" spans="1:23" ht="18" x14ac:dyDescent="0.3">
      <c r="A249" s="2436">
        <v>243</v>
      </c>
      <c r="B249" s="1962" t="s">
        <v>5765</v>
      </c>
      <c r="C249" s="1963" t="s">
        <v>1344</v>
      </c>
      <c r="D249" s="1964">
        <v>64</v>
      </c>
      <c r="E249" s="1965">
        <v>2494</v>
      </c>
      <c r="F249" s="1966" t="s">
        <v>5764</v>
      </c>
      <c r="G249" s="455">
        <v>1400</v>
      </c>
      <c r="H249" s="1967" t="s">
        <v>4128</v>
      </c>
      <c r="I249" s="1968" t="s">
        <v>25</v>
      </c>
      <c r="J249" s="147"/>
      <c r="K249" s="147"/>
      <c r="L249" s="147"/>
      <c r="M249" s="147"/>
      <c r="N249" s="147"/>
      <c r="O249" s="1969"/>
      <c r="R249" s="1968" t="s">
        <v>25</v>
      </c>
      <c r="S249" s="147"/>
      <c r="T249" s="147"/>
      <c r="U249" s="147"/>
      <c r="V249" s="147"/>
      <c r="W249" s="147"/>
    </row>
    <row r="250" spans="1:23" ht="18" x14ac:dyDescent="0.3">
      <c r="A250" s="2436">
        <v>244</v>
      </c>
      <c r="B250" s="1962" t="s">
        <v>5765</v>
      </c>
      <c r="C250" s="1963" t="s">
        <v>1344</v>
      </c>
      <c r="D250" s="1964">
        <v>64</v>
      </c>
      <c r="E250" s="1965">
        <v>2495</v>
      </c>
      <c r="F250" s="1966" t="s">
        <v>5764</v>
      </c>
      <c r="G250" s="455">
        <v>1400</v>
      </c>
      <c r="H250" s="1967" t="s">
        <v>4128</v>
      </c>
      <c r="I250" s="1968" t="s">
        <v>25</v>
      </c>
      <c r="J250" s="147"/>
      <c r="K250" s="147"/>
      <c r="L250" s="147"/>
      <c r="M250" s="147"/>
      <c r="N250" s="147"/>
      <c r="O250" s="1969"/>
      <c r="R250" s="1968" t="s">
        <v>25</v>
      </c>
      <c r="S250" s="147"/>
      <c r="T250" s="147"/>
      <c r="U250" s="147"/>
      <c r="V250" s="147"/>
      <c r="W250" s="147"/>
    </row>
    <row r="251" spans="1:23" ht="18" x14ac:dyDescent="0.3">
      <c r="A251" s="2436">
        <v>245</v>
      </c>
      <c r="B251" s="1962" t="s">
        <v>5765</v>
      </c>
      <c r="C251" s="1963" t="s">
        <v>1344</v>
      </c>
      <c r="D251" s="1964">
        <v>64</v>
      </c>
      <c r="E251" s="1965">
        <v>2496</v>
      </c>
      <c r="F251" s="1966" t="s">
        <v>5764</v>
      </c>
      <c r="G251" s="455">
        <v>1400</v>
      </c>
      <c r="H251" s="1967" t="s">
        <v>4128</v>
      </c>
      <c r="I251" s="1968" t="s">
        <v>25</v>
      </c>
      <c r="J251" s="147"/>
      <c r="K251" s="147"/>
      <c r="L251" s="147"/>
      <c r="M251" s="147"/>
      <c r="N251" s="147"/>
      <c r="O251" s="1969"/>
      <c r="R251" s="1968" t="s">
        <v>25</v>
      </c>
      <c r="S251" s="147"/>
      <c r="T251" s="147"/>
      <c r="U251" s="147"/>
      <c r="V251" s="147"/>
      <c r="W251" s="147"/>
    </row>
    <row r="252" spans="1:23" ht="18" x14ac:dyDescent="0.3">
      <c r="A252" s="2436">
        <v>246</v>
      </c>
      <c r="B252" s="1962" t="s">
        <v>5765</v>
      </c>
      <c r="C252" s="1963" t="s">
        <v>1344</v>
      </c>
      <c r="D252" s="1964">
        <v>64</v>
      </c>
      <c r="E252" s="1965">
        <v>2497</v>
      </c>
      <c r="F252" s="1966" t="s">
        <v>5764</v>
      </c>
      <c r="G252" s="455">
        <v>1400</v>
      </c>
      <c r="H252" s="1967" t="s">
        <v>4128</v>
      </c>
      <c r="I252" s="1968" t="s">
        <v>25</v>
      </c>
      <c r="J252" s="1696"/>
      <c r="K252" s="1696"/>
      <c r="L252" s="1696"/>
      <c r="M252" s="1696"/>
      <c r="N252" s="1696"/>
      <c r="O252" s="1970"/>
      <c r="R252" s="1968" t="s">
        <v>25</v>
      </c>
      <c r="S252" s="1696"/>
      <c r="T252" s="1696"/>
      <c r="U252" s="1696"/>
      <c r="V252" s="1696"/>
      <c r="W252" s="1696"/>
    </row>
    <row r="253" spans="1:23" ht="18" x14ac:dyDescent="0.3">
      <c r="A253" s="2436">
        <v>247</v>
      </c>
      <c r="B253" s="1962" t="s">
        <v>5765</v>
      </c>
      <c r="C253" s="1963" t="s">
        <v>1344</v>
      </c>
      <c r="D253" s="1964">
        <v>64</v>
      </c>
      <c r="E253" s="1965">
        <v>2498</v>
      </c>
      <c r="F253" s="1966" t="s">
        <v>5764</v>
      </c>
      <c r="G253" s="455">
        <v>1400</v>
      </c>
      <c r="H253" s="1967" t="s">
        <v>4128</v>
      </c>
      <c r="I253" s="1968" t="s">
        <v>25</v>
      </c>
      <c r="J253" s="1696"/>
      <c r="K253" s="1696"/>
      <c r="L253" s="1696"/>
      <c r="M253" s="1696"/>
      <c r="N253" s="1696"/>
      <c r="O253" s="1970"/>
      <c r="R253" s="1968" t="s">
        <v>25</v>
      </c>
      <c r="S253" s="1696"/>
      <c r="T253" s="1696"/>
      <c r="U253" s="1696"/>
      <c r="V253" s="1696"/>
      <c r="W253" s="1696"/>
    </row>
    <row r="254" spans="1:23" ht="18" x14ac:dyDescent="0.3">
      <c r="A254" s="2436">
        <v>248</v>
      </c>
      <c r="B254" s="1962" t="s">
        <v>5765</v>
      </c>
      <c r="C254" s="1963" t="s">
        <v>1344</v>
      </c>
      <c r="D254" s="1964">
        <v>64</v>
      </c>
      <c r="E254" s="1965">
        <v>2499</v>
      </c>
      <c r="F254" s="1966" t="s">
        <v>5764</v>
      </c>
      <c r="G254" s="455">
        <v>1400</v>
      </c>
      <c r="H254" s="1967" t="s">
        <v>4128</v>
      </c>
      <c r="I254" s="1968" t="s">
        <v>25</v>
      </c>
      <c r="J254" s="1696"/>
      <c r="K254" s="1696"/>
      <c r="L254" s="1696"/>
      <c r="M254" s="1696"/>
      <c r="N254" s="1696"/>
      <c r="O254" s="1970"/>
      <c r="R254" s="1968" t="s">
        <v>25</v>
      </c>
      <c r="S254" s="1696"/>
      <c r="T254" s="1696"/>
      <c r="U254" s="1696"/>
      <c r="V254" s="1696"/>
      <c r="W254" s="1696"/>
    </row>
    <row r="255" spans="1:23" ht="18" x14ac:dyDescent="0.3">
      <c r="A255" s="2436">
        <v>249</v>
      </c>
      <c r="B255" s="1962" t="s">
        <v>5765</v>
      </c>
      <c r="C255" s="1963" t="s">
        <v>1344</v>
      </c>
      <c r="D255" s="1964">
        <v>64</v>
      </c>
      <c r="E255" s="1965">
        <v>2500</v>
      </c>
      <c r="F255" s="1966" t="s">
        <v>5764</v>
      </c>
      <c r="G255" s="455">
        <v>1400</v>
      </c>
      <c r="H255" s="1967" t="s">
        <v>4128</v>
      </c>
      <c r="I255" s="1968" t="s">
        <v>25</v>
      </c>
      <c r="J255" s="1696"/>
      <c r="K255" s="1696"/>
      <c r="L255" s="1696"/>
      <c r="M255" s="1696"/>
      <c r="N255" s="1696"/>
      <c r="O255" s="1970"/>
      <c r="R255" s="1968" t="s">
        <v>25</v>
      </c>
      <c r="S255" s="1696"/>
      <c r="T255" s="1696"/>
      <c r="U255" s="1696"/>
      <c r="V255" s="1696"/>
      <c r="W255" s="1696"/>
    </row>
    <row r="256" spans="1:23" ht="18" x14ac:dyDescent="0.3">
      <c r="A256" s="2436">
        <v>250</v>
      </c>
      <c r="B256" s="1962" t="s">
        <v>5765</v>
      </c>
      <c r="C256" s="1963" t="s">
        <v>1344</v>
      </c>
      <c r="D256" s="1964">
        <v>64</v>
      </c>
      <c r="E256" s="1965">
        <v>2501</v>
      </c>
      <c r="F256" s="1966" t="s">
        <v>5764</v>
      </c>
      <c r="G256" s="455">
        <v>1400</v>
      </c>
      <c r="H256" s="1967" t="s">
        <v>4128</v>
      </c>
      <c r="I256" s="1968" t="s">
        <v>25</v>
      </c>
      <c r="J256" s="1696"/>
      <c r="K256" s="1696"/>
      <c r="L256" s="1696"/>
      <c r="M256" s="1696"/>
      <c r="N256" s="1696"/>
      <c r="O256" s="1970"/>
      <c r="R256" s="1968" t="s">
        <v>25</v>
      </c>
      <c r="S256" s="1696"/>
      <c r="T256" s="1696"/>
      <c r="U256" s="1696"/>
      <c r="V256" s="1696"/>
      <c r="W256" s="1696"/>
    </row>
    <row r="257" spans="1:23" ht="18" x14ac:dyDescent="0.3">
      <c r="A257" s="2436">
        <v>251</v>
      </c>
      <c r="B257" s="1962" t="s">
        <v>5765</v>
      </c>
      <c r="C257" s="1963" t="s">
        <v>1344</v>
      </c>
      <c r="D257" s="1964">
        <v>64</v>
      </c>
      <c r="E257" s="1965">
        <v>2502</v>
      </c>
      <c r="F257" s="1966" t="s">
        <v>5764</v>
      </c>
      <c r="G257" s="455">
        <v>1400</v>
      </c>
      <c r="H257" s="1967" t="s">
        <v>4128</v>
      </c>
      <c r="I257" s="1968" t="s">
        <v>25</v>
      </c>
      <c r="J257" s="1696"/>
      <c r="K257" s="1696"/>
      <c r="L257" s="1696"/>
      <c r="M257" s="1696"/>
      <c r="N257" s="1696"/>
      <c r="O257" s="1970"/>
      <c r="R257" s="1968" t="s">
        <v>25</v>
      </c>
      <c r="S257" s="1696"/>
      <c r="T257" s="1696"/>
      <c r="U257" s="1696"/>
      <c r="V257" s="1696"/>
      <c r="W257" s="1696"/>
    </row>
    <row r="258" spans="1:23" ht="18" x14ac:dyDescent="0.3">
      <c r="A258" s="2436">
        <v>252</v>
      </c>
      <c r="B258" s="1962" t="s">
        <v>5765</v>
      </c>
      <c r="C258" s="1963" t="s">
        <v>1344</v>
      </c>
      <c r="D258" s="1964">
        <v>64</v>
      </c>
      <c r="E258" s="1965">
        <v>2503</v>
      </c>
      <c r="F258" s="1966" t="s">
        <v>5764</v>
      </c>
      <c r="G258" s="455">
        <v>1400</v>
      </c>
      <c r="H258" s="1967" t="s">
        <v>4128</v>
      </c>
      <c r="I258" s="1968" t="s">
        <v>25</v>
      </c>
      <c r="J258" s="1696"/>
      <c r="K258" s="1696"/>
      <c r="L258" s="1696"/>
      <c r="M258" s="1696"/>
      <c r="N258" s="1696"/>
      <c r="O258" s="1970"/>
      <c r="R258" s="1968" t="s">
        <v>25</v>
      </c>
      <c r="S258" s="1696"/>
      <c r="T258" s="1696"/>
      <c r="U258" s="1696"/>
      <c r="V258" s="1696"/>
      <c r="W258" s="1696"/>
    </row>
    <row r="259" spans="1:23" ht="18" x14ac:dyDescent="0.3">
      <c r="A259" s="2436">
        <v>253</v>
      </c>
      <c r="B259" s="1962" t="s">
        <v>5765</v>
      </c>
      <c r="C259" s="1963" t="s">
        <v>1344</v>
      </c>
      <c r="D259" s="1964">
        <v>64</v>
      </c>
      <c r="E259" s="1965">
        <v>2504</v>
      </c>
      <c r="F259" s="1966" t="s">
        <v>5764</v>
      </c>
      <c r="G259" s="455">
        <v>1400</v>
      </c>
      <c r="H259" s="1967" t="s">
        <v>4128</v>
      </c>
      <c r="I259" s="1968" t="s">
        <v>25</v>
      </c>
      <c r="J259" s="1696"/>
      <c r="K259" s="1696"/>
      <c r="L259" s="1696"/>
      <c r="M259" s="1696"/>
      <c r="N259" s="1696"/>
      <c r="O259" s="1970"/>
      <c r="R259" s="1968" t="s">
        <v>25</v>
      </c>
      <c r="S259" s="1696"/>
      <c r="T259" s="1696"/>
      <c r="U259" s="1696"/>
      <c r="V259" s="1696"/>
      <c r="W259" s="1696"/>
    </row>
    <row r="260" spans="1:23" ht="18" x14ac:dyDescent="0.3">
      <c r="A260" s="2436">
        <v>254</v>
      </c>
      <c r="B260" s="1962" t="s">
        <v>5765</v>
      </c>
      <c r="C260" s="1963" t="s">
        <v>1344</v>
      </c>
      <c r="D260" s="1964">
        <v>64</v>
      </c>
      <c r="E260" s="1965">
        <v>2505</v>
      </c>
      <c r="F260" s="1966" t="s">
        <v>5764</v>
      </c>
      <c r="G260" s="455">
        <v>1400</v>
      </c>
      <c r="H260" s="1967" t="s">
        <v>4128</v>
      </c>
      <c r="I260" s="1968" t="s">
        <v>25</v>
      </c>
      <c r="J260" s="1696"/>
      <c r="K260" s="1696"/>
      <c r="L260" s="1696"/>
      <c r="M260" s="1696"/>
      <c r="N260" s="1696"/>
      <c r="O260" s="1970"/>
      <c r="R260" s="1968" t="s">
        <v>25</v>
      </c>
      <c r="S260" s="1696"/>
      <c r="T260" s="1696"/>
      <c r="U260" s="1696"/>
      <c r="V260" s="1696"/>
      <c r="W260" s="1696"/>
    </row>
    <row r="261" spans="1:23" ht="18" x14ac:dyDescent="0.3">
      <c r="A261" s="2436">
        <v>255</v>
      </c>
      <c r="B261" s="1962" t="s">
        <v>5765</v>
      </c>
      <c r="C261" s="1963" t="s">
        <v>1344</v>
      </c>
      <c r="D261" s="1964">
        <v>64</v>
      </c>
      <c r="E261" s="1965">
        <v>2506</v>
      </c>
      <c r="F261" s="1966" t="s">
        <v>5764</v>
      </c>
      <c r="G261" s="455">
        <v>1400</v>
      </c>
      <c r="H261" s="1967" t="s">
        <v>4128</v>
      </c>
      <c r="I261" s="1968" t="s">
        <v>25</v>
      </c>
      <c r="J261" s="1696"/>
      <c r="K261" s="1696"/>
      <c r="L261" s="1696"/>
      <c r="M261" s="1696"/>
      <c r="N261" s="1696"/>
      <c r="O261" s="1970"/>
      <c r="R261" s="1968" t="s">
        <v>25</v>
      </c>
      <c r="S261" s="1696"/>
      <c r="T261" s="1696"/>
      <c r="U261" s="1696"/>
      <c r="V261" s="1696"/>
      <c r="W261" s="1696"/>
    </row>
    <row r="262" spans="1:23" ht="18" x14ac:dyDescent="0.3">
      <c r="A262" s="2436">
        <v>256</v>
      </c>
      <c r="B262" s="1962" t="s">
        <v>5765</v>
      </c>
      <c r="C262" s="1963" t="s">
        <v>1344</v>
      </c>
      <c r="D262" s="1964">
        <v>64</v>
      </c>
      <c r="E262" s="1965">
        <v>2507</v>
      </c>
      <c r="F262" s="1966" t="s">
        <v>5764</v>
      </c>
      <c r="G262" s="455">
        <v>1400</v>
      </c>
      <c r="H262" s="1967" t="s">
        <v>4128</v>
      </c>
      <c r="I262" s="1968" t="s">
        <v>25</v>
      </c>
      <c r="J262" s="1696"/>
      <c r="K262" s="1696"/>
      <c r="L262" s="1696"/>
      <c r="M262" s="1696"/>
      <c r="N262" s="1696"/>
      <c r="O262" s="1970"/>
      <c r="R262" s="1968" t="s">
        <v>25</v>
      </c>
      <c r="S262" s="1696"/>
      <c r="T262" s="1696"/>
      <c r="U262" s="1696"/>
      <c r="V262" s="1696"/>
      <c r="W262" s="1696"/>
    </row>
    <row r="263" spans="1:23" ht="18" x14ac:dyDescent="0.3">
      <c r="A263" s="2436">
        <v>257</v>
      </c>
      <c r="B263" s="1962" t="s">
        <v>5765</v>
      </c>
      <c r="C263" s="1963" t="s">
        <v>1344</v>
      </c>
      <c r="D263" s="1964">
        <v>64</v>
      </c>
      <c r="E263" s="1965">
        <v>2508</v>
      </c>
      <c r="F263" s="1966" t="s">
        <v>5764</v>
      </c>
      <c r="G263" s="455">
        <v>1400</v>
      </c>
      <c r="H263" s="1967" t="s">
        <v>4128</v>
      </c>
      <c r="I263" s="1968" t="s">
        <v>25</v>
      </c>
      <c r="J263" s="1696"/>
      <c r="K263" s="1696"/>
      <c r="L263" s="1696"/>
      <c r="M263" s="1696"/>
      <c r="N263" s="1696"/>
      <c r="O263" s="1970"/>
      <c r="R263" s="1968" t="s">
        <v>25</v>
      </c>
      <c r="S263" s="1696"/>
      <c r="T263" s="1696"/>
      <c r="U263" s="1696"/>
      <c r="V263" s="1696"/>
      <c r="W263" s="1696"/>
    </row>
    <row r="264" spans="1:23" ht="18" x14ac:dyDescent="0.3">
      <c r="A264" s="2436">
        <v>258</v>
      </c>
      <c r="B264" s="1962" t="s">
        <v>5765</v>
      </c>
      <c r="C264" s="1963" t="s">
        <v>1344</v>
      </c>
      <c r="D264" s="1964">
        <v>64</v>
      </c>
      <c r="E264" s="1965">
        <v>2509</v>
      </c>
      <c r="F264" s="1966" t="s">
        <v>5764</v>
      </c>
      <c r="G264" s="455">
        <v>1400</v>
      </c>
      <c r="H264" s="1967" t="s">
        <v>4128</v>
      </c>
      <c r="I264" s="1968" t="s">
        <v>25</v>
      </c>
      <c r="J264" s="1696"/>
      <c r="K264" s="1696"/>
      <c r="L264" s="1696"/>
      <c r="M264" s="1696"/>
      <c r="N264" s="1696"/>
      <c r="O264" s="1970"/>
      <c r="R264" s="1968" t="s">
        <v>25</v>
      </c>
      <c r="S264" s="1696"/>
      <c r="T264" s="1696"/>
      <c r="U264" s="1696"/>
      <c r="V264" s="1696"/>
      <c r="W264" s="1696"/>
    </row>
    <row r="265" spans="1:23" ht="18" x14ac:dyDescent="0.3">
      <c r="A265" s="2436">
        <v>259</v>
      </c>
      <c r="B265" s="1962" t="s">
        <v>5765</v>
      </c>
      <c r="C265" s="1963" t="s">
        <v>1344</v>
      </c>
      <c r="D265" s="1964">
        <v>64</v>
      </c>
      <c r="E265" s="1965">
        <v>2510</v>
      </c>
      <c r="F265" s="1966" t="s">
        <v>5764</v>
      </c>
      <c r="G265" s="455">
        <v>1400</v>
      </c>
      <c r="H265" s="1967" t="s">
        <v>4128</v>
      </c>
      <c r="I265" s="1968" t="s">
        <v>25</v>
      </c>
      <c r="J265" s="1696"/>
      <c r="K265" s="1696"/>
      <c r="L265" s="1696"/>
      <c r="M265" s="1696"/>
      <c r="N265" s="1696"/>
      <c r="O265" s="1970"/>
      <c r="R265" s="1968" t="s">
        <v>25</v>
      </c>
      <c r="S265" s="1696"/>
      <c r="T265" s="1696"/>
      <c r="U265" s="1696"/>
      <c r="V265" s="1696"/>
      <c r="W265" s="1696"/>
    </row>
    <row r="266" spans="1:23" ht="18" x14ac:dyDescent="0.3">
      <c r="A266" s="2436">
        <v>260</v>
      </c>
      <c r="B266" s="1962" t="s">
        <v>5765</v>
      </c>
      <c r="C266" s="1963" t="s">
        <v>1344</v>
      </c>
      <c r="D266" s="1964">
        <v>64</v>
      </c>
      <c r="E266" s="1965">
        <v>2511</v>
      </c>
      <c r="F266" s="1966" t="s">
        <v>5764</v>
      </c>
      <c r="G266" s="455">
        <v>1400</v>
      </c>
      <c r="H266" s="1967" t="s">
        <v>4128</v>
      </c>
      <c r="I266" s="1968" t="s">
        <v>25</v>
      </c>
      <c r="J266" s="1696"/>
      <c r="K266" s="1696"/>
      <c r="L266" s="1696"/>
      <c r="M266" s="1696"/>
      <c r="N266" s="1696"/>
      <c r="O266" s="1970"/>
      <c r="R266" s="1968" t="s">
        <v>25</v>
      </c>
      <c r="S266" s="1696"/>
      <c r="T266" s="1696"/>
      <c r="U266" s="1696"/>
      <c r="V266" s="1696"/>
      <c r="W266" s="1696"/>
    </row>
    <row r="267" spans="1:23" ht="18" x14ac:dyDescent="0.3">
      <c r="A267" s="2436">
        <v>261</v>
      </c>
      <c r="B267" s="1962" t="s">
        <v>5765</v>
      </c>
      <c r="C267" s="1963" t="s">
        <v>1344</v>
      </c>
      <c r="D267" s="1964">
        <v>64</v>
      </c>
      <c r="E267" s="1965">
        <v>2512</v>
      </c>
      <c r="F267" s="1966" t="s">
        <v>5764</v>
      </c>
      <c r="G267" s="455">
        <v>1400</v>
      </c>
      <c r="H267" s="1967" t="s">
        <v>4128</v>
      </c>
      <c r="I267" s="1968" t="s">
        <v>25</v>
      </c>
      <c r="J267" s="1696"/>
      <c r="K267" s="1696"/>
      <c r="L267" s="1696"/>
      <c r="M267" s="1696"/>
      <c r="N267" s="1696"/>
      <c r="O267" s="1970"/>
      <c r="R267" s="1968" t="s">
        <v>25</v>
      </c>
      <c r="S267" s="1696"/>
      <c r="T267" s="1696"/>
      <c r="U267" s="1696"/>
      <c r="V267" s="1696"/>
      <c r="W267" s="1696"/>
    </row>
    <row r="268" spans="1:23" ht="18" x14ac:dyDescent="0.3">
      <c r="A268" s="2436">
        <v>262</v>
      </c>
      <c r="B268" s="1962" t="s">
        <v>5765</v>
      </c>
      <c r="C268" s="1963" t="s">
        <v>1344</v>
      </c>
      <c r="D268" s="1964">
        <v>64</v>
      </c>
      <c r="E268" s="1965">
        <v>2513</v>
      </c>
      <c r="F268" s="1966" t="s">
        <v>5764</v>
      </c>
      <c r="G268" s="455">
        <v>1400</v>
      </c>
      <c r="H268" s="1967" t="s">
        <v>4128</v>
      </c>
      <c r="I268" s="1968" t="s">
        <v>25</v>
      </c>
      <c r="J268" s="1696"/>
      <c r="K268" s="1696"/>
      <c r="L268" s="1696"/>
      <c r="M268" s="1696"/>
      <c r="N268" s="1696"/>
      <c r="O268" s="1970"/>
      <c r="R268" s="1968" t="s">
        <v>25</v>
      </c>
      <c r="S268" s="1696"/>
      <c r="T268" s="1696"/>
      <c r="U268" s="1696"/>
      <c r="V268" s="1696"/>
      <c r="W268" s="1696"/>
    </row>
    <row r="269" spans="1:23" ht="18" x14ac:dyDescent="0.3">
      <c r="A269" s="2436">
        <v>263</v>
      </c>
      <c r="B269" s="1962" t="s">
        <v>5765</v>
      </c>
      <c r="C269" s="1963" t="s">
        <v>1344</v>
      </c>
      <c r="D269" s="1964">
        <v>64</v>
      </c>
      <c r="E269" s="1965">
        <v>2514</v>
      </c>
      <c r="F269" s="1966" t="s">
        <v>5764</v>
      </c>
      <c r="G269" s="455">
        <v>1400</v>
      </c>
      <c r="H269" s="1967" t="s">
        <v>4128</v>
      </c>
      <c r="I269" s="1968" t="s">
        <v>25</v>
      </c>
      <c r="J269" s="1696"/>
      <c r="K269" s="1696"/>
      <c r="L269" s="1696"/>
      <c r="M269" s="1696"/>
      <c r="N269" s="1696"/>
      <c r="O269" s="1970"/>
      <c r="R269" s="1968" t="s">
        <v>25</v>
      </c>
      <c r="S269" s="1696"/>
      <c r="T269" s="1696"/>
      <c r="U269" s="1696"/>
      <c r="V269" s="1696"/>
      <c r="W269" s="1696"/>
    </row>
    <row r="270" spans="1:23" ht="18" x14ac:dyDescent="0.3">
      <c r="A270" s="2436">
        <v>264</v>
      </c>
      <c r="B270" s="1962" t="s">
        <v>5765</v>
      </c>
      <c r="C270" s="1963" t="s">
        <v>1344</v>
      </c>
      <c r="D270" s="1964">
        <v>64</v>
      </c>
      <c r="E270" s="1965">
        <v>2515</v>
      </c>
      <c r="F270" s="1966" t="s">
        <v>5764</v>
      </c>
      <c r="G270" s="455">
        <v>1400</v>
      </c>
      <c r="H270" s="1967" t="s">
        <v>4128</v>
      </c>
      <c r="I270" s="1968" t="s">
        <v>25</v>
      </c>
      <c r="J270" s="1696"/>
      <c r="K270" s="1696"/>
      <c r="L270" s="1696"/>
      <c r="M270" s="1696"/>
      <c r="N270" s="1696"/>
      <c r="O270" s="1970"/>
      <c r="R270" s="1968" t="s">
        <v>25</v>
      </c>
      <c r="S270" s="1696"/>
      <c r="T270" s="1696"/>
      <c r="U270" s="1696"/>
      <c r="V270" s="1696"/>
      <c r="W270" s="1696"/>
    </row>
    <row r="271" spans="1:23" ht="18" x14ac:dyDescent="0.3">
      <c r="A271" s="2436">
        <v>265</v>
      </c>
      <c r="B271" s="1962" t="s">
        <v>5765</v>
      </c>
      <c r="C271" s="1963" t="s">
        <v>1344</v>
      </c>
      <c r="D271" s="1964">
        <v>64</v>
      </c>
      <c r="E271" s="1965">
        <v>2516</v>
      </c>
      <c r="F271" s="1966" t="s">
        <v>5764</v>
      </c>
      <c r="G271" s="455">
        <v>1400</v>
      </c>
      <c r="H271" s="1967" t="s">
        <v>4128</v>
      </c>
      <c r="I271" s="1968" t="s">
        <v>25</v>
      </c>
      <c r="J271" s="1696"/>
      <c r="K271" s="1696"/>
      <c r="L271" s="1696"/>
      <c r="M271" s="1696"/>
      <c r="N271" s="1696"/>
      <c r="O271" s="1970"/>
      <c r="R271" s="1968" t="s">
        <v>25</v>
      </c>
      <c r="S271" s="1696"/>
      <c r="T271" s="1696"/>
      <c r="U271" s="1696"/>
      <c r="V271" s="1696"/>
      <c r="W271" s="1696"/>
    </row>
    <row r="272" spans="1:23" ht="18" x14ac:dyDescent="0.3">
      <c r="A272" s="2436">
        <v>266</v>
      </c>
      <c r="B272" s="1962" t="s">
        <v>5765</v>
      </c>
      <c r="C272" s="1963" t="s">
        <v>1344</v>
      </c>
      <c r="D272" s="1964">
        <v>64</v>
      </c>
      <c r="E272" s="1965">
        <v>2517</v>
      </c>
      <c r="F272" s="1966" t="s">
        <v>5764</v>
      </c>
      <c r="G272" s="455">
        <v>1400</v>
      </c>
      <c r="H272" s="1967" t="s">
        <v>4128</v>
      </c>
      <c r="I272" s="1968" t="s">
        <v>25</v>
      </c>
      <c r="J272" s="1696"/>
      <c r="K272" s="1696"/>
      <c r="L272" s="1696"/>
      <c r="M272" s="1696"/>
      <c r="N272" s="1696"/>
      <c r="O272" s="1970"/>
      <c r="R272" s="1968" t="s">
        <v>25</v>
      </c>
      <c r="S272" s="1696"/>
      <c r="T272" s="1696"/>
      <c r="U272" s="1696"/>
      <c r="V272" s="1696"/>
      <c r="W272" s="1696"/>
    </row>
    <row r="273" spans="1:23" ht="18" x14ac:dyDescent="0.3">
      <c r="A273" s="2436">
        <v>267</v>
      </c>
      <c r="B273" s="1962" t="s">
        <v>5765</v>
      </c>
      <c r="C273" s="1963" t="s">
        <v>1344</v>
      </c>
      <c r="D273" s="1964">
        <v>64</v>
      </c>
      <c r="E273" s="1965">
        <v>2518</v>
      </c>
      <c r="F273" s="1966" t="s">
        <v>5764</v>
      </c>
      <c r="G273" s="455">
        <v>1400</v>
      </c>
      <c r="H273" s="1967" t="s">
        <v>4128</v>
      </c>
      <c r="I273" s="1968" t="s">
        <v>25</v>
      </c>
      <c r="J273" s="1696"/>
      <c r="K273" s="1696"/>
      <c r="L273" s="1696"/>
      <c r="M273" s="1696"/>
      <c r="N273" s="1696"/>
      <c r="O273" s="1970"/>
      <c r="R273" s="1968" t="s">
        <v>25</v>
      </c>
      <c r="S273" s="1696"/>
      <c r="T273" s="1696"/>
      <c r="U273" s="1696"/>
      <c r="V273" s="1696"/>
      <c r="W273" s="1696"/>
    </row>
    <row r="274" spans="1:23" ht="18" x14ac:dyDescent="0.3">
      <c r="A274" s="2436">
        <v>268</v>
      </c>
      <c r="B274" s="1962" t="s">
        <v>5765</v>
      </c>
      <c r="C274" s="1963" t="s">
        <v>1344</v>
      </c>
      <c r="D274" s="1964">
        <v>64</v>
      </c>
      <c r="E274" s="1965">
        <v>2519</v>
      </c>
      <c r="F274" s="1966" t="s">
        <v>5764</v>
      </c>
      <c r="G274" s="455">
        <v>1400</v>
      </c>
      <c r="H274" s="1967" t="s">
        <v>4128</v>
      </c>
      <c r="I274" s="1968" t="s">
        <v>25</v>
      </c>
      <c r="J274" s="1696"/>
      <c r="K274" s="1696"/>
      <c r="L274" s="1696"/>
      <c r="M274" s="1696"/>
      <c r="N274" s="1696"/>
      <c r="O274" s="1970"/>
      <c r="R274" s="1968" t="s">
        <v>25</v>
      </c>
      <c r="S274" s="1696"/>
      <c r="T274" s="1696"/>
      <c r="U274" s="1696"/>
      <c r="V274" s="1696"/>
      <c r="W274" s="1696"/>
    </row>
    <row r="275" spans="1:23" ht="18" x14ac:dyDescent="0.3">
      <c r="A275" s="2436">
        <v>269</v>
      </c>
      <c r="B275" s="1962" t="s">
        <v>5765</v>
      </c>
      <c r="C275" s="1963" t="s">
        <v>1344</v>
      </c>
      <c r="D275" s="1964">
        <v>64</v>
      </c>
      <c r="E275" s="1965">
        <v>2520</v>
      </c>
      <c r="F275" s="1966" t="s">
        <v>5764</v>
      </c>
      <c r="G275" s="455">
        <v>1400</v>
      </c>
      <c r="H275" s="1967" t="s">
        <v>4128</v>
      </c>
      <c r="I275" s="1968" t="s">
        <v>25</v>
      </c>
      <c r="J275" s="1696"/>
      <c r="K275" s="1696"/>
      <c r="L275" s="1696"/>
      <c r="M275" s="1696"/>
      <c r="N275" s="1696"/>
      <c r="O275" s="1970"/>
      <c r="R275" s="1968" t="s">
        <v>25</v>
      </c>
      <c r="S275" s="1696"/>
      <c r="T275" s="1696"/>
      <c r="U275" s="1696"/>
      <c r="V275" s="1696"/>
      <c r="W275" s="1696"/>
    </row>
    <row r="276" spans="1:23" ht="18" x14ac:dyDescent="0.3">
      <c r="A276" s="2436">
        <v>270</v>
      </c>
      <c r="B276" s="1962" t="s">
        <v>5765</v>
      </c>
      <c r="C276" s="1963" t="s">
        <v>1344</v>
      </c>
      <c r="D276" s="1964">
        <v>64</v>
      </c>
      <c r="E276" s="1965">
        <v>2521</v>
      </c>
      <c r="F276" s="1966" t="s">
        <v>5764</v>
      </c>
      <c r="G276" s="455">
        <v>1400</v>
      </c>
      <c r="H276" s="1967" t="s">
        <v>4128</v>
      </c>
      <c r="I276" s="1968" t="s">
        <v>25</v>
      </c>
      <c r="J276" s="1696"/>
      <c r="K276" s="1696"/>
      <c r="L276" s="1696"/>
      <c r="M276" s="1696"/>
      <c r="N276" s="1696"/>
      <c r="O276" s="1970"/>
      <c r="R276" s="1968" t="s">
        <v>25</v>
      </c>
      <c r="S276" s="1696"/>
      <c r="T276" s="1696"/>
      <c r="U276" s="1696"/>
      <c r="V276" s="1696"/>
      <c r="W276" s="1696"/>
    </row>
    <row r="277" spans="1:23" ht="18" x14ac:dyDescent="0.3">
      <c r="A277" s="2436">
        <v>271</v>
      </c>
      <c r="B277" s="1962" t="s">
        <v>5765</v>
      </c>
      <c r="C277" s="1963" t="s">
        <v>1344</v>
      </c>
      <c r="D277" s="1964">
        <v>64</v>
      </c>
      <c r="E277" s="1965">
        <v>2522</v>
      </c>
      <c r="F277" s="1966" t="s">
        <v>5764</v>
      </c>
      <c r="G277" s="455">
        <v>1400</v>
      </c>
      <c r="H277" s="1967" t="s">
        <v>4128</v>
      </c>
      <c r="I277" s="1968" t="s">
        <v>25</v>
      </c>
      <c r="J277" s="1696"/>
      <c r="K277" s="1696"/>
      <c r="L277" s="1696"/>
      <c r="M277" s="1696"/>
      <c r="N277" s="1696"/>
      <c r="O277" s="1970"/>
      <c r="R277" s="1968" t="s">
        <v>25</v>
      </c>
      <c r="S277" s="1696"/>
      <c r="T277" s="1696"/>
      <c r="U277" s="1696"/>
      <c r="V277" s="1696"/>
      <c r="W277" s="1696"/>
    </row>
    <row r="278" spans="1:23" ht="18" x14ac:dyDescent="0.3">
      <c r="A278" s="2436">
        <v>272</v>
      </c>
      <c r="B278" s="1962" t="s">
        <v>5765</v>
      </c>
      <c r="C278" s="1963" t="s">
        <v>1344</v>
      </c>
      <c r="D278" s="1964">
        <v>64</v>
      </c>
      <c r="E278" s="1965">
        <v>2523</v>
      </c>
      <c r="F278" s="1966" t="s">
        <v>5764</v>
      </c>
      <c r="G278" s="455">
        <v>1400</v>
      </c>
      <c r="H278" s="1967" t="s">
        <v>4128</v>
      </c>
      <c r="I278" s="1968" t="s">
        <v>25</v>
      </c>
      <c r="J278" s="1696"/>
      <c r="K278" s="1696"/>
      <c r="L278" s="1696"/>
      <c r="M278" s="1696"/>
      <c r="N278" s="1696"/>
      <c r="O278" s="1970"/>
      <c r="R278" s="1968" t="s">
        <v>25</v>
      </c>
      <c r="S278" s="1696"/>
      <c r="T278" s="1696"/>
      <c r="U278" s="1696"/>
      <c r="V278" s="1696"/>
      <c r="W278" s="1696"/>
    </row>
    <row r="279" spans="1:23" ht="18" x14ac:dyDescent="0.3">
      <c r="A279" s="2436">
        <v>273</v>
      </c>
      <c r="B279" s="1962" t="s">
        <v>5765</v>
      </c>
      <c r="C279" s="1963" t="s">
        <v>1344</v>
      </c>
      <c r="D279" s="1964">
        <v>64</v>
      </c>
      <c r="E279" s="1965">
        <v>2524</v>
      </c>
      <c r="F279" s="1966" t="s">
        <v>5764</v>
      </c>
      <c r="G279" s="455">
        <v>1400</v>
      </c>
      <c r="H279" s="1967" t="s">
        <v>4128</v>
      </c>
      <c r="I279" s="1968" t="s">
        <v>25</v>
      </c>
      <c r="J279" s="1696"/>
      <c r="K279" s="1696"/>
      <c r="L279" s="1696"/>
      <c r="M279" s="1696"/>
      <c r="N279" s="1696"/>
      <c r="O279" s="1970"/>
      <c r="R279" s="1968" t="s">
        <v>25</v>
      </c>
      <c r="S279" s="1696"/>
      <c r="T279" s="1696"/>
      <c r="U279" s="1696"/>
      <c r="V279" s="1696"/>
      <c r="W279" s="1696"/>
    </row>
    <row r="280" spans="1:23" ht="18" x14ac:dyDescent="0.3">
      <c r="A280" s="2436">
        <v>274</v>
      </c>
      <c r="B280" s="1962" t="s">
        <v>5765</v>
      </c>
      <c r="C280" s="1963" t="s">
        <v>1344</v>
      </c>
      <c r="D280" s="1964">
        <v>64</v>
      </c>
      <c r="E280" s="1965">
        <v>2525</v>
      </c>
      <c r="F280" s="1966" t="s">
        <v>5764</v>
      </c>
      <c r="G280" s="455">
        <v>1400</v>
      </c>
      <c r="H280" s="1967" t="s">
        <v>4128</v>
      </c>
      <c r="I280" s="1968" t="s">
        <v>25</v>
      </c>
      <c r="J280" s="1696"/>
      <c r="K280" s="1696"/>
      <c r="L280" s="1696"/>
      <c r="M280" s="1696"/>
      <c r="N280" s="1696"/>
      <c r="O280" s="1970"/>
      <c r="R280" s="1968" t="s">
        <v>25</v>
      </c>
      <c r="S280" s="1696"/>
      <c r="T280" s="1696"/>
      <c r="U280" s="1696"/>
      <c r="V280" s="1696"/>
      <c r="W280" s="1696"/>
    </row>
    <row r="281" spans="1:23" ht="18" x14ac:dyDescent="0.3">
      <c r="A281" s="2436">
        <v>275</v>
      </c>
      <c r="B281" s="1962" t="s">
        <v>5765</v>
      </c>
      <c r="C281" s="1963" t="s">
        <v>1344</v>
      </c>
      <c r="D281" s="1964">
        <v>64</v>
      </c>
      <c r="E281" s="1965">
        <v>2526</v>
      </c>
      <c r="F281" s="1966" t="s">
        <v>5764</v>
      </c>
      <c r="G281" s="455">
        <v>1400</v>
      </c>
      <c r="H281" s="1967" t="s">
        <v>4128</v>
      </c>
      <c r="I281" s="1968" t="s">
        <v>25</v>
      </c>
      <c r="J281" s="1696"/>
      <c r="K281" s="1696"/>
      <c r="L281" s="1696"/>
      <c r="M281" s="1696"/>
      <c r="N281" s="1696"/>
      <c r="O281" s="1970"/>
      <c r="R281" s="1968" t="s">
        <v>25</v>
      </c>
      <c r="S281" s="1696"/>
      <c r="T281" s="1696"/>
      <c r="U281" s="1696"/>
      <c r="V281" s="1696"/>
      <c r="W281" s="1696"/>
    </row>
    <row r="282" spans="1:23" ht="18" x14ac:dyDescent="0.3">
      <c r="A282" s="2436">
        <v>276</v>
      </c>
      <c r="B282" s="1962" t="s">
        <v>5765</v>
      </c>
      <c r="C282" s="1963" t="s">
        <v>1344</v>
      </c>
      <c r="D282" s="1964">
        <v>64</v>
      </c>
      <c r="E282" s="1965">
        <v>2527</v>
      </c>
      <c r="F282" s="1966" t="s">
        <v>5764</v>
      </c>
      <c r="G282" s="455">
        <v>1400</v>
      </c>
      <c r="H282" s="1967" t="s">
        <v>4128</v>
      </c>
      <c r="I282" s="1968" t="s">
        <v>25</v>
      </c>
      <c r="J282" s="1696"/>
      <c r="K282" s="1696"/>
      <c r="L282" s="1696"/>
      <c r="M282" s="1696"/>
      <c r="N282" s="1696"/>
      <c r="O282" s="1970"/>
      <c r="R282" s="1968" t="s">
        <v>25</v>
      </c>
      <c r="S282" s="1696"/>
      <c r="T282" s="1696"/>
      <c r="U282" s="1696"/>
      <c r="V282" s="1696"/>
      <c r="W282" s="1696"/>
    </row>
    <row r="283" spans="1:23" ht="18" x14ac:dyDescent="0.3">
      <c r="A283" s="2436">
        <v>277</v>
      </c>
      <c r="B283" s="1962" t="s">
        <v>5765</v>
      </c>
      <c r="C283" s="1963" t="s">
        <v>1344</v>
      </c>
      <c r="D283" s="1964">
        <v>64</v>
      </c>
      <c r="E283" s="1965">
        <v>2528</v>
      </c>
      <c r="F283" s="1966" t="s">
        <v>5764</v>
      </c>
      <c r="G283" s="455">
        <v>1400</v>
      </c>
      <c r="H283" s="1967" t="s">
        <v>4128</v>
      </c>
      <c r="I283" s="1968" t="s">
        <v>25</v>
      </c>
      <c r="J283" s="1696"/>
      <c r="K283" s="1696"/>
      <c r="L283" s="1696"/>
      <c r="M283" s="1696"/>
      <c r="N283" s="1696"/>
      <c r="O283" s="1970"/>
      <c r="R283" s="1968" t="s">
        <v>25</v>
      </c>
      <c r="S283" s="1696"/>
      <c r="T283" s="1696"/>
      <c r="U283" s="1696"/>
      <c r="V283" s="1696"/>
      <c r="W283" s="1696"/>
    </row>
    <row r="284" spans="1:23" ht="18" x14ac:dyDescent="0.3">
      <c r="A284" s="2436">
        <v>278</v>
      </c>
      <c r="B284" s="1962" t="s">
        <v>5765</v>
      </c>
      <c r="C284" s="1963" t="s">
        <v>1344</v>
      </c>
      <c r="D284" s="1964">
        <v>64</v>
      </c>
      <c r="E284" s="1965">
        <v>2529</v>
      </c>
      <c r="F284" s="1966" t="s">
        <v>5764</v>
      </c>
      <c r="G284" s="455">
        <v>1400</v>
      </c>
      <c r="H284" s="1967" t="s">
        <v>4128</v>
      </c>
      <c r="I284" s="1968" t="s">
        <v>25</v>
      </c>
      <c r="J284" s="1696"/>
      <c r="K284" s="1696"/>
      <c r="L284" s="1696"/>
      <c r="M284" s="1696"/>
      <c r="N284" s="1696"/>
      <c r="O284" s="1970"/>
      <c r="R284" s="1968" t="s">
        <v>25</v>
      </c>
      <c r="S284" s="1696"/>
      <c r="T284" s="1696"/>
      <c r="U284" s="1696"/>
      <c r="V284" s="1696"/>
      <c r="W284" s="1696"/>
    </row>
    <row r="285" spans="1:23" ht="18" x14ac:dyDescent="0.3">
      <c r="A285" s="2436">
        <v>279</v>
      </c>
      <c r="B285" s="1962" t="s">
        <v>5765</v>
      </c>
      <c r="C285" s="1963" t="s">
        <v>1344</v>
      </c>
      <c r="D285" s="1964">
        <v>64</v>
      </c>
      <c r="E285" s="1965">
        <v>2530</v>
      </c>
      <c r="F285" s="1966" t="s">
        <v>5764</v>
      </c>
      <c r="G285" s="455">
        <v>1400</v>
      </c>
      <c r="H285" s="1967" t="s">
        <v>4128</v>
      </c>
      <c r="I285" s="1968" t="s">
        <v>25</v>
      </c>
      <c r="J285" s="1696"/>
      <c r="K285" s="1696"/>
      <c r="L285" s="1696"/>
      <c r="M285" s="1696"/>
      <c r="N285" s="1696"/>
      <c r="O285" s="1970"/>
      <c r="R285" s="1968" t="s">
        <v>25</v>
      </c>
      <c r="S285" s="1696"/>
      <c r="T285" s="1696"/>
      <c r="U285" s="1696"/>
      <c r="V285" s="1696"/>
      <c r="W285" s="1696"/>
    </row>
    <row r="286" spans="1:23" ht="18" x14ac:dyDescent="0.3">
      <c r="A286" s="2436">
        <v>280</v>
      </c>
      <c r="B286" s="1962" t="s">
        <v>5765</v>
      </c>
      <c r="C286" s="1963" t="s">
        <v>1344</v>
      </c>
      <c r="D286" s="1964">
        <v>64</v>
      </c>
      <c r="E286" s="1965">
        <v>2531</v>
      </c>
      <c r="F286" s="1966" t="s">
        <v>5764</v>
      </c>
      <c r="G286" s="455">
        <v>1400</v>
      </c>
      <c r="H286" s="1967" t="s">
        <v>4128</v>
      </c>
      <c r="I286" s="1968" t="s">
        <v>25</v>
      </c>
      <c r="J286" s="1696"/>
      <c r="K286" s="1696"/>
      <c r="L286" s="1696"/>
      <c r="M286" s="1696"/>
      <c r="N286" s="1696"/>
      <c r="O286" s="1970"/>
      <c r="R286" s="1968" t="s">
        <v>25</v>
      </c>
      <c r="S286" s="1696"/>
      <c r="T286" s="1696"/>
      <c r="U286" s="1696"/>
      <c r="V286" s="1696"/>
      <c r="W286" s="1696"/>
    </row>
    <row r="287" spans="1:23" ht="18" x14ac:dyDescent="0.3">
      <c r="A287" s="2436">
        <v>281</v>
      </c>
      <c r="B287" s="1962" t="s">
        <v>5765</v>
      </c>
      <c r="C287" s="1963" t="s">
        <v>1344</v>
      </c>
      <c r="D287" s="1964">
        <v>64</v>
      </c>
      <c r="E287" s="1965">
        <v>2532</v>
      </c>
      <c r="F287" s="1966" t="s">
        <v>5764</v>
      </c>
      <c r="G287" s="455">
        <v>1400</v>
      </c>
      <c r="H287" s="1967" t="s">
        <v>4128</v>
      </c>
      <c r="I287" s="1968" t="s">
        <v>25</v>
      </c>
      <c r="J287" s="1696"/>
      <c r="K287" s="1696"/>
      <c r="L287" s="1696"/>
      <c r="M287" s="1696"/>
      <c r="N287" s="1696"/>
      <c r="O287" s="1970"/>
      <c r="R287" s="1968" t="s">
        <v>25</v>
      </c>
      <c r="S287" s="1696"/>
      <c r="T287" s="1696"/>
      <c r="U287" s="1696"/>
      <c r="V287" s="1696"/>
      <c r="W287" s="1696"/>
    </row>
    <row r="288" spans="1:23" ht="18" x14ac:dyDescent="0.3">
      <c r="A288" s="2436">
        <v>282</v>
      </c>
      <c r="B288" s="1962" t="s">
        <v>5765</v>
      </c>
      <c r="C288" s="1963" t="s">
        <v>1344</v>
      </c>
      <c r="D288" s="1964">
        <v>64</v>
      </c>
      <c r="E288" s="1965">
        <v>2533</v>
      </c>
      <c r="F288" s="1966" t="s">
        <v>5764</v>
      </c>
      <c r="G288" s="455">
        <v>1400</v>
      </c>
      <c r="H288" s="1967" t="s">
        <v>4128</v>
      </c>
      <c r="I288" s="1968" t="s">
        <v>25</v>
      </c>
      <c r="J288" s="1696"/>
      <c r="K288" s="1696"/>
      <c r="L288" s="1696"/>
      <c r="M288" s="1696"/>
      <c r="N288" s="1696"/>
      <c r="O288" s="1970"/>
      <c r="R288" s="1968" t="s">
        <v>25</v>
      </c>
      <c r="S288" s="1696"/>
      <c r="T288" s="1696"/>
      <c r="U288" s="1696"/>
      <c r="V288" s="1696"/>
      <c r="W288" s="1696"/>
    </row>
    <row r="289" spans="1:23" ht="18" x14ac:dyDescent="0.3">
      <c r="A289" s="2436">
        <v>283</v>
      </c>
      <c r="B289" s="1962" t="s">
        <v>5765</v>
      </c>
      <c r="C289" s="1963" t="s">
        <v>1344</v>
      </c>
      <c r="D289" s="1964">
        <v>64</v>
      </c>
      <c r="E289" s="1965">
        <v>2534</v>
      </c>
      <c r="F289" s="1966" t="s">
        <v>5764</v>
      </c>
      <c r="G289" s="455">
        <v>1400</v>
      </c>
      <c r="H289" s="1967" t="s">
        <v>4128</v>
      </c>
      <c r="I289" s="1968" t="s">
        <v>25</v>
      </c>
      <c r="J289" s="1696"/>
      <c r="K289" s="1696"/>
      <c r="L289" s="1696"/>
      <c r="M289" s="1696"/>
      <c r="N289" s="1696"/>
      <c r="O289" s="1970"/>
      <c r="R289" s="1968" t="s">
        <v>25</v>
      </c>
      <c r="S289" s="1696"/>
      <c r="T289" s="1696"/>
      <c r="U289" s="1696"/>
      <c r="V289" s="1696"/>
      <c r="W289" s="1696"/>
    </row>
    <row r="290" spans="1:23" ht="18" x14ac:dyDescent="0.3">
      <c r="A290" s="2436">
        <v>284</v>
      </c>
      <c r="B290" s="1962" t="s">
        <v>5765</v>
      </c>
      <c r="C290" s="1963" t="s">
        <v>1344</v>
      </c>
      <c r="D290" s="1964">
        <v>64</v>
      </c>
      <c r="E290" s="1965">
        <v>2535</v>
      </c>
      <c r="F290" s="1966" t="s">
        <v>5764</v>
      </c>
      <c r="G290" s="455">
        <v>1400</v>
      </c>
      <c r="H290" s="1967" t="s">
        <v>4128</v>
      </c>
      <c r="I290" s="1968" t="s">
        <v>25</v>
      </c>
      <c r="J290" s="1696"/>
      <c r="K290" s="1696"/>
      <c r="L290" s="1696"/>
      <c r="M290" s="1696"/>
      <c r="N290" s="1696"/>
      <c r="O290" s="1970"/>
      <c r="R290" s="1968" t="s">
        <v>25</v>
      </c>
      <c r="S290" s="1696"/>
      <c r="T290" s="1696"/>
      <c r="U290" s="1696"/>
      <c r="V290" s="1696"/>
      <c r="W290" s="1696"/>
    </row>
    <row r="291" spans="1:23" ht="18" x14ac:dyDescent="0.3">
      <c r="A291" s="2436">
        <v>285</v>
      </c>
      <c r="B291" s="1962" t="s">
        <v>5765</v>
      </c>
      <c r="C291" s="1963" t="s">
        <v>1344</v>
      </c>
      <c r="D291" s="1964">
        <v>64</v>
      </c>
      <c r="E291" s="1965">
        <v>2536</v>
      </c>
      <c r="F291" s="1966" t="s">
        <v>5764</v>
      </c>
      <c r="G291" s="455">
        <v>1400</v>
      </c>
      <c r="H291" s="1967" t="s">
        <v>4128</v>
      </c>
      <c r="I291" s="1968" t="s">
        <v>25</v>
      </c>
      <c r="J291" s="1696"/>
      <c r="K291" s="1696"/>
      <c r="L291" s="1696"/>
      <c r="M291" s="1696"/>
      <c r="N291" s="1696"/>
      <c r="O291" s="1970"/>
      <c r="R291" s="1968" t="s">
        <v>25</v>
      </c>
      <c r="S291" s="1696"/>
      <c r="T291" s="1696"/>
      <c r="U291" s="1696"/>
      <c r="V291" s="1696"/>
      <c r="W291" s="1696"/>
    </row>
    <row r="292" spans="1:23" ht="18" x14ac:dyDescent="0.3">
      <c r="A292" s="2436">
        <v>286</v>
      </c>
      <c r="B292" s="1962" t="s">
        <v>5765</v>
      </c>
      <c r="C292" s="1963" t="s">
        <v>1344</v>
      </c>
      <c r="D292" s="1964">
        <v>64</v>
      </c>
      <c r="E292" s="1965">
        <v>2537</v>
      </c>
      <c r="F292" s="1966" t="s">
        <v>5764</v>
      </c>
      <c r="G292" s="455">
        <v>1400</v>
      </c>
      <c r="H292" s="1967" t="s">
        <v>4128</v>
      </c>
      <c r="I292" s="1968" t="s">
        <v>25</v>
      </c>
      <c r="J292" s="1696"/>
      <c r="K292" s="1696"/>
      <c r="L292" s="1696"/>
      <c r="M292" s="1696"/>
      <c r="N292" s="1696"/>
      <c r="O292" s="1970"/>
      <c r="R292" s="1968" t="s">
        <v>25</v>
      </c>
      <c r="S292" s="1696"/>
      <c r="T292" s="1696"/>
      <c r="U292" s="1696"/>
      <c r="V292" s="1696"/>
      <c r="W292" s="1696"/>
    </row>
    <row r="293" spans="1:23" ht="18" x14ac:dyDescent="0.3">
      <c r="A293" s="2436">
        <v>287</v>
      </c>
      <c r="B293" s="1962" t="s">
        <v>5765</v>
      </c>
      <c r="C293" s="1963" t="s">
        <v>1344</v>
      </c>
      <c r="D293" s="1964">
        <v>64</v>
      </c>
      <c r="E293" s="1965">
        <v>2538</v>
      </c>
      <c r="F293" s="1966" t="s">
        <v>5764</v>
      </c>
      <c r="G293" s="455">
        <v>1400</v>
      </c>
      <c r="H293" s="1967" t="s">
        <v>4128</v>
      </c>
      <c r="I293" s="1968" t="s">
        <v>25</v>
      </c>
      <c r="J293" s="1696"/>
      <c r="K293" s="1696"/>
      <c r="L293" s="1696"/>
      <c r="M293" s="1696"/>
      <c r="N293" s="1696"/>
      <c r="O293" s="1970"/>
      <c r="R293" s="1968" t="s">
        <v>25</v>
      </c>
      <c r="S293" s="1696"/>
      <c r="T293" s="1696"/>
      <c r="U293" s="1696"/>
      <c r="V293" s="1696"/>
      <c r="W293" s="1696"/>
    </row>
    <row r="294" spans="1:23" ht="18" x14ac:dyDescent="0.3">
      <c r="A294" s="2436">
        <v>288</v>
      </c>
      <c r="B294" s="1962" t="s">
        <v>5765</v>
      </c>
      <c r="C294" s="1963" t="s">
        <v>1344</v>
      </c>
      <c r="D294" s="1964">
        <v>64</v>
      </c>
      <c r="E294" s="1965">
        <v>2539</v>
      </c>
      <c r="F294" s="1966" t="s">
        <v>5764</v>
      </c>
      <c r="G294" s="455">
        <v>1400</v>
      </c>
      <c r="H294" s="1967" t="s">
        <v>4128</v>
      </c>
      <c r="I294" s="1968" t="s">
        <v>25</v>
      </c>
      <c r="J294" s="1696"/>
      <c r="K294" s="1696"/>
      <c r="L294" s="1696"/>
      <c r="M294" s="1696"/>
      <c r="N294" s="1696"/>
      <c r="O294" s="1970"/>
      <c r="R294" s="1968" t="s">
        <v>25</v>
      </c>
      <c r="S294" s="1696"/>
      <c r="T294" s="1696"/>
      <c r="U294" s="1696"/>
      <c r="V294" s="1696"/>
      <c r="W294" s="1696"/>
    </row>
    <row r="295" spans="1:23" ht="18" x14ac:dyDescent="0.3">
      <c r="A295" s="2436">
        <v>289</v>
      </c>
      <c r="B295" s="1962" t="s">
        <v>5765</v>
      </c>
      <c r="C295" s="1963" t="s">
        <v>1344</v>
      </c>
      <c r="D295" s="1964">
        <v>64</v>
      </c>
      <c r="E295" s="1965">
        <v>2540</v>
      </c>
      <c r="F295" s="1966" t="s">
        <v>5764</v>
      </c>
      <c r="G295" s="455">
        <v>1400</v>
      </c>
      <c r="H295" s="1967" t="s">
        <v>4128</v>
      </c>
      <c r="I295" s="1968" t="s">
        <v>25</v>
      </c>
      <c r="J295" s="1696"/>
      <c r="K295" s="1696"/>
      <c r="L295" s="1696"/>
      <c r="M295" s="1696"/>
      <c r="N295" s="1696"/>
      <c r="O295" s="1970"/>
      <c r="R295" s="1968" t="s">
        <v>25</v>
      </c>
      <c r="S295" s="1696"/>
      <c r="T295" s="1696"/>
      <c r="U295" s="1696"/>
      <c r="V295" s="1696"/>
      <c r="W295" s="1696"/>
    </row>
    <row r="296" spans="1:23" ht="18" x14ac:dyDescent="0.3">
      <c r="A296" s="2436">
        <v>290</v>
      </c>
      <c r="B296" s="1962" t="s">
        <v>5765</v>
      </c>
      <c r="C296" s="1963" t="s">
        <v>1344</v>
      </c>
      <c r="D296" s="1964">
        <v>64</v>
      </c>
      <c r="E296" s="1965">
        <v>2541</v>
      </c>
      <c r="F296" s="1966" t="s">
        <v>5764</v>
      </c>
      <c r="G296" s="455">
        <v>1400</v>
      </c>
      <c r="H296" s="1967" t="s">
        <v>4128</v>
      </c>
      <c r="I296" s="1968" t="s">
        <v>25</v>
      </c>
      <c r="J296" s="1696"/>
      <c r="K296" s="1696"/>
      <c r="L296" s="1696"/>
      <c r="M296" s="1696"/>
      <c r="N296" s="1696"/>
      <c r="O296" s="1970"/>
      <c r="R296" s="1968" t="s">
        <v>25</v>
      </c>
      <c r="S296" s="1696"/>
      <c r="T296" s="1696"/>
      <c r="U296" s="1696"/>
      <c r="V296" s="1696"/>
      <c r="W296" s="1696"/>
    </row>
    <row r="297" spans="1:23" ht="18" x14ac:dyDescent="0.3">
      <c r="A297" s="2436">
        <v>291</v>
      </c>
      <c r="B297" s="1962" t="s">
        <v>5765</v>
      </c>
      <c r="C297" s="1963" t="s">
        <v>1344</v>
      </c>
      <c r="D297" s="1964">
        <v>64</v>
      </c>
      <c r="E297" s="1965">
        <v>2542</v>
      </c>
      <c r="F297" s="1966" t="s">
        <v>5764</v>
      </c>
      <c r="G297" s="455">
        <v>1400</v>
      </c>
      <c r="H297" s="1967" t="s">
        <v>4128</v>
      </c>
      <c r="I297" s="1968" t="s">
        <v>25</v>
      </c>
      <c r="J297" s="1696"/>
      <c r="K297" s="1696"/>
      <c r="L297" s="1696"/>
      <c r="M297" s="1696"/>
      <c r="N297" s="1696"/>
      <c r="O297" s="1970"/>
      <c r="R297" s="1968" t="s">
        <v>25</v>
      </c>
      <c r="S297" s="1696"/>
      <c r="T297" s="1696"/>
      <c r="U297" s="1696"/>
      <c r="V297" s="1696"/>
      <c r="W297" s="1696"/>
    </row>
    <row r="298" spans="1:23" ht="18" x14ac:dyDescent="0.3">
      <c r="A298" s="2436">
        <v>292</v>
      </c>
      <c r="B298" s="1962" t="s">
        <v>5765</v>
      </c>
      <c r="C298" s="1963" t="s">
        <v>1344</v>
      </c>
      <c r="D298" s="1964">
        <v>64</v>
      </c>
      <c r="E298" s="1965">
        <v>2543</v>
      </c>
      <c r="F298" s="1966" t="s">
        <v>5764</v>
      </c>
      <c r="G298" s="455">
        <v>1400</v>
      </c>
      <c r="H298" s="1967" t="s">
        <v>4128</v>
      </c>
      <c r="I298" s="1968" t="s">
        <v>25</v>
      </c>
      <c r="J298" s="1696"/>
      <c r="K298" s="1696"/>
      <c r="L298" s="1696"/>
      <c r="M298" s="1696"/>
      <c r="N298" s="1696"/>
      <c r="O298" s="1970"/>
      <c r="R298" s="1968" t="s">
        <v>25</v>
      </c>
      <c r="S298" s="1696"/>
      <c r="T298" s="1696"/>
      <c r="U298" s="1696"/>
      <c r="V298" s="1696"/>
      <c r="W298" s="1696"/>
    </row>
    <row r="299" spans="1:23" ht="18" x14ac:dyDescent="0.3">
      <c r="A299" s="2436">
        <v>293</v>
      </c>
      <c r="B299" s="1962" t="s">
        <v>5765</v>
      </c>
      <c r="C299" s="1963" t="s">
        <v>1344</v>
      </c>
      <c r="D299" s="1964">
        <v>64</v>
      </c>
      <c r="E299" s="1965">
        <v>2544</v>
      </c>
      <c r="F299" s="1966" t="s">
        <v>5764</v>
      </c>
      <c r="G299" s="455">
        <v>1400</v>
      </c>
      <c r="H299" s="1967" t="s">
        <v>4128</v>
      </c>
      <c r="I299" s="1968" t="s">
        <v>25</v>
      </c>
      <c r="J299" s="1696"/>
      <c r="K299" s="1696"/>
      <c r="L299" s="1696"/>
      <c r="M299" s="1696"/>
      <c r="N299" s="1696"/>
      <c r="O299" s="1970"/>
      <c r="R299" s="1968" t="s">
        <v>25</v>
      </c>
      <c r="S299" s="1696"/>
      <c r="T299" s="1696"/>
      <c r="U299" s="1696"/>
      <c r="V299" s="1696"/>
      <c r="W299" s="1696"/>
    </row>
    <row r="300" spans="1:23" ht="18" x14ac:dyDescent="0.3">
      <c r="A300" s="2436">
        <v>294</v>
      </c>
      <c r="B300" s="1962" t="s">
        <v>5765</v>
      </c>
      <c r="C300" s="1963" t="s">
        <v>1344</v>
      </c>
      <c r="D300" s="1964">
        <v>64</v>
      </c>
      <c r="E300" s="1965">
        <v>2545</v>
      </c>
      <c r="F300" s="1966" t="s">
        <v>5764</v>
      </c>
      <c r="G300" s="455">
        <v>1400</v>
      </c>
      <c r="H300" s="1967" t="s">
        <v>4128</v>
      </c>
      <c r="I300" s="1968" t="s">
        <v>25</v>
      </c>
      <c r="J300" s="1696"/>
      <c r="K300" s="1696"/>
      <c r="L300" s="1696"/>
      <c r="M300" s="1696"/>
      <c r="N300" s="1696"/>
      <c r="O300" s="1970"/>
      <c r="R300" s="1968" t="s">
        <v>25</v>
      </c>
      <c r="S300" s="1696"/>
      <c r="T300" s="1696"/>
      <c r="U300" s="1696"/>
      <c r="V300" s="1696"/>
      <c r="W300" s="1696"/>
    </row>
    <row r="301" spans="1:23" ht="18" x14ac:dyDescent="0.3">
      <c r="A301" s="2436">
        <v>295</v>
      </c>
      <c r="B301" s="1962" t="s">
        <v>5765</v>
      </c>
      <c r="C301" s="1963" t="s">
        <v>1344</v>
      </c>
      <c r="D301" s="1964">
        <v>64</v>
      </c>
      <c r="E301" s="1965">
        <v>2546</v>
      </c>
      <c r="F301" s="1966" t="s">
        <v>5764</v>
      </c>
      <c r="G301" s="455">
        <v>1400</v>
      </c>
      <c r="H301" s="1967" t="s">
        <v>4128</v>
      </c>
      <c r="I301" s="1968" t="s">
        <v>25</v>
      </c>
      <c r="J301" s="1696"/>
      <c r="K301" s="1696"/>
      <c r="L301" s="1696"/>
      <c r="M301" s="1696"/>
      <c r="N301" s="1696"/>
      <c r="O301" s="1970"/>
      <c r="R301" s="1968" t="s">
        <v>25</v>
      </c>
      <c r="S301" s="1696"/>
      <c r="T301" s="1696"/>
      <c r="U301" s="1696"/>
      <c r="V301" s="1696"/>
      <c r="W301" s="1696"/>
    </row>
    <row r="302" spans="1:23" ht="18" x14ac:dyDescent="0.3">
      <c r="A302" s="2436">
        <v>296</v>
      </c>
      <c r="B302" s="1962" t="s">
        <v>5765</v>
      </c>
      <c r="C302" s="1963" t="s">
        <v>1344</v>
      </c>
      <c r="D302" s="1964">
        <v>64</v>
      </c>
      <c r="E302" s="1965">
        <v>2547</v>
      </c>
      <c r="F302" s="1966" t="s">
        <v>5764</v>
      </c>
      <c r="G302" s="455">
        <v>1400</v>
      </c>
      <c r="H302" s="1967" t="s">
        <v>4128</v>
      </c>
      <c r="I302" s="1968" t="s">
        <v>25</v>
      </c>
      <c r="J302" s="1696"/>
      <c r="K302" s="1696"/>
      <c r="L302" s="1696"/>
      <c r="M302" s="1696"/>
      <c r="N302" s="1696"/>
      <c r="O302" s="1970"/>
      <c r="R302" s="1968" t="s">
        <v>25</v>
      </c>
      <c r="S302" s="1696"/>
      <c r="T302" s="1696"/>
      <c r="U302" s="1696"/>
      <c r="V302" s="1696"/>
      <c r="W302" s="1696"/>
    </row>
    <row r="303" spans="1:23" ht="18" x14ac:dyDescent="0.3">
      <c r="A303" s="2436">
        <v>297</v>
      </c>
      <c r="B303" s="1962" t="s">
        <v>5765</v>
      </c>
      <c r="C303" s="1963" t="s">
        <v>1344</v>
      </c>
      <c r="D303" s="1964">
        <v>64</v>
      </c>
      <c r="E303" s="1965">
        <v>2548</v>
      </c>
      <c r="F303" s="1966" t="s">
        <v>5764</v>
      </c>
      <c r="G303" s="455">
        <v>1400</v>
      </c>
      <c r="H303" s="1967" t="s">
        <v>4128</v>
      </c>
      <c r="I303" s="1968" t="s">
        <v>25</v>
      </c>
      <c r="J303" s="1696"/>
      <c r="K303" s="1696"/>
      <c r="L303" s="1696"/>
      <c r="M303" s="1696"/>
      <c r="N303" s="1696"/>
      <c r="O303" s="1970"/>
      <c r="R303" s="1968" t="s">
        <v>25</v>
      </c>
      <c r="S303" s="1696"/>
      <c r="T303" s="1696"/>
      <c r="U303" s="1696"/>
      <c r="V303" s="1696"/>
      <c r="W303" s="1696"/>
    </row>
    <row r="304" spans="1:23" ht="18" x14ac:dyDescent="0.3">
      <c r="A304" s="2436">
        <v>298</v>
      </c>
      <c r="B304" s="1962" t="s">
        <v>5765</v>
      </c>
      <c r="C304" s="1963" t="s">
        <v>1344</v>
      </c>
      <c r="D304" s="1964">
        <v>64</v>
      </c>
      <c r="E304" s="1965">
        <v>2549</v>
      </c>
      <c r="F304" s="1966" t="s">
        <v>5764</v>
      </c>
      <c r="G304" s="455">
        <v>1400</v>
      </c>
      <c r="H304" s="1967" t="s">
        <v>4128</v>
      </c>
      <c r="I304" s="1968" t="s">
        <v>25</v>
      </c>
      <c r="J304" s="1696"/>
      <c r="K304" s="1696"/>
      <c r="L304" s="1696"/>
      <c r="M304" s="1696"/>
      <c r="N304" s="1696"/>
      <c r="O304" s="1970"/>
      <c r="R304" s="1968" t="s">
        <v>25</v>
      </c>
      <c r="S304" s="1696"/>
      <c r="T304" s="1696"/>
      <c r="U304" s="1696"/>
      <c r="V304" s="1696"/>
      <c r="W304" s="1696"/>
    </row>
    <row r="305" spans="1:23" ht="18" x14ac:dyDescent="0.3">
      <c r="A305" s="2436">
        <v>299</v>
      </c>
      <c r="B305" s="1962" t="s">
        <v>5765</v>
      </c>
      <c r="C305" s="1963" t="s">
        <v>1344</v>
      </c>
      <c r="D305" s="1964">
        <v>64</v>
      </c>
      <c r="E305" s="1965">
        <v>2550</v>
      </c>
      <c r="F305" s="1966" t="s">
        <v>5764</v>
      </c>
      <c r="G305" s="455">
        <v>1400</v>
      </c>
      <c r="H305" s="1967" t="s">
        <v>4128</v>
      </c>
      <c r="I305" s="1968" t="s">
        <v>25</v>
      </c>
      <c r="J305" s="1696"/>
      <c r="K305" s="1696"/>
      <c r="L305" s="1696"/>
      <c r="M305" s="1696"/>
      <c r="N305" s="1696"/>
      <c r="O305" s="1970"/>
      <c r="R305" s="1968" t="s">
        <v>25</v>
      </c>
      <c r="S305" s="1696"/>
      <c r="T305" s="1696"/>
      <c r="U305" s="1696"/>
      <c r="V305" s="1696"/>
      <c r="W305" s="1696"/>
    </row>
    <row r="306" spans="1:23" ht="18" x14ac:dyDescent="0.3">
      <c r="A306" s="2436">
        <v>300</v>
      </c>
      <c r="B306" s="1962" t="s">
        <v>5765</v>
      </c>
      <c r="C306" s="1963" t="s">
        <v>1344</v>
      </c>
      <c r="D306" s="1964">
        <v>64</v>
      </c>
      <c r="E306" s="1965">
        <v>2551</v>
      </c>
      <c r="F306" s="1966" t="s">
        <v>5764</v>
      </c>
      <c r="G306" s="455">
        <v>1400</v>
      </c>
      <c r="H306" s="1967" t="s">
        <v>4128</v>
      </c>
      <c r="I306" s="1968" t="s">
        <v>25</v>
      </c>
      <c r="J306" s="1696"/>
      <c r="K306" s="1696"/>
      <c r="L306" s="1696"/>
      <c r="M306" s="1696"/>
      <c r="N306" s="1696"/>
      <c r="O306" s="1970"/>
      <c r="R306" s="1968" t="s">
        <v>25</v>
      </c>
      <c r="S306" s="1696"/>
      <c r="T306" s="1696"/>
      <c r="U306" s="1696"/>
      <c r="V306" s="1696"/>
      <c r="W306" s="1696"/>
    </row>
    <row r="307" spans="1:23" ht="18" x14ac:dyDescent="0.3">
      <c r="A307" s="2436">
        <v>301</v>
      </c>
      <c r="B307" s="1962" t="s">
        <v>5765</v>
      </c>
      <c r="C307" s="1963" t="s">
        <v>1344</v>
      </c>
      <c r="D307" s="1964">
        <v>64</v>
      </c>
      <c r="E307" s="1965">
        <v>2552</v>
      </c>
      <c r="F307" s="1966" t="s">
        <v>5764</v>
      </c>
      <c r="G307" s="455">
        <v>1400</v>
      </c>
      <c r="H307" s="1967" t="s">
        <v>4128</v>
      </c>
      <c r="I307" s="1968" t="s">
        <v>25</v>
      </c>
      <c r="J307" s="1696"/>
      <c r="K307" s="1696"/>
      <c r="L307" s="1696"/>
      <c r="M307" s="1696"/>
      <c r="N307" s="1696"/>
      <c r="O307" s="1970"/>
      <c r="R307" s="1968" t="s">
        <v>25</v>
      </c>
      <c r="S307" s="1696"/>
      <c r="T307" s="1696"/>
      <c r="U307" s="1696"/>
      <c r="V307" s="1696"/>
      <c r="W307" s="1696"/>
    </row>
    <row r="308" spans="1:23" ht="18" x14ac:dyDescent="0.3">
      <c r="A308" s="2436">
        <v>302</v>
      </c>
      <c r="B308" s="1962" t="s">
        <v>5765</v>
      </c>
      <c r="C308" s="1963" t="s">
        <v>1344</v>
      </c>
      <c r="D308" s="1964">
        <v>64</v>
      </c>
      <c r="E308" s="1965">
        <v>2553</v>
      </c>
      <c r="F308" s="1966" t="s">
        <v>5764</v>
      </c>
      <c r="G308" s="455">
        <v>1400</v>
      </c>
      <c r="H308" s="1967" t="s">
        <v>4128</v>
      </c>
      <c r="I308" s="1968" t="s">
        <v>25</v>
      </c>
      <c r="J308" s="1696"/>
      <c r="K308" s="1696"/>
      <c r="L308" s="1696"/>
      <c r="M308" s="1696"/>
      <c r="N308" s="1696"/>
      <c r="O308" s="1970"/>
      <c r="R308" s="1968" t="s">
        <v>25</v>
      </c>
      <c r="S308" s="1696"/>
      <c r="T308" s="1696"/>
      <c r="U308" s="1696"/>
      <c r="V308" s="1696"/>
      <c r="W308" s="1696"/>
    </row>
    <row r="309" spans="1:23" ht="18" x14ac:dyDescent="0.3">
      <c r="A309" s="2436">
        <v>303</v>
      </c>
      <c r="B309" s="1962" t="s">
        <v>5765</v>
      </c>
      <c r="C309" s="1963" t="s">
        <v>1344</v>
      </c>
      <c r="D309" s="1964">
        <v>64</v>
      </c>
      <c r="E309" s="1965">
        <v>2554</v>
      </c>
      <c r="F309" s="1966" t="s">
        <v>5764</v>
      </c>
      <c r="G309" s="455">
        <v>1400</v>
      </c>
      <c r="H309" s="1967" t="s">
        <v>4128</v>
      </c>
      <c r="I309" s="1968" t="s">
        <v>25</v>
      </c>
      <c r="J309" s="1696"/>
      <c r="K309" s="1696"/>
      <c r="L309" s="1696"/>
      <c r="M309" s="1696"/>
      <c r="N309" s="1696"/>
      <c r="O309" s="1970"/>
      <c r="R309" s="1968" t="s">
        <v>25</v>
      </c>
      <c r="S309" s="1696"/>
      <c r="T309" s="1696"/>
      <c r="U309" s="1696"/>
      <c r="V309" s="1696"/>
      <c r="W309" s="1696"/>
    </row>
    <row r="310" spans="1:23" ht="18" x14ac:dyDescent="0.3">
      <c r="A310" s="2436">
        <v>304</v>
      </c>
      <c r="B310" s="1962" t="s">
        <v>5765</v>
      </c>
      <c r="C310" s="1963" t="s">
        <v>1344</v>
      </c>
      <c r="D310" s="1964">
        <v>64</v>
      </c>
      <c r="E310" s="1965">
        <v>2555</v>
      </c>
      <c r="F310" s="1966" t="s">
        <v>5764</v>
      </c>
      <c r="G310" s="455">
        <v>1400</v>
      </c>
      <c r="H310" s="1967" t="s">
        <v>4128</v>
      </c>
      <c r="I310" s="1968" t="s">
        <v>25</v>
      </c>
      <c r="J310" s="1696"/>
      <c r="K310" s="1696"/>
      <c r="L310" s="1696"/>
      <c r="M310" s="1696"/>
      <c r="N310" s="1696"/>
      <c r="O310" s="1970"/>
      <c r="R310" s="1968" t="s">
        <v>25</v>
      </c>
      <c r="S310" s="1696"/>
      <c r="T310" s="1696"/>
      <c r="U310" s="1696"/>
      <c r="V310" s="1696"/>
      <c r="W310" s="1696"/>
    </row>
    <row r="311" spans="1:23" ht="18" x14ac:dyDescent="0.3">
      <c r="A311" s="2436">
        <v>305</v>
      </c>
      <c r="B311" s="1962" t="s">
        <v>5765</v>
      </c>
      <c r="C311" s="1963" t="s">
        <v>1344</v>
      </c>
      <c r="D311" s="1964">
        <v>64</v>
      </c>
      <c r="E311" s="1965">
        <v>2556</v>
      </c>
      <c r="F311" s="1966" t="s">
        <v>5764</v>
      </c>
      <c r="G311" s="455">
        <v>1400</v>
      </c>
      <c r="H311" s="1967" t="s">
        <v>4128</v>
      </c>
      <c r="I311" s="1968" t="s">
        <v>25</v>
      </c>
      <c r="J311" s="1696"/>
      <c r="K311" s="1696"/>
      <c r="L311" s="1696"/>
      <c r="M311" s="1696"/>
      <c r="N311" s="1696"/>
      <c r="O311" s="1970"/>
      <c r="R311" s="1968" t="s">
        <v>25</v>
      </c>
      <c r="S311" s="1696"/>
      <c r="T311" s="1696"/>
      <c r="U311" s="1696"/>
      <c r="V311" s="1696"/>
      <c r="W311" s="1696"/>
    </row>
    <row r="312" spans="1:23" ht="18" x14ac:dyDescent="0.3">
      <c r="A312" s="2436">
        <v>306</v>
      </c>
      <c r="B312" s="1962" t="s">
        <v>5765</v>
      </c>
      <c r="C312" s="1963" t="s">
        <v>1344</v>
      </c>
      <c r="D312" s="1964">
        <v>64</v>
      </c>
      <c r="E312" s="1965">
        <v>2557</v>
      </c>
      <c r="F312" s="1966" t="s">
        <v>5764</v>
      </c>
      <c r="G312" s="455">
        <v>1400</v>
      </c>
      <c r="H312" s="1967" t="s">
        <v>4128</v>
      </c>
      <c r="I312" s="1968" t="s">
        <v>25</v>
      </c>
      <c r="J312" s="1696"/>
      <c r="K312" s="1696"/>
      <c r="L312" s="1696"/>
      <c r="M312" s="1696"/>
      <c r="N312" s="1696"/>
      <c r="O312" s="1970"/>
      <c r="R312" s="1968" t="s">
        <v>25</v>
      </c>
      <c r="S312" s="1696"/>
      <c r="T312" s="1696"/>
      <c r="U312" s="1696"/>
      <c r="V312" s="1696"/>
      <c r="W312" s="1696"/>
    </row>
    <row r="313" spans="1:23" ht="18" x14ac:dyDescent="0.3">
      <c r="A313" s="2436">
        <v>307</v>
      </c>
      <c r="B313" s="1962" t="s">
        <v>5765</v>
      </c>
      <c r="C313" s="1963" t="s">
        <v>1344</v>
      </c>
      <c r="D313" s="1964">
        <v>64</v>
      </c>
      <c r="E313" s="1965">
        <v>2558</v>
      </c>
      <c r="F313" s="1966" t="s">
        <v>5764</v>
      </c>
      <c r="G313" s="455">
        <v>1400</v>
      </c>
      <c r="H313" s="1967" t="s">
        <v>4128</v>
      </c>
      <c r="I313" s="1968" t="s">
        <v>25</v>
      </c>
      <c r="J313" s="1696"/>
      <c r="K313" s="1696"/>
      <c r="L313" s="1696"/>
      <c r="M313" s="1696"/>
      <c r="N313" s="1696"/>
      <c r="O313" s="1970"/>
      <c r="R313" s="1968" t="s">
        <v>25</v>
      </c>
      <c r="S313" s="1696"/>
      <c r="T313" s="1696"/>
      <c r="U313" s="1696"/>
      <c r="V313" s="1696"/>
      <c r="W313" s="1696"/>
    </row>
    <row r="314" spans="1:23" ht="18" x14ac:dyDescent="0.3">
      <c r="A314" s="2436">
        <v>308</v>
      </c>
      <c r="B314" s="1962" t="s">
        <v>5765</v>
      </c>
      <c r="C314" s="1963" t="s">
        <v>1344</v>
      </c>
      <c r="D314" s="1964">
        <v>64</v>
      </c>
      <c r="E314" s="1965">
        <v>2559</v>
      </c>
      <c r="F314" s="1966" t="s">
        <v>5764</v>
      </c>
      <c r="G314" s="455">
        <v>1400</v>
      </c>
      <c r="H314" s="1967" t="s">
        <v>4128</v>
      </c>
      <c r="I314" s="1968" t="s">
        <v>25</v>
      </c>
      <c r="J314" s="1696"/>
      <c r="K314" s="1696"/>
      <c r="L314" s="1696"/>
      <c r="M314" s="1696"/>
      <c r="N314" s="1696"/>
      <c r="O314" s="1970"/>
      <c r="R314" s="1968" t="s">
        <v>25</v>
      </c>
      <c r="S314" s="1696"/>
      <c r="T314" s="1696"/>
      <c r="U314" s="1696"/>
      <c r="V314" s="1696"/>
      <c r="W314" s="1696"/>
    </row>
    <row r="315" spans="1:23" ht="18" x14ac:dyDescent="0.3">
      <c r="A315" s="2436">
        <v>309</v>
      </c>
      <c r="B315" s="1962" t="s">
        <v>5765</v>
      </c>
      <c r="C315" s="1963" t="s">
        <v>1344</v>
      </c>
      <c r="D315" s="1964">
        <v>64</v>
      </c>
      <c r="E315" s="1965">
        <v>2560</v>
      </c>
      <c r="F315" s="1966" t="s">
        <v>5764</v>
      </c>
      <c r="G315" s="455">
        <v>1400</v>
      </c>
      <c r="H315" s="1967" t="s">
        <v>4128</v>
      </c>
      <c r="I315" s="1968" t="s">
        <v>25</v>
      </c>
      <c r="J315" s="1696"/>
      <c r="K315" s="1696"/>
      <c r="L315" s="1696"/>
      <c r="M315" s="1696"/>
      <c r="N315" s="1696"/>
      <c r="O315" s="1970"/>
      <c r="R315" s="1968" t="s">
        <v>25</v>
      </c>
      <c r="S315" s="1696"/>
      <c r="T315" s="1696"/>
      <c r="U315" s="1696"/>
      <c r="V315" s="1696"/>
      <c r="W315" s="1696"/>
    </row>
    <row r="316" spans="1:23" ht="18" x14ac:dyDescent="0.3">
      <c r="A316" s="2436">
        <v>310</v>
      </c>
      <c r="B316" s="1962" t="s">
        <v>5765</v>
      </c>
      <c r="C316" s="1963" t="s">
        <v>1344</v>
      </c>
      <c r="D316" s="1964">
        <v>64</v>
      </c>
      <c r="E316" s="1965">
        <v>2561</v>
      </c>
      <c r="F316" s="1966" t="s">
        <v>5764</v>
      </c>
      <c r="G316" s="455">
        <v>1400</v>
      </c>
      <c r="H316" s="1967" t="s">
        <v>4128</v>
      </c>
      <c r="I316" s="1968" t="s">
        <v>25</v>
      </c>
      <c r="J316" s="1696"/>
      <c r="K316" s="1696"/>
      <c r="L316" s="1696"/>
      <c r="M316" s="1696"/>
      <c r="N316" s="1696"/>
      <c r="O316" s="1970"/>
      <c r="R316" s="1968" t="s">
        <v>25</v>
      </c>
      <c r="S316" s="1696"/>
      <c r="T316" s="1696"/>
      <c r="U316" s="1696"/>
      <c r="V316" s="1696"/>
      <c r="W316" s="1696"/>
    </row>
    <row r="317" spans="1:23" ht="18" x14ac:dyDescent="0.3">
      <c r="A317" s="2436">
        <v>311</v>
      </c>
      <c r="B317" s="1962" t="s">
        <v>5765</v>
      </c>
      <c r="C317" s="1963" t="s">
        <v>1344</v>
      </c>
      <c r="D317" s="1964">
        <v>64</v>
      </c>
      <c r="E317" s="1965">
        <v>2562</v>
      </c>
      <c r="F317" s="1966" t="s">
        <v>5764</v>
      </c>
      <c r="G317" s="455">
        <v>1400</v>
      </c>
      <c r="H317" s="1967" t="s">
        <v>4128</v>
      </c>
      <c r="I317" s="1968" t="s">
        <v>25</v>
      </c>
      <c r="J317" s="1696"/>
      <c r="K317" s="1696"/>
      <c r="L317" s="1696"/>
      <c r="M317" s="1696"/>
      <c r="N317" s="1696"/>
      <c r="O317" s="1970"/>
      <c r="R317" s="1968" t="s">
        <v>25</v>
      </c>
      <c r="S317" s="1696"/>
      <c r="T317" s="1696"/>
      <c r="U317" s="1696"/>
      <c r="V317" s="1696"/>
      <c r="W317" s="1696"/>
    </row>
    <row r="318" spans="1:23" ht="18" x14ac:dyDescent="0.3">
      <c r="A318" s="2436">
        <v>312</v>
      </c>
      <c r="B318" s="1962" t="s">
        <v>5765</v>
      </c>
      <c r="C318" s="1963" t="s">
        <v>1344</v>
      </c>
      <c r="D318" s="1964">
        <v>64</v>
      </c>
      <c r="E318" s="1965">
        <v>2563</v>
      </c>
      <c r="F318" s="1966" t="s">
        <v>5764</v>
      </c>
      <c r="G318" s="455">
        <v>1400</v>
      </c>
      <c r="H318" s="1967" t="s">
        <v>4128</v>
      </c>
      <c r="I318" s="1968" t="s">
        <v>25</v>
      </c>
      <c r="J318" s="1696"/>
      <c r="K318" s="1696"/>
      <c r="L318" s="1696"/>
      <c r="M318" s="1696"/>
      <c r="N318" s="1696"/>
      <c r="O318" s="1970"/>
      <c r="R318" s="1968" t="s">
        <v>25</v>
      </c>
      <c r="S318" s="1696"/>
      <c r="T318" s="1696"/>
      <c r="U318" s="1696"/>
      <c r="V318" s="1696"/>
      <c r="W318" s="1696"/>
    </row>
    <row r="319" spans="1:23" ht="18" x14ac:dyDescent="0.3">
      <c r="A319" s="2436">
        <v>313</v>
      </c>
      <c r="B319" s="1962" t="s">
        <v>5765</v>
      </c>
      <c r="C319" s="1963" t="s">
        <v>1344</v>
      </c>
      <c r="D319" s="1964">
        <v>64</v>
      </c>
      <c r="E319" s="1965">
        <v>2564</v>
      </c>
      <c r="F319" s="1966" t="s">
        <v>5764</v>
      </c>
      <c r="G319" s="455">
        <v>1400</v>
      </c>
      <c r="H319" s="1967" t="s">
        <v>4128</v>
      </c>
      <c r="I319" s="1968" t="s">
        <v>25</v>
      </c>
      <c r="J319" s="1696"/>
      <c r="K319" s="1696"/>
      <c r="L319" s="1696"/>
      <c r="M319" s="1696"/>
      <c r="N319" s="1696"/>
      <c r="O319" s="1970"/>
      <c r="R319" s="1968" t="s">
        <v>25</v>
      </c>
      <c r="S319" s="1696"/>
      <c r="T319" s="1696"/>
      <c r="U319" s="1696"/>
      <c r="V319" s="1696"/>
      <c r="W319" s="1696"/>
    </row>
    <row r="320" spans="1:23" ht="18" x14ac:dyDescent="0.3">
      <c r="A320" s="2436">
        <v>314</v>
      </c>
      <c r="B320" s="1962" t="s">
        <v>5765</v>
      </c>
      <c r="C320" s="1963" t="s">
        <v>1344</v>
      </c>
      <c r="D320" s="1964">
        <v>64</v>
      </c>
      <c r="E320" s="1965">
        <v>2565</v>
      </c>
      <c r="F320" s="1966" t="s">
        <v>5764</v>
      </c>
      <c r="G320" s="455">
        <v>1400</v>
      </c>
      <c r="H320" s="1967" t="s">
        <v>4128</v>
      </c>
      <c r="I320" s="1968" t="s">
        <v>25</v>
      </c>
      <c r="J320" s="1696"/>
      <c r="K320" s="1696"/>
      <c r="L320" s="1696"/>
      <c r="M320" s="1696"/>
      <c r="N320" s="1696"/>
      <c r="O320" s="1970"/>
      <c r="R320" s="1968" t="s">
        <v>25</v>
      </c>
      <c r="S320" s="1696"/>
      <c r="T320" s="1696"/>
      <c r="U320" s="1696"/>
      <c r="V320" s="1696"/>
      <c r="W320" s="1696"/>
    </row>
    <row r="321" spans="1:23" ht="18" x14ac:dyDescent="0.3">
      <c r="A321" s="2436">
        <v>315</v>
      </c>
      <c r="B321" s="1962" t="s">
        <v>5765</v>
      </c>
      <c r="C321" s="1963" t="s">
        <v>1344</v>
      </c>
      <c r="D321" s="1964">
        <v>64</v>
      </c>
      <c r="E321" s="1965">
        <v>2566</v>
      </c>
      <c r="F321" s="1966" t="s">
        <v>5764</v>
      </c>
      <c r="G321" s="455">
        <v>1400</v>
      </c>
      <c r="H321" s="1967" t="s">
        <v>4128</v>
      </c>
      <c r="I321" s="1968" t="s">
        <v>25</v>
      </c>
      <c r="J321" s="1696"/>
      <c r="K321" s="1696"/>
      <c r="L321" s="1696"/>
      <c r="M321" s="1696"/>
      <c r="N321" s="1696"/>
      <c r="O321" s="1970"/>
      <c r="R321" s="1968" t="s">
        <v>25</v>
      </c>
      <c r="S321" s="1696"/>
      <c r="T321" s="1696"/>
      <c r="U321" s="1696"/>
      <c r="V321" s="1696"/>
      <c r="W321" s="1696"/>
    </row>
    <row r="322" spans="1:23" ht="18" x14ac:dyDescent="0.3">
      <c r="A322" s="2436">
        <v>316</v>
      </c>
      <c r="B322" s="1962" t="s">
        <v>5765</v>
      </c>
      <c r="C322" s="1963" t="s">
        <v>1344</v>
      </c>
      <c r="D322" s="1964">
        <v>64</v>
      </c>
      <c r="E322" s="1965">
        <v>2567</v>
      </c>
      <c r="F322" s="1966" t="s">
        <v>5764</v>
      </c>
      <c r="G322" s="455">
        <v>1400</v>
      </c>
      <c r="H322" s="1967" t="s">
        <v>4128</v>
      </c>
      <c r="I322" s="1968" t="s">
        <v>25</v>
      </c>
      <c r="J322" s="1696"/>
      <c r="K322" s="1696"/>
      <c r="L322" s="1696"/>
      <c r="M322" s="1696"/>
      <c r="N322" s="1696"/>
      <c r="O322" s="1970"/>
      <c r="R322" s="1968" t="s">
        <v>25</v>
      </c>
      <c r="S322" s="1696"/>
      <c r="T322" s="1696"/>
      <c r="U322" s="1696"/>
      <c r="V322" s="1696"/>
      <c r="W322" s="1696"/>
    </row>
    <row r="323" spans="1:23" ht="18" x14ac:dyDescent="0.3">
      <c r="A323" s="2436">
        <v>317</v>
      </c>
      <c r="B323" s="1962" t="s">
        <v>5765</v>
      </c>
      <c r="C323" s="1963" t="s">
        <v>1344</v>
      </c>
      <c r="D323" s="1964">
        <v>64</v>
      </c>
      <c r="E323" s="1965">
        <v>2568</v>
      </c>
      <c r="F323" s="1966" t="s">
        <v>5764</v>
      </c>
      <c r="G323" s="455">
        <v>1400</v>
      </c>
      <c r="H323" s="1967" t="s">
        <v>4128</v>
      </c>
      <c r="I323" s="1968" t="s">
        <v>25</v>
      </c>
      <c r="J323" s="1696"/>
      <c r="K323" s="1696"/>
      <c r="L323" s="1696"/>
      <c r="M323" s="1696"/>
      <c r="N323" s="1696"/>
      <c r="O323" s="1970"/>
      <c r="R323" s="1968" t="s">
        <v>25</v>
      </c>
      <c r="S323" s="1696"/>
      <c r="T323" s="1696"/>
      <c r="U323" s="1696"/>
      <c r="V323" s="1696"/>
      <c r="W323" s="1696"/>
    </row>
    <row r="324" spans="1:23" ht="18" x14ac:dyDescent="0.3">
      <c r="A324" s="2436">
        <v>318</v>
      </c>
      <c r="B324" s="1962" t="s">
        <v>5765</v>
      </c>
      <c r="C324" s="1963" t="s">
        <v>1344</v>
      </c>
      <c r="D324" s="1964">
        <v>64</v>
      </c>
      <c r="E324" s="1965">
        <v>2569</v>
      </c>
      <c r="F324" s="1966" t="s">
        <v>5764</v>
      </c>
      <c r="G324" s="455">
        <v>1400</v>
      </c>
      <c r="H324" s="1967" t="s">
        <v>4128</v>
      </c>
      <c r="I324" s="1968" t="s">
        <v>25</v>
      </c>
      <c r="J324" s="1696"/>
      <c r="K324" s="1696"/>
      <c r="L324" s="1696"/>
      <c r="M324" s="1696"/>
      <c r="N324" s="1696"/>
      <c r="O324" s="1970"/>
      <c r="R324" s="1968" t="s">
        <v>25</v>
      </c>
      <c r="S324" s="1696"/>
      <c r="T324" s="1696"/>
      <c r="U324" s="1696"/>
      <c r="V324" s="1696"/>
      <c r="W324" s="1696"/>
    </row>
    <row r="325" spans="1:23" ht="18" x14ac:dyDescent="0.3">
      <c r="A325" s="2436">
        <v>319</v>
      </c>
      <c r="B325" s="1962" t="s">
        <v>5765</v>
      </c>
      <c r="C325" s="1963" t="s">
        <v>1344</v>
      </c>
      <c r="D325" s="1964">
        <v>64</v>
      </c>
      <c r="E325" s="1965">
        <v>2570</v>
      </c>
      <c r="F325" s="1966" t="s">
        <v>5764</v>
      </c>
      <c r="G325" s="455">
        <v>1400</v>
      </c>
      <c r="H325" s="1967" t="s">
        <v>4128</v>
      </c>
      <c r="I325" s="1968" t="s">
        <v>25</v>
      </c>
      <c r="J325" s="1696"/>
      <c r="K325" s="1696"/>
      <c r="L325" s="1696"/>
      <c r="M325" s="1696"/>
      <c r="N325" s="1696"/>
      <c r="O325" s="1970"/>
      <c r="R325" s="1968" t="s">
        <v>25</v>
      </c>
      <c r="S325" s="1696"/>
      <c r="T325" s="1696"/>
      <c r="U325" s="1696"/>
      <c r="V325" s="1696"/>
      <c r="W325" s="1696"/>
    </row>
    <row r="326" spans="1:23" ht="18" x14ac:dyDescent="0.3">
      <c r="A326" s="2436">
        <v>320</v>
      </c>
      <c r="B326" s="1962" t="s">
        <v>5765</v>
      </c>
      <c r="C326" s="1963" t="s">
        <v>1344</v>
      </c>
      <c r="D326" s="1964">
        <v>64</v>
      </c>
      <c r="E326" s="1965">
        <v>2571</v>
      </c>
      <c r="F326" s="1966" t="s">
        <v>5764</v>
      </c>
      <c r="G326" s="455">
        <v>1400</v>
      </c>
      <c r="H326" s="1967" t="s">
        <v>4128</v>
      </c>
      <c r="I326" s="1968" t="s">
        <v>25</v>
      </c>
      <c r="J326" s="1696"/>
      <c r="K326" s="1696"/>
      <c r="L326" s="1696"/>
      <c r="M326" s="1696"/>
      <c r="N326" s="1696"/>
      <c r="O326" s="1970"/>
      <c r="R326" s="1968" t="s">
        <v>25</v>
      </c>
      <c r="S326" s="1696"/>
      <c r="T326" s="1696"/>
      <c r="U326" s="1696"/>
      <c r="V326" s="1696"/>
      <c r="W326" s="1696"/>
    </row>
    <row r="327" spans="1:23" ht="18" x14ac:dyDescent="0.3">
      <c r="A327" s="2436">
        <v>321</v>
      </c>
      <c r="B327" s="1962" t="s">
        <v>5765</v>
      </c>
      <c r="C327" s="1963" t="s">
        <v>1344</v>
      </c>
      <c r="D327" s="1964">
        <v>64</v>
      </c>
      <c r="E327" s="1965">
        <v>2572</v>
      </c>
      <c r="F327" s="1966" t="s">
        <v>5764</v>
      </c>
      <c r="G327" s="455">
        <v>1400</v>
      </c>
      <c r="H327" s="1967" t="s">
        <v>4128</v>
      </c>
      <c r="I327" s="1968" t="s">
        <v>25</v>
      </c>
      <c r="J327" s="1696"/>
      <c r="K327" s="1696"/>
      <c r="L327" s="1696"/>
      <c r="M327" s="1696"/>
      <c r="N327" s="1696"/>
      <c r="O327" s="1970"/>
      <c r="R327" s="1968" t="s">
        <v>25</v>
      </c>
      <c r="S327" s="1696"/>
      <c r="T327" s="1696"/>
      <c r="U327" s="1696"/>
      <c r="V327" s="1696"/>
      <c r="W327" s="1696"/>
    </row>
    <row r="328" spans="1:23" ht="18" x14ac:dyDescent="0.3">
      <c r="A328" s="2436">
        <v>322</v>
      </c>
      <c r="B328" s="1962" t="s">
        <v>5765</v>
      </c>
      <c r="C328" s="1963" t="s">
        <v>1344</v>
      </c>
      <c r="D328" s="1964">
        <v>64</v>
      </c>
      <c r="E328" s="1965">
        <v>2573</v>
      </c>
      <c r="F328" s="1966" t="s">
        <v>5764</v>
      </c>
      <c r="G328" s="455">
        <v>1400</v>
      </c>
      <c r="H328" s="1967" t="s">
        <v>4128</v>
      </c>
      <c r="I328" s="1968" t="s">
        <v>25</v>
      </c>
      <c r="J328" s="1696"/>
      <c r="K328" s="1696"/>
      <c r="L328" s="1696"/>
      <c r="M328" s="1696"/>
      <c r="N328" s="1696"/>
      <c r="O328" s="1970"/>
      <c r="R328" s="1968" t="s">
        <v>25</v>
      </c>
      <c r="S328" s="1696"/>
      <c r="T328" s="1696"/>
      <c r="U328" s="1696"/>
      <c r="V328" s="1696"/>
      <c r="W328" s="1696"/>
    </row>
    <row r="329" spans="1:23" ht="18" x14ac:dyDescent="0.3">
      <c r="A329" s="2436">
        <v>323</v>
      </c>
      <c r="B329" s="1962" t="s">
        <v>5765</v>
      </c>
      <c r="C329" s="1963" t="s">
        <v>1344</v>
      </c>
      <c r="D329" s="1964">
        <v>64</v>
      </c>
      <c r="E329" s="1965">
        <v>2574</v>
      </c>
      <c r="F329" s="1966" t="s">
        <v>5764</v>
      </c>
      <c r="G329" s="455">
        <v>1400</v>
      </c>
      <c r="H329" s="1967" t="s">
        <v>4128</v>
      </c>
      <c r="I329" s="1968" t="s">
        <v>25</v>
      </c>
      <c r="J329" s="1696"/>
      <c r="K329" s="1696"/>
      <c r="L329" s="1696"/>
      <c r="M329" s="1696"/>
      <c r="N329" s="1696"/>
      <c r="O329" s="1970"/>
      <c r="R329" s="1968" t="s">
        <v>25</v>
      </c>
      <c r="S329" s="1696"/>
      <c r="T329" s="1696"/>
      <c r="U329" s="1696"/>
      <c r="V329" s="1696"/>
      <c r="W329" s="1696"/>
    </row>
    <row r="330" spans="1:23" ht="18" x14ac:dyDescent="0.3">
      <c r="A330" s="2436">
        <v>324</v>
      </c>
      <c r="B330" s="1962" t="s">
        <v>5765</v>
      </c>
      <c r="C330" s="1963" t="s">
        <v>1344</v>
      </c>
      <c r="D330" s="1964">
        <v>64</v>
      </c>
      <c r="E330" s="1965">
        <v>2575</v>
      </c>
      <c r="F330" s="1966" t="s">
        <v>5764</v>
      </c>
      <c r="G330" s="455">
        <v>1400</v>
      </c>
      <c r="H330" s="1967" t="s">
        <v>4128</v>
      </c>
      <c r="I330" s="1968" t="s">
        <v>25</v>
      </c>
      <c r="J330" s="1696"/>
      <c r="K330" s="1696"/>
      <c r="L330" s="1696"/>
      <c r="M330" s="1696"/>
      <c r="N330" s="1696"/>
      <c r="O330" s="1970"/>
      <c r="R330" s="1968" t="s">
        <v>25</v>
      </c>
      <c r="S330" s="1696"/>
      <c r="T330" s="1696"/>
      <c r="U330" s="1696"/>
      <c r="V330" s="1696"/>
      <c r="W330" s="1696"/>
    </row>
    <row r="331" spans="1:23" ht="18" x14ac:dyDescent="0.3">
      <c r="A331" s="2436">
        <v>325</v>
      </c>
      <c r="B331" s="1962" t="s">
        <v>5765</v>
      </c>
      <c r="C331" s="1963" t="s">
        <v>1344</v>
      </c>
      <c r="D331" s="1964">
        <v>64</v>
      </c>
      <c r="E331" s="1965">
        <v>2576</v>
      </c>
      <c r="F331" s="1966" t="s">
        <v>5764</v>
      </c>
      <c r="G331" s="455">
        <v>1400</v>
      </c>
      <c r="H331" s="1967" t="s">
        <v>4128</v>
      </c>
      <c r="I331" s="1968" t="s">
        <v>25</v>
      </c>
      <c r="J331" s="1696"/>
      <c r="K331" s="1696"/>
      <c r="L331" s="1696"/>
      <c r="M331" s="1696"/>
      <c r="N331" s="1696"/>
      <c r="O331" s="1970"/>
      <c r="R331" s="1968" t="s">
        <v>25</v>
      </c>
      <c r="S331" s="1696"/>
      <c r="T331" s="1696"/>
      <c r="U331" s="1696"/>
      <c r="V331" s="1696"/>
      <c r="W331" s="1696"/>
    </row>
    <row r="332" spans="1:23" ht="18" x14ac:dyDescent="0.3">
      <c r="A332" s="2436">
        <v>326</v>
      </c>
      <c r="B332" s="1962" t="s">
        <v>5765</v>
      </c>
      <c r="C332" s="1963" t="s">
        <v>1344</v>
      </c>
      <c r="D332" s="1964">
        <v>64</v>
      </c>
      <c r="E332" s="1965">
        <v>2577</v>
      </c>
      <c r="F332" s="1966" t="s">
        <v>5764</v>
      </c>
      <c r="G332" s="455">
        <v>1400</v>
      </c>
      <c r="H332" s="1967" t="s">
        <v>4128</v>
      </c>
      <c r="I332" s="1968" t="s">
        <v>25</v>
      </c>
      <c r="J332" s="1696"/>
      <c r="K332" s="1696"/>
      <c r="L332" s="1696"/>
      <c r="M332" s="1696"/>
      <c r="N332" s="1696"/>
      <c r="O332" s="1970"/>
      <c r="R332" s="1968" t="s">
        <v>25</v>
      </c>
      <c r="S332" s="1696"/>
      <c r="T332" s="1696"/>
      <c r="U332" s="1696"/>
      <c r="V332" s="1696"/>
      <c r="W332" s="1696"/>
    </row>
    <row r="333" spans="1:23" ht="18" x14ac:dyDescent="0.3">
      <c r="A333" s="2436">
        <v>327</v>
      </c>
      <c r="B333" s="1962" t="s">
        <v>5765</v>
      </c>
      <c r="C333" s="1963" t="s">
        <v>1344</v>
      </c>
      <c r="D333" s="1964">
        <v>64</v>
      </c>
      <c r="E333" s="1965">
        <v>2578</v>
      </c>
      <c r="F333" s="1966" t="s">
        <v>5764</v>
      </c>
      <c r="G333" s="455">
        <v>1400</v>
      </c>
      <c r="H333" s="1967" t="s">
        <v>4128</v>
      </c>
      <c r="I333" s="1968" t="s">
        <v>25</v>
      </c>
      <c r="J333" s="1696"/>
      <c r="K333" s="1696"/>
      <c r="L333" s="1696"/>
      <c r="M333" s="1696"/>
      <c r="N333" s="1696"/>
      <c r="O333" s="1970"/>
      <c r="R333" s="1968" t="s">
        <v>25</v>
      </c>
      <c r="S333" s="1696"/>
      <c r="T333" s="1696"/>
      <c r="U333" s="1696"/>
      <c r="V333" s="1696"/>
      <c r="W333" s="1696"/>
    </row>
    <row r="334" spans="1:23" ht="18" x14ac:dyDescent="0.3">
      <c r="A334" s="2436">
        <v>328</v>
      </c>
      <c r="B334" s="1962" t="s">
        <v>5765</v>
      </c>
      <c r="C334" s="1963" t="s">
        <v>1344</v>
      </c>
      <c r="D334" s="1964">
        <v>64</v>
      </c>
      <c r="E334" s="1965">
        <v>2579</v>
      </c>
      <c r="F334" s="1966" t="s">
        <v>5764</v>
      </c>
      <c r="G334" s="455">
        <v>1400</v>
      </c>
      <c r="H334" s="1967" t="s">
        <v>4128</v>
      </c>
      <c r="I334" s="1968" t="s">
        <v>25</v>
      </c>
      <c r="J334" s="1696"/>
      <c r="K334" s="1696"/>
      <c r="L334" s="1696"/>
      <c r="M334" s="1696"/>
      <c r="N334" s="1696"/>
      <c r="O334" s="1970"/>
      <c r="R334" s="1968" t="s">
        <v>25</v>
      </c>
      <c r="S334" s="1696"/>
      <c r="T334" s="1696"/>
      <c r="U334" s="1696"/>
      <c r="V334" s="1696"/>
      <c r="W334" s="1696"/>
    </row>
    <row r="335" spans="1:23" ht="18" x14ac:dyDescent="0.3">
      <c r="A335" s="2436">
        <v>329</v>
      </c>
      <c r="B335" s="1962" t="s">
        <v>5765</v>
      </c>
      <c r="C335" s="1963" t="s">
        <v>1344</v>
      </c>
      <c r="D335" s="1964">
        <v>64</v>
      </c>
      <c r="E335" s="1965">
        <v>2580</v>
      </c>
      <c r="F335" s="1966" t="s">
        <v>5764</v>
      </c>
      <c r="G335" s="455">
        <v>1400</v>
      </c>
      <c r="H335" s="1967" t="s">
        <v>4128</v>
      </c>
      <c r="I335" s="1968" t="s">
        <v>25</v>
      </c>
      <c r="J335" s="1696"/>
      <c r="K335" s="1696"/>
      <c r="L335" s="1696"/>
      <c r="M335" s="1696"/>
      <c r="N335" s="1696"/>
      <c r="O335" s="1970"/>
      <c r="R335" s="1968" t="s">
        <v>25</v>
      </c>
      <c r="S335" s="1696"/>
      <c r="T335" s="1696"/>
      <c r="U335" s="1696"/>
      <c r="V335" s="1696"/>
      <c r="W335" s="1696"/>
    </row>
    <row r="336" spans="1:23" ht="18" x14ac:dyDescent="0.3">
      <c r="A336" s="2436">
        <v>330</v>
      </c>
      <c r="B336" s="1962" t="s">
        <v>5765</v>
      </c>
      <c r="C336" s="1963" t="s">
        <v>1344</v>
      </c>
      <c r="D336" s="1964">
        <v>64</v>
      </c>
      <c r="E336" s="1965">
        <v>2581</v>
      </c>
      <c r="F336" s="1966" t="s">
        <v>5764</v>
      </c>
      <c r="G336" s="455">
        <v>1400</v>
      </c>
      <c r="H336" s="1967" t="s">
        <v>4128</v>
      </c>
      <c r="I336" s="1968" t="s">
        <v>25</v>
      </c>
      <c r="J336" s="1696"/>
      <c r="K336" s="1696"/>
      <c r="L336" s="1696"/>
      <c r="M336" s="1696"/>
      <c r="N336" s="1696"/>
      <c r="O336" s="1970"/>
      <c r="R336" s="1968" t="s">
        <v>25</v>
      </c>
      <c r="S336" s="1696"/>
      <c r="T336" s="1696"/>
      <c r="U336" s="1696"/>
      <c r="V336" s="1696"/>
      <c r="W336" s="1696"/>
    </row>
    <row r="337" spans="1:23" ht="18" x14ac:dyDescent="0.3">
      <c r="A337" s="2436">
        <v>331</v>
      </c>
      <c r="B337" s="1962" t="s">
        <v>5765</v>
      </c>
      <c r="C337" s="1963" t="s">
        <v>1344</v>
      </c>
      <c r="D337" s="1964">
        <v>64</v>
      </c>
      <c r="E337" s="1965">
        <v>2582</v>
      </c>
      <c r="F337" s="1966" t="s">
        <v>5764</v>
      </c>
      <c r="G337" s="455">
        <v>1400</v>
      </c>
      <c r="H337" s="1967" t="s">
        <v>4128</v>
      </c>
      <c r="I337" s="1968" t="s">
        <v>25</v>
      </c>
      <c r="J337" s="1696"/>
      <c r="K337" s="1696"/>
      <c r="L337" s="1696"/>
      <c r="M337" s="1696"/>
      <c r="N337" s="1696"/>
      <c r="O337" s="1970"/>
      <c r="R337" s="1968" t="s">
        <v>25</v>
      </c>
      <c r="S337" s="1696"/>
      <c r="T337" s="1696"/>
      <c r="U337" s="1696"/>
      <c r="V337" s="1696"/>
      <c r="W337" s="1696"/>
    </row>
    <row r="338" spans="1:23" ht="18" x14ac:dyDescent="0.3">
      <c r="A338" s="2436">
        <v>332</v>
      </c>
      <c r="B338" s="1962" t="s">
        <v>5765</v>
      </c>
      <c r="C338" s="1963" t="s">
        <v>1344</v>
      </c>
      <c r="D338" s="1964">
        <v>64</v>
      </c>
      <c r="E338" s="1965">
        <v>2583</v>
      </c>
      <c r="F338" s="1966" t="s">
        <v>5764</v>
      </c>
      <c r="G338" s="455">
        <v>1400</v>
      </c>
      <c r="H338" s="1967" t="s">
        <v>4128</v>
      </c>
      <c r="I338" s="1968" t="s">
        <v>25</v>
      </c>
      <c r="J338" s="1696"/>
      <c r="K338" s="1696"/>
      <c r="L338" s="1696"/>
      <c r="M338" s="1696"/>
      <c r="N338" s="1696"/>
      <c r="O338" s="1970"/>
      <c r="R338" s="1968" t="s">
        <v>25</v>
      </c>
      <c r="S338" s="1696"/>
      <c r="T338" s="1696"/>
      <c r="U338" s="1696"/>
      <c r="V338" s="1696"/>
      <c r="W338" s="1696"/>
    </row>
    <row r="339" spans="1:23" ht="18" x14ac:dyDescent="0.3">
      <c r="A339" s="2436">
        <v>333</v>
      </c>
      <c r="B339" s="1962" t="s">
        <v>5765</v>
      </c>
      <c r="C339" s="1963" t="s">
        <v>1344</v>
      </c>
      <c r="D339" s="1964">
        <v>64</v>
      </c>
      <c r="E339" s="1965">
        <v>2584</v>
      </c>
      <c r="F339" s="1966" t="s">
        <v>5764</v>
      </c>
      <c r="G339" s="455">
        <v>1400</v>
      </c>
      <c r="H339" s="1967" t="s">
        <v>4128</v>
      </c>
      <c r="I339" s="1968" t="s">
        <v>25</v>
      </c>
      <c r="J339" s="1696"/>
      <c r="K339" s="1696"/>
      <c r="L339" s="1696"/>
      <c r="M339" s="1696"/>
      <c r="N339" s="1696"/>
      <c r="O339" s="1970"/>
      <c r="R339" s="1968" t="s">
        <v>25</v>
      </c>
      <c r="S339" s="1696"/>
      <c r="T339" s="1696"/>
      <c r="U339" s="1696"/>
      <c r="V339" s="1696"/>
      <c r="W339" s="1696"/>
    </row>
    <row r="340" spans="1:23" ht="18" x14ac:dyDescent="0.3">
      <c r="A340" s="2436">
        <v>334</v>
      </c>
      <c r="B340" s="1962" t="s">
        <v>5765</v>
      </c>
      <c r="C340" s="1963" t="s">
        <v>1344</v>
      </c>
      <c r="D340" s="1964">
        <v>64</v>
      </c>
      <c r="E340" s="1965">
        <v>2585</v>
      </c>
      <c r="F340" s="1966" t="s">
        <v>5764</v>
      </c>
      <c r="G340" s="455">
        <v>1400</v>
      </c>
      <c r="H340" s="1967" t="s">
        <v>4128</v>
      </c>
      <c r="I340" s="1968" t="s">
        <v>25</v>
      </c>
      <c r="J340" s="1696"/>
      <c r="K340" s="1696"/>
      <c r="L340" s="1696"/>
      <c r="M340" s="1696"/>
      <c r="N340" s="1696"/>
      <c r="O340" s="1970"/>
      <c r="R340" s="1968" t="s">
        <v>25</v>
      </c>
      <c r="S340" s="1696"/>
      <c r="T340" s="1696"/>
      <c r="U340" s="1696"/>
      <c r="V340" s="1696"/>
      <c r="W340" s="1696"/>
    </row>
    <row r="341" spans="1:23" ht="18" x14ac:dyDescent="0.3">
      <c r="A341" s="2436">
        <v>335</v>
      </c>
      <c r="B341" s="1962" t="s">
        <v>5765</v>
      </c>
      <c r="C341" s="1963" t="s">
        <v>1344</v>
      </c>
      <c r="D341" s="1964">
        <v>64</v>
      </c>
      <c r="E341" s="1965">
        <v>2586</v>
      </c>
      <c r="F341" s="1966" t="s">
        <v>5764</v>
      </c>
      <c r="G341" s="455">
        <v>1400</v>
      </c>
      <c r="H341" s="1967" t="s">
        <v>4128</v>
      </c>
      <c r="I341" s="1968" t="s">
        <v>25</v>
      </c>
      <c r="J341" s="1696"/>
      <c r="K341" s="1696"/>
      <c r="L341" s="1696"/>
      <c r="M341" s="1696"/>
      <c r="N341" s="1696"/>
      <c r="O341" s="1970"/>
      <c r="R341" s="1968" t="s">
        <v>25</v>
      </c>
      <c r="S341" s="1696"/>
      <c r="T341" s="1696"/>
      <c r="U341" s="1696"/>
      <c r="V341" s="1696"/>
      <c r="W341" s="1696"/>
    </row>
    <row r="342" spans="1:23" ht="18" x14ac:dyDescent="0.3">
      <c r="A342" s="2436">
        <v>336</v>
      </c>
      <c r="B342" s="1962" t="s">
        <v>5765</v>
      </c>
      <c r="C342" s="1963" t="s">
        <v>1344</v>
      </c>
      <c r="D342" s="1964">
        <v>64</v>
      </c>
      <c r="E342" s="1965">
        <v>2587</v>
      </c>
      <c r="F342" s="1966" t="s">
        <v>5764</v>
      </c>
      <c r="G342" s="455">
        <v>1400</v>
      </c>
      <c r="H342" s="1967" t="s">
        <v>4128</v>
      </c>
      <c r="I342" s="1968" t="s">
        <v>25</v>
      </c>
      <c r="J342" s="1696"/>
      <c r="K342" s="1696"/>
      <c r="L342" s="1696"/>
      <c r="M342" s="1696"/>
      <c r="N342" s="1696"/>
      <c r="O342" s="1970"/>
      <c r="R342" s="1968" t="s">
        <v>25</v>
      </c>
      <c r="S342" s="1696"/>
      <c r="T342" s="1696"/>
      <c r="U342" s="1696"/>
      <c r="V342" s="1696"/>
      <c r="W342" s="1696"/>
    </row>
    <row r="343" spans="1:23" ht="18" x14ac:dyDescent="0.3">
      <c r="A343" s="2436">
        <v>337</v>
      </c>
      <c r="B343" s="1962" t="s">
        <v>5765</v>
      </c>
      <c r="C343" s="1963" t="s">
        <v>1344</v>
      </c>
      <c r="D343" s="1964">
        <v>64</v>
      </c>
      <c r="E343" s="1965">
        <v>2588</v>
      </c>
      <c r="F343" s="1966" t="s">
        <v>5764</v>
      </c>
      <c r="G343" s="455">
        <v>1400</v>
      </c>
      <c r="H343" s="1967" t="s">
        <v>4128</v>
      </c>
      <c r="I343" s="1968" t="s">
        <v>25</v>
      </c>
      <c r="J343" s="1696"/>
      <c r="K343" s="1696"/>
      <c r="L343" s="1696"/>
      <c r="M343" s="1696"/>
      <c r="N343" s="1696"/>
      <c r="O343" s="1970"/>
      <c r="R343" s="1968" t="s">
        <v>25</v>
      </c>
      <c r="S343" s="1696"/>
      <c r="T343" s="1696"/>
      <c r="U343" s="1696"/>
      <c r="V343" s="1696"/>
      <c r="W343" s="1696"/>
    </row>
    <row r="344" spans="1:23" ht="18" x14ac:dyDescent="0.3">
      <c r="A344" s="2436">
        <v>338</v>
      </c>
      <c r="B344" s="1962" t="s">
        <v>5765</v>
      </c>
      <c r="C344" s="1963" t="s">
        <v>1344</v>
      </c>
      <c r="D344" s="1964">
        <v>64</v>
      </c>
      <c r="E344" s="1965">
        <v>2589</v>
      </c>
      <c r="F344" s="1966" t="s">
        <v>5764</v>
      </c>
      <c r="G344" s="455">
        <v>1400</v>
      </c>
      <c r="H344" s="1967" t="s">
        <v>4128</v>
      </c>
      <c r="I344" s="1968" t="s">
        <v>25</v>
      </c>
      <c r="J344" s="1696"/>
      <c r="K344" s="1696"/>
      <c r="L344" s="1696"/>
      <c r="M344" s="1696"/>
      <c r="N344" s="1696"/>
      <c r="O344" s="1970"/>
      <c r="R344" s="1968" t="s">
        <v>25</v>
      </c>
      <c r="S344" s="1696"/>
      <c r="T344" s="1696"/>
      <c r="U344" s="1696"/>
      <c r="V344" s="1696"/>
      <c r="W344" s="1696"/>
    </row>
    <row r="345" spans="1:23" ht="18" x14ac:dyDescent="0.3">
      <c r="A345" s="2436">
        <v>339</v>
      </c>
      <c r="B345" s="1962" t="s">
        <v>5765</v>
      </c>
      <c r="C345" s="1963" t="s">
        <v>1344</v>
      </c>
      <c r="D345" s="1964">
        <v>64</v>
      </c>
      <c r="E345" s="1965">
        <v>2590</v>
      </c>
      <c r="F345" s="1966" t="s">
        <v>5764</v>
      </c>
      <c r="G345" s="455">
        <v>1400</v>
      </c>
      <c r="H345" s="1967" t="s">
        <v>4128</v>
      </c>
      <c r="I345" s="1968" t="s">
        <v>25</v>
      </c>
      <c r="J345" s="1696"/>
      <c r="K345" s="1696"/>
      <c r="L345" s="1696"/>
      <c r="M345" s="1696"/>
      <c r="N345" s="1696"/>
      <c r="O345" s="1970"/>
      <c r="R345" s="1968" t="s">
        <v>25</v>
      </c>
      <c r="S345" s="1696"/>
      <c r="T345" s="1696"/>
      <c r="U345" s="1696"/>
      <c r="V345" s="1696"/>
      <c r="W345" s="1696"/>
    </row>
    <row r="346" spans="1:23" ht="18" x14ac:dyDescent="0.3">
      <c r="A346" s="2436">
        <v>340</v>
      </c>
      <c r="B346" s="1962" t="s">
        <v>5765</v>
      </c>
      <c r="C346" s="1963" t="s">
        <v>1344</v>
      </c>
      <c r="D346" s="1964">
        <v>64</v>
      </c>
      <c r="E346" s="1965">
        <v>2591</v>
      </c>
      <c r="F346" s="1966" t="s">
        <v>5764</v>
      </c>
      <c r="G346" s="455">
        <v>1400</v>
      </c>
      <c r="H346" s="1967" t="s">
        <v>4128</v>
      </c>
      <c r="I346" s="1968" t="s">
        <v>25</v>
      </c>
      <c r="J346" s="1696"/>
      <c r="K346" s="1696"/>
      <c r="L346" s="1696"/>
      <c r="M346" s="1696"/>
      <c r="N346" s="1696"/>
      <c r="O346" s="1970"/>
      <c r="R346" s="1968" t="s">
        <v>25</v>
      </c>
      <c r="S346" s="1696"/>
      <c r="T346" s="1696"/>
      <c r="U346" s="1696"/>
      <c r="V346" s="1696"/>
      <c r="W346" s="1696"/>
    </row>
    <row r="347" spans="1:23" ht="18" x14ac:dyDescent="0.3">
      <c r="A347" s="2436">
        <v>341</v>
      </c>
      <c r="B347" s="1962" t="s">
        <v>5765</v>
      </c>
      <c r="C347" s="1963" t="s">
        <v>1344</v>
      </c>
      <c r="D347" s="1964">
        <v>64</v>
      </c>
      <c r="E347" s="1965">
        <v>2592</v>
      </c>
      <c r="F347" s="1966" t="s">
        <v>5764</v>
      </c>
      <c r="G347" s="455">
        <v>1400</v>
      </c>
      <c r="H347" s="1967" t="s">
        <v>4128</v>
      </c>
      <c r="I347" s="1968" t="s">
        <v>25</v>
      </c>
      <c r="J347" s="1696"/>
      <c r="K347" s="1696"/>
      <c r="L347" s="1696"/>
      <c r="M347" s="1696"/>
      <c r="N347" s="1696"/>
      <c r="O347" s="1970"/>
      <c r="R347" s="1968" t="s">
        <v>25</v>
      </c>
      <c r="S347" s="1696"/>
      <c r="T347" s="1696"/>
      <c r="U347" s="1696"/>
      <c r="V347" s="1696"/>
      <c r="W347" s="1696"/>
    </row>
    <row r="348" spans="1:23" ht="18" x14ac:dyDescent="0.3">
      <c r="A348" s="2436">
        <v>342</v>
      </c>
      <c r="B348" s="1962" t="s">
        <v>5765</v>
      </c>
      <c r="C348" s="1963" t="s">
        <v>1344</v>
      </c>
      <c r="D348" s="1964">
        <v>64</v>
      </c>
      <c r="E348" s="1965">
        <v>2593</v>
      </c>
      <c r="F348" s="1966" t="s">
        <v>5764</v>
      </c>
      <c r="G348" s="455">
        <v>1400</v>
      </c>
      <c r="H348" s="1967" t="s">
        <v>4128</v>
      </c>
      <c r="I348" s="1968" t="s">
        <v>25</v>
      </c>
      <c r="J348" s="1696"/>
      <c r="K348" s="1696"/>
      <c r="L348" s="1696"/>
      <c r="M348" s="1696"/>
      <c r="N348" s="1696"/>
      <c r="O348" s="1970"/>
      <c r="R348" s="1968" t="s">
        <v>25</v>
      </c>
      <c r="S348" s="1696"/>
      <c r="T348" s="1696"/>
      <c r="U348" s="1696"/>
      <c r="V348" s="1696"/>
      <c r="W348" s="1696"/>
    </row>
    <row r="349" spans="1:23" ht="18" x14ac:dyDescent="0.3">
      <c r="A349" s="2436">
        <v>343</v>
      </c>
      <c r="B349" s="1962" t="s">
        <v>5765</v>
      </c>
      <c r="C349" s="1963" t="s">
        <v>1344</v>
      </c>
      <c r="D349" s="1964">
        <v>64</v>
      </c>
      <c r="E349" s="1965">
        <v>2594</v>
      </c>
      <c r="F349" s="1966" t="s">
        <v>5764</v>
      </c>
      <c r="G349" s="455">
        <v>1400</v>
      </c>
      <c r="H349" s="1967" t="s">
        <v>4128</v>
      </c>
      <c r="I349" s="1968" t="s">
        <v>25</v>
      </c>
      <c r="J349" s="1696"/>
      <c r="K349" s="1696"/>
      <c r="L349" s="1696"/>
      <c r="M349" s="1696"/>
      <c r="N349" s="1696"/>
      <c r="O349" s="1970"/>
      <c r="R349" s="1968" t="s">
        <v>25</v>
      </c>
      <c r="S349" s="1696"/>
      <c r="T349" s="1696"/>
      <c r="U349" s="1696"/>
      <c r="V349" s="1696"/>
      <c r="W349" s="1696"/>
    </row>
    <row r="350" spans="1:23" ht="18" x14ac:dyDescent="0.3">
      <c r="A350" s="2436">
        <v>344</v>
      </c>
      <c r="B350" s="1962" t="s">
        <v>5765</v>
      </c>
      <c r="C350" s="1963" t="s">
        <v>1344</v>
      </c>
      <c r="D350" s="1964">
        <v>64</v>
      </c>
      <c r="E350" s="1965">
        <v>2595</v>
      </c>
      <c r="F350" s="1966" t="s">
        <v>5764</v>
      </c>
      <c r="G350" s="455">
        <v>1400</v>
      </c>
      <c r="H350" s="1967" t="s">
        <v>4128</v>
      </c>
      <c r="I350" s="1968" t="s">
        <v>25</v>
      </c>
      <c r="J350" s="1696"/>
      <c r="K350" s="1696"/>
      <c r="L350" s="1696"/>
      <c r="M350" s="1696"/>
      <c r="N350" s="1696"/>
      <c r="O350" s="1970"/>
      <c r="R350" s="1968" t="s">
        <v>25</v>
      </c>
      <c r="S350" s="1696"/>
      <c r="T350" s="1696"/>
      <c r="U350" s="1696"/>
      <c r="V350" s="1696"/>
      <c r="W350" s="1696"/>
    </row>
    <row r="351" spans="1:23" ht="18" x14ac:dyDescent="0.3">
      <c r="A351" s="2436">
        <v>345</v>
      </c>
      <c r="B351" s="1962" t="s">
        <v>5765</v>
      </c>
      <c r="C351" s="1963" t="s">
        <v>1344</v>
      </c>
      <c r="D351" s="1964">
        <v>64</v>
      </c>
      <c r="E351" s="1965">
        <v>2596</v>
      </c>
      <c r="F351" s="1966" t="s">
        <v>5764</v>
      </c>
      <c r="G351" s="455">
        <v>1400</v>
      </c>
      <c r="H351" s="1967" t="s">
        <v>4128</v>
      </c>
      <c r="I351" s="1968" t="s">
        <v>25</v>
      </c>
      <c r="J351" s="1696"/>
      <c r="K351" s="1696"/>
      <c r="L351" s="1696"/>
      <c r="M351" s="1696"/>
      <c r="N351" s="1696"/>
      <c r="O351" s="1970"/>
      <c r="R351" s="1968" t="s">
        <v>25</v>
      </c>
      <c r="S351" s="1696"/>
      <c r="T351" s="1696"/>
      <c r="U351" s="1696"/>
      <c r="V351" s="1696"/>
      <c r="W351" s="1696"/>
    </row>
    <row r="352" spans="1:23" ht="18" x14ac:dyDescent="0.3">
      <c r="A352" s="2436">
        <v>346</v>
      </c>
      <c r="B352" s="1962" t="s">
        <v>5765</v>
      </c>
      <c r="C352" s="1963" t="s">
        <v>1344</v>
      </c>
      <c r="D352" s="1964">
        <v>64</v>
      </c>
      <c r="E352" s="1965">
        <v>2597</v>
      </c>
      <c r="F352" s="1966" t="s">
        <v>5764</v>
      </c>
      <c r="G352" s="455">
        <v>1400</v>
      </c>
      <c r="H352" s="1967" t="s">
        <v>4128</v>
      </c>
      <c r="I352" s="1968" t="s">
        <v>25</v>
      </c>
      <c r="J352" s="1696"/>
      <c r="K352" s="1696"/>
      <c r="L352" s="1696"/>
      <c r="M352" s="1696"/>
      <c r="N352" s="1696"/>
      <c r="O352" s="1970"/>
      <c r="R352" s="1968" t="s">
        <v>25</v>
      </c>
      <c r="S352" s="1696"/>
      <c r="T352" s="1696"/>
      <c r="U352" s="1696"/>
      <c r="V352" s="1696"/>
      <c r="W352" s="1696"/>
    </row>
    <row r="353" spans="1:23" ht="18" x14ac:dyDescent="0.3">
      <c r="A353" s="2436">
        <v>347</v>
      </c>
      <c r="B353" s="1962" t="s">
        <v>5765</v>
      </c>
      <c r="C353" s="1963" t="s">
        <v>1344</v>
      </c>
      <c r="D353" s="1964">
        <v>64</v>
      </c>
      <c r="E353" s="1965">
        <v>2598</v>
      </c>
      <c r="F353" s="1966" t="s">
        <v>5764</v>
      </c>
      <c r="G353" s="455">
        <v>1400</v>
      </c>
      <c r="H353" s="1967" t="s">
        <v>4128</v>
      </c>
      <c r="I353" s="1968" t="s">
        <v>25</v>
      </c>
      <c r="J353" s="1696"/>
      <c r="K353" s="1696"/>
      <c r="L353" s="1696"/>
      <c r="M353" s="1696"/>
      <c r="N353" s="1696"/>
      <c r="O353" s="1970"/>
      <c r="R353" s="1968" t="s">
        <v>25</v>
      </c>
      <c r="S353" s="1696"/>
      <c r="T353" s="1696"/>
      <c r="U353" s="1696"/>
      <c r="V353" s="1696"/>
      <c r="W353" s="1696"/>
    </row>
    <row r="354" spans="1:23" ht="18" x14ac:dyDescent="0.3">
      <c r="A354" s="2436">
        <v>348</v>
      </c>
      <c r="B354" s="1962" t="s">
        <v>5765</v>
      </c>
      <c r="C354" s="1963" t="s">
        <v>1344</v>
      </c>
      <c r="D354" s="1964">
        <v>64</v>
      </c>
      <c r="E354" s="1965">
        <v>2599</v>
      </c>
      <c r="F354" s="1966" t="s">
        <v>5764</v>
      </c>
      <c r="G354" s="455">
        <v>1400</v>
      </c>
      <c r="H354" s="1967" t="s">
        <v>4128</v>
      </c>
      <c r="I354" s="1968" t="s">
        <v>25</v>
      </c>
      <c r="J354" s="1696"/>
      <c r="K354" s="1696"/>
      <c r="L354" s="1696"/>
      <c r="M354" s="1696"/>
      <c r="N354" s="1696"/>
      <c r="O354" s="1970"/>
      <c r="R354" s="1968" t="s">
        <v>25</v>
      </c>
      <c r="S354" s="1696"/>
      <c r="T354" s="1696"/>
      <c r="U354" s="1696"/>
      <c r="V354" s="1696"/>
      <c r="W354" s="1696"/>
    </row>
    <row r="355" spans="1:23" ht="18" x14ac:dyDescent="0.3">
      <c r="A355" s="2436">
        <v>349</v>
      </c>
      <c r="B355" s="1962" t="s">
        <v>5765</v>
      </c>
      <c r="C355" s="1963" t="s">
        <v>1344</v>
      </c>
      <c r="D355" s="1964">
        <v>64</v>
      </c>
      <c r="E355" s="1965">
        <v>2600</v>
      </c>
      <c r="F355" s="1966" t="s">
        <v>5764</v>
      </c>
      <c r="G355" s="455">
        <v>1400</v>
      </c>
      <c r="H355" s="1967" t="s">
        <v>4128</v>
      </c>
      <c r="I355" s="1968" t="s">
        <v>25</v>
      </c>
      <c r="J355" s="1696"/>
      <c r="K355" s="1696"/>
      <c r="L355" s="1696"/>
      <c r="M355" s="1696"/>
      <c r="N355" s="1696"/>
      <c r="O355" s="1970"/>
      <c r="R355" s="1968" t="s">
        <v>25</v>
      </c>
      <c r="S355" s="1696"/>
      <c r="T355" s="1696"/>
      <c r="U355" s="1696"/>
      <c r="V355" s="1696"/>
      <c r="W355" s="1696"/>
    </row>
    <row r="356" spans="1:23" ht="18" x14ac:dyDescent="0.3">
      <c r="A356" s="2436">
        <v>350</v>
      </c>
      <c r="B356" s="1962" t="s">
        <v>5765</v>
      </c>
      <c r="C356" s="1963" t="s">
        <v>1344</v>
      </c>
      <c r="D356" s="1964">
        <v>64</v>
      </c>
      <c r="E356" s="1965">
        <v>2601</v>
      </c>
      <c r="F356" s="1966" t="s">
        <v>5764</v>
      </c>
      <c r="G356" s="455">
        <v>1400</v>
      </c>
      <c r="H356" s="1967" t="s">
        <v>4128</v>
      </c>
      <c r="I356" s="1968" t="s">
        <v>25</v>
      </c>
      <c r="J356" s="1696"/>
      <c r="K356" s="1696"/>
      <c r="L356" s="1696"/>
      <c r="M356" s="1696"/>
      <c r="N356" s="1696"/>
      <c r="O356" s="1970"/>
      <c r="R356" s="1968" t="s">
        <v>25</v>
      </c>
      <c r="S356" s="1696"/>
      <c r="T356" s="1696"/>
      <c r="U356" s="1696"/>
      <c r="V356" s="1696"/>
      <c r="W356" s="1696"/>
    </row>
    <row r="357" spans="1:23" ht="18" x14ac:dyDescent="0.3">
      <c r="A357" s="2436">
        <v>351</v>
      </c>
      <c r="B357" s="1962" t="s">
        <v>5765</v>
      </c>
      <c r="C357" s="1963" t="s">
        <v>1344</v>
      </c>
      <c r="D357" s="1964">
        <v>64</v>
      </c>
      <c r="E357" s="1965">
        <v>2602</v>
      </c>
      <c r="F357" s="1966" t="s">
        <v>5764</v>
      </c>
      <c r="G357" s="455">
        <v>1400</v>
      </c>
      <c r="H357" s="1967" t="s">
        <v>4128</v>
      </c>
      <c r="I357" s="1968" t="s">
        <v>25</v>
      </c>
      <c r="J357" s="1696"/>
      <c r="K357" s="1696"/>
      <c r="L357" s="1696"/>
      <c r="M357" s="1696"/>
      <c r="N357" s="1696"/>
      <c r="O357" s="1970"/>
      <c r="R357" s="1968" t="s">
        <v>25</v>
      </c>
      <c r="S357" s="1696"/>
      <c r="T357" s="1696"/>
      <c r="U357" s="1696"/>
      <c r="V357" s="1696"/>
      <c r="W357" s="1696"/>
    </row>
    <row r="358" spans="1:23" ht="18" x14ac:dyDescent="0.3">
      <c r="A358" s="2436">
        <v>352</v>
      </c>
      <c r="B358" s="1962" t="s">
        <v>5765</v>
      </c>
      <c r="C358" s="1963" t="s">
        <v>1344</v>
      </c>
      <c r="D358" s="1964">
        <v>64</v>
      </c>
      <c r="E358" s="1965">
        <v>2603</v>
      </c>
      <c r="F358" s="1966" t="s">
        <v>5764</v>
      </c>
      <c r="G358" s="455">
        <v>1400</v>
      </c>
      <c r="H358" s="1967" t="s">
        <v>4128</v>
      </c>
      <c r="I358" s="1968" t="s">
        <v>25</v>
      </c>
      <c r="J358" s="1696"/>
      <c r="K358" s="1696"/>
      <c r="L358" s="1696"/>
      <c r="M358" s="1696"/>
      <c r="N358" s="1696"/>
      <c r="O358" s="1970"/>
      <c r="R358" s="1968" t="s">
        <v>25</v>
      </c>
      <c r="S358" s="1696"/>
      <c r="T358" s="1696"/>
      <c r="U358" s="1696"/>
      <c r="V358" s="1696"/>
      <c r="W358" s="1696"/>
    </row>
    <row r="359" spans="1:23" ht="18" x14ac:dyDescent="0.3">
      <c r="A359" s="2436">
        <v>353</v>
      </c>
      <c r="B359" s="1962" t="s">
        <v>5765</v>
      </c>
      <c r="C359" s="1963" t="s">
        <v>1344</v>
      </c>
      <c r="D359" s="1964">
        <v>64</v>
      </c>
      <c r="E359" s="1965">
        <v>2604</v>
      </c>
      <c r="F359" s="1966" t="s">
        <v>5764</v>
      </c>
      <c r="G359" s="455">
        <v>1400</v>
      </c>
      <c r="H359" s="1967" t="s">
        <v>4128</v>
      </c>
      <c r="I359" s="1968" t="s">
        <v>25</v>
      </c>
      <c r="J359" s="1696"/>
      <c r="K359" s="1696"/>
      <c r="L359" s="1696"/>
      <c r="M359" s="1696"/>
      <c r="N359" s="1696"/>
      <c r="O359" s="1970"/>
      <c r="R359" s="1968" t="s">
        <v>25</v>
      </c>
      <c r="S359" s="1696"/>
      <c r="T359" s="1696"/>
      <c r="U359" s="1696"/>
      <c r="V359" s="1696"/>
      <c r="W359" s="1696"/>
    </row>
    <row r="360" spans="1:23" ht="18" x14ac:dyDescent="0.3">
      <c r="A360" s="2436">
        <v>354</v>
      </c>
      <c r="B360" s="1962" t="s">
        <v>5765</v>
      </c>
      <c r="C360" s="1963" t="s">
        <v>1344</v>
      </c>
      <c r="D360" s="1964">
        <v>64</v>
      </c>
      <c r="E360" s="1965">
        <v>2605</v>
      </c>
      <c r="F360" s="1966" t="s">
        <v>5764</v>
      </c>
      <c r="G360" s="455">
        <v>1400</v>
      </c>
      <c r="H360" s="1967" t="s">
        <v>4128</v>
      </c>
      <c r="I360" s="1968" t="s">
        <v>25</v>
      </c>
      <c r="J360" s="1696"/>
      <c r="K360" s="1696"/>
      <c r="L360" s="1696"/>
      <c r="M360" s="1696"/>
      <c r="N360" s="1696"/>
      <c r="O360" s="1970"/>
      <c r="R360" s="1968" t="s">
        <v>25</v>
      </c>
      <c r="S360" s="1696"/>
      <c r="T360" s="1696"/>
      <c r="U360" s="1696"/>
      <c r="V360" s="1696"/>
      <c r="W360" s="1696"/>
    </row>
    <row r="361" spans="1:23" ht="18" x14ac:dyDescent="0.3">
      <c r="A361" s="2436">
        <v>355</v>
      </c>
      <c r="B361" s="1962" t="s">
        <v>5765</v>
      </c>
      <c r="C361" s="1963" t="s">
        <v>1344</v>
      </c>
      <c r="D361" s="1964">
        <v>64</v>
      </c>
      <c r="E361" s="1965">
        <v>2606</v>
      </c>
      <c r="F361" s="1966" t="s">
        <v>5764</v>
      </c>
      <c r="G361" s="455">
        <v>1400</v>
      </c>
      <c r="H361" s="1967" t="s">
        <v>4128</v>
      </c>
      <c r="I361" s="1968" t="s">
        <v>25</v>
      </c>
      <c r="J361" s="1696"/>
      <c r="K361" s="1696"/>
      <c r="L361" s="1696"/>
      <c r="M361" s="1696"/>
      <c r="N361" s="1696"/>
      <c r="O361" s="1970"/>
      <c r="R361" s="1968" t="s">
        <v>25</v>
      </c>
      <c r="S361" s="1696"/>
      <c r="T361" s="1696"/>
      <c r="U361" s="1696"/>
      <c r="V361" s="1696"/>
      <c r="W361" s="1696"/>
    </row>
    <row r="362" spans="1:23" ht="18" x14ac:dyDescent="0.3">
      <c r="A362" s="2436">
        <v>356</v>
      </c>
      <c r="B362" s="1962" t="s">
        <v>5765</v>
      </c>
      <c r="C362" s="1963" t="s">
        <v>1344</v>
      </c>
      <c r="D362" s="1964">
        <v>64</v>
      </c>
      <c r="E362" s="1965">
        <v>2607</v>
      </c>
      <c r="F362" s="1966" t="s">
        <v>5764</v>
      </c>
      <c r="G362" s="455">
        <v>1400</v>
      </c>
      <c r="H362" s="1967" t="s">
        <v>4128</v>
      </c>
      <c r="I362" s="1968" t="s">
        <v>25</v>
      </c>
      <c r="J362" s="1696"/>
      <c r="K362" s="1696"/>
      <c r="L362" s="1696"/>
      <c r="M362" s="1696"/>
      <c r="N362" s="1696"/>
      <c r="O362" s="1970"/>
      <c r="R362" s="1968" t="s">
        <v>25</v>
      </c>
      <c r="S362" s="1696"/>
      <c r="T362" s="1696"/>
      <c r="U362" s="1696"/>
      <c r="V362" s="1696"/>
      <c r="W362" s="1696"/>
    </row>
    <row r="363" spans="1:23" ht="18" x14ac:dyDescent="0.3">
      <c r="A363" s="2436">
        <v>357</v>
      </c>
      <c r="B363" s="1962" t="s">
        <v>5765</v>
      </c>
      <c r="C363" s="1963" t="s">
        <v>1344</v>
      </c>
      <c r="D363" s="1964">
        <v>64</v>
      </c>
      <c r="E363" s="1965">
        <v>2608</v>
      </c>
      <c r="F363" s="1966" t="s">
        <v>5764</v>
      </c>
      <c r="G363" s="455">
        <v>1400</v>
      </c>
      <c r="H363" s="1967" t="s">
        <v>4128</v>
      </c>
      <c r="I363" s="1968" t="s">
        <v>25</v>
      </c>
      <c r="J363" s="1696"/>
      <c r="K363" s="1696"/>
      <c r="L363" s="1696"/>
      <c r="M363" s="1696"/>
      <c r="N363" s="1696"/>
      <c r="O363" s="1970"/>
      <c r="R363" s="1968" t="s">
        <v>25</v>
      </c>
      <c r="S363" s="1696"/>
      <c r="T363" s="1696"/>
      <c r="U363" s="1696"/>
      <c r="V363" s="1696"/>
      <c r="W363" s="1696"/>
    </row>
    <row r="364" spans="1:23" ht="18" x14ac:dyDescent="0.3">
      <c r="A364" s="2436">
        <v>358</v>
      </c>
      <c r="B364" s="1962" t="s">
        <v>5765</v>
      </c>
      <c r="C364" s="1963" t="s">
        <v>1344</v>
      </c>
      <c r="D364" s="1964">
        <v>64</v>
      </c>
      <c r="E364" s="1965">
        <v>2609</v>
      </c>
      <c r="F364" s="1966" t="s">
        <v>5764</v>
      </c>
      <c r="G364" s="455">
        <v>1400</v>
      </c>
      <c r="H364" s="1967" t="s">
        <v>4128</v>
      </c>
      <c r="I364" s="1968" t="s">
        <v>25</v>
      </c>
      <c r="J364" s="1696"/>
      <c r="K364" s="1696"/>
      <c r="L364" s="1696"/>
      <c r="M364" s="1696"/>
      <c r="N364" s="1696"/>
      <c r="O364" s="1970"/>
      <c r="R364" s="1968" t="s">
        <v>25</v>
      </c>
      <c r="S364" s="1696"/>
      <c r="T364" s="1696"/>
      <c r="U364" s="1696"/>
      <c r="V364" s="1696"/>
      <c r="W364" s="1696"/>
    </row>
    <row r="365" spans="1:23" ht="18" x14ac:dyDescent="0.3">
      <c r="A365" s="2436">
        <v>359</v>
      </c>
      <c r="B365" s="1962" t="s">
        <v>5765</v>
      </c>
      <c r="C365" s="1963" t="s">
        <v>1344</v>
      </c>
      <c r="D365" s="1964">
        <v>64</v>
      </c>
      <c r="E365" s="1965">
        <v>2610</v>
      </c>
      <c r="F365" s="1966" t="s">
        <v>5764</v>
      </c>
      <c r="G365" s="455">
        <v>1400</v>
      </c>
      <c r="H365" s="1967" t="s">
        <v>4128</v>
      </c>
      <c r="I365" s="1968" t="s">
        <v>25</v>
      </c>
      <c r="J365" s="1696"/>
      <c r="K365" s="1696"/>
      <c r="L365" s="1696"/>
      <c r="M365" s="1696"/>
      <c r="N365" s="1696"/>
      <c r="O365" s="1970"/>
      <c r="R365" s="1968" t="s">
        <v>25</v>
      </c>
      <c r="S365" s="1696"/>
      <c r="T365" s="1696"/>
      <c r="U365" s="1696"/>
      <c r="V365" s="1696"/>
      <c r="W365" s="1696"/>
    </row>
    <row r="366" spans="1:23" ht="18" x14ac:dyDescent="0.3">
      <c r="A366" s="2436">
        <v>360</v>
      </c>
      <c r="B366" s="1962" t="s">
        <v>5765</v>
      </c>
      <c r="C366" s="1963" t="s">
        <v>1344</v>
      </c>
      <c r="D366" s="1964">
        <v>64</v>
      </c>
      <c r="E366" s="1965">
        <v>2611</v>
      </c>
      <c r="F366" s="1966" t="s">
        <v>5764</v>
      </c>
      <c r="G366" s="455">
        <v>1400</v>
      </c>
      <c r="H366" s="1967" t="s">
        <v>4128</v>
      </c>
      <c r="I366" s="1968" t="s">
        <v>25</v>
      </c>
      <c r="J366" s="1696"/>
      <c r="K366" s="1696"/>
      <c r="L366" s="1696"/>
      <c r="M366" s="1696"/>
      <c r="N366" s="1696"/>
      <c r="O366" s="1970"/>
      <c r="R366" s="1968" t="s">
        <v>25</v>
      </c>
      <c r="S366" s="1696"/>
      <c r="T366" s="1696"/>
      <c r="U366" s="1696"/>
      <c r="V366" s="1696"/>
      <c r="W366" s="1696"/>
    </row>
    <row r="367" spans="1:23" ht="18" x14ac:dyDescent="0.3">
      <c r="A367" s="2436">
        <v>361</v>
      </c>
      <c r="B367" s="1962" t="s">
        <v>5765</v>
      </c>
      <c r="C367" s="1963" t="s">
        <v>1344</v>
      </c>
      <c r="D367" s="1964">
        <v>64</v>
      </c>
      <c r="E367" s="1965">
        <v>2612</v>
      </c>
      <c r="F367" s="1966" t="s">
        <v>5764</v>
      </c>
      <c r="G367" s="455">
        <v>1400</v>
      </c>
      <c r="H367" s="1967" t="s">
        <v>4128</v>
      </c>
      <c r="I367" s="1968" t="s">
        <v>25</v>
      </c>
      <c r="J367" s="1696"/>
      <c r="K367" s="1696"/>
      <c r="L367" s="1696"/>
      <c r="M367" s="1696"/>
      <c r="N367" s="1696"/>
      <c r="O367" s="1970"/>
      <c r="R367" s="1968" t="s">
        <v>25</v>
      </c>
      <c r="S367" s="1696"/>
      <c r="T367" s="1696"/>
      <c r="U367" s="1696"/>
      <c r="V367" s="1696"/>
      <c r="W367" s="1696"/>
    </row>
    <row r="368" spans="1:23" ht="18" x14ac:dyDescent="0.3">
      <c r="A368" s="2436">
        <v>362</v>
      </c>
      <c r="B368" s="1962" t="s">
        <v>5765</v>
      </c>
      <c r="C368" s="1963" t="s">
        <v>1344</v>
      </c>
      <c r="D368" s="1964">
        <v>64</v>
      </c>
      <c r="E368" s="1965">
        <v>2613</v>
      </c>
      <c r="F368" s="1966" t="s">
        <v>5764</v>
      </c>
      <c r="G368" s="455">
        <v>1400</v>
      </c>
      <c r="H368" s="1967" t="s">
        <v>4128</v>
      </c>
      <c r="I368" s="1968" t="s">
        <v>25</v>
      </c>
      <c r="J368" s="1696"/>
      <c r="K368" s="1696"/>
      <c r="L368" s="1696"/>
      <c r="M368" s="1696"/>
      <c r="N368" s="1696"/>
      <c r="O368" s="1970"/>
      <c r="R368" s="1968" t="s">
        <v>25</v>
      </c>
      <c r="S368" s="1696"/>
      <c r="T368" s="1696"/>
      <c r="U368" s="1696"/>
      <c r="V368" s="1696"/>
      <c r="W368" s="1696"/>
    </row>
    <row r="369" spans="1:23" ht="18" x14ac:dyDescent="0.3">
      <c r="A369" s="2436">
        <v>363</v>
      </c>
      <c r="B369" s="1962" t="s">
        <v>5765</v>
      </c>
      <c r="C369" s="1963" t="s">
        <v>1344</v>
      </c>
      <c r="D369" s="1964">
        <v>64</v>
      </c>
      <c r="E369" s="1965">
        <v>2614</v>
      </c>
      <c r="F369" s="1966" t="s">
        <v>5764</v>
      </c>
      <c r="G369" s="455">
        <v>1400</v>
      </c>
      <c r="H369" s="1967" t="s">
        <v>4128</v>
      </c>
      <c r="I369" s="1968" t="s">
        <v>25</v>
      </c>
      <c r="J369" s="1696"/>
      <c r="K369" s="1696"/>
      <c r="L369" s="1696"/>
      <c r="M369" s="1696"/>
      <c r="N369" s="1696"/>
      <c r="O369" s="1970"/>
      <c r="R369" s="1968" t="s">
        <v>25</v>
      </c>
      <c r="S369" s="1696"/>
      <c r="T369" s="1696"/>
      <c r="U369" s="1696"/>
      <c r="V369" s="1696"/>
      <c r="W369" s="1696"/>
    </row>
    <row r="370" spans="1:23" ht="18" x14ac:dyDescent="0.3">
      <c r="A370" s="2436">
        <v>364</v>
      </c>
      <c r="B370" s="1962" t="s">
        <v>5765</v>
      </c>
      <c r="C370" s="1963" t="s">
        <v>1344</v>
      </c>
      <c r="D370" s="1964">
        <v>64</v>
      </c>
      <c r="E370" s="1965">
        <v>2615</v>
      </c>
      <c r="F370" s="1966" t="s">
        <v>5764</v>
      </c>
      <c r="G370" s="455">
        <v>1400</v>
      </c>
      <c r="H370" s="1967" t="s">
        <v>4128</v>
      </c>
      <c r="I370" s="1968" t="s">
        <v>25</v>
      </c>
      <c r="J370" s="1696"/>
      <c r="K370" s="1696"/>
      <c r="L370" s="1696"/>
      <c r="M370" s="1696"/>
      <c r="N370" s="1696"/>
      <c r="O370" s="1970"/>
      <c r="R370" s="1968" t="s">
        <v>25</v>
      </c>
      <c r="S370" s="1696"/>
      <c r="T370" s="1696"/>
      <c r="U370" s="1696"/>
      <c r="V370" s="1696"/>
      <c r="W370" s="1696"/>
    </row>
    <row r="371" spans="1:23" ht="18" x14ac:dyDescent="0.3">
      <c r="A371" s="2436">
        <v>365</v>
      </c>
      <c r="B371" s="1962" t="s">
        <v>5765</v>
      </c>
      <c r="C371" s="1963" t="s">
        <v>1344</v>
      </c>
      <c r="D371" s="1964">
        <v>64</v>
      </c>
      <c r="E371" s="1965">
        <v>2616</v>
      </c>
      <c r="F371" s="1966" t="s">
        <v>5764</v>
      </c>
      <c r="G371" s="455">
        <v>1400</v>
      </c>
      <c r="H371" s="1967" t="s">
        <v>4128</v>
      </c>
      <c r="I371" s="1968" t="s">
        <v>25</v>
      </c>
      <c r="J371" s="1696"/>
      <c r="K371" s="1696"/>
      <c r="L371" s="1696"/>
      <c r="M371" s="1696"/>
      <c r="N371" s="1696"/>
      <c r="O371" s="1970"/>
      <c r="R371" s="1968" t="s">
        <v>25</v>
      </c>
      <c r="S371" s="1696"/>
      <c r="T371" s="1696"/>
      <c r="U371" s="1696"/>
      <c r="V371" s="1696"/>
      <c r="W371" s="1696"/>
    </row>
    <row r="372" spans="1:23" ht="18" x14ac:dyDescent="0.3">
      <c r="A372" s="2436">
        <v>366</v>
      </c>
      <c r="B372" s="1962" t="s">
        <v>5765</v>
      </c>
      <c r="C372" s="1963" t="s">
        <v>1344</v>
      </c>
      <c r="D372" s="1964">
        <v>64</v>
      </c>
      <c r="E372" s="1965">
        <v>2617</v>
      </c>
      <c r="F372" s="1966" t="s">
        <v>5764</v>
      </c>
      <c r="G372" s="455">
        <v>1400</v>
      </c>
      <c r="H372" s="1967" t="s">
        <v>4128</v>
      </c>
      <c r="I372" s="1968" t="s">
        <v>25</v>
      </c>
      <c r="J372" s="1696"/>
      <c r="K372" s="1696"/>
      <c r="L372" s="1696"/>
      <c r="M372" s="1696"/>
      <c r="N372" s="1696"/>
      <c r="O372" s="1970"/>
      <c r="R372" s="1968" t="s">
        <v>25</v>
      </c>
      <c r="S372" s="1696"/>
      <c r="T372" s="1696"/>
      <c r="U372" s="1696"/>
      <c r="V372" s="1696"/>
      <c r="W372" s="1696"/>
    </row>
    <row r="373" spans="1:23" ht="18" x14ac:dyDescent="0.3">
      <c r="A373" s="2436">
        <v>367</v>
      </c>
      <c r="B373" s="1962" t="s">
        <v>5765</v>
      </c>
      <c r="C373" s="1963" t="s">
        <v>1344</v>
      </c>
      <c r="D373" s="1964">
        <v>64</v>
      </c>
      <c r="E373" s="1965">
        <v>2618</v>
      </c>
      <c r="F373" s="1966" t="s">
        <v>5764</v>
      </c>
      <c r="G373" s="455">
        <v>1400</v>
      </c>
      <c r="H373" s="1967" t="s">
        <v>4128</v>
      </c>
      <c r="I373" s="1968" t="s">
        <v>25</v>
      </c>
      <c r="J373" s="1696"/>
      <c r="K373" s="1696"/>
      <c r="L373" s="1696"/>
      <c r="M373" s="1696"/>
      <c r="N373" s="1696"/>
      <c r="O373" s="1970"/>
      <c r="R373" s="1968" t="s">
        <v>25</v>
      </c>
      <c r="S373" s="1696"/>
      <c r="T373" s="1696"/>
      <c r="U373" s="1696"/>
      <c r="V373" s="1696"/>
      <c r="W373" s="1696"/>
    </row>
    <row r="374" spans="1:23" ht="18" x14ac:dyDescent="0.3">
      <c r="A374" s="2436">
        <v>368</v>
      </c>
      <c r="B374" s="1962" t="s">
        <v>5765</v>
      </c>
      <c r="C374" s="1963" t="s">
        <v>1344</v>
      </c>
      <c r="D374" s="1964">
        <v>64</v>
      </c>
      <c r="E374" s="1965">
        <v>2619</v>
      </c>
      <c r="F374" s="1966" t="s">
        <v>5764</v>
      </c>
      <c r="G374" s="455">
        <v>1400</v>
      </c>
      <c r="H374" s="1967" t="s">
        <v>4128</v>
      </c>
      <c r="I374" s="1968" t="s">
        <v>25</v>
      </c>
      <c r="J374" s="1696"/>
      <c r="K374" s="1696"/>
      <c r="L374" s="1696"/>
      <c r="M374" s="1696"/>
      <c r="N374" s="1696"/>
      <c r="O374" s="1970"/>
      <c r="R374" s="1968" t="s">
        <v>25</v>
      </c>
      <c r="S374" s="1696"/>
      <c r="T374" s="1696"/>
      <c r="U374" s="1696"/>
      <c r="V374" s="1696"/>
      <c r="W374" s="1696"/>
    </row>
    <row r="375" spans="1:23" ht="18" x14ac:dyDescent="0.3">
      <c r="A375" s="2436">
        <v>369</v>
      </c>
      <c r="B375" s="1962" t="s">
        <v>5765</v>
      </c>
      <c r="C375" s="1963" t="s">
        <v>1344</v>
      </c>
      <c r="D375" s="1964">
        <v>64</v>
      </c>
      <c r="E375" s="1965">
        <v>2620</v>
      </c>
      <c r="F375" s="1966" t="s">
        <v>5764</v>
      </c>
      <c r="G375" s="455">
        <v>1400</v>
      </c>
      <c r="H375" s="1967" t="s">
        <v>4128</v>
      </c>
      <c r="I375" s="1968" t="s">
        <v>25</v>
      </c>
      <c r="J375" s="1696"/>
      <c r="K375" s="1696"/>
      <c r="L375" s="1696"/>
      <c r="M375" s="1696"/>
      <c r="N375" s="1696"/>
      <c r="O375" s="1970"/>
      <c r="R375" s="1968" t="s">
        <v>25</v>
      </c>
      <c r="S375" s="1696"/>
      <c r="T375" s="1696"/>
      <c r="U375" s="1696"/>
      <c r="V375" s="1696"/>
      <c r="W375" s="1696"/>
    </row>
    <row r="376" spans="1:23" ht="18" x14ac:dyDescent="0.3">
      <c r="A376" s="2436">
        <v>370</v>
      </c>
      <c r="B376" s="1962" t="s">
        <v>5765</v>
      </c>
      <c r="C376" s="1963" t="s">
        <v>1344</v>
      </c>
      <c r="D376" s="1964">
        <v>64</v>
      </c>
      <c r="E376" s="1965">
        <v>2621</v>
      </c>
      <c r="F376" s="1966" t="s">
        <v>5764</v>
      </c>
      <c r="G376" s="455">
        <v>1400</v>
      </c>
      <c r="H376" s="1967" t="s">
        <v>4128</v>
      </c>
      <c r="I376" s="1968" t="s">
        <v>25</v>
      </c>
      <c r="J376" s="1696"/>
      <c r="K376" s="1696"/>
      <c r="L376" s="1696"/>
      <c r="M376" s="1696"/>
      <c r="N376" s="1696"/>
      <c r="O376" s="1970"/>
      <c r="R376" s="1968" t="s">
        <v>25</v>
      </c>
      <c r="S376" s="1696"/>
      <c r="T376" s="1696"/>
      <c r="U376" s="1696"/>
      <c r="V376" s="1696"/>
      <c r="W376" s="1696"/>
    </row>
    <row r="377" spans="1:23" ht="18" x14ac:dyDescent="0.3">
      <c r="A377" s="2436">
        <v>371</v>
      </c>
      <c r="B377" s="1962" t="s">
        <v>5765</v>
      </c>
      <c r="C377" s="1963" t="s">
        <v>1344</v>
      </c>
      <c r="D377" s="1964">
        <v>64</v>
      </c>
      <c r="E377" s="1965">
        <v>2622</v>
      </c>
      <c r="F377" s="1966" t="s">
        <v>5764</v>
      </c>
      <c r="G377" s="455">
        <v>1400</v>
      </c>
      <c r="H377" s="1967" t="s">
        <v>4128</v>
      </c>
      <c r="I377" s="1968" t="s">
        <v>25</v>
      </c>
      <c r="J377" s="1696"/>
      <c r="K377" s="1696"/>
      <c r="L377" s="1696"/>
      <c r="M377" s="1696"/>
      <c r="N377" s="1696"/>
      <c r="O377" s="1970"/>
      <c r="R377" s="1968" t="s">
        <v>25</v>
      </c>
      <c r="S377" s="1696"/>
      <c r="T377" s="1696"/>
      <c r="U377" s="1696"/>
      <c r="V377" s="1696"/>
      <c r="W377" s="1696"/>
    </row>
    <row r="378" spans="1:23" ht="18" x14ac:dyDescent="0.3">
      <c r="A378" s="2436">
        <v>372</v>
      </c>
      <c r="B378" s="1962" t="s">
        <v>5765</v>
      </c>
      <c r="C378" s="1963" t="s">
        <v>1344</v>
      </c>
      <c r="D378" s="1964">
        <v>64</v>
      </c>
      <c r="E378" s="1965">
        <v>2623</v>
      </c>
      <c r="F378" s="1966" t="s">
        <v>5764</v>
      </c>
      <c r="G378" s="455">
        <v>1400</v>
      </c>
      <c r="H378" s="1967" t="s">
        <v>4128</v>
      </c>
      <c r="I378" s="1968" t="s">
        <v>25</v>
      </c>
      <c r="J378" s="1696"/>
      <c r="K378" s="1696"/>
      <c r="L378" s="1696"/>
      <c r="M378" s="1696"/>
      <c r="N378" s="1696"/>
      <c r="O378" s="1970"/>
      <c r="R378" s="1968" t="s">
        <v>25</v>
      </c>
      <c r="S378" s="1696"/>
      <c r="T378" s="1696"/>
      <c r="U378" s="1696"/>
      <c r="V378" s="1696"/>
      <c r="W378" s="1696"/>
    </row>
    <row r="379" spans="1:23" ht="18" x14ac:dyDescent="0.3">
      <c r="A379" s="2436">
        <v>373</v>
      </c>
      <c r="B379" s="1962" t="s">
        <v>5765</v>
      </c>
      <c r="C379" s="1963" t="s">
        <v>1344</v>
      </c>
      <c r="D379" s="1964">
        <v>64</v>
      </c>
      <c r="E379" s="1965">
        <v>2624</v>
      </c>
      <c r="F379" s="1966" t="s">
        <v>5764</v>
      </c>
      <c r="G379" s="455">
        <v>1400</v>
      </c>
      <c r="H379" s="1967" t="s">
        <v>4128</v>
      </c>
      <c r="I379" s="1968" t="s">
        <v>25</v>
      </c>
      <c r="J379" s="1696"/>
      <c r="K379" s="1696"/>
      <c r="L379" s="1696"/>
      <c r="M379" s="1696"/>
      <c r="N379" s="1696"/>
      <c r="O379" s="1970"/>
      <c r="R379" s="1968" t="s">
        <v>25</v>
      </c>
      <c r="S379" s="1696"/>
      <c r="T379" s="1696"/>
      <c r="U379" s="1696"/>
      <c r="V379" s="1696"/>
      <c r="W379" s="1696"/>
    </row>
    <row r="380" spans="1:23" ht="18" x14ac:dyDescent="0.3">
      <c r="A380" s="2436">
        <v>374</v>
      </c>
      <c r="B380" s="1962" t="s">
        <v>5765</v>
      </c>
      <c r="C380" s="1963" t="s">
        <v>1344</v>
      </c>
      <c r="D380" s="1964">
        <v>64</v>
      </c>
      <c r="E380" s="1965">
        <v>2625</v>
      </c>
      <c r="F380" s="1966" t="s">
        <v>5764</v>
      </c>
      <c r="G380" s="455">
        <v>1400</v>
      </c>
      <c r="H380" s="1967" t="s">
        <v>4128</v>
      </c>
      <c r="I380" s="1968" t="s">
        <v>25</v>
      </c>
      <c r="J380" s="1696"/>
      <c r="K380" s="1696"/>
      <c r="L380" s="1696"/>
      <c r="M380" s="1696"/>
      <c r="N380" s="1696"/>
      <c r="O380" s="1970"/>
      <c r="R380" s="1968" t="s">
        <v>25</v>
      </c>
      <c r="S380" s="1696"/>
      <c r="T380" s="1696"/>
      <c r="U380" s="1696"/>
      <c r="V380" s="1696"/>
      <c r="W380" s="1696"/>
    </row>
    <row r="381" spans="1:23" ht="18" x14ac:dyDescent="0.3">
      <c r="A381" s="2436">
        <v>375</v>
      </c>
      <c r="B381" s="1962" t="s">
        <v>5765</v>
      </c>
      <c r="C381" s="1963" t="s">
        <v>1344</v>
      </c>
      <c r="D381" s="1964">
        <v>64</v>
      </c>
      <c r="E381" s="1965">
        <v>2626</v>
      </c>
      <c r="F381" s="1966" t="s">
        <v>5764</v>
      </c>
      <c r="G381" s="455">
        <v>1400</v>
      </c>
      <c r="H381" s="1967" t="s">
        <v>4128</v>
      </c>
      <c r="I381" s="1968" t="s">
        <v>25</v>
      </c>
      <c r="J381" s="1696"/>
      <c r="K381" s="1696"/>
      <c r="L381" s="1696"/>
      <c r="M381" s="1696"/>
      <c r="N381" s="1696"/>
      <c r="O381" s="1970"/>
      <c r="R381" s="1968" t="s">
        <v>25</v>
      </c>
      <c r="S381" s="1696"/>
      <c r="T381" s="1696"/>
      <c r="U381" s="1696"/>
      <c r="V381" s="1696"/>
      <c r="W381" s="1696"/>
    </row>
    <row r="382" spans="1:23" ht="18" x14ac:dyDescent="0.3">
      <c r="A382" s="2436">
        <v>376</v>
      </c>
      <c r="B382" s="1962" t="s">
        <v>5765</v>
      </c>
      <c r="C382" s="1963" t="s">
        <v>1344</v>
      </c>
      <c r="D382" s="1964">
        <v>64</v>
      </c>
      <c r="E382" s="1965">
        <v>2627</v>
      </c>
      <c r="F382" s="1966" t="s">
        <v>5764</v>
      </c>
      <c r="G382" s="455">
        <v>1400</v>
      </c>
      <c r="H382" s="1967" t="s">
        <v>4128</v>
      </c>
      <c r="I382" s="1968" t="s">
        <v>25</v>
      </c>
      <c r="J382" s="1696"/>
      <c r="K382" s="1696"/>
      <c r="L382" s="1696"/>
      <c r="M382" s="1696"/>
      <c r="N382" s="1696"/>
      <c r="O382" s="1970"/>
      <c r="R382" s="1968" t="s">
        <v>25</v>
      </c>
      <c r="S382" s="1696"/>
      <c r="T382" s="1696"/>
      <c r="U382" s="1696"/>
      <c r="V382" s="1696"/>
      <c r="W382" s="1696"/>
    </row>
    <row r="383" spans="1:23" ht="18" x14ac:dyDescent="0.3">
      <c r="A383" s="2436">
        <v>377</v>
      </c>
      <c r="B383" s="1962" t="s">
        <v>5765</v>
      </c>
      <c r="C383" s="1963" t="s">
        <v>1344</v>
      </c>
      <c r="D383" s="1964">
        <v>64</v>
      </c>
      <c r="E383" s="1965">
        <v>2628</v>
      </c>
      <c r="F383" s="1966" t="s">
        <v>5764</v>
      </c>
      <c r="G383" s="455">
        <v>1400</v>
      </c>
      <c r="H383" s="1967" t="s">
        <v>4128</v>
      </c>
      <c r="I383" s="1968" t="s">
        <v>25</v>
      </c>
      <c r="J383" s="1696"/>
      <c r="K383" s="1696"/>
      <c r="L383" s="1696"/>
      <c r="M383" s="1696"/>
      <c r="N383" s="1696"/>
      <c r="O383" s="1970"/>
      <c r="R383" s="1968" t="s">
        <v>25</v>
      </c>
      <c r="S383" s="1696"/>
      <c r="T383" s="1696"/>
      <c r="U383" s="1696"/>
      <c r="V383" s="1696"/>
      <c r="W383" s="1696"/>
    </row>
    <row r="384" spans="1:23" ht="18" x14ac:dyDescent="0.3">
      <c r="A384" s="2436">
        <v>378</v>
      </c>
      <c r="B384" s="1962" t="s">
        <v>5765</v>
      </c>
      <c r="C384" s="1963" t="s">
        <v>1344</v>
      </c>
      <c r="D384" s="1964">
        <v>64</v>
      </c>
      <c r="E384" s="1965">
        <v>2629</v>
      </c>
      <c r="F384" s="1966" t="s">
        <v>5764</v>
      </c>
      <c r="G384" s="455">
        <v>1400</v>
      </c>
      <c r="H384" s="1967" t="s">
        <v>4128</v>
      </c>
      <c r="I384" s="1968" t="s">
        <v>25</v>
      </c>
      <c r="J384" s="1696"/>
      <c r="K384" s="1696"/>
      <c r="L384" s="1696"/>
      <c r="M384" s="1696"/>
      <c r="N384" s="1696"/>
      <c r="O384" s="1970"/>
      <c r="R384" s="1968" t="s">
        <v>25</v>
      </c>
      <c r="S384" s="1696"/>
      <c r="T384" s="1696"/>
      <c r="U384" s="1696"/>
      <c r="V384" s="1696"/>
      <c r="W384" s="1696"/>
    </row>
    <row r="385" spans="1:23" ht="18" x14ac:dyDescent="0.3">
      <c r="A385" s="2436">
        <v>379</v>
      </c>
      <c r="B385" s="1962" t="s">
        <v>5765</v>
      </c>
      <c r="C385" s="1963" t="s">
        <v>1344</v>
      </c>
      <c r="D385" s="1964">
        <v>64</v>
      </c>
      <c r="E385" s="1965">
        <v>2630</v>
      </c>
      <c r="F385" s="1966" t="s">
        <v>5764</v>
      </c>
      <c r="G385" s="455">
        <v>1400</v>
      </c>
      <c r="H385" s="1967" t="s">
        <v>4128</v>
      </c>
      <c r="I385" s="1968" t="s">
        <v>25</v>
      </c>
      <c r="J385" s="1696"/>
      <c r="K385" s="1696"/>
      <c r="L385" s="1696"/>
      <c r="M385" s="1696"/>
      <c r="N385" s="1696"/>
      <c r="O385" s="1970"/>
      <c r="R385" s="1968" t="s">
        <v>25</v>
      </c>
      <c r="S385" s="1696"/>
      <c r="T385" s="1696"/>
      <c r="U385" s="1696"/>
      <c r="V385" s="1696"/>
      <c r="W385" s="1696"/>
    </row>
    <row r="386" spans="1:23" ht="18" x14ac:dyDescent="0.3">
      <c r="A386" s="2436">
        <v>380</v>
      </c>
      <c r="B386" s="1962" t="s">
        <v>5765</v>
      </c>
      <c r="C386" s="1963" t="s">
        <v>1344</v>
      </c>
      <c r="D386" s="1964">
        <v>64</v>
      </c>
      <c r="E386" s="1965">
        <v>2631</v>
      </c>
      <c r="F386" s="1966" t="s">
        <v>5764</v>
      </c>
      <c r="G386" s="455">
        <v>1400</v>
      </c>
      <c r="H386" s="1967" t="s">
        <v>4128</v>
      </c>
      <c r="I386" s="1968" t="s">
        <v>25</v>
      </c>
      <c r="J386" s="1696"/>
      <c r="K386" s="1696"/>
      <c r="L386" s="1696"/>
      <c r="M386" s="1696"/>
      <c r="N386" s="1696"/>
      <c r="O386" s="1970"/>
      <c r="R386" s="1968" t="s">
        <v>25</v>
      </c>
      <c r="S386" s="1696"/>
      <c r="T386" s="1696"/>
      <c r="U386" s="1696"/>
      <c r="V386" s="1696"/>
      <c r="W386" s="1696"/>
    </row>
    <row r="387" spans="1:23" ht="18" x14ac:dyDescent="0.3">
      <c r="A387" s="2436">
        <v>381</v>
      </c>
      <c r="B387" s="1962" t="s">
        <v>5765</v>
      </c>
      <c r="C387" s="1963" t="s">
        <v>1344</v>
      </c>
      <c r="D387" s="1964">
        <v>64</v>
      </c>
      <c r="E387" s="1965">
        <v>2632</v>
      </c>
      <c r="F387" s="1966" t="s">
        <v>5764</v>
      </c>
      <c r="G387" s="455">
        <v>1400</v>
      </c>
      <c r="H387" s="1967" t="s">
        <v>4128</v>
      </c>
      <c r="I387" s="1968" t="s">
        <v>25</v>
      </c>
      <c r="J387" s="1696"/>
      <c r="K387" s="1696"/>
      <c r="L387" s="1696"/>
      <c r="M387" s="1696"/>
      <c r="N387" s="1696"/>
      <c r="O387" s="1970"/>
      <c r="R387" s="1968" t="s">
        <v>25</v>
      </c>
      <c r="S387" s="1696"/>
      <c r="T387" s="1696"/>
      <c r="U387" s="1696"/>
      <c r="V387" s="1696"/>
      <c r="W387" s="1696"/>
    </row>
    <row r="388" spans="1:23" ht="18" x14ac:dyDescent="0.3">
      <c r="A388" s="2436">
        <v>382</v>
      </c>
      <c r="B388" s="1962" t="s">
        <v>5765</v>
      </c>
      <c r="C388" s="1963" t="s">
        <v>1344</v>
      </c>
      <c r="D388" s="1964">
        <v>64</v>
      </c>
      <c r="E388" s="1965">
        <v>2633</v>
      </c>
      <c r="F388" s="1966" t="s">
        <v>5764</v>
      </c>
      <c r="G388" s="455">
        <v>1400</v>
      </c>
      <c r="H388" s="1967" t="s">
        <v>4128</v>
      </c>
      <c r="I388" s="1968" t="s">
        <v>25</v>
      </c>
      <c r="J388" s="1696"/>
      <c r="K388" s="1696"/>
      <c r="L388" s="1696"/>
      <c r="M388" s="1696"/>
      <c r="N388" s="1696"/>
      <c r="O388" s="1970"/>
      <c r="R388" s="1968" t="s">
        <v>25</v>
      </c>
      <c r="S388" s="1696"/>
      <c r="T388" s="1696"/>
      <c r="U388" s="1696"/>
      <c r="V388" s="1696"/>
      <c r="W388" s="1696"/>
    </row>
    <row r="389" spans="1:23" ht="18" x14ac:dyDescent="0.3">
      <c r="A389" s="2436">
        <v>383</v>
      </c>
      <c r="B389" s="1962" t="s">
        <v>5765</v>
      </c>
      <c r="C389" s="1963" t="s">
        <v>1344</v>
      </c>
      <c r="D389" s="1964">
        <v>64</v>
      </c>
      <c r="E389" s="1965">
        <v>2634</v>
      </c>
      <c r="F389" s="1966" t="s">
        <v>5764</v>
      </c>
      <c r="G389" s="455">
        <v>1400</v>
      </c>
      <c r="H389" s="1967" t="s">
        <v>4128</v>
      </c>
      <c r="I389" s="1968" t="s">
        <v>25</v>
      </c>
      <c r="J389" s="1696"/>
      <c r="K389" s="1696"/>
      <c r="L389" s="1696"/>
      <c r="M389" s="1696"/>
      <c r="N389" s="1696"/>
      <c r="O389" s="1970"/>
      <c r="R389" s="1968" t="s">
        <v>25</v>
      </c>
      <c r="S389" s="1696"/>
      <c r="T389" s="1696"/>
      <c r="U389" s="1696"/>
      <c r="V389" s="1696"/>
      <c r="W389" s="1696"/>
    </row>
    <row r="390" spans="1:23" ht="18" x14ac:dyDescent="0.3">
      <c r="A390" s="2436">
        <v>384</v>
      </c>
      <c r="B390" s="1962" t="s">
        <v>5765</v>
      </c>
      <c r="C390" s="1963" t="s">
        <v>1344</v>
      </c>
      <c r="D390" s="1964">
        <v>64</v>
      </c>
      <c r="E390" s="1965">
        <v>2635</v>
      </c>
      <c r="F390" s="1966" t="s">
        <v>5764</v>
      </c>
      <c r="G390" s="455">
        <v>1400</v>
      </c>
      <c r="H390" s="1967" t="s">
        <v>4128</v>
      </c>
      <c r="I390" s="1968" t="s">
        <v>25</v>
      </c>
      <c r="J390" s="1696"/>
      <c r="K390" s="1696"/>
      <c r="L390" s="1696"/>
      <c r="M390" s="1696"/>
      <c r="N390" s="1696"/>
      <c r="O390" s="1970"/>
      <c r="R390" s="1968" t="s">
        <v>25</v>
      </c>
      <c r="S390" s="1696"/>
      <c r="T390" s="1696"/>
      <c r="U390" s="1696"/>
      <c r="V390" s="1696"/>
      <c r="W390" s="1696"/>
    </row>
    <row r="391" spans="1:23" ht="18" x14ac:dyDescent="0.3">
      <c r="A391" s="2436">
        <v>385</v>
      </c>
      <c r="B391" s="1962" t="s">
        <v>5765</v>
      </c>
      <c r="C391" s="1963" t="s">
        <v>1344</v>
      </c>
      <c r="D391" s="1964">
        <v>64</v>
      </c>
      <c r="E391" s="1965">
        <v>2636</v>
      </c>
      <c r="F391" s="1966" t="s">
        <v>5764</v>
      </c>
      <c r="G391" s="455">
        <v>1400</v>
      </c>
      <c r="H391" s="1967" t="s">
        <v>4128</v>
      </c>
      <c r="I391" s="1968" t="s">
        <v>25</v>
      </c>
      <c r="J391" s="1696"/>
      <c r="K391" s="1696"/>
      <c r="L391" s="1696"/>
      <c r="M391" s="1696"/>
      <c r="N391" s="1696"/>
      <c r="O391" s="1970"/>
      <c r="R391" s="1968" t="s">
        <v>25</v>
      </c>
      <c r="S391" s="1696"/>
      <c r="T391" s="1696"/>
      <c r="U391" s="1696"/>
      <c r="V391" s="1696"/>
      <c r="W391" s="1696"/>
    </row>
    <row r="392" spans="1:23" ht="18" x14ac:dyDescent="0.3">
      <c r="A392" s="2436">
        <v>386</v>
      </c>
      <c r="B392" s="1962" t="s">
        <v>5765</v>
      </c>
      <c r="C392" s="1963" t="s">
        <v>1344</v>
      </c>
      <c r="D392" s="1964">
        <v>64</v>
      </c>
      <c r="E392" s="1965">
        <v>2637</v>
      </c>
      <c r="F392" s="1966" t="s">
        <v>5764</v>
      </c>
      <c r="G392" s="455">
        <v>1400</v>
      </c>
      <c r="H392" s="1967" t="s">
        <v>4128</v>
      </c>
      <c r="I392" s="1968" t="s">
        <v>25</v>
      </c>
      <c r="J392" s="1696"/>
      <c r="K392" s="1696"/>
      <c r="L392" s="1696"/>
      <c r="M392" s="1696"/>
      <c r="N392" s="1696"/>
      <c r="O392" s="1970"/>
      <c r="R392" s="1968" t="s">
        <v>25</v>
      </c>
      <c r="S392" s="1696"/>
      <c r="T392" s="1696"/>
      <c r="U392" s="1696"/>
      <c r="V392" s="1696"/>
      <c r="W392" s="1696"/>
    </row>
    <row r="393" spans="1:23" ht="18" x14ac:dyDescent="0.3">
      <c r="A393" s="2436">
        <v>387</v>
      </c>
      <c r="B393" s="1962" t="s">
        <v>5765</v>
      </c>
      <c r="C393" s="1963" t="s">
        <v>1344</v>
      </c>
      <c r="D393" s="1964">
        <v>64</v>
      </c>
      <c r="E393" s="1965">
        <v>2638</v>
      </c>
      <c r="F393" s="1966" t="s">
        <v>5764</v>
      </c>
      <c r="G393" s="455">
        <v>1400</v>
      </c>
      <c r="H393" s="1967" t="s">
        <v>4128</v>
      </c>
      <c r="I393" s="1968" t="s">
        <v>25</v>
      </c>
      <c r="J393" s="1696"/>
      <c r="K393" s="1696"/>
      <c r="L393" s="1696"/>
      <c r="M393" s="1696"/>
      <c r="N393" s="1696"/>
      <c r="O393" s="1970"/>
      <c r="R393" s="1968" t="s">
        <v>25</v>
      </c>
      <c r="S393" s="1696"/>
      <c r="T393" s="1696"/>
      <c r="U393" s="1696"/>
      <c r="V393" s="1696"/>
      <c r="W393" s="1696"/>
    </row>
    <row r="394" spans="1:23" ht="18" x14ac:dyDescent="0.3">
      <c r="A394" s="2436">
        <v>388</v>
      </c>
      <c r="B394" s="1962" t="s">
        <v>5765</v>
      </c>
      <c r="C394" s="1963" t="s">
        <v>1344</v>
      </c>
      <c r="D394" s="1964">
        <v>64</v>
      </c>
      <c r="E394" s="1965">
        <v>2639</v>
      </c>
      <c r="F394" s="1966" t="s">
        <v>5764</v>
      </c>
      <c r="G394" s="455">
        <v>1400</v>
      </c>
      <c r="H394" s="1967" t="s">
        <v>4128</v>
      </c>
      <c r="I394" s="1968" t="s">
        <v>25</v>
      </c>
      <c r="J394" s="1696"/>
      <c r="K394" s="1696"/>
      <c r="L394" s="1696"/>
      <c r="M394" s="1696"/>
      <c r="N394" s="1696"/>
      <c r="O394" s="1970"/>
      <c r="R394" s="1968" t="s">
        <v>25</v>
      </c>
      <c r="S394" s="1696"/>
      <c r="T394" s="1696"/>
      <c r="U394" s="1696"/>
      <c r="V394" s="1696"/>
      <c r="W394" s="1696"/>
    </row>
    <row r="395" spans="1:23" ht="18" x14ac:dyDescent="0.3">
      <c r="A395" s="2436">
        <v>389</v>
      </c>
      <c r="B395" s="1962" t="s">
        <v>5765</v>
      </c>
      <c r="C395" s="1963" t="s">
        <v>1344</v>
      </c>
      <c r="D395" s="1964">
        <v>64</v>
      </c>
      <c r="E395" s="1965">
        <v>2640</v>
      </c>
      <c r="F395" s="1966" t="s">
        <v>5764</v>
      </c>
      <c r="G395" s="455">
        <v>1400</v>
      </c>
      <c r="H395" s="1967" t="s">
        <v>4128</v>
      </c>
      <c r="I395" s="1968" t="s">
        <v>25</v>
      </c>
      <c r="J395" s="1696"/>
      <c r="K395" s="1696"/>
      <c r="L395" s="1696"/>
      <c r="M395" s="1696"/>
      <c r="N395" s="1696"/>
      <c r="O395" s="1970"/>
      <c r="R395" s="1968" t="s">
        <v>25</v>
      </c>
      <c r="S395" s="1696"/>
      <c r="T395" s="1696"/>
      <c r="U395" s="1696"/>
      <c r="V395" s="1696"/>
      <c r="W395" s="1696"/>
    </row>
    <row r="396" spans="1:23" ht="18" x14ac:dyDescent="0.3">
      <c r="A396" s="2436">
        <v>390</v>
      </c>
      <c r="B396" s="1962" t="s">
        <v>5765</v>
      </c>
      <c r="C396" s="1963" t="s">
        <v>1344</v>
      </c>
      <c r="D396" s="1964">
        <v>64</v>
      </c>
      <c r="E396" s="1965">
        <v>2641</v>
      </c>
      <c r="F396" s="1966" t="s">
        <v>5764</v>
      </c>
      <c r="G396" s="455">
        <v>1400</v>
      </c>
      <c r="H396" s="1967" t="s">
        <v>4128</v>
      </c>
      <c r="I396" s="1968" t="s">
        <v>25</v>
      </c>
      <c r="J396" s="1696"/>
      <c r="K396" s="1696"/>
      <c r="L396" s="1696"/>
      <c r="M396" s="1696"/>
      <c r="N396" s="1696"/>
      <c r="O396" s="1970"/>
      <c r="R396" s="1968" t="s">
        <v>25</v>
      </c>
      <c r="S396" s="1696"/>
      <c r="T396" s="1696"/>
      <c r="U396" s="1696"/>
      <c r="V396" s="1696"/>
      <c r="W396" s="1696"/>
    </row>
    <row r="397" spans="1:23" ht="18" x14ac:dyDescent="0.3">
      <c r="A397" s="2436">
        <v>391</v>
      </c>
      <c r="B397" s="1962" t="s">
        <v>5765</v>
      </c>
      <c r="C397" s="1963" t="s">
        <v>1344</v>
      </c>
      <c r="D397" s="1964">
        <v>64</v>
      </c>
      <c r="E397" s="1965">
        <v>2642</v>
      </c>
      <c r="F397" s="1966" t="s">
        <v>5764</v>
      </c>
      <c r="G397" s="455">
        <v>1400</v>
      </c>
      <c r="H397" s="1967" t="s">
        <v>4128</v>
      </c>
      <c r="I397" s="1968" t="s">
        <v>25</v>
      </c>
      <c r="J397" s="1696"/>
      <c r="K397" s="1696"/>
      <c r="L397" s="1696"/>
      <c r="M397" s="1696"/>
      <c r="N397" s="1696"/>
      <c r="O397" s="1970"/>
      <c r="R397" s="1968" t="s">
        <v>25</v>
      </c>
      <c r="S397" s="1696"/>
      <c r="T397" s="1696"/>
      <c r="U397" s="1696"/>
      <c r="V397" s="1696"/>
      <c r="W397" s="1696"/>
    </row>
    <row r="398" spans="1:23" ht="18" x14ac:dyDescent="0.3">
      <c r="A398" s="2436">
        <v>392</v>
      </c>
      <c r="B398" s="1962" t="s">
        <v>5765</v>
      </c>
      <c r="C398" s="1963" t="s">
        <v>1344</v>
      </c>
      <c r="D398" s="1964">
        <v>64</v>
      </c>
      <c r="E398" s="1965">
        <v>2643</v>
      </c>
      <c r="F398" s="1966" t="s">
        <v>5764</v>
      </c>
      <c r="G398" s="455">
        <v>1400</v>
      </c>
      <c r="H398" s="1967" t="s">
        <v>4128</v>
      </c>
      <c r="I398" s="1968" t="s">
        <v>25</v>
      </c>
      <c r="J398" s="1696"/>
      <c r="K398" s="1696"/>
      <c r="L398" s="1696"/>
      <c r="M398" s="1696"/>
      <c r="N398" s="1696"/>
      <c r="O398" s="1970"/>
      <c r="R398" s="1968" t="s">
        <v>25</v>
      </c>
      <c r="S398" s="1696"/>
      <c r="T398" s="1696"/>
      <c r="U398" s="1696"/>
      <c r="V398" s="1696"/>
      <c r="W398" s="1696"/>
    </row>
    <row r="399" spans="1:23" ht="18" x14ac:dyDescent="0.3">
      <c r="A399" s="2436">
        <v>393</v>
      </c>
      <c r="B399" s="1962" t="s">
        <v>5765</v>
      </c>
      <c r="C399" s="1963" t="s">
        <v>1344</v>
      </c>
      <c r="D399" s="1964">
        <v>64</v>
      </c>
      <c r="E399" s="1965">
        <v>2644</v>
      </c>
      <c r="F399" s="1966" t="s">
        <v>5764</v>
      </c>
      <c r="G399" s="455">
        <v>1400</v>
      </c>
      <c r="H399" s="1967" t="s">
        <v>4128</v>
      </c>
      <c r="I399" s="1968" t="s">
        <v>25</v>
      </c>
      <c r="J399" s="1696"/>
      <c r="K399" s="1696"/>
      <c r="L399" s="1696"/>
      <c r="M399" s="1696"/>
      <c r="N399" s="1696"/>
      <c r="O399" s="1970"/>
      <c r="R399" s="1968" t="s">
        <v>25</v>
      </c>
      <c r="S399" s="1696"/>
      <c r="T399" s="1696"/>
      <c r="U399" s="1696"/>
      <c r="V399" s="1696"/>
      <c r="W399" s="1696"/>
    </row>
    <row r="400" spans="1:23" ht="18" x14ac:dyDescent="0.3">
      <c r="A400" s="2436">
        <v>394</v>
      </c>
      <c r="B400" s="1962" t="s">
        <v>5765</v>
      </c>
      <c r="C400" s="1963" t="s">
        <v>1344</v>
      </c>
      <c r="D400" s="1964">
        <v>64</v>
      </c>
      <c r="E400" s="1965">
        <v>2645</v>
      </c>
      <c r="F400" s="1966" t="s">
        <v>5764</v>
      </c>
      <c r="G400" s="455">
        <v>1400</v>
      </c>
      <c r="H400" s="1967" t="s">
        <v>4128</v>
      </c>
      <c r="I400" s="1968" t="s">
        <v>25</v>
      </c>
      <c r="J400" s="1696"/>
      <c r="K400" s="1696"/>
      <c r="L400" s="1696"/>
      <c r="M400" s="1696"/>
      <c r="N400" s="1696"/>
      <c r="O400" s="1970"/>
      <c r="R400" s="1968" t="s">
        <v>25</v>
      </c>
      <c r="S400" s="1696"/>
      <c r="T400" s="1696"/>
      <c r="U400" s="1696"/>
      <c r="V400" s="1696"/>
      <c r="W400" s="1696"/>
    </row>
    <row r="401" spans="1:23" ht="18" x14ac:dyDescent="0.3">
      <c r="A401" s="2436">
        <v>395</v>
      </c>
      <c r="B401" s="1962" t="s">
        <v>5765</v>
      </c>
      <c r="C401" s="1963" t="s">
        <v>1344</v>
      </c>
      <c r="D401" s="1964">
        <v>64</v>
      </c>
      <c r="E401" s="1965">
        <v>2646</v>
      </c>
      <c r="F401" s="1966" t="s">
        <v>5764</v>
      </c>
      <c r="G401" s="455">
        <v>1400</v>
      </c>
      <c r="H401" s="1967" t="s">
        <v>4128</v>
      </c>
      <c r="I401" s="1968" t="s">
        <v>25</v>
      </c>
      <c r="J401" s="1696"/>
      <c r="K401" s="1696"/>
      <c r="L401" s="1696"/>
      <c r="M401" s="1696"/>
      <c r="N401" s="1696"/>
      <c r="O401" s="1970"/>
      <c r="R401" s="1968" t="s">
        <v>25</v>
      </c>
      <c r="S401" s="1696"/>
      <c r="T401" s="1696"/>
      <c r="U401" s="1696"/>
      <c r="V401" s="1696"/>
      <c r="W401" s="1696"/>
    </row>
    <row r="402" spans="1:23" ht="18" x14ac:dyDescent="0.3">
      <c r="A402" s="2436">
        <v>396</v>
      </c>
      <c r="B402" s="1962" t="s">
        <v>5765</v>
      </c>
      <c r="C402" s="1963" t="s">
        <v>1344</v>
      </c>
      <c r="D402" s="1964">
        <v>64</v>
      </c>
      <c r="E402" s="1965">
        <v>2647</v>
      </c>
      <c r="F402" s="1966" t="s">
        <v>5764</v>
      </c>
      <c r="G402" s="455">
        <v>1400</v>
      </c>
      <c r="H402" s="1967" t="s">
        <v>4128</v>
      </c>
      <c r="I402" s="1968" t="s">
        <v>25</v>
      </c>
      <c r="J402" s="1696"/>
      <c r="K402" s="1696"/>
      <c r="L402" s="1696"/>
      <c r="M402" s="1696"/>
      <c r="N402" s="1696"/>
      <c r="O402" s="1970"/>
      <c r="R402" s="1968" t="s">
        <v>25</v>
      </c>
      <c r="S402" s="1696"/>
      <c r="T402" s="1696"/>
      <c r="U402" s="1696"/>
      <c r="V402" s="1696"/>
      <c r="W402" s="1696"/>
    </row>
    <row r="403" spans="1:23" ht="18" x14ac:dyDescent="0.3">
      <c r="A403" s="2436">
        <v>397</v>
      </c>
      <c r="B403" s="1962" t="s">
        <v>5765</v>
      </c>
      <c r="C403" s="1963" t="s">
        <v>1344</v>
      </c>
      <c r="D403" s="1964">
        <v>64</v>
      </c>
      <c r="E403" s="1965">
        <v>2648</v>
      </c>
      <c r="F403" s="1966" t="s">
        <v>5764</v>
      </c>
      <c r="G403" s="455">
        <v>1400</v>
      </c>
      <c r="H403" s="1967" t="s">
        <v>4128</v>
      </c>
      <c r="I403" s="1968" t="s">
        <v>25</v>
      </c>
      <c r="J403" s="1696"/>
      <c r="K403" s="1696"/>
      <c r="L403" s="1696"/>
      <c r="M403" s="1696"/>
      <c r="N403" s="1696"/>
      <c r="O403" s="1970"/>
      <c r="R403" s="1968" t="s">
        <v>25</v>
      </c>
      <c r="S403" s="1696"/>
      <c r="T403" s="1696"/>
      <c r="U403" s="1696"/>
      <c r="V403" s="1696"/>
      <c r="W403" s="1696"/>
    </row>
    <row r="404" spans="1:23" ht="18" x14ac:dyDescent="0.3">
      <c r="A404" s="2436">
        <v>398</v>
      </c>
      <c r="B404" s="1962" t="s">
        <v>5765</v>
      </c>
      <c r="C404" s="1963" t="s">
        <v>1344</v>
      </c>
      <c r="D404" s="1964">
        <v>64</v>
      </c>
      <c r="E404" s="1965">
        <v>2649</v>
      </c>
      <c r="F404" s="1966" t="s">
        <v>5764</v>
      </c>
      <c r="G404" s="455">
        <v>1400</v>
      </c>
      <c r="H404" s="1967" t="s">
        <v>4128</v>
      </c>
      <c r="I404" s="1968" t="s">
        <v>25</v>
      </c>
      <c r="J404" s="1696"/>
      <c r="K404" s="1696"/>
      <c r="L404" s="1696"/>
      <c r="M404" s="1696"/>
      <c r="N404" s="1696"/>
      <c r="O404" s="1970"/>
      <c r="R404" s="1968" t="s">
        <v>25</v>
      </c>
      <c r="S404" s="1696"/>
      <c r="T404" s="1696"/>
      <c r="U404" s="1696"/>
      <c r="V404" s="1696"/>
      <c r="W404" s="1696"/>
    </row>
    <row r="405" spans="1:23" ht="18" x14ac:dyDescent="0.3">
      <c r="A405" s="2436">
        <v>399</v>
      </c>
      <c r="B405" s="1962" t="s">
        <v>5765</v>
      </c>
      <c r="C405" s="1963" t="s">
        <v>1344</v>
      </c>
      <c r="D405" s="1964">
        <v>64</v>
      </c>
      <c r="E405" s="1965">
        <v>2650</v>
      </c>
      <c r="F405" s="1966" t="s">
        <v>5764</v>
      </c>
      <c r="G405" s="455">
        <v>1400</v>
      </c>
      <c r="H405" s="1967" t="s">
        <v>4128</v>
      </c>
      <c r="I405" s="1968" t="s">
        <v>25</v>
      </c>
      <c r="J405" s="1696"/>
      <c r="K405" s="1696"/>
      <c r="L405" s="1696"/>
      <c r="M405" s="1696"/>
      <c r="N405" s="1696"/>
      <c r="O405" s="1970"/>
      <c r="R405" s="1968" t="s">
        <v>25</v>
      </c>
      <c r="S405" s="1696"/>
      <c r="T405" s="1696"/>
      <c r="U405" s="1696"/>
      <c r="V405" s="1696"/>
      <c r="W405" s="1696"/>
    </row>
    <row r="406" spans="1:23" ht="18" x14ac:dyDescent="0.3">
      <c r="A406" s="2436">
        <v>400</v>
      </c>
      <c r="B406" s="1962" t="s">
        <v>5765</v>
      </c>
      <c r="C406" s="1963" t="s">
        <v>1344</v>
      </c>
      <c r="D406" s="1964">
        <v>64</v>
      </c>
      <c r="E406" s="1965">
        <v>2651</v>
      </c>
      <c r="F406" s="1966" t="s">
        <v>5764</v>
      </c>
      <c r="G406" s="455">
        <v>1400</v>
      </c>
      <c r="H406" s="1967" t="s">
        <v>4128</v>
      </c>
      <c r="I406" s="1968" t="s">
        <v>25</v>
      </c>
      <c r="J406" s="1696"/>
      <c r="K406" s="1696"/>
      <c r="L406" s="1696"/>
      <c r="M406" s="1696"/>
      <c r="N406" s="1696"/>
      <c r="O406" s="1970"/>
      <c r="R406" s="1968" t="s">
        <v>25</v>
      </c>
      <c r="S406" s="1696"/>
      <c r="T406" s="1696"/>
      <c r="U406" s="1696"/>
      <c r="V406" s="1696"/>
      <c r="W406" s="1696"/>
    </row>
    <row r="407" spans="1:23" ht="18" x14ac:dyDescent="0.3">
      <c r="A407" s="2436">
        <v>401</v>
      </c>
      <c r="B407" s="1971" t="s">
        <v>5766</v>
      </c>
      <c r="C407" s="1963" t="s">
        <v>1344</v>
      </c>
      <c r="D407" s="1964">
        <v>64</v>
      </c>
      <c r="E407" s="1965">
        <v>2652</v>
      </c>
      <c r="F407" s="1966" t="s">
        <v>5764</v>
      </c>
      <c r="G407" s="1972">
        <v>3000</v>
      </c>
      <c r="H407" s="1967" t="s">
        <v>4128</v>
      </c>
      <c r="I407" s="1968" t="s">
        <v>25</v>
      </c>
      <c r="J407" s="1696"/>
      <c r="K407" s="1696"/>
      <c r="L407" s="1696"/>
      <c r="M407" s="1696"/>
      <c r="N407" s="1696"/>
      <c r="O407" s="1970"/>
      <c r="R407" s="1968" t="s">
        <v>25</v>
      </c>
      <c r="S407" s="1696"/>
      <c r="T407" s="1696"/>
      <c r="U407" s="1696"/>
      <c r="V407" s="1696"/>
      <c r="W407" s="1696"/>
    </row>
    <row r="408" spans="1:23" ht="18" x14ac:dyDescent="0.3">
      <c r="A408" s="2436">
        <v>402</v>
      </c>
      <c r="B408" s="1971" t="s">
        <v>5766</v>
      </c>
      <c r="C408" s="1963" t="s">
        <v>1344</v>
      </c>
      <c r="D408" s="1964">
        <v>64</v>
      </c>
      <c r="E408" s="1965">
        <v>2653</v>
      </c>
      <c r="F408" s="1966" t="s">
        <v>5764</v>
      </c>
      <c r="G408" s="1972">
        <v>3000</v>
      </c>
      <c r="H408" s="1967" t="s">
        <v>4128</v>
      </c>
      <c r="I408" s="1968" t="s">
        <v>25</v>
      </c>
      <c r="J408" s="1696"/>
      <c r="K408" s="1696"/>
      <c r="L408" s="1696"/>
      <c r="M408" s="1696"/>
      <c r="N408" s="1696"/>
      <c r="O408" s="1970"/>
      <c r="R408" s="1968" t="s">
        <v>25</v>
      </c>
      <c r="S408" s="1696"/>
      <c r="T408" s="1696"/>
      <c r="U408" s="1696"/>
      <c r="V408" s="1696"/>
      <c r="W408" s="1696"/>
    </row>
    <row r="409" spans="1:23" ht="18" x14ac:dyDescent="0.3">
      <c r="A409" s="2436">
        <v>403</v>
      </c>
      <c r="B409" s="1971" t="s">
        <v>5766</v>
      </c>
      <c r="C409" s="1963" t="s">
        <v>1344</v>
      </c>
      <c r="D409" s="1964">
        <v>64</v>
      </c>
      <c r="E409" s="1965">
        <v>2654</v>
      </c>
      <c r="F409" s="1966" t="s">
        <v>5764</v>
      </c>
      <c r="G409" s="1972">
        <v>3000</v>
      </c>
      <c r="H409" s="1967" t="s">
        <v>4128</v>
      </c>
      <c r="I409" s="1968" t="s">
        <v>25</v>
      </c>
      <c r="J409" s="1696"/>
      <c r="K409" s="1696"/>
      <c r="L409" s="1696"/>
      <c r="M409" s="1696"/>
      <c r="N409" s="1696"/>
      <c r="O409" s="1970"/>
      <c r="R409" s="1968" t="s">
        <v>25</v>
      </c>
      <c r="S409" s="1696"/>
      <c r="T409" s="1696"/>
      <c r="U409" s="1696"/>
      <c r="V409" s="1696"/>
      <c r="W409" s="1696"/>
    </row>
    <row r="410" spans="1:23" ht="18" x14ac:dyDescent="0.3">
      <c r="A410" s="2436">
        <v>404</v>
      </c>
      <c r="B410" s="1971" t="s">
        <v>5766</v>
      </c>
      <c r="C410" s="1963" t="s">
        <v>1344</v>
      </c>
      <c r="D410" s="1964">
        <v>64</v>
      </c>
      <c r="E410" s="1965">
        <v>2655</v>
      </c>
      <c r="F410" s="1966" t="s">
        <v>5764</v>
      </c>
      <c r="G410" s="1972">
        <v>3000</v>
      </c>
      <c r="H410" s="1967" t="s">
        <v>4128</v>
      </c>
      <c r="I410" s="1968" t="s">
        <v>25</v>
      </c>
      <c r="J410" s="1696"/>
      <c r="K410" s="1696"/>
      <c r="L410" s="1696"/>
      <c r="M410" s="1696"/>
      <c r="N410" s="1696"/>
      <c r="O410" s="1970"/>
      <c r="R410" s="1968" t="s">
        <v>25</v>
      </c>
      <c r="S410" s="1696"/>
      <c r="T410" s="1696"/>
      <c r="U410" s="1696"/>
      <c r="V410" s="1696"/>
      <c r="W410" s="1696"/>
    </row>
    <row r="411" spans="1:23" ht="18" x14ac:dyDescent="0.3">
      <c r="A411" s="2436">
        <v>405</v>
      </c>
      <c r="B411" s="1971" t="s">
        <v>5766</v>
      </c>
      <c r="C411" s="1963" t="s">
        <v>1344</v>
      </c>
      <c r="D411" s="1964">
        <v>64</v>
      </c>
      <c r="E411" s="1965">
        <v>2656</v>
      </c>
      <c r="F411" s="1966" t="s">
        <v>5764</v>
      </c>
      <c r="G411" s="1972">
        <v>3000</v>
      </c>
      <c r="H411" s="1967" t="s">
        <v>4128</v>
      </c>
      <c r="I411" s="1968" t="s">
        <v>25</v>
      </c>
      <c r="J411" s="1696"/>
      <c r="K411" s="1696"/>
      <c r="L411" s="1696"/>
      <c r="M411" s="1696"/>
      <c r="N411" s="1696"/>
      <c r="O411" s="1970"/>
      <c r="R411" s="1968" t="s">
        <v>25</v>
      </c>
      <c r="S411" s="1696"/>
      <c r="T411" s="1696"/>
      <c r="U411" s="1696"/>
      <c r="V411" s="1696"/>
      <c r="W411" s="1696"/>
    </row>
    <row r="412" spans="1:23" ht="18" x14ac:dyDescent="0.3">
      <c r="A412" s="2436">
        <v>406</v>
      </c>
      <c r="B412" s="1971" t="s">
        <v>5766</v>
      </c>
      <c r="C412" s="1963" t="s">
        <v>1344</v>
      </c>
      <c r="D412" s="1964">
        <v>64</v>
      </c>
      <c r="E412" s="1965">
        <v>2657</v>
      </c>
      <c r="F412" s="1966" t="s">
        <v>5764</v>
      </c>
      <c r="G412" s="1972">
        <v>3000</v>
      </c>
      <c r="H412" s="1967" t="s">
        <v>4128</v>
      </c>
      <c r="I412" s="1968" t="s">
        <v>25</v>
      </c>
      <c r="J412" s="1696"/>
      <c r="K412" s="1696"/>
      <c r="L412" s="1696"/>
      <c r="M412" s="1696"/>
      <c r="N412" s="1696"/>
      <c r="O412" s="1970"/>
      <c r="R412" s="1968" t="s">
        <v>25</v>
      </c>
      <c r="S412" s="1696"/>
      <c r="T412" s="1696"/>
      <c r="U412" s="1696"/>
      <c r="V412" s="1696"/>
      <c r="W412" s="1696"/>
    </row>
    <row r="413" spans="1:23" ht="18" x14ac:dyDescent="0.3">
      <c r="A413" s="2436">
        <v>407</v>
      </c>
      <c r="B413" s="1971" t="s">
        <v>5766</v>
      </c>
      <c r="C413" s="1963" t="s">
        <v>1344</v>
      </c>
      <c r="D413" s="1964">
        <v>64</v>
      </c>
      <c r="E413" s="1965">
        <v>2658</v>
      </c>
      <c r="F413" s="1966" t="s">
        <v>5764</v>
      </c>
      <c r="G413" s="1972">
        <v>3000</v>
      </c>
      <c r="H413" s="1967" t="s">
        <v>4128</v>
      </c>
      <c r="I413" s="1968" t="s">
        <v>25</v>
      </c>
      <c r="J413" s="1696"/>
      <c r="K413" s="1696"/>
      <c r="L413" s="1696"/>
      <c r="M413" s="1696"/>
      <c r="N413" s="1696"/>
      <c r="O413" s="1970"/>
      <c r="R413" s="1968" t="s">
        <v>25</v>
      </c>
      <c r="S413" s="1696"/>
      <c r="T413" s="1696"/>
      <c r="U413" s="1696"/>
      <c r="V413" s="1696"/>
      <c r="W413" s="1696"/>
    </row>
    <row r="414" spans="1:23" ht="18" x14ac:dyDescent="0.3">
      <c r="A414" s="2436">
        <v>408</v>
      </c>
      <c r="B414" s="1971" t="s">
        <v>5766</v>
      </c>
      <c r="C414" s="1963" t="s">
        <v>1344</v>
      </c>
      <c r="D414" s="1964">
        <v>64</v>
      </c>
      <c r="E414" s="1965">
        <v>2659</v>
      </c>
      <c r="F414" s="1966" t="s">
        <v>5764</v>
      </c>
      <c r="G414" s="1972">
        <v>3000</v>
      </c>
      <c r="H414" s="1967" t="s">
        <v>4128</v>
      </c>
      <c r="I414" s="1968" t="s">
        <v>25</v>
      </c>
      <c r="J414" s="1696"/>
      <c r="K414" s="1696"/>
      <c r="L414" s="1696"/>
      <c r="M414" s="1696"/>
      <c r="N414" s="1696"/>
      <c r="O414" s="1970"/>
      <c r="R414" s="1968" t="s">
        <v>25</v>
      </c>
      <c r="S414" s="1696"/>
      <c r="T414" s="1696"/>
      <c r="U414" s="1696"/>
      <c r="V414" s="1696"/>
      <c r="W414" s="1696"/>
    </row>
    <row r="415" spans="1:23" ht="18" x14ac:dyDescent="0.3">
      <c r="A415" s="2436">
        <v>409</v>
      </c>
      <c r="B415" s="1971" t="s">
        <v>5766</v>
      </c>
      <c r="C415" s="1963" t="s">
        <v>1344</v>
      </c>
      <c r="D415" s="1964">
        <v>64</v>
      </c>
      <c r="E415" s="1965">
        <v>2660</v>
      </c>
      <c r="F415" s="1966" t="s">
        <v>5764</v>
      </c>
      <c r="G415" s="1972">
        <v>3000</v>
      </c>
      <c r="H415" s="1967" t="s">
        <v>4128</v>
      </c>
      <c r="I415" s="1968" t="s">
        <v>25</v>
      </c>
      <c r="J415" s="1696"/>
      <c r="K415" s="1696"/>
      <c r="L415" s="1696"/>
      <c r="M415" s="1696"/>
      <c r="N415" s="1696"/>
      <c r="O415" s="1970"/>
      <c r="R415" s="1968" t="s">
        <v>25</v>
      </c>
      <c r="S415" s="1696"/>
      <c r="T415" s="1696"/>
      <c r="U415" s="1696"/>
      <c r="V415" s="1696"/>
      <c r="W415" s="1696"/>
    </row>
    <row r="416" spans="1:23" ht="18" x14ac:dyDescent="0.3">
      <c r="A416" s="2436">
        <v>410</v>
      </c>
      <c r="B416" s="1971" t="s">
        <v>5766</v>
      </c>
      <c r="C416" s="1963" t="s">
        <v>1344</v>
      </c>
      <c r="D416" s="1964">
        <v>64</v>
      </c>
      <c r="E416" s="1965">
        <v>2661</v>
      </c>
      <c r="F416" s="1966" t="s">
        <v>5764</v>
      </c>
      <c r="G416" s="1972">
        <v>3000</v>
      </c>
      <c r="H416" s="1967" t="s">
        <v>4128</v>
      </c>
      <c r="I416" s="1968" t="s">
        <v>25</v>
      </c>
      <c r="J416" s="1696"/>
      <c r="K416" s="1696"/>
      <c r="L416" s="1696"/>
      <c r="M416" s="1696"/>
      <c r="N416" s="1696"/>
      <c r="O416" s="1970"/>
      <c r="R416" s="1968" t="s">
        <v>25</v>
      </c>
      <c r="S416" s="1696"/>
      <c r="T416" s="1696"/>
      <c r="U416" s="1696"/>
      <c r="V416" s="1696"/>
      <c r="W416" s="1696"/>
    </row>
    <row r="417" spans="1:23" ht="18" x14ac:dyDescent="0.3">
      <c r="A417" s="2436">
        <v>411</v>
      </c>
      <c r="B417" s="1971" t="s">
        <v>5766</v>
      </c>
      <c r="C417" s="1963" t="s">
        <v>1344</v>
      </c>
      <c r="D417" s="1964">
        <v>64</v>
      </c>
      <c r="E417" s="1965">
        <v>2662</v>
      </c>
      <c r="F417" s="1966" t="s">
        <v>5764</v>
      </c>
      <c r="G417" s="1972">
        <v>3000</v>
      </c>
      <c r="H417" s="1967" t="s">
        <v>4128</v>
      </c>
      <c r="I417" s="1968" t="s">
        <v>25</v>
      </c>
      <c r="J417" s="1696"/>
      <c r="K417" s="1696"/>
      <c r="L417" s="1696"/>
      <c r="M417" s="1696"/>
      <c r="N417" s="1696"/>
      <c r="O417" s="1970"/>
      <c r="R417" s="1968" t="s">
        <v>25</v>
      </c>
      <c r="S417" s="1696"/>
      <c r="T417" s="1696"/>
      <c r="U417" s="1696"/>
      <c r="V417" s="1696"/>
      <c r="W417" s="1696"/>
    </row>
    <row r="418" spans="1:23" ht="18" x14ac:dyDescent="0.3">
      <c r="A418" s="2436">
        <v>412</v>
      </c>
      <c r="B418" s="1971" t="s">
        <v>5766</v>
      </c>
      <c r="C418" s="1963" t="s">
        <v>1344</v>
      </c>
      <c r="D418" s="1964">
        <v>64</v>
      </c>
      <c r="E418" s="1965">
        <v>2663</v>
      </c>
      <c r="F418" s="1966" t="s">
        <v>5764</v>
      </c>
      <c r="G418" s="1972">
        <v>3000</v>
      </c>
      <c r="H418" s="1967" t="s">
        <v>4128</v>
      </c>
      <c r="I418" s="1968" t="s">
        <v>25</v>
      </c>
      <c r="J418" s="1696"/>
      <c r="K418" s="1696"/>
      <c r="L418" s="1696"/>
      <c r="M418" s="1696"/>
      <c r="N418" s="1696"/>
      <c r="O418" s="1970"/>
      <c r="R418" s="1968" t="s">
        <v>25</v>
      </c>
      <c r="S418" s="1696"/>
      <c r="T418" s="1696"/>
      <c r="U418" s="1696"/>
      <c r="V418" s="1696"/>
      <c r="W418" s="1696"/>
    </row>
    <row r="419" spans="1:23" ht="18" x14ac:dyDescent="0.3">
      <c r="A419" s="2436">
        <v>413</v>
      </c>
      <c r="B419" s="1971" t="s">
        <v>5766</v>
      </c>
      <c r="C419" s="1963" t="s">
        <v>1344</v>
      </c>
      <c r="D419" s="1964">
        <v>64</v>
      </c>
      <c r="E419" s="1965">
        <v>2664</v>
      </c>
      <c r="F419" s="1966" t="s">
        <v>5764</v>
      </c>
      <c r="G419" s="1972">
        <v>3000</v>
      </c>
      <c r="H419" s="1967" t="s">
        <v>4128</v>
      </c>
      <c r="I419" s="1968" t="s">
        <v>25</v>
      </c>
      <c r="J419" s="1696"/>
      <c r="K419" s="1696"/>
      <c r="L419" s="1696"/>
      <c r="M419" s="1696"/>
      <c r="N419" s="1696"/>
      <c r="O419" s="1970"/>
      <c r="R419" s="1968" t="s">
        <v>25</v>
      </c>
      <c r="S419" s="1696"/>
      <c r="T419" s="1696"/>
      <c r="U419" s="1696"/>
      <c r="V419" s="1696"/>
      <c r="W419" s="1696"/>
    </row>
    <row r="420" spans="1:23" ht="18" x14ac:dyDescent="0.3">
      <c r="A420" s="2436">
        <v>414</v>
      </c>
      <c r="B420" s="1971" t="s">
        <v>5766</v>
      </c>
      <c r="C420" s="1963" t="s">
        <v>1344</v>
      </c>
      <c r="D420" s="1964">
        <v>64</v>
      </c>
      <c r="E420" s="1965">
        <v>2665</v>
      </c>
      <c r="F420" s="1966" t="s">
        <v>5764</v>
      </c>
      <c r="G420" s="1972">
        <v>3000</v>
      </c>
      <c r="H420" s="1967" t="s">
        <v>4128</v>
      </c>
      <c r="I420" s="1968" t="s">
        <v>25</v>
      </c>
      <c r="J420" s="1696"/>
      <c r="K420" s="1696"/>
      <c r="L420" s="1696"/>
      <c r="M420" s="1696"/>
      <c r="N420" s="1696"/>
      <c r="O420" s="1970"/>
      <c r="R420" s="1968" t="s">
        <v>25</v>
      </c>
      <c r="S420" s="1696"/>
      <c r="T420" s="1696"/>
      <c r="U420" s="1696"/>
      <c r="V420" s="1696"/>
      <c r="W420" s="1696"/>
    </row>
    <row r="421" spans="1:23" ht="18" x14ac:dyDescent="0.3">
      <c r="A421" s="2436">
        <v>415</v>
      </c>
      <c r="B421" s="1971" t="s">
        <v>5766</v>
      </c>
      <c r="C421" s="1963" t="s">
        <v>1344</v>
      </c>
      <c r="D421" s="1964">
        <v>64</v>
      </c>
      <c r="E421" s="1965">
        <v>2666</v>
      </c>
      <c r="F421" s="1966" t="s">
        <v>5764</v>
      </c>
      <c r="G421" s="1972">
        <v>3000</v>
      </c>
      <c r="H421" s="1967" t="s">
        <v>4128</v>
      </c>
      <c r="I421" s="1968" t="s">
        <v>25</v>
      </c>
      <c r="J421" s="1696"/>
      <c r="K421" s="1696"/>
      <c r="L421" s="1696"/>
      <c r="M421" s="1696"/>
      <c r="N421" s="1696"/>
      <c r="O421" s="1970"/>
      <c r="R421" s="1968" t="s">
        <v>25</v>
      </c>
      <c r="S421" s="1696"/>
      <c r="T421" s="1696"/>
      <c r="U421" s="1696"/>
      <c r="V421" s="1696"/>
      <c r="W421" s="1696"/>
    </row>
    <row r="422" spans="1:23" ht="18" x14ac:dyDescent="0.3">
      <c r="A422" s="2436">
        <v>416</v>
      </c>
      <c r="B422" s="1971" t="s">
        <v>5766</v>
      </c>
      <c r="C422" s="1963" t="s">
        <v>1344</v>
      </c>
      <c r="D422" s="1964">
        <v>64</v>
      </c>
      <c r="E422" s="1965">
        <v>2667</v>
      </c>
      <c r="F422" s="1966" t="s">
        <v>5764</v>
      </c>
      <c r="G422" s="1972">
        <v>3000</v>
      </c>
      <c r="H422" s="1967" t="s">
        <v>4128</v>
      </c>
      <c r="I422" s="1968" t="s">
        <v>25</v>
      </c>
      <c r="J422" s="1696"/>
      <c r="K422" s="1696"/>
      <c r="L422" s="1696"/>
      <c r="M422" s="1696"/>
      <c r="N422" s="1696"/>
      <c r="O422" s="1970"/>
      <c r="R422" s="1968" t="s">
        <v>25</v>
      </c>
      <c r="S422" s="1696"/>
      <c r="T422" s="1696"/>
      <c r="U422" s="1696"/>
      <c r="V422" s="1696"/>
      <c r="W422" s="1696"/>
    </row>
    <row r="423" spans="1:23" ht="18" x14ac:dyDescent="0.3">
      <c r="A423" s="2436">
        <v>417</v>
      </c>
      <c r="B423" s="1971" t="s">
        <v>5766</v>
      </c>
      <c r="C423" s="1963" t="s">
        <v>1344</v>
      </c>
      <c r="D423" s="1964">
        <v>64</v>
      </c>
      <c r="E423" s="1965">
        <v>2668</v>
      </c>
      <c r="F423" s="1966" t="s">
        <v>5764</v>
      </c>
      <c r="G423" s="1972">
        <v>3000</v>
      </c>
      <c r="H423" s="1967" t="s">
        <v>4128</v>
      </c>
      <c r="I423" s="1968" t="s">
        <v>25</v>
      </c>
      <c r="J423" s="1696"/>
      <c r="K423" s="1696"/>
      <c r="L423" s="1696"/>
      <c r="M423" s="1696"/>
      <c r="N423" s="1696"/>
      <c r="O423" s="1970"/>
      <c r="R423" s="1968" t="s">
        <v>25</v>
      </c>
      <c r="S423" s="1696"/>
      <c r="T423" s="1696"/>
      <c r="U423" s="1696"/>
      <c r="V423" s="1696"/>
      <c r="W423" s="1696"/>
    </row>
    <row r="424" spans="1:23" ht="18" x14ac:dyDescent="0.3">
      <c r="A424" s="2436">
        <v>418</v>
      </c>
      <c r="B424" s="1971" t="s">
        <v>5766</v>
      </c>
      <c r="C424" s="1963" t="s">
        <v>1344</v>
      </c>
      <c r="D424" s="1964">
        <v>64</v>
      </c>
      <c r="E424" s="1965">
        <v>2669</v>
      </c>
      <c r="F424" s="1966" t="s">
        <v>5764</v>
      </c>
      <c r="G424" s="1972">
        <v>3000</v>
      </c>
      <c r="H424" s="1967" t="s">
        <v>4128</v>
      </c>
      <c r="I424" s="1968" t="s">
        <v>25</v>
      </c>
      <c r="J424" s="1696"/>
      <c r="K424" s="1696"/>
      <c r="L424" s="1696"/>
      <c r="M424" s="1696"/>
      <c r="N424" s="1696"/>
      <c r="O424" s="1970"/>
      <c r="R424" s="1968" t="s">
        <v>25</v>
      </c>
      <c r="S424" s="1696"/>
      <c r="T424" s="1696"/>
      <c r="U424" s="1696"/>
      <c r="V424" s="1696"/>
      <c r="W424" s="1696"/>
    </row>
    <row r="425" spans="1:23" ht="18" x14ac:dyDescent="0.3">
      <c r="A425" s="2436">
        <v>419</v>
      </c>
      <c r="B425" s="1971" t="s">
        <v>5766</v>
      </c>
      <c r="C425" s="1963" t="s">
        <v>1344</v>
      </c>
      <c r="D425" s="1964">
        <v>64</v>
      </c>
      <c r="E425" s="1965">
        <v>2670</v>
      </c>
      <c r="F425" s="1966" t="s">
        <v>5764</v>
      </c>
      <c r="G425" s="1972">
        <v>3000</v>
      </c>
      <c r="H425" s="1967" t="s">
        <v>4128</v>
      </c>
      <c r="I425" s="1968" t="s">
        <v>25</v>
      </c>
      <c r="J425" s="1696"/>
      <c r="K425" s="1696"/>
      <c r="L425" s="1696"/>
      <c r="M425" s="1696"/>
      <c r="N425" s="1696"/>
      <c r="O425" s="1970"/>
      <c r="R425" s="1968" t="s">
        <v>25</v>
      </c>
      <c r="S425" s="1696"/>
      <c r="T425" s="1696"/>
      <c r="U425" s="1696"/>
      <c r="V425" s="1696"/>
      <c r="W425" s="1696"/>
    </row>
    <row r="426" spans="1:23" ht="18" x14ac:dyDescent="0.3">
      <c r="A426" s="2436">
        <v>420</v>
      </c>
      <c r="B426" s="1971" t="s">
        <v>5766</v>
      </c>
      <c r="C426" s="1963" t="s">
        <v>1344</v>
      </c>
      <c r="D426" s="1964">
        <v>64</v>
      </c>
      <c r="E426" s="1965">
        <v>2671</v>
      </c>
      <c r="F426" s="1966" t="s">
        <v>5764</v>
      </c>
      <c r="G426" s="1972">
        <v>3000</v>
      </c>
      <c r="H426" s="1967" t="s">
        <v>4128</v>
      </c>
      <c r="I426" s="1968" t="s">
        <v>25</v>
      </c>
      <c r="J426" s="1696"/>
      <c r="K426" s="1696"/>
      <c r="L426" s="1696"/>
      <c r="M426" s="1696"/>
      <c r="N426" s="1696"/>
      <c r="O426" s="1970"/>
      <c r="R426" s="1968" t="s">
        <v>25</v>
      </c>
      <c r="S426" s="1696"/>
      <c r="T426" s="1696"/>
      <c r="U426" s="1696"/>
      <c r="V426" s="1696"/>
      <c r="W426" s="1696"/>
    </row>
    <row r="427" spans="1:23" ht="18" x14ac:dyDescent="0.3">
      <c r="A427" s="2436">
        <v>421</v>
      </c>
      <c r="B427" s="1971" t="s">
        <v>5767</v>
      </c>
      <c r="C427" s="1963" t="s">
        <v>1344</v>
      </c>
      <c r="D427" s="1964">
        <v>64</v>
      </c>
      <c r="E427" s="1965">
        <v>2672</v>
      </c>
      <c r="F427" s="1966" t="s">
        <v>5764</v>
      </c>
      <c r="G427" s="1972">
        <v>4500</v>
      </c>
      <c r="H427" s="1967" t="s">
        <v>4128</v>
      </c>
      <c r="I427" s="1968" t="s">
        <v>25</v>
      </c>
      <c r="J427" s="1696"/>
      <c r="K427" s="1696"/>
      <c r="L427" s="1696"/>
      <c r="M427" s="1696"/>
      <c r="N427" s="1696"/>
      <c r="O427" s="1970"/>
      <c r="R427" s="1968" t="s">
        <v>25</v>
      </c>
      <c r="S427" s="1696"/>
      <c r="T427" s="1696"/>
      <c r="U427" s="1696"/>
      <c r="V427" s="1696"/>
      <c r="W427" s="1696"/>
    </row>
    <row r="428" spans="1:23" ht="18" x14ac:dyDescent="0.3">
      <c r="A428" s="2436">
        <v>422</v>
      </c>
      <c r="B428" s="1971" t="s">
        <v>5767</v>
      </c>
      <c r="C428" s="1963" t="s">
        <v>1344</v>
      </c>
      <c r="D428" s="1964">
        <v>64</v>
      </c>
      <c r="E428" s="1965">
        <v>2673</v>
      </c>
      <c r="F428" s="1966" t="s">
        <v>5764</v>
      </c>
      <c r="G428" s="1972">
        <v>4500</v>
      </c>
      <c r="H428" s="1967" t="s">
        <v>4128</v>
      </c>
      <c r="I428" s="1968" t="s">
        <v>25</v>
      </c>
      <c r="J428" s="1696"/>
      <c r="K428" s="1696"/>
      <c r="L428" s="1696"/>
      <c r="M428" s="1696"/>
      <c r="N428" s="1696"/>
      <c r="O428" s="1970"/>
      <c r="R428" s="1968" t="s">
        <v>25</v>
      </c>
      <c r="S428" s="1696"/>
      <c r="T428" s="1696"/>
      <c r="U428" s="1696"/>
      <c r="V428" s="1696"/>
      <c r="W428" s="1696"/>
    </row>
    <row r="429" spans="1:23" ht="18" x14ac:dyDescent="0.3">
      <c r="A429" s="2436">
        <v>423</v>
      </c>
      <c r="B429" s="1971" t="s">
        <v>5767</v>
      </c>
      <c r="C429" s="1963" t="s">
        <v>1344</v>
      </c>
      <c r="D429" s="1964">
        <v>64</v>
      </c>
      <c r="E429" s="1965">
        <v>2674</v>
      </c>
      <c r="F429" s="1966" t="s">
        <v>5764</v>
      </c>
      <c r="G429" s="1972">
        <v>4500</v>
      </c>
      <c r="H429" s="1967" t="s">
        <v>4128</v>
      </c>
      <c r="I429" s="1968" t="s">
        <v>25</v>
      </c>
      <c r="J429" s="1696"/>
      <c r="K429" s="1696"/>
      <c r="L429" s="1696"/>
      <c r="M429" s="1696"/>
      <c r="N429" s="1696"/>
      <c r="O429" s="1970"/>
      <c r="R429" s="1968" t="s">
        <v>25</v>
      </c>
      <c r="S429" s="1696"/>
      <c r="T429" s="1696"/>
      <c r="U429" s="1696"/>
      <c r="V429" s="1696"/>
      <c r="W429" s="1696"/>
    </row>
    <row r="430" spans="1:23" ht="18" x14ac:dyDescent="0.3">
      <c r="A430" s="2436">
        <v>424</v>
      </c>
      <c r="B430" s="1971" t="s">
        <v>5767</v>
      </c>
      <c r="C430" s="1963" t="s">
        <v>1344</v>
      </c>
      <c r="D430" s="1964">
        <v>64</v>
      </c>
      <c r="E430" s="1965">
        <v>2675</v>
      </c>
      <c r="F430" s="1966" t="s">
        <v>5764</v>
      </c>
      <c r="G430" s="1972">
        <v>4500</v>
      </c>
      <c r="H430" s="1967" t="s">
        <v>4128</v>
      </c>
      <c r="I430" s="1968" t="s">
        <v>25</v>
      </c>
      <c r="J430" s="1696"/>
      <c r="K430" s="1696"/>
      <c r="L430" s="1696"/>
      <c r="M430" s="1696"/>
      <c r="N430" s="1696"/>
      <c r="O430" s="1970"/>
      <c r="R430" s="1968" t="s">
        <v>25</v>
      </c>
      <c r="S430" s="1696"/>
      <c r="T430" s="1696"/>
      <c r="U430" s="1696"/>
      <c r="V430" s="1696"/>
      <c r="W430" s="1696"/>
    </row>
    <row r="431" spans="1:23" ht="18" x14ac:dyDescent="0.3">
      <c r="A431" s="2436">
        <v>425</v>
      </c>
      <c r="B431" s="1971" t="s">
        <v>5767</v>
      </c>
      <c r="C431" s="1963" t="s">
        <v>1344</v>
      </c>
      <c r="D431" s="1964">
        <v>64</v>
      </c>
      <c r="E431" s="1965">
        <v>2676</v>
      </c>
      <c r="F431" s="1966" t="s">
        <v>5764</v>
      </c>
      <c r="G431" s="1972">
        <v>4500</v>
      </c>
      <c r="H431" s="1967" t="s">
        <v>4128</v>
      </c>
      <c r="I431" s="1968" t="s">
        <v>25</v>
      </c>
      <c r="J431" s="1696"/>
      <c r="K431" s="1696"/>
      <c r="L431" s="1696"/>
      <c r="M431" s="1696"/>
      <c r="N431" s="1696"/>
      <c r="O431" s="1970"/>
      <c r="R431" s="1968" t="s">
        <v>25</v>
      </c>
      <c r="S431" s="1696"/>
      <c r="T431" s="1696"/>
      <c r="U431" s="1696"/>
      <c r="V431" s="1696"/>
      <c r="W431" s="1696"/>
    </row>
    <row r="432" spans="1:23" ht="18" x14ac:dyDescent="0.35">
      <c r="A432" s="2436">
        <v>426</v>
      </c>
      <c r="B432" s="1973" t="s">
        <v>5763</v>
      </c>
      <c r="C432" s="1963" t="s">
        <v>1344</v>
      </c>
      <c r="D432" s="1964">
        <v>64</v>
      </c>
      <c r="E432" s="1965">
        <v>2677</v>
      </c>
      <c r="F432" s="1966" t="s">
        <v>5768</v>
      </c>
      <c r="G432" s="1974">
        <v>1300</v>
      </c>
      <c r="H432" s="1967" t="s">
        <v>4128</v>
      </c>
      <c r="I432" s="1968" t="s">
        <v>25</v>
      </c>
      <c r="J432" s="1696"/>
      <c r="K432" s="1696"/>
      <c r="L432" s="1696"/>
      <c r="M432" s="1696"/>
      <c r="N432" s="1696"/>
      <c r="O432" s="1970"/>
      <c r="R432" s="1968" t="s">
        <v>25</v>
      </c>
      <c r="S432" s="1696"/>
      <c r="T432" s="1696"/>
      <c r="U432" s="1696"/>
      <c r="V432" s="1696"/>
      <c r="W432" s="1696"/>
    </row>
    <row r="433" spans="1:23" ht="18" x14ac:dyDescent="0.35">
      <c r="A433" s="2436">
        <v>427</v>
      </c>
      <c r="B433" s="1973" t="s">
        <v>5763</v>
      </c>
      <c r="C433" s="1963" t="s">
        <v>1344</v>
      </c>
      <c r="D433" s="1964">
        <v>64</v>
      </c>
      <c r="E433" s="1965">
        <v>2678</v>
      </c>
      <c r="F433" s="1966" t="s">
        <v>5768</v>
      </c>
      <c r="G433" s="1974">
        <v>1300</v>
      </c>
      <c r="H433" s="1967" t="s">
        <v>4128</v>
      </c>
      <c r="I433" s="1968" t="s">
        <v>25</v>
      </c>
      <c r="J433" s="1696"/>
      <c r="K433" s="1696"/>
      <c r="L433" s="1696"/>
      <c r="M433" s="1696"/>
      <c r="N433" s="1696"/>
      <c r="O433" s="1970"/>
      <c r="R433" s="1968" t="s">
        <v>25</v>
      </c>
      <c r="S433" s="1696"/>
      <c r="T433" s="1696"/>
      <c r="U433" s="1696"/>
      <c r="V433" s="1696"/>
      <c r="W433" s="1696"/>
    </row>
    <row r="434" spans="1:23" ht="18" x14ac:dyDescent="0.35">
      <c r="A434" s="2436">
        <v>428</v>
      </c>
      <c r="B434" s="1973" t="s">
        <v>5763</v>
      </c>
      <c r="C434" s="1963" t="s">
        <v>1344</v>
      </c>
      <c r="D434" s="1964">
        <v>64</v>
      </c>
      <c r="E434" s="1965">
        <v>2679</v>
      </c>
      <c r="F434" s="1966" t="s">
        <v>5768</v>
      </c>
      <c r="G434" s="1974">
        <v>1300</v>
      </c>
      <c r="H434" s="1967" t="s">
        <v>4128</v>
      </c>
      <c r="I434" s="1968" t="s">
        <v>25</v>
      </c>
      <c r="J434" s="1696"/>
      <c r="K434" s="1696"/>
      <c r="L434" s="1696"/>
      <c r="M434" s="1696"/>
      <c r="N434" s="1696"/>
      <c r="O434" s="1970"/>
      <c r="R434" s="1968" t="s">
        <v>25</v>
      </c>
      <c r="S434" s="1696"/>
      <c r="T434" s="1696"/>
      <c r="U434" s="1696"/>
      <c r="V434" s="1696"/>
      <c r="W434" s="1696"/>
    </row>
    <row r="435" spans="1:23" ht="18" x14ac:dyDescent="0.35">
      <c r="A435" s="2436">
        <v>429</v>
      </c>
      <c r="B435" s="1973" t="s">
        <v>5763</v>
      </c>
      <c r="C435" s="1963" t="s">
        <v>1344</v>
      </c>
      <c r="D435" s="1964">
        <v>64</v>
      </c>
      <c r="E435" s="1965">
        <v>2680</v>
      </c>
      <c r="F435" s="1966" t="s">
        <v>5768</v>
      </c>
      <c r="G435" s="1974">
        <v>1300</v>
      </c>
      <c r="H435" s="1967" t="s">
        <v>4128</v>
      </c>
      <c r="I435" s="1968" t="s">
        <v>25</v>
      </c>
      <c r="J435" s="1696"/>
      <c r="K435" s="1696"/>
      <c r="L435" s="1696"/>
      <c r="M435" s="1696"/>
      <c r="N435" s="1696"/>
      <c r="O435" s="1970"/>
      <c r="R435" s="1968" t="s">
        <v>25</v>
      </c>
      <c r="S435" s="1696"/>
      <c r="T435" s="1696"/>
      <c r="U435" s="1696"/>
      <c r="V435" s="1696"/>
      <c r="W435" s="1696"/>
    </row>
    <row r="436" spans="1:23" ht="18" x14ac:dyDescent="0.35">
      <c r="A436" s="2436">
        <v>430</v>
      </c>
      <c r="B436" s="1973" t="s">
        <v>5763</v>
      </c>
      <c r="C436" s="1963" t="s">
        <v>1344</v>
      </c>
      <c r="D436" s="1964">
        <v>64</v>
      </c>
      <c r="E436" s="1965">
        <v>2681</v>
      </c>
      <c r="F436" s="1966" t="s">
        <v>5768</v>
      </c>
      <c r="G436" s="1974">
        <v>1300</v>
      </c>
      <c r="H436" s="1967" t="s">
        <v>4128</v>
      </c>
      <c r="I436" s="1968" t="s">
        <v>25</v>
      </c>
      <c r="J436" s="1696"/>
      <c r="K436" s="1696"/>
      <c r="L436" s="1696"/>
      <c r="M436" s="1696"/>
      <c r="N436" s="1696"/>
      <c r="O436" s="1970"/>
      <c r="R436" s="1968" t="s">
        <v>25</v>
      </c>
      <c r="S436" s="1696"/>
      <c r="T436" s="1696"/>
      <c r="U436" s="1696"/>
      <c r="V436" s="1696"/>
      <c r="W436" s="1696"/>
    </row>
    <row r="437" spans="1:23" ht="18" x14ac:dyDescent="0.35">
      <c r="A437" s="2436">
        <v>431</v>
      </c>
      <c r="B437" s="1973" t="s">
        <v>5763</v>
      </c>
      <c r="C437" s="1963" t="s">
        <v>1344</v>
      </c>
      <c r="D437" s="1964">
        <v>64</v>
      </c>
      <c r="E437" s="1965">
        <v>2682</v>
      </c>
      <c r="F437" s="1966" t="s">
        <v>5768</v>
      </c>
      <c r="G437" s="1974">
        <v>1300</v>
      </c>
      <c r="H437" s="1967" t="s">
        <v>4128</v>
      </c>
      <c r="I437" s="1968" t="s">
        <v>25</v>
      </c>
      <c r="J437" s="1696"/>
      <c r="K437" s="1696"/>
      <c r="L437" s="1696"/>
      <c r="M437" s="1696"/>
      <c r="N437" s="1696"/>
      <c r="O437" s="1970"/>
      <c r="R437" s="1968" t="s">
        <v>25</v>
      </c>
      <c r="S437" s="1696"/>
      <c r="T437" s="1696"/>
      <c r="U437" s="1696"/>
      <c r="V437" s="1696"/>
      <c r="W437" s="1696"/>
    </row>
    <row r="438" spans="1:23" ht="18" x14ac:dyDescent="0.35">
      <c r="A438" s="2436">
        <v>432</v>
      </c>
      <c r="B438" s="1973" t="s">
        <v>5763</v>
      </c>
      <c r="C438" s="1963" t="s">
        <v>1344</v>
      </c>
      <c r="D438" s="1964">
        <v>64</v>
      </c>
      <c r="E438" s="1965">
        <v>2683</v>
      </c>
      <c r="F438" s="1966" t="s">
        <v>5768</v>
      </c>
      <c r="G438" s="1974">
        <v>1300</v>
      </c>
      <c r="H438" s="1967" t="s">
        <v>4128</v>
      </c>
      <c r="I438" s="1968" t="s">
        <v>25</v>
      </c>
      <c r="J438" s="1696"/>
      <c r="K438" s="1696"/>
      <c r="L438" s="1696"/>
      <c r="M438" s="1696"/>
      <c r="N438" s="1696"/>
      <c r="O438" s="1970"/>
      <c r="R438" s="1968" t="s">
        <v>25</v>
      </c>
      <c r="S438" s="1696"/>
      <c r="T438" s="1696"/>
      <c r="U438" s="1696"/>
      <c r="V438" s="1696"/>
      <c r="W438" s="1696"/>
    </row>
    <row r="439" spans="1:23" ht="18" x14ac:dyDescent="0.35">
      <c r="A439" s="2436">
        <v>433</v>
      </c>
      <c r="B439" s="1973" t="s">
        <v>5763</v>
      </c>
      <c r="C439" s="1963" t="s">
        <v>1344</v>
      </c>
      <c r="D439" s="1964">
        <v>64</v>
      </c>
      <c r="E439" s="1965">
        <v>2684</v>
      </c>
      <c r="F439" s="1966" t="s">
        <v>5768</v>
      </c>
      <c r="G439" s="1974">
        <v>1300</v>
      </c>
      <c r="H439" s="1967" t="s">
        <v>4128</v>
      </c>
      <c r="I439" s="1968" t="s">
        <v>25</v>
      </c>
      <c r="J439" s="1696"/>
      <c r="K439" s="1696"/>
      <c r="L439" s="1696"/>
      <c r="M439" s="1696"/>
      <c r="N439" s="1696"/>
      <c r="O439" s="1970"/>
      <c r="R439" s="1968" t="s">
        <v>25</v>
      </c>
      <c r="S439" s="1696"/>
      <c r="T439" s="1696"/>
      <c r="U439" s="1696"/>
      <c r="V439" s="1696"/>
      <c r="W439" s="1696"/>
    </row>
    <row r="440" spans="1:23" ht="18" x14ac:dyDescent="0.35">
      <c r="A440" s="2436">
        <v>434</v>
      </c>
      <c r="B440" s="1973" t="s">
        <v>5763</v>
      </c>
      <c r="C440" s="1963" t="s">
        <v>1344</v>
      </c>
      <c r="D440" s="1964">
        <v>64</v>
      </c>
      <c r="E440" s="1965">
        <v>2685</v>
      </c>
      <c r="F440" s="1966" t="s">
        <v>5768</v>
      </c>
      <c r="G440" s="1974">
        <v>1300</v>
      </c>
      <c r="H440" s="1967" t="s">
        <v>4128</v>
      </c>
      <c r="I440" s="1968" t="s">
        <v>25</v>
      </c>
      <c r="J440" s="1696"/>
      <c r="K440" s="1696"/>
      <c r="L440" s="1696"/>
      <c r="M440" s="1696"/>
      <c r="N440" s="1696"/>
      <c r="O440" s="1970"/>
      <c r="R440" s="1968" t="s">
        <v>25</v>
      </c>
      <c r="S440" s="1696"/>
      <c r="T440" s="1696"/>
      <c r="U440" s="1696"/>
      <c r="V440" s="1696"/>
      <c r="W440" s="1696"/>
    </row>
    <row r="441" spans="1:23" ht="18" x14ac:dyDescent="0.35">
      <c r="A441" s="2436">
        <v>435</v>
      </c>
      <c r="B441" s="1973" t="s">
        <v>5763</v>
      </c>
      <c r="C441" s="1963" t="s">
        <v>1344</v>
      </c>
      <c r="D441" s="1964">
        <v>64</v>
      </c>
      <c r="E441" s="1965">
        <v>2686</v>
      </c>
      <c r="F441" s="1966" t="s">
        <v>5768</v>
      </c>
      <c r="G441" s="1974">
        <v>1300</v>
      </c>
      <c r="H441" s="1967" t="s">
        <v>4128</v>
      </c>
      <c r="I441" s="1968" t="s">
        <v>25</v>
      </c>
      <c r="J441" s="1696"/>
      <c r="K441" s="1696"/>
      <c r="L441" s="1696"/>
      <c r="M441" s="1696"/>
      <c r="N441" s="1696"/>
      <c r="O441" s="1970"/>
      <c r="R441" s="1968" t="s">
        <v>25</v>
      </c>
      <c r="S441" s="1696"/>
      <c r="T441" s="1696"/>
      <c r="U441" s="1696"/>
      <c r="V441" s="1696"/>
      <c r="W441" s="1696"/>
    </row>
    <row r="442" spans="1:23" ht="18" x14ac:dyDescent="0.35">
      <c r="A442" s="2436">
        <v>436</v>
      </c>
      <c r="B442" s="1973" t="s">
        <v>5763</v>
      </c>
      <c r="C442" s="1963" t="s">
        <v>1344</v>
      </c>
      <c r="D442" s="1964">
        <v>64</v>
      </c>
      <c r="E442" s="1965">
        <v>2687</v>
      </c>
      <c r="F442" s="1966" t="s">
        <v>5768</v>
      </c>
      <c r="G442" s="1974">
        <v>1300</v>
      </c>
      <c r="H442" s="1967" t="s">
        <v>4128</v>
      </c>
      <c r="I442" s="1968" t="s">
        <v>25</v>
      </c>
      <c r="J442" s="1696"/>
      <c r="K442" s="1696"/>
      <c r="L442" s="1696"/>
      <c r="M442" s="1696"/>
      <c r="N442" s="1696"/>
      <c r="O442" s="1970"/>
      <c r="R442" s="1968" t="s">
        <v>25</v>
      </c>
      <c r="S442" s="1696"/>
      <c r="T442" s="1696"/>
      <c r="U442" s="1696"/>
      <c r="V442" s="1696"/>
      <c r="W442" s="1696"/>
    </row>
    <row r="443" spans="1:23" ht="18" x14ac:dyDescent="0.35">
      <c r="A443" s="2436">
        <v>437</v>
      </c>
      <c r="B443" s="1973" t="s">
        <v>5763</v>
      </c>
      <c r="C443" s="1963" t="s">
        <v>1344</v>
      </c>
      <c r="D443" s="1964">
        <v>64</v>
      </c>
      <c r="E443" s="1965">
        <v>2688</v>
      </c>
      <c r="F443" s="1966" t="s">
        <v>5768</v>
      </c>
      <c r="G443" s="1974">
        <v>1300</v>
      </c>
      <c r="H443" s="1967" t="s">
        <v>4128</v>
      </c>
      <c r="I443" s="1968" t="s">
        <v>25</v>
      </c>
      <c r="J443" s="1696"/>
      <c r="K443" s="1696"/>
      <c r="L443" s="1696"/>
      <c r="M443" s="1696"/>
      <c r="N443" s="1696"/>
      <c r="O443" s="1970"/>
      <c r="R443" s="1968" t="s">
        <v>25</v>
      </c>
      <c r="S443" s="1696"/>
      <c r="T443" s="1696"/>
      <c r="U443" s="1696"/>
      <c r="V443" s="1696"/>
      <c r="W443" s="1696"/>
    </row>
    <row r="444" spans="1:23" ht="18" x14ac:dyDescent="0.35">
      <c r="A444" s="2436">
        <v>438</v>
      </c>
      <c r="B444" s="1973" t="s">
        <v>5763</v>
      </c>
      <c r="C444" s="1963" t="s">
        <v>1344</v>
      </c>
      <c r="D444" s="1964">
        <v>64</v>
      </c>
      <c r="E444" s="1965">
        <v>2689</v>
      </c>
      <c r="F444" s="1966" t="s">
        <v>5768</v>
      </c>
      <c r="G444" s="1974">
        <v>1300</v>
      </c>
      <c r="H444" s="1967" t="s">
        <v>4128</v>
      </c>
      <c r="I444" s="1968" t="s">
        <v>25</v>
      </c>
      <c r="J444" s="1696"/>
      <c r="K444" s="1696"/>
      <c r="L444" s="1696"/>
      <c r="M444" s="1696"/>
      <c r="N444" s="1696"/>
      <c r="O444" s="1970"/>
      <c r="R444" s="1968" t="s">
        <v>25</v>
      </c>
      <c r="S444" s="1696"/>
      <c r="T444" s="1696"/>
      <c r="U444" s="1696"/>
      <c r="V444" s="1696"/>
      <c r="W444" s="1696"/>
    </row>
    <row r="445" spans="1:23" ht="18" x14ac:dyDescent="0.35">
      <c r="A445" s="2436">
        <v>439</v>
      </c>
      <c r="B445" s="1973" t="s">
        <v>5763</v>
      </c>
      <c r="C445" s="1963" t="s">
        <v>1344</v>
      </c>
      <c r="D445" s="1964">
        <v>64</v>
      </c>
      <c r="E445" s="1965">
        <v>2690</v>
      </c>
      <c r="F445" s="1966" t="s">
        <v>5768</v>
      </c>
      <c r="G445" s="1974">
        <v>1300</v>
      </c>
      <c r="H445" s="1967" t="s">
        <v>4128</v>
      </c>
      <c r="I445" s="1968" t="s">
        <v>25</v>
      </c>
      <c r="J445" s="1696"/>
      <c r="K445" s="1696"/>
      <c r="L445" s="1696"/>
      <c r="M445" s="1696"/>
      <c r="N445" s="1696"/>
      <c r="O445" s="1970"/>
      <c r="R445" s="1968" t="s">
        <v>25</v>
      </c>
      <c r="S445" s="1696"/>
      <c r="T445" s="1696"/>
      <c r="U445" s="1696"/>
      <c r="V445" s="1696"/>
      <c r="W445" s="1696"/>
    </row>
    <row r="446" spans="1:23" ht="18" x14ac:dyDescent="0.35">
      <c r="A446" s="2436">
        <v>440</v>
      </c>
      <c r="B446" s="1973" t="s">
        <v>5763</v>
      </c>
      <c r="C446" s="1963" t="s">
        <v>1344</v>
      </c>
      <c r="D446" s="1964">
        <v>64</v>
      </c>
      <c r="E446" s="1965">
        <v>2691</v>
      </c>
      <c r="F446" s="1966" t="s">
        <v>5768</v>
      </c>
      <c r="G446" s="1974">
        <v>1300</v>
      </c>
      <c r="H446" s="1967" t="s">
        <v>4128</v>
      </c>
      <c r="I446" s="1968" t="s">
        <v>25</v>
      </c>
      <c r="J446" s="1696"/>
      <c r="K446" s="1696"/>
      <c r="L446" s="1696"/>
      <c r="M446" s="1696"/>
      <c r="N446" s="1696"/>
      <c r="O446" s="1970"/>
      <c r="R446" s="1968" t="s">
        <v>25</v>
      </c>
      <c r="S446" s="1696"/>
      <c r="T446" s="1696"/>
      <c r="U446" s="1696"/>
      <c r="V446" s="1696"/>
      <c r="W446" s="1696"/>
    </row>
    <row r="447" spans="1:23" ht="18" x14ac:dyDescent="0.35">
      <c r="A447" s="2436">
        <v>441</v>
      </c>
      <c r="B447" s="1973" t="s">
        <v>5763</v>
      </c>
      <c r="C447" s="1963" t="s">
        <v>1344</v>
      </c>
      <c r="D447" s="1964">
        <v>64</v>
      </c>
      <c r="E447" s="1965">
        <v>2692</v>
      </c>
      <c r="F447" s="1966" t="s">
        <v>5768</v>
      </c>
      <c r="G447" s="1974">
        <v>1300</v>
      </c>
      <c r="H447" s="1967" t="s">
        <v>4128</v>
      </c>
      <c r="I447" s="1968" t="s">
        <v>25</v>
      </c>
      <c r="J447" s="1696"/>
      <c r="K447" s="1696"/>
      <c r="L447" s="1696"/>
      <c r="M447" s="1696"/>
      <c r="N447" s="1696"/>
      <c r="O447" s="1970"/>
      <c r="R447" s="1968" t="s">
        <v>25</v>
      </c>
      <c r="S447" s="1696"/>
      <c r="T447" s="1696"/>
      <c r="U447" s="1696"/>
      <c r="V447" s="1696"/>
      <c r="W447" s="1696"/>
    </row>
    <row r="448" spans="1:23" ht="18" x14ac:dyDescent="0.35">
      <c r="A448" s="2436">
        <v>442</v>
      </c>
      <c r="B448" s="1973" t="s">
        <v>5763</v>
      </c>
      <c r="C448" s="1963" t="s">
        <v>1344</v>
      </c>
      <c r="D448" s="1964">
        <v>64</v>
      </c>
      <c r="E448" s="1965">
        <v>2693</v>
      </c>
      <c r="F448" s="1966" t="s">
        <v>5768</v>
      </c>
      <c r="G448" s="1974">
        <v>1300</v>
      </c>
      <c r="H448" s="1967" t="s">
        <v>4128</v>
      </c>
      <c r="I448" s="1968" t="s">
        <v>25</v>
      </c>
      <c r="J448" s="1696"/>
      <c r="K448" s="1696"/>
      <c r="L448" s="1696"/>
      <c r="M448" s="1696"/>
      <c r="N448" s="1696"/>
      <c r="O448" s="1970"/>
      <c r="R448" s="1968" t="s">
        <v>25</v>
      </c>
      <c r="S448" s="1696"/>
      <c r="T448" s="1696"/>
      <c r="U448" s="1696"/>
      <c r="V448" s="1696"/>
      <c r="W448" s="1696"/>
    </row>
    <row r="449" spans="1:23" ht="18" x14ac:dyDescent="0.35">
      <c r="A449" s="2436">
        <v>443</v>
      </c>
      <c r="B449" s="1973" t="s">
        <v>5763</v>
      </c>
      <c r="C449" s="1963" t="s">
        <v>1344</v>
      </c>
      <c r="D449" s="1964">
        <v>64</v>
      </c>
      <c r="E449" s="1965">
        <v>2694</v>
      </c>
      <c r="F449" s="1966" t="s">
        <v>5768</v>
      </c>
      <c r="G449" s="1974">
        <v>1300</v>
      </c>
      <c r="H449" s="1967" t="s">
        <v>4128</v>
      </c>
      <c r="I449" s="1968" t="s">
        <v>25</v>
      </c>
      <c r="J449" s="1696"/>
      <c r="K449" s="1696"/>
      <c r="L449" s="1696"/>
      <c r="M449" s="1696"/>
      <c r="N449" s="1696"/>
      <c r="O449" s="1970"/>
      <c r="R449" s="1968" t="s">
        <v>25</v>
      </c>
      <c r="S449" s="1696"/>
      <c r="T449" s="1696"/>
      <c r="U449" s="1696"/>
      <c r="V449" s="1696"/>
      <c r="W449" s="1696"/>
    </row>
    <row r="450" spans="1:23" ht="18" x14ac:dyDescent="0.35">
      <c r="A450" s="2436">
        <v>444</v>
      </c>
      <c r="B450" s="1973" t="s">
        <v>5763</v>
      </c>
      <c r="C450" s="1963" t="s">
        <v>1344</v>
      </c>
      <c r="D450" s="1964">
        <v>64</v>
      </c>
      <c r="E450" s="1965">
        <v>2695</v>
      </c>
      <c r="F450" s="1966" t="s">
        <v>5768</v>
      </c>
      <c r="G450" s="1974">
        <v>1300</v>
      </c>
      <c r="H450" s="1967" t="s">
        <v>4128</v>
      </c>
      <c r="I450" s="1968" t="s">
        <v>25</v>
      </c>
      <c r="J450" s="1696"/>
      <c r="K450" s="1696"/>
      <c r="L450" s="1696"/>
      <c r="M450" s="1696"/>
      <c r="N450" s="1696"/>
      <c r="O450" s="1970"/>
      <c r="R450" s="1968" t="s">
        <v>25</v>
      </c>
      <c r="S450" s="1696"/>
      <c r="T450" s="1696"/>
      <c r="U450" s="1696"/>
      <c r="V450" s="1696"/>
      <c r="W450" s="1696"/>
    </row>
    <row r="451" spans="1:23" ht="18" x14ac:dyDescent="0.35">
      <c r="A451" s="2436">
        <v>445</v>
      </c>
      <c r="B451" s="1973" t="s">
        <v>5763</v>
      </c>
      <c r="C451" s="1963" t="s">
        <v>1344</v>
      </c>
      <c r="D451" s="1964">
        <v>64</v>
      </c>
      <c r="E451" s="1965">
        <v>2696</v>
      </c>
      <c r="F451" s="1966" t="s">
        <v>5768</v>
      </c>
      <c r="G451" s="1974">
        <v>1300</v>
      </c>
      <c r="H451" s="1967" t="s">
        <v>4128</v>
      </c>
      <c r="I451" s="1968" t="s">
        <v>25</v>
      </c>
      <c r="J451" s="1696"/>
      <c r="K451" s="1696"/>
      <c r="L451" s="1696"/>
      <c r="M451" s="1696"/>
      <c r="N451" s="1696"/>
      <c r="O451" s="1970"/>
      <c r="R451" s="1968" t="s">
        <v>25</v>
      </c>
      <c r="S451" s="1696"/>
      <c r="T451" s="1696"/>
      <c r="U451" s="1696"/>
      <c r="V451" s="1696"/>
      <c r="W451" s="1696"/>
    </row>
    <row r="452" spans="1:23" ht="18" x14ac:dyDescent="0.35">
      <c r="A452" s="2436">
        <v>446</v>
      </c>
      <c r="B452" s="1973" t="s">
        <v>5763</v>
      </c>
      <c r="C452" s="1963" t="s">
        <v>1344</v>
      </c>
      <c r="D452" s="1964">
        <v>64</v>
      </c>
      <c r="E452" s="1965">
        <v>2697</v>
      </c>
      <c r="F452" s="1966" t="s">
        <v>5768</v>
      </c>
      <c r="G452" s="1974">
        <v>1300</v>
      </c>
      <c r="H452" s="1967" t="s">
        <v>4128</v>
      </c>
      <c r="I452" s="1968" t="s">
        <v>25</v>
      </c>
      <c r="J452" s="1696"/>
      <c r="K452" s="1696"/>
      <c r="L452" s="1696"/>
      <c r="M452" s="1696"/>
      <c r="N452" s="1696"/>
      <c r="O452" s="1970"/>
      <c r="R452" s="1968" t="s">
        <v>25</v>
      </c>
      <c r="S452" s="1696"/>
      <c r="T452" s="1696"/>
      <c r="U452" s="1696"/>
      <c r="V452" s="1696"/>
      <c r="W452" s="1696"/>
    </row>
    <row r="453" spans="1:23" ht="18" x14ac:dyDescent="0.35">
      <c r="A453" s="2436">
        <v>447</v>
      </c>
      <c r="B453" s="1973" t="s">
        <v>5763</v>
      </c>
      <c r="C453" s="1963" t="s">
        <v>1344</v>
      </c>
      <c r="D453" s="1964">
        <v>64</v>
      </c>
      <c r="E453" s="1965">
        <v>2698</v>
      </c>
      <c r="F453" s="1966" t="s">
        <v>5768</v>
      </c>
      <c r="G453" s="1974">
        <v>1300</v>
      </c>
      <c r="H453" s="1967" t="s">
        <v>4128</v>
      </c>
      <c r="I453" s="1968" t="s">
        <v>25</v>
      </c>
      <c r="J453" s="1696"/>
      <c r="K453" s="1696"/>
      <c r="L453" s="1696"/>
      <c r="M453" s="1696"/>
      <c r="N453" s="1696"/>
      <c r="O453" s="1970"/>
      <c r="R453" s="1968" t="s">
        <v>25</v>
      </c>
      <c r="S453" s="1696"/>
      <c r="T453" s="1696"/>
      <c r="U453" s="1696"/>
      <c r="V453" s="1696"/>
      <c r="W453" s="1696"/>
    </row>
    <row r="454" spans="1:23" ht="18" x14ac:dyDescent="0.35">
      <c r="A454" s="2436">
        <v>448</v>
      </c>
      <c r="B454" s="1973" t="s">
        <v>5763</v>
      </c>
      <c r="C454" s="1963" t="s">
        <v>1344</v>
      </c>
      <c r="D454" s="1964">
        <v>64</v>
      </c>
      <c r="E454" s="1965">
        <v>2699</v>
      </c>
      <c r="F454" s="1966" t="s">
        <v>5768</v>
      </c>
      <c r="G454" s="1974">
        <v>1300</v>
      </c>
      <c r="H454" s="1967" t="s">
        <v>4128</v>
      </c>
      <c r="I454" s="1968" t="s">
        <v>25</v>
      </c>
      <c r="J454" s="1696"/>
      <c r="K454" s="1696"/>
      <c r="L454" s="1696"/>
      <c r="M454" s="1696"/>
      <c r="N454" s="1696"/>
      <c r="O454" s="1970"/>
      <c r="R454" s="1968" t="s">
        <v>25</v>
      </c>
      <c r="S454" s="1696"/>
      <c r="T454" s="1696"/>
      <c r="U454" s="1696"/>
      <c r="V454" s="1696"/>
      <c r="W454" s="1696"/>
    </row>
    <row r="455" spans="1:23" ht="18" x14ac:dyDescent="0.35">
      <c r="A455" s="2436">
        <v>449</v>
      </c>
      <c r="B455" s="1973" t="s">
        <v>5763</v>
      </c>
      <c r="C455" s="1963" t="s">
        <v>1344</v>
      </c>
      <c r="D455" s="1964">
        <v>64</v>
      </c>
      <c r="E455" s="1965">
        <v>2700</v>
      </c>
      <c r="F455" s="1966" t="s">
        <v>5768</v>
      </c>
      <c r="G455" s="1974">
        <v>1300</v>
      </c>
      <c r="H455" s="1967" t="s">
        <v>4128</v>
      </c>
      <c r="I455" s="1968" t="s">
        <v>25</v>
      </c>
      <c r="J455" s="1696"/>
      <c r="K455" s="1696"/>
      <c r="L455" s="1696"/>
      <c r="M455" s="1696"/>
      <c r="N455" s="1696"/>
      <c r="O455" s="1970"/>
      <c r="R455" s="1968" t="s">
        <v>25</v>
      </c>
      <c r="S455" s="1696"/>
      <c r="T455" s="1696"/>
      <c r="U455" s="1696"/>
      <c r="V455" s="1696"/>
      <c r="W455" s="1696"/>
    </row>
    <row r="456" spans="1:23" ht="18" x14ac:dyDescent="0.35">
      <c r="A456" s="2436">
        <v>450</v>
      </c>
      <c r="B456" s="1973" t="s">
        <v>5763</v>
      </c>
      <c r="C456" s="1963" t="s">
        <v>1344</v>
      </c>
      <c r="D456" s="1964">
        <v>64</v>
      </c>
      <c r="E456" s="1965">
        <v>2701</v>
      </c>
      <c r="F456" s="1966" t="s">
        <v>5768</v>
      </c>
      <c r="G456" s="1974">
        <v>1300</v>
      </c>
      <c r="H456" s="1967" t="s">
        <v>4128</v>
      </c>
      <c r="I456" s="1968" t="s">
        <v>25</v>
      </c>
      <c r="J456" s="1696"/>
      <c r="K456" s="1696"/>
      <c r="L456" s="1696"/>
      <c r="M456" s="1696"/>
      <c r="N456" s="1696"/>
      <c r="O456" s="1970"/>
      <c r="R456" s="1968" t="s">
        <v>25</v>
      </c>
      <c r="S456" s="1696"/>
      <c r="T456" s="1696"/>
      <c r="U456" s="1696"/>
      <c r="V456" s="1696"/>
      <c r="W456" s="1696"/>
    </row>
    <row r="457" spans="1:23" ht="18" x14ac:dyDescent="0.35">
      <c r="A457" s="2436">
        <v>451</v>
      </c>
      <c r="B457" s="1973" t="s">
        <v>5763</v>
      </c>
      <c r="C457" s="1963" t="s">
        <v>1344</v>
      </c>
      <c r="D457" s="1964">
        <v>64</v>
      </c>
      <c r="E457" s="1965">
        <v>2702</v>
      </c>
      <c r="F457" s="1966" t="s">
        <v>5768</v>
      </c>
      <c r="G457" s="1974">
        <v>1300</v>
      </c>
      <c r="H457" s="1967" t="s">
        <v>4128</v>
      </c>
      <c r="I457" s="1968" t="s">
        <v>25</v>
      </c>
      <c r="J457" s="1696"/>
      <c r="K457" s="1696"/>
      <c r="L457" s="1696"/>
      <c r="M457" s="1696"/>
      <c r="N457" s="1696"/>
      <c r="O457" s="1970"/>
      <c r="R457" s="1968" t="s">
        <v>25</v>
      </c>
      <c r="S457" s="1696"/>
      <c r="T457" s="1696"/>
      <c r="U457" s="1696"/>
      <c r="V457" s="1696"/>
      <c r="W457" s="1696"/>
    </row>
    <row r="458" spans="1:23" ht="18" x14ac:dyDescent="0.35">
      <c r="A458" s="2436">
        <v>452</v>
      </c>
      <c r="B458" s="1973" t="s">
        <v>5763</v>
      </c>
      <c r="C458" s="1963" t="s">
        <v>1344</v>
      </c>
      <c r="D458" s="1964">
        <v>64</v>
      </c>
      <c r="E458" s="1965">
        <v>2703</v>
      </c>
      <c r="F458" s="1966" t="s">
        <v>5768</v>
      </c>
      <c r="G458" s="1974">
        <v>1300</v>
      </c>
      <c r="H458" s="1967" t="s">
        <v>4128</v>
      </c>
      <c r="I458" s="1968" t="s">
        <v>25</v>
      </c>
      <c r="J458" s="1696"/>
      <c r="K458" s="1696"/>
      <c r="L458" s="1696"/>
      <c r="M458" s="1696"/>
      <c r="N458" s="1696"/>
      <c r="O458" s="1970"/>
      <c r="R458" s="1968" t="s">
        <v>25</v>
      </c>
      <c r="S458" s="1696"/>
      <c r="T458" s="1696"/>
      <c r="U458" s="1696"/>
      <c r="V458" s="1696"/>
      <c r="W458" s="1696"/>
    </row>
    <row r="459" spans="1:23" ht="18" x14ac:dyDescent="0.35">
      <c r="A459" s="2436">
        <v>453</v>
      </c>
      <c r="B459" s="1973" t="s">
        <v>5763</v>
      </c>
      <c r="C459" s="1963" t="s">
        <v>1344</v>
      </c>
      <c r="D459" s="1964">
        <v>64</v>
      </c>
      <c r="E459" s="1965">
        <v>2704</v>
      </c>
      <c r="F459" s="1966" t="s">
        <v>5768</v>
      </c>
      <c r="G459" s="1974">
        <v>1300</v>
      </c>
      <c r="H459" s="1967" t="s">
        <v>4128</v>
      </c>
      <c r="I459" s="1968" t="s">
        <v>25</v>
      </c>
      <c r="J459" s="1696"/>
      <c r="K459" s="1696"/>
      <c r="L459" s="1696"/>
      <c r="M459" s="1696"/>
      <c r="N459" s="1696"/>
      <c r="O459" s="1970"/>
      <c r="R459" s="1968" t="s">
        <v>25</v>
      </c>
      <c r="S459" s="1696"/>
      <c r="T459" s="1696"/>
      <c r="U459" s="1696"/>
      <c r="V459" s="1696"/>
      <c r="W459" s="1696"/>
    </row>
    <row r="460" spans="1:23" ht="18" x14ac:dyDescent="0.35">
      <c r="A460" s="2436">
        <v>454</v>
      </c>
      <c r="B460" s="1973" t="s">
        <v>5763</v>
      </c>
      <c r="C460" s="1963" t="s">
        <v>1344</v>
      </c>
      <c r="D460" s="1964">
        <v>64</v>
      </c>
      <c r="E460" s="1965">
        <v>2705</v>
      </c>
      <c r="F460" s="1966" t="s">
        <v>5768</v>
      </c>
      <c r="G460" s="1974">
        <v>1300</v>
      </c>
      <c r="H460" s="1967" t="s">
        <v>4128</v>
      </c>
      <c r="I460" s="1968" t="s">
        <v>25</v>
      </c>
      <c r="J460" s="1696"/>
      <c r="K460" s="1696"/>
      <c r="L460" s="1696"/>
      <c r="M460" s="1696"/>
      <c r="N460" s="1696"/>
      <c r="O460" s="1970"/>
      <c r="R460" s="1968" t="s">
        <v>25</v>
      </c>
      <c r="S460" s="1696"/>
      <c r="T460" s="1696"/>
      <c r="U460" s="1696"/>
      <c r="V460" s="1696"/>
      <c r="W460" s="1696"/>
    </row>
    <row r="461" spans="1:23" ht="18" x14ac:dyDescent="0.35">
      <c r="A461" s="2436">
        <v>455</v>
      </c>
      <c r="B461" s="1973" t="s">
        <v>5763</v>
      </c>
      <c r="C461" s="1963" t="s">
        <v>1344</v>
      </c>
      <c r="D461" s="1964">
        <v>64</v>
      </c>
      <c r="E461" s="1965">
        <v>2706</v>
      </c>
      <c r="F461" s="1966" t="s">
        <v>5768</v>
      </c>
      <c r="G461" s="1974">
        <v>1300</v>
      </c>
      <c r="H461" s="1967" t="s">
        <v>4128</v>
      </c>
      <c r="I461" s="1968" t="s">
        <v>25</v>
      </c>
      <c r="J461" s="1696"/>
      <c r="K461" s="1696"/>
      <c r="L461" s="1696"/>
      <c r="M461" s="1696"/>
      <c r="N461" s="1696"/>
      <c r="O461" s="1970"/>
      <c r="R461" s="1968" t="s">
        <v>25</v>
      </c>
      <c r="S461" s="1696"/>
      <c r="T461" s="1696"/>
      <c r="U461" s="1696"/>
      <c r="V461" s="1696"/>
      <c r="W461" s="1696"/>
    </row>
    <row r="462" spans="1:23" ht="18" x14ac:dyDescent="0.35">
      <c r="A462" s="2436">
        <v>456</v>
      </c>
      <c r="B462" s="1973" t="s">
        <v>5763</v>
      </c>
      <c r="C462" s="1963" t="s">
        <v>1344</v>
      </c>
      <c r="D462" s="1964">
        <v>64</v>
      </c>
      <c r="E462" s="1965">
        <v>2707</v>
      </c>
      <c r="F462" s="1966" t="s">
        <v>5768</v>
      </c>
      <c r="G462" s="1974">
        <v>1300</v>
      </c>
      <c r="H462" s="1967" t="s">
        <v>4128</v>
      </c>
      <c r="I462" s="1968" t="s">
        <v>25</v>
      </c>
      <c r="J462" s="1696"/>
      <c r="K462" s="1696"/>
      <c r="L462" s="1696"/>
      <c r="M462" s="1696"/>
      <c r="N462" s="1696"/>
      <c r="O462" s="1970"/>
      <c r="R462" s="1968" t="s">
        <v>25</v>
      </c>
      <c r="S462" s="1696"/>
      <c r="T462" s="1696"/>
      <c r="U462" s="1696"/>
      <c r="V462" s="1696"/>
      <c r="W462" s="1696"/>
    </row>
    <row r="463" spans="1:23" ht="18" x14ac:dyDescent="0.35">
      <c r="A463" s="2436">
        <v>457</v>
      </c>
      <c r="B463" s="1973" t="s">
        <v>5763</v>
      </c>
      <c r="C463" s="1963" t="s">
        <v>1344</v>
      </c>
      <c r="D463" s="1964">
        <v>64</v>
      </c>
      <c r="E463" s="1965">
        <v>2708</v>
      </c>
      <c r="F463" s="1966" t="s">
        <v>5768</v>
      </c>
      <c r="G463" s="1974">
        <v>1300</v>
      </c>
      <c r="H463" s="1967" t="s">
        <v>4128</v>
      </c>
      <c r="I463" s="1968" t="s">
        <v>25</v>
      </c>
      <c r="J463" s="1696"/>
      <c r="K463" s="1696"/>
      <c r="L463" s="1696"/>
      <c r="M463" s="1696"/>
      <c r="N463" s="1696"/>
      <c r="O463" s="1970"/>
      <c r="R463" s="1968" t="s">
        <v>25</v>
      </c>
      <c r="S463" s="1696"/>
      <c r="T463" s="1696"/>
      <c r="U463" s="1696"/>
      <c r="V463" s="1696"/>
      <c r="W463" s="1696"/>
    </row>
    <row r="464" spans="1:23" ht="18" x14ac:dyDescent="0.35">
      <c r="A464" s="2436">
        <v>458</v>
      </c>
      <c r="B464" s="1973" t="s">
        <v>5763</v>
      </c>
      <c r="C464" s="1963" t="s">
        <v>1344</v>
      </c>
      <c r="D464" s="1964">
        <v>64</v>
      </c>
      <c r="E464" s="1965">
        <v>2709</v>
      </c>
      <c r="F464" s="1966" t="s">
        <v>5768</v>
      </c>
      <c r="G464" s="1974">
        <v>1300</v>
      </c>
      <c r="H464" s="1967" t="s">
        <v>4128</v>
      </c>
      <c r="I464" s="1968" t="s">
        <v>25</v>
      </c>
      <c r="J464" s="1696"/>
      <c r="K464" s="1696"/>
      <c r="L464" s="1696"/>
      <c r="M464" s="1696"/>
      <c r="N464" s="1696"/>
      <c r="O464" s="1970"/>
      <c r="R464" s="1968" t="s">
        <v>25</v>
      </c>
      <c r="S464" s="1696"/>
      <c r="T464" s="1696"/>
      <c r="U464" s="1696"/>
      <c r="V464" s="1696"/>
      <c r="W464" s="1696"/>
    </row>
    <row r="465" spans="1:23" ht="18" x14ac:dyDescent="0.35">
      <c r="A465" s="2436">
        <v>459</v>
      </c>
      <c r="B465" s="1973" t="s">
        <v>5763</v>
      </c>
      <c r="C465" s="1963" t="s">
        <v>1344</v>
      </c>
      <c r="D465" s="1964">
        <v>64</v>
      </c>
      <c r="E465" s="1965">
        <v>2710</v>
      </c>
      <c r="F465" s="1966" t="s">
        <v>5768</v>
      </c>
      <c r="G465" s="1974">
        <v>1300</v>
      </c>
      <c r="H465" s="1967" t="s">
        <v>4128</v>
      </c>
      <c r="I465" s="1968" t="s">
        <v>25</v>
      </c>
      <c r="J465" s="1696"/>
      <c r="K465" s="1696"/>
      <c r="L465" s="1696"/>
      <c r="M465" s="1696"/>
      <c r="N465" s="1696"/>
      <c r="O465" s="1970"/>
      <c r="R465" s="1968" t="s">
        <v>25</v>
      </c>
      <c r="S465" s="1696"/>
      <c r="T465" s="1696"/>
      <c r="U465" s="1696"/>
      <c r="V465" s="1696"/>
      <c r="W465" s="1696"/>
    </row>
    <row r="466" spans="1:23" ht="18" x14ac:dyDescent="0.35">
      <c r="A466" s="2436">
        <v>460</v>
      </c>
      <c r="B466" s="1973" t="s">
        <v>5763</v>
      </c>
      <c r="C466" s="1963" t="s">
        <v>1344</v>
      </c>
      <c r="D466" s="1964">
        <v>64</v>
      </c>
      <c r="E466" s="1965">
        <v>2711</v>
      </c>
      <c r="F466" s="1966" t="s">
        <v>5768</v>
      </c>
      <c r="G466" s="1974">
        <v>1300</v>
      </c>
      <c r="H466" s="1967" t="s">
        <v>4128</v>
      </c>
      <c r="I466" s="1968" t="s">
        <v>25</v>
      </c>
      <c r="J466" s="1696"/>
      <c r="K466" s="1696"/>
      <c r="L466" s="1696"/>
      <c r="M466" s="1696"/>
      <c r="N466" s="1696"/>
      <c r="O466" s="1970"/>
      <c r="R466" s="1968" t="s">
        <v>25</v>
      </c>
      <c r="S466" s="1696"/>
      <c r="T466" s="1696"/>
      <c r="U466" s="1696"/>
      <c r="V466" s="1696"/>
      <c r="W466" s="1696"/>
    </row>
    <row r="467" spans="1:23" ht="18" x14ac:dyDescent="0.35">
      <c r="A467" s="2436">
        <v>461</v>
      </c>
      <c r="B467" s="1973" t="s">
        <v>5763</v>
      </c>
      <c r="C467" s="1963" t="s">
        <v>1344</v>
      </c>
      <c r="D467" s="1964">
        <v>64</v>
      </c>
      <c r="E467" s="1965">
        <v>2712</v>
      </c>
      <c r="F467" s="1966" t="s">
        <v>5768</v>
      </c>
      <c r="G467" s="1974">
        <v>1300</v>
      </c>
      <c r="H467" s="1967" t="s">
        <v>4128</v>
      </c>
      <c r="I467" s="1968" t="s">
        <v>25</v>
      </c>
      <c r="J467" s="1696"/>
      <c r="K467" s="1696"/>
      <c r="L467" s="1696"/>
      <c r="M467" s="1696"/>
      <c r="N467" s="1696"/>
      <c r="O467" s="1970"/>
      <c r="R467" s="1968" t="s">
        <v>25</v>
      </c>
      <c r="S467" s="1696"/>
      <c r="T467" s="1696"/>
      <c r="U467" s="1696"/>
      <c r="V467" s="1696"/>
      <c r="W467" s="1696"/>
    </row>
    <row r="468" spans="1:23" ht="18" x14ac:dyDescent="0.35">
      <c r="A468" s="2436">
        <v>462</v>
      </c>
      <c r="B468" s="1973" t="s">
        <v>5763</v>
      </c>
      <c r="C468" s="1963" t="s">
        <v>1344</v>
      </c>
      <c r="D468" s="1964">
        <v>64</v>
      </c>
      <c r="E468" s="1965">
        <v>2713</v>
      </c>
      <c r="F468" s="1966" t="s">
        <v>5768</v>
      </c>
      <c r="G468" s="1974">
        <v>1300</v>
      </c>
      <c r="H468" s="1967" t="s">
        <v>4128</v>
      </c>
      <c r="I468" s="1968" t="s">
        <v>25</v>
      </c>
      <c r="J468" s="1696"/>
      <c r="K468" s="1696"/>
      <c r="L468" s="1696"/>
      <c r="M468" s="1696"/>
      <c r="N468" s="1696"/>
      <c r="O468" s="1970"/>
      <c r="R468" s="1968" t="s">
        <v>25</v>
      </c>
      <c r="S468" s="1696"/>
      <c r="T468" s="1696"/>
      <c r="U468" s="1696"/>
      <c r="V468" s="1696"/>
      <c r="W468" s="1696"/>
    </row>
    <row r="469" spans="1:23" ht="18" x14ac:dyDescent="0.35">
      <c r="A469" s="2436">
        <v>463</v>
      </c>
      <c r="B469" s="1973" t="s">
        <v>5763</v>
      </c>
      <c r="C469" s="1963" t="s">
        <v>1344</v>
      </c>
      <c r="D469" s="1964">
        <v>64</v>
      </c>
      <c r="E469" s="1965">
        <v>2714</v>
      </c>
      <c r="F469" s="1966" t="s">
        <v>5768</v>
      </c>
      <c r="G469" s="1974">
        <v>1300</v>
      </c>
      <c r="H469" s="1967" t="s">
        <v>4128</v>
      </c>
      <c r="I469" s="1968" t="s">
        <v>25</v>
      </c>
      <c r="J469" s="1696"/>
      <c r="K469" s="1696"/>
      <c r="L469" s="1696"/>
      <c r="M469" s="1696"/>
      <c r="N469" s="1696"/>
      <c r="O469" s="1970"/>
      <c r="R469" s="1968" t="s">
        <v>25</v>
      </c>
      <c r="S469" s="1696"/>
      <c r="T469" s="1696"/>
      <c r="U469" s="1696"/>
      <c r="V469" s="1696"/>
      <c r="W469" s="1696"/>
    </row>
    <row r="470" spans="1:23" ht="18" x14ac:dyDescent="0.35">
      <c r="A470" s="2436">
        <v>464</v>
      </c>
      <c r="B470" s="1973" t="s">
        <v>5763</v>
      </c>
      <c r="C470" s="1963" t="s">
        <v>1344</v>
      </c>
      <c r="D470" s="1964">
        <v>64</v>
      </c>
      <c r="E470" s="1965">
        <v>2715</v>
      </c>
      <c r="F470" s="1966" t="s">
        <v>5768</v>
      </c>
      <c r="G470" s="1974">
        <v>1300</v>
      </c>
      <c r="H470" s="1967" t="s">
        <v>4128</v>
      </c>
      <c r="I470" s="1968" t="s">
        <v>25</v>
      </c>
      <c r="J470" s="1696"/>
      <c r="K470" s="1696"/>
      <c r="L470" s="1696"/>
      <c r="M470" s="1696"/>
      <c r="N470" s="1696"/>
      <c r="O470" s="1970"/>
      <c r="R470" s="1968" t="s">
        <v>25</v>
      </c>
      <c r="S470" s="1696"/>
      <c r="T470" s="1696"/>
      <c r="U470" s="1696"/>
      <c r="V470" s="1696"/>
      <c r="W470" s="1696"/>
    </row>
    <row r="471" spans="1:23" ht="18" x14ac:dyDescent="0.35">
      <c r="A471" s="2436">
        <v>465</v>
      </c>
      <c r="B471" s="1973" t="s">
        <v>5763</v>
      </c>
      <c r="C471" s="1963" t="s">
        <v>1344</v>
      </c>
      <c r="D471" s="1964">
        <v>64</v>
      </c>
      <c r="E471" s="1965">
        <v>2716</v>
      </c>
      <c r="F471" s="1966" t="s">
        <v>5768</v>
      </c>
      <c r="G471" s="1974">
        <v>1300</v>
      </c>
      <c r="H471" s="1967" t="s">
        <v>4128</v>
      </c>
      <c r="I471" s="1968" t="s">
        <v>25</v>
      </c>
      <c r="J471" s="1696"/>
      <c r="K471" s="1696"/>
      <c r="L471" s="1696"/>
      <c r="M471" s="1696"/>
      <c r="N471" s="1696"/>
      <c r="O471" s="1970"/>
      <c r="R471" s="1968" t="s">
        <v>25</v>
      </c>
      <c r="S471" s="1696"/>
      <c r="T471" s="1696"/>
      <c r="U471" s="1696"/>
      <c r="V471" s="1696"/>
      <c r="W471" s="1696"/>
    </row>
    <row r="472" spans="1:23" ht="18" x14ac:dyDescent="0.35">
      <c r="A472" s="2436">
        <v>466</v>
      </c>
      <c r="B472" s="1973" t="s">
        <v>5763</v>
      </c>
      <c r="C472" s="1963" t="s">
        <v>1344</v>
      </c>
      <c r="D472" s="1964">
        <v>64</v>
      </c>
      <c r="E472" s="1965">
        <v>2717</v>
      </c>
      <c r="F472" s="1966" t="s">
        <v>5768</v>
      </c>
      <c r="G472" s="1974">
        <v>1300</v>
      </c>
      <c r="H472" s="1967" t="s">
        <v>4128</v>
      </c>
      <c r="I472" s="1968" t="s">
        <v>25</v>
      </c>
      <c r="J472" s="1696"/>
      <c r="K472" s="1696"/>
      <c r="L472" s="1696"/>
      <c r="M472" s="1696"/>
      <c r="N472" s="1696"/>
      <c r="O472" s="1970"/>
      <c r="R472" s="1968" t="s">
        <v>25</v>
      </c>
      <c r="S472" s="1696"/>
      <c r="T472" s="1696"/>
      <c r="U472" s="1696"/>
      <c r="V472" s="1696"/>
      <c r="W472" s="1696"/>
    </row>
    <row r="473" spans="1:23" ht="18" x14ac:dyDescent="0.35">
      <c r="A473" s="2436">
        <v>467</v>
      </c>
      <c r="B473" s="1973" t="s">
        <v>5763</v>
      </c>
      <c r="C473" s="1963" t="s">
        <v>1344</v>
      </c>
      <c r="D473" s="1964">
        <v>64</v>
      </c>
      <c r="E473" s="1965">
        <v>2718</v>
      </c>
      <c r="F473" s="1966" t="s">
        <v>5768</v>
      </c>
      <c r="G473" s="1974">
        <v>1300</v>
      </c>
      <c r="H473" s="1967" t="s">
        <v>4128</v>
      </c>
      <c r="I473" s="1968" t="s">
        <v>25</v>
      </c>
      <c r="J473" s="1696"/>
      <c r="K473" s="1696"/>
      <c r="L473" s="1696"/>
      <c r="M473" s="1696"/>
      <c r="N473" s="1696"/>
      <c r="O473" s="1970"/>
      <c r="R473" s="1968" t="s">
        <v>25</v>
      </c>
      <c r="S473" s="1696"/>
      <c r="T473" s="1696"/>
      <c r="U473" s="1696"/>
      <c r="V473" s="1696"/>
      <c r="W473" s="1696"/>
    </row>
    <row r="474" spans="1:23" ht="18" x14ac:dyDescent="0.35">
      <c r="A474" s="2436">
        <v>468</v>
      </c>
      <c r="B474" s="1973" t="s">
        <v>5763</v>
      </c>
      <c r="C474" s="1963" t="s">
        <v>1344</v>
      </c>
      <c r="D474" s="1964">
        <v>64</v>
      </c>
      <c r="E474" s="1965">
        <v>2719</v>
      </c>
      <c r="F474" s="1966" t="s">
        <v>5768</v>
      </c>
      <c r="G474" s="1974">
        <v>1300</v>
      </c>
      <c r="H474" s="1967" t="s">
        <v>4128</v>
      </c>
      <c r="I474" s="1968" t="s">
        <v>25</v>
      </c>
      <c r="J474" s="1696"/>
      <c r="K474" s="1696"/>
      <c r="L474" s="1696"/>
      <c r="M474" s="1696"/>
      <c r="N474" s="1696"/>
      <c r="O474" s="1970"/>
      <c r="R474" s="1968" t="s">
        <v>25</v>
      </c>
      <c r="S474" s="1696"/>
      <c r="T474" s="1696"/>
      <c r="U474" s="1696"/>
      <c r="V474" s="1696"/>
      <c r="W474" s="1696"/>
    </row>
    <row r="475" spans="1:23" ht="18" x14ac:dyDescent="0.35">
      <c r="A475" s="2436">
        <v>469</v>
      </c>
      <c r="B475" s="1973" t="s">
        <v>5763</v>
      </c>
      <c r="C475" s="1963" t="s">
        <v>1344</v>
      </c>
      <c r="D475" s="1964">
        <v>64</v>
      </c>
      <c r="E475" s="1965">
        <v>2720</v>
      </c>
      <c r="F475" s="1966" t="s">
        <v>5768</v>
      </c>
      <c r="G475" s="1974">
        <v>1300</v>
      </c>
      <c r="H475" s="1967" t="s">
        <v>4128</v>
      </c>
      <c r="I475" s="1968" t="s">
        <v>25</v>
      </c>
      <c r="J475" s="1696"/>
      <c r="K475" s="1696"/>
      <c r="L475" s="1696"/>
      <c r="M475" s="1696"/>
      <c r="N475" s="1696"/>
      <c r="O475" s="1970"/>
      <c r="R475" s="1968" t="s">
        <v>25</v>
      </c>
      <c r="S475" s="1696"/>
      <c r="T475" s="1696"/>
      <c r="U475" s="1696"/>
      <c r="V475" s="1696"/>
      <c r="W475" s="1696"/>
    </row>
    <row r="476" spans="1:23" ht="18" x14ac:dyDescent="0.35">
      <c r="A476" s="2436">
        <v>470</v>
      </c>
      <c r="B476" s="1973" t="s">
        <v>5763</v>
      </c>
      <c r="C476" s="1963" t="s">
        <v>1344</v>
      </c>
      <c r="D476" s="1964">
        <v>64</v>
      </c>
      <c r="E476" s="1965">
        <v>2721</v>
      </c>
      <c r="F476" s="1966" t="s">
        <v>5768</v>
      </c>
      <c r="G476" s="1974">
        <v>1300</v>
      </c>
      <c r="H476" s="1967" t="s">
        <v>4128</v>
      </c>
      <c r="I476" s="1968" t="s">
        <v>25</v>
      </c>
      <c r="J476" s="1696"/>
      <c r="K476" s="1696"/>
      <c r="L476" s="1696"/>
      <c r="M476" s="1696"/>
      <c r="N476" s="1696"/>
      <c r="O476" s="1970"/>
      <c r="R476" s="1968" t="s">
        <v>25</v>
      </c>
      <c r="S476" s="1696"/>
      <c r="T476" s="1696"/>
      <c r="U476" s="1696"/>
      <c r="V476" s="1696"/>
      <c r="W476" s="1696"/>
    </row>
    <row r="477" spans="1:23" ht="18" x14ac:dyDescent="0.35">
      <c r="A477" s="2436">
        <v>471</v>
      </c>
      <c r="B477" s="1973" t="s">
        <v>5763</v>
      </c>
      <c r="C477" s="1963" t="s">
        <v>1344</v>
      </c>
      <c r="D477" s="1964">
        <v>64</v>
      </c>
      <c r="E477" s="1965">
        <v>2722</v>
      </c>
      <c r="F477" s="1966" t="s">
        <v>5768</v>
      </c>
      <c r="G477" s="1974">
        <v>1300</v>
      </c>
      <c r="H477" s="1967" t="s">
        <v>4128</v>
      </c>
      <c r="I477" s="1968" t="s">
        <v>25</v>
      </c>
      <c r="J477" s="1696"/>
      <c r="K477" s="1696"/>
      <c r="L477" s="1696"/>
      <c r="M477" s="1696"/>
      <c r="N477" s="1696"/>
      <c r="O477" s="1970"/>
      <c r="R477" s="1968" t="s">
        <v>25</v>
      </c>
      <c r="S477" s="1696"/>
      <c r="T477" s="1696"/>
      <c r="U477" s="1696"/>
      <c r="V477" s="1696"/>
      <c r="W477" s="1696"/>
    </row>
    <row r="478" spans="1:23" ht="18" x14ac:dyDescent="0.35">
      <c r="A478" s="2436">
        <v>472</v>
      </c>
      <c r="B478" s="1973" t="s">
        <v>5763</v>
      </c>
      <c r="C478" s="1963" t="s">
        <v>1344</v>
      </c>
      <c r="D478" s="1964">
        <v>64</v>
      </c>
      <c r="E478" s="1965">
        <v>2723</v>
      </c>
      <c r="F478" s="1966" t="s">
        <v>5768</v>
      </c>
      <c r="G478" s="1974">
        <v>1300</v>
      </c>
      <c r="H478" s="1967" t="s">
        <v>4128</v>
      </c>
      <c r="I478" s="1968" t="s">
        <v>25</v>
      </c>
      <c r="J478" s="1696"/>
      <c r="K478" s="1696"/>
      <c r="L478" s="1696"/>
      <c r="M478" s="1696"/>
      <c r="N478" s="1696"/>
      <c r="O478" s="1970"/>
      <c r="R478" s="1968" t="s">
        <v>25</v>
      </c>
      <c r="S478" s="1696"/>
      <c r="T478" s="1696"/>
      <c r="U478" s="1696"/>
      <c r="V478" s="1696"/>
      <c r="W478" s="1696"/>
    </row>
    <row r="479" spans="1:23" ht="18" x14ac:dyDescent="0.35">
      <c r="A479" s="2436">
        <v>473</v>
      </c>
      <c r="B479" s="1973" t="s">
        <v>5763</v>
      </c>
      <c r="C479" s="1963" t="s">
        <v>1344</v>
      </c>
      <c r="D479" s="1964">
        <v>64</v>
      </c>
      <c r="E479" s="1965">
        <v>2724</v>
      </c>
      <c r="F479" s="1966" t="s">
        <v>5768</v>
      </c>
      <c r="G479" s="1974">
        <v>1300</v>
      </c>
      <c r="H479" s="1967" t="s">
        <v>4128</v>
      </c>
      <c r="I479" s="1968" t="s">
        <v>25</v>
      </c>
      <c r="J479" s="1696"/>
      <c r="K479" s="1696"/>
      <c r="L479" s="1696"/>
      <c r="M479" s="1696"/>
      <c r="N479" s="1696"/>
      <c r="O479" s="1970"/>
      <c r="R479" s="1968" t="s">
        <v>25</v>
      </c>
      <c r="S479" s="1696"/>
      <c r="T479" s="1696"/>
      <c r="U479" s="1696"/>
      <c r="V479" s="1696"/>
      <c r="W479" s="1696"/>
    </row>
    <row r="480" spans="1:23" ht="18" x14ac:dyDescent="0.35">
      <c r="A480" s="2436">
        <v>474</v>
      </c>
      <c r="B480" s="1973" t="s">
        <v>5763</v>
      </c>
      <c r="C480" s="1963" t="s">
        <v>1344</v>
      </c>
      <c r="D480" s="1964">
        <v>64</v>
      </c>
      <c r="E480" s="1965">
        <v>2725</v>
      </c>
      <c r="F480" s="1966" t="s">
        <v>5768</v>
      </c>
      <c r="G480" s="1974">
        <v>1300</v>
      </c>
      <c r="H480" s="1967" t="s">
        <v>4128</v>
      </c>
      <c r="I480" s="1968" t="s">
        <v>25</v>
      </c>
      <c r="J480" s="1696"/>
      <c r="K480" s="1696"/>
      <c r="L480" s="1696"/>
      <c r="M480" s="1696"/>
      <c r="N480" s="1696"/>
      <c r="O480" s="1970"/>
      <c r="R480" s="1968" t="s">
        <v>25</v>
      </c>
      <c r="S480" s="1696"/>
      <c r="T480" s="1696"/>
      <c r="U480" s="1696"/>
      <c r="V480" s="1696"/>
      <c r="W480" s="1696"/>
    </row>
    <row r="481" spans="1:23" ht="18" x14ac:dyDescent="0.35">
      <c r="A481" s="2436">
        <v>475</v>
      </c>
      <c r="B481" s="1973" t="s">
        <v>5763</v>
      </c>
      <c r="C481" s="1963" t="s">
        <v>1344</v>
      </c>
      <c r="D481" s="1964">
        <v>64</v>
      </c>
      <c r="E481" s="1965">
        <v>2726</v>
      </c>
      <c r="F481" s="1966" t="s">
        <v>5768</v>
      </c>
      <c r="G481" s="1974">
        <v>1300</v>
      </c>
      <c r="H481" s="1967" t="s">
        <v>4128</v>
      </c>
      <c r="I481" s="1968" t="s">
        <v>25</v>
      </c>
      <c r="J481" s="1696"/>
      <c r="K481" s="1696"/>
      <c r="L481" s="1696"/>
      <c r="M481" s="1696"/>
      <c r="N481" s="1696"/>
      <c r="O481" s="1970"/>
      <c r="R481" s="1968" t="s">
        <v>25</v>
      </c>
      <c r="S481" s="1696"/>
      <c r="T481" s="1696"/>
      <c r="U481" s="1696"/>
      <c r="V481" s="1696"/>
      <c r="W481" s="1696"/>
    </row>
    <row r="482" spans="1:23" ht="18" x14ac:dyDescent="0.35">
      <c r="A482" s="2436">
        <v>476</v>
      </c>
      <c r="B482" s="1973" t="s">
        <v>5763</v>
      </c>
      <c r="C482" s="1963" t="s">
        <v>1344</v>
      </c>
      <c r="D482" s="1964">
        <v>64</v>
      </c>
      <c r="E482" s="1965">
        <v>2727</v>
      </c>
      <c r="F482" s="1966" t="s">
        <v>5768</v>
      </c>
      <c r="G482" s="1974">
        <v>1300</v>
      </c>
      <c r="H482" s="1967" t="s">
        <v>4128</v>
      </c>
      <c r="I482" s="1968" t="s">
        <v>25</v>
      </c>
      <c r="J482" s="1696"/>
      <c r="K482" s="1696"/>
      <c r="L482" s="1696"/>
      <c r="M482" s="1696"/>
      <c r="N482" s="1696"/>
      <c r="O482" s="1970"/>
      <c r="R482" s="1968" t="s">
        <v>25</v>
      </c>
      <c r="S482" s="1696"/>
      <c r="T482" s="1696"/>
      <c r="U482" s="1696"/>
      <c r="V482" s="1696"/>
      <c r="W482" s="1696"/>
    </row>
    <row r="483" spans="1:23" ht="18" x14ac:dyDescent="0.35">
      <c r="A483" s="2436">
        <v>477</v>
      </c>
      <c r="B483" s="1973" t="s">
        <v>5763</v>
      </c>
      <c r="C483" s="1963" t="s">
        <v>1344</v>
      </c>
      <c r="D483" s="1964">
        <v>64</v>
      </c>
      <c r="E483" s="1965">
        <v>2728</v>
      </c>
      <c r="F483" s="1966" t="s">
        <v>5768</v>
      </c>
      <c r="G483" s="1974">
        <v>1300</v>
      </c>
      <c r="H483" s="1967" t="s">
        <v>4128</v>
      </c>
      <c r="I483" s="1968" t="s">
        <v>25</v>
      </c>
      <c r="J483" s="1696"/>
      <c r="K483" s="1696"/>
      <c r="L483" s="1696"/>
      <c r="M483" s="1696"/>
      <c r="N483" s="1696"/>
      <c r="O483" s="1970"/>
      <c r="R483" s="1968" t="s">
        <v>25</v>
      </c>
      <c r="S483" s="1696"/>
      <c r="T483" s="1696"/>
      <c r="U483" s="1696"/>
      <c r="V483" s="1696"/>
      <c r="W483" s="1696"/>
    </row>
    <row r="484" spans="1:23" ht="18" x14ac:dyDescent="0.35">
      <c r="A484" s="2436">
        <v>478</v>
      </c>
      <c r="B484" s="1973" t="s">
        <v>5763</v>
      </c>
      <c r="C484" s="1963" t="s">
        <v>1344</v>
      </c>
      <c r="D484" s="1964">
        <v>64</v>
      </c>
      <c r="E484" s="1965">
        <v>2729</v>
      </c>
      <c r="F484" s="1966" t="s">
        <v>5768</v>
      </c>
      <c r="G484" s="1974">
        <v>1300</v>
      </c>
      <c r="H484" s="1967" t="s">
        <v>4128</v>
      </c>
      <c r="I484" s="1968" t="s">
        <v>25</v>
      </c>
      <c r="J484" s="1696"/>
      <c r="K484" s="1696"/>
      <c r="L484" s="1696"/>
      <c r="M484" s="1696"/>
      <c r="N484" s="1696"/>
      <c r="O484" s="1970"/>
      <c r="R484" s="1968" t="s">
        <v>25</v>
      </c>
      <c r="S484" s="1696"/>
      <c r="T484" s="1696"/>
      <c r="U484" s="1696"/>
      <c r="V484" s="1696"/>
      <c r="W484" s="1696"/>
    </row>
    <row r="485" spans="1:23" ht="18" x14ac:dyDescent="0.35">
      <c r="A485" s="2436">
        <v>479</v>
      </c>
      <c r="B485" s="1973" t="s">
        <v>5763</v>
      </c>
      <c r="C485" s="1963" t="s">
        <v>1344</v>
      </c>
      <c r="D485" s="1964">
        <v>64</v>
      </c>
      <c r="E485" s="1965">
        <v>2730</v>
      </c>
      <c r="F485" s="1966" t="s">
        <v>5768</v>
      </c>
      <c r="G485" s="1974">
        <v>1300</v>
      </c>
      <c r="H485" s="1967" t="s">
        <v>4128</v>
      </c>
      <c r="I485" s="1968" t="s">
        <v>25</v>
      </c>
      <c r="J485" s="1696"/>
      <c r="K485" s="1696"/>
      <c r="L485" s="1696"/>
      <c r="M485" s="1696"/>
      <c r="N485" s="1696"/>
      <c r="O485" s="1970"/>
      <c r="R485" s="1968" t="s">
        <v>25</v>
      </c>
      <c r="S485" s="1696"/>
      <c r="T485" s="1696"/>
      <c r="U485" s="1696"/>
      <c r="V485" s="1696"/>
      <c r="W485" s="1696"/>
    </row>
    <row r="486" spans="1:23" ht="18" x14ac:dyDescent="0.35">
      <c r="A486" s="2436">
        <v>480</v>
      </c>
      <c r="B486" s="1973" t="s">
        <v>5763</v>
      </c>
      <c r="C486" s="1963" t="s">
        <v>1344</v>
      </c>
      <c r="D486" s="1964">
        <v>64</v>
      </c>
      <c r="E486" s="1965">
        <v>2731</v>
      </c>
      <c r="F486" s="1966" t="s">
        <v>5768</v>
      </c>
      <c r="G486" s="1974">
        <v>1300</v>
      </c>
      <c r="H486" s="1967" t="s">
        <v>4128</v>
      </c>
      <c r="I486" s="1968" t="s">
        <v>25</v>
      </c>
      <c r="J486" s="1696"/>
      <c r="K486" s="1696"/>
      <c r="L486" s="1696"/>
      <c r="M486" s="1696"/>
      <c r="N486" s="1696"/>
      <c r="O486" s="1970"/>
      <c r="R486" s="1968" t="s">
        <v>25</v>
      </c>
      <c r="S486" s="1696"/>
      <c r="T486" s="1696"/>
      <c r="U486" s="1696"/>
      <c r="V486" s="1696"/>
      <c r="W486" s="1696"/>
    </row>
    <row r="487" spans="1:23" ht="18" x14ac:dyDescent="0.35">
      <c r="A487" s="2436">
        <v>481</v>
      </c>
      <c r="B487" s="1973" t="s">
        <v>5763</v>
      </c>
      <c r="C487" s="1963" t="s">
        <v>1344</v>
      </c>
      <c r="D487" s="1964">
        <v>64</v>
      </c>
      <c r="E487" s="1965">
        <v>2732</v>
      </c>
      <c r="F487" s="1966" t="s">
        <v>5768</v>
      </c>
      <c r="G487" s="1974">
        <v>1300</v>
      </c>
      <c r="H487" s="1967" t="s">
        <v>4128</v>
      </c>
      <c r="I487" s="1968" t="s">
        <v>25</v>
      </c>
      <c r="J487" s="1696"/>
      <c r="K487" s="1696"/>
      <c r="L487" s="1696"/>
      <c r="M487" s="1696"/>
      <c r="N487" s="1696"/>
      <c r="O487" s="1970"/>
      <c r="R487" s="1968" t="s">
        <v>25</v>
      </c>
      <c r="S487" s="1696"/>
      <c r="T487" s="1696"/>
      <c r="U487" s="1696"/>
      <c r="V487" s="1696"/>
      <c r="W487" s="1696"/>
    </row>
    <row r="488" spans="1:23" ht="18" x14ac:dyDescent="0.35">
      <c r="A488" s="2436">
        <v>482</v>
      </c>
      <c r="B488" s="1973" t="s">
        <v>5763</v>
      </c>
      <c r="C488" s="1963" t="s">
        <v>1344</v>
      </c>
      <c r="D488" s="1964">
        <v>64</v>
      </c>
      <c r="E488" s="1965">
        <v>2733</v>
      </c>
      <c r="F488" s="1966" t="s">
        <v>5768</v>
      </c>
      <c r="G488" s="1974">
        <v>1300</v>
      </c>
      <c r="H488" s="1967" t="s">
        <v>4128</v>
      </c>
      <c r="I488" s="1968" t="s">
        <v>25</v>
      </c>
      <c r="J488" s="1696"/>
      <c r="K488" s="1696"/>
      <c r="L488" s="1696"/>
      <c r="M488" s="1696"/>
      <c r="N488" s="1696"/>
      <c r="O488" s="1970"/>
      <c r="R488" s="1968" t="s">
        <v>25</v>
      </c>
      <c r="S488" s="1696"/>
      <c r="T488" s="1696"/>
      <c r="U488" s="1696"/>
      <c r="V488" s="1696"/>
      <c r="W488" s="1696"/>
    </row>
    <row r="489" spans="1:23" ht="18" x14ac:dyDescent="0.35">
      <c r="A489" s="2436">
        <v>483</v>
      </c>
      <c r="B489" s="1973" t="s">
        <v>5763</v>
      </c>
      <c r="C489" s="1963" t="s">
        <v>1344</v>
      </c>
      <c r="D489" s="1964">
        <v>64</v>
      </c>
      <c r="E489" s="1965">
        <v>2734</v>
      </c>
      <c r="F489" s="1966" t="s">
        <v>5768</v>
      </c>
      <c r="G489" s="1974">
        <v>1300</v>
      </c>
      <c r="H489" s="1967" t="s">
        <v>4128</v>
      </c>
      <c r="I489" s="1968" t="s">
        <v>25</v>
      </c>
      <c r="J489" s="1696"/>
      <c r="K489" s="1696"/>
      <c r="L489" s="1696"/>
      <c r="M489" s="1696"/>
      <c r="N489" s="1696"/>
      <c r="O489" s="1970"/>
      <c r="R489" s="1968" t="s">
        <v>25</v>
      </c>
      <c r="S489" s="1696"/>
      <c r="T489" s="1696"/>
      <c r="U489" s="1696"/>
      <c r="V489" s="1696"/>
      <c r="W489" s="1696"/>
    </row>
    <row r="490" spans="1:23" ht="18" x14ac:dyDescent="0.35">
      <c r="A490" s="2436">
        <v>484</v>
      </c>
      <c r="B490" s="1973" t="s">
        <v>5763</v>
      </c>
      <c r="C490" s="1963" t="s">
        <v>1344</v>
      </c>
      <c r="D490" s="1964">
        <v>64</v>
      </c>
      <c r="E490" s="1965">
        <v>2735</v>
      </c>
      <c r="F490" s="1966" t="s">
        <v>5768</v>
      </c>
      <c r="G490" s="1974">
        <v>1300</v>
      </c>
      <c r="H490" s="1967" t="s">
        <v>4128</v>
      </c>
      <c r="I490" s="1968" t="s">
        <v>25</v>
      </c>
      <c r="J490" s="1696"/>
      <c r="K490" s="1696"/>
      <c r="L490" s="1696"/>
      <c r="M490" s="1696"/>
      <c r="N490" s="1696"/>
      <c r="O490" s="1970"/>
      <c r="R490" s="1968" t="s">
        <v>25</v>
      </c>
      <c r="S490" s="1696"/>
      <c r="T490" s="1696"/>
      <c r="U490" s="1696"/>
      <c r="V490" s="1696"/>
      <c r="W490" s="1696"/>
    </row>
    <row r="491" spans="1:23" ht="18" x14ac:dyDescent="0.35">
      <c r="A491" s="2436">
        <v>485</v>
      </c>
      <c r="B491" s="1973" t="s">
        <v>5763</v>
      </c>
      <c r="C491" s="1963" t="s">
        <v>1344</v>
      </c>
      <c r="D491" s="1964">
        <v>64</v>
      </c>
      <c r="E491" s="1965">
        <v>2736</v>
      </c>
      <c r="F491" s="1966" t="s">
        <v>5768</v>
      </c>
      <c r="G491" s="1974">
        <v>1300</v>
      </c>
      <c r="H491" s="1967" t="s">
        <v>4128</v>
      </c>
      <c r="I491" s="1968" t="s">
        <v>25</v>
      </c>
      <c r="J491" s="1696"/>
      <c r="K491" s="1696"/>
      <c r="L491" s="1696"/>
      <c r="M491" s="1696"/>
      <c r="N491" s="1696"/>
      <c r="O491" s="1970"/>
      <c r="R491" s="1968" t="s">
        <v>25</v>
      </c>
      <c r="S491" s="1696"/>
      <c r="T491" s="1696"/>
      <c r="U491" s="1696"/>
      <c r="V491" s="1696"/>
      <c r="W491" s="1696"/>
    </row>
    <row r="492" spans="1:23" ht="18" x14ac:dyDescent="0.35">
      <c r="A492" s="2436">
        <v>486</v>
      </c>
      <c r="B492" s="1973" t="s">
        <v>5763</v>
      </c>
      <c r="C492" s="1963" t="s">
        <v>1344</v>
      </c>
      <c r="D492" s="1964">
        <v>64</v>
      </c>
      <c r="E492" s="1965">
        <v>2737</v>
      </c>
      <c r="F492" s="1966" t="s">
        <v>5768</v>
      </c>
      <c r="G492" s="1974">
        <v>1300</v>
      </c>
      <c r="H492" s="1967" t="s">
        <v>4128</v>
      </c>
      <c r="I492" s="1968" t="s">
        <v>25</v>
      </c>
      <c r="J492" s="1696"/>
      <c r="K492" s="1696"/>
      <c r="L492" s="1696"/>
      <c r="M492" s="1696"/>
      <c r="N492" s="1696"/>
      <c r="O492" s="1970"/>
      <c r="R492" s="1968" t="s">
        <v>25</v>
      </c>
      <c r="S492" s="1696"/>
      <c r="T492" s="1696"/>
      <c r="U492" s="1696"/>
      <c r="V492" s="1696"/>
      <c r="W492" s="1696"/>
    </row>
    <row r="493" spans="1:23" ht="18" x14ac:dyDescent="0.35">
      <c r="A493" s="2436">
        <v>487</v>
      </c>
      <c r="B493" s="1973" t="s">
        <v>5763</v>
      </c>
      <c r="C493" s="1963" t="s">
        <v>1344</v>
      </c>
      <c r="D493" s="1964">
        <v>64</v>
      </c>
      <c r="E493" s="1965">
        <v>2738</v>
      </c>
      <c r="F493" s="1966" t="s">
        <v>5768</v>
      </c>
      <c r="G493" s="1974">
        <v>1300</v>
      </c>
      <c r="H493" s="1967" t="s">
        <v>4128</v>
      </c>
      <c r="I493" s="1968" t="s">
        <v>25</v>
      </c>
      <c r="J493" s="1696"/>
      <c r="K493" s="1696"/>
      <c r="L493" s="1696"/>
      <c r="M493" s="1696"/>
      <c r="N493" s="1696"/>
      <c r="O493" s="1970"/>
      <c r="R493" s="1968" t="s">
        <v>25</v>
      </c>
      <c r="S493" s="1696"/>
      <c r="T493" s="1696"/>
      <c r="U493" s="1696"/>
      <c r="V493" s="1696"/>
      <c r="W493" s="1696"/>
    </row>
    <row r="494" spans="1:23" ht="18" x14ac:dyDescent="0.35">
      <c r="A494" s="2436">
        <v>488</v>
      </c>
      <c r="B494" s="1973" t="s">
        <v>5763</v>
      </c>
      <c r="C494" s="1963" t="s">
        <v>1344</v>
      </c>
      <c r="D494" s="1964">
        <v>64</v>
      </c>
      <c r="E494" s="1965">
        <v>2739</v>
      </c>
      <c r="F494" s="1966" t="s">
        <v>5768</v>
      </c>
      <c r="G494" s="1974">
        <v>1300</v>
      </c>
      <c r="H494" s="1967" t="s">
        <v>4128</v>
      </c>
      <c r="I494" s="1968" t="s">
        <v>25</v>
      </c>
      <c r="J494" s="1696"/>
      <c r="K494" s="1696"/>
      <c r="L494" s="1696"/>
      <c r="M494" s="1696"/>
      <c r="N494" s="1696"/>
      <c r="O494" s="1970"/>
      <c r="R494" s="1968" t="s">
        <v>25</v>
      </c>
      <c r="S494" s="1696"/>
      <c r="T494" s="1696"/>
      <c r="U494" s="1696"/>
      <c r="V494" s="1696"/>
      <c r="W494" s="1696"/>
    </row>
    <row r="495" spans="1:23" ht="18" x14ac:dyDescent="0.35">
      <c r="A495" s="2436">
        <v>489</v>
      </c>
      <c r="B495" s="1973" t="s">
        <v>5763</v>
      </c>
      <c r="C495" s="1963" t="s">
        <v>1344</v>
      </c>
      <c r="D495" s="1964">
        <v>64</v>
      </c>
      <c r="E495" s="1965">
        <v>2740</v>
      </c>
      <c r="F495" s="1966" t="s">
        <v>5768</v>
      </c>
      <c r="G495" s="1974">
        <v>1300</v>
      </c>
      <c r="H495" s="1967" t="s">
        <v>4128</v>
      </c>
      <c r="I495" s="1968" t="s">
        <v>25</v>
      </c>
      <c r="J495" s="1696"/>
      <c r="K495" s="1696"/>
      <c r="L495" s="1696"/>
      <c r="M495" s="1696"/>
      <c r="N495" s="1696"/>
      <c r="O495" s="1970"/>
      <c r="R495" s="1968" t="s">
        <v>25</v>
      </c>
      <c r="S495" s="1696"/>
      <c r="T495" s="1696"/>
      <c r="U495" s="1696"/>
      <c r="V495" s="1696"/>
      <c r="W495" s="1696"/>
    </row>
    <row r="496" spans="1:23" ht="18" x14ac:dyDescent="0.35">
      <c r="A496" s="2436">
        <v>490</v>
      </c>
      <c r="B496" s="1973" t="s">
        <v>5763</v>
      </c>
      <c r="C496" s="1963" t="s">
        <v>1344</v>
      </c>
      <c r="D496" s="1964">
        <v>64</v>
      </c>
      <c r="E496" s="1965">
        <v>2741</v>
      </c>
      <c r="F496" s="1966" t="s">
        <v>5768</v>
      </c>
      <c r="G496" s="1974">
        <v>1300</v>
      </c>
      <c r="H496" s="1967" t="s">
        <v>4128</v>
      </c>
      <c r="I496" s="1968" t="s">
        <v>25</v>
      </c>
      <c r="J496" s="1696"/>
      <c r="K496" s="1696"/>
      <c r="L496" s="1696"/>
      <c r="M496" s="1696"/>
      <c r="N496" s="1696"/>
      <c r="O496" s="1970"/>
      <c r="R496" s="1968" t="s">
        <v>25</v>
      </c>
      <c r="S496" s="1696"/>
      <c r="T496" s="1696"/>
      <c r="U496" s="1696"/>
      <c r="V496" s="1696"/>
      <c r="W496" s="1696"/>
    </row>
    <row r="497" spans="1:23" ht="18" x14ac:dyDescent="0.35">
      <c r="A497" s="2436">
        <v>491</v>
      </c>
      <c r="B497" s="1973" t="s">
        <v>5763</v>
      </c>
      <c r="C497" s="1963" t="s">
        <v>1344</v>
      </c>
      <c r="D497" s="1964">
        <v>64</v>
      </c>
      <c r="E497" s="1965">
        <v>2742</v>
      </c>
      <c r="F497" s="1966" t="s">
        <v>5768</v>
      </c>
      <c r="G497" s="1974">
        <v>1300</v>
      </c>
      <c r="H497" s="1967" t="s">
        <v>4128</v>
      </c>
      <c r="I497" s="1968" t="s">
        <v>25</v>
      </c>
      <c r="J497" s="1696"/>
      <c r="K497" s="1696"/>
      <c r="L497" s="1696"/>
      <c r="M497" s="1696"/>
      <c r="N497" s="1696"/>
      <c r="O497" s="1970"/>
      <c r="R497" s="1968" t="s">
        <v>25</v>
      </c>
      <c r="S497" s="1696"/>
      <c r="T497" s="1696"/>
      <c r="U497" s="1696"/>
      <c r="V497" s="1696"/>
      <c r="W497" s="1696"/>
    </row>
    <row r="498" spans="1:23" ht="18" x14ac:dyDescent="0.35">
      <c r="A498" s="2436">
        <v>492</v>
      </c>
      <c r="B498" s="1973" t="s">
        <v>5763</v>
      </c>
      <c r="C498" s="1963" t="s">
        <v>1344</v>
      </c>
      <c r="D498" s="1964">
        <v>64</v>
      </c>
      <c r="E498" s="1965">
        <v>2743</v>
      </c>
      <c r="F498" s="1966" t="s">
        <v>5768</v>
      </c>
      <c r="G498" s="1974">
        <v>1300</v>
      </c>
      <c r="H498" s="1967" t="s">
        <v>4128</v>
      </c>
      <c r="I498" s="1968" t="s">
        <v>25</v>
      </c>
      <c r="J498" s="1696"/>
      <c r="K498" s="1696"/>
      <c r="L498" s="1696"/>
      <c r="M498" s="1696"/>
      <c r="N498" s="1696"/>
      <c r="O498" s="1970"/>
      <c r="R498" s="1968" t="s">
        <v>25</v>
      </c>
      <c r="S498" s="1696"/>
      <c r="T498" s="1696"/>
      <c r="U498" s="1696"/>
      <c r="V498" s="1696"/>
      <c r="W498" s="1696"/>
    </row>
    <row r="499" spans="1:23" ht="18" x14ac:dyDescent="0.35">
      <c r="A499" s="2436">
        <v>493</v>
      </c>
      <c r="B499" s="1973" t="s">
        <v>5763</v>
      </c>
      <c r="C499" s="1963" t="s">
        <v>1344</v>
      </c>
      <c r="D499" s="1964">
        <v>64</v>
      </c>
      <c r="E499" s="1965">
        <v>2744</v>
      </c>
      <c r="F499" s="1966" t="s">
        <v>5768</v>
      </c>
      <c r="G499" s="1974">
        <v>1300</v>
      </c>
      <c r="H499" s="1967" t="s">
        <v>4128</v>
      </c>
      <c r="I499" s="1968" t="s">
        <v>25</v>
      </c>
      <c r="J499" s="1696"/>
      <c r="K499" s="1696"/>
      <c r="L499" s="1696"/>
      <c r="M499" s="1696"/>
      <c r="N499" s="1696"/>
      <c r="O499" s="1970"/>
      <c r="R499" s="1968" t="s">
        <v>25</v>
      </c>
      <c r="S499" s="1696"/>
      <c r="T499" s="1696"/>
      <c r="U499" s="1696"/>
      <c r="V499" s="1696"/>
      <c r="W499" s="1696"/>
    </row>
    <row r="500" spans="1:23" ht="18" x14ac:dyDescent="0.35">
      <c r="A500" s="2436">
        <v>494</v>
      </c>
      <c r="B500" s="1973" t="s">
        <v>5763</v>
      </c>
      <c r="C500" s="1963" t="s">
        <v>1344</v>
      </c>
      <c r="D500" s="1964">
        <v>64</v>
      </c>
      <c r="E500" s="1965">
        <v>2745</v>
      </c>
      <c r="F500" s="1966" t="s">
        <v>5768</v>
      </c>
      <c r="G500" s="1974">
        <v>1300</v>
      </c>
      <c r="H500" s="1967" t="s">
        <v>4128</v>
      </c>
      <c r="I500" s="1968" t="s">
        <v>25</v>
      </c>
      <c r="J500" s="1696"/>
      <c r="K500" s="1696"/>
      <c r="L500" s="1696"/>
      <c r="M500" s="1696"/>
      <c r="N500" s="1696"/>
      <c r="O500" s="1970"/>
      <c r="R500" s="1968" t="s">
        <v>25</v>
      </c>
      <c r="S500" s="1696"/>
      <c r="T500" s="1696"/>
      <c r="U500" s="1696"/>
      <c r="V500" s="1696"/>
      <c r="W500" s="1696"/>
    </row>
    <row r="501" spans="1:23" ht="18" x14ac:dyDescent="0.35">
      <c r="A501" s="2436">
        <v>495</v>
      </c>
      <c r="B501" s="1973" t="s">
        <v>5763</v>
      </c>
      <c r="C501" s="1963" t="s">
        <v>1344</v>
      </c>
      <c r="D501" s="1964">
        <v>64</v>
      </c>
      <c r="E501" s="1965">
        <v>2746</v>
      </c>
      <c r="F501" s="1966" t="s">
        <v>5768</v>
      </c>
      <c r="G501" s="1974">
        <v>1300</v>
      </c>
      <c r="H501" s="1967" t="s">
        <v>4128</v>
      </c>
      <c r="I501" s="1968" t="s">
        <v>25</v>
      </c>
      <c r="J501" s="1696"/>
      <c r="K501" s="1696"/>
      <c r="L501" s="1696"/>
      <c r="M501" s="1696"/>
      <c r="N501" s="1696"/>
      <c r="O501" s="1970"/>
      <c r="R501" s="1968" t="s">
        <v>25</v>
      </c>
      <c r="S501" s="1696"/>
      <c r="T501" s="1696"/>
      <c r="U501" s="1696"/>
      <c r="V501" s="1696"/>
      <c r="W501" s="1696"/>
    </row>
    <row r="502" spans="1:23" ht="18" x14ac:dyDescent="0.35">
      <c r="A502" s="2436">
        <v>496</v>
      </c>
      <c r="B502" s="1973" t="s">
        <v>5763</v>
      </c>
      <c r="C502" s="1963" t="s">
        <v>1344</v>
      </c>
      <c r="D502" s="1964">
        <v>64</v>
      </c>
      <c r="E502" s="1965">
        <v>2747</v>
      </c>
      <c r="F502" s="1966" t="s">
        <v>5768</v>
      </c>
      <c r="G502" s="1974">
        <v>1300</v>
      </c>
      <c r="H502" s="1967" t="s">
        <v>4128</v>
      </c>
      <c r="I502" s="1968" t="s">
        <v>25</v>
      </c>
      <c r="J502" s="1696"/>
      <c r="K502" s="1696"/>
      <c r="L502" s="1696"/>
      <c r="M502" s="1696"/>
      <c r="N502" s="1696"/>
      <c r="O502" s="1970"/>
      <c r="R502" s="1968" t="s">
        <v>25</v>
      </c>
      <c r="S502" s="1696"/>
      <c r="T502" s="1696"/>
      <c r="U502" s="1696"/>
      <c r="V502" s="1696"/>
      <c r="W502" s="1696"/>
    </row>
    <row r="503" spans="1:23" ht="18" x14ac:dyDescent="0.35">
      <c r="A503" s="2436">
        <v>497</v>
      </c>
      <c r="B503" s="1973" t="s">
        <v>5763</v>
      </c>
      <c r="C503" s="1963" t="s">
        <v>1344</v>
      </c>
      <c r="D503" s="1964">
        <v>64</v>
      </c>
      <c r="E503" s="1965">
        <v>2748</v>
      </c>
      <c r="F503" s="1966" t="s">
        <v>5768</v>
      </c>
      <c r="G503" s="1974">
        <v>1300</v>
      </c>
      <c r="H503" s="1967" t="s">
        <v>4128</v>
      </c>
      <c r="I503" s="1968" t="s">
        <v>25</v>
      </c>
      <c r="J503" s="1696"/>
      <c r="K503" s="1696"/>
      <c r="L503" s="1696"/>
      <c r="M503" s="1696"/>
      <c r="N503" s="1696"/>
      <c r="O503" s="1970"/>
      <c r="R503" s="1968" t="s">
        <v>25</v>
      </c>
      <c r="S503" s="1696"/>
      <c r="T503" s="1696"/>
      <c r="U503" s="1696"/>
      <c r="V503" s="1696"/>
      <c r="W503" s="1696"/>
    </row>
    <row r="504" spans="1:23" ht="18" x14ac:dyDescent="0.35">
      <c r="A504" s="2436">
        <v>498</v>
      </c>
      <c r="B504" s="1973" t="s">
        <v>5763</v>
      </c>
      <c r="C504" s="1963" t="s">
        <v>1344</v>
      </c>
      <c r="D504" s="1964">
        <v>64</v>
      </c>
      <c r="E504" s="1965">
        <v>2749</v>
      </c>
      <c r="F504" s="1966" t="s">
        <v>5768</v>
      </c>
      <c r="G504" s="1974">
        <v>1300</v>
      </c>
      <c r="H504" s="1967" t="s">
        <v>4128</v>
      </c>
      <c r="I504" s="1968" t="s">
        <v>25</v>
      </c>
      <c r="J504" s="1696"/>
      <c r="K504" s="1696"/>
      <c r="L504" s="1696"/>
      <c r="M504" s="1696"/>
      <c r="N504" s="1696"/>
      <c r="O504" s="1970"/>
      <c r="R504" s="1968" t="s">
        <v>25</v>
      </c>
      <c r="S504" s="1696"/>
      <c r="T504" s="1696"/>
      <c r="U504" s="1696"/>
      <c r="V504" s="1696"/>
      <c r="W504" s="1696"/>
    </row>
    <row r="505" spans="1:23" ht="18" x14ac:dyDescent="0.35">
      <c r="A505" s="2436">
        <v>499</v>
      </c>
      <c r="B505" s="1973" t="s">
        <v>5763</v>
      </c>
      <c r="C505" s="1963" t="s">
        <v>1344</v>
      </c>
      <c r="D505" s="1964">
        <v>64</v>
      </c>
      <c r="E505" s="1965">
        <v>2750</v>
      </c>
      <c r="F505" s="1966" t="s">
        <v>5768</v>
      </c>
      <c r="G505" s="1974">
        <v>1300</v>
      </c>
      <c r="H505" s="1967" t="s">
        <v>4128</v>
      </c>
      <c r="I505" s="1968" t="s">
        <v>25</v>
      </c>
      <c r="J505" s="1696"/>
      <c r="K505" s="1696"/>
      <c r="L505" s="1696"/>
      <c r="M505" s="1696"/>
      <c r="N505" s="1696"/>
      <c r="O505" s="1970"/>
      <c r="R505" s="1968" t="s">
        <v>25</v>
      </c>
      <c r="S505" s="1696"/>
      <c r="T505" s="1696"/>
      <c r="U505" s="1696"/>
      <c r="V505" s="1696"/>
      <c r="W505" s="1696"/>
    </row>
    <row r="506" spans="1:23" ht="18" x14ac:dyDescent="0.35">
      <c r="A506" s="2436">
        <v>500</v>
      </c>
      <c r="B506" s="1973" t="s">
        <v>5763</v>
      </c>
      <c r="C506" s="1963" t="s">
        <v>1344</v>
      </c>
      <c r="D506" s="1964">
        <v>64</v>
      </c>
      <c r="E506" s="1965">
        <v>2751</v>
      </c>
      <c r="F506" s="1966" t="s">
        <v>5768</v>
      </c>
      <c r="G506" s="1974">
        <v>1300</v>
      </c>
      <c r="H506" s="1967" t="s">
        <v>4128</v>
      </c>
      <c r="I506" s="1968" t="s">
        <v>25</v>
      </c>
      <c r="J506" s="1696"/>
      <c r="K506" s="1696"/>
      <c r="L506" s="1696"/>
      <c r="M506" s="1696"/>
      <c r="N506" s="1696"/>
      <c r="O506" s="1970"/>
      <c r="R506" s="1968" t="s">
        <v>25</v>
      </c>
      <c r="S506" s="1696"/>
      <c r="T506" s="1696"/>
      <c r="U506" s="1696"/>
      <c r="V506" s="1696"/>
      <c r="W506" s="1696"/>
    </row>
    <row r="507" spans="1:23" ht="18" x14ac:dyDescent="0.35">
      <c r="A507" s="2436">
        <v>501</v>
      </c>
      <c r="B507" s="1973" t="s">
        <v>5763</v>
      </c>
      <c r="C507" s="1963" t="s">
        <v>1344</v>
      </c>
      <c r="D507" s="1964">
        <v>64</v>
      </c>
      <c r="E507" s="1965">
        <v>2752</v>
      </c>
      <c r="F507" s="1966" t="s">
        <v>5768</v>
      </c>
      <c r="G507" s="1974">
        <v>1300</v>
      </c>
      <c r="H507" s="1967" t="s">
        <v>4128</v>
      </c>
      <c r="I507" s="1968" t="s">
        <v>25</v>
      </c>
      <c r="J507" s="1696"/>
      <c r="K507" s="1696"/>
      <c r="L507" s="1696"/>
      <c r="M507" s="1696"/>
      <c r="N507" s="1696"/>
      <c r="O507" s="1970"/>
      <c r="R507" s="1968" t="s">
        <v>25</v>
      </c>
      <c r="S507" s="1696"/>
      <c r="T507" s="1696"/>
      <c r="U507" s="1696"/>
      <c r="V507" s="1696"/>
      <c r="W507" s="1696"/>
    </row>
    <row r="508" spans="1:23" ht="18" x14ac:dyDescent="0.35">
      <c r="A508" s="2436">
        <v>502</v>
      </c>
      <c r="B508" s="1973" t="s">
        <v>5763</v>
      </c>
      <c r="C508" s="1963" t="s">
        <v>1344</v>
      </c>
      <c r="D508" s="1964">
        <v>64</v>
      </c>
      <c r="E508" s="1965">
        <v>2753</v>
      </c>
      <c r="F508" s="1966" t="s">
        <v>5768</v>
      </c>
      <c r="G508" s="1974">
        <v>1300</v>
      </c>
      <c r="H508" s="1967" t="s">
        <v>4128</v>
      </c>
      <c r="I508" s="1968" t="s">
        <v>25</v>
      </c>
      <c r="J508" s="1696"/>
      <c r="K508" s="1696"/>
      <c r="L508" s="1696"/>
      <c r="M508" s="1696"/>
      <c r="N508" s="1696"/>
      <c r="O508" s="1970"/>
      <c r="R508" s="1968" t="s">
        <v>25</v>
      </c>
      <c r="S508" s="1696"/>
      <c r="T508" s="1696"/>
      <c r="U508" s="1696"/>
      <c r="V508" s="1696"/>
      <c r="W508" s="1696"/>
    </row>
    <row r="509" spans="1:23" ht="18" x14ac:dyDescent="0.35">
      <c r="A509" s="2436">
        <v>503</v>
      </c>
      <c r="B509" s="1973" t="s">
        <v>5763</v>
      </c>
      <c r="C509" s="1963" t="s">
        <v>1344</v>
      </c>
      <c r="D509" s="1964">
        <v>64</v>
      </c>
      <c r="E509" s="1965">
        <v>2754</v>
      </c>
      <c r="F509" s="1966" t="s">
        <v>5768</v>
      </c>
      <c r="G509" s="1974">
        <v>1300</v>
      </c>
      <c r="H509" s="1967" t="s">
        <v>4128</v>
      </c>
      <c r="I509" s="1968" t="s">
        <v>25</v>
      </c>
      <c r="J509" s="1696"/>
      <c r="K509" s="1696"/>
      <c r="L509" s="1696"/>
      <c r="M509" s="1696"/>
      <c r="N509" s="1696"/>
      <c r="O509" s="1970"/>
      <c r="R509" s="1968" t="s">
        <v>25</v>
      </c>
      <c r="S509" s="1696"/>
      <c r="T509" s="1696"/>
      <c r="U509" s="1696"/>
      <c r="V509" s="1696"/>
      <c r="W509" s="1696"/>
    </row>
    <row r="510" spans="1:23" ht="18" x14ac:dyDescent="0.35">
      <c r="A510" s="2436">
        <v>504</v>
      </c>
      <c r="B510" s="1973" t="s">
        <v>5763</v>
      </c>
      <c r="C510" s="1963" t="s">
        <v>1344</v>
      </c>
      <c r="D510" s="1964">
        <v>64</v>
      </c>
      <c r="E510" s="1965">
        <v>2755</v>
      </c>
      <c r="F510" s="1966" t="s">
        <v>5768</v>
      </c>
      <c r="G510" s="1974">
        <v>1300</v>
      </c>
      <c r="H510" s="1967" t="s">
        <v>4128</v>
      </c>
      <c r="I510" s="1968" t="s">
        <v>25</v>
      </c>
      <c r="J510" s="1696"/>
      <c r="K510" s="1696"/>
      <c r="L510" s="1696"/>
      <c r="M510" s="1696"/>
      <c r="N510" s="1696"/>
      <c r="O510" s="1970"/>
      <c r="R510" s="1968" t="s">
        <v>25</v>
      </c>
      <c r="S510" s="1696"/>
      <c r="T510" s="1696"/>
      <c r="U510" s="1696"/>
      <c r="V510" s="1696"/>
      <c r="W510" s="1696"/>
    </row>
    <row r="511" spans="1:23" ht="18" x14ac:dyDescent="0.35">
      <c r="A511" s="2436">
        <v>505</v>
      </c>
      <c r="B511" s="1973" t="s">
        <v>5763</v>
      </c>
      <c r="C511" s="1963" t="s">
        <v>1344</v>
      </c>
      <c r="D511" s="1964">
        <v>64</v>
      </c>
      <c r="E511" s="1965">
        <v>2756</v>
      </c>
      <c r="F511" s="1966" t="s">
        <v>5768</v>
      </c>
      <c r="G511" s="1974">
        <v>1300</v>
      </c>
      <c r="H511" s="1967" t="s">
        <v>4128</v>
      </c>
      <c r="I511" s="1968" t="s">
        <v>25</v>
      </c>
      <c r="J511" s="1696"/>
      <c r="K511" s="1696"/>
      <c r="L511" s="1696"/>
      <c r="M511" s="1696"/>
      <c r="N511" s="1696"/>
      <c r="O511" s="1970"/>
      <c r="R511" s="1968" t="s">
        <v>25</v>
      </c>
      <c r="S511" s="1696"/>
      <c r="T511" s="1696"/>
      <c r="U511" s="1696"/>
      <c r="V511" s="1696"/>
      <c r="W511" s="1696"/>
    </row>
    <row r="512" spans="1:23" ht="18" x14ac:dyDescent="0.35">
      <c r="A512" s="2436">
        <v>506</v>
      </c>
      <c r="B512" s="1973" t="s">
        <v>5763</v>
      </c>
      <c r="C512" s="1963" t="s">
        <v>1344</v>
      </c>
      <c r="D512" s="1964">
        <v>64</v>
      </c>
      <c r="E512" s="1965">
        <v>2757</v>
      </c>
      <c r="F512" s="1966" t="s">
        <v>5768</v>
      </c>
      <c r="G512" s="1974">
        <v>1300</v>
      </c>
      <c r="H512" s="1967" t="s">
        <v>4128</v>
      </c>
      <c r="I512" s="1968" t="s">
        <v>25</v>
      </c>
      <c r="J512" s="1696"/>
      <c r="K512" s="1696"/>
      <c r="L512" s="1696"/>
      <c r="M512" s="1696"/>
      <c r="N512" s="1696"/>
      <c r="O512" s="1970"/>
      <c r="R512" s="1968" t="s">
        <v>25</v>
      </c>
      <c r="S512" s="1696"/>
      <c r="T512" s="1696"/>
      <c r="U512" s="1696"/>
      <c r="V512" s="1696"/>
      <c r="W512" s="1696"/>
    </row>
    <row r="513" spans="1:23" ht="18" x14ac:dyDescent="0.35">
      <c r="A513" s="2436">
        <v>507</v>
      </c>
      <c r="B513" s="1973" t="s">
        <v>5763</v>
      </c>
      <c r="C513" s="1963" t="s">
        <v>1344</v>
      </c>
      <c r="D513" s="1964">
        <v>64</v>
      </c>
      <c r="E513" s="1965">
        <v>2758</v>
      </c>
      <c r="F513" s="1966" t="s">
        <v>5768</v>
      </c>
      <c r="G513" s="1974">
        <v>1300</v>
      </c>
      <c r="H513" s="1967" t="s">
        <v>4128</v>
      </c>
      <c r="I513" s="1968" t="s">
        <v>25</v>
      </c>
      <c r="J513" s="1696"/>
      <c r="K513" s="1696"/>
      <c r="L513" s="1696"/>
      <c r="M513" s="1696"/>
      <c r="N513" s="1696"/>
      <c r="O513" s="1970"/>
      <c r="R513" s="1968" t="s">
        <v>25</v>
      </c>
      <c r="S513" s="1696"/>
      <c r="T513" s="1696"/>
      <c r="U513" s="1696"/>
      <c r="V513" s="1696"/>
      <c r="W513" s="1696"/>
    </row>
    <row r="514" spans="1:23" ht="18" x14ac:dyDescent="0.35">
      <c r="A514" s="2436">
        <v>508</v>
      </c>
      <c r="B514" s="1973" t="s">
        <v>5763</v>
      </c>
      <c r="C514" s="1963" t="s">
        <v>1344</v>
      </c>
      <c r="D514" s="1964">
        <v>64</v>
      </c>
      <c r="E514" s="1965">
        <v>2759</v>
      </c>
      <c r="F514" s="1966" t="s">
        <v>5768</v>
      </c>
      <c r="G514" s="1974">
        <v>1300</v>
      </c>
      <c r="H514" s="1967" t="s">
        <v>4128</v>
      </c>
      <c r="I514" s="1968" t="s">
        <v>25</v>
      </c>
      <c r="J514" s="1696"/>
      <c r="K514" s="1696"/>
      <c r="L514" s="1696"/>
      <c r="M514" s="1696"/>
      <c r="N514" s="1696"/>
      <c r="O514" s="1970"/>
      <c r="R514" s="1968" t="s">
        <v>25</v>
      </c>
      <c r="S514" s="1696"/>
      <c r="T514" s="1696"/>
      <c r="U514" s="1696"/>
      <c r="V514" s="1696"/>
      <c r="W514" s="1696"/>
    </row>
    <row r="515" spans="1:23" ht="18" x14ac:dyDescent="0.35">
      <c r="A515" s="2436">
        <v>509</v>
      </c>
      <c r="B515" s="1973" t="s">
        <v>5763</v>
      </c>
      <c r="C515" s="1963" t="s">
        <v>1344</v>
      </c>
      <c r="D515" s="1964">
        <v>64</v>
      </c>
      <c r="E515" s="1965">
        <v>2760</v>
      </c>
      <c r="F515" s="1966" t="s">
        <v>5768</v>
      </c>
      <c r="G515" s="1974">
        <v>1300</v>
      </c>
      <c r="H515" s="1967" t="s">
        <v>4128</v>
      </c>
      <c r="I515" s="1968" t="s">
        <v>25</v>
      </c>
      <c r="J515" s="1696"/>
      <c r="K515" s="1696"/>
      <c r="L515" s="1696"/>
      <c r="M515" s="1696"/>
      <c r="N515" s="1696"/>
      <c r="O515" s="1970"/>
      <c r="R515" s="1968" t="s">
        <v>25</v>
      </c>
      <c r="S515" s="1696"/>
      <c r="T515" s="1696"/>
      <c r="U515" s="1696"/>
      <c r="V515" s="1696"/>
      <c r="W515" s="1696"/>
    </row>
    <row r="516" spans="1:23" ht="18" x14ac:dyDescent="0.35">
      <c r="A516" s="2436">
        <v>510</v>
      </c>
      <c r="B516" s="1973" t="s">
        <v>5763</v>
      </c>
      <c r="C516" s="1963" t="s">
        <v>1344</v>
      </c>
      <c r="D516" s="1964">
        <v>64</v>
      </c>
      <c r="E516" s="1965">
        <v>2761</v>
      </c>
      <c r="F516" s="1966" t="s">
        <v>5768</v>
      </c>
      <c r="G516" s="1974">
        <v>1300</v>
      </c>
      <c r="H516" s="1967" t="s">
        <v>4128</v>
      </c>
      <c r="I516" s="1968" t="s">
        <v>25</v>
      </c>
      <c r="J516" s="1696"/>
      <c r="K516" s="1696"/>
      <c r="L516" s="1696"/>
      <c r="M516" s="1696"/>
      <c r="N516" s="1696"/>
      <c r="O516" s="1970"/>
      <c r="R516" s="1968" t="s">
        <v>25</v>
      </c>
      <c r="S516" s="1696"/>
      <c r="T516" s="1696"/>
      <c r="U516" s="1696"/>
      <c r="V516" s="1696"/>
      <c r="W516" s="1696"/>
    </row>
    <row r="517" spans="1:23" ht="18" x14ac:dyDescent="0.35">
      <c r="A517" s="2436">
        <v>511</v>
      </c>
      <c r="B517" s="1973" t="s">
        <v>5763</v>
      </c>
      <c r="C517" s="1963" t="s">
        <v>1344</v>
      </c>
      <c r="D517" s="1964">
        <v>64</v>
      </c>
      <c r="E517" s="1965">
        <v>2762</v>
      </c>
      <c r="F517" s="1966" t="s">
        <v>5768</v>
      </c>
      <c r="G517" s="1974">
        <v>1300</v>
      </c>
      <c r="H517" s="1967" t="s">
        <v>4128</v>
      </c>
      <c r="I517" s="1968" t="s">
        <v>25</v>
      </c>
      <c r="J517" s="1696"/>
      <c r="K517" s="1696"/>
      <c r="L517" s="1696"/>
      <c r="M517" s="1696"/>
      <c r="N517" s="1696"/>
      <c r="O517" s="1970"/>
      <c r="R517" s="1968" t="s">
        <v>25</v>
      </c>
      <c r="S517" s="1696"/>
      <c r="T517" s="1696"/>
      <c r="U517" s="1696"/>
      <c r="V517" s="1696"/>
      <c r="W517" s="1696"/>
    </row>
    <row r="518" spans="1:23" ht="18" x14ac:dyDescent="0.35">
      <c r="A518" s="2436">
        <v>512</v>
      </c>
      <c r="B518" s="1973" t="s">
        <v>5763</v>
      </c>
      <c r="C518" s="1963" t="s">
        <v>1344</v>
      </c>
      <c r="D518" s="1964">
        <v>64</v>
      </c>
      <c r="E518" s="1965">
        <v>2763</v>
      </c>
      <c r="F518" s="1966" t="s">
        <v>5768</v>
      </c>
      <c r="G518" s="1974">
        <v>1300</v>
      </c>
      <c r="H518" s="1967" t="s">
        <v>4128</v>
      </c>
      <c r="I518" s="1968" t="s">
        <v>25</v>
      </c>
      <c r="J518" s="1696"/>
      <c r="K518" s="1696"/>
      <c r="L518" s="1696"/>
      <c r="M518" s="1696"/>
      <c r="N518" s="1696"/>
      <c r="O518" s="1970"/>
      <c r="R518" s="1968" t="s">
        <v>25</v>
      </c>
      <c r="S518" s="1696"/>
      <c r="T518" s="1696"/>
      <c r="U518" s="1696"/>
      <c r="V518" s="1696"/>
      <c r="W518" s="1696"/>
    </row>
    <row r="519" spans="1:23" ht="18" x14ac:dyDescent="0.35">
      <c r="A519" s="2436">
        <v>513</v>
      </c>
      <c r="B519" s="1973" t="s">
        <v>5763</v>
      </c>
      <c r="C519" s="1963" t="s">
        <v>1344</v>
      </c>
      <c r="D519" s="1964">
        <v>64</v>
      </c>
      <c r="E519" s="1965">
        <v>2764</v>
      </c>
      <c r="F519" s="1966" t="s">
        <v>5768</v>
      </c>
      <c r="G519" s="1974">
        <v>1300</v>
      </c>
      <c r="H519" s="1967" t="s">
        <v>4128</v>
      </c>
      <c r="I519" s="1968" t="s">
        <v>25</v>
      </c>
      <c r="J519" s="1696"/>
      <c r="K519" s="1696"/>
      <c r="L519" s="1696"/>
      <c r="M519" s="1696"/>
      <c r="N519" s="1696"/>
      <c r="O519" s="1970"/>
      <c r="R519" s="1968" t="s">
        <v>25</v>
      </c>
      <c r="S519" s="1696"/>
      <c r="T519" s="1696"/>
      <c r="U519" s="1696"/>
      <c r="V519" s="1696"/>
      <c r="W519" s="1696"/>
    </row>
    <row r="520" spans="1:23" ht="18" x14ac:dyDescent="0.35">
      <c r="A520" s="2436">
        <v>514</v>
      </c>
      <c r="B520" s="1973" t="s">
        <v>5763</v>
      </c>
      <c r="C520" s="1963" t="s">
        <v>1344</v>
      </c>
      <c r="D520" s="1964">
        <v>64</v>
      </c>
      <c r="E520" s="1965">
        <v>2765</v>
      </c>
      <c r="F520" s="1966" t="s">
        <v>5768</v>
      </c>
      <c r="G520" s="1974">
        <v>1300</v>
      </c>
      <c r="H520" s="1967" t="s">
        <v>4128</v>
      </c>
      <c r="I520" s="1968" t="s">
        <v>25</v>
      </c>
      <c r="J520" s="1696"/>
      <c r="K520" s="1696"/>
      <c r="L520" s="1696"/>
      <c r="M520" s="1696"/>
      <c r="N520" s="1696"/>
      <c r="O520" s="1970"/>
      <c r="R520" s="1968" t="s">
        <v>25</v>
      </c>
      <c r="S520" s="1696"/>
      <c r="T520" s="1696"/>
      <c r="U520" s="1696"/>
      <c r="V520" s="1696"/>
      <c r="W520" s="1696"/>
    </row>
    <row r="521" spans="1:23" ht="18" x14ac:dyDescent="0.35">
      <c r="A521" s="2436">
        <v>515</v>
      </c>
      <c r="B521" s="1973" t="s">
        <v>5763</v>
      </c>
      <c r="C521" s="1963" t="s">
        <v>1344</v>
      </c>
      <c r="D521" s="1964">
        <v>64</v>
      </c>
      <c r="E521" s="1965">
        <v>2766</v>
      </c>
      <c r="F521" s="1966" t="s">
        <v>5768</v>
      </c>
      <c r="G521" s="1974">
        <v>1300</v>
      </c>
      <c r="H521" s="1967" t="s">
        <v>4128</v>
      </c>
      <c r="I521" s="1968" t="s">
        <v>25</v>
      </c>
      <c r="J521" s="1696"/>
      <c r="K521" s="1696"/>
      <c r="L521" s="1696"/>
      <c r="M521" s="1696"/>
      <c r="N521" s="1696"/>
      <c r="O521" s="1970"/>
      <c r="R521" s="1968" t="s">
        <v>25</v>
      </c>
      <c r="S521" s="1696"/>
      <c r="T521" s="1696"/>
      <c r="U521" s="1696"/>
      <c r="V521" s="1696"/>
      <c r="W521" s="1696"/>
    </row>
    <row r="522" spans="1:23" ht="18" x14ac:dyDescent="0.35">
      <c r="A522" s="2436">
        <v>516</v>
      </c>
      <c r="B522" s="1973" t="s">
        <v>5763</v>
      </c>
      <c r="C522" s="1963" t="s">
        <v>1344</v>
      </c>
      <c r="D522" s="1964">
        <v>64</v>
      </c>
      <c r="E522" s="1965">
        <v>2767</v>
      </c>
      <c r="F522" s="1966" t="s">
        <v>5768</v>
      </c>
      <c r="G522" s="1974">
        <v>1300</v>
      </c>
      <c r="H522" s="1967" t="s">
        <v>4128</v>
      </c>
      <c r="I522" s="1968" t="s">
        <v>25</v>
      </c>
      <c r="J522" s="1696"/>
      <c r="K522" s="1696"/>
      <c r="L522" s="1696"/>
      <c r="M522" s="1696"/>
      <c r="N522" s="1696"/>
      <c r="O522" s="1970"/>
      <c r="R522" s="1968" t="s">
        <v>25</v>
      </c>
      <c r="S522" s="1696"/>
      <c r="T522" s="1696"/>
      <c r="U522" s="1696"/>
      <c r="V522" s="1696"/>
      <c r="W522" s="1696"/>
    </row>
    <row r="523" spans="1:23" ht="18" x14ac:dyDescent="0.35">
      <c r="A523" s="2436">
        <v>517</v>
      </c>
      <c r="B523" s="1973" t="s">
        <v>5763</v>
      </c>
      <c r="C523" s="1963" t="s">
        <v>1344</v>
      </c>
      <c r="D523" s="1964">
        <v>64</v>
      </c>
      <c r="E523" s="1965">
        <v>2768</v>
      </c>
      <c r="F523" s="1966" t="s">
        <v>5768</v>
      </c>
      <c r="G523" s="1974">
        <v>1300</v>
      </c>
      <c r="H523" s="1967" t="s">
        <v>4128</v>
      </c>
      <c r="I523" s="1968" t="s">
        <v>25</v>
      </c>
      <c r="J523" s="1696"/>
      <c r="K523" s="1696"/>
      <c r="L523" s="1696"/>
      <c r="M523" s="1696"/>
      <c r="N523" s="1696"/>
      <c r="O523" s="1970"/>
      <c r="R523" s="1968" t="s">
        <v>25</v>
      </c>
      <c r="S523" s="1696"/>
      <c r="T523" s="1696"/>
      <c r="U523" s="1696"/>
      <c r="V523" s="1696"/>
      <c r="W523" s="1696"/>
    </row>
    <row r="524" spans="1:23" ht="18" x14ac:dyDescent="0.35">
      <c r="A524" s="2436">
        <v>518</v>
      </c>
      <c r="B524" s="1973" t="s">
        <v>5763</v>
      </c>
      <c r="C524" s="1963" t="s">
        <v>1344</v>
      </c>
      <c r="D524" s="1964">
        <v>64</v>
      </c>
      <c r="E524" s="1965">
        <v>2769</v>
      </c>
      <c r="F524" s="1966" t="s">
        <v>5768</v>
      </c>
      <c r="G524" s="1974">
        <v>1300</v>
      </c>
      <c r="H524" s="1967" t="s">
        <v>4128</v>
      </c>
      <c r="I524" s="1968" t="s">
        <v>25</v>
      </c>
      <c r="J524" s="1696"/>
      <c r="K524" s="1696"/>
      <c r="L524" s="1696"/>
      <c r="M524" s="1696"/>
      <c r="N524" s="1696"/>
      <c r="O524" s="1970"/>
      <c r="R524" s="1968" t="s">
        <v>25</v>
      </c>
      <c r="S524" s="1696"/>
      <c r="T524" s="1696"/>
      <c r="U524" s="1696"/>
      <c r="V524" s="1696"/>
      <c r="W524" s="1696"/>
    </row>
    <row r="525" spans="1:23" ht="18" x14ac:dyDescent="0.35">
      <c r="A525" s="2436">
        <v>519</v>
      </c>
      <c r="B525" s="1973" t="s">
        <v>5763</v>
      </c>
      <c r="C525" s="1963" t="s">
        <v>1344</v>
      </c>
      <c r="D525" s="1964">
        <v>64</v>
      </c>
      <c r="E525" s="1965">
        <v>2770</v>
      </c>
      <c r="F525" s="1966" t="s">
        <v>5768</v>
      </c>
      <c r="G525" s="1974">
        <v>1300</v>
      </c>
      <c r="H525" s="1967" t="s">
        <v>4128</v>
      </c>
      <c r="I525" s="1968" t="s">
        <v>25</v>
      </c>
      <c r="J525" s="1696"/>
      <c r="K525" s="1696"/>
      <c r="L525" s="1696"/>
      <c r="M525" s="1696"/>
      <c r="N525" s="1696"/>
      <c r="O525" s="1970"/>
      <c r="R525" s="1968" t="s">
        <v>25</v>
      </c>
      <c r="S525" s="1696"/>
      <c r="T525" s="1696"/>
      <c r="U525" s="1696"/>
      <c r="V525" s="1696"/>
      <c r="W525" s="1696"/>
    </row>
    <row r="526" spans="1:23" ht="18" x14ac:dyDescent="0.35">
      <c r="A526" s="2436">
        <v>520</v>
      </c>
      <c r="B526" s="1973" t="s">
        <v>5763</v>
      </c>
      <c r="C526" s="1963" t="s">
        <v>1344</v>
      </c>
      <c r="D526" s="1964">
        <v>64</v>
      </c>
      <c r="E526" s="1965">
        <v>2771</v>
      </c>
      <c r="F526" s="1966" t="s">
        <v>5768</v>
      </c>
      <c r="G526" s="1974">
        <v>1300</v>
      </c>
      <c r="H526" s="1967" t="s">
        <v>4128</v>
      </c>
      <c r="I526" s="1968" t="s">
        <v>25</v>
      </c>
      <c r="J526" s="1696"/>
      <c r="K526" s="1696"/>
      <c r="L526" s="1696"/>
      <c r="M526" s="1696"/>
      <c r="N526" s="1696"/>
      <c r="O526" s="1970"/>
      <c r="R526" s="1968" t="s">
        <v>25</v>
      </c>
      <c r="S526" s="1696"/>
      <c r="T526" s="1696"/>
      <c r="U526" s="1696"/>
      <c r="V526" s="1696"/>
      <c r="W526" s="1696"/>
    </row>
    <row r="527" spans="1:23" ht="18" x14ac:dyDescent="0.35">
      <c r="A527" s="2436">
        <v>521</v>
      </c>
      <c r="B527" s="1973" t="s">
        <v>5763</v>
      </c>
      <c r="C527" s="1963" t="s">
        <v>1344</v>
      </c>
      <c r="D527" s="1964">
        <v>64</v>
      </c>
      <c r="E527" s="1965">
        <v>2772</v>
      </c>
      <c r="F527" s="1966" t="s">
        <v>5768</v>
      </c>
      <c r="G527" s="1974">
        <v>1300</v>
      </c>
      <c r="H527" s="1967" t="s">
        <v>4128</v>
      </c>
      <c r="I527" s="1968" t="s">
        <v>25</v>
      </c>
      <c r="J527" s="1696"/>
      <c r="K527" s="1696"/>
      <c r="L527" s="1696"/>
      <c r="M527" s="1696"/>
      <c r="N527" s="1696"/>
      <c r="O527" s="1970"/>
      <c r="R527" s="1968" t="s">
        <v>25</v>
      </c>
      <c r="S527" s="1696"/>
      <c r="T527" s="1696"/>
      <c r="U527" s="1696"/>
      <c r="V527" s="1696"/>
      <c r="W527" s="1696"/>
    </row>
    <row r="528" spans="1:23" ht="18" x14ac:dyDescent="0.35">
      <c r="A528" s="2436">
        <v>522</v>
      </c>
      <c r="B528" s="1973" t="s">
        <v>5763</v>
      </c>
      <c r="C528" s="1963" t="s">
        <v>1344</v>
      </c>
      <c r="D528" s="1964">
        <v>64</v>
      </c>
      <c r="E528" s="1965">
        <v>2773</v>
      </c>
      <c r="F528" s="1966" t="s">
        <v>5768</v>
      </c>
      <c r="G528" s="1974">
        <v>1300</v>
      </c>
      <c r="H528" s="1967" t="s">
        <v>4128</v>
      </c>
      <c r="I528" s="1968" t="s">
        <v>25</v>
      </c>
      <c r="J528" s="1696"/>
      <c r="K528" s="1696"/>
      <c r="L528" s="1696"/>
      <c r="M528" s="1696"/>
      <c r="N528" s="1696"/>
      <c r="O528" s="1970"/>
      <c r="R528" s="1968" t="s">
        <v>25</v>
      </c>
      <c r="S528" s="1696"/>
      <c r="T528" s="1696"/>
      <c r="U528" s="1696"/>
      <c r="V528" s="1696"/>
      <c r="W528" s="1696"/>
    </row>
    <row r="529" spans="1:23" ht="18" x14ac:dyDescent="0.35">
      <c r="A529" s="2436">
        <v>523</v>
      </c>
      <c r="B529" s="1973" t="s">
        <v>5763</v>
      </c>
      <c r="C529" s="1963" t="s">
        <v>1344</v>
      </c>
      <c r="D529" s="1964">
        <v>64</v>
      </c>
      <c r="E529" s="1965">
        <v>2774</v>
      </c>
      <c r="F529" s="1966" t="s">
        <v>5768</v>
      </c>
      <c r="G529" s="1974">
        <v>1300</v>
      </c>
      <c r="H529" s="1967" t="s">
        <v>4128</v>
      </c>
      <c r="I529" s="1968" t="s">
        <v>25</v>
      </c>
      <c r="J529" s="1696"/>
      <c r="K529" s="1696"/>
      <c r="L529" s="1696"/>
      <c r="M529" s="1696"/>
      <c r="N529" s="1696"/>
      <c r="O529" s="1970"/>
      <c r="R529" s="1968" t="s">
        <v>25</v>
      </c>
      <c r="S529" s="1696"/>
      <c r="T529" s="1696"/>
      <c r="U529" s="1696"/>
      <c r="V529" s="1696"/>
      <c r="W529" s="1696"/>
    </row>
    <row r="530" spans="1:23" ht="18" x14ac:dyDescent="0.35">
      <c r="A530" s="2436">
        <v>524</v>
      </c>
      <c r="B530" s="1973" t="s">
        <v>5763</v>
      </c>
      <c r="C530" s="1963" t="s">
        <v>1344</v>
      </c>
      <c r="D530" s="1964">
        <v>64</v>
      </c>
      <c r="E530" s="1965">
        <v>2775</v>
      </c>
      <c r="F530" s="1966" t="s">
        <v>5768</v>
      </c>
      <c r="G530" s="1974">
        <v>1300</v>
      </c>
      <c r="H530" s="1967" t="s">
        <v>4128</v>
      </c>
      <c r="I530" s="1968" t="s">
        <v>25</v>
      </c>
      <c r="J530" s="1696"/>
      <c r="K530" s="1696"/>
      <c r="L530" s="1696"/>
      <c r="M530" s="1696"/>
      <c r="N530" s="1696"/>
      <c r="O530" s="1970"/>
      <c r="R530" s="1968" t="s">
        <v>25</v>
      </c>
      <c r="S530" s="1696"/>
      <c r="T530" s="1696"/>
      <c r="U530" s="1696"/>
      <c r="V530" s="1696"/>
      <c r="W530" s="1696"/>
    </row>
    <row r="531" spans="1:23" ht="18" x14ac:dyDescent="0.35">
      <c r="A531" s="2436">
        <v>525</v>
      </c>
      <c r="B531" s="1973" t="s">
        <v>5763</v>
      </c>
      <c r="C531" s="1963" t="s">
        <v>1344</v>
      </c>
      <c r="D531" s="1964">
        <v>64</v>
      </c>
      <c r="E531" s="1965">
        <v>2776</v>
      </c>
      <c r="F531" s="1966" t="s">
        <v>5768</v>
      </c>
      <c r="G531" s="1974">
        <v>1300</v>
      </c>
      <c r="H531" s="1967" t="s">
        <v>4128</v>
      </c>
      <c r="I531" s="1968" t="s">
        <v>25</v>
      </c>
      <c r="J531" s="1696"/>
      <c r="K531" s="1696"/>
      <c r="L531" s="1696"/>
      <c r="M531" s="1696"/>
      <c r="N531" s="1696"/>
      <c r="O531" s="1970"/>
      <c r="R531" s="1968" t="s">
        <v>25</v>
      </c>
      <c r="S531" s="1696"/>
      <c r="T531" s="1696"/>
      <c r="U531" s="1696"/>
      <c r="V531" s="1696"/>
      <c r="W531" s="1696"/>
    </row>
    <row r="532" spans="1:23" ht="18" x14ac:dyDescent="0.3">
      <c r="A532" s="2436">
        <v>526</v>
      </c>
      <c r="B532" s="1962" t="s">
        <v>5765</v>
      </c>
      <c r="C532" s="1963" t="s">
        <v>1344</v>
      </c>
      <c r="D532" s="1964">
        <v>64</v>
      </c>
      <c r="E532" s="1965">
        <v>2777</v>
      </c>
      <c r="F532" s="1966" t="s">
        <v>5768</v>
      </c>
      <c r="G532" s="1974">
        <v>1600</v>
      </c>
      <c r="H532" s="1967" t="s">
        <v>4128</v>
      </c>
      <c r="I532" s="1968" t="s">
        <v>25</v>
      </c>
      <c r="J532" s="1696"/>
      <c r="K532" s="1696"/>
      <c r="L532" s="1696"/>
      <c r="M532" s="1696"/>
      <c r="N532" s="1696"/>
      <c r="O532" s="1970"/>
      <c r="R532" s="1968" t="s">
        <v>25</v>
      </c>
      <c r="S532" s="1696"/>
      <c r="T532" s="1696"/>
      <c r="U532" s="1696"/>
      <c r="V532" s="1696"/>
      <c r="W532" s="1696"/>
    </row>
    <row r="533" spans="1:23" ht="18" x14ac:dyDescent="0.3">
      <c r="A533" s="2436">
        <v>527</v>
      </c>
      <c r="B533" s="1962" t="s">
        <v>5765</v>
      </c>
      <c r="C533" s="1963" t="s">
        <v>1344</v>
      </c>
      <c r="D533" s="1964">
        <v>64</v>
      </c>
      <c r="E533" s="1965">
        <v>2778</v>
      </c>
      <c r="F533" s="1966" t="s">
        <v>5768</v>
      </c>
      <c r="G533" s="1974">
        <v>1600</v>
      </c>
      <c r="H533" s="1967" t="s">
        <v>4128</v>
      </c>
      <c r="I533" s="1968" t="s">
        <v>25</v>
      </c>
      <c r="J533" s="1696"/>
      <c r="K533" s="1696"/>
      <c r="L533" s="1696"/>
      <c r="M533" s="1696"/>
      <c r="N533" s="1696"/>
      <c r="O533" s="1970"/>
      <c r="R533" s="1968" t="s">
        <v>25</v>
      </c>
      <c r="S533" s="1696"/>
      <c r="T533" s="1696"/>
      <c r="U533" s="1696"/>
      <c r="V533" s="1696"/>
      <c r="W533" s="1696"/>
    </row>
    <row r="534" spans="1:23" ht="18" x14ac:dyDescent="0.3">
      <c r="A534" s="2436">
        <v>528</v>
      </c>
      <c r="B534" s="1962" t="s">
        <v>5765</v>
      </c>
      <c r="C534" s="1963" t="s">
        <v>1344</v>
      </c>
      <c r="D534" s="1964">
        <v>64</v>
      </c>
      <c r="E534" s="1965">
        <v>2779</v>
      </c>
      <c r="F534" s="1966" t="s">
        <v>5768</v>
      </c>
      <c r="G534" s="1974">
        <v>1600</v>
      </c>
      <c r="H534" s="1967" t="s">
        <v>4128</v>
      </c>
      <c r="I534" s="1968" t="s">
        <v>25</v>
      </c>
      <c r="J534" s="1696"/>
      <c r="K534" s="1696"/>
      <c r="L534" s="1696"/>
      <c r="M534" s="1696"/>
      <c r="N534" s="1696"/>
      <c r="O534" s="1970"/>
      <c r="R534" s="1968" t="s">
        <v>25</v>
      </c>
      <c r="S534" s="1696"/>
      <c r="T534" s="1696"/>
      <c r="U534" s="1696"/>
      <c r="V534" s="1696"/>
      <c r="W534" s="1696"/>
    </row>
    <row r="535" spans="1:23" ht="18" x14ac:dyDescent="0.3">
      <c r="A535" s="2436">
        <v>529</v>
      </c>
      <c r="B535" s="1962" t="s">
        <v>5765</v>
      </c>
      <c r="C535" s="1963" t="s">
        <v>1344</v>
      </c>
      <c r="D535" s="1964">
        <v>64</v>
      </c>
      <c r="E535" s="1965">
        <v>2780</v>
      </c>
      <c r="F535" s="1966" t="s">
        <v>5768</v>
      </c>
      <c r="G535" s="1974">
        <v>1600</v>
      </c>
      <c r="H535" s="1967" t="s">
        <v>4128</v>
      </c>
      <c r="I535" s="1968" t="s">
        <v>25</v>
      </c>
      <c r="J535" s="1696"/>
      <c r="K535" s="1696"/>
      <c r="L535" s="1696"/>
      <c r="M535" s="1696"/>
      <c r="N535" s="1696"/>
      <c r="O535" s="1970"/>
      <c r="R535" s="1968" t="s">
        <v>25</v>
      </c>
      <c r="S535" s="1696"/>
      <c r="T535" s="1696"/>
      <c r="U535" s="1696"/>
      <c r="V535" s="1696"/>
      <c r="W535" s="1696"/>
    </row>
    <row r="536" spans="1:23" ht="18" x14ac:dyDescent="0.3">
      <c r="A536" s="2436">
        <v>530</v>
      </c>
      <c r="B536" s="1962" t="s">
        <v>5765</v>
      </c>
      <c r="C536" s="1963" t="s">
        <v>1344</v>
      </c>
      <c r="D536" s="1964">
        <v>64</v>
      </c>
      <c r="E536" s="1965">
        <v>2781</v>
      </c>
      <c r="F536" s="1966" t="s">
        <v>5768</v>
      </c>
      <c r="G536" s="1974">
        <v>1600</v>
      </c>
      <c r="H536" s="1967" t="s">
        <v>4128</v>
      </c>
      <c r="I536" s="1968" t="s">
        <v>25</v>
      </c>
      <c r="J536" s="1696"/>
      <c r="K536" s="1696"/>
      <c r="L536" s="1696"/>
      <c r="M536" s="1696"/>
      <c r="N536" s="1696"/>
      <c r="O536" s="1970"/>
      <c r="R536" s="1968" t="s">
        <v>25</v>
      </c>
      <c r="S536" s="1696"/>
      <c r="T536" s="1696"/>
      <c r="U536" s="1696"/>
      <c r="V536" s="1696"/>
      <c r="W536" s="1696"/>
    </row>
    <row r="537" spans="1:23" ht="18" x14ac:dyDescent="0.3">
      <c r="A537" s="2436">
        <v>531</v>
      </c>
      <c r="B537" s="1962" t="s">
        <v>5765</v>
      </c>
      <c r="C537" s="1963" t="s">
        <v>1344</v>
      </c>
      <c r="D537" s="1964">
        <v>64</v>
      </c>
      <c r="E537" s="1965">
        <v>2782</v>
      </c>
      <c r="F537" s="1966" t="s">
        <v>5768</v>
      </c>
      <c r="G537" s="1974">
        <v>1600</v>
      </c>
      <c r="H537" s="1967" t="s">
        <v>4128</v>
      </c>
      <c r="I537" s="1968" t="s">
        <v>25</v>
      </c>
      <c r="J537" s="1696"/>
      <c r="K537" s="1696"/>
      <c r="L537" s="1696"/>
      <c r="M537" s="1696"/>
      <c r="N537" s="1696"/>
      <c r="O537" s="1970"/>
      <c r="R537" s="1968" t="s">
        <v>25</v>
      </c>
      <c r="S537" s="1696"/>
      <c r="T537" s="1696"/>
      <c r="U537" s="1696"/>
      <c r="V537" s="1696"/>
      <c r="W537" s="1696"/>
    </row>
    <row r="538" spans="1:23" ht="18" x14ac:dyDescent="0.3">
      <c r="A538" s="2436">
        <v>532</v>
      </c>
      <c r="B538" s="1962" t="s">
        <v>5765</v>
      </c>
      <c r="C538" s="1963" t="s">
        <v>1344</v>
      </c>
      <c r="D538" s="1964">
        <v>64</v>
      </c>
      <c r="E538" s="1965">
        <v>2783</v>
      </c>
      <c r="F538" s="1966" t="s">
        <v>5768</v>
      </c>
      <c r="G538" s="1974">
        <v>1600</v>
      </c>
      <c r="H538" s="1967" t="s">
        <v>4128</v>
      </c>
      <c r="I538" s="1968" t="s">
        <v>25</v>
      </c>
      <c r="J538" s="1696"/>
      <c r="K538" s="1696"/>
      <c r="L538" s="1696"/>
      <c r="M538" s="1696"/>
      <c r="N538" s="1696"/>
      <c r="O538" s="1970"/>
      <c r="R538" s="1968" t="s">
        <v>25</v>
      </c>
      <c r="S538" s="1696"/>
      <c r="T538" s="1696"/>
      <c r="U538" s="1696"/>
      <c r="V538" s="1696"/>
      <c r="W538" s="1696"/>
    </row>
    <row r="539" spans="1:23" ht="18" x14ac:dyDescent="0.3">
      <c r="A539" s="2436">
        <v>533</v>
      </c>
      <c r="B539" s="1962" t="s">
        <v>5765</v>
      </c>
      <c r="C539" s="1963" t="s">
        <v>1344</v>
      </c>
      <c r="D539" s="1964">
        <v>64</v>
      </c>
      <c r="E539" s="1965">
        <v>2784</v>
      </c>
      <c r="F539" s="1966" t="s">
        <v>5768</v>
      </c>
      <c r="G539" s="1974">
        <v>1600</v>
      </c>
      <c r="H539" s="1967" t="s">
        <v>4128</v>
      </c>
      <c r="I539" s="1968" t="s">
        <v>25</v>
      </c>
      <c r="J539" s="1696"/>
      <c r="K539" s="1696"/>
      <c r="L539" s="1696"/>
      <c r="M539" s="1696"/>
      <c r="N539" s="1696"/>
      <c r="O539" s="1970"/>
      <c r="R539" s="1968" t="s">
        <v>25</v>
      </c>
      <c r="S539" s="1696"/>
      <c r="T539" s="1696"/>
      <c r="U539" s="1696"/>
      <c r="V539" s="1696"/>
      <c r="W539" s="1696"/>
    </row>
    <row r="540" spans="1:23" ht="18" x14ac:dyDescent="0.3">
      <c r="A540" s="2436">
        <v>534</v>
      </c>
      <c r="B540" s="1962" t="s">
        <v>5765</v>
      </c>
      <c r="C540" s="1963" t="s">
        <v>1344</v>
      </c>
      <c r="D540" s="1964">
        <v>64</v>
      </c>
      <c r="E540" s="1965">
        <v>2785</v>
      </c>
      <c r="F540" s="1966" t="s">
        <v>5768</v>
      </c>
      <c r="G540" s="1974">
        <v>1600</v>
      </c>
      <c r="H540" s="1967" t="s">
        <v>4128</v>
      </c>
      <c r="I540" s="1968" t="s">
        <v>25</v>
      </c>
      <c r="J540" s="1696"/>
      <c r="K540" s="1696"/>
      <c r="L540" s="1696"/>
      <c r="M540" s="1696"/>
      <c r="N540" s="1696"/>
      <c r="O540" s="1970"/>
      <c r="R540" s="1968" t="s">
        <v>25</v>
      </c>
      <c r="S540" s="1696"/>
      <c r="T540" s="1696"/>
      <c r="U540" s="1696"/>
      <c r="V540" s="1696"/>
      <c r="W540" s="1696"/>
    </row>
    <row r="541" spans="1:23" ht="18" x14ac:dyDescent="0.3">
      <c r="A541" s="2436">
        <v>535</v>
      </c>
      <c r="B541" s="1962" t="s">
        <v>5765</v>
      </c>
      <c r="C541" s="1963" t="s">
        <v>1344</v>
      </c>
      <c r="D541" s="1964">
        <v>64</v>
      </c>
      <c r="E541" s="1965">
        <v>2786</v>
      </c>
      <c r="F541" s="1966" t="s">
        <v>5768</v>
      </c>
      <c r="G541" s="1974">
        <v>1600</v>
      </c>
      <c r="H541" s="1967" t="s">
        <v>4128</v>
      </c>
      <c r="I541" s="1968" t="s">
        <v>25</v>
      </c>
      <c r="J541" s="1696"/>
      <c r="K541" s="1696"/>
      <c r="L541" s="1696"/>
      <c r="M541" s="1696"/>
      <c r="N541" s="1696"/>
      <c r="O541" s="1970"/>
      <c r="R541" s="1968" t="s">
        <v>25</v>
      </c>
      <c r="S541" s="1696"/>
      <c r="T541" s="1696"/>
      <c r="U541" s="1696"/>
      <c r="V541" s="1696"/>
      <c r="W541" s="1696"/>
    </row>
    <row r="542" spans="1:23" ht="18" x14ac:dyDescent="0.3">
      <c r="A542" s="2436">
        <v>536</v>
      </c>
      <c r="B542" s="1962" t="s">
        <v>5765</v>
      </c>
      <c r="C542" s="1963" t="s">
        <v>1344</v>
      </c>
      <c r="D542" s="1964">
        <v>64</v>
      </c>
      <c r="E542" s="1965">
        <v>2787</v>
      </c>
      <c r="F542" s="1966" t="s">
        <v>5768</v>
      </c>
      <c r="G542" s="1974">
        <v>1600</v>
      </c>
      <c r="H542" s="1967" t="s">
        <v>4128</v>
      </c>
      <c r="I542" s="1968" t="s">
        <v>25</v>
      </c>
      <c r="J542" s="1696"/>
      <c r="K542" s="1696"/>
      <c r="L542" s="1696"/>
      <c r="M542" s="1696"/>
      <c r="N542" s="1696"/>
      <c r="O542" s="1970"/>
      <c r="R542" s="1968" t="s">
        <v>25</v>
      </c>
      <c r="S542" s="1696"/>
      <c r="T542" s="1696"/>
      <c r="U542" s="1696"/>
      <c r="V542" s="1696"/>
      <c r="W542" s="1696"/>
    </row>
    <row r="543" spans="1:23" ht="18" x14ac:dyDescent="0.3">
      <c r="A543" s="2436">
        <v>537</v>
      </c>
      <c r="B543" s="1962" t="s">
        <v>5765</v>
      </c>
      <c r="C543" s="1963" t="s">
        <v>1344</v>
      </c>
      <c r="D543" s="1964">
        <v>64</v>
      </c>
      <c r="E543" s="1965">
        <v>2788</v>
      </c>
      <c r="F543" s="1966" t="s">
        <v>5768</v>
      </c>
      <c r="G543" s="1974">
        <v>1600</v>
      </c>
      <c r="H543" s="1967" t="s">
        <v>4128</v>
      </c>
      <c r="I543" s="1968" t="s">
        <v>25</v>
      </c>
      <c r="J543" s="1696"/>
      <c r="K543" s="1696"/>
      <c r="L543" s="1696"/>
      <c r="M543" s="1696"/>
      <c r="N543" s="1696"/>
      <c r="O543" s="1970"/>
      <c r="R543" s="1968" t="s">
        <v>25</v>
      </c>
      <c r="S543" s="1696"/>
      <c r="T543" s="1696"/>
      <c r="U543" s="1696"/>
      <c r="V543" s="1696"/>
      <c r="W543" s="1696"/>
    </row>
    <row r="544" spans="1:23" ht="18" x14ac:dyDescent="0.3">
      <c r="A544" s="2436">
        <v>538</v>
      </c>
      <c r="B544" s="1962" t="s">
        <v>5765</v>
      </c>
      <c r="C544" s="1963" t="s">
        <v>1344</v>
      </c>
      <c r="D544" s="1964">
        <v>64</v>
      </c>
      <c r="E544" s="1965">
        <v>2789</v>
      </c>
      <c r="F544" s="1966" t="s">
        <v>5768</v>
      </c>
      <c r="G544" s="1974">
        <v>1600</v>
      </c>
      <c r="H544" s="1967" t="s">
        <v>4128</v>
      </c>
      <c r="I544" s="1968" t="s">
        <v>25</v>
      </c>
      <c r="J544" s="1696"/>
      <c r="K544" s="1696"/>
      <c r="L544" s="1696"/>
      <c r="M544" s="1696"/>
      <c r="N544" s="1696"/>
      <c r="O544" s="1970"/>
      <c r="R544" s="1968" t="s">
        <v>25</v>
      </c>
      <c r="S544" s="1696"/>
      <c r="T544" s="1696"/>
      <c r="U544" s="1696"/>
      <c r="V544" s="1696"/>
      <c r="W544" s="1696"/>
    </row>
    <row r="545" spans="1:23" ht="18" x14ac:dyDescent="0.3">
      <c r="A545" s="2436">
        <v>539</v>
      </c>
      <c r="B545" s="1962" t="s">
        <v>5765</v>
      </c>
      <c r="C545" s="1963" t="s">
        <v>1344</v>
      </c>
      <c r="D545" s="1964">
        <v>64</v>
      </c>
      <c r="E545" s="1965">
        <v>2790</v>
      </c>
      <c r="F545" s="1966" t="s">
        <v>5768</v>
      </c>
      <c r="G545" s="1974">
        <v>1600</v>
      </c>
      <c r="H545" s="1967" t="s">
        <v>4128</v>
      </c>
      <c r="I545" s="1968" t="s">
        <v>25</v>
      </c>
      <c r="J545" s="1696"/>
      <c r="K545" s="1696"/>
      <c r="L545" s="1696"/>
      <c r="M545" s="1696"/>
      <c r="N545" s="1696"/>
      <c r="O545" s="1970"/>
      <c r="R545" s="1968" t="s">
        <v>25</v>
      </c>
      <c r="S545" s="1696"/>
      <c r="T545" s="1696"/>
      <c r="U545" s="1696"/>
      <c r="V545" s="1696"/>
      <c r="W545" s="1696"/>
    </row>
    <row r="546" spans="1:23" ht="18" x14ac:dyDescent="0.3">
      <c r="A546" s="2436">
        <v>540</v>
      </c>
      <c r="B546" s="1962" t="s">
        <v>5765</v>
      </c>
      <c r="C546" s="1963" t="s">
        <v>1344</v>
      </c>
      <c r="D546" s="1964">
        <v>64</v>
      </c>
      <c r="E546" s="1965">
        <v>2791</v>
      </c>
      <c r="F546" s="1966" t="s">
        <v>5768</v>
      </c>
      <c r="G546" s="1974">
        <v>1600</v>
      </c>
      <c r="H546" s="1967" t="s">
        <v>4128</v>
      </c>
      <c r="I546" s="1968" t="s">
        <v>25</v>
      </c>
      <c r="J546" s="1696"/>
      <c r="K546" s="1696"/>
      <c r="L546" s="1696"/>
      <c r="M546" s="1696"/>
      <c r="N546" s="1696"/>
      <c r="O546" s="1970"/>
      <c r="R546" s="1968" t="s">
        <v>25</v>
      </c>
      <c r="S546" s="1696"/>
      <c r="T546" s="1696"/>
      <c r="U546" s="1696"/>
      <c r="V546" s="1696"/>
      <c r="W546" s="1696"/>
    </row>
    <row r="547" spans="1:23" ht="18" x14ac:dyDescent="0.3">
      <c r="A547" s="2436">
        <v>541</v>
      </c>
      <c r="B547" s="1962" t="s">
        <v>5765</v>
      </c>
      <c r="C547" s="1963" t="s">
        <v>1344</v>
      </c>
      <c r="D547" s="1964">
        <v>64</v>
      </c>
      <c r="E547" s="1965">
        <v>2792</v>
      </c>
      <c r="F547" s="1966" t="s">
        <v>5768</v>
      </c>
      <c r="G547" s="1974">
        <v>1600</v>
      </c>
      <c r="H547" s="1967" t="s">
        <v>4128</v>
      </c>
      <c r="I547" s="1968" t="s">
        <v>25</v>
      </c>
      <c r="J547" s="1696"/>
      <c r="K547" s="1696"/>
      <c r="L547" s="1696"/>
      <c r="M547" s="1696"/>
      <c r="N547" s="1696"/>
      <c r="O547" s="1970"/>
      <c r="R547" s="1968" t="s">
        <v>25</v>
      </c>
      <c r="S547" s="1696"/>
      <c r="T547" s="1696"/>
      <c r="U547" s="1696"/>
      <c r="V547" s="1696"/>
      <c r="W547" s="1696"/>
    </row>
    <row r="548" spans="1:23" ht="18" x14ac:dyDescent="0.3">
      <c r="A548" s="2436">
        <v>542</v>
      </c>
      <c r="B548" s="1962" t="s">
        <v>5765</v>
      </c>
      <c r="C548" s="1963" t="s">
        <v>1344</v>
      </c>
      <c r="D548" s="1964">
        <v>64</v>
      </c>
      <c r="E548" s="1965">
        <v>2793</v>
      </c>
      <c r="F548" s="1966" t="s">
        <v>5768</v>
      </c>
      <c r="G548" s="1974">
        <v>1600</v>
      </c>
      <c r="H548" s="1967" t="s">
        <v>4128</v>
      </c>
      <c r="I548" s="1968" t="s">
        <v>25</v>
      </c>
      <c r="J548" s="1696"/>
      <c r="K548" s="1696"/>
      <c r="L548" s="1696"/>
      <c r="M548" s="1696"/>
      <c r="N548" s="1696"/>
      <c r="O548" s="1970"/>
      <c r="R548" s="1968" t="s">
        <v>25</v>
      </c>
      <c r="S548" s="1696"/>
      <c r="T548" s="1696"/>
      <c r="U548" s="1696"/>
      <c r="V548" s="1696"/>
      <c r="W548" s="1696"/>
    </row>
    <row r="549" spans="1:23" ht="18" x14ac:dyDescent="0.3">
      <c r="A549" s="2436">
        <v>543</v>
      </c>
      <c r="B549" s="1962" t="s">
        <v>5765</v>
      </c>
      <c r="C549" s="1963" t="s">
        <v>1344</v>
      </c>
      <c r="D549" s="1964">
        <v>64</v>
      </c>
      <c r="E549" s="1965">
        <v>2794</v>
      </c>
      <c r="F549" s="1966" t="s">
        <v>5768</v>
      </c>
      <c r="G549" s="1974">
        <v>1600</v>
      </c>
      <c r="H549" s="1967" t="s">
        <v>4128</v>
      </c>
      <c r="I549" s="1968" t="s">
        <v>25</v>
      </c>
      <c r="J549" s="1696"/>
      <c r="K549" s="1696"/>
      <c r="L549" s="1696"/>
      <c r="M549" s="1696"/>
      <c r="N549" s="1696"/>
      <c r="O549" s="1970"/>
      <c r="R549" s="1968" t="s">
        <v>25</v>
      </c>
      <c r="S549" s="1696"/>
      <c r="T549" s="1696"/>
      <c r="U549" s="1696"/>
      <c r="V549" s="1696"/>
      <c r="W549" s="1696"/>
    </row>
    <row r="550" spans="1:23" ht="18" x14ac:dyDescent="0.3">
      <c r="A550" s="2436">
        <v>544</v>
      </c>
      <c r="B550" s="1962" t="s">
        <v>5765</v>
      </c>
      <c r="C550" s="1963" t="s">
        <v>1344</v>
      </c>
      <c r="D550" s="1964">
        <v>64</v>
      </c>
      <c r="E550" s="1965">
        <v>2795</v>
      </c>
      <c r="F550" s="1966" t="s">
        <v>5768</v>
      </c>
      <c r="G550" s="1974">
        <v>1600</v>
      </c>
      <c r="H550" s="1967" t="s">
        <v>4128</v>
      </c>
      <c r="I550" s="1968" t="s">
        <v>25</v>
      </c>
      <c r="J550" s="1696"/>
      <c r="K550" s="1696"/>
      <c r="L550" s="1696"/>
      <c r="M550" s="1696"/>
      <c r="N550" s="1696"/>
      <c r="O550" s="1970"/>
      <c r="R550" s="1968" t="s">
        <v>25</v>
      </c>
      <c r="S550" s="1696"/>
      <c r="T550" s="1696"/>
      <c r="U550" s="1696"/>
      <c r="V550" s="1696"/>
      <c r="W550" s="1696"/>
    </row>
    <row r="551" spans="1:23" ht="18" x14ac:dyDescent="0.3">
      <c r="A551" s="2436">
        <v>545</v>
      </c>
      <c r="B551" s="1962" t="s">
        <v>5765</v>
      </c>
      <c r="C551" s="1963" t="s">
        <v>1344</v>
      </c>
      <c r="D551" s="1964">
        <v>64</v>
      </c>
      <c r="E551" s="1965">
        <v>2796</v>
      </c>
      <c r="F551" s="1966" t="s">
        <v>5768</v>
      </c>
      <c r="G551" s="1974">
        <v>1600</v>
      </c>
      <c r="H551" s="1967" t="s">
        <v>4128</v>
      </c>
      <c r="I551" s="1968" t="s">
        <v>25</v>
      </c>
      <c r="J551" s="1696"/>
      <c r="K551" s="1696"/>
      <c r="L551" s="1696"/>
      <c r="M551" s="1696"/>
      <c r="N551" s="1696"/>
      <c r="O551" s="1970"/>
      <c r="R551" s="1968" t="s">
        <v>25</v>
      </c>
      <c r="S551" s="1696"/>
      <c r="T551" s="1696"/>
      <c r="U551" s="1696"/>
      <c r="V551" s="1696"/>
      <c r="W551" s="1696"/>
    </row>
    <row r="552" spans="1:23" ht="18" x14ac:dyDescent="0.3">
      <c r="A552" s="2436">
        <v>546</v>
      </c>
      <c r="B552" s="1962" t="s">
        <v>5765</v>
      </c>
      <c r="C552" s="1963" t="s">
        <v>1344</v>
      </c>
      <c r="D552" s="1964">
        <v>64</v>
      </c>
      <c r="E552" s="1965">
        <v>2797</v>
      </c>
      <c r="F552" s="1966" t="s">
        <v>5768</v>
      </c>
      <c r="G552" s="1974">
        <v>1600</v>
      </c>
      <c r="H552" s="1967" t="s">
        <v>4128</v>
      </c>
      <c r="I552" s="1968" t="s">
        <v>25</v>
      </c>
      <c r="J552" s="1696"/>
      <c r="K552" s="1696"/>
      <c r="L552" s="1696"/>
      <c r="M552" s="1696"/>
      <c r="N552" s="1696"/>
      <c r="O552" s="1970"/>
      <c r="R552" s="1968" t="s">
        <v>25</v>
      </c>
      <c r="S552" s="1696"/>
      <c r="T552" s="1696"/>
      <c r="U552" s="1696"/>
      <c r="V552" s="1696"/>
      <c r="W552" s="1696"/>
    </row>
    <row r="553" spans="1:23" ht="18" x14ac:dyDescent="0.3">
      <c r="A553" s="2436">
        <v>547</v>
      </c>
      <c r="B553" s="1962" t="s">
        <v>5765</v>
      </c>
      <c r="C553" s="1963" t="s">
        <v>1344</v>
      </c>
      <c r="D553" s="1964">
        <v>64</v>
      </c>
      <c r="E553" s="1965">
        <v>2798</v>
      </c>
      <c r="F553" s="1966" t="s">
        <v>5768</v>
      </c>
      <c r="G553" s="1974">
        <v>1600</v>
      </c>
      <c r="H553" s="1967" t="s">
        <v>4128</v>
      </c>
      <c r="I553" s="1968" t="s">
        <v>25</v>
      </c>
      <c r="J553" s="1696"/>
      <c r="K553" s="1696"/>
      <c r="L553" s="1696"/>
      <c r="M553" s="1696"/>
      <c r="N553" s="1696"/>
      <c r="O553" s="1970"/>
      <c r="R553" s="1968" t="s">
        <v>25</v>
      </c>
      <c r="S553" s="1696"/>
      <c r="T553" s="1696"/>
      <c r="U553" s="1696"/>
      <c r="V553" s="1696"/>
      <c r="W553" s="1696"/>
    </row>
    <row r="554" spans="1:23" ht="18" x14ac:dyDescent="0.3">
      <c r="A554" s="2436">
        <v>548</v>
      </c>
      <c r="B554" s="1962" t="s">
        <v>5765</v>
      </c>
      <c r="C554" s="1963" t="s">
        <v>1344</v>
      </c>
      <c r="D554" s="1964">
        <v>64</v>
      </c>
      <c r="E554" s="1965">
        <v>2799</v>
      </c>
      <c r="F554" s="1966" t="s">
        <v>5768</v>
      </c>
      <c r="G554" s="1974">
        <v>1600</v>
      </c>
      <c r="H554" s="1967" t="s">
        <v>4128</v>
      </c>
      <c r="I554" s="1968" t="s">
        <v>25</v>
      </c>
      <c r="J554" s="1696"/>
      <c r="K554" s="1696"/>
      <c r="L554" s="1696"/>
      <c r="M554" s="1696"/>
      <c r="N554" s="1696"/>
      <c r="O554" s="1970"/>
      <c r="R554" s="1968" t="s">
        <v>25</v>
      </c>
      <c r="S554" s="1696"/>
      <c r="T554" s="1696"/>
      <c r="U554" s="1696"/>
      <c r="V554" s="1696"/>
      <c r="W554" s="1696"/>
    </row>
    <row r="555" spans="1:23" ht="18" x14ac:dyDescent="0.3">
      <c r="A555" s="2436">
        <v>549</v>
      </c>
      <c r="B555" s="1962" t="s">
        <v>5765</v>
      </c>
      <c r="C555" s="1963" t="s">
        <v>1344</v>
      </c>
      <c r="D555" s="1964">
        <v>64</v>
      </c>
      <c r="E555" s="1965">
        <v>2800</v>
      </c>
      <c r="F555" s="1966" t="s">
        <v>5768</v>
      </c>
      <c r="G555" s="1974">
        <v>1600</v>
      </c>
      <c r="H555" s="1967" t="s">
        <v>4128</v>
      </c>
      <c r="I555" s="1968" t="s">
        <v>25</v>
      </c>
      <c r="J555" s="1696"/>
      <c r="K555" s="1696"/>
      <c r="L555" s="1696"/>
      <c r="M555" s="1696"/>
      <c r="N555" s="1696"/>
      <c r="O555" s="1970"/>
      <c r="R555" s="1968" t="s">
        <v>25</v>
      </c>
      <c r="S555" s="1696"/>
      <c r="T555" s="1696"/>
      <c r="U555" s="1696"/>
      <c r="V555" s="1696"/>
      <c r="W555" s="1696"/>
    </row>
    <row r="556" spans="1:23" ht="18" x14ac:dyDescent="0.3">
      <c r="A556" s="2436">
        <v>550</v>
      </c>
      <c r="B556" s="1962" t="s">
        <v>5765</v>
      </c>
      <c r="C556" s="1963" t="s">
        <v>1344</v>
      </c>
      <c r="D556" s="1964">
        <v>64</v>
      </c>
      <c r="E556" s="1965">
        <v>2801</v>
      </c>
      <c r="F556" s="1966" t="s">
        <v>5768</v>
      </c>
      <c r="G556" s="1974">
        <v>1600</v>
      </c>
      <c r="H556" s="1967" t="s">
        <v>4128</v>
      </c>
      <c r="I556" s="1968" t="s">
        <v>25</v>
      </c>
      <c r="J556" s="1696"/>
      <c r="K556" s="1696"/>
      <c r="L556" s="1696"/>
      <c r="M556" s="1696"/>
      <c r="N556" s="1696"/>
      <c r="O556" s="1970"/>
      <c r="R556" s="1968" t="s">
        <v>25</v>
      </c>
      <c r="S556" s="1696"/>
      <c r="T556" s="1696"/>
      <c r="U556" s="1696"/>
      <c r="V556" s="1696"/>
      <c r="W556" s="1696"/>
    </row>
    <row r="557" spans="1:23" ht="18" x14ac:dyDescent="0.3">
      <c r="A557" s="2436">
        <v>551</v>
      </c>
      <c r="B557" s="1962" t="s">
        <v>5765</v>
      </c>
      <c r="C557" s="1963" t="s">
        <v>1344</v>
      </c>
      <c r="D557" s="1964">
        <v>64</v>
      </c>
      <c r="E557" s="1965">
        <v>2802</v>
      </c>
      <c r="F557" s="1966" t="s">
        <v>5768</v>
      </c>
      <c r="G557" s="1974">
        <v>1600</v>
      </c>
      <c r="H557" s="1967" t="s">
        <v>4128</v>
      </c>
      <c r="I557" s="1968" t="s">
        <v>25</v>
      </c>
      <c r="J557" s="1696"/>
      <c r="K557" s="1696"/>
      <c r="L557" s="1696"/>
      <c r="M557" s="1696"/>
      <c r="N557" s="1696"/>
      <c r="O557" s="1970"/>
      <c r="R557" s="1968" t="s">
        <v>25</v>
      </c>
      <c r="S557" s="1696"/>
      <c r="T557" s="1696"/>
      <c r="U557" s="1696"/>
      <c r="V557" s="1696"/>
      <c r="W557" s="1696"/>
    </row>
    <row r="558" spans="1:23" ht="18" x14ac:dyDescent="0.3">
      <c r="A558" s="2436">
        <v>552</v>
      </c>
      <c r="B558" s="1962" t="s">
        <v>5765</v>
      </c>
      <c r="C558" s="1963" t="s">
        <v>1344</v>
      </c>
      <c r="D558" s="1964">
        <v>64</v>
      </c>
      <c r="E558" s="1965">
        <v>2803</v>
      </c>
      <c r="F558" s="1966" t="s">
        <v>5768</v>
      </c>
      <c r="G558" s="1974">
        <v>1600</v>
      </c>
      <c r="H558" s="1967" t="s">
        <v>4128</v>
      </c>
      <c r="I558" s="1968" t="s">
        <v>25</v>
      </c>
      <c r="J558" s="1696"/>
      <c r="K558" s="1696"/>
      <c r="L558" s="1696"/>
      <c r="M558" s="1696"/>
      <c r="N558" s="1696"/>
      <c r="O558" s="1970"/>
      <c r="R558" s="1968" t="s">
        <v>25</v>
      </c>
      <c r="S558" s="1696"/>
      <c r="T558" s="1696"/>
      <c r="U558" s="1696"/>
      <c r="V558" s="1696"/>
      <c r="W558" s="1696"/>
    </row>
    <row r="559" spans="1:23" ht="18" x14ac:dyDescent="0.3">
      <c r="A559" s="2436">
        <v>553</v>
      </c>
      <c r="B559" s="1962" t="s">
        <v>5765</v>
      </c>
      <c r="C559" s="1963" t="s">
        <v>1344</v>
      </c>
      <c r="D559" s="1964">
        <v>64</v>
      </c>
      <c r="E559" s="1965">
        <v>2804</v>
      </c>
      <c r="F559" s="1966" t="s">
        <v>5768</v>
      </c>
      <c r="G559" s="1974">
        <v>1600</v>
      </c>
      <c r="H559" s="1967" t="s">
        <v>4128</v>
      </c>
      <c r="I559" s="1968" t="s">
        <v>25</v>
      </c>
      <c r="J559" s="1696"/>
      <c r="K559" s="1696"/>
      <c r="L559" s="1696"/>
      <c r="M559" s="1696"/>
      <c r="N559" s="1696"/>
      <c r="O559" s="1970"/>
      <c r="R559" s="1968" t="s">
        <v>25</v>
      </c>
      <c r="S559" s="1696"/>
      <c r="T559" s="1696"/>
      <c r="U559" s="1696"/>
      <c r="V559" s="1696"/>
      <c r="W559" s="1696"/>
    </row>
    <row r="560" spans="1:23" ht="18" x14ac:dyDescent="0.3">
      <c r="A560" s="2436">
        <v>554</v>
      </c>
      <c r="B560" s="1962" t="s">
        <v>5765</v>
      </c>
      <c r="C560" s="1963" t="s">
        <v>1344</v>
      </c>
      <c r="D560" s="1964">
        <v>64</v>
      </c>
      <c r="E560" s="1965">
        <v>2805</v>
      </c>
      <c r="F560" s="1966" t="s">
        <v>5768</v>
      </c>
      <c r="G560" s="1974">
        <v>1600</v>
      </c>
      <c r="H560" s="1967" t="s">
        <v>4128</v>
      </c>
      <c r="I560" s="1968" t="s">
        <v>25</v>
      </c>
      <c r="J560" s="1696"/>
      <c r="K560" s="1696"/>
      <c r="L560" s="1696"/>
      <c r="M560" s="1696"/>
      <c r="N560" s="1696"/>
      <c r="O560" s="1970"/>
      <c r="R560" s="1968" t="s">
        <v>25</v>
      </c>
      <c r="S560" s="1696"/>
      <c r="T560" s="1696"/>
      <c r="U560" s="1696"/>
      <c r="V560" s="1696"/>
      <c r="W560" s="1696"/>
    </row>
    <row r="561" spans="1:23" ht="18" x14ac:dyDescent="0.3">
      <c r="A561" s="2436">
        <v>555</v>
      </c>
      <c r="B561" s="1962" t="s">
        <v>5765</v>
      </c>
      <c r="C561" s="1963" t="s">
        <v>1344</v>
      </c>
      <c r="D561" s="1964">
        <v>64</v>
      </c>
      <c r="E561" s="1965">
        <v>2806</v>
      </c>
      <c r="F561" s="1966" t="s">
        <v>5768</v>
      </c>
      <c r="G561" s="1974">
        <v>1600</v>
      </c>
      <c r="H561" s="1967" t="s">
        <v>4128</v>
      </c>
      <c r="I561" s="1968" t="s">
        <v>25</v>
      </c>
      <c r="J561" s="1696"/>
      <c r="K561" s="1696"/>
      <c r="L561" s="1696"/>
      <c r="M561" s="1696"/>
      <c r="N561" s="1696"/>
      <c r="O561" s="1970"/>
      <c r="R561" s="1968" t="s">
        <v>25</v>
      </c>
      <c r="S561" s="1696"/>
      <c r="T561" s="1696"/>
      <c r="U561" s="1696"/>
      <c r="V561" s="1696"/>
      <c r="W561" s="1696"/>
    </row>
    <row r="562" spans="1:23" ht="18" x14ac:dyDescent="0.3">
      <c r="A562" s="2436">
        <v>556</v>
      </c>
      <c r="B562" s="1962" t="s">
        <v>5765</v>
      </c>
      <c r="C562" s="1963" t="s">
        <v>1344</v>
      </c>
      <c r="D562" s="1964">
        <v>64</v>
      </c>
      <c r="E562" s="1965">
        <v>2807</v>
      </c>
      <c r="F562" s="1966" t="s">
        <v>5768</v>
      </c>
      <c r="G562" s="1974">
        <v>1600</v>
      </c>
      <c r="H562" s="1967" t="s">
        <v>4128</v>
      </c>
      <c r="I562" s="1968" t="s">
        <v>25</v>
      </c>
      <c r="J562" s="1696"/>
      <c r="K562" s="1696"/>
      <c r="L562" s="1696"/>
      <c r="M562" s="1696"/>
      <c r="N562" s="1696"/>
      <c r="O562" s="1970"/>
      <c r="R562" s="1968" t="s">
        <v>25</v>
      </c>
      <c r="S562" s="1696"/>
      <c r="T562" s="1696"/>
      <c r="U562" s="1696"/>
      <c r="V562" s="1696"/>
      <c r="W562" s="1696"/>
    </row>
    <row r="563" spans="1:23" ht="18" x14ac:dyDescent="0.3">
      <c r="A563" s="2436">
        <v>557</v>
      </c>
      <c r="B563" s="1962" t="s">
        <v>5765</v>
      </c>
      <c r="C563" s="1963" t="s">
        <v>1344</v>
      </c>
      <c r="D563" s="1964">
        <v>64</v>
      </c>
      <c r="E563" s="1965">
        <v>2808</v>
      </c>
      <c r="F563" s="1966" t="s">
        <v>5768</v>
      </c>
      <c r="G563" s="1974">
        <v>1600</v>
      </c>
      <c r="H563" s="1967" t="s">
        <v>4128</v>
      </c>
      <c r="I563" s="1968" t="s">
        <v>25</v>
      </c>
      <c r="J563" s="1696"/>
      <c r="K563" s="1696"/>
      <c r="L563" s="1696"/>
      <c r="M563" s="1696"/>
      <c r="N563" s="1696"/>
      <c r="O563" s="1970"/>
      <c r="R563" s="1968" t="s">
        <v>25</v>
      </c>
      <c r="S563" s="1696"/>
      <c r="T563" s="1696"/>
      <c r="U563" s="1696"/>
      <c r="V563" s="1696"/>
      <c r="W563" s="1696"/>
    </row>
    <row r="564" spans="1:23" ht="18" x14ac:dyDescent="0.3">
      <c r="A564" s="2436">
        <v>558</v>
      </c>
      <c r="B564" s="1962" t="s">
        <v>5765</v>
      </c>
      <c r="C564" s="1963" t="s">
        <v>1344</v>
      </c>
      <c r="D564" s="1964">
        <v>64</v>
      </c>
      <c r="E564" s="1965">
        <v>2809</v>
      </c>
      <c r="F564" s="1966" t="s">
        <v>5768</v>
      </c>
      <c r="G564" s="1974">
        <v>1600</v>
      </c>
      <c r="H564" s="1967" t="s">
        <v>4128</v>
      </c>
      <c r="I564" s="1968" t="s">
        <v>25</v>
      </c>
      <c r="J564" s="1696"/>
      <c r="K564" s="1696"/>
      <c r="L564" s="1696"/>
      <c r="M564" s="1696"/>
      <c r="N564" s="1696"/>
      <c r="O564" s="1970"/>
      <c r="R564" s="1968" t="s">
        <v>25</v>
      </c>
      <c r="S564" s="1696"/>
      <c r="T564" s="1696"/>
      <c r="U564" s="1696"/>
      <c r="V564" s="1696"/>
      <c r="W564" s="1696"/>
    </row>
    <row r="565" spans="1:23" ht="18" x14ac:dyDescent="0.3">
      <c r="A565" s="2436">
        <v>559</v>
      </c>
      <c r="B565" s="1962" t="s">
        <v>5765</v>
      </c>
      <c r="C565" s="1963" t="s">
        <v>1344</v>
      </c>
      <c r="D565" s="1964">
        <v>64</v>
      </c>
      <c r="E565" s="1965">
        <v>2810</v>
      </c>
      <c r="F565" s="1966" t="s">
        <v>5768</v>
      </c>
      <c r="G565" s="1974">
        <v>1600</v>
      </c>
      <c r="H565" s="1967" t="s">
        <v>4128</v>
      </c>
      <c r="I565" s="1968" t="s">
        <v>25</v>
      </c>
      <c r="J565" s="1696"/>
      <c r="K565" s="1696"/>
      <c r="L565" s="1696"/>
      <c r="M565" s="1696"/>
      <c r="N565" s="1696"/>
      <c r="O565" s="1970"/>
      <c r="R565" s="1968" t="s">
        <v>25</v>
      </c>
      <c r="S565" s="1696"/>
      <c r="T565" s="1696"/>
      <c r="U565" s="1696"/>
      <c r="V565" s="1696"/>
      <c r="W565" s="1696"/>
    </row>
    <row r="566" spans="1:23" ht="18" x14ac:dyDescent="0.3">
      <c r="A566" s="2436">
        <v>560</v>
      </c>
      <c r="B566" s="1962" t="s">
        <v>5765</v>
      </c>
      <c r="C566" s="1963" t="s">
        <v>1344</v>
      </c>
      <c r="D566" s="1964">
        <v>64</v>
      </c>
      <c r="E566" s="1965">
        <v>2811</v>
      </c>
      <c r="F566" s="1966" t="s">
        <v>5768</v>
      </c>
      <c r="G566" s="1974">
        <v>1600</v>
      </c>
      <c r="H566" s="1967" t="s">
        <v>4128</v>
      </c>
      <c r="I566" s="1968" t="s">
        <v>25</v>
      </c>
      <c r="J566" s="1696"/>
      <c r="K566" s="1696"/>
      <c r="L566" s="1696"/>
      <c r="M566" s="1696"/>
      <c r="N566" s="1696"/>
      <c r="O566" s="1970"/>
      <c r="R566" s="1968" t="s">
        <v>25</v>
      </c>
      <c r="S566" s="1696"/>
      <c r="T566" s="1696"/>
      <c r="U566" s="1696"/>
      <c r="V566" s="1696"/>
      <c r="W566" s="1696"/>
    </row>
    <row r="567" spans="1:23" ht="18" x14ac:dyDescent="0.3">
      <c r="A567" s="2436">
        <v>561</v>
      </c>
      <c r="B567" s="1962" t="s">
        <v>5765</v>
      </c>
      <c r="C567" s="1963" t="s">
        <v>1344</v>
      </c>
      <c r="D567" s="1964">
        <v>64</v>
      </c>
      <c r="E567" s="1965">
        <v>2812</v>
      </c>
      <c r="F567" s="1966" t="s">
        <v>5768</v>
      </c>
      <c r="G567" s="1974">
        <v>1600</v>
      </c>
      <c r="H567" s="1967" t="s">
        <v>4128</v>
      </c>
      <c r="I567" s="1968" t="s">
        <v>25</v>
      </c>
      <c r="J567" s="1696"/>
      <c r="K567" s="1696"/>
      <c r="L567" s="1696"/>
      <c r="M567" s="1696"/>
      <c r="N567" s="1696"/>
      <c r="O567" s="1970"/>
      <c r="R567" s="1968" t="s">
        <v>25</v>
      </c>
      <c r="S567" s="1696"/>
      <c r="T567" s="1696"/>
      <c r="U567" s="1696"/>
      <c r="V567" s="1696"/>
      <c r="W567" s="1696"/>
    </row>
    <row r="568" spans="1:23" ht="18" x14ac:dyDescent="0.3">
      <c r="A568" s="2436">
        <v>562</v>
      </c>
      <c r="B568" s="1962" t="s">
        <v>5765</v>
      </c>
      <c r="C568" s="1963" t="s">
        <v>1344</v>
      </c>
      <c r="D568" s="1964">
        <v>64</v>
      </c>
      <c r="E568" s="1965">
        <v>2813</v>
      </c>
      <c r="F568" s="1966" t="s">
        <v>5768</v>
      </c>
      <c r="G568" s="1974">
        <v>1600</v>
      </c>
      <c r="H568" s="1967" t="s">
        <v>4128</v>
      </c>
      <c r="I568" s="1968" t="s">
        <v>25</v>
      </c>
      <c r="J568" s="1696"/>
      <c r="K568" s="1696"/>
      <c r="L568" s="1696"/>
      <c r="M568" s="1696"/>
      <c r="N568" s="1696"/>
      <c r="O568" s="1970"/>
      <c r="R568" s="1968" t="s">
        <v>25</v>
      </c>
      <c r="S568" s="1696"/>
      <c r="T568" s="1696"/>
      <c r="U568" s="1696"/>
      <c r="V568" s="1696"/>
      <c r="W568" s="1696"/>
    </row>
    <row r="569" spans="1:23" ht="18" x14ac:dyDescent="0.3">
      <c r="A569" s="2436">
        <v>563</v>
      </c>
      <c r="B569" s="1962" t="s">
        <v>5765</v>
      </c>
      <c r="C569" s="1963" t="s">
        <v>1344</v>
      </c>
      <c r="D569" s="1964">
        <v>64</v>
      </c>
      <c r="E569" s="1965">
        <v>2814</v>
      </c>
      <c r="F569" s="1966" t="s">
        <v>5768</v>
      </c>
      <c r="G569" s="1974">
        <v>1600</v>
      </c>
      <c r="H569" s="1967" t="s">
        <v>4128</v>
      </c>
      <c r="I569" s="1968" t="s">
        <v>25</v>
      </c>
      <c r="J569" s="1696"/>
      <c r="K569" s="1696"/>
      <c r="L569" s="1696"/>
      <c r="M569" s="1696"/>
      <c r="N569" s="1696"/>
      <c r="O569" s="1970"/>
      <c r="R569" s="1968" t="s">
        <v>25</v>
      </c>
      <c r="S569" s="1696"/>
      <c r="T569" s="1696"/>
      <c r="U569" s="1696"/>
      <c r="V569" s="1696"/>
      <c r="W569" s="1696"/>
    </row>
    <row r="570" spans="1:23" ht="18" x14ac:dyDescent="0.3">
      <c r="A570" s="2436">
        <v>564</v>
      </c>
      <c r="B570" s="1962" t="s">
        <v>5765</v>
      </c>
      <c r="C570" s="1963" t="s">
        <v>1344</v>
      </c>
      <c r="D570" s="1964">
        <v>64</v>
      </c>
      <c r="E570" s="1965">
        <v>2815</v>
      </c>
      <c r="F570" s="1966" t="s">
        <v>5768</v>
      </c>
      <c r="G570" s="1974">
        <v>1600</v>
      </c>
      <c r="H570" s="1967" t="s">
        <v>4128</v>
      </c>
      <c r="I570" s="1968" t="s">
        <v>25</v>
      </c>
      <c r="J570" s="1696"/>
      <c r="K570" s="1696"/>
      <c r="L570" s="1696"/>
      <c r="M570" s="1696"/>
      <c r="N570" s="1696"/>
      <c r="O570" s="1970"/>
      <c r="R570" s="1968" t="s">
        <v>25</v>
      </c>
      <c r="S570" s="1696"/>
      <c r="T570" s="1696"/>
      <c r="U570" s="1696"/>
      <c r="V570" s="1696"/>
      <c r="W570" s="1696"/>
    </row>
    <row r="571" spans="1:23" ht="18" x14ac:dyDescent="0.3">
      <c r="A571" s="2436">
        <v>565</v>
      </c>
      <c r="B571" s="1962" t="s">
        <v>5765</v>
      </c>
      <c r="C571" s="1963" t="s">
        <v>1344</v>
      </c>
      <c r="D571" s="1964">
        <v>64</v>
      </c>
      <c r="E571" s="1965">
        <v>2816</v>
      </c>
      <c r="F571" s="1966" t="s">
        <v>5768</v>
      </c>
      <c r="G571" s="1974">
        <v>1600</v>
      </c>
      <c r="H571" s="1967" t="s">
        <v>4128</v>
      </c>
      <c r="I571" s="1968" t="s">
        <v>25</v>
      </c>
      <c r="J571" s="1696"/>
      <c r="K571" s="1696"/>
      <c r="L571" s="1696"/>
      <c r="M571" s="1696"/>
      <c r="N571" s="1696"/>
      <c r="O571" s="1970"/>
      <c r="R571" s="1968" t="s">
        <v>25</v>
      </c>
      <c r="S571" s="1696"/>
      <c r="T571" s="1696"/>
      <c r="U571" s="1696"/>
      <c r="V571" s="1696"/>
      <c r="W571" s="1696"/>
    </row>
    <row r="572" spans="1:23" ht="18" x14ac:dyDescent="0.3">
      <c r="A572" s="2436">
        <v>566</v>
      </c>
      <c r="B572" s="1962" t="s">
        <v>5765</v>
      </c>
      <c r="C572" s="1963" t="s">
        <v>1344</v>
      </c>
      <c r="D572" s="1964">
        <v>64</v>
      </c>
      <c r="E572" s="1965">
        <v>2817</v>
      </c>
      <c r="F572" s="1966" t="s">
        <v>5768</v>
      </c>
      <c r="G572" s="1974">
        <v>1600</v>
      </c>
      <c r="H572" s="1967" t="s">
        <v>4128</v>
      </c>
      <c r="I572" s="1968" t="s">
        <v>25</v>
      </c>
      <c r="J572" s="1696"/>
      <c r="K572" s="1696"/>
      <c r="L572" s="1696"/>
      <c r="M572" s="1696"/>
      <c r="N572" s="1696"/>
      <c r="O572" s="1970"/>
      <c r="R572" s="1968" t="s">
        <v>25</v>
      </c>
      <c r="S572" s="1696"/>
      <c r="T572" s="1696"/>
      <c r="U572" s="1696"/>
      <c r="V572" s="1696"/>
      <c r="W572" s="1696"/>
    </row>
    <row r="573" spans="1:23" ht="18" x14ac:dyDescent="0.3">
      <c r="A573" s="2436">
        <v>567</v>
      </c>
      <c r="B573" s="1962" t="s">
        <v>5765</v>
      </c>
      <c r="C573" s="1963" t="s">
        <v>1344</v>
      </c>
      <c r="D573" s="1964">
        <v>64</v>
      </c>
      <c r="E573" s="1965">
        <v>2818</v>
      </c>
      <c r="F573" s="1966" t="s">
        <v>5768</v>
      </c>
      <c r="G573" s="1974">
        <v>1600</v>
      </c>
      <c r="H573" s="1967" t="s">
        <v>4128</v>
      </c>
      <c r="I573" s="1968" t="s">
        <v>25</v>
      </c>
      <c r="J573" s="1696"/>
      <c r="K573" s="1696"/>
      <c r="L573" s="1696"/>
      <c r="M573" s="1696"/>
      <c r="N573" s="1696"/>
      <c r="O573" s="1970"/>
      <c r="R573" s="1968" t="s">
        <v>25</v>
      </c>
      <c r="S573" s="1696"/>
      <c r="T573" s="1696"/>
      <c r="U573" s="1696"/>
      <c r="V573" s="1696"/>
      <c r="W573" s="1696"/>
    </row>
    <row r="574" spans="1:23" ht="18" x14ac:dyDescent="0.3">
      <c r="A574" s="2436">
        <v>568</v>
      </c>
      <c r="B574" s="1962" t="s">
        <v>5765</v>
      </c>
      <c r="C574" s="1963" t="s">
        <v>1344</v>
      </c>
      <c r="D574" s="1964">
        <v>64</v>
      </c>
      <c r="E574" s="1965">
        <v>2819</v>
      </c>
      <c r="F574" s="1966" t="s">
        <v>5768</v>
      </c>
      <c r="G574" s="1974">
        <v>1600</v>
      </c>
      <c r="H574" s="1967" t="s">
        <v>4128</v>
      </c>
      <c r="I574" s="1968" t="s">
        <v>25</v>
      </c>
      <c r="J574" s="1696"/>
      <c r="K574" s="1696"/>
      <c r="L574" s="1696"/>
      <c r="M574" s="1696"/>
      <c r="N574" s="1696"/>
      <c r="O574" s="1970"/>
      <c r="R574" s="1968" t="s">
        <v>25</v>
      </c>
      <c r="S574" s="1696"/>
      <c r="T574" s="1696"/>
      <c r="U574" s="1696"/>
      <c r="V574" s="1696"/>
      <c r="W574" s="1696"/>
    </row>
    <row r="575" spans="1:23" ht="18" x14ac:dyDescent="0.3">
      <c r="A575" s="2436">
        <v>569</v>
      </c>
      <c r="B575" s="1962" t="s">
        <v>5765</v>
      </c>
      <c r="C575" s="1963" t="s">
        <v>1344</v>
      </c>
      <c r="D575" s="1964">
        <v>64</v>
      </c>
      <c r="E575" s="1965">
        <v>2820</v>
      </c>
      <c r="F575" s="1966" t="s">
        <v>5768</v>
      </c>
      <c r="G575" s="1974">
        <v>1600</v>
      </c>
      <c r="H575" s="1967" t="s">
        <v>4128</v>
      </c>
      <c r="I575" s="1968" t="s">
        <v>25</v>
      </c>
      <c r="J575" s="1696"/>
      <c r="K575" s="1696"/>
      <c r="L575" s="1696"/>
      <c r="M575" s="1696"/>
      <c r="N575" s="1696"/>
      <c r="O575" s="1970"/>
      <c r="R575" s="1968" t="s">
        <v>25</v>
      </c>
      <c r="S575" s="1696"/>
      <c r="T575" s="1696"/>
      <c r="U575" s="1696"/>
      <c r="V575" s="1696"/>
      <c r="W575" s="1696"/>
    </row>
    <row r="576" spans="1:23" ht="18" x14ac:dyDescent="0.3">
      <c r="A576" s="2436">
        <v>570</v>
      </c>
      <c r="B576" s="1962" t="s">
        <v>5765</v>
      </c>
      <c r="C576" s="1963" t="s">
        <v>1344</v>
      </c>
      <c r="D576" s="1964">
        <v>64</v>
      </c>
      <c r="E576" s="1965">
        <v>2821</v>
      </c>
      <c r="F576" s="1966" t="s">
        <v>5768</v>
      </c>
      <c r="G576" s="1974">
        <v>1600</v>
      </c>
      <c r="H576" s="1967" t="s">
        <v>4128</v>
      </c>
      <c r="I576" s="1968" t="s">
        <v>25</v>
      </c>
      <c r="J576" s="1696"/>
      <c r="K576" s="1696"/>
      <c r="L576" s="1696"/>
      <c r="M576" s="1696"/>
      <c r="N576" s="1696"/>
      <c r="O576" s="1970"/>
      <c r="R576" s="1968" t="s">
        <v>25</v>
      </c>
      <c r="S576" s="1696"/>
      <c r="T576" s="1696"/>
      <c r="U576" s="1696"/>
      <c r="V576" s="1696"/>
      <c r="W576" s="1696"/>
    </row>
    <row r="577" spans="1:23" ht="18" x14ac:dyDescent="0.3">
      <c r="A577" s="2436">
        <v>571</v>
      </c>
      <c r="B577" s="1962" t="s">
        <v>5765</v>
      </c>
      <c r="C577" s="1963" t="s">
        <v>1344</v>
      </c>
      <c r="D577" s="1964">
        <v>64</v>
      </c>
      <c r="E577" s="1965">
        <v>2822</v>
      </c>
      <c r="F577" s="1966" t="s">
        <v>5768</v>
      </c>
      <c r="G577" s="1974">
        <v>1600</v>
      </c>
      <c r="H577" s="1967" t="s">
        <v>4128</v>
      </c>
      <c r="I577" s="1968" t="s">
        <v>25</v>
      </c>
      <c r="J577" s="1696"/>
      <c r="K577" s="1696"/>
      <c r="L577" s="1696"/>
      <c r="M577" s="1696"/>
      <c r="N577" s="1696"/>
      <c r="O577" s="1970"/>
      <c r="R577" s="1968" t="s">
        <v>25</v>
      </c>
      <c r="S577" s="1696"/>
      <c r="T577" s="1696"/>
      <c r="U577" s="1696"/>
      <c r="V577" s="1696"/>
      <c r="W577" s="1696"/>
    </row>
    <row r="578" spans="1:23" ht="18" x14ac:dyDescent="0.3">
      <c r="A578" s="2436">
        <v>572</v>
      </c>
      <c r="B578" s="1962" t="s">
        <v>5765</v>
      </c>
      <c r="C578" s="1963" t="s">
        <v>1344</v>
      </c>
      <c r="D578" s="1964">
        <v>64</v>
      </c>
      <c r="E578" s="1965">
        <v>2823</v>
      </c>
      <c r="F578" s="1966" t="s">
        <v>5768</v>
      </c>
      <c r="G578" s="1974">
        <v>1600</v>
      </c>
      <c r="H578" s="1967" t="s">
        <v>4128</v>
      </c>
      <c r="I578" s="1968" t="s">
        <v>25</v>
      </c>
      <c r="J578" s="1696"/>
      <c r="K578" s="1696"/>
      <c r="L578" s="1696"/>
      <c r="M578" s="1696"/>
      <c r="N578" s="1696"/>
      <c r="O578" s="1970"/>
      <c r="R578" s="1968" t="s">
        <v>25</v>
      </c>
      <c r="S578" s="1696"/>
      <c r="T578" s="1696"/>
      <c r="U578" s="1696"/>
      <c r="V578" s="1696"/>
      <c r="W578" s="1696"/>
    </row>
    <row r="579" spans="1:23" ht="18" x14ac:dyDescent="0.3">
      <c r="A579" s="2436">
        <v>573</v>
      </c>
      <c r="B579" s="1962" t="s">
        <v>5765</v>
      </c>
      <c r="C579" s="1963" t="s">
        <v>1344</v>
      </c>
      <c r="D579" s="1964">
        <v>64</v>
      </c>
      <c r="E579" s="1965">
        <v>2824</v>
      </c>
      <c r="F579" s="1966" t="s">
        <v>5768</v>
      </c>
      <c r="G579" s="1974">
        <v>1600</v>
      </c>
      <c r="H579" s="1967" t="s">
        <v>4128</v>
      </c>
      <c r="I579" s="1968" t="s">
        <v>25</v>
      </c>
      <c r="J579" s="1696"/>
      <c r="K579" s="1696"/>
      <c r="L579" s="1696"/>
      <c r="M579" s="1696"/>
      <c r="N579" s="1696"/>
      <c r="O579" s="1970"/>
      <c r="R579" s="1968" t="s">
        <v>25</v>
      </c>
      <c r="S579" s="1696"/>
      <c r="T579" s="1696"/>
      <c r="U579" s="1696"/>
      <c r="V579" s="1696"/>
      <c r="W579" s="1696"/>
    </row>
    <row r="580" spans="1:23" ht="18" x14ac:dyDescent="0.3">
      <c r="A580" s="2436">
        <v>574</v>
      </c>
      <c r="B580" s="1962" t="s">
        <v>5765</v>
      </c>
      <c r="C580" s="1963" t="s">
        <v>1344</v>
      </c>
      <c r="D580" s="1964">
        <v>64</v>
      </c>
      <c r="E580" s="1965">
        <v>2825</v>
      </c>
      <c r="F580" s="1966" t="s">
        <v>5768</v>
      </c>
      <c r="G580" s="1974">
        <v>1600</v>
      </c>
      <c r="H580" s="1967" t="s">
        <v>4128</v>
      </c>
      <c r="I580" s="1968" t="s">
        <v>25</v>
      </c>
      <c r="J580" s="1696"/>
      <c r="K580" s="1696"/>
      <c r="L580" s="1696"/>
      <c r="M580" s="1696"/>
      <c r="N580" s="1696"/>
      <c r="O580" s="1970"/>
      <c r="R580" s="1968" t="s">
        <v>25</v>
      </c>
      <c r="S580" s="1696"/>
      <c r="T580" s="1696"/>
      <c r="U580" s="1696"/>
      <c r="V580" s="1696"/>
      <c r="W580" s="1696"/>
    </row>
    <row r="581" spans="1:23" ht="18" x14ac:dyDescent="0.3">
      <c r="A581" s="2436">
        <v>575</v>
      </c>
      <c r="B581" s="1962" t="s">
        <v>5765</v>
      </c>
      <c r="C581" s="1963" t="s">
        <v>1344</v>
      </c>
      <c r="D581" s="1964">
        <v>64</v>
      </c>
      <c r="E581" s="1965">
        <v>2826</v>
      </c>
      <c r="F581" s="1966" t="s">
        <v>5768</v>
      </c>
      <c r="G581" s="1974">
        <v>1600</v>
      </c>
      <c r="H581" s="1967" t="s">
        <v>4128</v>
      </c>
      <c r="I581" s="1968" t="s">
        <v>25</v>
      </c>
      <c r="J581" s="1696"/>
      <c r="K581" s="1696"/>
      <c r="L581" s="1696"/>
      <c r="M581" s="1696"/>
      <c r="N581" s="1696"/>
      <c r="O581" s="1970"/>
      <c r="R581" s="1968" t="s">
        <v>25</v>
      </c>
      <c r="S581" s="1696"/>
      <c r="T581" s="1696"/>
      <c r="U581" s="1696"/>
      <c r="V581" s="1696"/>
      <c r="W581" s="1696"/>
    </row>
    <row r="582" spans="1:23" ht="18" x14ac:dyDescent="0.3">
      <c r="A582" s="2436">
        <v>576</v>
      </c>
      <c r="B582" s="1962" t="s">
        <v>5765</v>
      </c>
      <c r="C582" s="1963" t="s">
        <v>1344</v>
      </c>
      <c r="D582" s="1964">
        <v>64</v>
      </c>
      <c r="E582" s="1965">
        <v>2827</v>
      </c>
      <c r="F582" s="1966" t="s">
        <v>5768</v>
      </c>
      <c r="G582" s="1974">
        <v>1600</v>
      </c>
      <c r="H582" s="1967" t="s">
        <v>4128</v>
      </c>
      <c r="I582" s="1968" t="s">
        <v>25</v>
      </c>
      <c r="J582" s="1696"/>
      <c r="K582" s="1696"/>
      <c r="L582" s="1696"/>
      <c r="M582" s="1696"/>
      <c r="N582" s="1696"/>
      <c r="O582" s="1970"/>
      <c r="R582" s="1968" t="s">
        <v>25</v>
      </c>
      <c r="S582" s="1696"/>
      <c r="T582" s="1696"/>
      <c r="U582" s="1696"/>
      <c r="V582" s="1696"/>
      <c r="W582" s="1696"/>
    </row>
    <row r="583" spans="1:23" ht="18" x14ac:dyDescent="0.3">
      <c r="A583" s="2436">
        <v>577</v>
      </c>
      <c r="B583" s="1962" t="s">
        <v>5765</v>
      </c>
      <c r="C583" s="1963" t="s">
        <v>1344</v>
      </c>
      <c r="D583" s="1964">
        <v>64</v>
      </c>
      <c r="E583" s="1965">
        <v>2828</v>
      </c>
      <c r="F583" s="1966" t="s">
        <v>5768</v>
      </c>
      <c r="G583" s="1974">
        <v>1600</v>
      </c>
      <c r="H583" s="1967" t="s">
        <v>4128</v>
      </c>
      <c r="I583" s="1968" t="s">
        <v>25</v>
      </c>
      <c r="J583" s="1696"/>
      <c r="K583" s="1696"/>
      <c r="L583" s="1696"/>
      <c r="M583" s="1696"/>
      <c r="N583" s="1696"/>
      <c r="O583" s="1970"/>
      <c r="R583" s="1968" t="s">
        <v>25</v>
      </c>
      <c r="S583" s="1696"/>
      <c r="T583" s="1696"/>
      <c r="U583" s="1696"/>
      <c r="V583" s="1696"/>
      <c r="W583" s="1696"/>
    </row>
    <row r="584" spans="1:23" ht="18" x14ac:dyDescent="0.3">
      <c r="A584" s="2436">
        <v>578</v>
      </c>
      <c r="B584" s="1962" t="s">
        <v>5765</v>
      </c>
      <c r="C584" s="1963" t="s">
        <v>1344</v>
      </c>
      <c r="D584" s="1964">
        <v>64</v>
      </c>
      <c r="E584" s="1965">
        <v>2829</v>
      </c>
      <c r="F584" s="1966" t="s">
        <v>5768</v>
      </c>
      <c r="G584" s="1974">
        <v>1600</v>
      </c>
      <c r="H584" s="1967" t="s">
        <v>4128</v>
      </c>
      <c r="I584" s="1968" t="s">
        <v>25</v>
      </c>
      <c r="J584" s="1696"/>
      <c r="K584" s="1696"/>
      <c r="L584" s="1696"/>
      <c r="M584" s="1696"/>
      <c r="N584" s="1696"/>
      <c r="O584" s="1970"/>
      <c r="R584" s="1968" t="s">
        <v>25</v>
      </c>
      <c r="S584" s="1696"/>
      <c r="T584" s="1696"/>
      <c r="U584" s="1696"/>
      <c r="V584" s="1696"/>
      <c r="W584" s="1696"/>
    </row>
    <row r="585" spans="1:23" ht="18" x14ac:dyDescent="0.3">
      <c r="A585" s="2436">
        <v>579</v>
      </c>
      <c r="B585" s="1962" t="s">
        <v>5765</v>
      </c>
      <c r="C585" s="1963" t="s">
        <v>1344</v>
      </c>
      <c r="D585" s="1964">
        <v>64</v>
      </c>
      <c r="E585" s="1965">
        <v>2830</v>
      </c>
      <c r="F585" s="1966" t="s">
        <v>5768</v>
      </c>
      <c r="G585" s="1974">
        <v>1600</v>
      </c>
      <c r="H585" s="1967" t="s">
        <v>4128</v>
      </c>
      <c r="I585" s="1968" t="s">
        <v>25</v>
      </c>
      <c r="J585" s="1696"/>
      <c r="K585" s="1696"/>
      <c r="L585" s="1696"/>
      <c r="M585" s="1696"/>
      <c r="N585" s="1696"/>
      <c r="O585" s="1970"/>
      <c r="R585" s="1968" t="s">
        <v>25</v>
      </c>
      <c r="S585" s="1696"/>
      <c r="T585" s="1696"/>
      <c r="U585" s="1696"/>
      <c r="V585" s="1696"/>
      <c r="W585" s="1696"/>
    </row>
    <row r="586" spans="1:23" ht="18" x14ac:dyDescent="0.3">
      <c r="A586" s="2436">
        <v>580</v>
      </c>
      <c r="B586" s="1962" t="s">
        <v>5765</v>
      </c>
      <c r="C586" s="1963" t="s">
        <v>1344</v>
      </c>
      <c r="D586" s="1964">
        <v>64</v>
      </c>
      <c r="E586" s="1965">
        <v>2831</v>
      </c>
      <c r="F586" s="1966" t="s">
        <v>5768</v>
      </c>
      <c r="G586" s="1974">
        <v>1600</v>
      </c>
      <c r="H586" s="1967" t="s">
        <v>4128</v>
      </c>
      <c r="I586" s="1968" t="s">
        <v>25</v>
      </c>
      <c r="J586" s="1696"/>
      <c r="K586" s="1696"/>
      <c r="L586" s="1696"/>
      <c r="M586" s="1696"/>
      <c r="N586" s="1696"/>
      <c r="O586" s="1970"/>
      <c r="R586" s="1968" t="s">
        <v>25</v>
      </c>
      <c r="S586" s="1696"/>
      <c r="T586" s="1696"/>
      <c r="U586" s="1696"/>
      <c r="V586" s="1696"/>
      <c r="W586" s="1696"/>
    </row>
    <row r="587" spans="1:23" ht="18" x14ac:dyDescent="0.3">
      <c r="A587" s="2436">
        <v>581</v>
      </c>
      <c r="B587" s="1962" t="s">
        <v>5765</v>
      </c>
      <c r="C587" s="1963" t="s">
        <v>1344</v>
      </c>
      <c r="D587" s="1964">
        <v>64</v>
      </c>
      <c r="E587" s="1965">
        <v>2832</v>
      </c>
      <c r="F587" s="1966" t="s">
        <v>5768</v>
      </c>
      <c r="G587" s="1974">
        <v>1600</v>
      </c>
      <c r="H587" s="1967" t="s">
        <v>4128</v>
      </c>
      <c r="I587" s="1968" t="s">
        <v>25</v>
      </c>
      <c r="J587" s="1696"/>
      <c r="K587" s="1696"/>
      <c r="L587" s="1696"/>
      <c r="M587" s="1696"/>
      <c r="N587" s="1696"/>
      <c r="O587" s="1970"/>
      <c r="R587" s="1968" t="s">
        <v>25</v>
      </c>
      <c r="S587" s="1696"/>
      <c r="T587" s="1696"/>
      <c r="U587" s="1696"/>
      <c r="V587" s="1696"/>
      <c r="W587" s="1696"/>
    </row>
    <row r="588" spans="1:23" ht="18" x14ac:dyDescent="0.3">
      <c r="A588" s="2436">
        <v>582</v>
      </c>
      <c r="B588" s="1962" t="s">
        <v>5765</v>
      </c>
      <c r="C588" s="1963" t="s">
        <v>1344</v>
      </c>
      <c r="D588" s="1964">
        <v>64</v>
      </c>
      <c r="E588" s="1965">
        <v>2833</v>
      </c>
      <c r="F588" s="1966" t="s">
        <v>5768</v>
      </c>
      <c r="G588" s="1974">
        <v>1600</v>
      </c>
      <c r="H588" s="1967" t="s">
        <v>4128</v>
      </c>
      <c r="I588" s="1968" t="s">
        <v>25</v>
      </c>
      <c r="J588" s="1696"/>
      <c r="K588" s="1696"/>
      <c r="L588" s="1696"/>
      <c r="M588" s="1696"/>
      <c r="N588" s="1696"/>
      <c r="O588" s="1970"/>
      <c r="R588" s="1968" t="s">
        <v>25</v>
      </c>
      <c r="S588" s="1696"/>
      <c r="T588" s="1696"/>
      <c r="U588" s="1696"/>
      <c r="V588" s="1696"/>
      <c r="W588" s="1696"/>
    </row>
    <row r="589" spans="1:23" ht="18" x14ac:dyDescent="0.3">
      <c r="A589" s="2436">
        <v>583</v>
      </c>
      <c r="B589" s="1962" t="s">
        <v>5765</v>
      </c>
      <c r="C589" s="1963" t="s">
        <v>1344</v>
      </c>
      <c r="D589" s="1964">
        <v>64</v>
      </c>
      <c r="E589" s="1965">
        <v>2834</v>
      </c>
      <c r="F589" s="1966" t="s">
        <v>5768</v>
      </c>
      <c r="G589" s="1974">
        <v>1600</v>
      </c>
      <c r="H589" s="1967" t="s">
        <v>4128</v>
      </c>
      <c r="I589" s="1968" t="s">
        <v>25</v>
      </c>
      <c r="J589" s="1696"/>
      <c r="K589" s="1696"/>
      <c r="L589" s="1696"/>
      <c r="M589" s="1696"/>
      <c r="N589" s="1696"/>
      <c r="O589" s="1970"/>
      <c r="R589" s="1968" t="s">
        <v>25</v>
      </c>
      <c r="S589" s="1696"/>
      <c r="T589" s="1696"/>
      <c r="U589" s="1696"/>
      <c r="V589" s="1696"/>
      <c r="W589" s="1696"/>
    </row>
    <row r="590" spans="1:23" ht="18" x14ac:dyDescent="0.3">
      <c r="A590" s="2436">
        <v>584</v>
      </c>
      <c r="B590" s="1962" t="s">
        <v>5765</v>
      </c>
      <c r="C590" s="1963" t="s">
        <v>1344</v>
      </c>
      <c r="D590" s="1964">
        <v>64</v>
      </c>
      <c r="E590" s="1965">
        <v>2835</v>
      </c>
      <c r="F590" s="1966" t="s">
        <v>5768</v>
      </c>
      <c r="G590" s="1974">
        <v>1600</v>
      </c>
      <c r="H590" s="1967" t="s">
        <v>4128</v>
      </c>
      <c r="I590" s="1968" t="s">
        <v>25</v>
      </c>
      <c r="J590" s="1696"/>
      <c r="K590" s="1696"/>
      <c r="L590" s="1696"/>
      <c r="M590" s="1696"/>
      <c r="N590" s="1696"/>
      <c r="O590" s="1970"/>
      <c r="R590" s="1968" t="s">
        <v>25</v>
      </c>
      <c r="S590" s="1696"/>
      <c r="T590" s="1696"/>
      <c r="U590" s="1696"/>
      <c r="V590" s="1696"/>
      <c r="W590" s="1696"/>
    </row>
    <row r="591" spans="1:23" ht="18" x14ac:dyDescent="0.3">
      <c r="A591" s="2436">
        <v>585</v>
      </c>
      <c r="B591" s="1962" t="s">
        <v>5765</v>
      </c>
      <c r="C591" s="1963" t="s">
        <v>1344</v>
      </c>
      <c r="D591" s="1964">
        <v>64</v>
      </c>
      <c r="E591" s="1965">
        <v>2836</v>
      </c>
      <c r="F591" s="1966" t="s">
        <v>5768</v>
      </c>
      <c r="G591" s="1974">
        <v>1600</v>
      </c>
      <c r="H591" s="1967" t="s">
        <v>4128</v>
      </c>
      <c r="I591" s="1968" t="s">
        <v>25</v>
      </c>
      <c r="J591" s="1696"/>
      <c r="K591" s="1696"/>
      <c r="L591" s="1696"/>
      <c r="M591" s="1696"/>
      <c r="N591" s="1696"/>
      <c r="O591" s="1970"/>
      <c r="R591" s="1968" t="s">
        <v>25</v>
      </c>
      <c r="S591" s="1696"/>
      <c r="T591" s="1696"/>
      <c r="U591" s="1696"/>
      <c r="V591" s="1696"/>
      <c r="W591" s="1696"/>
    </row>
    <row r="592" spans="1:23" ht="18" x14ac:dyDescent="0.3">
      <c r="A592" s="2436">
        <v>586</v>
      </c>
      <c r="B592" s="1962" t="s">
        <v>5765</v>
      </c>
      <c r="C592" s="1963" t="s">
        <v>1344</v>
      </c>
      <c r="D592" s="1964">
        <v>64</v>
      </c>
      <c r="E592" s="1965">
        <v>2837</v>
      </c>
      <c r="F592" s="1966" t="s">
        <v>5768</v>
      </c>
      <c r="G592" s="1974">
        <v>1600</v>
      </c>
      <c r="H592" s="1967" t="s">
        <v>4128</v>
      </c>
      <c r="I592" s="1968" t="s">
        <v>25</v>
      </c>
      <c r="J592" s="1696"/>
      <c r="K592" s="1696"/>
      <c r="L592" s="1696"/>
      <c r="M592" s="1696"/>
      <c r="N592" s="1696"/>
      <c r="O592" s="1970"/>
      <c r="R592" s="1968" t="s">
        <v>25</v>
      </c>
      <c r="S592" s="1696"/>
      <c r="T592" s="1696"/>
      <c r="U592" s="1696"/>
      <c r="V592" s="1696"/>
      <c r="W592" s="1696"/>
    </row>
    <row r="593" spans="1:23" ht="18" x14ac:dyDescent="0.3">
      <c r="A593" s="2436">
        <v>587</v>
      </c>
      <c r="B593" s="1962" t="s">
        <v>5765</v>
      </c>
      <c r="C593" s="1963" t="s">
        <v>1344</v>
      </c>
      <c r="D593" s="1964">
        <v>64</v>
      </c>
      <c r="E593" s="1965">
        <v>2838</v>
      </c>
      <c r="F593" s="1966" t="s">
        <v>5768</v>
      </c>
      <c r="G593" s="1974">
        <v>1600</v>
      </c>
      <c r="H593" s="1967" t="s">
        <v>4128</v>
      </c>
      <c r="I593" s="1968" t="s">
        <v>25</v>
      </c>
      <c r="J593" s="1696"/>
      <c r="K593" s="1696"/>
      <c r="L593" s="1696"/>
      <c r="M593" s="1696"/>
      <c r="N593" s="1696"/>
      <c r="O593" s="1970"/>
      <c r="R593" s="1968" t="s">
        <v>25</v>
      </c>
      <c r="S593" s="1696"/>
      <c r="T593" s="1696"/>
      <c r="U593" s="1696"/>
      <c r="V593" s="1696"/>
      <c r="W593" s="1696"/>
    </row>
    <row r="594" spans="1:23" ht="18" x14ac:dyDescent="0.3">
      <c r="A594" s="2436">
        <v>588</v>
      </c>
      <c r="B594" s="1962" t="s">
        <v>5765</v>
      </c>
      <c r="C594" s="1963" t="s">
        <v>1344</v>
      </c>
      <c r="D594" s="1964">
        <v>64</v>
      </c>
      <c r="E594" s="1965">
        <v>2839</v>
      </c>
      <c r="F594" s="1966" t="s">
        <v>5768</v>
      </c>
      <c r="G594" s="1974">
        <v>1600</v>
      </c>
      <c r="H594" s="1967" t="s">
        <v>4128</v>
      </c>
      <c r="I594" s="1968" t="s">
        <v>25</v>
      </c>
      <c r="J594" s="1696"/>
      <c r="K594" s="1696"/>
      <c r="L594" s="1696"/>
      <c r="M594" s="1696"/>
      <c r="N594" s="1696"/>
      <c r="O594" s="1970"/>
      <c r="R594" s="1968" t="s">
        <v>25</v>
      </c>
      <c r="S594" s="1696"/>
      <c r="T594" s="1696"/>
      <c r="U594" s="1696"/>
      <c r="V594" s="1696"/>
      <c r="W594" s="1696"/>
    </row>
    <row r="595" spans="1:23" ht="18" x14ac:dyDescent="0.3">
      <c r="A595" s="2436">
        <v>589</v>
      </c>
      <c r="B595" s="1962" t="s">
        <v>5765</v>
      </c>
      <c r="C595" s="1963" t="s">
        <v>1344</v>
      </c>
      <c r="D595" s="1964">
        <v>64</v>
      </c>
      <c r="E595" s="1965">
        <v>2840</v>
      </c>
      <c r="F595" s="1966" t="s">
        <v>5768</v>
      </c>
      <c r="G595" s="1974">
        <v>1600</v>
      </c>
      <c r="H595" s="1967" t="s">
        <v>4128</v>
      </c>
      <c r="I595" s="1968" t="s">
        <v>25</v>
      </c>
      <c r="J595" s="1696"/>
      <c r="K595" s="1696"/>
      <c r="L595" s="1696"/>
      <c r="M595" s="1696"/>
      <c r="N595" s="1696"/>
      <c r="O595" s="1970"/>
      <c r="R595" s="1968" t="s">
        <v>25</v>
      </c>
      <c r="S595" s="1696"/>
      <c r="T595" s="1696"/>
      <c r="U595" s="1696"/>
      <c r="V595" s="1696"/>
      <c r="W595" s="1696"/>
    </row>
    <row r="596" spans="1:23" ht="18" x14ac:dyDescent="0.3">
      <c r="A596" s="2436">
        <v>590</v>
      </c>
      <c r="B596" s="1962" t="s">
        <v>5765</v>
      </c>
      <c r="C596" s="1963" t="s">
        <v>1344</v>
      </c>
      <c r="D596" s="1964">
        <v>64</v>
      </c>
      <c r="E596" s="1965">
        <v>2841</v>
      </c>
      <c r="F596" s="1966" t="s">
        <v>5768</v>
      </c>
      <c r="G596" s="1974">
        <v>1600</v>
      </c>
      <c r="H596" s="1967" t="s">
        <v>4128</v>
      </c>
      <c r="I596" s="1968" t="s">
        <v>25</v>
      </c>
      <c r="J596" s="1696"/>
      <c r="K596" s="1696"/>
      <c r="L596" s="1696"/>
      <c r="M596" s="1696"/>
      <c r="N596" s="1696"/>
      <c r="O596" s="1970"/>
      <c r="R596" s="1968" t="s">
        <v>25</v>
      </c>
      <c r="S596" s="1696"/>
      <c r="T596" s="1696"/>
      <c r="U596" s="1696"/>
      <c r="V596" s="1696"/>
      <c r="W596" s="1696"/>
    </row>
    <row r="597" spans="1:23" ht="18" x14ac:dyDescent="0.3">
      <c r="A597" s="2436">
        <v>591</v>
      </c>
      <c r="B597" s="1962" t="s">
        <v>5765</v>
      </c>
      <c r="C597" s="1963" t="s">
        <v>1344</v>
      </c>
      <c r="D597" s="1964">
        <v>64</v>
      </c>
      <c r="E597" s="1965">
        <v>2842</v>
      </c>
      <c r="F597" s="1966" t="s">
        <v>5768</v>
      </c>
      <c r="G597" s="1974">
        <v>1600</v>
      </c>
      <c r="H597" s="1967" t="s">
        <v>4128</v>
      </c>
      <c r="I597" s="1968" t="s">
        <v>25</v>
      </c>
      <c r="J597" s="1696"/>
      <c r="K597" s="1696"/>
      <c r="L597" s="1696"/>
      <c r="M597" s="1696"/>
      <c r="N597" s="1696"/>
      <c r="O597" s="1970"/>
      <c r="R597" s="1968" t="s">
        <v>25</v>
      </c>
      <c r="S597" s="1696"/>
      <c r="T597" s="1696"/>
      <c r="U597" s="1696"/>
      <c r="V597" s="1696"/>
      <c r="W597" s="1696"/>
    </row>
    <row r="598" spans="1:23" ht="18" x14ac:dyDescent="0.3">
      <c r="A598" s="2436">
        <v>592</v>
      </c>
      <c r="B598" s="1962" t="s">
        <v>5765</v>
      </c>
      <c r="C598" s="1963" t="s">
        <v>1344</v>
      </c>
      <c r="D598" s="1964">
        <v>64</v>
      </c>
      <c r="E598" s="1965">
        <v>2843</v>
      </c>
      <c r="F598" s="1966" t="s">
        <v>5768</v>
      </c>
      <c r="G598" s="1974">
        <v>1600</v>
      </c>
      <c r="H598" s="1967" t="s">
        <v>4128</v>
      </c>
      <c r="I598" s="1968" t="s">
        <v>25</v>
      </c>
      <c r="J598" s="1696"/>
      <c r="K598" s="1696"/>
      <c r="L598" s="1696"/>
      <c r="M598" s="1696"/>
      <c r="N598" s="1696"/>
      <c r="O598" s="1970"/>
      <c r="R598" s="1968" t="s">
        <v>25</v>
      </c>
      <c r="S598" s="1696"/>
      <c r="T598" s="1696"/>
      <c r="U598" s="1696"/>
      <c r="V598" s="1696"/>
      <c r="W598" s="1696"/>
    </row>
    <row r="599" spans="1:23" ht="18" x14ac:dyDescent="0.3">
      <c r="A599" s="2436">
        <v>593</v>
      </c>
      <c r="B599" s="1962" t="s">
        <v>5765</v>
      </c>
      <c r="C599" s="1963" t="s">
        <v>1344</v>
      </c>
      <c r="D599" s="1964">
        <v>64</v>
      </c>
      <c r="E599" s="1965">
        <v>2844</v>
      </c>
      <c r="F599" s="1966" t="s">
        <v>5768</v>
      </c>
      <c r="G599" s="1974">
        <v>1600</v>
      </c>
      <c r="H599" s="1967" t="s">
        <v>4128</v>
      </c>
      <c r="I599" s="1968" t="s">
        <v>25</v>
      </c>
      <c r="J599" s="1696"/>
      <c r="K599" s="1696"/>
      <c r="L599" s="1696"/>
      <c r="M599" s="1696"/>
      <c r="N599" s="1696"/>
      <c r="O599" s="1970"/>
      <c r="R599" s="1968" t="s">
        <v>25</v>
      </c>
      <c r="S599" s="1696"/>
      <c r="T599" s="1696"/>
      <c r="U599" s="1696"/>
      <c r="V599" s="1696"/>
      <c r="W599" s="1696"/>
    </row>
    <row r="600" spans="1:23" ht="18" x14ac:dyDescent="0.3">
      <c r="A600" s="2436">
        <v>594</v>
      </c>
      <c r="B600" s="1962" t="s">
        <v>5765</v>
      </c>
      <c r="C600" s="1963" t="s">
        <v>1344</v>
      </c>
      <c r="D600" s="1964">
        <v>64</v>
      </c>
      <c r="E600" s="1965">
        <v>2845</v>
      </c>
      <c r="F600" s="1966" t="s">
        <v>5768</v>
      </c>
      <c r="G600" s="1974">
        <v>1600</v>
      </c>
      <c r="H600" s="1967" t="s">
        <v>4128</v>
      </c>
      <c r="I600" s="1968" t="s">
        <v>25</v>
      </c>
      <c r="J600" s="1696"/>
      <c r="K600" s="1696"/>
      <c r="L600" s="1696"/>
      <c r="M600" s="1696"/>
      <c r="N600" s="1696"/>
      <c r="O600" s="1970"/>
      <c r="R600" s="1968" t="s">
        <v>25</v>
      </c>
      <c r="S600" s="1696"/>
      <c r="T600" s="1696"/>
      <c r="U600" s="1696"/>
      <c r="V600" s="1696"/>
      <c r="W600" s="1696"/>
    </row>
    <row r="601" spans="1:23" ht="18" x14ac:dyDescent="0.3">
      <c r="A601" s="2436">
        <v>595</v>
      </c>
      <c r="B601" s="1962" t="s">
        <v>5765</v>
      </c>
      <c r="C601" s="1963" t="s">
        <v>1344</v>
      </c>
      <c r="D601" s="1964">
        <v>64</v>
      </c>
      <c r="E601" s="1965">
        <v>2846</v>
      </c>
      <c r="F601" s="1966" t="s">
        <v>5768</v>
      </c>
      <c r="G601" s="1974">
        <v>1600</v>
      </c>
      <c r="H601" s="1967" t="s">
        <v>4128</v>
      </c>
      <c r="I601" s="1968" t="s">
        <v>25</v>
      </c>
      <c r="J601" s="1696"/>
      <c r="K601" s="1696"/>
      <c r="L601" s="1696"/>
      <c r="M601" s="1696"/>
      <c r="N601" s="1696"/>
      <c r="O601" s="1970"/>
      <c r="R601" s="1968" t="s">
        <v>25</v>
      </c>
      <c r="S601" s="1696"/>
      <c r="T601" s="1696"/>
      <c r="U601" s="1696"/>
      <c r="V601" s="1696"/>
      <c r="W601" s="1696"/>
    </row>
    <row r="602" spans="1:23" ht="18" x14ac:dyDescent="0.3">
      <c r="A602" s="2436">
        <v>596</v>
      </c>
      <c r="B602" s="1962" t="s">
        <v>5765</v>
      </c>
      <c r="C602" s="1963" t="s">
        <v>1344</v>
      </c>
      <c r="D602" s="1964">
        <v>64</v>
      </c>
      <c r="E602" s="1965">
        <v>2847</v>
      </c>
      <c r="F602" s="1966" t="s">
        <v>5768</v>
      </c>
      <c r="G602" s="1974">
        <v>1600</v>
      </c>
      <c r="H602" s="1967" t="s">
        <v>4128</v>
      </c>
      <c r="I602" s="1968" t="s">
        <v>25</v>
      </c>
      <c r="J602" s="1696"/>
      <c r="K602" s="1696"/>
      <c r="L602" s="1696"/>
      <c r="M602" s="1696"/>
      <c r="N602" s="1696"/>
      <c r="O602" s="1970"/>
      <c r="R602" s="1968" t="s">
        <v>25</v>
      </c>
      <c r="S602" s="1696"/>
      <c r="T602" s="1696"/>
      <c r="U602" s="1696"/>
      <c r="V602" s="1696"/>
      <c r="W602" s="1696"/>
    </row>
    <row r="603" spans="1:23" ht="18" x14ac:dyDescent="0.3">
      <c r="A603" s="2436">
        <v>597</v>
      </c>
      <c r="B603" s="1962" t="s">
        <v>5765</v>
      </c>
      <c r="C603" s="1963" t="s">
        <v>1344</v>
      </c>
      <c r="D603" s="1964">
        <v>64</v>
      </c>
      <c r="E603" s="1965">
        <v>2848</v>
      </c>
      <c r="F603" s="1966" t="s">
        <v>5768</v>
      </c>
      <c r="G603" s="1974">
        <v>1600</v>
      </c>
      <c r="H603" s="1967" t="s">
        <v>4128</v>
      </c>
      <c r="I603" s="1968" t="s">
        <v>25</v>
      </c>
      <c r="J603" s="1696"/>
      <c r="K603" s="1696"/>
      <c r="L603" s="1696"/>
      <c r="M603" s="1696"/>
      <c r="N603" s="1696"/>
      <c r="O603" s="1970"/>
      <c r="R603" s="1968" t="s">
        <v>25</v>
      </c>
      <c r="S603" s="1696"/>
      <c r="T603" s="1696"/>
      <c r="U603" s="1696"/>
      <c r="V603" s="1696"/>
      <c r="W603" s="1696"/>
    </row>
    <row r="604" spans="1:23" ht="18" x14ac:dyDescent="0.3">
      <c r="A604" s="2436">
        <v>598</v>
      </c>
      <c r="B604" s="1962" t="s">
        <v>5765</v>
      </c>
      <c r="C604" s="1963" t="s">
        <v>1344</v>
      </c>
      <c r="D604" s="1964">
        <v>64</v>
      </c>
      <c r="E604" s="1965">
        <v>2849</v>
      </c>
      <c r="F604" s="1966" t="s">
        <v>5768</v>
      </c>
      <c r="G604" s="1974">
        <v>1600</v>
      </c>
      <c r="H604" s="1967" t="s">
        <v>4128</v>
      </c>
      <c r="I604" s="1968" t="s">
        <v>25</v>
      </c>
      <c r="J604" s="1696"/>
      <c r="K604" s="1696"/>
      <c r="L604" s="1696"/>
      <c r="M604" s="1696"/>
      <c r="N604" s="1696"/>
      <c r="O604" s="1970"/>
      <c r="R604" s="1968" t="s">
        <v>25</v>
      </c>
      <c r="S604" s="1696"/>
      <c r="T604" s="1696"/>
      <c r="U604" s="1696"/>
      <c r="V604" s="1696"/>
      <c r="W604" s="1696"/>
    </row>
    <row r="605" spans="1:23" ht="18" x14ac:dyDescent="0.3">
      <c r="A605" s="2436">
        <v>599</v>
      </c>
      <c r="B605" s="1962" t="s">
        <v>5765</v>
      </c>
      <c r="C605" s="1963" t="s">
        <v>1344</v>
      </c>
      <c r="D605" s="1964">
        <v>64</v>
      </c>
      <c r="E605" s="1965">
        <v>2850</v>
      </c>
      <c r="F605" s="1966" t="s">
        <v>5768</v>
      </c>
      <c r="G605" s="1974">
        <v>1600</v>
      </c>
      <c r="H605" s="1967" t="s">
        <v>4128</v>
      </c>
      <c r="I605" s="1968" t="s">
        <v>25</v>
      </c>
      <c r="J605" s="1696"/>
      <c r="K605" s="1696"/>
      <c r="L605" s="1696"/>
      <c r="M605" s="1696"/>
      <c r="N605" s="1696"/>
      <c r="O605" s="1970"/>
      <c r="R605" s="1968" t="s">
        <v>25</v>
      </c>
      <c r="S605" s="1696"/>
      <c r="T605" s="1696"/>
      <c r="U605" s="1696"/>
      <c r="V605" s="1696"/>
      <c r="W605" s="1696"/>
    </row>
    <row r="606" spans="1:23" ht="18" x14ac:dyDescent="0.3">
      <c r="A606" s="2436">
        <v>600</v>
      </c>
      <c r="B606" s="1962" t="s">
        <v>5765</v>
      </c>
      <c r="C606" s="1963" t="s">
        <v>1344</v>
      </c>
      <c r="D606" s="1964">
        <v>64</v>
      </c>
      <c r="E606" s="1965">
        <v>2851</v>
      </c>
      <c r="F606" s="1966" t="s">
        <v>5768</v>
      </c>
      <c r="G606" s="1974">
        <v>1600</v>
      </c>
      <c r="H606" s="1967" t="s">
        <v>4128</v>
      </c>
      <c r="I606" s="1968" t="s">
        <v>25</v>
      </c>
      <c r="J606" s="1696"/>
      <c r="K606" s="1696"/>
      <c r="L606" s="1696"/>
      <c r="M606" s="1696"/>
      <c r="N606" s="1696"/>
      <c r="O606" s="1970"/>
      <c r="R606" s="1968" t="s">
        <v>25</v>
      </c>
      <c r="S606" s="1696"/>
      <c r="T606" s="1696"/>
      <c r="U606" s="1696"/>
      <c r="V606" s="1696"/>
      <c r="W606" s="1696"/>
    </row>
    <row r="607" spans="1:23" ht="18" x14ac:dyDescent="0.3">
      <c r="A607" s="2436">
        <v>601</v>
      </c>
      <c r="B607" s="1962" t="s">
        <v>5765</v>
      </c>
      <c r="C607" s="1963" t="s">
        <v>1344</v>
      </c>
      <c r="D607" s="1964">
        <v>64</v>
      </c>
      <c r="E607" s="1965">
        <v>2852</v>
      </c>
      <c r="F607" s="1966" t="s">
        <v>5768</v>
      </c>
      <c r="G607" s="1974">
        <v>1600</v>
      </c>
      <c r="H607" s="1967" t="s">
        <v>4128</v>
      </c>
      <c r="I607" s="1968" t="s">
        <v>25</v>
      </c>
      <c r="J607" s="1696"/>
      <c r="K607" s="1696"/>
      <c r="L607" s="1696"/>
      <c r="M607" s="1696"/>
      <c r="N607" s="1696"/>
      <c r="O607" s="1970"/>
      <c r="R607" s="1968" t="s">
        <v>25</v>
      </c>
      <c r="S607" s="1696"/>
      <c r="T607" s="1696"/>
      <c r="U607" s="1696"/>
      <c r="V607" s="1696"/>
      <c r="W607" s="1696"/>
    </row>
    <row r="608" spans="1:23" ht="18" x14ac:dyDescent="0.3">
      <c r="A608" s="2436">
        <v>602</v>
      </c>
      <c r="B608" s="1962" t="s">
        <v>5765</v>
      </c>
      <c r="C608" s="1963" t="s">
        <v>1344</v>
      </c>
      <c r="D608" s="1964">
        <v>64</v>
      </c>
      <c r="E608" s="1965">
        <v>2853</v>
      </c>
      <c r="F608" s="1966" t="s">
        <v>5768</v>
      </c>
      <c r="G608" s="1974">
        <v>1600</v>
      </c>
      <c r="H608" s="1967" t="s">
        <v>4128</v>
      </c>
      <c r="I608" s="1968" t="s">
        <v>25</v>
      </c>
      <c r="J608" s="1696"/>
      <c r="K608" s="1696"/>
      <c r="L608" s="1696"/>
      <c r="M608" s="1696"/>
      <c r="N608" s="1696"/>
      <c r="O608" s="1970"/>
      <c r="R608" s="1968" t="s">
        <v>25</v>
      </c>
      <c r="S608" s="1696"/>
      <c r="T608" s="1696"/>
      <c r="U608" s="1696"/>
      <c r="V608" s="1696"/>
      <c r="W608" s="1696"/>
    </row>
    <row r="609" spans="1:23" ht="18" x14ac:dyDescent="0.3">
      <c r="A609" s="2436">
        <v>603</v>
      </c>
      <c r="B609" s="1962" t="s">
        <v>5765</v>
      </c>
      <c r="C609" s="1963" t="s">
        <v>1344</v>
      </c>
      <c r="D609" s="1964">
        <v>64</v>
      </c>
      <c r="E609" s="1965">
        <v>2854</v>
      </c>
      <c r="F609" s="1966" t="s">
        <v>5768</v>
      </c>
      <c r="G609" s="1974">
        <v>1600</v>
      </c>
      <c r="H609" s="1967" t="s">
        <v>4128</v>
      </c>
      <c r="I609" s="1968" t="s">
        <v>25</v>
      </c>
      <c r="J609" s="1696"/>
      <c r="K609" s="1696"/>
      <c r="L609" s="1696"/>
      <c r="M609" s="1696"/>
      <c r="N609" s="1696"/>
      <c r="O609" s="1970"/>
      <c r="R609" s="1968" t="s">
        <v>25</v>
      </c>
      <c r="S609" s="1696"/>
      <c r="T609" s="1696"/>
      <c r="U609" s="1696"/>
      <c r="V609" s="1696"/>
      <c r="W609" s="1696"/>
    </row>
    <row r="610" spans="1:23" ht="18" x14ac:dyDescent="0.3">
      <c r="A610" s="2436">
        <v>604</v>
      </c>
      <c r="B610" s="1962" t="s">
        <v>5765</v>
      </c>
      <c r="C610" s="1963" t="s">
        <v>1344</v>
      </c>
      <c r="D610" s="1964">
        <v>64</v>
      </c>
      <c r="E610" s="1965">
        <v>2855</v>
      </c>
      <c r="F610" s="1966" t="s">
        <v>5768</v>
      </c>
      <c r="G610" s="1974">
        <v>1600</v>
      </c>
      <c r="H610" s="1967" t="s">
        <v>4128</v>
      </c>
      <c r="I610" s="1968" t="s">
        <v>25</v>
      </c>
      <c r="J610" s="1696"/>
      <c r="K610" s="1696"/>
      <c r="L610" s="1696"/>
      <c r="M610" s="1696"/>
      <c r="N610" s="1696"/>
      <c r="O610" s="1970"/>
      <c r="R610" s="1968" t="s">
        <v>25</v>
      </c>
      <c r="S610" s="1696"/>
      <c r="T610" s="1696"/>
      <c r="U610" s="1696"/>
      <c r="V610" s="1696"/>
      <c r="W610" s="1696"/>
    </row>
    <row r="611" spans="1:23" ht="18" x14ac:dyDescent="0.3">
      <c r="A611" s="2436">
        <v>605</v>
      </c>
      <c r="B611" s="1962" t="s">
        <v>5765</v>
      </c>
      <c r="C611" s="1963" t="s">
        <v>1344</v>
      </c>
      <c r="D611" s="1964">
        <v>64</v>
      </c>
      <c r="E611" s="1965">
        <v>2856</v>
      </c>
      <c r="F611" s="1966" t="s">
        <v>5768</v>
      </c>
      <c r="G611" s="1974">
        <v>1600</v>
      </c>
      <c r="H611" s="1967" t="s">
        <v>4128</v>
      </c>
      <c r="I611" s="1968" t="s">
        <v>25</v>
      </c>
      <c r="J611" s="1696"/>
      <c r="K611" s="1696"/>
      <c r="L611" s="1696"/>
      <c r="M611" s="1696"/>
      <c r="N611" s="1696"/>
      <c r="O611" s="1970"/>
      <c r="R611" s="1968" t="s">
        <v>25</v>
      </c>
      <c r="S611" s="1696"/>
      <c r="T611" s="1696"/>
      <c r="U611" s="1696"/>
      <c r="V611" s="1696"/>
      <c r="W611" s="1696"/>
    </row>
    <row r="612" spans="1:23" ht="18" x14ac:dyDescent="0.3">
      <c r="A612" s="2436">
        <v>606</v>
      </c>
      <c r="B612" s="1962" t="s">
        <v>5765</v>
      </c>
      <c r="C612" s="1963" t="s">
        <v>1344</v>
      </c>
      <c r="D612" s="1964">
        <v>64</v>
      </c>
      <c r="E612" s="1965">
        <v>2857</v>
      </c>
      <c r="F612" s="1966" t="s">
        <v>5768</v>
      </c>
      <c r="G612" s="1974">
        <v>1600</v>
      </c>
      <c r="H612" s="1967" t="s">
        <v>4128</v>
      </c>
      <c r="I612" s="1968" t="s">
        <v>25</v>
      </c>
      <c r="J612" s="1696"/>
      <c r="K612" s="1696"/>
      <c r="L612" s="1696"/>
      <c r="M612" s="1696"/>
      <c r="N612" s="1696"/>
      <c r="O612" s="1970"/>
      <c r="R612" s="1968" t="s">
        <v>25</v>
      </c>
      <c r="S612" s="1696"/>
      <c r="T612" s="1696"/>
      <c r="U612" s="1696"/>
      <c r="V612" s="1696"/>
      <c r="W612" s="1696"/>
    </row>
    <row r="613" spans="1:23" ht="18" x14ac:dyDescent="0.3">
      <c r="A613" s="2436">
        <v>607</v>
      </c>
      <c r="B613" s="1962" t="s">
        <v>5765</v>
      </c>
      <c r="C613" s="1963" t="s">
        <v>1344</v>
      </c>
      <c r="D613" s="1964">
        <v>64</v>
      </c>
      <c r="E613" s="1965">
        <v>2858</v>
      </c>
      <c r="F613" s="1966" t="s">
        <v>5768</v>
      </c>
      <c r="G613" s="1974">
        <v>1600</v>
      </c>
      <c r="H613" s="1967" t="s">
        <v>4128</v>
      </c>
      <c r="I613" s="1968" t="s">
        <v>25</v>
      </c>
      <c r="J613" s="1696"/>
      <c r="K613" s="1696"/>
      <c r="L613" s="1696"/>
      <c r="M613" s="1696"/>
      <c r="N613" s="1696"/>
      <c r="O613" s="1970"/>
      <c r="R613" s="1968" t="s">
        <v>25</v>
      </c>
      <c r="S613" s="1696"/>
      <c r="T613" s="1696"/>
      <c r="U613" s="1696"/>
      <c r="V613" s="1696"/>
      <c r="W613" s="1696"/>
    </row>
    <row r="614" spans="1:23" ht="18" x14ac:dyDescent="0.3">
      <c r="A614" s="2436">
        <v>608</v>
      </c>
      <c r="B614" s="1962" t="s">
        <v>5765</v>
      </c>
      <c r="C614" s="1963" t="s">
        <v>1344</v>
      </c>
      <c r="D614" s="1964">
        <v>64</v>
      </c>
      <c r="E614" s="1965">
        <v>2859</v>
      </c>
      <c r="F614" s="1966" t="s">
        <v>5768</v>
      </c>
      <c r="G614" s="1974">
        <v>1600</v>
      </c>
      <c r="H614" s="1967" t="s">
        <v>4128</v>
      </c>
      <c r="I614" s="1968" t="s">
        <v>25</v>
      </c>
      <c r="J614" s="1696"/>
      <c r="K614" s="1696"/>
      <c r="L614" s="1696"/>
      <c r="M614" s="1696"/>
      <c r="N614" s="1696"/>
      <c r="O614" s="1970"/>
      <c r="R614" s="1968" t="s">
        <v>25</v>
      </c>
      <c r="S614" s="1696"/>
      <c r="T614" s="1696"/>
      <c r="U614" s="1696"/>
      <c r="V614" s="1696"/>
      <c r="W614" s="1696"/>
    </row>
    <row r="615" spans="1:23" ht="18" x14ac:dyDescent="0.3">
      <c r="A615" s="2436">
        <v>609</v>
      </c>
      <c r="B615" s="1962" t="s">
        <v>5765</v>
      </c>
      <c r="C615" s="1963" t="s">
        <v>1344</v>
      </c>
      <c r="D615" s="1964">
        <v>64</v>
      </c>
      <c r="E615" s="1965">
        <v>2860</v>
      </c>
      <c r="F615" s="1966" t="s">
        <v>5768</v>
      </c>
      <c r="G615" s="1974">
        <v>1600</v>
      </c>
      <c r="H615" s="1967" t="s">
        <v>4128</v>
      </c>
      <c r="I615" s="1968" t="s">
        <v>25</v>
      </c>
      <c r="J615" s="1696"/>
      <c r="K615" s="1696"/>
      <c r="L615" s="1696"/>
      <c r="M615" s="1696"/>
      <c r="N615" s="1696"/>
      <c r="O615" s="1970"/>
      <c r="R615" s="1968" t="s">
        <v>25</v>
      </c>
      <c r="S615" s="1696"/>
      <c r="T615" s="1696"/>
      <c r="U615" s="1696"/>
      <c r="V615" s="1696"/>
      <c r="W615" s="1696"/>
    </row>
    <row r="616" spans="1:23" ht="18" x14ac:dyDescent="0.3">
      <c r="A616" s="2436">
        <v>610</v>
      </c>
      <c r="B616" s="1962" t="s">
        <v>5765</v>
      </c>
      <c r="C616" s="1963" t="s">
        <v>1344</v>
      </c>
      <c r="D616" s="1964">
        <v>64</v>
      </c>
      <c r="E616" s="1965">
        <v>2861</v>
      </c>
      <c r="F616" s="1966" t="s">
        <v>5768</v>
      </c>
      <c r="G616" s="1974">
        <v>1600</v>
      </c>
      <c r="H616" s="1967" t="s">
        <v>4128</v>
      </c>
      <c r="I616" s="1968" t="s">
        <v>25</v>
      </c>
      <c r="J616" s="1696"/>
      <c r="K616" s="1696"/>
      <c r="L616" s="1696"/>
      <c r="M616" s="1696"/>
      <c r="N616" s="1696"/>
      <c r="O616" s="1970"/>
      <c r="R616" s="1968" t="s">
        <v>25</v>
      </c>
      <c r="S616" s="1696"/>
      <c r="T616" s="1696"/>
      <c r="U616" s="1696"/>
      <c r="V616" s="1696"/>
      <c r="W616" s="1696"/>
    </row>
    <row r="617" spans="1:23" ht="18" x14ac:dyDescent="0.3">
      <c r="A617" s="2436">
        <v>611</v>
      </c>
      <c r="B617" s="1962" t="s">
        <v>5765</v>
      </c>
      <c r="C617" s="1963" t="s">
        <v>1344</v>
      </c>
      <c r="D617" s="1964">
        <v>64</v>
      </c>
      <c r="E617" s="1965">
        <v>2862</v>
      </c>
      <c r="F617" s="1966" t="s">
        <v>5768</v>
      </c>
      <c r="G617" s="1974">
        <v>1600</v>
      </c>
      <c r="H617" s="1967" t="s">
        <v>4128</v>
      </c>
      <c r="I617" s="1968" t="s">
        <v>25</v>
      </c>
      <c r="J617" s="1696"/>
      <c r="K617" s="1696"/>
      <c r="L617" s="1696"/>
      <c r="M617" s="1696"/>
      <c r="N617" s="1696"/>
      <c r="O617" s="1970"/>
      <c r="R617" s="1968" t="s">
        <v>25</v>
      </c>
      <c r="S617" s="1696"/>
      <c r="T617" s="1696"/>
      <c r="U617" s="1696"/>
      <c r="V617" s="1696"/>
      <c r="W617" s="1696"/>
    </row>
    <row r="618" spans="1:23" ht="18" x14ac:dyDescent="0.3">
      <c r="A618" s="2436">
        <v>612</v>
      </c>
      <c r="B618" s="1962" t="s">
        <v>5765</v>
      </c>
      <c r="C618" s="1963" t="s">
        <v>1344</v>
      </c>
      <c r="D618" s="1964">
        <v>64</v>
      </c>
      <c r="E618" s="1965">
        <v>2863</v>
      </c>
      <c r="F618" s="1966" t="s">
        <v>5768</v>
      </c>
      <c r="G618" s="1974">
        <v>1600</v>
      </c>
      <c r="H618" s="1967" t="s">
        <v>4128</v>
      </c>
      <c r="I618" s="1968" t="s">
        <v>25</v>
      </c>
      <c r="J618" s="1696"/>
      <c r="K618" s="1696"/>
      <c r="L618" s="1696"/>
      <c r="M618" s="1696"/>
      <c r="N618" s="1696"/>
      <c r="O618" s="1970"/>
      <c r="R618" s="1968" t="s">
        <v>25</v>
      </c>
      <c r="S618" s="1696"/>
      <c r="T618" s="1696"/>
      <c r="U618" s="1696"/>
      <c r="V618" s="1696"/>
      <c r="W618" s="1696"/>
    </row>
    <row r="619" spans="1:23" ht="18" x14ac:dyDescent="0.3">
      <c r="A619" s="2436">
        <v>613</v>
      </c>
      <c r="B619" s="1962" t="s">
        <v>5765</v>
      </c>
      <c r="C619" s="1963" t="s">
        <v>1344</v>
      </c>
      <c r="D619" s="1964">
        <v>64</v>
      </c>
      <c r="E619" s="1965">
        <v>2864</v>
      </c>
      <c r="F619" s="1966" t="s">
        <v>5768</v>
      </c>
      <c r="G619" s="1974">
        <v>1600</v>
      </c>
      <c r="H619" s="1967" t="s">
        <v>4128</v>
      </c>
      <c r="I619" s="1968" t="s">
        <v>25</v>
      </c>
      <c r="J619" s="1696"/>
      <c r="K619" s="1696"/>
      <c r="L619" s="1696"/>
      <c r="M619" s="1696"/>
      <c r="N619" s="1696"/>
      <c r="O619" s="1970"/>
      <c r="R619" s="1968" t="s">
        <v>25</v>
      </c>
      <c r="S619" s="1696"/>
      <c r="T619" s="1696"/>
      <c r="U619" s="1696"/>
      <c r="V619" s="1696"/>
      <c r="W619" s="1696"/>
    </row>
    <row r="620" spans="1:23" ht="18" x14ac:dyDescent="0.3">
      <c r="A620" s="2436">
        <v>614</v>
      </c>
      <c r="B620" s="1962" t="s">
        <v>5765</v>
      </c>
      <c r="C620" s="1963" t="s">
        <v>1344</v>
      </c>
      <c r="D620" s="1964">
        <v>64</v>
      </c>
      <c r="E620" s="1965">
        <v>2865</v>
      </c>
      <c r="F620" s="1966" t="s">
        <v>5768</v>
      </c>
      <c r="G620" s="1974">
        <v>1600</v>
      </c>
      <c r="H620" s="1967" t="s">
        <v>4128</v>
      </c>
      <c r="I620" s="1968" t="s">
        <v>25</v>
      </c>
      <c r="J620" s="1696"/>
      <c r="K620" s="1696"/>
      <c r="L620" s="1696"/>
      <c r="M620" s="1696"/>
      <c r="N620" s="1696"/>
      <c r="O620" s="1970"/>
      <c r="R620" s="1968" t="s">
        <v>25</v>
      </c>
      <c r="S620" s="1696"/>
      <c r="T620" s="1696"/>
      <c r="U620" s="1696"/>
      <c r="V620" s="1696"/>
      <c r="W620" s="1696"/>
    </row>
    <row r="621" spans="1:23" ht="18" x14ac:dyDescent="0.3">
      <c r="A621" s="2436">
        <v>615</v>
      </c>
      <c r="B621" s="1962" t="s">
        <v>5765</v>
      </c>
      <c r="C621" s="1963" t="s">
        <v>1344</v>
      </c>
      <c r="D621" s="1964">
        <v>64</v>
      </c>
      <c r="E621" s="1965">
        <v>2866</v>
      </c>
      <c r="F621" s="1966" t="s">
        <v>5768</v>
      </c>
      <c r="G621" s="1974">
        <v>1600</v>
      </c>
      <c r="H621" s="1967" t="s">
        <v>4128</v>
      </c>
      <c r="I621" s="1968" t="s">
        <v>25</v>
      </c>
      <c r="J621" s="1696"/>
      <c r="K621" s="1696"/>
      <c r="L621" s="1696"/>
      <c r="M621" s="1696"/>
      <c r="N621" s="1696"/>
      <c r="O621" s="1970"/>
      <c r="R621" s="1968" t="s">
        <v>25</v>
      </c>
      <c r="S621" s="1696"/>
      <c r="T621" s="1696"/>
      <c r="U621" s="1696"/>
      <c r="V621" s="1696"/>
      <c r="W621" s="1696"/>
    </row>
    <row r="622" spans="1:23" ht="18" x14ac:dyDescent="0.3">
      <c r="A622" s="2436">
        <v>616</v>
      </c>
      <c r="B622" s="1962" t="s">
        <v>5765</v>
      </c>
      <c r="C622" s="1963" t="s">
        <v>1344</v>
      </c>
      <c r="D622" s="1964">
        <v>64</v>
      </c>
      <c r="E622" s="1965">
        <v>2867</v>
      </c>
      <c r="F622" s="1966" t="s">
        <v>5768</v>
      </c>
      <c r="G622" s="1974">
        <v>1600</v>
      </c>
      <c r="H622" s="1967" t="s">
        <v>4128</v>
      </c>
      <c r="I622" s="1968" t="s">
        <v>25</v>
      </c>
      <c r="J622" s="1696"/>
      <c r="K622" s="1696"/>
      <c r="L622" s="1696"/>
      <c r="M622" s="1696"/>
      <c r="N622" s="1696"/>
      <c r="O622" s="1970"/>
      <c r="R622" s="1968" t="s">
        <v>25</v>
      </c>
      <c r="S622" s="1696"/>
      <c r="T622" s="1696"/>
      <c r="U622" s="1696"/>
      <c r="V622" s="1696"/>
      <c r="W622" s="1696"/>
    </row>
    <row r="623" spans="1:23" ht="18" x14ac:dyDescent="0.3">
      <c r="A623" s="2436">
        <v>617</v>
      </c>
      <c r="B623" s="1962" t="s">
        <v>5765</v>
      </c>
      <c r="C623" s="1963" t="s">
        <v>1344</v>
      </c>
      <c r="D623" s="1964">
        <v>64</v>
      </c>
      <c r="E623" s="1965">
        <v>2868</v>
      </c>
      <c r="F623" s="1966" t="s">
        <v>5768</v>
      </c>
      <c r="G623" s="1974">
        <v>1600</v>
      </c>
      <c r="H623" s="1967" t="s">
        <v>4128</v>
      </c>
      <c r="I623" s="1968" t="s">
        <v>25</v>
      </c>
      <c r="J623" s="1696"/>
      <c r="K623" s="1696"/>
      <c r="L623" s="1696"/>
      <c r="M623" s="1696"/>
      <c r="N623" s="1696"/>
      <c r="O623" s="1970"/>
      <c r="R623" s="1968" t="s">
        <v>25</v>
      </c>
      <c r="S623" s="1696"/>
      <c r="T623" s="1696"/>
      <c r="U623" s="1696"/>
      <c r="V623" s="1696"/>
      <c r="W623" s="1696"/>
    </row>
    <row r="624" spans="1:23" ht="18" x14ac:dyDescent="0.3">
      <c r="A624" s="2436">
        <v>618</v>
      </c>
      <c r="B624" s="1962" t="s">
        <v>5765</v>
      </c>
      <c r="C624" s="1963" t="s">
        <v>1344</v>
      </c>
      <c r="D624" s="1964">
        <v>64</v>
      </c>
      <c r="E624" s="1965">
        <v>2869</v>
      </c>
      <c r="F624" s="1966" t="s">
        <v>5768</v>
      </c>
      <c r="G624" s="1974">
        <v>1600</v>
      </c>
      <c r="H624" s="1967" t="s">
        <v>4128</v>
      </c>
      <c r="I624" s="1968" t="s">
        <v>25</v>
      </c>
      <c r="J624" s="1696"/>
      <c r="K624" s="1696"/>
      <c r="L624" s="1696"/>
      <c r="M624" s="1696"/>
      <c r="N624" s="1696"/>
      <c r="O624" s="1970"/>
      <c r="R624" s="1968" t="s">
        <v>25</v>
      </c>
      <c r="S624" s="1696"/>
      <c r="T624" s="1696"/>
      <c r="U624" s="1696"/>
      <c r="V624" s="1696"/>
      <c r="W624" s="1696"/>
    </row>
    <row r="625" spans="1:23" ht="18" x14ac:dyDescent="0.3">
      <c r="A625" s="2436">
        <v>619</v>
      </c>
      <c r="B625" s="1962" t="s">
        <v>5765</v>
      </c>
      <c r="C625" s="1963" t="s">
        <v>1344</v>
      </c>
      <c r="D625" s="1964">
        <v>64</v>
      </c>
      <c r="E625" s="1965">
        <v>2870</v>
      </c>
      <c r="F625" s="1966" t="s">
        <v>5768</v>
      </c>
      <c r="G625" s="1974">
        <v>1600</v>
      </c>
      <c r="H625" s="1967" t="s">
        <v>4128</v>
      </c>
      <c r="I625" s="1968" t="s">
        <v>25</v>
      </c>
      <c r="J625" s="1696"/>
      <c r="K625" s="1696"/>
      <c r="L625" s="1696"/>
      <c r="M625" s="1696"/>
      <c r="N625" s="1696"/>
      <c r="O625" s="1970"/>
      <c r="R625" s="1968" t="s">
        <v>25</v>
      </c>
      <c r="S625" s="1696"/>
      <c r="T625" s="1696"/>
      <c r="U625" s="1696"/>
      <c r="V625" s="1696"/>
      <c r="W625" s="1696"/>
    </row>
    <row r="626" spans="1:23" ht="18" x14ac:dyDescent="0.3">
      <c r="A626" s="2436">
        <v>620</v>
      </c>
      <c r="B626" s="1962" t="s">
        <v>5765</v>
      </c>
      <c r="C626" s="1963" t="s">
        <v>1344</v>
      </c>
      <c r="D626" s="1964">
        <v>64</v>
      </c>
      <c r="E626" s="1965">
        <v>2871</v>
      </c>
      <c r="F626" s="1966" t="s">
        <v>5768</v>
      </c>
      <c r="G626" s="1974">
        <v>1600</v>
      </c>
      <c r="H626" s="1967" t="s">
        <v>4128</v>
      </c>
      <c r="I626" s="1968" t="s">
        <v>25</v>
      </c>
      <c r="J626" s="1696"/>
      <c r="K626" s="1696"/>
      <c r="L626" s="1696"/>
      <c r="M626" s="1696"/>
      <c r="N626" s="1696"/>
      <c r="O626" s="1970"/>
      <c r="R626" s="1968" t="s">
        <v>25</v>
      </c>
      <c r="S626" s="1696"/>
      <c r="T626" s="1696"/>
      <c r="U626" s="1696"/>
      <c r="V626" s="1696"/>
      <c r="W626" s="1696"/>
    </row>
    <row r="627" spans="1:23" ht="18" x14ac:dyDescent="0.3">
      <c r="A627" s="2436">
        <v>621</v>
      </c>
      <c r="B627" s="1962" t="s">
        <v>5765</v>
      </c>
      <c r="C627" s="1963" t="s">
        <v>1344</v>
      </c>
      <c r="D627" s="1964">
        <v>64</v>
      </c>
      <c r="E627" s="1965">
        <v>2872</v>
      </c>
      <c r="F627" s="1966" t="s">
        <v>5768</v>
      </c>
      <c r="G627" s="1974">
        <v>1600</v>
      </c>
      <c r="H627" s="1967" t="s">
        <v>4128</v>
      </c>
      <c r="I627" s="1968" t="s">
        <v>25</v>
      </c>
      <c r="J627" s="1696"/>
      <c r="K627" s="1696"/>
      <c r="L627" s="1696"/>
      <c r="M627" s="1696"/>
      <c r="N627" s="1696"/>
      <c r="O627" s="1970"/>
      <c r="R627" s="1968" t="s">
        <v>25</v>
      </c>
      <c r="S627" s="1696"/>
      <c r="T627" s="1696"/>
      <c r="U627" s="1696"/>
      <c r="V627" s="1696"/>
      <c r="W627" s="1696"/>
    </row>
    <row r="628" spans="1:23" ht="18" x14ac:dyDescent="0.3">
      <c r="A628" s="2436">
        <v>622</v>
      </c>
      <c r="B628" s="1962" t="s">
        <v>5765</v>
      </c>
      <c r="C628" s="1963" t="s">
        <v>1344</v>
      </c>
      <c r="D628" s="1964">
        <v>64</v>
      </c>
      <c r="E628" s="1965">
        <v>2873</v>
      </c>
      <c r="F628" s="1966" t="s">
        <v>5768</v>
      </c>
      <c r="G628" s="1974">
        <v>1600</v>
      </c>
      <c r="H628" s="1967" t="s">
        <v>4128</v>
      </c>
      <c r="I628" s="1968" t="s">
        <v>25</v>
      </c>
      <c r="J628" s="1696"/>
      <c r="K628" s="1696"/>
      <c r="L628" s="1696"/>
      <c r="M628" s="1696"/>
      <c r="N628" s="1696"/>
      <c r="O628" s="1970"/>
      <c r="R628" s="1968" t="s">
        <v>25</v>
      </c>
      <c r="S628" s="1696"/>
      <c r="T628" s="1696"/>
      <c r="U628" s="1696"/>
      <c r="V628" s="1696"/>
      <c r="W628" s="1696"/>
    </row>
    <row r="629" spans="1:23" ht="18" x14ac:dyDescent="0.3">
      <c r="A629" s="2436">
        <v>623</v>
      </c>
      <c r="B629" s="1962" t="s">
        <v>5765</v>
      </c>
      <c r="C629" s="1963" t="s">
        <v>1344</v>
      </c>
      <c r="D629" s="1964">
        <v>64</v>
      </c>
      <c r="E629" s="1965">
        <v>2874</v>
      </c>
      <c r="F629" s="1966" t="s">
        <v>5768</v>
      </c>
      <c r="G629" s="1974">
        <v>1600</v>
      </c>
      <c r="H629" s="1967" t="s">
        <v>4128</v>
      </c>
      <c r="I629" s="1968" t="s">
        <v>25</v>
      </c>
      <c r="J629" s="1696"/>
      <c r="K629" s="1696"/>
      <c r="L629" s="1696"/>
      <c r="M629" s="1696"/>
      <c r="N629" s="1696"/>
      <c r="O629" s="1970"/>
      <c r="R629" s="1968" t="s">
        <v>25</v>
      </c>
      <c r="S629" s="1696"/>
      <c r="T629" s="1696"/>
      <c r="U629" s="1696"/>
      <c r="V629" s="1696"/>
      <c r="W629" s="1696"/>
    </row>
    <row r="630" spans="1:23" ht="18" x14ac:dyDescent="0.3">
      <c r="A630" s="2436">
        <v>624</v>
      </c>
      <c r="B630" s="1962" t="s">
        <v>5765</v>
      </c>
      <c r="C630" s="1963" t="s">
        <v>1344</v>
      </c>
      <c r="D630" s="1964">
        <v>64</v>
      </c>
      <c r="E630" s="1965">
        <v>2875</v>
      </c>
      <c r="F630" s="1966" t="s">
        <v>5768</v>
      </c>
      <c r="G630" s="1974">
        <v>1600</v>
      </c>
      <c r="H630" s="1967" t="s">
        <v>4128</v>
      </c>
      <c r="I630" s="1968" t="s">
        <v>25</v>
      </c>
      <c r="J630" s="1696"/>
      <c r="K630" s="1696"/>
      <c r="L630" s="1696"/>
      <c r="M630" s="1696"/>
      <c r="N630" s="1696"/>
      <c r="O630" s="1970"/>
      <c r="R630" s="1968" t="s">
        <v>25</v>
      </c>
      <c r="S630" s="1696"/>
      <c r="T630" s="1696"/>
      <c r="U630" s="1696"/>
      <c r="V630" s="1696"/>
      <c r="W630" s="1696"/>
    </row>
    <row r="631" spans="1:23" ht="18" x14ac:dyDescent="0.3">
      <c r="A631" s="2436">
        <v>625</v>
      </c>
      <c r="B631" s="1975" t="s">
        <v>5765</v>
      </c>
      <c r="C631" s="1976" t="s">
        <v>1344</v>
      </c>
      <c r="D631" s="1977">
        <v>64</v>
      </c>
      <c r="E631" s="1978">
        <v>2876</v>
      </c>
      <c r="F631" s="1979" t="s">
        <v>5768</v>
      </c>
      <c r="G631" s="1980">
        <v>1600</v>
      </c>
      <c r="H631" s="1967" t="s">
        <v>4128</v>
      </c>
      <c r="I631" s="1981" t="s">
        <v>25</v>
      </c>
      <c r="J631" s="1982"/>
      <c r="K631" s="1982"/>
      <c r="L631" s="1982"/>
      <c r="M631" s="1982"/>
      <c r="N631" s="1982"/>
      <c r="O631" s="1983"/>
      <c r="R631" s="1981" t="s">
        <v>25</v>
      </c>
      <c r="S631" s="1982"/>
      <c r="T631" s="1982"/>
      <c r="U631" s="1982"/>
      <c r="V631" s="1982"/>
      <c r="W631" s="1982"/>
    </row>
    <row r="632" spans="1:23" ht="17.399999999999999" x14ac:dyDescent="0.45">
      <c r="A632" s="1984"/>
      <c r="B632" s="1985"/>
      <c r="C632" s="1986"/>
      <c r="D632" s="1987"/>
      <c r="E632" s="1988"/>
      <c r="F632" s="1985"/>
      <c r="G632" s="1989">
        <f>SUM(G7:G631)</f>
        <v>910000</v>
      </c>
      <c r="H632" s="1990"/>
      <c r="I632" s="1985"/>
      <c r="J632" s="1985"/>
      <c r="K632" s="1985"/>
      <c r="L632" s="1985"/>
      <c r="M632" s="1985"/>
      <c r="N632" s="1985"/>
      <c r="O632" s="1991"/>
      <c r="R632" s="1985"/>
      <c r="S632" s="1985"/>
      <c r="T632" s="1985"/>
      <c r="U632" s="1985"/>
      <c r="V632" s="1985"/>
      <c r="W632" s="1985"/>
    </row>
    <row r="633" spans="1:23" x14ac:dyDescent="0.3">
      <c r="G633" s="1994">
        <f>G632</f>
        <v>910000</v>
      </c>
      <c r="R633" s="1947">
        <f>COUNTA(R7:R632)</f>
        <v>625</v>
      </c>
      <c r="S633" s="1947">
        <f t="shared" ref="S633:W633" si="0">COUNTA(S7:S632)</f>
        <v>0</v>
      </c>
      <c r="T633" s="1947">
        <f t="shared" si="0"/>
        <v>0</v>
      </c>
      <c r="U633" s="1947">
        <f t="shared" si="0"/>
        <v>0</v>
      </c>
      <c r="V633" s="1947">
        <f t="shared" si="0"/>
        <v>0</v>
      </c>
      <c r="W633" s="1947">
        <f t="shared" si="0"/>
        <v>0</v>
      </c>
    </row>
    <row r="635" spans="1:23" ht="20.25" customHeight="1" x14ac:dyDescent="0.35">
      <c r="B635" s="502" t="s">
        <v>601</v>
      </c>
      <c r="C635" s="502"/>
      <c r="D635" s="502"/>
      <c r="E635" s="503"/>
      <c r="F635" s="502"/>
      <c r="G635" s="504" t="s">
        <v>602</v>
      </c>
      <c r="H635" s="497"/>
      <c r="I635" s="505"/>
      <c r="J635" s="505" t="s">
        <v>603</v>
      </c>
      <c r="K635" s="505"/>
      <c r="L635" s="505"/>
      <c r="M635" s="1997"/>
      <c r="O635" s="1998"/>
    </row>
    <row r="636" spans="1:23" ht="18" x14ac:dyDescent="0.35">
      <c r="B636" s="507" t="s">
        <v>604</v>
      </c>
      <c r="C636" s="508"/>
      <c r="D636" s="502"/>
      <c r="E636" s="503"/>
      <c r="F636" s="502"/>
      <c r="G636" s="504"/>
      <c r="H636" s="509" t="s">
        <v>605</v>
      </c>
      <c r="I636" s="1"/>
      <c r="J636" s="505"/>
      <c r="K636" s="505"/>
      <c r="L636" s="505"/>
      <c r="M636" s="1997"/>
      <c r="O636" s="1998"/>
    </row>
    <row r="637" spans="1:23" ht="18" x14ac:dyDescent="0.35">
      <c r="B637" s="507" t="s">
        <v>606</v>
      </c>
      <c r="C637" s="508"/>
      <c r="D637" s="502"/>
      <c r="E637" s="503"/>
      <c r="F637" s="502"/>
      <c r="G637" s="504"/>
      <c r="H637" s="509" t="s">
        <v>607</v>
      </c>
      <c r="I637" s="1"/>
      <c r="J637" s="505"/>
      <c r="K637" s="505"/>
      <c r="L637" s="505"/>
      <c r="M637" s="1997"/>
      <c r="O637" s="1998"/>
    </row>
    <row r="638" spans="1:23" ht="10.5" customHeight="1" x14ac:dyDescent="0.35">
      <c r="B638" s="502"/>
      <c r="C638" s="502"/>
      <c r="D638" s="502"/>
      <c r="E638" s="503"/>
      <c r="F638" s="502"/>
      <c r="G638" s="510"/>
      <c r="H638" s="497"/>
      <c r="I638" s="505"/>
      <c r="J638" s="505"/>
      <c r="K638" s="505"/>
      <c r="L638" s="505"/>
      <c r="M638" s="1997"/>
      <c r="O638" s="1998"/>
    </row>
    <row r="639" spans="1:23" ht="18" x14ac:dyDescent="0.35">
      <c r="B639" s="502" t="s">
        <v>1153</v>
      </c>
      <c r="C639" s="502"/>
      <c r="D639" s="502"/>
      <c r="E639" s="503"/>
      <c r="F639" s="502"/>
      <c r="G639" s="504"/>
      <c r="H639" s="497"/>
      <c r="I639" s="505"/>
      <c r="J639" s="505"/>
      <c r="K639" s="505"/>
      <c r="L639" s="505"/>
      <c r="M639" s="1997"/>
      <c r="O639" s="1998"/>
    </row>
    <row r="640" spans="1:23" ht="18" x14ac:dyDescent="0.35">
      <c r="B640" s="507" t="s">
        <v>609</v>
      </c>
      <c r="C640" s="508"/>
      <c r="D640" s="502"/>
      <c r="E640" s="503"/>
      <c r="F640" s="502"/>
      <c r="G640" s="504"/>
      <c r="H640" s="506"/>
      <c r="I640" s="1"/>
      <c r="J640" s="505"/>
      <c r="K640" s="505"/>
      <c r="L640" s="505"/>
      <c r="M640" s="1997"/>
      <c r="O640" s="1998"/>
    </row>
    <row r="641" spans="1:15" ht="18" x14ac:dyDescent="0.35">
      <c r="B641" s="507" t="s">
        <v>610</v>
      </c>
      <c r="C641" s="508"/>
      <c r="D641" s="502"/>
      <c r="E641" s="503"/>
      <c r="F641" s="502"/>
      <c r="G641" s="504"/>
      <c r="H641" s="506"/>
      <c r="I641" s="1"/>
      <c r="J641" s="505"/>
      <c r="K641" s="505"/>
      <c r="L641" s="505"/>
      <c r="M641" s="1997"/>
      <c r="O641" s="1998"/>
    </row>
    <row r="642" spans="1:15" ht="18" x14ac:dyDescent="0.35">
      <c r="B642" s="1997"/>
      <c r="C642" s="1997"/>
      <c r="D642" s="1997"/>
      <c r="E642" s="1999"/>
      <c r="F642" s="1997"/>
      <c r="G642" s="2000"/>
      <c r="H642" s="1997"/>
      <c r="I642" s="1997"/>
      <c r="J642" s="1997"/>
      <c r="K642" s="1997"/>
      <c r="L642" s="1997"/>
      <c r="M642" s="1997"/>
    </row>
    <row r="643" spans="1:15" ht="18" x14ac:dyDescent="0.35">
      <c r="B643" s="1997"/>
      <c r="C643" s="1997"/>
      <c r="D643" s="1997"/>
      <c r="E643" s="1999"/>
      <c r="F643" s="1997"/>
      <c r="G643" s="2001"/>
      <c r="H643" s="1997"/>
      <c r="I643" s="1997"/>
      <c r="J643" s="1997"/>
      <c r="K643" s="1997"/>
      <c r="L643" s="1997"/>
      <c r="M643" s="1997"/>
    </row>
    <row r="644" spans="1:15" ht="18" x14ac:dyDescent="0.35">
      <c r="A644" s="1947"/>
      <c r="B644" s="1999"/>
      <c r="C644" s="1997"/>
      <c r="D644" s="1997"/>
      <c r="E644" s="1999"/>
      <c r="F644" s="1997"/>
      <c r="G644" s="2001"/>
      <c r="H644" s="1999"/>
      <c r="I644" s="1997"/>
      <c r="J644" s="1997"/>
      <c r="K644" s="1997"/>
      <c r="L644" s="1997"/>
      <c r="M644" s="1997"/>
    </row>
    <row r="645" spans="1:15" ht="18" x14ac:dyDescent="0.35">
      <c r="A645" s="1947"/>
      <c r="B645" s="1999"/>
      <c r="C645" s="1997"/>
      <c r="D645" s="1997"/>
      <c r="E645" s="1999"/>
      <c r="F645" s="1997"/>
      <c r="G645" s="2001"/>
      <c r="H645" s="1999"/>
      <c r="I645" s="1997"/>
      <c r="J645" s="1997"/>
      <c r="K645" s="1997"/>
      <c r="L645" s="1997"/>
      <c r="M645" s="1997"/>
    </row>
  </sheetData>
  <mergeCells count="11">
    <mergeCell ref="O4:O5"/>
    <mergeCell ref="A1:O1"/>
    <mergeCell ref="A2:O2"/>
    <mergeCell ref="A3:B3"/>
    <mergeCell ref="A4:A5"/>
    <mergeCell ref="B4:B5"/>
    <mergeCell ref="C4:E5"/>
    <mergeCell ref="F4:F5"/>
    <mergeCell ref="G4:G5"/>
    <mergeCell ref="H4:H5"/>
    <mergeCell ref="I4:N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/>
  <dimension ref="A1:W97"/>
  <sheetViews>
    <sheetView topLeftCell="A2" workbookViewId="0">
      <selection activeCell="H9" sqref="H9"/>
    </sheetView>
  </sheetViews>
  <sheetFormatPr defaultColWidth="9.109375" defaultRowHeight="15.6" x14ac:dyDescent="0.3"/>
  <cols>
    <col min="1" max="1" width="5.44140625" style="1992" customWidth="1"/>
    <col min="2" max="2" width="43.44140625" style="1947" customWidth="1"/>
    <col min="3" max="3" width="4.5546875" style="1947" customWidth="1"/>
    <col min="4" max="4" width="3.109375" style="1947" customWidth="1"/>
    <col min="5" max="5" width="5.6640625" style="1993" customWidth="1"/>
    <col min="6" max="6" width="9.88671875" style="1947" customWidth="1"/>
    <col min="7" max="7" width="12.6640625" style="2002" customWidth="1"/>
    <col min="8" max="8" width="25.88671875" style="1995" customWidth="1"/>
    <col min="9" max="14" width="3.33203125" style="1947" customWidth="1"/>
    <col min="15" max="15" width="11" style="1998" customWidth="1"/>
    <col min="16" max="16384" width="9.109375" style="1947"/>
  </cols>
  <sheetData>
    <row r="1" spans="1:23" ht="18" hidden="1" x14ac:dyDescent="0.35">
      <c r="A1" s="2974" t="s">
        <v>0</v>
      </c>
      <c r="B1" s="2974"/>
      <c r="C1" s="2974"/>
      <c r="D1" s="2974"/>
      <c r="E1" s="2974"/>
      <c r="F1" s="2974"/>
      <c r="G1" s="2974"/>
      <c r="H1" s="2974"/>
      <c r="I1" s="2974"/>
      <c r="J1" s="2974"/>
      <c r="K1" s="2974"/>
      <c r="L1" s="2974"/>
      <c r="M1" s="2974"/>
      <c r="N1" s="2974"/>
      <c r="O1" s="2974"/>
    </row>
    <row r="2" spans="1:23" ht="18" x14ac:dyDescent="0.35">
      <c r="A2" s="2974" t="s">
        <v>1</v>
      </c>
      <c r="B2" s="2974"/>
      <c r="C2" s="2974"/>
      <c r="D2" s="2974"/>
      <c r="E2" s="2974"/>
      <c r="F2" s="2974"/>
      <c r="G2" s="2974"/>
      <c r="H2" s="2974"/>
      <c r="I2" s="2974"/>
      <c r="J2" s="2974"/>
      <c r="K2" s="2974"/>
      <c r="L2" s="2974"/>
      <c r="M2" s="2974"/>
      <c r="N2" s="2974"/>
      <c r="O2" s="2974"/>
    </row>
    <row r="3" spans="1:23" s="2008" customFormat="1" ht="21" customHeight="1" x14ac:dyDescent="0.25">
      <c r="A3" s="2003" t="s">
        <v>5769</v>
      </c>
      <c r="B3" s="2003"/>
      <c r="C3" s="2004"/>
      <c r="D3" s="2004"/>
      <c r="E3" s="2004"/>
      <c r="F3" s="2004"/>
      <c r="G3" s="2005"/>
      <c r="H3" s="2006"/>
      <c r="I3" s="2004"/>
      <c r="J3" s="2004"/>
      <c r="K3" s="2004"/>
      <c r="L3" s="2004"/>
      <c r="M3" s="2004"/>
      <c r="N3" s="2004"/>
      <c r="O3" s="2007"/>
    </row>
    <row r="4" spans="1:23" s="1952" customFormat="1" ht="21" customHeight="1" x14ac:dyDescent="0.3">
      <c r="A4" s="2976" t="s">
        <v>3</v>
      </c>
      <c r="B4" s="2972" t="s">
        <v>4</v>
      </c>
      <c r="C4" s="2978" t="s">
        <v>5</v>
      </c>
      <c r="D4" s="2979"/>
      <c r="E4" s="2980"/>
      <c r="F4" s="1951" t="s">
        <v>6</v>
      </c>
      <c r="G4" s="2986" t="s">
        <v>7</v>
      </c>
      <c r="H4" s="2972" t="s">
        <v>8</v>
      </c>
      <c r="I4" s="2988" t="s">
        <v>9</v>
      </c>
      <c r="J4" s="2989"/>
      <c r="K4" s="2989"/>
      <c r="L4" s="2989"/>
      <c r="M4" s="2989"/>
      <c r="N4" s="2990"/>
      <c r="O4" s="2972" t="s">
        <v>10</v>
      </c>
    </row>
    <row r="5" spans="1:23" s="1952" customFormat="1" ht="39" customHeight="1" x14ac:dyDescent="0.3">
      <c r="A5" s="2977"/>
      <c r="B5" s="2973"/>
      <c r="C5" s="2981"/>
      <c r="D5" s="2982"/>
      <c r="E5" s="2983"/>
      <c r="F5" s="1953" t="s">
        <v>11</v>
      </c>
      <c r="G5" s="2987"/>
      <c r="H5" s="2973"/>
      <c r="I5" s="2009" t="s">
        <v>12</v>
      </c>
      <c r="J5" s="2009" t="s">
        <v>13</v>
      </c>
      <c r="K5" s="2010" t="s">
        <v>14</v>
      </c>
      <c r="L5" s="2010" t="s">
        <v>15</v>
      </c>
      <c r="M5" s="2010" t="s">
        <v>16</v>
      </c>
      <c r="N5" s="2010" t="s">
        <v>17</v>
      </c>
      <c r="O5" s="2973"/>
    </row>
    <row r="6" spans="1:23" s="2008" customFormat="1" ht="21" customHeight="1" x14ac:dyDescent="0.25">
      <c r="A6" s="1850" t="s">
        <v>625</v>
      </c>
      <c r="B6" s="97" t="s">
        <v>5770</v>
      </c>
      <c r="C6" s="97"/>
      <c r="D6" s="97"/>
      <c r="E6" s="1843"/>
      <c r="F6" s="97"/>
      <c r="G6" s="100"/>
      <c r="H6" s="101"/>
      <c r="I6" s="97"/>
      <c r="J6" s="97"/>
      <c r="K6" s="97"/>
      <c r="L6" s="97"/>
      <c r="M6" s="97"/>
      <c r="N6" s="2011"/>
      <c r="O6" s="2012"/>
    </row>
    <row r="7" spans="1:23" s="2008" customFormat="1" ht="21" customHeight="1" x14ac:dyDescent="0.25">
      <c r="A7" s="2410">
        <v>1</v>
      </c>
      <c r="B7" s="2013" t="s">
        <v>5771</v>
      </c>
      <c r="C7" s="2014" t="s">
        <v>625</v>
      </c>
      <c r="D7" s="2015">
        <v>62</v>
      </c>
      <c r="E7" s="2016" t="s">
        <v>927</v>
      </c>
      <c r="F7" s="2017" t="s">
        <v>5772</v>
      </c>
      <c r="G7" s="2018">
        <v>5337885</v>
      </c>
      <c r="H7" s="2019" t="s">
        <v>5773</v>
      </c>
      <c r="I7" s="2020" t="s">
        <v>25</v>
      </c>
      <c r="J7" s="2021"/>
      <c r="K7" s="2018"/>
      <c r="L7" s="2018"/>
      <c r="M7" s="2018"/>
      <c r="N7" s="2018"/>
      <c r="O7" s="2022"/>
      <c r="R7" s="2020" t="s">
        <v>25</v>
      </c>
      <c r="S7" s="2021"/>
      <c r="T7" s="2018"/>
      <c r="U7" s="2018"/>
      <c r="V7" s="2018"/>
      <c r="W7" s="2018"/>
    </row>
    <row r="8" spans="1:23" s="2008" customFormat="1" ht="21" customHeight="1" x14ac:dyDescent="0.25">
      <c r="A8" s="2023"/>
      <c r="B8" s="2024"/>
      <c r="C8" s="2025"/>
      <c r="D8" s="2026"/>
      <c r="E8" s="2027"/>
      <c r="F8" s="2028"/>
      <c r="G8" s="2029">
        <f>SUM(G7:G7)</f>
        <v>5337885</v>
      </c>
      <c r="H8" s="2030"/>
      <c r="I8" s="2031"/>
      <c r="J8" s="2031"/>
      <c r="K8" s="2032"/>
      <c r="L8" s="2032"/>
      <c r="M8" s="2032"/>
      <c r="N8" s="2032"/>
      <c r="O8" s="2033"/>
      <c r="R8" s="2031"/>
      <c r="S8" s="2031"/>
      <c r="T8" s="2032"/>
      <c r="U8" s="2032"/>
      <c r="V8" s="2032"/>
      <c r="W8" s="2032"/>
    </row>
    <row r="9" spans="1:23" s="2008" customFormat="1" ht="21" customHeight="1" x14ac:dyDescent="0.25">
      <c r="A9" s="2003" t="s">
        <v>5774</v>
      </c>
      <c r="B9" s="2003"/>
      <c r="C9" s="2004"/>
      <c r="D9" s="2004"/>
      <c r="E9" s="2004"/>
      <c r="F9" s="2004"/>
      <c r="G9" s="2005"/>
      <c r="H9" s="2006"/>
      <c r="I9" s="2004"/>
      <c r="J9" s="2004"/>
      <c r="K9" s="2004"/>
      <c r="L9" s="2004"/>
      <c r="M9" s="2004"/>
      <c r="N9" s="2004"/>
      <c r="O9" s="2007"/>
    </row>
    <row r="10" spans="1:23" s="2008" customFormat="1" ht="21" customHeight="1" x14ac:dyDescent="0.25">
      <c r="A10" s="2034" t="s">
        <v>1159</v>
      </c>
      <c r="B10" s="2035" t="s">
        <v>5775</v>
      </c>
      <c r="C10" s="2036"/>
      <c r="D10" s="2036"/>
      <c r="E10" s="2036"/>
      <c r="F10" s="2037"/>
      <c r="G10" s="2038"/>
      <c r="H10" s="2039"/>
      <c r="I10" s="2040"/>
      <c r="J10" s="2041"/>
      <c r="K10" s="2041"/>
      <c r="L10" s="2042"/>
      <c r="M10" s="2042"/>
      <c r="N10" s="2041"/>
      <c r="O10" s="2043"/>
    </row>
    <row r="11" spans="1:23" s="2054" customFormat="1" ht="21" customHeight="1" x14ac:dyDescent="0.25">
      <c r="A11" s="2282">
        <v>1</v>
      </c>
      <c r="B11" s="2045" t="s">
        <v>5776</v>
      </c>
      <c r="C11" s="2046" t="s">
        <v>1159</v>
      </c>
      <c r="D11" s="2047">
        <v>40</v>
      </c>
      <c r="E11" s="2048" t="s">
        <v>600</v>
      </c>
      <c r="F11" s="2049">
        <v>14691</v>
      </c>
      <c r="G11" s="2050">
        <v>2000000</v>
      </c>
      <c r="H11" s="2051" t="s">
        <v>5777</v>
      </c>
      <c r="I11" s="2052" t="s">
        <v>25</v>
      </c>
      <c r="J11" s="2045"/>
      <c r="K11" s="2269"/>
      <c r="L11" s="2269"/>
      <c r="M11" s="2269"/>
      <c r="N11" s="2269"/>
      <c r="O11" s="2053" t="s">
        <v>5778</v>
      </c>
      <c r="R11" s="2052" t="s">
        <v>25</v>
      </c>
      <c r="S11" s="2045"/>
      <c r="T11" s="2269"/>
      <c r="U11" s="2269"/>
      <c r="V11" s="2269"/>
      <c r="W11" s="2269"/>
    </row>
    <row r="12" spans="1:23" s="2054" customFormat="1" ht="21" customHeight="1" x14ac:dyDescent="0.25">
      <c r="A12" s="2283">
        <v>2</v>
      </c>
      <c r="B12" s="2055" t="s">
        <v>5779</v>
      </c>
      <c r="C12" s="2056" t="s">
        <v>1159</v>
      </c>
      <c r="D12" s="2057">
        <v>40</v>
      </c>
      <c r="E12" s="2058" t="s">
        <v>600</v>
      </c>
      <c r="F12" s="2059">
        <v>14691</v>
      </c>
      <c r="G12" s="2060">
        <v>459000</v>
      </c>
      <c r="H12" s="2061" t="s">
        <v>5777</v>
      </c>
      <c r="I12" s="2062" t="s">
        <v>25</v>
      </c>
      <c r="J12" s="2067"/>
      <c r="K12" s="2270"/>
      <c r="L12" s="2270"/>
      <c r="M12" s="2270"/>
      <c r="N12" s="2270"/>
      <c r="O12" s="2063" t="s">
        <v>5778</v>
      </c>
      <c r="R12" s="2062" t="s">
        <v>25</v>
      </c>
      <c r="S12" s="2067"/>
      <c r="T12" s="2270"/>
      <c r="U12" s="2270"/>
      <c r="V12" s="2270"/>
      <c r="W12" s="2270"/>
    </row>
    <row r="13" spans="1:23" s="2054" customFormat="1" ht="21" customHeight="1" x14ac:dyDescent="0.25">
      <c r="A13" s="2268">
        <v>3</v>
      </c>
      <c r="B13" s="2063" t="s">
        <v>5780</v>
      </c>
      <c r="C13" s="2056" t="s">
        <v>1159</v>
      </c>
      <c r="D13" s="2057">
        <v>49</v>
      </c>
      <c r="E13" s="2058" t="s">
        <v>1108</v>
      </c>
      <c r="F13" s="2064">
        <v>237312</v>
      </c>
      <c r="G13" s="2065">
        <v>640000</v>
      </c>
      <c r="H13" s="2066" t="s">
        <v>5781</v>
      </c>
      <c r="I13" s="2062"/>
      <c r="J13" s="2164" t="s">
        <v>25</v>
      </c>
      <c r="K13" s="2270"/>
      <c r="L13" s="2270"/>
      <c r="M13" s="2270"/>
      <c r="N13" s="2270"/>
      <c r="O13" s="2067"/>
      <c r="P13" s="2054">
        <v>1</v>
      </c>
      <c r="R13" s="2062"/>
      <c r="S13" s="2164" t="s">
        <v>25</v>
      </c>
      <c r="T13" s="2270"/>
      <c r="U13" s="2270"/>
      <c r="V13" s="2270"/>
      <c r="W13" s="2270"/>
    </row>
    <row r="14" spans="1:23" s="2054" customFormat="1" ht="21" customHeight="1" x14ac:dyDescent="0.25">
      <c r="A14" s="2296">
        <v>4</v>
      </c>
      <c r="B14" s="2068" t="s">
        <v>5782</v>
      </c>
      <c r="C14" s="2069" t="s">
        <v>1159</v>
      </c>
      <c r="D14" s="2070" t="s">
        <v>21</v>
      </c>
      <c r="E14" s="2071" t="s">
        <v>1110</v>
      </c>
      <c r="F14" s="2072" t="s">
        <v>23</v>
      </c>
      <c r="G14" s="2073">
        <v>357341.39</v>
      </c>
      <c r="H14" s="2074" t="s">
        <v>5783</v>
      </c>
      <c r="I14" s="2075" t="s">
        <v>25</v>
      </c>
      <c r="J14" s="2173"/>
      <c r="K14" s="2271"/>
      <c r="L14" s="2271"/>
      <c r="M14" s="2271"/>
      <c r="N14" s="2271"/>
      <c r="O14" s="2063"/>
      <c r="R14" s="2075" t="s">
        <v>25</v>
      </c>
      <c r="S14" s="2173"/>
      <c r="T14" s="2271"/>
      <c r="U14" s="2271"/>
      <c r="V14" s="2271"/>
      <c r="W14" s="2271"/>
    </row>
    <row r="15" spans="1:23" s="2054" customFormat="1" ht="21" customHeight="1" x14ac:dyDescent="0.25">
      <c r="A15" s="2296">
        <v>5</v>
      </c>
      <c r="B15" s="2077" t="s">
        <v>5784</v>
      </c>
      <c r="C15" s="2056" t="s">
        <v>1159</v>
      </c>
      <c r="D15" s="2078" t="s">
        <v>172</v>
      </c>
      <c r="E15" s="2058" t="s">
        <v>1112</v>
      </c>
      <c r="F15" s="2079"/>
      <c r="G15" s="2080">
        <v>293088</v>
      </c>
      <c r="H15" s="2081" t="s">
        <v>174</v>
      </c>
      <c r="I15" s="2082" t="s">
        <v>25</v>
      </c>
      <c r="J15" s="2272"/>
      <c r="K15" s="2273"/>
      <c r="L15" s="2273"/>
      <c r="M15" s="2273"/>
      <c r="N15" s="2274"/>
      <c r="O15" s="2297" t="s">
        <v>5862</v>
      </c>
      <c r="R15" s="2082" t="s">
        <v>25</v>
      </c>
      <c r="S15" s="2272"/>
      <c r="T15" s="2273"/>
      <c r="U15" s="2273"/>
      <c r="V15" s="2273"/>
      <c r="W15" s="2274"/>
    </row>
    <row r="16" spans="1:23" s="2054" customFormat="1" ht="21" customHeight="1" x14ac:dyDescent="0.25">
      <c r="A16" s="2296">
        <v>6</v>
      </c>
      <c r="B16" s="2077" t="s">
        <v>5785</v>
      </c>
      <c r="C16" s="2069" t="s">
        <v>1159</v>
      </c>
      <c r="D16" s="2078" t="s">
        <v>172</v>
      </c>
      <c r="E16" s="2071" t="s">
        <v>1113</v>
      </c>
      <c r="F16" s="2079"/>
      <c r="G16" s="2080">
        <v>2088586</v>
      </c>
      <c r="H16" s="2081" t="s">
        <v>174</v>
      </c>
      <c r="I16" s="2082" t="s">
        <v>25</v>
      </c>
      <c r="J16" s="2272"/>
      <c r="K16" s="2273"/>
      <c r="L16" s="2273"/>
      <c r="M16" s="2273"/>
      <c r="N16" s="2274"/>
      <c r="O16" s="2297" t="s">
        <v>5862</v>
      </c>
      <c r="R16" s="2082" t="s">
        <v>25</v>
      </c>
      <c r="S16" s="2272"/>
      <c r="T16" s="2273"/>
      <c r="U16" s="2273"/>
      <c r="V16" s="2273"/>
      <c r="W16" s="2274"/>
    </row>
    <row r="17" spans="1:23" s="2054" customFormat="1" ht="21" customHeight="1" x14ac:dyDescent="0.25">
      <c r="A17" s="2031"/>
      <c r="B17" s="2083"/>
      <c r="C17" s="2084"/>
      <c r="D17" s="2085"/>
      <c r="E17" s="2085"/>
      <c r="F17" s="2086"/>
      <c r="G17" s="2087">
        <f>SUM(G11:G16)</f>
        <v>5838015.3900000006</v>
      </c>
      <c r="H17" s="2083"/>
      <c r="I17" s="2088"/>
      <c r="J17" s="2083"/>
      <c r="K17" s="2275"/>
      <c r="L17" s="2275"/>
      <c r="M17" s="2275"/>
      <c r="N17" s="2276"/>
      <c r="O17" s="2089"/>
      <c r="R17" s="2088"/>
      <c r="S17" s="2083"/>
      <c r="T17" s="2275"/>
      <c r="U17" s="2275"/>
      <c r="V17" s="2275"/>
      <c r="W17" s="2276"/>
    </row>
    <row r="18" spans="1:23" s="2008" customFormat="1" ht="21" customHeight="1" x14ac:dyDescent="0.25">
      <c r="A18" s="2090" t="s">
        <v>5786</v>
      </c>
      <c r="B18" s="2035" t="s">
        <v>5787</v>
      </c>
      <c r="C18" s="2036"/>
      <c r="D18" s="2036"/>
      <c r="E18" s="2036"/>
      <c r="F18" s="2037"/>
      <c r="G18" s="2038"/>
      <c r="H18" s="2039"/>
      <c r="I18" s="2040"/>
      <c r="J18" s="2041"/>
      <c r="K18" s="2041"/>
      <c r="L18" s="2042"/>
      <c r="M18" s="2042"/>
      <c r="N18" s="2041"/>
      <c r="O18" s="2043"/>
    </row>
    <row r="19" spans="1:23" s="2054" customFormat="1" ht="21" customHeight="1" x14ac:dyDescent="0.25">
      <c r="A19" s="2282">
        <v>1</v>
      </c>
      <c r="B19" s="2045" t="s">
        <v>5788</v>
      </c>
      <c r="C19" s="2046" t="s">
        <v>5786</v>
      </c>
      <c r="D19" s="2047">
        <v>49</v>
      </c>
      <c r="E19" s="2048" t="s">
        <v>599</v>
      </c>
      <c r="F19" s="2091">
        <v>237312</v>
      </c>
      <c r="G19" s="2050">
        <v>252000</v>
      </c>
      <c r="H19" s="2092" t="s">
        <v>5781</v>
      </c>
      <c r="I19" s="2052" t="s">
        <v>25</v>
      </c>
      <c r="J19" s="2045"/>
      <c r="K19" s="2269"/>
      <c r="L19" s="2269"/>
      <c r="M19" s="2269"/>
      <c r="N19" s="2269"/>
      <c r="O19" s="2045" t="s">
        <v>4233</v>
      </c>
      <c r="R19" s="2052" t="s">
        <v>25</v>
      </c>
      <c r="S19" s="2045"/>
      <c r="T19" s="2269"/>
      <c r="U19" s="2269"/>
      <c r="V19" s="2269"/>
      <c r="W19" s="2269"/>
    </row>
    <row r="20" spans="1:23" s="2054" customFormat="1" ht="21" customHeight="1" x14ac:dyDescent="0.25">
      <c r="A20" s="2268">
        <v>2</v>
      </c>
      <c r="B20" s="2063" t="s">
        <v>5789</v>
      </c>
      <c r="C20" s="2069" t="s">
        <v>5786</v>
      </c>
      <c r="D20" s="2093">
        <v>49</v>
      </c>
      <c r="E20" s="2094" t="s">
        <v>600</v>
      </c>
      <c r="F20" s="2072">
        <v>237312</v>
      </c>
      <c r="G20" s="2095">
        <v>2100000</v>
      </c>
      <c r="H20" s="2096" t="s">
        <v>5781</v>
      </c>
      <c r="I20" s="2052" t="s">
        <v>25</v>
      </c>
      <c r="J20" s="2063"/>
      <c r="K20" s="2271"/>
      <c r="L20" s="2271"/>
      <c r="M20" s="2271"/>
      <c r="N20" s="2271"/>
      <c r="O20" s="2045" t="s">
        <v>4233</v>
      </c>
      <c r="R20" s="2052" t="s">
        <v>25</v>
      </c>
      <c r="S20" s="2063"/>
      <c r="T20" s="2271"/>
      <c r="U20" s="2271"/>
      <c r="V20" s="2271"/>
      <c r="W20" s="2271"/>
    </row>
    <row r="21" spans="1:23" s="2054" customFormat="1" ht="21" customHeight="1" x14ac:dyDescent="0.25">
      <c r="A21" s="2268">
        <v>3</v>
      </c>
      <c r="B21" s="2196" t="s">
        <v>5790</v>
      </c>
      <c r="C21" s="2069" t="s">
        <v>5786</v>
      </c>
      <c r="D21" s="2093">
        <v>49</v>
      </c>
      <c r="E21" s="2094" t="s">
        <v>1271</v>
      </c>
      <c r="F21" s="2072">
        <v>237312</v>
      </c>
      <c r="G21" s="2095">
        <v>1000000</v>
      </c>
      <c r="H21" s="2096" t="s">
        <v>5781</v>
      </c>
      <c r="I21" s="2075"/>
      <c r="J21" s="2063"/>
      <c r="K21" s="2052" t="s">
        <v>25</v>
      </c>
      <c r="L21" s="2271"/>
      <c r="M21" s="2271"/>
      <c r="N21" s="2271"/>
      <c r="O21" s="2045" t="s">
        <v>4233</v>
      </c>
      <c r="Q21" s="2054">
        <v>1</v>
      </c>
      <c r="R21" s="2075"/>
      <c r="S21" s="2063"/>
      <c r="T21" s="2052" t="s">
        <v>25</v>
      </c>
      <c r="U21" s="2271"/>
      <c r="V21" s="2271"/>
      <c r="W21" s="2271"/>
    </row>
    <row r="22" spans="1:23" s="2054" customFormat="1" ht="21" customHeight="1" x14ac:dyDescent="0.25">
      <c r="A22" s="2268">
        <v>4</v>
      </c>
      <c r="B22" s="2063" t="s">
        <v>5791</v>
      </c>
      <c r="C22" s="2069" t="s">
        <v>5786</v>
      </c>
      <c r="D22" s="2093">
        <v>49</v>
      </c>
      <c r="E22" s="2094" t="s">
        <v>1250</v>
      </c>
      <c r="F22" s="2072">
        <v>237312</v>
      </c>
      <c r="G22" s="2095">
        <v>720000</v>
      </c>
      <c r="H22" s="2096" t="s">
        <v>5781</v>
      </c>
      <c r="I22" s="2075" t="s">
        <v>25</v>
      </c>
      <c r="J22" s="2063"/>
      <c r="K22" s="2271"/>
      <c r="L22" s="2271"/>
      <c r="M22" s="2271"/>
      <c r="N22" s="2271"/>
      <c r="O22" s="2045" t="s">
        <v>4233</v>
      </c>
      <c r="R22" s="2075" t="s">
        <v>25</v>
      </c>
      <c r="S22" s="2063"/>
      <c r="T22" s="2271"/>
      <c r="U22" s="2271"/>
      <c r="V22" s="2271"/>
      <c r="W22" s="2271"/>
    </row>
    <row r="23" spans="1:23" s="2054" customFormat="1" ht="21" customHeight="1" x14ac:dyDescent="0.25">
      <c r="A23" s="2268">
        <v>5</v>
      </c>
      <c r="B23" s="2063" t="s">
        <v>5792</v>
      </c>
      <c r="C23" s="2069" t="s">
        <v>5786</v>
      </c>
      <c r="D23" s="2093">
        <v>49</v>
      </c>
      <c r="E23" s="2094" t="s">
        <v>1104</v>
      </c>
      <c r="F23" s="2072">
        <v>237312</v>
      </c>
      <c r="G23" s="2095">
        <v>384000</v>
      </c>
      <c r="H23" s="2096" t="s">
        <v>5781</v>
      </c>
      <c r="I23" s="2075"/>
      <c r="J23" s="2173" t="s">
        <v>25</v>
      </c>
      <c r="K23" s="2271"/>
      <c r="L23" s="2271"/>
      <c r="M23" s="2271"/>
      <c r="N23" s="2271"/>
      <c r="O23" s="2045" t="s">
        <v>4233</v>
      </c>
      <c r="P23" s="2054">
        <v>2</v>
      </c>
      <c r="R23" s="2075"/>
      <c r="S23" s="2173" t="s">
        <v>25</v>
      </c>
      <c r="T23" s="2271"/>
      <c r="U23" s="2271"/>
      <c r="V23" s="2271"/>
      <c r="W23" s="2271"/>
    </row>
    <row r="24" spans="1:23" s="2054" customFormat="1" ht="21" customHeight="1" x14ac:dyDescent="0.25">
      <c r="A24" s="2268">
        <v>6</v>
      </c>
      <c r="B24" s="2063" t="s">
        <v>5793</v>
      </c>
      <c r="C24" s="2069" t="s">
        <v>5786</v>
      </c>
      <c r="D24" s="2093">
        <v>49</v>
      </c>
      <c r="E24" s="2094" t="s">
        <v>1106</v>
      </c>
      <c r="F24" s="2072">
        <v>237312</v>
      </c>
      <c r="G24" s="2095">
        <v>8000000</v>
      </c>
      <c r="H24" s="2096" t="s">
        <v>5781</v>
      </c>
      <c r="I24" s="2075" t="s">
        <v>25</v>
      </c>
      <c r="J24" s="2063"/>
      <c r="K24" s="2271"/>
      <c r="L24" s="2271"/>
      <c r="M24" s="2271"/>
      <c r="N24" s="2271"/>
      <c r="O24" s="2045" t="s">
        <v>4233</v>
      </c>
      <c r="R24" s="2075" t="s">
        <v>25</v>
      </c>
      <c r="S24" s="2063"/>
      <c r="T24" s="2271"/>
      <c r="U24" s="2271"/>
      <c r="V24" s="2271"/>
      <c r="W24" s="2271"/>
    </row>
    <row r="25" spans="1:23" s="2054" customFormat="1" ht="21" customHeight="1" x14ac:dyDescent="0.25">
      <c r="A25" s="2097"/>
      <c r="B25" s="2098"/>
      <c r="C25" s="2099"/>
      <c r="D25" s="2085"/>
      <c r="E25" s="2100"/>
      <c r="F25" s="2101"/>
      <c r="G25" s="2102">
        <f>G24+G23+G22+G21+G20+G19</f>
        <v>12456000</v>
      </c>
      <c r="H25" s="2098"/>
      <c r="I25" s="2103"/>
      <c r="J25" s="2098"/>
      <c r="K25" s="2277"/>
      <c r="L25" s="2277"/>
      <c r="M25" s="2277"/>
      <c r="N25" s="2277"/>
      <c r="O25" s="2098"/>
      <c r="R25" s="2103"/>
      <c r="S25" s="2098"/>
      <c r="T25" s="2277"/>
      <c r="U25" s="2277"/>
      <c r="V25" s="2277"/>
      <c r="W25" s="2277"/>
    </row>
    <row r="26" spans="1:23" s="2054" customFormat="1" ht="21" customHeight="1" x14ac:dyDescent="0.25">
      <c r="A26" s="2104"/>
      <c r="B26" s="2105"/>
      <c r="C26" s="2106"/>
      <c r="D26" s="2106"/>
      <c r="E26" s="2106"/>
      <c r="F26" s="2106"/>
      <c r="G26" s="2107"/>
      <c r="H26" s="2105"/>
      <c r="I26" s="2108"/>
      <c r="J26" s="2105"/>
      <c r="K26" s="2278"/>
      <c r="L26" s="2278"/>
      <c r="M26" s="2278"/>
      <c r="N26" s="2278"/>
      <c r="O26" s="2109"/>
    </row>
    <row r="27" spans="1:23" s="2008" customFormat="1" ht="21" customHeight="1" x14ac:dyDescent="0.25">
      <c r="A27" s="1956" t="s">
        <v>1300</v>
      </c>
      <c r="B27" s="2110" t="s">
        <v>5794</v>
      </c>
      <c r="C27" s="1958"/>
      <c r="D27" s="1958"/>
      <c r="E27" s="1958"/>
      <c r="F27" s="2111"/>
      <c r="G27" s="1960"/>
      <c r="H27" s="2112"/>
      <c r="I27" s="23"/>
      <c r="J27" s="2113"/>
      <c r="K27" s="2113"/>
      <c r="L27" s="2114"/>
      <c r="M27" s="2114"/>
      <c r="N27" s="2113"/>
      <c r="O27" s="2115"/>
    </row>
    <row r="28" spans="1:23" s="2054" customFormat="1" ht="21" customHeight="1" x14ac:dyDescent="0.25">
      <c r="A28" s="2283">
        <v>1</v>
      </c>
      <c r="B28" s="2067" t="s">
        <v>5795</v>
      </c>
      <c r="C28" s="2056" t="s">
        <v>1300</v>
      </c>
      <c r="D28" s="2057">
        <v>49</v>
      </c>
      <c r="E28" s="2058" t="s">
        <v>319</v>
      </c>
      <c r="F28" s="2064">
        <v>237312</v>
      </c>
      <c r="G28" s="2116">
        <v>250000</v>
      </c>
      <c r="H28" s="2117" t="s">
        <v>5781</v>
      </c>
      <c r="I28" s="2062"/>
      <c r="J28" s="2062" t="s">
        <v>25</v>
      </c>
      <c r="K28" s="2062"/>
      <c r="L28" s="2270"/>
      <c r="M28" s="2270"/>
      <c r="N28" s="2270"/>
      <c r="O28" s="2067" t="s">
        <v>4233</v>
      </c>
      <c r="P28" s="2054">
        <v>3</v>
      </c>
      <c r="R28" s="2062"/>
      <c r="S28" s="2062" t="s">
        <v>25</v>
      </c>
      <c r="T28" s="2062"/>
      <c r="U28" s="2270"/>
      <c r="V28" s="2270"/>
      <c r="W28" s="2270"/>
    </row>
    <row r="29" spans="1:23" s="2054" customFormat="1" ht="21" customHeight="1" x14ac:dyDescent="0.25">
      <c r="A29" s="2283">
        <v>2</v>
      </c>
      <c r="B29" s="2068" t="s">
        <v>5796</v>
      </c>
      <c r="C29" s="2069" t="s">
        <v>1300</v>
      </c>
      <c r="D29" s="2057">
        <v>66</v>
      </c>
      <c r="E29" s="2058" t="s">
        <v>320</v>
      </c>
      <c r="F29" s="2064" t="s">
        <v>23</v>
      </c>
      <c r="G29" s="2118">
        <v>314953.8</v>
      </c>
      <c r="H29" s="2119" t="s">
        <v>5783</v>
      </c>
      <c r="I29" s="2062" t="s">
        <v>25</v>
      </c>
      <c r="J29" s="2120"/>
      <c r="K29" s="2120"/>
      <c r="L29" s="2279"/>
      <c r="M29" s="2279"/>
      <c r="N29" s="2279"/>
      <c r="O29" s="2121"/>
      <c r="R29" s="2062" t="s">
        <v>25</v>
      </c>
      <c r="S29" s="2120"/>
      <c r="T29" s="2120"/>
      <c r="U29" s="2279"/>
      <c r="V29" s="2279"/>
      <c r="W29" s="2279"/>
    </row>
    <row r="30" spans="1:23" s="2054" customFormat="1" ht="21" customHeight="1" x14ac:dyDescent="0.25">
      <c r="A30" s="2298">
        <v>3</v>
      </c>
      <c r="B30" s="2122" t="s">
        <v>5797</v>
      </c>
      <c r="C30" s="2069" t="s">
        <v>1300</v>
      </c>
      <c r="D30" s="2057">
        <v>67</v>
      </c>
      <c r="E30" s="2058" t="s">
        <v>322</v>
      </c>
      <c r="F30" s="2123"/>
      <c r="G30" s="2124">
        <v>2202481</v>
      </c>
      <c r="H30" s="2081" t="s">
        <v>174</v>
      </c>
      <c r="I30" s="2120" t="s">
        <v>25</v>
      </c>
      <c r="J30" s="2120"/>
      <c r="K30" s="2120"/>
      <c r="L30" s="2279"/>
      <c r="M30" s="2279"/>
      <c r="N30" s="2279"/>
      <c r="O30" s="2297" t="s">
        <v>5862</v>
      </c>
      <c r="R30" s="2120" t="s">
        <v>25</v>
      </c>
      <c r="S30" s="2120"/>
      <c r="T30" s="2120"/>
      <c r="U30" s="2279"/>
      <c r="V30" s="2279"/>
      <c r="W30" s="2279"/>
    </row>
    <row r="31" spans="1:23" s="2054" customFormat="1" ht="21" customHeight="1" x14ac:dyDescent="0.25">
      <c r="A31" s="2031"/>
      <c r="B31" s="2089"/>
      <c r="C31" s="2084"/>
      <c r="D31" s="2125"/>
      <c r="E31" s="2126"/>
      <c r="F31" s="2086"/>
      <c r="G31" s="2127">
        <f>SUM(G28:G30)</f>
        <v>2767434.8</v>
      </c>
      <c r="H31" s="2089"/>
      <c r="I31" s="2128"/>
      <c r="J31" s="2089"/>
      <c r="K31" s="2276"/>
      <c r="L31" s="2276"/>
      <c r="M31" s="2276"/>
      <c r="N31" s="2276"/>
      <c r="O31" s="2089"/>
      <c r="R31" s="2128"/>
      <c r="S31" s="2089"/>
      <c r="T31" s="2276"/>
      <c r="U31" s="2276"/>
      <c r="V31" s="2276"/>
      <c r="W31" s="2276"/>
    </row>
    <row r="32" spans="1:23" s="2008" customFormat="1" ht="21" customHeight="1" x14ac:dyDescent="0.25">
      <c r="A32" s="2003" t="s">
        <v>5798</v>
      </c>
      <c r="B32" s="2003"/>
      <c r="C32" s="2004"/>
      <c r="D32" s="2004"/>
      <c r="E32" s="2004"/>
      <c r="F32" s="2004"/>
      <c r="G32" s="2005"/>
      <c r="H32" s="2006"/>
      <c r="I32" s="2004"/>
      <c r="J32" s="2004"/>
      <c r="K32" s="2004"/>
      <c r="L32" s="2004"/>
      <c r="M32" s="2004"/>
      <c r="N32" s="2004"/>
      <c r="O32" s="2007"/>
    </row>
    <row r="33" spans="1:23" s="2008" customFormat="1" ht="21" customHeight="1" x14ac:dyDescent="0.25">
      <c r="A33" s="2090" t="s">
        <v>764</v>
      </c>
      <c r="B33" s="2035" t="s">
        <v>5799</v>
      </c>
      <c r="C33" s="2036"/>
      <c r="D33" s="2036"/>
      <c r="E33" s="2036"/>
      <c r="F33" s="2037"/>
      <c r="G33" s="2038"/>
      <c r="H33" s="2039"/>
      <c r="I33" s="2040"/>
      <c r="J33" s="2041"/>
      <c r="K33" s="2041"/>
      <c r="L33" s="2042"/>
      <c r="M33" s="2042"/>
      <c r="N33" s="2041"/>
      <c r="O33" s="2043"/>
    </row>
    <row r="34" spans="1:23" s="2054" customFormat="1" ht="21" customHeight="1" x14ac:dyDescent="0.25">
      <c r="A34" s="2282">
        <v>1</v>
      </c>
      <c r="B34" s="2045" t="s">
        <v>5800</v>
      </c>
      <c r="C34" s="2046" t="s">
        <v>764</v>
      </c>
      <c r="D34" s="2047">
        <v>62</v>
      </c>
      <c r="E34" s="2048" t="s">
        <v>1125</v>
      </c>
      <c r="F34" s="2129" t="s">
        <v>5801</v>
      </c>
      <c r="G34" s="2050">
        <v>6817490.75</v>
      </c>
      <c r="H34" s="2051" t="s">
        <v>490</v>
      </c>
      <c r="I34" s="2052" t="s">
        <v>25</v>
      </c>
      <c r="J34" s="2045"/>
      <c r="K34" s="2269"/>
      <c r="L34" s="2269"/>
      <c r="M34" s="2269"/>
      <c r="N34" s="2269"/>
      <c r="O34" s="2130" t="s">
        <v>5802</v>
      </c>
      <c r="R34" s="2052" t="s">
        <v>25</v>
      </c>
      <c r="S34" s="2045"/>
      <c r="T34" s="2269"/>
      <c r="U34" s="2269"/>
      <c r="V34" s="2269"/>
      <c r="W34" s="2269"/>
    </row>
    <row r="35" spans="1:23" s="2054" customFormat="1" ht="21" customHeight="1" x14ac:dyDescent="0.25">
      <c r="A35" s="2097"/>
      <c r="B35" s="2098"/>
      <c r="C35" s="2099"/>
      <c r="D35" s="2085"/>
      <c r="E35" s="2100"/>
      <c r="F35" s="2101"/>
      <c r="G35" s="2102">
        <f>SUM(G34)</f>
        <v>6817490.75</v>
      </c>
      <c r="H35" s="2098"/>
      <c r="I35" s="2103"/>
      <c r="J35" s="2098"/>
      <c r="K35" s="2277"/>
      <c r="L35" s="2277"/>
      <c r="M35" s="2277"/>
      <c r="N35" s="2277"/>
      <c r="O35" s="2098"/>
      <c r="R35" s="2103"/>
      <c r="S35" s="2098"/>
      <c r="T35" s="2277"/>
      <c r="U35" s="2277"/>
      <c r="V35" s="2277"/>
      <c r="W35" s="2277"/>
    </row>
    <row r="36" spans="1:23" s="2008" customFormat="1" ht="21" customHeight="1" x14ac:dyDescent="0.25">
      <c r="A36" s="2131" t="s">
        <v>5803</v>
      </c>
      <c r="B36" s="2110" t="s">
        <v>5804</v>
      </c>
      <c r="C36" s="1958"/>
      <c r="D36" s="1958"/>
      <c r="E36" s="1958"/>
      <c r="F36" s="2111"/>
      <c r="G36" s="1960"/>
      <c r="H36" s="2112"/>
      <c r="I36" s="23"/>
      <c r="J36" s="2113"/>
      <c r="K36" s="2113"/>
      <c r="L36" s="2114"/>
      <c r="M36" s="2114"/>
      <c r="N36" s="2113"/>
      <c r="O36" s="2115"/>
    </row>
    <row r="37" spans="1:23" s="2008" customFormat="1" ht="21" customHeight="1" x14ac:dyDescent="0.25">
      <c r="A37" s="2411" t="s">
        <v>898</v>
      </c>
      <c r="B37" s="2133" t="s">
        <v>5805</v>
      </c>
      <c r="C37" s="2134" t="s">
        <v>5803</v>
      </c>
      <c r="D37" s="2135">
        <v>52</v>
      </c>
      <c r="E37" s="2136" t="s">
        <v>1271</v>
      </c>
      <c r="F37" s="2132" t="s">
        <v>5806</v>
      </c>
      <c r="G37" s="2137">
        <v>1490832</v>
      </c>
      <c r="H37" s="2051" t="s">
        <v>490</v>
      </c>
      <c r="I37" s="2075" t="s">
        <v>25</v>
      </c>
      <c r="J37" s="2138"/>
      <c r="K37" s="2138"/>
      <c r="L37" s="2139"/>
      <c r="M37" s="2139"/>
      <c r="N37" s="2138"/>
      <c r="O37" s="2140" t="s">
        <v>5807</v>
      </c>
      <c r="R37" s="2075" t="s">
        <v>25</v>
      </c>
      <c r="S37" s="2138"/>
      <c r="T37" s="2138"/>
      <c r="U37" s="2139"/>
      <c r="V37" s="2139"/>
      <c r="W37" s="2138"/>
    </row>
    <row r="38" spans="1:23" s="2008" customFormat="1" ht="21" customHeight="1" x14ac:dyDescent="0.25">
      <c r="A38" s="2412" t="s">
        <v>902</v>
      </c>
      <c r="B38" s="2142" t="s">
        <v>5808</v>
      </c>
      <c r="C38" s="2143" t="s">
        <v>5803</v>
      </c>
      <c r="D38" s="2144">
        <v>52</v>
      </c>
      <c r="E38" s="2145" t="s">
        <v>1250</v>
      </c>
      <c r="F38" s="2146" t="s">
        <v>5806</v>
      </c>
      <c r="G38" s="2147">
        <v>27200</v>
      </c>
      <c r="H38" s="2148" t="s">
        <v>490</v>
      </c>
      <c r="I38" s="2075" t="s">
        <v>25</v>
      </c>
      <c r="J38" s="2149"/>
      <c r="K38" s="2149"/>
      <c r="L38" s="2150"/>
      <c r="M38" s="2150"/>
      <c r="N38" s="2149"/>
      <c r="O38" s="2151" t="s">
        <v>5807</v>
      </c>
      <c r="R38" s="2075" t="s">
        <v>25</v>
      </c>
      <c r="S38" s="2149"/>
      <c r="T38" s="2149"/>
      <c r="U38" s="2150"/>
      <c r="V38" s="2150"/>
      <c r="W38" s="2149"/>
    </row>
    <row r="39" spans="1:23" s="2008" customFormat="1" ht="21" customHeight="1" x14ac:dyDescent="0.25">
      <c r="A39" s="2412" t="s">
        <v>1164</v>
      </c>
      <c r="B39" s="2142" t="s">
        <v>5809</v>
      </c>
      <c r="C39" s="2143" t="s">
        <v>5803</v>
      </c>
      <c r="D39" s="2144">
        <v>55</v>
      </c>
      <c r="E39" s="2145" t="s">
        <v>1104</v>
      </c>
      <c r="F39" s="2152" t="s">
        <v>5810</v>
      </c>
      <c r="G39" s="2153">
        <v>261779.54</v>
      </c>
      <c r="H39" s="2148" t="s">
        <v>490</v>
      </c>
      <c r="I39" s="2075" t="s">
        <v>25</v>
      </c>
      <c r="J39" s="2149"/>
      <c r="K39" s="2149"/>
      <c r="L39" s="2150"/>
      <c r="M39" s="2150"/>
      <c r="N39" s="2149"/>
      <c r="O39" s="2154" t="s">
        <v>5811</v>
      </c>
      <c r="P39" s="2008" t="s">
        <v>5812</v>
      </c>
      <c r="R39" s="2075" t="s">
        <v>25</v>
      </c>
      <c r="S39" s="2149"/>
      <c r="T39" s="2149"/>
      <c r="U39" s="2150"/>
      <c r="V39" s="2150"/>
      <c r="W39" s="2149"/>
    </row>
    <row r="40" spans="1:23" s="2008" customFormat="1" ht="21" customHeight="1" x14ac:dyDescent="0.25">
      <c r="A40" s="2412" t="s">
        <v>1166</v>
      </c>
      <c r="B40" s="2142" t="s">
        <v>5813</v>
      </c>
      <c r="C40" s="2143" t="s">
        <v>5803</v>
      </c>
      <c r="D40" s="2144">
        <v>55</v>
      </c>
      <c r="E40" s="2155" t="s">
        <v>1106</v>
      </c>
      <c r="F40" s="2141" t="s">
        <v>4796</v>
      </c>
      <c r="G40" s="2156">
        <v>147900.96</v>
      </c>
      <c r="H40" s="2157" t="s">
        <v>41</v>
      </c>
      <c r="I40" s="2075" t="s">
        <v>25</v>
      </c>
      <c r="J40" s="2149"/>
      <c r="K40" s="2149"/>
      <c r="L40" s="2150"/>
      <c r="M40" s="2150"/>
      <c r="N40" s="2149"/>
      <c r="O40" s="2158" t="s">
        <v>5814</v>
      </c>
      <c r="P40" s="2008" t="s">
        <v>5815</v>
      </c>
      <c r="R40" s="2075" t="s">
        <v>25</v>
      </c>
      <c r="S40" s="2149"/>
      <c r="T40" s="2149"/>
      <c r="U40" s="2150"/>
      <c r="V40" s="2150"/>
      <c r="W40" s="2149"/>
    </row>
    <row r="41" spans="1:23" s="2008" customFormat="1" ht="21" customHeight="1" x14ac:dyDescent="0.25">
      <c r="A41" s="2412" t="s">
        <v>1168</v>
      </c>
      <c r="B41" s="2142" t="s">
        <v>5816</v>
      </c>
      <c r="C41" s="2159" t="s">
        <v>5803</v>
      </c>
      <c r="D41" s="2144">
        <v>55</v>
      </c>
      <c r="E41" s="2155" t="s">
        <v>1107</v>
      </c>
      <c r="F41" s="2141" t="s">
        <v>4796</v>
      </c>
      <c r="G41" s="2156">
        <v>261521.95</v>
      </c>
      <c r="H41" s="2157" t="s">
        <v>41</v>
      </c>
      <c r="I41" s="2075" t="s">
        <v>25</v>
      </c>
      <c r="J41" s="2149"/>
      <c r="K41" s="2149"/>
      <c r="L41" s="2150"/>
      <c r="M41" s="2150"/>
      <c r="N41" s="2149"/>
      <c r="O41" s="2158" t="s">
        <v>5814</v>
      </c>
      <c r="P41" s="2008" t="s">
        <v>5817</v>
      </c>
      <c r="R41" s="2075" t="s">
        <v>25</v>
      </c>
      <c r="S41" s="2149"/>
      <c r="T41" s="2149"/>
      <c r="U41" s="2150"/>
      <c r="V41" s="2150"/>
      <c r="W41" s="2149"/>
    </row>
    <row r="42" spans="1:23" s="2008" customFormat="1" ht="21" customHeight="1" x14ac:dyDescent="0.25">
      <c r="A42" s="2432" t="s">
        <v>4343</v>
      </c>
      <c r="B42" s="2160" t="s">
        <v>5813</v>
      </c>
      <c r="C42" s="2159" t="s">
        <v>5803</v>
      </c>
      <c r="D42" s="2161">
        <v>55</v>
      </c>
      <c r="E42" s="2155" t="s">
        <v>399</v>
      </c>
      <c r="F42" s="2141" t="s">
        <v>4796</v>
      </c>
      <c r="G42" s="2153">
        <v>147900.97</v>
      </c>
      <c r="H42" s="2157" t="s">
        <v>41</v>
      </c>
      <c r="I42" s="2075" t="s">
        <v>25</v>
      </c>
      <c r="J42" s="2162"/>
      <c r="K42" s="2162"/>
      <c r="L42" s="2163"/>
      <c r="M42" s="2163"/>
      <c r="N42" s="2162"/>
      <c r="O42" s="2158" t="s">
        <v>5814</v>
      </c>
      <c r="P42" s="2008" t="s">
        <v>5818</v>
      </c>
      <c r="R42" s="2075" t="s">
        <v>25</v>
      </c>
      <c r="S42" s="2162"/>
      <c r="T42" s="2162"/>
      <c r="U42" s="2163"/>
      <c r="V42" s="2163"/>
      <c r="W42" s="2162"/>
    </row>
    <row r="43" spans="1:23" s="2008" customFormat="1" ht="21" customHeight="1" x14ac:dyDescent="0.25">
      <c r="A43" s="2432" t="s">
        <v>4346</v>
      </c>
      <c r="B43" s="2160" t="s">
        <v>5819</v>
      </c>
      <c r="C43" s="2159" t="s">
        <v>5803</v>
      </c>
      <c r="D43" s="2161">
        <v>55</v>
      </c>
      <c r="E43" s="2155" t="s">
        <v>1108</v>
      </c>
      <c r="F43" s="2141" t="s">
        <v>4796</v>
      </c>
      <c r="G43" s="2153">
        <v>112968.11</v>
      </c>
      <c r="H43" s="2157" t="s">
        <v>41</v>
      </c>
      <c r="I43" s="2075" t="s">
        <v>25</v>
      </c>
      <c r="J43" s="2162"/>
      <c r="K43" s="2162"/>
      <c r="L43" s="2163"/>
      <c r="M43" s="2163"/>
      <c r="N43" s="2162"/>
      <c r="O43" s="2158" t="s">
        <v>5814</v>
      </c>
      <c r="R43" s="2075" t="s">
        <v>25</v>
      </c>
      <c r="S43" s="2162"/>
      <c r="T43" s="2162"/>
      <c r="U43" s="2163"/>
      <c r="V43" s="2163"/>
      <c r="W43" s="2162"/>
    </row>
    <row r="44" spans="1:23" s="2054" customFormat="1" ht="21" customHeight="1" x14ac:dyDescent="0.25">
      <c r="A44" s="2031"/>
      <c r="B44" s="2089"/>
      <c r="C44" s="2084"/>
      <c r="D44" s="2125"/>
      <c r="E44" s="2126"/>
      <c r="F44" s="2086"/>
      <c r="G44" s="2127">
        <f>SUM(G37:G43)</f>
        <v>2450103.5300000003</v>
      </c>
      <c r="H44" s="2089"/>
      <c r="I44" s="2128"/>
      <c r="J44" s="2089"/>
      <c r="K44" s="2276"/>
      <c r="L44" s="2276"/>
      <c r="M44" s="2276"/>
      <c r="N44" s="2276"/>
      <c r="O44" s="2089"/>
      <c r="R44" s="2128"/>
      <c r="S44" s="2089"/>
      <c r="T44" s="2276"/>
      <c r="U44" s="2276"/>
      <c r="V44" s="2276"/>
      <c r="W44" s="2276"/>
    </row>
    <row r="45" spans="1:23" s="2008" customFormat="1" ht="21" customHeight="1" x14ac:dyDescent="0.25">
      <c r="A45" s="2131" t="s">
        <v>5820</v>
      </c>
      <c r="B45" s="2110" t="s">
        <v>5821</v>
      </c>
      <c r="C45" s="1958"/>
      <c r="D45" s="1958"/>
      <c r="E45" s="1958"/>
      <c r="F45" s="2111"/>
      <c r="G45" s="1960"/>
      <c r="H45" s="2112"/>
      <c r="I45" s="23"/>
      <c r="J45" s="2113"/>
      <c r="K45" s="2113"/>
      <c r="L45" s="2114"/>
      <c r="M45" s="2114"/>
      <c r="N45" s="2113"/>
      <c r="O45" s="2115"/>
    </row>
    <row r="46" spans="1:23" s="2008" customFormat="1" ht="21" customHeight="1" x14ac:dyDescent="0.25">
      <c r="A46" s="2410">
        <v>1</v>
      </c>
      <c r="B46" s="2165" t="s">
        <v>5822</v>
      </c>
      <c r="C46" s="2166" t="s">
        <v>5820</v>
      </c>
      <c r="D46" s="2144">
        <v>62</v>
      </c>
      <c r="E46" s="2167" t="s">
        <v>1113</v>
      </c>
      <c r="F46" s="2132" t="s">
        <v>552</v>
      </c>
      <c r="G46" s="2168">
        <v>923076</v>
      </c>
      <c r="H46" s="2169" t="s">
        <v>215</v>
      </c>
      <c r="I46" s="2062" t="s">
        <v>25</v>
      </c>
      <c r="J46" s="2062"/>
      <c r="K46" s="2170"/>
      <c r="L46" s="2171"/>
      <c r="M46" s="2170"/>
      <c r="N46" s="2171"/>
      <c r="O46" s="2172"/>
      <c r="R46" s="2062" t="s">
        <v>25</v>
      </c>
      <c r="S46" s="2062"/>
      <c r="T46" s="2170"/>
      <c r="U46" s="2171"/>
      <c r="V46" s="2170"/>
      <c r="W46" s="2171"/>
    </row>
    <row r="47" spans="1:23" s="2008" customFormat="1" ht="21" customHeight="1" x14ac:dyDescent="0.25">
      <c r="A47" s="2414"/>
      <c r="B47" s="2174" t="s">
        <v>5823</v>
      </c>
      <c r="C47" s="2175"/>
      <c r="D47" s="2161"/>
      <c r="E47" s="2176"/>
      <c r="F47" s="2152"/>
      <c r="G47" s="2177"/>
      <c r="H47" s="2178"/>
      <c r="I47" s="2075"/>
      <c r="J47" s="2075"/>
      <c r="K47" s="489"/>
      <c r="L47" s="490"/>
      <c r="M47" s="489"/>
      <c r="N47" s="490"/>
      <c r="O47" s="2179"/>
      <c r="R47" s="2075"/>
      <c r="S47" s="2075"/>
      <c r="T47" s="489"/>
      <c r="U47" s="490"/>
      <c r="V47" s="489"/>
      <c r="W47" s="490"/>
    </row>
    <row r="48" spans="1:23" s="2008" customFormat="1" ht="21" customHeight="1" x14ac:dyDescent="0.25">
      <c r="A48" s="2413">
        <v>2</v>
      </c>
      <c r="B48" s="2068" t="s">
        <v>5824</v>
      </c>
      <c r="C48" s="2175" t="s">
        <v>5820</v>
      </c>
      <c r="D48" s="2161">
        <v>66</v>
      </c>
      <c r="E48" s="2176" t="s">
        <v>1115</v>
      </c>
      <c r="F48" s="2152" t="s">
        <v>23</v>
      </c>
      <c r="G48" s="2180">
        <v>339477</v>
      </c>
      <c r="H48" s="2181" t="s">
        <v>5783</v>
      </c>
      <c r="I48" s="2062" t="s">
        <v>25</v>
      </c>
      <c r="J48" s="2182"/>
      <c r="K48" s="2183"/>
      <c r="L48" s="2184"/>
      <c r="M48" s="2183"/>
      <c r="N48" s="2185"/>
      <c r="O48" s="2186"/>
      <c r="R48" s="2062" t="s">
        <v>25</v>
      </c>
      <c r="S48" s="2182"/>
      <c r="T48" s="2183"/>
      <c r="U48" s="2184"/>
      <c r="V48" s="2183"/>
      <c r="W48" s="2185"/>
    </row>
    <row r="49" spans="1:23" s="2008" customFormat="1" ht="21" customHeight="1" x14ac:dyDescent="0.25">
      <c r="A49" s="2413">
        <v>3</v>
      </c>
      <c r="B49" s="2068" t="s">
        <v>5825</v>
      </c>
      <c r="C49" s="2175" t="s">
        <v>5820</v>
      </c>
      <c r="D49" s="2161">
        <v>66</v>
      </c>
      <c r="E49" s="2176" t="s">
        <v>1347</v>
      </c>
      <c r="F49" s="2152" t="s">
        <v>23</v>
      </c>
      <c r="G49" s="2180">
        <v>1228255.46</v>
      </c>
      <c r="H49" s="2074" t="s">
        <v>5783</v>
      </c>
      <c r="I49" s="2062" t="s">
        <v>25</v>
      </c>
      <c r="J49" s="2182"/>
      <c r="K49" s="2183"/>
      <c r="L49" s="2184"/>
      <c r="M49" s="2183"/>
      <c r="N49" s="2185"/>
      <c r="O49" s="2186"/>
      <c r="R49" s="2062" t="s">
        <v>25</v>
      </c>
      <c r="S49" s="2182"/>
      <c r="T49" s="2183"/>
      <c r="U49" s="2184"/>
      <c r="V49" s="2183"/>
      <c r="W49" s="2185"/>
    </row>
    <row r="50" spans="1:23" s="2008" customFormat="1" ht="21" customHeight="1" x14ac:dyDescent="0.25">
      <c r="A50" s="2023"/>
      <c r="B50" s="2024"/>
      <c r="C50" s="2026"/>
      <c r="D50" s="2026"/>
      <c r="E50" s="2027"/>
      <c r="F50" s="2027"/>
      <c r="G50" s="2029">
        <f>SUM(G46:G49)</f>
        <v>2490808.46</v>
      </c>
      <c r="H50" s="2030"/>
      <c r="I50" s="2031"/>
      <c r="J50" s="2031"/>
      <c r="K50" s="2032"/>
      <c r="L50" s="2032"/>
      <c r="M50" s="2032"/>
      <c r="N50" s="2187"/>
      <c r="O50" s="2033"/>
      <c r="R50" s="2031"/>
      <c r="S50" s="2031"/>
      <c r="T50" s="2032"/>
      <c r="U50" s="2032"/>
      <c r="V50" s="2032"/>
      <c r="W50" s="2187"/>
    </row>
    <row r="51" spans="1:23" s="2008" customFormat="1" ht="21" customHeight="1" x14ac:dyDescent="0.25">
      <c r="A51" s="2090" t="s">
        <v>5826</v>
      </c>
      <c r="B51" s="2035" t="s">
        <v>5827</v>
      </c>
      <c r="C51" s="2036"/>
      <c r="D51" s="2036"/>
      <c r="E51" s="2036"/>
      <c r="F51" s="2037"/>
      <c r="G51" s="2038"/>
      <c r="H51" s="2039"/>
      <c r="I51" s="2040"/>
      <c r="J51" s="2041"/>
      <c r="K51" s="2041"/>
      <c r="L51" s="2042"/>
      <c r="M51" s="2042"/>
      <c r="N51" s="2041"/>
      <c r="O51" s="2043"/>
    </row>
    <row r="52" spans="1:23" s="2054" customFormat="1" ht="21" customHeight="1" x14ac:dyDescent="0.25">
      <c r="A52" s="2282">
        <v>1</v>
      </c>
      <c r="B52" s="2045" t="s">
        <v>5828</v>
      </c>
      <c r="C52" s="2046">
        <v>183</v>
      </c>
      <c r="D52" s="2047">
        <v>49</v>
      </c>
      <c r="E52" s="2048" t="s">
        <v>599</v>
      </c>
      <c r="F52" s="2091">
        <v>237312</v>
      </c>
      <c r="G52" s="2050">
        <v>20000</v>
      </c>
      <c r="H52" s="2092" t="s">
        <v>5781</v>
      </c>
      <c r="I52" s="2052" t="s">
        <v>25</v>
      </c>
      <c r="J52" s="2045"/>
      <c r="K52" s="2269"/>
      <c r="L52" s="2269"/>
      <c r="M52" s="2269"/>
      <c r="N52" s="2269"/>
      <c r="O52" s="2045" t="s">
        <v>4233</v>
      </c>
      <c r="R52" s="2052" t="s">
        <v>25</v>
      </c>
      <c r="S52" s="2045"/>
      <c r="T52" s="2269"/>
      <c r="U52" s="2269"/>
      <c r="V52" s="2269"/>
      <c r="W52" s="2269"/>
    </row>
    <row r="53" spans="1:23" s="2054" customFormat="1" ht="21" customHeight="1" x14ac:dyDescent="0.25">
      <c r="A53" s="2097"/>
      <c r="B53" s="2098"/>
      <c r="C53" s="2099"/>
      <c r="D53" s="2085"/>
      <c r="E53" s="2100"/>
      <c r="F53" s="2101"/>
      <c r="G53" s="2102">
        <f>SUM(G52:G52)</f>
        <v>20000</v>
      </c>
      <c r="H53" s="2098"/>
      <c r="I53" s="2103"/>
      <c r="J53" s="2098"/>
      <c r="K53" s="2277"/>
      <c r="L53" s="2277"/>
      <c r="M53" s="2277"/>
      <c r="N53" s="2277"/>
      <c r="O53" s="2098"/>
      <c r="R53" s="2103"/>
      <c r="S53" s="2098"/>
      <c r="T53" s="2277"/>
      <c r="U53" s="2277"/>
      <c r="V53" s="2277"/>
      <c r="W53" s="2277"/>
    </row>
    <row r="54" spans="1:23" s="2008" customFormat="1" ht="21" customHeight="1" x14ac:dyDescent="0.25">
      <c r="A54" s="2090" t="s">
        <v>5829</v>
      </c>
      <c r="B54" s="2035" t="s">
        <v>5830</v>
      </c>
      <c r="C54" s="2036"/>
      <c r="D54" s="2036"/>
      <c r="E54" s="2036"/>
      <c r="F54" s="2037"/>
      <c r="G54" s="2038"/>
      <c r="H54" s="2039"/>
      <c r="I54" s="2040"/>
      <c r="J54" s="2041"/>
      <c r="K54" s="2041"/>
      <c r="L54" s="2042"/>
      <c r="M54" s="2042"/>
      <c r="N54" s="2041"/>
      <c r="O54" s="2043"/>
    </row>
    <row r="55" spans="1:23" s="2054" customFormat="1" ht="21" customHeight="1" x14ac:dyDescent="0.25">
      <c r="A55" s="2282">
        <v>1</v>
      </c>
      <c r="B55" s="2045" t="s">
        <v>5831</v>
      </c>
      <c r="C55" s="2046">
        <v>184</v>
      </c>
      <c r="D55" s="2047">
        <v>49</v>
      </c>
      <c r="E55" s="2048" t="s">
        <v>1250</v>
      </c>
      <c r="F55" s="2091">
        <v>237312</v>
      </c>
      <c r="G55" s="2050">
        <v>30000</v>
      </c>
      <c r="H55" s="2092" t="s">
        <v>5781</v>
      </c>
      <c r="I55" s="2052" t="s">
        <v>25</v>
      </c>
      <c r="J55" s="2045"/>
      <c r="K55" s="2269"/>
      <c r="L55" s="2269"/>
      <c r="M55" s="2269"/>
      <c r="N55" s="2269"/>
      <c r="O55" s="2045" t="s">
        <v>4233</v>
      </c>
      <c r="R55" s="2052" t="s">
        <v>25</v>
      </c>
      <c r="S55" s="2045"/>
      <c r="T55" s="2269"/>
      <c r="U55" s="2269"/>
      <c r="V55" s="2269"/>
      <c r="W55" s="2269"/>
    </row>
    <row r="56" spans="1:23" s="2054" customFormat="1" ht="21" customHeight="1" x14ac:dyDescent="0.25">
      <c r="A56" s="2282">
        <v>2</v>
      </c>
      <c r="B56" s="2045" t="s">
        <v>5831</v>
      </c>
      <c r="C56" s="2046">
        <v>184</v>
      </c>
      <c r="D56" s="2047">
        <v>67</v>
      </c>
      <c r="E56" s="2048" t="s">
        <v>1104</v>
      </c>
      <c r="F56" s="2091">
        <v>237313</v>
      </c>
      <c r="G56" s="2050">
        <v>195824</v>
      </c>
      <c r="H56" s="2081" t="s">
        <v>174</v>
      </c>
      <c r="I56" s="2120" t="s">
        <v>25</v>
      </c>
      <c r="J56" s="2121"/>
      <c r="K56" s="2279"/>
      <c r="L56" s="2279"/>
      <c r="M56" s="2279"/>
      <c r="N56" s="2279"/>
      <c r="O56" s="2297" t="s">
        <v>5862</v>
      </c>
      <c r="R56" s="2120" t="s">
        <v>25</v>
      </c>
      <c r="S56" s="2121"/>
      <c r="T56" s="2279"/>
      <c r="U56" s="2279"/>
      <c r="V56" s="2279"/>
      <c r="W56" s="2279"/>
    </row>
    <row r="57" spans="1:23" s="2054" customFormat="1" ht="21" customHeight="1" x14ac:dyDescent="0.25">
      <c r="A57" s="2282">
        <v>3</v>
      </c>
      <c r="B57" s="2045" t="s">
        <v>5831</v>
      </c>
      <c r="C57" s="2046">
        <v>184</v>
      </c>
      <c r="D57" s="2047">
        <v>67</v>
      </c>
      <c r="E57" s="2048" t="s">
        <v>1106</v>
      </c>
      <c r="F57" s="2091">
        <v>237314</v>
      </c>
      <c r="G57" s="2050">
        <v>195824</v>
      </c>
      <c r="H57" s="2081" t="s">
        <v>174</v>
      </c>
      <c r="I57" s="2120" t="s">
        <v>25</v>
      </c>
      <c r="J57" s="2121"/>
      <c r="K57" s="2279"/>
      <c r="L57" s="2279"/>
      <c r="M57" s="2279"/>
      <c r="N57" s="2279"/>
      <c r="O57" s="2297" t="s">
        <v>5862</v>
      </c>
      <c r="R57" s="2120" t="s">
        <v>25</v>
      </c>
      <c r="S57" s="2121"/>
      <c r="T57" s="2279"/>
      <c r="U57" s="2279"/>
      <c r="V57" s="2279"/>
      <c r="W57" s="2279"/>
    </row>
    <row r="58" spans="1:23" s="2054" customFormat="1" ht="21" customHeight="1" x14ac:dyDescent="0.25">
      <c r="A58" s="2097"/>
      <c r="B58" s="2098"/>
      <c r="C58" s="2099"/>
      <c r="D58" s="2085"/>
      <c r="E58" s="2100"/>
      <c r="F58" s="2101"/>
      <c r="G58" s="2102">
        <f>SUM(G55:G57)</f>
        <v>421648</v>
      </c>
      <c r="H58" s="2098"/>
      <c r="I58" s="2103"/>
      <c r="J58" s="2098"/>
      <c r="K58" s="2277"/>
      <c r="L58" s="2277"/>
      <c r="M58" s="2277"/>
      <c r="N58" s="2277"/>
      <c r="O58" s="2098"/>
      <c r="R58" s="2103"/>
      <c r="S58" s="2098"/>
      <c r="T58" s="2277"/>
      <c r="U58" s="2277"/>
      <c r="V58" s="2277"/>
      <c r="W58" s="2277"/>
    </row>
    <row r="59" spans="1:23" s="2008" customFormat="1" ht="21" customHeight="1" x14ac:dyDescent="0.25">
      <c r="A59" s="2090" t="s">
        <v>5832</v>
      </c>
      <c r="B59" s="2035" t="s">
        <v>5833</v>
      </c>
      <c r="C59" s="2036"/>
      <c r="D59" s="2036"/>
      <c r="E59" s="2036"/>
      <c r="F59" s="2037"/>
      <c r="G59" s="2038"/>
      <c r="H59" s="2112"/>
      <c r="I59" s="23"/>
      <c r="J59" s="2113"/>
      <c r="K59" s="2041"/>
      <c r="L59" s="2042"/>
      <c r="M59" s="2042"/>
      <c r="N59" s="2041"/>
      <c r="O59" s="2043"/>
    </row>
    <row r="60" spans="1:23" s="2008" customFormat="1" ht="21" customHeight="1" x14ac:dyDescent="0.25">
      <c r="A60" s="2415">
        <v>1</v>
      </c>
      <c r="B60" s="2188" t="s">
        <v>5834</v>
      </c>
      <c r="C60" s="2189" t="s">
        <v>5832</v>
      </c>
      <c r="D60" s="2189" t="s">
        <v>21</v>
      </c>
      <c r="E60" s="2190" t="s">
        <v>1271</v>
      </c>
      <c r="F60" s="2191" t="s">
        <v>4600</v>
      </c>
      <c r="G60" s="2192">
        <v>8700000</v>
      </c>
      <c r="H60" s="2193" t="s">
        <v>215</v>
      </c>
      <c r="I60" s="2052" t="s">
        <v>25</v>
      </c>
      <c r="J60" s="2044"/>
      <c r="K60" s="2192"/>
      <c r="L60" s="2192"/>
      <c r="M60" s="2192"/>
      <c r="N60" s="2192"/>
      <c r="O60" s="2194"/>
      <c r="R60" s="2052" t="s">
        <v>25</v>
      </c>
      <c r="S60" s="2044"/>
      <c r="T60" s="2192"/>
      <c r="U60" s="2192"/>
      <c r="V60" s="2192"/>
      <c r="W60" s="2192"/>
    </row>
    <row r="61" spans="1:23" s="2008" customFormat="1" ht="21" customHeight="1" x14ac:dyDescent="0.25">
      <c r="A61" s="2195"/>
      <c r="B61" s="2196" t="s">
        <v>5835</v>
      </c>
      <c r="C61" s="2175"/>
      <c r="D61" s="2175"/>
      <c r="E61" s="2176"/>
      <c r="F61" s="2152"/>
      <c r="G61" s="2197"/>
      <c r="H61" s="2178"/>
      <c r="I61" s="2020"/>
      <c r="J61" s="2020"/>
      <c r="K61" s="2197"/>
      <c r="L61" s="2197"/>
      <c r="M61" s="2197"/>
      <c r="N61" s="2197"/>
      <c r="O61" s="2154"/>
      <c r="R61" s="2020"/>
      <c r="S61" s="2020"/>
      <c r="T61" s="2197"/>
      <c r="U61" s="2197"/>
      <c r="V61" s="2197"/>
      <c r="W61" s="2197"/>
    </row>
    <row r="62" spans="1:23" s="2008" customFormat="1" ht="21" customHeight="1" x14ac:dyDescent="0.25">
      <c r="A62" s="2198"/>
      <c r="B62" s="2199"/>
      <c r="C62" s="2200"/>
      <c r="D62" s="2200"/>
      <c r="E62" s="2201"/>
      <c r="F62" s="2202"/>
      <c r="G62" s="2203">
        <f>SUM(G60:G61)</f>
        <v>8700000</v>
      </c>
      <c r="H62" s="2204"/>
      <c r="I62" s="2205"/>
      <c r="J62" s="2205"/>
      <c r="K62" s="2206"/>
      <c r="L62" s="2206"/>
      <c r="M62" s="2206"/>
      <c r="N62" s="2206"/>
      <c r="O62" s="2207"/>
      <c r="R62" s="2205"/>
      <c r="S62" s="2205"/>
      <c r="T62" s="2206"/>
      <c r="U62" s="2206"/>
      <c r="V62" s="2206"/>
      <c r="W62" s="2206"/>
    </row>
    <row r="63" spans="1:23" s="2008" customFormat="1" ht="21" customHeight="1" x14ac:dyDescent="0.25">
      <c r="A63" s="2090" t="s">
        <v>5836</v>
      </c>
      <c r="B63" s="2035" t="s">
        <v>5837</v>
      </c>
      <c r="C63" s="2036"/>
      <c r="D63" s="2036"/>
      <c r="E63" s="2036"/>
      <c r="F63" s="2037"/>
      <c r="G63" s="2038"/>
      <c r="H63" s="2039"/>
      <c r="I63" s="2040"/>
      <c r="J63" s="2041"/>
      <c r="K63" s="2041"/>
      <c r="L63" s="2042"/>
      <c r="M63" s="2042"/>
      <c r="N63" s="2041"/>
      <c r="O63" s="2043"/>
    </row>
    <row r="64" spans="1:23" s="2054" customFormat="1" ht="21" customHeight="1" x14ac:dyDescent="0.25">
      <c r="A64" s="2282">
        <v>1</v>
      </c>
      <c r="B64" s="2630" t="s">
        <v>5838</v>
      </c>
      <c r="C64" s="2046">
        <v>256</v>
      </c>
      <c r="D64" s="2047">
        <v>49</v>
      </c>
      <c r="E64" s="2048" t="s">
        <v>1250</v>
      </c>
      <c r="F64" s="2091">
        <v>237312</v>
      </c>
      <c r="G64" s="2050">
        <v>120000</v>
      </c>
      <c r="H64" s="2092" t="s">
        <v>5781</v>
      </c>
      <c r="I64" s="2052"/>
      <c r="J64" s="2045"/>
      <c r="K64" s="2052" t="s">
        <v>25</v>
      </c>
      <c r="L64" s="2269"/>
      <c r="M64" s="2269"/>
      <c r="N64" s="2269"/>
      <c r="O64" s="2045" t="s">
        <v>4233</v>
      </c>
      <c r="Q64" s="2054">
        <v>2</v>
      </c>
      <c r="R64" s="2052"/>
      <c r="S64" s="2045"/>
      <c r="T64" s="2052" t="s">
        <v>25</v>
      </c>
      <c r="U64" s="2269"/>
      <c r="V64" s="2269"/>
      <c r="W64" s="2269"/>
    </row>
    <row r="65" spans="1:23" s="2054" customFormat="1" ht="21" customHeight="1" x14ac:dyDescent="0.25">
      <c r="A65" s="2097"/>
      <c r="B65" s="2098"/>
      <c r="C65" s="2099"/>
      <c r="D65" s="2085"/>
      <c r="E65" s="2100"/>
      <c r="F65" s="2101"/>
      <c r="G65" s="2102">
        <f>SUM(G64:G64)</f>
        <v>120000</v>
      </c>
      <c r="H65" s="2098"/>
      <c r="I65" s="2103"/>
      <c r="J65" s="2098"/>
      <c r="K65" s="2277"/>
      <c r="L65" s="2277"/>
      <c r="M65" s="2277"/>
      <c r="N65" s="2277"/>
      <c r="O65" s="2098"/>
      <c r="R65" s="2103"/>
      <c r="S65" s="2098"/>
      <c r="T65" s="2277"/>
      <c r="U65" s="2277"/>
      <c r="V65" s="2277"/>
      <c r="W65" s="2277"/>
    </row>
    <row r="66" spans="1:23" s="2008" customFormat="1" ht="21" customHeight="1" x14ac:dyDescent="0.25">
      <c r="A66" s="2090" t="s">
        <v>5839</v>
      </c>
      <c r="B66" s="2035" t="s">
        <v>5840</v>
      </c>
      <c r="C66" s="2036"/>
      <c r="D66" s="2036"/>
      <c r="E66" s="2036"/>
      <c r="F66" s="2037"/>
      <c r="G66" s="2038"/>
      <c r="H66" s="2039"/>
      <c r="I66" s="2040"/>
      <c r="J66" s="2041"/>
      <c r="K66" s="2041"/>
      <c r="L66" s="2042"/>
      <c r="M66" s="2042"/>
      <c r="N66" s="2041"/>
      <c r="O66" s="2043"/>
    </row>
    <row r="67" spans="1:23" s="2054" customFormat="1" ht="21" customHeight="1" x14ac:dyDescent="0.25">
      <c r="A67" s="2282">
        <v>1</v>
      </c>
      <c r="B67" s="2045" t="s">
        <v>5841</v>
      </c>
      <c r="C67" s="2046">
        <v>273</v>
      </c>
      <c r="D67" s="2047">
        <v>49</v>
      </c>
      <c r="E67" s="2048" t="s">
        <v>1354</v>
      </c>
      <c r="F67" s="2091">
        <v>237312</v>
      </c>
      <c r="G67" s="2050">
        <v>30000</v>
      </c>
      <c r="H67" s="2092" t="s">
        <v>5781</v>
      </c>
      <c r="I67" s="2052" t="s">
        <v>25</v>
      </c>
      <c r="J67" s="2045"/>
      <c r="K67" s="2269"/>
      <c r="L67" s="2269"/>
      <c r="M67" s="2269"/>
      <c r="N67" s="2269"/>
      <c r="O67" s="2045" t="s">
        <v>4233</v>
      </c>
      <c r="R67" s="2052" t="s">
        <v>25</v>
      </c>
      <c r="S67" s="2045"/>
      <c r="T67" s="2269"/>
      <c r="U67" s="2269"/>
      <c r="V67" s="2269"/>
      <c r="W67" s="2269"/>
    </row>
    <row r="68" spans="1:23" s="2054" customFormat="1" ht="21" customHeight="1" x14ac:dyDescent="0.25">
      <c r="A68" s="2097"/>
      <c r="B68" s="2098"/>
      <c r="C68" s="2099"/>
      <c r="D68" s="2085"/>
      <c r="E68" s="2100"/>
      <c r="F68" s="2101"/>
      <c r="G68" s="2102">
        <f>SUM(G67:G67)</f>
        <v>30000</v>
      </c>
      <c r="H68" s="2098"/>
      <c r="I68" s="2103"/>
      <c r="J68" s="2098"/>
      <c r="K68" s="2277"/>
      <c r="L68" s="2277"/>
      <c r="M68" s="2277"/>
      <c r="N68" s="2277"/>
      <c r="O68" s="2098"/>
      <c r="R68" s="2103"/>
      <c r="S68" s="2098"/>
      <c r="T68" s="2277"/>
      <c r="U68" s="2277"/>
      <c r="V68" s="2277"/>
      <c r="W68" s="2277"/>
    </row>
    <row r="69" spans="1:23" s="2054" customFormat="1" ht="21" customHeight="1" x14ac:dyDescent="0.25">
      <c r="A69" s="2104"/>
      <c r="B69" s="2105"/>
      <c r="C69" s="2106"/>
      <c r="D69" s="2106"/>
      <c r="E69" s="2106"/>
      <c r="F69" s="2106"/>
      <c r="G69" s="2107"/>
      <c r="H69" s="2105"/>
      <c r="I69" s="2108"/>
      <c r="J69" s="2105"/>
      <c r="K69" s="2278"/>
      <c r="L69" s="2278"/>
      <c r="M69" s="2278"/>
      <c r="N69" s="2278"/>
      <c r="O69" s="2109"/>
    </row>
    <row r="70" spans="1:23" s="2008" customFormat="1" ht="21" customHeight="1" x14ac:dyDescent="0.25">
      <c r="A70" s="2090" t="s">
        <v>5842</v>
      </c>
      <c r="B70" s="2035" t="s">
        <v>5843</v>
      </c>
      <c r="C70" s="2036"/>
      <c r="D70" s="2036"/>
      <c r="E70" s="2036"/>
      <c r="F70" s="2037"/>
      <c r="G70" s="2038"/>
      <c r="H70" s="2039"/>
      <c r="I70" s="2040"/>
      <c r="J70" s="2041"/>
      <c r="K70" s="2041"/>
      <c r="L70" s="2042"/>
      <c r="M70" s="2042"/>
      <c r="N70" s="2041"/>
      <c r="O70" s="2043"/>
    </row>
    <row r="71" spans="1:23" s="2054" customFormat="1" ht="21" customHeight="1" x14ac:dyDescent="0.25">
      <c r="A71" s="2282">
        <v>1</v>
      </c>
      <c r="B71" s="2045" t="s">
        <v>5844</v>
      </c>
      <c r="C71" s="2046">
        <v>281</v>
      </c>
      <c r="D71" s="2047">
        <v>49</v>
      </c>
      <c r="E71" s="2048" t="s">
        <v>600</v>
      </c>
      <c r="F71" s="2091">
        <v>237312</v>
      </c>
      <c r="G71" s="2050">
        <v>454000</v>
      </c>
      <c r="H71" s="2092" t="s">
        <v>5781</v>
      </c>
      <c r="I71" s="2208" t="s">
        <v>25</v>
      </c>
      <c r="J71" s="2045"/>
      <c r="K71" s="2269"/>
      <c r="L71" s="2269"/>
      <c r="M71" s="2269"/>
      <c r="N71" s="2269"/>
      <c r="O71" s="2045" t="s">
        <v>4233</v>
      </c>
      <c r="R71" s="2208" t="s">
        <v>25</v>
      </c>
      <c r="S71" s="2045"/>
      <c r="T71" s="2269"/>
      <c r="U71" s="2269"/>
      <c r="V71" s="2269"/>
      <c r="W71" s="2269"/>
    </row>
    <row r="72" spans="1:23" s="2054" customFormat="1" ht="21" customHeight="1" x14ac:dyDescent="0.25">
      <c r="A72" s="2283">
        <v>2</v>
      </c>
      <c r="B72" s="2067" t="s">
        <v>5845</v>
      </c>
      <c r="C72" s="2056">
        <v>281</v>
      </c>
      <c r="D72" s="2057">
        <v>63</v>
      </c>
      <c r="E72" s="2058" t="s">
        <v>1271</v>
      </c>
      <c r="F72" s="2064">
        <v>23295</v>
      </c>
      <c r="G72" s="2060">
        <v>2880000</v>
      </c>
      <c r="H72" s="2117" t="s">
        <v>5781</v>
      </c>
      <c r="I72" s="2075" t="s">
        <v>25</v>
      </c>
      <c r="J72" s="2067"/>
      <c r="K72" s="2270"/>
      <c r="L72" s="2270"/>
      <c r="M72" s="2270"/>
      <c r="N72" s="2270"/>
      <c r="O72" s="2045" t="s">
        <v>4233</v>
      </c>
      <c r="R72" s="2075" t="s">
        <v>25</v>
      </c>
      <c r="S72" s="2067"/>
      <c r="T72" s="2270"/>
      <c r="U72" s="2270"/>
      <c r="V72" s="2270"/>
      <c r="W72" s="2270"/>
    </row>
    <row r="73" spans="1:23" s="2054" customFormat="1" ht="21" customHeight="1" x14ac:dyDescent="0.25">
      <c r="A73" s="2268">
        <v>3</v>
      </c>
      <c r="B73" s="2063" t="s">
        <v>5846</v>
      </c>
      <c r="C73" s="2069">
        <v>281</v>
      </c>
      <c r="D73" s="2093">
        <v>64</v>
      </c>
      <c r="E73" s="2058" t="s">
        <v>1250</v>
      </c>
      <c r="F73" s="2072">
        <v>23964</v>
      </c>
      <c r="G73" s="2095">
        <v>3250000</v>
      </c>
      <c r="H73" s="2117" t="s">
        <v>5781</v>
      </c>
      <c r="I73" s="2062" t="s">
        <v>25</v>
      </c>
      <c r="J73" s="2063"/>
      <c r="K73" s="2271"/>
      <c r="L73" s="2271"/>
      <c r="M73" s="2271"/>
      <c r="N73" s="2271"/>
      <c r="O73" s="2045" t="s">
        <v>4233</v>
      </c>
      <c r="R73" s="2062" t="s">
        <v>25</v>
      </c>
      <c r="S73" s="2063"/>
      <c r="T73" s="2271"/>
      <c r="U73" s="2271"/>
      <c r="V73" s="2271"/>
      <c r="W73" s="2271"/>
    </row>
    <row r="74" spans="1:23" s="2054" customFormat="1" ht="21" customHeight="1" x14ac:dyDescent="0.25">
      <c r="A74" s="2104"/>
      <c r="B74" s="2105"/>
      <c r="C74" s="2209"/>
      <c r="D74" s="2106"/>
      <c r="E74" s="2209"/>
      <c r="F74" s="2210"/>
      <c r="G74" s="2107">
        <f>SUM(G71:G73)</f>
        <v>6584000</v>
      </c>
      <c r="H74" s="2105"/>
      <c r="I74" s="2106"/>
      <c r="J74" s="2105"/>
      <c r="K74" s="2278"/>
      <c r="L74" s="2278"/>
      <c r="M74" s="2278"/>
      <c r="N74" s="2278"/>
      <c r="O74" s="2211"/>
    </row>
    <row r="75" spans="1:23" s="2008" customFormat="1" ht="21" customHeight="1" x14ac:dyDescent="0.25">
      <c r="A75" s="2090" t="s">
        <v>5847</v>
      </c>
      <c r="B75" s="2035" t="s">
        <v>5848</v>
      </c>
      <c r="C75" s="2036"/>
      <c r="D75" s="2036"/>
      <c r="E75" s="2036"/>
      <c r="F75" s="2037"/>
      <c r="G75" s="2038"/>
      <c r="H75" s="2039"/>
      <c r="I75" s="2040"/>
      <c r="J75" s="2041"/>
      <c r="K75" s="2041"/>
      <c r="L75" s="2042"/>
      <c r="M75" s="2042"/>
      <c r="N75" s="2041"/>
      <c r="O75" s="2043"/>
    </row>
    <row r="76" spans="1:23" s="2054" customFormat="1" ht="21" customHeight="1" x14ac:dyDescent="0.25">
      <c r="A76" s="2282">
        <v>1</v>
      </c>
      <c r="B76" s="2045" t="s">
        <v>5849</v>
      </c>
      <c r="C76" s="2212">
        <v>283</v>
      </c>
      <c r="D76" s="2213">
        <v>67</v>
      </c>
      <c r="E76" s="2214" t="s">
        <v>599</v>
      </c>
      <c r="F76" s="2091"/>
      <c r="G76" s="2050">
        <v>61200</v>
      </c>
      <c r="H76" s="2081" t="s">
        <v>174</v>
      </c>
      <c r="I76" s="2208" t="s">
        <v>25</v>
      </c>
      <c r="J76" s="2045"/>
      <c r="K76" s="2269"/>
      <c r="L76" s="2269"/>
      <c r="M76" s="2269"/>
      <c r="N76" s="2269"/>
      <c r="O76" s="2297" t="s">
        <v>5862</v>
      </c>
      <c r="R76" s="2208" t="s">
        <v>25</v>
      </c>
      <c r="S76" s="2045"/>
      <c r="T76" s="2269"/>
      <c r="U76" s="2269"/>
      <c r="V76" s="2269"/>
      <c r="W76" s="2269"/>
    </row>
    <row r="77" spans="1:23" s="2054" customFormat="1" ht="21" customHeight="1" x14ac:dyDescent="0.25">
      <c r="A77" s="2097"/>
      <c r="B77" s="2098"/>
      <c r="C77" s="2099"/>
      <c r="D77" s="2085"/>
      <c r="E77" s="2100"/>
      <c r="F77" s="2101"/>
      <c r="G77" s="2102">
        <f>SUM(G71:G73)</f>
        <v>6584000</v>
      </c>
      <c r="H77" s="2098"/>
      <c r="I77" s="2103"/>
      <c r="J77" s="2098"/>
      <c r="K77" s="2277"/>
      <c r="L77" s="2277"/>
      <c r="M77" s="2277"/>
      <c r="N77" s="2277"/>
      <c r="O77" s="2098"/>
      <c r="R77" s="2103"/>
      <c r="S77" s="2098"/>
      <c r="T77" s="2277"/>
      <c r="U77" s="2277"/>
      <c r="V77" s="2277"/>
      <c r="W77" s="2277"/>
    </row>
    <row r="78" spans="1:23" s="2008" customFormat="1" ht="21" customHeight="1" x14ac:dyDescent="0.25">
      <c r="A78" s="2215"/>
      <c r="E78" s="2216"/>
      <c r="G78" s="2217">
        <f>G77+G68+G65+G50+G58+G53+G35+G74+G62+G44+G31+G25+G17+G8</f>
        <v>60617385.93</v>
      </c>
      <c r="H78" s="2218"/>
      <c r="O78" s="2219"/>
    </row>
    <row r="79" spans="1:23" ht="16.5" customHeight="1" x14ac:dyDescent="0.35">
      <c r="B79" s="1997"/>
      <c r="C79" s="1997"/>
      <c r="D79" s="1997"/>
      <c r="E79" s="1999"/>
      <c r="F79" s="1997"/>
      <c r="G79" s="2000"/>
      <c r="H79" s="1997"/>
      <c r="I79" s="1997"/>
    </row>
    <row r="80" spans="1:23" ht="20.100000000000001" customHeight="1" x14ac:dyDescent="0.3">
      <c r="A80" s="2131" t="s">
        <v>1331</v>
      </c>
      <c r="B80" s="1957" t="s">
        <v>5850</v>
      </c>
      <c r="C80" s="1958"/>
      <c r="D80" s="1958"/>
      <c r="E80" s="1958"/>
      <c r="F80" s="1959"/>
      <c r="G80" s="1960"/>
      <c r="H80" s="334"/>
      <c r="I80" s="23"/>
      <c r="J80" s="24"/>
      <c r="K80" s="24"/>
      <c r="L80" s="25"/>
      <c r="M80" s="25"/>
      <c r="N80" s="24"/>
      <c r="O80" s="2115"/>
    </row>
    <row r="81" spans="1:23" s="1952" customFormat="1" ht="20.100000000000001" customHeight="1" x14ac:dyDescent="0.3">
      <c r="A81" s="2282">
        <v>1</v>
      </c>
      <c r="B81" s="2045" t="s">
        <v>5851</v>
      </c>
      <c r="C81" s="2046">
        <v>110</v>
      </c>
      <c r="D81" s="2047">
        <v>49</v>
      </c>
      <c r="E81" s="2048" t="s">
        <v>1125</v>
      </c>
      <c r="F81" s="2091">
        <v>237312</v>
      </c>
      <c r="G81" s="2050">
        <v>2500000</v>
      </c>
      <c r="H81" s="2092" t="s">
        <v>5781</v>
      </c>
      <c r="I81" s="2220" t="s">
        <v>25</v>
      </c>
      <c r="J81" s="2045"/>
      <c r="K81" s="2280"/>
      <c r="L81" s="2280"/>
      <c r="M81" s="2280"/>
      <c r="N81" s="2280"/>
      <c r="O81" s="2045" t="s">
        <v>4233</v>
      </c>
      <c r="R81" s="2220" t="s">
        <v>25</v>
      </c>
      <c r="S81" s="2045"/>
      <c r="T81" s="2280"/>
      <c r="U81" s="2280"/>
      <c r="V81" s="2280"/>
      <c r="W81" s="2280"/>
    </row>
    <row r="82" spans="1:23" s="1952" customFormat="1" ht="20.100000000000001" customHeight="1" x14ac:dyDescent="0.3">
      <c r="A82" s="2097"/>
      <c r="B82" s="2098"/>
      <c r="C82" s="2099"/>
      <c r="D82" s="2085"/>
      <c r="E82" s="2100"/>
      <c r="F82" s="2101"/>
      <c r="G82" s="2102">
        <f>SUM(G81:G81)</f>
        <v>2500000</v>
      </c>
      <c r="H82" s="2098"/>
      <c r="I82" s="2103"/>
      <c r="J82" s="2098"/>
      <c r="K82" s="2281"/>
      <c r="L82" s="2281"/>
      <c r="M82" s="2281"/>
      <c r="N82" s="2281"/>
      <c r="O82" s="2098"/>
      <c r="R82" s="2103"/>
      <c r="S82" s="2098"/>
      <c r="T82" s="2281"/>
      <c r="U82" s="2281"/>
      <c r="V82" s="2281"/>
      <c r="W82" s="2281"/>
    </row>
    <row r="83" spans="1:23" ht="20.100000000000001" customHeight="1" x14ac:dyDescent="0.3">
      <c r="A83" s="2131" t="s">
        <v>5852</v>
      </c>
      <c r="B83" s="1957" t="s">
        <v>5853</v>
      </c>
      <c r="C83" s="1958"/>
      <c r="D83" s="1958"/>
      <c r="E83" s="1958"/>
      <c r="F83" s="1959"/>
      <c r="G83" s="1960"/>
      <c r="H83" s="334"/>
      <c r="I83" s="23"/>
      <c r="J83" s="24"/>
      <c r="K83" s="24"/>
      <c r="L83" s="25"/>
      <c r="M83" s="25"/>
      <c r="N83" s="24"/>
      <c r="O83" s="2115"/>
    </row>
    <row r="84" spans="1:23" ht="20.100000000000001" customHeight="1" x14ac:dyDescent="0.3">
      <c r="A84" s="2991" t="s">
        <v>5854</v>
      </c>
      <c r="B84" s="2992"/>
      <c r="C84" s="2992"/>
      <c r="D84" s="2992"/>
      <c r="E84" s="2992"/>
      <c r="F84" s="2992"/>
      <c r="G84" s="2992"/>
      <c r="H84" s="2992"/>
      <c r="I84" s="2992"/>
      <c r="J84" s="2992"/>
      <c r="K84" s="2992"/>
      <c r="L84" s="2992"/>
      <c r="M84" s="2992"/>
      <c r="N84" s="2992"/>
      <c r="O84" s="2993"/>
    </row>
    <row r="85" spans="1:23" s="1952" customFormat="1" ht="20.100000000000001" customHeight="1" x14ac:dyDescent="0.3">
      <c r="A85" s="2268">
        <v>1</v>
      </c>
      <c r="B85" s="2063" t="s">
        <v>5855</v>
      </c>
      <c r="C85" s="2069"/>
      <c r="D85" s="2093"/>
      <c r="E85" s="2094"/>
      <c r="F85" s="2072"/>
      <c r="G85" s="2095">
        <v>848408</v>
      </c>
      <c r="H85" s="2222" t="s">
        <v>490</v>
      </c>
      <c r="I85" s="1968" t="s">
        <v>25</v>
      </c>
      <c r="J85" s="2076"/>
      <c r="K85" s="2223"/>
      <c r="L85" s="2223"/>
      <c r="M85" s="2223"/>
      <c r="N85" s="2223"/>
      <c r="O85" s="2063"/>
      <c r="R85" s="1968" t="s">
        <v>25</v>
      </c>
      <c r="S85" s="2076"/>
      <c r="T85" s="2223"/>
      <c r="U85" s="2223"/>
      <c r="V85" s="2223"/>
      <c r="W85" s="2223"/>
    </row>
    <row r="86" spans="1:23" s="1952" customFormat="1" ht="20.100000000000001" customHeight="1" x14ac:dyDescent="0.3">
      <c r="A86" s="2268">
        <v>2</v>
      </c>
      <c r="B86" s="2063" t="s">
        <v>5856</v>
      </c>
      <c r="C86" s="2069"/>
      <c r="D86" s="2093"/>
      <c r="E86" s="2094"/>
      <c r="F86" s="2072"/>
      <c r="G86" s="2095">
        <v>2174850</v>
      </c>
      <c r="H86" s="2222" t="s">
        <v>490</v>
      </c>
      <c r="I86" s="1968" t="s">
        <v>25</v>
      </c>
      <c r="J86" s="2076"/>
      <c r="K86" s="2223"/>
      <c r="L86" s="2223"/>
      <c r="M86" s="2223"/>
      <c r="N86" s="2223"/>
      <c r="O86" s="2063"/>
      <c r="R86" s="1968" t="s">
        <v>25</v>
      </c>
      <c r="S86" s="2076"/>
      <c r="T86" s="2223"/>
      <c r="U86" s="2223"/>
      <c r="V86" s="2223"/>
      <c r="W86" s="2223"/>
    </row>
    <row r="87" spans="1:23" s="1952" customFormat="1" ht="20.100000000000001" customHeight="1" x14ac:dyDescent="0.3">
      <c r="A87" s="2097"/>
      <c r="B87" s="2098"/>
      <c r="C87" s="2099"/>
      <c r="D87" s="2085"/>
      <c r="E87" s="2100"/>
      <c r="F87" s="2101"/>
      <c r="G87" s="2102">
        <f>SUM(G85:G86)</f>
        <v>3023258</v>
      </c>
      <c r="H87" s="2098"/>
      <c r="I87" s="2103"/>
      <c r="J87" s="2103"/>
      <c r="K87" s="2221"/>
      <c r="L87" s="2221"/>
      <c r="M87" s="2221"/>
      <c r="N87" s="2221"/>
      <c r="O87" s="2098"/>
      <c r="R87" s="2103"/>
      <c r="S87" s="2103"/>
      <c r="T87" s="2221"/>
      <c r="U87" s="2221"/>
      <c r="V87" s="2221"/>
      <c r="W87" s="2221"/>
    </row>
    <row r="88" spans="1:23" ht="20.100000000000001" customHeight="1" x14ac:dyDescent="0.45">
      <c r="G88" s="2224">
        <f>G87+G82</f>
        <v>5523258</v>
      </c>
      <c r="R88" s="1947">
        <f>COUNTA(R6:R87)</f>
        <v>36</v>
      </c>
      <c r="S88" s="1947">
        <f t="shared" ref="S88:W88" si="0">COUNTA(S6:S87)</f>
        <v>3</v>
      </c>
      <c r="T88" s="1947">
        <f t="shared" si="0"/>
        <v>2</v>
      </c>
      <c r="U88" s="1947">
        <f t="shared" si="0"/>
        <v>0</v>
      </c>
      <c r="V88" s="1947">
        <f t="shared" si="0"/>
        <v>0</v>
      </c>
      <c r="W88" s="1947">
        <f t="shared" si="0"/>
        <v>0</v>
      </c>
    </row>
    <row r="89" spans="1:23" ht="18" customHeight="1" x14ac:dyDescent="0.3"/>
    <row r="90" spans="1:23" ht="18" customHeight="1" x14ac:dyDescent="0.35">
      <c r="B90" s="502" t="s">
        <v>601</v>
      </c>
      <c r="C90" s="502"/>
      <c r="D90" s="502"/>
      <c r="E90" s="503"/>
      <c r="F90" s="502"/>
      <c r="G90" s="504" t="s">
        <v>602</v>
      </c>
      <c r="H90" s="497"/>
      <c r="I90" s="505"/>
      <c r="J90" s="505" t="s">
        <v>603</v>
      </c>
      <c r="K90" s="505"/>
      <c r="L90" s="505"/>
      <c r="M90" s="1997"/>
    </row>
    <row r="91" spans="1:23" ht="18" customHeight="1" x14ac:dyDescent="0.35">
      <c r="B91" s="507" t="s">
        <v>604</v>
      </c>
      <c r="C91" s="508"/>
      <c r="D91" s="502"/>
      <c r="E91" s="503"/>
      <c r="F91" s="502"/>
      <c r="G91" s="504"/>
      <c r="H91" s="509" t="s">
        <v>605</v>
      </c>
      <c r="I91" s="1"/>
      <c r="J91" s="505"/>
      <c r="K91" s="505"/>
      <c r="L91" s="505"/>
      <c r="M91" s="1997"/>
    </row>
    <row r="92" spans="1:23" ht="18" customHeight="1" x14ac:dyDescent="0.35">
      <c r="B92" s="507" t="s">
        <v>606</v>
      </c>
      <c r="C92" s="508"/>
      <c r="D92" s="502"/>
      <c r="E92" s="503"/>
      <c r="F92" s="502"/>
      <c r="G92" s="504"/>
      <c r="H92" s="509" t="s">
        <v>607</v>
      </c>
      <c r="I92" s="1"/>
      <c r="J92" s="505"/>
      <c r="K92" s="505"/>
      <c r="L92" s="505"/>
      <c r="M92" s="1997"/>
    </row>
    <row r="93" spans="1:23" ht="18" customHeight="1" x14ac:dyDescent="0.35">
      <c r="B93" s="502"/>
      <c r="C93" s="502"/>
      <c r="D93" s="502"/>
      <c r="E93" s="503"/>
      <c r="F93" s="502"/>
      <c r="G93" s="510"/>
      <c r="H93" s="497"/>
      <c r="I93" s="505"/>
      <c r="J93" s="505"/>
      <c r="K93" s="505"/>
      <c r="L93" s="505"/>
      <c r="M93" s="1997"/>
    </row>
    <row r="94" spans="1:23" ht="18" customHeight="1" x14ac:dyDescent="0.35">
      <c r="B94" s="502" t="s">
        <v>1153</v>
      </c>
      <c r="C94" s="502"/>
      <c r="D94" s="502"/>
      <c r="E94" s="503"/>
      <c r="F94" s="502"/>
      <c r="G94" s="504"/>
      <c r="H94" s="497"/>
      <c r="I94" s="505"/>
      <c r="J94" s="505"/>
      <c r="K94" s="505"/>
      <c r="L94" s="505"/>
      <c r="M94" s="1997"/>
    </row>
    <row r="95" spans="1:23" ht="18" customHeight="1" x14ac:dyDescent="0.35">
      <c r="B95" s="507" t="s">
        <v>609</v>
      </c>
      <c r="C95" s="508"/>
      <c r="D95" s="502"/>
      <c r="E95" s="503"/>
      <c r="F95" s="502"/>
      <c r="G95" s="504"/>
      <c r="H95" s="506"/>
      <c r="I95" s="1"/>
      <c r="J95" s="505"/>
      <c r="K95" s="505"/>
      <c r="L95" s="505"/>
      <c r="M95" s="1997"/>
    </row>
    <row r="96" spans="1:23" ht="18" customHeight="1" x14ac:dyDescent="0.35">
      <c r="B96" s="507" t="s">
        <v>610</v>
      </c>
      <c r="C96" s="508"/>
      <c r="D96" s="502"/>
      <c r="E96" s="503"/>
      <c r="F96" s="502"/>
      <c r="G96" s="504"/>
      <c r="H96" s="506"/>
      <c r="I96" s="1"/>
      <c r="J96" s="505"/>
      <c r="K96" s="505"/>
      <c r="L96" s="505"/>
      <c r="M96" s="1997"/>
    </row>
    <row r="97" spans="2:13" ht="18" customHeight="1" x14ac:dyDescent="0.35">
      <c r="B97" s="1999"/>
      <c r="C97" s="2225"/>
      <c r="D97" s="1997"/>
      <c r="E97" s="1999"/>
      <c r="F97" s="1997"/>
      <c r="G97" s="2001"/>
      <c r="H97" s="1999"/>
      <c r="J97" s="1997"/>
      <c r="K97" s="1997"/>
      <c r="L97" s="1997"/>
      <c r="M97" s="1997"/>
    </row>
  </sheetData>
  <autoFilter ref="A1:P97" xr:uid="{00000000-0009-0000-0000-000010000000}">
    <filterColumn colId="0" showButton="0">
      <iconFilter iconSet="3Arrows"/>
    </filterColumn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</autoFilter>
  <mergeCells count="10">
    <mergeCell ref="A84:O84"/>
    <mergeCell ref="A1:O1"/>
    <mergeCell ref="A2:O2"/>
    <mergeCell ref="A4:A5"/>
    <mergeCell ref="B4:B5"/>
    <mergeCell ref="C4:E5"/>
    <mergeCell ref="G4:G5"/>
    <mergeCell ref="H4:H5"/>
    <mergeCell ref="I4:N4"/>
    <mergeCell ref="O4:O5"/>
  </mergeCells>
  <pageMargins left="0.7" right="0.7" top="0.75" bottom="0.75" header="0.3" footer="0.3"/>
  <pageSetup paperSize="9" scale="9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A338F-57E3-48F4-8541-85FD3454FE10}">
  <dimension ref="A1:Q86"/>
  <sheetViews>
    <sheetView view="pageBreakPreview" topLeftCell="A25" zoomScaleNormal="110" zoomScaleSheetLayoutView="100" workbookViewId="0">
      <selection activeCell="F41" sqref="F41"/>
    </sheetView>
  </sheetViews>
  <sheetFormatPr defaultColWidth="9.109375" defaultRowHeight="15.6" x14ac:dyDescent="0.3"/>
  <cols>
    <col min="1" max="1" width="5.44140625" style="320" customWidth="1"/>
    <col min="2" max="2" width="43.88671875" style="438" customWidth="1"/>
    <col min="3" max="3" width="13.6640625" style="438" customWidth="1"/>
    <col min="4" max="4" width="8.33203125" style="438" customWidth="1"/>
    <col min="5" max="5" width="11.88671875" style="495" customWidth="1"/>
    <col min="6" max="6" width="8.5546875" style="438" customWidth="1"/>
    <col min="7" max="7" width="12.6640625" style="512" customWidth="1"/>
    <col min="8" max="8" width="26.6640625" style="497" customWidth="1"/>
    <col min="9" max="10" width="3.33203125" style="1" customWidth="1"/>
    <col min="11" max="11" width="3.33203125" style="764" customWidth="1"/>
    <col min="12" max="14" width="3.33203125" style="1" customWidth="1"/>
    <col min="15" max="15" width="20" style="498" customWidth="1"/>
    <col min="16" max="16384" width="9.109375" style="1"/>
  </cols>
  <sheetData>
    <row r="1" spans="1:17" ht="18" x14ac:dyDescent="0.35">
      <c r="A1" s="2842" t="s">
        <v>0</v>
      </c>
      <c r="B1" s="2842"/>
      <c r="C1" s="2842"/>
      <c r="D1" s="2842"/>
      <c r="E1" s="2842"/>
      <c r="F1" s="2842"/>
      <c r="G1" s="2842"/>
      <c r="H1" s="2843"/>
      <c r="I1" s="2842"/>
      <c r="J1" s="2842"/>
      <c r="K1" s="2842"/>
      <c r="L1" s="2842"/>
      <c r="M1" s="2842"/>
      <c r="N1" s="2842"/>
      <c r="O1" s="2842"/>
    </row>
    <row r="2" spans="1:17" ht="18" x14ac:dyDescent="0.35">
      <c r="A2" s="2842" t="s">
        <v>1</v>
      </c>
      <c r="B2" s="2842"/>
      <c r="C2" s="2842"/>
      <c r="D2" s="2842"/>
      <c r="E2" s="2842"/>
      <c r="F2" s="2842"/>
      <c r="G2" s="2842"/>
      <c r="H2" s="2843"/>
      <c r="I2" s="2842"/>
      <c r="J2" s="2842"/>
      <c r="K2" s="2842"/>
      <c r="L2" s="2842"/>
      <c r="M2" s="2842"/>
      <c r="N2" s="2842"/>
      <c r="O2" s="2842"/>
    </row>
    <row r="3" spans="1:17" x14ac:dyDescent="0.3">
      <c r="A3" s="2" t="s">
        <v>2</v>
      </c>
      <c r="B3" s="2"/>
      <c r="C3" s="3"/>
      <c r="D3" s="3"/>
      <c r="E3" s="4"/>
      <c r="F3" s="3"/>
      <c r="G3" s="5"/>
      <c r="H3" s="6"/>
      <c r="I3" s="3"/>
      <c r="J3" s="3"/>
      <c r="K3" s="3"/>
      <c r="L3" s="3"/>
      <c r="M3" s="3"/>
      <c r="N3" s="3"/>
      <c r="O3" s="7"/>
    </row>
    <row r="4" spans="1:17" s="10" customFormat="1" ht="18.75" customHeight="1" x14ac:dyDescent="0.3">
      <c r="A4" s="2844" t="s">
        <v>3</v>
      </c>
      <c r="B4" s="2846" t="s">
        <v>4</v>
      </c>
      <c r="C4" s="2848" t="s">
        <v>5</v>
      </c>
      <c r="D4" s="2849"/>
      <c r="E4" s="2850"/>
      <c r="F4" s="8" t="s">
        <v>6</v>
      </c>
      <c r="G4" s="2854" t="s">
        <v>7</v>
      </c>
      <c r="H4" s="2856" t="s">
        <v>8</v>
      </c>
      <c r="I4" s="2858" t="s">
        <v>9</v>
      </c>
      <c r="J4" s="2859"/>
      <c r="K4" s="2859"/>
      <c r="L4" s="2859"/>
      <c r="M4" s="2859"/>
      <c r="N4" s="2860"/>
      <c r="O4" s="9" t="s">
        <v>10</v>
      </c>
    </row>
    <row r="5" spans="1:17" s="10" customFormat="1" ht="42" customHeight="1" x14ac:dyDescent="0.3">
      <c r="A5" s="2845"/>
      <c r="B5" s="2847"/>
      <c r="C5" s="2851"/>
      <c r="D5" s="2852"/>
      <c r="E5" s="2853"/>
      <c r="F5" s="11" t="s">
        <v>11</v>
      </c>
      <c r="G5" s="2855"/>
      <c r="H5" s="2857"/>
      <c r="I5" s="14" t="s">
        <v>12</v>
      </c>
      <c r="J5" s="14" t="s">
        <v>13</v>
      </c>
      <c r="K5" s="15" t="s">
        <v>14</v>
      </c>
      <c r="L5" s="15" t="s">
        <v>15</v>
      </c>
      <c r="M5" s="15" t="s">
        <v>16</v>
      </c>
      <c r="N5" s="15" t="s">
        <v>17</v>
      </c>
      <c r="O5" s="13"/>
    </row>
    <row r="6" spans="1:17" ht="18.75" customHeight="1" x14ac:dyDescent="0.3">
      <c r="A6" s="179">
        <v>401</v>
      </c>
      <c r="B6" s="180" t="s">
        <v>178</v>
      </c>
      <c r="C6" s="181"/>
      <c r="D6" s="182"/>
      <c r="E6" s="183"/>
      <c r="F6" s="1751"/>
      <c r="G6" s="184"/>
      <c r="H6" s="185"/>
      <c r="I6" s="186"/>
      <c r="J6" s="186"/>
      <c r="K6" s="186"/>
      <c r="L6" s="186"/>
      <c r="M6" s="186"/>
      <c r="N6" s="186"/>
      <c r="O6" s="187"/>
    </row>
    <row r="7" spans="1:17" ht="18.75" customHeight="1" x14ac:dyDescent="0.3">
      <c r="A7" s="104">
        <v>1</v>
      </c>
      <c r="B7" s="105" t="s">
        <v>182</v>
      </c>
      <c r="C7" s="129">
        <v>401</v>
      </c>
      <c r="D7" s="113">
        <v>43</v>
      </c>
      <c r="E7" s="114">
        <v>3921</v>
      </c>
      <c r="F7" s="115">
        <v>15925</v>
      </c>
      <c r="G7" s="116">
        <v>5460</v>
      </c>
      <c r="H7" s="1741" t="s">
        <v>183</v>
      </c>
      <c r="I7" s="118"/>
      <c r="J7" s="118" t="s">
        <v>25</v>
      </c>
      <c r="K7" s="1270"/>
      <c r="L7" s="119"/>
      <c r="M7" s="119"/>
      <c r="N7" s="119"/>
      <c r="O7" s="2819" t="s">
        <v>6395</v>
      </c>
      <c r="Q7" s="118"/>
    </row>
    <row r="8" spans="1:17" ht="18.75" customHeight="1" x14ac:dyDescent="0.3">
      <c r="A8" s="189">
        <v>2</v>
      </c>
      <c r="B8" s="105" t="s">
        <v>182</v>
      </c>
      <c r="C8" s="129">
        <v>401</v>
      </c>
      <c r="D8" s="113">
        <v>43</v>
      </c>
      <c r="E8" s="114">
        <v>3922</v>
      </c>
      <c r="F8" s="115">
        <v>15925</v>
      </c>
      <c r="G8" s="116">
        <v>5460</v>
      </c>
      <c r="H8" s="1741" t="s">
        <v>183</v>
      </c>
      <c r="I8" s="118"/>
      <c r="J8" s="118" t="s">
        <v>25</v>
      </c>
      <c r="K8" s="1270"/>
      <c r="L8" s="119"/>
      <c r="M8" s="119"/>
      <c r="N8" s="119"/>
      <c r="O8" s="2819" t="s">
        <v>6395</v>
      </c>
      <c r="Q8" s="118"/>
    </row>
    <row r="9" spans="1:17" ht="18.75" customHeight="1" x14ac:dyDescent="0.3">
      <c r="A9" s="104">
        <v>3</v>
      </c>
      <c r="B9" s="105" t="s">
        <v>182</v>
      </c>
      <c r="C9" s="129">
        <v>401</v>
      </c>
      <c r="D9" s="113">
        <v>43</v>
      </c>
      <c r="E9" s="114">
        <v>3923</v>
      </c>
      <c r="F9" s="115">
        <v>15925</v>
      </c>
      <c r="G9" s="116">
        <v>5460</v>
      </c>
      <c r="H9" s="1741" t="s">
        <v>183</v>
      </c>
      <c r="I9" s="118"/>
      <c r="J9" s="118" t="s">
        <v>25</v>
      </c>
      <c r="K9" s="1270"/>
      <c r="L9" s="119"/>
      <c r="M9" s="119"/>
      <c r="N9" s="119"/>
      <c r="O9" s="2819" t="s">
        <v>6395</v>
      </c>
      <c r="Q9" s="118"/>
    </row>
    <row r="10" spans="1:17" ht="18.75" customHeight="1" x14ac:dyDescent="0.3">
      <c r="A10" s="104">
        <v>4</v>
      </c>
      <c r="B10" s="105" t="s">
        <v>195</v>
      </c>
      <c r="C10" s="195">
        <v>401</v>
      </c>
      <c r="D10" s="125">
        <v>63</v>
      </c>
      <c r="E10" s="114">
        <v>9375</v>
      </c>
      <c r="F10" s="115">
        <v>22968</v>
      </c>
      <c r="G10" s="116">
        <v>327.10000000000002</v>
      </c>
      <c r="H10" s="1741" t="s">
        <v>168</v>
      </c>
      <c r="I10" s="118"/>
      <c r="J10" s="83" t="s">
        <v>25</v>
      </c>
      <c r="K10" s="939"/>
      <c r="L10" s="118"/>
      <c r="M10" s="83"/>
      <c r="N10" s="83"/>
      <c r="O10" s="2819" t="s">
        <v>6395</v>
      </c>
      <c r="Q10" s="118"/>
    </row>
    <row r="11" spans="1:17" ht="18.75" customHeight="1" x14ac:dyDescent="0.3">
      <c r="A11" s="189">
        <v>5</v>
      </c>
      <c r="B11" s="105" t="s">
        <v>195</v>
      </c>
      <c r="C11" s="195">
        <v>401</v>
      </c>
      <c r="D11" s="127">
        <v>63</v>
      </c>
      <c r="E11" s="114">
        <v>9376</v>
      </c>
      <c r="F11" s="115">
        <v>22968</v>
      </c>
      <c r="G11" s="116">
        <v>327.10000000000002</v>
      </c>
      <c r="H11" s="1741" t="s">
        <v>168</v>
      </c>
      <c r="I11" s="118"/>
      <c r="J11" s="83" t="s">
        <v>25</v>
      </c>
      <c r="K11" s="939"/>
      <c r="L11" s="118"/>
      <c r="M11" s="83"/>
      <c r="N11" s="83"/>
      <c r="O11" s="2819" t="s">
        <v>6395</v>
      </c>
      <c r="Q11" s="118"/>
    </row>
    <row r="12" spans="1:17" ht="18.75" customHeight="1" x14ac:dyDescent="0.3">
      <c r="A12" s="104">
        <v>6</v>
      </c>
      <c r="B12" s="105" t="s">
        <v>195</v>
      </c>
      <c r="C12" s="195">
        <v>401</v>
      </c>
      <c r="D12" s="128">
        <v>63</v>
      </c>
      <c r="E12" s="114">
        <v>9377</v>
      </c>
      <c r="F12" s="115">
        <v>22968</v>
      </c>
      <c r="G12" s="116">
        <v>327.10000000000002</v>
      </c>
      <c r="H12" s="1741" t="s">
        <v>168</v>
      </c>
      <c r="I12" s="118"/>
      <c r="J12" s="83" t="s">
        <v>25</v>
      </c>
      <c r="K12" s="939"/>
      <c r="L12" s="118"/>
      <c r="M12" s="83"/>
      <c r="N12" s="83"/>
      <c r="O12" s="2819" t="s">
        <v>6395</v>
      </c>
      <c r="Q12" s="118"/>
    </row>
    <row r="13" spans="1:17" ht="18.75" customHeight="1" x14ac:dyDescent="0.3">
      <c r="A13" s="104">
        <v>7</v>
      </c>
      <c r="B13" s="105" t="s">
        <v>195</v>
      </c>
      <c r="C13" s="195">
        <v>401</v>
      </c>
      <c r="D13" s="113">
        <v>63</v>
      </c>
      <c r="E13" s="114">
        <v>9382</v>
      </c>
      <c r="F13" s="115">
        <v>22968</v>
      </c>
      <c r="G13" s="116">
        <v>327.10000000000002</v>
      </c>
      <c r="H13" s="1741" t="s">
        <v>168</v>
      </c>
      <c r="I13" s="118"/>
      <c r="J13" s="83" t="s">
        <v>25</v>
      </c>
      <c r="K13" s="939"/>
      <c r="L13" s="118"/>
      <c r="M13" s="83"/>
      <c r="N13" s="83"/>
      <c r="O13" s="2819" t="s">
        <v>6395</v>
      </c>
      <c r="Q13" s="118"/>
    </row>
    <row r="14" spans="1:17" ht="18.75" customHeight="1" x14ac:dyDescent="0.3">
      <c r="A14" s="189">
        <v>8</v>
      </c>
      <c r="B14" s="105" t="s">
        <v>195</v>
      </c>
      <c r="C14" s="129">
        <v>401</v>
      </c>
      <c r="D14" s="127">
        <v>63</v>
      </c>
      <c r="E14" s="114">
        <v>9387</v>
      </c>
      <c r="F14" s="115">
        <v>22968</v>
      </c>
      <c r="G14" s="116">
        <v>327.10000000000002</v>
      </c>
      <c r="H14" s="1741" t="s">
        <v>168</v>
      </c>
      <c r="I14" s="118"/>
      <c r="J14" s="83" t="s">
        <v>25</v>
      </c>
      <c r="K14" s="939"/>
      <c r="L14" s="118"/>
      <c r="M14" s="83"/>
      <c r="N14" s="83"/>
      <c r="O14" s="2819" t="s">
        <v>6395</v>
      </c>
      <c r="Q14" s="118"/>
    </row>
    <row r="15" spans="1:17" ht="18.75" customHeight="1" x14ac:dyDescent="0.3">
      <c r="A15" s="104">
        <v>9</v>
      </c>
      <c r="B15" s="105" t="s">
        <v>195</v>
      </c>
      <c r="C15" s="129">
        <v>401</v>
      </c>
      <c r="D15" s="113">
        <v>63</v>
      </c>
      <c r="E15" s="114">
        <v>9389</v>
      </c>
      <c r="F15" s="115">
        <v>22968</v>
      </c>
      <c r="G15" s="116">
        <v>327.10000000000002</v>
      </c>
      <c r="H15" s="1741" t="s">
        <v>168</v>
      </c>
      <c r="I15" s="118"/>
      <c r="J15" s="83" t="s">
        <v>25</v>
      </c>
      <c r="K15" s="939"/>
      <c r="L15" s="118"/>
      <c r="M15" s="83"/>
      <c r="N15" s="83"/>
      <c r="O15" s="2819" t="s">
        <v>6395</v>
      </c>
      <c r="Q15" s="118"/>
    </row>
    <row r="16" spans="1:17" ht="18.75" customHeight="1" x14ac:dyDescent="0.3">
      <c r="A16" s="104">
        <v>10</v>
      </c>
      <c r="B16" s="105" t="s">
        <v>195</v>
      </c>
      <c r="C16" s="129">
        <v>401</v>
      </c>
      <c r="D16" s="113">
        <v>63</v>
      </c>
      <c r="E16" s="114">
        <v>9391</v>
      </c>
      <c r="F16" s="115">
        <v>22968</v>
      </c>
      <c r="G16" s="116">
        <v>327.10000000000002</v>
      </c>
      <c r="H16" s="1741" t="s">
        <v>168</v>
      </c>
      <c r="I16" s="118"/>
      <c r="J16" s="83" t="s">
        <v>25</v>
      </c>
      <c r="K16" s="939"/>
      <c r="L16" s="118"/>
      <c r="M16" s="83"/>
      <c r="N16" s="83"/>
      <c r="O16" s="2819" t="s">
        <v>6395</v>
      </c>
      <c r="Q16" s="118"/>
    </row>
    <row r="17" spans="1:17" ht="18.75" customHeight="1" x14ac:dyDescent="0.3">
      <c r="A17" s="189">
        <v>11</v>
      </c>
      <c r="B17" s="105" t="s">
        <v>195</v>
      </c>
      <c r="C17" s="129">
        <v>401</v>
      </c>
      <c r="D17" s="113">
        <v>63</v>
      </c>
      <c r="E17" s="114">
        <v>9392</v>
      </c>
      <c r="F17" s="115">
        <v>22968</v>
      </c>
      <c r="G17" s="116">
        <v>327.10000000000002</v>
      </c>
      <c r="H17" s="1741" t="s">
        <v>168</v>
      </c>
      <c r="I17" s="118"/>
      <c r="J17" s="83" t="s">
        <v>25</v>
      </c>
      <c r="K17" s="939"/>
      <c r="L17" s="118"/>
      <c r="M17" s="83"/>
      <c r="N17" s="83"/>
      <c r="O17" s="2819" t="s">
        <v>6395</v>
      </c>
      <c r="Q17" s="118"/>
    </row>
    <row r="18" spans="1:17" ht="18.75" customHeight="1" x14ac:dyDescent="0.3">
      <c r="A18" s="104">
        <v>12</v>
      </c>
      <c r="B18" s="105" t="s">
        <v>195</v>
      </c>
      <c r="C18" s="129">
        <v>401</v>
      </c>
      <c r="D18" s="113">
        <v>63</v>
      </c>
      <c r="E18" s="114">
        <v>9393</v>
      </c>
      <c r="F18" s="115">
        <v>22968</v>
      </c>
      <c r="G18" s="116">
        <v>327.10000000000002</v>
      </c>
      <c r="H18" s="1741" t="s">
        <v>168</v>
      </c>
      <c r="I18" s="118"/>
      <c r="J18" s="83" t="s">
        <v>25</v>
      </c>
      <c r="K18" s="939"/>
      <c r="L18" s="118"/>
      <c r="M18" s="83"/>
      <c r="N18" s="83"/>
      <c r="O18" s="2819" t="s">
        <v>6395</v>
      </c>
      <c r="Q18" s="118"/>
    </row>
    <row r="19" spans="1:17" ht="18.75" customHeight="1" x14ac:dyDescent="0.3">
      <c r="A19" s="104">
        <v>13</v>
      </c>
      <c r="B19" s="105" t="s">
        <v>195</v>
      </c>
      <c r="C19" s="129">
        <v>401</v>
      </c>
      <c r="D19" s="113">
        <v>63</v>
      </c>
      <c r="E19" s="114">
        <v>9394</v>
      </c>
      <c r="F19" s="115">
        <v>22968</v>
      </c>
      <c r="G19" s="116">
        <v>327.10000000000002</v>
      </c>
      <c r="H19" s="1741" t="s">
        <v>168</v>
      </c>
      <c r="I19" s="118"/>
      <c r="J19" s="83" t="s">
        <v>25</v>
      </c>
      <c r="K19" s="939"/>
      <c r="L19" s="118"/>
      <c r="M19" s="83"/>
      <c r="N19" s="83"/>
      <c r="O19" s="2819" t="s">
        <v>6395</v>
      </c>
      <c r="Q19" s="118"/>
    </row>
    <row r="20" spans="1:17" ht="18.75" customHeight="1" x14ac:dyDescent="0.3">
      <c r="A20" s="189">
        <v>14</v>
      </c>
      <c r="B20" s="105" t="s">
        <v>195</v>
      </c>
      <c r="C20" s="129">
        <v>401</v>
      </c>
      <c r="D20" s="113">
        <v>63</v>
      </c>
      <c r="E20" s="114">
        <v>9408</v>
      </c>
      <c r="F20" s="115">
        <v>22968</v>
      </c>
      <c r="G20" s="116">
        <v>327.10000000000002</v>
      </c>
      <c r="H20" s="1741" t="s">
        <v>168</v>
      </c>
      <c r="I20" s="118"/>
      <c r="J20" s="83" t="s">
        <v>25</v>
      </c>
      <c r="K20" s="939"/>
      <c r="L20" s="118"/>
      <c r="M20" s="83"/>
      <c r="N20" s="83"/>
      <c r="O20" s="2819" t="s">
        <v>6395</v>
      </c>
      <c r="Q20" s="118"/>
    </row>
    <row r="21" spans="1:17" ht="18.75" customHeight="1" x14ac:dyDescent="0.3">
      <c r="A21" s="104">
        <v>15</v>
      </c>
      <c r="B21" s="105" t="s">
        <v>195</v>
      </c>
      <c r="C21" s="129">
        <v>401</v>
      </c>
      <c r="D21" s="113">
        <v>63</v>
      </c>
      <c r="E21" s="114">
        <v>9417</v>
      </c>
      <c r="F21" s="115">
        <v>22968</v>
      </c>
      <c r="G21" s="116">
        <v>327.10000000000002</v>
      </c>
      <c r="H21" s="1741" t="s">
        <v>168</v>
      </c>
      <c r="I21" s="118"/>
      <c r="J21" s="83" t="s">
        <v>25</v>
      </c>
      <c r="K21" s="939"/>
      <c r="L21" s="118"/>
      <c r="M21" s="83"/>
      <c r="N21" s="83"/>
      <c r="O21" s="2819" t="s">
        <v>6395</v>
      </c>
      <c r="Q21" s="118"/>
    </row>
    <row r="22" spans="1:17" ht="18.75" customHeight="1" x14ac:dyDescent="0.3">
      <c r="A22" s="104">
        <v>16</v>
      </c>
      <c r="B22" s="105" t="s">
        <v>195</v>
      </c>
      <c r="C22" s="129">
        <v>401</v>
      </c>
      <c r="D22" s="113">
        <v>63</v>
      </c>
      <c r="E22" s="114">
        <v>9418</v>
      </c>
      <c r="F22" s="115">
        <v>22968</v>
      </c>
      <c r="G22" s="116">
        <v>327.10000000000002</v>
      </c>
      <c r="H22" s="1741" t="s">
        <v>168</v>
      </c>
      <c r="I22" s="118"/>
      <c r="J22" s="83" t="s">
        <v>25</v>
      </c>
      <c r="K22" s="118"/>
      <c r="L22" s="118"/>
      <c r="M22" s="83"/>
      <c r="N22" s="83"/>
      <c r="O22" s="2819" t="s">
        <v>6395</v>
      </c>
      <c r="Q22" s="118"/>
    </row>
    <row r="23" spans="1:17" ht="18.75" customHeight="1" x14ac:dyDescent="0.3">
      <c r="A23" s="189">
        <v>17</v>
      </c>
      <c r="B23" s="105" t="s">
        <v>195</v>
      </c>
      <c r="C23" s="129">
        <v>401</v>
      </c>
      <c r="D23" s="113">
        <v>63</v>
      </c>
      <c r="E23" s="114">
        <v>9419</v>
      </c>
      <c r="F23" s="115">
        <v>22968</v>
      </c>
      <c r="G23" s="116">
        <v>327.10000000000002</v>
      </c>
      <c r="H23" s="1741" t="s">
        <v>168</v>
      </c>
      <c r="I23" s="118"/>
      <c r="J23" s="83" t="s">
        <v>25</v>
      </c>
      <c r="K23" s="118"/>
      <c r="L23" s="118"/>
      <c r="M23" s="83"/>
      <c r="N23" s="83"/>
      <c r="O23" s="2819" t="s">
        <v>6395</v>
      </c>
      <c r="Q23" s="118"/>
    </row>
    <row r="24" spans="1:17" ht="18.75" customHeight="1" x14ac:dyDescent="0.3">
      <c r="A24" s="104">
        <v>18</v>
      </c>
      <c r="B24" s="105" t="s">
        <v>195</v>
      </c>
      <c r="C24" s="129">
        <v>401</v>
      </c>
      <c r="D24" s="113">
        <v>63</v>
      </c>
      <c r="E24" s="114">
        <v>9424</v>
      </c>
      <c r="F24" s="115">
        <v>22968</v>
      </c>
      <c r="G24" s="116">
        <v>327.10000000000002</v>
      </c>
      <c r="H24" s="1741" t="s">
        <v>168</v>
      </c>
      <c r="I24" s="118"/>
      <c r="J24" s="118" t="s">
        <v>25</v>
      </c>
      <c r="K24" s="118"/>
      <c r="L24" s="118"/>
      <c r="M24" s="83"/>
      <c r="N24" s="83"/>
      <c r="O24" s="2819" t="s">
        <v>6395</v>
      </c>
      <c r="Q24" s="118"/>
    </row>
    <row r="25" spans="1:17" ht="18.75" customHeight="1" x14ac:dyDescent="0.3">
      <c r="A25" s="104">
        <v>19</v>
      </c>
      <c r="B25" s="105" t="s">
        <v>195</v>
      </c>
      <c r="C25" s="129">
        <v>401</v>
      </c>
      <c r="D25" s="113">
        <v>63</v>
      </c>
      <c r="E25" s="114">
        <v>9428</v>
      </c>
      <c r="F25" s="115">
        <v>22968</v>
      </c>
      <c r="G25" s="116">
        <v>327.10000000000002</v>
      </c>
      <c r="H25" s="1741" t="s">
        <v>168</v>
      </c>
      <c r="I25" s="118"/>
      <c r="J25" s="118" t="s">
        <v>25</v>
      </c>
      <c r="K25" s="118"/>
      <c r="L25" s="118"/>
      <c r="M25" s="83"/>
      <c r="N25" s="83"/>
      <c r="O25" s="2819" t="s">
        <v>6395</v>
      </c>
      <c r="Q25" s="118"/>
    </row>
    <row r="26" spans="1:17" ht="18.75" customHeight="1" x14ac:dyDescent="0.45">
      <c r="A26" s="172"/>
      <c r="B26" s="172"/>
      <c r="C26" s="199"/>
      <c r="D26" s="200"/>
      <c r="E26" s="201"/>
      <c r="F26" s="172"/>
      <c r="G26" s="202">
        <f>SUM(G7:G25)</f>
        <v>21613.599999999977</v>
      </c>
      <c r="H26" s="203"/>
      <c r="I26" s="204"/>
      <c r="J26" s="204"/>
      <c r="K26" s="663"/>
      <c r="L26" s="204"/>
      <c r="M26" s="204"/>
      <c r="N26" s="204"/>
      <c r="O26" s="205"/>
      <c r="Q26" s="204"/>
    </row>
    <row r="27" spans="1:17" s="10" customFormat="1" ht="18.75" customHeight="1" x14ac:dyDescent="0.3">
      <c r="A27" s="2844" t="s">
        <v>3</v>
      </c>
      <c r="B27" s="2846" t="s">
        <v>4</v>
      </c>
      <c r="C27" s="2848" t="s">
        <v>5</v>
      </c>
      <c r="D27" s="2849"/>
      <c r="E27" s="2850"/>
      <c r="F27" s="8" t="s">
        <v>6</v>
      </c>
      <c r="G27" s="2854" t="s">
        <v>7</v>
      </c>
      <c r="H27" s="2856" t="s">
        <v>8</v>
      </c>
      <c r="I27" s="2858" t="s">
        <v>9</v>
      </c>
      <c r="J27" s="2859"/>
      <c r="K27" s="2859"/>
      <c r="L27" s="2859"/>
      <c r="M27" s="2859"/>
      <c r="N27" s="2860"/>
      <c r="O27" s="9" t="s">
        <v>10</v>
      </c>
    </row>
    <row r="28" spans="1:17" s="10" customFormat="1" ht="42" customHeight="1" x14ac:dyDescent="0.3">
      <c r="A28" s="2845"/>
      <c r="B28" s="2847"/>
      <c r="C28" s="2851"/>
      <c r="D28" s="2852"/>
      <c r="E28" s="2853"/>
      <c r="F28" s="11" t="s">
        <v>11</v>
      </c>
      <c r="G28" s="2855"/>
      <c r="H28" s="2857"/>
      <c r="I28" s="14" t="s">
        <v>12</v>
      </c>
      <c r="J28" s="14" t="s">
        <v>13</v>
      </c>
      <c r="K28" s="15" t="s">
        <v>14</v>
      </c>
      <c r="L28" s="15" t="s">
        <v>15</v>
      </c>
      <c r="M28" s="15" t="s">
        <v>16</v>
      </c>
      <c r="N28" s="15" t="s">
        <v>17</v>
      </c>
      <c r="O28" s="13"/>
    </row>
    <row r="29" spans="1:17" ht="18.75" customHeight="1" x14ac:dyDescent="0.3">
      <c r="A29" s="206">
        <v>402</v>
      </c>
      <c r="B29" s="17" t="s">
        <v>196</v>
      </c>
      <c r="C29" s="207"/>
      <c r="D29" s="208"/>
      <c r="E29" s="207"/>
      <c r="F29" s="207"/>
      <c r="G29" s="209"/>
      <c r="H29" s="210"/>
      <c r="I29" s="211"/>
      <c r="J29" s="212"/>
      <c r="K29" s="2238"/>
      <c r="L29" s="212"/>
      <c r="M29" s="212"/>
      <c r="N29" s="212"/>
      <c r="O29" s="213"/>
      <c r="Q29" s="211"/>
    </row>
    <row r="30" spans="1:17" ht="18.75" customHeight="1" x14ac:dyDescent="0.3">
      <c r="A30" s="214">
        <v>1</v>
      </c>
      <c r="B30" s="215" t="s">
        <v>197</v>
      </c>
      <c r="C30" s="216" t="s">
        <v>198</v>
      </c>
      <c r="D30" s="67">
        <v>51</v>
      </c>
      <c r="E30" s="217" t="s">
        <v>204</v>
      </c>
      <c r="F30" s="218" t="s">
        <v>200</v>
      </c>
      <c r="G30" s="192">
        <v>6280</v>
      </c>
      <c r="H30" s="1741" t="s">
        <v>168</v>
      </c>
      <c r="I30" s="118"/>
      <c r="J30" s="118" t="s">
        <v>25</v>
      </c>
      <c r="K30" s="1270"/>
      <c r="L30" s="119"/>
      <c r="M30" s="119"/>
      <c r="N30" s="119"/>
      <c r="O30" s="2819" t="s">
        <v>6395</v>
      </c>
      <c r="Q30" s="118"/>
    </row>
    <row r="31" spans="1:17" ht="18.75" customHeight="1" x14ac:dyDescent="0.3">
      <c r="A31" s="189">
        <v>2</v>
      </c>
      <c r="B31" s="215" t="s">
        <v>197</v>
      </c>
      <c r="C31" s="216" t="s">
        <v>198</v>
      </c>
      <c r="D31" s="67">
        <v>51</v>
      </c>
      <c r="E31" s="217" t="s">
        <v>205</v>
      </c>
      <c r="F31" s="218" t="s">
        <v>200</v>
      </c>
      <c r="G31" s="192">
        <v>6280</v>
      </c>
      <c r="H31" s="1741" t="s">
        <v>168</v>
      </c>
      <c r="I31" s="118"/>
      <c r="J31" s="118" t="s">
        <v>25</v>
      </c>
      <c r="K31" s="1270"/>
      <c r="L31" s="119"/>
      <c r="M31" s="119"/>
      <c r="N31" s="119"/>
      <c r="O31" s="2819" t="s">
        <v>6395</v>
      </c>
      <c r="Q31" s="118" t="s">
        <v>25</v>
      </c>
    </row>
    <row r="32" spans="1:17" ht="18.75" customHeight="1" x14ac:dyDescent="0.3">
      <c r="A32" s="214">
        <v>3</v>
      </c>
      <c r="B32" s="215" t="s">
        <v>259</v>
      </c>
      <c r="C32" s="216" t="s">
        <v>198</v>
      </c>
      <c r="D32" s="67">
        <v>58</v>
      </c>
      <c r="E32" s="217" t="s">
        <v>274</v>
      </c>
      <c r="F32" s="218" t="s">
        <v>261</v>
      </c>
      <c r="G32" s="192">
        <v>10000</v>
      </c>
      <c r="H32" s="1741" t="s">
        <v>275</v>
      </c>
      <c r="I32" s="118"/>
      <c r="J32" s="118" t="s">
        <v>25</v>
      </c>
      <c r="K32" s="924"/>
      <c r="L32" s="192"/>
      <c r="M32" s="192"/>
      <c r="N32" s="192"/>
      <c r="O32" s="2819" t="s">
        <v>6395</v>
      </c>
      <c r="Q32" s="118"/>
    </row>
    <row r="33" spans="1:17" ht="18.75" customHeight="1" x14ac:dyDescent="0.45">
      <c r="A33" s="39"/>
      <c r="B33" s="88"/>
      <c r="C33" s="89"/>
      <c r="D33" s="230"/>
      <c r="E33" s="201"/>
      <c r="F33" s="176"/>
      <c r="G33" s="231">
        <f>SUM(G30:G32)</f>
        <v>22560</v>
      </c>
      <c r="H33" s="232"/>
      <c r="I33" s="233"/>
      <c r="J33" s="233"/>
      <c r="K33" s="1195"/>
      <c r="L33" s="234"/>
      <c r="M33" s="234"/>
      <c r="N33" s="234"/>
      <c r="O33" s="235"/>
      <c r="Q33" s="233"/>
    </row>
    <row r="34" spans="1:17" s="10" customFormat="1" ht="18" customHeight="1" x14ac:dyDescent="0.3">
      <c r="A34" s="515" t="s">
        <v>625</v>
      </c>
      <c r="B34" s="516" t="s">
        <v>626</v>
      </c>
      <c r="C34" s="3003"/>
      <c r="D34" s="2898"/>
      <c r="E34" s="3004"/>
      <c r="F34" s="520"/>
      <c r="G34" s="521"/>
      <c r="H34" s="521"/>
      <c r="I34" s="522"/>
      <c r="J34" s="521"/>
      <c r="K34" s="522"/>
      <c r="L34" s="521"/>
      <c r="M34" s="523"/>
    </row>
    <row r="35" spans="1:17" s="10" customFormat="1" ht="18" customHeight="1" x14ac:dyDescent="0.3">
      <c r="A35" s="2828">
        <v>1</v>
      </c>
      <c r="B35" s="525" t="s">
        <v>627</v>
      </c>
      <c r="C35" s="526" t="s">
        <v>628</v>
      </c>
      <c r="F35" s="527" t="s">
        <v>629</v>
      </c>
      <c r="G35" s="528">
        <v>306000</v>
      </c>
      <c r="H35" s="529" t="s">
        <v>630</v>
      </c>
      <c r="I35" s="406"/>
      <c r="J35" s="406" t="s">
        <v>25</v>
      </c>
      <c r="K35" s="524"/>
      <c r="L35" s="524"/>
      <c r="M35" s="524"/>
      <c r="N35" s="524"/>
      <c r="O35" s="2813" t="s">
        <v>6395</v>
      </c>
    </row>
    <row r="36" spans="1:17" s="10" customFormat="1" ht="18" customHeight="1" x14ac:dyDescent="0.45">
      <c r="A36" s="2818"/>
      <c r="B36" s="2824"/>
      <c r="C36" s="2825"/>
      <c r="F36" s="2820"/>
      <c r="G36" s="231">
        <f>SUM(G35)</f>
        <v>306000</v>
      </c>
      <c r="H36" s="2829"/>
      <c r="I36" s="2826"/>
      <c r="J36" s="2826"/>
      <c r="K36" s="2826"/>
      <c r="L36" s="2826"/>
      <c r="M36" s="2826"/>
      <c r="N36" s="2826"/>
      <c r="O36" s="2827"/>
    </row>
    <row r="37" spans="1:17" ht="18" customHeight="1" x14ac:dyDescent="0.3">
      <c r="A37" s="2649" t="s">
        <v>803</v>
      </c>
      <c r="B37" s="684" t="s">
        <v>804</v>
      </c>
      <c r="C37" s="668"/>
      <c r="D37" s="685"/>
      <c r="E37" s="686"/>
      <c r="F37" s="671"/>
      <c r="G37" s="672"/>
      <c r="H37" s="673"/>
      <c r="I37" s="672"/>
      <c r="J37" s="673"/>
      <c r="K37" s="673"/>
      <c r="L37" s="674"/>
      <c r="M37" s="2816"/>
      <c r="N37" s="1061"/>
      <c r="O37" s="2817"/>
    </row>
    <row r="38" spans="1:17" ht="18" customHeight="1" x14ac:dyDescent="0.3">
      <c r="A38" s="104">
        <v>1</v>
      </c>
      <c r="B38" s="698" t="s">
        <v>808</v>
      </c>
      <c r="C38" s="2997" t="s">
        <v>809</v>
      </c>
      <c r="D38" s="2998"/>
      <c r="E38" s="2999"/>
      <c r="F38" s="411" t="s">
        <v>810</v>
      </c>
      <c r="G38" s="412">
        <v>28900</v>
      </c>
      <c r="H38" s="1720" t="s">
        <v>811</v>
      </c>
      <c r="I38" s="196"/>
      <c r="J38" s="104" t="s">
        <v>25</v>
      </c>
      <c r="K38" s="699"/>
      <c r="L38" s="104"/>
      <c r="M38" s="104"/>
      <c r="N38" s="104"/>
      <c r="O38" s="2623" t="s">
        <v>6395</v>
      </c>
    </row>
    <row r="39" spans="1:17" ht="18" customHeight="1" x14ac:dyDescent="0.3">
      <c r="A39" s="104">
        <v>2</v>
      </c>
      <c r="B39" s="536" t="s">
        <v>820</v>
      </c>
      <c r="C39" s="3007" t="s">
        <v>821</v>
      </c>
      <c r="D39" s="3008"/>
      <c r="E39" s="3009"/>
      <c r="F39" s="533" t="s">
        <v>822</v>
      </c>
      <c r="G39" s="654">
        <v>27800</v>
      </c>
      <c r="H39" s="535" t="s">
        <v>633</v>
      </c>
      <c r="I39" s="121"/>
      <c r="J39" s="121" t="s">
        <v>25</v>
      </c>
      <c r="K39" s="147"/>
      <c r="L39" s="147"/>
      <c r="M39" s="147"/>
      <c r="N39" s="147"/>
      <c r="O39" s="2623" t="s">
        <v>6395</v>
      </c>
    </row>
    <row r="40" spans="1:17" ht="18" customHeight="1" x14ac:dyDescent="0.3">
      <c r="A40" s="104">
        <v>3</v>
      </c>
      <c r="B40" s="313" t="s">
        <v>828</v>
      </c>
      <c r="C40" s="3010" t="s">
        <v>829</v>
      </c>
      <c r="D40" s="3011"/>
      <c r="E40" s="3012"/>
      <c r="F40" s="539">
        <v>14596</v>
      </c>
      <c r="G40" s="540">
        <v>38000</v>
      </c>
      <c r="H40" s="535" t="s">
        <v>633</v>
      </c>
      <c r="I40" s="2333"/>
      <c r="J40" s="121" t="s">
        <v>25</v>
      </c>
      <c r="K40" s="541"/>
      <c r="L40" s="541"/>
      <c r="M40" s="541"/>
      <c r="N40" s="541"/>
      <c r="O40" s="2623" t="s">
        <v>6395</v>
      </c>
    </row>
    <row r="41" spans="1:17" ht="18" customHeight="1" x14ac:dyDescent="0.3">
      <c r="A41" s="104">
        <v>4</v>
      </c>
      <c r="B41" s="313" t="s">
        <v>830</v>
      </c>
      <c r="C41" s="3010" t="s">
        <v>831</v>
      </c>
      <c r="D41" s="3011"/>
      <c r="E41" s="3012"/>
      <c r="F41" s="539">
        <v>16164</v>
      </c>
      <c r="G41" s="540">
        <v>39000</v>
      </c>
      <c r="H41" s="535" t="s">
        <v>633</v>
      </c>
      <c r="I41" s="2333"/>
      <c r="J41" s="121" t="s">
        <v>25</v>
      </c>
      <c r="K41" s="541"/>
      <c r="L41" s="541"/>
      <c r="M41" s="541"/>
      <c r="N41" s="541"/>
      <c r="O41" s="2623" t="s">
        <v>6395</v>
      </c>
    </row>
    <row r="42" spans="1:17" ht="18" customHeight="1" x14ac:dyDescent="0.3">
      <c r="A42" s="104">
        <v>5</v>
      </c>
      <c r="B42" s="313" t="s">
        <v>832</v>
      </c>
      <c r="C42" s="3010" t="s">
        <v>833</v>
      </c>
      <c r="D42" s="3011"/>
      <c r="E42" s="3012"/>
      <c r="F42" s="539">
        <v>235340</v>
      </c>
      <c r="G42" s="540">
        <v>38300</v>
      </c>
      <c r="H42" s="535" t="s">
        <v>633</v>
      </c>
      <c r="I42" s="2333"/>
      <c r="J42" s="121" t="s">
        <v>25</v>
      </c>
      <c r="K42" s="541"/>
      <c r="L42" s="541"/>
      <c r="M42" s="541"/>
      <c r="N42" s="541"/>
      <c r="O42" s="2623" t="s">
        <v>6395</v>
      </c>
    </row>
    <row r="43" spans="1:17" ht="18" customHeight="1" x14ac:dyDescent="0.3">
      <c r="A43" s="104">
        <v>6</v>
      </c>
      <c r="B43" s="536" t="s">
        <v>839</v>
      </c>
      <c r="C43" s="3000" t="s">
        <v>840</v>
      </c>
      <c r="D43" s="3001"/>
      <c r="E43" s="3002"/>
      <c r="F43" s="533">
        <v>16664</v>
      </c>
      <c r="G43" s="534">
        <v>38500</v>
      </c>
      <c r="H43" s="535" t="s">
        <v>630</v>
      </c>
      <c r="I43" s="121"/>
      <c r="J43" s="121" t="s">
        <v>25</v>
      </c>
      <c r="K43" s="121"/>
      <c r="L43" s="121"/>
      <c r="M43" s="121"/>
      <c r="N43" s="2814"/>
      <c r="O43" s="2815" t="s">
        <v>6395</v>
      </c>
    </row>
    <row r="44" spans="1:17" ht="18" customHeight="1" x14ac:dyDescent="0.3">
      <c r="A44" s="104">
        <v>7</v>
      </c>
      <c r="B44" s="537" t="s">
        <v>877</v>
      </c>
      <c r="C44" s="3000" t="s">
        <v>878</v>
      </c>
      <c r="D44" s="3001"/>
      <c r="E44" s="3002"/>
      <c r="F44" s="533" t="s">
        <v>879</v>
      </c>
      <c r="G44" s="534">
        <v>29600</v>
      </c>
      <c r="H44" s="535" t="s">
        <v>633</v>
      </c>
      <c r="I44" s="121"/>
      <c r="J44" s="121" t="s">
        <v>25</v>
      </c>
      <c r="K44" s="121"/>
      <c r="L44" s="121"/>
      <c r="M44" s="121"/>
      <c r="N44" s="121"/>
      <c r="O44" s="2623" t="s">
        <v>6395</v>
      </c>
    </row>
    <row r="45" spans="1:17" ht="18" customHeight="1" x14ac:dyDescent="0.3">
      <c r="A45" s="104">
        <v>8</v>
      </c>
      <c r="B45" s="536" t="s">
        <v>880</v>
      </c>
      <c r="C45" s="3000" t="s">
        <v>881</v>
      </c>
      <c r="D45" s="3001"/>
      <c r="E45" s="3002"/>
      <c r="F45" s="533" t="s">
        <v>882</v>
      </c>
      <c r="G45" s="534">
        <v>25730</v>
      </c>
      <c r="H45" s="535" t="s">
        <v>633</v>
      </c>
      <c r="I45" s="121"/>
      <c r="J45" s="121" t="s">
        <v>25</v>
      </c>
      <c r="K45" s="121"/>
      <c r="L45" s="121"/>
      <c r="M45" s="121"/>
      <c r="N45" s="121"/>
      <c r="O45" s="2623" t="s">
        <v>6395</v>
      </c>
    </row>
    <row r="46" spans="1:17" ht="18" customHeight="1" x14ac:dyDescent="0.3">
      <c r="A46" s="104">
        <v>9</v>
      </c>
      <c r="B46" s="536" t="s">
        <v>883</v>
      </c>
      <c r="C46" s="3000" t="s">
        <v>884</v>
      </c>
      <c r="D46" s="3001"/>
      <c r="E46" s="3002"/>
      <c r="F46" s="533" t="s">
        <v>882</v>
      </c>
      <c r="G46" s="534">
        <v>25730</v>
      </c>
      <c r="H46" s="535" t="s">
        <v>633</v>
      </c>
      <c r="I46" s="121"/>
      <c r="J46" s="121" t="s">
        <v>25</v>
      </c>
      <c r="K46" s="121"/>
      <c r="L46" s="121"/>
      <c r="M46" s="121"/>
      <c r="N46" s="121"/>
      <c r="O46" s="2623" t="s">
        <v>6395</v>
      </c>
    </row>
    <row r="47" spans="1:17" ht="18" customHeight="1" x14ac:dyDescent="0.3">
      <c r="A47" s="104">
        <v>10</v>
      </c>
      <c r="B47" s="536" t="s">
        <v>885</v>
      </c>
      <c r="C47" s="3000" t="s">
        <v>886</v>
      </c>
      <c r="D47" s="3001"/>
      <c r="E47" s="3002"/>
      <c r="F47" s="533" t="s">
        <v>882</v>
      </c>
      <c r="G47" s="534">
        <v>25730</v>
      </c>
      <c r="H47" s="535" t="s">
        <v>633</v>
      </c>
      <c r="I47" s="121"/>
      <c r="J47" s="121" t="s">
        <v>25</v>
      </c>
      <c r="K47" s="121"/>
      <c r="L47" s="121"/>
      <c r="M47" s="121"/>
      <c r="N47" s="121"/>
      <c r="O47" s="2623" t="s">
        <v>6395</v>
      </c>
    </row>
    <row r="48" spans="1:17" ht="18" customHeight="1" x14ac:dyDescent="0.3">
      <c r="A48" s="104">
        <v>11</v>
      </c>
      <c r="B48" s="536" t="s">
        <v>887</v>
      </c>
      <c r="C48" s="2939" t="s">
        <v>888</v>
      </c>
      <c r="D48" s="2940"/>
      <c r="E48" s="2941"/>
      <c r="F48" s="533" t="s">
        <v>882</v>
      </c>
      <c r="G48" s="534">
        <v>25730</v>
      </c>
      <c r="H48" s="535" t="s">
        <v>633</v>
      </c>
      <c r="I48" s="121"/>
      <c r="J48" s="121" t="s">
        <v>25</v>
      </c>
      <c r="K48" s="121"/>
      <c r="L48" s="121"/>
      <c r="M48" s="121"/>
      <c r="N48" s="121"/>
      <c r="O48" s="2623" t="s">
        <v>6395</v>
      </c>
    </row>
    <row r="49" spans="1:15" ht="17.399999999999999" x14ac:dyDescent="0.45">
      <c r="G49" s="2751">
        <f>SUM(G38:G48)</f>
        <v>343020</v>
      </c>
      <c r="H49" s="1215"/>
    </row>
    <row r="50" spans="1:15" x14ac:dyDescent="0.3">
      <c r="A50" s="2" t="s">
        <v>4210</v>
      </c>
      <c r="B50" s="2"/>
      <c r="C50" s="3"/>
      <c r="D50" s="3"/>
      <c r="E50" s="3"/>
      <c r="F50" s="3"/>
      <c r="G50" s="5"/>
      <c r="H50" s="6"/>
      <c r="I50" s="3"/>
      <c r="J50" s="3"/>
      <c r="K50" s="3"/>
      <c r="L50" s="3"/>
      <c r="M50" s="3"/>
      <c r="N50" s="3"/>
      <c r="O50" s="7"/>
    </row>
    <row r="51" spans="1:15" s="10" customFormat="1" ht="18.75" customHeight="1" x14ac:dyDescent="0.3">
      <c r="A51" s="2867" t="s">
        <v>3</v>
      </c>
      <c r="B51" s="2919" t="s">
        <v>4</v>
      </c>
      <c r="C51" s="2920" t="s">
        <v>5</v>
      </c>
      <c r="D51" s="2921"/>
      <c r="E51" s="2922"/>
      <c r="F51" s="8" t="s">
        <v>6</v>
      </c>
      <c r="G51" s="2923" t="s">
        <v>7</v>
      </c>
      <c r="H51" s="2868" t="s">
        <v>8</v>
      </c>
      <c r="I51" s="3005" t="s">
        <v>9</v>
      </c>
      <c r="J51" s="2876"/>
      <c r="K51" s="2876"/>
      <c r="L51" s="2876"/>
      <c r="M51" s="2876"/>
      <c r="N51" s="3006"/>
      <c r="O51" s="9" t="s">
        <v>10</v>
      </c>
    </row>
    <row r="52" spans="1:15" s="10" customFormat="1" ht="42" customHeight="1" x14ac:dyDescent="0.3">
      <c r="A52" s="2845"/>
      <c r="B52" s="2847"/>
      <c r="C52" s="2851"/>
      <c r="D52" s="2852"/>
      <c r="E52" s="2853"/>
      <c r="F52" s="11" t="s">
        <v>11</v>
      </c>
      <c r="G52" s="2855"/>
      <c r="H52" s="2857"/>
      <c r="I52" s="14" t="s">
        <v>12</v>
      </c>
      <c r="J52" s="14" t="s">
        <v>13</v>
      </c>
      <c r="K52" s="15" t="s">
        <v>14</v>
      </c>
      <c r="L52" s="15" t="s">
        <v>15</v>
      </c>
      <c r="M52" s="15" t="s">
        <v>16</v>
      </c>
      <c r="N52" s="15" t="s">
        <v>17</v>
      </c>
      <c r="O52" s="13"/>
    </row>
    <row r="53" spans="1:15" x14ac:dyDescent="0.3">
      <c r="A53" s="2642">
        <v>456</v>
      </c>
      <c r="B53" s="815" t="s">
        <v>4229</v>
      </c>
      <c r="C53" s="829"/>
      <c r="D53" s="829"/>
      <c r="E53" s="829"/>
      <c r="F53" s="845"/>
      <c r="G53" s="826"/>
      <c r="H53" s="827"/>
      <c r="I53" s="779"/>
      <c r="J53" s="779"/>
      <c r="K53" s="828"/>
      <c r="L53" s="828"/>
      <c r="M53" s="828"/>
      <c r="N53" s="779"/>
      <c r="O53" s="780"/>
    </row>
    <row r="54" spans="1:15" x14ac:dyDescent="0.3">
      <c r="A54" s="293">
        <v>1</v>
      </c>
      <c r="B54" s="645" t="s">
        <v>4230</v>
      </c>
      <c r="C54" s="1198" t="s">
        <v>4231</v>
      </c>
      <c r="D54" s="793" t="s">
        <v>954</v>
      </c>
      <c r="E54" s="349" t="s">
        <v>564</v>
      </c>
      <c r="F54" s="350" t="s">
        <v>4232</v>
      </c>
      <c r="G54" s="351">
        <v>15000</v>
      </c>
      <c r="H54" s="835" t="s">
        <v>537</v>
      </c>
      <c r="I54" s="945"/>
      <c r="J54" s="353" t="s">
        <v>25</v>
      </c>
      <c r="K54" s="353"/>
      <c r="L54" s="353"/>
      <c r="M54" s="353"/>
      <c r="N54" s="351"/>
      <c r="O54" s="2631" t="s">
        <v>6395</v>
      </c>
    </row>
    <row r="55" spans="1:15" ht="17.399999999999999" x14ac:dyDescent="0.45">
      <c r="C55" s="320"/>
      <c r="D55" s="495"/>
      <c r="F55" s="495"/>
      <c r="G55" s="468">
        <f>SUM(G54)</f>
        <v>15000</v>
      </c>
      <c r="H55" s="2637"/>
      <c r="I55" s="2634"/>
      <c r="J55" s="2635"/>
      <c r="K55" s="2635"/>
      <c r="L55" s="2635"/>
      <c r="M55" s="2635"/>
      <c r="N55" s="986"/>
      <c r="O55" s="2636"/>
    </row>
    <row r="56" spans="1:15" x14ac:dyDescent="0.3">
      <c r="A56" s="2861" t="s">
        <v>4268</v>
      </c>
      <c r="B56" s="2861"/>
      <c r="C56" s="3"/>
      <c r="D56" s="3"/>
      <c r="E56" s="3"/>
      <c r="F56" s="3"/>
      <c r="G56" s="5"/>
      <c r="H56" s="7"/>
      <c r="I56" s="3"/>
      <c r="J56" s="3"/>
      <c r="K56" s="3"/>
      <c r="L56" s="3"/>
      <c r="M56" s="3"/>
      <c r="N56" s="3"/>
      <c r="O56" s="7"/>
    </row>
    <row r="57" spans="1:15" s="10" customFormat="1" ht="18.75" customHeight="1" x14ac:dyDescent="0.3">
      <c r="A57" s="2867" t="s">
        <v>3</v>
      </c>
      <c r="B57" s="2919" t="s">
        <v>4</v>
      </c>
      <c r="C57" s="2920" t="s">
        <v>5</v>
      </c>
      <c r="D57" s="2921"/>
      <c r="E57" s="2922"/>
      <c r="F57" s="8" t="s">
        <v>6</v>
      </c>
      <c r="G57" s="2923" t="s">
        <v>7</v>
      </c>
      <c r="H57" s="2868" t="s">
        <v>8</v>
      </c>
      <c r="I57" s="3005" t="s">
        <v>9</v>
      </c>
      <c r="J57" s="2876"/>
      <c r="K57" s="2876"/>
      <c r="L57" s="2876"/>
      <c r="M57" s="2876"/>
      <c r="N57" s="3006"/>
      <c r="O57" s="9" t="s">
        <v>10</v>
      </c>
    </row>
    <row r="58" spans="1:15" s="10" customFormat="1" ht="42" customHeight="1" x14ac:dyDescent="0.3">
      <c r="A58" s="2845"/>
      <c r="B58" s="2847"/>
      <c r="C58" s="2851"/>
      <c r="D58" s="2852"/>
      <c r="E58" s="2853"/>
      <c r="F58" s="11" t="s">
        <v>11</v>
      </c>
      <c r="G58" s="2855"/>
      <c r="H58" s="2857"/>
      <c r="I58" s="14" t="s">
        <v>12</v>
      </c>
      <c r="J58" s="14" t="s">
        <v>13</v>
      </c>
      <c r="K58" s="15" t="s">
        <v>14</v>
      </c>
      <c r="L58" s="15" t="s">
        <v>15</v>
      </c>
      <c r="M58" s="15" t="s">
        <v>16</v>
      </c>
      <c r="N58" s="15" t="s">
        <v>17</v>
      </c>
      <c r="O58" s="13"/>
    </row>
    <row r="59" spans="1:15" ht="18" customHeight="1" x14ac:dyDescent="0.3">
      <c r="A59" s="2650">
        <v>441</v>
      </c>
      <c r="B59" s="815" t="s">
        <v>4286</v>
      </c>
      <c r="C59" s="1357"/>
      <c r="D59" s="1357"/>
      <c r="E59" s="1357"/>
      <c r="F59" s="845"/>
      <c r="G59" s="1358"/>
      <c r="H59" s="1359"/>
      <c r="I59" s="1360"/>
      <c r="J59" s="1360"/>
      <c r="K59" s="1361"/>
      <c r="L59" s="1361"/>
      <c r="M59" s="1360"/>
      <c r="N59" s="1357"/>
      <c r="O59" s="830"/>
    </row>
    <row r="60" spans="1:15" x14ac:dyDescent="0.3">
      <c r="A60" s="247">
        <v>1</v>
      </c>
      <c r="B60" s="893" t="s">
        <v>4287</v>
      </c>
      <c r="C60" s="831" t="s">
        <v>4288</v>
      </c>
      <c r="D60" s="1362">
        <v>48</v>
      </c>
      <c r="E60" s="833" t="s">
        <v>1385</v>
      </c>
      <c r="F60" s="1352" t="s">
        <v>4289</v>
      </c>
      <c r="G60" s="1363">
        <v>9000</v>
      </c>
      <c r="H60" s="835" t="s">
        <v>537</v>
      </c>
      <c r="I60" s="34"/>
      <c r="J60" s="34" t="s">
        <v>25</v>
      </c>
      <c r="K60" s="147"/>
      <c r="L60" s="224"/>
      <c r="M60" s="1364"/>
      <c r="N60" s="313"/>
      <c r="O60" s="2631" t="s">
        <v>6395</v>
      </c>
    </row>
    <row r="61" spans="1:15" x14ac:dyDescent="0.3">
      <c r="A61" s="247">
        <v>2</v>
      </c>
      <c r="B61" s="893" t="s">
        <v>4290</v>
      </c>
      <c r="C61" s="831" t="s">
        <v>4288</v>
      </c>
      <c r="D61" s="1362">
        <v>48</v>
      </c>
      <c r="E61" s="833" t="s">
        <v>414</v>
      </c>
      <c r="F61" s="1352" t="s">
        <v>4289</v>
      </c>
      <c r="G61" s="1363">
        <v>9700</v>
      </c>
      <c r="H61" s="835" t="s">
        <v>537</v>
      </c>
      <c r="I61" s="34"/>
      <c r="J61" s="34" t="s">
        <v>25</v>
      </c>
      <c r="K61" s="147"/>
      <c r="L61" s="224"/>
      <c r="M61" s="1365"/>
      <c r="N61" s="313"/>
      <c r="O61" s="2631" t="s">
        <v>6395</v>
      </c>
    </row>
    <row r="62" spans="1:15" ht="17.399999999999999" x14ac:dyDescent="0.45">
      <c r="G62" s="2751">
        <f>SUM(G60:G61)</f>
        <v>18700</v>
      </c>
      <c r="H62" s="1215"/>
    </row>
    <row r="63" spans="1:15" x14ac:dyDescent="0.3">
      <c r="A63" s="2861" t="s">
        <v>4323</v>
      </c>
      <c r="B63" s="2861"/>
      <c r="C63" s="3"/>
      <c r="D63" s="3"/>
      <c r="E63" s="3"/>
      <c r="F63" s="3"/>
      <c r="G63" s="5"/>
      <c r="H63" s="7"/>
      <c r="I63" s="3"/>
      <c r="J63" s="3"/>
      <c r="K63" s="3"/>
      <c r="L63" s="3"/>
      <c r="M63" s="3"/>
      <c r="N63" s="3"/>
      <c r="O63" s="7"/>
    </row>
    <row r="64" spans="1:15" s="10" customFormat="1" ht="18.75" customHeight="1" x14ac:dyDescent="0.3">
      <c r="A64" s="2867" t="s">
        <v>3</v>
      </c>
      <c r="B64" s="2919" t="s">
        <v>4</v>
      </c>
      <c r="C64" s="2920" t="s">
        <v>5</v>
      </c>
      <c r="D64" s="2921"/>
      <c r="E64" s="2922"/>
      <c r="F64" s="8" t="s">
        <v>6</v>
      </c>
      <c r="G64" s="2923" t="s">
        <v>7</v>
      </c>
      <c r="H64" s="2868" t="s">
        <v>8</v>
      </c>
      <c r="I64" s="3005" t="s">
        <v>9</v>
      </c>
      <c r="J64" s="2876"/>
      <c r="K64" s="2876"/>
      <c r="L64" s="2876"/>
      <c r="M64" s="2876"/>
      <c r="N64" s="3006"/>
      <c r="O64" s="9" t="s">
        <v>10</v>
      </c>
    </row>
    <row r="65" spans="1:15" s="10" customFormat="1" ht="42" customHeight="1" x14ac:dyDescent="0.3">
      <c r="A65" s="2845"/>
      <c r="B65" s="2847"/>
      <c r="C65" s="2851"/>
      <c r="D65" s="2852"/>
      <c r="E65" s="2853"/>
      <c r="F65" s="11" t="s">
        <v>11</v>
      </c>
      <c r="G65" s="2855"/>
      <c r="H65" s="2857"/>
      <c r="I65" s="14" t="s">
        <v>12</v>
      </c>
      <c r="J65" s="14" t="s">
        <v>13</v>
      </c>
      <c r="K65" s="15" t="s">
        <v>14</v>
      </c>
      <c r="L65" s="15" t="s">
        <v>15</v>
      </c>
      <c r="M65" s="15" t="s">
        <v>16</v>
      </c>
      <c r="N65" s="15" t="s">
        <v>17</v>
      </c>
      <c r="O65" s="13"/>
    </row>
    <row r="66" spans="1:15" x14ac:dyDescent="0.3">
      <c r="A66" s="2642">
        <v>116</v>
      </c>
      <c r="B66" s="815" t="s">
        <v>4480</v>
      </c>
      <c r="C66" s="829"/>
      <c r="D66" s="829"/>
      <c r="E66" s="829"/>
      <c r="F66" s="845"/>
      <c r="G66" s="826"/>
      <c r="H66" s="827"/>
      <c r="I66" s="846"/>
      <c r="J66" s="779"/>
      <c r="K66" s="779"/>
      <c r="L66" s="828"/>
      <c r="M66" s="828"/>
      <c r="N66" s="779"/>
      <c r="O66" s="780"/>
    </row>
    <row r="67" spans="1:15" x14ac:dyDescent="0.3">
      <c r="A67" s="2643">
        <v>1</v>
      </c>
      <c r="B67" s="1520" t="s">
        <v>4481</v>
      </c>
      <c r="C67" s="1521" t="s">
        <v>4482</v>
      </c>
      <c r="D67" s="977" t="s">
        <v>966</v>
      </c>
      <c r="E67" s="1522" t="s">
        <v>599</v>
      </c>
      <c r="F67" s="1505" t="s">
        <v>480</v>
      </c>
      <c r="G67" s="1523">
        <v>120000</v>
      </c>
      <c r="H67" s="1507" t="s">
        <v>4473</v>
      </c>
      <c r="I67" s="1508"/>
      <c r="J67" s="1400" t="s">
        <v>25</v>
      </c>
      <c r="K67" s="1509"/>
      <c r="L67" s="1400"/>
      <c r="M67" s="1509"/>
      <c r="N67" s="1509"/>
      <c r="O67" s="2633" t="s">
        <v>6395</v>
      </c>
    </row>
    <row r="68" spans="1:15" x14ac:dyDescent="0.3">
      <c r="A68" s="2643">
        <v>2</v>
      </c>
      <c r="B68" s="1520" t="s">
        <v>4483</v>
      </c>
      <c r="C68" s="1521" t="s">
        <v>4482</v>
      </c>
      <c r="D68" s="977" t="s">
        <v>966</v>
      </c>
      <c r="E68" s="1522" t="s">
        <v>600</v>
      </c>
      <c r="F68" s="1505" t="s">
        <v>480</v>
      </c>
      <c r="G68" s="1523">
        <v>150000</v>
      </c>
      <c r="H68" s="1507" t="s">
        <v>4473</v>
      </c>
      <c r="I68" s="1508"/>
      <c r="J68" s="1508" t="s">
        <v>25</v>
      </c>
      <c r="K68" s="1509"/>
      <c r="L68" s="1508"/>
      <c r="M68" s="1509"/>
      <c r="N68" s="1509"/>
      <c r="O68" s="2633" t="s">
        <v>6395</v>
      </c>
    </row>
    <row r="69" spans="1:15" ht="17.399999999999999" x14ac:dyDescent="0.45">
      <c r="B69" s="2639"/>
      <c r="C69" s="495"/>
      <c r="D69" s="495"/>
      <c r="E69" s="2638"/>
      <c r="F69" s="2640"/>
      <c r="G69" s="468">
        <f>SUM(G67:G68)</f>
        <v>270000</v>
      </c>
      <c r="H69" s="1670"/>
      <c r="I69" s="2605"/>
      <c r="J69" s="2605"/>
      <c r="K69" s="2635"/>
      <c r="L69" s="2605"/>
      <c r="M69" s="2635"/>
      <c r="N69" s="2635"/>
      <c r="O69" s="2636"/>
    </row>
    <row r="70" spans="1:15" ht="13.5" customHeight="1" x14ac:dyDescent="0.3">
      <c r="A70" s="2861" t="s">
        <v>4622</v>
      </c>
      <c r="B70" s="2861"/>
      <c r="C70" s="3"/>
      <c r="D70" s="3"/>
      <c r="E70" s="3"/>
      <c r="F70" s="3"/>
      <c r="G70" s="5"/>
      <c r="H70" s="7"/>
      <c r="I70" s="3"/>
      <c r="J70" s="3"/>
      <c r="K70" s="3"/>
      <c r="L70" s="3"/>
      <c r="M70" s="3"/>
      <c r="N70" s="3"/>
      <c r="O70" s="7"/>
    </row>
    <row r="71" spans="1:15" s="10" customFormat="1" ht="18.75" customHeight="1" x14ac:dyDescent="0.3">
      <c r="A71" s="2867" t="s">
        <v>3</v>
      </c>
      <c r="B71" s="2919" t="s">
        <v>4</v>
      </c>
      <c r="C71" s="2920" t="s">
        <v>5</v>
      </c>
      <c r="D71" s="2921"/>
      <c r="E71" s="2922"/>
      <c r="F71" s="8" t="s">
        <v>6</v>
      </c>
      <c r="G71" s="2923" t="s">
        <v>7</v>
      </c>
      <c r="H71" s="2868" t="s">
        <v>8</v>
      </c>
      <c r="I71" s="3005" t="s">
        <v>9</v>
      </c>
      <c r="J71" s="2876"/>
      <c r="K71" s="2876"/>
      <c r="L71" s="2876"/>
      <c r="M71" s="2876"/>
      <c r="N71" s="3006"/>
      <c r="O71" s="9" t="s">
        <v>10</v>
      </c>
    </row>
    <row r="72" spans="1:15" s="10" customFormat="1" ht="42" customHeight="1" x14ac:dyDescent="0.3">
      <c r="A72" s="2845"/>
      <c r="B72" s="2847"/>
      <c r="C72" s="2851"/>
      <c r="D72" s="2852"/>
      <c r="E72" s="2853"/>
      <c r="F72" s="11" t="s">
        <v>11</v>
      </c>
      <c r="G72" s="2855"/>
      <c r="H72" s="2857"/>
      <c r="I72" s="14" t="s">
        <v>12</v>
      </c>
      <c r="J72" s="14" t="s">
        <v>13</v>
      </c>
      <c r="K72" s="15" t="s">
        <v>14</v>
      </c>
      <c r="L72" s="15" t="s">
        <v>15</v>
      </c>
      <c r="M72" s="15" t="s">
        <v>16</v>
      </c>
      <c r="N72" s="15" t="s">
        <v>17</v>
      </c>
      <c r="O72" s="13"/>
    </row>
    <row r="73" spans="1:15" x14ac:dyDescent="0.3">
      <c r="A73" s="112">
        <v>1</v>
      </c>
      <c r="B73" s="1607" t="s">
        <v>4648</v>
      </c>
      <c r="C73" s="2994" t="s">
        <v>4649</v>
      </c>
      <c r="D73" s="2995"/>
      <c r="E73" s="2996"/>
      <c r="F73" s="711" t="s">
        <v>4644</v>
      </c>
      <c r="G73" s="703">
        <v>7000</v>
      </c>
      <c r="H73" s="1608" t="s">
        <v>811</v>
      </c>
      <c r="I73" s="104"/>
      <c r="J73" s="104" t="s">
        <v>102</v>
      </c>
      <c r="K73" s="104"/>
      <c r="L73" s="104"/>
      <c r="M73" s="104"/>
      <c r="N73" s="104"/>
      <c r="O73" s="2626" t="s">
        <v>6395</v>
      </c>
    </row>
    <row r="74" spans="1:15" x14ac:dyDescent="0.3">
      <c r="A74" s="112">
        <v>2</v>
      </c>
      <c r="B74" s="248" t="s">
        <v>4680</v>
      </c>
      <c r="C74" s="2951" t="s">
        <v>4681</v>
      </c>
      <c r="D74" s="2952"/>
      <c r="E74" s="2953"/>
      <c r="F74" s="1617">
        <v>21689</v>
      </c>
      <c r="G74" s="924">
        <v>3100</v>
      </c>
      <c r="H74" s="1618" t="s">
        <v>4264</v>
      </c>
      <c r="I74" s="104"/>
      <c r="J74" s="247" t="s">
        <v>25</v>
      </c>
      <c r="K74" s="247"/>
      <c r="L74" s="248"/>
      <c r="M74" s="248"/>
      <c r="N74" s="248"/>
      <c r="O74" s="2626" t="s">
        <v>6395</v>
      </c>
    </row>
    <row r="75" spans="1:15" ht="17.399999999999999" x14ac:dyDescent="0.45">
      <c r="G75" s="468">
        <f>SUM(G73:G74)</f>
        <v>10100</v>
      </c>
    </row>
    <row r="76" spans="1:15" ht="17.399999999999999" x14ac:dyDescent="0.45">
      <c r="G76" s="1226"/>
    </row>
    <row r="77" spans="1:15" ht="17.399999999999999" x14ac:dyDescent="0.45">
      <c r="G77" s="1226"/>
    </row>
    <row r="79" spans="1:15" s="1947" customFormat="1" ht="18" customHeight="1" x14ac:dyDescent="0.35">
      <c r="A79" s="1992"/>
      <c r="B79" s="502" t="s">
        <v>601</v>
      </c>
      <c r="C79" s="502"/>
      <c r="D79" s="502"/>
      <c r="E79" s="503"/>
      <c r="F79" s="502"/>
      <c r="G79" s="504" t="s">
        <v>602</v>
      </c>
      <c r="H79" s="497"/>
      <c r="I79" s="505"/>
      <c r="J79" s="505" t="s">
        <v>603</v>
      </c>
      <c r="K79" s="505"/>
      <c r="L79" s="505"/>
      <c r="M79" s="1997"/>
      <c r="O79" s="1998"/>
    </row>
    <row r="80" spans="1:15" s="1947" customFormat="1" ht="18" customHeight="1" x14ac:dyDescent="0.35">
      <c r="A80" s="1992"/>
      <c r="B80" s="507" t="s">
        <v>604</v>
      </c>
      <c r="C80" s="508"/>
      <c r="D80" s="502"/>
      <c r="E80" s="503"/>
      <c r="F80" s="502"/>
      <c r="G80" s="504"/>
      <c r="H80" s="509" t="s">
        <v>605</v>
      </c>
      <c r="I80" s="1"/>
      <c r="J80" s="505"/>
      <c r="K80" s="505"/>
      <c r="L80" s="505"/>
      <c r="M80" s="1997"/>
      <c r="O80" s="1998"/>
    </row>
    <row r="81" spans="1:15" s="1947" customFormat="1" ht="18" customHeight="1" x14ac:dyDescent="0.35">
      <c r="A81" s="1992"/>
      <c r="B81" s="507" t="s">
        <v>606</v>
      </c>
      <c r="C81" s="508"/>
      <c r="D81" s="502"/>
      <c r="E81" s="503"/>
      <c r="F81" s="502"/>
      <c r="G81" s="504"/>
      <c r="H81" s="509" t="s">
        <v>607</v>
      </c>
      <c r="I81" s="1"/>
      <c r="J81" s="505"/>
      <c r="K81" s="505"/>
      <c r="L81" s="505"/>
      <c r="M81" s="1997"/>
      <c r="O81" s="1998"/>
    </row>
    <row r="82" spans="1:15" s="1947" customFormat="1" ht="18" customHeight="1" x14ac:dyDescent="0.35">
      <c r="A82" s="1992"/>
      <c r="B82" s="502"/>
      <c r="C82" s="502"/>
      <c r="D82" s="502"/>
      <c r="E82" s="503"/>
      <c r="F82" s="502"/>
      <c r="G82" s="510"/>
      <c r="H82" s="497"/>
      <c r="I82" s="505"/>
      <c r="J82" s="505"/>
      <c r="K82" s="505"/>
      <c r="L82" s="505"/>
      <c r="M82" s="1997"/>
      <c r="O82" s="1998"/>
    </row>
    <row r="83" spans="1:15" s="1947" customFormat="1" ht="18" customHeight="1" x14ac:dyDescent="0.35">
      <c r="A83" s="1992"/>
      <c r="B83" s="502" t="s">
        <v>1153</v>
      </c>
      <c r="C83" s="502"/>
      <c r="D83" s="502"/>
      <c r="E83" s="503"/>
      <c r="F83" s="502"/>
      <c r="G83" s="504"/>
      <c r="H83" s="497"/>
      <c r="I83" s="505"/>
      <c r="J83" s="505"/>
      <c r="K83" s="505"/>
      <c r="L83" s="505"/>
      <c r="M83" s="1997"/>
      <c r="O83" s="1998"/>
    </row>
    <row r="84" spans="1:15" s="1947" customFormat="1" ht="18" customHeight="1" x14ac:dyDescent="0.35">
      <c r="A84" s="1992"/>
      <c r="B84" s="507" t="s">
        <v>609</v>
      </c>
      <c r="C84" s="508"/>
      <c r="D84" s="502"/>
      <c r="E84" s="503"/>
      <c r="F84" s="502"/>
      <c r="G84" s="504"/>
      <c r="H84" s="506"/>
      <c r="I84" s="1"/>
      <c r="J84" s="505"/>
      <c r="K84" s="505"/>
      <c r="L84" s="505"/>
      <c r="M84" s="1997"/>
      <c r="O84" s="1998"/>
    </row>
    <row r="85" spans="1:15" s="1947" customFormat="1" ht="18" customHeight="1" x14ac:dyDescent="0.35">
      <c r="A85" s="1992"/>
      <c r="B85" s="507" t="s">
        <v>610</v>
      </c>
      <c r="C85" s="508"/>
      <c r="D85" s="502"/>
      <c r="E85" s="503"/>
      <c r="F85" s="502"/>
      <c r="G85" s="504"/>
      <c r="H85" s="506"/>
      <c r="I85" s="1"/>
      <c r="J85" s="505"/>
      <c r="K85" s="505"/>
      <c r="L85" s="505"/>
      <c r="M85" s="1997"/>
      <c r="O85" s="1998"/>
    </row>
    <row r="86" spans="1:15" s="1947" customFormat="1" ht="18" customHeight="1" x14ac:dyDescent="0.35">
      <c r="A86" s="1992"/>
      <c r="B86" s="1999"/>
      <c r="C86" s="2225"/>
      <c r="D86" s="1997"/>
      <c r="E86" s="1999"/>
      <c r="F86" s="1997"/>
      <c r="G86" s="2001"/>
      <c r="H86" s="1999"/>
      <c r="J86" s="1997"/>
      <c r="K86" s="1997"/>
      <c r="L86" s="1997"/>
      <c r="M86" s="1997"/>
      <c r="O86" s="1998"/>
    </row>
  </sheetData>
  <mergeCells count="55">
    <mergeCell ref="I4:N4"/>
    <mergeCell ref="A27:A28"/>
    <mergeCell ref="B27:B28"/>
    <mergeCell ref="C27:E28"/>
    <mergeCell ref="G27:G28"/>
    <mergeCell ref="H27:H28"/>
    <mergeCell ref="I27:N27"/>
    <mergeCell ref="A4:A5"/>
    <mergeCell ref="B4:B5"/>
    <mergeCell ref="C4:E5"/>
    <mergeCell ref="G4:G5"/>
    <mergeCell ref="H4:H5"/>
    <mergeCell ref="I71:N71"/>
    <mergeCell ref="A71:A72"/>
    <mergeCell ref="B71:B72"/>
    <mergeCell ref="C71:E72"/>
    <mergeCell ref="G71:G72"/>
    <mergeCell ref="H71:H72"/>
    <mergeCell ref="G51:G52"/>
    <mergeCell ref="I57:N57"/>
    <mergeCell ref="A64:A65"/>
    <mergeCell ref="B64:B65"/>
    <mergeCell ref="C64:E65"/>
    <mergeCell ref="G64:G65"/>
    <mergeCell ref="H64:H65"/>
    <mergeCell ref="I64:N64"/>
    <mergeCell ref="A57:A58"/>
    <mergeCell ref="B57:B58"/>
    <mergeCell ref="C57:E58"/>
    <mergeCell ref="G57:G58"/>
    <mergeCell ref="H57:H58"/>
    <mergeCell ref="A63:B63"/>
    <mergeCell ref="C42:E42"/>
    <mergeCell ref="C43:E43"/>
    <mergeCell ref="C44:E44"/>
    <mergeCell ref="A56:B56"/>
    <mergeCell ref="A51:A52"/>
    <mergeCell ref="B51:B52"/>
    <mergeCell ref="C51:E52"/>
    <mergeCell ref="A70:B70"/>
    <mergeCell ref="C73:E73"/>
    <mergeCell ref="C74:E74"/>
    <mergeCell ref="A1:O1"/>
    <mergeCell ref="A2:O2"/>
    <mergeCell ref="C38:E38"/>
    <mergeCell ref="C45:E45"/>
    <mergeCell ref="C46:E46"/>
    <mergeCell ref="C47:E47"/>
    <mergeCell ref="C48:E48"/>
    <mergeCell ref="C34:E34"/>
    <mergeCell ref="H51:H52"/>
    <mergeCell ref="I51:N51"/>
    <mergeCell ref="C39:E39"/>
    <mergeCell ref="C40:E40"/>
    <mergeCell ref="C41:E41"/>
  </mergeCells>
  <pageMargins left="0.70866141732283472" right="0.70866141732283472" top="0.74803149606299213" bottom="0.74803149606299213" header="0.31496062992125984" footer="0.31496062992125984"/>
  <pageSetup paperSize="9" scale="75" orientation="landscape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D26B2-1083-4427-8FF5-772337C44159}">
  <dimension ref="A1:X2270"/>
  <sheetViews>
    <sheetView tabSelected="1" view="pageBreakPreview" topLeftCell="A85" zoomScale="110" zoomScaleNormal="110" zoomScaleSheetLayoutView="110" workbookViewId="0">
      <selection activeCell="E801" sqref="E801"/>
    </sheetView>
  </sheetViews>
  <sheetFormatPr defaultColWidth="9.109375" defaultRowHeight="15.6" x14ac:dyDescent="0.3"/>
  <cols>
    <col min="1" max="1" width="5.44140625" style="320" customWidth="1"/>
    <col min="2" max="2" width="43.88671875" style="438" customWidth="1"/>
    <col min="3" max="3" width="13.6640625" style="438" customWidth="1"/>
    <col min="4" max="4" width="3.109375" style="438" customWidth="1"/>
    <col min="5" max="5" width="6.109375" style="495" customWidth="1"/>
    <col min="6" max="6" width="8.5546875" style="438" customWidth="1"/>
    <col min="7" max="7" width="12.6640625" style="512" customWidth="1"/>
    <col min="8" max="8" width="26.6640625" style="497" customWidth="1"/>
    <col min="9" max="10" width="3.33203125" style="1" customWidth="1"/>
    <col min="11" max="11" width="3.33203125" style="764" customWidth="1"/>
    <col min="12" max="14" width="3.33203125" style="1" customWidth="1"/>
    <col min="15" max="15" width="20" style="498" customWidth="1"/>
    <col min="16" max="16" width="13.88671875" style="1" customWidth="1"/>
    <col min="17" max="16384" width="9.109375" style="1"/>
  </cols>
  <sheetData>
    <row r="1" spans="1:17" ht="18" x14ac:dyDescent="0.35">
      <c r="A1" s="2842" t="s">
        <v>0</v>
      </c>
      <c r="B1" s="2842"/>
      <c r="C1" s="2842"/>
      <c r="D1" s="2842"/>
      <c r="E1" s="2842"/>
      <c r="F1" s="2842"/>
      <c r="G1" s="2842"/>
      <c r="H1" s="2843"/>
      <c r="I1" s="2842"/>
      <c r="J1" s="2842"/>
      <c r="K1" s="2842"/>
      <c r="L1" s="2842"/>
      <c r="M1" s="2842"/>
      <c r="N1" s="2842"/>
      <c r="O1" s="2842"/>
    </row>
    <row r="2" spans="1:17" ht="18" x14ac:dyDescent="0.35">
      <c r="A2" s="2842" t="s">
        <v>1</v>
      </c>
      <c r="B2" s="2842"/>
      <c r="C2" s="2842"/>
      <c r="D2" s="2842"/>
      <c r="E2" s="2842"/>
      <c r="F2" s="2842"/>
      <c r="G2" s="2842"/>
      <c r="H2" s="2843"/>
      <c r="I2" s="2842"/>
      <c r="J2" s="2842"/>
      <c r="K2" s="2842"/>
      <c r="L2" s="2842"/>
      <c r="M2" s="2842"/>
      <c r="N2" s="2842"/>
      <c r="O2" s="2842"/>
    </row>
    <row r="3" spans="1:17" x14ac:dyDescent="0.3">
      <c r="A3" s="2" t="s">
        <v>2</v>
      </c>
      <c r="B3" s="2"/>
      <c r="C3" s="3"/>
      <c r="D3" s="3"/>
      <c r="E3" s="4"/>
      <c r="F3" s="3"/>
      <c r="G3" s="5"/>
      <c r="H3" s="6"/>
      <c r="I3" s="3"/>
      <c r="J3" s="3"/>
      <c r="K3" s="3"/>
      <c r="L3" s="3"/>
      <c r="M3" s="3"/>
      <c r="N3" s="3"/>
      <c r="O3" s="7"/>
    </row>
    <row r="4" spans="1:17" s="10" customFormat="1" ht="18.75" customHeight="1" x14ac:dyDescent="0.3">
      <c r="A4" s="2844" t="s">
        <v>3</v>
      </c>
      <c r="B4" s="2846" t="s">
        <v>4</v>
      </c>
      <c r="C4" s="2848" t="s">
        <v>5</v>
      </c>
      <c r="D4" s="2849"/>
      <c r="E4" s="2850"/>
      <c r="F4" s="8" t="s">
        <v>6</v>
      </c>
      <c r="G4" s="2854" t="s">
        <v>7</v>
      </c>
      <c r="H4" s="2856" t="s">
        <v>8</v>
      </c>
      <c r="I4" s="2858" t="s">
        <v>9</v>
      </c>
      <c r="J4" s="2859"/>
      <c r="K4" s="2859"/>
      <c r="L4" s="2859"/>
      <c r="M4" s="2859"/>
      <c r="N4" s="2860"/>
      <c r="O4" s="9" t="s">
        <v>10</v>
      </c>
    </row>
    <row r="5" spans="1:17" s="10" customFormat="1" ht="42" customHeight="1" x14ac:dyDescent="0.3">
      <c r="A5" s="2845"/>
      <c r="B5" s="2847"/>
      <c r="C5" s="2851"/>
      <c r="D5" s="2852"/>
      <c r="E5" s="2853"/>
      <c r="F5" s="11" t="s">
        <v>11</v>
      </c>
      <c r="G5" s="2855"/>
      <c r="H5" s="2857"/>
      <c r="I5" s="14" t="s">
        <v>12</v>
      </c>
      <c r="J5" s="14" t="s">
        <v>13</v>
      </c>
      <c r="K5" s="15" t="s">
        <v>14</v>
      </c>
      <c r="L5" s="15" t="s">
        <v>15</v>
      </c>
      <c r="M5" s="15" t="s">
        <v>16</v>
      </c>
      <c r="N5" s="15" t="s">
        <v>17</v>
      </c>
      <c r="O5" s="13"/>
    </row>
    <row r="6" spans="1:17" ht="18.75" customHeight="1" x14ac:dyDescent="0.3">
      <c r="A6" s="2644">
        <v>400</v>
      </c>
      <c r="B6" s="97" t="s">
        <v>98</v>
      </c>
      <c r="C6" s="97"/>
      <c r="D6" s="98"/>
      <c r="E6" s="99"/>
      <c r="F6" s="97"/>
      <c r="G6" s="100"/>
      <c r="H6" s="101"/>
      <c r="I6" s="97"/>
      <c r="J6" s="97"/>
      <c r="K6" s="1843"/>
      <c r="L6" s="97"/>
      <c r="M6" s="97"/>
      <c r="N6" s="102"/>
      <c r="O6" s="103"/>
    </row>
    <row r="7" spans="1:17" ht="18.75" customHeight="1" x14ac:dyDescent="0.3">
      <c r="A7" s="104">
        <v>1</v>
      </c>
      <c r="B7" s="105" t="s">
        <v>99</v>
      </c>
      <c r="C7" s="106">
        <v>400</v>
      </c>
      <c r="D7" s="107">
        <v>26</v>
      </c>
      <c r="E7" s="108" t="s">
        <v>100</v>
      </c>
      <c r="F7" s="109">
        <v>46132</v>
      </c>
      <c r="G7" s="110">
        <v>4500</v>
      </c>
      <c r="H7" s="1733" t="s">
        <v>101</v>
      </c>
      <c r="I7" s="104"/>
      <c r="J7" s="104"/>
      <c r="K7" s="104" t="s">
        <v>25</v>
      </c>
      <c r="L7" s="104"/>
      <c r="M7" s="104"/>
      <c r="N7" s="104"/>
      <c r="O7" s="2628" t="s">
        <v>6395</v>
      </c>
      <c r="Q7" s="104"/>
    </row>
    <row r="8" spans="1:17" ht="18.75" customHeight="1" x14ac:dyDescent="0.3">
      <c r="A8" s="104">
        <v>2</v>
      </c>
      <c r="B8" s="105" t="s">
        <v>104</v>
      </c>
      <c r="C8" s="106">
        <v>400</v>
      </c>
      <c r="D8" s="113">
        <v>32</v>
      </c>
      <c r="E8" s="114">
        <v>1877</v>
      </c>
      <c r="F8" s="115">
        <v>11984</v>
      </c>
      <c r="G8" s="116">
        <v>800</v>
      </c>
      <c r="H8" s="1733" t="s">
        <v>105</v>
      </c>
      <c r="I8" s="104"/>
      <c r="J8" s="104"/>
      <c r="K8" s="104" t="s">
        <v>25</v>
      </c>
      <c r="L8" s="104"/>
      <c r="M8" s="104"/>
      <c r="N8" s="104"/>
      <c r="O8" s="2628" t="s">
        <v>6395</v>
      </c>
      <c r="P8" s="577"/>
      <c r="Q8" s="104"/>
    </row>
    <row r="9" spans="1:17" ht="18.75" customHeight="1" x14ac:dyDescent="0.3">
      <c r="A9" s="104">
        <v>3</v>
      </c>
      <c r="B9" s="105" t="s">
        <v>113</v>
      </c>
      <c r="C9" s="106">
        <v>400</v>
      </c>
      <c r="D9" s="125">
        <v>43</v>
      </c>
      <c r="E9" s="114">
        <v>3752</v>
      </c>
      <c r="F9" s="115">
        <v>15751</v>
      </c>
      <c r="G9" s="116">
        <v>4400</v>
      </c>
      <c r="H9" s="1733" t="s">
        <v>114</v>
      </c>
      <c r="I9" s="104"/>
      <c r="J9" s="104"/>
      <c r="K9" s="104" t="s">
        <v>25</v>
      </c>
      <c r="L9" s="104"/>
      <c r="M9" s="104"/>
      <c r="N9" s="104"/>
      <c r="O9" s="2628" t="s">
        <v>6395</v>
      </c>
      <c r="Q9" s="104"/>
    </row>
    <row r="10" spans="1:17" ht="18.75" customHeight="1" x14ac:dyDescent="0.3">
      <c r="A10" s="104">
        <v>4</v>
      </c>
      <c r="B10" s="105" t="s">
        <v>113</v>
      </c>
      <c r="C10" s="106">
        <v>400</v>
      </c>
      <c r="D10" s="127">
        <v>43</v>
      </c>
      <c r="E10" s="114">
        <v>3753</v>
      </c>
      <c r="F10" s="115">
        <v>15751</v>
      </c>
      <c r="G10" s="116">
        <v>4400</v>
      </c>
      <c r="H10" s="1738" t="s">
        <v>116</v>
      </c>
      <c r="I10" s="104"/>
      <c r="J10" s="104"/>
      <c r="K10" s="104" t="s">
        <v>25</v>
      </c>
      <c r="L10" s="104"/>
      <c r="M10" s="104"/>
      <c r="N10" s="104"/>
      <c r="O10" s="2628" t="s">
        <v>6395</v>
      </c>
      <c r="Q10" s="104"/>
    </row>
    <row r="11" spans="1:17" ht="18.75" customHeight="1" x14ac:dyDescent="0.3">
      <c r="A11" s="104">
        <v>5</v>
      </c>
      <c r="B11" s="105" t="s">
        <v>117</v>
      </c>
      <c r="C11" s="129">
        <v>400</v>
      </c>
      <c r="D11" s="113">
        <v>43</v>
      </c>
      <c r="E11" s="114">
        <v>3756</v>
      </c>
      <c r="F11" s="115">
        <v>15751</v>
      </c>
      <c r="G11" s="116">
        <v>2600</v>
      </c>
      <c r="H11" s="1738" t="s">
        <v>120</v>
      </c>
      <c r="I11" s="104"/>
      <c r="J11" s="104"/>
      <c r="K11" s="104" t="s">
        <v>25</v>
      </c>
      <c r="L11" s="104"/>
      <c r="M11" s="104"/>
      <c r="N11" s="104"/>
      <c r="O11" s="2628" t="s">
        <v>6395</v>
      </c>
      <c r="Q11" s="104"/>
    </row>
    <row r="12" spans="1:17" ht="18.75" customHeight="1" x14ac:dyDescent="0.3">
      <c r="A12" s="104">
        <v>6</v>
      </c>
      <c r="B12" s="105" t="s">
        <v>122</v>
      </c>
      <c r="C12" s="129">
        <v>400</v>
      </c>
      <c r="D12" s="113">
        <v>44</v>
      </c>
      <c r="E12" s="114">
        <v>3972</v>
      </c>
      <c r="F12" s="115">
        <v>16206</v>
      </c>
      <c r="G12" s="116">
        <v>3200</v>
      </c>
      <c r="H12" s="117" t="s">
        <v>123</v>
      </c>
      <c r="I12" s="118"/>
      <c r="J12" s="119"/>
      <c r="K12" s="1270" t="s">
        <v>25</v>
      </c>
      <c r="L12" s="119"/>
      <c r="M12" s="119"/>
      <c r="N12" s="119"/>
      <c r="O12" s="2628" t="s">
        <v>6395</v>
      </c>
      <c r="Q12" s="118"/>
    </row>
    <row r="13" spans="1:17" ht="18.75" customHeight="1" x14ac:dyDescent="0.3">
      <c r="A13" s="104">
        <v>7</v>
      </c>
      <c r="B13" s="105" t="s">
        <v>124</v>
      </c>
      <c r="C13" s="129">
        <v>400</v>
      </c>
      <c r="D13" s="113">
        <v>44</v>
      </c>
      <c r="E13" s="114">
        <v>3982</v>
      </c>
      <c r="F13" s="115">
        <v>16314</v>
      </c>
      <c r="G13" s="116">
        <v>4345</v>
      </c>
      <c r="H13" s="1733" t="s">
        <v>125</v>
      </c>
      <c r="I13" s="104"/>
      <c r="J13" s="104"/>
      <c r="K13" s="104" t="s">
        <v>25</v>
      </c>
      <c r="L13" s="104"/>
      <c r="M13" s="104"/>
      <c r="N13" s="104"/>
      <c r="O13" s="2628" t="s">
        <v>6395</v>
      </c>
      <c r="Q13" s="104"/>
    </row>
    <row r="14" spans="1:17" ht="18.75" customHeight="1" x14ac:dyDescent="0.3">
      <c r="A14" s="104">
        <v>8</v>
      </c>
      <c r="B14" s="105" t="s">
        <v>124</v>
      </c>
      <c r="C14" s="129">
        <v>400</v>
      </c>
      <c r="D14" s="113">
        <v>44</v>
      </c>
      <c r="E14" s="114">
        <v>3983</v>
      </c>
      <c r="F14" s="115">
        <v>16314</v>
      </c>
      <c r="G14" s="116">
        <v>4345</v>
      </c>
      <c r="H14" s="1733" t="s">
        <v>125</v>
      </c>
      <c r="I14" s="104"/>
      <c r="J14" s="104"/>
      <c r="K14" s="104" t="s">
        <v>25</v>
      </c>
      <c r="L14" s="104"/>
      <c r="M14" s="104"/>
      <c r="N14" s="104"/>
      <c r="O14" s="2628" t="s">
        <v>6395</v>
      </c>
      <c r="Q14" s="104"/>
    </row>
    <row r="15" spans="1:17" ht="18.75" customHeight="1" x14ac:dyDescent="0.3">
      <c r="A15" s="104">
        <v>9</v>
      </c>
      <c r="B15" s="105" t="s">
        <v>122</v>
      </c>
      <c r="C15" s="129">
        <v>400</v>
      </c>
      <c r="D15" s="127">
        <v>44</v>
      </c>
      <c r="E15" s="114">
        <v>3985</v>
      </c>
      <c r="F15" s="115">
        <v>16314</v>
      </c>
      <c r="G15" s="116">
        <v>2500</v>
      </c>
      <c r="H15" s="1733" t="s">
        <v>127</v>
      </c>
      <c r="I15" s="104"/>
      <c r="J15" s="104"/>
      <c r="K15" s="104" t="s">
        <v>25</v>
      </c>
      <c r="L15" s="104"/>
      <c r="M15" s="104"/>
      <c r="N15" s="104"/>
      <c r="O15" s="2628" t="s">
        <v>6395</v>
      </c>
      <c r="Q15" s="104"/>
    </row>
    <row r="16" spans="1:17" ht="18.75" customHeight="1" x14ac:dyDescent="0.3">
      <c r="A16" s="104">
        <v>10</v>
      </c>
      <c r="B16" s="105" t="s">
        <v>158</v>
      </c>
      <c r="C16" s="129">
        <v>400</v>
      </c>
      <c r="D16" s="136">
        <v>59</v>
      </c>
      <c r="E16" s="114">
        <v>6027</v>
      </c>
      <c r="F16" s="115">
        <v>21662</v>
      </c>
      <c r="G16" s="116">
        <v>650</v>
      </c>
      <c r="H16" s="1731" t="s">
        <v>41</v>
      </c>
      <c r="I16" s="34"/>
      <c r="J16" s="34"/>
      <c r="K16" s="2233" t="s">
        <v>25</v>
      </c>
      <c r="L16" s="147"/>
      <c r="M16" s="147"/>
      <c r="N16" s="147"/>
      <c r="O16" s="2628" t="s">
        <v>6395</v>
      </c>
      <c r="Q16" s="34"/>
    </row>
    <row r="17" spans="1:17" ht="18.75" customHeight="1" x14ac:dyDescent="0.3">
      <c r="A17" s="104">
        <v>11</v>
      </c>
      <c r="B17" s="105" t="s">
        <v>158</v>
      </c>
      <c r="C17" s="129">
        <v>400</v>
      </c>
      <c r="D17" s="128">
        <v>59</v>
      </c>
      <c r="E17" s="114">
        <v>6028</v>
      </c>
      <c r="F17" s="115">
        <v>21662</v>
      </c>
      <c r="G17" s="116">
        <v>650</v>
      </c>
      <c r="H17" s="1731" t="s">
        <v>41</v>
      </c>
      <c r="I17" s="34"/>
      <c r="J17" s="34"/>
      <c r="K17" s="2233" t="s">
        <v>25</v>
      </c>
      <c r="L17" s="147"/>
      <c r="M17" s="147"/>
      <c r="N17" s="147"/>
      <c r="O17" s="2628" t="s">
        <v>6395</v>
      </c>
      <c r="Q17" s="34"/>
    </row>
    <row r="18" spans="1:17" ht="18.75" customHeight="1" x14ac:dyDescent="0.3">
      <c r="A18" s="104">
        <v>12</v>
      </c>
      <c r="B18" s="105" t="s">
        <v>158</v>
      </c>
      <c r="C18" s="129">
        <v>400</v>
      </c>
      <c r="D18" s="113">
        <v>59</v>
      </c>
      <c r="E18" s="114">
        <v>6029</v>
      </c>
      <c r="F18" s="115">
        <v>21662</v>
      </c>
      <c r="G18" s="116">
        <v>650</v>
      </c>
      <c r="H18" s="1731" t="s">
        <v>41</v>
      </c>
      <c r="I18" s="34"/>
      <c r="J18" s="147"/>
      <c r="K18" s="2233" t="s">
        <v>25</v>
      </c>
      <c r="L18" s="147"/>
      <c r="M18" s="147"/>
      <c r="N18" s="147"/>
      <c r="O18" s="2628" t="s">
        <v>6395</v>
      </c>
      <c r="Q18" s="34"/>
    </row>
    <row r="19" spans="1:17" ht="18.75" customHeight="1" x14ac:dyDescent="0.3">
      <c r="A19" s="104">
        <v>13</v>
      </c>
      <c r="B19" s="105" t="s">
        <v>158</v>
      </c>
      <c r="C19" s="129">
        <v>400</v>
      </c>
      <c r="D19" s="113">
        <v>59</v>
      </c>
      <c r="E19" s="114">
        <v>6030</v>
      </c>
      <c r="F19" s="115">
        <v>21662</v>
      </c>
      <c r="G19" s="116">
        <v>650</v>
      </c>
      <c r="H19" s="1731" t="s">
        <v>41</v>
      </c>
      <c r="I19" s="34"/>
      <c r="J19" s="147"/>
      <c r="K19" s="2233" t="s">
        <v>25</v>
      </c>
      <c r="L19" s="147"/>
      <c r="M19" s="147"/>
      <c r="N19" s="147"/>
      <c r="O19" s="2628" t="s">
        <v>6395</v>
      </c>
      <c r="Q19" s="34"/>
    </row>
    <row r="20" spans="1:17" ht="18.75" customHeight="1" x14ac:dyDescent="0.3">
      <c r="A20" s="104">
        <v>14</v>
      </c>
      <c r="B20" s="105" t="s">
        <v>158</v>
      </c>
      <c r="C20" s="129">
        <v>400</v>
      </c>
      <c r="D20" s="113">
        <v>59</v>
      </c>
      <c r="E20" s="114">
        <v>6031</v>
      </c>
      <c r="F20" s="115">
        <v>21662</v>
      </c>
      <c r="G20" s="116">
        <v>650</v>
      </c>
      <c r="H20" s="1731" t="s">
        <v>41</v>
      </c>
      <c r="I20" s="34"/>
      <c r="J20" s="147"/>
      <c r="K20" s="2233" t="s">
        <v>25</v>
      </c>
      <c r="L20" s="147"/>
      <c r="M20" s="147"/>
      <c r="N20" s="147"/>
      <c r="O20" s="2628" t="s">
        <v>6395</v>
      </c>
      <c r="Q20" s="34"/>
    </row>
    <row r="21" spans="1:17" ht="18.75" customHeight="1" x14ac:dyDescent="0.3">
      <c r="A21" s="104">
        <v>15</v>
      </c>
      <c r="B21" s="105" t="s">
        <v>158</v>
      </c>
      <c r="C21" s="129">
        <v>400</v>
      </c>
      <c r="D21" s="113">
        <v>59</v>
      </c>
      <c r="E21" s="114">
        <v>6032</v>
      </c>
      <c r="F21" s="115">
        <v>21662</v>
      </c>
      <c r="G21" s="116">
        <v>650</v>
      </c>
      <c r="H21" s="1731" t="s">
        <v>41</v>
      </c>
      <c r="I21" s="34"/>
      <c r="J21" s="147"/>
      <c r="K21" s="2233" t="s">
        <v>25</v>
      </c>
      <c r="L21" s="147"/>
      <c r="M21" s="147"/>
      <c r="N21" s="147"/>
      <c r="O21" s="2628" t="s">
        <v>6395</v>
      </c>
      <c r="Q21" s="34"/>
    </row>
    <row r="22" spans="1:17" ht="18.75" customHeight="1" x14ac:dyDescent="0.3">
      <c r="A22" s="104">
        <v>16</v>
      </c>
      <c r="B22" s="105" t="s">
        <v>158</v>
      </c>
      <c r="C22" s="129">
        <v>400</v>
      </c>
      <c r="D22" s="113">
        <v>59</v>
      </c>
      <c r="E22" s="114">
        <v>6033</v>
      </c>
      <c r="F22" s="115">
        <v>21662</v>
      </c>
      <c r="G22" s="116">
        <v>650</v>
      </c>
      <c r="H22" s="1731" t="s">
        <v>41</v>
      </c>
      <c r="I22" s="34"/>
      <c r="J22" s="147"/>
      <c r="K22" s="2233" t="s">
        <v>25</v>
      </c>
      <c r="L22" s="147"/>
      <c r="M22" s="147"/>
      <c r="N22" s="147"/>
      <c r="O22" s="2628" t="s">
        <v>6395</v>
      </c>
      <c r="Q22" s="34"/>
    </row>
    <row r="23" spans="1:17" ht="18.75" customHeight="1" x14ac:dyDescent="0.3">
      <c r="A23" s="104">
        <v>17</v>
      </c>
      <c r="B23" s="105" t="s">
        <v>158</v>
      </c>
      <c r="C23" s="129">
        <v>400</v>
      </c>
      <c r="D23" s="113">
        <v>59</v>
      </c>
      <c r="E23" s="114">
        <v>6034</v>
      </c>
      <c r="F23" s="115">
        <v>21662</v>
      </c>
      <c r="G23" s="116">
        <v>650</v>
      </c>
      <c r="H23" s="1731" t="s">
        <v>41</v>
      </c>
      <c r="I23" s="34"/>
      <c r="J23" s="147"/>
      <c r="K23" s="2233" t="s">
        <v>25</v>
      </c>
      <c r="L23" s="147"/>
      <c r="M23" s="147"/>
      <c r="N23" s="147"/>
      <c r="O23" s="2628" t="s">
        <v>6395</v>
      </c>
      <c r="Q23" s="34"/>
    </row>
    <row r="24" spans="1:17" ht="18.75" customHeight="1" x14ac:dyDescent="0.3">
      <c r="A24" s="104">
        <v>18</v>
      </c>
      <c r="B24" s="105" t="s">
        <v>158</v>
      </c>
      <c r="C24" s="129">
        <v>400</v>
      </c>
      <c r="D24" s="113">
        <v>59</v>
      </c>
      <c r="E24" s="114">
        <v>6035</v>
      </c>
      <c r="F24" s="115">
        <v>21662</v>
      </c>
      <c r="G24" s="116">
        <v>650</v>
      </c>
      <c r="H24" s="1731" t="s">
        <v>41</v>
      </c>
      <c r="I24" s="34"/>
      <c r="J24" s="147"/>
      <c r="K24" s="2233" t="s">
        <v>25</v>
      </c>
      <c r="L24" s="147"/>
      <c r="M24" s="147"/>
      <c r="N24" s="147"/>
      <c r="O24" s="2628" t="s">
        <v>6395</v>
      </c>
      <c r="Q24" s="34"/>
    </row>
    <row r="25" spans="1:17" ht="18.75" customHeight="1" x14ac:dyDescent="0.3">
      <c r="A25" s="104">
        <v>19</v>
      </c>
      <c r="B25" s="105" t="s">
        <v>158</v>
      </c>
      <c r="C25" s="129">
        <v>400</v>
      </c>
      <c r="D25" s="113">
        <v>59</v>
      </c>
      <c r="E25" s="114">
        <v>6036</v>
      </c>
      <c r="F25" s="115">
        <v>21662</v>
      </c>
      <c r="G25" s="116">
        <v>650</v>
      </c>
      <c r="H25" s="1731" t="s">
        <v>41</v>
      </c>
      <c r="I25" s="34"/>
      <c r="J25" s="147"/>
      <c r="K25" s="2233" t="s">
        <v>25</v>
      </c>
      <c r="L25" s="147"/>
      <c r="M25" s="147"/>
      <c r="N25" s="147"/>
      <c r="O25" s="2628" t="s">
        <v>6395</v>
      </c>
      <c r="Q25" s="34"/>
    </row>
    <row r="26" spans="1:17" ht="18.75" customHeight="1" x14ac:dyDescent="0.3">
      <c r="A26" s="104">
        <v>20</v>
      </c>
      <c r="B26" s="105" t="s">
        <v>158</v>
      </c>
      <c r="C26" s="129">
        <v>400</v>
      </c>
      <c r="D26" s="113">
        <v>59</v>
      </c>
      <c r="E26" s="114">
        <v>6037</v>
      </c>
      <c r="F26" s="115">
        <v>21662</v>
      </c>
      <c r="G26" s="116">
        <v>650</v>
      </c>
      <c r="H26" s="1731" t="s">
        <v>41</v>
      </c>
      <c r="I26" s="34"/>
      <c r="J26" s="147"/>
      <c r="K26" s="2233" t="s">
        <v>25</v>
      </c>
      <c r="L26" s="147"/>
      <c r="M26" s="147"/>
      <c r="N26" s="147"/>
      <c r="O26" s="2628" t="s">
        <v>6395</v>
      </c>
      <c r="Q26" s="34"/>
    </row>
    <row r="27" spans="1:17" ht="18.75" customHeight="1" x14ac:dyDescent="0.3">
      <c r="A27" s="104">
        <v>21</v>
      </c>
      <c r="B27" s="105" t="s">
        <v>158</v>
      </c>
      <c r="C27" s="129">
        <v>400</v>
      </c>
      <c r="D27" s="113">
        <v>59</v>
      </c>
      <c r="E27" s="114">
        <v>6038</v>
      </c>
      <c r="F27" s="115">
        <v>21662</v>
      </c>
      <c r="G27" s="116">
        <v>650</v>
      </c>
      <c r="H27" s="1731" t="s">
        <v>41</v>
      </c>
      <c r="I27" s="34"/>
      <c r="J27" s="147"/>
      <c r="K27" s="2233" t="s">
        <v>25</v>
      </c>
      <c r="L27" s="147"/>
      <c r="M27" s="147"/>
      <c r="N27" s="147"/>
      <c r="O27" s="2628" t="s">
        <v>6395</v>
      </c>
      <c r="Q27" s="34"/>
    </row>
    <row r="28" spans="1:17" ht="18.75" customHeight="1" x14ac:dyDescent="0.3">
      <c r="A28" s="104">
        <v>22</v>
      </c>
      <c r="B28" s="105" t="s">
        <v>158</v>
      </c>
      <c r="C28" s="129">
        <v>400</v>
      </c>
      <c r="D28" s="113">
        <v>59</v>
      </c>
      <c r="E28" s="114">
        <v>6039</v>
      </c>
      <c r="F28" s="115">
        <v>21662</v>
      </c>
      <c r="G28" s="116">
        <v>650</v>
      </c>
      <c r="H28" s="1731" t="s">
        <v>41</v>
      </c>
      <c r="I28" s="34"/>
      <c r="J28" s="147"/>
      <c r="K28" s="2233" t="s">
        <v>25</v>
      </c>
      <c r="L28" s="147"/>
      <c r="M28" s="147"/>
      <c r="N28" s="147"/>
      <c r="O28" s="2628" t="s">
        <v>6395</v>
      </c>
      <c r="Q28" s="34"/>
    </row>
    <row r="29" spans="1:17" ht="18.75" customHeight="1" x14ac:dyDescent="0.3">
      <c r="A29" s="104">
        <v>23</v>
      </c>
      <c r="B29" s="105" t="s">
        <v>158</v>
      </c>
      <c r="C29" s="129">
        <v>400</v>
      </c>
      <c r="D29" s="113">
        <v>59</v>
      </c>
      <c r="E29" s="114">
        <v>6040</v>
      </c>
      <c r="F29" s="115">
        <v>21662</v>
      </c>
      <c r="G29" s="116">
        <v>650</v>
      </c>
      <c r="H29" s="1731" t="s">
        <v>41</v>
      </c>
      <c r="I29" s="34"/>
      <c r="J29" s="147"/>
      <c r="K29" s="2233" t="s">
        <v>25</v>
      </c>
      <c r="L29" s="147"/>
      <c r="M29" s="147"/>
      <c r="N29" s="147"/>
      <c r="O29" s="2628" t="s">
        <v>6395</v>
      </c>
      <c r="Q29" s="34"/>
    </row>
    <row r="30" spans="1:17" ht="18.75" customHeight="1" x14ac:dyDescent="0.3">
      <c r="A30" s="104">
        <v>24</v>
      </c>
      <c r="B30" s="105" t="s">
        <v>158</v>
      </c>
      <c r="C30" s="129">
        <v>400</v>
      </c>
      <c r="D30" s="113">
        <v>59</v>
      </c>
      <c r="E30" s="114">
        <v>6041</v>
      </c>
      <c r="F30" s="115">
        <v>21662</v>
      </c>
      <c r="G30" s="116">
        <v>650</v>
      </c>
      <c r="H30" s="1731" t="s">
        <v>41</v>
      </c>
      <c r="I30" s="34"/>
      <c r="J30" s="147"/>
      <c r="K30" s="2233" t="s">
        <v>25</v>
      </c>
      <c r="L30" s="147"/>
      <c r="M30" s="147"/>
      <c r="N30" s="147"/>
      <c r="O30" s="2628" t="s">
        <v>6395</v>
      </c>
      <c r="Q30" s="34"/>
    </row>
    <row r="31" spans="1:17" ht="18.75" customHeight="1" x14ac:dyDescent="0.3">
      <c r="A31" s="104">
        <v>25</v>
      </c>
      <c r="B31" s="105" t="s">
        <v>158</v>
      </c>
      <c r="C31" s="129">
        <v>400</v>
      </c>
      <c r="D31" s="113">
        <v>59</v>
      </c>
      <c r="E31" s="114">
        <v>6042</v>
      </c>
      <c r="F31" s="115">
        <v>21662</v>
      </c>
      <c r="G31" s="116">
        <v>650</v>
      </c>
      <c r="H31" s="1731" t="s">
        <v>41</v>
      </c>
      <c r="I31" s="34"/>
      <c r="J31" s="147"/>
      <c r="K31" s="2233" t="s">
        <v>25</v>
      </c>
      <c r="L31" s="147"/>
      <c r="M31" s="147"/>
      <c r="N31" s="147"/>
      <c r="O31" s="2628" t="s">
        <v>6395</v>
      </c>
      <c r="Q31" s="34"/>
    </row>
    <row r="32" spans="1:17" ht="18.75" customHeight="1" x14ac:dyDescent="0.3">
      <c r="A32" s="104">
        <v>26</v>
      </c>
      <c r="B32" s="105" t="s">
        <v>158</v>
      </c>
      <c r="C32" s="129">
        <v>400</v>
      </c>
      <c r="D32" s="113">
        <v>59</v>
      </c>
      <c r="E32" s="114">
        <v>6043</v>
      </c>
      <c r="F32" s="115">
        <v>21662</v>
      </c>
      <c r="G32" s="116">
        <v>650</v>
      </c>
      <c r="H32" s="1731" t="s">
        <v>41</v>
      </c>
      <c r="I32" s="34"/>
      <c r="J32" s="147"/>
      <c r="K32" s="2233" t="s">
        <v>25</v>
      </c>
      <c r="L32" s="147"/>
      <c r="M32" s="147"/>
      <c r="N32" s="147"/>
      <c r="O32" s="2628" t="s">
        <v>6395</v>
      </c>
      <c r="Q32" s="34"/>
    </row>
    <row r="33" spans="1:17" ht="18.75" customHeight="1" x14ac:dyDescent="0.3">
      <c r="A33" s="104">
        <v>27</v>
      </c>
      <c r="B33" s="105" t="s">
        <v>158</v>
      </c>
      <c r="C33" s="129">
        <v>400</v>
      </c>
      <c r="D33" s="113">
        <v>59</v>
      </c>
      <c r="E33" s="114">
        <v>6044</v>
      </c>
      <c r="F33" s="115">
        <v>21662</v>
      </c>
      <c r="G33" s="116">
        <v>650</v>
      </c>
      <c r="H33" s="1731" t="s">
        <v>41</v>
      </c>
      <c r="I33" s="34"/>
      <c r="J33" s="147"/>
      <c r="K33" s="2233" t="s">
        <v>25</v>
      </c>
      <c r="L33" s="147"/>
      <c r="M33" s="147"/>
      <c r="N33" s="147"/>
      <c r="O33" s="2628" t="s">
        <v>6395</v>
      </c>
      <c r="Q33" s="34"/>
    </row>
    <row r="34" spans="1:17" ht="18.75" customHeight="1" x14ac:dyDescent="0.3">
      <c r="A34" s="104">
        <v>28</v>
      </c>
      <c r="B34" s="105" t="s">
        <v>158</v>
      </c>
      <c r="C34" s="129">
        <v>400</v>
      </c>
      <c r="D34" s="113">
        <v>59</v>
      </c>
      <c r="E34" s="114">
        <v>6045</v>
      </c>
      <c r="F34" s="115">
        <v>21662</v>
      </c>
      <c r="G34" s="116">
        <v>650</v>
      </c>
      <c r="H34" s="1731" t="s">
        <v>41</v>
      </c>
      <c r="I34" s="34"/>
      <c r="J34" s="147"/>
      <c r="K34" s="2233" t="s">
        <v>25</v>
      </c>
      <c r="L34" s="147"/>
      <c r="M34" s="147"/>
      <c r="N34" s="147"/>
      <c r="O34" s="2628" t="s">
        <v>6395</v>
      </c>
      <c r="Q34" s="34"/>
    </row>
    <row r="35" spans="1:17" ht="18.75" customHeight="1" x14ac:dyDescent="0.3">
      <c r="A35" s="104">
        <v>29</v>
      </c>
      <c r="B35" s="105" t="s">
        <v>158</v>
      </c>
      <c r="C35" s="129">
        <v>400</v>
      </c>
      <c r="D35" s="113">
        <v>59</v>
      </c>
      <c r="E35" s="114">
        <v>6046</v>
      </c>
      <c r="F35" s="115">
        <v>21662</v>
      </c>
      <c r="G35" s="116">
        <v>650</v>
      </c>
      <c r="H35" s="1731" t="s">
        <v>41</v>
      </c>
      <c r="I35" s="34"/>
      <c r="J35" s="147"/>
      <c r="K35" s="2233" t="s">
        <v>25</v>
      </c>
      <c r="L35" s="147"/>
      <c r="M35" s="147"/>
      <c r="N35" s="147"/>
      <c r="O35" s="2628" t="s">
        <v>6395</v>
      </c>
      <c r="Q35" s="34"/>
    </row>
    <row r="36" spans="1:17" ht="18.75" customHeight="1" x14ac:dyDescent="0.3">
      <c r="A36" s="104">
        <v>30</v>
      </c>
      <c r="B36" s="105" t="s">
        <v>158</v>
      </c>
      <c r="C36" s="129">
        <v>400</v>
      </c>
      <c r="D36" s="113">
        <v>59</v>
      </c>
      <c r="E36" s="114">
        <v>6047</v>
      </c>
      <c r="F36" s="115">
        <v>21662</v>
      </c>
      <c r="G36" s="116">
        <v>650</v>
      </c>
      <c r="H36" s="1731" t="s">
        <v>41</v>
      </c>
      <c r="I36" s="34"/>
      <c r="J36" s="147"/>
      <c r="K36" s="2233" t="s">
        <v>25</v>
      </c>
      <c r="L36" s="147"/>
      <c r="M36" s="147"/>
      <c r="N36" s="147"/>
      <c r="O36" s="2628" t="s">
        <v>6395</v>
      </c>
      <c r="Q36" s="34"/>
    </row>
    <row r="37" spans="1:17" ht="18.75" customHeight="1" x14ac:dyDescent="0.3">
      <c r="A37" s="104">
        <v>31</v>
      </c>
      <c r="B37" s="105" t="s">
        <v>158</v>
      </c>
      <c r="C37" s="129">
        <v>400</v>
      </c>
      <c r="D37" s="113">
        <v>59</v>
      </c>
      <c r="E37" s="114">
        <v>6048</v>
      </c>
      <c r="F37" s="115">
        <v>21662</v>
      </c>
      <c r="G37" s="116">
        <v>650</v>
      </c>
      <c r="H37" s="1731" t="s">
        <v>41</v>
      </c>
      <c r="I37" s="34"/>
      <c r="J37" s="147"/>
      <c r="K37" s="2233" t="s">
        <v>25</v>
      </c>
      <c r="L37" s="147"/>
      <c r="M37" s="147"/>
      <c r="N37" s="147"/>
      <c r="O37" s="2628" t="s">
        <v>6395</v>
      </c>
      <c r="Q37" s="34"/>
    </row>
    <row r="38" spans="1:17" ht="18.75" customHeight="1" x14ac:dyDescent="0.3">
      <c r="A38" s="104">
        <v>32</v>
      </c>
      <c r="B38" s="105" t="s">
        <v>158</v>
      </c>
      <c r="C38" s="129">
        <v>400</v>
      </c>
      <c r="D38" s="113">
        <v>59</v>
      </c>
      <c r="E38" s="114">
        <v>6049</v>
      </c>
      <c r="F38" s="115">
        <v>21662</v>
      </c>
      <c r="G38" s="116">
        <v>650</v>
      </c>
      <c r="H38" s="1731" t="s">
        <v>41</v>
      </c>
      <c r="I38" s="34"/>
      <c r="J38" s="147"/>
      <c r="K38" s="2233" t="s">
        <v>25</v>
      </c>
      <c r="L38" s="147"/>
      <c r="M38" s="147"/>
      <c r="N38" s="147"/>
      <c r="O38" s="2628" t="s">
        <v>6395</v>
      </c>
      <c r="Q38" s="34"/>
    </row>
    <row r="39" spans="1:17" ht="18.75" customHeight="1" x14ac:dyDescent="0.3">
      <c r="A39" s="104">
        <v>33</v>
      </c>
      <c r="B39" s="105" t="s">
        <v>158</v>
      </c>
      <c r="C39" s="129">
        <v>400</v>
      </c>
      <c r="D39" s="113">
        <v>59</v>
      </c>
      <c r="E39" s="114">
        <v>6050</v>
      </c>
      <c r="F39" s="115">
        <v>21662</v>
      </c>
      <c r="G39" s="116">
        <v>650</v>
      </c>
      <c r="H39" s="1731" t="s">
        <v>41</v>
      </c>
      <c r="I39" s="34"/>
      <c r="J39" s="147"/>
      <c r="K39" s="2233" t="s">
        <v>25</v>
      </c>
      <c r="L39" s="147"/>
      <c r="M39" s="147"/>
      <c r="N39" s="147"/>
      <c r="O39" s="2628" t="s">
        <v>6395</v>
      </c>
      <c r="Q39" s="34"/>
    </row>
    <row r="40" spans="1:17" ht="18.75" customHeight="1" x14ac:dyDescent="0.3">
      <c r="A40" s="104">
        <v>34</v>
      </c>
      <c r="B40" s="105" t="s">
        <v>158</v>
      </c>
      <c r="C40" s="129">
        <v>400</v>
      </c>
      <c r="D40" s="113">
        <v>59</v>
      </c>
      <c r="E40" s="114">
        <v>6051</v>
      </c>
      <c r="F40" s="115">
        <v>21662</v>
      </c>
      <c r="G40" s="116">
        <v>650</v>
      </c>
      <c r="H40" s="1731" t="s">
        <v>41</v>
      </c>
      <c r="I40" s="34"/>
      <c r="J40" s="147"/>
      <c r="K40" s="2233" t="s">
        <v>25</v>
      </c>
      <c r="L40" s="147"/>
      <c r="M40" s="147"/>
      <c r="N40" s="147"/>
      <c r="O40" s="2628" t="s">
        <v>6395</v>
      </c>
      <c r="Q40" s="34"/>
    </row>
    <row r="41" spans="1:17" ht="18.75" customHeight="1" x14ac:dyDescent="0.3">
      <c r="A41" s="104">
        <v>35</v>
      </c>
      <c r="B41" s="105" t="s">
        <v>158</v>
      </c>
      <c r="C41" s="129">
        <v>400</v>
      </c>
      <c r="D41" s="113">
        <v>59</v>
      </c>
      <c r="E41" s="114">
        <v>6052</v>
      </c>
      <c r="F41" s="115">
        <v>21662</v>
      </c>
      <c r="G41" s="116">
        <v>650</v>
      </c>
      <c r="H41" s="1731" t="s">
        <v>41</v>
      </c>
      <c r="I41" s="34"/>
      <c r="J41" s="147"/>
      <c r="K41" s="2233" t="s">
        <v>25</v>
      </c>
      <c r="L41" s="147"/>
      <c r="M41" s="147"/>
      <c r="N41" s="147"/>
      <c r="O41" s="2628" t="s">
        <v>6395</v>
      </c>
      <c r="Q41" s="34"/>
    </row>
    <row r="42" spans="1:17" ht="18.75" customHeight="1" x14ac:dyDescent="0.3">
      <c r="A42" s="104">
        <v>36</v>
      </c>
      <c r="B42" s="105" t="s">
        <v>158</v>
      </c>
      <c r="C42" s="129">
        <v>400</v>
      </c>
      <c r="D42" s="113">
        <v>59</v>
      </c>
      <c r="E42" s="114">
        <v>6053</v>
      </c>
      <c r="F42" s="115">
        <v>21662</v>
      </c>
      <c r="G42" s="116">
        <v>650</v>
      </c>
      <c r="H42" s="1731" t="s">
        <v>41</v>
      </c>
      <c r="I42" s="34"/>
      <c r="J42" s="147"/>
      <c r="K42" s="2233" t="s">
        <v>25</v>
      </c>
      <c r="L42" s="147"/>
      <c r="M42" s="147"/>
      <c r="N42" s="147"/>
      <c r="O42" s="2628" t="s">
        <v>6395</v>
      </c>
      <c r="Q42" s="34"/>
    </row>
    <row r="43" spans="1:17" ht="18.75" customHeight="1" x14ac:dyDescent="0.3">
      <c r="A43" s="104">
        <v>37</v>
      </c>
      <c r="B43" s="105" t="s">
        <v>158</v>
      </c>
      <c r="C43" s="129">
        <v>400</v>
      </c>
      <c r="D43" s="113">
        <v>59</v>
      </c>
      <c r="E43" s="114">
        <v>6054</v>
      </c>
      <c r="F43" s="115">
        <v>21662</v>
      </c>
      <c r="G43" s="116">
        <v>650</v>
      </c>
      <c r="H43" s="1731" t="s">
        <v>41</v>
      </c>
      <c r="I43" s="34"/>
      <c r="J43" s="147"/>
      <c r="K43" s="2233" t="s">
        <v>25</v>
      </c>
      <c r="L43" s="147"/>
      <c r="M43" s="147"/>
      <c r="N43" s="147"/>
      <c r="O43" s="2628" t="s">
        <v>6395</v>
      </c>
      <c r="Q43" s="34"/>
    </row>
    <row r="44" spans="1:17" ht="18.75" customHeight="1" x14ac:dyDescent="0.3">
      <c r="A44" s="104">
        <v>38</v>
      </c>
      <c r="B44" s="105" t="s">
        <v>158</v>
      </c>
      <c r="C44" s="129">
        <v>400</v>
      </c>
      <c r="D44" s="113">
        <v>59</v>
      </c>
      <c r="E44" s="114">
        <v>6055</v>
      </c>
      <c r="F44" s="115">
        <v>21662</v>
      </c>
      <c r="G44" s="116">
        <v>650</v>
      </c>
      <c r="H44" s="1731" t="s">
        <v>41</v>
      </c>
      <c r="I44" s="34"/>
      <c r="J44" s="147"/>
      <c r="K44" s="2233" t="s">
        <v>25</v>
      </c>
      <c r="L44" s="147"/>
      <c r="M44" s="147"/>
      <c r="N44" s="147"/>
      <c r="O44" s="2628" t="s">
        <v>6395</v>
      </c>
      <c r="Q44" s="34"/>
    </row>
    <row r="45" spans="1:17" ht="18.75" customHeight="1" x14ac:dyDescent="0.3">
      <c r="A45" s="104">
        <v>39</v>
      </c>
      <c r="B45" s="105" t="s">
        <v>158</v>
      </c>
      <c r="C45" s="129">
        <v>400</v>
      </c>
      <c r="D45" s="113">
        <v>59</v>
      </c>
      <c r="E45" s="114">
        <v>6056</v>
      </c>
      <c r="F45" s="115">
        <v>21662</v>
      </c>
      <c r="G45" s="116">
        <v>650</v>
      </c>
      <c r="H45" s="1731" t="s">
        <v>41</v>
      </c>
      <c r="I45" s="34"/>
      <c r="J45" s="147"/>
      <c r="K45" s="2233" t="s">
        <v>25</v>
      </c>
      <c r="L45" s="147"/>
      <c r="M45" s="147"/>
      <c r="N45" s="147"/>
      <c r="O45" s="2628" t="s">
        <v>6395</v>
      </c>
      <c r="Q45" s="34"/>
    </row>
    <row r="46" spans="1:17" ht="18.75" customHeight="1" x14ac:dyDescent="0.3">
      <c r="A46" s="104">
        <v>40</v>
      </c>
      <c r="B46" s="105" t="s">
        <v>158</v>
      </c>
      <c r="C46" s="129">
        <v>400</v>
      </c>
      <c r="D46" s="113">
        <v>59</v>
      </c>
      <c r="E46" s="114">
        <v>6057</v>
      </c>
      <c r="F46" s="115">
        <v>21662</v>
      </c>
      <c r="G46" s="116">
        <v>650</v>
      </c>
      <c r="H46" s="1731" t="s">
        <v>41</v>
      </c>
      <c r="I46" s="34"/>
      <c r="J46" s="147"/>
      <c r="K46" s="2233" t="s">
        <v>25</v>
      </c>
      <c r="L46" s="147"/>
      <c r="M46" s="147"/>
      <c r="N46" s="147"/>
      <c r="O46" s="2628" t="s">
        <v>6395</v>
      </c>
      <c r="Q46" s="34"/>
    </row>
    <row r="47" spans="1:17" ht="18.75" customHeight="1" x14ac:dyDescent="0.3">
      <c r="A47" s="104">
        <v>41</v>
      </c>
      <c r="B47" s="105" t="s">
        <v>158</v>
      </c>
      <c r="C47" s="129">
        <v>400</v>
      </c>
      <c r="D47" s="113">
        <v>59</v>
      </c>
      <c r="E47" s="114">
        <v>6058</v>
      </c>
      <c r="F47" s="115">
        <v>21662</v>
      </c>
      <c r="G47" s="116">
        <v>650</v>
      </c>
      <c r="H47" s="1731" t="s">
        <v>41</v>
      </c>
      <c r="I47" s="34"/>
      <c r="J47" s="147"/>
      <c r="K47" s="2233" t="s">
        <v>25</v>
      </c>
      <c r="L47" s="147"/>
      <c r="M47" s="147"/>
      <c r="N47" s="147"/>
      <c r="O47" s="2628" t="s">
        <v>6395</v>
      </c>
      <c r="Q47" s="34"/>
    </row>
    <row r="48" spans="1:17" ht="18.75" customHeight="1" x14ac:dyDescent="0.3">
      <c r="A48" s="104">
        <v>42</v>
      </c>
      <c r="B48" s="105" t="s">
        <v>158</v>
      </c>
      <c r="C48" s="129">
        <v>400</v>
      </c>
      <c r="D48" s="113">
        <v>59</v>
      </c>
      <c r="E48" s="114">
        <v>6059</v>
      </c>
      <c r="F48" s="115">
        <v>21662</v>
      </c>
      <c r="G48" s="116">
        <v>650</v>
      </c>
      <c r="H48" s="1731" t="s">
        <v>41</v>
      </c>
      <c r="I48" s="34"/>
      <c r="J48" s="147"/>
      <c r="K48" s="2233" t="s">
        <v>25</v>
      </c>
      <c r="L48" s="147"/>
      <c r="M48" s="147"/>
      <c r="N48" s="147"/>
      <c r="O48" s="2628" t="s">
        <v>6395</v>
      </c>
      <c r="Q48" s="34"/>
    </row>
    <row r="49" spans="1:17" ht="18.75" customHeight="1" x14ac:dyDescent="0.3">
      <c r="A49" s="104">
        <v>43</v>
      </c>
      <c r="B49" s="105" t="s">
        <v>158</v>
      </c>
      <c r="C49" s="129">
        <v>400</v>
      </c>
      <c r="D49" s="113">
        <v>59</v>
      </c>
      <c r="E49" s="114">
        <v>6060</v>
      </c>
      <c r="F49" s="115">
        <v>21662</v>
      </c>
      <c r="G49" s="116">
        <v>650</v>
      </c>
      <c r="H49" s="1731" t="s">
        <v>41</v>
      </c>
      <c r="I49" s="34"/>
      <c r="J49" s="147"/>
      <c r="K49" s="2233" t="s">
        <v>25</v>
      </c>
      <c r="L49" s="147"/>
      <c r="M49" s="147"/>
      <c r="N49" s="147"/>
      <c r="O49" s="2628" t="s">
        <v>6395</v>
      </c>
      <c r="Q49" s="34"/>
    </row>
    <row r="50" spans="1:17" ht="18.75" customHeight="1" x14ac:dyDescent="0.3">
      <c r="A50" s="104">
        <v>44</v>
      </c>
      <c r="B50" s="105" t="s">
        <v>158</v>
      </c>
      <c r="C50" s="129">
        <v>400</v>
      </c>
      <c r="D50" s="113">
        <v>59</v>
      </c>
      <c r="E50" s="114">
        <v>6061</v>
      </c>
      <c r="F50" s="115">
        <v>21662</v>
      </c>
      <c r="G50" s="116">
        <v>650</v>
      </c>
      <c r="H50" s="1731" t="s">
        <v>41</v>
      </c>
      <c r="I50" s="34"/>
      <c r="J50" s="147"/>
      <c r="K50" s="2233" t="s">
        <v>25</v>
      </c>
      <c r="L50" s="147"/>
      <c r="M50" s="147"/>
      <c r="N50" s="147"/>
      <c r="O50" s="2628" t="s">
        <v>6395</v>
      </c>
      <c r="Q50" s="34"/>
    </row>
    <row r="51" spans="1:17" ht="18.75" customHeight="1" x14ac:dyDescent="0.3">
      <c r="A51" s="104">
        <v>45</v>
      </c>
      <c r="B51" s="105" t="s">
        <v>158</v>
      </c>
      <c r="C51" s="129">
        <v>400</v>
      </c>
      <c r="D51" s="113">
        <v>59</v>
      </c>
      <c r="E51" s="114">
        <v>6062</v>
      </c>
      <c r="F51" s="115">
        <v>21662</v>
      </c>
      <c r="G51" s="116">
        <v>650</v>
      </c>
      <c r="H51" s="1731" t="s">
        <v>41</v>
      </c>
      <c r="I51" s="34"/>
      <c r="J51" s="147"/>
      <c r="K51" s="2233" t="s">
        <v>25</v>
      </c>
      <c r="L51" s="147"/>
      <c r="M51" s="147"/>
      <c r="N51" s="147"/>
      <c r="O51" s="2628" t="s">
        <v>6395</v>
      </c>
      <c r="Q51" s="34"/>
    </row>
    <row r="52" spans="1:17" ht="18.75" customHeight="1" x14ac:dyDescent="0.3">
      <c r="A52" s="104">
        <v>46</v>
      </c>
      <c r="B52" s="105" t="s">
        <v>158</v>
      </c>
      <c r="C52" s="129">
        <v>400</v>
      </c>
      <c r="D52" s="113">
        <v>59</v>
      </c>
      <c r="E52" s="114">
        <v>6063</v>
      </c>
      <c r="F52" s="115">
        <v>21662</v>
      </c>
      <c r="G52" s="116">
        <v>650</v>
      </c>
      <c r="H52" s="1731" t="s">
        <v>41</v>
      </c>
      <c r="I52" s="34"/>
      <c r="J52" s="147"/>
      <c r="K52" s="2233" t="s">
        <v>25</v>
      </c>
      <c r="L52" s="147"/>
      <c r="M52" s="147"/>
      <c r="N52" s="147"/>
      <c r="O52" s="2628" t="s">
        <v>6395</v>
      </c>
      <c r="Q52" s="34"/>
    </row>
    <row r="53" spans="1:17" ht="18.75" customHeight="1" x14ac:dyDescent="0.3">
      <c r="A53" s="104">
        <v>47</v>
      </c>
      <c r="B53" s="105" t="s">
        <v>158</v>
      </c>
      <c r="C53" s="129">
        <v>400</v>
      </c>
      <c r="D53" s="113">
        <v>59</v>
      </c>
      <c r="E53" s="114">
        <v>6064</v>
      </c>
      <c r="F53" s="115">
        <v>21662</v>
      </c>
      <c r="G53" s="116">
        <v>650</v>
      </c>
      <c r="H53" s="1731" t="s">
        <v>41</v>
      </c>
      <c r="I53" s="34"/>
      <c r="J53" s="147"/>
      <c r="K53" s="2233" t="s">
        <v>25</v>
      </c>
      <c r="L53" s="147"/>
      <c r="M53" s="147"/>
      <c r="N53" s="147"/>
      <c r="O53" s="2628" t="s">
        <v>6395</v>
      </c>
      <c r="Q53" s="34"/>
    </row>
    <row r="54" spans="1:17" ht="18.75" customHeight="1" x14ac:dyDescent="0.3">
      <c r="A54" s="104">
        <v>48</v>
      </c>
      <c r="B54" s="105" t="s">
        <v>158</v>
      </c>
      <c r="C54" s="129">
        <v>400</v>
      </c>
      <c r="D54" s="136">
        <v>59</v>
      </c>
      <c r="E54" s="114">
        <v>6065</v>
      </c>
      <c r="F54" s="115">
        <v>21662</v>
      </c>
      <c r="G54" s="116">
        <v>650</v>
      </c>
      <c r="H54" s="1731" t="s">
        <v>41</v>
      </c>
      <c r="I54" s="34"/>
      <c r="J54" s="147"/>
      <c r="K54" s="2233" t="s">
        <v>25</v>
      </c>
      <c r="L54" s="147"/>
      <c r="M54" s="147"/>
      <c r="N54" s="147"/>
      <c r="O54" s="2628" t="s">
        <v>6395</v>
      </c>
      <c r="Q54" s="34"/>
    </row>
    <row r="55" spans="1:17" ht="18.75" customHeight="1" x14ac:dyDescent="0.3">
      <c r="A55" s="104">
        <v>49</v>
      </c>
      <c r="B55" s="105" t="s">
        <v>158</v>
      </c>
      <c r="C55" s="129">
        <v>400</v>
      </c>
      <c r="D55" s="128">
        <v>59</v>
      </c>
      <c r="E55" s="114">
        <v>6066</v>
      </c>
      <c r="F55" s="115">
        <v>21662</v>
      </c>
      <c r="G55" s="116">
        <v>650</v>
      </c>
      <c r="H55" s="1731" t="s">
        <v>41</v>
      </c>
      <c r="I55" s="34"/>
      <c r="J55" s="147"/>
      <c r="K55" s="2233" t="s">
        <v>25</v>
      </c>
      <c r="L55" s="147"/>
      <c r="M55" s="147"/>
      <c r="N55" s="147"/>
      <c r="O55" s="2628" t="s">
        <v>6395</v>
      </c>
      <c r="Q55" s="34"/>
    </row>
    <row r="56" spans="1:17" ht="18.75" customHeight="1" x14ac:dyDescent="0.3">
      <c r="A56" s="104">
        <v>50</v>
      </c>
      <c r="B56" s="105" t="s">
        <v>158</v>
      </c>
      <c r="C56" s="129">
        <v>400</v>
      </c>
      <c r="D56" s="113">
        <v>59</v>
      </c>
      <c r="E56" s="114">
        <v>6067</v>
      </c>
      <c r="F56" s="115">
        <v>21662</v>
      </c>
      <c r="G56" s="116">
        <v>650</v>
      </c>
      <c r="H56" s="1731" t="s">
        <v>41</v>
      </c>
      <c r="I56" s="34"/>
      <c r="J56" s="147"/>
      <c r="K56" s="2233" t="s">
        <v>25</v>
      </c>
      <c r="L56" s="147"/>
      <c r="M56" s="147"/>
      <c r="N56" s="147"/>
      <c r="O56" s="2628" t="s">
        <v>6395</v>
      </c>
      <c r="Q56" s="34"/>
    </row>
    <row r="57" spans="1:17" ht="18.75" customHeight="1" x14ac:dyDescent="0.3">
      <c r="A57" s="104">
        <v>51</v>
      </c>
      <c r="B57" s="105" t="s">
        <v>158</v>
      </c>
      <c r="C57" s="129">
        <v>400</v>
      </c>
      <c r="D57" s="113">
        <v>59</v>
      </c>
      <c r="E57" s="114">
        <v>6068</v>
      </c>
      <c r="F57" s="115">
        <v>21662</v>
      </c>
      <c r="G57" s="116">
        <v>650</v>
      </c>
      <c r="H57" s="1731" t="s">
        <v>41</v>
      </c>
      <c r="I57" s="34"/>
      <c r="J57" s="147"/>
      <c r="K57" s="2233" t="s">
        <v>25</v>
      </c>
      <c r="L57" s="147"/>
      <c r="M57" s="147"/>
      <c r="N57" s="147"/>
      <c r="O57" s="2628" t="s">
        <v>6395</v>
      </c>
      <c r="Q57" s="34"/>
    </row>
    <row r="58" spans="1:17" ht="18.75" customHeight="1" x14ac:dyDescent="0.3">
      <c r="A58" s="104">
        <v>52</v>
      </c>
      <c r="B58" s="105" t="s">
        <v>158</v>
      </c>
      <c r="C58" s="129">
        <v>400</v>
      </c>
      <c r="D58" s="113">
        <v>59</v>
      </c>
      <c r="E58" s="114">
        <v>6069</v>
      </c>
      <c r="F58" s="115">
        <v>21662</v>
      </c>
      <c r="G58" s="116">
        <v>650</v>
      </c>
      <c r="H58" s="1731" t="s">
        <v>41</v>
      </c>
      <c r="I58" s="34"/>
      <c r="J58" s="147"/>
      <c r="K58" s="2233" t="s">
        <v>25</v>
      </c>
      <c r="L58" s="147"/>
      <c r="M58" s="147"/>
      <c r="N58" s="147"/>
      <c r="O58" s="2628" t="s">
        <v>6395</v>
      </c>
      <c r="Q58" s="34"/>
    </row>
    <row r="59" spans="1:17" ht="18.75" customHeight="1" x14ac:dyDescent="0.3">
      <c r="A59" s="104">
        <v>53</v>
      </c>
      <c r="B59" s="105" t="s">
        <v>158</v>
      </c>
      <c r="C59" s="129">
        <v>400</v>
      </c>
      <c r="D59" s="113">
        <v>59</v>
      </c>
      <c r="E59" s="114">
        <v>6070</v>
      </c>
      <c r="F59" s="115">
        <v>21662</v>
      </c>
      <c r="G59" s="116">
        <v>650</v>
      </c>
      <c r="H59" s="1731" t="s">
        <v>41</v>
      </c>
      <c r="I59" s="34"/>
      <c r="J59" s="147"/>
      <c r="K59" s="2233" t="s">
        <v>25</v>
      </c>
      <c r="L59" s="147"/>
      <c r="M59" s="147"/>
      <c r="N59" s="147"/>
      <c r="O59" s="2628" t="s">
        <v>6395</v>
      </c>
      <c r="Q59" s="34"/>
    </row>
    <row r="60" spans="1:17" ht="18.75" customHeight="1" x14ac:dyDescent="0.3">
      <c r="A60" s="104">
        <v>54</v>
      </c>
      <c r="B60" s="105" t="s">
        <v>158</v>
      </c>
      <c r="C60" s="129">
        <v>400</v>
      </c>
      <c r="D60" s="113">
        <v>59</v>
      </c>
      <c r="E60" s="114">
        <v>6071</v>
      </c>
      <c r="F60" s="115">
        <v>21662</v>
      </c>
      <c r="G60" s="116">
        <v>650</v>
      </c>
      <c r="H60" s="1731" t="s">
        <v>41</v>
      </c>
      <c r="I60" s="34"/>
      <c r="J60" s="147"/>
      <c r="K60" s="2233" t="s">
        <v>25</v>
      </c>
      <c r="L60" s="147"/>
      <c r="M60" s="147"/>
      <c r="N60" s="147"/>
      <c r="O60" s="2628" t="s">
        <v>6395</v>
      </c>
      <c r="Q60" s="34"/>
    </row>
    <row r="61" spans="1:17" ht="18.75" customHeight="1" x14ac:dyDescent="0.3">
      <c r="A61" s="104">
        <v>55</v>
      </c>
      <c r="B61" s="105" t="s">
        <v>158</v>
      </c>
      <c r="C61" s="129">
        <v>400</v>
      </c>
      <c r="D61" s="113">
        <v>59</v>
      </c>
      <c r="E61" s="114">
        <v>6072</v>
      </c>
      <c r="F61" s="115">
        <v>21662</v>
      </c>
      <c r="G61" s="116">
        <v>650</v>
      </c>
      <c r="H61" s="1731" t="s">
        <v>41</v>
      </c>
      <c r="I61" s="34"/>
      <c r="J61" s="147"/>
      <c r="K61" s="2233" t="s">
        <v>25</v>
      </c>
      <c r="L61" s="147"/>
      <c r="M61" s="147"/>
      <c r="N61" s="147"/>
      <c r="O61" s="2628" t="s">
        <v>6395</v>
      </c>
      <c r="Q61" s="34"/>
    </row>
    <row r="62" spans="1:17" ht="18.75" customHeight="1" x14ac:dyDescent="0.3">
      <c r="A62" s="104">
        <v>56</v>
      </c>
      <c r="B62" s="105" t="s">
        <v>158</v>
      </c>
      <c r="C62" s="129">
        <v>400</v>
      </c>
      <c r="D62" s="125">
        <v>59</v>
      </c>
      <c r="E62" s="114">
        <v>6073</v>
      </c>
      <c r="F62" s="115">
        <v>21662</v>
      </c>
      <c r="G62" s="116">
        <v>650</v>
      </c>
      <c r="H62" s="1731" t="s">
        <v>41</v>
      </c>
      <c r="I62" s="34"/>
      <c r="J62" s="147"/>
      <c r="K62" s="2233" t="s">
        <v>25</v>
      </c>
      <c r="L62" s="147"/>
      <c r="M62" s="147"/>
      <c r="N62" s="147"/>
      <c r="O62" s="2628" t="s">
        <v>6395</v>
      </c>
      <c r="Q62" s="34"/>
    </row>
    <row r="63" spans="1:17" ht="18.75" customHeight="1" x14ac:dyDescent="0.3">
      <c r="A63" s="104">
        <v>57</v>
      </c>
      <c r="B63" s="105" t="s">
        <v>158</v>
      </c>
      <c r="C63" s="129">
        <v>400</v>
      </c>
      <c r="D63" s="149">
        <v>59</v>
      </c>
      <c r="E63" s="114">
        <v>6074</v>
      </c>
      <c r="F63" s="115">
        <v>21662</v>
      </c>
      <c r="G63" s="116">
        <v>650</v>
      </c>
      <c r="H63" s="1731" t="s">
        <v>41</v>
      </c>
      <c r="I63" s="34"/>
      <c r="J63" s="147"/>
      <c r="K63" s="2233" t="s">
        <v>25</v>
      </c>
      <c r="L63" s="147"/>
      <c r="M63" s="147"/>
      <c r="N63" s="147"/>
      <c r="O63" s="2628" t="s">
        <v>6395</v>
      </c>
      <c r="Q63" s="34"/>
    </row>
    <row r="64" spans="1:17" ht="18.75" customHeight="1" x14ac:dyDescent="0.3">
      <c r="A64" s="104">
        <v>58</v>
      </c>
      <c r="B64" s="105" t="s">
        <v>158</v>
      </c>
      <c r="C64" s="129">
        <v>400</v>
      </c>
      <c r="D64" s="113">
        <v>59</v>
      </c>
      <c r="E64" s="114">
        <v>6075</v>
      </c>
      <c r="F64" s="115">
        <v>21662</v>
      </c>
      <c r="G64" s="116">
        <v>650</v>
      </c>
      <c r="H64" s="1731" t="s">
        <v>41</v>
      </c>
      <c r="I64" s="34"/>
      <c r="J64" s="147"/>
      <c r="K64" s="2233" t="s">
        <v>25</v>
      </c>
      <c r="L64" s="147"/>
      <c r="M64" s="147"/>
      <c r="N64" s="147"/>
      <c r="O64" s="2628" t="s">
        <v>6395</v>
      </c>
      <c r="Q64" s="34"/>
    </row>
    <row r="65" spans="1:17" ht="18.75" customHeight="1" x14ac:dyDescent="0.3">
      <c r="A65" s="104">
        <v>59</v>
      </c>
      <c r="B65" s="105" t="s">
        <v>158</v>
      </c>
      <c r="C65" s="129">
        <v>400</v>
      </c>
      <c r="D65" s="113">
        <v>59</v>
      </c>
      <c r="E65" s="114">
        <v>6076</v>
      </c>
      <c r="F65" s="115">
        <v>21662</v>
      </c>
      <c r="G65" s="116">
        <v>650</v>
      </c>
      <c r="H65" s="1731" t="s">
        <v>41</v>
      </c>
      <c r="I65" s="34"/>
      <c r="J65" s="147"/>
      <c r="K65" s="2233" t="s">
        <v>25</v>
      </c>
      <c r="L65" s="147"/>
      <c r="M65" s="147"/>
      <c r="N65" s="147"/>
      <c r="O65" s="2628" t="s">
        <v>6395</v>
      </c>
      <c r="Q65" s="34"/>
    </row>
    <row r="66" spans="1:17" ht="18.75" customHeight="1" x14ac:dyDescent="0.3">
      <c r="A66" s="104">
        <v>60</v>
      </c>
      <c r="B66" s="105" t="s">
        <v>158</v>
      </c>
      <c r="C66" s="129">
        <v>400</v>
      </c>
      <c r="D66" s="113">
        <v>59</v>
      </c>
      <c r="E66" s="114">
        <v>6077</v>
      </c>
      <c r="F66" s="115">
        <v>21662</v>
      </c>
      <c r="G66" s="116">
        <v>650</v>
      </c>
      <c r="H66" s="1731" t="s">
        <v>41</v>
      </c>
      <c r="I66" s="34"/>
      <c r="J66" s="147"/>
      <c r="K66" s="2233" t="s">
        <v>25</v>
      </c>
      <c r="L66" s="147"/>
      <c r="M66" s="147"/>
      <c r="N66" s="147"/>
      <c r="O66" s="2628" t="s">
        <v>6395</v>
      </c>
      <c r="Q66" s="34"/>
    </row>
    <row r="67" spans="1:17" ht="18.75" customHeight="1" x14ac:dyDescent="0.3">
      <c r="A67" s="104">
        <v>61</v>
      </c>
      <c r="B67" s="105" t="s">
        <v>158</v>
      </c>
      <c r="C67" s="129">
        <v>400</v>
      </c>
      <c r="D67" s="113">
        <v>59</v>
      </c>
      <c r="E67" s="114">
        <v>6078</v>
      </c>
      <c r="F67" s="115">
        <v>21662</v>
      </c>
      <c r="G67" s="116">
        <v>650</v>
      </c>
      <c r="H67" s="1731" t="s">
        <v>41</v>
      </c>
      <c r="I67" s="34"/>
      <c r="J67" s="147"/>
      <c r="K67" s="2233" t="s">
        <v>25</v>
      </c>
      <c r="L67" s="147"/>
      <c r="M67" s="147"/>
      <c r="N67" s="147"/>
      <c r="O67" s="2628" t="s">
        <v>6395</v>
      </c>
      <c r="Q67" s="34"/>
    </row>
    <row r="68" spans="1:17" ht="18.75" customHeight="1" x14ac:dyDescent="0.3">
      <c r="A68" s="104">
        <v>62</v>
      </c>
      <c r="B68" s="105" t="s">
        <v>158</v>
      </c>
      <c r="C68" s="129">
        <v>400</v>
      </c>
      <c r="D68" s="113">
        <v>59</v>
      </c>
      <c r="E68" s="114">
        <v>6079</v>
      </c>
      <c r="F68" s="115">
        <v>21662</v>
      </c>
      <c r="G68" s="116">
        <v>650</v>
      </c>
      <c r="H68" s="1731" t="s">
        <v>41</v>
      </c>
      <c r="I68" s="34"/>
      <c r="J68" s="147"/>
      <c r="K68" s="2233" t="s">
        <v>25</v>
      </c>
      <c r="L68" s="147"/>
      <c r="M68" s="147"/>
      <c r="N68" s="147"/>
      <c r="O68" s="2628" t="s">
        <v>6395</v>
      </c>
      <c r="Q68" s="34"/>
    </row>
    <row r="69" spans="1:17" ht="18.75" customHeight="1" x14ac:dyDescent="0.3">
      <c r="A69" s="104">
        <v>63</v>
      </c>
      <c r="B69" s="105" t="s">
        <v>158</v>
      </c>
      <c r="C69" s="129">
        <v>400</v>
      </c>
      <c r="D69" s="113">
        <v>59</v>
      </c>
      <c r="E69" s="114">
        <v>6080</v>
      </c>
      <c r="F69" s="115">
        <v>21662</v>
      </c>
      <c r="G69" s="116">
        <v>650</v>
      </c>
      <c r="H69" s="1731" t="s">
        <v>41</v>
      </c>
      <c r="I69" s="34"/>
      <c r="J69" s="147"/>
      <c r="K69" s="2233" t="s">
        <v>25</v>
      </c>
      <c r="L69" s="147"/>
      <c r="M69" s="147"/>
      <c r="N69" s="147"/>
      <c r="O69" s="2628" t="s">
        <v>6395</v>
      </c>
      <c r="Q69" s="34"/>
    </row>
    <row r="70" spans="1:17" ht="18.75" customHeight="1" x14ac:dyDescent="0.3">
      <c r="A70" s="104">
        <v>64</v>
      </c>
      <c r="B70" s="105" t="s">
        <v>158</v>
      </c>
      <c r="C70" s="129">
        <v>400</v>
      </c>
      <c r="D70" s="136">
        <v>59</v>
      </c>
      <c r="E70" s="114">
        <v>6081</v>
      </c>
      <c r="F70" s="115">
        <v>21662</v>
      </c>
      <c r="G70" s="116">
        <v>650</v>
      </c>
      <c r="H70" s="1731" t="s">
        <v>41</v>
      </c>
      <c r="I70" s="34"/>
      <c r="J70" s="147"/>
      <c r="K70" s="2233" t="s">
        <v>25</v>
      </c>
      <c r="L70" s="147"/>
      <c r="M70" s="147"/>
      <c r="N70" s="147"/>
      <c r="O70" s="2628" t="s">
        <v>6395</v>
      </c>
      <c r="Q70" s="34"/>
    </row>
    <row r="71" spans="1:17" ht="18.75" customHeight="1" x14ac:dyDescent="0.3">
      <c r="A71" s="104">
        <v>65</v>
      </c>
      <c r="B71" s="105" t="s">
        <v>158</v>
      </c>
      <c r="C71" s="129">
        <v>400</v>
      </c>
      <c r="D71" s="128">
        <v>59</v>
      </c>
      <c r="E71" s="114">
        <v>6082</v>
      </c>
      <c r="F71" s="115">
        <v>21662</v>
      </c>
      <c r="G71" s="116">
        <v>650</v>
      </c>
      <c r="H71" s="1731" t="s">
        <v>41</v>
      </c>
      <c r="I71" s="34"/>
      <c r="J71" s="147"/>
      <c r="K71" s="2233" t="s">
        <v>25</v>
      </c>
      <c r="L71" s="147"/>
      <c r="M71" s="147"/>
      <c r="N71" s="147"/>
      <c r="O71" s="2628" t="s">
        <v>6395</v>
      </c>
      <c r="Q71" s="34"/>
    </row>
    <row r="72" spans="1:17" ht="18.75" customHeight="1" x14ac:dyDescent="0.3">
      <c r="A72" s="104">
        <v>66</v>
      </c>
      <c r="B72" s="105" t="s">
        <v>158</v>
      </c>
      <c r="C72" s="129">
        <v>400</v>
      </c>
      <c r="D72" s="113">
        <v>59</v>
      </c>
      <c r="E72" s="114">
        <v>6083</v>
      </c>
      <c r="F72" s="115">
        <v>21662</v>
      </c>
      <c r="G72" s="116">
        <v>650</v>
      </c>
      <c r="H72" s="1731" t="s">
        <v>41</v>
      </c>
      <c r="I72" s="34"/>
      <c r="J72" s="147"/>
      <c r="K72" s="2233" t="s">
        <v>25</v>
      </c>
      <c r="L72" s="147"/>
      <c r="M72" s="147"/>
      <c r="N72" s="147"/>
      <c r="O72" s="2628" t="s">
        <v>6395</v>
      </c>
      <c r="Q72" s="34"/>
    </row>
    <row r="73" spans="1:17" ht="18.75" customHeight="1" x14ac:dyDescent="0.3">
      <c r="A73" s="104">
        <v>67</v>
      </c>
      <c r="B73" s="105" t="s">
        <v>158</v>
      </c>
      <c r="C73" s="129">
        <v>400</v>
      </c>
      <c r="D73" s="113">
        <v>59</v>
      </c>
      <c r="E73" s="114">
        <v>6084</v>
      </c>
      <c r="F73" s="115">
        <v>21662</v>
      </c>
      <c r="G73" s="116">
        <v>650</v>
      </c>
      <c r="H73" s="1731" t="s">
        <v>41</v>
      </c>
      <c r="I73" s="34"/>
      <c r="J73" s="147"/>
      <c r="K73" s="2233" t="s">
        <v>25</v>
      </c>
      <c r="L73" s="147"/>
      <c r="M73" s="147"/>
      <c r="N73" s="147"/>
      <c r="O73" s="2628" t="s">
        <v>6395</v>
      </c>
      <c r="Q73" s="34"/>
    </row>
    <row r="74" spans="1:17" ht="18.75" customHeight="1" x14ac:dyDescent="0.3">
      <c r="A74" s="104">
        <v>68</v>
      </c>
      <c r="B74" s="105" t="s">
        <v>158</v>
      </c>
      <c r="C74" s="129">
        <v>400</v>
      </c>
      <c r="D74" s="113">
        <v>59</v>
      </c>
      <c r="E74" s="114">
        <v>6085</v>
      </c>
      <c r="F74" s="115">
        <v>21662</v>
      </c>
      <c r="G74" s="116">
        <v>650</v>
      </c>
      <c r="H74" s="1731" t="s">
        <v>41</v>
      </c>
      <c r="I74" s="34"/>
      <c r="J74" s="147"/>
      <c r="K74" s="2233" t="s">
        <v>25</v>
      </c>
      <c r="L74" s="147"/>
      <c r="M74" s="147"/>
      <c r="N74" s="147"/>
      <c r="O74" s="2628" t="s">
        <v>6395</v>
      </c>
      <c r="Q74" s="34"/>
    </row>
    <row r="75" spans="1:17" ht="18.75" customHeight="1" x14ac:dyDescent="0.3">
      <c r="A75" s="104">
        <v>69</v>
      </c>
      <c r="B75" s="105" t="s">
        <v>158</v>
      </c>
      <c r="C75" s="129">
        <v>400</v>
      </c>
      <c r="D75" s="113">
        <v>59</v>
      </c>
      <c r="E75" s="114">
        <v>6086</v>
      </c>
      <c r="F75" s="115">
        <v>21662</v>
      </c>
      <c r="G75" s="116">
        <v>650</v>
      </c>
      <c r="H75" s="1731" t="s">
        <v>41</v>
      </c>
      <c r="I75" s="34"/>
      <c r="J75" s="147"/>
      <c r="K75" s="2233" t="s">
        <v>25</v>
      </c>
      <c r="L75" s="147"/>
      <c r="M75" s="147"/>
      <c r="N75" s="147"/>
      <c r="O75" s="2628" t="s">
        <v>6395</v>
      </c>
      <c r="Q75" s="34"/>
    </row>
    <row r="76" spans="1:17" ht="18.75" customHeight="1" x14ac:dyDescent="0.3">
      <c r="A76" s="104">
        <v>70</v>
      </c>
      <c r="B76" s="105" t="s">
        <v>158</v>
      </c>
      <c r="C76" s="129">
        <v>400</v>
      </c>
      <c r="D76" s="113">
        <v>59</v>
      </c>
      <c r="E76" s="114">
        <v>6087</v>
      </c>
      <c r="F76" s="115">
        <v>21662</v>
      </c>
      <c r="G76" s="116">
        <v>650</v>
      </c>
      <c r="H76" s="1731" t="s">
        <v>41</v>
      </c>
      <c r="I76" s="34"/>
      <c r="J76" s="147"/>
      <c r="K76" s="2233" t="s">
        <v>25</v>
      </c>
      <c r="L76" s="147"/>
      <c r="M76" s="147"/>
      <c r="N76" s="147"/>
      <c r="O76" s="2628" t="s">
        <v>6395</v>
      </c>
      <c r="Q76" s="34"/>
    </row>
    <row r="77" spans="1:17" ht="18.75" customHeight="1" x14ac:dyDescent="0.3">
      <c r="A77" s="104">
        <v>71</v>
      </c>
      <c r="B77" s="105" t="s">
        <v>158</v>
      </c>
      <c r="C77" s="129">
        <v>400</v>
      </c>
      <c r="D77" s="113">
        <v>59</v>
      </c>
      <c r="E77" s="114">
        <v>6088</v>
      </c>
      <c r="F77" s="115">
        <v>21662</v>
      </c>
      <c r="G77" s="116">
        <v>650</v>
      </c>
      <c r="H77" s="1731" t="s">
        <v>41</v>
      </c>
      <c r="I77" s="34"/>
      <c r="J77" s="147"/>
      <c r="K77" s="2233" t="s">
        <v>25</v>
      </c>
      <c r="L77" s="147"/>
      <c r="M77" s="147"/>
      <c r="N77" s="147"/>
      <c r="O77" s="2628" t="s">
        <v>6395</v>
      </c>
      <c r="Q77" s="34"/>
    </row>
    <row r="78" spans="1:17" ht="18.75" customHeight="1" x14ac:dyDescent="0.3">
      <c r="A78" s="104">
        <v>72</v>
      </c>
      <c r="B78" s="105" t="s">
        <v>158</v>
      </c>
      <c r="C78" s="129">
        <v>400</v>
      </c>
      <c r="D78" s="113">
        <v>59</v>
      </c>
      <c r="E78" s="114">
        <v>6089</v>
      </c>
      <c r="F78" s="115">
        <v>21662</v>
      </c>
      <c r="G78" s="116">
        <v>650</v>
      </c>
      <c r="H78" s="1731" t="s">
        <v>41</v>
      </c>
      <c r="I78" s="34"/>
      <c r="J78" s="147"/>
      <c r="K78" s="2233" t="s">
        <v>25</v>
      </c>
      <c r="L78" s="147"/>
      <c r="M78" s="147"/>
      <c r="N78" s="147"/>
      <c r="O78" s="2628" t="s">
        <v>6395</v>
      </c>
      <c r="Q78" s="34"/>
    </row>
    <row r="79" spans="1:17" ht="18.75" customHeight="1" x14ac:dyDescent="0.3">
      <c r="A79" s="104">
        <v>73</v>
      </c>
      <c r="B79" s="105" t="s">
        <v>158</v>
      </c>
      <c r="C79" s="129">
        <v>400</v>
      </c>
      <c r="D79" s="113">
        <v>59</v>
      </c>
      <c r="E79" s="114">
        <v>6090</v>
      </c>
      <c r="F79" s="115">
        <v>21662</v>
      </c>
      <c r="G79" s="116">
        <v>650</v>
      </c>
      <c r="H79" s="1731" t="s">
        <v>41</v>
      </c>
      <c r="I79" s="34"/>
      <c r="J79" s="147"/>
      <c r="K79" s="2233" t="s">
        <v>25</v>
      </c>
      <c r="L79" s="147"/>
      <c r="M79" s="147"/>
      <c r="N79" s="147"/>
      <c r="O79" s="2628" t="s">
        <v>6395</v>
      </c>
      <c r="Q79" s="34"/>
    </row>
    <row r="80" spans="1:17" ht="18.75" customHeight="1" x14ac:dyDescent="0.3">
      <c r="A80" s="104">
        <v>74</v>
      </c>
      <c r="B80" s="105" t="s">
        <v>158</v>
      </c>
      <c r="C80" s="129">
        <v>400</v>
      </c>
      <c r="D80" s="136">
        <v>59</v>
      </c>
      <c r="E80" s="114">
        <v>6091</v>
      </c>
      <c r="F80" s="115">
        <v>21662</v>
      </c>
      <c r="G80" s="116">
        <v>650</v>
      </c>
      <c r="H80" s="1731" t="s">
        <v>41</v>
      </c>
      <c r="I80" s="34"/>
      <c r="J80" s="147"/>
      <c r="K80" s="2233" t="s">
        <v>25</v>
      </c>
      <c r="L80" s="147"/>
      <c r="M80" s="147"/>
      <c r="N80" s="147"/>
      <c r="O80" s="2628" t="s">
        <v>6395</v>
      </c>
      <c r="Q80" s="34"/>
    </row>
    <row r="81" spans="1:17" ht="18.75" customHeight="1" x14ac:dyDescent="0.3">
      <c r="A81" s="104">
        <v>75</v>
      </c>
      <c r="B81" s="105" t="s">
        <v>158</v>
      </c>
      <c r="C81" s="129">
        <v>400</v>
      </c>
      <c r="D81" s="128">
        <v>59</v>
      </c>
      <c r="E81" s="114">
        <v>6092</v>
      </c>
      <c r="F81" s="115">
        <v>21662</v>
      </c>
      <c r="G81" s="116">
        <v>650</v>
      </c>
      <c r="H81" s="1731" t="s">
        <v>41</v>
      </c>
      <c r="I81" s="34"/>
      <c r="J81" s="147"/>
      <c r="K81" s="2233" t="s">
        <v>25</v>
      </c>
      <c r="L81" s="147"/>
      <c r="M81" s="147"/>
      <c r="N81" s="147"/>
      <c r="O81" s="2628" t="s">
        <v>6395</v>
      </c>
      <c r="Q81" s="34"/>
    </row>
    <row r="82" spans="1:17" ht="18.75" customHeight="1" x14ac:dyDescent="0.3">
      <c r="A82" s="104">
        <v>76</v>
      </c>
      <c r="B82" s="105" t="s">
        <v>158</v>
      </c>
      <c r="C82" s="129">
        <v>400</v>
      </c>
      <c r="D82" s="113">
        <v>59</v>
      </c>
      <c r="E82" s="114">
        <v>6093</v>
      </c>
      <c r="F82" s="115">
        <v>21662</v>
      </c>
      <c r="G82" s="116">
        <v>650</v>
      </c>
      <c r="H82" s="1731" t="s">
        <v>41</v>
      </c>
      <c r="I82" s="34"/>
      <c r="J82" s="147"/>
      <c r="K82" s="2233" t="s">
        <v>25</v>
      </c>
      <c r="L82" s="147"/>
      <c r="M82" s="147"/>
      <c r="N82" s="147"/>
      <c r="O82" s="2628" t="s">
        <v>6395</v>
      </c>
      <c r="Q82" s="34"/>
    </row>
    <row r="83" spans="1:17" ht="18.75" customHeight="1" x14ac:dyDescent="0.3">
      <c r="A83" s="104">
        <v>77</v>
      </c>
      <c r="B83" s="105" t="s">
        <v>158</v>
      </c>
      <c r="C83" s="129">
        <v>400</v>
      </c>
      <c r="D83" s="113">
        <v>59</v>
      </c>
      <c r="E83" s="114">
        <v>6094</v>
      </c>
      <c r="F83" s="115">
        <v>21662</v>
      </c>
      <c r="G83" s="116">
        <v>650</v>
      </c>
      <c r="H83" s="1731" t="s">
        <v>41</v>
      </c>
      <c r="I83" s="34"/>
      <c r="J83" s="147"/>
      <c r="K83" s="2233" t="s">
        <v>25</v>
      </c>
      <c r="L83" s="147"/>
      <c r="M83" s="147"/>
      <c r="N83" s="147"/>
      <c r="O83" s="2628" t="s">
        <v>6395</v>
      </c>
      <c r="Q83" s="34"/>
    </row>
    <row r="84" spans="1:17" ht="18.75" customHeight="1" x14ac:dyDescent="0.3">
      <c r="A84" s="104">
        <v>78</v>
      </c>
      <c r="B84" s="105" t="s">
        <v>158</v>
      </c>
      <c r="C84" s="129">
        <v>400</v>
      </c>
      <c r="D84" s="113">
        <v>59</v>
      </c>
      <c r="E84" s="114">
        <v>6095</v>
      </c>
      <c r="F84" s="115">
        <v>21662</v>
      </c>
      <c r="G84" s="116">
        <v>650</v>
      </c>
      <c r="H84" s="1731" t="s">
        <v>41</v>
      </c>
      <c r="I84" s="34"/>
      <c r="J84" s="147"/>
      <c r="K84" s="2233" t="s">
        <v>25</v>
      </c>
      <c r="L84" s="147"/>
      <c r="M84" s="147"/>
      <c r="N84" s="147"/>
      <c r="O84" s="2628" t="s">
        <v>6395</v>
      </c>
      <c r="Q84" s="34"/>
    </row>
    <row r="85" spans="1:17" ht="18.75" customHeight="1" x14ac:dyDescent="0.3">
      <c r="A85" s="104">
        <v>79</v>
      </c>
      <c r="B85" s="105" t="s">
        <v>158</v>
      </c>
      <c r="C85" s="129">
        <v>400</v>
      </c>
      <c r="D85" s="113">
        <v>59</v>
      </c>
      <c r="E85" s="114">
        <v>6096</v>
      </c>
      <c r="F85" s="115">
        <v>21662</v>
      </c>
      <c r="G85" s="116">
        <v>650</v>
      </c>
      <c r="H85" s="1731" t="s">
        <v>41</v>
      </c>
      <c r="I85" s="34"/>
      <c r="J85" s="147"/>
      <c r="K85" s="2233" t="s">
        <v>25</v>
      </c>
      <c r="L85" s="147"/>
      <c r="M85" s="147"/>
      <c r="N85" s="147"/>
      <c r="O85" s="2628" t="s">
        <v>6395</v>
      </c>
      <c r="Q85" s="34"/>
    </row>
    <row r="86" spans="1:17" ht="18.75" customHeight="1" x14ac:dyDescent="0.3">
      <c r="A86" s="104">
        <v>80</v>
      </c>
      <c r="B86" s="105" t="s">
        <v>158</v>
      </c>
      <c r="C86" s="129">
        <v>400</v>
      </c>
      <c r="D86" s="113">
        <v>59</v>
      </c>
      <c r="E86" s="114">
        <v>6097</v>
      </c>
      <c r="F86" s="115">
        <v>21662</v>
      </c>
      <c r="G86" s="116">
        <v>650</v>
      </c>
      <c r="H86" s="1731" t="s">
        <v>41</v>
      </c>
      <c r="I86" s="34"/>
      <c r="J86" s="147"/>
      <c r="K86" s="2233" t="s">
        <v>25</v>
      </c>
      <c r="L86" s="147"/>
      <c r="M86" s="147"/>
      <c r="N86" s="147"/>
      <c r="O86" s="2628" t="s">
        <v>6395</v>
      </c>
      <c r="Q86" s="34"/>
    </row>
    <row r="87" spans="1:17" ht="18.75" customHeight="1" x14ac:dyDescent="0.3">
      <c r="A87" s="104">
        <v>81</v>
      </c>
      <c r="B87" s="105" t="s">
        <v>158</v>
      </c>
      <c r="C87" s="129">
        <v>400</v>
      </c>
      <c r="D87" s="113">
        <v>59</v>
      </c>
      <c r="E87" s="114">
        <v>6098</v>
      </c>
      <c r="F87" s="115">
        <v>21662</v>
      </c>
      <c r="G87" s="116">
        <v>650</v>
      </c>
      <c r="H87" s="1731" t="s">
        <v>41</v>
      </c>
      <c r="I87" s="34"/>
      <c r="J87" s="147"/>
      <c r="K87" s="2233" t="s">
        <v>25</v>
      </c>
      <c r="L87" s="147"/>
      <c r="M87" s="147"/>
      <c r="N87" s="147"/>
      <c r="O87" s="2628" t="s">
        <v>6395</v>
      </c>
      <c r="Q87" s="34"/>
    </row>
    <row r="88" spans="1:17" ht="18.75" customHeight="1" x14ac:dyDescent="0.3">
      <c r="A88" s="104">
        <v>82</v>
      </c>
      <c r="B88" s="105" t="s">
        <v>158</v>
      </c>
      <c r="C88" s="129">
        <v>400</v>
      </c>
      <c r="D88" s="136">
        <v>59</v>
      </c>
      <c r="E88" s="114">
        <v>6099</v>
      </c>
      <c r="F88" s="115">
        <v>21662</v>
      </c>
      <c r="G88" s="116">
        <v>650</v>
      </c>
      <c r="H88" s="1731" t="s">
        <v>41</v>
      </c>
      <c r="I88" s="34"/>
      <c r="J88" s="147"/>
      <c r="K88" s="2233" t="s">
        <v>25</v>
      </c>
      <c r="L88" s="147"/>
      <c r="M88" s="147"/>
      <c r="N88" s="147"/>
      <c r="O88" s="2628" t="s">
        <v>6395</v>
      </c>
      <c r="Q88" s="34"/>
    </row>
    <row r="89" spans="1:17" ht="18.75" customHeight="1" x14ac:dyDescent="0.3">
      <c r="A89" s="104">
        <v>83</v>
      </c>
      <c r="B89" s="105" t="s">
        <v>158</v>
      </c>
      <c r="C89" s="129">
        <v>400</v>
      </c>
      <c r="D89" s="128">
        <v>59</v>
      </c>
      <c r="E89" s="114">
        <v>6100</v>
      </c>
      <c r="F89" s="115">
        <v>21662</v>
      </c>
      <c r="G89" s="116">
        <v>650</v>
      </c>
      <c r="H89" s="1731" t="s">
        <v>41</v>
      </c>
      <c r="I89" s="34"/>
      <c r="J89" s="147"/>
      <c r="K89" s="2233" t="s">
        <v>25</v>
      </c>
      <c r="L89" s="147"/>
      <c r="M89" s="147"/>
      <c r="N89" s="147"/>
      <c r="O89" s="2628" t="s">
        <v>6395</v>
      </c>
      <c r="Q89" s="34"/>
    </row>
    <row r="90" spans="1:17" ht="18.75" customHeight="1" x14ac:dyDescent="0.3">
      <c r="A90" s="104">
        <v>84</v>
      </c>
      <c r="B90" s="105" t="s">
        <v>158</v>
      </c>
      <c r="C90" s="129">
        <v>400</v>
      </c>
      <c r="D90" s="113">
        <v>59</v>
      </c>
      <c r="E90" s="114">
        <v>6101</v>
      </c>
      <c r="F90" s="115">
        <v>21662</v>
      </c>
      <c r="G90" s="116">
        <v>650</v>
      </c>
      <c r="H90" s="1731" t="s">
        <v>41</v>
      </c>
      <c r="I90" s="34"/>
      <c r="J90" s="147"/>
      <c r="K90" s="2233" t="s">
        <v>25</v>
      </c>
      <c r="L90" s="147"/>
      <c r="M90" s="147"/>
      <c r="N90" s="147"/>
      <c r="O90" s="2628" t="s">
        <v>6395</v>
      </c>
      <c r="Q90" s="34"/>
    </row>
    <row r="91" spans="1:17" ht="18.75" customHeight="1" x14ac:dyDescent="0.3">
      <c r="A91" s="104">
        <v>85</v>
      </c>
      <c r="B91" s="105" t="s">
        <v>158</v>
      </c>
      <c r="C91" s="129">
        <v>400</v>
      </c>
      <c r="D91" s="113">
        <v>59</v>
      </c>
      <c r="E91" s="114">
        <v>6102</v>
      </c>
      <c r="F91" s="115">
        <v>21662</v>
      </c>
      <c r="G91" s="116">
        <v>650</v>
      </c>
      <c r="H91" s="1731" t="s">
        <v>41</v>
      </c>
      <c r="I91" s="34"/>
      <c r="J91" s="147"/>
      <c r="K91" s="2233" t="s">
        <v>25</v>
      </c>
      <c r="L91" s="147"/>
      <c r="M91" s="147"/>
      <c r="N91" s="147"/>
      <c r="O91" s="2628" t="s">
        <v>6395</v>
      </c>
      <c r="Q91" s="34"/>
    </row>
    <row r="92" spans="1:17" ht="18.75" customHeight="1" x14ac:dyDescent="0.3">
      <c r="A92" s="104">
        <v>86</v>
      </c>
      <c r="B92" s="105" t="s">
        <v>158</v>
      </c>
      <c r="C92" s="129">
        <v>400</v>
      </c>
      <c r="D92" s="113">
        <v>59</v>
      </c>
      <c r="E92" s="114">
        <v>6103</v>
      </c>
      <c r="F92" s="115">
        <v>21662</v>
      </c>
      <c r="G92" s="116">
        <v>650</v>
      </c>
      <c r="H92" s="1731" t="s">
        <v>41</v>
      </c>
      <c r="I92" s="34"/>
      <c r="J92" s="147"/>
      <c r="K92" s="2233" t="s">
        <v>25</v>
      </c>
      <c r="L92" s="147"/>
      <c r="M92" s="147"/>
      <c r="N92" s="147"/>
      <c r="O92" s="2628" t="s">
        <v>6395</v>
      </c>
      <c r="Q92" s="34"/>
    </row>
    <row r="93" spans="1:17" ht="18.75" customHeight="1" x14ac:dyDescent="0.3">
      <c r="A93" s="104">
        <v>87</v>
      </c>
      <c r="B93" s="105" t="s">
        <v>158</v>
      </c>
      <c r="C93" s="129">
        <v>400</v>
      </c>
      <c r="D93" s="113">
        <v>59</v>
      </c>
      <c r="E93" s="114">
        <v>6104</v>
      </c>
      <c r="F93" s="115">
        <v>21662</v>
      </c>
      <c r="G93" s="116">
        <v>650</v>
      </c>
      <c r="H93" s="1731" t="s">
        <v>41</v>
      </c>
      <c r="I93" s="34"/>
      <c r="J93" s="147"/>
      <c r="K93" s="2233" t="s">
        <v>25</v>
      </c>
      <c r="L93" s="147"/>
      <c r="M93" s="147"/>
      <c r="N93" s="147"/>
      <c r="O93" s="2628" t="s">
        <v>6395</v>
      </c>
      <c r="Q93" s="34"/>
    </row>
    <row r="94" spans="1:17" ht="18.75" customHeight="1" x14ac:dyDescent="0.3">
      <c r="A94" s="104">
        <v>88</v>
      </c>
      <c r="B94" s="105" t="s">
        <v>158</v>
      </c>
      <c r="C94" s="129">
        <v>400</v>
      </c>
      <c r="D94" s="113">
        <v>59</v>
      </c>
      <c r="E94" s="114">
        <v>6105</v>
      </c>
      <c r="F94" s="115">
        <v>21662</v>
      </c>
      <c r="G94" s="116">
        <v>650</v>
      </c>
      <c r="H94" s="1731" t="s">
        <v>41</v>
      </c>
      <c r="I94" s="34"/>
      <c r="J94" s="147"/>
      <c r="K94" s="2233" t="s">
        <v>25</v>
      </c>
      <c r="L94" s="147"/>
      <c r="M94" s="147"/>
      <c r="N94" s="147"/>
      <c r="O94" s="2628" t="s">
        <v>6395</v>
      </c>
      <c r="Q94" s="34"/>
    </row>
    <row r="95" spans="1:17" ht="18.75" customHeight="1" x14ac:dyDescent="0.3">
      <c r="A95" s="104">
        <v>89</v>
      </c>
      <c r="B95" s="105" t="s">
        <v>158</v>
      </c>
      <c r="C95" s="129">
        <v>400</v>
      </c>
      <c r="D95" s="125">
        <v>59</v>
      </c>
      <c r="E95" s="114">
        <v>6106</v>
      </c>
      <c r="F95" s="115">
        <v>21662</v>
      </c>
      <c r="G95" s="116">
        <v>650</v>
      </c>
      <c r="H95" s="1731" t="s">
        <v>41</v>
      </c>
      <c r="I95" s="34"/>
      <c r="J95" s="147"/>
      <c r="K95" s="2233" t="s">
        <v>25</v>
      </c>
      <c r="L95" s="147"/>
      <c r="M95" s="147"/>
      <c r="N95" s="147"/>
      <c r="O95" s="2628" t="s">
        <v>6395</v>
      </c>
      <c r="Q95" s="34"/>
    </row>
    <row r="96" spans="1:17" ht="18.75" customHeight="1" x14ac:dyDescent="0.3">
      <c r="A96" s="104">
        <v>90</v>
      </c>
      <c r="B96" s="105" t="s">
        <v>158</v>
      </c>
      <c r="C96" s="129">
        <v>400</v>
      </c>
      <c r="D96" s="128">
        <v>59</v>
      </c>
      <c r="E96" s="114">
        <v>6107</v>
      </c>
      <c r="F96" s="115">
        <v>21662</v>
      </c>
      <c r="G96" s="116">
        <v>650</v>
      </c>
      <c r="H96" s="1731" t="s">
        <v>41</v>
      </c>
      <c r="I96" s="34"/>
      <c r="J96" s="147"/>
      <c r="K96" s="2233" t="s">
        <v>25</v>
      </c>
      <c r="L96" s="147"/>
      <c r="M96" s="147"/>
      <c r="N96" s="147"/>
      <c r="O96" s="2628" t="s">
        <v>6395</v>
      </c>
      <c r="Q96" s="34"/>
    </row>
    <row r="97" spans="1:17" ht="18.75" customHeight="1" x14ac:dyDescent="0.3">
      <c r="A97" s="104">
        <v>91</v>
      </c>
      <c r="B97" s="105" t="s">
        <v>158</v>
      </c>
      <c r="C97" s="129">
        <v>400</v>
      </c>
      <c r="D97" s="113">
        <v>59</v>
      </c>
      <c r="E97" s="114">
        <v>6108</v>
      </c>
      <c r="F97" s="115">
        <v>21662</v>
      </c>
      <c r="G97" s="116">
        <v>650</v>
      </c>
      <c r="H97" s="1731" t="s">
        <v>41</v>
      </c>
      <c r="I97" s="34"/>
      <c r="J97" s="147"/>
      <c r="K97" s="2233" t="s">
        <v>25</v>
      </c>
      <c r="L97" s="147"/>
      <c r="M97" s="147"/>
      <c r="N97" s="147"/>
      <c r="O97" s="2628" t="s">
        <v>6395</v>
      </c>
      <c r="Q97" s="34"/>
    </row>
    <row r="98" spans="1:17" ht="18.75" customHeight="1" x14ac:dyDescent="0.3">
      <c r="A98" s="104">
        <v>92</v>
      </c>
      <c r="B98" s="105" t="s">
        <v>158</v>
      </c>
      <c r="C98" s="129">
        <v>400</v>
      </c>
      <c r="D98" s="113">
        <v>59</v>
      </c>
      <c r="E98" s="114">
        <v>6109</v>
      </c>
      <c r="F98" s="115">
        <v>21662</v>
      </c>
      <c r="G98" s="116">
        <v>650</v>
      </c>
      <c r="H98" s="1731" t="s">
        <v>41</v>
      </c>
      <c r="I98" s="34"/>
      <c r="J98" s="147"/>
      <c r="K98" s="2233" t="s">
        <v>25</v>
      </c>
      <c r="L98" s="147"/>
      <c r="M98" s="147"/>
      <c r="N98" s="147"/>
      <c r="O98" s="2628" t="s">
        <v>6395</v>
      </c>
      <c r="Q98" s="34"/>
    </row>
    <row r="99" spans="1:17" ht="18.75" customHeight="1" x14ac:dyDescent="0.3">
      <c r="A99" s="104">
        <v>93</v>
      </c>
      <c r="B99" s="105" t="s">
        <v>158</v>
      </c>
      <c r="C99" s="129">
        <v>400</v>
      </c>
      <c r="D99" s="113">
        <v>59</v>
      </c>
      <c r="E99" s="114">
        <v>6110</v>
      </c>
      <c r="F99" s="115">
        <v>21662</v>
      </c>
      <c r="G99" s="116">
        <v>650</v>
      </c>
      <c r="H99" s="1731" t="s">
        <v>41</v>
      </c>
      <c r="I99" s="34"/>
      <c r="J99" s="147"/>
      <c r="K99" s="2233" t="s">
        <v>25</v>
      </c>
      <c r="L99" s="147"/>
      <c r="M99" s="147"/>
      <c r="N99" s="147"/>
      <c r="O99" s="2628" t="s">
        <v>6395</v>
      </c>
      <c r="Q99" s="34"/>
    </row>
    <row r="100" spans="1:17" ht="18.75" customHeight="1" x14ac:dyDescent="0.3">
      <c r="A100" s="104">
        <v>94</v>
      </c>
      <c r="B100" s="105" t="s">
        <v>158</v>
      </c>
      <c r="C100" s="129">
        <v>400</v>
      </c>
      <c r="D100" s="113">
        <v>59</v>
      </c>
      <c r="E100" s="114">
        <v>6111</v>
      </c>
      <c r="F100" s="115">
        <v>21662</v>
      </c>
      <c r="G100" s="116">
        <v>650</v>
      </c>
      <c r="H100" s="1731" t="s">
        <v>41</v>
      </c>
      <c r="I100" s="34"/>
      <c r="J100" s="147"/>
      <c r="K100" s="2233" t="s">
        <v>25</v>
      </c>
      <c r="L100" s="147"/>
      <c r="M100" s="147"/>
      <c r="N100" s="147"/>
      <c r="O100" s="2628" t="s">
        <v>6395</v>
      </c>
      <c r="Q100" s="34"/>
    </row>
    <row r="101" spans="1:17" ht="18.75" customHeight="1" x14ac:dyDescent="0.3">
      <c r="A101" s="104">
        <v>95</v>
      </c>
      <c r="B101" s="105" t="s">
        <v>158</v>
      </c>
      <c r="C101" s="129">
        <v>400</v>
      </c>
      <c r="D101" s="125">
        <v>59</v>
      </c>
      <c r="E101" s="114">
        <v>6112</v>
      </c>
      <c r="F101" s="115">
        <v>21662</v>
      </c>
      <c r="G101" s="116">
        <v>650</v>
      </c>
      <c r="H101" s="1731" t="s">
        <v>41</v>
      </c>
      <c r="I101" s="34"/>
      <c r="J101" s="147"/>
      <c r="K101" s="2233" t="s">
        <v>25</v>
      </c>
      <c r="L101" s="147"/>
      <c r="M101" s="147"/>
      <c r="N101" s="147"/>
      <c r="O101" s="2628" t="s">
        <v>6395</v>
      </c>
      <c r="Q101" s="34"/>
    </row>
    <row r="102" spans="1:17" ht="18.75" customHeight="1" x14ac:dyDescent="0.3">
      <c r="A102" s="104">
        <v>96</v>
      </c>
      <c r="B102" s="105" t="s">
        <v>158</v>
      </c>
      <c r="C102" s="129">
        <v>400</v>
      </c>
      <c r="D102" s="128">
        <v>59</v>
      </c>
      <c r="E102" s="114">
        <v>6113</v>
      </c>
      <c r="F102" s="115">
        <v>21662</v>
      </c>
      <c r="G102" s="116">
        <v>650</v>
      </c>
      <c r="H102" s="1731" t="s">
        <v>41</v>
      </c>
      <c r="I102" s="34"/>
      <c r="J102" s="147"/>
      <c r="K102" s="2233" t="s">
        <v>25</v>
      </c>
      <c r="L102" s="147"/>
      <c r="M102" s="147"/>
      <c r="N102" s="147"/>
      <c r="O102" s="2628" t="s">
        <v>6395</v>
      </c>
      <c r="Q102" s="34"/>
    </row>
    <row r="103" spans="1:17" ht="18.75" customHeight="1" x14ac:dyDescent="0.3">
      <c r="A103" s="104">
        <v>97</v>
      </c>
      <c r="B103" s="105" t="s">
        <v>158</v>
      </c>
      <c r="C103" s="129">
        <v>400</v>
      </c>
      <c r="D103" s="113">
        <v>59</v>
      </c>
      <c r="E103" s="114">
        <v>6114</v>
      </c>
      <c r="F103" s="115">
        <v>21662</v>
      </c>
      <c r="G103" s="116">
        <v>650</v>
      </c>
      <c r="H103" s="1731" t="s">
        <v>41</v>
      </c>
      <c r="I103" s="34"/>
      <c r="J103" s="147"/>
      <c r="K103" s="2233" t="s">
        <v>25</v>
      </c>
      <c r="L103" s="147"/>
      <c r="M103" s="147"/>
      <c r="N103" s="147"/>
      <c r="O103" s="2628" t="s">
        <v>6395</v>
      </c>
      <c r="Q103" s="34"/>
    </row>
    <row r="104" spans="1:17" ht="18.75" customHeight="1" x14ac:dyDescent="0.3">
      <c r="A104" s="104">
        <v>98</v>
      </c>
      <c r="B104" s="105" t="s">
        <v>158</v>
      </c>
      <c r="C104" s="129">
        <v>400</v>
      </c>
      <c r="D104" s="113">
        <v>59</v>
      </c>
      <c r="E104" s="114">
        <v>6115</v>
      </c>
      <c r="F104" s="115">
        <v>21662</v>
      </c>
      <c r="G104" s="116">
        <v>650</v>
      </c>
      <c r="H104" s="1731" t="s">
        <v>41</v>
      </c>
      <c r="I104" s="34"/>
      <c r="J104" s="147"/>
      <c r="K104" s="2233" t="s">
        <v>25</v>
      </c>
      <c r="L104" s="147"/>
      <c r="M104" s="147"/>
      <c r="N104" s="147"/>
      <c r="O104" s="2628" t="s">
        <v>6395</v>
      </c>
      <c r="Q104" s="34"/>
    </row>
    <row r="105" spans="1:17" ht="18.75" customHeight="1" x14ac:dyDescent="0.3">
      <c r="A105" s="104">
        <v>99</v>
      </c>
      <c r="B105" s="105" t="s">
        <v>158</v>
      </c>
      <c r="C105" s="129">
        <v>400</v>
      </c>
      <c r="D105" s="113">
        <v>59</v>
      </c>
      <c r="E105" s="114">
        <v>6116</v>
      </c>
      <c r="F105" s="115">
        <v>21662</v>
      </c>
      <c r="G105" s="116">
        <v>650</v>
      </c>
      <c r="H105" s="1731" t="s">
        <v>41</v>
      </c>
      <c r="I105" s="34"/>
      <c r="J105" s="147"/>
      <c r="K105" s="2233" t="s">
        <v>25</v>
      </c>
      <c r="L105" s="147"/>
      <c r="M105" s="147"/>
      <c r="N105" s="147"/>
      <c r="O105" s="2628" t="s">
        <v>6395</v>
      </c>
      <c r="Q105" s="34"/>
    </row>
    <row r="106" spans="1:17" ht="18.75" customHeight="1" x14ac:dyDescent="0.3">
      <c r="A106" s="104">
        <v>100</v>
      </c>
      <c r="B106" s="105" t="s">
        <v>158</v>
      </c>
      <c r="C106" s="129">
        <v>400</v>
      </c>
      <c r="D106" s="113">
        <v>59</v>
      </c>
      <c r="E106" s="114">
        <v>6117</v>
      </c>
      <c r="F106" s="115">
        <v>21662</v>
      </c>
      <c r="G106" s="116">
        <v>650</v>
      </c>
      <c r="H106" s="1731" t="s">
        <v>41</v>
      </c>
      <c r="I106" s="34"/>
      <c r="J106" s="147"/>
      <c r="K106" s="2233" t="s">
        <v>25</v>
      </c>
      <c r="L106" s="147"/>
      <c r="M106" s="147"/>
      <c r="N106" s="147"/>
      <c r="O106" s="2628" t="s">
        <v>6395</v>
      </c>
      <c r="Q106" s="34"/>
    </row>
    <row r="107" spans="1:17" ht="18.75" customHeight="1" x14ac:dyDescent="0.3">
      <c r="A107" s="104">
        <v>101</v>
      </c>
      <c r="B107" s="105" t="s">
        <v>158</v>
      </c>
      <c r="C107" s="129">
        <v>400</v>
      </c>
      <c r="D107" s="113">
        <v>59</v>
      </c>
      <c r="E107" s="114">
        <v>6118</v>
      </c>
      <c r="F107" s="115">
        <v>21662</v>
      </c>
      <c r="G107" s="116">
        <v>650</v>
      </c>
      <c r="H107" s="1731" t="s">
        <v>41</v>
      </c>
      <c r="I107" s="34"/>
      <c r="J107" s="147"/>
      <c r="K107" s="2233" t="s">
        <v>25</v>
      </c>
      <c r="L107" s="147"/>
      <c r="M107" s="147"/>
      <c r="N107" s="147"/>
      <c r="O107" s="2628" t="s">
        <v>6395</v>
      </c>
      <c r="Q107" s="34"/>
    </row>
    <row r="108" spans="1:17" ht="18.75" customHeight="1" x14ac:dyDescent="0.3">
      <c r="A108" s="104">
        <v>102</v>
      </c>
      <c r="B108" s="105" t="s">
        <v>158</v>
      </c>
      <c r="C108" s="129">
        <v>400</v>
      </c>
      <c r="D108" s="125">
        <v>59</v>
      </c>
      <c r="E108" s="114">
        <v>6119</v>
      </c>
      <c r="F108" s="115">
        <v>21662</v>
      </c>
      <c r="G108" s="116">
        <v>650</v>
      </c>
      <c r="H108" s="1731" t="s">
        <v>41</v>
      </c>
      <c r="I108" s="34"/>
      <c r="J108" s="147"/>
      <c r="K108" s="2233" t="s">
        <v>25</v>
      </c>
      <c r="L108" s="147"/>
      <c r="M108" s="147"/>
      <c r="N108" s="147"/>
      <c r="O108" s="2628" t="s">
        <v>6395</v>
      </c>
      <c r="Q108" s="34"/>
    </row>
    <row r="109" spans="1:17" ht="18.75" customHeight="1" x14ac:dyDescent="0.3">
      <c r="A109" s="104">
        <v>103</v>
      </c>
      <c r="B109" s="105" t="s">
        <v>158</v>
      </c>
      <c r="C109" s="129">
        <v>400</v>
      </c>
      <c r="D109" s="149">
        <v>59</v>
      </c>
      <c r="E109" s="114">
        <v>6120</v>
      </c>
      <c r="F109" s="115">
        <v>21662</v>
      </c>
      <c r="G109" s="116">
        <v>650</v>
      </c>
      <c r="H109" s="1731" t="s">
        <v>41</v>
      </c>
      <c r="I109" s="34"/>
      <c r="J109" s="147"/>
      <c r="K109" s="2233" t="s">
        <v>25</v>
      </c>
      <c r="L109" s="147"/>
      <c r="M109" s="147"/>
      <c r="N109" s="147"/>
      <c r="O109" s="2628" t="s">
        <v>6395</v>
      </c>
      <c r="Q109" s="34"/>
    </row>
    <row r="110" spans="1:17" ht="18.75" customHeight="1" x14ac:dyDescent="0.3">
      <c r="A110" s="104">
        <v>104</v>
      </c>
      <c r="B110" s="105" t="s">
        <v>158</v>
      </c>
      <c r="C110" s="129">
        <v>400</v>
      </c>
      <c r="D110" s="113">
        <v>59</v>
      </c>
      <c r="E110" s="114">
        <v>6121</v>
      </c>
      <c r="F110" s="115">
        <v>21662</v>
      </c>
      <c r="G110" s="116">
        <v>650</v>
      </c>
      <c r="H110" s="1731" t="s">
        <v>41</v>
      </c>
      <c r="I110" s="34"/>
      <c r="J110" s="147"/>
      <c r="K110" s="2233" t="s">
        <v>25</v>
      </c>
      <c r="L110" s="147"/>
      <c r="M110" s="147"/>
      <c r="N110" s="147"/>
      <c r="O110" s="2628" t="s">
        <v>6395</v>
      </c>
      <c r="Q110" s="34"/>
    </row>
    <row r="111" spans="1:17" ht="18.75" customHeight="1" x14ac:dyDescent="0.3">
      <c r="A111" s="104">
        <v>105</v>
      </c>
      <c r="B111" s="105" t="s">
        <v>158</v>
      </c>
      <c r="C111" s="129">
        <v>400</v>
      </c>
      <c r="D111" s="113">
        <v>59</v>
      </c>
      <c r="E111" s="114">
        <v>6122</v>
      </c>
      <c r="F111" s="115">
        <v>21662</v>
      </c>
      <c r="G111" s="116">
        <v>650</v>
      </c>
      <c r="H111" s="1731" t="s">
        <v>41</v>
      </c>
      <c r="I111" s="34"/>
      <c r="J111" s="147"/>
      <c r="K111" s="2233" t="s">
        <v>25</v>
      </c>
      <c r="L111" s="147"/>
      <c r="M111" s="147"/>
      <c r="N111" s="147"/>
      <c r="O111" s="2628" t="s">
        <v>6395</v>
      </c>
      <c r="Q111" s="34"/>
    </row>
    <row r="112" spans="1:17" ht="18.75" customHeight="1" x14ac:dyDescent="0.3">
      <c r="A112" s="104">
        <v>106</v>
      </c>
      <c r="B112" s="105" t="s">
        <v>158</v>
      </c>
      <c r="C112" s="129">
        <v>400</v>
      </c>
      <c r="D112" s="113">
        <v>59</v>
      </c>
      <c r="E112" s="114">
        <v>6123</v>
      </c>
      <c r="F112" s="115">
        <v>21662</v>
      </c>
      <c r="G112" s="116">
        <v>650</v>
      </c>
      <c r="H112" s="1731" t="s">
        <v>41</v>
      </c>
      <c r="I112" s="34"/>
      <c r="J112" s="147"/>
      <c r="K112" s="2233" t="s">
        <v>25</v>
      </c>
      <c r="L112" s="147"/>
      <c r="M112" s="147"/>
      <c r="N112" s="147"/>
      <c r="O112" s="2628" t="s">
        <v>6395</v>
      </c>
      <c r="Q112" s="34"/>
    </row>
    <row r="113" spans="1:17" ht="18.75" customHeight="1" x14ac:dyDescent="0.3">
      <c r="A113" s="104">
        <v>107</v>
      </c>
      <c r="B113" s="105" t="s">
        <v>158</v>
      </c>
      <c r="C113" s="129">
        <v>400</v>
      </c>
      <c r="D113" s="113">
        <v>59</v>
      </c>
      <c r="E113" s="114">
        <v>6124</v>
      </c>
      <c r="F113" s="115">
        <v>21662</v>
      </c>
      <c r="G113" s="116">
        <v>650</v>
      </c>
      <c r="H113" s="1731" t="s">
        <v>41</v>
      </c>
      <c r="I113" s="34"/>
      <c r="J113" s="147"/>
      <c r="K113" s="2233" t="s">
        <v>25</v>
      </c>
      <c r="L113" s="147"/>
      <c r="M113" s="147"/>
      <c r="N113" s="147"/>
      <c r="O113" s="2628" t="s">
        <v>6395</v>
      </c>
      <c r="Q113" s="34"/>
    </row>
    <row r="114" spans="1:17" ht="18.75" customHeight="1" x14ac:dyDescent="0.3">
      <c r="A114" s="104">
        <v>108</v>
      </c>
      <c r="B114" s="105" t="s">
        <v>158</v>
      </c>
      <c r="C114" s="129">
        <v>400</v>
      </c>
      <c r="D114" s="113">
        <v>59</v>
      </c>
      <c r="E114" s="114">
        <v>6125</v>
      </c>
      <c r="F114" s="115">
        <v>21662</v>
      </c>
      <c r="G114" s="116">
        <v>650</v>
      </c>
      <c r="H114" s="1731" t="s">
        <v>41</v>
      </c>
      <c r="I114" s="34"/>
      <c r="J114" s="147"/>
      <c r="K114" s="2233" t="s">
        <v>25</v>
      </c>
      <c r="L114" s="147"/>
      <c r="M114" s="147"/>
      <c r="N114" s="147"/>
      <c r="O114" s="2628" t="s">
        <v>6395</v>
      </c>
      <c r="Q114" s="34"/>
    </row>
    <row r="115" spans="1:17" ht="18.75" customHeight="1" x14ac:dyDescent="0.3">
      <c r="A115" s="104">
        <v>109</v>
      </c>
      <c r="B115" s="105" t="s">
        <v>158</v>
      </c>
      <c r="C115" s="129">
        <v>400</v>
      </c>
      <c r="D115" s="136">
        <v>59</v>
      </c>
      <c r="E115" s="114">
        <v>6126</v>
      </c>
      <c r="F115" s="115">
        <v>21662</v>
      </c>
      <c r="G115" s="116">
        <v>650</v>
      </c>
      <c r="H115" s="1731" t="s">
        <v>41</v>
      </c>
      <c r="I115" s="34"/>
      <c r="J115" s="147"/>
      <c r="K115" s="2233" t="s">
        <v>25</v>
      </c>
      <c r="L115" s="147"/>
      <c r="M115" s="147"/>
      <c r="N115" s="147"/>
      <c r="O115" s="2628" t="s">
        <v>6395</v>
      </c>
      <c r="Q115" s="34"/>
    </row>
    <row r="116" spans="1:17" ht="18.75" customHeight="1" x14ac:dyDescent="0.3">
      <c r="A116" s="104">
        <v>110</v>
      </c>
      <c r="B116" s="105" t="s">
        <v>158</v>
      </c>
      <c r="C116" s="129">
        <v>400</v>
      </c>
      <c r="D116" s="128">
        <v>59</v>
      </c>
      <c r="E116" s="114">
        <v>6127</v>
      </c>
      <c r="F116" s="115">
        <v>21662</v>
      </c>
      <c r="G116" s="116">
        <v>650</v>
      </c>
      <c r="H116" s="1731" t="s">
        <v>41</v>
      </c>
      <c r="I116" s="34"/>
      <c r="J116" s="147"/>
      <c r="K116" s="2233" t="s">
        <v>25</v>
      </c>
      <c r="L116" s="147"/>
      <c r="M116" s="147"/>
      <c r="N116" s="147"/>
      <c r="O116" s="2628" t="s">
        <v>6395</v>
      </c>
      <c r="Q116" s="34"/>
    </row>
    <row r="117" spans="1:17" ht="18.75" customHeight="1" x14ac:dyDescent="0.3">
      <c r="A117" s="104">
        <v>111</v>
      </c>
      <c r="B117" s="105" t="s">
        <v>158</v>
      </c>
      <c r="C117" s="129">
        <v>400</v>
      </c>
      <c r="D117" s="113">
        <v>59</v>
      </c>
      <c r="E117" s="114">
        <v>6128</v>
      </c>
      <c r="F117" s="115">
        <v>21662</v>
      </c>
      <c r="G117" s="116">
        <v>650</v>
      </c>
      <c r="H117" s="1731" t="s">
        <v>41</v>
      </c>
      <c r="I117" s="34"/>
      <c r="J117" s="147"/>
      <c r="K117" s="2233" t="s">
        <v>25</v>
      </c>
      <c r="L117" s="147"/>
      <c r="M117" s="147"/>
      <c r="N117" s="147"/>
      <c r="O117" s="2628" t="s">
        <v>6395</v>
      </c>
      <c r="Q117" s="34"/>
    </row>
    <row r="118" spans="1:17" ht="18.75" customHeight="1" x14ac:dyDescent="0.3">
      <c r="A118" s="104">
        <v>112</v>
      </c>
      <c r="B118" s="105" t="s">
        <v>158</v>
      </c>
      <c r="C118" s="129">
        <v>400</v>
      </c>
      <c r="D118" s="113">
        <v>59</v>
      </c>
      <c r="E118" s="114">
        <v>6129</v>
      </c>
      <c r="F118" s="115">
        <v>21662</v>
      </c>
      <c r="G118" s="116">
        <v>650</v>
      </c>
      <c r="H118" s="1731" t="s">
        <v>41</v>
      </c>
      <c r="I118" s="34"/>
      <c r="J118" s="147"/>
      <c r="K118" s="2233" t="s">
        <v>25</v>
      </c>
      <c r="L118" s="147"/>
      <c r="M118" s="147"/>
      <c r="N118" s="147"/>
      <c r="O118" s="2628" t="s">
        <v>6395</v>
      </c>
      <c r="Q118" s="34"/>
    </row>
    <row r="119" spans="1:17" ht="18.75" customHeight="1" x14ac:dyDescent="0.3">
      <c r="A119" s="104">
        <v>113</v>
      </c>
      <c r="B119" s="105" t="s">
        <v>158</v>
      </c>
      <c r="C119" s="129">
        <v>400</v>
      </c>
      <c r="D119" s="113">
        <v>59</v>
      </c>
      <c r="E119" s="114">
        <v>6130</v>
      </c>
      <c r="F119" s="115">
        <v>21662</v>
      </c>
      <c r="G119" s="116">
        <v>650</v>
      </c>
      <c r="H119" s="1731" t="s">
        <v>41</v>
      </c>
      <c r="I119" s="34"/>
      <c r="J119" s="147"/>
      <c r="K119" s="2233" t="s">
        <v>25</v>
      </c>
      <c r="L119" s="147"/>
      <c r="M119" s="147"/>
      <c r="N119" s="147"/>
      <c r="O119" s="2628" t="s">
        <v>6395</v>
      </c>
      <c r="Q119" s="34"/>
    </row>
    <row r="120" spans="1:17" ht="18.75" customHeight="1" x14ac:dyDescent="0.3">
      <c r="A120" s="104">
        <v>114</v>
      </c>
      <c r="B120" s="105" t="s">
        <v>158</v>
      </c>
      <c r="C120" s="129">
        <v>400</v>
      </c>
      <c r="D120" s="113">
        <v>59</v>
      </c>
      <c r="E120" s="114">
        <v>6131</v>
      </c>
      <c r="F120" s="115">
        <v>21662</v>
      </c>
      <c r="G120" s="116">
        <v>650</v>
      </c>
      <c r="H120" s="1731" t="s">
        <v>41</v>
      </c>
      <c r="I120" s="34"/>
      <c r="J120" s="147"/>
      <c r="K120" s="2233" t="s">
        <v>25</v>
      </c>
      <c r="L120" s="147"/>
      <c r="M120" s="147"/>
      <c r="N120" s="147"/>
      <c r="O120" s="2628" t="s">
        <v>6395</v>
      </c>
      <c r="Q120" s="34"/>
    </row>
    <row r="121" spans="1:17" ht="18.75" customHeight="1" x14ac:dyDescent="0.3">
      <c r="A121" s="104">
        <v>115</v>
      </c>
      <c r="B121" s="105" t="s">
        <v>158</v>
      </c>
      <c r="C121" s="129">
        <v>400</v>
      </c>
      <c r="D121" s="113">
        <v>59</v>
      </c>
      <c r="E121" s="114">
        <v>6132</v>
      </c>
      <c r="F121" s="115">
        <v>21662</v>
      </c>
      <c r="G121" s="116">
        <v>650</v>
      </c>
      <c r="H121" s="1731" t="s">
        <v>41</v>
      </c>
      <c r="I121" s="34"/>
      <c r="J121" s="147"/>
      <c r="K121" s="2233" t="s">
        <v>25</v>
      </c>
      <c r="L121" s="147"/>
      <c r="M121" s="147"/>
      <c r="N121" s="147"/>
      <c r="O121" s="2628" t="s">
        <v>6395</v>
      </c>
      <c r="Q121" s="34"/>
    </row>
    <row r="122" spans="1:17" ht="18.75" customHeight="1" x14ac:dyDescent="0.3">
      <c r="A122" s="104">
        <v>116</v>
      </c>
      <c r="B122" s="105" t="s">
        <v>158</v>
      </c>
      <c r="C122" s="129">
        <v>400</v>
      </c>
      <c r="D122" s="113">
        <v>59</v>
      </c>
      <c r="E122" s="114">
        <v>6133</v>
      </c>
      <c r="F122" s="115">
        <v>21662</v>
      </c>
      <c r="G122" s="116">
        <v>650</v>
      </c>
      <c r="H122" s="1731" t="s">
        <v>41</v>
      </c>
      <c r="I122" s="34"/>
      <c r="J122" s="147"/>
      <c r="K122" s="2233" t="s">
        <v>25</v>
      </c>
      <c r="L122" s="147"/>
      <c r="M122" s="147"/>
      <c r="N122" s="147"/>
      <c r="O122" s="2628" t="s">
        <v>6395</v>
      </c>
      <c r="Q122" s="34"/>
    </row>
    <row r="123" spans="1:17" ht="18.75" customHeight="1" x14ac:dyDescent="0.3">
      <c r="A123" s="104">
        <v>117</v>
      </c>
      <c r="B123" s="105" t="s">
        <v>158</v>
      </c>
      <c r="C123" s="129">
        <v>400</v>
      </c>
      <c r="D123" s="113">
        <v>59</v>
      </c>
      <c r="E123" s="114">
        <v>6134</v>
      </c>
      <c r="F123" s="115">
        <v>21662</v>
      </c>
      <c r="G123" s="116">
        <v>650</v>
      </c>
      <c r="H123" s="1731" t="s">
        <v>41</v>
      </c>
      <c r="I123" s="34"/>
      <c r="J123" s="147"/>
      <c r="K123" s="2233" t="s">
        <v>25</v>
      </c>
      <c r="L123" s="147"/>
      <c r="M123" s="147"/>
      <c r="N123" s="147"/>
      <c r="O123" s="2628" t="s">
        <v>6395</v>
      </c>
      <c r="Q123" s="34"/>
    </row>
    <row r="124" spans="1:17" ht="18.75" customHeight="1" x14ac:dyDescent="0.3">
      <c r="A124" s="104">
        <v>118</v>
      </c>
      <c r="B124" s="105" t="s">
        <v>158</v>
      </c>
      <c r="C124" s="129">
        <v>400</v>
      </c>
      <c r="D124" s="136">
        <v>59</v>
      </c>
      <c r="E124" s="114">
        <v>6135</v>
      </c>
      <c r="F124" s="115">
        <v>21662</v>
      </c>
      <c r="G124" s="116">
        <v>650</v>
      </c>
      <c r="H124" s="1731" t="s">
        <v>41</v>
      </c>
      <c r="I124" s="34"/>
      <c r="J124" s="147"/>
      <c r="K124" s="2233" t="s">
        <v>25</v>
      </c>
      <c r="L124" s="147"/>
      <c r="M124" s="147"/>
      <c r="N124" s="147"/>
      <c r="O124" s="2628" t="s">
        <v>6395</v>
      </c>
      <c r="Q124" s="34"/>
    </row>
    <row r="125" spans="1:17" ht="18.75" customHeight="1" x14ac:dyDescent="0.3">
      <c r="A125" s="104">
        <v>119</v>
      </c>
      <c r="B125" s="105" t="s">
        <v>158</v>
      </c>
      <c r="C125" s="129">
        <v>400</v>
      </c>
      <c r="D125" s="128">
        <v>59</v>
      </c>
      <c r="E125" s="114">
        <v>6136</v>
      </c>
      <c r="F125" s="115">
        <v>21662</v>
      </c>
      <c r="G125" s="116">
        <v>650</v>
      </c>
      <c r="H125" s="1731" t="s">
        <v>41</v>
      </c>
      <c r="I125" s="34"/>
      <c r="J125" s="147"/>
      <c r="K125" s="2233" t="s">
        <v>25</v>
      </c>
      <c r="L125" s="147"/>
      <c r="M125" s="147"/>
      <c r="N125" s="147"/>
      <c r="O125" s="2628" t="s">
        <v>6395</v>
      </c>
      <c r="Q125" s="34"/>
    </row>
    <row r="126" spans="1:17" ht="18.75" customHeight="1" x14ac:dyDescent="0.3">
      <c r="A126" s="104">
        <v>120</v>
      </c>
      <c r="B126" s="105" t="s">
        <v>158</v>
      </c>
      <c r="C126" s="129">
        <v>400</v>
      </c>
      <c r="D126" s="113">
        <v>59</v>
      </c>
      <c r="E126" s="114">
        <v>6137</v>
      </c>
      <c r="F126" s="115">
        <v>21662</v>
      </c>
      <c r="G126" s="116">
        <v>650</v>
      </c>
      <c r="H126" s="1731" t="s">
        <v>41</v>
      </c>
      <c r="I126" s="34"/>
      <c r="J126" s="147"/>
      <c r="K126" s="2233" t="s">
        <v>25</v>
      </c>
      <c r="L126" s="147"/>
      <c r="M126" s="147"/>
      <c r="N126" s="147"/>
      <c r="O126" s="2628" t="s">
        <v>6395</v>
      </c>
      <c r="Q126" s="34"/>
    </row>
    <row r="127" spans="1:17" ht="18.75" customHeight="1" x14ac:dyDescent="0.3">
      <c r="A127" s="104">
        <v>121</v>
      </c>
      <c r="B127" s="105" t="s">
        <v>158</v>
      </c>
      <c r="C127" s="129">
        <v>400</v>
      </c>
      <c r="D127" s="113">
        <v>59</v>
      </c>
      <c r="E127" s="114">
        <v>6138</v>
      </c>
      <c r="F127" s="115">
        <v>21662</v>
      </c>
      <c r="G127" s="116">
        <v>650</v>
      </c>
      <c r="H127" s="1731" t="s">
        <v>41</v>
      </c>
      <c r="I127" s="34"/>
      <c r="J127" s="147"/>
      <c r="K127" s="2233" t="s">
        <v>25</v>
      </c>
      <c r="L127" s="147"/>
      <c r="M127" s="147"/>
      <c r="N127" s="147"/>
      <c r="O127" s="2628" t="s">
        <v>6395</v>
      </c>
      <c r="Q127" s="34"/>
    </row>
    <row r="128" spans="1:17" ht="18.75" customHeight="1" x14ac:dyDescent="0.3">
      <c r="A128" s="104">
        <v>122</v>
      </c>
      <c r="B128" s="105" t="s">
        <v>158</v>
      </c>
      <c r="C128" s="129">
        <v>400</v>
      </c>
      <c r="D128" s="113">
        <v>59</v>
      </c>
      <c r="E128" s="114">
        <v>6139</v>
      </c>
      <c r="F128" s="115">
        <v>21662</v>
      </c>
      <c r="G128" s="116">
        <v>650</v>
      </c>
      <c r="H128" s="1731" t="s">
        <v>41</v>
      </c>
      <c r="I128" s="34"/>
      <c r="J128" s="147"/>
      <c r="K128" s="2233" t="s">
        <v>25</v>
      </c>
      <c r="L128" s="147"/>
      <c r="M128" s="147"/>
      <c r="N128" s="147"/>
      <c r="O128" s="2628" t="s">
        <v>6395</v>
      </c>
      <c r="Q128" s="34"/>
    </row>
    <row r="129" spans="1:17" ht="18.75" customHeight="1" x14ac:dyDescent="0.3">
      <c r="A129" s="104">
        <v>123</v>
      </c>
      <c r="B129" s="105" t="s">
        <v>158</v>
      </c>
      <c r="C129" s="129">
        <v>400</v>
      </c>
      <c r="D129" s="113">
        <v>59</v>
      </c>
      <c r="E129" s="114">
        <v>6140</v>
      </c>
      <c r="F129" s="115">
        <v>21662</v>
      </c>
      <c r="G129" s="116">
        <v>650</v>
      </c>
      <c r="H129" s="1731" t="s">
        <v>41</v>
      </c>
      <c r="I129" s="34"/>
      <c r="J129" s="147"/>
      <c r="K129" s="2233" t="s">
        <v>25</v>
      </c>
      <c r="L129" s="147"/>
      <c r="M129" s="147"/>
      <c r="N129" s="147"/>
      <c r="O129" s="2628" t="s">
        <v>6395</v>
      </c>
      <c r="Q129" s="34"/>
    </row>
    <row r="130" spans="1:17" ht="18.75" customHeight="1" x14ac:dyDescent="0.3">
      <c r="A130" s="104">
        <v>124</v>
      </c>
      <c r="B130" s="105" t="s">
        <v>158</v>
      </c>
      <c r="C130" s="129">
        <v>400</v>
      </c>
      <c r="D130" s="113">
        <v>59</v>
      </c>
      <c r="E130" s="114">
        <v>6141</v>
      </c>
      <c r="F130" s="115">
        <v>21662</v>
      </c>
      <c r="G130" s="116">
        <v>650</v>
      </c>
      <c r="H130" s="1731" t="s">
        <v>41</v>
      </c>
      <c r="I130" s="34"/>
      <c r="J130" s="147"/>
      <c r="K130" s="2233" t="s">
        <v>25</v>
      </c>
      <c r="L130" s="147"/>
      <c r="M130" s="147"/>
      <c r="N130" s="147"/>
      <c r="O130" s="2628" t="s">
        <v>6395</v>
      </c>
      <c r="Q130" s="34"/>
    </row>
    <row r="131" spans="1:17" ht="18.75" customHeight="1" x14ac:dyDescent="0.3">
      <c r="A131" s="104">
        <v>125</v>
      </c>
      <c r="B131" s="105" t="s">
        <v>158</v>
      </c>
      <c r="C131" s="129">
        <v>400</v>
      </c>
      <c r="D131" s="113">
        <v>59</v>
      </c>
      <c r="E131" s="114">
        <v>6142</v>
      </c>
      <c r="F131" s="115">
        <v>21662</v>
      </c>
      <c r="G131" s="116">
        <v>650</v>
      </c>
      <c r="H131" s="1731" t="s">
        <v>41</v>
      </c>
      <c r="I131" s="34"/>
      <c r="J131" s="147"/>
      <c r="K131" s="2233" t="s">
        <v>25</v>
      </c>
      <c r="L131" s="147"/>
      <c r="M131" s="147"/>
      <c r="N131" s="147"/>
      <c r="O131" s="2628" t="s">
        <v>6395</v>
      </c>
      <c r="Q131" s="34"/>
    </row>
    <row r="132" spans="1:17" ht="18.75" customHeight="1" x14ac:dyDescent="0.3">
      <c r="A132" s="104">
        <v>126</v>
      </c>
      <c r="B132" s="105" t="s">
        <v>158</v>
      </c>
      <c r="C132" s="129">
        <v>400</v>
      </c>
      <c r="D132" s="113">
        <v>59</v>
      </c>
      <c r="E132" s="114">
        <v>6143</v>
      </c>
      <c r="F132" s="115">
        <v>21662</v>
      </c>
      <c r="G132" s="116">
        <v>650</v>
      </c>
      <c r="H132" s="1731" t="s">
        <v>41</v>
      </c>
      <c r="I132" s="34"/>
      <c r="J132" s="147"/>
      <c r="K132" s="2233" t="s">
        <v>25</v>
      </c>
      <c r="L132" s="147"/>
      <c r="M132" s="147"/>
      <c r="N132" s="147"/>
      <c r="O132" s="2628" t="s">
        <v>6395</v>
      </c>
      <c r="Q132" s="34"/>
    </row>
    <row r="133" spans="1:17" ht="18.75" customHeight="1" x14ac:dyDescent="0.3">
      <c r="A133" s="104">
        <v>127</v>
      </c>
      <c r="B133" s="105" t="s">
        <v>158</v>
      </c>
      <c r="C133" s="129">
        <v>400</v>
      </c>
      <c r="D133" s="125">
        <v>59</v>
      </c>
      <c r="E133" s="114">
        <v>6144</v>
      </c>
      <c r="F133" s="115">
        <v>21662</v>
      </c>
      <c r="G133" s="116">
        <v>650</v>
      </c>
      <c r="H133" s="1731" t="s">
        <v>41</v>
      </c>
      <c r="I133" s="34"/>
      <c r="J133" s="147"/>
      <c r="K133" s="2233" t="s">
        <v>25</v>
      </c>
      <c r="L133" s="147"/>
      <c r="M133" s="147"/>
      <c r="N133" s="147"/>
      <c r="O133" s="2628" t="s">
        <v>6395</v>
      </c>
      <c r="Q133" s="34"/>
    </row>
    <row r="134" spans="1:17" ht="18.75" customHeight="1" x14ac:dyDescent="0.3">
      <c r="A134" s="104">
        <v>128</v>
      </c>
      <c r="B134" s="105" t="s">
        <v>158</v>
      </c>
      <c r="C134" s="129">
        <v>400</v>
      </c>
      <c r="D134" s="149">
        <v>59</v>
      </c>
      <c r="E134" s="114">
        <v>6145</v>
      </c>
      <c r="F134" s="115">
        <v>21662</v>
      </c>
      <c r="G134" s="116">
        <v>650</v>
      </c>
      <c r="H134" s="1731" t="s">
        <v>41</v>
      </c>
      <c r="I134" s="34"/>
      <c r="J134" s="147"/>
      <c r="K134" s="2233" t="s">
        <v>25</v>
      </c>
      <c r="L134" s="147"/>
      <c r="M134" s="147"/>
      <c r="N134" s="147"/>
      <c r="O134" s="2628" t="s">
        <v>6395</v>
      </c>
      <c r="Q134" s="34"/>
    </row>
    <row r="135" spans="1:17" ht="18.75" customHeight="1" x14ac:dyDescent="0.3">
      <c r="A135" s="104">
        <v>129</v>
      </c>
      <c r="B135" s="105" t="s">
        <v>158</v>
      </c>
      <c r="C135" s="129">
        <v>400</v>
      </c>
      <c r="D135" s="113">
        <v>59</v>
      </c>
      <c r="E135" s="114">
        <v>6146</v>
      </c>
      <c r="F135" s="115">
        <v>21662</v>
      </c>
      <c r="G135" s="116">
        <v>650</v>
      </c>
      <c r="H135" s="1731" t="s">
        <v>41</v>
      </c>
      <c r="I135" s="34"/>
      <c r="J135" s="147"/>
      <c r="K135" s="2233" t="s">
        <v>25</v>
      </c>
      <c r="L135" s="147"/>
      <c r="M135" s="147"/>
      <c r="N135" s="147"/>
      <c r="O135" s="2628" t="s">
        <v>6395</v>
      </c>
      <c r="Q135" s="34"/>
    </row>
    <row r="136" spans="1:17" ht="18.75" customHeight="1" x14ac:dyDescent="0.3">
      <c r="A136" s="104">
        <v>130</v>
      </c>
      <c r="B136" s="105" t="s">
        <v>158</v>
      </c>
      <c r="C136" s="129">
        <v>400</v>
      </c>
      <c r="D136" s="113">
        <v>59</v>
      </c>
      <c r="E136" s="114">
        <v>6147</v>
      </c>
      <c r="F136" s="115">
        <v>21662</v>
      </c>
      <c r="G136" s="116">
        <v>650</v>
      </c>
      <c r="H136" s="1731" t="s">
        <v>41</v>
      </c>
      <c r="I136" s="34"/>
      <c r="J136" s="147"/>
      <c r="K136" s="2233" t="s">
        <v>25</v>
      </c>
      <c r="L136" s="147"/>
      <c r="M136" s="147"/>
      <c r="N136" s="147"/>
      <c r="O136" s="2628" t="s">
        <v>6395</v>
      </c>
      <c r="Q136" s="34"/>
    </row>
    <row r="137" spans="1:17" ht="18.75" customHeight="1" x14ac:dyDescent="0.3">
      <c r="A137" s="104">
        <v>131</v>
      </c>
      <c r="B137" s="105" t="s">
        <v>158</v>
      </c>
      <c r="C137" s="129">
        <v>400</v>
      </c>
      <c r="D137" s="113">
        <v>59</v>
      </c>
      <c r="E137" s="114">
        <v>6148</v>
      </c>
      <c r="F137" s="115">
        <v>21662</v>
      </c>
      <c r="G137" s="116">
        <v>650</v>
      </c>
      <c r="H137" s="1731" t="s">
        <v>41</v>
      </c>
      <c r="I137" s="34"/>
      <c r="J137" s="147"/>
      <c r="K137" s="2233" t="s">
        <v>25</v>
      </c>
      <c r="L137" s="147"/>
      <c r="M137" s="147"/>
      <c r="N137" s="147"/>
      <c r="O137" s="2628" t="s">
        <v>6395</v>
      </c>
      <c r="Q137" s="34"/>
    </row>
    <row r="138" spans="1:17" ht="18.75" customHeight="1" x14ac:dyDescent="0.3">
      <c r="A138" s="104">
        <v>132</v>
      </c>
      <c r="B138" s="105" t="s">
        <v>158</v>
      </c>
      <c r="C138" s="129">
        <v>400</v>
      </c>
      <c r="D138" s="113">
        <v>59</v>
      </c>
      <c r="E138" s="114">
        <v>6149</v>
      </c>
      <c r="F138" s="115">
        <v>21662</v>
      </c>
      <c r="G138" s="116">
        <v>650</v>
      </c>
      <c r="H138" s="1731" t="s">
        <v>41</v>
      </c>
      <c r="I138" s="34"/>
      <c r="J138" s="147"/>
      <c r="K138" s="2233" t="s">
        <v>25</v>
      </c>
      <c r="L138" s="147"/>
      <c r="M138" s="147"/>
      <c r="N138" s="147"/>
      <c r="O138" s="2628" t="s">
        <v>6395</v>
      </c>
      <c r="Q138" s="34"/>
    </row>
    <row r="139" spans="1:17" ht="18.75" customHeight="1" x14ac:dyDescent="0.3">
      <c r="A139" s="104">
        <v>133</v>
      </c>
      <c r="B139" s="105" t="s">
        <v>158</v>
      </c>
      <c r="C139" s="129">
        <v>400</v>
      </c>
      <c r="D139" s="113">
        <v>59</v>
      </c>
      <c r="E139" s="114">
        <v>6150</v>
      </c>
      <c r="F139" s="115">
        <v>21662</v>
      </c>
      <c r="G139" s="116">
        <v>650</v>
      </c>
      <c r="H139" s="1731" t="s">
        <v>41</v>
      </c>
      <c r="I139" s="34"/>
      <c r="J139" s="147"/>
      <c r="K139" s="2233" t="s">
        <v>25</v>
      </c>
      <c r="L139" s="147"/>
      <c r="M139" s="147"/>
      <c r="N139" s="147"/>
      <c r="O139" s="2628" t="s">
        <v>6395</v>
      </c>
      <c r="Q139" s="34"/>
    </row>
    <row r="140" spans="1:17" ht="18.75" customHeight="1" x14ac:dyDescent="0.3">
      <c r="A140" s="104">
        <v>134</v>
      </c>
      <c r="B140" s="105" t="s">
        <v>158</v>
      </c>
      <c r="C140" s="129">
        <v>400</v>
      </c>
      <c r="D140" s="113">
        <v>59</v>
      </c>
      <c r="E140" s="114">
        <v>6151</v>
      </c>
      <c r="F140" s="115">
        <v>21662</v>
      </c>
      <c r="G140" s="116">
        <v>650</v>
      </c>
      <c r="H140" s="1731" t="s">
        <v>41</v>
      </c>
      <c r="I140" s="34"/>
      <c r="J140" s="147"/>
      <c r="K140" s="2233" t="s">
        <v>25</v>
      </c>
      <c r="L140" s="147"/>
      <c r="M140" s="147"/>
      <c r="N140" s="147"/>
      <c r="O140" s="2628" t="s">
        <v>6395</v>
      </c>
      <c r="Q140" s="34"/>
    </row>
    <row r="141" spans="1:17" ht="18.75" customHeight="1" x14ac:dyDescent="0.3">
      <c r="A141" s="104">
        <v>135</v>
      </c>
      <c r="B141" s="105" t="s">
        <v>158</v>
      </c>
      <c r="C141" s="129">
        <v>400</v>
      </c>
      <c r="D141" s="113">
        <v>59</v>
      </c>
      <c r="E141" s="114">
        <v>6152</v>
      </c>
      <c r="F141" s="115">
        <v>21662</v>
      </c>
      <c r="G141" s="116">
        <v>650</v>
      </c>
      <c r="H141" s="1731" t="s">
        <v>41</v>
      </c>
      <c r="I141" s="34"/>
      <c r="J141" s="147"/>
      <c r="K141" s="2233" t="s">
        <v>25</v>
      </c>
      <c r="L141" s="147"/>
      <c r="M141" s="147"/>
      <c r="N141" s="147"/>
      <c r="O141" s="2628" t="s">
        <v>6395</v>
      </c>
      <c r="Q141" s="34"/>
    </row>
    <row r="142" spans="1:17" ht="18.75" customHeight="1" x14ac:dyDescent="0.3">
      <c r="A142" s="104">
        <v>136</v>
      </c>
      <c r="B142" s="105" t="s">
        <v>158</v>
      </c>
      <c r="C142" s="129">
        <v>400</v>
      </c>
      <c r="D142" s="113">
        <v>59</v>
      </c>
      <c r="E142" s="114">
        <v>6153</v>
      </c>
      <c r="F142" s="115">
        <v>21662</v>
      </c>
      <c r="G142" s="116">
        <v>650</v>
      </c>
      <c r="H142" s="1731" t="s">
        <v>41</v>
      </c>
      <c r="I142" s="34"/>
      <c r="J142" s="147"/>
      <c r="K142" s="2233" t="s">
        <v>25</v>
      </c>
      <c r="L142" s="147"/>
      <c r="M142" s="147"/>
      <c r="N142" s="147"/>
      <c r="O142" s="2628" t="s">
        <v>6395</v>
      </c>
      <c r="Q142" s="34"/>
    </row>
    <row r="143" spans="1:17" ht="18.75" customHeight="1" x14ac:dyDescent="0.3">
      <c r="A143" s="104">
        <v>137</v>
      </c>
      <c r="B143" s="105" t="s">
        <v>158</v>
      </c>
      <c r="C143" s="129">
        <v>400</v>
      </c>
      <c r="D143" s="113">
        <v>59</v>
      </c>
      <c r="E143" s="114">
        <v>6154</v>
      </c>
      <c r="F143" s="115">
        <v>21662</v>
      </c>
      <c r="G143" s="116">
        <v>650</v>
      </c>
      <c r="H143" s="1731" t="s">
        <v>41</v>
      </c>
      <c r="I143" s="34"/>
      <c r="J143" s="147"/>
      <c r="K143" s="2233" t="s">
        <v>25</v>
      </c>
      <c r="L143" s="147"/>
      <c r="M143" s="147"/>
      <c r="N143" s="147"/>
      <c r="O143" s="2628" t="s">
        <v>6395</v>
      </c>
      <c r="Q143" s="34"/>
    </row>
    <row r="144" spans="1:17" ht="18.75" customHeight="1" x14ac:dyDescent="0.3">
      <c r="A144" s="104">
        <v>138</v>
      </c>
      <c r="B144" s="105" t="s">
        <v>158</v>
      </c>
      <c r="C144" s="129">
        <v>400</v>
      </c>
      <c r="D144" s="113">
        <v>59</v>
      </c>
      <c r="E144" s="114">
        <v>6155</v>
      </c>
      <c r="F144" s="115">
        <v>21662</v>
      </c>
      <c r="G144" s="116">
        <v>650</v>
      </c>
      <c r="H144" s="1731" t="s">
        <v>41</v>
      </c>
      <c r="I144" s="34"/>
      <c r="J144" s="147"/>
      <c r="K144" s="2233" t="s">
        <v>25</v>
      </c>
      <c r="L144" s="147"/>
      <c r="M144" s="147"/>
      <c r="N144" s="147"/>
      <c r="O144" s="2628" t="s">
        <v>6395</v>
      </c>
      <c r="Q144" s="34"/>
    </row>
    <row r="145" spans="1:17" ht="18.75" customHeight="1" x14ac:dyDescent="0.3">
      <c r="A145" s="104">
        <v>139</v>
      </c>
      <c r="B145" s="105" t="s">
        <v>158</v>
      </c>
      <c r="C145" s="129">
        <v>400</v>
      </c>
      <c r="D145" s="113">
        <v>59</v>
      </c>
      <c r="E145" s="114">
        <v>6156</v>
      </c>
      <c r="F145" s="115">
        <v>21662</v>
      </c>
      <c r="G145" s="116">
        <v>650</v>
      </c>
      <c r="H145" s="1731" t="s">
        <v>41</v>
      </c>
      <c r="I145" s="34"/>
      <c r="J145" s="147"/>
      <c r="K145" s="2233" t="s">
        <v>25</v>
      </c>
      <c r="L145" s="147"/>
      <c r="M145" s="147"/>
      <c r="N145" s="147"/>
      <c r="O145" s="2628" t="s">
        <v>6395</v>
      </c>
      <c r="Q145" s="34"/>
    </row>
    <row r="146" spans="1:17" ht="18.75" customHeight="1" x14ac:dyDescent="0.3">
      <c r="A146" s="104">
        <v>140</v>
      </c>
      <c r="B146" s="105" t="s">
        <v>158</v>
      </c>
      <c r="C146" s="129">
        <v>400</v>
      </c>
      <c r="D146" s="113">
        <v>59</v>
      </c>
      <c r="E146" s="114">
        <v>6157</v>
      </c>
      <c r="F146" s="115">
        <v>21662</v>
      </c>
      <c r="G146" s="116">
        <v>650</v>
      </c>
      <c r="H146" s="1731" t="s">
        <v>41</v>
      </c>
      <c r="I146" s="34"/>
      <c r="J146" s="147"/>
      <c r="K146" s="2233" t="s">
        <v>25</v>
      </c>
      <c r="L146" s="147"/>
      <c r="M146" s="147"/>
      <c r="N146" s="147"/>
      <c r="O146" s="2628" t="s">
        <v>6395</v>
      </c>
      <c r="Q146" s="34"/>
    </row>
    <row r="147" spans="1:17" ht="18.75" customHeight="1" x14ac:dyDescent="0.3">
      <c r="A147" s="104">
        <v>141</v>
      </c>
      <c r="B147" s="105" t="s">
        <v>158</v>
      </c>
      <c r="C147" s="129">
        <v>400</v>
      </c>
      <c r="D147" s="113">
        <v>59</v>
      </c>
      <c r="E147" s="114">
        <v>6158</v>
      </c>
      <c r="F147" s="115">
        <v>21662</v>
      </c>
      <c r="G147" s="116">
        <v>650</v>
      </c>
      <c r="H147" s="1731" t="s">
        <v>41</v>
      </c>
      <c r="I147" s="34"/>
      <c r="J147" s="147"/>
      <c r="K147" s="2233" t="s">
        <v>25</v>
      </c>
      <c r="L147" s="147"/>
      <c r="M147" s="147"/>
      <c r="N147" s="147"/>
      <c r="O147" s="2628" t="s">
        <v>6395</v>
      </c>
      <c r="Q147" s="34"/>
    </row>
    <row r="148" spans="1:17" ht="18.75" customHeight="1" x14ac:dyDescent="0.3">
      <c r="A148" s="104">
        <v>142</v>
      </c>
      <c r="B148" s="105" t="s">
        <v>158</v>
      </c>
      <c r="C148" s="129">
        <v>400</v>
      </c>
      <c r="D148" s="113">
        <v>59</v>
      </c>
      <c r="E148" s="114">
        <v>6159</v>
      </c>
      <c r="F148" s="115">
        <v>21662</v>
      </c>
      <c r="G148" s="116">
        <v>650</v>
      </c>
      <c r="H148" s="1731" t="s">
        <v>41</v>
      </c>
      <c r="I148" s="34"/>
      <c r="J148" s="147"/>
      <c r="K148" s="2233" t="s">
        <v>25</v>
      </c>
      <c r="L148" s="147"/>
      <c r="M148" s="147"/>
      <c r="N148" s="147"/>
      <c r="O148" s="2628" t="s">
        <v>6395</v>
      </c>
      <c r="Q148" s="34"/>
    </row>
    <row r="149" spans="1:17" ht="18.75" customHeight="1" x14ac:dyDescent="0.3">
      <c r="A149" s="104">
        <v>143</v>
      </c>
      <c r="B149" s="105" t="s">
        <v>158</v>
      </c>
      <c r="C149" s="129">
        <v>400</v>
      </c>
      <c r="D149" s="113">
        <v>59</v>
      </c>
      <c r="E149" s="114">
        <v>6160</v>
      </c>
      <c r="F149" s="115">
        <v>21662</v>
      </c>
      <c r="G149" s="116">
        <v>650</v>
      </c>
      <c r="H149" s="1731" t="s">
        <v>41</v>
      </c>
      <c r="I149" s="34"/>
      <c r="J149" s="147"/>
      <c r="K149" s="2233" t="s">
        <v>25</v>
      </c>
      <c r="L149" s="147"/>
      <c r="M149" s="147"/>
      <c r="N149" s="147"/>
      <c r="O149" s="2628" t="s">
        <v>6395</v>
      </c>
      <c r="Q149" s="34"/>
    </row>
    <row r="150" spans="1:17" ht="18.75" customHeight="1" x14ac:dyDescent="0.3">
      <c r="A150" s="104">
        <v>144</v>
      </c>
      <c r="B150" s="105" t="s">
        <v>158</v>
      </c>
      <c r="C150" s="129">
        <v>400</v>
      </c>
      <c r="D150" s="113">
        <v>59</v>
      </c>
      <c r="E150" s="114">
        <v>6161</v>
      </c>
      <c r="F150" s="115">
        <v>21662</v>
      </c>
      <c r="G150" s="116">
        <v>650</v>
      </c>
      <c r="H150" s="1731" t="s">
        <v>41</v>
      </c>
      <c r="I150" s="34"/>
      <c r="J150" s="147"/>
      <c r="K150" s="2233" t="s">
        <v>25</v>
      </c>
      <c r="L150" s="147"/>
      <c r="M150" s="147"/>
      <c r="N150" s="147"/>
      <c r="O150" s="2628" t="s">
        <v>6395</v>
      </c>
      <c r="Q150" s="34"/>
    </row>
    <row r="151" spans="1:17" ht="18.75" customHeight="1" x14ac:dyDescent="0.3">
      <c r="A151" s="104">
        <v>145</v>
      </c>
      <c r="B151" s="105" t="s">
        <v>158</v>
      </c>
      <c r="C151" s="129">
        <v>400</v>
      </c>
      <c r="D151" s="125">
        <v>59</v>
      </c>
      <c r="E151" s="114">
        <v>6162</v>
      </c>
      <c r="F151" s="115">
        <v>21662</v>
      </c>
      <c r="G151" s="116">
        <v>650</v>
      </c>
      <c r="H151" s="1731" t="s">
        <v>41</v>
      </c>
      <c r="I151" s="34"/>
      <c r="J151" s="147"/>
      <c r="K151" s="2233" t="s">
        <v>25</v>
      </c>
      <c r="L151" s="147"/>
      <c r="M151" s="147"/>
      <c r="N151" s="147"/>
      <c r="O151" s="2628" t="s">
        <v>6395</v>
      </c>
      <c r="Q151" s="34"/>
    </row>
    <row r="152" spans="1:17" ht="18.75" customHeight="1" x14ac:dyDescent="0.3">
      <c r="A152" s="104">
        <v>146</v>
      </c>
      <c r="B152" s="105" t="s">
        <v>158</v>
      </c>
      <c r="C152" s="129">
        <v>400</v>
      </c>
      <c r="D152" s="128">
        <v>59</v>
      </c>
      <c r="E152" s="114">
        <v>6163</v>
      </c>
      <c r="F152" s="115">
        <v>21662</v>
      </c>
      <c r="G152" s="116">
        <v>650</v>
      </c>
      <c r="H152" s="1731" t="s">
        <v>41</v>
      </c>
      <c r="I152" s="34"/>
      <c r="J152" s="147"/>
      <c r="K152" s="2233" t="s">
        <v>25</v>
      </c>
      <c r="L152" s="147"/>
      <c r="M152" s="147"/>
      <c r="N152" s="147"/>
      <c r="O152" s="2628" t="s">
        <v>6395</v>
      </c>
      <c r="Q152" s="34"/>
    </row>
    <row r="153" spans="1:17" ht="18.75" customHeight="1" x14ac:dyDescent="0.3">
      <c r="A153" s="104">
        <v>147</v>
      </c>
      <c r="B153" s="105" t="s">
        <v>158</v>
      </c>
      <c r="C153" s="129">
        <v>400</v>
      </c>
      <c r="D153" s="113">
        <v>59</v>
      </c>
      <c r="E153" s="114">
        <v>6164</v>
      </c>
      <c r="F153" s="115">
        <v>21662</v>
      </c>
      <c r="G153" s="116">
        <v>650</v>
      </c>
      <c r="H153" s="1731" t="s">
        <v>41</v>
      </c>
      <c r="I153" s="34"/>
      <c r="J153" s="147"/>
      <c r="K153" s="2233" t="s">
        <v>25</v>
      </c>
      <c r="L153" s="147"/>
      <c r="M153" s="147"/>
      <c r="N153" s="147"/>
      <c r="O153" s="2628" t="s">
        <v>6395</v>
      </c>
      <c r="Q153" s="34"/>
    </row>
    <row r="154" spans="1:17" ht="18.75" customHeight="1" x14ac:dyDescent="0.3">
      <c r="A154" s="104">
        <v>148</v>
      </c>
      <c r="B154" s="105" t="s">
        <v>158</v>
      </c>
      <c r="C154" s="129">
        <v>400</v>
      </c>
      <c r="D154" s="113">
        <v>59</v>
      </c>
      <c r="E154" s="114">
        <v>6165</v>
      </c>
      <c r="F154" s="115">
        <v>21662</v>
      </c>
      <c r="G154" s="116">
        <v>650</v>
      </c>
      <c r="H154" s="1731" t="s">
        <v>41</v>
      </c>
      <c r="I154" s="34"/>
      <c r="J154" s="147"/>
      <c r="K154" s="2233" t="s">
        <v>25</v>
      </c>
      <c r="L154" s="147"/>
      <c r="M154" s="147"/>
      <c r="N154" s="147"/>
      <c r="O154" s="2628" t="s">
        <v>6395</v>
      </c>
      <c r="Q154" s="34"/>
    </row>
    <row r="155" spans="1:17" ht="18.75" customHeight="1" x14ac:dyDescent="0.3">
      <c r="A155" s="104">
        <v>149</v>
      </c>
      <c r="B155" s="105" t="s">
        <v>158</v>
      </c>
      <c r="C155" s="129">
        <v>400</v>
      </c>
      <c r="D155" s="113">
        <v>59</v>
      </c>
      <c r="E155" s="114">
        <v>6166</v>
      </c>
      <c r="F155" s="115">
        <v>21662</v>
      </c>
      <c r="G155" s="116">
        <v>650</v>
      </c>
      <c r="H155" s="1731" t="s">
        <v>41</v>
      </c>
      <c r="I155" s="34"/>
      <c r="J155" s="147"/>
      <c r="K155" s="2233" t="s">
        <v>25</v>
      </c>
      <c r="L155" s="147"/>
      <c r="M155" s="147"/>
      <c r="N155" s="147"/>
      <c r="O155" s="2628" t="s">
        <v>6395</v>
      </c>
      <c r="Q155" s="34"/>
    </row>
    <row r="156" spans="1:17" ht="18.75" customHeight="1" x14ac:dyDescent="0.3">
      <c r="A156" s="104">
        <v>150</v>
      </c>
      <c r="B156" s="105" t="s">
        <v>158</v>
      </c>
      <c r="C156" s="129">
        <v>400</v>
      </c>
      <c r="D156" s="125">
        <v>59</v>
      </c>
      <c r="E156" s="114">
        <v>6167</v>
      </c>
      <c r="F156" s="115">
        <v>21662</v>
      </c>
      <c r="G156" s="116">
        <v>650</v>
      </c>
      <c r="H156" s="1731" t="s">
        <v>41</v>
      </c>
      <c r="I156" s="34"/>
      <c r="J156" s="147"/>
      <c r="K156" s="2233" t="s">
        <v>25</v>
      </c>
      <c r="L156" s="147"/>
      <c r="M156" s="147"/>
      <c r="N156" s="147"/>
      <c r="O156" s="2628" t="s">
        <v>6395</v>
      </c>
      <c r="Q156" s="34"/>
    </row>
    <row r="157" spans="1:17" ht="18.75" customHeight="1" x14ac:dyDescent="0.3">
      <c r="A157" s="104">
        <v>151</v>
      </c>
      <c r="B157" s="105" t="s">
        <v>158</v>
      </c>
      <c r="C157" s="129">
        <v>400</v>
      </c>
      <c r="D157" s="149">
        <v>59</v>
      </c>
      <c r="E157" s="114">
        <v>6168</v>
      </c>
      <c r="F157" s="115">
        <v>21662</v>
      </c>
      <c r="G157" s="116">
        <v>650</v>
      </c>
      <c r="H157" s="1731" t="s">
        <v>41</v>
      </c>
      <c r="I157" s="34"/>
      <c r="J157" s="147"/>
      <c r="K157" s="2233" t="s">
        <v>25</v>
      </c>
      <c r="L157" s="147"/>
      <c r="M157" s="147"/>
      <c r="N157" s="147"/>
      <c r="O157" s="2628" t="s">
        <v>6395</v>
      </c>
      <c r="Q157" s="34"/>
    </row>
    <row r="158" spans="1:17" ht="18.75" customHeight="1" x14ac:dyDescent="0.3">
      <c r="A158" s="104">
        <v>152</v>
      </c>
      <c r="B158" s="105" t="s">
        <v>158</v>
      </c>
      <c r="C158" s="129">
        <v>400</v>
      </c>
      <c r="D158" s="113">
        <v>59</v>
      </c>
      <c r="E158" s="114">
        <v>6169</v>
      </c>
      <c r="F158" s="115">
        <v>21662</v>
      </c>
      <c r="G158" s="116">
        <v>650</v>
      </c>
      <c r="H158" s="1731" t="s">
        <v>41</v>
      </c>
      <c r="I158" s="34"/>
      <c r="J158" s="147"/>
      <c r="K158" s="2233" t="s">
        <v>25</v>
      </c>
      <c r="L158" s="147"/>
      <c r="M158" s="147"/>
      <c r="N158" s="147"/>
      <c r="O158" s="2628" t="s">
        <v>6395</v>
      </c>
      <c r="Q158" s="34"/>
    </row>
    <row r="159" spans="1:17" ht="18.75" customHeight="1" x14ac:dyDescent="0.3">
      <c r="A159" s="104">
        <v>153</v>
      </c>
      <c r="B159" s="105" t="s">
        <v>158</v>
      </c>
      <c r="C159" s="129">
        <v>400</v>
      </c>
      <c r="D159" s="113">
        <v>59</v>
      </c>
      <c r="E159" s="114">
        <v>6170</v>
      </c>
      <c r="F159" s="115">
        <v>21662</v>
      </c>
      <c r="G159" s="116">
        <v>650</v>
      </c>
      <c r="H159" s="1731" t="s">
        <v>41</v>
      </c>
      <c r="I159" s="34"/>
      <c r="J159" s="147"/>
      <c r="K159" s="2233" t="s">
        <v>25</v>
      </c>
      <c r="L159" s="147"/>
      <c r="M159" s="147"/>
      <c r="N159" s="147"/>
      <c r="O159" s="2628" t="s">
        <v>6395</v>
      </c>
      <c r="Q159" s="34"/>
    </row>
    <row r="160" spans="1:17" ht="18.75" customHeight="1" x14ac:dyDescent="0.3">
      <c r="A160" s="104">
        <v>154</v>
      </c>
      <c r="B160" s="105" t="s">
        <v>158</v>
      </c>
      <c r="C160" s="129">
        <v>400</v>
      </c>
      <c r="D160" s="113">
        <v>59</v>
      </c>
      <c r="E160" s="114">
        <v>6171</v>
      </c>
      <c r="F160" s="115">
        <v>21662</v>
      </c>
      <c r="G160" s="116">
        <v>650</v>
      </c>
      <c r="H160" s="1731" t="s">
        <v>41</v>
      </c>
      <c r="I160" s="34"/>
      <c r="J160" s="147"/>
      <c r="K160" s="2233" t="s">
        <v>25</v>
      </c>
      <c r="L160" s="147"/>
      <c r="M160" s="147"/>
      <c r="N160" s="147"/>
      <c r="O160" s="2628" t="s">
        <v>6395</v>
      </c>
      <c r="Q160" s="34"/>
    </row>
    <row r="161" spans="1:17" ht="18.75" customHeight="1" x14ac:dyDescent="0.3">
      <c r="A161" s="104">
        <v>155</v>
      </c>
      <c r="B161" s="105" t="s">
        <v>158</v>
      </c>
      <c r="C161" s="129">
        <v>400</v>
      </c>
      <c r="D161" s="113">
        <v>59</v>
      </c>
      <c r="E161" s="114">
        <v>6172</v>
      </c>
      <c r="F161" s="115">
        <v>21662</v>
      </c>
      <c r="G161" s="116">
        <v>650</v>
      </c>
      <c r="H161" s="1731" t="s">
        <v>41</v>
      </c>
      <c r="I161" s="34"/>
      <c r="J161" s="147"/>
      <c r="K161" s="2233" t="s">
        <v>25</v>
      </c>
      <c r="L161" s="147"/>
      <c r="M161" s="147"/>
      <c r="N161" s="147"/>
      <c r="O161" s="2628" t="s">
        <v>6395</v>
      </c>
      <c r="Q161" s="34"/>
    </row>
    <row r="162" spans="1:17" ht="18.75" customHeight="1" x14ac:dyDescent="0.3">
      <c r="A162" s="104">
        <v>156</v>
      </c>
      <c r="B162" s="105" t="s">
        <v>158</v>
      </c>
      <c r="C162" s="129">
        <v>400</v>
      </c>
      <c r="D162" s="113">
        <v>59</v>
      </c>
      <c r="E162" s="114">
        <v>6173</v>
      </c>
      <c r="F162" s="115">
        <v>21662</v>
      </c>
      <c r="G162" s="116">
        <v>650</v>
      </c>
      <c r="H162" s="1731" t="s">
        <v>41</v>
      </c>
      <c r="I162" s="34"/>
      <c r="J162" s="147"/>
      <c r="K162" s="2233" t="s">
        <v>25</v>
      </c>
      <c r="L162" s="147"/>
      <c r="M162" s="147"/>
      <c r="N162" s="147"/>
      <c r="O162" s="2628" t="s">
        <v>6395</v>
      </c>
      <c r="Q162" s="34"/>
    </row>
    <row r="163" spans="1:17" ht="18.75" customHeight="1" x14ac:dyDescent="0.3">
      <c r="A163" s="104">
        <v>157</v>
      </c>
      <c r="B163" s="105" t="s">
        <v>158</v>
      </c>
      <c r="C163" s="129">
        <v>400</v>
      </c>
      <c r="D163" s="125">
        <v>59</v>
      </c>
      <c r="E163" s="114">
        <v>6174</v>
      </c>
      <c r="F163" s="115">
        <v>21662</v>
      </c>
      <c r="G163" s="116">
        <v>650</v>
      </c>
      <c r="H163" s="1731" t="s">
        <v>41</v>
      </c>
      <c r="I163" s="34"/>
      <c r="J163" s="147"/>
      <c r="K163" s="2233" t="s">
        <v>25</v>
      </c>
      <c r="L163" s="147"/>
      <c r="M163" s="147"/>
      <c r="N163" s="147"/>
      <c r="O163" s="2628" t="s">
        <v>6395</v>
      </c>
      <c r="Q163" s="34"/>
    </row>
    <row r="164" spans="1:17" ht="18.75" customHeight="1" x14ac:dyDescent="0.3">
      <c r="A164" s="104">
        <v>158</v>
      </c>
      <c r="B164" s="105" t="s">
        <v>158</v>
      </c>
      <c r="C164" s="129">
        <v>400</v>
      </c>
      <c r="D164" s="128">
        <v>59</v>
      </c>
      <c r="E164" s="114">
        <v>6175</v>
      </c>
      <c r="F164" s="115">
        <v>21662</v>
      </c>
      <c r="G164" s="116">
        <v>650</v>
      </c>
      <c r="H164" s="1731" t="s">
        <v>41</v>
      </c>
      <c r="I164" s="34"/>
      <c r="J164" s="147"/>
      <c r="K164" s="2233" t="s">
        <v>25</v>
      </c>
      <c r="L164" s="147"/>
      <c r="M164" s="147"/>
      <c r="N164" s="147"/>
      <c r="O164" s="2628" t="s">
        <v>6395</v>
      </c>
      <c r="Q164" s="34"/>
    </row>
    <row r="165" spans="1:17" ht="18.75" customHeight="1" x14ac:dyDescent="0.3">
      <c r="A165" s="104">
        <v>159</v>
      </c>
      <c r="B165" s="105" t="s">
        <v>158</v>
      </c>
      <c r="C165" s="129">
        <v>400</v>
      </c>
      <c r="D165" s="113">
        <v>59</v>
      </c>
      <c r="E165" s="114">
        <v>6176</v>
      </c>
      <c r="F165" s="115">
        <v>21662</v>
      </c>
      <c r="G165" s="116">
        <v>650</v>
      </c>
      <c r="H165" s="1731" t="s">
        <v>41</v>
      </c>
      <c r="I165" s="34"/>
      <c r="J165" s="147"/>
      <c r="K165" s="2233" t="s">
        <v>25</v>
      </c>
      <c r="L165" s="147"/>
      <c r="M165" s="147"/>
      <c r="N165" s="147"/>
      <c r="O165" s="2628" t="s">
        <v>6395</v>
      </c>
      <c r="Q165" s="34"/>
    </row>
    <row r="166" spans="1:17" ht="18.75" customHeight="1" x14ac:dyDescent="0.3">
      <c r="A166" s="104">
        <v>160</v>
      </c>
      <c r="B166" s="105" t="s">
        <v>158</v>
      </c>
      <c r="C166" s="129">
        <v>400</v>
      </c>
      <c r="D166" s="113">
        <v>59</v>
      </c>
      <c r="E166" s="114">
        <v>6177</v>
      </c>
      <c r="F166" s="115">
        <v>21662</v>
      </c>
      <c r="G166" s="116">
        <v>650</v>
      </c>
      <c r="H166" s="1731" t="s">
        <v>41</v>
      </c>
      <c r="I166" s="34"/>
      <c r="J166" s="147"/>
      <c r="K166" s="2233" t="s">
        <v>25</v>
      </c>
      <c r="L166" s="147"/>
      <c r="M166" s="147"/>
      <c r="N166" s="147"/>
      <c r="O166" s="2628" t="s">
        <v>6395</v>
      </c>
      <c r="Q166" s="34"/>
    </row>
    <row r="167" spans="1:17" ht="18.75" customHeight="1" x14ac:dyDescent="0.3">
      <c r="A167" s="104">
        <v>161</v>
      </c>
      <c r="B167" s="105" t="s">
        <v>158</v>
      </c>
      <c r="C167" s="129">
        <v>400</v>
      </c>
      <c r="D167" s="113">
        <v>59</v>
      </c>
      <c r="E167" s="114">
        <v>6178</v>
      </c>
      <c r="F167" s="115">
        <v>21662</v>
      </c>
      <c r="G167" s="116">
        <v>650</v>
      </c>
      <c r="H167" s="1731" t="s">
        <v>41</v>
      </c>
      <c r="I167" s="34"/>
      <c r="J167" s="147"/>
      <c r="K167" s="2233" t="s">
        <v>25</v>
      </c>
      <c r="L167" s="147"/>
      <c r="M167" s="147"/>
      <c r="N167" s="147"/>
      <c r="O167" s="2628" t="s">
        <v>6395</v>
      </c>
      <c r="Q167" s="34"/>
    </row>
    <row r="168" spans="1:17" ht="18.75" customHeight="1" x14ac:dyDescent="0.3">
      <c r="A168" s="104">
        <v>162</v>
      </c>
      <c r="B168" s="105" t="s">
        <v>158</v>
      </c>
      <c r="C168" s="129">
        <v>400</v>
      </c>
      <c r="D168" s="113">
        <v>59</v>
      </c>
      <c r="E168" s="114">
        <v>6179</v>
      </c>
      <c r="F168" s="115">
        <v>21662</v>
      </c>
      <c r="G168" s="116">
        <v>650</v>
      </c>
      <c r="H168" s="1731" t="s">
        <v>41</v>
      </c>
      <c r="I168" s="34"/>
      <c r="J168" s="147"/>
      <c r="K168" s="2233" t="s">
        <v>25</v>
      </c>
      <c r="L168" s="147"/>
      <c r="M168" s="147"/>
      <c r="N168" s="147"/>
      <c r="O168" s="2628" t="s">
        <v>6395</v>
      </c>
      <c r="Q168" s="34"/>
    </row>
    <row r="169" spans="1:17" ht="18.75" customHeight="1" x14ac:dyDescent="0.3">
      <c r="A169" s="104">
        <v>163</v>
      </c>
      <c r="B169" s="105" t="s">
        <v>158</v>
      </c>
      <c r="C169" s="129">
        <v>400</v>
      </c>
      <c r="D169" s="113">
        <v>59</v>
      </c>
      <c r="E169" s="114">
        <v>6180</v>
      </c>
      <c r="F169" s="115">
        <v>21662</v>
      </c>
      <c r="G169" s="116">
        <v>650</v>
      </c>
      <c r="H169" s="1731" t="s">
        <v>41</v>
      </c>
      <c r="I169" s="34"/>
      <c r="J169" s="147"/>
      <c r="K169" s="2233" t="s">
        <v>25</v>
      </c>
      <c r="L169" s="147"/>
      <c r="M169" s="147"/>
      <c r="N169" s="147"/>
      <c r="O169" s="2628" t="s">
        <v>6395</v>
      </c>
      <c r="Q169" s="34"/>
    </row>
    <row r="170" spans="1:17" ht="18.75" customHeight="1" x14ac:dyDescent="0.3">
      <c r="A170" s="104">
        <v>164</v>
      </c>
      <c r="B170" s="105" t="s">
        <v>158</v>
      </c>
      <c r="C170" s="129">
        <v>400</v>
      </c>
      <c r="D170" s="113">
        <v>59</v>
      </c>
      <c r="E170" s="114">
        <v>6181</v>
      </c>
      <c r="F170" s="115">
        <v>21662</v>
      </c>
      <c r="G170" s="116">
        <v>650</v>
      </c>
      <c r="H170" s="1731" t="s">
        <v>41</v>
      </c>
      <c r="I170" s="34"/>
      <c r="J170" s="147"/>
      <c r="K170" s="2233" t="s">
        <v>25</v>
      </c>
      <c r="L170" s="147"/>
      <c r="M170" s="147"/>
      <c r="N170" s="147"/>
      <c r="O170" s="2628" t="s">
        <v>6395</v>
      </c>
      <c r="Q170" s="34"/>
    </row>
    <row r="171" spans="1:17" ht="18.75" customHeight="1" x14ac:dyDescent="0.3">
      <c r="A171" s="104">
        <v>165</v>
      </c>
      <c r="B171" s="105" t="s">
        <v>158</v>
      </c>
      <c r="C171" s="129">
        <v>400</v>
      </c>
      <c r="D171" s="113">
        <v>59</v>
      </c>
      <c r="E171" s="114">
        <v>6182</v>
      </c>
      <c r="F171" s="115">
        <v>21662</v>
      </c>
      <c r="G171" s="116">
        <v>650</v>
      </c>
      <c r="H171" s="1731" t="s">
        <v>41</v>
      </c>
      <c r="I171" s="34"/>
      <c r="J171" s="147"/>
      <c r="K171" s="2233" t="s">
        <v>25</v>
      </c>
      <c r="L171" s="147"/>
      <c r="M171" s="147"/>
      <c r="N171" s="147"/>
      <c r="O171" s="2628" t="s">
        <v>6395</v>
      </c>
      <c r="Q171" s="34"/>
    </row>
    <row r="172" spans="1:17" ht="18.75" customHeight="1" x14ac:dyDescent="0.3">
      <c r="A172" s="104">
        <v>166</v>
      </c>
      <c r="B172" s="105" t="s">
        <v>158</v>
      </c>
      <c r="C172" s="129">
        <v>400</v>
      </c>
      <c r="D172" s="113">
        <v>59</v>
      </c>
      <c r="E172" s="114">
        <v>6183</v>
      </c>
      <c r="F172" s="115">
        <v>21662</v>
      </c>
      <c r="G172" s="116">
        <v>650</v>
      </c>
      <c r="H172" s="1731" t="s">
        <v>41</v>
      </c>
      <c r="I172" s="34"/>
      <c r="J172" s="147"/>
      <c r="K172" s="2233" t="s">
        <v>25</v>
      </c>
      <c r="L172" s="147"/>
      <c r="M172" s="147"/>
      <c r="N172" s="147"/>
      <c r="O172" s="2628" t="s">
        <v>6395</v>
      </c>
      <c r="Q172" s="34"/>
    </row>
    <row r="173" spans="1:17" ht="18.75" customHeight="1" x14ac:dyDescent="0.3">
      <c r="A173" s="104">
        <v>167</v>
      </c>
      <c r="B173" s="105" t="s">
        <v>158</v>
      </c>
      <c r="C173" s="129">
        <v>400</v>
      </c>
      <c r="D173" s="125">
        <v>59</v>
      </c>
      <c r="E173" s="114">
        <v>6184</v>
      </c>
      <c r="F173" s="115">
        <v>21662</v>
      </c>
      <c r="G173" s="116">
        <v>650</v>
      </c>
      <c r="H173" s="1731" t="s">
        <v>41</v>
      </c>
      <c r="I173" s="34"/>
      <c r="J173" s="147"/>
      <c r="K173" s="2233" t="s">
        <v>25</v>
      </c>
      <c r="L173" s="147"/>
      <c r="M173" s="147"/>
      <c r="N173" s="147"/>
      <c r="O173" s="2628" t="s">
        <v>6395</v>
      </c>
      <c r="Q173" s="34"/>
    </row>
    <row r="174" spans="1:17" ht="18.75" customHeight="1" x14ac:dyDescent="0.3">
      <c r="A174" s="104">
        <v>168</v>
      </c>
      <c r="B174" s="105" t="s">
        <v>158</v>
      </c>
      <c r="C174" s="129">
        <v>400</v>
      </c>
      <c r="D174" s="128">
        <v>59</v>
      </c>
      <c r="E174" s="114">
        <v>6185</v>
      </c>
      <c r="F174" s="115">
        <v>21662</v>
      </c>
      <c r="G174" s="116">
        <v>650</v>
      </c>
      <c r="H174" s="1731" t="s">
        <v>41</v>
      </c>
      <c r="I174" s="34"/>
      <c r="J174" s="147"/>
      <c r="K174" s="2233" t="s">
        <v>25</v>
      </c>
      <c r="L174" s="147"/>
      <c r="M174" s="147"/>
      <c r="N174" s="147"/>
      <c r="O174" s="2628" t="s">
        <v>6395</v>
      </c>
      <c r="Q174" s="34"/>
    </row>
    <row r="175" spans="1:17" ht="18.75" customHeight="1" x14ac:dyDescent="0.3">
      <c r="A175" s="104">
        <v>169</v>
      </c>
      <c r="B175" s="105" t="s">
        <v>158</v>
      </c>
      <c r="C175" s="129">
        <v>400</v>
      </c>
      <c r="D175" s="113">
        <v>59</v>
      </c>
      <c r="E175" s="114">
        <v>6186</v>
      </c>
      <c r="F175" s="115">
        <v>21662</v>
      </c>
      <c r="G175" s="116">
        <v>650</v>
      </c>
      <c r="H175" s="1731" t="s">
        <v>41</v>
      </c>
      <c r="I175" s="34"/>
      <c r="J175" s="147"/>
      <c r="K175" s="2233" t="s">
        <v>25</v>
      </c>
      <c r="L175" s="147"/>
      <c r="M175" s="147"/>
      <c r="N175" s="147"/>
      <c r="O175" s="2628" t="s">
        <v>6395</v>
      </c>
      <c r="Q175" s="34"/>
    </row>
    <row r="176" spans="1:17" ht="18.75" customHeight="1" x14ac:dyDescent="0.3">
      <c r="A176" s="104">
        <v>170</v>
      </c>
      <c r="B176" s="105" t="s">
        <v>158</v>
      </c>
      <c r="C176" s="129">
        <v>400</v>
      </c>
      <c r="D176" s="113">
        <v>59</v>
      </c>
      <c r="E176" s="114">
        <v>6187</v>
      </c>
      <c r="F176" s="115">
        <v>21662</v>
      </c>
      <c r="G176" s="116">
        <v>650</v>
      </c>
      <c r="H176" s="1731" t="s">
        <v>41</v>
      </c>
      <c r="I176" s="34"/>
      <c r="J176" s="147"/>
      <c r="K176" s="2233" t="s">
        <v>25</v>
      </c>
      <c r="L176" s="147"/>
      <c r="M176" s="147"/>
      <c r="N176" s="147"/>
      <c r="O176" s="2628" t="s">
        <v>6395</v>
      </c>
      <c r="Q176" s="34"/>
    </row>
    <row r="177" spans="1:17" ht="18.75" customHeight="1" x14ac:dyDescent="0.3">
      <c r="A177" s="104">
        <v>171</v>
      </c>
      <c r="B177" s="105" t="s">
        <v>158</v>
      </c>
      <c r="C177" s="129">
        <v>400</v>
      </c>
      <c r="D177" s="113">
        <v>59</v>
      </c>
      <c r="E177" s="114">
        <v>6188</v>
      </c>
      <c r="F177" s="115">
        <v>21662</v>
      </c>
      <c r="G177" s="116">
        <v>650</v>
      </c>
      <c r="H177" s="1731" t="s">
        <v>41</v>
      </c>
      <c r="I177" s="34"/>
      <c r="J177" s="147"/>
      <c r="K177" s="2233" t="s">
        <v>25</v>
      </c>
      <c r="L177" s="147"/>
      <c r="M177" s="147"/>
      <c r="N177" s="147"/>
      <c r="O177" s="2628" t="s">
        <v>6395</v>
      </c>
      <c r="Q177" s="34"/>
    </row>
    <row r="178" spans="1:17" ht="18.75" customHeight="1" x14ac:dyDescent="0.3">
      <c r="A178" s="104">
        <v>172</v>
      </c>
      <c r="B178" s="105" t="s">
        <v>158</v>
      </c>
      <c r="C178" s="129">
        <v>400</v>
      </c>
      <c r="D178" s="136">
        <v>59</v>
      </c>
      <c r="E178" s="114">
        <v>6189</v>
      </c>
      <c r="F178" s="115">
        <v>21662</v>
      </c>
      <c r="G178" s="116">
        <v>650</v>
      </c>
      <c r="H178" s="1731" t="s">
        <v>41</v>
      </c>
      <c r="I178" s="34"/>
      <c r="J178" s="147"/>
      <c r="K178" s="2233" t="s">
        <v>25</v>
      </c>
      <c r="L178" s="147"/>
      <c r="M178" s="147"/>
      <c r="N178" s="147"/>
      <c r="O178" s="2628" t="s">
        <v>6395</v>
      </c>
      <c r="Q178" s="34"/>
    </row>
    <row r="179" spans="1:17" ht="18.75" customHeight="1" x14ac:dyDescent="0.3">
      <c r="A179" s="104">
        <v>173</v>
      </c>
      <c r="B179" s="105" t="s">
        <v>158</v>
      </c>
      <c r="C179" s="129">
        <v>400</v>
      </c>
      <c r="D179" s="128">
        <v>59</v>
      </c>
      <c r="E179" s="114">
        <v>6190</v>
      </c>
      <c r="F179" s="115">
        <v>21662</v>
      </c>
      <c r="G179" s="116">
        <v>650</v>
      </c>
      <c r="H179" s="1731" t="s">
        <v>41</v>
      </c>
      <c r="I179" s="34"/>
      <c r="J179" s="147"/>
      <c r="K179" s="2233" t="s">
        <v>25</v>
      </c>
      <c r="L179" s="147"/>
      <c r="M179" s="147"/>
      <c r="N179" s="147"/>
      <c r="O179" s="2628" t="s">
        <v>6395</v>
      </c>
      <c r="Q179" s="34"/>
    </row>
    <row r="180" spans="1:17" ht="18.75" customHeight="1" x14ac:dyDescent="0.3">
      <c r="A180" s="104">
        <v>174</v>
      </c>
      <c r="B180" s="105" t="s">
        <v>158</v>
      </c>
      <c r="C180" s="129">
        <v>400</v>
      </c>
      <c r="D180" s="113">
        <v>59</v>
      </c>
      <c r="E180" s="114">
        <v>6191</v>
      </c>
      <c r="F180" s="115">
        <v>21662</v>
      </c>
      <c r="G180" s="116">
        <v>650</v>
      </c>
      <c r="H180" s="1731" t="s">
        <v>41</v>
      </c>
      <c r="I180" s="34"/>
      <c r="J180" s="147"/>
      <c r="K180" s="2233" t="s">
        <v>25</v>
      </c>
      <c r="L180" s="147"/>
      <c r="M180" s="147"/>
      <c r="N180" s="147"/>
      <c r="O180" s="2628" t="s">
        <v>6395</v>
      </c>
      <c r="Q180" s="34"/>
    </row>
    <row r="181" spans="1:17" ht="18.75" customHeight="1" x14ac:dyDescent="0.3">
      <c r="A181" s="104">
        <v>175</v>
      </c>
      <c r="B181" s="105" t="s">
        <v>158</v>
      </c>
      <c r="C181" s="129">
        <v>400</v>
      </c>
      <c r="D181" s="113">
        <v>59</v>
      </c>
      <c r="E181" s="114">
        <v>6192</v>
      </c>
      <c r="F181" s="115">
        <v>21662</v>
      </c>
      <c r="G181" s="116">
        <v>650</v>
      </c>
      <c r="H181" s="1731" t="s">
        <v>41</v>
      </c>
      <c r="I181" s="34"/>
      <c r="J181" s="147"/>
      <c r="K181" s="2233" t="s">
        <v>25</v>
      </c>
      <c r="L181" s="147"/>
      <c r="M181" s="147"/>
      <c r="N181" s="147"/>
      <c r="O181" s="2628" t="s">
        <v>6395</v>
      </c>
      <c r="Q181" s="34"/>
    </row>
    <row r="182" spans="1:17" s="150" customFormat="1" ht="21.75" customHeight="1" x14ac:dyDescent="0.3">
      <c r="A182" s="104">
        <v>176</v>
      </c>
      <c r="B182" s="105" t="s">
        <v>158</v>
      </c>
      <c r="C182" s="129">
        <v>400</v>
      </c>
      <c r="D182" s="113">
        <v>59</v>
      </c>
      <c r="E182" s="114">
        <v>6193</v>
      </c>
      <c r="F182" s="115">
        <v>21662</v>
      </c>
      <c r="G182" s="116">
        <v>650</v>
      </c>
      <c r="H182" s="1731" t="s">
        <v>41</v>
      </c>
      <c r="I182" s="34"/>
      <c r="J182" s="147"/>
      <c r="K182" s="2233" t="s">
        <v>25</v>
      </c>
      <c r="L182" s="147"/>
      <c r="M182" s="147"/>
      <c r="N182" s="147"/>
      <c r="O182" s="2628" t="s">
        <v>6395</v>
      </c>
      <c r="P182" s="150" t="s">
        <v>159</v>
      </c>
      <c r="Q182" s="34"/>
    </row>
    <row r="183" spans="1:17" ht="18.75" customHeight="1" x14ac:dyDescent="0.3">
      <c r="A183" s="104">
        <v>177</v>
      </c>
      <c r="B183" s="105" t="s">
        <v>158</v>
      </c>
      <c r="C183" s="129">
        <v>400</v>
      </c>
      <c r="D183" s="113">
        <v>59</v>
      </c>
      <c r="E183" s="114">
        <v>6194</v>
      </c>
      <c r="F183" s="115">
        <v>21662</v>
      </c>
      <c r="G183" s="116">
        <v>650</v>
      </c>
      <c r="H183" s="1731" t="s">
        <v>41</v>
      </c>
      <c r="I183" s="34"/>
      <c r="J183" s="147"/>
      <c r="K183" s="2233" t="s">
        <v>25</v>
      </c>
      <c r="L183" s="147"/>
      <c r="M183" s="147"/>
      <c r="N183" s="147"/>
      <c r="O183" s="2628" t="s">
        <v>6395</v>
      </c>
      <c r="Q183" s="34"/>
    </row>
    <row r="184" spans="1:17" ht="18.75" customHeight="1" x14ac:dyDescent="0.3">
      <c r="A184" s="104">
        <v>178</v>
      </c>
      <c r="B184" s="105" t="s">
        <v>158</v>
      </c>
      <c r="C184" s="129">
        <v>400</v>
      </c>
      <c r="D184" s="113">
        <v>59</v>
      </c>
      <c r="E184" s="114">
        <v>6195</v>
      </c>
      <c r="F184" s="115">
        <v>21662</v>
      </c>
      <c r="G184" s="116">
        <v>650</v>
      </c>
      <c r="H184" s="1731" t="s">
        <v>41</v>
      </c>
      <c r="I184" s="34"/>
      <c r="J184" s="147"/>
      <c r="K184" s="2233" t="s">
        <v>25</v>
      </c>
      <c r="L184" s="147"/>
      <c r="M184" s="147"/>
      <c r="N184" s="147"/>
      <c r="O184" s="2628" t="s">
        <v>6395</v>
      </c>
      <c r="Q184" s="34"/>
    </row>
    <row r="185" spans="1:17" ht="18.75" customHeight="1" x14ac:dyDescent="0.3">
      <c r="A185" s="104">
        <v>179</v>
      </c>
      <c r="B185" s="105" t="s">
        <v>158</v>
      </c>
      <c r="C185" s="129">
        <v>400</v>
      </c>
      <c r="D185" s="113">
        <v>59</v>
      </c>
      <c r="E185" s="114">
        <v>6196</v>
      </c>
      <c r="F185" s="115">
        <v>21662</v>
      </c>
      <c r="G185" s="116">
        <v>650</v>
      </c>
      <c r="H185" s="1731" t="s">
        <v>41</v>
      </c>
      <c r="I185" s="34"/>
      <c r="J185" s="147"/>
      <c r="K185" s="2233" t="s">
        <v>25</v>
      </c>
      <c r="L185" s="147"/>
      <c r="M185" s="147"/>
      <c r="N185" s="147"/>
      <c r="O185" s="2628" t="s">
        <v>6395</v>
      </c>
      <c r="Q185" s="34"/>
    </row>
    <row r="186" spans="1:17" ht="18.75" customHeight="1" x14ac:dyDescent="0.3">
      <c r="A186" s="104">
        <v>180</v>
      </c>
      <c r="B186" s="105" t="s">
        <v>158</v>
      </c>
      <c r="C186" s="129">
        <v>400</v>
      </c>
      <c r="D186" s="113">
        <v>59</v>
      </c>
      <c r="E186" s="114">
        <v>6197</v>
      </c>
      <c r="F186" s="115">
        <v>21662</v>
      </c>
      <c r="G186" s="116">
        <v>650</v>
      </c>
      <c r="H186" s="1731" t="s">
        <v>41</v>
      </c>
      <c r="I186" s="34"/>
      <c r="J186" s="147"/>
      <c r="K186" s="2233" t="s">
        <v>25</v>
      </c>
      <c r="L186" s="147"/>
      <c r="M186" s="147"/>
      <c r="N186" s="147"/>
      <c r="O186" s="2628" t="s">
        <v>6395</v>
      </c>
      <c r="Q186" s="34"/>
    </row>
    <row r="187" spans="1:17" ht="18.75" customHeight="1" x14ac:dyDescent="0.3">
      <c r="A187" s="104">
        <v>181</v>
      </c>
      <c r="B187" s="105" t="s">
        <v>158</v>
      </c>
      <c r="C187" s="129">
        <v>400</v>
      </c>
      <c r="D187" s="136">
        <v>59</v>
      </c>
      <c r="E187" s="114">
        <v>6198</v>
      </c>
      <c r="F187" s="115">
        <v>21662</v>
      </c>
      <c r="G187" s="116">
        <v>650</v>
      </c>
      <c r="H187" s="1731" t="s">
        <v>41</v>
      </c>
      <c r="I187" s="34"/>
      <c r="J187" s="147"/>
      <c r="K187" s="2233" t="s">
        <v>25</v>
      </c>
      <c r="L187" s="147"/>
      <c r="M187" s="147"/>
      <c r="N187" s="147"/>
      <c r="O187" s="2628" t="s">
        <v>6395</v>
      </c>
      <c r="Q187" s="34"/>
    </row>
    <row r="188" spans="1:17" ht="18.75" customHeight="1" x14ac:dyDescent="0.3">
      <c r="A188" s="104">
        <v>182</v>
      </c>
      <c r="B188" s="105" t="s">
        <v>158</v>
      </c>
      <c r="C188" s="129">
        <v>400</v>
      </c>
      <c r="D188" s="128">
        <v>59</v>
      </c>
      <c r="E188" s="114">
        <v>6199</v>
      </c>
      <c r="F188" s="115">
        <v>21662</v>
      </c>
      <c r="G188" s="116">
        <v>650</v>
      </c>
      <c r="H188" s="1731" t="s">
        <v>41</v>
      </c>
      <c r="I188" s="34"/>
      <c r="J188" s="147"/>
      <c r="K188" s="2233" t="s">
        <v>25</v>
      </c>
      <c r="L188" s="147"/>
      <c r="M188" s="147"/>
      <c r="N188" s="147"/>
      <c r="O188" s="2628" t="s">
        <v>6395</v>
      </c>
      <c r="Q188" s="34"/>
    </row>
    <row r="189" spans="1:17" ht="18.75" customHeight="1" x14ac:dyDescent="0.3">
      <c r="A189" s="104">
        <v>183</v>
      </c>
      <c r="B189" s="105" t="s">
        <v>158</v>
      </c>
      <c r="C189" s="129">
        <v>400</v>
      </c>
      <c r="D189" s="113">
        <v>59</v>
      </c>
      <c r="E189" s="114">
        <v>6200</v>
      </c>
      <c r="F189" s="115">
        <v>21662</v>
      </c>
      <c r="G189" s="116">
        <v>650</v>
      </c>
      <c r="H189" s="1731" t="s">
        <v>41</v>
      </c>
      <c r="I189" s="34"/>
      <c r="J189" s="147"/>
      <c r="K189" s="2233" t="s">
        <v>25</v>
      </c>
      <c r="L189" s="147"/>
      <c r="M189" s="147"/>
      <c r="N189" s="147"/>
      <c r="O189" s="2628" t="s">
        <v>6395</v>
      </c>
      <c r="Q189" s="34"/>
    </row>
    <row r="190" spans="1:17" ht="18.75" customHeight="1" x14ac:dyDescent="0.3">
      <c r="A190" s="104">
        <v>184</v>
      </c>
      <c r="B190" s="105" t="s">
        <v>158</v>
      </c>
      <c r="C190" s="129">
        <v>400</v>
      </c>
      <c r="D190" s="113">
        <v>59</v>
      </c>
      <c r="E190" s="114">
        <v>6201</v>
      </c>
      <c r="F190" s="115">
        <v>21662</v>
      </c>
      <c r="G190" s="116">
        <v>650</v>
      </c>
      <c r="H190" s="1731" t="s">
        <v>41</v>
      </c>
      <c r="I190" s="34"/>
      <c r="J190" s="147"/>
      <c r="K190" s="2233" t="s">
        <v>25</v>
      </c>
      <c r="L190" s="147"/>
      <c r="M190" s="147"/>
      <c r="N190" s="147"/>
      <c r="O190" s="2628" t="s">
        <v>6395</v>
      </c>
      <c r="Q190" s="34"/>
    </row>
    <row r="191" spans="1:17" ht="18.75" customHeight="1" x14ac:dyDescent="0.3">
      <c r="A191" s="104">
        <v>185</v>
      </c>
      <c r="B191" s="105" t="s">
        <v>158</v>
      </c>
      <c r="C191" s="129">
        <v>400</v>
      </c>
      <c r="D191" s="113">
        <v>59</v>
      </c>
      <c r="E191" s="114">
        <v>6202</v>
      </c>
      <c r="F191" s="115">
        <v>21662</v>
      </c>
      <c r="G191" s="116">
        <v>650</v>
      </c>
      <c r="H191" s="1731" t="s">
        <v>41</v>
      </c>
      <c r="I191" s="34"/>
      <c r="J191" s="147"/>
      <c r="K191" s="2233" t="s">
        <v>25</v>
      </c>
      <c r="L191" s="147"/>
      <c r="M191" s="147"/>
      <c r="N191" s="147"/>
      <c r="O191" s="2628" t="s">
        <v>6395</v>
      </c>
      <c r="Q191" s="34"/>
    </row>
    <row r="192" spans="1:17" ht="18.75" customHeight="1" x14ac:dyDescent="0.3">
      <c r="A192" s="104">
        <v>186</v>
      </c>
      <c r="B192" s="105" t="s">
        <v>158</v>
      </c>
      <c r="C192" s="129">
        <v>400</v>
      </c>
      <c r="D192" s="113">
        <v>59</v>
      </c>
      <c r="E192" s="114">
        <v>6203</v>
      </c>
      <c r="F192" s="115">
        <v>21662</v>
      </c>
      <c r="G192" s="116">
        <v>650</v>
      </c>
      <c r="H192" s="1731" t="s">
        <v>41</v>
      </c>
      <c r="I192" s="34"/>
      <c r="J192" s="147"/>
      <c r="K192" s="2233" t="s">
        <v>25</v>
      </c>
      <c r="L192" s="147"/>
      <c r="M192" s="147"/>
      <c r="N192" s="147"/>
      <c r="O192" s="2628" t="s">
        <v>6395</v>
      </c>
      <c r="Q192" s="34"/>
    </row>
    <row r="193" spans="1:17" ht="18.75" customHeight="1" x14ac:dyDescent="0.3">
      <c r="A193" s="104">
        <v>187</v>
      </c>
      <c r="B193" s="105" t="s">
        <v>158</v>
      </c>
      <c r="C193" s="129">
        <v>400</v>
      </c>
      <c r="D193" s="113">
        <v>59</v>
      </c>
      <c r="E193" s="114">
        <v>6204</v>
      </c>
      <c r="F193" s="115">
        <v>21662</v>
      </c>
      <c r="G193" s="116">
        <v>650</v>
      </c>
      <c r="H193" s="1731" t="s">
        <v>41</v>
      </c>
      <c r="I193" s="34"/>
      <c r="J193" s="147"/>
      <c r="K193" s="2233" t="s">
        <v>25</v>
      </c>
      <c r="L193" s="147"/>
      <c r="M193" s="147"/>
      <c r="N193" s="147"/>
      <c r="O193" s="2628" t="s">
        <v>6395</v>
      </c>
      <c r="Q193" s="34"/>
    </row>
    <row r="194" spans="1:17" ht="18.75" customHeight="1" x14ac:dyDescent="0.3">
      <c r="A194" s="104">
        <v>188</v>
      </c>
      <c r="B194" s="105" t="s">
        <v>158</v>
      </c>
      <c r="C194" s="129">
        <v>400</v>
      </c>
      <c r="D194" s="125">
        <v>59</v>
      </c>
      <c r="E194" s="114">
        <v>6205</v>
      </c>
      <c r="F194" s="115">
        <v>21662</v>
      </c>
      <c r="G194" s="116">
        <v>650</v>
      </c>
      <c r="H194" s="1731" t="s">
        <v>41</v>
      </c>
      <c r="I194" s="34"/>
      <c r="J194" s="147"/>
      <c r="K194" s="2233" t="s">
        <v>25</v>
      </c>
      <c r="L194" s="147"/>
      <c r="M194" s="147"/>
      <c r="N194" s="147"/>
      <c r="O194" s="2628" t="s">
        <v>6395</v>
      </c>
      <c r="Q194" s="34"/>
    </row>
    <row r="195" spans="1:17" ht="18.75" customHeight="1" x14ac:dyDescent="0.3">
      <c r="A195" s="104">
        <v>189</v>
      </c>
      <c r="B195" s="105" t="s">
        <v>158</v>
      </c>
      <c r="C195" s="129">
        <v>400</v>
      </c>
      <c r="D195" s="128">
        <v>59</v>
      </c>
      <c r="E195" s="114">
        <v>6206</v>
      </c>
      <c r="F195" s="115">
        <v>21662</v>
      </c>
      <c r="G195" s="116">
        <v>650</v>
      </c>
      <c r="H195" s="1731" t="s">
        <v>41</v>
      </c>
      <c r="I195" s="34"/>
      <c r="J195" s="147"/>
      <c r="K195" s="2233" t="s">
        <v>25</v>
      </c>
      <c r="L195" s="147"/>
      <c r="M195" s="147"/>
      <c r="N195" s="147"/>
      <c r="O195" s="2628" t="s">
        <v>6395</v>
      </c>
      <c r="Q195" s="34"/>
    </row>
    <row r="196" spans="1:17" ht="18.75" customHeight="1" x14ac:dyDescent="0.3">
      <c r="A196" s="104">
        <v>190</v>
      </c>
      <c r="B196" s="105" t="s">
        <v>158</v>
      </c>
      <c r="C196" s="129">
        <v>400</v>
      </c>
      <c r="D196" s="113">
        <v>59</v>
      </c>
      <c r="E196" s="114">
        <v>6207</v>
      </c>
      <c r="F196" s="115">
        <v>21662</v>
      </c>
      <c r="G196" s="116">
        <v>650</v>
      </c>
      <c r="H196" s="1731" t="s">
        <v>41</v>
      </c>
      <c r="I196" s="34"/>
      <c r="J196" s="147"/>
      <c r="K196" s="2233" t="s">
        <v>25</v>
      </c>
      <c r="L196" s="147"/>
      <c r="M196" s="147"/>
      <c r="N196" s="147"/>
      <c r="O196" s="2628" t="s">
        <v>6395</v>
      </c>
      <c r="Q196" s="34"/>
    </row>
    <row r="197" spans="1:17" ht="18.75" customHeight="1" x14ac:dyDescent="0.3">
      <c r="A197" s="104">
        <v>191</v>
      </c>
      <c r="B197" s="105" t="s">
        <v>158</v>
      </c>
      <c r="C197" s="129">
        <v>400</v>
      </c>
      <c r="D197" s="113">
        <v>59</v>
      </c>
      <c r="E197" s="114">
        <v>6208</v>
      </c>
      <c r="F197" s="115">
        <v>21662</v>
      </c>
      <c r="G197" s="116">
        <v>650</v>
      </c>
      <c r="H197" s="1731" t="s">
        <v>41</v>
      </c>
      <c r="I197" s="34"/>
      <c r="J197" s="147"/>
      <c r="K197" s="2233" t="s">
        <v>25</v>
      </c>
      <c r="L197" s="147"/>
      <c r="M197" s="147"/>
      <c r="N197" s="147"/>
      <c r="O197" s="2628" t="s">
        <v>6395</v>
      </c>
      <c r="Q197" s="34"/>
    </row>
    <row r="198" spans="1:17" ht="18.75" customHeight="1" x14ac:dyDescent="0.3">
      <c r="A198" s="104">
        <v>192</v>
      </c>
      <c r="B198" s="105" t="s">
        <v>158</v>
      </c>
      <c r="C198" s="129">
        <v>400</v>
      </c>
      <c r="D198" s="113">
        <v>59</v>
      </c>
      <c r="E198" s="114">
        <v>6209</v>
      </c>
      <c r="F198" s="115">
        <v>21662</v>
      </c>
      <c r="G198" s="116">
        <v>650</v>
      </c>
      <c r="H198" s="1731" t="s">
        <v>41</v>
      </c>
      <c r="I198" s="34"/>
      <c r="J198" s="147"/>
      <c r="K198" s="2233" t="s">
        <v>25</v>
      </c>
      <c r="L198" s="147"/>
      <c r="M198" s="147"/>
      <c r="N198" s="147"/>
      <c r="O198" s="2628" t="s">
        <v>6395</v>
      </c>
      <c r="Q198" s="34"/>
    </row>
    <row r="199" spans="1:17" ht="18.75" customHeight="1" x14ac:dyDescent="0.3">
      <c r="A199" s="104">
        <v>193</v>
      </c>
      <c r="B199" s="105" t="s">
        <v>158</v>
      </c>
      <c r="C199" s="129">
        <v>400</v>
      </c>
      <c r="D199" s="113">
        <v>59</v>
      </c>
      <c r="E199" s="114">
        <v>6210</v>
      </c>
      <c r="F199" s="115">
        <v>21662</v>
      </c>
      <c r="G199" s="116">
        <v>650</v>
      </c>
      <c r="H199" s="1731" t="s">
        <v>41</v>
      </c>
      <c r="I199" s="34"/>
      <c r="J199" s="147"/>
      <c r="K199" s="2233" t="s">
        <v>25</v>
      </c>
      <c r="L199" s="147"/>
      <c r="M199" s="147"/>
      <c r="N199" s="147"/>
      <c r="O199" s="2628" t="s">
        <v>6395</v>
      </c>
      <c r="Q199" s="34"/>
    </row>
    <row r="200" spans="1:17" ht="18.75" customHeight="1" x14ac:dyDescent="0.3">
      <c r="A200" s="104">
        <v>194</v>
      </c>
      <c r="B200" s="105" t="s">
        <v>158</v>
      </c>
      <c r="C200" s="129">
        <v>400</v>
      </c>
      <c r="D200" s="113">
        <v>59</v>
      </c>
      <c r="E200" s="114">
        <v>6211</v>
      </c>
      <c r="F200" s="115">
        <v>21662</v>
      </c>
      <c r="G200" s="116">
        <v>650</v>
      </c>
      <c r="H200" s="1731" t="s">
        <v>41</v>
      </c>
      <c r="I200" s="34"/>
      <c r="J200" s="147"/>
      <c r="K200" s="2233" t="s">
        <v>25</v>
      </c>
      <c r="L200" s="147"/>
      <c r="M200" s="147"/>
      <c r="N200" s="147"/>
      <c r="O200" s="2628" t="s">
        <v>6395</v>
      </c>
      <c r="Q200" s="34"/>
    </row>
    <row r="201" spans="1:17" ht="18.75" customHeight="1" x14ac:dyDescent="0.3">
      <c r="A201" s="104">
        <v>195</v>
      </c>
      <c r="B201" s="105" t="s">
        <v>158</v>
      </c>
      <c r="C201" s="129">
        <v>400</v>
      </c>
      <c r="D201" s="113">
        <v>59</v>
      </c>
      <c r="E201" s="114">
        <v>6212</v>
      </c>
      <c r="F201" s="115">
        <v>21662</v>
      </c>
      <c r="G201" s="116">
        <v>650</v>
      </c>
      <c r="H201" s="1731" t="s">
        <v>41</v>
      </c>
      <c r="I201" s="34"/>
      <c r="J201" s="147"/>
      <c r="K201" s="2233" t="s">
        <v>25</v>
      </c>
      <c r="L201" s="147"/>
      <c r="M201" s="147"/>
      <c r="N201" s="147"/>
      <c r="O201" s="2628" t="s">
        <v>6395</v>
      </c>
      <c r="Q201" s="34"/>
    </row>
    <row r="202" spans="1:17" ht="18.75" customHeight="1" x14ac:dyDescent="0.3">
      <c r="A202" s="104">
        <v>196</v>
      </c>
      <c r="B202" s="105" t="s">
        <v>158</v>
      </c>
      <c r="C202" s="129">
        <v>400</v>
      </c>
      <c r="D202" s="113">
        <v>59</v>
      </c>
      <c r="E202" s="114">
        <v>6213</v>
      </c>
      <c r="F202" s="115">
        <v>21662</v>
      </c>
      <c r="G202" s="116">
        <v>650</v>
      </c>
      <c r="H202" s="1731" t="s">
        <v>41</v>
      </c>
      <c r="I202" s="34"/>
      <c r="J202" s="147"/>
      <c r="K202" s="2233" t="s">
        <v>25</v>
      </c>
      <c r="L202" s="147"/>
      <c r="M202" s="147"/>
      <c r="N202" s="147"/>
      <c r="O202" s="2628" t="s">
        <v>6395</v>
      </c>
      <c r="Q202" s="34"/>
    </row>
    <row r="203" spans="1:17" ht="18.75" customHeight="1" x14ac:dyDescent="0.3">
      <c r="A203" s="104">
        <v>197</v>
      </c>
      <c r="B203" s="105" t="s">
        <v>158</v>
      </c>
      <c r="C203" s="129">
        <v>400</v>
      </c>
      <c r="D203" s="113">
        <v>59</v>
      </c>
      <c r="E203" s="114">
        <v>6214</v>
      </c>
      <c r="F203" s="115">
        <v>21662</v>
      </c>
      <c r="G203" s="116">
        <v>650</v>
      </c>
      <c r="H203" s="1731" t="s">
        <v>41</v>
      </c>
      <c r="I203" s="34"/>
      <c r="J203" s="147"/>
      <c r="K203" s="2233" t="s">
        <v>25</v>
      </c>
      <c r="L203" s="147"/>
      <c r="M203" s="147"/>
      <c r="N203" s="147"/>
      <c r="O203" s="2628" t="s">
        <v>6395</v>
      </c>
      <c r="Q203" s="34"/>
    </row>
    <row r="204" spans="1:17" ht="18.75" customHeight="1" x14ac:dyDescent="0.3">
      <c r="A204" s="104">
        <v>198</v>
      </c>
      <c r="B204" s="105" t="s">
        <v>158</v>
      </c>
      <c r="C204" s="129">
        <v>400</v>
      </c>
      <c r="D204" s="113">
        <v>59</v>
      </c>
      <c r="E204" s="114">
        <v>6215</v>
      </c>
      <c r="F204" s="115">
        <v>21662</v>
      </c>
      <c r="G204" s="116">
        <v>650</v>
      </c>
      <c r="H204" s="1731" t="s">
        <v>41</v>
      </c>
      <c r="I204" s="34"/>
      <c r="J204" s="147"/>
      <c r="K204" s="2233" t="s">
        <v>25</v>
      </c>
      <c r="L204" s="147"/>
      <c r="M204" s="147"/>
      <c r="N204" s="147"/>
      <c r="O204" s="2628" t="s">
        <v>6395</v>
      </c>
      <c r="Q204" s="34"/>
    </row>
    <row r="205" spans="1:17" ht="18.75" customHeight="1" x14ac:dyDescent="0.3">
      <c r="A205" s="104">
        <v>199</v>
      </c>
      <c r="B205" s="105" t="s">
        <v>158</v>
      </c>
      <c r="C205" s="129">
        <v>400</v>
      </c>
      <c r="D205" s="113">
        <v>59</v>
      </c>
      <c r="E205" s="114">
        <v>6216</v>
      </c>
      <c r="F205" s="115">
        <v>21662</v>
      </c>
      <c r="G205" s="116">
        <v>650</v>
      </c>
      <c r="H205" s="1731" t="s">
        <v>41</v>
      </c>
      <c r="I205" s="34"/>
      <c r="J205" s="147"/>
      <c r="K205" s="2233" t="s">
        <v>25</v>
      </c>
      <c r="L205" s="147"/>
      <c r="M205" s="147"/>
      <c r="N205" s="147"/>
      <c r="O205" s="2628" t="s">
        <v>6395</v>
      </c>
      <c r="Q205" s="34"/>
    </row>
    <row r="206" spans="1:17" ht="18.75" customHeight="1" x14ac:dyDescent="0.3">
      <c r="A206" s="104">
        <v>200</v>
      </c>
      <c r="B206" s="105" t="s">
        <v>158</v>
      </c>
      <c r="C206" s="129">
        <v>400</v>
      </c>
      <c r="D206" s="125">
        <v>59</v>
      </c>
      <c r="E206" s="114">
        <v>6217</v>
      </c>
      <c r="F206" s="115">
        <v>21662</v>
      </c>
      <c r="G206" s="116">
        <v>650</v>
      </c>
      <c r="H206" s="1731" t="s">
        <v>41</v>
      </c>
      <c r="I206" s="34"/>
      <c r="J206" s="147"/>
      <c r="K206" s="2233" t="s">
        <v>25</v>
      </c>
      <c r="L206" s="147"/>
      <c r="M206" s="147"/>
      <c r="N206" s="147"/>
      <c r="O206" s="2628" t="s">
        <v>6395</v>
      </c>
      <c r="Q206" s="34"/>
    </row>
    <row r="207" spans="1:17" ht="18.75" customHeight="1" x14ac:dyDescent="0.3">
      <c r="A207" s="104">
        <v>201</v>
      </c>
      <c r="B207" s="105" t="s">
        <v>158</v>
      </c>
      <c r="C207" s="129">
        <v>400</v>
      </c>
      <c r="D207" s="128">
        <v>59</v>
      </c>
      <c r="E207" s="114">
        <v>6218</v>
      </c>
      <c r="F207" s="115">
        <v>21662</v>
      </c>
      <c r="G207" s="116">
        <v>650</v>
      </c>
      <c r="H207" s="1731" t="s">
        <v>41</v>
      </c>
      <c r="I207" s="34"/>
      <c r="J207" s="147"/>
      <c r="K207" s="2233" t="s">
        <v>25</v>
      </c>
      <c r="L207" s="147"/>
      <c r="M207" s="147"/>
      <c r="N207" s="147"/>
      <c r="O207" s="2628" t="s">
        <v>6395</v>
      </c>
      <c r="Q207" s="34"/>
    </row>
    <row r="208" spans="1:17" ht="18.75" customHeight="1" x14ac:dyDescent="0.3">
      <c r="A208" s="104">
        <v>202</v>
      </c>
      <c r="B208" s="105" t="s">
        <v>158</v>
      </c>
      <c r="C208" s="129">
        <v>400</v>
      </c>
      <c r="D208" s="113">
        <v>59</v>
      </c>
      <c r="E208" s="114">
        <v>6219</v>
      </c>
      <c r="F208" s="115">
        <v>21662</v>
      </c>
      <c r="G208" s="116">
        <v>650</v>
      </c>
      <c r="H208" s="1731" t="s">
        <v>41</v>
      </c>
      <c r="I208" s="34"/>
      <c r="J208" s="147"/>
      <c r="K208" s="2233" t="s">
        <v>25</v>
      </c>
      <c r="L208" s="147"/>
      <c r="M208" s="147"/>
      <c r="N208" s="147"/>
      <c r="O208" s="2628" t="s">
        <v>6395</v>
      </c>
      <c r="Q208" s="34"/>
    </row>
    <row r="209" spans="1:17" ht="18.75" customHeight="1" x14ac:dyDescent="0.3">
      <c r="A209" s="104">
        <v>203</v>
      </c>
      <c r="B209" s="105" t="s">
        <v>158</v>
      </c>
      <c r="C209" s="129">
        <v>400</v>
      </c>
      <c r="D209" s="113">
        <v>59</v>
      </c>
      <c r="E209" s="114">
        <v>6220</v>
      </c>
      <c r="F209" s="115">
        <v>21662</v>
      </c>
      <c r="G209" s="116">
        <v>650</v>
      </c>
      <c r="H209" s="1731" t="s">
        <v>41</v>
      </c>
      <c r="I209" s="34"/>
      <c r="J209" s="147"/>
      <c r="K209" s="2233" t="s">
        <v>25</v>
      </c>
      <c r="L209" s="147"/>
      <c r="M209" s="147"/>
      <c r="N209" s="147"/>
      <c r="O209" s="2628" t="s">
        <v>6395</v>
      </c>
      <c r="Q209" s="34"/>
    </row>
    <row r="210" spans="1:17" ht="18.75" customHeight="1" x14ac:dyDescent="0.3">
      <c r="A210" s="104">
        <v>204</v>
      </c>
      <c r="B210" s="105" t="s">
        <v>158</v>
      </c>
      <c r="C210" s="129">
        <v>400</v>
      </c>
      <c r="D210" s="113">
        <v>59</v>
      </c>
      <c r="E210" s="114">
        <v>6221</v>
      </c>
      <c r="F210" s="115">
        <v>21662</v>
      </c>
      <c r="G210" s="116">
        <v>650</v>
      </c>
      <c r="H210" s="1731" t="s">
        <v>41</v>
      </c>
      <c r="I210" s="34"/>
      <c r="J210" s="147"/>
      <c r="K210" s="2233" t="s">
        <v>25</v>
      </c>
      <c r="L210" s="147"/>
      <c r="M210" s="147"/>
      <c r="N210" s="147"/>
      <c r="O210" s="2628" t="s">
        <v>6395</v>
      </c>
      <c r="Q210" s="34"/>
    </row>
    <row r="211" spans="1:17" ht="18.75" customHeight="1" x14ac:dyDescent="0.3">
      <c r="A211" s="104">
        <v>205</v>
      </c>
      <c r="B211" s="105" t="s">
        <v>158</v>
      </c>
      <c r="C211" s="129">
        <v>400</v>
      </c>
      <c r="D211" s="113">
        <v>59</v>
      </c>
      <c r="E211" s="114">
        <v>6222</v>
      </c>
      <c r="F211" s="115">
        <v>21662</v>
      </c>
      <c r="G211" s="116">
        <v>650</v>
      </c>
      <c r="H211" s="1731" t="s">
        <v>41</v>
      </c>
      <c r="I211" s="34"/>
      <c r="J211" s="147"/>
      <c r="K211" s="2233" t="s">
        <v>25</v>
      </c>
      <c r="L211" s="147"/>
      <c r="M211" s="147"/>
      <c r="N211" s="147"/>
      <c r="O211" s="2628" t="s">
        <v>6395</v>
      </c>
      <c r="Q211" s="34"/>
    </row>
    <row r="212" spans="1:17" ht="18.75" customHeight="1" x14ac:dyDescent="0.3">
      <c r="A212" s="104">
        <v>206</v>
      </c>
      <c r="B212" s="105" t="s">
        <v>158</v>
      </c>
      <c r="C212" s="129">
        <v>400</v>
      </c>
      <c r="D212" s="113">
        <v>59</v>
      </c>
      <c r="E212" s="114">
        <v>6223</v>
      </c>
      <c r="F212" s="115">
        <v>21662</v>
      </c>
      <c r="G212" s="116">
        <v>650</v>
      </c>
      <c r="H212" s="1731" t="s">
        <v>41</v>
      </c>
      <c r="I212" s="34"/>
      <c r="J212" s="147"/>
      <c r="K212" s="2233" t="s">
        <v>25</v>
      </c>
      <c r="L212" s="147"/>
      <c r="M212" s="147"/>
      <c r="N212" s="147"/>
      <c r="O212" s="2628" t="s">
        <v>6395</v>
      </c>
      <c r="Q212" s="34"/>
    </row>
    <row r="213" spans="1:17" ht="18.75" customHeight="1" x14ac:dyDescent="0.3">
      <c r="A213" s="104">
        <v>207</v>
      </c>
      <c r="B213" s="105" t="s">
        <v>158</v>
      </c>
      <c r="C213" s="129">
        <v>400</v>
      </c>
      <c r="D213" s="113">
        <v>59</v>
      </c>
      <c r="E213" s="114">
        <v>6224</v>
      </c>
      <c r="F213" s="115">
        <v>21662</v>
      </c>
      <c r="G213" s="116">
        <v>650</v>
      </c>
      <c r="H213" s="1731" t="s">
        <v>41</v>
      </c>
      <c r="I213" s="34"/>
      <c r="J213" s="34"/>
      <c r="K213" s="2233" t="s">
        <v>25</v>
      </c>
      <c r="L213" s="147"/>
      <c r="M213" s="147"/>
      <c r="N213" s="147"/>
      <c r="O213" s="2628" t="s">
        <v>6395</v>
      </c>
      <c r="Q213" s="34"/>
    </row>
    <row r="214" spans="1:17" ht="18.75" customHeight="1" x14ac:dyDescent="0.3">
      <c r="A214" s="104">
        <v>208</v>
      </c>
      <c r="B214" s="105" t="s">
        <v>158</v>
      </c>
      <c r="C214" s="129">
        <v>400</v>
      </c>
      <c r="D214" s="113">
        <v>59</v>
      </c>
      <c r="E214" s="114">
        <v>6225</v>
      </c>
      <c r="F214" s="115">
        <v>21662</v>
      </c>
      <c r="G214" s="116">
        <v>650</v>
      </c>
      <c r="H214" s="1731" t="s">
        <v>41</v>
      </c>
      <c r="I214" s="34"/>
      <c r="J214" s="147"/>
      <c r="K214" s="2233" t="s">
        <v>25</v>
      </c>
      <c r="L214" s="147"/>
      <c r="M214" s="147"/>
      <c r="N214" s="147"/>
      <c r="O214" s="2628" t="s">
        <v>6395</v>
      </c>
      <c r="Q214" s="34"/>
    </row>
    <row r="215" spans="1:17" ht="18.75" customHeight="1" x14ac:dyDescent="0.3">
      <c r="A215" s="104">
        <v>209</v>
      </c>
      <c r="B215" s="105" t="s">
        <v>158</v>
      </c>
      <c r="C215" s="129">
        <v>400</v>
      </c>
      <c r="D215" s="125">
        <v>59</v>
      </c>
      <c r="E215" s="114">
        <v>6226</v>
      </c>
      <c r="F215" s="303">
        <v>21662</v>
      </c>
      <c r="G215" s="116">
        <v>650</v>
      </c>
      <c r="H215" s="1731" t="s">
        <v>41</v>
      </c>
      <c r="I215" s="34"/>
      <c r="J215" s="147"/>
      <c r="K215" s="2233" t="s">
        <v>25</v>
      </c>
      <c r="L215" s="147"/>
      <c r="M215" s="147"/>
      <c r="N215" s="147"/>
      <c r="O215" s="2628" t="s">
        <v>6395</v>
      </c>
      <c r="Q215" s="34"/>
    </row>
    <row r="216" spans="1:17" ht="18.75" customHeight="1" x14ac:dyDescent="0.45">
      <c r="A216" s="2675"/>
      <c r="B216" s="2602"/>
      <c r="C216" s="1715"/>
      <c r="D216" s="127"/>
      <c r="E216" s="1160"/>
      <c r="F216" s="2674"/>
      <c r="G216" s="2680">
        <f>SUM(G7:G215)</f>
        <v>161090</v>
      </c>
      <c r="H216" s="2681"/>
      <c r="I216" s="1427"/>
      <c r="J216" s="1428"/>
      <c r="K216" s="2677"/>
      <c r="L216" s="1428"/>
      <c r="M216" s="1428"/>
      <c r="N216" s="1428"/>
      <c r="O216" s="2678"/>
      <c r="Q216" s="2611"/>
    </row>
    <row r="217" spans="1:17" ht="18.75" customHeight="1" x14ac:dyDescent="0.45">
      <c r="A217" s="2675"/>
      <c r="B217" s="2602"/>
      <c r="C217" s="1715"/>
      <c r="D217" s="127"/>
      <c r="E217" s="1160"/>
      <c r="F217" s="2603"/>
      <c r="G217" s="1226"/>
      <c r="H217" s="1016"/>
      <c r="I217" s="2611"/>
      <c r="J217" s="1259"/>
      <c r="K217" s="2615"/>
      <c r="L217" s="1259"/>
      <c r="M217" s="1259"/>
      <c r="N217" s="1259"/>
      <c r="O217" s="2679"/>
      <c r="P217" s="2662"/>
      <c r="Q217" s="2611"/>
    </row>
    <row r="218" spans="1:17" ht="18.75" customHeight="1" x14ac:dyDescent="0.45">
      <c r="A218" s="2676"/>
      <c r="B218" s="2602"/>
      <c r="C218" s="1715"/>
      <c r="D218" s="127"/>
      <c r="E218" s="2673"/>
      <c r="F218" s="2603"/>
      <c r="G218" s="2672"/>
      <c r="H218" s="2682"/>
      <c r="I218" s="2607"/>
      <c r="J218" s="2608"/>
      <c r="K218" s="2609"/>
      <c r="L218" s="2608"/>
      <c r="M218" s="2608"/>
      <c r="N218" s="2608"/>
      <c r="O218" s="2610"/>
      <c r="Q218" s="2611"/>
    </row>
    <row r="219" spans="1:17" ht="18.75" customHeight="1" x14ac:dyDescent="0.3">
      <c r="A219" s="179">
        <v>401</v>
      </c>
      <c r="B219" s="180" t="s">
        <v>178</v>
      </c>
      <c r="C219" s="181"/>
      <c r="D219" s="182"/>
      <c r="E219" s="183"/>
      <c r="F219" s="1751"/>
      <c r="G219" s="184"/>
      <c r="H219" s="185"/>
      <c r="I219" s="186"/>
      <c r="J219" s="186"/>
      <c r="K219" s="186"/>
      <c r="L219" s="186"/>
      <c r="M219" s="186"/>
      <c r="N219" s="186"/>
      <c r="O219" s="187"/>
    </row>
    <row r="220" spans="1:17" s="10" customFormat="1" ht="18.75" customHeight="1" x14ac:dyDescent="0.3">
      <c r="A220" s="2844" t="s">
        <v>3</v>
      </c>
      <c r="B220" s="2846" t="s">
        <v>4</v>
      </c>
      <c r="C220" s="2848" t="s">
        <v>5</v>
      </c>
      <c r="D220" s="2849"/>
      <c r="E220" s="2850"/>
      <c r="F220" s="8" t="s">
        <v>6</v>
      </c>
      <c r="G220" s="2854" t="s">
        <v>7</v>
      </c>
      <c r="H220" s="2856" t="s">
        <v>8</v>
      </c>
      <c r="I220" s="2858" t="s">
        <v>9</v>
      </c>
      <c r="J220" s="2859"/>
      <c r="K220" s="2859"/>
      <c r="L220" s="2859"/>
      <c r="M220" s="2859"/>
      <c r="N220" s="2860"/>
      <c r="O220" s="9" t="s">
        <v>10</v>
      </c>
    </row>
    <row r="221" spans="1:17" s="10" customFormat="1" ht="42" customHeight="1" x14ac:dyDescent="0.3">
      <c r="A221" s="2845"/>
      <c r="B221" s="2847"/>
      <c r="C221" s="2851"/>
      <c r="D221" s="2852"/>
      <c r="E221" s="2853"/>
      <c r="F221" s="11" t="s">
        <v>11</v>
      </c>
      <c r="G221" s="2855"/>
      <c r="H221" s="2857"/>
      <c r="I221" s="14" t="s">
        <v>12</v>
      </c>
      <c r="J221" s="14" t="s">
        <v>13</v>
      </c>
      <c r="K221" s="15" t="s">
        <v>14</v>
      </c>
      <c r="L221" s="15" t="s">
        <v>15</v>
      </c>
      <c r="M221" s="15" t="s">
        <v>16</v>
      </c>
      <c r="N221" s="15" t="s">
        <v>17</v>
      </c>
      <c r="O221" s="13"/>
    </row>
    <row r="222" spans="1:17" ht="18.75" customHeight="1" x14ac:dyDescent="0.3">
      <c r="A222" s="104">
        <v>1</v>
      </c>
      <c r="B222" s="105" t="s">
        <v>193</v>
      </c>
      <c r="C222" s="129">
        <v>401</v>
      </c>
      <c r="D222" s="113">
        <v>59</v>
      </c>
      <c r="E222" s="114">
        <v>8171</v>
      </c>
      <c r="F222" s="115">
        <v>240764</v>
      </c>
      <c r="G222" s="116">
        <v>350</v>
      </c>
      <c r="H222" s="1731" t="s">
        <v>41</v>
      </c>
      <c r="I222" s="104"/>
      <c r="J222" s="104"/>
      <c r="K222" s="104" t="s">
        <v>25</v>
      </c>
      <c r="L222" s="104"/>
      <c r="M222" s="104"/>
      <c r="N222" s="104"/>
      <c r="O222" s="2628" t="s">
        <v>6395</v>
      </c>
      <c r="Q222" s="104"/>
    </row>
    <row r="223" spans="1:17" ht="18.75" customHeight="1" x14ac:dyDescent="0.3">
      <c r="A223" s="189">
        <v>2</v>
      </c>
      <c r="B223" s="105" t="s">
        <v>193</v>
      </c>
      <c r="C223" s="129">
        <v>401</v>
      </c>
      <c r="D223" s="113">
        <v>59</v>
      </c>
      <c r="E223" s="114">
        <v>8172</v>
      </c>
      <c r="F223" s="115">
        <v>240764</v>
      </c>
      <c r="G223" s="116">
        <v>350</v>
      </c>
      <c r="H223" s="1731" t="s">
        <v>41</v>
      </c>
      <c r="I223" s="104"/>
      <c r="J223" s="104"/>
      <c r="K223" s="104" t="s">
        <v>25</v>
      </c>
      <c r="L223" s="104"/>
      <c r="M223" s="104"/>
      <c r="N223" s="104"/>
      <c r="O223" s="2628" t="s">
        <v>6395</v>
      </c>
      <c r="Q223" s="104"/>
    </row>
    <row r="224" spans="1:17" ht="18.75" customHeight="1" x14ac:dyDescent="0.3">
      <c r="A224" s="104">
        <v>3</v>
      </c>
      <c r="B224" s="105" t="s">
        <v>193</v>
      </c>
      <c r="C224" s="129">
        <v>401</v>
      </c>
      <c r="D224" s="113">
        <v>59</v>
      </c>
      <c r="E224" s="114">
        <v>8173</v>
      </c>
      <c r="F224" s="115">
        <v>240764</v>
      </c>
      <c r="G224" s="116">
        <v>350</v>
      </c>
      <c r="H224" s="1731" t="s">
        <v>41</v>
      </c>
      <c r="I224" s="104"/>
      <c r="J224" s="104"/>
      <c r="K224" s="104" t="s">
        <v>25</v>
      </c>
      <c r="L224" s="104"/>
      <c r="M224" s="104"/>
      <c r="N224" s="104"/>
      <c r="O224" s="2628" t="s">
        <v>6395</v>
      </c>
      <c r="Q224" s="104"/>
    </row>
    <row r="225" spans="1:17" ht="18.75" customHeight="1" x14ac:dyDescent="0.3">
      <c r="A225" s="104">
        <v>4</v>
      </c>
      <c r="B225" s="105" t="s">
        <v>193</v>
      </c>
      <c r="C225" s="129">
        <v>401</v>
      </c>
      <c r="D225" s="125">
        <v>59</v>
      </c>
      <c r="E225" s="114">
        <v>8174</v>
      </c>
      <c r="F225" s="115">
        <v>240764</v>
      </c>
      <c r="G225" s="116">
        <v>350</v>
      </c>
      <c r="H225" s="1731" t="s">
        <v>41</v>
      </c>
      <c r="I225" s="104"/>
      <c r="J225" s="104"/>
      <c r="K225" s="104" t="s">
        <v>25</v>
      </c>
      <c r="L225" s="104"/>
      <c r="M225" s="104"/>
      <c r="N225" s="104"/>
      <c r="O225" s="2628" t="s">
        <v>6395</v>
      </c>
      <c r="Q225" s="104"/>
    </row>
    <row r="226" spans="1:17" ht="18.75" customHeight="1" x14ac:dyDescent="0.3">
      <c r="A226" s="189">
        <v>5</v>
      </c>
      <c r="B226" s="105" t="s">
        <v>193</v>
      </c>
      <c r="C226" s="129">
        <v>401</v>
      </c>
      <c r="D226" s="128">
        <v>59</v>
      </c>
      <c r="E226" s="114">
        <v>8175</v>
      </c>
      <c r="F226" s="115">
        <v>240764</v>
      </c>
      <c r="G226" s="116">
        <v>350</v>
      </c>
      <c r="H226" s="1731" t="s">
        <v>41</v>
      </c>
      <c r="I226" s="104"/>
      <c r="J226" s="104"/>
      <c r="K226" s="104" t="s">
        <v>25</v>
      </c>
      <c r="L226" s="104"/>
      <c r="M226" s="104"/>
      <c r="N226" s="104"/>
      <c r="O226" s="2628" t="s">
        <v>6395</v>
      </c>
      <c r="Q226" s="104"/>
    </row>
    <row r="227" spans="1:17" ht="18.75" customHeight="1" x14ac:dyDescent="0.3">
      <c r="A227" s="104">
        <v>6</v>
      </c>
      <c r="B227" s="105" t="s">
        <v>193</v>
      </c>
      <c r="C227" s="129">
        <v>401</v>
      </c>
      <c r="D227" s="113">
        <v>59</v>
      </c>
      <c r="E227" s="114">
        <v>8176</v>
      </c>
      <c r="F227" s="115">
        <v>240764</v>
      </c>
      <c r="G227" s="116">
        <v>350</v>
      </c>
      <c r="H227" s="1731" t="s">
        <v>41</v>
      </c>
      <c r="I227" s="104"/>
      <c r="J227" s="104"/>
      <c r="K227" s="104" t="s">
        <v>25</v>
      </c>
      <c r="L227" s="104"/>
      <c r="M227" s="104"/>
      <c r="N227" s="104"/>
      <c r="O227" s="2628" t="s">
        <v>6395</v>
      </c>
      <c r="Q227" s="104"/>
    </row>
    <row r="228" spans="1:17" ht="18.75" customHeight="1" x14ac:dyDescent="0.3">
      <c r="A228" s="104">
        <v>7</v>
      </c>
      <c r="B228" s="105" t="s">
        <v>193</v>
      </c>
      <c r="C228" s="129">
        <v>401</v>
      </c>
      <c r="D228" s="113">
        <v>59</v>
      </c>
      <c r="E228" s="114">
        <v>8177</v>
      </c>
      <c r="F228" s="115">
        <v>240764</v>
      </c>
      <c r="G228" s="116">
        <v>350</v>
      </c>
      <c r="H228" s="1731" t="s">
        <v>41</v>
      </c>
      <c r="I228" s="104"/>
      <c r="J228" s="104"/>
      <c r="K228" s="104" t="s">
        <v>25</v>
      </c>
      <c r="L228" s="104"/>
      <c r="M228" s="104"/>
      <c r="N228" s="104"/>
      <c r="O228" s="2628" t="s">
        <v>6395</v>
      </c>
      <c r="Q228" s="104"/>
    </row>
    <row r="229" spans="1:17" ht="18.75" customHeight="1" x14ac:dyDescent="0.3">
      <c r="A229" s="189">
        <v>8</v>
      </c>
      <c r="B229" s="105" t="s">
        <v>193</v>
      </c>
      <c r="C229" s="129">
        <v>401</v>
      </c>
      <c r="D229" s="113">
        <v>59</v>
      </c>
      <c r="E229" s="114">
        <v>8178</v>
      </c>
      <c r="F229" s="115">
        <v>240764</v>
      </c>
      <c r="G229" s="116">
        <v>350</v>
      </c>
      <c r="H229" s="1731" t="s">
        <v>41</v>
      </c>
      <c r="I229" s="104"/>
      <c r="J229" s="104"/>
      <c r="K229" s="104" t="s">
        <v>25</v>
      </c>
      <c r="L229" s="104"/>
      <c r="M229" s="104"/>
      <c r="N229" s="104"/>
      <c r="O229" s="2628" t="s">
        <v>6395</v>
      </c>
      <c r="Q229" s="104"/>
    </row>
    <row r="230" spans="1:17" ht="18.75" customHeight="1" x14ac:dyDescent="0.3">
      <c r="A230" s="104">
        <v>9</v>
      </c>
      <c r="B230" s="105" t="s">
        <v>193</v>
      </c>
      <c r="C230" s="129">
        <v>401</v>
      </c>
      <c r="D230" s="113">
        <v>59</v>
      </c>
      <c r="E230" s="114">
        <v>8179</v>
      </c>
      <c r="F230" s="115">
        <v>240764</v>
      </c>
      <c r="G230" s="116">
        <v>350</v>
      </c>
      <c r="H230" s="1731" t="s">
        <v>41</v>
      </c>
      <c r="I230" s="104"/>
      <c r="J230" s="104"/>
      <c r="K230" s="104" t="s">
        <v>25</v>
      </c>
      <c r="L230" s="104"/>
      <c r="M230" s="104"/>
      <c r="N230" s="104"/>
      <c r="O230" s="2628" t="s">
        <v>6395</v>
      </c>
      <c r="Q230" s="104"/>
    </row>
    <row r="231" spans="1:17" ht="18.75" customHeight="1" x14ac:dyDescent="0.3">
      <c r="A231" s="104">
        <v>10</v>
      </c>
      <c r="B231" s="105" t="s">
        <v>193</v>
      </c>
      <c r="C231" s="129">
        <v>401</v>
      </c>
      <c r="D231" s="125">
        <v>59</v>
      </c>
      <c r="E231" s="114">
        <v>8180</v>
      </c>
      <c r="F231" s="115">
        <v>240764</v>
      </c>
      <c r="G231" s="116">
        <v>350</v>
      </c>
      <c r="H231" s="1731" t="s">
        <v>41</v>
      </c>
      <c r="I231" s="104"/>
      <c r="J231" s="104"/>
      <c r="K231" s="104" t="s">
        <v>25</v>
      </c>
      <c r="L231" s="104"/>
      <c r="M231" s="104"/>
      <c r="N231" s="104"/>
      <c r="O231" s="2628" t="s">
        <v>6395</v>
      </c>
      <c r="Q231" s="104"/>
    </row>
    <row r="232" spans="1:17" ht="18.75" customHeight="1" x14ac:dyDescent="0.3">
      <c r="A232" s="189">
        <v>11</v>
      </c>
      <c r="B232" s="105" t="s">
        <v>193</v>
      </c>
      <c r="C232" s="129">
        <v>401</v>
      </c>
      <c r="D232" s="128">
        <v>59</v>
      </c>
      <c r="E232" s="114">
        <v>8181</v>
      </c>
      <c r="F232" s="115">
        <v>240764</v>
      </c>
      <c r="G232" s="116">
        <v>350</v>
      </c>
      <c r="H232" s="1731" t="s">
        <v>41</v>
      </c>
      <c r="I232" s="104"/>
      <c r="J232" s="104"/>
      <c r="K232" s="104" t="s">
        <v>25</v>
      </c>
      <c r="L232" s="104"/>
      <c r="M232" s="104"/>
      <c r="N232" s="104"/>
      <c r="O232" s="2628" t="s">
        <v>6395</v>
      </c>
      <c r="Q232" s="104"/>
    </row>
    <row r="233" spans="1:17" ht="18.75" customHeight="1" x14ac:dyDescent="0.3">
      <c r="A233" s="104">
        <v>12</v>
      </c>
      <c r="B233" s="105" t="s">
        <v>193</v>
      </c>
      <c r="C233" s="129">
        <v>401</v>
      </c>
      <c r="D233" s="113">
        <v>59</v>
      </c>
      <c r="E233" s="114">
        <v>8182</v>
      </c>
      <c r="F233" s="115">
        <v>240764</v>
      </c>
      <c r="G233" s="116">
        <v>350</v>
      </c>
      <c r="H233" s="1731" t="s">
        <v>41</v>
      </c>
      <c r="I233" s="104"/>
      <c r="J233" s="104"/>
      <c r="K233" s="104" t="s">
        <v>25</v>
      </c>
      <c r="L233" s="104"/>
      <c r="M233" s="104"/>
      <c r="N233" s="104"/>
      <c r="O233" s="2628" t="s">
        <v>6395</v>
      </c>
      <c r="Q233" s="104"/>
    </row>
    <row r="234" spans="1:17" ht="18.75" customHeight="1" x14ac:dyDescent="0.3">
      <c r="A234" s="104">
        <v>13</v>
      </c>
      <c r="B234" s="105" t="s">
        <v>193</v>
      </c>
      <c r="C234" s="129">
        <v>401</v>
      </c>
      <c r="D234" s="113">
        <v>59</v>
      </c>
      <c r="E234" s="114">
        <v>8183</v>
      </c>
      <c r="F234" s="115">
        <v>240764</v>
      </c>
      <c r="G234" s="116">
        <v>350</v>
      </c>
      <c r="H234" s="1731" t="s">
        <v>41</v>
      </c>
      <c r="I234" s="104"/>
      <c r="J234" s="104"/>
      <c r="K234" s="104" t="s">
        <v>25</v>
      </c>
      <c r="L234" s="104"/>
      <c r="M234" s="104"/>
      <c r="N234" s="104"/>
      <c r="O234" s="2628" t="s">
        <v>6395</v>
      </c>
      <c r="Q234" s="104"/>
    </row>
    <row r="235" spans="1:17" ht="18.75" customHeight="1" x14ac:dyDescent="0.3">
      <c r="A235" s="189">
        <v>14</v>
      </c>
      <c r="B235" s="105" t="s">
        <v>193</v>
      </c>
      <c r="C235" s="129">
        <v>401</v>
      </c>
      <c r="D235" s="113">
        <v>59</v>
      </c>
      <c r="E235" s="114">
        <v>8184</v>
      </c>
      <c r="F235" s="115">
        <v>240764</v>
      </c>
      <c r="G235" s="116">
        <v>350</v>
      </c>
      <c r="H235" s="1731" t="s">
        <v>41</v>
      </c>
      <c r="I235" s="104"/>
      <c r="J235" s="104"/>
      <c r="K235" s="104" t="s">
        <v>25</v>
      </c>
      <c r="L235" s="104"/>
      <c r="M235" s="104"/>
      <c r="N235" s="104"/>
      <c r="O235" s="2628" t="s">
        <v>6395</v>
      </c>
      <c r="Q235" s="104"/>
    </row>
    <row r="236" spans="1:17" ht="18.75" customHeight="1" x14ac:dyDescent="0.3">
      <c r="A236" s="104">
        <v>15</v>
      </c>
      <c r="B236" s="105" t="s">
        <v>193</v>
      </c>
      <c r="C236" s="129">
        <v>401</v>
      </c>
      <c r="D236" s="113">
        <v>59</v>
      </c>
      <c r="E236" s="114">
        <v>8185</v>
      </c>
      <c r="F236" s="115">
        <v>240764</v>
      </c>
      <c r="G236" s="116">
        <v>350</v>
      </c>
      <c r="H236" s="1731" t="s">
        <v>41</v>
      </c>
      <c r="I236" s="104"/>
      <c r="J236" s="104"/>
      <c r="K236" s="104" t="s">
        <v>25</v>
      </c>
      <c r="L236" s="104"/>
      <c r="M236" s="104"/>
      <c r="N236" s="104"/>
      <c r="O236" s="2628" t="s">
        <v>6395</v>
      </c>
      <c r="Q236" s="104"/>
    </row>
    <row r="237" spans="1:17" ht="18.75" customHeight="1" x14ac:dyDescent="0.3">
      <c r="A237" s="104">
        <v>16</v>
      </c>
      <c r="B237" s="105" t="s">
        <v>193</v>
      </c>
      <c r="C237" s="129">
        <v>401</v>
      </c>
      <c r="D237" s="113">
        <v>59</v>
      </c>
      <c r="E237" s="114">
        <v>8186</v>
      </c>
      <c r="F237" s="115">
        <v>240764</v>
      </c>
      <c r="G237" s="116">
        <v>350</v>
      </c>
      <c r="H237" s="1731" t="s">
        <v>41</v>
      </c>
      <c r="I237" s="104"/>
      <c r="J237" s="104"/>
      <c r="K237" s="104" t="s">
        <v>25</v>
      </c>
      <c r="L237" s="104"/>
      <c r="M237" s="104"/>
      <c r="N237" s="104"/>
      <c r="O237" s="2628" t="s">
        <v>6395</v>
      </c>
      <c r="Q237" s="104"/>
    </row>
    <row r="238" spans="1:17" ht="18.75" customHeight="1" x14ac:dyDescent="0.3">
      <c r="A238" s="189">
        <v>17</v>
      </c>
      <c r="B238" s="105" t="s">
        <v>193</v>
      </c>
      <c r="C238" s="129">
        <v>401</v>
      </c>
      <c r="D238" s="113">
        <v>59</v>
      </c>
      <c r="E238" s="114">
        <v>8187</v>
      </c>
      <c r="F238" s="115">
        <v>240764</v>
      </c>
      <c r="G238" s="116">
        <v>350</v>
      </c>
      <c r="H238" s="1731" t="s">
        <v>41</v>
      </c>
      <c r="I238" s="104"/>
      <c r="J238" s="104"/>
      <c r="K238" s="104" t="s">
        <v>25</v>
      </c>
      <c r="L238" s="104"/>
      <c r="M238" s="104"/>
      <c r="N238" s="104"/>
      <c r="O238" s="2628" t="s">
        <v>6395</v>
      </c>
      <c r="Q238" s="104"/>
    </row>
    <row r="239" spans="1:17" ht="18.75" customHeight="1" x14ac:dyDescent="0.3">
      <c r="A239" s="104">
        <v>18</v>
      </c>
      <c r="B239" s="105" t="s">
        <v>193</v>
      </c>
      <c r="C239" s="129">
        <v>401</v>
      </c>
      <c r="D239" s="113">
        <v>59</v>
      </c>
      <c r="E239" s="114">
        <v>8188</v>
      </c>
      <c r="F239" s="115">
        <v>240764</v>
      </c>
      <c r="G239" s="116">
        <v>350</v>
      </c>
      <c r="H239" s="1731" t="s">
        <v>41</v>
      </c>
      <c r="I239" s="104"/>
      <c r="J239" s="104"/>
      <c r="K239" s="104" t="s">
        <v>25</v>
      </c>
      <c r="L239" s="104"/>
      <c r="M239" s="104"/>
      <c r="N239" s="104"/>
      <c r="O239" s="2628" t="s">
        <v>6395</v>
      </c>
      <c r="Q239" s="104"/>
    </row>
    <row r="240" spans="1:17" ht="18.75" customHeight="1" x14ac:dyDescent="0.3">
      <c r="A240" s="104">
        <v>19</v>
      </c>
      <c r="B240" s="105" t="s">
        <v>193</v>
      </c>
      <c r="C240" s="129">
        <v>401</v>
      </c>
      <c r="D240" s="113">
        <v>59</v>
      </c>
      <c r="E240" s="114">
        <v>8189</v>
      </c>
      <c r="F240" s="115">
        <v>240764</v>
      </c>
      <c r="G240" s="116">
        <v>350</v>
      </c>
      <c r="H240" s="1731" t="s">
        <v>41</v>
      </c>
      <c r="I240" s="104"/>
      <c r="J240" s="104"/>
      <c r="K240" s="104" t="s">
        <v>25</v>
      </c>
      <c r="L240" s="104"/>
      <c r="M240" s="104"/>
      <c r="N240" s="104"/>
      <c r="O240" s="2628" t="s">
        <v>6395</v>
      </c>
      <c r="Q240" s="104"/>
    </row>
    <row r="241" spans="1:17" ht="18.75" customHeight="1" x14ac:dyDescent="0.3">
      <c r="A241" s="189">
        <v>20</v>
      </c>
      <c r="B241" s="105" t="s">
        <v>193</v>
      </c>
      <c r="C241" s="129">
        <v>401</v>
      </c>
      <c r="D241" s="113">
        <v>59</v>
      </c>
      <c r="E241" s="114">
        <v>8190</v>
      </c>
      <c r="F241" s="115">
        <v>240764</v>
      </c>
      <c r="G241" s="116">
        <v>350</v>
      </c>
      <c r="H241" s="1731" t="s">
        <v>41</v>
      </c>
      <c r="I241" s="104"/>
      <c r="J241" s="104"/>
      <c r="K241" s="104" t="s">
        <v>25</v>
      </c>
      <c r="L241" s="104"/>
      <c r="M241" s="104"/>
      <c r="N241" s="104"/>
      <c r="O241" s="2628" t="s">
        <v>6395</v>
      </c>
      <c r="Q241" s="104"/>
    </row>
    <row r="242" spans="1:17" ht="18.75" customHeight="1" x14ac:dyDescent="0.3">
      <c r="A242" s="104">
        <v>21</v>
      </c>
      <c r="B242" s="105" t="s">
        <v>193</v>
      </c>
      <c r="C242" s="129">
        <v>401</v>
      </c>
      <c r="D242" s="113">
        <v>59</v>
      </c>
      <c r="E242" s="114">
        <v>8191</v>
      </c>
      <c r="F242" s="115">
        <v>240764</v>
      </c>
      <c r="G242" s="116">
        <v>350</v>
      </c>
      <c r="H242" s="1731" t="s">
        <v>41</v>
      </c>
      <c r="I242" s="104"/>
      <c r="J242" s="104"/>
      <c r="K242" s="104" t="s">
        <v>25</v>
      </c>
      <c r="L242" s="104"/>
      <c r="M242" s="104"/>
      <c r="N242" s="104"/>
      <c r="O242" s="2628" t="s">
        <v>6395</v>
      </c>
      <c r="Q242" s="104"/>
    </row>
    <row r="243" spans="1:17" ht="18.75" customHeight="1" x14ac:dyDescent="0.3">
      <c r="A243" s="104">
        <v>22</v>
      </c>
      <c r="B243" s="105" t="s">
        <v>193</v>
      </c>
      <c r="C243" s="129">
        <v>401</v>
      </c>
      <c r="D243" s="113">
        <v>59</v>
      </c>
      <c r="E243" s="114">
        <v>8192</v>
      </c>
      <c r="F243" s="115">
        <v>240764</v>
      </c>
      <c r="G243" s="116">
        <v>350</v>
      </c>
      <c r="H243" s="1731" t="s">
        <v>41</v>
      </c>
      <c r="I243" s="104"/>
      <c r="J243" s="104"/>
      <c r="K243" s="104" t="s">
        <v>25</v>
      </c>
      <c r="L243" s="104"/>
      <c r="M243" s="104"/>
      <c r="N243" s="104"/>
      <c r="O243" s="2628" t="s">
        <v>6395</v>
      </c>
      <c r="Q243" s="104"/>
    </row>
    <row r="244" spans="1:17" ht="18.75" customHeight="1" x14ac:dyDescent="0.3">
      <c r="A244" s="189">
        <v>23</v>
      </c>
      <c r="B244" s="105" t="s">
        <v>193</v>
      </c>
      <c r="C244" s="129">
        <v>401</v>
      </c>
      <c r="D244" s="113">
        <v>59</v>
      </c>
      <c r="E244" s="114">
        <v>8193</v>
      </c>
      <c r="F244" s="115">
        <v>240764</v>
      </c>
      <c r="G244" s="116">
        <v>350</v>
      </c>
      <c r="H244" s="1731" t="s">
        <v>41</v>
      </c>
      <c r="I244" s="104"/>
      <c r="J244" s="104"/>
      <c r="K244" s="104" t="s">
        <v>25</v>
      </c>
      <c r="L244" s="104"/>
      <c r="M244" s="104"/>
      <c r="N244" s="104"/>
      <c r="O244" s="2628" t="s">
        <v>6395</v>
      </c>
      <c r="Q244" s="104"/>
    </row>
    <row r="245" spans="1:17" ht="18.75" customHeight="1" x14ac:dyDescent="0.3">
      <c r="A245" s="104">
        <v>24</v>
      </c>
      <c r="B245" s="105" t="s">
        <v>193</v>
      </c>
      <c r="C245" s="129">
        <v>401</v>
      </c>
      <c r="D245" s="113">
        <v>59</v>
      </c>
      <c r="E245" s="114">
        <v>8194</v>
      </c>
      <c r="F245" s="115">
        <v>240764</v>
      </c>
      <c r="G245" s="116">
        <v>350</v>
      </c>
      <c r="H245" s="1731" t="s">
        <v>41</v>
      </c>
      <c r="I245" s="104"/>
      <c r="J245" s="104"/>
      <c r="K245" s="104" t="s">
        <v>25</v>
      </c>
      <c r="L245" s="104"/>
      <c r="M245" s="104"/>
      <c r="N245" s="104"/>
      <c r="O245" s="2628" t="s">
        <v>6395</v>
      </c>
      <c r="Q245" s="104"/>
    </row>
    <row r="246" spans="1:17" ht="18.75" customHeight="1" x14ac:dyDescent="0.3">
      <c r="A246" s="104">
        <v>25</v>
      </c>
      <c r="B246" s="105" t="s">
        <v>193</v>
      </c>
      <c r="C246" s="129">
        <v>401</v>
      </c>
      <c r="D246" s="125">
        <v>59</v>
      </c>
      <c r="E246" s="114">
        <v>8195</v>
      </c>
      <c r="F246" s="115">
        <v>240764</v>
      </c>
      <c r="G246" s="116">
        <v>350</v>
      </c>
      <c r="H246" s="1731" t="s">
        <v>41</v>
      </c>
      <c r="I246" s="118"/>
      <c r="J246" s="192"/>
      <c r="K246" s="104" t="s">
        <v>25</v>
      </c>
      <c r="L246" s="192"/>
      <c r="M246" s="192"/>
      <c r="N246" s="192"/>
      <c r="O246" s="2628" t="s">
        <v>6395</v>
      </c>
      <c r="Q246" s="118"/>
    </row>
    <row r="247" spans="1:17" ht="18.75" customHeight="1" x14ac:dyDescent="0.3">
      <c r="A247" s="189">
        <v>26</v>
      </c>
      <c r="B247" s="105" t="s">
        <v>193</v>
      </c>
      <c r="C247" s="129">
        <v>401</v>
      </c>
      <c r="D247" s="149">
        <v>59</v>
      </c>
      <c r="E247" s="114">
        <v>8196</v>
      </c>
      <c r="F247" s="115">
        <v>240764</v>
      </c>
      <c r="G247" s="116">
        <v>350</v>
      </c>
      <c r="H247" s="1731" t="s">
        <v>41</v>
      </c>
      <c r="I247" s="118"/>
      <c r="J247" s="192"/>
      <c r="K247" s="104" t="s">
        <v>25</v>
      </c>
      <c r="L247" s="192"/>
      <c r="M247" s="192"/>
      <c r="N247" s="192"/>
      <c r="O247" s="2628" t="s">
        <v>6395</v>
      </c>
      <c r="Q247" s="118"/>
    </row>
    <row r="248" spans="1:17" ht="18.75" customHeight="1" x14ac:dyDescent="0.3">
      <c r="A248" s="104">
        <v>27</v>
      </c>
      <c r="B248" s="105" t="s">
        <v>193</v>
      </c>
      <c r="C248" s="129">
        <v>401</v>
      </c>
      <c r="D248" s="113">
        <v>59</v>
      </c>
      <c r="E248" s="114">
        <v>8197</v>
      </c>
      <c r="F248" s="115">
        <v>240764</v>
      </c>
      <c r="G248" s="116">
        <v>350</v>
      </c>
      <c r="H248" s="1731" t="s">
        <v>41</v>
      </c>
      <c r="I248" s="118"/>
      <c r="J248" s="192"/>
      <c r="K248" s="104" t="s">
        <v>25</v>
      </c>
      <c r="L248" s="192"/>
      <c r="M248" s="192"/>
      <c r="N248" s="192"/>
      <c r="O248" s="2628" t="s">
        <v>6395</v>
      </c>
      <c r="Q248" s="118"/>
    </row>
    <row r="249" spans="1:17" ht="18.75" customHeight="1" x14ac:dyDescent="0.3">
      <c r="A249" s="104">
        <v>28</v>
      </c>
      <c r="B249" s="105" t="s">
        <v>193</v>
      </c>
      <c r="C249" s="129">
        <v>401</v>
      </c>
      <c r="D249" s="113">
        <v>59</v>
      </c>
      <c r="E249" s="114">
        <v>8198</v>
      </c>
      <c r="F249" s="115">
        <v>240764</v>
      </c>
      <c r="G249" s="116">
        <v>350</v>
      </c>
      <c r="H249" s="1731" t="s">
        <v>41</v>
      </c>
      <c r="I249" s="118"/>
      <c r="J249" s="192"/>
      <c r="K249" s="104" t="s">
        <v>25</v>
      </c>
      <c r="L249" s="192"/>
      <c r="M249" s="192"/>
      <c r="N249" s="192"/>
      <c r="O249" s="2628" t="s">
        <v>6395</v>
      </c>
      <c r="Q249" s="118"/>
    </row>
    <row r="250" spans="1:17" ht="18.75" customHeight="1" x14ac:dyDescent="0.3">
      <c r="A250" s="189">
        <v>29</v>
      </c>
      <c r="B250" s="105" t="s">
        <v>193</v>
      </c>
      <c r="C250" s="129">
        <v>401</v>
      </c>
      <c r="D250" s="113">
        <v>59</v>
      </c>
      <c r="E250" s="114">
        <v>8199</v>
      </c>
      <c r="F250" s="115">
        <v>240764</v>
      </c>
      <c r="G250" s="116">
        <v>350</v>
      </c>
      <c r="H250" s="1731" t="s">
        <v>41</v>
      </c>
      <c r="I250" s="118"/>
      <c r="J250" s="192"/>
      <c r="K250" s="104" t="s">
        <v>25</v>
      </c>
      <c r="L250" s="192"/>
      <c r="M250" s="192"/>
      <c r="N250" s="192"/>
      <c r="O250" s="2628" t="s">
        <v>6395</v>
      </c>
      <c r="Q250" s="118"/>
    </row>
    <row r="251" spans="1:17" ht="18.75" customHeight="1" x14ac:dyDescent="0.3">
      <c r="A251" s="104">
        <v>30</v>
      </c>
      <c r="B251" s="105" t="s">
        <v>193</v>
      </c>
      <c r="C251" s="129">
        <v>401</v>
      </c>
      <c r="D251" s="113">
        <v>59</v>
      </c>
      <c r="E251" s="114">
        <v>8200</v>
      </c>
      <c r="F251" s="115">
        <v>240764</v>
      </c>
      <c r="G251" s="116">
        <v>350</v>
      </c>
      <c r="H251" s="1731" t="s">
        <v>41</v>
      </c>
      <c r="I251" s="118"/>
      <c r="J251" s="192"/>
      <c r="K251" s="104" t="s">
        <v>25</v>
      </c>
      <c r="L251" s="192"/>
      <c r="M251" s="192"/>
      <c r="N251" s="192"/>
      <c r="O251" s="2628" t="s">
        <v>6395</v>
      </c>
      <c r="Q251" s="118"/>
    </row>
    <row r="252" spans="1:17" ht="18.75" customHeight="1" x14ac:dyDescent="0.3">
      <c r="A252" s="104">
        <v>31</v>
      </c>
      <c r="B252" s="105" t="s">
        <v>193</v>
      </c>
      <c r="C252" s="129">
        <v>401</v>
      </c>
      <c r="D252" s="136">
        <v>59</v>
      </c>
      <c r="E252" s="114">
        <v>8201</v>
      </c>
      <c r="F252" s="115">
        <v>240764</v>
      </c>
      <c r="G252" s="116">
        <v>350</v>
      </c>
      <c r="H252" s="1731" t="s">
        <v>41</v>
      </c>
      <c r="I252" s="118"/>
      <c r="J252" s="192"/>
      <c r="K252" s="104" t="s">
        <v>25</v>
      </c>
      <c r="L252" s="192"/>
      <c r="M252" s="192"/>
      <c r="N252" s="192"/>
      <c r="O252" s="2628" t="s">
        <v>6395</v>
      </c>
      <c r="Q252" s="118"/>
    </row>
    <row r="253" spans="1:17" ht="18.75" customHeight="1" x14ac:dyDescent="0.3">
      <c r="A253" s="189">
        <v>32</v>
      </c>
      <c r="B253" s="105" t="s">
        <v>193</v>
      </c>
      <c r="C253" s="129">
        <v>401</v>
      </c>
      <c r="D253" s="128">
        <v>59</v>
      </c>
      <c r="E253" s="114">
        <v>8202</v>
      </c>
      <c r="F253" s="115">
        <v>240764</v>
      </c>
      <c r="G253" s="116">
        <v>350</v>
      </c>
      <c r="H253" s="1731" t="s">
        <v>41</v>
      </c>
      <c r="I253" s="118"/>
      <c r="J253" s="192"/>
      <c r="K253" s="104" t="s">
        <v>25</v>
      </c>
      <c r="L253" s="192"/>
      <c r="M253" s="192"/>
      <c r="N253" s="192"/>
      <c r="O253" s="2628" t="s">
        <v>6395</v>
      </c>
      <c r="Q253" s="118"/>
    </row>
    <row r="254" spans="1:17" ht="18.75" customHeight="1" x14ac:dyDescent="0.3">
      <c r="A254" s="104">
        <v>33</v>
      </c>
      <c r="B254" s="105" t="s">
        <v>193</v>
      </c>
      <c r="C254" s="129">
        <v>401</v>
      </c>
      <c r="D254" s="113">
        <v>59</v>
      </c>
      <c r="E254" s="114">
        <v>8203</v>
      </c>
      <c r="F254" s="115">
        <v>240764</v>
      </c>
      <c r="G254" s="116">
        <v>350</v>
      </c>
      <c r="H254" s="1731" t="s">
        <v>41</v>
      </c>
      <c r="I254" s="118"/>
      <c r="J254" s="192"/>
      <c r="K254" s="104" t="s">
        <v>25</v>
      </c>
      <c r="L254" s="192"/>
      <c r="M254" s="192"/>
      <c r="N254" s="192"/>
      <c r="O254" s="2628" t="s">
        <v>6395</v>
      </c>
      <c r="Q254" s="118"/>
    </row>
    <row r="255" spans="1:17" ht="18.75" customHeight="1" x14ac:dyDescent="0.3">
      <c r="A255" s="104">
        <v>34</v>
      </c>
      <c r="B255" s="105" t="s">
        <v>193</v>
      </c>
      <c r="C255" s="129">
        <v>401</v>
      </c>
      <c r="D255" s="113">
        <v>59</v>
      </c>
      <c r="E255" s="114">
        <v>8204</v>
      </c>
      <c r="F255" s="115">
        <v>240764</v>
      </c>
      <c r="G255" s="116">
        <v>350</v>
      </c>
      <c r="H255" s="1731" t="s">
        <v>41</v>
      </c>
      <c r="I255" s="118"/>
      <c r="J255" s="192"/>
      <c r="K255" s="104" t="s">
        <v>25</v>
      </c>
      <c r="L255" s="192"/>
      <c r="M255" s="192"/>
      <c r="N255" s="192"/>
      <c r="O255" s="2628" t="s">
        <v>6395</v>
      </c>
      <c r="Q255" s="118"/>
    </row>
    <row r="256" spans="1:17" ht="18.75" customHeight="1" x14ac:dyDescent="0.3">
      <c r="A256" s="189">
        <v>35</v>
      </c>
      <c r="B256" s="105" t="s">
        <v>193</v>
      </c>
      <c r="C256" s="129">
        <v>401</v>
      </c>
      <c r="D256" s="113">
        <v>59</v>
      </c>
      <c r="E256" s="114">
        <v>8205</v>
      </c>
      <c r="F256" s="115">
        <v>240764</v>
      </c>
      <c r="G256" s="116">
        <v>350</v>
      </c>
      <c r="H256" s="1731" t="s">
        <v>41</v>
      </c>
      <c r="I256" s="118"/>
      <c r="J256" s="192"/>
      <c r="K256" s="104" t="s">
        <v>25</v>
      </c>
      <c r="L256" s="192"/>
      <c r="M256" s="192"/>
      <c r="N256" s="192"/>
      <c r="O256" s="2628" t="s">
        <v>6395</v>
      </c>
      <c r="Q256" s="118"/>
    </row>
    <row r="257" spans="1:17" ht="18.75" customHeight="1" x14ac:dyDescent="0.3">
      <c r="A257" s="104">
        <v>36</v>
      </c>
      <c r="B257" s="105" t="s">
        <v>193</v>
      </c>
      <c r="C257" s="129">
        <v>401</v>
      </c>
      <c r="D257" s="136">
        <v>59</v>
      </c>
      <c r="E257" s="114">
        <v>8206</v>
      </c>
      <c r="F257" s="115">
        <v>240764</v>
      </c>
      <c r="G257" s="116">
        <v>350</v>
      </c>
      <c r="H257" s="1731" t="s">
        <v>41</v>
      </c>
      <c r="I257" s="118"/>
      <c r="J257" s="192"/>
      <c r="K257" s="104" t="s">
        <v>25</v>
      </c>
      <c r="L257" s="192"/>
      <c r="M257" s="192"/>
      <c r="N257" s="192"/>
      <c r="O257" s="2628" t="s">
        <v>6395</v>
      </c>
      <c r="Q257" s="118"/>
    </row>
    <row r="258" spans="1:17" ht="18.75" customHeight="1" x14ac:dyDescent="0.3">
      <c r="A258" s="104">
        <v>37</v>
      </c>
      <c r="B258" s="105" t="s">
        <v>193</v>
      </c>
      <c r="C258" s="129">
        <v>401</v>
      </c>
      <c r="D258" s="128">
        <v>59</v>
      </c>
      <c r="E258" s="114">
        <v>8207</v>
      </c>
      <c r="F258" s="115">
        <v>240764</v>
      </c>
      <c r="G258" s="116">
        <v>350</v>
      </c>
      <c r="H258" s="1731" t="s">
        <v>41</v>
      </c>
      <c r="I258" s="118"/>
      <c r="J258" s="192"/>
      <c r="K258" s="104" t="s">
        <v>25</v>
      </c>
      <c r="L258" s="192"/>
      <c r="M258" s="192"/>
      <c r="N258" s="192"/>
      <c r="O258" s="2628" t="s">
        <v>6395</v>
      </c>
      <c r="Q258" s="118"/>
    </row>
    <row r="259" spans="1:17" ht="18.75" customHeight="1" x14ac:dyDescent="0.3">
      <c r="A259" s="189">
        <v>38</v>
      </c>
      <c r="B259" s="105" t="s">
        <v>193</v>
      </c>
      <c r="C259" s="129">
        <v>401</v>
      </c>
      <c r="D259" s="113">
        <v>59</v>
      </c>
      <c r="E259" s="114">
        <v>8208</v>
      </c>
      <c r="F259" s="115">
        <v>240764</v>
      </c>
      <c r="G259" s="116">
        <v>350</v>
      </c>
      <c r="H259" s="1731" t="s">
        <v>41</v>
      </c>
      <c r="I259" s="118"/>
      <c r="J259" s="192"/>
      <c r="K259" s="104" t="s">
        <v>25</v>
      </c>
      <c r="L259" s="192"/>
      <c r="M259" s="192"/>
      <c r="N259" s="192"/>
      <c r="O259" s="2628" t="s">
        <v>6395</v>
      </c>
      <c r="Q259" s="118"/>
    </row>
    <row r="260" spans="1:17" ht="18.75" customHeight="1" x14ac:dyDescent="0.3">
      <c r="A260" s="104">
        <v>39</v>
      </c>
      <c r="B260" s="105" t="s">
        <v>193</v>
      </c>
      <c r="C260" s="129">
        <v>401</v>
      </c>
      <c r="D260" s="113">
        <v>59</v>
      </c>
      <c r="E260" s="114">
        <v>8209</v>
      </c>
      <c r="F260" s="115">
        <v>240764</v>
      </c>
      <c r="G260" s="116">
        <v>350</v>
      </c>
      <c r="H260" s="1731" t="s">
        <v>41</v>
      </c>
      <c r="I260" s="118"/>
      <c r="J260" s="192"/>
      <c r="K260" s="104" t="s">
        <v>25</v>
      </c>
      <c r="L260" s="192"/>
      <c r="M260" s="192"/>
      <c r="N260" s="192"/>
      <c r="O260" s="2628" t="s">
        <v>6395</v>
      </c>
      <c r="Q260" s="118"/>
    </row>
    <row r="261" spans="1:17" ht="18.75" customHeight="1" x14ac:dyDescent="0.3">
      <c r="A261" s="104">
        <v>40</v>
      </c>
      <c r="B261" s="105" t="s">
        <v>193</v>
      </c>
      <c r="C261" s="129">
        <v>401</v>
      </c>
      <c r="D261" s="113">
        <v>59</v>
      </c>
      <c r="E261" s="114">
        <v>8210</v>
      </c>
      <c r="F261" s="115">
        <v>240764</v>
      </c>
      <c r="G261" s="116">
        <v>350</v>
      </c>
      <c r="H261" s="1731" t="s">
        <v>41</v>
      </c>
      <c r="I261" s="118"/>
      <c r="J261" s="192"/>
      <c r="K261" s="104" t="s">
        <v>25</v>
      </c>
      <c r="L261" s="192"/>
      <c r="M261" s="192"/>
      <c r="N261" s="192"/>
      <c r="O261" s="2628" t="s">
        <v>6395</v>
      </c>
      <c r="Q261" s="118"/>
    </row>
    <row r="262" spans="1:17" ht="18.75" customHeight="1" x14ac:dyDescent="0.3">
      <c r="A262" s="189">
        <v>41</v>
      </c>
      <c r="B262" s="105" t="s">
        <v>193</v>
      </c>
      <c r="C262" s="129">
        <v>401</v>
      </c>
      <c r="D262" s="113">
        <v>59</v>
      </c>
      <c r="E262" s="114">
        <v>8211</v>
      </c>
      <c r="F262" s="115">
        <v>240764</v>
      </c>
      <c r="G262" s="116">
        <v>350</v>
      </c>
      <c r="H262" s="1731" t="s">
        <v>41</v>
      </c>
      <c r="I262" s="118"/>
      <c r="J262" s="192"/>
      <c r="K262" s="104" t="s">
        <v>25</v>
      </c>
      <c r="L262" s="192"/>
      <c r="M262" s="192"/>
      <c r="N262" s="192"/>
      <c r="O262" s="2628" t="s">
        <v>6395</v>
      </c>
      <c r="Q262" s="118"/>
    </row>
    <row r="263" spans="1:17" ht="18.75" customHeight="1" x14ac:dyDescent="0.3">
      <c r="A263" s="104">
        <v>42</v>
      </c>
      <c r="B263" s="105" t="s">
        <v>193</v>
      </c>
      <c r="C263" s="129">
        <v>401</v>
      </c>
      <c r="D263" s="125">
        <v>59</v>
      </c>
      <c r="E263" s="114">
        <v>8212</v>
      </c>
      <c r="F263" s="115">
        <v>240764</v>
      </c>
      <c r="G263" s="116">
        <v>350</v>
      </c>
      <c r="H263" s="1731" t="s">
        <v>41</v>
      </c>
      <c r="I263" s="118"/>
      <c r="J263" s="192"/>
      <c r="K263" s="104" t="s">
        <v>25</v>
      </c>
      <c r="L263" s="192"/>
      <c r="M263" s="192"/>
      <c r="N263" s="192"/>
      <c r="O263" s="2628" t="s">
        <v>6395</v>
      </c>
      <c r="Q263" s="118"/>
    </row>
    <row r="264" spans="1:17" ht="18.75" customHeight="1" x14ac:dyDescent="0.3">
      <c r="A264" s="104">
        <v>43</v>
      </c>
      <c r="B264" s="105" t="s">
        <v>193</v>
      </c>
      <c r="C264" s="129">
        <v>401</v>
      </c>
      <c r="D264" s="139">
        <v>59</v>
      </c>
      <c r="E264" s="114">
        <v>8213</v>
      </c>
      <c r="F264" s="115">
        <v>240764</v>
      </c>
      <c r="G264" s="116">
        <v>350</v>
      </c>
      <c r="H264" s="1731" t="s">
        <v>41</v>
      </c>
      <c r="I264" s="118"/>
      <c r="J264" s="192"/>
      <c r="K264" s="104" t="s">
        <v>25</v>
      </c>
      <c r="L264" s="192"/>
      <c r="M264" s="192"/>
      <c r="N264" s="192"/>
      <c r="O264" s="2628" t="s">
        <v>6395</v>
      </c>
      <c r="Q264" s="118"/>
    </row>
    <row r="265" spans="1:17" ht="18.75" customHeight="1" x14ac:dyDescent="0.3">
      <c r="A265" s="189">
        <v>44</v>
      </c>
      <c r="B265" s="105" t="s">
        <v>193</v>
      </c>
      <c r="C265" s="129">
        <v>401</v>
      </c>
      <c r="D265" s="193">
        <v>59</v>
      </c>
      <c r="E265" s="114">
        <v>8214</v>
      </c>
      <c r="F265" s="115">
        <v>240764</v>
      </c>
      <c r="G265" s="116">
        <v>350</v>
      </c>
      <c r="H265" s="1731" t="s">
        <v>41</v>
      </c>
      <c r="I265" s="118"/>
      <c r="J265" s="192"/>
      <c r="K265" s="104" t="s">
        <v>25</v>
      </c>
      <c r="L265" s="192"/>
      <c r="M265" s="192"/>
      <c r="N265" s="192"/>
      <c r="O265" s="2628" t="s">
        <v>6395</v>
      </c>
      <c r="Q265" s="118"/>
    </row>
    <row r="266" spans="1:17" ht="18.75" customHeight="1" x14ac:dyDescent="0.3">
      <c r="A266" s="104">
        <v>45</v>
      </c>
      <c r="B266" s="105" t="s">
        <v>193</v>
      </c>
      <c r="C266" s="129">
        <v>401</v>
      </c>
      <c r="D266" s="194">
        <v>59</v>
      </c>
      <c r="E266" s="114">
        <v>8215</v>
      </c>
      <c r="F266" s="115">
        <v>240764</v>
      </c>
      <c r="G266" s="116">
        <v>350</v>
      </c>
      <c r="H266" s="1731" t="s">
        <v>41</v>
      </c>
      <c r="I266" s="118"/>
      <c r="J266" s="192"/>
      <c r="K266" s="104" t="s">
        <v>25</v>
      </c>
      <c r="L266" s="192"/>
      <c r="M266" s="192"/>
      <c r="N266" s="192"/>
      <c r="O266" s="2628" t="s">
        <v>6395</v>
      </c>
      <c r="Q266" s="118"/>
    </row>
    <row r="267" spans="1:17" ht="18.75" customHeight="1" x14ac:dyDescent="0.3">
      <c r="A267" s="104">
        <v>46</v>
      </c>
      <c r="B267" s="105" t="s">
        <v>193</v>
      </c>
      <c r="C267" s="129">
        <v>401</v>
      </c>
      <c r="D267" s="128">
        <v>59</v>
      </c>
      <c r="E267" s="114">
        <v>8216</v>
      </c>
      <c r="F267" s="115">
        <v>240764</v>
      </c>
      <c r="G267" s="116">
        <v>350</v>
      </c>
      <c r="H267" s="1731" t="s">
        <v>41</v>
      </c>
      <c r="I267" s="118"/>
      <c r="J267" s="192"/>
      <c r="K267" s="104" t="s">
        <v>25</v>
      </c>
      <c r="L267" s="192"/>
      <c r="M267" s="192"/>
      <c r="N267" s="192"/>
      <c r="O267" s="2628" t="s">
        <v>6395</v>
      </c>
      <c r="Q267" s="118"/>
    </row>
    <row r="268" spans="1:17" ht="18.75" customHeight="1" x14ac:dyDescent="0.3">
      <c r="A268" s="189">
        <v>47</v>
      </c>
      <c r="B268" s="105" t="s">
        <v>193</v>
      </c>
      <c r="C268" s="129">
        <v>401</v>
      </c>
      <c r="D268" s="113">
        <v>59</v>
      </c>
      <c r="E268" s="114">
        <v>8217</v>
      </c>
      <c r="F268" s="115">
        <v>240764</v>
      </c>
      <c r="G268" s="116">
        <v>350</v>
      </c>
      <c r="H268" s="1731" t="s">
        <v>41</v>
      </c>
      <c r="I268" s="118"/>
      <c r="J268" s="192"/>
      <c r="K268" s="104" t="s">
        <v>25</v>
      </c>
      <c r="L268" s="192"/>
      <c r="M268" s="192"/>
      <c r="N268" s="192"/>
      <c r="O268" s="2628" t="s">
        <v>6395</v>
      </c>
      <c r="Q268" s="118"/>
    </row>
    <row r="269" spans="1:17" ht="18.75" customHeight="1" x14ac:dyDescent="0.3">
      <c r="A269" s="104">
        <v>48</v>
      </c>
      <c r="B269" s="105" t="s">
        <v>193</v>
      </c>
      <c r="C269" s="129">
        <v>401</v>
      </c>
      <c r="D269" s="113">
        <v>59</v>
      </c>
      <c r="E269" s="114">
        <v>8218</v>
      </c>
      <c r="F269" s="115">
        <v>240764</v>
      </c>
      <c r="G269" s="116">
        <v>350</v>
      </c>
      <c r="H269" s="1731" t="s">
        <v>41</v>
      </c>
      <c r="I269" s="118"/>
      <c r="J269" s="192"/>
      <c r="K269" s="104" t="s">
        <v>25</v>
      </c>
      <c r="L269" s="192"/>
      <c r="M269" s="192"/>
      <c r="N269" s="192"/>
      <c r="O269" s="2628" t="s">
        <v>6395</v>
      </c>
      <c r="Q269" s="118"/>
    </row>
    <row r="270" spans="1:17" ht="18.75" customHeight="1" x14ac:dyDescent="0.3">
      <c r="A270" s="104">
        <v>49</v>
      </c>
      <c r="B270" s="105" t="s">
        <v>193</v>
      </c>
      <c r="C270" s="129">
        <v>401</v>
      </c>
      <c r="D270" s="125">
        <v>59</v>
      </c>
      <c r="E270" s="114">
        <v>8219</v>
      </c>
      <c r="F270" s="115">
        <v>240764</v>
      </c>
      <c r="G270" s="116">
        <v>350</v>
      </c>
      <c r="H270" s="1731" t="s">
        <v>41</v>
      </c>
      <c r="I270" s="118"/>
      <c r="J270" s="192"/>
      <c r="K270" s="104" t="s">
        <v>25</v>
      </c>
      <c r="L270" s="192"/>
      <c r="M270" s="192"/>
      <c r="N270" s="192"/>
      <c r="O270" s="2628" t="s">
        <v>6395</v>
      </c>
      <c r="Q270" s="118"/>
    </row>
    <row r="271" spans="1:17" ht="18.75" customHeight="1" x14ac:dyDescent="0.3">
      <c r="A271" s="189">
        <v>50</v>
      </c>
      <c r="B271" s="105" t="s">
        <v>193</v>
      </c>
      <c r="C271" s="129">
        <v>401</v>
      </c>
      <c r="D271" s="149">
        <v>59</v>
      </c>
      <c r="E271" s="114">
        <v>8220</v>
      </c>
      <c r="F271" s="115">
        <v>240764</v>
      </c>
      <c r="G271" s="116">
        <v>350</v>
      </c>
      <c r="H271" s="1731" t="s">
        <v>41</v>
      </c>
      <c r="I271" s="118"/>
      <c r="J271" s="192"/>
      <c r="K271" s="104" t="s">
        <v>25</v>
      </c>
      <c r="L271" s="192"/>
      <c r="M271" s="192"/>
      <c r="N271" s="192"/>
      <c r="O271" s="2628" t="s">
        <v>6395</v>
      </c>
      <c r="Q271" s="118"/>
    </row>
    <row r="272" spans="1:17" ht="18.75" customHeight="1" x14ac:dyDescent="0.3">
      <c r="A272" s="104">
        <v>51</v>
      </c>
      <c r="B272" s="105" t="s">
        <v>194</v>
      </c>
      <c r="C272" s="129">
        <v>401</v>
      </c>
      <c r="D272" s="113">
        <v>59</v>
      </c>
      <c r="E272" s="114">
        <v>8227</v>
      </c>
      <c r="F272" s="115">
        <v>21645</v>
      </c>
      <c r="G272" s="116">
        <v>229</v>
      </c>
      <c r="H272" s="1731" t="s">
        <v>41</v>
      </c>
      <c r="I272" s="118"/>
      <c r="J272" s="192"/>
      <c r="K272" s="104" t="s">
        <v>25</v>
      </c>
      <c r="L272" s="192"/>
      <c r="M272" s="192"/>
      <c r="N272" s="192"/>
      <c r="O272" s="2628" t="s">
        <v>6395</v>
      </c>
      <c r="Q272" s="118"/>
    </row>
    <row r="273" spans="1:17" ht="18.75" customHeight="1" x14ac:dyDescent="0.3">
      <c r="A273" s="104">
        <v>52</v>
      </c>
      <c r="B273" s="105" t="s">
        <v>194</v>
      </c>
      <c r="C273" s="129">
        <v>401</v>
      </c>
      <c r="D273" s="113">
        <v>59</v>
      </c>
      <c r="E273" s="114">
        <v>8228</v>
      </c>
      <c r="F273" s="115">
        <v>21645</v>
      </c>
      <c r="G273" s="116">
        <v>229</v>
      </c>
      <c r="H273" s="1731" t="s">
        <v>41</v>
      </c>
      <c r="I273" s="118"/>
      <c r="J273" s="192"/>
      <c r="K273" s="104" t="s">
        <v>25</v>
      </c>
      <c r="L273" s="192"/>
      <c r="M273" s="192"/>
      <c r="N273" s="192"/>
      <c r="O273" s="2628" t="s">
        <v>6395</v>
      </c>
      <c r="Q273" s="118"/>
    </row>
    <row r="274" spans="1:17" ht="18.75" customHeight="1" x14ac:dyDescent="0.3">
      <c r="A274" s="189">
        <v>53</v>
      </c>
      <c r="B274" s="105" t="s">
        <v>194</v>
      </c>
      <c r="C274" s="129">
        <v>401</v>
      </c>
      <c r="D274" s="113">
        <v>59</v>
      </c>
      <c r="E274" s="114">
        <v>8229</v>
      </c>
      <c r="F274" s="115">
        <v>21645</v>
      </c>
      <c r="G274" s="116">
        <v>229</v>
      </c>
      <c r="H274" s="1731" t="s">
        <v>41</v>
      </c>
      <c r="I274" s="118"/>
      <c r="J274" s="192"/>
      <c r="K274" s="104" t="s">
        <v>25</v>
      </c>
      <c r="L274" s="192"/>
      <c r="M274" s="192"/>
      <c r="N274" s="192"/>
      <c r="O274" s="2628" t="s">
        <v>6395</v>
      </c>
      <c r="Q274" s="118"/>
    </row>
    <row r="275" spans="1:17" ht="18.75" customHeight="1" x14ac:dyDescent="0.3">
      <c r="A275" s="104">
        <v>54</v>
      </c>
      <c r="B275" s="105" t="s">
        <v>194</v>
      </c>
      <c r="C275" s="129">
        <v>401</v>
      </c>
      <c r="D275" s="113">
        <v>59</v>
      </c>
      <c r="E275" s="114">
        <v>8230</v>
      </c>
      <c r="F275" s="115">
        <v>21645</v>
      </c>
      <c r="G275" s="116">
        <v>229</v>
      </c>
      <c r="H275" s="1731" t="s">
        <v>41</v>
      </c>
      <c r="I275" s="118"/>
      <c r="J275" s="118"/>
      <c r="K275" s="104" t="s">
        <v>25</v>
      </c>
      <c r="L275" s="192"/>
      <c r="M275" s="192"/>
      <c r="N275" s="192"/>
      <c r="O275" s="2628" t="s">
        <v>6395</v>
      </c>
      <c r="Q275" s="118"/>
    </row>
    <row r="276" spans="1:17" ht="18.75" customHeight="1" x14ac:dyDescent="0.3">
      <c r="A276" s="104">
        <v>55</v>
      </c>
      <c r="B276" s="105" t="s">
        <v>194</v>
      </c>
      <c r="C276" s="129">
        <v>401</v>
      </c>
      <c r="D276" s="125">
        <v>59</v>
      </c>
      <c r="E276" s="114">
        <v>8231</v>
      </c>
      <c r="F276" s="115">
        <v>21645</v>
      </c>
      <c r="G276" s="116">
        <v>229</v>
      </c>
      <c r="H276" s="1731" t="s">
        <v>41</v>
      </c>
      <c r="I276" s="118"/>
      <c r="J276" s="192"/>
      <c r="K276" s="104" t="s">
        <v>25</v>
      </c>
      <c r="L276" s="192"/>
      <c r="M276" s="192"/>
      <c r="N276" s="192"/>
      <c r="O276" s="2628" t="s">
        <v>6395</v>
      </c>
      <c r="Q276" s="118"/>
    </row>
    <row r="277" spans="1:17" ht="18.75" customHeight="1" x14ac:dyDescent="0.3">
      <c r="A277" s="189">
        <v>56</v>
      </c>
      <c r="B277" s="105" t="s">
        <v>194</v>
      </c>
      <c r="C277" s="129">
        <v>401</v>
      </c>
      <c r="D277" s="128">
        <v>59</v>
      </c>
      <c r="E277" s="114">
        <v>8232</v>
      </c>
      <c r="F277" s="115">
        <v>21645</v>
      </c>
      <c r="G277" s="116">
        <v>229</v>
      </c>
      <c r="H277" s="1731" t="s">
        <v>41</v>
      </c>
      <c r="I277" s="118"/>
      <c r="J277" s="192"/>
      <c r="K277" s="104" t="s">
        <v>25</v>
      </c>
      <c r="L277" s="192"/>
      <c r="M277" s="192"/>
      <c r="N277" s="192"/>
      <c r="O277" s="2628" t="s">
        <v>6395</v>
      </c>
      <c r="Q277" s="118"/>
    </row>
    <row r="278" spans="1:17" ht="18.75" customHeight="1" x14ac:dyDescent="0.3">
      <c r="A278" s="104">
        <v>57</v>
      </c>
      <c r="B278" s="105" t="s">
        <v>194</v>
      </c>
      <c r="C278" s="129">
        <v>401</v>
      </c>
      <c r="D278" s="113">
        <v>59</v>
      </c>
      <c r="E278" s="114">
        <v>8233</v>
      </c>
      <c r="F278" s="115">
        <v>21645</v>
      </c>
      <c r="G278" s="116">
        <v>229</v>
      </c>
      <c r="H278" s="1731" t="s">
        <v>41</v>
      </c>
      <c r="I278" s="118"/>
      <c r="J278" s="192"/>
      <c r="K278" s="104" t="s">
        <v>25</v>
      </c>
      <c r="L278" s="192"/>
      <c r="M278" s="192"/>
      <c r="N278" s="192"/>
      <c r="O278" s="2628" t="s">
        <v>6395</v>
      </c>
      <c r="Q278" s="118"/>
    </row>
    <row r="279" spans="1:17" ht="18.75" customHeight="1" x14ac:dyDescent="0.3">
      <c r="A279" s="104">
        <v>58</v>
      </c>
      <c r="B279" s="105" t="s">
        <v>194</v>
      </c>
      <c r="C279" s="129">
        <v>401</v>
      </c>
      <c r="D279" s="136">
        <v>59</v>
      </c>
      <c r="E279" s="114">
        <v>8234</v>
      </c>
      <c r="F279" s="115">
        <v>21645</v>
      </c>
      <c r="G279" s="116">
        <v>229</v>
      </c>
      <c r="H279" s="1731" t="s">
        <v>41</v>
      </c>
      <c r="I279" s="118"/>
      <c r="J279" s="192"/>
      <c r="K279" s="104" t="s">
        <v>25</v>
      </c>
      <c r="L279" s="192"/>
      <c r="M279" s="192"/>
      <c r="N279" s="192"/>
      <c r="O279" s="2628" t="s">
        <v>6395</v>
      </c>
      <c r="Q279" s="118"/>
    </row>
    <row r="280" spans="1:17" ht="18.75" customHeight="1" x14ac:dyDescent="0.3">
      <c r="A280" s="189">
        <v>59</v>
      </c>
      <c r="B280" s="105" t="s">
        <v>194</v>
      </c>
      <c r="C280" s="129">
        <v>401</v>
      </c>
      <c r="D280" s="128">
        <v>59</v>
      </c>
      <c r="E280" s="114">
        <v>8235</v>
      </c>
      <c r="F280" s="115">
        <v>21645</v>
      </c>
      <c r="G280" s="116">
        <v>229</v>
      </c>
      <c r="H280" s="1731" t="s">
        <v>41</v>
      </c>
      <c r="I280" s="118"/>
      <c r="J280" s="192"/>
      <c r="K280" s="104" t="s">
        <v>25</v>
      </c>
      <c r="L280" s="192"/>
      <c r="M280" s="192"/>
      <c r="N280" s="192"/>
      <c r="O280" s="2628" t="s">
        <v>6395</v>
      </c>
      <c r="Q280" s="118"/>
    </row>
    <row r="281" spans="1:17" ht="18.75" customHeight="1" x14ac:dyDescent="0.3">
      <c r="A281" s="104">
        <v>60</v>
      </c>
      <c r="B281" s="105" t="s">
        <v>194</v>
      </c>
      <c r="C281" s="129">
        <v>401</v>
      </c>
      <c r="D281" s="113">
        <v>59</v>
      </c>
      <c r="E281" s="114">
        <v>8236</v>
      </c>
      <c r="F281" s="115">
        <v>21645</v>
      </c>
      <c r="G281" s="116">
        <v>229</v>
      </c>
      <c r="H281" s="1731" t="s">
        <v>41</v>
      </c>
      <c r="I281" s="118"/>
      <c r="J281" s="192"/>
      <c r="K281" s="104" t="s">
        <v>25</v>
      </c>
      <c r="L281" s="192"/>
      <c r="M281" s="192"/>
      <c r="N281" s="192"/>
      <c r="O281" s="2628" t="s">
        <v>6395</v>
      </c>
      <c r="Q281" s="118"/>
    </row>
    <row r="282" spans="1:17" ht="18.75" customHeight="1" x14ac:dyDescent="0.3">
      <c r="A282" s="104">
        <v>61</v>
      </c>
      <c r="B282" s="105" t="s">
        <v>194</v>
      </c>
      <c r="C282" s="129">
        <v>401</v>
      </c>
      <c r="D282" s="113">
        <v>59</v>
      </c>
      <c r="E282" s="114">
        <v>8237</v>
      </c>
      <c r="F282" s="115">
        <v>21645</v>
      </c>
      <c r="G282" s="116">
        <v>229</v>
      </c>
      <c r="H282" s="1731" t="s">
        <v>41</v>
      </c>
      <c r="I282" s="118"/>
      <c r="J282" s="192"/>
      <c r="K282" s="104" t="s">
        <v>25</v>
      </c>
      <c r="L282" s="192"/>
      <c r="M282" s="192"/>
      <c r="N282" s="192"/>
      <c r="O282" s="2628" t="s">
        <v>6395</v>
      </c>
      <c r="Q282" s="118"/>
    </row>
    <row r="283" spans="1:17" ht="18.75" customHeight="1" x14ac:dyDescent="0.3">
      <c r="A283" s="189">
        <v>62</v>
      </c>
      <c r="B283" s="105" t="s">
        <v>194</v>
      </c>
      <c r="C283" s="129">
        <v>401</v>
      </c>
      <c r="D283" s="113">
        <v>59</v>
      </c>
      <c r="E283" s="114">
        <v>8238</v>
      </c>
      <c r="F283" s="115">
        <v>21645</v>
      </c>
      <c r="G283" s="116">
        <v>229</v>
      </c>
      <c r="H283" s="1731" t="s">
        <v>41</v>
      </c>
      <c r="I283" s="118"/>
      <c r="J283" s="192"/>
      <c r="K283" s="104" t="s">
        <v>25</v>
      </c>
      <c r="L283" s="192"/>
      <c r="M283" s="192"/>
      <c r="N283" s="192"/>
      <c r="O283" s="2628" t="s">
        <v>6395</v>
      </c>
      <c r="Q283" s="118"/>
    </row>
    <row r="284" spans="1:17" ht="18.75" customHeight="1" x14ac:dyDescent="0.3">
      <c r="A284" s="104">
        <v>63</v>
      </c>
      <c r="B284" s="105" t="s">
        <v>194</v>
      </c>
      <c r="C284" s="129">
        <v>401</v>
      </c>
      <c r="D284" s="125">
        <v>59</v>
      </c>
      <c r="E284" s="114">
        <v>8239</v>
      </c>
      <c r="F284" s="115">
        <v>21645</v>
      </c>
      <c r="G284" s="116">
        <v>229</v>
      </c>
      <c r="H284" s="1731" t="s">
        <v>41</v>
      </c>
      <c r="I284" s="118"/>
      <c r="J284" s="192"/>
      <c r="K284" s="104" t="s">
        <v>25</v>
      </c>
      <c r="L284" s="192"/>
      <c r="M284" s="192"/>
      <c r="N284" s="192"/>
      <c r="O284" s="2628" t="s">
        <v>6395</v>
      </c>
      <c r="Q284" s="118"/>
    </row>
    <row r="285" spans="1:17" ht="18.75" customHeight="1" x14ac:dyDescent="0.3">
      <c r="A285" s="104">
        <v>64</v>
      </c>
      <c r="B285" s="105" t="s">
        <v>194</v>
      </c>
      <c r="C285" s="129">
        <v>401</v>
      </c>
      <c r="D285" s="128">
        <v>59</v>
      </c>
      <c r="E285" s="114">
        <v>8240</v>
      </c>
      <c r="F285" s="115">
        <v>21645</v>
      </c>
      <c r="G285" s="116">
        <v>229</v>
      </c>
      <c r="H285" s="1731" t="s">
        <v>41</v>
      </c>
      <c r="I285" s="118"/>
      <c r="J285" s="192"/>
      <c r="K285" s="104" t="s">
        <v>25</v>
      </c>
      <c r="L285" s="192"/>
      <c r="M285" s="192"/>
      <c r="N285" s="192"/>
      <c r="O285" s="2628" t="s">
        <v>6395</v>
      </c>
      <c r="Q285" s="118"/>
    </row>
    <row r="286" spans="1:17" ht="18.75" customHeight="1" x14ac:dyDescent="0.3">
      <c r="A286" s="189">
        <v>65</v>
      </c>
      <c r="B286" s="105" t="s">
        <v>194</v>
      </c>
      <c r="C286" s="129">
        <v>401</v>
      </c>
      <c r="D286" s="113">
        <v>59</v>
      </c>
      <c r="E286" s="114">
        <v>8241</v>
      </c>
      <c r="F286" s="115">
        <v>21645</v>
      </c>
      <c r="G286" s="116">
        <v>229</v>
      </c>
      <c r="H286" s="1731" t="s">
        <v>41</v>
      </c>
      <c r="I286" s="118"/>
      <c r="J286" s="192"/>
      <c r="K286" s="104" t="s">
        <v>25</v>
      </c>
      <c r="L286" s="192"/>
      <c r="M286" s="192"/>
      <c r="N286" s="192"/>
      <c r="O286" s="2628" t="s">
        <v>6395</v>
      </c>
      <c r="Q286" s="118"/>
    </row>
    <row r="287" spans="1:17" ht="18.75" customHeight="1" x14ac:dyDescent="0.3">
      <c r="A287" s="104">
        <v>66</v>
      </c>
      <c r="B287" s="105" t="s">
        <v>194</v>
      </c>
      <c r="C287" s="129">
        <v>401</v>
      </c>
      <c r="D287" s="113">
        <v>59</v>
      </c>
      <c r="E287" s="114">
        <v>8242</v>
      </c>
      <c r="F287" s="115">
        <v>21645</v>
      </c>
      <c r="G287" s="116">
        <v>229</v>
      </c>
      <c r="H287" s="1731" t="s">
        <v>41</v>
      </c>
      <c r="I287" s="118"/>
      <c r="J287" s="192"/>
      <c r="K287" s="104" t="s">
        <v>25</v>
      </c>
      <c r="L287" s="192"/>
      <c r="M287" s="192"/>
      <c r="N287" s="192"/>
      <c r="O287" s="2628" t="s">
        <v>6395</v>
      </c>
      <c r="Q287" s="118"/>
    </row>
    <row r="288" spans="1:17" ht="18.75" customHeight="1" x14ac:dyDescent="0.3">
      <c r="A288" s="104">
        <v>67</v>
      </c>
      <c r="B288" s="105" t="s">
        <v>194</v>
      </c>
      <c r="C288" s="129">
        <v>401</v>
      </c>
      <c r="D288" s="136">
        <v>59</v>
      </c>
      <c r="E288" s="114">
        <v>8243</v>
      </c>
      <c r="F288" s="115">
        <v>21645</v>
      </c>
      <c r="G288" s="116">
        <v>229</v>
      </c>
      <c r="H288" s="1731" t="s">
        <v>41</v>
      </c>
      <c r="I288" s="118"/>
      <c r="J288" s="192"/>
      <c r="K288" s="104" t="s">
        <v>25</v>
      </c>
      <c r="L288" s="192"/>
      <c r="M288" s="192"/>
      <c r="N288" s="192"/>
      <c r="O288" s="2628" t="s">
        <v>6395</v>
      </c>
      <c r="Q288" s="118"/>
    </row>
    <row r="289" spans="1:17" ht="18.75" customHeight="1" x14ac:dyDescent="0.3">
      <c r="A289" s="189">
        <v>68</v>
      </c>
      <c r="B289" s="105" t="s">
        <v>194</v>
      </c>
      <c r="C289" s="129">
        <v>401</v>
      </c>
      <c r="D289" s="128">
        <v>59</v>
      </c>
      <c r="E289" s="114">
        <v>8244</v>
      </c>
      <c r="F289" s="115">
        <v>21645</v>
      </c>
      <c r="G289" s="116">
        <v>229</v>
      </c>
      <c r="H289" s="1731" t="s">
        <v>41</v>
      </c>
      <c r="I289" s="118"/>
      <c r="J289" s="192"/>
      <c r="K289" s="104" t="s">
        <v>25</v>
      </c>
      <c r="L289" s="192"/>
      <c r="M289" s="192"/>
      <c r="N289" s="192"/>
      <c r="O289" s="2628" t="s">
        <v>6395</v>
      </c>
      <c r="Q289" s="118"/>
    </row>
    <row r="290" spans="1:17" ht="18.75" customHeight="1" x14ac:dyDescent="0.3">
      <c r="A290" s="104">
        <v>69</v>
      </c>
      <c r="B290" s="105" t="s">
        <v>194</v>
      </c>
      <c r="C290" s="129">
        <v>401</v>
      </c>
      <c r="D290" s="113">
        <v>59</v>
      </c>
      <c r="E290" s="114">
        <v>8245</v>
      </c>
      <c r="F290" s="115">
        <v>21645</v>
      </c>
      <c r="G290" s="116">
        <v>229</v>
      </c>
      <c r="H290" s="1731" t="s">
        <v>41</v>
      </c>
      <c r="I290" s="118"/>
      <c r="J290" s="192"/>
      <c r="K290" s="104" t="s">
        <v>25</v>
      </c>
      <c r="L290" s="192"/>
      <c r="M290" s="192"/>
      <c r="N290" s="192"/>
      <c r="O290" s="2628" t="s">
        <v>6395</v>
      </c>
      <c r="Q290" s="118"/>
    </row>
    <row r="291" spans="1:17" ht="18.75" customHeight="1" x14ac:dyDescent="0.3">
      <c r="A291" s="104">
        <v>70</v>
      </c>
      <c r="B291" s="105" t="s">
        <v>194</v>
      </c>
      <c r="C291" s="129">
        <v>401</v>
      </c>
      <c r="D291" s="113">
        <v>59</v>
      </c>
      <c r="E291" s="114">
        <v>8246</v>
      </c>
      <c r="F291" s="115">
        <v>21645</v>
      </c>
      <c r="G291" s="116">
        <v>229</v>
      </c>
      <c r="H291" s="1731" t="s">
        <v>41</v>
      </c>
      <c r="I291" s="118"/>
      <c r="J291" s="192"/>
      <c r="K291" s="104" t="s">
        <v>25</v>
      </c>
      <c r="L291" s="192"/>
      <c r="M291" s="192"/>
      <c r="N291" s="192"/>
      <c r="O291" s="2628" t="s">
        <v>6395</v>
      </c>
      <c r="Q291" s="118"/>
    </row>
    <row r="292" spans="1:17" ht="18.75" customHeight="1" x14ac:dyDescent="0.3">
      <c r="A292" s="189">
        <v>71</v>
      </c>
      <c r="B292" s="105" t="s">
        <v>194</v>
      </c>
      <c r="C292" s="129">
        <v>401</v>
      </c>
      <c r="D292" s="113">
        <v>59</v>
      </c>
      <c r="E292" s="114">
        <v>8247</v>
      </c>
      <c r="F292" s="115">
        <v>21645</v>
      </c>
      <c r="G292" s="116">
        <v>229</v>
      </c>
      <c r="H292" s="1731" t="s">
        <v>41</v>
      </c>
      <c r="I292" s="118"/>
      <c r="J292" s="192"/>
      <c r="K292" s="104" t="s">
        <v>25</v>
      </c>
      <c r="L292" s="192"/>
      <c r="M292" s="192"/>
      <c r="N292" s="192"/>
      <c r="O292" s="2628" t="s">
        <v>6395</v>
      </c>
      <c r="Q292" s="118"/>
    </row>
    <row r="293" spans="1:17" ht="18.75" customHeight="1" x14ac:dyDescent="0.3">
      <c r="A293" s="104">
        <v>72</v>
      </c>
      <c r="B293" s="105" t="s">
        <v>194</v>
      </c>
      <c r="C293" s="129">
        <v>401</v>
      </c>
      <c r="D293" s="125">
        <v>59</v>
      </c>
      <c r="E293" s="114">
        <v>8248</v>
      </c>
      <c r="F293" s="115">
        <v>21645</v>
      </c>
      <c r="G293" s="116">
        <v>229</v>
      </c>
      <c r="H293" s="1731" t="s">
        <v>41</v>
      </c>
      <c r="I293" s="118"/>
      <c r="J293" s="192"/>
      <c r="K293" s="104" t="s">
        <v>25</v>
      </c>
      <c r="L293" s="192"/>
      <c r="M293" s="192"/>
      <c r="N293" s="192"/>
      <c r="O293" s="2628" t="s">
        <v>6395</v>
      </c>
      <c r="Q293" s="118"/>
    </row>
    <row r="294" spans="1:17" ht="18.75" customHeight="1" x14ac:dyDescent="0.3">
      <c r="A294" s="104">
        <v>73</v>
      </c>
      <c r="B294" s="105" t="s">
        <v>194</v>
      </c>
      <c r="C294" s="129">
        <v>401</v>
      </c>
      <c r="D294" s="128">
        <v>59</v>
      </c>
      <c r="E294" s="114">
        <v>8249</v>
      </c>
      <c r="F294" s="115">
        <v>21645</v>
      </c>
      <c r="G294" s="116">
        <v>229</v>
      </c>
      <c r="H294" s="1731" t="s">
        <v>41</v>
      </c>
      <c r="I294" s="118"/>
      <c r="J294" s="192"/>
      <c r="K294" s="104" t="s">
        <v>25</v>
      </c>
      <c r="L294" s="192"/>
      <c r="M294" s="192"/>
      <c r="N294" s="192"/>
      <c r="O294" s="2628" t="s">
        <v>6395</v>
      </c>
      <c r="Q294" s="118"/>
    </row>
    <row r="295" spans="1:17" ht="18.75" customHeight="1" x14ac:dyDescent="0.3">
      <c r="A295" s="189">
        <v>74</v>
      </c>
      <c r="B295" s="105" t="s">
        <v>194</v>
      </c>
      <c r="C295" s="195">
        <v>401</v>
      </c>
      <c r="D295" s="113">
        <v>59</v>
      </c>
      <c r="E295" s="114">
        <v>8250</v>
      </c>
      <c r="F295" s="115">
        <v>21645</v>
      </c>
      <c r="G295" s="116">
        <v>229</v>
      </c>
      <c r="H295" s="1731" t="s">
        <v>41</v>
      </c>
      <c r="I295" s="118"/>
      <c r="J295" s="192"/>
      <c r="K295" s="104" t="s">
        <v>25</v>
      </c>
      <c r="L295" s="192"/>
      <c r="M295" s="192"/>
      <c r="N295" s="192"/>
      <c r="O295" s="2628" t="s">
        <v>6395</v>
      </c>
      <c r="Q295" s="118"/>
    </row>
    <row r="296" spans="1:17" ht="18.75" customHeight="1" x14ac:dyDescent="0.3">
      <c r="A296" s="104">
        <v>75</v>
      </c>
      <c r="B296" s="105" t="s">
        <v>194</v>
      </c>
      <c r="C296" s="195">
        <v>401</v>
      </c>
      <c r="D296" s="113">
        <v>59</v>
      </c>
      <c r="E296" s="114">
        <v>8251</v>
      </c>
      <c r="F296" s="115">
        <v>21645</v>
      </c>
      <c r="G296" s="116">
        <v>229</v>
      </c>
      <c r="H296" s="1731" t="s">
        <v>41</v>
      </c>
      <c r="I296" s="118"/>
      <c r="J296" s="192"/>
      <c r="K296" s="104" t="s">
        <v>25</v>
      </c>
      <c r="L296" s="192"/>
      <c r="M296" s="192"/>
      <c r="N296" s="192"/>
      <c r="O296" s="2628" t="s">
        <v>6395</v>
      </c>
      <c r="Q296" s="118"/>
    </row>
    <row r="297" spans="1:17" ht="18.75" customHeight="1" x14ac:dyDescent="0.3">
      <c r="A297" s="104">
        <v>76</v>
      </c>
      <c r="B297" s="105" t="s">
        <v>194</v>
      </c>
      <c r="C297" s="195">
        <v>401</v>
      </c>
      <c r="D297" s="125">
        <v>59</v>
      </c>
      <c r="E297" s="114">
        <v>8252</v>
      </c>
      <c r="F297" s="115">
        <v>21645</v>
      </c>
      <c r="G297" s="116">
        <v>229</v>
      </c>
      <c r="H297" s="1731" t="s">
        <v>41</v>
      </c>
      <c r="I297" s="118"/>
      <c r="J297" s="192"/>
      <c r="K297" s="104" t="s">
        <v>25</v>
      </c>
      <c r="L297" s="192"/>
      <c r="M297" s="192"/>
      <c r="N297" s="192"/>
      <c r="O297" s="2628" t="s">
        <v>6395</v>
      </c>
      <c r="Q297" s="118"/>
    </row>
    <row r="298" spans="1:17" ht="18.75" customHeight="1" x14ac:dyDescent="0.3">
      <c r="A298" s="189">
        <v>77</v>
      </c>
      <c r="B298" s="105" t="s">
        <v>194</v>
      </c>
      <c r="C298" s="195">
        <v>401</v>
      </c>
      <c r="D298" s="128">
        <v>59</v>
      </c>
      <c r="E298" s="114">
        <v>8253</v>
      </c>
      <c r="F298" s="115">
        <v>21645</v>
      </c>
      <c r="G298" s="116">
        <v>229</v>
      </c>
      <c r="H298" s="1731" t="s">
        <v>41</v>
      </c>
      <c r="I298" s="118"/>
      <c r="J298" s="192"/>
      <c r="K298" s="104" t="s">
        <v>25</v>
      </c>
      <c r="L298" s="192"/>
      <c r="M298" s="192"/>
      <c r="N298" s="192"/>
      <c r="O298" s="2628" t="s">
        <v>6395</v>
      </c>
      <c r="Q298" s="118"/>
    </row>
    <row r="299" spans="1:17" ht="18.75" customHeight="1" x14ac:dyDescent="0.3">
      <c r="A299" s="104">
        <v>78</v>
      </c>
      <c r="B299" s="105" t="s">
        <v>194</v>
      </c>
      <c r="C299" s="195">
        <v>401</v>
      </c>
      <c r="D299" s="125">
        <v>59</v>
      </c>
      <c r="E299" s="114">
        <v>8254</v>
      </c>
      <c r="F299" s="115">
        <v>21645</v>
      </c>
      <c r="G299" s="116">
        <v>229</v>
      </c>
      <c r="H299" s="1731" t="s">
        <v>41</v>
      </c>
      <c r="I299" s="118"/>
      <c r="J299" s="192"/>
      <c r="K299" s="104" t="s">
        <v>25</v>
      </c>
      <c r="L299" s="192"/>
      <c r="M299" s="192"/>
      <c r="N299" s="192"/>
      <c r="O299" s="2628" t="s">
        <v>6395</v>
      </c>
      <c r="Q299" s="118"/>
    </row>
    <row r="300" spans="1:17" ht="18.75" customHeight="1" x14ac:dyDescent="0.3">
      <c r="A300" s="104">
        <v>79</v>
      </c>
      <c r="B300" s="105" t="s">
        <v>194</v>
      </c>
      <c r="C300" s="195">
        <v>401</v>
      </c>
      <c r="D300" s="149">
        <v>59</v>
      </c>
      <c r="E300" s="114">
        <v>8255</v>
      </c>
      <c r="F300" s="115">
        <v>21645</v>
      </c>
      <c r="G300" s="116">
        <v>229</v>
      </c>
      <c r="H300" s="1731" t="s">
        <v>41</v>
      </c>
      <c r="I300" s="118"/>
      <c r="J300" s="192"/>
      <c r="K300" s="104" t="s">
        <v>25</v>
      </c>
      <c r="L300" s="192"/>
      <c r="M300" s="192"/>
      <c r="N300" s="192"/>
      <c r="O300" s="2628" t="s">
        <v>6395</v>
      </c>
      <c r="Q300" s="118"/>
    </row>
    <row r="301" spans="1:17" ht="18.75" customHeight="1" x14ac:dyDescent="0.3">
      <c r="A301" s="189">
        <v>80</v>
      </c>
      <c r="B301" s="105" t="s">
        <v>194</v>
      </c>
      <c r="C301" s="195">
        <v>401</v>
      </c>
      <c r="D301" s="113">
        <v>59</v>
      </c>
      <c r="E301" s="114">
        <v>8256</v>
      </c>
      <c r="F301" s="115">
        <v>21645</v>
      </c>
      <c r="G301" s="116">
        <v>229</v>
      </c>
      <c r="H301" s="1731" t="s">
        <v>41</v>
      </c>
      <c r="I301" s="118"/>
      <c r="J301" s="192"/>
      <c r="K301" s="104" t="s">
        <v>25</v>
      </c>
      <c r="L301" s="192"/>
      <c r="M301" s="192"/>
      <c r="N301" s="192"/>
      <c r="O301" s="2628" t="s">
        <v>6395</v>
      </c>
      <c r="Q301" s="118"/>
    </row>
    <row r="302" spans="1:17" ht="18.75" customHeight="1" x14ac:dyDescent="0.3">
      <c r="A302" s="104">
        <v>81</v>
      </c>
      <c r="B302" s="105" t="s">
        <v>194</v>
      </c>
      <c r="C302" s="195">
        <v>401</v>
      </c>
      <c r="D302" s="125">
        <v>59</v>
      </c>
      <c r="E302" s="114">
        <v>8257</v>
      </c>
      <c r="F302" s="115">
        <v>21645</v>
      </c>
      <c r="G302" s="116">
        <v>229</v>
      </c>
      <c r="H302" s="1731" t="s">
        <v>41</v>
      </c>
      <c r="I302" s="118"/>
      <c r="J302" s="192"/>
      <c r="K302" s="104" t="s">
        <v>25</v>
      </c>
      <c r="L302" s="192"/>
      <c r="M302" s="192"/>
      <c r="N302" s="192"/>
      <c r="O302" s="2628" t="s">
        <v>6395</v>
      </c>
      <c r="Q302" s="118"/>
    </row>
    <row r="303" spans="1:17" ht="18.75" customHeight="1" x14ac:dyDescent="0.3">
      <c r="A303" s="104">
        <v>82</v>
      </c>
      <c r="B303" s="105" t="s">
        <v>194</v>
      </c>
      <c r="C303" s="195">
        <v>401</v>
      </c>
      <c r="D303" s="128">
        <v>59</v>
      </c>
      <c r="E303" s="114">
        <v>8258</v>
      </c>
      <c r="F303" s="115">
        <v>21645</v>
      </c>
      <c r="G303" s="116">
        <v>229</v>
      </c>
      <c r="H303" s="1731" t="s">
        <v>41</v>
      </c>
      <c r="I303" s="118"/>
      <c r="J303" s="192"/>
      <c r="K303" s="104" t="s">
        <v>25</v>
      </c>
      <c r="L303" s="192"/>
      <c r="M303" s="192"/>
      <c r="N303" s="192"/>
      <c r="O303" s="2628" t="s">
        <v>6395</v>
      </c>
      <c r="Q303" s="118"/>
    </row>
    <row r="304" spans="1:17" ht="18.75" customHeight="1" x14ac:dyDescent="0.3">
      <c r="A304" s="189">
        <v>83</v>
      </c>
      <c r="B304" s="105" t="s">
        <v>194</v>
      </c>
      <c r="C304" s="195">
        <v>401</v>
      </c>
      <c r="D304" s="113">
        <v>59</v>
      </c>
      <c r="E304" s="114">
        <v>8259</v>
      </c>
      <c r="F304" s="115">
        <v>21645</v>
      </c>
      <c r="G304" s="116">
        <v>229</v>
      </c>
      <c r="H304" s="1731" t="s">
        <v>41</v>
      </c>
      <c r="I304" s="118"/>
      <c r="J304" s="192"/>
      <c r="K304" s="104" t="s">
        <v>25</v>
      </c>
      <c r="L304" s="192"/>
      <c r="M304" s="192"/>
      <c r="N304" s="192"/>
      <c r="O304" s="2628" t="s">
        <v>6395</v>
      </c>
      <c r="Q304" s="118"/>
    </row>
    <row r="305" spans="1:17" ht="18.75" customHeight="1" x14ac:dyDescent="0.3">
      <c r="A305" s="104">
        <v>84</v>
      </c>
      <c r="B305" s="105" t="s">
        <v>194</v>
      </c>
      <c r="C305" s="195">
        <v>401</v>
      </c>
      <c r="D305" s="113">
        <v>59</v>
      </c>
      <c r="E305" s="114">
        <v>8260</v>
      </c>
      <c r="F305" s="115">
        <v>21645</v>
      </c>
      <c r="G305" s="116">
        <v>229</v>
      </c>
      <c r="H305" s="1731" t="s">
        <v>41</v>
      </c>
      <c r="I305" s="118"/>
      <c r="J305" s="192"/>
      <c r="K305" s="104" t="s">
        <v>25</v>
      </c>
      <c r="L305" s="192"/>
      <c r="M305" s="192"/>
      <c r="N305" s="192"/>
      <c r="O305" s="2628" t="s">
        <v>6395</v>
      </c>
      <c r="Q305" s="118"/>
    </row>
    <row r="306" spans="1:17" ht="18.75" customHeight="1" x14ac:dyDescent="0.3">
      <c r="A306" s="104">
        <v>85</v>
      </c>
      <c r="B306" s="105" t="s">
        <v>194</v>
      </c>
      <c r="C306" s="195">
        <v>401</v>
      </c>
      <c r="D306" s="136">
        <v>59</v>
      </c>
      <c r="E306" s="114">
        <v>8261</v>
      </c>
      <c r="F306" s="115">
        <v>21645</v>
      </c>
      <c r="G306" s="116">
        <v>229</v>
      </c>
      <c r="H306" s="1731" t="s">
        <v>41</v>
      </c>
      <c r="I306" s="118"/>
      <c r="J306" s="192"/>
      <c r="K306" s="104" t="s">
        <v>25</v>
      </c>
      <c r="L306" s="192"/>
      <c r="M306" s="192"/>
      <c r="N306" s="192"/>
      <c r="O306" s="2628" t="s">
        <v>6395</v>
      </c>
      <c r="Q306" s="118"/>
    </row>
    <row r="307" spans="1:17" ht="18.75" customHeight="1" x14ac:dyDescent="0.3">
      <c r="A307" s="189">
        <v>86</v>
      </c>
      <c r="B307" s="105" t="s">
        <v>194</v>
      </c>
      <c r="C307" s="195">
        <v>401</v>
      </c>
      <c r="D307" s="128">
        <v>59</v>
      </c>
      <c r="E307" s="114">
        <v>8262</v>
      </c>
      <c r="F307" s="115">
        <v>21645</v>
      </c>
      <c r="G307" s="116">
        <v>229</v>
      </c>
      <c r="H307" s="1731" t="s">
        <v>41</v>
      </c>
      <c r="I307" s="118"/>
      <c r="J307" s="192"/>
      <c r="K307" s="104" t="s">
        <v>25</v>
      </c>
      <c r="L307" s="192"/>
      <c r="M307" s="192"/>
      <c r="N307" s="192"/>
      <c r="O307" s="2628" t="s">
        <v>6395</v>
      </c>
      <c r="Q307" s="118"/>
    </row>
    <row r="308" spans="1:17" ht="18.75" customHeight="1" x14ac:dyDescent="0.3">
      <c r="A308" s="104">
        <v>87</v>
      </c>
      <c r="B308" s="105" t="s">
        <v>194</v>
      </c>
      <c r="C308" s="195">
        <v>401</v>
      </c>
      <c r="D308" s="113">
        <v>59</v>
      </c>
      <c r="E308" s="114">
        <v>8263</v>
      </c>
      <c r="F308" s="115">
        <v>21645</v>
      </c>
      <c r="G308" s="116">
        <v>229</v>
      </c>
      <c r="H308" s="1731" t="s">
        <v>41</v>
      </c>
      <c r="I308" s="118"/>
      <c r="J308" s="118"/>
      <c r="K308" s="104" t="s">
        <v>25</v>
      </c>
      <c r="L308" s="192"/>
      <c r="M308" s="192"/>
      <c r="N308" s="192"/>
      <c r="O308" s="2628" t="s">
        <v>6395</v>
      </c>
      <c r="Q308" s="118"/>
    </row>
    <row r="309" spans="1:17" ht="18.75" customHeight="1" x14ac:dyDescent="0.3">
      <c r="A309" s="104">
        <v>88</v>
      </c>
      <c r="B309" s="105" t="s">
        <v>194</v>
      </c>
      <c r="C309" s="195">
        <v>401</v>
      </c>
      <c r="D309" s="113">
        <v>59</v>
      </c>
      <c r="E309" s="114">
        <v>8264</v>
      </c>
      <c r="F309" s="115">
        <v>21645</v>
      </c>
      <c r="G309" s="116">
        <v>229</v>
      </c>
      <c r="H309" s="1731" t="s">
        <v>41</v>
      </c>
      <c r="I309" s="118"/>
      <c r="J309" s="192"/>
      <c r="K309" s="104" t="s">
        <v>25</v>
      </c>
      <c r="L309" s="192"/>
      <c r="M309" s="192"/>
      <c r="N309" s="192"/>
      <c r="O309" s="2628" t="s">
        <v>6395</v>
      </c>
      <c r="Q309" s="118"/>
    </row>
    <row r="310" spans="1:17" ht="18.75" customHeight="1" x14ac:dyDescent="0.3">
      <c r="A310" s="189">
        <v>89</v>
      </c>
      <c r="B310" s="105" t="s">
        <v>194</v>
      </c>
      <c r="C310" s="195">
        <v>401</v>
      </c>
      <c r="D310" s="113">
        <v>59</v>
      </c>
      <c r="E310" s="114">
        <v>8265</v>
      </c>
      <c r="F310" s="115">
        <v>21645</v>
      </c>
      <c r="G310" s="116">
        <v>229</v>
      </c>
      <c r="H310" s="1731" t="s">
        <v>41</v>
      </c>
      <c r="I310" s="118"/>
      <c r="J310" s="192"/>
      <c r="K310" s="104" t="s">
        <v>25</v>
      </c>
      <c r="L310" s="192"/>
      <c r="M310" s="192"/>
      <c r="N310" s="192"/>
      <c r="O310" s="2628" t="s">
        <v>6395</v>
      </c>
      <c r="Q310" s="118"/>
    </row>
    <row r="311" spans="1:17" ht="18.75" customHeight="1" x14ac:dyDescent="0.3">
      <c r="A311" s="104">
        <v>90</v>
      </c>
      <c r="B311" s="105" t="s">
        <v>194</v>
      </c>
      <c r="C311" s="195">
        <v>401</v>
      </c>
      <c r="D311" s="125">
        <v>59</v>
      </c>
      <c r="E311" s="114">
        <v>8266</v>
      </c>
      <c r="F311" s="115">
        <v>21645</v>
      </c>
      <c r="G311" s="116">
        <v>229</v>
      </c>
      <c r="H311" s="1731" t="s">
        <v>41</v>
      </c>
      <c r="I311" s="118"/>
      <c r="J311" s="192"/>
      <c r="K311" s="104" t="s">
        <v>25</v>
      </c>
      <c r="L311" s="192"/>
      <c r="M311" s="192"/>
      <c r="N311" s="192"/>
      <c r="O311" s="2628" t="s">
        <v>6395</v>
      </c>
      <c r="Q311" s="118"/>
    </row>
    <row r="312" spans="1:17" ht="18.75" customHeight="1" x14ac:dyDescent="0.3">
      <c r="A312" s="104">
        <v>91</v>
      </c>
      <c r="B312" s="105" t="s">
        <v>194</v>
      </c>
      <c r="C312" s="195">
        <v>401</v>
      </c>
      <c r="D312" s="149">
        <v>59</v>
      </c>
      <c r="E312" s="114">
        <v>8267</v>
      </c>
      <c r="F312" s="115">
        <v>21645</v>
      </c>
      <c r="G312" s="116">
        <v>229</v>
      </c>
      <c r="H312" s="1731" t="s">
        <v>41</v>
      </c>
      <c r="I312" s="118"/>
      <c r="J312" s="192"/>
      <c r="K312" s="104" t="s">
        <v>25</v>
      </c>
      <c r="L312" s="192"/>
      <c r="M312" s="192"/>
      <c r="N312" s="192"/>
      <c r="O312" s="2628" t="s">
        <v>6395</v>
      </c>
      <c r="Q312" s="118"/>
    </row>
    <row r="313" spans="1:17" ht="18.75" customHeight="1" x14ac:dyDescent="0.3">
      <c r="A313" s="189">
        <v>92</v>
      </c>
      <c r="B313" s="105" t="s">
        <v>194</v>
      </c>
      <c r="C313" s="195">
        <v>401</v>
      </c>
      <c r="D313" s="113">
        <v>59</v>
      </c>
      <c r="E313" s="114">
        <v>8268</v>
      </c>
      <c r="F313" s="115">
        <v>21645</v>
      </c>
      <c r="G313" s="116">
        <v>229</v>
      </c>
      <c r="H313" s="1731" t="s">
        <v>41</v>
      </c>
      <c r="I313" s="118"/>
      <c r="J313" s="192"/>
      <c r="K313" s="104" t="s">
        <v>25</v>
      </c>
      <c r="L313" s="192"/>
      <c r="M313" s="192"/>
      <c r="N313" s="192"/>
      <c r="O313" s="2628" t="s">
        <v>6395</v>
      </c>
      <c r="Q313" s="118"/>
    </row>
    <row r="314" spans="1:17" ht="18.75" customHeight="1" x14ac:dyDescent="0.3">
      <c r="A314" s="104">
        <v>93</v>
      </c>
      <c r="B314" s="105" t="s">
        <v>194</v>
      </c>
      <c r="C314" s="195">
        <v>401</v>
      </c>
      <c r="D314" s="113">
        <v>59</v>
      </c>
      <c r="E314" s="114">
        <v>8269</v>
      </c>
      <c r="F314" s="115">
        <v>21645</v>
      </c>
      <c r="G314" s="116">
        <v>229</v>
      </c>
      <c r="H314" s="1731" t="s">
        <v>41</v>
      </c>
      <c r="I314" s="118"/>
      <c r="J314" s="192"/>
      <c r="K314" s="104" t="s">
        <v>25</v>
      </c>
      <c r="L314" s="192"/>
      <c r="M314" s="192"/>
      <c r="N314" s="192"/>
      <c r="O314" s="2628" t="s">
        <v>6395</v>
      </c>
      <c r="Q314" s="118"/>
    </row>
    <row r="315" spans="1:17" ht="18.75" customHeight="1" x14ac:dyDescent="0.3">
      <c r="A315" s="104">
        <v>94</v>
      </c>
      <c r="B315" s="105" t="s">
        <v>194</v>
      </c>
      <c r="C315" s="195">
        <v>401</v>
      </c>
      <c r="D315" s="125">
        <v>59</v>
      </c>
      <c r="E315" s="114">
        <v>8270</v>
      </c>
      <c r="F315" s="115">
        <v>21645</v>
      </c>
      <c r="G315" s="116">
        <v>229</v>
      </c>
      <c r="H315" s="1731" t="s">
        <v>41</v>
      </c>
      <c r="I315" s="118"/>
      <c r="J315" s="192"/>
      <c r="K315" s="104" t="s">
        <v>25</v>
      </c>
      <c r="L315" s="192"/>
      <c r="M315" s="192"/>
      <c r="N315" s="192"/>
      <c r="O315" s="2628" t="s">
        <v>6395</v>
      </c>
      <c r="Q315" s="118"/>
    </row>
    <row r="316" spans="1:17" ht="18.75" customHeight="1" x14ac:dyDescent="0.3">
      <c r="A316" s="189">
        <v>95</v>
      </c>
      <c r="B316" s="105" t="s">
        <v>194</v>
      </c>
      <c r="C316" s="195">
        <v>401</v>
      </c>
      <c r="D316" s="128">
        <v>59</v>
      </c>
      <c r="E316" s="114">
        <v>8271</v>
      </c>
      <c r="F316" s="115">
        <v>21645</v>
      </c>
      <c r="G316" s="116">
        <v>229</v>
      </c>
      <c r="H316" s="1731" t="s">
        <v>41</v>
      </c>
      <c r="I316" s="118"/>
      <c r="J316" s="192"/>
      <c r="K316" s="104" t="s">
        <v>25</v>
      </c>
      <c r="L316" s="192"/>
      <c r="M316" s="192"/>
      <c r="N316" s="192"/>
      <c r="O316" s="2628" t="s">
        <v>6395</v>
      </c>
      <c r="Q316" s="118"/>
    </row>
    <row r="317" spans="1:17" ht="18.75" customHeight="1" x14ac:dyDescent="0.3">
      <c r="A317" s="104">
        <v>96</v>
      </c>
      <c r="B317" s="105" t="s">
        <v>194</v>
      </c>
      <c r="C317" s="195">
        <v>401</v>
      </c>
      <c r="D317" s="113">
        <v>59</v>
      </c>
      <c r="E317" s="114">
        <v>8272</v>
      </c>
      <c r="F317" s="115">
        <v>21645</v>
      </c>
      <c r="G317" s="116">
        <v>229</v>
      </c>
      <c r="H317" s="1731" t="s">
        <v>41</v>
      </c>
      <c r="I317" s="118"/>
      <c r="J317" s="192"/>
      <c r="K317" s="104" t="s">
        <v>25</v>
      </c>
      <c r="L317" s="192"/>
      <c r="M317" s="192"/>
      <c r="N317" s="192"/>
      <c r="O317" s="2628" t="s">
        <v>6395</v>
      </c>
      <c r="Q317" s="118"/>
    </row>
    <row r="318" spans="1:17" ht="18.75" customHeight="1" x14ac:dyDescent="0.3">
      <c r="A318" s="104">
        <v>97</v>
      </c>
      <c r="B318" s="105" t="s">
        <v>194</v>
      </c>
      <c r="C318" s="195">
        <v>401</v>
      </c>
      <c r="D318" s="113">
        <v>59</v>
      </c>
      <c r="E318" s="114">
        <v>8273</v>
      </c>
      <c r="F318" s="115">
        <v>21645</v>
      </c>
      <c r="G318" s="116">
        <v>229</v>
      </c>
      <c r="H318" s="1731" t="s">
        <v>41</v>
      </c>
      <c r="I318" s="118"/>
      <c r="J318" s="192"/>
      <c r="K318" s="104" t="s">
        <v>25</v>
      </c>
      <c r="L318" s="192"/>
      <c r="M318" s="192"/>
      <c r="N318" s="192"/>
      <c r="O318" s="2628" t="s">
        <v>6395</v>
      </c>
      <c r="Q318" s="118"/>
    </row>
    <row r="319" spans="1:17" ht="18.75" customHeight="1" x14ac:dyDescent="0.3">
      <c r="A319" s="189">
        <v>98</v>
      </c>
      <c r="B319" s="105" t="s">
        <v>194</v>
      </c>
      <c r="C319" s="195">
        <v>401</v>
      </c>
      <c r="D319" s="136">
        <v>59</v>
      </c>
      <c r="E319" s="114">
        <v>8274</v>
      </c>
      <c r="F319" s="115">
        <v>21645</v>
      </c>
      <c r="G319" s="116">
        <v>229</v>
      </c>
      <c r="H319" s="1731" t="s">
        <v>41</v>
      </c>
      <c r="I319" s="118"/>
      <c r="J319" s="192"/>
      <c r="K319" s="104" t="s">
        <v>25</v>
      </c>
      <c r="L319" s="192"/>
      <c r="M319" s="192"/>
      <c r="N319" s="192"/>
      <c r="O319" s="2628" t="s">
        <v>6395</v>
      </c>
      <c r="Q319" s="118"/>
    </row>
    <row r="320" spans="1:17" ht="18.75" customHeight="1" x14ac:dyDescent="0.3">
      <c r="A320" s="104">
        <v>99</v>
      </c>
      <c r="B320" s="105" t="s">
        <v>194</v>
      </c>
      <c r="C320" s="195">
        <v>401</v>
      </c>
      <c r="D320" s="127">
        <v>59</v>
      </c>
      <c r="E320" s="114">
        <v>8275</v>
      </c>
      <c r="F320" s="115">
        <v>21645</v>
      </c>
      <c r="G320" s="116">
        <v>229</v>
      </c>
      <c r="H320" s="1731" t="s">
        <v>41</v>
      </c>
      <c r="I320" s="118"/>
      <c r="J320" s="192"/>
      <c r="K320" s="104" t="s">
        <v>25</v>
      </c>
      <c r="L320" s="192"/>
      <c r="M320" s="192"/>
      <c r="N320" s="192"/>
      <c r="O320" s="2628" t="s">
        <v>6395</v>
      </c>
      <c r="Q320" s="118"/>
    </row>
    <row r="321" spans="1:17" ht="18.75" customHeight="1" x14ac:dyDescent="0.3">
      <c r="A321" s="104">
        <v>100</v>
      </c>
      <c r="B321" s="105" t="s">
        <v>194</v>
      </c>
      <c r="C321" s="195">
        <v>401</v>
      </c>
      <c r="D321" s="128">
        <v>59</v>
      </c>
      <c r="E321" s="114">
        <v>8276</v>
      </c>
      <c r="F321" s="115">
        <v>21645</v>
      </c>
      <c r="G321" s="116">
        <v>229</v>
      </c>
      <c r="H321" s="1731" t="s">
        <v>41</v>
      </c>
      <c r="I321" s="118"/>
      <c r="J321" s="192"/>
      <c r="K321" s="104" t="s">
        <v>25</v>
      </c>
      <c r="L321" s="192"/>
      <c r="M321" s="192"/>
      <c r="N321" s="192"/>
      <c r="O321" s="2628" t="s">
        <v>6395</v>
      </c>
      <c r="Q321" s="118"/>
    </row>
    <row r="322" spans="1:17" ht="18.75" customHeight="1" x14ac:dyDescent="0.3">
      <c r="A322" s="189">
        <v>101</v>
      </c>
      <c r="B322" s="105" t="s">
        <v>194</v>
      </c>
      <c r="C322" s="195">
        <v>401</v>
      </c>
      <c r="D322" s="113">
        <v>59</v>
      </c>
      <c r="E322" s="114">
        <v>8277</v>
      </c>
      <c r="F322" s="115">
        <v>21645</v>
      </c>
      <c r="G322" s="116">
        <v>229</v>
      </c>
      <c r="H322" s="1731" t="s">
        <v>41</v>
      </c>
      <c r="I322" s="118"/>
      <c r="J322" s="192"/>
      <c r="K322" s="104" t="s">
        <v>25</v>
      </c>
      <c r="L322" s="192"/>
      <c r="M322" s="192"/>
      <c r="N322" s="192"/>
      <c r="O322" s="2628" t="s">
        <v>6395</v>
      </c>
      <c r="Q322" s="118"/>
    </row>
    <row r="323" spans="1:17" ht="18.75" customHeight="1" x14ac:dyDescent="0.3">
      <c r="A323" s="104">
        <v>102</v>
      </c>
      <c r="B323" s="105" t="s">
        <v>194</v>
      </c>
      <c r="C323" s="195">
        <v>401</v>
      </c>
      <c r="D323" s="113">
        <v>59</v>
      </c>
      <c r="E323" s="114">
        <v>8278</v>
      </c>
      <c r="F323" s="115">
        <v>21645</v>
      </c>
      <c r="G323" s="116">
        <v>229</v>
      </c>
      <c r="H323" s="1731" t="s">
        <v>41</v>
      </c>
      <c r="I323" s="118"/>
      <c r="J323" s="192"/>
      <c r="K323" s="104" t="s">
        <v>25</v>
      </c>
      <c r="L323" s="192"/>
      <c r="M323" s="192"/>
      <c r="N323" s="192"/>
      <c r="O323" s="2628" t="s">
        <v>6395</v>
      </c>
      <c r="Q323" s="118"/>
    </row>
    <row r="324" spans="1:17" ht="18.75" customHeight="1" x14ac:dyDescent="0.3">
      <c r="A324" s="104">
        <v>103</v>
      </c>
      <c r="B324" s="105" t="s">
        <v>194</v>
      </c>
      <c r="C324" s="195">
        <v>401</v>
      </c>
      <c r="D324" s="113">
        <v>59</v>
      </c>
      <c r="E324" s="114">
        <v>8279</v>
      </c>
      <c r="F324" s="115">
        <v>21645</v>
      </c>
      <c r="G324" s="116">
        <v>229</v>
      </c>
      <c r="H324" s="1731" t="s">
        <v>41</v>
      </c>
      <c r="I324" s="118"/>
      <c r="J324" s="192"/>
      <c r="K324" s="104" t="s">
        <v>25</v>
      </c>
      <c r="L324" s="192"/>
      <c r="M324" s="192"/>
      <c r="N324" s="192"/>
      <c r="O324" s="2628" t="s">
        <v>6395</v>
      </c>
      <c r="Q324" s="118"/>
    </row>
    <row r="325" spans="1:17" ht="18.75" customHeight="1" x14ac:dyDescent="0.3">
      <c r="A325" s="189">
        <v>104</v>
      </c>
      <c r="B325" s="105" t="s">
        <v>194</v>
      </c>
      <c r="C325" s="195">
        <v>401</v>
      </c>
      <c r="D325" s="125">
        <v>59</v>
      </c>
      <c r="E325" s="114">
        <v>8280</v>
      </c>
      <c r="F325" s="115">
        <v>21645</v>
      </c>
      <c r="G325" s="116">
        <v>229</v>
      </c>
      <c r="H325" s="1731" t="s">
        <v>41</v>
      </c>
      <c r="I325" s="118"/>
      <c r="J325" s="192"/>
      <c r="K325" s="104" t="s">
        <v>25</v>
      </c>
      <c r="L325" s="192"/>
      <c r="M325" s="192"/>
      <c r="N325" s="192"/>
      <c r="O325" s="2628" t="s">
        <v>6395</v>
      </c>
      <c r="Q325" s="118"/>
    </row>
    <row r="326" spans="1:17" ht="18.75" customHeight="1" x14ac:dyDescent="0.3">
      <c r="A326" s="104">
        <v>105</v>
      </c>
      <c r="B326" s="105" t="s">
        <v>194</v>
      </c>
      <c r="C326" s="195">
        <v>401</v>
      </c>
      <c r="D326" s="149">
        <v>59</v>
      </c>
      <c r="E326" s="114">
        <v>8281</v>
      </c>
      <c r="F326" s="115">
        <v>21645</v>
      </c>
      <c r="G326" s="116">
        <v>229</v>
      </c>
      <c r="H326" s="1731" t="s">
        <v>41</v>
      </c>
      <c r="I326" s="118"/>
      <c r="J326" s="192"/>
      <c r="K326" s="104" t="s">
        <v>25</v>
      </c>
      <c r="L326" s="192"/>
      <c r="M326" s="192"/>
      <c r="N326" s="192"/>
      <c r="O326" s="2628" t="s">
        <v>6395</v>
      </c>
      <c r="Q326" s="118"/>
    </row>
    <row r="327" spans="1:17" ht="18.75" customHeight="1" x14ac:dyDescent="0.3">
      <c r="A327" s="104">
        <v>106</v>
      </c>
      <c r="B327" s="105" t="s">
        <v>194</v>
      </c>
      <c r="C327" s="195">
        <v>401</v>
      </c>
      <c r="D327" s="113">
        <v>59</v>
      </c>
      <c r="E327" s="114">
        <v>8282</v>
      </c>
      <c r="F327" s="115">
        <v>21645</v>
      </c>
      <c r="G327" s="116">
        <v>229</v>
      </c>
      <c r="H327" s="1731" t="s">
        <v>41</v>
      </c>
      <c r="I327" s="118"/>
      <c r="J327" s="192"/>
      <c r="K327" s="104" t="s">
        <v>25</v>
      </c>
      <c r="L327" s="192"/>
      <c r="M327" s="192"/>
      <c r="N327" s="192"/>
      <c r="O327" s="2628" t="s">
        <v>6395</v>
      </c>
      <c r="Q327" s="118"/>
    </row>
    <row r="328" spans="1:17" ht="18.75" customHeight="1" x14ac:dyDescent="0.3">
      <c r="A328" s="189">
        <v>107</v>
      </c>
      <c r="B328" s="105" t="s">
        <v>194</v>
      </c>
      <c r="C328" s="195">
        <v>401</v>
      </c>
      <c r="D328" s="113">
        <v>59</v>
      </c>
      <c r="E328" s="114">
        <v>8283</v>
      </c>
      <c r="F328" s="115">
        <v>21645</v>
      </c>
      <c r="G328" s="116">
        <v>229</v>
      </c>
      <c r="H328" s="1731" t="s">
        <v>41</v>
      </c>
      <c r="I328" s="118"/>
      <c r="J328" s="192"/>
      <c r="K328" s="104" t="s">
        <v>25</v>
      </c>
      <c r="L328" s="192"/>
      <c r="M328" s="192"/>
      <c r="N328" s="192"/>
      <c r="O328" s="2628" t="s">
        <v>6395</v>
      </c>
      <c r="Q328" s="118"/>
    </row>
    <row r="329" spans="1:17" ht="18.75" customHeight="1" x14ac:dyDescent="0.3">
      <c r="A329" s="104">
        <v>108</v>
      </c>
      <c r="B329" s="105" t="s">
        <v>194</v>
      </c>
      <c r="C329" s="195">
        <v>401</v>
      </c>
      <c r="D329" s="113">
        <v>59</v>
      </c>
      <c r="E329" s="114">
        <v>8284</v>
      </c>
      <c r="F329" s="115">
        <v>21645</v>
      </c>
      <c r="G329" s="116">
        <v>229</v>
      </c>
      <c r="H329" s="1731" t="s">
        <v>41</v>
      </c>
      <c r="I329" s="118"/>
      <c r="J329" s="192"/>
      <c r="K329" s="104" t="s">
        <v>25</v>
      </c>
      <c r="L329" s="192"/>
      <c r="M329" s="192"/>
      <c r="N329" s="192"/>
      <c r="O329" s="2628" t="s">
        <v>6395</v>
      </c>
      <c r="Q329" s="118"/>
    </row>
    <row r="330" spans="1:17" ht="18.75" customHeight="1" x14ac:dyDescent="0.3">
      <c r="A330" s="104">
        <v>109</v>
      </c>
      <c r="B330" s="105" t="s">
        <v>194</v>
      </c>
      <c r="C330" s="195">
        <v>401</v>
      </c>
      <c r="D330" s="113">
        <v>59</v>
      </c>
      <c r="E330" s="114">
        <v>8285</v>
      </c>
      <c r="F330" s="115">
        <v>21645</v>
      </c>
      <c r="G330" s="116">
        <v>229</v>
      </c>
      <c r="H330" s="1731" t="s">
        <v>41</v>
      </c>
      <c r="I330" s="118"/>
      <c r="J330" s="192"/>
      <c r="K330" s="104" t="s">
        <v>25</v>
      </c>
      <c r="L330" s="192"/>
      <c r="M330" s="192"/>
      <c r="N330" s="192"/>
      <c r="O330" s="2628" t="s">
        <v>6395</v>
      </c>
      <c r="Q330" s="118"/>
    </row>
    <row r="331" spans="1:17" ht="18.75" customHeight="1" x14ac:dyDescent="0.3">
      <c r="A331" s="189">
        <v>110</v>
      </c>
      <c r="B331" s="105" t="s">
        <v>194</v>
      </c>
      <c r="C331" s="195">
        <v>401</v>
      </c>
      <c r="D331" s="113">
        <v>59</v>
      </c>
      <c r="E331" s="114">
        <v>8286</v>
      </c>
      <c r="F331" s="115">
        <v>21645</v>
      </c>
      <c r="G331" s="116">
        <v>229</v>
      </c>
      <c r="H331" s="1731" t="s">
        <v>41</v>
      </c>
      <c r="I331" s="118"/>
      <c r="J331" s="192"/>
      <c r="K331" s="104" t="s">
        <v>25</v>
      </c>
      <c r="L331" s="192"/>
      <c r="M331" s="192"/>
      <c r="N331" s="192"/>
      <c r="O331" s="2628" t="s">
        <v>6395</v>
      </c>
      <c r="Q331" s="118"/>
    </row>
    <row r="332" spans="1:17" ht="18.75" customHeight="1" x14ac:dyDescent="0.3">
      <c r="A332" s="104">
        <v>111</v>
      </c>
      <c r="B332" s="105" t="s">
        <v>194</v>
      </c>
      <c r="C332" s="195">
        <v>401</v>
      </c>
      <c r="D332" s="113">
        <v>59</v>
      </c>
      <c r="E332" s="114">
        <v>8287</v>
      </c>
      <c r="F332" s="115">
        <v>21645</v>
      </c>
      <c r="G332" s="116">
        <v>229</v>
      </c>
      <c r="H332" s="1731" t="s">
        <v>41</v>
      </c>
      <c r="I332" s="118"/>
      <c r="J332" s="192"/>
      <c r="K332" s="104" t="s">
        <v>25</v>
      </c>
      <c r="L332" s="192"/>
      <c r="M332" s="192"/>
      <c r="N332" s="192"/>
      <c r="O332" s="2628" t="s">
        <v>6395</v>
      </c>
      <c r="Q332" s="118"/>
    </row>
    <row r="333" spans="1:17" ht="18.75" customHeight="1" x14ac:dyDescent="0.3">
      <c r="A333" s="104">
        <v>112</v>
      </c>
      <c r="B333" s="105" t="s">
        <v>194</v>
      </c>
      <c r="C333" s="195">
        <v>401</v>
      </c>
      <c r="D333" s="113">
        <v>59</v>
      </c>
      <c r="E333" s="114">
        <v>8288</v>
      </c>
      <c r="F333" s="115">
        <v>21645</v>
      </c>
      <c r="G333" s="116">
        <v>229</v>
      </c>
      <c r="H333" s="1731" t="s">
        <v>41</v>
      </c>
      <c r="I333" s="118"/>
      <c r="J333" s="192"/>
      <c r="K333" s="104" t="s">
        <v>25</v>
      </c>
      <c r="L333" s="192"/>
      <c r="M333" s="192"/>
      <c r="N333" s="192"/>
      <c r="O333" s="2628" t="s">
        <v>6395</v>
      </c>
      <c r="Q333" s="118"/>
    </row>
    <row r="334" spans="1:17" ht="18.75" customHeight="1" x14ac:dyDescent="0.3">
      <c r="A334" s="189">
        <v>113</v>
      </c>
      <c r="B334" s="105" t="s">
        <v>194</v>
      </c>
      <c r="C334" s="195">
        <v>401</v>
      </c>
      <c r="D334" s="136">
        <v>59</v>
      </c>
      <c r="E334" s="114">
        <v>8289</v>
      </c>
      <c r="F334" s="115">
        <v>21645</v>
      </c>
      <c r="G334" s="116">
        <v>229</v>
      </c>
      <c r="H334" s="1731" t="s">
        <v>41</v>
      </c>
      <c r="I334" s="118"/>
      <c r="J334" s="192"/>
      <c r="K334" s="104" t="s">
        <v>25</v>
      </c>
      <c r="L334" s="192"/>
      <c r="M334" s="192"/>
      <c r="N334" s="192"/>
      <c r="O334" s="2628" t="s">
        <v>6395</v>
      </c>
      <c r="Q334" s="118"/>
    </row>
    <row r="335" spans="1:17" ht="18.75" customHeight="1" x14ac:dyDescent="0.3">
      <c r="A335" s="104">
        <v>114</v>
      </c>
      <c r="B335" s="105" t="s">
        <v>194</v>
      </c>
      <c r="C335" s="195">
        <v>401</v>
      </c>
      <c r="D335" s="127">
        <v>59</v>
      </c>
      <c r="E335" s="114">
        <v>8290</v>
      </c>
      <c r="F335" s="115">
        <v>21645</v>
      </c>
      <c r="G335" s="116">
        <v>229</v>
      </c>
      <c r="H335" s="1731" t="s">
        <v>41</v>
      </c>
      <c r="I335" s="118"/>
      <c r="J335" s="192"/>
      <c r="K335" s="104" t="s">
        <v>25</v>
      </c>
      <c r="L335" s="192"/>
      <c r="M335" s="192"/>
      <c r="N335" s="192"/>
      <c r="O335" s="2628" t="s">
        <v>6395</v>
      </c>
      <c r="Q335" s="118"/>
    </row>
    <row r="336" spans="1:17" ht="18.75" customHeight="1" x14ac:dyDescent="0.3">
      <c r="A336" s="104">
        <v>115</v>
      </c>
      <c r="B336" s="105" t="s">
        <v>194</v>
      </c>
      <c r="C336" s="195">
        <v>401</v>
      </c>
      <c r="D336" s="128">
        <v>59</v>
      </c>
      <c r="E336" s="114">
        <v>8291</v>
      </c>
      <c r="F336" s="115">
        <v>21645</v>
      </c>
      <c r="G336" s="116">
        <v>229</v>
      </c>
      <c r="H336" s="1731" t="s">
        <v>41</v>
      </c>
      <c r="I336" s="118"/>
      <c r="J336" s="192"/>
      <c r="K336" s="104" t="s">
        <v>25</v>
      </c>
      <c r="L336" s="192"/>
      <c r="M336" s="192"/>
      <c r="N336" s="192"/>
      <c r="O336" s="2628" t="s">
        <v>6395</v>
      </c>
      <c r="Q336" s="118"/>
    </row>
    <row r="337" spans="1:17" ht="18.75" customHeight="1" x14ac:dyDescent="0.3">
      <c r="A337" s="189">
        <v>116</v>
      </c>
      <c r="B337" s="105" t="s">
        <v>194</v>
      </c>
      <c r="C337" s="195">
        <v>401</v>
      </c>
      <c r="D337" s="113">
        <v>59</v>
      </c>
      <c r="E337" s="114">
        <v>8292</v>
      </c>
      <c r="F337" s="115">
        <v>21645</v>
      </c>
      <c r="G337" s="116">
        <v>229</v>
      </c>
      <c r="H337" s="1731" t="s">
        <v>41</v>
      </c>
      <c r="I337" s="118"/>
      <c r="J337" s="192"/>
      <c r="K337" s="104" t="s">
        <v>25</v>
      </c>
      <c r="L337" s="192"/>
      <c r="M337" s="192"/>
      <c r="N337" s="192"/>
      <c r="O337" s="2628" t="s">
        <v>6395</v>
      </c>
      <c r="Q337" s="118"/>
    </row>
    <row r="338" spans="1:17" ht="18.75" customHeight="1" x14ac:dyDescent="0.3">
      <c r="A338" s="104">
        <v>117</v>
      </c>
      <c r="B338" s="105" t="s">
        <v>194</v>
      </c>
      <c r="C338" s="195">
        <v>401</v>
      </c>
      <c r="D338" s="113">
        <v>59</v>
      </c>
      <c r="E338" s="114">
        <v>8293</v>
      </c>
      <c r="F338" s="115">
        <v>21645</v>
      </c>
      <c r="G338" s="116">
        <v>229</v>
      </c>
      <c r="H338" s="1731" t="s">
        <v>41</v>
      </c>
      <c r="I338" s="118"/>
      <c r="J338" s="192"/>
      <c r="K338" s="104" t="s">
        <v>25</v>
      </c>
      <c r="L338" s="192"/>
      <c r="M338" s="192"/>
      <c r="N338" s="192"/>
      <c r="O338" s="2628" t="s">
        <v>6395</v>
      </c>
      <c r="Q338" s="118"/>
    </row>
    <row r="339" spans="1:17" ht="18.75" customHeight="1" x14ac:dyDescent="0.3">
      <c r="A339" s="104">
        <v>118</v>
      </c>
      <c r="B339" s="105" t="s">
        <v>194</v>
      </c>
      <c r="C339" s="195">
        <v>401</v>
      </c>
      <c r="D339" s="113">
        <v>59</v>
      </c>
      <c r="E339" s="114">
        <v>8294</v>
      </c>
      <c r="F339" s="115">
        <v>21645</v>
      </c>
      <c r="G339" s="116">
        <v>229</v>
      </c>
      <c r="H339" s="1731" t="s">
        <v>41</v>
      </c>
      <c r="I339" s="118"/>
      <c r="J339" s="192"/>
      <c r="K339" s="104" t="s">
        <v>25</v>
      </c>
      <c r="L339" s="192"/>
      <c r="M339" s="192"/>
      <c r="N339" s="192"/>
      <c r="O339" s="2628" t="s">
        <v>6395</v>
      </c>
      <c r="Q339" s="118"/>
    </row>
    <row r="340" spans="1:17" ht="18.75" customHeight="1" x14ac:dyDescent="0.3">
      <c r="A340" s="189">
        <v>119</v>
      </c>
      <c r="B340" s="105" t="s">
        <v>194</v>
      </c>
      <c r="C340" s="195">
        <v>401</v>
      </c>
      <c r="D340" s="113">
        <v>59</v>
      </c>
      <c r="E340" s="114">
        <v>8295</v>
      </c>
      <c r="F340" s="115">
        <v>21645</v>
      </c>
      <c r="G340" s="116">
        <v>229</v>
      </c>
      <c r="H340" s="1731" t="s">
        <v>41</v>
      </c>
      <c r="I340" s="118"/>
      <c r="J340" s="192"/>
      <c r="K340" s="104" t="s">
        <v>25</v>
      </c>
      <c r="L340" s="192"/>
      <c r="M340" s="192"/>
      <c r="N340" s="192"/>
      <c r="O340" s="2628" t="s">
        <v>6395</v>
      </c>
      <c r="Q340" s="118"/>
    </row>
    <row r="341" spans="1:17" ht="18.75" customHeight="1" x14ac:dyDescent="0.3">
      <c r="A341" s="104">
        <v>120</v>
      </c>
      <c r="B341" s="105" t="s">
        <v>194</v>
      </c>
      <c r="C341" s="195">
        <v>401</v>
      </c>
      <c r="D341" s="113">
        <v>59</v>
      </c>
      <c r="E341" s="114">
        <v>8296</v>
      </c>
      <c r="F341" s="115">
        <v>21645</v>
      </c>
      <c r="G341" s="116">
        <v>229</v>
      </c>
      <c r="H341" s="1731" t="s">
        <v>41</v>
      </c>
      <c r="I341" s="118"/>
      <c r="J341" s="192"/>
      <c r="K341" s="104" t="s">
        <v>25</v>
      </c>
      <c r="L341" s="192"/>
      <c r="M341" s="192"/>
      <c r="N341" s="192"/>
      <c r="O341" s="2628" t="s">
        <v>6395</v>
      </c>
      <c r="Q341" s="118"/>
    </row>
    <row r="342" spans="1:17" ht="18.75" customHeight="1" x14ac:dyDescent="0.3">
      <c r="A342" s="104">
        <v>121</v>
      </c>
      <c r="B342" s="105" t="s">
        <v>194</v>
      </c>
      <c r="C342" s="195">
        <v>401</v>
      </c>
      <c r="D342" s="125">
        <v>59</v>
      </c>
      <c r="E342" s="114">
        <v>8297</v>
      </c>
      <c r="F342" s="115">
        <v>21645</v>
      </c>
      <c r="G342" s="116">
        <v>229</v>
      </c>
      <c r="H342" s="1731" t="s">
        <v>41</v>
      </c>
      <c r="I342" s="118"/>
      <c r="J342" s="192"/>
      <c r="K342" s="104" t="s">
        <v>25</v>
      </c>
      <c r="L342" s="192"/>
      <c r="M342" s="192"/>
      <c r="N342" s="192"/>
      <c r="O342" s="2628" t="s">
        <v>6395</v>
      </c>
      <c r="Q342" s="118"/>
    </row>
    <row r="343" spans="1:17" ht="18.75" customHeight="1" x14ac:dyDescent="0.3">
      <c r="A343" s="189">
        <v>122</v>
      </c>
      <c r="B343" s="105" t="s">
        <v>194</v>
      </c>
      <c r="C343" s="195">
        <v>401</v>
      </c>
      <c r="D343" s="149">
        <v>59</v>
      </c>
      <c r="E343" s="114">
        <v>8298</v>
      </c>
      <c r="F343" s="115">
        <v>21645</v>
      </c>
      <c r="G343" s="116">
        <v>229</v>
      </c>
      <c r="H343" s="1731" t="s">
        <v>41</v>
      </c>
      <c r="I343" s="118"/>
      <c r="J343" s="192"/>
      <c r="K343" s="104" t="s">
        <v>25</v>
      </c>
      <c r="L343" s="192"/>
      <c r="M343" s="192"/>
      <c r="N343" s="192"/>
      <c r="O343" s="2628" t="s">
        <v>6395</v>
      </c>
      <c r="Q343" s="118"/>
    </row>
    <row r="344" spans="1:17" ht="18.75" customHeight="1" x14ac:dyDescent="0.3">
      <c r="A344" s="104">
        <v>123</v>
      </c>
      <c r="B344" s="105" t="s">
        <v>194</v>
      </c>
      <c r="C344" s="195">
        <v>401</v>
      </c>
      <c r="D344" s="113">
        <v>59</v>
      </c>
      <c r="E344" s="114">
        <v>8299</v>
      </c>
      <c r="F344" s="115">
        <v>21645</v>
      </c>
      <c r="G344" s="116">
        <v>229</v>
      </c>
      <c r="H344" s="1731" t="s">
        <v>41</v>
      </c>
      <c r="I344" s="118"/>
      <c r="J344" s="192"/>
      <c r="K344" s="104" t="s">
        <v>25</v>
      </c>
      <c r="L344" s="192"/>
      <c r="M344" s="192"/>
      <c r="N344" s="192"/>
      <c r="O344" s="2628" t="s">
        <v>6395</v>
      </c>
      <c r="Q344" s="118"/>
    </row>
    <row r="345" spans="1:17" ht="18.75" customHeight="1" x14ac:dyDescent="0.3">
      <c r="A345" s="104">
        <v>124</v>
      </c>
      <c r="B345" s="105" t="s">
        <v>194</v>
      </c>
      <c r="C345" s="195">
        <v>401</v>
      </c>
      <c r="D345" s="113">
        <v>59</v>
      </c>
      <c r="E345" s="114">
        <v>8300</v>
      </c>
      <c r="F345" s="115">
        <v>21645</v>
      </c>
      <c r="G345" s="116">
        <v>229</v>
      </c>
      <c r="H345" s="1731" t="s">
        <v>41</v>
      </c>
      <c r="I345" s="118"/>
      <c r="J345" s="192"/>
      <c r="K345" s="104" t="s">
        <v>25</v>
      </c>
      <c r="L345" s="192"/>
      <c r="M345" s="192"/>
      <c r="N345" s="192"/>
      <c r="O345" s="2628" t="s">
        <v>6395</v>
      </c>
      <c r="Q345" s="118"/>
    </row>
    <row r="346" spans="1:17" ht="18.75" customHeight="1" x14ac:dyDescent="0.3">
      <c r="A346" s="189">
        <v>125</v>
      </c>
      <c r="B346" s="105" t="s">
        <v>194</v>
      </c>
      <c r="C346" s="195">
        <v>401</v>
      </c>
      <c r="D346" s="113">
        <v>59</v>
      </c>
      <c r="E346" s="114">
        <v>8301</v>
      </c>
      <c r="F346" s="115">
        <v>21645</v>
      </c>
      <c r="G346" s="116">
        <v>229</v>
      </c>
      <c r="H346" s="1731" t="s">
        <v>41</v>
      </c>
      <c r="I346" s="118"/>
      <c r="J346" s="192"/>
      <c r="K346" s="104" t="s">
        <v>25</v>
      </c>
      <c r="L346" s="192"/>
      <c r="M346" s="192"/>
      <c r="N346" s="192"/>
      <c r="O346" s="2628" t="s">
        <v>6395</v>
      </c>
      <c r="Q346" s="118"/>
    </row>
    <row r="347" spans="1:17" ht="18.75" customHeight="1" x14ac:dyDescent="0.3">
      <c r="A347" s="104">
        <v>126</v>
      </c>
      <c r="B347" s="105" t="s">
        <v>194</v>
      </c>
      <c r="C347" s="195">
        <v>401</v>
      </c>
      <c r="D347" s="113">
        <v>59</v>
      </c>
      <c r="E347" s="114">
        <v>8302</v>
      </c>
      <c r="F347" s="115">
        <v>21645</v>
      </c>
      <c r="G347" s="116">
        <v>229</v>
      </c>
      <c r="H347" s="1731" t="s">
        <v>41</v>
      </c>
      <c r="I347" s="118"/>
      <c r="J347" s="192"/>
      <c r="K347" s="104" t="s">
        <v>25</v>
      </c>
      <c r="L347" s="192"/>
      <c r="M347" s="192"/>
      <c r="N347" s="192"/>
      <c r="O347" s="2628" t="s">
        <v>6395</v>
      </c>
      <c r="Q347" s="118"/>
    </row>
    <row r="348" spans="1:17" ht="18.75" customHeight="1" x14ac:dyDescent="0.3">
      <c r="A348" s="104">
        <v>127</v>
      </c>
      <c r="B348" s="105" t="s">
        <v>194</v>
      </c>
      <c r="C348" s="195">
        <v>401</v>
      </c>
      <c r="D348" s="113">
        <v>59</v>
      </c>
      <c r="E348" s="114">
        <v>8303</v>
      </c>
      <c r="F348" s="115">
        <v>21645</v>
      </c>
      <c r="G348" s="116">
        <v>229</v>
      </c>
      <c r="H348" s="1731" t="s">
        <v>41</v>
      </c>
      <c r="I348" s="118"/>
      <c r="J348" s="192"/>
      <c r="K348" s="104" t="s">
        <v>25</v>
      </c>
      <c r="L348" s="192"/>
      <c r="M348" s="192"/>
      <c r="N348" s="192"/>
      <c r="O348" s="2628" t="s">
        <v>6395</v>
      </c>
      <c r="Q348" s="118"/>
    </row>
    <row r="349" spans="1:17" ht="18.75" customHeight="1" x14ac:dyDescent="0.3">
      <c r="A349" s="189">
        <v>128</v>
      </c>
      <c r="B349" s="105" t="s">
        <v>194</v>
      </c>
      <c r="C349" s="195">
        <v>401</v>
      </c>
      <c r="D349" s="125">
        <v>59</v>
      </c>
      <c r="E349" s="114">
        <v>8304</v>
      </c>
      <c r="F349" s="115">
        <v>21645</v>
      </c>
      <c r="G349" s="116">
        <v>229</v>
      </c>
      <c r="H349" s="1731" t="s">
        <v>41</v>
      </c>
      <c r="I349" s="118"/>
      <c r="J349" s="192"/>
      <c r="K349" s="104" t="s">
        <v>25</v>
      </c>
      <c r="L349" s="192"/>
      <c r="M349" s="192"/>
      <c r="N349" s="192"/>
      <c r="O349" s="2628" t="s">
        <v>6395</v>
      </c>
      <c r="Q349" s="118"/>
    </row>
    <row r="350" spans="1:17" ht="18.75" customHeight="1" x14ac:dyDescent="0.3">
      <c r="A350" s="104">
        <v>129</v>
      </c>
      <c r="B350" s="105" t="s">
        <v>194</v>
      </c>
      <c r="C350" s="195">
        <v>401</v>
      </c>
      <c r="D350" s="127">
        <v>59</v>
      </c>
      <c r="E350" s="114">
        <v>8305</v>
      </c>
      <c r="F350" s="115">
        <v>21645</v>
      </c>
      <c r="G350" s="116">
        <v>229</v>
      </c>
      <c r="H350" s="1731" t="s">
        <v>41</v>
      </c>
      <c r="I350" s="118"/>
      <c r="J350" s="192"/>
      <c r="K350" s="104" t="s">
        <v>25</v>
      </c>
      <c r="L350" s="192"/>
      <c r="M350" s="192"/>
      <c r="N350" s="192"/>
      <c r="O350" s="2628" t="s">
        <v>6395</v>
      </c>
      <c r="Q350" s="118"/>
    </row>
    <row r="351" spans="1:17" ht="18.75" customHeight="1" x14ac:dyDescent="0.3">
      <c r="A351" s="104">
        <v>130</v>
      </c>
      <c r="B351" s="105" t="s">
        <v>194</v>
      </c>
      <c r="C351" s="195">
        <v>401</v>
      </c>
      <c r="D351" s="128">
        <v>59</v>
      </c>
      <c r="E351" s="114">
        <v>8306</v>
      </c>
      <c r="F351" s="115">
        <v>21645</v>
      </c>
      <c r="G351" s="116">
        <v>229</v>
      </c>
      <c r="H351" s="1731" t="s">
        <v>41</v>
      </c>
      <c r="I351" s="118"/>
      <c r="J351" s="192"/>
      <c r="K351" s="104" t="s">
        <v>25</v>
      </c>
      <c r="L351" s="192"/>
      <c r="M351" s="192"/>
      <c r="N351" s="192"/>
      <c r="O351" s="2628" t="s">
        <v>6395</v>
      </c>
      <c r="Q351" s="118"/>
    </row>
    <row r="352" spans="1:17" ht="18.75" customHeight="1" x14ac:dyDescent="0.3">
      <c r="A352" s="189">
        <v>131</v>
      </c>
      <c r="B352" s="105" t="s">
        <v>194</v>
      </c>
      <c r="C352" s="195">
        <v>401</v>
      </c>
      <c r="D352" s="113">
        <v>59</v>
      </c>
      <c r="E352" s="114">
        <v>8307</v>
      </c>
      <c r="F352" s="115">
        <v>21645</v>
      </c>
      <c r="G352" s="116">
        <v>229</v>
      </c>
      <c r="H352" s="1731" t="s">
        <v>41</v>
      </c>
      <c r="I352" s="118"/>
      <c r="J352" s="192"/>
      <c r="K352" s="104" t="s">
        <v>25</v>
      </c>
      <c r="L352" s="192"/>
      <c r="M352" s="192"/>
      <c r="N352" s="192"/>
      <c r="O352" s="2628" t="s">
        <v>6395</v>
      </c>
      <c r="Q352" s="118"/>
    </row>
    <row r="353" spans="1:17" ht="18.75" customHeight="1" x14ac:dyDescent="0.3">
      <c r="A353" s="104">
        <v>132</v>
      </c>
      <c r="B353" s="105" t="s">
        <v>194</v>
      </c>
      <c r="C353" s="195">
        <v>401</v>
      </c>
      <c r="D353" s="113">
        <v>59</v>
      </c>
      <c r="E353" s="114">
        <v>8308</v>
      </c>
      <c r="F353" s="115">
        <v>21645</v>
      </c>
      <c r="G353" s="116">
        <v>229</v>
      </c>
      <c r="H353" s="1731" t="s">
        <v>41</v>
      </c>
      <c r="I353" s="118"/>
      <c r="J353" s="192"/>
      <c r="K353" s="104" t="s">
        <v>25</v>
      </c>
      <c r="L353" s="192"/>
      <c r="M353" s="192"/>
      <c r="N353" s="192"/>
      <c r="O353" s="2628" t="s">
        <v>6395</v>
      </c>
      <c r="Q353" s="118"/>
    </row>
    <row r="354" spans="1:17" ht="18.75" customHeight="1" x14ac:dyDescent="0.3">
      <c r="A354" s="104">
        <v>133</v>
      </c>
      <c r="B354" s="105" t="s">
        <v>194</v>
      </c>
      <c r="C354" s="195">
        <v>401</v>
      </c>
      <c r="D354" s="113">
        <v>59</v>
      </c>
      <c r="E354" s="114">
        <v>8309</v>
      </c>
      <c r="F354" s="115">
        <v>21645</v>
      </c>
      <c r="G354" s="116">
        <v>229</v>
      </c>
      <c r="H354" s="1731" t="s">
        <v>41</v>
      </c>
      <c r="I354" s="118"/>
      <c r="J354" s="192"/>
      <c r="K354" s="104" t="s">
        <v>25</v>
      </c>
      <c r="L354" s="192"/>
      <c r="M354" s="192"/>
      <c r="N354" s="192"/>
      <c r="O354" s="2628" t="s">
        <v>6395</v>
      </c>
      <c r="Q354" s="118"/>
    </row>
    <row r="355" spans="1:17" ht="18.75" customHeight="1" x14ac:dyDescent="0.3">
      <c r="A355" s="189">
        <v>134</v>
      </c>
      <c r="B355" s="105" t="s">
        <v>194</v>
      </c>
      <c r="C355" s="195">
        <v>401</v>
      </c>
      <c r="D355" s="113">
        <v>59</v>
      </c>
      <c r="E355" s="114">
        <v>8310</v>
      </c>
      <c r="F355" s="115">
        <v>21645</v>
      </c>
      <c r="G355" s="116">
        <v>229</v>
      </c>
      <c r="H355" s="1731" t="s">
        <v>41</v>
      </c>
      <c r="I355" s="118"/>
      <c r="J355" s="192"/>
      <c r="K355" s="104" t="s">
        <v>25</v>
      </c>
      <c r="L355" s="192"/>
      <c r="M355" s="192"/>
      <c r="N355" s="192"/>
      <c r="O355" s="2628" t="s">
        <v>6395</v>
      </c>
      <c r="Q355" s="118"/>
    </row>
    <row r="356" spans="1:17" ht="18.75" customHeight="1" x14ac:dyDescent="0.3">
      <c r="A356" s="104">
        <v>135</v>
      </c>
      <c r="B356" s="105" t="s">
        <v>194</v>
      </c>
      <c r="C356" s="195">
        <v>401</v>
      </c>
      <c r="D356" s="113">
        <v>59</v>
      </c>
      <c r="E356" s="114">
        <v>8311</v>
      </c>
      <c r="F356" s="115">
        <v>21645</v>
      </c>
      <c r="G356" s="116">
        <v>229</v>
      </c>
      <c r="H356" s="1731" t="s">
        <v>41</v>
      </c>
      <c r="I356" s="118"/>
      <c r="J356" s="192"/>
      <c r="K356" s="104" t="s">
        <v>25</v>
      </c>
      <c r="L356" s="192"/>
      <c r="M356" s="192"/>
      <c r="N356" s="192"/>
      <c r="O356" s="2628" t="s">
        <v>6395</v>
      </c>
      <c r="Q356" s="118"/>
    </row>
    <row r="357" spans="1:17" ht="18.75" customHeight="1" x14ac:dyDescent="0.3">
      <c r="A357" s="104">
        <v>136</v>
      </c>
      <c r="B357" s="105" t="s">
        <v>194</v>
      </c>
      <c r="C357" s="195">
        <v>401</v>
      </c>
      <c r="D357" s="125">
        <v>59</v>
      </c>
      <c r="E357" s="114">
        <v>8312</v>
      </c>
      <c r="F357" s="115">
        <v>21645</v>
      </c>
      <c r="G357" s="116">
        <v>229</v>
      </c>
      <c r="H357" s="1731" t="s">
        <v>41</v>
      </c>
      <c r="I357" s="118"/>
      <c r="J357" s="192"/>
      <c r="K357" s="104" t="s">
        <v>25</v>
      </c>
      <c r="L357" s="192"/>
      <c r="M357" s="192"/>
      <c r="N357" s="192"/>
      <c r="O357" s="2628" t="s">
        <v>6395</v>
      </c>
      <c r="Q357" s="118"/>
    </row>
    <row r="358" spans="1:17" ht="18.75" customHeight="1" x14ac:dyDescent="0.3">
      <c r="A358" s="189">
        <v>137</v>
      </c>
      <c r="B358" s="105" t="s">
        <v>194</v>
      </c>
      <c r="C358" s="195">
        <v>401</v>
      </c>
      <c r="D358" s="128">
        <v>59</v>
      </c>
      <c r="E358" s="114">
        <v>8313</v>
      </c>
      <c r="F358" s="115">
        <v>21645</v>
      </c>
      <c r="G358" s="116">
        <v>229</v>
      </c>
      <c r="H358" s="1731" t="s">
        <v>41</v>
      </c>
      <c r="I358" s="118"/>
      <c r="J358" s="192"/>
      <c r="K358" s="104" t="s">
        <v>25</v>
      </c>
      <c r="L358" s="192"/>
      <c r="M358" s="192"/>
      <c r="N358" s="192"/>
      <c r="O358" s="2628" t="s">
        <v>6395</v>
      </c>
      <c r="Q358" s="118"/>
    </row>
    <row r="359" spans="1:17" ht="18.75" customHeight="1" x14ac:dyDescent="0.3">
      <c r="A359" s="104">
        <v>138</v>
      </c>
      <c r="B359" s="105" t="s">
        <v>194</v>
      </c>
      <c r="C359" s="195">
        <v>401</v>
      </c>
      <c r="D359" s="125">
        <v>59</v>
      </c>
      <c r="E359" s="114">
        <v>8314</v>
      </c>
      <c r="F359" s="115">
        <v>21645</v>
      </c>
      <c r="G359" s="116">
        <v>229</v>
      </c>
      <c r="H359" s="1731" t="s">
        <v>41</v>
      </c>
      <c r="I359" s="118"/>
      <c r="J359" s="192"/>
      <c r="K359" s="104" t="s">
        <v>25</v>
      </c>
      <c r="L359" s="192"/>
      <c r="M359" s="192"/>
      <c r="N359" s="192"/>
      <c r="O359" s="2628" t="s">
        <v>6395</v>
      </c>
      <c r="Q359" s="118"/>
    </row>
    <row r="360" spans="1:17" ht="18.75" customHeight="1" x14ac:dyDescent="0.3">
      <c r="A360" s="104">
        <v>139</v>
      </c>
      <c r="B360" s="105" t="s">
        <v>194</v>
      </c>
      <c r="C360" s="195">
        <v>401</v>
      </c>
      <c r="D360" s="128">
        <v>59</v>
      </c>
      <c r="E360" s="114">
        <v>8315</v>
      </c>
      <c r="F360" s="115">
        <v>21645</v>
      </c>
      <c r="G360" s="116">
        <v>229</v>
      </c>
      <c r="H360" s="1731" t="s">
        <v>41</v>
      </c>
      <c r="I360" s="118"/>
      <c r="J360" s="192"/>
      <c r="K360" s="104" t="s">
        <v>25</v>
      </c>
      <c r="L360" s="192"/>
      <c r="M360" s="192"/>
      <c r="N360" s="192"/>
      <c r="O360" s="2628" t="s">
        <v>6395</v>
      </c>
      <c r="Q360" s="118"/>
    </row>
    <row r="361" spans="1:17" ht="18.75" customHeight="1" x14ac:dyDescent="0.3">
      <c r="A361" s="189">
        <v>140</v>
      </c>
      <c r="B361" s="105" t="s">
        <v>194</v>
      </c>
      <c r="C361" s="195">
        <v>401</v>
      </c>
      <c r="D361" s="113">
        <v>59</v>
      </c>
      <c r="E361" s="114">
        <v>8316</v>
      </c>
      <c r="F361" s="115">
        <v>21645</v>
      </c>
      <c r="G361" s="116">
        <v>229</v>
      </c>
      <c r="H361" s="1731" t="s">
        <v>41</v>
      </c>
      <c r="I361" s="118"/>
      <c r="J361" s="192"/>
      <c r="K361" s="104" t="s">
        <v>25</v>
      </c>
      <c r="L361" s="192"/>
      <c r="M361" s="192"/>
      <c r="N361" s="192"/>
      <c r="O361" s="2628" t="s">
        <v>6395</v>
      </c>
      <c r="Q361" s="118"/>
    </row>
    <row r="362" spans="1:17" ht="18.75" customHeight="1" x14ac:dyDescent="0.3">
      <c r="A362" s="104">
        <v>141</v>
      </c>
      <c r="B362" s="105" t="s">
        <v>194</v>
      </c>
      <c r="C362" s="195">
        <v>401</v>
      </c>
      <c r="D362" s="113">
        <v>59</v>
      </c>
      <c r="E362" s="114">
        <v>8317</v>
      </c>
      <c r="F362" s="115">
        <v>21645</v>
      </c>
      <c r="G362" s="116">
        <v>229</v>
      </c>
      <c r="H362" s="1731" t="s">
        <v>41</v>
      </c>
      <c r="I362" s="118"/>
      <c r="J362" s="192"/>
      <c r="K362" s="104" t="s">
        <v>25</v>
      </c>
      <c r="L362" s="192"/>
      <c r="M362" s="192"/>
      <c r="N362" s="192"/>
      <c r="O362" s="2628" t="s">
        <v>6395</v>
      </c>
      <c r="Q362" s="118"/>
    </row>
    <row r="363" spans="1:17" ht="18.75" customHeight="1" x14ac:dyDescent="0.3">
      <c r="A363" s="104">
        <v>142</v>
      </c>
      <c r="B363" s="105" t="s">
        <v>194</v>
      </c>
      <c r="C363" s="195">
        <v>401</v>
      </c>
      <c r="D363" s="113">
        <v>59</v>
      </c>
      <c r="E363" s="114">
        <v>8318</v>
      </c>
      <c r="F363" s="115">
        <v>21645</v>
      </c>
      <c r="G363" s="116">
        <v>229</v>
      </c>
      <c r="H363" s="1731" t="s">
        <v>41</v>
      </c>
      <c r="I363" s="118"/>
      <c r="J363" s="192"/>
      <c r="K363" s="104" t="s">
        <v>25</v>
      </c>
      <c r="L363" s="192"/>
      <c r="M363" s="192"/>
      <c r="N363" s="192"/>
      <c r="O363" s="2628" t="s">
        <v>6395</v>
      </c>
      <c r="Q363" s="118"/>
    </row>
    <row r="364" spans="1:17" ht="18.75" customHeight="1" x14ac:dyDescent="0.3">
      <c r="A364" s="189">
        <v>143</v>
      </c>
      <c r="B364" s="105" t="s">
        <v>194</v>
      </c>
      <c r="C364" s="195">
        <v>401</v>
      </c>
      <c r="D364" s="113">
        <v>59</v>
      </c>
      <c r="E364" s="114">
        <v>8319</v>
      </c>
      <c r="F364" s="115">
        <v>21645</v>
      </c>
      <c r="G364" s="116">
        <v>229</v>
      </c>
      <c r="H364" s="1731" t="s">
        <v>41</v>
      </c>
      <c r="I364" s="118"/>
      <c r="J364" s="192"/>
      <c r="K364" s="104" t="s">
        <v>25</v>
      </c>
      <c r="L364" s="192"/>
      <c r="M364" s="192"/>
      <c r="N364" s="192"/>
      <c r="O364" s="2628" t="s">
        <v>6395</v>
      </c>
      <c r="Q364" s="118"/>
    </row>
    <row r="365" spans="1:17" ht="18.75" customHeight="1" x14ac:dyDescent="0.3">
      <c r="A365" s="104">
        <v>144</v>
      </c>
      <c r="B365" s="105" t="s">
        <v>194</v>
      </c>
      <c r="C365" s="195">
        <v>401</v>
      </c>
      <c r="D365" s="125">
        <v>59</v>
      </c>
      <c r="E365" s="114">
        <v>8320</v>
      </c>
      <c r="F365" s="115">
        <v>21645</v>
      </c>
      <c r="G365" s="116">
        <v>229</v>
      </c>
      <c r="H365" s="1731" t="s">
        <v>41</v>
      </c>
      <c r="I365" s="118"/>
      <c r="J365" s="192"/>
      <c r="K365" s="104" t="s">
        <v>25</v>
      </c>
      <c r="L365" s="192"/>
      <c r="M365" s="192"/>
      <c r="N365" s="192"/>
      <c r="O365" s="2628" t="s">
        <v>6395</v>
      </c>
      <c r="Q365" s="118"/>
    </row>
    <row r="366" spans="1:17" ht="18.75" customHeight="1" x14ac:dyDescent="0.3">
      <c r="A366" s="104">
        <v>145</v>
      </c>
      <c r="B366" s="105" t="s">
        <v>194</v>
      </c>
      <c r="C366" s="195">
        <v>401</v>
      </c>
      <c r="D366" s="128">
        <v>59</v>
      </c>
      <c r="E366" s="114">
        <v>8321</v>
      </c>
      <c r="F366" s="115">
        <v>21645</v>
      </c>
      <c r="G366" s="116">
        <v>229</v>
      </c>
      <c r="H366" s="1731" t="s">
        <v>41</v>
      </c>
      <c r="I366" s="118"/>
      <c r="J366" s="192"/>
      <c r="K366" s="104" t="s">
        <v>25</v>
      </c>
      <c r="L366" s="192"/>
      <c r="M366" s="192"/>
      <c r="N366" s="192"/>
      <c r="O366" s="2628" t="s">
        <v>6395</v>
      </c>
      <c r="Q366" s="118"/>
    </row>
    <row r="367" spans="1:17" ht="18.75" customHeight="1" x14ac:dyDescent="0.3">
      <c r="A367" s="189">
        <v>146</v>
      </c>
      <c r="B367" s="105" t="s">
        <v>194</v>
      </c>
      <c r="C367" s="195">
        <v>401</v>
      </c>
      <c r="D367" s="113">
        <v>59</v>
      </c>
      <c r="E367" s="114">
        <v>8322</v>
      </c>
      <c r="F367" s="115">
        <v>21645</v>
      </c>
      <c r="G367" s="116">
        <v>229</v>
      </c>
      <c r="H367" s="1731" t="s">
        <v>41</v>
      </c>
      <c r="I367" s="118"/>
      <c r="J367" s="192"/>
      <c r="K367" s="104" t="s">
        <v>25</v>
      </c>
      <c r="L367" s="192"/>
      <c r="M367" s="192"/>
      <c r="N367" s="192"/>
      <c r="O367" s="2628" t="s">
        <v>6395</v>
      </c>
      <c r="Q367" s="118"/>
    </row>
    <row r="368" spans="1:17" ht="18.75" customHeight="1" x14ac:dyDescent="0.3">
      <c r="A368" s="104">
        <v>147</v>
      </c>
      <c r="B368" s="105" t="s">
        <v>194</v>
      </c>
      <c r="C368" s="195">
        <v>401</v>
      </c>
      <c r="D368" s="113">
        <v>59</v>
      </c>
      <c r="E368" s="114">
        <v>8323</v>
      </c>
      <c r="F368" s="115">
        <v>21645</v>
      </c>
      <c r="G368" s="116">
        <v>229</v>
      </c>
      <c r="H368" s="1731" t="s">
        <v>41</v>
      </c>
      <c r="I368" s="118"/>
      <c r="J368" s="192"/>
      <c r="K368" s="104" t="s">
        <v>25</v>
      </c>
      <c r="L368" s="192"/>
      <c r="M368" s="192"/>
      <c r="N368" s="192"/>
      <c r="O368" s="2628" t="s">
        <v>6395</v>
      </c>
      <c r="Q368" s="118"/>
    </row>
    <row r="369" spans="1:17" ht="18.75" customHeight="1" x14ac:dyDescent="0.3">
      <c r="A369" s="104">
        <v>148</v>
      </c>
      <c r="B369" s="105" t="s">
        <v>194</v>
      </c>
      <c r="C369" s="195">
        <v>401</v>
      </c>
      <c r="D369" s="113">
        <v>59</v>
      </c>
      <c r="E369" s="114">
        <v>8324</v>
      </c>
      <c r="F369" s="115">
        <v>21645</v>
      </c>
      <c r="G369" s="116">
        <v>229</v>
      </c>
      <c r="H369" s="1731" t="s">
        <v>41</v>
      </c>
      <c r="I369" s="118"/>
      <c r="J369" s="192"/>
      <c r="K369" s="104" t="s">
        <v>25</v>
      </c>
      <c r="L369" s="192"/>
      <c r="M369" s="192"/>
      <c r="N369" s="192"/>
      <c r="O369" s="2628" t="s">
        <v>6395</v>
      </c>
      <c r="Q369" s="118"/>
    </row>
    <row r="370" spans="1:17" ht="18.75" customHeight="1" x14ac:dyDescent="0.3">
      <c r="A370" s="189">
        <v>149</v>
      </c>
      <c r="B370" s="105" t="s">
        <v>194</v>
      </c>
      <c r="C370" s="195">
        <v>401</v>
      </c>
      <c r="D370" s="125">
        <v>59</v>
      </c>
      <c r="E370" s="114">
        <v>8325</v>
      </c>
      <c r="F370" s="115">
        <v>21645</v>
      </c>
      <c r="G370" s="116">
        <v>229</v>
      </c>
      <c r="H370" s="1731" t="s">
        <v>41</v>
      </c>
      <c r="I370" s="118"/>
      <c r="J370" s="192"/>
      <c r="K370" s="104" t="s">
        <v>25</v>
      </c>
      <c r="L370" s="192"/>
      <c r="M370" s="192"/>
      <c r="N370" s="192"/>
      <c r="O370" s="2628" t="s">
        <v>6395</v>
      </c>
      <c r="Q370" s="118"/>
    </row>
    <row r="371" spans="1:17" ht="18.75" customHeight="1" x14ac:dyDescent="0.3">
      <c r="A371" s="104">
        <v>150</v>
      </c>
      <c r="B371" s="105" t="s">
        <v>194</v>
      </c>
      <c r="C371" s="195">
        <v>401</v>
      </c>
      <c r="D371" s="127">
        <v>59</v>
      </c>
      <c r="E371" s="114">
        <v>8326</v>
      </c>
      <c r="F371" s="115">
        <v>21645</v>
      </c>
      <c r="G371" s="116">
        <v>229</v>
      </c>
      <c r="H371" s="1731" t="s">
        <v>41</v>
      </c>
      <c r="I371" s="118"/>
      <c r="J371" s="192"/>
      <c r="K371" s="104" t="s">
        <v>25</v>
      </c>
      <c r="L371" s="192"/>
      <c r="M371" s="192"/>
      <c r="N371" s="192"/>
      <c r="O371" s="2628" t="s">
        <v>6395</v>
      </c>
      <c r="Q371" s="118"/>
    </row>
    <row r="372" spans="1:17" ht="18.75" customHeight="1" x14ac:dyDescent="0.3">
      <c r="A372" s="104">
        <v>151</v>
      </c>
      <c r="B372" s="105" t="s">
        <v>194</v>
      </c>
      <c r="C372" s="195">
        <v>401</v>
      </c>
      <c r="D372" s="128">
        <v>59</v>
      </c>
      <c r="E372" s="114">
        <v>8327</v>
      </c>
      <c r="F372" s="115">
        <v>21645</v>
      </c>
      <c r="G372" s="116">
        <v>229</v>
      </c>
      <c r="H372" s="1731" t="s">
        <v>41</v>
      </c>
      <c r="I372" s="118"/>
      <c r="J372" s="192"/>
      <c r="K372" s="104" t="s">
        <v>25</v>
      </c>
      <c r="L372" s="192"/>
      <c r="M372" s="192"/>
      <c r="N372" s="192"/>
      <c r="O372" s="2628" t="s">
        <v>6395</v>
      </c>
      <c r="Q372" s="118"/>
    </row>
    <row r="373" spans="1:17" ht="18.75" customHeight="1" x14ac:dyDescent="0.3">
      <c r="A373" s="189">
        <v>152</v>
      </c>
      <c r="B373" s="105" t="s">
        <v>194</v>
      </c>
      <c r="C373" s="195">
        <v>401</v>
      </c>
      <c r="D373" s="113">
        <v>59</v>
      </c>
      <c r="E373" s="114">
        <v>8328</v>
      </c>
      <c r="F373" s="115">
        <v>21645</v>
      </c>
      <c r="G373" s="116">
        <v>229</v>
      </c>
      <c r="H373" s="1731" t="s">
        <v>41</v>
      </c>
      <c r="I373" s="118"/>
      <c r="J373" s="192"/>
      <c r="K373" s="104" t="s">
        <v>25</v>
      </c>
      <c r="L373" s="192"/>
      <c r="M373" s="192"/>
      <c r="N373" s="192"/>
      <c r="O373" s="2628" t="s">
        <v>6395</v>
      </c>
      <c r="Q373" s="118"/>
    </row>
    <row r="374" spans="1:17" ht="18.75" customHeight="1" x14ac:dyDescent="0.3">
      <c r="A374" s="104">
        <v>153</v>
      </c>
      <c r="B374" s="105" t="s">
        <v>194</v>
      </c>
      <c r="C374" s="195">
        <v>401</v>
      </c>
      <c r="D374" s="113">
        <v>59</v>
      </c>
      <c r="E374" s="114">
        <v>8329</v>
      </c>
      <c r="F374" s="115">
        <v>21645</v>
      </c>
      <c r="G374" s="116">
        <v>229</v>
      </c>
      <c r="H374" s="1731" t="s">
        <v>41</v>
      </c>
      <c r="I374" s="118"/>
      <c r="J374" s="192"/>
      <c r="K374" s="104" t="s">
        <v>25</v>
      </c>
      <c r="L374" s="192"/>
      <c r="M374" s="192"/>
      <c r="N374" s="192"/>
      <c r="O374" s="2628" t="s">
        <v>6395</v>
      </c>
      <c r="Q374" s="118"/>
    </row>
    <row r="375" spans="1:17" ht="18.75" customHeight="1" x14ac:dyDescent="0.3">
      <c r="A375" s="104">
        <v>154</v>
      </c>
      <c r="B375" s="105" t="s">
        <v>194</v>
      </c>
      <c r="C375" s="195">
        <v>401</v>
      </c>
      <c r="D375" s="113">
        <v>59</v>
      </c>
      <c r="E375" s="114">
        <v>8330</v>
      </c>
      <c r="F375" s="115">
        <v>21645</v>
      </c>
      <c r="G375" s="116">
        <v>229</v>
      </c>
      <c r="H375" s="1731" t="s">
        <v>41</v>
      </c>
      <c r="I375" s="118"/>
      <c r="J375" s="192"/>
      <c r="K375" s="104" t="s">
        <v>25</v>
      </c>
      <c r="L375" s="192"/>
      <c r="M375" s="192"/>
      <c r="N375" s="192"/>
      <c r="O375" s="2628" t="s">
        <v>6395</v>
      </c>
      <c r="Q375" s="118"/>
    </row>
    <row r="376" spans="1:17" ht="18.75" customHeight="1" x14ac:dyDescent="0.3">
      <c r="A376" s="189">
        <v>155</v>
      </c>
      <c r="B376" s="105" t="s">
        <v>194</v>
      </c>
      <c r="C376" s="195">
        <v>401</v>
      </c>
      <c r="D376" s="113">
        <v>59</v>
      </c>
      <c r="E376" s="114">
        <v>8331</v>
      </c>
      <c r="F376" s="115">
        <v>21645</v>
      </c>
      <c r="G376" s="116">
        <v>229</v>
      </c>
      <c r="H376" s="1731" t="s">
        <v>41</v>
      </c>
      <c r="I376" s="118"/>
      <c r="J376" s="192"/>
      <c r="K376" s="104" t="s">
        <v>25</v>
      </c>
      <c r="L376" s="192"/>
      <c r="M376" s="192"/>
      <c r="N376" s="192"/>
      <c r="O376" s="2628" t="s">
        <v>6395</v>
      </c>
      <c r="Q376" s="118"/>
    </row>
    <row r="377" spans="1:17" ht="18.75" customHeight="1" x14ac:dyDescent="0.3">
      <c r="A377" s="104">
        <v>156</v>
      </c>
      <c r="B377" s="105" t="s">
        <v>194</v>
      </c>
      <c r="C377" s="195">
        <v>401</v>
      </c>
      <c r="D377" s="113">
        <v>59</v>
      </c>
      <c r="E377" s="114">
        <v>8332</v>
      </c>
      <c r="F377" s="115">
        <v>21645</v>
      </c>
      <c r="G377" s="116">
        <v>229</v>
      </c>
      <c r="H377" s="1731" t="s">
        <v>41</v>
      </c>
      <c r="I377" s="118"/>
      <c r="J377" s="192"/>
      <c r="K377" s="104" t="s">
        <v>25</v>
      </c>
      <c r="L377" s="192"/>
      <c r="M377" s="192"/>
      <c r="N377" s="192"/>
      <c r="O377" s="2628" t="s">
        <v>6395</v>
      </c>
      <c r="Q377" s="118"/>
    </row>
    <row r="378" spans="1:17" ht="18.75" customHeight="1" x14ac:dyDescent="0.3">
      <c r="A378" s="104">
        <v>157</v>
      </c>
      <c r="B378" s="105" t="s">
        <v>194</v>
      </c>
      <c r="C378" s="195">
        <v>401</v>
      </c>
      <c r="D378" s="125">
        <v>59</v>
      </c>
      <c r="E378" s="114">
        <v>8333</v>
      </c>
      <c r="F378" s="115">
        <v>21645</v>
      </c>
      <c r="G378" s="116">
        <v>229</v>
      </c>
      <c r="H378" s="1731" t="s">
        <v>41</v>
      </c>
      <c r="I378" s="118"/>
      <c r="J378" s="192"/>
      <c r="K378" s="104" t="s">
        <v>25</v>
      </c>
      <c r="L378" s="192"/>
      <c r="M378" s="192"/>
      <c r="N378" s="192"/>
      <c r="O378" s="2628" t="s">
        <v>6395</v>
      </c>
      <c r="Q378" s="118"/>
    </row>
    <row r="379" spans="1:17" ht="18.75" customHeight="1" x14ac:dyDescent="0.3">
      <c r="A379" s="189">
        <v>158</v>
      </c>
      <c r="B379" s="105" t="s">
        <v>194</v>
      </c>
      <c r="C379" s="195">
        <v>401</v>
      </c>
      <c r="D379" s="128">
        <v>59</v>
      </c>
      <c r="E379" s="114">
        <v>8334</v>
      </c>
      <c r="F379" s="115">
        <v>21645</v>
      </c>
      <c r="G379" s="116">
        <v>229</v>
      </c>
      <c r="H379" s="1731" t="s">
        <v>41</v>
      </c>
      <c r="I379" s="118"/>
      <c r="J379" s="192"/>
      <c r="K379" s="104" t="s">
        <v>25</v>
      </c>
      <c r="L379" s="192"/>
      <c r="M379" s="192"/>
      <c r="N379" s="192"/>
      <c r="O379" s="2628" t="s">
        <v>6395</v>
      </c>
      <c r="Q379" s="118"/>
    </row>
    <row r="380" spans="1:17" ht="18.75" customHeight="1" x14ac:dyDescent="0.3">
      <c r="A380" s="104">
        <v>159</v>
      </c>
      <c r="B380" s="105" t="s">
        <v>194</v>
      </c>
      <c r="C380" s="195">
        <v>401</v>
      </c>
      <c r="D380" s="113">
        <v>59</v>
      </c>
      <c r="E380" s="114">
        <v>8335</v>
      </c>
      <c r="F380" s="115">
        <v>21645</v>
      </c>
      <c r="G380" s="116">
        <v>229</v>
      </c>
      <c r="H380" s="1731" t="s">
        <v>41</v>
      </c>
      <c r="I380" s="118"/>
      <c r="J380" s="192"/>
      <c r="K380" s="104" t="s">
        <v>25</v>
      </c>
      <c r="L380" s="192"/>
      <c r="M380" s="192"/>
      <c r="N380" s="192"/>
      <c r="O380" s="2628" t="s">
        <v>6395</v>
      </c>
      <c r="Q380" s="118"/>
    </row>
    <row r="381" spans="1:17" ht="18.75" customHeight="1" x14ac:dyDescent="0.3">
      <c r="A381" s="104">
        <v>160</v>
      </c>
      <c r="B381" s="105" t="s">
        <v>194</v>
      </c>
      <c r="C381" s="195">
        <v>401</v>
      </c>
      <c r="D381" s="113">
        <v>59</v>
      </c>
      <c r="E381" s="114">
        <v>8336</v>
      </c>
      <c r="F381" s="115">
        <v>21645</v>
      </c>
      <c r="G381" s="116">
        <v>229</v>
      </c>
      <c r="H381" s="1731" t="s">
        <v>41</v>
      </c>
      <c r="I381" s="118"/>
      <c r="J381" s="192"/>
      <c r="K381" s="104" t="s">
        <v>25</v>
      </c>
      <c r="L381" s="192"/>
      <c r="M381" s="192"/>
      <c r="N381" s="192"/>
      <c r="O381" s="2628" t="s">
        <v>6395</v>
      </c>
      <c r="Q381" s="118"/>
    </row>
    <row r="382" spans="1:17" ht="18.75" customHeight="1" x14ac:dyDescent="0.3">
      <c r="A382" s="189">
        <v>161</v>
      </c>
      <c r="B382" s="105" t="s">
        <v>194</v>
      </c>
      <c r="C382" s="195">
        <v>401</v>
      </c>
      <c r="D382" s="113">
        <v>59</v>
      </c>
      <c r="E382" s="114">
        <v>8337</v>
      </c>
      <c r="F382" s="115">
        <v>21645</v>
      </c>
      <c r="G382" s="116">
        <v>229</v>
      </c>
      <c r="H382" s="1731" t="s">
        <v>41</v>
      </c>
      <c r="I382" s="118"/>
      <c r="J382" s="192"/>
      <c r="K382" s="104" t="s">
        <v>25</v>
      </c>
      <c r="L382" s="192"/>
      <c r="M382" s="192"/>
      <c r="N382" s="192"/>
      <c r="O382" s="2628" t="s">
        <v>6395</v>
      </c>
      <c r="Q382" s="118"/>
    </row>
    <row r="383" spans="1:17" ht="18.75" customHeight="1" x14ac:dyDescent="0.3">
      <c r="A383" s="104">
        <v>162</v>
      </c>
      <c r="B383" s="105" t="s">
        <v>194</v>
      </c>
      <c r="C383" s="195">
        <v>401</v>
      </c>
      <c r="D383" s="113">
        <v>59</v>
      </c>
      <c r="E383" s="114">
        <v>8338</v>
      </c>
      <c r="F383" s="115">
        <v>21645</v>
      </c>
      <c r="G383" s="116">
        <v>229</v>
      </c>
      <c r="H383" s="1731" t="s">
        <v>41</v>
      </c>
      <c r="I383" s="118"/>
      <c r="J383" s="192"/>
      <c r="K383" s="104" t="s">
        <v>25</v>
      </c>
      <c r="L383" s="192"/>
      <c r="M383" s="192"/>
      <c r="N383" s="192"/>
      <c r="O383" s="2628" t="s">
        <v>6395</v>
      </c>
      <c r="Q383" s="118"/>
    </row>
    <row r="384" spans="1:17" ht="18.75" customHeight="1" x14ac:dyDescent="0.3">
      <c r="A384" s="104">
        <v>163</v>
      </c>
      <c r="B384" s="105" t="s">
        <v>194</v>
      </c>
      <c r="C384" s="195">
        <v>401</v>
      </c>
      <c r="D384" s="113">
        <v>59</v>
      </c>
      <c r="E384" s="114">
        <v>8339</v>
      </c>
      <c r="F384" s="115">
        <v>21645</v>
      </c>
      <c r="G384" s="116">
        <v>229</v>
      </c>
      <c r="H384" s="1731" t="s">
        <v>41</v>
      </c>
      <c r="I384" s="118"/>
      <c r="J384" s="192"/>
      <c r="K384" s="104" t="s">
        <v>25</v>
      </c>
      <c r="L384" s="192"/>
      <c r="M384" s="192"/>
      <c r="N384" s="192"/>
      <c r="O384" s="2628" t="s">
        <v>6395</v>
      </c>
      <c r="Q384" s="118"/>
    </row>
    <row r="385" spans="1:17" ht="18.75" customHeight="1" x14ac:dyDescent="0.3">
      <c r="A385" s="189">
        <v>164</v>
      </c>
      <c r="B385" s="105" t="s">
        <v>194</v>
      </c>
      <c r="C385" s="195">
        <v>401</v>
      </c>
      <c r="D385" s="125">
        <v>59</v>
      </c>
      <c r="E385" s="114">
        <v>8340</v>
      </c>
      <c r="F385" s="115">
        <v>21645</v>
      </c>
      <c r="G385" s="116">
        <v>229</v>
      </c>
      <c r="H385" s="1731" t="s">
        <v>41</v>
      </c>
      <c r="I385" s="118"/>
      <c r="J385" s="192"/>
      <c r="K385" s="104" t="s">
        <v>25</v>
      </c>
      <c r="L385" s="192"/>
      <c r="M385" s="192"/>
      <c r="N385" s="192"/>
      <c r="O385" s="2628" t="s">
        <v>6395</v>
      </c>
      <c r="Q385" s="118"/>
    </row>
    <row r="386" spans="1:17" ht="18.75" customHeight="1" x14ac:dyDescent="0.3">
      <c r="A386" s="104">
        <v>165</v>
      </c>
      <c r="B386" s="105" t="s">
        <v>194</v>
      </c>
      <c r="C386" s="195">
        <v>401</v>
      </c>
      <c r="D386" s="128">
        <v>59</v>
      </c>
      <c r="E386" s="114">
        <v>8341</v>
      </c>
      <c r="F386" s="115">
        <v>21645</v>
      </c>
      <c r="G386" s="116">
        <v>229</v>
      </c>
      <c r="H386" s="1731" t="s">
        <v>41</v>
      </c>
      <c r="I386" s="118"/>
      <c r="J386" s="192"/>
      <c r="K386" s="104" t="s">
        <v>25</v>
      </c>
      <c r="L386" s="192"/>
      <c r="M386" s="192"/>
      <c r="N386" s="192"/>
      <c r="O386" s="2628" t="s">
        <v>6395</v>
      </c>
      <c r="Q386" s="118"/>
    </row>
    <row r="387" spans="1:17" ht="18.75" customHeight="1" x14ac:dyDescent="0.3">
      <c r="A387" s="104">
        <v>166</v>
      </c>
      <c r="B387" s="105" t="s">
        <v>194</v>
      </c>
      <c r="C387" s="195">
        <v>401</v>
      </c>
      <c r="D387" s="113">
        <v>59</v>
      </c>
      <c r="E387" s="114">
        <v>8342</v>
      </c>
      <c r="F387" s="115">
        <v>21645</v>
      </c>
      <c r="G387" s="116">
        <v>229</v>
      </c>
      <c r="H387" s="1731" t="s">
        <v>41</v>
      </c>
      <c r="I387" s="118"/>
      <c r="J387" s="192"/>
      <c r="K387" s="104" t="s">
        <v>25</v>
      </c>
      <c r="L387" s="192"/>
      <c r="M387" s="192"/>
      <c r="N387" s="192"/>
      <c r="O387" s="2628" t="s">
        <v>6395</v>
      </c>
      <c r="Q387" s="118"/>
    </row>
    <row r="388" spans="1:17" ht="18.75" customHeight="1" x14ac:dyDescent="0.3">
      <c r="A388" s="189">
        <v>167</v>
      </c>
      <c r="B388" s="105" t="s">
        <v>194</v>
      </c>
      <c r="C388" s="195">
        <v>401</v>
      </c>
      <c r="D388" s="113">
        <v>59</v>
      </c>
      <c r="E388" s="114">
        <v>8343</v>
      </c>
      <c r="F388" s="115">
        <v>21645</v>
      </c>
      <c r="G388" s="116">
        <v>229</v>
      </c>
      <c r="H388" s="1731" t="s">
        <v>41</v>
      </c>
      <c r="I388" s="118"/>
      <c r="J388" s="192"/>
      <c r="K388" s="104" t="s">
        <v>25</v>
      </c>
      <c r="L388" s="192"/>
      <c r="M388" s="192"/>
      <c r="N388" s="192"/>
      <c r="O388" s="2628" t="s">
        <v>6395</v>
      </c>
      <c r="Q388" s="118"/>
    </row>
    <row r="389" spans="1:17" ht="18.75" customHeight="1" x14ac:dyDescent="0.3">
      <c r="A389" s="104">
        <v>168</v>
      </c>
      <c r="B389" s="105" t="s">
        <v>194</v>
      </c>
      <c r="C389" s="195">
        <v>401</v>
      </c>
      <c r="D389" s="113">
        <v>59</v>
      </c>
      <c r="E389" s="114">
        <v>8344</v>
      </c>
      <c r="F389" s="115">
        <v>21645</v>
      </c>
      <c r="G389" s="116">
        <v>229</v>
      </c>
      <c r="H389" s="1731" t="s">
        <v>41</v>
      </c>
      <c r="I389" s="118"/>
      <c r="J389" s="192"/>
      <c r="K389" s="104" t="s">
        <v>25</v>
      </c>
      <c r="L389" s="192"/>
      <c r="M389" s="192"/>
      <c r="N389" s="192"/>
      <c r="O389" s="2628" t="s">
        <v>6395</v>
      </c>
      <c r="Q389" s="118"/>
    </row>
    <row r="390" spans="1:17" ht="18.75" customHeight="1" x14ac:dyDescent="0.3">
      <c r="A390" s="104">
        <v>169</v>
      </c>
      <c r="B390" s="105" t="s">
        <v>194</v>
      </c>
      <c r="C390" s="195">
        <v>401</v>
      </c>
      <c r="D390" s="113">
        <v>59</v>
      </c>
      <c r="E390" s="114">
        <v>8345</v>
      </c>
      <c r="F390" s="115">
        <v>21645</v>
      </c>
      <c r="G390" s="116">
        <v>229</v>
      </c>
      <c r="H390" s="1731" t="s">
        <v>41</v>
      </c>
      <c r="I390" s="118"/>
      <c r="J390" s="192"/>
      <c r="K390" s="104" t="s">
        <v>25</v>
      </c>
      <c r="L390" s="192"/>
      <c r="M390" s="192"/>
      <c r="N390" s="192"/>
      <c r="O390" s="2628" t="s">
        <v>6395</v>
      </c>
      <c r="Q390" s="118"/>
    </row>
    <row r="391" spans="1:17" ht="18.75" customHeight="1" x14ac:dyDescent="0.3">
      <c r="A391" s="189">
        <v>170</v>
      </c>
      <c r="B391" s="105" t="s">
        <v>194</v>
      </c>
      <c r="C391" s="195">
        <v>401</v>
      </c>
      <c r="D391" s="113">
        <v>59</v>
      </c>
      <c r="E391" s="114">
        <v>8346</v>
      </c>
      <c r="F391" s="115">
        <v>21645</v>
      </c>
      <c r="G391" s="116">
        <v>229</v>
      </c>
      <c r="H391" s="1731" t="s">
        <v>41</v>
      </c>
      <c r="I391" s="118"/>
      <c r="J391" s="192"/>
      <c r="K391" s="104" t="s">
        <v>25</v>
      </c>
      <c r="L391" s="192"/>
      <c r="M391" s="192"/>
      <c r="N391" s="192"/>
      <c r="O391" s="2628" t="s">
        <v>6395</v>
      </c>
      <c r="Q391" s="118"/>
    </row>
    <row r="392" spans="1:17" ht="18.75" customHeight="1" x14ac:dyDescent="0.3">
      <c r="A392" s="104">
        <v>171</v>
      </c>
      <c r="B392" s="105" t="s">
        <v>194</v>
      </c>
      <c r="C392" s="195">
        <v>401</v>
      </c>
      <c r="D392" s="113">
        <v>59</v>
      </c>
      <c r="E392" s="114">
        <v>8347</v>
      </c>
      <c r="F392" s="115">
        <v>21645</v>
      </c>
      <c r="G392" s="116">
        <v>229</v>
      </c>
      <c r="H392" s="1731" t="s">
        <v>41</v>
      </c>
      <c r="I392" s="118"/>
      <c r="J392" s="192"/>
      <c r="K392" s="104" t="s">
        <v>25</v>
      </c>
      <c r="L392" s="192"/>
      <c r="M392" s="192"/>
      <c r="N392" s="192"/>
      <c r="O392" s="2628" t="s">
        <v>6395</v>
      </c>
      <c r="Q392" s="118"/>
    </row>
    <row r="393" spans="1:17" ht="18.75" customHeight="1" x14ac:dyDescent="0.3">
      <c r="A393" s="104">
        <v>172</v>
      </c>
      <c r="B393" s="105" t="s">
        <v>194</v>
      </c>
      <c r="C393" s="195">
        <v>401</v>
      </c>
      <c r="D393" s="113">
        <v>59</v>
      </c>
      <c r="E393" s="114">
        <v>8348</v>
      </c>
      <c r="F393" s="115">
        <v>21645</v>
      </c>
      <c r="G393" s="116">
        <v>229</v>
      </c>
      <c r="H393" s="1731" t="s">
        <v>41</v>
      </c>
      <c r="I393" s="118"/>
      <c r="J393" s="192"/>
      <c r="K393" s="104" t="s">
        <v>25</v>
      </c>
      <c r="L393" s="192"/>
      <c r="M393" s="192"/>
      <c r="N393" s="192"/>
      <c r="O393" s="2628" t="s">
        <v>6395</v>
      </c>
      <c r="Q393" s="118"/>
    </row>
    <row r="394" spans="1:17" ht="18.75" customHeight="1" x14ac:dyDescent="0.3">
      <c r="A394" s="189">
        <v>173</v>
      </c>
      <c r="B394" s="105" t="s">
        <v>194</v>
      </c>
      <c r="C394" s="195">
        <v>401</v>
      </c>
      <c r="D394" s="113">
        <v>59</v>
      </c>
      <c r="E394" s="114">
        <v>8349</v>
      </c>
      <c r="F394" s="115">
        <v>21645</v>
      </c>
      <c r="G394" s="116">
        <v>229</v>
      </c>
      <c r="H394" s="1731" t="s">
        <v>41</v>
      </c>
      <c r="I394" s="118"/>
      <c r="J394" s="192"/>
      <c r="K394" s="104" t="s">
        <v>25</v>
      </c>
      <c r="L394" s="192"/>
      <c r="M394" s="192"/>
      <c r="N394" s="192"/>
      <c r="O394" s="2628" t="s">
        <v>6395</v>
      </c>
      <c r="Q394" s="118"/>
    </row>
    <row r="395" spans="1:17" ht="18.75" customHeight="1" x14ac:dyDescent="0.3">
      <c r="A395" s="104">
        <v>174</v>
      </c>
      <c r="B395" s="105" t="s">
        <v>194</v>
      </c>
      <c r="C395" s="195">
        <v>401</v>
      </c>
      <c r="D395" s="113">
        <v>59</v>
      </c>
      <c r="E395" s="114">
        <v>8350</v>
      </c>
      <c r="F395" s="115">
        <v>21645</v>
      </c>
      <c r="G395" s="116">
        <v>229</v>
      </c>
      <c r="H395" s="1731" t="s">
        <v>41</v>
      </c>
      <c r="I395" s="118"/>
      <c r="J395" s="192"/>
      <c r="K395" s="104" t="s">
        <v>25</v>
      </c>
      <c r="L395" s="192"/>
      <c r="M395" s="192"/>
      <c r="N395" s="192"/>
      <c r="O395" s="2628" t="s">
        <v>6395</v>
      </c>
      <c r="Q395" s="118"/>
    </row>
    <row r="396" spans="1:17" ht="18.75" customHeight="1" x14ac:dyDescent="0.3">
      <c r="A396" s="104">
        <v>175</v>
      </c>
      <c r="B396" s="105" t="s">
        <v>194</v>
      </c>
      <c r="C396" s="195">
        <v>401</v>
      </c>
      <c r="D396" s="113">
        <v>59</v>
      </c>
      <c r="E396" s="114">
        <v>8351</v>
      </c>
      <c r="F396" s="115">
        <v>21645</v>
      </c>
      <c r="G396" s="116">
        <v>229</v>
      </c>
      <c r="H396" s="1731" t="s">
        <v>41</v>
      </c>
      <c r="I396" s="118"/>
      <c r="J396" s="192"/>
      <c r="K396" s="104" t="s">
        <v>25</v>
      </c>
      <c r="L396" s="192"/>
      <c r="M396" s="192"/>
      <c r="N396" s="192"/>
      <c r="O396" s="2628" t="s">
        <v>6395</v>
      </c>
      <c r="Q396" s="118"/>
    </row>
    <row r="397" spans="1:17" ht="18.75" customHeight="1" x14ac:dyDescent="0.3">
      <c r="A397" s="189">
        <v>176</v>
      </c>
      <c r="B397" s="105" t="s">
        <v>194</v>
      </c>
      <c r="C397" s="195">
        <v>401</v>
      </c>
      <c r="D397" s="113">
        <v>59</v>
      </c>
      <c r="E397" s="114">
        <v>8352</v>
      </c>
      <c r="F397" s="115">
        <v>21645</v>
      </c>
      <c r="G397" s="116">
        <v>229</v>
      </c>
      <c r="H397" s="1731" t="s">
        <v>41</v>
      </c>
      <c r="I397" s="118"/>
      <c r="J397" s="192"/>
      <c r="K397" s="104" t="s">
        <v>25</v>
      </c>
      <c r="L397" s="192"/>
      <c r="M397" s="192"/>
      <c r="N397" s="192"/>
      <c r="O397" s="2628" t="s">
        <v>6395</v>
      </c>
      <c r="Q397" s="118"/>
    </row>
    <row r="398" spans="1:17" ht="18.75" customHeight="1" x14ac:dyDescent="0.3">
      <c r="A398" s="104">
        <v>177</v>
      </c>
      <c r="B398" s="105" t="s">
        <v>194</v>
      </c>
      <c r="C398" s="195">
        <v>401</v>
      </c>
      <c r="D398" s="113">
        <v>59</v>
      </c>
      <c r="E398" s="114">
        <v>8353</v>
      </c>
      <c r="F398" s="115">
        <v>21645</v>
      </c>
      <c r="G398" s="116">
        <v>229</v>
      </c>
      <c r="H398" s="1731" t="s">
        <v>41</v>
      </c>
      <c r="I398" s="118"/>
      <c r="J398" s="192"/>
      <c r="K398" s="104" t="s">
        <v>25</v>
      </c>
      <c r="L398" s="192"/>
      <c r="M398" s="192"/>
      <c r="N398" s="192"/>
      <c r="O398" s="2628" t="s">
        <v>6395</v>
      </c>
      <c r="Q398" s="118"/>
    </row>
    <row r="399" spans="1:17" ht="18.75" customHeight="1" x14ac:dyDescent="0.3">
      <c r="A399" s="104">
        <v>178</v>
      </c>
      <c r="B399" s="105" t="s">
        <v>194</v>
      </c>
      <c r="C399" s="195">
        <v>401</v>
      </c>
      <c r="D399" s="113">
        <v>59</v>
      </c>
      <c r="E399" s="114">
        <v>8354</v>
      </c>
      <c r="F399" s="115">
        <v>21645</v>
      </c>
      <c r="G399" s="116">
        <v>229</v>
      </c>
      <c r="H399" s="1731" t="s">
        <v>41</v>
      </c>
      <c r="I399" s="118"/>
      <c r="J399" s="192"/>
      <c r="K399" s="104" t="s">
        <v>25</v>
      </c>
      <c r="L399" s="192"/>
      <c r="M399" s="192"/>
      <c r="N399" s="192"/>
      <c r="O399" s="2628" t="s">
        <v>6395</v>
      </c>
      <c r="Q399" s="118"/>
    </row>
    <row r="400" spans="1:17" ht="18.75" customHeight="1" x14ac:dyDescent="0.3">
      <c r="A400" s="189">
        <v>179</v>
      </c>
      <c r="B400" s="105" t="s">
        <v>194</v>
      </c>
      <c r="C400" s="195">
        <v>401</v>
      </c>
      <c r="D400" s="125">
        <v>59</v>
      </c>
      <c r="E400" s="114">
        <v>8355</v>
      </c>
      <c r="F400" s="115">
        <v>21645</v>
      </c>
      <c r="G400" s="116">
        <v>229</v>
      </c>
      <c r="H400" s="1731" t="s">
        <v>41</v>
      </c>
      <c r="I400" s="118"/>
      <c r="J400" s="192"/>
      <c r="K400" s="104" t="s">
        <v>25</v>
      </c>
      <c r="L400" s="192"/>
      <c r="M400" s="192"/>
      <c r="N400" s="192"/>
      <c r="O400" s="2628" t="s">
        <v>6395</v>
      </c>
      <c r="Q400" s="118"/>
    </row>
    <row r="401" spans="1:17" ht="18.75" customHeight="1" x14ac:dyDescent="0.3">
      <c r="A401" s="104">
        <v>180</v>
      </c>
      <c r="B401" s="105" t="s">
        <v>194</v>
      </c>
      <c r="C401" s="195">
        <v>401</v>
      </c>
      <c r="D401" s="128">
        <v>59</v>
      </c>
      <c r="E401" s="114">
        <v>8356</v>
      </c>
      <c r="F401" s="115">
        <v>21645</v>
      </c>
      <c r="G401" s="116">
        <v>229</v>
      </c>
      <c r="H401" s="1731" t="s">
        <v>41</v>
      </c>
      <c r="I401" s="118"/>
      <c r="J401" s="192"/>
      <c r="K401" s="104" t="s">
        <v>25</v>
      </c>
      <c r="L401" s="192"/>
      <c r="M401" s="192"/>
      <c r="N401" s="192"/>
      <c r="O401" s="2628" t="s">
        <v>6395</v>
      </c>
      <c r="Q401" s="118"/>
    </row>
    <row r="402" spans="1:17" ht="18.75" customHeight="1" x14ac:dyDescent="0.3">
      <c r="A402" s="104">
        <v>181</v>
      </c>
      <c r="B402" s="105" t="s">
        <v>194</v>
      </c>
      <c r="C402" s="195">
        <v>401</v>
      </c>
      <c r="D402" s="113">
        <v>59</v>
      </c>
      <c r="E402" s="114">
        <v>8357</v>
      </c>
      <c r="F402" s="115">
        <v>21645</v>
      </c>
      <c r="G402" s="116">
        <v>229</v>
      </c>
      <c r="H402" s="1731" t="s">
        <v>41</v>
      </c>
      <c r="I402" s="118"/>
      <c r="J402" s="192"/>
      <c r="K402" s="104" t="s">
        <v>25</v>
      </c>
      <c r="L402" s="192"/>
      <c r="M402" s="192"/>
      <c r="N402" s="192"/>
      <c r="O402" s="2628" t="s">
        <v>6395</v>
      </c>
      <c r="Q402" s="118"/>
    </row>
    <row r="403" spans="1:17" ht="18.75" customHeight="1" x14ac:dyDescent="0.3">
      <c r="A403" s="189">
        <v>182</v>
      </c>
      <c r="B403" s="105" t="s">
        <v>194</v>
      </c>
      <c r="C403" s="195">
        <v>401</v>
      </c>
      <c r="D403" s="113">
        <v>59</v>
      </c>
      <c r="E403" s="114">
        <v>8358</v>
      </c>
      <c r="F403" s="115">
        <v>21645</v>
      </c>
      <c r="G403" s="116">
        <v>229</v>
      </c>
      <c r="H403" s="1731" t="s">
        <v>41</v>
      </c>
      <c r="I403" s="118"/>
      <c r="J403" s="192"/>
      <c r="K403" s="104" t="s">
        <v>25</v>
      </c>
      <c r="L403" s="192"/>
      <c r="M403" s="192"/>
      <c r="N403" s="192"/>
      <c r="O403" s="2628" t="s">
        <v>6395</v>
      </c>
      <c r="Q403" s="118"/>
    </row>
    <row r="404" spans="1:17" ht="18.75" customHeight="1" x14ac:dyDescent="0.3">
      <c r="A404" s="104">
        <v>183</v>
      </c>
      <c r="B404" s="105" t="s">
        <v>194</v>
      </c>
      <c r="C404" s="195">
        <v>401</v>
      </c>
      <c r="D404" s="113">
        <v>59</v>
      </c>
      <c r="E404" s="114">
        <v>8359</v>
      </c>
      <c r="F404" s="115">
        <v>21645</v>
      </c>
      <c r="G404" s="116">
        <v>229</v>
      </c>
      <c r="H404" s="1731" t="s">
        <v>41</v>
      </c>
      <c r="I404" s="118"/>
      <c r="J404" s="192"/>
      <c r="K404" s="104" t="s">
        <v>25</v>
      </c>
      <c r="L404" s="192"/>
      <c r="M404" s="192"/>
      <c r="N404" s="192"/>
      <c r="O404" s="2628" t="s">
        <v>6395</v>
      </c>
      <c r="Q404" s="118"/>
    </row>
    <row r="405" spans="1:17" ht="18.75" customHeight="1" x14ac:dyDescent="0.3">
      <c r="A405" s="104">
        <v>184</v>
      </c>
      <c r="B405" s="105" t="s">
        <v>194</v>
      </c>
      <c r="C405" s="195">
        <v>401</v>
      </c>
      <c r="D405" s="113">
        <v>59</v>
      </c>
      <c r="E405" s="114">
        <v>8360</v>
      </c>
      <c r="F405" s="115">
        <v>21645</v>
      </c>
      <c r="G405" s="116">
        <v>229</v>
      </c>
      <c r="H405" s="1731" t="s">
        <v>41</v>
      </c>
      <c r="I405" s="118"/>
      <c r="J405" s="192"/>
      <c r="K405" s="104" t="s">
        <v>25</v>
      </c>
      <c r="L405" s="192"/>
      <c r="M405" s="192"/>
      <c r="N405" s="192"/>
      <c r="O405" s="2628" t="s">
        <v>6395</v>
      </c>
      <c r="Q405" s="118"/>
    </row>
    <row r="406" spans="1:17" ht="18.75" customHeight="1" x14ac:dyDescent="0.3">
      <c r="A406" s="189">
        <v>185</v>
      </c>
      <c r="B406" s="105" t="s">
        <v>194</v>
      </c>
      <c r="C406" s="195">
        <v>401</v>
      </c>
      <c r="D406" s="113">
        <v>59</v>
      </c>
      <c r="E406" s="114">
        <v>8361</v>
      </c>
      <c r="F406" s="115">
        <v>21645</v>
      </c>
      <c r="G406" s="116">
        <v>229</v>
      </c>
      <c r="H406" s="1731" t="s">
        <v>41</v>
      </c>
      <c r="I406" s="118"/>
      <c r="J406" s="192"/>
      <c r="K406" s="104" t="s">
        <v>25</v>
      </c>
      <c r="L406" s="192"/>
      <c r="M406" s="192"/>
      <c r="N406" s="192"/>
      <c r="O406" s="2628" t="s">
        <v>6395</v>
      </c>
      <c r="Q406" s="118"/>
    </row>
    <row r="407" spans="1:17" ht="18.75" customHeight="1" x14ac:dyDescent="0.3">
      <c r="A407" s="104">
        <v>186</v>
      </c>
      <c r="B407" s="105" t="s">
        <v>194</v>
      </c>
      <c r="C407" s="195">
        <v>401</v>
      </c>
      <c r="D407" s="113">
        <v>59</v>
      </c>
      <c r="E407" s="114">
        <v>8362</v>
      </c>
      <c r="F407" s="115">
        <v>21645</v>
      </c>
      <c r="G407" s="116">
        <v>229</v>
      </c>
      <c r="H407" s="1731" t="s">
        <v>41</v>
      </c>
      <c r="I407" s="118"/>
      <c r="J407" s="192"/>
      <c r="K407" s="104" t="s">
        <v>25</v>
      </c>
      <c r="L407" s="192"/>
      <c r="M407" s="192"/>
      <c r="N407" s="192"/>
      <c r="O407" s="2628" t="s">
        <v>6395</v>
      </c>
      <c r="Q407" s="118"/>
    </row>
    <row r="408" spans="1:17" ht="18.75" customHeight="1" x14ac:dyDescent="0.3">
      <c r="A408" s="104">
        <v>187</v>
      </c>
      <c r="B408" s="105" t="s">
        <v>194</v>
      </c>
      <c r="C408" s="195">
        <v>401</v>
      </c>
      <c r="D408" s="125">
        <v>59</v>
      </c>
      <c r="E408" s="114">
        <v>8363</v>
      </c>
      <c r="F408" s="115">
        <v>21645</v>
      </c>
      <c r="G408" s="116">
        <v>229</v>
      </c>
      <c r="H408" s="1731" t="s">
        <v>41</v>
      </c>
      <c r="I408" s="118"/>
      <c r="J408" s="192"/>
      <c r="K408" s="104" t="s">
        <v>25</v>
      </c>
      <c r="L408" s="192"/>
      <c r="M408" s="192"/>
      <c r="N408" s="192"/>
      <c r="O408" s="2628" t="s">
        <v>6395</v>
      </c>
      <c r="Q408" s="118"/>
    </row>
    <row r="409" spans="1:17" ht="18.75" customHeight="1" x14ac:dyDescent="0.3">
      <c r="A409" s="189">
        <v>188</v>
      </c>
      <c r="B409" s="105" t="s">
        <v>194</v>
      </c>
      <c r="C409" s="195">
        <v>401</v>
      </c>
      <c r="D409" s="128">
        <v>59</v>
      </c>
      <c r="E409" s="114">
        <v>8364</v>
      </c>
      <c r="F409" s="115">
        <v>21645</v>
      </c>
      <c r="G409" s="116">
        <v>229</v>
      </c>
      <c r="H409" s="1731" t="s">
        <v>41</v>
      </c>
      <c r="I409" s="118"/>
      <c r="J409" s="192"/>
      <c r="K409" s="104" t="s">
        <v>25</v>
      </c>
      <c r="L409" s="192"/>
      <c r="M409" s="192"/>
      <c r="N409" s="192"/>
      <c r="O409" s="2628" t="s">
        <v>6395</v>
      </c>
      <c r="Q409" s="118"/>
    </row>
    <row r="410" spans="1:17" ht="18.75" customHeight="1" x14ac:dyDescent="0.3">
      <c r="A410" s="104">
        <v>189</v>
      </c>
      <c r="B410" s="105" t="s">
        <v>194</v>
      </c>
      <c r="C410" s="195">
        <v>401</v>
      </c>
      <c r="D410" s="113">
        <v>59</v>
      </c>
      <c r="E410" s="114">
        <v>8365</v>
      </c>
      <c r="F410" s="115">
        <v>21645</v>
      </c>
      <c r="G410" s="116">
        <v>229</v>
      </c>
      <c r="H410" s="1731" t="s">
        <v>41</v>
      </c>
      <c r="I410" s="118"/>
      <c r="J410" s="192"/>
      <c r="K410" s="104" t="s">
        <v>25</v>
      </c>
      <c r="L410" s="192"/>
      <c r="M410" s="192"/>
      <c r="N410" s="192"/>
      <c r="O410" s="2628" t="s">
        <v>6395</v>
      </c>
      <c r="Q410" s="118"/>
    </row>
    <row r="411" spans="1:17" ht="18.75" customHeight="1" x14ac:dyDescent="0.3">
      <c r="A411" s="104">
        <v>190</v>
      </c>
      <c r="B411" s="105" t="s">
        <v>194</v>
      </c>
      <c r="C411" s="195">
        <v>401</v>
      </c>
      <c r="D411" s="113">
        <v>59</v>
      </c>
      <c r="E411" s="114">
        <v>8366</v>
      </c>
      <c r="F411" s="115">
        <v>21645</v>
      </c>
      <c r="G411" s="116">
        <v>229</v>
      </c>
      <c r="H411" s="1731" t="s">
        <v>41</v>
      </c>
      <c r="I411" s="118"/>
      <c r="J411" s="192"/>
      <c r="K411" s="104" t="s">
        <v>25</v>
      </c>
      <c r="L411" s="192"/>
      <c r="M411" s="192"/>
      <c r="N411" s="192"/>
      <c r="O411" s="2628" t="s">
        <v>6395</v>
      </c>
      <c r="Q411" s="118"/>
    </row>
    <row r="412" spans="1:17" ht="18.75" customHeight="1" x14ac:dyDescent="0.3">
      <c r="A412" s="189">
        <v>191</v>
      </c>
      <c r="B412" s="105" t="s">
        <v>194</v>
      </c>
      <c r="C412" s="195">
        <v>401</v>
      </c>
      <c r="D412" s="113">
        <v>59</v>
      </c>
      <c r="E412" s="114">
        <v>8367</v>
      </c>
      <c r="F412" s="115">
        <v>21645</v>
      </c>
      <c r="G412" s="116">
        <v>229</v>
      </c>
      <c r="H412" s="1731" t="s">
        <v>41</v>
      </c>
      <c r="I412" s="118"/>
      <c r="J412" s="192"/>
      <c r="K412" s="104" t="s">
        <v>25</v>
      </c>
      <c r="L412" s="192"/>
      <c r="M412" s="192"/>
      <c r="N412" s="192"/>
      <c r="O412" s="2628" t="s">
        <v>6395</v>
      </c>
      <c r="Q412" s="118"/>
    </row>
    <row r="413" spans="1:17" ht="18.75" customHeight="1" x14ac:dyDescent="0.3">
      <c r="A413" s="104">
        <v>192</v>
      </c>
      <c r="B413" s="105" t="s">
        <v>194</v>
      </c>
      <c r="C413" s="195">
        <v>401</v>
      </c>
      <c r="D413" s="113">
        <v>59</v>
      </c>
      <c r="E413" s="114">
        <v>8368</v>
      </c>
      <c r="F413" s="115">
        <v>21645</v>
      </c>
      <c r="G413" s="116">
        <v>229</v>
      </c>
      <c r="H413" s="1731" t="s">
        <v>41</v>
      </c>
      <c r="I413" s="118"/>
      <c r="J413" s="192"/>
      <c r="K413" s="104" t="s">
        <v>25</v>
      </c>
      <c r="L413" s="192"/>
      <c r="M413" s="192"/>
      <c r="N413" s="192"/>
      <c r="O413" s="2628" t="s">
        <v>6395</v>
      </c>
      <c r="Q413" s="118"/>
    </row>
    <row r="414" spans="1:17" ht="18.75" customHeight="1" x14ac:dyDescent="0.3">
      <c r="A414" s="104">
        <v>193</v>
      </c>
      <c r="B414" s="105" t="s">
        <v>194</v>
      </c>
      <c r="C414" s="195">
        <v>401</v>
      </c>
      <c r="D414" s="125">
        <v>59</v>
      </c>
      <c r="E414" s="114">
        <v>8369</v>
      </c>
      <c r="F414" s="115">
        <v>21645</v>
      </c>
      <c r="G414" s="116">
        <v>229</v>
      </c>
      <c r="H414" s="1731" t="s">
        <v>41</v>
      </c>
      <c r="I414" s="118"/>
      <c r="J414" s="192"/>
      <c r="K414" s="104" t="s">
        <v>25</v>
      </c>
      <c r="L414" s="192"/>
      <c r="M414" s="192"/>
      <c r="N414" s="192"/>
      <c r="O414" s="2628" t="s">
        <v>6395</v>
      </c>
      <c r="Q414" s="118"/>
    </row>
    <row r="415" spans="1:17" ht="18.75" customHeight="1" x14ac:dyDescent="0.3">
      <c r="A415" s="189">
        <v>194</v>
      </c>
      <c r="B415" s="105" t="s">
        <v>194</v>
      </c>
      <c r="C415" s="195">
        <v>401</v>
      </c>
      <c r="D415" s="128">
        <v>59</v>
      </c>
      <c r="E415" s="114">
        <v>8370</v>
      </c>
      <c r="F415" s="115">
        <v>21645</v>
      </c>
      <c r="G415" s="116">
        <v>229</v>
      </c>
      <c r="H415" s="1731" t="s">
        <v>41</v>
      </c>
      <c r="I415" s="118"/>
      <c r="J415" s="192"/>
      <c r="K415" s="104" t="s">
        <v>25</v>
      </c>
      <c r="L415" s="192"/>
      <c r="M415" s="192"/>
      <c r="N415" s="192"/>
      <c r="O415" s="2628" t="s">
        <v>6395</v>
      </c>
      <c r="Q415" s="118"/>
    </row>
    <row r="416" spans="1:17" ht="18.75" customHeight="1" x14ac:dyDescent="0.3">
      <c r="A416" s="104">
        <v>195</v>
      </c>
      <c r="B416" s="105" t="s">
        <v>194</v>
      </c>
      <c r="C416" s="195">
        <v>401</v>
      </c>
      <c r="D416" s="113">
        <v>59</v>
      </c>
      <c r="E416" s="114">
        <v>8371</v>
      </c>
      <c r="F416" s="115">
        <v>21645</v>
      </c>
      <c r="G416" s="116">
        <v>229</v>
      </c>
      <c r="H416" s="1731" t="s">
        <v>41</v>
      </c>
      <c r="I416" s="118"/>
      <c r="J416" s="192"/>
      <c r="K416" s="104" t="s">
        <v>25</v>
      </c>
      <c r="L416" s="192"/>
      <c r="M416" s="192"/>
      <c r="N416" s="192"/>
      <c r="O416" s="2628" t="s">
        <v>6395</v>
      </c>
      <c r="Q416" s="118"/>
    </row>
    <row r="417" spans="1:17" ht="18.75" customHeight="1" x14ac:dyDescent="0.3">
      <c r="A417" s="104">
        <v>196</v>
      </c>
      <c r="B417" s="105" t="s">
        <v>194</v>
      </c>
      <c r="C417" s="195">
        <v>401</v>
      </c>
      <c r="D417" s="113">
        <v>59</v>
      </c>
      <c r="E417" s="114">
        <v>8372</v>
      </c>
      <c r="F417" s="115">
        <v>21645</v>
      </c>
      <c r="G417" s="116">
        <v>229</v>
      </c>
      <c r="H417" s="1731" t="s">
        <v>41</v>
      </c>
      <c r="I417" s="118"/>
      <c r="J417" s="192"/>
      <c r="K417" s="104" t="s">
        <v>25</v>
      </c>
      <c r="L417" s="192"/>
      <c r="M417" s="192"/>
      <c r="N417" s="192"/>
      <c r="O417" s="2628" t="s">
        <v>6395</v>
      </c>
      <c r="Q417" s="118"/>
    </row>
    <row r="418" spans="1:17" ht="18.75" customHeight="1" x14ac:dyDescent="0.3">
      <c r="A418" s="189">
        <v>197</v>
      </c>
      <c r="B418" s="105" t="s">
        <v>194</v>
      </c>
      <c r="C418" s="195">
        <v>401</v>
      </c>
      <c r="D418" s="113">
        <v>59</v>
      </c>
      <c r="E418" s="114">
        <v>8373</v>
      </c>
      <c r="F418" s="115">
        <v>21645</v>
      </c>
      <c r="G418" s="116">
        <v>229</v>
      </c>
      <c r="H418" s="1731" t="s">
        <v>41</v>
      </c>
      <c r="I418" s="118"/>
      <c r="J418" s="192"/>
      <c r="K418" s="104" t="s">
        <v>25</v>
      </c>
      <c r="L418" s="192"/>
      <c r="M418" s="192"/>
      <c r="N418" s="192"/>
      <c r="O418" s="2628" t="s">
        <v>6395</v>
      </c>
      <c r="Q418" s="118"/>
    </row>
    <row r="419" spans="1:17" ht="18.75" customHeight="1" x14ac:dyDescent="0.3">
      <c r="A419" s="104">
        <v>198</v>
      </c>
      <c r="B419" s="105" t="s">
        <v>194</v>
      </c>
      <c r="C419" s="195">
        <v>401</v>
      </c>
      <c r="D419" s="113">
        <v>59</v>
      </c>
      <c r="E419" s="114">
        <v>8374</v>
      </c>
      <c r="F419" s="115">
        <v>21645</v>
      </c>
      <c r="G419" s="116">
        <v>229</v>
      </c>
      <c r="H419" s="1731" t="s">
        <v>41</v>
      </c>
      <c r="I419" s="118"/>
      <c r="J419" s="192"/>
      <c r="K419" s="104" t="s">
        <v>25</v>
      </c>
      <c r="L419" s="192"/>
      <c r="M419" s="192"/>
      <c r="N419" s="192"/>
      <c r="O419" s="2628" t="s">
        <v>6395</v>
      </c>
      <c r="Q419" s="118"/>
    </row>
    <row r="420" spans="1:17" ht="18.75" customHeight="1" x14ac:dyDescent="0.3">
      <c r="A420" s="104">
        <v>199</v>
      </c>
      <c r="B420" s="105" t="s">
        <v>194</v>
      </c>
      <c r="C420" s="195">
        <v>401</v>
      </c>
      <c r="D420" s="125">
        <v>59</v>
      </c>
      <c r="E420" s="114">
        <v>8375</v>
      </c>
      <c r="F420" s="115">
        <v>21645</v>
      </c>
      <c r="G420" s="116">
        <v>229</v>
      </c>
      <c r="H420" s="1731" t="s">
        <v>41</v>
      </c>
      <c r="I420" s="118"/>
      <c r="J420" s="192"/>
      <c r="K420" s="104" t="s">
        <v>25</v>
      </c>
      <c r="L420" s="192"/>
      <c r="M420" s="192"/>
      <c r="N420" s="192"/>
      <c r="O420" s="2628" t="s">
        <v>6395</v>
      </c>
      <c r="Q420" s="118"/>
    </row>
    <row r="421" spans="1:17" ht="18.75" customHeight="1" x14ac:dyDescent="0.3">
      <c r="A421" s="189">
        <v>200</v>
      </c>
      <c r="B421" s="105" t="s">
        <v>194</v>
      </c>
      <c r="C421" s="195">
        <v>401</v>
      </c>
      <c r="D421" s="128">
        <v>59</v>
      </c>
      <c r="E421" s="114">
        <v>8376</v>
      </c>
      <c r="F421" s="115">
        <v>21645</v>
      </c>
      <c r="G421" s="116">
        <v>229</v>
      </c>
      <c r="H421" s="1731" t="s">
        <v>41</v>
      </c>
      <c r="I421" s="118"/>
      <c r="J421" s="192"/>
      <c r="K421" s="104" t="s">
        <v>25</v>
      </c>
      <c r="L421" s="192"/>
      <c r="M421" s="192"/>
      <c r="N421" s="192"/>
      <c r="O421" s="2628" t="s">
        <v>6395</v>
      </c>
      <c r="Q421" s="118"/>
    </row>
    <row r="422" spans="1:17" ht="18.75" customHeight="1" x14ac:dyDescent="0.3">
      <c r="A422" s="104">
        <v>201</v>
      </c>
      <c r="B422" s="105" t="s">
        <v>194</v>
      </c>
      <c r="C422" s="195">
        <v>401</v>
      </c>
      <c r="D422" s="113">
        <v>59</v>
      </c>
      <c r="E422" s="114">
        <v>8377</v>
      </c>
      <c r="F422" s="115">
        <v>21645</v>
      </c>
      <c r="G422" s="116">
        <v>229</v>
      </c>
      <c r="H422" s="1731" t="s">
        <v>41</v>
      </c>
      <c r="I422" s="118"/>
      <c r="J422" s="192"/>
      <c r="K422" s="104" t="s">
        <v>25</v>
      </c>
      <c r="L422" s="192"/>
      <c r="M422" s="192"/>
      <c r="N422" s="192"/>
      <c r="O422" s="2628" t="s">
        <v>6395</v>
      </c>
      <c r="Q422" s="118"/>
    </row>
    <row r="423" spans="1:17" ht="18.75" customHeight="1" x14ac:dyDescent="0.3">
      <c r="A423" s="104">
        <v>202</v>
      </c>
      <c r="B423" s="105" t="s">
        <v>194</v>
      </c>
      <c r="C423" s="195">
        <v>401</v>
      </c>
      <c r="D423" s="113">
        <v>59</v>
      </c>
      <c r="E423" s="114">
        <v>8378</v>
      </c>
      <c r="F423" s="115">
        <v>21645</v>
      </c>
      <c r="G423" s="116">
        <v>229</v>
      </c>
      <c r="H423" s="1731" t="s">
        <v>41</v>
      </c>
      <c r="I423" s="118"/>
      <c r="J423" s="192"/>
      <c r="K423" s="104" t="s">
        <v>25</v>
      </c>
      <c r="L423" s="192"/>
      <c r="M423" s="192"/>
      <c r="N423" s="192"/>
      <c r="O423" s="2628" t="s">
        <v>6395</v>
      </c>
      <c r="Q423" s="118"/>
    </row>
    <row r="424" spans="1:17" ht="18.75" customHeight="1" x14ac:dyDescent="0.3">
      <c r="A424" s="189">
        <v>203</v>
      </c>
      <c r="B424" s="105" t="s">
        <v>194</v>
      </c>
      <c r="C424" s="195">
        <v>401</v>
      </c>
      <c r="D424" s="113">
        <v>59</v>
      </c>
      <c r="E424" s="114">
        <v>8379</v>
      </c>
      <c r="F424" s="115">
        <v>21645</v>
      </c>
      <c r="G424" s="116">
        <v>229</v>
      </c>
      <c r="H424" s="1731" t="s">
        <v>41</v>
      </c>
      <c r="I424" s="118"/>
      <c r="J424" s="192"/>
      <c r="K424" s="104" t="s">
        <v>25</v>
      </c>
      <c r="L424" s="192"/>
      <c r="M424" s="192"/>
      <c r="N424" s="192"/>
      <c r="O424" s="2628" t="s">
        <v>6395</v>
      </c>
      <c r="Q424" s="118"/>
    </row>
    <row r="425" spans="1:17" ht="18.75" customHeight="1" x14ac:dyDescent="0.3">
      <c r="A425" s="104">
        <v>204</v>
      </c>
      <c r="B425" s="105" t="s">
        <v>194</v>
      </c>
      <c r="C425" s="195">
        <v>401</v>
      </c>
      <c r="D425" s="113">
        <v>59</v>
      </c>
      <c r="E425" s="114">
        <v>8380</v>
      </c>
      <c r="F425" s="115">
        <v>21645</v>
      </c>
      <c r="G425" s="116">
        <v>229</v>
      </c>
      <c r="H425" s="1731" t="s">
        <v>41</v>
      </c>
      <c r="I425" s="118"/>
      <c r="J425" s="192"/>
      <c r="K425" s="104" t="s">
        <v>25</v>
      </c>
      <c r="L425" s="192"/>
      <c r="M425" s="192"/>
      <c r="N425" s="192"/>
      <c r="O425" s="2628" t="s">
        <v>6395</v>
      </c>
      <c r="Q425" s="118"/>
    </row>
    <row r="426" spans="1:17" ht="18.75" customHeight="1" x14ac:dyDescent="0.3">
      <c r="A426" s="104">
        <v>205</v>
      </c>
      <c r="B426" s="105" t="s">
        <v>194</v>
      </c>
      <c r="C426" s="195">
        <v>401</v>
      </c>
      <c r="D426" s="125">
        <v>59</v>
      </c>
      <c r="E426" s="114">
        <v>8381</v>
      </c>
      <c r="F426" s="115">
        <v>21645</v>
      </c>
      <c r="G426" s="116">
        <v>229</v>
      </c>
      <c r="H426" s="1731" t="s">
        <v>41</v>
      </c>
      <c r="I426" s="118"/>
      <c r="J426" s="192"/>
      <c r="K426" s="104" t="s">
        <v>25</v>
      </c>
      <c r="L426" s="192"/>
      <c r="M426" s="192"/>
      <c r="N426" s="192"/>
      <c r="O426" s="2628" t="s">
        <v>6395</v>
      </c>
      <c r="Q426" s="118"/>
    </row>
    <row r="427" spans="1:17" ht="18.75" customHeight="1" x14ac:dyDescent="0.3">
      <c r="A427" s="189">
        <v>206</v>
      </c>
      <c r="B427" s="105" t="s">
        <v>194</v>
      </c>
      <c r="C427" s="195">
        <v>401</v>
      </c>
      <c r="D427" s="128">
        <v>59</v>
      </c>
      <c r="E427" s="114">
        <v>8382</v>
      </c>
      <c r="F427" s="115">
        <v>21645</v>
      </c>
      <c r="G427" s="116">
        <v>229</v>
      </c>
      <c r="H427" s="1731" t="s">
        <v>41</v>
      </c>
      <c r="I427" s="118"/>
      <c r="J427" s="192"/>
      <c r="K427" s="104" t="s">
        <v>25</v>
      </c>
      <c r="L427" s="192"/>
      <c r="M427" s="192"/>
      <c r="N427" s="192"/>
      <c r="O427" s="2628" t="s">
        <v>6395</v>
      </c>
      <c r="Q427" s="118"/>
    </row>
    <row r="428" spans="1:17" ht="18.75" customHeight="1" x14ac:dyDescent="0.3">
      <c r="A428" s="104">
        <v>207</v>
      </c>
      <c r="B428" s="105" t="s">
        <v>194</v>
      </c>
      <c r="C428" s="195">
        <v>401</v>
      </c>
      <c r="D428" s="113">
        <v>59</v>
      </c>
      <c r="E428" s="114">
        <v>8383</v>
      </c>
      <c r="F428" s="115">
        <v>21645</v>
      </c>
      <c r="G428" s="116">
        <v>229</v>
      </c>
      <c r="H428" s="1731" t="s">
        <v>41</v>
      </c>
      <c r="I428" s="118"/>
      <c r="J428" s="192"/>
      <c r="K428" s="104" t="s">
        <v>25</v>
      </c>
      <c r="L428" s="192"/>
      <c r="M428" s="192"/>
      <c r="N428" s="192"/>
      <c r="O428" s="2628" t="s">
        <v>6395</v>
      </c>
      <c r="Q428" s="118"/>
    </row>
    <row r="429" spans="1:17" ht="18.75" customHeight="1" x14ac:dyDescent="0.3">
      <c r="A429" s="104">
        <v>208</v>
      </c>
      <c r="B429" s="105" t="s">
        <v>194</v>
      </c>
      <c r="C429" s="195">
        <v>401</v>
      </c>
      <c r="D429" s="113">
        <v>59</v>
      </c>
      <c r="E429" s="114">
        <v>8384</v>
      </c>
      <c r="F429" s="115">
        <v>21645</v>
      </c>
      <c r="G429" s="116">
        <v>229</v>
      </c>
      <c r="H429" s="1731" t="s">
        <v>41</v>
      </c>
      <c r="I429" s="118"/>
      <c r="J429" s="192"/>
      <c r="K429" s="104" t="s">
        <v>25</v>
      </c>
      <c r="L429" s="192"/>
      <c r="M429" s="192"/>
      <c r="N429" s="192"/>
      <c r="O429" s="2628" t="s">
        <v>6395</v>
      </c>
      <c r="Q429" s="118"/>
    </row>
    <row r="430" spans="1:17" ht="18.75" customHeight="1" x14ac:dyDescent="0.3">
      <c r="A430" s="189">
        <v>209</v>
      </c>
      <c r="B430" s="105" t="s">
        <v>194</v>
      </c>
      <c r="C430" s="195">
        <v>401</v>
      </c>
      <c r="D430" s="113">
        <v>59</v>
      </c>
      <c r="E430" s="114">
        <v>8385</v>
      </c>
      <c r="F430" s="115">
        <v>21645</v>
      </c>
      <c r="G430" s="116">
        <v>229</v>
      </c>
      <c r="H430" s="1731" t="s">
        <v>41</v>
      </c>
      <c r="I430" s="118"/>
      <c r="J430" s="192"/>
      <c r="K430" s="104" t="s">
        <v>25</v>
      </c>
      <c r="L430" s="192"/>
      <c r="M430" s="192"/>
      <c r="N430" s="192"/>
      <c r="O430" s="2628" t="s">
        <v>6395</v>
      </c>
      <c r="Q430" s="118"/>
    </row>
    <row r="431" spans="1:17" ht="18.75" customHeight="1" x14ac:dyDescent="0.3">
      <c r="A431" s="104">
        <v>210</v>
      </c>
      <c r="B431" s="105" t="s">
        <v>194</v>
      </c>
      <c r="C431" s="195">
        <v>401</v>
      </c>
      <c r="D431" s="113">
        <v>59</v>
      </c>
      <c r="E431" s="114">
        <v>8386</v>
      </c>
      <c r="F431" s="115">
        <v>21645</v>
      </c>
      <c r="G431" s="116">
        <v>229</v>
      </c>
      <c r="H431" s="1731" t="s">
        <v>41</v>
      </c>
      <c r="I431" s="118"/>
      <c r="J431" s="192"/>
      <c r="K431" s="104" t="s">
        <v>25</v>
      </c>
      <c r="L431" s="192"/>
      <c r="M431" s="192"/>
      <c r="N431" s="192"/>
      <c r="O431" s="2628" t="s">
        <v>6395</v>
      </c>
      <c r="Q431" s="118"/>
    </row>
    <row r="432" spans="1:17" ht="18.75" customHeight="1" x14ac:dyDescent="0.3">
      <c r="A432" s="104">
        <v>211</v>
      </c>
      <c r="B432" s="105" t="s">
        <v>194</v>
      </c>
      <c r="C432" s="195">
        <v>401</v>
      </c>
      <c r="D432" s="113">
        <v>59</v>
      </c>
      <c r="E432" s="114">
        <v>8387</v>
      </c>
      <c r="F432" s="115">
        <v>21645</v>
      </c>
      <c r="G432" s="116">
        <v>229</v>
      </c>
      <c r="H432" s="1731" t="s">
        <v>41</v>
      </c>
      <c r="I432" s="118"/>
      <c r="J432" s="192"/>
      <c r="K432" s="104" t="s">
        <v>25</v>
      </c>
      <c r="L432" s="192"/>
      <c r="M432" s="192"/>
      <c r="N432" s="192"/>
      <c r="O432" s="2628" t="s">
        <v>6395</v>
      </c>
      <c r="Q432" s="118"/>
    </row>
    <row r="433" spans="1:17" ht="18.75" customHeight="1" x14ac:dyDescent="0.3">
      <c r="A433" s="189">
        <v>212</v>
      </c>
      <c r="B433" s="105" t="s">
        <v>194</v>
      </c>
      <c r="C433" s="195">
        <v>401</v>
      </c>
      <c r="D433" s="113">
        <v>59</v>
      </c>
      <c r="E433" s="114">
        <v>8388</v>
      </c>
      <c r="F433" s="115">
        <v>21645</v>
      </c>
      <c r="G433" s="116">
        <v>229</v>
      </c>
      <c r="H433" s="1731" t="s">
        <v>41</v>
      </c>
      <c r="I433" s="118"/>
      <c r="J433" s="192"/>
      <c r="K433" s="104" t="s">
        <v>25</v>
      </c>
      <c r="L433" s="192"/>
      <c r="M433" s="192"/>
      <c r="N433" s="192"/>
      <c r="O433" s="2628" t="s">
        <v>6395</v>
      </c>
      <c r="Q433" s="118"/>
    </row>
    <row r="434" spans="1:17" ht="18.75" customHeight="1" x14ac:dyDescent="0.3">
      <c r="A434" s="104">
        <v>213</v>
      </c>
      <c r="B434" s="105" t="s">
        <v>194</v>
      </c>
      <c r="C434" s="195">
        <v>401</v>
      </c>
      <c r="D434" s="113">
        <v>59</v>
      </c>
      <c r="E434" s="114">
        <v>8389</v>
      </c>
      <c r="F434" s="115">
        <v>21645</v>
      </c>
      <c r="G434" s="116">
        <v>229</v>
      </c>
      <c r="H434" s="1731" t="s">
        <v>41</v>
      </c>
      <c r="I434" s="118"/>
      <c r="J434" s="192"/>
      <c r="K434" s="104" t="s">
        <v>25</v>
      </c>
      <c r="L434" s="192"/>
      <c r="M434" s="192"/>
      <c r="N434" s="192"/>
      <c r="O434" s="2628" t="s">
        <v>6395</v>
      </c>
      <c r="Q434" s="118"/>
    </row>
    <row r="435" spans="1:17" ht="18.75" customHeight="1" x14ac:dyDescent="0.3">
      <c r="A435" s="104">
        <v>214</v>
      </c>
      <c r="B435" s="105" t="s">
        <v>194</v>
      </c>
      <c r="C435" s="195">
        <v>401</v>
      </c>
      <c r="D435" s="113">
        <v>59</v>
      </c>
      <c r="E435" s="114">
        <v>8390</v>
      </c>
      <c r="F435" s="115">
        <v>21645</v>
      </c>
      <c r="G435" s="116">
        <v>229</v>
      </c>
      <c r="H435" s="1731" t="s">
        <v>41</v>
      </c>
      <c r="I435" s="118"/>
      <c r="J435" s="192"/>
      <c r="K435" s="104" t="s">
        <v>25</v>
      </c>
      <c r="L435" s="192"/>
      <c r="M435" s="192"/>
      <c r="N435" s="192"/>
      <c r="O435" s="2628" t="s">
        <v>6395</v>
      </c>
      <c r="Q435" s="118"/>
    </row>
    <row r="436" spans="1:17" ht="18.75" customHeight="1" x14ac:dyDescent="0.3">
      <c r="A436" s="189">
        <v>215</v>
      </c>
      <c r="B436" s="105" t="s">
        <v>194</v>
      </c>
      <c r="C436" s="195">
        <v>401</v>
      </c>
      <c r="D436" s="113">
        <v>59</v>
      </c>
      <c r="E436" s="114">
        <v>8391</v>
      </c>
      <c r="F436" s="115">
        <v>21645</v>
      </c>
      <c r="G436" s="116">
        <v>229</v>
      </c>
      <c r="H436" s="1731" t="s">
        <v>41</v>
      </c>
      <c r="I436" s="118"/>
      <c r="J436" s="192"/>
      <c r="K436" s="104" t="s">
        <v>25</v>
      </c>
      <c r="L436" s="192"/>
      <c r="M436" s="192"/>
      <c r="N436" s="192"/>
      <c r="O436" s="2628" t="s">
        <v>6395</v>
      </c>
      <c r="Q436" s="118"/>
    </row>
    <row r="437" spans="1:17" ht="18.75" customHeight="1" x14ac:dyDescent="0.3">
      <c r="A437" s="104">
        <v>216</v>
      </c>
      <c r="B437" s="105" t="s">
        <v>194</v>
      </c>
      <c r="C437" s="195">
        <v>401</v>
      </c>
      <c r="D437" s="113">
        <v>59</v>
      </c>
      <c r="E437" s="114">
        <v>8392</v>
      </c>
      <c r="F437" s="115">
        <v>21645</v>
      </c>
      <c r="G437" s="116">
        <v>229</v>
      </c>
      <c r="H437" s="1731" t="s">
        <v>41</v>
      </c>
      <c r="I437" s="118"/>
      <c r="J437" s="192"/>
      <c r="K437" s="104" t="s">
        <v>25</v>
      </c>
      <c r="L437" s="192"/>
      <c r="M437" s="192"/>
      <c r="N437" s="192"/>
      <c r="O437" s="2628" t="s">
        <v>6395</v>
      </c>
      <c r="Q437" s="118"/>
    </row>
    <row r="438" spans="1:17" ht="18.75" customHeight="1" x14ac:dyDescent="0.3">
      <c r="A438" s="104">
        <v>217</v>
      </c>
      <c r="B438" s="105" t="s">
        <v>194</v>
      </c>
      <c r="C438" s="195">
        <v>401</v>
      </c>
      <c r="D438" s="113">
        <v>59</v>
      </c>
      <c r="E438" s="114">
        <v>8393</v>
      </c>
      <c r="F438" s="115">
        <v>21645</v>
      </c>
      <c r="G438" s="116">
        <v>229</v>
      </c>
      <c r="H438" s="1731" t="s">
        <v>41</v>
      </c>
      <c r="I438" s="118"/>
      <c r="J438" s="192"/>
      <c r="K438" s="104" t="s">
        <v>25</v>
      </c>
      <c r="L438" s="192"/>
      <c r="M438" s="192"/>
      <c r="N438" s="192"/>
      <c r="O438" s="2628" t="s">
        <v>6395</v>
      </c>
      <c r="Q438" s="118"/>
    </row>
    <row r="439" spans="1:17" ht="18.75" customHeight="1" x14ac:dyDescent="0.3">
      <c r="A439" s="189">
        <v>218</v>
      </c>
      <c r="B439" s="105" t="s">
        <v>194</v>
      </c>
      <c r="C439" s="195">
        <v>401</v>
      </c>
      <c r="D439" s="113">
        <v>59</v>
      </c>
      <c r="E439" s="114">
        <v>8394</v>
      </c>
      <c r="F439" s="115">
        <v>21645</v>
      </c>
      <c r="G439" s="116">
        <v>229</v>
      </c>
      <c r="H439" s="1731" t="s">
        <v>41</v>
      </c>
      <c r="I439" s="118"/>
      <c r="J439" s="192"/>
      <c r="K439" s="104" t="s">
        <v>25</v>
      </c>
      <c r="L439" s="192"/>
      <c r="M439" s="192"/>
      <c r="N439" s="192"/>
      <c r="O439" s="2628" t="s">
        <v>6395</v>
      </c>
      <c r="Q439" s="118"/>
    </row>
    <row r="440" spans="1:17" ht="18.75" customHeight="1" x14ac:dyDescent="0.3">
      <c r="A440" s="104">
        <v>219</v>
      </c>
      <c r="B440" s="105" t="s">
        <v>194</v>
      </c>
      <c r="C440" s="195">
        <v>401</v>
      </c>
      <c r="D440" s="113">
        <v>59</v>
      </c>
      <c r="E440" s="114">
        <v>8395</v>
      </c>
      <c r="F440" s="115">
        <v>21645</v>
      </c>
      <c r="G440" s="116">
        <v>229</v>
      </c>
      <c r="H440" s="1731" t="s">
        <v>41</v>
      </c>
      <c r="I440" s="118"/>
      <c r="J440" s="192"/>
      <c r="K440" s="104" t="s">
        <v>25</v>
      </c>
      <c r="L440" s="192"/>
      <c r="M440" s="192"/>
      <c r="N440" s="192"/>
      <c r="O440" s="2628" t="s">
        <v>6395</v>
      </c>
      <c r="Q440" s="118"/>
    </row>
    <row r="441" spans="1:17" ht="18.75" customHeight="1" x14ac:dyDescent="0.3">
      <c r="A441" s="104">
        <v>220</v>
      </c>
      <c r="B441" s="105" t="s">
        <v>194</v>
      </c>
      <c r="C441" s="195">
        <v>401</v>
      </c>
      <c r="D441" s="136">
        <v>59</v>
      </c>
      <c r="E441" s="114">
        <v>8396</v>
      </c>
      <c r="F441" s="115">
        <v>21645</v>
      </c>
      <c r="G441" s="116">
        <v>229</v>
      </c>
      <c r="H441" s="1731" t="s">
        <v>41</v>
      </c>
      <c r="I441" s="118"/>
      <c r="J441" s="192"/>
      <c r="K441" s="104" t="s">
        <v>25</v>
      </c>
      <c r="L441" s="192"/>
      <c r="M441" s="192"/>
      <c r="N441" s="192"/>
      <c r="O441" s="2628" t="s">
        <v>6395</v>
      </c>
      <c r="Q441" s="118"/>
    </row>
    <row r="442" spans="1:17" ht="18.75" customHeight="1" x14ac:dyDescent="0.3">
      <c r="A442" s="189">
        <v>221</v>
      </c>
      <c r="B442" s="105" t="s">
        <v>194</v>
      </c>
      <c r="C442" s="195">
        <v>401</v>
      </c>
      <c r="D442" s="128">
        <v>59</v>
      </c>
      <c r="E442" s="114">
        <v>8397</v>
      </c>
      <c r="F442" s="115">
        <v>21645</v>
      </c>
      <c r="G442" s="116">
        <v>229</v>
      </c>
      <c r="H442" s="1731" t="s">
        <v>41</v>
      </c>
      <c r="I442" s="118"/>
      <c r="J442" s="192"/>
      <c r="K442" s="104" t="s">
        <v>25</v>
      </c>
      <c r="L442" s="192"/>
      <c r="M442" s="192"/>
      <c r="N442" s="192"/>
      <c r="O442" s="2628" t="s">
        <v>6395</v>
      </c>
      <c r="Q442" s="118"/>
    </row>
    <row r="443" spans="1:17" ht="18.75" customHeight="1" x14ac:dyDescent="0.3">
      <c r="A443" s="104">
        <v>222</v>
      </c>
      <c r="B443" s="105" t="s">
        <v>194</v>
      </c>
      <c r="C443" s="195">
        <v>401</v>
      </c>
      <c r="D443" s="113">
        <v>59</v>
      </c>
      <c r="E443" s="114">
        <v>8398</v>
      </c>
      <c r="F443" s="115">
        <v>21645</v>
      </c>
      <c r="G443" s="116">
        <v>229</v>
      </c>
      <c r="H443" s="1731" t="s">
        <v>41</v>
      </c>
      <c r="I443" s="118"/>
      <c r="J443" s="192"/>
      <c r="K443" s="104" t="s">
        <v>25</v>
      </c>
      <c r="L443" s="192"/>
      <c r="M443" s="192"/>
      <c r="N443" s="192"/>
      <c r="O443" s="2628" t="s">
        <v>6395</v>
      </c>
      <c r="Q443" s="118"/>
    </row>
    <row r="444" spans="1:17" ht="18.75" customHeight="1" x14ac:dyDescent="0.3">
      <c r="A444" s="104">
        <v>223</v>
      </c>
      <c r="B444" s="105" t="s">
        <v>194</v>
      </c>
      <c r="C444" s="195">
        <v>401</v>
      </c>
      <c r="D444" s="113">
        <v>59</v>
      </c>
      <c r="E444" s="114">
        <v>8399</v>
      </c>
      <c r="F444" s="115">
        <v>21645</v>
      </c>
      <c r="G444" s="116">
        <v>229</v>
      </c>
      <c r="H444" s="1731" t="s">
        <v>41</v>
      </c>
      <c r="I444" s="118"/>
      <c r="J444" s="192"/>
      <c r="K444" s="104" t="s">
        <v>25</v>
      </c>
      <c r="L444" s="192"/>
      <c r="M444" s="192"/>
      <c r="N444" s="192"/>
      <c r="O444" s="2628" t="s">
        <v>6395</v>
      </c>
      <c r="Q444" s="118"/>
    </row>
    <row r="445" spans="1:17" ht="18.75" customHeight="1" x14ac:dyDescent="0.3">
      <c r="A445" s="189">
        <v>224</v>
      </c>
      <c r="B445" s="105" t="s">
        <v>194</v>
      </c>
      <c r="C445" s="195">
        <v>401</v>
      </c>
      <c r="D445" s="113">
        <v>59</v>
      </c>
      <c r="E445" s="114">
        <v>8400</v>
      </c>
      <c r="F445" s="115">
        <v>21645</v>
      </c>
      <c r="G445" s="116">
        <v>229</v>
      </c>
      <c r="H445" s="1731" t="s">
        <v>41</v>
      </c>
      <c r="I445" s="118"/>
      <c r="J445" s="192"/>
      <c r="K445" s="104" t="s">
        <v>25</v>
      </c>
      <c r="L445" s="192"/>
      <c r="M445" s="192"/>
      <c r="N445" s="192"/>
      <c r="O445" s="2628" t="s">
        <v>6395</v>
      </c>
      <c r="Q445" s="118"/>
    </row>
    <row r="446" spans="1:17" ht="18.75" customHeight="1" x14ac:dyDescent="0.3">
      <c r="A446" s="104">
        <v>225</v>
      </c>
      <c r="B446" s="105" t="s">
        <v>194</v>
      </c>
      <c r="C446" s="195">
        <v>401</v>
      </c>
      <c r="D446" s="113">
        <v>59</v>
      </c>
      <c r="E446" s="114">
        <v>8401</v>
      </c>
      <c r="F446" s="115">
        <v>21645</v>
      </c>
      <c r="G446" s="116">
        <v>229</v>
      </c>
      <c r="H446" s="1731" t="s">
        <v>41</v>
      </c>
      <c r="I446" s="118"/>
      <c r="J446" s="192"/>
      <c r="K446" s="104" t="s">
        <v>25</v>
      </c>
      <c r="L446" s="192"/>
      <c r="M446" s="192"/>
      <c r="N446" s="192"/>
      <c r="O446" s="2628" t="s">
        <v>6395</v>
      </c>
      <c r="Q446" s="118"/>
    </row>
    <row r="447" spans="1:17" ht="18.75" customHeight="1" x14ac:dyDescent="0.3">
      <c r="A447" s="104">
        <v>226</v>
      </c>
      <c r="B447" s="105" t="s">
        <v>194</v>
      </c>
      <c r="C447" s="195">
        <v>401</v>
      </c>
      <c r="D447" s="113">
        <v>59</v>
      </c>
      <c r="E447" s="114">
        <v>8402</v>
      </c>
      <c r="F447" s="115">
        <v>21645</v>
      </c>
      <c r="G447" s="116">
        <v>229</v>
      </c>
      <c r="H447" s="1731" t="s">
        <v>41</v>
      </c>
      <c r="I447" s="118"/>
      <c r="J447" s="192"/>
      <c r="K447" s="104" t="s">
        <v>25</v>
      </c>
      <c r="L447" s="192"/>
      <c r="M447" s="192"/>
      <c r="N447" s="192"/>
      <c r="O447" s="2628" t="s">
        <v>6395</v>
      </c>
      <c r="Q447" s="118"/>
    </row>
    <row r="448" spans="1:17" ht="18.75" customHeight="1" x14ac:dyDescent="0.3">
      <c r="A448" s="189">
        <v>227</v>
      </c>
      <c r="B448" s="105" t="s">
        <v>194</v>
      </c>
      <c r="C448" s="195">
        <v>401</v>
      </c>
      <c r="D448" s="113">
        <v>59</v>
      </c>
      <c r="E448" s="114">
        <v>8403</v>
      </c>
      <c r="F448" s="115">
        <v>21645</v>
      </c>
      <c r="G448" s="116">
        <v>229</v>
      </c>
      <c r="H448" s="1731" t="s">
        <v>41</v>
      </c>
      <c r="I448" s="118"/>
      <c r="J448" s="192"/>
      <c r="K448" s="104" t="s">
        <v>25</v>
      </c>
      <c r="L448" s="192"/>
      <c r="M448" s="192"/>
      <c r="N448" s="192"/>
      <c r="O448" s="2628" t="s">
        <v>6395</v>
      </c>
      <c r="Q448" s="118"/>
    </row>
    <row r="449" spans="1:17" ht="18.75" customHeight="1" x14ac:dyDescent="0.3">
      <c r="A449" s="104">
        <v>228</v>
      </c>
      <c r="B449" s="105" t="s">
        <v>194</v>
      </c>
      <c r="C449" s="195">
        <v>401</v>
      </c>
      <c r="D449" s="113">
        <v>59</v>
      </c>
      <c r="E449" s="114">
        <v>8404</v>
      </c>
      <c r="F449" s="115">
        <v>21645</v>
      </c>
      <c r="G449" s="116">
        <v>229</v>
      </c>
      <c r="H449" s="1731" t="s">
        <v>41</v>
      </c>
      <c r="I449" s="118"/>
      <c r="J449" s="192"/>
      <c r="K449" s="104" t="s">
        <v>25</v>
      </c>
      <c r="L449" s="192"/>
      <c r="M449" s="192"/>
      <c r="N449" s="192"/>
      <c r="O449" s="2628" t="s">
        <v>6395</v>
      </c>
      <c r="Q449" s="118"/>
    </row>
    <row r="450" spans="1:17" ht="18.75" customHeight="1" x14ac:dyDescent="0.3">
      <c r="A450" s="104">
        <v>229</v>
      </c>
      <c r="B450" s="105" t="s">
        <v>194</v>
      </c>
      <c r="C450" s="195">
        <v>401</v>
      </c>
      <c r="D450" s="125">
        <v>59</v>
      </c>
      <c r="E450" s="114">
        <v>8405</v>
      </c>
      <c r="F450" s="115">
        <v>21645</v>
      </c>
      <c r="G450" s="116">
        <v>229</v>
      </c>
      <c r="H450" s="1731" t="s">
        <v>41</v>
      </c>
      <c r="I450" s="118"/>
      <c r="J450" s="192"/>
      <c r="K450" s="104" t="s">
        <v>25</v>
      </c>
      <c r="L450" s="192"/>
      <c r="M450" s="192"/>
      <c r="N450" s="192"/>
      <c r="O450" s="2628" t="s">
        <v>6395</v>
      </c>
      <c r="Q450" s="118"/>
    </row>
    <row r="451" spans="1:17" ht="18.75" customHeight="1" x14ac:dyDescent="0.3">
      <c r="A451" s="189">
        <v>230</v>
      </c>
      <c r="B451" s="105" t="s">
        <v>194</v>
      </c>
      <c r="C451" s="195">
        <v>401</v>
      </c>
      <c r="D451" s="128">
        <v>59</v>
      </c>
      <c r="E451" s="114">
        <v>8406</v>
      </c>
      <c r="F451" s="115">
        <v>21645</v>
      </c>
      <c r="G451" s="116">
        <v>229</v>
      </c>
      <c r="H451" s="1731" t="s">
        <v>41</v>
      </c>
      <c r="I451" s="118"/>
      <c r="J451" s="192"/>
      <c r="K451" s="104" t="s">
        <v>25</v>
      </c>
      <c r="L451" s="192"/>
      <c r="M451" s="192"/>
      <c r="N451" s="192"/>
      <c r="O451" s="2628" t="s">
        <v>6395</v>
      </c>
      <c r="Q451" s="118"/>
    </row>
    <row r="452" spans="1:17" ht="18.75" customHeight="1" x14ac:dyDescent="0.3">
      <c r="A452" s="104">
        <v>231</v>
      </c>
      <c r="B452" s="105" t="s">
        <v>194</v>
      </c>
      <c r="C452" s="195">
        <v>401</v>
      </c>
      <c r="D452" s="113">
        <v>59</v>
      </c>
      <c r="E452" s="114">
        <v>8407</v>
      </c>
      <c r="F452" s="115">
        <v>21645</v>
      </c>
      <c r="G452" s="116">
        <v>229</v>
      </c>
      <c r="H452" s="1731" t="s">
        <v>41</v>
      </c>
      <c r="I452" s="118"/>
      <c r="J452" s="192"/>
      <c r="K452" s="104" t="s">
        <v>25</v>
      </c>
      <c r="L452" s="192"/>
      <c r="M452" s="192"/>
      <c r="N452" s="192"/>
      <c r="O452" s="2628" t="s">
        <v>6395</v>
      </c>
      <c r="Q452" s="118"/>
    </row>
    <row r="453" spans="1:17" ht="18.75" customHeight="1" x14ac:dyDescent="0.3">
      <c r="A453" s="104">
        <v>232</v>
      </c>
      <c r="B453" s="105" t="s">
        <v>194</v>
      </c>
      <c r="C453" s="195">
        <v>401</v>
      </c>
      <c r="D453" s="113">
        <v>59</v>
      </c>
      <c r="E453" s="114">
        <v>8408</v>
      </c>
      <c r="F453" s="115">
        <v>21645</v>
      </c>
      <c r="G453" s="116">
        <v>229</v>
      </c>
      <c r="H453" s="1731" t="s">
        <v>41</v>
      </c>
      <c r="I453" s="118"/>
      <c r="J453" s="192"/>
      <c r="K453" s="104" t="s">
        <v>25</v>
      </c>
      <c r="L453" s="192"/>
      <c r="M453" s="192"/>
      <c r="N453" s="192"/>
      <c r="O453" s="2628" t="s">
        <v>6395</v>
      </c>
      <c r="Q453" s="118"/>
    </row>
    <row r="454" spans="1:17" ht="18.75" customHeight="1" x14ac:dyDescent="0.3">
      <c r="A454" s="189">
        <v>233</v>
      </c>
      <c r="B454" s="105" t="s">
        <v>194</v>
      </c>
      <c r="C454" s="195">
        <v>401</v>
      </c>
      <c r="D454" s="113">
        <v>59</v>
      </c>
      <c r="E454" s="114">
        <v>8409</v>
      </c>
      <c r="F454" s="115">
        <v>21645</v>
      </c>
      <c r="G454" s="116">
        <v>229</v>
      </c>
      <c r="H454" s="1731" t="s">
        <v>41</v>
      </c>
      <c r="I454" s="118"/>
      <c r="J454" s="192"/>
      <c r="K454" s="104" t="s">
        <v>25</v>
      </c>
      <c r="L454" s="192"/>
      <c r="M454" s="192"/>
      <c r="N454" s="192"/>
      <c r="O454" s="2628" t="s">
        <v>6395</v>
      </c>
      <c r="Q454" s="118"/>
    </row>
    <row r="455" spans="1:17" ht="18.75" customHeight="1" x14ac:dyDescent="0.3">
      <c r="A455" s="104">
        <v>234</v>
      </c>
      <c r="B455" s="105" t="s">
        <v>194</v>
      </c>
      <c r="C455" s="195">
        <v>401</v>
      </c>
      <c r="D455" s="113">
        <v>59</v>
      </c>
      <c r="E455" s="114">
        <v>8410</v>
      </c>
      <c r="F455" s="115">
        <v>21645</v>
      </c>
      <c r="G455" s="116">
        <v>229</v>
      </c>
      <c r="H455" s="1731" t="s">
        <v>41</v>
      </c>
      <c r="I455" s="118"/>
      <c r="J455" s="192"/>
      <c r="K455" s="104" t="s">
        <v>25</v>
      </c>
      <c r="L455" s="192"/>
      <c r="M455" s="192"/>
      <c r="N455" s="192"/>
      <c r="O455" s="2628" t="s">
        <v>6395</v>
      </c>
      <c r="Q455" s="118"/>
    </row>
    <row r="456" spans="1:17" ht="18.75" customHeight="1" x14ac:dyDescent="0.3">
      <c r="A456" s="104">
        <v>235</v>
      </c>
      <c r="B456" s="105" t="s">
        <v>194</v>
      </c>
      <c r="C456" s="195">
        <v>401</v>
      </c>
      <c r="D456" s="113">
        <v>59</v>
      </c>
      <c r="E456" s="114">
        <v>8411</v>
      </c>
      <c r="F456" s="115">
        <v>21645</v>
      </c>
      <c r="G456" s="116">
        <v>229</v>
      </c>
      <c r="H456" s="1731" t="s">
        <v>41</v>
      </c>
      <c r="I456" s="118"/>
      <c r="J456" s="192"/>
      <c r="K456" s="104" t="s">
        <v>25</v>
      </c>
      <c r="L456" s="192"/>
      <c r="M456" s="192"/>
      <c r="N456" s="192"/>
      <c r="O456" s="2628" t="s">
        <v>6395</v>
      </c>
      <c r="Q456" s="118"/>
    </row>
    <row r="457" spans="1:17" ht="18.75" customHeight="1" x14ac:dyDescent="0.3">
      <c r="A457" s="189">
        <v>236</v>
      </c>
      <c r="B457" s="105" t="s">
        <v>194</v>
      </c>
      <c r="C457" s="195">
        <v>401</v>
      </c>
      <c r="D457" s="125">
        <v>59</v>
      </c>
      <c r="E457" s="114">
        <v>8412</v>
      </c>
      <c r="F457" s="115">
        <v>21645</v>
      </c>
      <c r="G457" s="116">
        <v>229</v>
      </c>
      <c r="H457" s="1731" t="s">
        <v>41</v>
      </c>
      <c r="I457" s="118"/>
      <c r="J457" s="192"/>
      <c r="K457" s="104" t="s">
        <v>25</v>
      </c>
      <c r="L457" s="192"/>
      <c r="M457" s="192"/>
      <c r="N457" s="192"/>
      <c r="O457" s="2628" t="s">
        <v>6395</v>
      </c>
      <c r="Q457" s="118"/>
    </row>
    <row r="458" spans="1:17" ht="18.75" customHeight="1" x14ac:dyDescent="0.3">
      <c r="A458" s="104">
        <v>237</v>
      </c>
      <c r="B458" s="105" t="s">
        <v>194</v>
      </c>
      <c r="C458" s="195">
        <v>401</v>
      </c>
      <c r="D458" s="127">
        <v>59</v>
      </c>
      <c r="E458" s="114">
        <v>8413</v>
      </c>
      <c r="F458" s="115">
        <v>21645</v>
      </c>
      <c r="G458" s="116">
        <v>229</v>
      </c>
      <c r="H458" s="1731" t="s">
        <v>41</v>
      </c>
      <c r="I458" s="118"/>
      <c r="J458" s="192"/>
      <c r="K458" s="104" t="s">
        <v>25</v>
      </c>
      <c r="L458" s="192"/>
      <c r="M458" s="192"/>
      <c r="N458" s="192"/>
      <c r="O458" s="2628" t="s">
        <v>6395</v>
      </c>
      <c r="Q458" s="118"/>
    </row>
    <row r="459" spans="1:17" ht="18.75" customHeight="1" x14ac:dyDescent="0.3">
      <c r="A459" s="104">
        <v>238</v>
      </c>
      <c r="B459" s="105" t="s">
        <v>194</v>
      </c>
      <c r="C459" s="195">
        <v>401</v>
      </c>
      <c r="D459" s="128">
        <v>59</v>
      </c>
      <c r="E459" s="114">
        <v>8414</v>
      </c>
      <c r="F459" s="115">
        <v>21645</v>
      </c>
      <c r="G459" s="116">
        <v>229</v>
      </c>
      <c r="H459" s="1731" t="s">
        <v>41</v>
      </c>
      <c r="I459" s="118"/>
      <c r="J459" s="192"/>
      <c r="K459" s="104" t="s">
        <v>25</v>
      </c>
      <c r="L459" s="192"/>
      <c r="M459" s="192"/>
      <c r="N459" s="192"/>
      <c r="O459" s="2628" t="s">
        <v>6395</v>
      </c>
      <c r="Q459" s="118"/>
    </row>
    <row r="460" spans="1:17" ht="18.75" customHeight="1" x14ac:dyDescent="0.3">
      <c r="A460" s="189">
        <v>239</v>
      </c>
      <c r="B460" s="105" t="s">
        <v>194</v>
      </c>
      <c r="C460" s="195">
        <v>401</v>
      </c>
      <c r="D460" s="113">
        <v>59</v>
      </c>
      <c r="E460" s="114">
        <v>8415</v>
      </c>
      <c r="F460" s="115">
        <v>21645</v>
      </c>
      <c r="G460" s="116">
        <v>229</v>
      </c>
      <c r="H460" s="1731" t="s">
        <v>41</v>
      </c>
      <c r="I460" s="118"/>
      <c r="J460" s="192"/>
      <c r="K460" s="104" t="s">
        <v>25</v>
      </c>
      <c r="L460" s="192"/>
      <c r="M460" s="192"/>
      <c r="N460" s="192"/>
      <c r="O460" s="2628" t="s">
        <v>6395</v>
      </c>
      <c r="Q460" s="118"/>
    </row>
    <row r="461" spans="1:17" ht="18.75" customHeight="1" x14ac:dyDescent="0.3">
      <c r="A461" s="104">
        <v>240</v>
      </c>
      <c r="B461" s="105" t="s">
        <v>194</v>
      </c>
      <c r="C461" s="195">
        <v>401</v>
      </c>
      <c r="D461" s="113">
        <v>59</v>
      </c>
      <c r="E461" s="114">
        <v>8416</v>
      </c>
      <c r="F461" s="115">
        <v>21645</v>
      </c>
      <c r="G461" s="116">
        <v>229</v>
      </c>
      <c r="H461" s="1731" t="s">
        <v>41</v>
      </c>
      <c r="I461" s="118"/>
      <c r="J461" s="192"/>
      <c r="K461" s="104" t="s">
        <v>25</v>
      </c>
      <c r="L461" s="192"/>
      <c r="M461" s="192"/>
      <c r="N461" s="192"/>
      <c r="O461" s="2628" t="s">
        <v>6395</v>
      </c>
      <c r="Q461" s="118"/>
    </row>
    <row r="462" spans="1:17" ht="18.75" customHeight="1" x14ac:dyDescent="0.3">
      <c r="A462" s="104">
        <v>241</v>
      </c>
      <c r="B462" s="105" t="s">
        <v>194</v>
      </c>
      <c r="C462" s="195">
        <v>401</v>
      </c>
      <c r="D462" s="113">
        <v>59</v>
      </c>
      <c r="E462" s="114">
        <v>8417</v>
      </c>
      <c r="F462" s="115">
        <v>21645</v>
      </c>
      <c r="G462" s="116">
        <v>229</v>
      </c>
      <c r="H462" s="1731" t="s">
        <v>41</v>
      </c>
      <c r="I462" s="118"/>
      <c r="J462" s="192"/>
      <c r="K462" s="104" t="s">
        <v>25</v>
      </c>
      <c r="L462" s="192"/>
      <c r="M462" s="192"/>
      <c r="N462" s="192"/>
      <c r="O462" s="2628" t="s">
        <v>6395</v>
      </c>
      <c r="Q462" s="118"/>
    </row>
    <row r="463" spans="1:17" ht="18.75" customHeight="1" x14ac:dyDescent="0.3">
      <c r="A463" s="189">
        <v>242</v>
      </c>
      <c r="B463" s="105" t="s">
        <v>194</v>
      </c>
      <c r="C463" s="195">
        <v>401</v>
      </c>
      <c r="D463" s="113">
        <v>59</v>
      </c>
      <c r="E463" s="114">
        <v>8418</v>
      </c>
      <c r="F463" s="115">
        <v>21645</v>
      </c>
      <c r="G463" s="116">
        <v>229</v>
      </c>
      <c r="H463" s="1731" t="s">
        <v>41</v>
      </c>
      <c r="I463" s="118"/>
      <c r="J463" s="192"/>
      <c r="K463" s="104" t="s">
        <v>25</v>
      </c>
      <c r="L463" s="192"/>
      <c r="M463" s="192"/>
      <c r="N463" s="192"/>
      <c r="O463" s="2628" t="s">
        <v>6395</v>
      </c>
      <c r="Q463" s="118"/>
    </row>
    <row r="464" spans="1:17" ht="18.75" customHeight="1" x14ac:dyDescent="0.3">
      <c r="A464" s="104">
        <v>243</v>
      </c>
      <c r="B464" s="105" t="s">
        <v>194</v>
      </c>
      <c r="C464" s="195">
        <v>401</v>
      </c>
      <c r="D464" s="136">
        <v>59</v>
      </c>
      <c r="E464" s="114">
        <v>8419</v>
      </c>
      <c r="F464" s="115">
        <v>21645</v>
      </c>
      <c r="G464" s="116">
        <v>229</v>
      </c>
      <c r="H464" s="1731" t="s">
        <v>41</v>
      </c>
      <c r="I464" s="118"/>
      <c r="J464" s="192"/>
      <c r="K464" s="104" t="s">
        <v>25</v>
      </c>
      <c r="L464" s="192"/>
      <c r="M464" s="192"/>
      <c r="N464" s="192"/>
      <c r="O464" s="2628" t="s">
        <v>6395</v>
      </c>
      <c r="Q464" s="118"/>
    </row>
    <row r="465" spans="1:17" ht="18.75" customHeight="1" x14ac:dyDescent="0.3">
      <c r="A465" s="104">
        <v>244</v>
      </c>
      <c r="B465" s="105" t="s">
        <v>194</v>
      </c>
      <c r="C465" s="195">
        <v>401</v>
      </c>
      <c r="D465" s="128">
        <v>59</v>
      </c>
      <c r="E465" s="114">
        <v>8420</v>
      </c>
      <c r="F465" s="115">
        <v>21645</v>
      </c>
      <c r="G465" s="116">
        <v>229</v>
      </c>
      <c r="H465" s="1731" t="s">
        <v>41</v>
      </c>
      <c r="I465" s="118"/>
      <c r="J465" s="192"/>
      <c r="K465" s="104" t="s">
        <v>25</v>
      </c>
      <c r="L465" s="192"/>
      <c r="M465" s="192"/>
      <c r="N465" s="192"/>
      <c r="O465" s="2628" t="s">
        <v>6395</v>
      </c>
      <c r="Q465" s="118"/>
    </row>
    <row r="466" spans="1:17" ht="18.75" customHeight="1" x14ac:dyDescent="0.3">
      <c r="A466" s="189">
        <v>245</v>
      </c>
      <c r="B466" s="105" t="s">
        <v>194</v>
      </c>
      <c r="C466" s="195">
        <v>401</v>
      </c>
      <c r="D466" s="113">
        <v>59</v>
      </c>
      <c r="E466" s="114">
        <v>8421</v>
      </c>
      <c r="F466" s="115">
        <v>21645</v>
      </c>
      <c r="G466" s="116">
        <v>229</v>
      </c>
      <c r="H466" s="1731" t="s">
        <v>41</v>
      </c>
      <c r="I466" s="118"/>
      <c r="J466" s="192"/>
      <c r="K466" s="104" t="s">
        <v>25</v>
      </c>
      <c r="L466" s="192"/>
      <c r="M466" s="192"/>
      <c r="N466" s="192"/>
      <c r="O466" s="2628" t="s">
        <v>6395</v>
      </c>
      <c r="Q466" s="118"/>
    </row>
    <row r="467" spans="1:17" ht="18.75" customHeight="1" x14ac:dyDescent="0.3">
      <c r="A467" s="104">
        <v>246</v>
      </c>
      <c r="B467" s="105" t="s">
        <v>194</v>
      </c>
      <c r="C467" s="195">
        <v>401</v>
      </c>
      <c r="D467" s="113">
        <v>59</v>
      </c>
      <c r="E467" s="114">
        <v>8422</v>
      </c>
      <c r="F467" s="115">
        <v>21645</v>
      </c>
      <c r="G467" s="116">
        <v>229</v>
      </c>
      <c r="H467" s="1731" t="s">
        <v>41</v>
      </c>
      <c r="I467" s="118"/>
      <c r="J467" s="192"/>
      <c r="K467" s="104" t="s">
        <v>25</v>
      </c>
      <c r="L467" s="192"/>
      <c r="M467" s="192"/>
      <c r="N467" s="192"/>
      <c r="O467" s="2628" t="s">
        <v>6395</v>
      </c>
      <c r="Q467" s="118"/>
    </row>
    <row r="468" spans="1:17" ht="18.75" customHeight="1" x14ac:dyDescent="0.3">
      <c r="A468" s="104">
        <v>247</v>
      </c>
      <c r="B468" s="105" t="s">
        <v>194</v>
      </c>
      <c r="C468" s="195">
        <v>401</v>
      </c>
      <c r="D468" s="113">
        <v>59</v>
      </c>
      <c r="E468" s="114">
        <v>8423</v>
      </c>
      <c r="F468" s="115">
        <v>21645</v>
      </c>
      <c r="G468" s="116">
        <v>229</v>
      </c>
      <c r="H468" s="1731" t="s">
        <v>41</v>
      </c>
      <c r="I468" s="118"/>
      <c r="J468" s="192"/>
      <c r="K468" s="104" t="s">
        <v>25</v>
      </c>
      <c r="L468" s="192"/>
      <c r="M468" s="192"/>
      <c r="N468" s="192"/>
      <c r="O468" s="2628" t="s">
        <v>6395</v>
      </c>
      <c r="Q468" s="118"/>
    </row>
    <row r="469" spans="1:17" ht="18.75" customHeight="1" x14ac:dyDescent="0.3">
      <c r="A469" s="189">
        <v>248</v>
      </c>
      <c r="B469" s="105" t="s">
        <v>194</v>
      </c>
      <c r="C469" s="195">
        <v>401</v>
      </c>
      <c r="D469" s="113">
        <v>59</v>
      </c>
      <c r="E469" s="114">
        <v>8424</v>
      </c>
      <c r="F469" s="115">
        <v>21645</v>
      </c>
      <c r="G469" s="116">
        <v>229</v>
      </c>
      <c r="H469" s="1731" t="s">
        <v>41</v>
      </c>
      <c r="I469" s="118"/>
      <c r="J469" s="192"/>
      <c r="K469" s="104" t="s">
        <v>25</v>
      </c>
      <c r="L469" s="192"/>
      <c r="M469" s="192"/>
      <c r="N469" s="192"/>
      <c r="O469" s="2628" t="s">
        <v>6395</v>
      </c>
      <c r="Q469" s="118"/>
    </row>
    <row r="470" spans="1:17" ht="18.75" customHeight="1" x14ac:dyDescent="0.3">
      <c r="A470" s="104">
        <v>249</v>
      </c>
      <c r="B470" s="105" t="s">
        <v>194</v>
      </c>
      <c r="C470" s="195">
        <v>401</v>
      </c>
      <c r="D470" s="113">
        <v>59</v>
      </c>
      <c r="E470" s="114">
        <v>8425</v>
      </c>
      <c r="F470" s="115">
        <v>21645</v>
      </c>
      <c r="G470" s="116">
        <v>229</v>
      </c>
      <c r="H470" s="1731" t="s">
        <v>41</v>
      </c>
      <c r="I470" s="118"/>
      <c r="J470" s="192"/>
      <c r="K470" s="104" t="s">
        <v>25</v>
      </c>
      <c r="L470" s="192"/>
      <c r="M470" s="192"/>
      <c r="N470" s="192"/>
      <c r="O470" s="2628" t="s">
        <v>6395</v>
      </c>
      <c r="Q470" s="118"/>
    </row>
    <row r="471" spans="1:17" ht="18.75" customHeight="1" x14ac:dyDescent="0.3">
      <c r="A471" s="104">
        <v>250</v>
      </c>
      <c r="B471" s="105" t="s">
        <v>194</v>
      </c>
      <c r="C471" s="195">
        <v>401</v>
      </c>
      <c r="D471" s="113">
        <v>59</v>
      </c>
      <c r="E471" s="114">
        <v>8426</v>
      </c>
      <c r="F471" s="115">
        <v>21645</v>
      </c>
      <c r="G471" s="116">
        <v>229</v>
      </c>
      <c r="H471" s="1731" t="s">
        <v>41</v>
      </c>
      <c r="I471" s="118"/>
      <c r="J471" s="192"/>
      <c r="K471" s="104" t="s">
        <v>25</v>
      </c>
      <c r="L471" s="192"/>
      <c r="M471" s="192"/>
      <c r="N471" s="192"/>
      <c r="O471" s="2628" t="s">
        <v>6395</v>
      </c>
      <c r="Q471" s="118"/>
    </row>
    <row r="472" spans="1:17" ht="18.75" customHeight="1" x14ac:dyDescent="0.3">
      <c r="A472" s="189">
        <v>251</v>
      </c>
      <c r="B472" s="105" t="s">
        <v>194</v>
      </c>
      <c r="C472" s="195">
        <v>401</v>
      </c>
      <c r="D472" s="113">
        <v>59</v>
      </c>
      <c r="E472" s="114">
        <v>8427</v>
      </c>
      <c r="F472" s="115">
        <v>21645</v>
      </c>
      <c r="G472" s="116">
        <v>229</v>
      </c>
      <c r="H472" s="1731" t="s">
        <v>41</v>
      </c>
      <c r="I472" s="118"/>
      <c r="J472" s="192"/>
      <c r="K472" s="104" t="s">
        <v>25</v>
      </c>
      <c r="L472" s="192"/>
      <c r="M472" s="192"/>
      <c r="N472" s="192"/>
      <c r="O472" s="2628" t="s">
        <v>6395</v>
      </c>
      <c r="Q472" s="118"/>
    </row>
    <row r="473" spans="1:17" ht="18.75" customHeight="1" x14ac:dyDescent="0.3">
      <c r="A473" s="104">
        <v>252</v>
      </c>
      <c r="B473" s="105" t="s">
        <v>194</v>
      </c>
      <c r="C473" s="195">
        <v>401</v>
      </c>
      <c r="D473" s="125">
        <v>59</v>
      </c>
      <c r="E473" s="114">
        <v>8428</v>
      </c>
      <c r="F473" s="115">
        <v>21645</v>
      </c>
      <c r="G473" s="116">
        <v>229</v>
      </c>
      <c r="H473" s="1731" t="s">
        <v>41</v>
      </c>
      <c r="I473" s="118"/>
      <c r="J473" s="192"/>
      <c r="K473" s="104" t="s">
        <v>25</v>
      </c>
      <c r="L473" s="192"/>
      <c r="M473" s="192"/>
      <c r="N473" s="192"/>
      <c r="O473" s="2628" t="s">
        <v>6395</v>
      </c>
      <c r="Q473" s="118"/>
    </row>
    <row r="474" spans="1:17" ht="18.75" customHeight="1" x14ac:dyDescent="0.3">
      <c r="A474" s="104">
        <v>253</v>
      </c>
      <c r="B474" s="105" t="s">
        <v>194</v>
      </c>
      <c r="C474" s="195">
        <v>401</v>
      </c>
      <c r="D474" s="128">
        <v>59</v>
      </c>
      <c r="E474" s="114">
        <v>8429</v>
      </c>
      <c r="F474" s="115">
        <v>21645</v>
      </c>
      <c r="G474" s="116">
        <v>229</v>
      </c>
      <c r="H474" s="1731" t="s">
        <v>41</v>
      </c>
      <c r="I474" s="118"/>
      <c r="J474" s="192"/>
      <c r="K474" s="104" t="s">
        <v>25</v>
      </c>
      <c r="L474" s="192"/>
      <c r="M474" s="192"/>
      <c r="N474" s="192"/>
      <c r="O474" s="2628" t="s">
        <v>6395</v>
      </c>
      <c r="Q474" s="118"/>
    </row>
    <row r="475" spans="1:17" ht="18.75" customHeight="1" x14ac:dyDescent="0.3">
      <c r="A475" s="189">
        <v>254</v>
      </c>
      <c r="B475" s="105" t="s">
        <v>194</v>
      </c>
      <c r="C475" s="195">
        <v>401</v>
      </c>
      <c r="D475" s="113">
        <v>59</v>
      </c>
      <c r="E475" s="114">
        <v>8430</v>
      </c>
      <c r="F475" s="115">
        <v>21645</v>
      </c>
      <c r="G475" s="116">
        <v>229</v>
      </c>
      <c r="H475" s="1731" t="s">
        <v>41</v>
      </c>
      <c r="I475" s="118"/>
      <c r="J475" s="192"/>
      <c r="K475" s="104" t="s">
        <v>25</v>
      </c>
      <c r="L475" s="192"/>
      <c r="M475" s="192"/>
      <c r="N475" s="192"/>
      <c r="O475" s="2628" t="s">
        <v>6395</v>
      </c>
      <c r="Q475" s="118"/>
    </row>
    <row r="476" spans="1:17" ht="18.75" customHeight="1" x14ac:dyDescent="0.3">
      <c r="A476" s="104">
        <v>255</v>
      </c>
      <c r="B476" s="105" t="s">
        <v>194</v>
      </c>
      <c r="C476" s="195">
        <v>401</v>
      </c>
      <c r="D476" s="113">
        <v>59</v>
      </c>
      <c r="E476" s="114">
        <v>8431</v>
      </c>
      <c r="F476" s="115">
        <v>21645</v>
      </c>
      <c r="G476" s="116">
        <v>229</v>
      </c>
      <c r="H476" s="1731" t="s">
        <v>41</v>
      </c>
      <c r="I476" s="118"/>
      <c r="J476" s="192"/>
      <c r="K476" s="104" t="s">
        <v>25</v>
      </c>
      <c r="L476" s="192"/>
      <c r="M476" s="192"/>
      <c r="N476" s="192"/>
      <c r="O476" s="2628" t="s">
        <v>6395</v>
      </c>
      <c r="Q476" s="118"/>
    </row>
    <row r="477" spans="1:17" ht="18.75" customHeight="1" x14ac:dyDescent="0.3">
      <c r="A477" s="104">
        <v>256</v>
      </c>
      <c r="B477" s="105" t="s">
        <v>194</v>
      </c>
      <c r="C477" s="195">
        <v>401</v>
      </c>
      <c r="D477" s="113">
        <v>59</v>
      </c>
      <c r="E477" s="114">
        <v>8432</v>
      </c>
      <c r="F477" s="115">
        <v>21645</v>
      </c>
      <c r="G477" s="116">
        <v>229</v>
      </c>
      <c r="H477" s="1731" t="s">
        <v>41</v>
      </c>
      <c r="I477" s="118"/>
      <c r="J477" s="192"/>
      <c r="K477" s="104" t="s">
        <v>25</v>
      </c>
      <c r="L477" s="192"/>
      <c r="M477" s="192"/>
      <c r="N477" s="192"/>
      <c r="O477" s="2628" t="s">
        <v>6395</v>
      </c>
      <c r="Q477" s="118"/>
    </row>
    <row r="478" spans="1:17" ht="18.75" customHeight="1" x14ac:dyDescent="0.3">
      <c r="A478" s="189">
        <v>257</v>
      </c>
      <c r="B478" s="105" t="s">
        <v>194</v>
      </c>
      <c r="C478" s="195">
        <v>401</v>
      </c>
      <c r="D478" s="113">
        <v>59</v>
      </c>
      <c r="E478" s="114">
        <v>8433</v>
      </c>
      <c r="F478" s="115">
        <v>21645</v>
      </c>
      <c r="G478" s="116">
        <v>229</v>
      </c>
      <c r="H478" s="1731" t="s">
        <v>41</v>
      </c>
      <c r="I478" s="118"/>
      <c r="J478" s="192"/>
      <c r="K478" s="104" t="s">
        <v>25</v>
      </c>
      <c r="L478" s="192"/>
      <c r="M478" s="192"/>
      <c r="N478" s="192"/>
      <c r="O478" s="2628" t="s">
        <v>6395</v>
      </c>
      <c r="Q478" s="118"/>
    </row>
    <row r="479" spans="1:17" ht="18.75" customHeight="1" x14ac:dyDescent="0.3">
      <c r="A479" s="104">
        <v>258</v>
      </c>
      <c r="B479" s="105" t="s">
        <v>194</v>
      </c>
      <c r="C479" s="195">
        <v>401</v>
      </c>
      <c r="D479" s="113">
        <v>59</v>
      </c>
      <c r="E479" s="114">
        <v>8434</v>
      </c>
      <c r="F479" s="115">
        <v>21645</v>
      </c>
      <c r="G479" s="116">
        <v>229</v>
      </c>
      <c r="H479" s="1731" t="s">
        <v>41</v>
      </c>
      <c r="I479" s="118"/>
      <c r="J479" s="192"/>
      <c r="K479" s="104" t="s">
        <v>25</v>
      </c>
      <c r="L479" s="192"/>
      <c r="M479" s="192"/>
      <c r="N479" s="192"/>
      <c r="O479" s="2628" t="s">
        <v>6395</v>
      </c>
      <c r="Q479" s="118"/>
    </row>
    <row r="480" spans="1:17" ht="18.75" customHeight="1" x14ac:dyDescent="0.3">
      <c r="A480" s="104">
        <v>259</v>
      </c>
      <c r="B480" s="105" t="s">
        <v>194</v>
      </c>
      <c r="C480" s="195">
        <v>401</v>
      </c>
      <c r="D480" s="113">
        <v>59</v>
      </c>
      <c r="E480" s="114">
        <v>8435</v>
      </c>
      <c r="F480" s="115">
        <v>21645</v>
      </c>
      <c r="G480" s="116">
        <v>229</v>
      </c>
      <c r="H480" s="1731" t="s">
        <v>41</v>
      </c>
      <c r="I480" s="118"/>
      <c r="J480" s="192"/>
      <c r="K480" s="104" t="s">
        <v>25</v>
      </c>
      <c r="L480" s="192"/>
      <c r="M480" s="192"/>
      <c r="N480" s="192"/>
      <c r="O480" s="2628" t="s">
        <v>6395</v>
      </c>
      <c r="Q480" s="118"/>
    </row>
    <row r="481" spans="1:17" ht="18.75" customHeight="1" x14ac:dyDescent="0.3">
      <c r="A481" s="189">
        <v>260</v>
      </c>
      <c r="B481" s="105" t="s">
        <v>194</v>
      </c>
      <c r="C481" s="195">
        <v>401</v>
      </c>
      <c r="D481" s="113">
        <v>59</v>
      </c>
      <c r="E481" s="114">
        <v>8436</v>
      </c>
      <c r="F481" s="115">
        <v>21645</v>
      </c>
      <c r="G481" s="116">
        <v>229</v>
      </c>
      <c r="H481" s="1731" t="s">
        <v>41</v>
      </c>
      <c r="I481" s="118"/>
      <c r="J481" s="192"/>
      <c r="K481" s="104" t="s">
        <v>25</v>
      </c>
      <c r="L481" s="192"/>
      <c r="M481" s="192"/>
      <c r="N481" s="192"/>
      <c r="O481" s="2628" t="s">
        <v>6395</v>
      </c>
      <c r="Q481" s="118"/>
    </row>
    <row r="482" spans="1:17" ht="18.75" customHeight="1" x14ac:dyDescent="0.3">
      <c r="A482" s="104">
        <v>261</v>
      </c>
      <c r="B482" s="105" t="s">
        <v>194</v>
      </c>
      <c r="C482" s="195">
        <v>401</v>
      </c>
      <c r="D482" s="113">
        <v>59</v>
      </c>
      <c r="E482" s="114">
        <v>8437</v>
      </c>
      <c r="F482" s="115">
        <v>21645</v>
      </c>
      <c r="G482" s="116">
        <v>229</v>
      </c>
      <c r="H482" s="1731" t="s">
        <v>41</v>
      </c>
      <c r="I482" s="118"/>
      <c r="J482" s="192"/>
      <c r="K482" s="104" t="s">
        <v>25</v>
      </c>
      <c r="L482" s="192"/>
      <c r="M482" s="192"/>
      <c r="N482" s="192"/>
      <c r="O482" s="2628" t="s">
        <v>6395</v>
      </c>
      <c r="Q482" s="118"/>
    </row>
    <row r="483" spans="1:17" ht="18.75" customHeight="1" x14ac:dyDescent="0.3">
      <c r="A483" s="104">
        <v>262</v>
      </c>
      <c r="B483" s="105" t="s">
        <v>194</v>
      </c>
      <c r="C483" s="195">
        <v>401</v>
      </c>
      <c r="D483" s="113">
        <v>59</v>
      </c>
      <c r="E483" s="114">
        <v>8438</v>
      </c>
      <c r="F483" s="115">
        <v>21645</v>
      </c>
      <c r="G483" s="116">
        <v>229</v>
      </c>
      <c r="H483" s="1731" t="s">
        <v>41</v>
      </c>
      <c r="I483" s="118"/>
      <c r="J483" s="192"/>
      <c r="K483" s="104" t="s">
        <v>25</v>
      </c>
      <c r="L483" s="192"/>
      <c r="M483" s="192"/>
      <c r="N483" s="192"/>
      <c r="O483" s="2628" t="s">
        <v>6395</v>
      </c>
      <c r="Q483" s="118"/>
    </row>
    <row r="484" spans="1:17" ht="18.75" customHeight="1" x14ac:dyDescent="0.3">
      <c r="A484" s="189">
        <v>263</v>
      </c>
      <c r="B484" s="105" t="s">
        <v>194</v>
      </c>
      <c r="C484" s="195">
        <v>401</v>
      </c>
      <c r="D484" s="113">
        <v>59</v>
      </c>
      <c r="E484" s="114">
        <v>8439</v>
      </c>
      <c r="F484" s="115">
        <v>21645</v>
      </c>
      <c r="G484" s="116">
        <v>229</v>
      </c>
      <c r="H484" s="1731" t="s">
        <v>41</v>
      </c>
      <c r="I484" s="118"/>
      <c r="J484" s="192"/>
      <c r="K484" s="104" t="s">
        <v>25</v>
      </c>
      <c r="L484" s="192"/>
      <c r="M484" s="192"/>
      <c r="N484" s="192"/>
      <c r="O484" s="2628" t="s">
        <v>6395</v>
      </c>
      <c r="Q484" s="118"/>
    </row>
    <row r="485" spans="1:17" ht="18.75" customHeight="1" x14ac:dyDescent="0.3">
      <c r="A485" s="104">
        <v>264</v>
      </c>
      <c r="B485" s="105" t="s">
        <v>194</v>
      </c>
      <c r="C485" s="195">
        <v>401</v>
      </c>
      <c r="D485" s="113">
        <v>59</v>
      </c>
      <c r="E485" s="114">
        <v>8440</v>
      </c>
      <c r="F485" s="115">
        <v>21645</v>
      </c>
      <c r="G485" s="116">
        <v>229</v>
      </c>
      <c r="H485" s="1731" t="s">
        <v>41</v>
      </c>
      <c r="I485" s="118"/>
      <c r="J485" s="192"/>
      <c r="K485" s="104" t="s">
        <v>25</v>
      </c>
      <c r="L485" s="192"/>
      <c r="M485" s="192"/>
      <c r="N485" s="192"/>
      <c r="O485" s="2628" t="s">
        <v>6395</v>
      </c>
      <c r="Q485" s="118"/>
    </row>
    <row r="486" spans="1:17" ht="18.75" customHeight="1" x14ac:dyDescent="0.3">
      <c r="A486" s="104">
        <v>265</v>
      </c>
      <c r="B486" s="105" t="s">
        <v>194</v>
      </c>
      <c r="C486" s="195">
        <v>401</v>
      </c>
      <c r="D486" s="113">
        <v>59</v>
      </c>
      <c r="E486" s="114">
        <v>8441</v>
      </c>
      <c r="F486" s="115">
        <v>21645</v>
      </c>
      <c r="G486" s="116">
        <v>229</v>
      </c>
      <c r="H486" s="1731" t="s">
        <v>41</v>
      </c>
      <c r="I486" s="118"/>
      <c r="J486" s="192"/>
      <c r="K486" s="104" t="s">
        <v>25</v>
      </c>
      <c r="L486" s="192"/>
      <c r="M486" s="192"/>
      <c r="N486" s="192"/>
      <c r="O486" s="2628" t="s">
        <v>6395</v>
      </c>
      <c r="Q486" s="118"/>
    </row>
    <row r="487" spans="1:17" ht="18.75" customHeight="1" x14ac:dyDescent="0.3">
      <c r="A487" s="189">
        <v>266</v>
      </c>
      <c r="B487" s="105" t="s">
        <v>194</v>
      </c>
      <c r="C487" s="195">
        <v>401</v>
      </c>
      <c r="D487" s="113">
        <v>59</v>
      </c>
      <c r="E487" s="114">
        <v>8442</v>
      </c>
      <c r="F487" s="115">
        <v>21645</v>
      </c>
      <c r="G487" s="116">
        <v>229</v>
      </c>
      <c r="H487" s="1731" t="s">
        <v>41</v>
      </c>
      <c r="I487" s="118"/>
      <c r="J487" s="192"/>
      <c r="K487" s="104" t="s">
        <v>25</v>
      </c>
      <c r="L487" s="192"/>
      <c r="M487" s="192"/>
      <c r="N487" s="192"/>
      <c r="O487" s="2628" t="s">
        <v>6395</v>
      </c>
      <c r="Q487" s="118"/>
    </row>
    <row r="488" spans="1:17" ht="18.75" customHeight="1" x14ac:dyDescent="0.3">
      <c r="A488" s="104">
        <v>267</v>
      </c>
      <c r="B488" s="105" t="s">
        <v>194</v>
      </c>
      <c r="C488" s="195">
        <v>401</v>
      </c>
      <c r="D488" s="113">
        <v>59</v>
      </c>
      <c r="E488" s="114">
        <v>8443</v>
      </c>
      <c r="F488" s="115">
        <v>21645</v>
      </c>
      <c r="G488" s="116">
        <v>229</v>
      </c>
      <c r="H488" s="1731" t="s">
        <v>41</v>
      </c>
      <c r="I488" s="118"/>
      <c r="J488" s="192"/>
      <c r="K488" s="104" t="s">
        <v>25</v>
      </c>
      <c r="L488" s="192"/>
      <c r="M488" s="192"/>
      <c r="N488" s="192"/>
      <c r="O488" s="2628" t="s">
        <v>6395</v>
      </c>
      <c r="Q488" s="118"/>
    </row>
    <row r="489" spans="1:17" ht="18.75" customHeight="1" x14ac:dyDescent="0.3">
      <c r="A489" s="104">
        <v>268</v>
      </c>
      <c r="B489" s="105" t="s">
        <v>194</v>
      </c>
      <c r="C489" s="195">
        <v>401</v>
      </c>
      <c r="D489" s="113">
        <v>59</v>
      </c>
      <c r="E489" s="114">
        <v>8444</v>
      </c>
      <c r="F489" s="115">
        <v>21645</v>
      </c>
      <c r="G489" s="116">
        <v>229</v>
      </c>
      <c r="H489" s="1731" t="s">
        <v>41</v>
      </c>
      <c r="I489" s="118"/>
      <c r="J489" s="192"/>
      <c r="K489" s="104" t="s">
        <v>25</v>
      </c>
      <c r="L489" s="192"/>
      <c r="M489" s="192"/>
      <c r="N489" s="192"/>
      <c r="O489" s="2628" t="s">
        <v>6395</v>
      </c>
      <c r="Q489" s="118"/>
    </row>
    <row r="490" spans="1:17" ht="18.75" customHeight="1" x14ac:dyDescent="0.3">
      <c r="A490" s="189">
        <v>269</v>
      </c>
      <c r="B490" s="105" t="s">
        <v>194</v>
      </c>
      <c r="C490" s="195">
        <v>401</v>
      </c>
      <c r="D490" s="113">
        <v>59</v>
      </c>
      <c r="E490" s="114">
        <v>8445</v>
      </c>
      <c r="F490" s="115">
        <v>21645</v>
      </c>
      <c r="G490" s="116">
        <v>229</v>
      </c>
      <c r="H490" s="1731" t="s">
        <v>41</v>
      </c>
      <c r="I490" s="118"/>
      <c r="J490" s="192"/>
      <c r="K490" s="104" t="s">
        <v>25</v>
      </c>
      <c r="L490" s="192"/>
      <c r="M490" s="192"/>
      <c r="N490" s="192"/>
      <c r="O490" s="2628" t="s">
        <v>6395</v>
      </c>
      <c r="Q490" s="118"/>
    </row>
    <row r="491" spans="1:17" ht="18.75" customHeight="1" x14ac:dyDescent="0.3">
      <c r="A491" s="104">
        <v>270</v>
      </c>
      <c r="B491" s="105" t="s">
        <v>194</v>
      </c>
      <c r="C491" s="195">
        <v>401</v>
      </c>
      <c r="D491" s="113">
        <v>59</v>
      </c>
      <c r="E491" s="114">
        <v>8446</v>
      </c>
      <c r="F491" s="115">
        <v>21645</v>
      </c>
      <c r="G491" s="116">
        <v>229</v>
      </c>
      <c r="H491" s="1731" t="s">
        <v>41</v>
      </c>
      <c r="I491" s="118"/>
      <c r="J491" s="192"/>
      <c r="K491" s="104" t="s">
        <v>25</v>
      </c>
      <c r="L491" s="192"/>
      <c r="M491" s="192"/>
      <c r="N491" s="192"/>
      <c r="O491" s="2628" t="s">
        <v>6395</v>
      </c>
      <c r="Q491" s="118"/>
    </row>
    <row r="492" spans="1:17" ht="18.75" customHeight="1" x14ac:dyDescent="0.3">
      <c r="A492" s="104">
        <v>271</v>
      </c>
      <c r="B492" s="105" t="s">
        <v>194</v>
      </c>
      <c r="C492" s="195">
        <v>401</v>
      </c>
      <c r="D492" s="113">
        <v>59</v>
      </c>
      <c r="E492" s="114">
        <v>8447</v>
      </c>
      <c r="F492" s="115">
        <v>21645</v>
      </c>
      <c r="G492" s="116">
        <v>229</v>
      </c>
      <c r="H492" s="1731" t="s">
        <v>41</v>
      </c>
      <c r="I492" s="118"/>
      <c r="J492" s="192"/>
      <c r="K492" s="104" t="s">
        <v>25</v>
      </c>
      <c r="L492" s="192"/>
      <c r="M492" s="192"/>
      <c r="N492" s="192"/>
      <c r="O492" s="2628" t="s">
        <v>6395</v>
      </c>
      <c r="Q492" s="118"/>
    </row>
    <row r="493" spans="1:17" ht="18.75" customHeight="1" x14ac:dyDescent="0.3">
      <c r="A493" s="189">
        <v>272</v>
      </c>
      <c r="B493" s="105" t="s">
        <v>194</v>
      </c>
      <c r="C493" s="195">
        <v>401</v>
      </c>
      <c r="D493" s="113">
        <v>59</v>
      </c>
      <c r="E493" s="114">
        <v>8448</v>
      </c>
      <c r="F493" s="115">
        <v>21645</v>
      </c>
      <c r="G493" s="116">
        <v>229</v>
      </c>
      <c r="H493" s="1731" t="s">
        <v>41</v>
      </c>
      <c r="I493" s="118"/>
      <c r="J493" s="192"/>
      <c r="K493" s="104" t="s">
        <v>25</v>
      </c>
      <c r="L493" s="192"/>
      <c r="M493" s="192"/>
      <c r="N493" s="192"/>
      <c r="O493" s="2628" t="s">
        <v>6395</v>
      </c>
      <c r="Q493" s="118"/>
    </row>
    <row r="494" spans="1:17" ht="18.75" customHeight="1" x14ac:dyDescent="0.3">
      <c r="A494" s="104">
        <v>273</v>
      </c>
      <c r="B494" s="105" t="s">
        <v>194</v>
      </c>
      <c r="C494" s="195">
        <v>401</v>
      </c>
      <c r="D494" s="113">
        <v>59</v>
      </c>
      <c r="E494" s="114">
        <v>8449</v>
      </c>
      <c r="F494" s="115">
        <v>21645</v>
      </c>
      <c r="G494" s="116">
        <v>229</v>
      </c>
      <c r="H494" s="1731" t="s">
        <v>41</v>
      </c>
      <c r="I494" s="118"/>
      <c r="J494" s="192"/>
      <c r="K494" s="104" t="s">
        <v>25</v>
      </c>
      <c r="L494" s="192"/>
      <c r="M494" s="192"/>
      <c r="N494" s="192"/>
      <c r="O494" s="2628" t="s">
        <v>6395</v>
      </c>
      <c r="Q494" s="118"/>
    </row>
    <row r="495" spans="1:17" ht="18.75" customHeight="1" x14ac:dyDescent="0.3">
      <c r="A495" s="104">
        <v>274</v>
      </c>
      <c r="B495" s="105" t="s">
        <v>194</v>
      </c>
      <c r="C495" s="195">
        <v>401</v>
      </c>
      <c r="D495" s="125">
        <v>59</v>
      </c>
      <c r="E495" s="114">
        <v>8450</v>
      </c>
      <c r="F495" s="115">
        <v>21645</v>
      </c>
      <c r="G495" s="116">
        <v>229</v>
      </c>
      <c r="H495" s="1731" t="s">
        <v>41</v>
      </c>
      <c r="I495" s="118"/>
      <c r="J495" s="192"/>
      <c r="K495" s="104" t="s">
        <v>25</v>
      </c>
      <c r="L495" s="192"/>
      <c r="M495" s="192"/>
      <c r="N495" s="192"/>
      <c r="O495" s="2628" t="s">
        <v>6395</v>
      </c>
      <c r="Q495" s="118"/>
    </row>
    <row r="496" spans="1:17" ht="18.75" customHeight="1" x14ac:dyDescent="0.3">
      <c r="A496" s="189">
        <v>275</v>
      </c>
      <c r="B496" s="105" t="s">
        <v>194</v>
      </c>
      <c r="C496" s="195">
        <v>401</v>
      </c>
      <c r="D496" s="128">
        <v>59</v>
      </c>
      <c r="E496" s="114">
        <v>8451</v>
      </c>
      <c r="F496" s="115">
        <v>21645</v>
      </c>
      <c r="G496" s="116">
        <v>229</v>
      </c>
      <c r="H496" s="1731" t="s">
        <v>41</v>
      </c>
      <c r="I496" s="118"/>
      <c r="J496" s="192"/>
      <c r="K496" s="104" t="s">
        <v>25</v>
      </c>
      <c r="L496" s="192"/>
      <c r="M496" s="192"/>
      <c r="N496" s="192"/>
      <c r="O496" s="2628" t="s">
        <v>6395</v>
      </c>
      <c r="Q496" s="118"/>
    </row>
    <row r="497" spans="1:17" ht="18.75" customHeight="1" x14ac:dyDescent="0.3">
      <c r="A497" s="104">
        <v>276</v>
      </c>
      <c r="B497" s="105" t="s">
        <v>194</v>
      </c>
      <c r="C497" s="195">
        <v>401</v>
      </c>
      <c r="D497" s="113">
        <v>59</v>
      </c>
      <c r="E497" s="114">
        <v>8452</v>
      </c>
      <c r="F497" s="115">
        <v>21645</v>
      </c>
      <c r="G497" s="116">
        <v>229</v>
      </c>
      <c r="H497" s="1731" t="s">
        <v>41</v>
      </c>
      <c r="I497" s="118"/>
      <c r="J497" s="192"/>
      <c r="K497" s="104" t="s">
        <v>25</v>
      </c>
      <c r="L497" s="192"/>
      <c r="M497" s="192"/>
      <c r="N497" s="192"/>
      <c r="O497" s="2628" t="s">
        <v>6395</v>
      </c>
      <c r="Q497" s="118"/>
    </row>
    <row r="498" spans="1:17" ht="18.75" customHeight="1" x14ac:dyDescent="0.3">
      <c r="A498" s="104">
        <v>277</v>
      </c>
      <c r="B498" s="105" t="s">
        <v>194</v>
      </c>
      <c r="C498" s="195">
        <v>401</v>
      </c>
      <c r="D498" s="113">
        <v>59</v>
      </c>
      <c r="E498" s="114">
        <v>8453</v>
      </c>
      <c r="F498" s="115">
        <v>21645</v>
      </c>
      <c r="G498" s="116">
        <v>229</v>
      </c>
      <c r="H498" s="1731" t="s">
        <v>41</v>
      </c>
      <c r="I498" s="118"/>
      <c r="J498" s="192"/>
      <c r="K498" s="104" t="s">
        <v>25</v>
      </c>
      <c r="L498" s="192"/>
      <c r="M498" s="192"/>
      <c r="N498" s="192"/>
      <c r="O498" s="2628" t="s">
        <v>6395</v>
      </c>
      <c r="Q498" s="118"/>
    </row>
    <row r="499" spans="1:17" ht="18.75" customHeight="1" x14ac:dyDescent="0.3">
      <c r="A499" s="189">
        <v>278</v>
      </c>
      <c r="B499" s="105" t="s">
        <v>194</v>
      </c>
      <c r="C499" s="195">
        <v>401</v>
      </c>
      <c r="D499" s="113">
        <v>59</v>
      </c>
      <c r="E499" s="114">
        <v>8454</v>
      </c>
      <c r="F499" s="115">
        <v>21645</v>
      </c>
      <c r="G499" s="116">
        <v>229</v>
      </c>
      <c r="H499" s="1731" t="s">
        <v>41</v>
      </c>
      <c r="I499" s="118"/>
      <c r="J499" s="192"/>
      <c r="K499" s="104" t="s">
        <v>25</v>
      </c>
      <c r="L499" s="192"/>
      <c r="M499" s="192"/>
      <c r="N499" s="192"/>
      <c r="O499" s="2628" t="s">
        <v>6395</v>
      </c>
      <c r="Q499" s="118"/>
    </row>
    <row r="500" spans="1:17" ht="18.75" customHeight="1" x14ac:dyDescent="0.3">
      <c r="A500" s="104">
        <v>279</v>
      </c>
      <c r="B500" s="105" t="s">
        <v>194</v>
      </c>
      <c r="C500" s="195">
        <v>401</v>
      </c>
      <c r="D500" s="113">
        <v>59</v>
      </c>
      <c r="E500" s="114">
        <v>8455</v>
      </c>
      <c r="F500" s="115">
        <v>21645</v>
      </c>
      <c r="G500" s="116">
        <v>229</v>
      </c>
      <c r="H500" s="1731" t="s">
        <v>41</v>
      </c>
      <c r="I500" s="118"/>
      <c r="J500" s="192"/>
      <c r="K500" s="104" t="s">
        <v>25</v>
      </c>
      <c r="L500" s="192"/>
      <c r="M500" s="192"/>
      <c r="N500" s="192"/>
      <c r="O500" s="2628" t="s">
        <v>6395</v>
      </c>
      <c r="Q500" s="118"/>
    </row>
    <row r="501" spans="1:17" ht="18.75" customHeight="1" x14ac:dyDescent="0.3">
      <c r="A501" s="104">
        <v>280</v>
      </c>
      <c r="B501" s="105" t="s">
        <v>194</v>
      </c>
      <c r="C501" s="195">
        <v>401</v>
      </c>
      <c r="D501" s="113">
        <v>59</v>
      </c>
      <c r="E501" s="114">
        <v>8456</v>
      </c>
      <c r="F501" s="115">
        <v>21645</v>
      </c>
      <c r="G501" s="116">
        <v>229</v>
      </c>
      <c r="H501" s="1731" t="s">
        <v>41</v>
      </c>
      <c r="I501" s="118"/>
      <c r="J501" s="192"/>
      <c r="K501" s="104" t="s">
        <v>25</v>
      </c>
      <c r="L501" s="192"/>
      <c r="M501" s="192"/>
      <c r="N501" s="192"/>
      <c r="O501" s="2628" t="s">
        <v>6395</v>
      </c>
      <c r="Q501" s="118"/>
    </row>
    <row r="502" spans="1:17" ht="18.75" customHeight="1" x14ac:dyDescent="0.3">
      <c r="A502" s="189">
        <v>281</v>
      </c>
      <c r="B502" s="105" t="s">
        <v>194</v>
      </c>
      <c r="C502" s="195">
        <v>401</v>
      </c>
      <c r="D502" s="113">
        <v>59</v>
      </c>
      <c r="E502" s="114">
        <v>8457</v>
      </c>
      <c r="F502" s="115">
        <v>21645</v>
      </c>
      <c r="G502" s="116">
        <v>229</v>
      </c>
      <c r="H502" s="1731" t="s">
        <v>41</v>
      </c>
      <c r="I502" s="118"/>
      <c r="J502" s="192"/>
      <c r="K502" s="104" t="s">
        <v>25</v>
      </c>
      <c r="L502" s="192"/>
      <c r="M502" s="192"/>
      <c r="N502" s="192"/>
      <c r="O502" s="2628" t="s">
        <v>6395</v>
      </c>
      <c r="Q502" s="118"/>
    </row>
    <row r="503" spans="1:17" ht="18.75" customHeight="1" x14ac:dyDescent="0.3">
      <c r="A503" s="104">
        <v>282</v>
      </c>
      <c r="B503" s="105" t="s">
        <v>194</v>
      </c>
      <c r="C503" s="195">
        <v>401</v>
      </c>
      <c r="D503" s="113">
        <v>59</v>
      </c>
      <c r="E503" s="114">
        <v>8458</v>
      </c>
      <c r="F503" s="115">
        <v>21645</v>
      </c>
      <c r="G503" s="116">
        <v>229</v>
      </c>
      <c r="H503" s="1731" t="s">
        <v>41</v>
      </c>
      <c r="I503" s="118"/>
      <c r="J503" s="192"/>
      <c r="K503" s="104" t="s">
        <v>25</v>
      </c>
      <c r="L503" s="192"/>
      <c r="M503" s="192"/>
      <c r="N503" s="192"/>
      <c r="O503" s="2628" t="s">
        <v>6395</v>
      </c>
      <c r="Q503" s="118"/>
    </row>
    <row r="504" spans="1:17" ht="18.75" customHeight="1" x14ac:dyDescent="0.3">
      <c r="A504" s="104">
        <v>283</v>
      </c>
      <c r="B504" s="105" t="s">
        <v>194</v>
      </c>
      <c r="C504" s="195">
        <v>401</v>
      </c>
      <c r="D504" s="113">
        <v>59</v>
      </c>
      <c r="E504" s="114">
        <v>8459</v>
      </c>
      <c r="F504" s="115">
        <v>21645</v>
      </c>
      <c r="G504" s="116">
        <v>229</v>
      </c>
      <c r="H504" s="1731" t="s">
        <v>41</v>
      </c>
      <c r="I504" s="118"/>
      <c r="J504" s="192"/>
      <c r="K504" s="104" t="s">
        <v>25</v>
      </c>
      <c r="L504" s="192"/>
      <c r="M504" s="192"/>
      <c r="N504" s="192"/>
      <c r="O504" s="2628" t="s">
        <v>6395</v>
      </c>
      <c r="Q504" s="118"/>
    </row>
    <row r="505" spans="1:17" ht="18.75" customHeight="1" x14ac:dyDescent="0.3">
      <c r="A505" s="189">
        <v>284</v>
      </c>
      <c r="B505" s="105" t="s">
        <v>194</v>
      </c>
      <c r="C505" s="195">
        <v>401</v>
      </c>
      <c r="D505" s="113">
        <v>59</v>
      </c>
      <c r="E505" s="114">
        <v>8460</v>
      </c>
      <c r="F505" s="115">
        <v>21645</v>
      </c>
      <c r="G505" s="116">
        <v>229</v>
      </c>
      <c r="H505" s="1731" t="s">
        <v>41</v>
      </c>
      <c r="I505" s="118"/>
      <c r="J505" s="192"/>
      <c r="K505" s="104" t="s">
        <v>25</v>
      </c>
      <c r="L505" s="192"/>
      <c r="M505" s="192"/>
      <c r="N505" s="192"/>
      <c r="O505" s="2628" t="s">
        <v>6395</v>
      </c>
      <c r="Q505" s="118"/>
    </row>
    <row r="506" spans="1:17" ht="18.75" customHeight="1" x14ac:dyDescent="0.3">
      <c r="A506" s="104">
        <v>285</v>
      </c>
      <c r="B506" s="105" t="s">
        <v>194</v>
      </c>
      <c r="C506" s="195">
        <v>401</v>
      </c>
      <c r="D506" s="113">
        <v>59</v>
      </c>
      <c r="E506" s="114">
        <v>8461</v>
      </c>
      <c r="F506" s="115">
        <v>21645</v>
      </c>
      <c r="G506" s="116">
        <v>229</v>
      </c>
      <c r="H506" s="1731" t="s">
        <v>41</v>
      </c>
      <c r="I506" s="118"/>
      <c r="J506" s="192"/>
      <c r="K506" s="104" t="s">
        <v>25</v>
      </c>
      <c r="L506" s="192"/>
      <c r="M506" s="192"/>
      <c r="N506" s="192"/>
      <c r="O506" s="2628" t="s">
        <v>6395</v>
      </c>
      <c r="Q506" s="118"/>
    </row>
    <row r="507" spans="1:17" ht="18.75" customHeight="1" x14ac:dyDescent="0.3">
      <c r="A507" s="104">
        <v>286</v>
      </c>
      <c r="B507" s="105" t="s">
        <v>194</v>
      </c>
      <c r="C507" s="195">
        <v>401</v>
      </c>
      <c r="D507" s="113">
        <v>59</v>
      </c>
      <c r="E507" s="114">
        <v>8462</v>
      </c>
      <c r="F507" s="115">
        <v>21645</v>
      </c>
      <c r="G507" s="116">
        <v>229</v>
      </c>
      <c r="H507" s="1731" t="s">
        <v>41</v>
      </c>
      <c r="I507" s="118"/>
      <c r="J507" s="192"/>
      <c r="K507" s="104" t="s">
        <v>25</v>
      </c>
      <c r="L507" s="192"/>
      <c r="M507" s="192"/>
      <c r="N507" s="192"/>
      <c r="O507" s="2628" t="s">
        <v>6395</v>
      </c>
      <c r="Q507" s="118"/>
    </row>
    <row r="508" spans="1:17" ht="18.75" customHeight="1" x14ac:dyDescent="0.3">
      <c r="A508" s="189">
        <v>287</v>
      </c>
      <c r="B508" s="105" t="s">
        <v>194</v>
      </c>
      <c r="C508" s="195">
        <v>401</v>
      </c>
      <c r="D508" s="125">
        <v>59</v>
      </c>
      <c r="E508" s="114">
        <v>8463</v>
      </c>
      <c r="F508" s="115">
        <v>21645</v>
      </c>
      <c r="G508" s="116">
        <v>229</v>
      </c>
      <c r="H508" s="1731" t="s">
        <v>41</v>
      </c>
      <c r="I508" s="118"/>
      <c r="J508" s="192"/>
      <c r="K508" s="104" t="s">
        <v>25</v>
      </c>
      <c r="L508" s="192"/>
      <c r="M508" s="192"/>
      <c r="N508" s="192"/>
      <c r="O508" s="2628" t="s">
        <v>6395</v>
      </c>
      <c r="Q508" s="118"/>
    </row>
    <row r="509" spans="1:17" ht="18.75" customHeight="1" x14ac:dyDescent="0.3">
      <c r="A509" s="104">
        <v>288</v>
      </c>
      <c r="B509" s="105" t="s">
        <v>194</v>
      </c>
      <c r="C509" s="195">
        <v>401</v>
      </c>
      <c r="D509" s="128">
        <v>59</v>
      </c>
      <c r="E509" s="114">
        <v>8464</v>
      </c>
      <c r="F509" s="115">
        <v>21645</v>
      </c>
      <c r="G509" s="116">
        <v>229</v>
      </c>
      <c r="H509" s="1731" t="s">
        <v>41</v>
      </c>
      <c r="I509" s="118"/>
      <c r="J509" s="192"/>
      <c r="K509" s="104" t="s">
        <v>25</v>
      </c>
      <c r="L509" s="192"/>
      <c r="M509" s="192"/>
      <c r="N509" s="192"/>
      <c r="O509" s="2628" t="s">
        <v>6395</v>
      </c>
      <c r="Q509" s="118"/>
    </row>
    <row r="510" spans="1:17" ht="18.75" customHeight="1" x14ac:dyDescent="0.3">
      <c r="A510" s="104">
        <v>289</v>
      </c>
      <c r="B510" s="105" t="s">
        <v>194</v>
      </c>
      <c r="C510" s="195">
        <v>401</v>
      </c>
      <c r="D510" s="113">
        <v>59</v>
      </c>
      <c r="E510" s="114">
        <v>8465</v>
      </c>
      <c r="F510" s="115">
        <v>21645</v>
      </c>
      <c r="G510" s="116">
        <v>229</v>
      </c>
      <c r="H510" s="1731" t="s">
        <v>41</v>
      </c>
      <c r="I510" s="118"/>
      <c r="J510" s="192"/>
      <c r="K510" s="104" t="s">
        <v>25</v>
      </c>
      <c r="L510" s="192"/>
      <c r="M510" s="192"/>
      <c r="N510" s="192"/>
      <c r="O510" s="2628" t="s">
        <v>6395</v>
      </c>
      <c r="Q510" s="118"/>
    </row>
    <row r="511" spans="1:17" ht="18.75" customHeight="1" x14ac:dyDescent="0.3">
      <c r="A511" s="189">
        <v>290</v>
      </c>
      <c r="B511" s="105" t="s">
        <v>194</v>
      </c>
      <c r="C511" s="195">
        <v>401</v>
      </c>
      <c r="D511" s="113">
        <v>59</v>
      </c>
      <c r="E511" s="114">
        <v>8466</v>
      </c>
      <c r="F511" s="115">
        <v>21645</v>
      </c>
      <c r="G511" s="116">
        <v>229</v>
      </c>
      <c r="H511" s="1731" t="s">
        <v>41</v>
      </c>
      <c r="I511" s="118"/>
      <c r="J511" s="192"/>
      <c r="K511" s="104" t="s">
        <v>25</v>
      </c>
      <c r="L511" s="192"/>
      <c r="M511" s="192"/>
      <c r="N511" s="192"/>
      <c r="O511" s="2628" t="s">
        <v>6395</v>
      </c>
      <c r="Q511" s="118"/>
    </row>
    <row r="512" spans="1:17" ht="18.75" customHeight="1" x14ac:dyDescent="0.3">
      <c r="A512" s="104">
        <v>291</v>
      </c>
      <c r="B512" s="105" t="s">
        <v>194</v>
      </c>
      <c r="C512" s="195">
        <v>401</v>
      </c>
      <c r="D512" s="113">
        <v>59</v>
      </c>
      <c r="E512" s="114">
        <v>8467</v>
      </c>
      <c r="F512" s="115">
        <v>21645</v>
      </c>
      <c r="G512" s="116">
        <v>229</v>
      </c>
      <c r="H512" s="1731" t="s">
        <v>41</v>
      </c>
      <c r="I512" s="118"/>
      <c r="J512" s="192"/>
      <c r="K512" s="104" t="s">
        <v>25</v>
      </c>
      <c r="L512" s="192"/>
      <c r="M512" s="192"/>
      <c r="N512" s="192"/>
      <c r="O512" s="2628" t="s">
        <v>6395</v>
      </c>
      <c r="Q512" s="118"/>
    </row>
    <row r="513" spans="1:17" ht="18.75" customHeight="1" x14ac:dyDescent="0.3">
      <c r="A513" s="104">
        <v>292</v>
      </c>
      <c r="B513" s="105" t="s">
        <v>194</v>
      </c>
      <c r="C513" s="195">
        <v>401</v>
      </c>
      <c r="D513" s="113">
        <v>59</v>
      </c>
      <c r="E513" s="114">
        <v>8468</v>
      </c>
      <c r="F513" s="115">
        <v>21645</v>
      </c>
      <c r="G513" s="116">
        <v>229</v>
      </c>
      <c r="H513" s="1731" t="s">
        <v>41</v>
      </c>
      <c r="I513" s="118"/>
      <c r="J513" s="192"/>
      <c r="K513" s="104" t="s">
        <v>25</v>
      </c>
      <c r="L513" s="192"/>
      <c r="M513" s="192"/>
      <c r="N513" s="192"/>
      <c r="O513" s="2628" t="s">
        <v>6395</v>
      </c>
      <c r="Q513" s="118"/>
    </row>
    <row r="514" spans="1:17" ht="18.75" customHeight="1" x14ac:dyDescent="0.3">
      <c r="A514" s="189">
        <v>293</v>
      </c>
      <c r="B514" s="105" t="s">
        <v>194</v>
      </c>
      <c r="C514" s="195">
        <v>401</v>
      </c>
      <c r="D514" s="136">
        <v>59</v>
      </c>
      <c r="E514" s="114">
        <v>8469</v>
      </c>
      <c r="F514" s="115">
        <v>21645</v>
      </c>
      <c r="G514" s="116">
        <v>229</v>
      </c>
      <c r="H514" s="1731" t="s">
        <v>41</v>
      </c>
      <c r="I514" s="118"/>
      <c r="J514" s="192"/>
      <c r="K514" s="104" t="s">
        <v>25</v>
      </c>
      <c r="L514" s="192"/>
      <c r="M514" s="192"/>
      <c r="N514" s="192"/>
      <c r="O514" s="2628" t="s">
        <v>6395</v>
      </c>
      <c r="Q514" s="118"/>
    </row>
    <row r="515" spans="1:17" ht="18.75" customHeight="1" x14ac:dyDescent="0.3">
      <c r="A515" s="104">
        <v>294</v>
      </c>
      <c r="B515" s="105" t="s">
        <v>194</v>
      </c>
      <c r="C515" s="195">
        <v>401</v>
      </c>
      <c r="D515" s="128">
        <v>59</v>
      </c>
      <c r="E515" s="114">
        <v>8470</v>
      </c>
      <c r="F515" s="115">
        <v>21645</v>
      </c>
      <c r="G515" s="116">
        <v>229</v>
      </c>
      <c r="H515" s="1731" t="s">
        <v>41</v>
      </c>
      <c r="I515" s="118"/>
      <c r="J515" s="192"/>
      <c r="K515" s="104" t="s">
        <v>25</v>
      </c>
      <c r="L515" s="192"/>
      <c r="M515" s="192"/>
      <c r="N515" s="192"/>
      <c r="O515" s="2628" t="s">
        <v>6395</v>
      </c>
      <c r="Q515" s="118"/>
    </row>
    <row r="516" spans="1:17" ht="18.75" customHeight="1" x14ac:dyDescent="0.3">
      <c r="A516" s="104">
        <v>295</v>
      </c>
      <c r="B516" s="105" t="s">
        <v>194</v>
      </c>
      <c r="C516" s="195">
        <v>401</v>
      </c>
      <c r="D516" s="113">
        <v>59</v>
      </c>
      <c r="E516" s="114">
        <v>8471</v>
      </c>
      <c r="F516" s="115">
        <v>21645</v>
      </c>
      <c r="G516" s="116">
        <v>229</v>
      </c>
      <c r="H516" s="1731" t="s">
        <v>41</v>
      </c>
      <c r="I516" s="118"/>
      <c r="J516" s="192"/>
      <c r="K516" s="104" t="s">
        <v>25</v>
      </c>
      <c r="L516" s="192"/>
      <c r="M516" s="192"/>
      <c r="N516" s="192"/>
      <c r="O516" s="2628" t="s">
        <v>6395</v>
      </c>
      <c r="Q516" s="118"/>
    </row>
    <row r="517" spans="1:17" ht="18.75" customHeight="1" x14ac:dyDescent="0.3">
      <c r="A517" s="189">
        <v>296</v>
      </c>
      <c r="B517" s="105" t="s">
        <v>194</v>
      </c>
      <c r="C517" s="195">
        <v>401</v>
      </c>
      <c r="D517" s="113">
        <v>59</v>
      </c>
      <c r="E517" s="114">
        <v>8472</v>
      </c>
      <c r="F517" s="115">
        <v>21645</v>
      </c>
      <c r="G517" s="116">
        <v>229</v>
      </c>
      <c r="H517" s="1731" t="s">
        <v>41</v>
      </c>
      <c r="I517" s="118"/>
      <c r="J517" s="192"/>
      <c r="K517" s="104" t="s">
        <v>25</v>
      </c>
      <c r="L517" s="192"/>
      <c r="M517" s="192"/>
      <c r="N517" s="192"/>
      <c r="O517" s="2628" t="s">
        <v>6395</v>
      </c>
      <c r="Q517" s="118"/>
    </row>
    <row r="518" spans="1:17" ht="18.75" customHeight="1" x14ac:dyDescent="0.3">
      <c r="A518" s="104">
        <v>297</v>
      </c>
      <c r="B518" s="105" t="s">
        <v>194</v>
      </c>
      <c r="C518" s="195">
        <v>401</v>
      </c>
      <c r="D518" s="113">
        <v>59</v>
      </c>
      <c r="E518" s="114">
        <v>8473</v>
      </c>
      <c r="F518" s="115">
        <v>21645</v>
      </c>
      <c r="G518" s="116">
        <v>229</v>
      </c>
      <c r="H518" s="1731" t="s">
        <v>41</v>
      </c>
      <c r="I518" s="118"/>
      <c r="J518" s="192"/>
      <c r="K518" s="104" t="s">
        <v>25</v>
      </c>
      <c r="L518" s="192"/>
      <c r="M518" s="192"/>
      <c r="N518" s="192"/>
      <c r="O518" s="2628" t="s">
        <v>6395</v>
      </c>
      <c r="Q518" s="118"/>
    </row>
    <row r="519" spans="1:17" ht="18.75" customHeight="1" x14ac:dyDescent="0.3">
      <c r="A519" s="104">
        <v>298</v>
      </c>
      <c r="B519" s="105" t="s">
        <v>194</v>
      </c>
      <c r="C519" s="195">
        <v>401</v>
      </c>
      <c r="D519" s="113">
        <v>59</v>
      </c>
      <c r="E519" s="114">
        <v>8474</v>
      </c>
      <c r="F519" s="115">
        <v>21645</v>
      </c>
      <c r="G519" s="116">
        <v>229</v>
      </c>
      <c r="H519" s="1731" t="s">
        <v>41</v>
      </c>
      <c r="I519" s="118"/>
      <c r="J519" s="192"/>
      <c r="K519" s="104" t="s">
        <v>25</v>
      </c>
      <c r="L519" s="192"/>
      <c r="M519" s="192"/>
      <c r="N519" s="192"/>
      <c r="O519" s="2628" t="s">
        <v>6395</v>
      </c>
      <c r="Q519" s="118"/>
    </row>
    <row r="520" spans="1:17" ht="18.75" customHeight="1" x14ac:dyDescent="0.3">
      <c r="A520" s="189">
        <v>299</v>
      </c>
      <c r="B520" s="105" t="s">
        <v>194</v>
      </c>
      <c r="C520" s="195">
        <v>401</v>
      </c>
      <c r="D520" s="113">
        <v>59</v>
      </c>
      <c r="E520" s="114">
        <v>8475</v>
      </c>
      <c r="F520" s="115">
        <v>21645</v>
      </c>
      <c r="G520" s="116">
        <v>229</v>
      </c>
      <c r="H520" s="1731" t="s">
        <v>41</v>
      </c>
      <c r="I520" s="118"/>
      <c r="J520" s="192"/>
      <c r="K520" s="104" t="s">
        <v>25</v>
      </c>
      <c r="L520" s="192"/>
      <c r="M520" s="192"/>
      <c r="N520" s="192"/>
      <c r="O520" s="2628" t="s">
        <v>6395</v>
      </c>
      <c r="Q520" s="118"/>
    </row>
    <row r="521" spans="1:17" ht="18.75" customHeight="1" x14ac:dyDescent="0.3">
      <c r="A521" s="104">
        <v>300</v>
      </c>
      <c r="B521" s="105" t="s">
        <v>194</v>
      </c>
      <c r="C521" s="195">
        <v>401</v>
      </c>
      <c r="D521" s="113">
        <v>59</v>
      </c>
      <c r="E521" s="114">
        <v>8476</v>
      </c>
      <c r="F521" s="115">
        <v>21645</v>
      </c>
      <c r="G521" s="116">
        <v>229</v>
      </c>
      <c r="H521" s="1731" t="s">
        <v>41</v>
      </c>
      <c r="I521" s="118"/>
      <c r="J521" s="192"/>
      <c r="K521" s="104" t="s">
        <v>25</v>
      </c>
      <c r="L521" s="192"/>
      <c r="M521" s="192"/>
      <c r="N521" s="192"/>
      <c r="O521" s="2628" t="s">
        <v>6395</v>
      </c>
      <c r="Q521" s="118"/>
    </row>
    <row r="522" spans="1:17" ht="18.75" customHeight="1" x14ac:dyDescent="0.3">
      <c r="A522" s="104">
        <v>301</v>
      </c>
      <c r="B522" s="105" t="s">
        <v>194</v>
      </c>
      <c r="C522" s="195">
        <v>401</v>
      </c>
      <c r="D522" s="136">
        <v>59</v>
      </c>
      <c r="E522" s="114">
        <v>8477</v>
      </c>
      <c r="F522" s="115">
        <v>21645</v>
      </c>
      <c r="G522" s="116">
        <v>229</v>
      </c>
      <c r="H522" s="1731" t="s">
        <v>41</v>
      </c>
      <c r="I522" s="118"/>
      <c r="J522" s="192"/>
      <c r="K522" s="104" t="s">
        <v>25</v>
      </c>
      <c r="L522" s="192"/>
      <c r="M522" s="192"/>
      <c r="N522" s="192"/>
      <c r="O522" s="2628" t="s">
        <v>6395</v>
      </c>
      <c r="Q522" s="118"/>
    </row>
    <row r="523" spans="1:17" ht="18.75" customHeight="1" x14ac:dyDescent="0.3">
      <c r="A523" s="189">
        <v>302</v>
      </c>
      <c r="B523" s="105" t="s">
        <v>194</v>
      </c>
      <c r="C523" s="195">
        <v>401</v>
      </c>
      <c r="D523" s="127">
        <v>59</v>
      </c>
      <c r="E523" s="114">
        <v>8478</v>
      </c>
      <c r="F523" s="115">
        <v>21645</v>
      </c>
      <c r="G523" s="116">
        <v>229</v>
      </c>
      <c r="H523" s="1731" t="s">
        <v>41</v>
      </c>
      <c r="I523" s="118"/>
      <c r="J523" s="192"/>
      <c r="K523" s="104" t="s">
        <v>25</v>
      </c>
      <c r="L523" s="192"/>
      <c r="M523" s="192"/>
      <c r="N523" s="192"/>
      <c r="O523" s="2628" t="s">
        <v>6395</v>
      </c>
      <c r="Q523" s="118"/>
    </row>
    <row r="524" spans="1:17" ht="18.75" customHeight="1" x14ac:dyDescent="0.3">
      <c r="A524" s="104">
        <v>303</v>
      </c>
      <c r="B524" s="105" t="s">
        <v>194</v>
      </c>
      <c r="C524" s="195">
        <v>401</v>
      </c>
      <c r="D524" s="149">
        <v>59</v>
      </c>
      <c r="E524" s="114">
        <v>8479</v>
      </c>
      <c r="F524" s="115">
        <v>21645</v>
      </c>
      <c r="G524" s="116">
        <v>229</v>
      </c>
      <c r="H524" s="1731" t="s">
        <v>41</v>
      </c>
      <c r="I524" s="118"/>
      <c r="J524" s="192"/>
      <c r="K524" s="104" t="s">
        <v>25</v>
      </c>
      <c r="L524" s="192"/>
      <c r="M524" s="192"/>
      <c r="N524" s="192"/>
      <c r="O524" s="2628" t="s">
        <v>6395</v>
      </c>
      <c r="Q524" s="118"/>
    </row>
    <row r="525" spans="1:17" ht="18.75" customHeight="1" x14ac:dyDescent="0.3">
      <c r="A525" s="104">
        <v>304</v>
      </c>
      <c r="B525" s="105" t="s">
        <v>194</v>
      </c>
      <c r="C525" s="195">
        <v>401</v>
      </c>
      <c r="D525" s="113">
        <v>59</v>
      </c>
      <c r="E525" s="114">
        <v>8480</v>
      </c>
      <c r="F525" s="115">
        <v>21645</v>
      </c>
      <c r="G525" s="116">
        <v>229</v>
      </c>
      <c r="H525" s="1731" t="s">
        <v>41</v>
      </c>
      <c r="I525" s="118"/>
      <c r="J525" s="192"/>
      <c r="K525" s="104" t="s">
        <v>25</v>
      </c>
      <c r="L525" s="192"/>
      <c r="M525" s="192"/>
      <c r="N525" s="192"/>
      <c r="O525" s="2628" t="s">
        <v>6395</v>
      </c>
      <c r="Q525" s="118"/>
    </row>
    <row r="526" spans="1:17" ht="18.75" customHeight="1" x14ac:dyDescent="0.3">
      <c r="A526" s="189">
        <v>305</v>
      </c>
      <c r="B526" s="105" t="s">
        <v>194</v>
      </c>
      <c r="C526" s="195">
        <v>401</v>
      </c>
      <c r="D526" s="113">
        <v>59</v>
      </c>
      <c r="E526" s="114">
        <v>8481</v>
      </c>
      <c r="F526" s="115">
        <v>21645</v>
      </c>
      <c r="G526" s="116">
        <v>229</v>
      </c>
      <c r="H526" s="1731" t="s">
        <v>41</v>
      </c>
      <c r="I526" s="118"/>
      <c r="J526" s="192"/>
      <c r="K526" s="104" t="s">
        <v>25</v>
      </c>
      <c r="L526" s="192"/>
      <c r="M526" s="192"/>
      <c r="N526" s="192"/>
      <c r="O526" s="2628" t="s">
        <v>6395</v>
      </c>
      <c r="Q526" s="118"/>
    </row>
    <row r="527" spans="1:17" ht="18.75" customHeight="1" x14ac:dyDescent="0.3">
      <c r="A527" s="104">
        <v>306</v>
      </c>
      <c r="B527" s="105" t="s">
        <v>194</v>
      </c>
      <c r="C527" s="195">
        <v>401</v>
      </c>
      <c r="D527" s="113">
        <v>59</v>
      </c>
      <c r="E527" s="114">
        <v>8482</v>
      </c>
      <c r="F527" s="115">
        <v>21645</v>
      </c>
      <c r="G527" s="116">
        <v>229</v>
      </c>
      <c r="H527" s="1731" t="s">
        <v>41</v>
      </c>
      <c r="I527" s="118"/>
      <c r="J527" s="192"/>
      <c r="K527" s="104" t="s">
        <v>25</v>
      </c>
      <c r="L527" s="192"/>
      <c r="M527" s="192"/>
      <c r="N527" s="192"/>
      <c r="O527" s="2628" t="s">
        <v>6395</v>
      </c>
      <c r="Q527" s="118"/>
    </row>
    <row r="528" spans="1:17" ht="18.75" customHeight="1" x14ac:dyDescent="0.3">
      <c r="A528" s="104">
        <v>307</v>
      </c>
      <c r="B528" s="105" t="s">
        <v>194</v>
      </c>
      <c r="C528" s="195">
        <v>401</v>
      </c>
      <c r="D528" s="113">
        <v>59</v>
      </c>
      <c r="E528" s="114">
        <v>8483</v>
      </c>
      <c r="F528" s="115">
        <v>21645</v>
      </c>
      <c r="G528" s="116">
        <v>229</v>
      </c>
      <c r="H528" s="1731" t="s">
        <v>41</v>
      </c>
      <c r="I528" s="118"/>
      <c r="J528" s="192"/>
      <c r="K528" s="104" t="s">
        <v>25</v>
      </c>
      <c r="L528" s="192"/>
      <c r="M528" s="192"/>
      <c r="N528" s="192"/>
      <c r="O528" s="2628" t="s">
        <v>6395</v>
      </c>
      <c r="Q528" s="118"/>
    </row>
    <row r="529" spans="1:17" ht="18.75" customHeight="1" x14ac:dyDescent="0.3">
      <c r="A529" s="189">
        <v>308</v>
      </c>
      <c r="B529" s="105" t="s">
        <v>194</v>
      </c>
      <c r="C529" s="195">
        <v>401</v>
      </c>
      <c r="D529" s="113">
        <v>59</v>
      </c>
      <c r="E529" s="114">
        <v>8484</v>
      </c>
      <c r="F529" s="115">
        <v>21645</v>
      </c>
      <c r="G529" s="116">
        <v>229</v>
      </c>
      <c r="H529" s="1731" t="s">
        <v>41</v>
      </c>
      <c r="I529" s="118"/>
      <c r="J529" s="192"/>
      <c r="K529" s="104" t="s">
        <v>25</v>
      </c>
      <c r="L529" s="192"/>
      <c r="M529" s="192"/>
      <c r="N529" s="192"/>
      <c r="O529" s="2628" t="s">
        <v>6395</v>
      </c>
      <c r="Q529" s="118"/>
    </row>
    <row r="530" spans="1:17" ht="18.75" customHeight="1" x14ac:dyDescent="0.3">
      <c r="A530" s="104">
        <v>309</v>
      </c>
      <c r="B530" s="105" t="s">
        <v>194</v>
      </c>
      <c r="C530" s="195">
        <v>401</v>
      </c>
      <c r="D530" s="113">
        <v>59</v>
      </c>
      <c r="E530" s="114">
        <v>8485</v>
      </c>
      <c r="F530" s="115">
        <v>21645</v>
      </c>
      <c r="G530" s="116">
        <v>229</v>
      </c>
      <c r="H530" s="1731" t="s">
        <v>41</v>
      </c>
      <c r="I530" s="118"/>
      <c r="J530" s="192"/>
      <c r="K530" s="104" t="s">
        <v>25</v>
      </c>
      <c r="L530" s="192"/>
      <c r="M530" s="192"/>
      <c r="N530" s="192"/>
      <c r="O530" s="2628" t="s">
        <v>6395</v>
      </c>
      <c r="Q530" s="118"/>
    </row>
    <row r="531" spans="1:17" ht="18.75" customHeight="1" x14ac:dyDescent="0.3">
      <c r="A531" s="104">
        <v>310</v>
      </c>
      <c r="B531" s="105" t="s">
        <v>194</v>
      </c>
      <c r="C531" s="195">
        <v>401</v>
      </c>
      <c r="D531" s="113">
        <v>59</v>
      </c>
      <c r="E531" s="114">
        <v>8486</v>
      </c>
      <c r="F531" s="115">
        <v>21645</v>
      </c>
      <c r="G531" s="116">
        <v>229</v>
      </c>
      <c r="H531" s="1731" t="s">
        <v>41</v>
      </c>
      <c r="I531" s="118"/>
      <c r="J531" s="192"/>
      <c r="K531" s="104" t="s">
        <v>25</v>
      </c>
      <c r="L531" s="192"/>
      <c r="M531" s="192"/>
      <c r="N531" s="192"/>
      <c r="O531" s="2628" t="s">
        <v>6395</v>
      </c>
      <c r="Q531" s="118"/>
    </row>
    <row r="532" spans="1:17" ht="18.75" customHeight="1" x14ac:dyDescent="0.3">
      <c r="A532" s="189">
        <v>311</v>
      </c>
      <c r="B532" s="105" t="s">
        <v>194</v>
      </c>
      <c r="C532" s="195">
        <v>401</v>
      </c>
      <c r="D532" s="125">
        <v>59</v>
      </c>
      <c r="E532" s="114">
        <v>8487</v>
      </c>
      <c r="F532" s="115">
        <v>21645</v>
      </c>
      <c r="G532" s="116">
        <v>229</v>
      </c>
      <c r="H532" s="1731" t="s">
        <v>41</v>
      </c>
      <c r="I532" s="118"/>
      <c r="J532" s="192"/>
      <c r="K532" s="104" t="s">
        <v>25</v>
      </c>
      <c r="L532" s="192"/>
      <c r="M532" s="192"/>
      <c r="N532" s="192"/>
      <c r="O532" s="2628" t="s">
        <v>6395</v>
      </c>
      <c r="Q532" s="118"/>
    </row>
    <row r="533" spans="1:17" ht="18.75" customHeight="1" x14ac:dyDescent="0.3">
      <c r="A533" s="104">
        <v>312</v>
      </c>
      <c r="B533" s="105" t="s">
        <v>194</v>
      </c>
      <c r="C533" s="195">
        <v>401</v>
      </c>
      <c r="D533" s="149">
        <v>59</v>
      </c>
      <c r="E533" s="114">
        <v>8488</v>
      </c>
      <c r="F533" s="115">
        <v>21645</v>
      </c>
      <c r="G533" s="116">
        <v>229</v>
      </c>
      <c r="H533" s="1731" t="s">
        <v>41</v>
      </c>
      <c r="I533" s="118"/>
      <c r="J533" s="192"/>
      <c r="K533" s="104" t="s">
        <v>25</v>
      </c>
      <c r="L533" s="192"/>
      <c r="M533" s="192"/>
      <c r="N533" s="192"/>
      <c r="O533" s="2628" t="s">
        <v>6395</v>
      </c>
      <c r="Q533" s="118"/>
    </row>
    <row r="534" spans="1:17" ht="18.75" customHeight="1" x14ac:dyDescent="0.3">
      <c r="A534" s="104">
        <v>313</v>
      </c>
      <c r="B534" s="105" t="s">
        <v>194</v>
      </c>
      <c r="C534" s="195">
        <v>401</v>
      </c>
      <c r="D534" s="113">
        <v>59</v>
      </c>
      <c r="E534" s="114">
        <v>8489</v>
      </c>
      <c r="F534" s="115">
        <v>21645</v>
      </c>
      <c r="G534" s="116">
        <v>229</v>
      </c>
      <c r="H534" s="1731" t="s">
        <v>41</v>
      </c>
      <c r="I534" s="118"/>
      <c r="J534" s="192"/>
      <c r="K534" s="104" t="s">
        <v>25</v>
      </c>
      <c r="L534" s="192"/>
      <c r="M534" s="192"/>
      <c r="N534" s="192"/>
      <c r="O534" s="2628" t="s">
        <v>6395</v>
      </c>
      <c r="Q534" s="118"/>
    </row>
    <row r="535" spans="1:17" ht="18.75" customHeight="1" x14ac:dyDescent="0.3">
      <c r="A535" s="189">
        <v>314</v>
      </c>
      <c r="B535" s="105" t="s">
        <v>194</v>
      </c>
      <c r="C535" s="195">
        <v>401</v>
      </c>
      <c r="D535" s="113">
        <v>59</v>
      </c>
      <c r="E535" s="114">
        <v>8490</v>
      </c>
      <c r="F535" s="115">
        <v>21645</v>
      </c>
      <c r="G535" s="116">
        <v>229</v>
      </c>
      <c r="H535" s="1731" t="s">
        <v>41</v>
      </c>
      <c r="I535" s="118"/>
      <c r="J535" s="192"/>
      <c r="K535" s="104" t="s">
        <v>25</v>
      </c>
      <c r="L535" s="192"/>
      <c r="M535" s="192"/>
      <c r="N535" s="192"/>
      <c r="O535" s="2628" t="s">
        <v>6395</v>
      </c>
      <c r="Q535" s="118"/>
    </row>
    <row r="536" spans="1:17" ht="18.75" customHeight="1" x14ac:dyDescent="0.3">
      <c r="A536" s="104">
        <v>315</v>
      </c>
      <c r="B536" s="105" t="s">
        <v>194</v>
      </c>
      <c r="C536" s="195">
        <v>401</v>
      </c>
      <c r="D536" s="113">
        <v>59</v>
      </c>
      <c r="E536" s="114">
        <v>8491</v>
      </c>
      <c r="F536" s="115">
        <v>21645</v>
      </c>
      <c r="G536" s="116">
        <v>229</v>
      </c>
      <c r="H536" s="1731" t="s">
        <v>41</v>
      </c>
      <c r="I536" s="118"/>
      <c r="J536" s="192"/>
      <c r="K536" s="104" t="s">
        <v>25</v>
      </c>
      <c r="L536" s="192"/>
      <c r="M536" s="192"/>
      <c r="N536" s="192"/>
      <c r="O536" s="2628" t="s">
        <v>6395</v>
      </c>
      <c r="Q536" s="118"/>
    </row>
    <row r="537" spans="1:17" ht="18.75" customHeight="1" x14ac:dyDescent="0.3">
      <c r="A537" s="104">
        <v>316</v>
      </c>
      <c r="B537" s="105" t="s">
        <v>194</v>
      </c>
      <c r="C537" s="195">
        <v>401</v>
      </c>
      <c r="D537" s="136">
        <v>59</v>
      </c>
      <c r="E537" s="114">
        <v>8492</v>
      </c>
      <c r="F537" s="115">
        <v>21645</v>
      </c>
      <c r="G537" s="116">
        <v>229</v>
      </c>
      <c r="H537" s="1731" t="s">
        <v>41</v>
      </c>
      <c r="I537" s="118"/>
      <c r="J537" s="192"/>
      <c r="K537" s="104" t="s">
        <v>25</v>
      </c>
      <c r="L537" s="192"/>
      <c r="M537" s="192"/>
      <c r="N537" s="192"/>
      <c r="O537" s="2628" t="s">
        <v>6395</v>
      </c>
      <c r="Q537" s="118"/>
    </row>
    <row r="538" spans="1:17" ht="18.75" customHeight="1" x14ac:dyDescent="0.3">
      <c r="A538" s="189">
        <v>317</v>
      </c>
      <c r="B538" s="105" t="s">
        <v>194</v>
      </c>
      <c r="C538" s="195">
        <v>401</v>
      </c>
      <c r="D538" s="128">
        <v>59</v>
      </c>
      <c r="E538" s="114">
        <v>8493</v>
      </c>
      <c r="F538" s="115">
        <v>21645</v>
      </c>
      <c r="G538" s="116">
        <v>229</v>
      </c>
      <c r="H538" s="1731" t="s">
        <v>41</v>
      </c>
      <c r="I538" s="118"/>
      <c r="J538" s="192"/>
      <c r="K538" s="104" t="s">
        <v>25</v>
      </c>
      <c r="L538" s="192"/>
      <c r="M538" s="192"/>
      <c r="N538" s="192"/>
      <c r="O538" s="2628" t="s">
        <v>6395</v>
      </c>
      <c r="Q538" s="118"/>
    </row>
    <row r="539" spans="1:17" ht="18.75" customHeight="1" x14ac:dyDescent="0.3">
      <c r="A539" s="104">
        <v>318</v>
      </c>
      <c r="B539" s="105" t="s">
        <v>194</v>
      </c>
      <c r="C539" s="195">
        <v>401</v>
      </c>
      <c r="D539" s="113">
        <v>59</v>
      </c>
      <c r="E539" s="114">
        <v>8494</v>
      </c>
      <c r="F539" s="115">
        <v>21645</v>
      </c>
      <c r="G539" s="116">
        <v>229</v>
      </c>
      <c r="H539" s="1731" t="s">
        <v>41</v>
      </c>
      <c r="I539" s="118"/>
      <c r="J539" s="192"/>
      <c r="K539" s="104" t="s">
        <v>25</v>
      </c>
      <c r="L539" s="192"/>
      <c r="M539" s="192"/>
      <c r="N539" s="192"/>
      <c r="O539" s="2628" t="s">
        <v>6395</v>
      </c>
      <c r="Q539" s="118"/>
    </row>
    <row r="540" spans="1:17" ht="18.75" customHeight="1" x14ac:dyDescent="0.3">
      <c r="A540" s="104">
        <v>319</v>
      </c>
      <c r="B540" s="105" t="s">
        <v>194</v>
      </c>
      <c r="C540" s="195">
        <v>401</v>
      </c>
      <c r="D540" s="113">
        <v>59</v>
      </c>
      <c r="E540" s="114">
        <v>8495</v>
      </c>
      <c r="F540" s="115">
        <v>21645</v>
      </c>
      <c r="G540" s="116">
        <v>229</v>
      </c>
      <c r="H540" s="1731" t="s">
        <v>41</v>
      </c>
      <c r="I540" s="118"/>
      <c r="J540" s="192"/>
      <c r="K540" s="104" t="s">
        <v>25</v>
      </c>
      <c r="L540" s="192"/>
      <c r="M540" s="192"/>
      <c r="N540" s="192"/>
      <c r="O540" s="2628" t="s">
        <v>6395</v>
      </c>
      <c r="Q540" s="118"/>
    </row>
    <row r="541" spans="1:17" ht="18.75" customHeight="1" x14ac:dyDescent="0.3">
      <c r="A541" s="189">
        <v>320</v>
      </c>
      <c r="B541" s="105" t="s">
        <v>194</v>
      </c>
      <c r="C541" s="195">
        <v>401</v>
      </c>
      <c r="D541" s="125">
        <v>59</v>
      </c>
      <c r="E541" s="114">
        <v>8496</v>
      </c>
      <c r="F541" s="115">
        <v>21645</v>
      </c>
      <c r="G541" s="116">
        <v>229</v>
      </c>
      <c r="H541" s="1731" t="s">
        <v>41</v>
      </c>
      <c r="I541" s="118"/>
      <c r="J541" s="192"/>
      <c r="K541" s="104" t="s">
        <v>25</v>
      </c>
      <c r="L541" s="192"/>
      <c r="M541" s="192"/>
      <c r="N541" s="192"/>
      <c r="O541" s="2628" t="s">
        <v>6395</v>
      </c>
      <c r="Q541" s="118"/>
    </row>
    <row r="542" spans="1:17" ht="18.75" customHeight="1" x14ac:dyDescent="0.3">
      <c r="A542" s="104">
        <v>321</v>
      </c>
      <c r="B542" s="105" t="s">
        <v>194</v>
      </c>
      <c r="C542" s="195">
        <v>401</v>
      </c>
      <c r="D542" s="128">
        <v>59</v>
      </c>
      <c r="E542" s="114">
        <v>8497</v>
      </c>
      <c r="F542" s="115">
        <v>21645</v>
      </c>
      <c r="G542" s="116">
        <v>229</v>
      </c>
      <c r="H542" s="1731" t="s">
        <v>41</v>
      </c>
      <c r="I542" s="118"/>
      <c r="J542" s="192"/>
      <c r="K542" s="104" t="s">
        <v>25</v>
      </c>
      <c r="L542" s="192"/>
      <c r="M542" s="192"/>
      <c r="N542" s="192"/>
      <c r="O542" s="2628" t="s">
        <v>6395</v>
      </c>
      <c r="Q542" s="118"/>
    </row>
    <row r="543" spans="1:17" ht="18.75" customHeight="1" x14ac:dyDescent="0.3">
      <c r="A543" s="104">
        <v>322</v>
      </c>
      <c r="B543" s="105" t="s">
        <v>194</v>
      </c>
      <c r="C543" s="195">
        <v>401</v>
      </c>
      <c r="D543" s="113">
        <v>59</v>
      </c>
      <c r="E543" s="114">
        <v>8498</v>
      </c>
      <c r="F543" s="115">
        <v>21645</v>
      </c>
      <c r="G543" s="116">
        <v>229</v>
      </c>
      <c r="H543" s="1731" t="s">
        <v>41</v>
      </c>
      <c r="I543" s="118"/>
      <c r="J543" s="192"/>
      <c r="K543" s="104" t="s">
        <v>25</v>
      </c>
      <c r="L543" s="192"/>
      <c r="M543" s="192"/>
      <c r="N543" s="192"/>
      <c r="O543" s="2628" t="s">
        <v>6395</v>
      </c>
      <c r="Q543" s="118"/>
    </row>
    <row r="544" spans="1:17" ht="18.75" customHeight="1" x14ac:dyDescent="0.3">
      <c r="A544" s="189">
        <v>323</v>
      </c>
      <c r="B544" s="105" t="s">
        <v>194</v>
      </c>
      <c r="C544" s="195">
        <v>401</v>
      </c>
      <c r="D544" s="113">
        <v>59</v>
      </c>
      <c r="E544" s="114">
        <v>8499</v>
      </c>
      <c r="F544" s="115">
        <v>21645</v>
      </c>
      <c r="G544" s="116">
        <v>229</v>
      </c>
      <c r="H544" s="1731" t="s">
        <v>41</v>
      </c>
      <c r="I544" s="118"/>
      <c r="J544" s="192"/>
      <c r="K544" s="104" t="s">
        <v>25</v>
      </c>
      <c r="L544" s="192"/>
      <c r="M544" s="192"/>
      <c r="N544" s="192"/>
      <c r="O544" s="2628" t="s">
        <v>6395</v>
      </c>
      <c r="Q544" s="118"/>
    </row>
    <row r="545" spans="1:17" ht="18.75" customHeight="1" x14ac:dyDescent="0.3">
      <c r="A545" s="104">
        <v>324</v>
      </c>
      <c r="B545" s="105" t="s">
        <v>194</v>
      </c>
      <c r="C545" s="195">
        <v>401</v>
      </c>
      <c r="D545" s="113">
        <v>59</v>
      </c>
      <c r="E545" s="114">
        <v>8500</v>
      </c>
      <c r="F545" s="115">
        <v>21645</v>
      </c>
      <c r="G545" s="116">
        <v>229</v>
      </c>
      <c r="H545" s="1731" t="s">
        <v>41</v>
      </c>
      <c r="I545" s="118"/>
      <c r="J545" s="192"/>
      <c r="K545" s="104" t="s">
        <v>25</v>
      </c>
      <c r="L545" s="192"/>
      <c r="M545" s="192"/>
      <c r="N545" s="192"/>
      <c r="O545" s="2628" t="s">
        <v>6395</v>
      </c>
      <c r="Q545" s="118"/>
    </row>
    <row r="546" spans="1:17" ht="18.75" customHeight="1" x14ac:dyDescent="0.3">
      <c r="A546" s="104">
        <v>325</v>
      </c>
      <c r="B546" s="105" t="s">
        <v>194</v>
      </c>
      <c r="C546" s="195">
        <v>401</v>
      </c>
      <c r="D546" s="113">
        <v>59</v>
      </c>
      <c r="E546" s="114">
        <v>8501</v>
      </c>
      <c r="F546" s="115">
        <v>21645</v>
      </c>
      <c r="G546" s="116">
        <v>229</v>
      </c>
      <c r="H546" s="1731" t="s">
        <v>41</v>
      </c>
      <c r="I546" s="118"/>
      <c r="J546" s="192"/>
      <c r="K546" s="104" t="s">
        <v>25</v>
      </c>
      <c r="L546" s="192"/>
      <c r="M546" s="192"/>
      <c r="N546" s="192"/>
      <c r="O546" s="2628" t="s">
        <v>6395</v>
      </c>
      <c r="Q546" s="118"/>
    </row>
    <row r="547" spans="1:17" ht="18.75" customHeight="1" x14ac:dyDescent="0.3">
      <c r="A547" s="189">
        <v>326</v>
      </c>
      <c r="B547" s="105" t="s">
        <v>194</v>
      </c>
      <c r="C547" s="195">
        <v>401</v>
      </c>
      <c r="D547" s="113">
        <v>59</v>
      </c>
      <c r="E547" s="114">
        <v>8502</v>
      </c>
      <c r="F547" s="115">
        <v>21645</v>
      </c>
      <c r="G547" s="116">
        <v>229</v>
      </c>
      <c r="H547" s="1731" t="s">
        <v>41</v>
      </c>
      <c r="I547" s="118"/>
      <c r="J547" s="192"/>
      <c r="K547" s="104" t="s">
        <v>25</v>
      </c>
      <c r="L547" s="192"/>
      <c r="M547" s="192"/>
      <c r="N547" s="192"/>
      <c r="O547" s="2628" t="s">
        <v>6395</v>
      </c>
      <c r="Q547" s="118"/>
    </row>
    <row r="548" spans="1:17" ht="18.75" customHeight="1" x14ac:dyDescent="0.3">
      <c r="A548" s="104">
        <v>327</v>
      </c>
      <c r="B548" s="105" t="s">
        <v>194</v>
      </c>
      <c r="C548" s="195">
        <v>401</v>
      </c>
      <c r="D548" s="125">
        <v>59</v>
      </c>
      <c r="E548" s="114">
        <v>8503</v>
      </c>
      <c r="F548" s="115">
        <v>21645</v>
      </c>
      <c r="G548" s="116">
        <v>229</v>
      </c>
      <c r="H548" s="1731" t="s">
        <v>41</v>
      </c>
      <c r="I548" s="118"/>
      <c r="J548" s="192"/>
      <c r="K548" s="104" t="s">
        <v>25</v>
      </c>
      <c r="L548" s="192"/>
      <c r="M548" s="192"/>
      <c r="N548" s="192"/>
      <c r="O548" s="2628" t="s">
        <v>6395</v>
      </c>
      <c r="Q548" s="118"/>
    </row>
    <row r="549" spans="1:17" ht="18.75" customHeight="1" x14ac:dyDescent="0.3">
      <c r="A549" s="104">
        <v>328</v>
      </c>
      <c r="B549" s="105" t="s">
        <v>194</v>
      </c>
      <c r="C549" s="195">
        <v>401</v>
      </c>
      <c r="D549" s="128">
        <v>59</v>
      </c>
      <c r="E549" s="114">
        <v>8504</v>
      </c>
      <c r="F549" s="115">
        <v>21645</v>
      </c>
      <c r="G549" s="116">
        <v>229</v>
      </c>
      <c r="H549" s="1731" t="s">
        <v>41</v>
      </c>
      <c r="I549" s="118"/>
      <c r="J549" s="192"/>
      <c r="K549" s="104" t="s">
        <v>25</v>
      </c>
      <c r="L549" s="192"/>
      <c r="M549" s="192"/>
      <c r="N549" s="192"/>
      <c r="O549" s="2628" t="s">
        <v>6395</v>
      </c>
      <c r="Q549" s="118"/>
    </row>
    <row r="550" spans="1:17" ht="18.75" customHeight="1" x14ac:dyDescent="0.3">
      <c r="A550" s="189">
        <v>329</v>
      </c>
      <c r="B550" s="105" t="s">
        <v>194</v>
      </c>
      <c r="C550" s="195">
        <v>401</v>
      </c>
      <c r="D550" s="113">
        <v>59</v>
      </c>
      <c r="E550" s="114">
        <v>8505</v>
      </c>
      <c r="F550" s="115">
        <v>21645</v>
      </c>
      <c r="G550" s="116">
        <v>229</v>
      </c>
      <c r="H550" s="1731" t="s">
        <v>41</v>
      </c>
      <c r="I550" s="118"/>
      <c r="J550" s="192"/>
      <c r="K550" s="104" t="s">
        <v>25</v>
      </c>
      <c r="L550" s="192"/>
      <c r="M550" s="192"/>
      <c r="N550" s="192"/>
      <c r="O550" s="2628" t="s">
        <v>6395</v>
      </c>
      <c r="Q550" s="118"/>
    </row>
    <row r="551" spans="1:17" ht="18.75" customHeight="1" x14ac:dyDescent="0.3">
      <c r="A551" s="104">
        <v>330</v>
      </c>
      <c r="B551" s="105" t="s">
        <v>194</v>
      </c>
      <c r="C551" s="195">
        <v>401</v>
      </c>
      <c r="D551" s="113">
        <v>59</v>
      </c>
      <c r="E551" s="114">
        <v>8506</v>
      </c>
      <c r="F551" s="115">
        <v>21645</v>
      </c>
      <c r="G551" s="116">
        <v>229</v>
      </c>
      <c r="H551" s="1731" t="s">
        <v>41</v>
      </c>
      <c r="I551" s="118"/>
      <c r="J551" s="192"/>
      <c r="K551" s="104" t="s">
        <v>25</v>
      </c>
      <c r="L551" s="192"/>
      <c r="M551" s="192"/>
      <c r="N551" s="192"/>
      <c r="O551" s="2628" t="s">
        <v>6395</v>
      </c>
      <c r="Q551" s="118"/>
    </row>
    <row r="552" spans="1:17" ht="18.75" customHeight="1" x14ac:dyDescent="0.3">
      <c r="A552" s="104">
        <v>331</v>
      </c>
      <c r="B552" s="105" t="s">
        <v>194</v>
      </c>
      <c r="C552" s="195">
        <v>401</v>
      </c>
      <c r="D552" s="113">
        <v>59</v>
      </c>
      <c r="E552" s="114">
        <v>8507</v>
      </c>
      <c r="F552" s="115">
        <v>21645</v>
      </c>
      <c r="G552" s="116">
        <v>229</v>
      </c>
      <c r="H552" s="1731" t="s">
        <v>41</v>
      </c>
      <c r="I552" s="118"/>
      <c r="J552" s="192"/>
      <c r="K552" s="104" t="s">
        <v>25</v>
      </c>
      <c r="L552" s="192"/>
      <c r="M552" s="192"/>
      <c r="N552" s="192"/>
      <c r="O552" s="2628" t="s">
        <v>6395</v>
      </c>
      <c r="Q552" s="118"/>
    </row>
    <row r="553" spans="1:17" ht="18.75" customHeight="1" x14ac:dyDescent="0.3">
      <c r="A553" s="189">
        <v>332</v>
      </c>
      <c r="B553" s="105" t="s">
        <v>194</v>
      </c>
      <c r="C553" s="195">
        <v>401</v>
      </c>
      <c r="D553" s="113">
        <v>59</v>
      </c>
      <c r="E553" s="114">
        <v>8508</v>
      </c>
      <c r="F553" s="115">
        <v>21645</v>
      </c>
      <c r="G553" s="116">
        <v>229</v>
      </c>
      <c r="H553" s="1731" t="s">
        <v>41</v>
      </c>
      <c r="I553" s="118"/>
      <c r="J553" s="192"/>
      <c r="K553" s="104" t="s">
        <v>25</v>
      </c>
      <c r="L553" s="192"/>
      <c r="M553" s="192"/>
      <c r="N553" s="192"/>
      <c r="O553" s="2628" t="s">
        <v>6395</v>
      </c>
      <c r="Q553" s="118"/>
    </row>
    <row r="554" spans="1:17" ht="18.75" customHeight="1" x14ac:dyDescent="0.3">
      <c r="A554" s="104">
        <v>333</v>
      </c>
      <c r="B554" s="105" t="s">
        <v>194</v>
      </c>
      <c r="C554" s="195">
        <v>401</v>
      </c>
      <c r="D554" s="113">
        <v>59</v>
      </c>
      <c r="E554" s="114">
        <v>8509</v>
      </c>
      <c r="F554" s="115">
        <v>21645</v>
      </c>
      <c r="G554" s="116">
        <v>229</v>
      </c>
      <c r="H554" s="1731" t="s">
        <v>41</v>
      </c>
      <c r="I554" s="118"/>
      <c r="J554" s="192"/>
      <c r="K554" s="104" t="s">
        <v>25</v>
      </c>
      <c r="L554" s="192"/>
      <c r="M554" s="192"/>
      <c r="N554" s="192"/>
      <c r="O554" s="2628" t="s">
        <v>6395</v>
      </c>
      <c r="Q554" s="118"/>
    </row>
    <row r="555" spans="1:17" ht="18.75" customHeight="1" x14ac:dyDescent="0.3">
      <c r="A555" s="104">
        <v>334</v>
      </c>
      <c r="B555" s="105" t="s">
        <v>194</v>
      </c>
      <c r="C555" s="195">
        <v>401</v>
      </c>
      <c r="D555" s="113">
        <v>59</v>
      </c>
      <c r="E555" s="114">
        <v>8510</v>
      </c>
      <c r="F555" s="115">
        <v>21645</v>
      </c>
      <c r="G555" s="116">
        <v>229</v>
      </c>
      <c r="H555" s="1731" t="s">
        <v>41</v>
      </c>
      <c r="I555" s="118"/>
      <c r="J555" s="192"/>
      <c r="K555" s="104" t="s">
        <v>25</v>
      </c>
      <c r="L555" s="192"/>
      <c r="M555" s="192"/>
      <c r="N555" s="192"/>
      <c r="O555" s="2628" t="s">
        <v>6395</v>
      </c>
      <c r="Q555" s="118"/>
    </row>
    <row r="556" spans="1:17" ht="18.75" customHeight="1" x14ac:dyDescent="0.3">
      <c r="A556" s="189">
        <v>335</v>
      </c>
      <c r="B556" s="105" t="s">
        <v>194</v>
      </c>
      <c r="C556" s="195">
        <v>401</v>
      </c>
      <c r="D556" s="113">
        <v>59</v>
      </c>
      <c r="E556" s="114">
        <v>8511</v>
      </c>
      <c r="F556" s="115">
        <v>21645</v>
      </c>
      <c r="G556" s="116">
        <v>229</v>
      </c>
      <c r="H556" s="1731" t="s">
        <v>41</v>
      </c>
      <c r="I556" s="118"/>
      <c r="J556" s="192"/>
      <c r="K556" s="104" t="s">
        <v>25</v>
      </c>
      <c r="L556" s="192"/>
      <c r="M556" s="192"/>
      <c r="N556" s="192"/>
      <c r="O556" s="2628" t="s">
        <v>6395</v>
      </c>
      <c r="Q556" s="118"/>
    </row>
    <row r="557" spans="1:17" ht="18.75" customHeight="1" x14ac:dyDescent="0.3">
      <c r="A557" s="104">
        <v>336</v>
      </c>
      <c r="B557" s="105" t="s">
        <v>194</v>
      </c>
      <c r="C557" s="195">
        <v>401</v>
      </c>
      <c r="D557" s="113">
        <v>59</v>
      </c>
      <c r="E557" s="114">
        <v>8512</v>
      </c>
      <c r="F557" s="115">
        <v>21645</v>
      </c>
      <c r="G557" s="116">
        <v>229</v>
      </c>
      <c r="H557" s="1731" t="s">
        <v>41</v>
      </c>
      <c r="I557" s="118"/>
      <c r="J557" s="192"/>
      <c r="K557" s="104" t="s">
        <v>25</v>
      </c>
      <c r="L557" s="192"/>
      <c r="M557" s="192"/>
      <c r="N557" s="192"/>
      <c r="O557" s="2628" t="s">
        <v>6395</v>
      </c>
      <c r="Q557" s="118"/>
    </row>
    <row r="558" spans="1:17" ht="18.75" customHeight="1" x14ac:dyDescent="0.3">
      <c r="A558" s="104">
        <v>337</v>
      </c>
      <c r="B558" s="105" t="s">
        <v>194</v>
      </c>
      <c r="C558" s="195">
        <v>401</v>
      </c>
      <c r="D558" s="125">
        <v>59</v>
      </c>
      <c r="E558" s="114">
        <v>8513</v>
      </c>
      <c r="F558" s="115">
        <v>21645</v>
      </c>
      <c r="G558" s="116">
        <v>229</v>
      </c>
      <c r="H558" s="1731" t="s">
        <v>41</v>
      </c>
      <c r="I558" s="118"/>
      <c r="J558" s="192"/>
      <c r="K558" s="104" t="s">
        <v>25</v>
      </c>
      <c r="L558" s="192"/>
      <c r="M558" s="192"/>
      <c r="N558" s="192"/>
      <c r="O558" s="2628" t="s">
        <v>6395</v>
      </c>
      <c r="Q558" s="118"/>
    </row>
    <row r="559" spans="1:17" ht="18.75" customHeight="1" x14ac:dyDescent="0.3">
      <c r="A559" s="189">
        <v>338</v>
      </c>
      <c r="B559" s="105" t="s">
        <v>194</v>
      </c>
      <c r="C559" s="195">
        <v>401</v>
      </c>
      <c r="D559" s="128">
        <v>59</v>
      </c>
      <c r="E559" s="114">
        <v>8514</v>
      </c>
      <c r="F559" s="115">
        <v>21645</v>
      </c>
      <c r="G559" s="116">
        <v>229</v>
      </c>
      <c r="H559" s="1731" t="s">
        <v>41</v>
      </c>
      <c r="I559" s="118"/>
      <c r="J559" s="192"/>
      <c r="K559" s="104" t="s">
        <v>25</v>
      </c>
      <c r="L559" s="192"/>
      <c r="M559" s="192"/>
      <c r="N559" s="192"/>
      <c r="O559" s="2628" t="s">
        <v>6395</v>
      </c>
      <c r="Q559" s="118"/>
    </row>
    <row r="560" spans="1:17" ht="18.75" customHeight="1" x14ac:dyDescent="0.3">
      <c r="A560" s="104">
        <v>339</v>
      </c>
      <c r="B560" s="105" t="s">
        <v>194</v>
      </c>
      <c r="C560" s="195">
        <v>401</v>
      </c>
      <c r="D560" s="113">
        <v>59</v>
      </c>
      <c r="E560" s="114">
        <v>8515</v>
      </c>
      <c r="F560" s="115">
        <v>21645</v>
      </c>
      <c r="G560" s="116">
        <v>229</v>
      </c>
      <c r="H560" s="1731" t="s">
        <v>41</v>
      </c>
      <c r="I560" s="118"/>
      <c r="J560" s="192"/>
      <c r="K560" s="104" t="s">
        <v>25</v>
      </c>
      <c r="L560" s="192"/>
      <c r="M560" s="192"/>
      <c r="N560" s="192"/>
      <c r="O560" s="2628" t="s">
        <v>6395</v>
      </c>
      <c r="Q560" s="118"/>
    </row>
    <row r="561" spans="1:17" ht="18.75" customHeight="1" x14ac:dyDescent="0.3">
      <c r="A561" s="104">
        <v>340</v>
      </c>
      <c r="B561" s="105" t="s">
        <v>194</v>
      </c>
      <c r="C561" s="195">
        <v>401</v>
      </c>
      <c r="D561" s="113">
        <v>59</v>
      </c>
      <c r="E561" s="114">
        <v>8516</v>
      </c>
      <c r="F561" s="115">
        <v>21645</v>
      </c>
      <c r="G561" s="116">
        <v>229</v>
      </c>
      <c r="H561" s="1731" t="s">
        <v>41</v>
      </c>
      <c r="I561" s="118"/>
      <c r="J561" s="192"/>
      <c r="K561" s="104" t="s">
        <v>25</v>
      </c>
      <c r="L561" s="192"/>
      <c r="M561" s="192"/>
      <c r="N561" s="192"/>
      <c r="O561" s="2628" t="s">
        <v>6395</v>
      </c>
      <c r="Q561" s="118"/>
    </row>
    <row r="562" spans="1:17" ht="18.75" customHeight="1" x14ac:dyDescent="0.3">
      <c r="A562" s="189">
        <v>341</v>
      </c>
      <c r="B562" s="105" t="s">
        <v>194</v>
      </c>
      <c r="C562" s="195">
        <v>401</v>
      </c>
      <c r="D562" s="113">
        <v>59</v>
      </c>
      <c r="E562" s="114">
        <v>8517</v>
      </c>
      <c r="F562" s="115">
        <v>21645</v>
      </c>
      <c r="G562" s="116">
        <v>229</v>
      </c>
      <c r="H562" s="1731" t="s">
        <v>41</v>
      </c>
      <c r="I562" s="118"/>
      <c r="J562" s="192"/>
      <c r="K562" s="104" t="s">
        <v>25</v>
      </c>
      <c r="L562" s="192"/>
      <c r="M562" s="192"/>
      <c r="N562" s="192"/>
      <c r="O562" s="2628" t="s">
        <v>6395</v>
      </c>
      <c r="Q562" s="118"/>
    </row>
    <row r="563" spans="1:17" ht="18.75" customHeight="1" x14ac:dyDescent="0.3">
      <c r="A563" s="104">
        <v>342</v>
      </c>
      <c r="B563" s="105" t="s">
        <v>194</v>
      </c>
      <c r="C563" s="195">
        <v>401</v>
      </c>
      <c r="D563" s="113">
        <v>59</v>
      </c>
      <c r="E563" s="114">
        <v>8518</v>
      </c>
      <c r="F563" s="115">
        <v>21645</v>
      </c>
      <c r="G563" s="116">
        <v>229</v>
      </c>
      <c r="H563" s="1731" t="s">
        <v>41</v>
      </c>
      <c r="I563" s="118"/>
      <c r="J563" s="192"/>
      <c r="K563" s="104" t="s">
        <v>25</v>
      </c>
      <c r="L563" s="192"/>
      <c r="M563" s="192"/>
      <c r="N563" s="192"/>
      <c r="O563" s="2628" t="s">
        <v>6395</v>
      </c>
      <c r="Q563" s="118"/>
    </row>
    <row r="564" spans="1:17" ht="18.75" customHeight="1" x14ac:dyDescent="0.3">
      <c r="A564" s="104">
        <v>343</v>
      </c>
      <c r="B564" s="105" t="s">
        <v>194</v>
      </c>
      <c r="C564" s="195">
        <v>401</v>
      </c>
      <c r="D564" s="113">
        <v>59</v>
      </c>
      <c r="E564" s="114">
        <v>8519</v>
      </c>
      <c r="F564" s="115">
        <v>21645</v>
      </c>
      <c r="G564" s="116">
        <v>229</v>
      </c>
      <c r="H564" s="1731" t="s">
        <v>41</v>
      </c>
      <c r="I564" s="118"/>
      <c r="J564" s="192"/>
      <c r="K564" s="104" t="s">
        <v>25</v>
      </c>
      <c r="L564" s="192"/>
      <c r="M564" s="192"/>
      <c r="N564" s="192"/>
      <c r="O564" s="2628" t="s">
        <v>6395</v>
      </c>
      <c r="Q564" s="118"/>
    </row>
    <row r="565" spans="1:17" ht="18.75" customHeight="1" x14ac:dyDescent="0.3">
      <c r="A565" s="189">
        <v>344</v>
      </c>
      <c r="B565" s="105" t="s">
        <v>194</v>
      </c>
      <c r="C565" s="195">
        <v>401</v>
      </c>
      <c r="D565" s="113">
        <v>59</v>
      </c>
      <c r="E565" s="114">
        <v>8520</v>
      </c>
      <c r="F565" s="115">
        <v>21645</v>
      </c>
      <c r="G565" s="116">
        <v>229</v>
      </c>
      <c r="H565" s="1731" t="s">
        <v>41</v>
      </c>
      <c r="I565" s="118"/>
      <c r="J565" s="192"/>
      <c r="K565" s="104" t="s">
        <v>25</v>
      </c>
      <c r="L565" s="192"/>
      <c r="M565" s="192"/>
      <c r="N565" s="192"/>
      <c r="O565" s="2628" t="s">
        <v>6395</v>
      </c>
      <c r="Q565" s="118"/>
    </row>
    <row r="566" spans="1:17" ht="18.75" customHeight="1" x14ac:dyDescent="0.3">
      <c r="A566" s="104">
        <v>345</v>
      </c>
      <c r="B566" s="105" t="s">
        <v>194</v>
      </c>
      <c r="C566" s="195">
        <v>401</v>
      </c>
      <c r="D566" s="113">
        <v>59</v>
      </c>
      <c r="E566" s="114">
        <v>8521</v>
      </c>
      <c r="F566" s="115">
        <v>21645</v>
      </c>
      <c r="G566" s="116">
        <v>229</v>
      </c>
      <c r="H566" s="1731" t="s">
        <v>41</v>
      </c>
      <c r="I566" s="118"/>
      <c r="J566" s="192"/>
      <c r="K566" s="104" t="s">
        <v>25</v>
      </c>
      <c r="L566" s="192"/>
      <c r="M566" s="192"/>
      <c r="N566" s="192"/>
      <c r="O566" s="2628" t="s">
        <v>6395</v>
      </c>
      <c r="Q566" s="118"/>
    </row>
    <row r="567" spans="1:17" ht="18.75" customHeight="1" x14ac:dyDescent="0.3">
      <c r="A567" s="104">
        <v>346</v>
      </c>
      <c r="B567" s="105" t="s">
        <v>194</v>
      </c>
      <c r="C567" s="195">
        <v>401</v>
      </c>
      <c r="D567" s="125">
        <v>59</v>
      </c>
      <c r="E567" s="114">
        <v>8522</v>
      </c>
      <c r="F567" s="115">
        <v>21645</v>
      </c>
      <c r="G567" s="116">
        <v>229</v>
      </c>
      <c r="H567" s="1731" t="s">
        <v>41</v>
      </c>
      <c r="I567" s="118"/>
      <c r="J567" s="192"/>
      <c r="K567" s="104" t="s">
        <v>25</v>
      </c>
      <c r="L567" s="192"/>
      <c r="M567" s="192"/>
      <c r="N567" s="192"/>
      <c r="O567" s="2628" t="s">
        <v>6395</v>
      </c>
      <c r="Q567" s="118"/>
    </row>
    <row r="568" spans="1:17" ht="18.75" customHeight="1" x14ac:dyDescent="0.3">
      <c r="A568" s="189">
        <v>347</v>
      </c>
      <c r="B568" s="105" t="s">
        <v>194</v>
      </c>
      <c r="C568" s="195">
        <v>401</v>
      </c>
      <c r="D568" s="194">
        <v>59</v>
      </c>
      <c r="E568" s="114">
        <v>8523</v>
      </c>
      <c r="F568" s="115">
        <v>21645</v>
      </c>
      <c r="G568" s="116">
        <v>229</v>
      </c>
      <c r="H568" s="1731" t="s">
        <v>41</v>
      </c>
      <c r="I568" s="118"/>
      <c r="J568" s="192"/>
      <c r="K568" s="104" t="s">
        <v>25</v>
      </c>
      <c r="L568" s="192"/>
      <c r="M568" s="192"/>
      <c r="N568" s="192"/>
      <c r="O568" s="2628" t="s">
        <v>6395</v>
      </c>
      <c r="Q568" s="118"/>
    </row>
    <row r="569" spans="1:17" ht="18.75" customHeight="1" x14ac:dyDescent="0.3">
      <c r="A569" s="104">
        <v>348</v>
      </c>
      <c r="B569" s="105" t="s">
        <v>194</v>
      </c>
      <c r="C569" s="195">
        <v>401</v>
      </c>
      <c r="D569" s="128">
        <v>59</v>
      </c>
      <c r="E569" s="114">
        <v>8524</v>
      </c>
      <c r="F569" s="115">
        <v>21645</v>
      </c>
      <c r="G569" s="116">
        <v>229</v>
      </c>
      <c r="H569" s="1731" t="s">
        <v>41</v>
      </c>
      <c r="I569" s="118"/>
      <c r="J569" s="192"/>
      <c r="K569" s="104" t="s">
        <v>25</v>
      </c>
      <c r="L569" s="192"/>
      <c r="M569" s="192"/>
      <c r="N569" s="192"/>
      <c r="O569" s="2628" t="s">
        <v>6395</v>
      </c>
      <c r="Q569" s="118"/>
    </row>
    <row r="570" spans="1:17" ht="18.75" customHeight="1" x14ac:dyDescent="0.3">
      <c r="A570" s="104">
        <v>349</v>
      </c>
      <c r="B570" s="105" t="s">
        <v>194</v>
      </c>
      <c r="C570" s="195">
        <v>401</v>
      </c>
      <c r="D570" s="113">
        <v>59</v>
      </c>
      <c r="E570" s="114">
        <v>8525</v>
      </c>
      <c r="F570" s="115">
        <v>21645</v>
      </c>
      <c r="G570" s="116">
        <v>229</v>
      </c>
      <c r="H570" s="1731" t="s">
        <v>41</v>
      </c>
      <c r="I570" s="118"/>
      <c r="J570" s="192"/>
      <c r="K570" s="104" t="s">
        <v>25</v>
      </c>
      <c r="L570" s="192"/>
      <c r="M570" s="192"/>
      <c r="N570" s="192"/>
      <c r="O570" s="2628" t="s">
        <v>6395</v>
      </c>
      <c r="Q570" s="118"/>
    </row>
    <row r="571" spans="1:17" ht="18.75" customHeight="1" x14ac:dyDescent="0.3">
      <c r="A571" s="189">
        <v>350</v>
      </c>
      <c r="B571" s="105" t="s">
        <v>194</v>
      </c>
      <c r="C571" s="195">
        <v>401</v>
      </c>
      <c r="D571" s="113">
        <v>59</v>
      </c>
      <c r="E571" s="114">
        <v>8526</v>
      </c>
      <c r="F571" s="115">
        <v>21645</v>
      </c>
      <c r="G571" s="116">
        <v>229</v>
      </c>
      <c r="H571" s="1731" t="s">
        <v>41</v>
      </c>
      <c r="I571" s="118"/>
      <c r="J571" s="192"/>
      <c r="K571" s="104" t="s">
        <v>25</v>
      </c>
      <c r="L571" s="192"/>
      <c r="M571" s="192"/>
      <c r="N571" s="192"/>
      <c r="O571" s="2628" t="s">
        <v>6395</v>
      </c>
      <c r="Q571" s="118"/>
    </row>
    <row r="572" spans="1:17" ht="18.75" customHeight="1" x14ac:dyDescent="0.3">
      <c r="A572" s="104">
        <v>351</v>
      </c>
      <c r="B572" s="105" t="s">
        <v>194</v>
      </c>
      <c r="C572" s="195">
        <v>401</v>
      </c>
      <c r="D572" s="113">
        <v>59</v>
      </c>
      <c r="E572" s="114">
        <v>8527</v>
      </c>
      <c r="F572" s="115">
        <v>21645</v>
      </c>
      <c r="G572" s="116">
        <v>229</v>
      </c>
      <c r="H572" s="1731" t="s">
        <v>41</v>
      </c>
      <c r="I572" s="118"/>
      <c r="J572" s="192"/>
      <c r="K572" s="104" t="s">
        <v>25</v>
      </c>
      <c r="L572" s="192"/>
      <c r="M572" s="192"/>
      <c r="N572" s="192"/>
      <c r="O572" s="2628" t="s">
        <v>6395</v>
      </c>
      <c r="Q572" s="118"/>
    </row>
    <row r="573" spans="1:17" ht="18.75" customHeight="1" x14ac:dyDescent="0.3">
      <c r="A573" s="104">
        <v>352</v>
      </c>
      <c r="B573" s="105" t="s">
        <v>194</v>
      </c>
      <c r="C573" s="195">
        <v>401</v>
      </c>
      <c r="D573" s="113">
        <v>59</v>
      </c>
      <c r="E573" s="114">
        <v>8528</v>
      </c>
      <c r="F573" s="115">
        <v>21645</v>
      </c>
      <c r="G573" s="116">
        <v>229</v>
      </c>
      <c r="H573" s="1731" t="s">
        <v>41</v>
      </c>
      <c r="I573" s="118"/>
      <c r="J573" s="192"/>
      <c r="K573" s="104" t="s">
        <v>25</v>
      </c>
      <c r="L573" s="192"/>
      <c r="M573" s="192"/>
      <c r="N573" s="192"/>
      <c r="O573" s="2628" t="s">
        <v>6395</v>
      </c>
      <c r="Q573" s="118"/>
    </row>
    <row r="574" spans="1:17" ht="18.75" customHeight="1" x14ac:dyDescent="0.3">
      <c r="A574" s="189">
        <v>353</v>
      </c>
      <c r="B574" s="105" t="s">
        <v>194</v>
      </c>
      <c r="C574" s="195">
        <v>401</v>
      </c>
      <c r="D574" s="136">
        <v>59</v>
      </c>
      <c r="E574" s="114">
        <v>8529</v>
      </c>
      <c r="F574" s="115">
        <v>21645</v>
      </c>
      <c r="G574" s="116">
        <v>229</v>
      </c>
      <c r="H574" s="1731" t="s">
        <v>41</v>
      </c>
      <c r="I574" s="118"/>
      <c r="J574" s="192"/>
      <c r="K574" s="104" t="s">
        <v>25</v>
      </c>
      <c r="L574" s="192"/>
      <c r="M574" s="192"/>
      <c r="N574" s="192"/>
      <c r="O574" s="2628" t="s">
        <v>6395</v>
      </c>
      <c r="Q574" s="118"/>
    </row>
    <row r="575" spans="1:17" ht="18.75" customHeight="1" x14ac:dyDescent="0.3">
      <c r="A575" s="104">
        <v>354</v>
      </c>
      <c r="B575" s="105" t="s">
        <v>194</v>
      </c>
      <c r="C575" s="195">
        <v>401</v>
      </c>
      <c r="D575" s="128">
        <v>59</v>
      </c>
      <c r="E575" s="114">
        <v>8530</v>
      </c>
      <c r="F575" s="115">
        <v>21645</v>
      </c>
      <c r="G575" s="116">
        <v>229</v>
      </c>
      <c r="H575" s="1731" t="s">
        <v>41</v>
      </c>
      <c r="I575" s="118"/>
      <c r="J575" s="192"/>
      <c r="K575" s="104" t="s">
        <v>25</v>
      </c>
      <c r="L575" s="192"/>
      <c r="M575" s="192"/>
      <c r="N575" s="192"/>
      <c r="O575" s="2628" t="s">
        <v>6395</v>
      </c>
      <c r="Q575" s="118"/>
    </row>
    <row r="576" spans="1:17" ht="18.75" customHeight="1" x14ac:dyDescent="0.3">
      <c r="A576" s="104">
        <v>355</v>
      </c>
      <c r="B576" s="105" t="s">
        <v>194</v>
      </c>
      <c r="C576" s="195">
        <v>401</v>
      </c>
      <c r="D576" s="113">
        <v>59</v>
      </c>
      <c r="E576" s="114">
        <v>8531</v>
      </c>
      <c r="F576" s="115">
        <v>21645</v>
      </c>
      <c r="G576" s="116">
        <v>229</v>
      </c>
      <c r="H576" s="1731" t="s">
        <v>41</v>
      </c>
      <c r="I576" s="118"/>
      <c r="J576" s="192"/>
      <c r="K576" s="104" t="s">
        <v>25</v>
      </c>
      <c r="L576" s="192"/>
      <c r="M576" s="192"/>
      <c r="N576" s="192"/>
      <c r="O576" s="2628" t="s">
        <v>6395</v>
      </c>
      <c r="Q576" s="118"/>
    </row>
    <row r="577" spans="1:17" ht="18.75" customHeight="1" x14ac:dyDescent="0.3">
      <c r="A577" s="189">
        <v>356</v>
      </c>
      <c r="B577" s="105" t="s">
        <v>194</v>
      </c>
      <c r="C577" s="195">
        <v>401</v>
      </c>
      <c r="D577" s="113">
        <v>59</v>
      </c>
      <c r="E577" s="114">
        <v>8532</v>
      </c>
      <c r="F577" s="115">
        <v>21645</v>
      </c>
      <c r="G577" s="116">
        <v>229</v>
      </c>
      <c r="H577" s="1731" t="s">
        <v>41</v>
      </c>
      <c r="I577" s="118"/>
      <c r="J577" s="192"/>
      <c r="K577" s="104" t="s">
        <v>25</v>
      </c>
      <c r="L577" s="192"/>
      <c r="M577" s="192"/>
      <c r="N577" s="192"/>
      <c r="O577" s="2628" t="s">
        <v>6395</v>
      </c>
      <c r="Q577" s="118"/>
    </row>
    <row r="578" spans="1:17" ht="18.75" customHeight="1" x14ac:dyDescent="0.3">
      <c r="A578" s="104">
        <v>357</v>
      </c>
      <c r="B578" s="105" t="s">
        <v>194</v>
      </c>
      <c r="C578" s="195">
        <v>401</v>
      </c>
      <c r="D578" s="113">
        <v>59</v>
      </c>
      <c r="E578" s="114">
        <v>8533</v>
      </c>
      <c r="F578" s="115">
        <v>21645</v>
      </c>
      <c r="G578" s="116">
        <v>229</v>
      </c>
      <c r="H578" s="1731" t="s">
        <v>41</v>
      </c>
      <c r="I578" s="118"/>
      <c r="J578" s="192"/>
      <c r="K578" s="104" t="s">
        <v>25</v>
      </c>
      <c r="L578" s="192"/>
      <c r="M578" s="192"/>
      <c r="N578" s="192"/>
      <c r="O578" s="2628" t="s">
        <v>6395</v>
      </c>
      <c r="Q578" s="118"/>
    </row>
    <row r="579" spans="1:17" ht="18.75" customHeight="1" x14ac:dyDescent="0.3">
      <c r="A579" s="104">
        <v>358</v>
      </c>
      <c r="B579" s="105" t="s">
        <v>194</v>
      </c>
      <c r="C579" s="195">
        <v>401</v>
      </c>
      <c r="D579" s="125">
        <v>59</v>
      </c>
      <c r="E579" s="114">
        <v>8534</v>
      </c>
      <c r="F579" s="115">
        <v>21645</v>
      </c>
      <c r="G579" s="116">
        <v>229</v>
      </c>
      <c r="H579" s="1731" t="s">
        <v>41</v>
      </c>
      <c r="I579" s="118"/>
      <c r="J579" s="192"/>
      <c r="K579" s="104" t="s">
        <v>25</v>
      </c>
      <c r="L579" s="192"/>
      <c r="M579" s="192"/>
      <c r="N579" s="192"/>
      <c r="O579" s="2628" t="s">
        <v>6395</v>
      </c>
      <c r="Q579" s="118"/>
    </row>
    <row r="580" spans="1:17" ht="18.75" customHeight="1" x14ac:dyDescent="0.3">
      <c r="A580" s="189">
        <v>359</v>
      </c>
      <c r="B580" s="105" t="s">
        <v>194</v>
      </c>
      <c r="C580" s="195">
        <v>401</v>
      </c>
      <c r="D580" s="149">
        <v>59</v>
      </c>
      <c r="E580" s="114">
        <v>8535</v>
      </c>
      <c r="F580" s="115">
        <v>21645</v>
      </c>
      <c r="G580" s="116">
        <v>229</v>
      </c>
      <c r="H580" s="1731" t="s">
        <v>41</v>
      </c>
      <c r="I580" s="118"/>
      <c r="J580" s="192"/>
      <c r="K580" s="104" t="s">
        <v>25</v>
      </c>
      <c r="L580" s="192"/>
      <c r="M580" s="192"/>
      <c r="N580" s="192"/>
      <c r="O580" s="2628" t="s">
        <v>6395</v>
      </c>
      <c r="Q580" s="118"/>
    </row>
    <row r="581" spans="1:17" ht="18.75" customHeight="1" x14ac:dyDescent="0.3">
      <c r="A581" s="104">
        <v>360</v>
      </c>
      <c r="B581" s="105" t="s">
        <v>194</v>
      </c>
      <c r="C581" s="195">
        <v>401</v>
      </c>
      <c r="D581" s="113">
        <v>59</v>
      </c>
      <c r="E581" s="114">
        <v>8536</v>
      </c>
      <c r="F581" s="115">
        <v>21645</v>
      </c>
      <c r="G581" s="116">
        <v>229</v>
      </c>
      <c r="H581" s="1731" t="s">
        <v>41</v>
      </c>
      <c r="I581" s="118"/>
      <c r="J581" s="192"/>
      <c r="K581" s="104" t="s">
        <v>25</v>
      </c>
      <c r="L581" s="192"/>
      <c r="M581" s="192"/>
      <c r="N581" s="192"/>
      <c r="O581" s="2628" t="s">
        <v>6395</v>
      </c>
      <c r="Q581" s="118"/>
    </row>
    <row r="582" spans="1:17" ht="18.75" customHeight="1" x14ac:dyDescent="0.3">
      <c r="A582" s="104">
        <v>361</v>
      </c>
      <c r="B582" s="105" t="s">
        <v>194</v>
      </c>
      <c r="C582" s="195">
        <v>401</v>
      </c>
      <c r="D582" s="113">
        <v>59</v>
      </c>
      <c r="E582" s="114">
        <v>8537</v>
      </c>
      <c r="F582" s="115">
        <v>21645</v>
      </c>
      <c r="G582" s="116">
        <v>229</v>
      </c>
      <c r="H582" s="1731" t="s">
        <v>41</v>
      </c>
      <c r="I582" s="118"/>
      <c r="J582" s="192"/>
      <c r="K582" s="104" t="s">
        <v>25</v>
      </c>
      <c r="L582" s="192"/>
      <c r="M582" s="192"/>
      <c r="N582" s="192"/>
      <c r="O582" s="2628" t="s">
        <v>6395</v>
      </c>
      <c r="Q582" s="118"/>
    </row>
    <row r="583" spans="1:17" ht="18.75" customHeight="1" x14ac:dyDescent="0.3">
      <c r="A583" s="189">
        <v>362</v>
      </c>
      <c r="B583" s="105" t="s">
        <v>194</v>
      </c>
      <c r="C583" s="195">
        <v>401</v>
      </c>
      <c r="D583" s="113">
        <v>59</v>
      </c>
      <c r="E583" s="114">
        <v>8538</v>
      </c>
      <c r="F583" s="115">
        <v>21645</v>
      </c>
      <c r="G583" s="116">
        <v>229</v>
      </c>
      <c r="H583" s="1731" t="s">
        <v>41</v>
      </c>
      <c r="I583" s="118"/>
      <c r="J583" s="192"/>
      <c r="K583" s="104" t="s">
        <v>25</v>
      </c>
      <c r="L583" s="192"/>
      <c r="M583" s="192"/>
      <c r="N583" s="192"/>
      <c r="O583" s="2628" t="s">
        <v>6395</v>
      </c>
      <c r="Q583" s="118"/>
    </row>
    <row r="584" spans="1:17" ht="18.75" customHeight="1" x14ac:dyDescent="0.3">
      <c r="A584" s="104">
        <v>363</v>
      </c>
      <c r="B584" s="105" t="s">
        <v>194</v>
      </c>
      <c r="C584" s="195">
        <v>401</v>
      </c>
      <c r="D584" s="113">
        <v>59</v>
      </c>
      <c r="E584" s="114">
        <v>8539</v>
      </c>
      <c r="F584" s="115">
        <v>21645</v>
      </c>
      <c r="G584" s="116">
        <v>229</v>
      </c>
      <c r="H584" s="1731" t="s">
        <v>41</v>
      </c>
      <c r="I584" s="118"/>
      <c r="J584" s="192"/>
      <c r="K584" s="104" t="s">
        <v>25</v>
      </c>
      <c r="L584" s="192"/>
      <c r="M584" s="192"/>
      <c r="N584" s="192"/>
      <c r="O584" s="2628" t="s">
        <v>6395</v>
      </c>
      <c r="Q584" s="118"/>
    </row>
    <row r="585" spans="1:17" ht="18.75" customHeight="1" x14ac:dyDescent="0.3">
      <c r="A585" s="104">
        <v>364</v>
      </c>
      <c r="B585" s="105" t="s">
        <v>194</v>
      </c>
      <c r="C585" s="195">
        <v>401</v>
      </c>
      <c r="D585" s="125">
        <v>59</v>
      </c>
      <c r="E585" s="114">
        <v>8540</v>
      </c>
      <c r="F585" s="115">
        <v>21645</v>
      </c>
      <c r="G585" s="116">
        <v>229</v>
      </c>
      <c r="H585" s="1731" t="s">
        <v>41</v>
      </c>
      <c r="I585" s="118"/>
      <c r="J585" s="192"/>
      <c r="K585" s="104" t="s">
        <v>25</v>
      </c>
      <c r="L585" s="192"/>
      <c r="M585" s="192"/>
      <c r="N585" s="192"/>
      <c r="O585" s="2628" t="s">
        <v>6395</v>
      </c>
      <c r="Q585" s="118"/>
    </row>
    <row r="586" spans="1:17" ht="18.75" customHeight="1" x14ac:dyDescent="0.3">
      <c r="A586" s="189">
        <v>365</v>
      </c>
      <c r="B586" s="105" t="s">
        <v>194</v>
      </c>
      <c r="C586" s="195">
        <v>401</v>
      </c>
      <c r="D586" s="193">
        <v>59</v>
      </c>
      <c r="E586" s="114">
        <v>8541</v>
      </c>
      <c r="F586" s="115">
        <v>21645</v>
      </c>
      <c r="G586" s="116">
        <v>229</v>
      </c>
      <c r="H586" s="1731" t="s">
        <v>41</v>
      </c>
      <c r="I586" s="118"/>
      <c r="J586" s="192"/>
      <c r="K586" s="104" t="s">
        <v>25</v>
      </c>
      <c r="L586" s="192"/>
      <c r="M586" s="192"/>
      <c r="N586" s="192"/>
      <c r="O586" s="2628" t="s">
        <v>6395</v>
      </c>
      <c r="Q586" s="118"/>
    </row>
    <row r="587" spans="1:17" ht="18.75" customHeight="1" x14ac:dyDescent="0.3">
      <c r="A587" s="104">
        <v>366</v>
      </c>
      <c r="B587" s="105" t="s">
        <v>194</v>
      </c>
      <c r="C587" s="195">
        <v>401</v>
      </c>
      <c r="D587" s="128">
        <v>59</v>
      </c>
      <c r="E587" s="114">
        <v>8542</v>
      </c>
      <c r="F587" s="115">
        <v>21645</v>
      </c>
      <c r="G587" s="116">
        <v>229</v>
      </c>
      <c r="H587" s="1731" t="s">
        <v>41</v>
      </c>
      <c r="I587" s="118"/>
      <c r="J587" s="192"/>
      <c r="K587" s="104" t="s">
        <v>25</v>
      </c>
      <c r="L587" s="192"/>
      <c r="M587" s="192"/>
      <c r="N587" s="192"/>
      <c r="O587" s="2628" t="s">
        <v>6395</v>
      </c>
      <c r="Q587" s="118"/>
    </row>
    <row r="588" spans="1:17" ht="18.75" customHeight="1" x14ac:dyDescent="0.3">
      <c r="A588" s="104">
        <v>367</v>
      </c>
      <c r="B588" s="105" t="s">
        <v>194</v>
      </c>
      <c r="C588" s="195">
        <v>401</v>
      </c>
      <c r="D588" s="113">
        <v>59</v>
      </c>
      <c r="E588" s="114">
        <v>8543</v>
      </c>
      <c r="F588" s="115">
        <v>21645</v>
      </c>
      <c r="G588" s="116">
        <v>229</v>
      </c>
      <c r="H588" s="1731" t="s">
        <v>41</v>
      </c>
      <c r="I588" s="118"/>
      <c r="J588" s="192"/>
      <c r="K588" s="104" t="s">
        <v>25</v>
      </c>
      <c r="L588" s="192"/>
      <c r="M588" s="192"/>
      <c r="N588" s="192"/>
      <c r="O588" s="2628" t="s">
        <v>6395</v>
      </c>
      <c r="Q588" s="118"/>
    </row>
    <row r="589" spans="1:17" ht="18.75" customHeight="1" x14ac:dyDescent="0.3">
      <c r="A589" s="189">
        <v>368</v>
      </c>
      <c r="B589" s="105" t="s">
        <v>194</v>
      </c>
      <c r="C589" s="195">
        <v>401</v>
      </c>
      <c r="D589" s="113">
        <v>59</v>
      </c>
      <c r="E589" s="114">
        <v>8544</v>
      </c>
      <c r="F589" s="115">
        <v>21645</v>
      </c>
      <c r="G589" s="116">
        <v>229</v>
      </c>
      <c r="H589" s="1731" t="s">
        <v>41</v>
      </c>
      <c r="I589" s="118"/>
      <c r="J589" s="192"/>
      <c r="K589" s="104" t="s">
        <v>25</v>
      </c>
      <c r="L589" s="192"/>
      <c r="M589" s="192"/>
      <c r="N589" s="192"/>
      <c r="O589" s="2628" t="s">
        <v>6395</v>
      </c>
      <c r="Q589" s="118"/>
    </row>
    <row r="590" spans="1:17" ht="18.75" customHeight="1" x14ac:dyDescent="0.3">
      <c r="A590" s="104">
        <v>369</v>
      </c>
      <c r="B590" s="105" t="s">
        <v>194</v>
      </c>
      <c r="C590" s="195">
        <v>401</v>
      </c>
      <c r="D590" s="113">
        <v>59</v>
      </c>
      <c r="E590" s="114">
        <v>8545</v>
      </c>
      <c r="F590" s="115">
        <v>21645</v>
      </c>
      <c r="G590" s="116">
        <v>229</v>
      </c>
      <c r="H590" s="1731" t="s">
        <v>41</v>
      </c>
      <c r="I590" s="118"/>
      <c r="J590" s="192"/>
      <c r="K590" s="104" t="s">
        <v>25</v>
      </c>
      <c r="L590" s="192"/>
      <c r="M590" s="192"/>
      <c r="N590" s="192"/>
      <c r="O590" s="2628" t="s">
        <v>6395</v>
      </c>
      <c r="Q590" s="118"/>
    </row>
    <row r="591" spans="1:17" ht="18.75" customHeight="1" x14ac:dyDescent="0.3">
      <c r="A591" s="104">
        <v>370</v>
      </c>
      <c r="B591" s="105" t="s">
        <v>194</v>
      </c>
      <c r="C591" s="195">
        <v>401</v>
      </c>
      <c r="D591" s="113">
        <v>59</v>
      </c>
      <c r="E591" s="114">
        <v>8546</v>
      </c>
      <c r="F591" s="115">
        <v>21645</v>
      </c>
      <c r="G591" s="116">
        <v>229</v>
      </c>
      <c r="H591" s="1731" t="s">
        <v>41</v>
      </c>
      <c r="I591" s="118"/>
      <c r="J591" s="192"/>
      <c r="K591" s="104" t="s">
        <v>25</v>
      </c>
      <c r="L591" s="192"/>
      <c r="M591" s="192"/>
      <c r="N591" s="192"/>
      <c r="O591" s="2628" t="s">
        <v>6395</v>
      </c>
      <c r="Q591" s="118"/>
    </row>
    <row r="592" spans="1:17" ht="18.75" customHeight="1" x14ac:dyDescent="0.3">
      <c r="A592" s="189">
        <v>371</v>
      </c>
      <c r="B592" s="105" t="s">
        <v>194</v>
      </c>
      <c r="C592" s="195">
        <v>401</v>
      </c>
      <c r="D592" s="125">
        <v>59</v>
      </c>
      <c r="E592" s="114">
        <v>8547</v>
      </c>
      <c r="F592" s="115">
        <v>21645</v>
      </c>
      <c r="G592" s="116">
        <v>229</v>
      </c>
      <c r="H592" s="1731" t="s">
        <v>41</v>
      </c>
      <c r="I592" s="118"/>
      <c r="J592" s="192"/>
      <c r="K592" s="104" t="s">
        <v>25</v>
      </c>
      <c r="L592" s="192"/>
      <c r="M592" s="192"/>
      <c r="N592" s="192"/>
      <c r="O592" s="2628" t="s">
        <v>6395</v>
      </c>
      <c r="Q592" s="118"/>
    </row>
    <row r="593" spans="1:17" ht="18.75" customHeight="1" x14ac:dyDescent="0.3">
      <c r="A593" s="104">
        <v>372</v>
      </c>
      <c r="B593" s="105" t="s">
        <v>194</v>
      </c>
      <c r="C593" s="195">
        <v>401</v>
      </c>
      <c r="D593" s="149">
        <v>59</v>
      </c>
      <c r="E593" s="114">
        <v>8548</v>
      </c>
      <c r="F593" s="115">
        <v>21645</v>
      </c>
      <c r="G593" s="116">
        <v>229</v>
      </c>
      <c r="H593" s="1731" t="s">
        <v>41</v>
      </c>
      <c r="I593" s="118"/>
      <c r="J593" s="192"/>
      <c r="K593" s="104" t="s">
        <v>25</v>
      </c>
      <c r="L593" s="192"/>
      <c r="M593" s="192"/>
      <c r="N593" s="192"/>
      <c r="O593" s="2628" t="s">
        <v>6395</v>
      </c>
      <c r="Q593" s="118"/>
    </row>
    <row r="594" spans="1:17" ht="18.75" customHeight="1" x14ac:dyDescent="0.3">
      <c r="A594" s="104">
        <v>373</v>
      </c>
      <c r="B594" s="105" t="s">
        <v>194</v>
      </c>
      <c r="C594" s="195">
        <v>401</v>
      </c>
      <c r="D594" s="113">
        <v>59</v>
      </c>
      <c r="E594" s="114">
        <v>8549</v>
      </c>
      <c r="F594" s="115">
        <v>21645</v>
      </c>
      <c r="G594" s="116">
        <v>229</v>
      </c>
      <c r="H594" s="1731" t="s">
        <v>41</v>
      </c>
      <c r="I594" s="118"/>
      <c r="J594" s="192"/>
      <c r="K594" s="104" t="s">
        <v>25</v>
      </c>
      <c r="L594" s="192"/>
      <c r="M594" s="192"/>
      <c r="N594" s="192"/>
      <c r="O594" s="2628" t="s">
        <v>6395</v>
      </c>
      <c r="Q594" s="118"/>
    </row>
    <row r="595" spans="1:17" ht="18.75" customHeight="1" x14ac:dyDescent="0.3">
      <c r="A595" s="189">
        <v>374</v>
      </c>
      <c r="B595" s="105" t="s">
        <v>194</v>
      </c>
      <c r="C595" s="195">
        <v>401</v>
      </c>
      <c r="D595" s="113">
        <v>59</v>
      </c>
      <c r="E595" s="114">
        <v>8550</v>
      </c>
      <c r="F595" s="115">
        <v>21645</v>
      </c>
      <c r="G595" s="116">
        <v>229</v>
      </c>
      <c r="H595" s="1731" t="s">
        <v>41</v>
      </c>
      <c r="I595" s="118"/>
      <c r="J595" s="192"/>
      <c r="K595" s="104" t="s">
        <v>25</v>
      </c>
      <c r="L595" s="192"/>
      <c r="M595" s="192"/>
      <c r="N595" s="192"/>
      <c r="O595" s="2628" t="s">
        <v>6395</v>
      </c>
      <c r="Q595" s="118"/>
    </row>
    <row r="596" spans="1:17" ht="18.75" customHeight="1" x14ac:dyDescent="0.3">
      <c r="A596" s="104">
        <v>375</v>
      </c>
      <c r="B596" s="105" t="s">
        <v>194</v>
      </c>
      <c r="C596" s="195">
        <v>401</v>
      </c>
      <c r="D596" s="113">
        <v>59</v>
      </c>
      <c r="E596" s="114">
        <v>8551</v>
      </c>
      <c r="F596" s="115">
        <v>21645</v>
      </c>
      <c r="G596" s="116">
        <v>229</v>
      </c>
      <c r="H596" s="1731" t="s">
        <v>41</v>
      </c>
      <c r="I596" s="118"/>
      <c r="J596" s="192"/>
      <c r="K596" s="104" t="s">
        <v>25</v>
      </c>
      <c r="L596" s="192"/>
      <c r="M596" s="192"/>
      <c r="N596" s="192"/>
      <c r="O596" s="2628" t="s">
        <v>6395</v>
      </c>
      <c r="Q596" s="118"/>
    </row>
    <row r="597" spans="1:17" ht="18.75" customHeight="1" x14ac:dyDescent="0.3">
      <c r="A597" s="104">
        <v>376</v>
      </c>
      <c r="B597" s="105" t="s">
        <v>194</v>
      </c>
      <c r="C597" s="195">
        <v>401</v>
      </c>
      <c r="D597" s="113">
        <v>59</v>
      </c>
      <c r="E597" s="114">
        <v>8552</v>
      </c>
      <c r="F597" s="115">
        <v>21645</v>
      </c>
      <c r="G597" s="116">
        <v>229</v>
      </c>
      <c r="H597" s="1731" t="s">
        <v>41</v>
      </c>
      <c r="I597" s="118"/>
      <c r="J597" s="192"/>
      <c r="K597" s="104" t="s">
        <v>25</v>
      </c>
      <c r="L597" s="192"/>
      <c r="M597" s="192"/>
      <c r="N597" s="192"/>
      <c r="O597" s="2628" t="s">
        <v>6395</v>
      </c>
      <c r="Q597" s="118"/>
    </row>
    <row r="598" spans="1:17" ht="18.75" customHeight="1" x14ac:dyDescent="0.3">
      <c r="A598" s="189">
        <v>377</v>
      </c>
      <c r="B598" s="105" t="s">
        <v>194</v>
      </c>
      <c r="C598" s="195">
        <v>401</v>
      </c>
      <c r="D598" s="113">
        <v>59</v>
      </c>
      <c r="E598" s="114">
        <v>8553</v>
      </c>
      <c r="F598" s="115">
        <v>21645</v>
      </c>
      <c r="G598" s="116">
        <v>229</v>
      </c>
      <c r="H598" s="1731" t="s">
        <v>41</v>
      </c>
      <c r="I598" s="118"/>
      <c r="J598" s="192"/>
      <c r="K598" s="104" t="s">
        <v>25</v>
      </c>
      <c r="L598" s="192"/>
      <c r="M598" s="192"/>
      <c r="N598" s="192"/>
      <c r="O598" s="2628" t="s">
        <v>6395</v>
      </c>
      <c r="Q598" s="118"/>
    </row>
    <row r="599" spans="1:17" ht="18.75" customHeight="1" x14ac:dyDescent="0.3">
      <c r="A599" s="104">
        <v>378</v>
      </c>
      <c r="B599" s="105" t="s">
        <v>194</v>
      </c>
      <c r="C599" s="195">
        <v>401</v>
      </c>
      <c r="D599" s="113">
        <v>59</v>
      </c>
      <c r="E599" s="114">
        <v>8554</v>
      </c>
      <c r="F599" s="115">
        <v>21645</v>
      </c>
      <c r="G599" s="116">
        <v>229</v>
      </c>
      <c r="H599" s="1731" t="s">
        <v>41</v>
      </c>
      <c r="I599" s="118"/>
      <c r="J599" s="192"/>
      <c r="K599" s="104" t="s">
        <v>25</v>
      </c>
      <c r="L599" s="192"/>
      <c r="M599" s="192"/>
      <c r="N599" s="192"/>
      <c r="O599" s="2628" t="s">
        <v>6395</v>
      </c>
      <c r="Q599" s="118"/>
    </row>
    <row r="600" spans="1:17" ht="18.75" customHeight="1" x14ac:dyDescent="0.3">
      <c r="A600" s="104">
        <v>379</v>
      </c>
      <c r="B600" s="105" t="s">
        <v>194</v>
      </c>
      <c r="C600" s="195">
        <v>401</v>
      </c>
      <c r="D600" s="113">
        <v>59</v>
      </c>
      <c r="E600" s="114">
        <v>8555</v>
      </c>
      <c r="F600" s="115">
        <v>21645</v>
      </c>
      <c r="G600" s="116">
        <v>229</v>
      </c>
      <c r="H600" s="1731" t="s">
        <v>41</v>
      </c>
      <c r="I600" s="118"/>
      <c r="J600" s="192"/>
      <c r="K600" s="104" t="s">
        <v>25</v>
      </c>
      <c r="L600" s="192"/>
      <c r="M600" s="192"/>
      <c r="N600" s="192"/>
      <c r="O600" s="2628" t="s">
        <v>6395</v>
      </c>
      <c r="Q600" s="118"/>
    </row>
    <row r="601" spans="1:17" ht="18.75" customHeight="1" x14ac:dyDescent="0.3">
      <c r="A601" s="189">
        <v>380</v>
      </c>
      <c r="B601" s="105" t="s">
        <v>194</v>
      </c>
      <c r="C601" s="195">
        <v>401</v>
      </c>
      <c r="D601" s="136">
        <v>59</v>
      </c>
      <c r="E601" s="114">
        <v>8556</v>
      </c>
      <c r="F601" s="115">
        <v>21645</v>
      </c>
      <c r="G601" s="116">
        <v>229</v>
      </c>
      <c r="H601" s="1731" t="s">
        <v>41</v>
      </c>
      <c r="I601" s="118"/>
      <c r="J601" s="192"/>
      <c r="K601" s="104" t="s">
        <v>25</v>
      </c>
      <c r="L601" s="192"/>
      <c r="M601" s="192"/>
      <c r="N601" s="192"/>
      <c r="O601" s="2628" t="s">
        <v>6395</v>
      </c>
      <c r="Q601" s="118"/>
    </row>
    <row r="602" spans="1:17" ht="18.75" customHeight="1" x14ac:dyDescent="0.3">
      <c r="A602" s="104">
        <v>381</v>
      </c>
      <c r="B602" s="105" t="s">
        <v>194</v>
      </c>
      <c r="C602" s="195">
        <v>401</v>
      </c>
      <c r="D602" s="128">
        <v>59</v>
      </c>
      <c r="E602" s="114">
        <v>8557</v>
      </c>
      <c r="F602" s="115">
        <v>21645</v>
      </c>
      <c r="G602" s="116">
        <v>229</v>
      </c>
      <c r="H602" s="1731" t="s">
        <v>41</v>
      </c>
      <c r="I602" s="118"/>
      <c r="J602" s="192"/>
      <c r="K602" s="104" t="s">
        <v>25</v>
      </c>
      <c r="L602" s="192"/>
      <c r="M602" s="192"/>
      <c r="N602" s="192"/>
      <c r="O602" s="2628" t="s">
        <v>6395</v>
      </c>
      <c r="Q602" s="118"/>
    </row>
    <row r="603" spans="1:17" ht="18.75" customHeight="1" x14ac:dyDescent="0.3">
      <c r="A603" s="104">
        <v>382</v>
      </c>
      <c r="B603" s="105" t="s">
        <v>194</v>
      </c>
      <c r="C603" s="195">
        <v>401</v>
      </c>
      <c r="D603" s="113">
        <v>59</v>
      </c>
      <c r="E603" s="114">
        <v>8558</v>
      </c>
      <c r="F603" s="115">
        <v>21645</v>
      </c>
      <c r="G603" s="116">
        <v>229</v>
      </c>
      <c r="H603" s="1731" t="s">
        <v>41</v>
      </c>
      <c r="I603" s="118"/>
      <c r="J603" s="192"/>
      <c r="K603" s="104" t="s">
        <v>25</v>
      </c>
      <c r="L603" s="192"/>
      <c r="M603" s="192"/>
      <c r="N603" s="192"/>
      <c r="O603" s="2628" t="s">
        <v>6395</v>
      </c>
      <c r="Q603" s="118"/>
    </row>
    <row r="604" spans="1:17" ht="18.75" customHeight="1" x14ac:dyDescent="0.3">
      <c r="A604" s="189">
        <v>383</v>
      </c>
      <c r="B604" s="105" t="s">
        <v>194</v>
      </c>
      <c r="C604" s="195">
        <v>401</v>
      </c>
      <c r="D604" s="113">
        <v>59</v>
      </c>
      <c r="E604" s="114">
        <v>8559</v>
      </c>
      <c r="F604" s="115">
        <v>21645</v>
      </c>
      <c r="G604" s="116">
        <v>229</v>
      </c>
      <c r="H604" s="1731" t="s">
        <v>41</v>
      </c>
      <c r="I604" s="118"/>
      <c r="J604" s="192"/>
      <c r="K604" s="104" t="s">
        <v>25</v>
      </c>
      <c r="L604" s="192"/>
      <c r="M604" s="192"/>
      <c r="N604" s="192"/>
      <c r="O604" s="2628" t="s">
        <v>6395</v>
      </c>
      <c r="Q604" s="118"/>
    </row>
    <row r="605" spans="1:17" ht="18.75" customHeight="1" x14ac:dyDescent="0.3">
      <c r="A605" s="104">
        <v>384</v>
      </c>
      <c r="B605" s="105" t="s">
        <v>194</v>
      </c>
      <c r="C605" s="195">
        <v>401</v>
      </c>
      <c r="D605" s="113">
        <v>59</v>
      </c>
      <c r="E605" s="114">
        <v>8560</v>
      </c>
      <c r="F605" s="115">
        <v>21645</v>
      </c>
      <c r="G605" s="116">
        <v>229</v>
      </c>
      <c r="H605" s="1731" t="s">
        <v>41</v>
      </c>
      <c r="I605" s="118"/>
      <c r="J605" s="192"/>
      <c r="K605" s="104" t="s">
        <v>25</v>
      </c>
      <c r="L605" s="192"/>
      <c r="M605" s="192"/>
      <c r="N605" s="192"/>
      <c r="O605" s="2628" t="s">
        <v>6395</v>
      </c>
      <c r="Q605" s="118"/>
    </row>
    <row r="606" spans="1:17" ht="18.75" customHeight="1" x14ac:dyDescent="0.3">
      <c r="A606" s="104">
        <v>385</v>
      </c>
      <c r="B606" s="105" t="s">
        <v>194</v>
      </c>
      <c r="C606" s="195">
        <v>401</v>
      </c>
      <c r="D606" s="113">
        <v>59</v>
      </c>
      <c r="E606" s="114">
        <v>8561</v>
      </c>
      <c r="F606" s="115">
        <v>21645</v>
      </c>
      <c r="G606" s="116">
        <v>229</v>
      </c>
      <c r="H606" s="1731" t="s">
        <v>41</v>
      </c>
      <c r="I606" s="118"/>
      <c r="J606" s="192"/>
      <c r="K606" s="104" t="s">
        <v>25</v>
      </c>
      <c r="L606" s="192"/>
      <c r="M606" s="192"/>
      <c r="N606" s="192"/>
      <c r="O606" s="2628" t="s">
        <v>6395</v>
      </c>
      <c r="Q606" s="118"/>
    </row>
    <row r="607" spans="1:17" ht="18.75" customHeight="1" x14ac:dyDescent="0.3">
      <c r="A607" s="189">
        <v>386</v>
      </c>
      <c r="B607" s="105" t="s">
        <v>194</v>
      </c>
      <c r="C607" s="195">
        <v>401</v>
      </c>
      <c r="D607" s="113">
        <v>59</v>
      </c>
      <c r="E607" s="114">
        <v>8562</v>
      </c>
      <c r="F607" s="115">
        <v>21645</v>
      </c>
      <c r="G607" s="116">
        <v>229</v>
      </c>
      <c r="H607" s="1731" t="s">
        <v>41</v>
      </c>
      <c r="I607" s="118"/>
      <c r="J607" s="192"/>
      <c r="K607" s="104" t="s">
        <v>25</v>
      </c>
      <c r="L607" s="192"/>
      <c r="M607" s="192"/>
      <c r="N607" s="192"/>
      <c r="O607" s="2628" t="s">
        <v>6395</v>
      </c>
      <c r="Q607" s="118"/>
    </row>
    <row r="608" spans="1:17" ht="18.75" customHeight="1" x14ac:dyDescent="0.3">
      <c r="A608" s="104">
        <v>387</v>
      </c>
      <c r="B608" s="105" t="s">
        <v>194</v>
      </c>
      <c r="C608" s="195">
        <v>401</v>
      </c>
      <c r="D608" s="113">
        <v>59</v>
      </c>
      <c r="E608" s="114">
        <v>8563</v>
      </c>
      <c r="F608" s="115">
        <v>21645</v>
      </c>
      <c r="G608" s="116">
        <v>229</v>
      </c>
      <c r="H608" s="1731" t="s">
        <v>41</v>
      </c>
      <c r="I608" s="118"/>
      <c r="J608" s="192"/>
      <c r="K608" s="104" t="s">
        <v>25</v>
      </c>
      <c r="L608" s="192"/>
      <c r="M608" s="192"/>
      <c r="N608" s="192"/>
      <c r="O608" s="2628" t="s">
        <v>6395</v>
      </c>
      <c r="Q608" s="118"/>
    </row>
    <row r="609" spans="1:17" ht="18.75" customHeight="1" x14ac:dyDescent="0.3">
      <c r="A609" s="104">
        <v>388</v>
      </c>
      <c r="B609" s="105" t="s">
        <v>194</v>
      </c>
      <c r="C609" s="195">
        <v>401</v>
      </c>
      <c r="D609" s="113">
        <v>59</v>
      </c>
      <c r="E609" s="114">
        <v>8564</v>
      </c>
      <c r="F609" s="115">
        <v>21645</v>
      </c>
      <c r="G609" s="116">
        <v>229</v>
      </c>
      <c r="H609" s="1731" t="s">
        <v>41</v>
      </c>
      <c r="I609" s="118"/>
      <c r="J609" s="192"/>
      <c r="K609" s="104" t="s">
        <v>25</v>
      </c>
      <c r="L609" s="192"/>
      <c r="M609" s="192"/>
      <c r="N609" s="192"/>
      <c r="O609" s="2628" t="s">
        <v>6395</v>
      </c>
      <c r="Q609" s="118"/>
    </row>
    <row r="610" spans="1:17" ht="18.75" customHeight="1" x14ac:dyDescent="0.3">
      <c r="A610" s="189">
        <v>389</v>
      </c>
      <c r="B610" s="105" t="s">
        <v>194</v>
      </c>
      <c r="C610" s="195">
        <v>401</v>
      </c>
      <c r="D610" s="113">
        <v>59</v>
      </c>
      <c r="E610" s="114">
        <v>8565</v>
      </c>
      <c r="F610" s="115">
        <v>21645</v>
      </c>
      <c r="G610" s="116">
        <v>229</v>
      </c>
      <c r="H610" s="1731" t="s">
        <v>41</v>
      </c>
      <c r="I610" s="118"/>
      <c r="J610" s="192"/>
      <c r="K610" s="104" t="s">
        <v>25</v>
      </c>
      <c r="L610" s="192"/>
      <c r="M610" s="192"/>
      <c r="N610" s="192"/>
      <c r="O610" s="2628" t="s">
        <v>6395</v>
      </c>
      <c r="Q610" s="118"/>
    </row>
    <row r="611" spans="1:17" ht="18.75" customHeight="1" x14ac:dyDescent="0.3">
      <c r="A611" s="104">
        <v>390</v>
      </c>
      <c r="B611" s="105" t="s">
        <v>194</v>
      </c>
      <c r="C611" s="195">
        <v>401</v>
      </c>
      <c r="D611" s="113">
        <v>59</v>
      </c>
      <c r="E611" s="114">
        <v>8566</v>
      </c>
      <c r="F611" s="115">
        <v>21645</v>
      </c>
      <c r="G611" s="116">
        <v>229</v>
      </c>
      <c r="H611" s="1731" t="s">
        <v>41</v>
      </c>
      <c r="I611" s="118"/>
      <c r="J611" s="192"/>
      <c r="K611" s="104" t="s">
        <v>25</v>
      </c>
      <c r="L611" s="192"/>
      <c r="M611" s="192"/>
      <c r="N611" s="192"/>
      <c r="O611" s="2628" t="s">
        <v>6395</v>
      </c>
      <c r="Q611" s="118"/>
    </row>
    <row r="612" spans="1:17" ht="18.75" customHeight="1" x14ac:dyDescent="0.3">
      <c r="A612" s="104">
        <v>391</v>
      </c>
      <c r="B612" s="105" t="s">
        <v>194</v>
      </c>
      <c r="C612" s="195">
        <v>401</v>
      </c>
      <c r="D612" s="113">
        <v>59</v>
      </c>
      <c r="E612" s="114">
        <v>8567</v>
      </c>
      <c r="F612" s="115">
        <v>21645</v>
      </c>
      <c r="G612" s="116">
        <v>229</v>
      </c>
      <c r="H612" s="1731" t="s">
        <v>41</v>
      </c>
      <c r="I612" s="118"/>
      <c r="J612" s="192"/>
      <c r="K612" s="104" t="s">
        <v>25</v>
      </c>
      <c r="L612" s="192"/>
      <c r="M612" s="192"/>
      <c r="N612" s="192"/>
      <c r="O612" s="2628" t="s">
        <v>6395</v>
      </c>
      <c r="Q612" s="118"/>
    </row>
    <row r="613" spans="1:17" ht="18.75" customHeight="1" x14ac:dyDescent="0.3">
      <c r="A613" s="189">
        <v>392</v>
      </c>
      <c r="B613" s="105" t="s">
        <v>194</v>
      </c>
      <c r="C613" s="195">
        <v>401</v>
      </c>
      <c r="D613" s="113">
        <v>59</v>
      </c>
      <c r="E613" s="114">
        <v>8568</v>
      </c>
      <c r="F613" s="115">
        <v>21645</v>
      </c>
      <c r="G613" s="116">
        <v>229</v>
      </c>
      <c r="H613" s="1731" t="s">
        <v>41</v>
      </c>
      <c r="I613" s="118"/>
      <c r="J613" s="192"/>
      <c r="K613" s="104" t="s">
        <v>25</v>
      </c>
      <c r="L613" s="192"/>
      <c r="M613" s="192"/>
      <c r="N613" s="192"/>
      <c r="O613" s="2628" t="s">
        <v>6395</v>
      </c>
      <c r="Q613" s="118"/>
    </row>
    <row r="614" spans="1:17" ht="18.75" customHeight="1" x14ac:dyDescent="0.3">
      <c r="A614" s="104">
        <v>393</v>
      </c>
      <c r="B614" s="105" t="s">
        <v>194</v>
      </c>
      <c r="C614" s="195">
        <v>401</v>
      </c>
      <c r="D614" s="113">
        <v>59</v>
      </c>
      <c r="E614" s="114">
        <v>8569</v>
      </c>
      <c r="F614" s="115">
        <v>21645</v>
      </c>
      <c r="G614" s="116">
        <v>229</v>
      </c>
      <c r="H614" s="1731" t="s">
        <v>41</v>
      </c>
      <c r="I614" s="118"/>
      <c r="J614" s="192"/>
      <c r="K614" s="104" t="s">
        <v>25</v>
      </c>
      <c r="L614" s="192"/>
      <c r="M614" s="192"/>
      <c r="N614" s="192"/>
      <c r="O614" s="2628" t="s">
        <v>6395</v>
      </c>
      <c r="Q614" s="118"/>
    </row>
    <row r="615" spans="1:17" ht="18.75" customHeight="1" x14ac:dyDescent="0.3">
      <c r="A615" s="104">
        <v>394</v>
      </c>
      <c r="B615" s="105" t="s">
        <v>194</v>
      </c>
      <c r="C615" s="195">
        <v>401</v>
      </c>
      <c r="D615" s="113">
        <v>59</v>
      </c>
      <c r="E615" s="114">
        <v>8570</v>
      </c>
      <c r="F615" s="115">
        <v>21645</v>
      </c>
      <c r="G615" s="116">
        <v>229</v>
      </c>
      <c r="H615" s="1731" t="s">
        <v>41</v>
      </c>
      <c r="I615" s="118"/>
      <c r="J615" s="192"/>
      <c r="K615" s="104" t="s">
        <v>25</v>
      </c>
      <c r="L615" s="192"/>
      <c r="M615" s="192"/>
      <c r="N615" s="192"/>
      <c r="O615" s="2628" t="s">
        <v>6395</v>
      </c>
      <c r="Q615" s="118"/>
    </row>
    <row r="616" spans="1:17" ht="18.75" customHeight="1" x14ac:dyDescent="0.3">
      <c r="A616" s="189">
        <v>395</v>
      </c>
      <c r="B616" s="105" t="s">
        <v>194</v>
      </c>
      <c r="C616" s="195">
        <v>401</v>
      </c>
      <c r="D616" s="113">
        <v>59</v>
      </c>
      <c r="E616" s="114">
        <v>8571</v>
      </c>
      <c r="F616" s="115">
        <v>21645</v>
      </c>
      <c r="G616" s="116">
        <v>229</v>
      </c>
      <c r="H616" s="1731" t="s">
        <v>41</v>
      </c>
      <c r="I616" s="118"/>
      <c r="J616" s="192"/>
      <c r="K616" s="104" t="s">
        <v>25</v>
      </c>
      <c r="L616" s="192"/>
      <c r="M616" s="192"/>
      <c r="N616" s="192"/>
      <c r="O616" s="2628" t="s">
        <v>6395</v>
      </c>
      <c r="Q616" s="118"/>
    </row>
    <row r="617" spans="1:17" ht="18.75" customHeight="1" x14ac:dyDescent="0.3">
      <c r="A617" s="104">
        <v>396</v>
      </c>
      <c r="B617" s="105" t="s">
        <v>194</v>
      </c>
      <c r="C617" s="195">
        <v>401</v>
      </c>
      <c r="D617" s="113">
        <v>59</v>
      </c>
      <c r="E617" s="114">
        <v>8572</v>
      </c>
      <c r="F617" s="115">
        <v>21645</v>
      </c>
      <c r="G617" s="116">
        <v>229</v>
      </c>
      <c r="H617" s="1731" t="s">
        <v>41</v>
      </c>
      <c r="I617" s="118"/>
      <c r="J617" s="192"/>
      <c r="K617" s="104" t="s">
        <v>25</v>
      </c>
      <c r="L617" s="192"/>
      <c r="M617" s="192"/>
      <c r="N617" s="192"/>
      <c r="O617" s="2628" t="s">
        <v>6395</v>
      </c>
      <c r="Q617" s="118"/>
    </row>
    <row r="618" spans="1:17" ht="18.75" customHeight="1" x14ac:dyDescent="0.3">
      <c r="A618" s="104">
        <v>397</v>
      </c>
      <c r="B618" s="105" t="s">
        <v>194</v>
      </c>
      <c r="C618" s="195">
        <v>401</v>
      </c>
      <c r="D618" s="113">
        <v>59</v>
      </c>
      <c r="E618" s="114">
        <v>8573</v>
      </c>
      <c r="F618" s="115">
        <v>21645</v>
      </c>
      <c r="G618" s="116">
        <v>229</v>
      </c>
      <c r="H618" s="1731" t="s">
        <v>41</v>
      </c>
      <c r="I618" s="118"/>
      <c r="J618" s="192"/>
      <c r="K618" s="104" t="s">
        <v>25</v>
      </c>
      <c r="L618" s="192"/>
      <c r="M618" s="192"/>
      <c r="N618" s="192"/>
      <c r="O618" s="2628" t="s">
        <v>6395</v>
      </c>
      <c r="Q618" s="118"/>
    </row>
    <row r="619" spans="1:17" ht="18.75" customHeight="1" x14ac:dyDescent="0.3">
      <c r="A619" s="189">
        <v>398</v>
      </c>
      <c r="B619" s="105" t="s">
        <v>194</v>
      </c>
      <c r="C619" s="195">
        <v>401</v>
      </c>
      <c r="D619" s="113">
        <v>59</v>
      </c>
      <c r="E619" s="114">
        <v>8574</v>
      </c>
      <c r="F619" s="115">
        <v>21645</v>
      </c>
      <c r="G619" s="116">
        <v>229</v>
      </c>
      <c r="H619" s="1731" t="s">
        <v>41</v>
      </c>
      <c r="I619" s="118"/>
      <c r="J619" s="192"/>
      <c r="K619" s="104" t="s">
        <v>25</v>
      </c>
      <c r="L619" s="192"/>
      <c r="M619" s="192"/>
      <c r="N619" s="192"/>
      <c r="O619" s="2628" t="s">
        <v>6395</v>
      </c>
      <c r="Q619" s="118"/>
    </row>
    <row r="620" spans="1:17" ht="18.75" customHeight="1" x14ac:dyDescent="0.3">
      <c r="A620" s="104">
        <v>399</v>
      </c>
      <c r="B620" s="105" t="s">
        <v>194</v>
      </c>
      <c r="C620" s="195">
        <v>401</v>
      </c>
      <c r="D620" s="113">
        <v>59</v>
      </c>
      <c r="E620" s="114">
        <v>8575</v>
      </c>
      <c r="F620" s="115">
        <v>21645</v>
      </c>
      <c r="G620" s="116">
        <v>229</v>
      </c>
      <c r="H620" s="1731" t="s">
        <v>41</v>
      </c>
      <c r="I620" s="118"/>
      <c r="J620" s="192"/>
      <c r="K620" s="104" t="s">
        <v>25</v>
      </c>
      <c r="L620" s="192"/>
      <c r="M620" s="192"/>
      <c r="N620" s="192"/>
      <c r="O620" s="2628" t="s">
        <v>6395</v>
      </c>
      <c r="Q620" s="118"/>
    </row>
    <row r="621" spans="1:17" ht="18.75" customHeight="1" x14ac:dyDescent="0.3">
      <c r="A621" s="104">
        <v>400</v>
      </c>
      <c r="B621" s="105" t="s">
        <v>194</v>
      </c>
      <c r="C621" s="195">
        <v>401</v>
      </c>
      <c r="D621" s="113">
        <v>59</v>
      </c>
      <c r="E621" s="114">
        <v>8576</v>
      </c>
      <c r="F621" s="115">
        <v>21645</v>
      </c>
      <c r="G621" s="116">
        <v>229</v>
      </c>
      <c r="H621" s="1731" t="s">
        <v>41</v>
      </c>
      <c r="I621" s="118"/>
      <c r="J621" s="192"/>
      <c r="K621" s="104" t="s">
        <v>25</v>
      </c>
      <c r="L621" s="192"/>
      <c r="M621" s="192"/>
      <c r="N621" s="192"/>
      <c r="O621" s="2628" t="s">
        <v>6395</v>
      </c>
      <c r="Q621" s="118"/>
    </row>
    <row r="622" spans="1:17" ht="18.75" customHeight="1" x14ac:dyDescent="0.3">
      <c r="A622" s="189">
        <v>401</v>
      </c>
      <c r="B622" s="105" t="s">
        <v>194</v>
      </c>
      <c r="C622" s="195">
        <v>401</v>
      </c>
      <c r="D622" s="125">
        <v>59</v>
      </c>
      <c r="E622" s="114">
        <v>8577</v>
      </c>
      <c r="F622" s="115">
        <v>21645</v>
      </c>
      <c r="G622" s="116">
        <v>229</v>
      </c>
      <c r="H622" s="1731" t="s">
        <v>41</v>
      </c>
      <c r="I622" s="118"/>
      <c r="J622" s="192"/>
      <c r="K622" s="104" t="s">
        <v>25</v>
      </c>
      <c r="L622" s="192"/>
      <c r="M622" s="192"/>
      <c r="N622" s="192"/>
      <c r="O622" s="2628" t="s">
        <v>6395</v>
      </c>
      <c r="Q622" s="118"/>
    </row>
    <row r="623" spans="1:17" ht="18.75" customHeight="1" x14ac:dyDescent="0.3">
      <c r="A623" s="104">
        <v>402</v>
      </c>
      <c r="B623" s="105" t="s">
        <v>194</v>
      </c>
      <c r="C623" s="195">
        <v>401</v>
      </c>
      <c r="D623" s="128">
        <v>59</v>
      </c>
      <c r="E623" s="114">
        <v>8578</v>
      </c>
      <c r="F623" s="115">
        <v>21645</v>
      </c>
      <c r="G623" s="116">
        <v>229</v>
      </c>
      <c r="H623" s="1731" t="s">
        <v>41</v>
      </c>
      <c r="I623" s="118"/>
      <c r="J623" s="192"/>
      <c r="K623" s="104" t="s">
        <v>25</v>
      </c>
      <c r="L623" s="192"/>
      <c r="M623" s="192"/>
      <c r="N623" s="192"/>
      <c r="O623" s="2628" t="s">
        <v>6395</v>
      </c>
      <c r="Q623" s="118"/>
    </row>
    <row r="624" spans="1:17" ht="18.75" customHeight="1" x14ac:dyDescent="0.3">
      <c r="A624" s="104">
        <v>403</v>
      </c>
      <c r="B624" s="105" t="s">
        <v>194</v>
      </c>
      <c r="C624" s="195">
        <v>401</v>
      </c>
      <c r="D624" s="113">
        <v>59</v>
      </c>
      <c r="E624" s="114">
        <v>8579</v>
      </c>
      <c r="F624" s="115">
        <v>21645</v>
      </c>
      <c r="G624" s="116">
        <v>229</v>
      </c>
      <c r="H624" s="1731" t="s">
        <v>41</v>
      </c>
      <c r="I624" s="118"/>
      <c r="J624" s="192"/>
      <c r="K624" s="104" t="s">
        <v>25</v>
      </c>
      <c r="L624" s="192"/>
      <c r="M624" s="192"/>
      <c r="N624" s="192"/>
      <c r="O624" s="2628" t="s">
        <v>6395</v>
      </c>
      <c r="Q624" s="118"/>
    </row>
    <row r="625" spans="1:17" ht="18.75" customHeight="1" x14ac:dyDescent="0.3">
      <c r="A625" s="189">
        <v>404</v>
      </c>
      <c r="B625" s="105" t="s">
        <v>194</v>
      </c>
      <c r="C625" s="195">
        <v>401</v>
      </c>
      <c r="D625" s="113">
        <v>59</v>
      </c>
      <c r="E625" s="114">
        <v>8580</v>
      </c>
      <c r="F625" s="115">
        <v>21645</v>
      </c>
      <c r="G625" s="116">
        <v>229</v>
      </c>
      <c r="H625" s="1731" t="s">
        <v>41</v>
      </c>
      <c r="I625" s="118"/>
      <c r="J625" s="192"/>
      <c r="K625" s="104" t="s">
        <v>25</v>
      </c>
      <c r="L625" s="192"/>
      <c r="M625" s="192"/>
      <c r="N625" s="192"/>
      <c r="O625" s="2628" t="s">
        <v>6395</v>
      </c>
      <c r="Q625" s="118"/>
    </row>
    <row r="626" spans="1:17" ht="18.75" customHeight="1" x14ac:dyDescent="0.3">
      <c r="A626" s="104">
        <v>405</v>
      </c>
      <c r="B626" s="105" t="s">
        <v>194</v>
      </c>
      <c r="C626" s="195">
        <v>401</v>
      </c>
      <c r="D626" s="113">
        <v>59</v>
      </c>
      <c r="E626" s="114">
        <v>8581</v>
      </c>
      <c r="F626" s="115">
        <v>21645</v>
      </c>
      <c r="G626" s="116">
        <v>229</v>
      </c>
      <c r="H626" s="1731" t="s">
        <v>41</v>
      </c>
      <c r="I626" s="118"/>
      <c r="J626" s="192"/>
      <c r="K626" s="104" t="s">
        <v>25</v>
      </c>
      <c r="L626" s="192"/>
      <c r="M626" s="192"/>
      <c r="N626" s="192"/>
      <c r="O626" s="2628" t="s">
        <v>6395</v>
      </c>
      <c r="Q626" s="118"/>
    </row>
    <row r="627" spans="1:17" ht="18.75" customHeight="1" x14ac:dyDescent="0.3">
      <c r="A627" s="104">
        <v>406</v>
      </c>
      <c r="B627" s="105" t="s">
        <v>194</v>
      </c>
      <c r="C627" s="195">
        <v>401</v>
      </c>
      <c r="D627" s="125">
        <v>59</v>
      </c>
      <c r="E627" s="114">
        <v>8582</v>
      </c>
      <c r="F627" s="115">
        <v>21645</v>
      </c>
      <c r="G627" s="116">
        <v>229</v>
      </c>
      <c r="H627" s="1731" t="s">
        <v>41</v>
      </c>
      <c r="I627" s="118"/>
      <c r="J627" s="192"/>
      <c r="K627" s="104" t="s">
        <v>25</v>
      </c>
      <c r="L627" s="192"/>
      <c r="M627" s="192"/>
      <c r="N627" s="192"/>
      <c r="O627" s="2628" t="s">
        <v>6395</v>
      </c>
      <c r="Q627" s="118"/>
    </row>
    <row r="628" spans="1:17" ht="18.75" customHeight="1" x14ac:dyDescent="0.3">
      <c r="A628" s="189">
        <v>407</v>
      </c>
      <c r="B628" s="105" t="s">
        <v>194</v>
      </c>
      <c r="C628" s="195">
        <v>401</v>
      </c>
      <c r="D628" s="128">
        <v>59</v>
      </c>
      <c r="E628" s="114">
        <v>8583</v>
      </c>
      <c r="F628" s="115">
        <v>21645</v>
      </c>
      <c r="G628" s="116">
        <v>229</v>
      </c>
      <c r="H628" s="1731" t="s">
        <v>41</v>
      </c>
      <c r="I628" s="118"/>
      <c r="J628" s="192"/>
      <c r="K628" s="104" t="s">
        <v>25</v>
      </c>
      <c r="L628" s="192"/>
      <c r="M628" s="192"/>
      <c r="N628" s="192"/>
      <c r="O628" s="2628" t="s">
        <v>6395</v>
      </c>
      <c r="Q628" s="118"/>
    </row>
    <row r="629" spans="1:17" ht="18.75" customHeight="1" x14ac:dyDescent="0.3">
      <c r="A629" s="104">
        <v>408</v>
      </c>
      <c r="B629" s="105" t="s">
        <v>194</v>
      </c>
      <c r="C629" s="195">
        <v>401</v>
      </c>
      <c r="D629" s="113">
        <v>59</v>
      </c>
      <c r="E629" s="114">
        <v>8584</v>
      </c>
      <c r="F629" s="115">
        <v>21645</v>
      </c>
      <c r="G629" s="116">
        <v>229</v>
      </c>
      <c r="H629" s="1731" t="s">
        <v>41</v>
      </c>
      <c r="I629" s="118"/>
      <c r="J629" s="192"/>
      <c r="K629" s="104" t="s">
        <v>25</v>
      </c>
      <c r="L629" s="192"/>
      <c r="M629" s="192"/>
      <c r="N629" s="192"/>
      <c r="O629" s="2628" t="s">
        <v>6395</v>
      </c>
      <c r="Q629" s="118"/>
    </row>
    <row r="630" spans="1:17" ht="18.75" customHeight="1" x14ac:dyDescent="0.3">
      <c r="A630" s="104">
        <v>409</v>
      </c>
      <c r="B630" s="105" t="s">
        <v>194</v>
      </c>
      <c r="C630" s="195">
        <v>401</v>
      </c>
      <c r="D630" s="113">
        <v>59</v>
      </c>
      <c r="E630" s="114">
        <v>8585</v>
      </c>
      <c r="F630" s="115">
        <v>21645</v>
      </c>
      <c r="G630" s="116">
        <v>229</v>
      </c>
      <c r="H630" s="1731" t="s">
        <v>41</v>
      </c>
      <c r="I630" s="118"/>
      <c r="J630" s="192"/>
      <c r="K630" s="104" t="s">
        <v>25</v>
      </c>
      <c r="L630" s="192"/>
      <c r="M630" s="192"/>
      <c r="N630" s="192"/>
      <c r="O630" s="2628" t="s">
        <v>6395</v>
      </c>
      <c r="Q630" s="118"/>
    </row>
    <row r="631" spans="1:17" ht="18.75" customHeight="1" x14ac:dyDescent="0.3">
      <c r="A631" s="189">
        <v>410</v>
      </c>
      <c r="B631" s="105" t="s">
        <v>194</v>
      </c>
      <c r="C631" s="195">
        <v>401</v>
      </c>
      <c r="D631" s="113">
        <v>59</v>
      </c>
      <c r="E631" s="114">
        <v>8586</v>
      </c>
      <c r="F631" s="115">
        <v>21645</v>
      </c>
      <c r="G631" s="116">
        <v>229</v>
      </c>
      <c r="H631" s="1731" t="s">
        <v>41</v>
      </c>
      <c r="I631" s="118"/>
      <c r="J631" s="192"/>
      <c r="K631" s="104" t="s">
        <v>25</v>
      </c>
      <c r="L631" s="192"/>
      <c r="M631" s="192"/>
      <c r="N631" s="192"/>
      <c r="O631" s="2628" t="s">
        <v>6395</v>
      </c>
      <c r="Q631" s="118"/>
    </row>
    <row r="632" spans="1:17" ht="18.75" customHeight="1" x14ac:dyDescent="0.3">
      <c r="A632" s="104">
        <v>411</v>
      </c>
      <c r="B632" s="105" t="s">
        <v>194</v>
      </c>
      <c r="C632" s="195">
        <v>401</v>
      </c>
      <c r="D632" s="113">
        <v>59</v>
      </c>
      <c r="E632" s="114">
        <v>8587</v>
      </c>
      <c r="F632" s="115">
        <v>21645</v>
      </c>
      <c r="G632" s="116">
        <v>229</v>
      </c>
      <c r="H632" s="1731" t="s">
        <v>41</v>
      </c>
      <c r="I632" s="118"/>
      <c r="J632" s="192"/>
      <c r="K632" s="104" t="s">
        <v>25</v>
      </c>
      <c r="L632" s="192"/>
      <c r="M632" s="192"/>
      <c r="N632" s="192"/>
      <c r="O632" s="2628" t="s">
        <v>6395</v>
      </c>
      <c r="Q632" s="118"/>
    </row>
    <row r="633" spans="1:17" ht="18.75" customHeight="1" x14ac:dyDescent="0.3">
      <c r="A633" s="104">
        <v>412</v>
      </c>
      <c r="B633" s="105" t="s">
        <v>194</v>
      </c>
      <c r="C633" s="195">
        <v>401</v>
      </c>
      <c r="D633" s="113">
        <v>59</v>
      </c>
      <c r="E633" s="114">
        <v>8588</v>
      </c>
      <c r="F633" s="115">
        <v>21645</v>
      </c>
      <c r="G633" s="116">
        <v>229</v>
      </c>
      <c r="H633" s="1731" t="s">
        <v>41</v>
      </c>
      <c r="I633" s="118"/>
      <c r="J633" s="192"/>
      <c r="K633" s="104" t="s">
        <v>25</v>
      </c>
      <c r="L633" s="192"/>
      <c r="M633" s="192"/>
      <c r="N633" s="192"/>
      <c r="O633" s="2628" t="s">
        <v>6395</v>
      </c>
      <c r="Q633" s="118"/>
    </row>
    <row r="634" spans="1:17" ht="18.75" customHeight="1" x14ac:dyDescent="0.3">
      <c r="A634" s="189">
        <v>413</v>
      </c>
      <c r="B634" s="105" t="s">
        <v>194</v>
      </c>
      <c r="C634" s="195">
        <v>401</v>
      </c>
      <c r="D634" s="113">
        <v>59</v>
      </c>
      <c r="E634" s="114">
        <v>8589</v>
      </c>
      <c r="F634" s="115">
        <v>21645</v>
      </c>
      <c r="G634" s="116">
        <v>229</v>
      </c>
      <c r="H634" s="1731" t="s">
        <v>41</v>
      </c>
      <c r="I634" s="118"/>
      <c r="J634" s="192"/>
      <c r="K634" s="104" t="s">
        <v>25</v>
      </c>
      <c r="L634" s="192"/>
      <c r="M634" s="192"/>
      <c r="N634" s="192"/>
      <c r="O634" s="2628" t="s">
        <v>6395</v>
      </c>
      <c r="Q634" s="118"/>
    </row>
    <row r="635" spans="1:17" ht="18.75" customHeight="1" x14ac:dyDescent="0.3">
      <c r="A635" s="104">
        <v>414</v>
      </c>
      <c r="B635" s="105" t="s">
        <v>194</v>
      </c>
      <c r="C635" s="195">
        <v>401</v>
      </c>
      <c r="D635" s="113">
        <v>59</v>
      </c>
      <c r="E635" s="114">
        <v>8590</v>
      </c>
      <c r="F635" s="115">
        <v>21645</v>
      </c>
      <c r="G635" s="116">
        <v>229</v>
      </c>
      <c r="H635" s="1731" t="s">
        <v>41</v>
      </c>
      <c r="I635" s="118"/>
      <c r="J635" s="192"/>
      <c r="K635" s="104" t="s">
        <v>25</v>
      </c>
      <c r="L635" s="192"/>
      <c r="M635" s="192"/>
      <c r="N635" s="192"/>
      <c r="O635" s="2628" t="s">
        <v>6395</v>
      </c>
      <c r="Q635" s="118"/>
    </row>
    <row r="636" spans="1:17" ht="18.75" customHeight="1" x14ac:dyDescent="0.3">
      <c r="A636" s="104">
        <v>415</v>
      </c>
      <c r="B636" s="105" t="s">
        <v>194</v>
      </c>
      <c r="C636" s="195">
        <v>401</v>
      </c>
      <c r="D636" s="125">
        <v>59</v>
      </c>
      <c r="E636" s="114">
        <v>8591</v>
      </c>
      <c r="F636" s="115">
        <v>21645</v>
      </c>
      <c r="G636" s="116">
        <v>229</v>
      </c>
      <c r="H636" s="1731" t="s">
        <v>41</v>
      </c>
      <c r="I636" s="118"/>
      <c r="J636" s="192"/>
      <c r="K636" s="104" t="s">
        <v>25</v>
      </c>
      <c r="L636" s="192"/>
      <c r="M636" s="192"/>
      <c r="N636" s="192"/>
      <c r="O636" s="2628" t="s">
        <v>6395</v>
      </c>
      <c r="Q636" s="118"/>
    </row>
    <row r="637" spans="1:17" ht="18.75" customHeight="1" x14ac:dyDescent="0.3">
      <c r="A637" s="189">
        <v>416</v>
      </c>
      <c r="B637" s="105" t="s">
        <v>194</v>
      </c>
      <c r="C637" s="195">
        <v>401</v>
      </c>
      <c r="D637" s="127">
        <v>59</v>
      </c>
      <c r="E637" s="114">
        <v>8592</v>
      </c>
      <c r="F637" s="115">
        <v>21645</v>
      </c>
      <c r="G637" s="116">
        <v>229</v>
      </c>
      <c r="H637" s="1731" t="s">
        <v>41</v>
      </c>
      <c r="I637" s="118"/>
      <c r="J637" s="192"/>
      <c r="K637" s="104" t="s">
        <v>25</v>
      </c>
      <c r="L637" s="192"/>
      <c r="M637" s="192"/>
      <c r="N637" s="192"/>
      <c r="O637" s="2628" t="s">
        <v>6395</v>
      </c>
      <c r="Q637" s="118"/>
    </row>
    <row r="638" spans="1:17" ht="18.75" customHeight="1" x14ac:dyDescent="0.3">
      <c r="A638" s="104">
        <v>417</v>
      </c>
      <c r="B638" s="105" t="s">
        <v>194</v>
      </c>
      <c r="C638" s="195">
        <v>401</v>
      </c>
      <c r="D638" s="128">
        <v>59</v>
      </c>
      <c r="E638" s="114">
        <v>8593</v>
      </c>
      <c r="F638" s="115">
        <v>21645</v>
      </c>
      <c r="G638" s="116">
        <v>229</v>
      </c>
      <c r="H638" s="1731" t="s">
        <v>41</v>
      </c>
      <c r="I638" s="118"/>
      <c r="J638" s="192"/>
      <c r="K638" s="104" t="s">
        <v>25</v>
      </c>
      <c r="L638" s="192"/>
      <c r="M638" s="192"/>
      <c r="N638" s="192"/>
      <c r="O638" s="2628" t="s">
        <v>6395</v>
      </c>
      <c r="Q638" s="118"/>
    </row>
    <row r="639" spans="1:17" ht="18.75" customHeight="1" x14ac:dyDescent="0.3">
      <c r="A639" s="104">
        <v>418</v>
      </c>
      <c r="B639" s="105" t="s">
        <v>194</v>
      </c>
      <c r="C639" s="195">
        <v>401</v>
      </c>
      <c r="D639" s="113">
        <v>59</v>
      </c>
      <c r="E639" s="114">
        <v>8594</v>
      </c>
      <c r="F639" s="115">
        <v>21645</v>
      </c>
      <c r="G639" s="116">
        <v>229</v>
      </c>
      <c r="H639" s="1731" t="s">
        <v>41</v>
      </c>
      <c r="I639" s="118"/>
      <c r="J639" s="192"/>
      <c r="K639" s="104" t="s">
        <v>25</v>
      </c>
      <c r="L639" s="192"/>
      <c r="M639" s="192"/>
      <c r="N639" s="192"/>
      <c r="O639" s="2628" t="s">
        <v>6395</v>
      </c>
      <c r="Q639" s="118"/>
    </row>
    <row r="640" spans="1:17" ht="18.75" customHeight="1" x14ac:dyDescent="0.3">
      <c r="A640" s="189">
        <v>419</v>
      </c>
      <c r="B640" s="105" t="s">
        <v>194</v>
      </c>
      <c r="C640" s="195">
        <v>401</v>
      </c>
      <c r="D640" s="113">
        <v>59</v>
      </c>
      <c r="E640" s="114">
        <v>8595</v>
      </c>
      <c r="F640" s="115">
        <v>21645</v>
      </c>
      <c r="G640" s="116">
        <v>229</v>
      </c>
      <c r="H640" s="1731" t="s">
        <v>41</v>
      </c>
      <c r="I640" s="118"/>
      <c r="J640" s="192"/>
      <c r="K640" s="104" t="s">
        <v>25</v>
      </c>
      <c r="L640" s="192"/>
      <c r="M640" s="192"/>
      <c r="N640" s="192"/>
      <c r="O640" s="2628" t="s">
        <v>6395</v>
      </c>
      <c r="Q640" s="118"/>
    </row>
    <row r="641" spans="1:17" ht="18.75" customHeight="1" x14ac:dyDescent="0.3">
      <c r="A641" s="104">
        <v>420</v>
      </c>
      <c r="B641" s="105" t="s">
        <v>194</v>
      </c>
      <c r="C641" s="195">
        <v>401</v>
      </c>
      <c r="D641" s="125">
        <v>59</v>
      </c>
      <c r="E641" s="114">
        <v>8596</v>
      </c>
      <c r="F641" s="115">
        <v>21645</v>
      </c>
      <c r="G641" s="116">
        <v>229</v>
      </c>
      <c r="H641" s="1731" t="s">
        <v>41</v>
      </c>
      <c r="I641" s="118"/>
      <c r="J641" s="192"/>
      <c r="K641" s="104" t="s">
        <v>25</v>
      </c>
      <c r="L641" s="192"/>
      <c r="M641" s="192"/>
      <c r="N641" s="192"/>
      <c r="O641" s="2628" t="s">
        <v>6395</v>
      </c>
      <c r="Q641" s="118"/>
    </row>
    <row r="642" spans="1:17" ht="18.75" customHeight="1" x14ac:dyDescent="0.3">
      <c r="A642" s="104">
        <v>421</v>
      </c>
      <c r="B642" s="105" t="s">
        <v>194</v>
      </c>
      <c r="C642" s="195">
        <v>401</v>
      </c>
      <c r="D642" s="127">
        <v>59</v>
      </c>
      <c r="E642" s="114">
        <v>8597</v>
      </c>
      <c r="F642" s="115">
        <v>21645</v>
      </c>
      <c r="G642" s="116">
        <v>229</v>
      </c>
      <c r="H642" s="1731" t="s">
        <v>41</v>
      </c>
      <c r="I642" s="118"/>
      <c r="J642" s="192"/>
      <c r="K642" s="104" t="s">
        <v>25</v>
      </c>
      <c r="L642" s="192"/>
      <c r="M642" s="192"/>
      <c r="N642" s="192"/>
      <c r="O642" s="2628" t="s">
        <v>6395</v>
      </c>
      <c r="Q642" s="118"/>
    </row>
    <row r="643" spans="1:17" ht="18.75" customHeight="1" x14ac:dyDescent="0.3">
      <c r="A643" s="189">
        <v>422</v>
      </c>
      <c r="B643" s="105" t="s">
        <v>194</v>
      </c>
      <c r="C643" s="195">
        <v>401</v>
      </c>
      <c r="D643" s="128">
        <v>59</v>
      </c>
      <c r="E643" s="114">
        <v>8598</v>
      </c>
      <c r="F643" s="115">
        <v>21645</v>
      </c>
      <c r="G643" s="116">
        <v>229</v>
      </c>
      <c r="H643" s="1731" t="s">
        <v>41</v>
      </c>
      <c r="I643" s="118"/>
      <c r="J643" s="192"/>
      <c r="K643" s="104" t="s">
        <v>25</v>
      </c>
      <c r="L643" s="192"/>
      <c r="M643" s="192"/>
      <c r="N643" s="192"/>
      <c r="O643" s="2628" t="s">
        <v>6395</v>
      </c>
      <c r="Q643" s="118"/>
    </row>
    <row r="644" spans="1:17" ht="18.75" customHeight="1" x14ac:dyDescent="0.3">
      <c r="A644" s="104">
        <v>423</v>
      </c>
      <c r="B644" s="105" t="s">
        <v>194</v>
      </c>
      <c r="C644" s="195">
        <v>401</v>
      </c>
      <c r="D644" s="113">
        <v>59</v>
      </c>
      <c r="E644" s="114">
        <v>8599</v>
      </c>
      <c r="F644" s="115">
        <v>21645</v>
      </c>
      <c r="G644" s="116">
        <v>229</v>
      </c>
      <c r="H644" s="1731" t="s">
        <v>41</v>
      </c>
      <c r="I644" s="118"/>
      <c r="J644" s="192"/>
      <c r="K644" s="104" t="s">
        <v>25</v>
      </c>
      <c r="L644" s="192"/>
      <c r="M644" s="192"/>
      <c r="N644" s="192"/>
      <c r="O644" s="2628" t="s">
        <v>6395</v>
      </c>
      <c r="Q644" s="118"/>
    </row>
    <row r="645" spans="1:17" ht="18.75" customHeight="1" x14ac:dyDescent="0.3">
      <c r="A645" s="104">
        <v>424</v>
      </c>
      <c r="B645" s="105" t="s">
        <v>194</v>
      </c>
      <c r="C645" s="195">
        <v>401</v>
      </c>
      <c r="D645" s="113">
        <v>59</v>
      </c>
      <c r="E645" s="114">
        <v>8600</v>
      </c>
      <c r="F645" s="115">
        <v>21645</v>
      </c>
      <c r="G645" s="116">
        <v>229</v>
      </c>
      <c r="H645" s="1731" t="s">
        <v>41</v>
      </c>
      <c r="I645" s="118"/>
      <c r="J645" s="192"/>
      <c r="K645" s="104" t="s">
        <v>25</v>
      </c>
      <c r="L645" s="192"/>
      <c r="M645" s="192"/>
      <c r="N645" s="192"/>
      <c r="O645" s="2628" t="s">
        <v>6395</v>
      </c>
      <c r="Q645" s="118"/>
    </row>
    <row r="646" spans="1:17" ht="18.75" customHeight="1" x14ac:dyDescent="0.3">
      <c r="A646" s="189">
        <v>425</v>
      </c>
      <c r="B646" s="105" t="s">
        <v>194</v>
      </c>
      <c r="C646" s="195">
        <v>401</v>
      </c>
      <c r="D646" s="113">
        <v>59</v>
      </c>
      <c r="E646" s="114">
        <v>8601</v>
      </c>
      <c r="F646" s="115">
        <v>21645</v>
      </c>
      <c r="G646" s="116">
        <v>229</v>
      </c>
      <c r="H646" s="1731" t="s">
        <v>41</v>
      </c>
      <c r="I646" s="118"/>
      <c r="J646" s="192"/>
      <c r="K646" s="104" t="s">
        <v>25</v>
      </c>
      <c r="L646" s="192"/>
      <c r="M646" s="192"/>
      <c r="N646" s="192"/>
      <c r="O646" s="2628" t="s">
        <v>6395</v>
      </c>
      <c r="Q646" s="118"/>
    </row>
    <row r="647" spans="1:17" ht="18.75" customHeight="1" x14ac:dyDescent="0.3">
      <c r="A647" s="104">
        <v>426</v>
      </c>
      <c r="B647" s="105" t="s">
        <v>194</v>
      </c>
      <c r="C647" s="195">
        <v>401</v>
      </c>
      <c r="D647" s="113">
        <v>59</v>
      </c>
      <c r="E647" s="114">
        <v>8602</v>
      </c>
      <c r="F647" s="115">
        <v>21645</v>
      </c>
      <c r="G647" s="116">
        <v>229</v>
      </c>
      <c r="H647" s="1731" t="s">
        <v>41</v>
      </c>
      <c r="I647" s="118"/>
      <c r="J647" s="192"/>
      <c r="K647" s="104" t="s">
        <v>25</v>
      </c>
      <c r="L647" s="192"/>
      <c r="M647" s="192"/>
      <c r="N647" s="192"/>
      <c r="O647" s="2628" t="s">
        <v>6395</v>
      </c>
      <c r="Q647" s="118"/>
    </row>
    <row r="648" spans="1:17" ht="18.75" customHeight="1" x14ac:dyDescent="0.3">
      <c r="A648" s="104">
        <v>427</v>
      </c>
      <c r="B648" s="105" t="s">
        <v>194</v>
      </c>
      <c r="C648" s="195">
        <v>401</v>
      </c>
      <c r="D648" s="113">
        <v>59</v>
      </c>
      <c r="E648" s="114">
        <v>8603</v>
      </c>
      <c r="F648" s="115">
        <v>21645</v>
      </c>
      <c r="G648" s="116">
        <v>229</v>
      </c>
      <c r="H648" s="1731" t="s">
        <v>41</v>
      </c>
      <c r="I648" s="118"/>
      <c r="J648" s="192"/>
      <c r="K648" s="104" t="s">
        <v>25</v>
      </c>
      <c r="L648" s="192"/>
      <c r="M648" s="192"/>
      <c r="N648" s="192"/>
      <c r="O648" s="2628" t="s">
        <v>6395</v>
      </c>
      <c r="Q648" s="118"/>
    </row>
    <row r="649" spans="1:17" ht="18.75" customHeight="1" x14ac:dyDescent="0.3">
      <c r="A649" s="189">
        <v>428</v>
      </c>
      <c r="B649" s="105" t="s">
        <v>194</v>
      </c>
      <c r="C649" s="195">
        <v>401</v>
      </c>
      <c r="D649" s="113">
        <v>59</v>
      </c>
      <c r="E649" s="114">
        <v>8604</v>
      </c>
      <c r="F649" s="115">
        <v>21645</v>
      </c>
      <c r="G649" s="116">
        <v>229</v>
      </c>
      <c r="H649" s="1731" t="s">
        <v>41</v>
      </c>
      <c r="I649" s="118"/>
      <c r="J649" s="192"/>
      <c r="K649" s="104" t="s">
        <v>25</v>
      </c>
      <c r="L649" s="192"/>
      <c r="M649" s="192"/>
      <c r="N649" s="192"/>
      <c r="O649" s="2628" t="s">
        <v>6395</v>
      </c>
      <c r="Q649" s="118"/>
    </row>
    <row r="650" spans="1:17" ht="18.75" customHeight="1" x14ac:dyDescent="0.3">
      <c r="A650" s="104">
        <v>429</v>
      </c>
      <c r="B650" s="105" t="s">
        <v>194</v>
      </c>
      <c r="C650" s="195">
        <v>401</v>
      </c>
      <c r="D650" s="125">
        <v>59</v>
      </c>
      <c r="E650" s="114">
        <v>8605</v>
      </c>
      <c r="F650" s="115">
        <v>21645</v>
      </c>
      <c r="G650" s="116">
        <v>229</v>
      </c>
      <c r="H650" s="1731" t="s">
        <v>41</v>
      </c>
      <c r="I650" s="118"/>
      <c r="J650" s="192"/>
      <c r="K650" s="104" t="s">
        <v>25</v>
      </c>
      <c r="L650" s="192"/>
      <c r="M650" s="192"/>
      <c r="N650" s="192"/>
      <c r="O650" s="2628" t="s">
        <v>6395</v>
      </c>
      <c r="Q650" s="118"/>
    </row>
    <row r="651" spans="1:17" ht="18.75" customHeight="1" x14ac:dyDescent="0.3">
      <c r="A651" s="104">
        <v>430</v>
      </c>
      <c r="B651" s="105" t="s">
        <v>194</v>
      </c>
      <c r="C651" s="195">
        <v>401</v>
      </c>
      <c r="D651" s="128">
        <v>59</v>
      </c>
      <c r="E651" s="114">
        <v>8606</v>
      </c>
      <c r="F651" s="115">
        <v>21645</v>
      </c>
      <c r="G651" s="116">
        <v>229</v>
      </c>
      <c r="H651" s="1731" t="s">
        <v>41</v>
      </c>
      <c r="I651" s="118"/>
      <c r="J651" s="192"/>
      <c r="K651" s="104" t="s">
        <v>25</v>
      </c>
      <c r="L651" s="192"/>
      <c r="M651" s="192"/>
      <c r="N651" s="192"/>
      <c r="O651" s="2628" t="s">
        <v>6395</v>
      </c>
      <c r="Q651" s="118"/>
    </row>
    <row r="652" spans="1:17" ht="18.75" customHeight="1" x14ac:dyDescent="0.3">
      <c r="A652" s="189">
        <v>431</v>
      </c>
      <c r="B652" s="105" t="s">
        <v>194</v>
      </c>
      <c r="C652" s="195">
        <v>401</v>
      </c>
      <c r="D652" s="113">
        <v>59</v>
      </c>
      <c r="E652" s="114">
        <v>8607</v>
      </c>
      <c r="F652" s="115">
        <v>21645</v>
      </c>
      <c r="G652" s="116">
        <v>229</v>
      </c>
      <c r="H652" s="1731" t="s">
        <v>41</v>
      </c>
      <c r="I652" s="118"/>
      <c r="J652" s="192"/>
      <c r="K652" s="104" t="s">
        <v>25</v>
      </c>
      <c r="L652" s="192"/>
      <c r="M652" s="192"/>
      <c r="N652" s="192"/>
      <c r="O652" s="2628" t="s">
        <v>6395</v>
      </c>
      <c r="Q652" s="118"/>
    </row>
    <row r="653" spans="1:17" ht="18.75" customHeight="1" x14ac:dyDescent="0.3">
      <c r="A653" s="104">
        <v>432</v>
      </c>
      <c r="B653" s="105" t="s">
        <v>194</v>
      </c>
      <c r="C653" s="195">
        <v>401</v>
      </c>
      <c r="D653" s="113">
        <v>59</v>
      </c>
      <c r="E653" s="114">
        <v>8608</v>
      </c>
      <c r="F653" s="115">
        <v>21645</v>
      </c>
      <c r="G653" s="116">
        <v>229</v>
      </c>
      <c r="H653" s="1731" t="s">
        <v>41</v>
      </c>
      <c r="I653" s="118"/>
      <c r="J653" s="192"/>
      <c r="K653" s="104" t="s">
        <v>25</v>
      </c>
      <c r="L653" s="192"/>
      <c r="M653" s="192"/>
      <c r="N653" s="192"/>
      <c r="O653" s="2628" t="s">
        <v>6395</v>
      </c>
      <c r="Q653" s="118"/>
    </row>
    <row r="654" spans="1:17" ht="18.75" customHeight="1" x14ac:dyDescent="0.3">
      <c r="A654" s="104">
        <v>433</v>
      </c>
      <c r="B654" s="105" t="s">
        <v>194</v>
      </c>
      <c r="C654" s="195">
        <v>401</v>
      </c>
      <c r="D654" s="113">
        <v>59</v>
      </c>
      <c r="E654" s="114">
        <v>8609</v>
      </c>
      <c r="F654" s="115">
        <v>21645</v>
      </c>
      <c r="G654" s="116">
        <v>229</v>
      </c>
      <c r="H654" s="1731" t="s">
        <v>41</v>
      </c>
      <c r="I654" s="118"/>
      <c r="J654" s="192"/>
      <c r="K654" s="104" t="s">
        <v>25</v>
      </c>
      <c r="L654" s="192"/>
      <c r="M654" s="192"/>
      <c r="N654" s="192"/>
      <c r="O654" s="2628" t="s">
        <v>6395</v>
      </c>
      <c r="Q654" s="118"/>
    </row>
    <row r="655" spans="1:17" ht="18.75" customHeight="1" x14ac:dyDescent="0.3">
      <c r="A655" s="189">
        <v>434</v>
      </c>
      <c r="B655" s="105" t="s">
        <v>194</v>
      </c>
      <c r="C655" s="195">
        <v>401</v>
      </c>
      <c r="D655" s="113">
        <v>59</v>
      </c>
      <c r="E655" s="114">
        <v>8610</v>
      </c>
      <c r="F655" s="115">
        <v>21645</v>
      </c>
      <c r="G655" s="116">
        <v>229</v>
      </c>
      <c r="H655" s="1731" t="s">
        <v>41</v>
      </c>
      <c r="I655" s="118"/>
      <c r="J655" s="192"/>
      <c r="K655" s="104" t="s">
        <v>25</v>
      </c>
      <c r="L655" s="192"/>
      <c r="M655" s="192"/>
      <c r="N655" s="192"/>
      <c r="O655" s="2628" t="s">
        <v>6395</v>
      </c>
      <c r="Q655" s="118"/>
    </row>
    <row r="656" spans="1:17" ht="18.75" customHeight="1" x14ac:dyDescent="0.3">
      <c r="A656" s="104">
        <v>435</v>
      </c>
      <c r="B656" s="105" t="s">
        <v>194</v>
      </c>
      <c r="C656" s="195">
        <v>401</v>
      </c>
      <c r="D656" s="113">
        <v>59</v>
      </c>
      <c r="E656" s="114">
        <v>8611</v>
      </c>
      <c r="F656" s="115">
        <v>21645</v>
      </c>
      <c r="G656" s="116">
        <v>229</v>
      </c>
      <c r="H656" s="1731" t="s">
        <v>41</v>
      </c>
      <c r="I656" s="118"/>
      <c r="J656" s="192"/>
      <c r="K656" s="104" t="s">
        <v>25</v>
      </c>
      <c r="L656" s="192"/>
      <c r="M656" s="192"/>
      <c r="N656" s="192"/>
      <c r="O656" s="2628" t="s">
        <v>6395</v>
      </c>
      <c r="Q656" s="118"/>
    </row>
    <row r="657" spans="1:17" ht="18.75" customHeight="1" x14ac:dyDescent="0.3">
      <c r="A657" s="104">
        <v>436</v>
      </c>
      <c r="B657" s="105" t="s">
        <v>194</v>
      </c>
      <c r="C657" s="195">
        <v>401</v>
      </c>
      <c r="D657" s="113">
        <v>59</v>
      </c>
      <c r="E657" s="114">
        <v>8612</v>
      </c>
      <c r="F657" s="115">
        <v>21645</v>
      </c>
      <c r="G657" s="116">
        <v>229</v>
      </c>
      <c r="H657" s="1731" t="s">
        <v>41</v>
      </c>
      <c r="I657" s="118"/>
      <c r="J657" s="192"/>
      <c r="K657" s="104" t="s">
        <v>25</v>
      </c>
      <c r="L657" s="192"/>
      <c r="M657" s="192"/>
      <c r="N657" s="192"/>
      <c r="O657" s="2628" t="s">
        <v>6395</v>
      </c>
      <c r="Q657" s="118"/>
    </row>
    <row r="658" spans="1:17" ht="18.75" customHeight="1" x14ac:dyDescent="0.3">
      <c r="A658" s="189">
        <v>437</v>
      </c>
      <c r="B658" s="105" t="s">
        <v>194</v>
      </c>
      <c r="C658" s="195">
        <v>401</v>
      </c>
      <c r="D658" s="113">
        <v>59</v>
      </c>
      <c r="E658" s="114">
        <v>8613</v>
      </c>
      <c r="F658" s="115">
        <v>21645</v>
      </c>
      <c r="G658" s="116">
        <v>229</v>
      </c>
      <c r="H658" s="1731" t="s">
        <v>41</v>
      </c>
      <c r="I658" s="118"/>
      <c r="J658" s="192"/>
      <c r="K658" s="104" t="s">
        <v>25</v>
      </c>
      <c r="L658" s="192"/>
      <c r="M658" s="192"/>
      <c r="N658" s="192"/>
      <c r="O658" s="2628" t="s">
        <v>6395</v>
      </c>
      <c r="Q658" s="118"/>
    </row>
    <row r="659" spans="1:17" ht="18.75" customHeight="1" x14ac:dyDescent="0.3">
      <c r="A659" s="104">
        <v>438</v>
      </c>
      <c r="B659" s="105" t="s">
        <v>194</v>
      </c>
      <c r="C659" s="195">
        <v>401</v>
      </c>
      <c r="D659" s="113">
        <v>59</v>
      </c>
      <c r="E659" s="114">
        <v>8614</v>
      </c>
      <c r="F659" s="115">
        <v>21645</v>
      </c>
      <c r="G659" s="116">
        <v>229</v>
      </c>
      <c r="H659" s="1731" t="s">
        <v>41</v>
      </c>
      <c r="I659" s="118"/>
      <c r="J659" s="192"/>
      <c r="K659" s="104" t="s">
        <v>25</v>
      </c>
      <c r="L659" s="192"/>
      <c r="M659" s="192"/>
      <c r="N659" s="192"/>
      <c r="O659" s="2628" t="s">
        <v>6395</v>
      </c>
      <c r="Q659" s="118"/>
    </row>
    <row r="660" spans="1:17" ht="18.75" customHeight="1" x14ac:dyDescent="0.3">
      <c r="A660" s="104">
        <v>439</v>
      </c>
      <c r="B660" s="105" t="s">
        <v>194</v>
      </c>
      <c r="C660" s="195">
        <v>401</v>
      </c>
      <c r="D660" s="125">
        <v>59</v>
      </c>
      <c r="E660" s="114">
        <v>8615</v>
      </c>
      <c r="F660" s="115">
        <v>21645</v>
      </c>
      <c r="G660" s="116">
        <v>229</v>
      </c>
      <c r="H660" s="1731" t="s">
        <v>41</v>
      </c>
      <c r="I660" s="118"/>
      <c r="J660" s="192"/>
      <c r="K660" s="104" t="s">
        <v>25</v>
      </c>
      <c r="L660" s="192"/>
      <c r="M660" s="192"/>
      <c r="N660" s="192"/>
      <c r="O660" s="2628" t="s">
        <v>6395</v>
      </c>
      <c r="Q660" s="118"/>
    </row>
    <row r="661" spans="1:17" ht="18.75" customHeight="1" x14ac:dyDescent="0.3">
      <c r="A661" s="189">
        <v>440</v>
      </c>
      <c r="B661" s="105" t="s">
        <v>194</v>
      </c>
      <c r="C661" s="195">
        <v>401</v>
      </c>
      <c r="D661" s="128">
        <v>59</v>
      </c>
      <c r="E661" s="114">
        <v>8616</v>
      </c>
      <c r="F661" s="115">
        <v>21645</v>
      </c>
      <c r="G661" s="116">
        <v>229</v>
      </c>
      <c r="H661" s="1731" t="s">
        <v>41</v>
      </c>
      <c r="I661" s="118"/>
      <c r="J661" s="192"/>
      <c r="K661" s="104" t="s">
        <v>25</v>
      </c>
      <c r="L661" s="192"/>
      <c r="M661" s="192"/>
      <c r="N661" s="192"/>
      <c r="O661" s="2628" t="s">
        <v>6395</v>
      </c>
      <c r="Q661" s="118"/>
    </row>
    <row r="662" spans="1:17" ht="18.75" customHeight="1" x14ac:dyDescent="0.3">
      <c r="A662" s="104">
        <v>441</v>
      </c>
      <c r="B662" s="105" t="s">
        <v>194</v>
      </c>
      <c r="C662" s="195">
        <v>401</v>
      </c>
      <c r="D662" s="113">
        <v>59</v>
      </c>
      <c r="E662" s="114">
        <v>8617</v>
      </c>
      <c r="F662" s="115">
        <v>21645</v>
      </c>
      <c r="G662" s="116">
        <v>229</v>
      </c>
      <c r="H662" s="1731" t="s">
        <v>41</v>
      </c>
      <c r="I662" s="118"/>
      <c r="J662" s="192"/>
      <c r="K662" s="104" t="s">
        <v>25</v>
      </c>
      <c r="L662" s="192"/>
      <c r="M662" s="192"/>
      <c r="N662" s="192"/>
      <c r="O662" s="2628" t="s">
        <v>6395</v>
      </c>
      <c r="Q662" s="118"/>
    </row>
    <row r="663" spans="1:17" ht="18.75" customHeight="1" x14ac:dyDescent="0.3">
      <c r="A663" s="104">
        <v>442</v>
      </c>
      <c r="B663" s="105" t="s">
        <v>194</v>
      </c>
      <c r="C663" s="195">
        <v>401</v>
      </c>
      <c r="D663" s="113">
        <v>59</v>
      </c>
      <c r="E663" s="114">
        <v>8618</v>
      </c>
      <c r="F663" s="115">
        <v>21645</v>
      </c>
      <c r="G663" s="116">
        <v>229</v>
      </c>
      <c r="H663" s="1731" t="s">
        <v>41</v>
      </c>
      <c r="I663" s="118"/>
      <c r="J663" s="192"/>
      <c r="K663" s="104" t="s">
        <v>25</v>
      </c>
      <c r="L663" s="192"/>
      <c r="M663" s="192"/>
      <c r="N663" s="192"/>
      <c r="O663" s="2628" t="s">
        <v>6395</v>
      </c>
      <c r="Q663" s="118"/>
    </row>
    <row r="664" spans="1:17" ht="18.75" customHeight="1" x14ac:dyDescent="0.3">
      <c r="A664" s="189">
        <v>443</v>
      </c>
      <c r="B664" s="105" t="s">
        <v>194</v>
      </c>
      <c r="C664" s="195">
        <v>401</v>
      </c>
      <c r="D664" s="113">
        <v>59</v>
      </c>
      <c r="E664" s="114">
        <v>8619</v>
      </c>
      <c r="F664" s="115">
        <v>21645</v>
      </c>
      <c r="G664" s="116">
        <v>229</v>
      </c>
      <c r="H664" s="1731" t="s">
        <v>41</v>
      </c>
      <c r="I664" s="118"/>
      <c r="J664" s="192"/>
      <c r="K664" s="104" t="s">
        <v>25</v>
      </c>
      <c r="L664" s="192"/>
      <c r="M664" s="192"/>
      <c r="N664" s="192"/>
      <c r="O664" s="2628" t="s">
        <v>6395</v>
      </c>
      <c r="Q664" s="118"/>
    </row>
    <row r="665" spans="1:17" ht="18.75" customHeight="1" x14ac:dyDescent="0.3">
      <c r="A665" s="104">
        <v>444</v>
      </c>
      <c r="B665" s="105" t="s">
        <v>194</v>
      </c>
      <c r="C665" s="195">
        <v>401</v>
      </c>
      <c r="D665" s="113">
        <v>59</v>
      </c>
      <c r="E665" s="114">
        <v>8620</v>
      </c>
      <c r="F665" s="115">
        <v>21645</v>
      </c>
      <c r="G665" s="116">
        <v>229</v>
      </c>
      <c r="H665" s="1731" t="s">
        <v>41</v>
      </c>
      <c r="I665" s="118"/>
      <c r="J665" s="192"/>
      <c r="K665" s="104" t="s">
        <v>25</v>
      </c>
      <c r="L665" s="192"/>
      <c r="M665" s="192"/>
      <c r="N665" s="192"/>
      <c r="O665" s="2628" t="s">
        <v>6395</v>
      </c>
      <c r="Q665" s="118"/>
    </row>
    <row r="666" spans="1:17" ht="18.75" customHeight="1" x14ac:dyDescent="0.3">
      <c r="A666" s="104">
        <v>445</v>
      </c>
      <c r="B666" s="105" t="s">
        <v>194</v>
      </c>
      <c r="C666" s="195">
        <v>401</v>
      </c>
      <c r="D666" s="113">
        <v>59</v>
      </c>
      <c r="E666" s="114">
        <v>8621</v>
      </c>
      <c r="F666" s="115">
        <v>21645</v>
      </c>
      <c r="G666" s="116">
        <v>229</v>
      </c>
      <c r="H666" s="1731" t="s">
        <v>41</v>
      </c>
      <c r="I666" s="118"/>
      <c r="J666" s="192"/>
      <c r="K666" s="104" t="s">
        <v>25</v>
      </c>
      <c r="L666" s="192"/>
      <c r="M666" s="192"/>
      <c r="N666" s="192"/>
      <c r="O666" s="2628" t="s">
        <v>6395</v>
      </c>
      <c r="Q666" s="118"/>
    </row>
    <row r="667" spans="1:17" ht="18.75" customHeight="1" x14ac:dyDescent="0.3">
      <c r="A667" s="189">
        <v>446</v>
      </c>
      <c r="B667" s="105" t="s">
        <v>194</v>
      </c>
      <c r="C667" s="195">
        <v>401</v>
      </c>
      <c r="D667" s="125">
        <v>59</v>
      </c>
      <c r="E667" s="114">
        <v>8622</v>
      </c>
      <c r="F667" s="115">
        <v>21645</v>
      </c>
      <c r="G667" s="116">
        <v>229</v>
      </c>
      <c r="H667" s="1731" t="s">
        <v>41</v>
      </c>
      <c r="I667" s="118"/>
      <c r="J667" s="192"/>
      <c r="K667" s="104" t="s">
        <v>25</v>
      </c>
      <c r="L667" s="192"/>
      <c r="M667" s="192"/>
      <c r="N667" s="192"/>
      <c r="O667" s="2628" t="s">
        <v>6395</v>
      </c>
      <c r="Q667" s="118"/>
    </row>
    <row r="668" spans="1:17" ht="18.75" customHeight="1" x14ac:dyDescent="0.3">
      <c r="A668" s="104">
        <v>447</v>
      </c>
      <c r="B668" s="105" t="s">
        <v>194</v>
      </c>
      <c r="C668" s="195">
        <v>401</v>
      </c>
      <c r="D668" s="128">
        <v>59</v>
      </c>
      <c r="E668" s="114">
        <v>8623</v>
      </c>
      <c r="F668" s="115">
        <v>21645</v>
      </c>
      <c r="G668" s="116">
        <v>229</v>
      </c>
      <c r="H668" s="1731" t="s">
        <v>41</v>
      </c>
      <c r="I668" s="118"/>
      <c r="J668" s="192"/>
      <c r="K668" s="104" t="s">
        <v>25</v>
      </c>
      <c r="L668" s="192"/>
      <c r="M668" s="192"/>
      <c r="N668" s="192"/>
      <c r="O668" s="2628" t="s">
        <v>6395</v>
      </c>
      <c r="Q668" s="118"/>
    </row>
    <row r="669" spans="1:17" ht="18.75" customHeight="1" x14ac:dyDescent="0.3">
      <c r="A669" s="104">
        <v>448</v>
      </c>
      <c r="B669" s="105" t="s">
        <v>194</v>
      </c>
      <c r="C669" s="195">
        <v>401</v>
      </c>
      <c r="D669" s="113">
        <v>59</v>
      </c>
      <c r="E669" s="114">
        <v>8624</v>
      </c>
      <c r="F669" s="115">
        <v>21645</v>
      </c>
      <c r="G669" s="116">
        <v>229</v>
      </c>
      <c r="H669" s="1731" t="s">
        <v>41</v>
      </c>
      <c r="I669" s="118"/>
      <c r="J669" s="192"/>
      <c r="K669" s="104" t="s">
        <v>25</v>
      </c>
      <c r="L669" s="192"/>
      <c r="M669" s="192"/>
      <c r="N669" s="192"/>
      <c r="O669" s="2628" t="s">
        <v>6395</v>
      </c>
      <c r="Q669" s="118"/>
    </row>
    <row r="670" spans="1:17" ht="18.75" customHeight="1" x14ac:dyDescent="0.3">
      <c r="A670" s="189">
        <v>449</v>
      </c>
      <c r="B670" s="105" t="s">
        <v>194</v>
      </c>
      <c r="C670" s="195">
        <v>401</v>
      </c>
      <c r="D670" s="113">
        <v>59</v>
      </c>
      <c r="E670" s="114">
        <v>8625</v>
      </c>
      <c r="F670" s="115">
        <v>21645</v>
      </c>
      <c r="G670" s="116">
        <v>229</v>
      </c>
      <c r="H670" s="1731" t="s">
        <v>41</v>
      </c>
      <c r="I670" s="118"/>
      <c r="J670" s="192"/>
      <c r="K670" s="104" t="s">
        <v>25</v>
      </c>
      <c r="L670" s="192"/>
      <c r="M670" s="192"/>
      <c r="N670" s="192"/>
      <c r="O670" s="2628" t="s">
        <v>6395</v>
      </c>
      <c r="Q670" s="118"/>
    </row>
    <row r="671" spans="1:17" ht="18.75" customHeight="1" x14ac:dyDescent="0.3">
      <c r="A671" s="104">
        <v>450</v>
      </c>
      <c r="B671" s="105" t="s">
        <v>194</v>
      </c>
      <c r="C671" s="195">
        <v>401</v>
      </c>
      <c r="D671" s="113">
        <v>59</v>
      </c>
      <c r="E671" s="114">
        <v>8626</v>
      </c>
      <c r="F671" s="115">
        <v>21645</v>
      </c>
      <c r="G671" s="116">
        <v>229</v>
      </c>
      <c r="H671" s="1731" t="s">
        <v>41</v>
      </c>
      <c r="I671" s="118"/>
      <c r="J671" s="192"/>
      <c r="K671" s="104" t="s">
        <v>25</v>
      </c>
      <c r="L671" s="192"/>
      <c r="M671" s="192"/>
      <c r="N671" s="192"/>
      <c r="O671" s="2628" t="s">
        <v>6395</v>
      </c>
      <c r="Q671" s="118"/>
    </row>
    <row r="672" spans="1:17" ht="18.75" customHeight="1" x14ac:dyDescent="0.3">
      <c r="A672" s="104">
        <v>451</v>
      </c>
      <c r="B672" s="105" t="s">
        <v>194</v>
      </c>
      <c r="C672" s="195">
        <v>401</v>
      </c>
      <c r="D672" s="113">
        <v>59</v>
      </c>
      <c r="E672" s="114">
        <v>8627</v>
      </c>
      <c r="F672" s="115">
        <v>21645</v>
      </c>
      <c r="G672" s="116">
        <v>229</v>
      </c>
      <c r="H672" s="1731" t="s">
        <v>41</v>
      </c>
      <c r="I672" s="118"/>
      <c r="J672" s="192"/>
      <c r="K672" s="104" t="s">
        <v>25</v>
      </c>
      <c r="L672" s="192"/>
      <c r="M672" s="192"/>
      <c r="N672" s="192"/>
      <c r="O672" s="2628" t="s">
        <v>6395</v>
      </c>
      <c r="Q672" s="118"/>
    </row>
    <row r="673" spans="1:17" ht="18.75" customHeight="1" x14ac:dyDescent="0.3">
      <c r="A673" s="189">
        <v>452</v>
      </c>
      <c r="B673" s="105" t="s">
        <v>194</v>
      </c>
      <c r="C673" s="195">
        <v>401</v>
      </c>
      <c r="D673" s="113">
        <v>59</v>
      </c>
      <c r="E673" s="114">
        <v>8628</v>
      </c>
      <c r="F673" s="115">
        <v>21645</v>
      </c>
      <c r="G673" s="116">
        <v>229</v>
      </c>
      <c r="H673" s="1731" t="s">
        <v>41</v>
      </c>
      <c r="I673" s="118"/>
      <c r="J673" s="192"/>
      <c r="K673" s="104" t="s">
        <v>25</v>
      </c>
      <c r="L673" s="192"/>
      <c r="M673" s="192"/>
      <c r="N673" s="192"/>
      <c r="O673" s="2628" t="s">
        <v>6395</v>
      </c>
      <c r="Q673" s="118"/>
    </row>
    <row r="674" spans="1:17" ht="18.75" customHeight="1" x14ac:dyDescent="0.3">
      <c r="A674" s="104">
        <v>453</v>
      </c>
      <c r="B674" s="105" t="s">
        <v>194</v>
      </c>
      <c r="C674" s="195">
        <v>401</v>
      </c>
      <c r="D674" s="113">
        <v>59</v>
      </c>
      <c r="E674" s="114">
        <v>8629</v>
      </c>
      <c r="F674" s="115">
        <v>21645</v>
      </c>
      <c r="G674" s="116">
        <v>229</v>
      </c>
      <c r="H674" s="1731" t="s">
        <v>41</v>
      </c>
      <c r="I674" s="118"/>
      <c r="J674" s="192"/>
      <c r="K674" s="104" t="s">
        <v>25</v>
      </c>
      <c r="L674" s="192"/>
      <c r="M674" s="192"/>
      <c r="N674" s="192"/>
      <c r="O674" s="2628" t="s">
        <v>6395</v>
      </c>
      <c r="Q674" s="118"/>
    </row>
    <row r="675" spans="1:17" ht="18.75" customHeight="1" x14ac:dyDescent="0.3">
      <c r="A675" s="104">
        <v>454</v>
      </c>
      <c r="B675" s="105" t="s">
        <v>194</v>
      </c>
      <c r="C675" s="195">
        <v>401</v>
      </c>
      <c r="D675" s="113">
        <v>59</v>
      </c>
      <c r="E675" s="114">
        <v>8630</v>
      </c>
      <c r="F675" s="115">
        <v>21645</v>
      </c>
      <c r="G675" s="116">
        <v>229</v>
      </c>
      <c r="H675" s="1731" t="s">
        <v>41</v>
      </c>
      <c r="I675" s="118"/>
      <c r="J675" s="192"/>
      <c r="K675" s="104" t="s">
        <v>25</v>
      </c>
      <c r="L675" s="192"/>
      <c r="M675" s="192"/>
      <c r="N675" s="192"/>
      <c r="O675" s="2628" t="s">
        <v>6395</v>
      </c>
      <c r="Q675" s="118"/>
    </row>
    <row r="676" spans="1:17" ht="18.75" customHeight="1" x14ac:dyDescent="0.3">
      <c r="A676" s="189">
        <v>455</v>
      </c>
      <c r="B676" s="105" t="s">
        <v>194</v>
      </c>
      <c r="C676" s="195">
        <v>401</v>
      </c>
      <c r="D676" s="125">
        <v>59</v>
      </c>
      <c r="E676" s="114">
        <v>8631</v>
      </c>
      <c r="F676" s="115">
        <v>21645</v>
      </c>
      <c r="G676" s="116">
        <v>229</v>
      </c>
      <c r="H676" s="1731" t="s">
        <v>41</v>
      </c>
      <c r="I676" s="118"/>
      <c r="J676" s="192"/>
      <c r="K676" s="104" t="s">
        <v>25</v>
      </c>
      <c r="L676" s="192"/>
      <c r="M676" s="192"/>
      <c r="N676" s="192"/>
      <c r="O676" s="2628" t="s">
        <v>6395</v>
      </c>
      <c r="Q676" s="118"/>
    </row>
    <row r="677" spans="1:17" ht="18.75" customHeight="1" x14ac:dyDescent="0.3">
      <c r="A677" s="104">
        <v>456</v>
      </c>
      <c r="B677" s="105" t="s">
        <v>194</v>
      </c>
      <c r="C677" s="195">
        <v>401</v>
      </c>
      <c r="D677" s="128">
        <v>59</v>
      </c>
      <c r="E677" s="114">
        <v>8632</v>
      </c>
      <c r="F677" s="115">
        <v>21645</v>
      </c>
      <c r="G677" s="116">
        <v>229</v>
      </c>
      <c r="H677" s="1731" t="s">
        <v>41</v>
      </c>
      <c r="I677" s="118"/>
      <c r="J677" s="192"/>
      <c r="K677" s="104" t="s">
        <v>25</v>
      </c>
      <c r="L677" s="192"/>
      <c r="M677" s="192"/>
      <c r="N677" s="192"/>
      <c r="O677" s="2628" t="s">
        <v>6395</v>
      </c>
      <c r="Q677" s="118"/>
    </row>
    <row r="678" spans="1:17" ht="18.75" customHeight="1" x14ac:dyDescent="0.3">
      <c r="A678" s="104">
        <v>457</v>
      </c>
      <c r="B678" s="105" t="s">
        <v>194</v>
      </c>
      <c r="C678" s="195">
        <v>401</v>
      </c>
      <c r="D678" s="113">
        <v>59</v>
      </c>
      <c r="E678" s="114">
        <v>8633</v>
      </c>
      <c r="F678" s="115">
        <v>21645</v>
      </c>
      <c r="G678" s="116">
        <v>229</v>
      </c>
      <c r="H678" s="1731" t="s">
        <v>41</v>
      </c>
      <c r="I678" s="118"/>
      <c r="J678" s="192"/>
      <c r="K678" s="104" t="s">
        <v>25</v>
      </c>
      <c r="L678" s="192"/>
      <c r="M678" s="192"/>
      <c r="N678" s="192"/>
      <c r="O678" s="2628" t="s">
        <v>6395</v>
      </c>
      <c r="Q678" s="118"/>
    </row>
    <row r="679" spans="1:17" ht="18.75" customHeight="1" x14ac:dyDescent="0.3">
      <c r="A679" s="189">
        <v>458</v>
      </c>
      <c r="B679" s="105" t="s">
        <v>194</v>
      </c>
      <c r="C679" s="195">
        <v>401</v>
      </c>
      <c r="D679" s="113">
        <v>59</v>
      </c>
      <c r="E679" s="114">
        <v>8634</v>
      </c>
      <c r="F679" s="115">
        <v>21645</v>
      </c>
      <c r="G679" s="116">
        <v>229</v>
      </c>
      <c r="H679" s="1731" t="s">
        <v>41</v>
      </c>
      <c r="I679" s="118"/>
      <c r="J679" s="192"/>
      <c r="K679" s="104" t="s">
        <v>25</v>
      </c>
      <c r="L679" s="192"/>
      <c r="M679" s="192"/>
      <c r="N679" s="192"/>
      <c r="O679" s="2628" t="s">
        <v>6395</v>
      </c>
      <c r="Q679" s="118"/>
    </row>
    <row r="680" spans="1:17" ht="18.75" customHeight="1" x14ac:dyDescent="0.3">
      <c r="A680" s="104">
        <v>459</v>
      </c>
      <c r="B680" s="105" t="s">
        <v>194</v>
      </c>
      <c r="C680" s="195">
        <v>401</v>
      </c>
      <c r="D680" s="113">
        <v>59</v>
      </c>
      <c r="E680" s="114">
        <v>8635</v>
      </c>
      <c r="F680" s="115">
        <v>21645</v>
      </c>
      <c r="G680" s="116">
        <v>229</v>
      </c>
      <c r="H680" s="1731" t="s">
        <v>41</v>
      </c>
      <c r="I680" s="118"/>
      <c r="J680" s="192"/>
      <c r="K680" s="104" t="s">
        <v>25</v>
      </c>
      <c r="L680" s="192"/>
      <c r="M680" s="192"/>
      <c r="N680" s="192"/>
      <c r="O680" s="2628" t="s">
        <v>6395</v>
      </c>
      <c r="Q680" s="118"/>
    </row>
    <row r="681" spans="1:17" ht="18.75" customHeight="1" x14ac:dyDescent="0.3">
      <c r="A681" s="104">
        <v>460</v>
      </c>
      <c r="B681" s="105" t="s">
        <v>194</v>
      </c>
      <c r="C681" s="195">
        <v>401</v>
      </c>
      <c r="D681" s="113">
        <v>59</v>
      </c>
      <c r="E681" s="114">
        <v>8636</v>
      </c>
      <c r="F681" s="115">
        <v>21645</v>
      </c>
      <c r="G681" s="116">
        <v>229</v>
      </c>
      <c r="H681" s="1731" t="s">
        <v>41</v>
      </c>
      <c r="I681" s="118"/>
      <c r="J681" s="192"/>
      <c r="K681" s="104" t="s">
        <v>25</v>
      </c>
      <c r="L681" s="192"/>
      <c r="M681" s="192"/>
      <c r="N681" s="192"/>
      <c r="O681" s="2628" t="s">
        <v>6395</v>
      </c>
      <c r="Q681" s="118"/>
    </row>
    <row r="682" spans="1:17" ht="18.75" customHeight="1" x14ac:dyDescent="0.3">
      <c r="A682" s="189">
        <v>461</v>
      </c>
      <c r="B682" s="105" t="s">
        <v>194</v>
      </c>
      <c r="C682" s="195">
        <v>401</v>
      </c>
      <c r="D682" s="113">
        <v>59</v>
      </c>
      <c r="E682" s="114">
        <v>8637</v>
      </c>
      <c r="F682" s="115">
        <v>21645</v>
      </c>
      <c r="G682" s="116">
        <v>229</v>
      </c>
      <c r="H682" s="1731" t="s">
        <v>41</v>
      </c>
      <c r="I682" s="118"/>
      <c r="J682" s="192"/>
      <c r="K682" s="104" t="s">
        <v>25</v>
      </c>
      <c r="L682" s="192"/>
      <c r="M682" s="192"/>
      <c r="N682" s="192"/>
      <c r="O682" s="2628" t="s">
        <v>6395</v>
      </c>
      <c r="Q682" s="118"/>
    </row>
    <row r="683" spans="1:17" ht="18.75" customHeight="1" x14ac:dyDescent="0.3">
      <c r="A683" s="104">
        <v>462</v>
      </c>
      <c r="B683" s="105" t="s">
        <v>194</v>
      </c>
      <c r="C683" s="195">
        <v>401</v>
      </c>
      <c r="D683" s="113">
        <v>59</v>
      </c>
      <c r="E683" s="114">
        <v>8638</v>
      </c>
      <c r="F683" s="115">
        <v>21645</v>
      </c>
      <c r="G683" s="116">
        <v>229</v>
      </c>
      <c r="H683" s="1731" t="s">
        <v>41</v>
      </c>
      <c r="I683" s="118"/>
      <c r="J683" s="192"/>
      <c r="K683" s="104" t="s">
        <v>25</v>
      </c>
      <c r="L683" s="192"/>
      <c r="M683" s="192"/>
      <c r="N683" s="192"/>
      <c r="O683" s="2628" t="s">
        <v>6395</v>
      </c>
      <c r="Q683" s="118"/>
    </row>
    <row r="684" spans="1:17" ht="18.75" customHeight="1" x14ac:dyDescent="0.3">
      <c r="A684" s="104">
        <v>463</v>
      </c>
      <c r="B684" s="105" t="s">
        <v>194</v>
      </c>
      <c r="C684" s="195">
        <v>401</v>
      </c>
      <c r="D684" s="113">
        <v>59</v>
      </c>
      <c r="E684" s="114">
        <v>8639</v>
      </c>
      <c r="F684" s="115">
        <v>21645</v>
      </c>
      <c r="G684" s="116">
        <v>229</v>
      </c>
      <c r="H684" s="1731" t="s">
        <v>41</v>
      </c>
      <c r="I684" s="118"/>
      <c r="J684" s="192"/>
      <c r="K684" s="104" t="s">
        <v>25</v>
      </c>
      <c r="L684" s="192"/>
      <c r="M684" s="192"/>
      <c r="N684" s="192"/>
      <c r="O684" s="2628" t="s">
        <v>6395</v>
      </c>
      <c r="Q684" s="118"/>
    </row>
    <row r="685" spans="1:17" ht="18.75" customHeight="1" x14ac:dyDescent="0.3">
      <c r="A685" s="189">
        <v>464</v>
      </c>
      <c r="B685" s="105" t="s">
        <v>194</v>
      </c>
      <c r="C685" s="195">
        <v>401</v>
      </c>
      <c r="D685" s="113">
        <v>59</v>
      </c>
      <c r="E685" s="114">
        <v>8640</v>
      </c>
      <c r="F685" s="115">
        <v>21645</v>
      </c>
      <c r="G685" s="116">
        <v>229</v>
      </c>
      <c r="H685" s="1731" t="s">
        <v>41</v>
      </c>
      <c r="I685" s="118"/>
      <c r="J685" s="192"/>
      <c r="K685" s="104" t="s">
        <v>25</v>
      </c>
      <c r="L685" s="192"/>
      <c r="M685" s="192"/>
      <c r="N685" s="192"/>
      <c r="O685" s="2628" t="s">
        <v>6395</v>
      </c>
      <c r="Q685" s="118"/>
    </row>
    <row r="686" spans="1:17" ht="18.75" customHeight="1" x14ac:dyDescent="0.3">
      <c r="A686" s="104">
        <v>465</v>
      </c>
      <c r="B686" s="105" t="s">
        <v>194</v>
      </c>
      <c r="C686" s="195">
        <v>401</v>
      </c>
      <c r="D686" s="113">
        <v>59</v>
      </c>
      <c r="E686" s="114">
        <v>8641</v>
      </c>
      <c r="F686" s="115">
        <v>21645</v>
      </c>
      <c r="G686" s="116">
        <v>229</v>
      </c>
      <c r="H686" s="1731" t="s">
        <v>41</v>
      </c>
      <c r="I686" s="118"/>
      <c r="J686" s="192"/>
      <c r="K686" s="104" t="s">
        <v>25</v>
      </c>
      <c r="L686" s="192"/>
      <c r="M686" s="192"/>
      <c r="N686" s="192"/>
      <c r="O686" s="2628" t="s">
        <v>6395</v>
      </c>
      <c r="Q686" s="118"/>
    </row>
    <row r="687" spans="1:17" ht="18.75" customHeight="1" x14ac:dyDescent="0.3">
      <c r="A687" s="104">
        <v>466</v>
      </c>
      <c r="B687" s="105" t="s">
        <v>194</v>
      </c>
      <c r="C687" s="195">
        <v>401</v>
      </c>
      <c r="D687" s="113">
        <v>59</v>
      </c>
      <c r="E687" s="114">
        <v>8642</v>
      </c>
      <c r="F687" s="115">
        <v>21645</v>
      </c>
      <c r="G687" s="116">
        <v>229</v>
      </c>
      <c r="H687" s="1731" t="s">
        <v>41</v>
      </c>
      <c r="I687" s="118"/>
      <c r="J687" s="192"/>
      <c r="K687" s="104" t="s">
        <v>25</v>
      </c>
      <c r="L687" s="192"/>
      <c r="M687" s="192"/>
      <c r="N687" s="192"/>
      <c r="O687" s="2628" t="s">
        <v>6395</v>
      </c>
      <c r="Q687" s="118"/>
    </row>
    <row r="688" spans="1:17" ht="18.75" customHeight="1" x14ac:dyDescent="0.3">
      <c r="A688" s="189">
        <v>467</v>
      </c>
      <c r="B688" s="105" t="s">
        <v>194</v>
      </c>
      <c r="C688" s="195">
        <v>401</v>
      </c>
      <c r="D688" s="113">
        <v>59</v>
      </c>
      <c r="E688" s="114">
        <v>8643</v>
      </c>
      <c r="F688" s="115">
        <v>21645</v>
      </c>
      <c r="G688" s="116">
        <v>229</v>
      </c>
      <c r="H688" s="1731" t="s">
        <v>41</v>
      </c>
      <c r="I688" s="118"/>
      <c r="J688" s="192"/>
      <c r="K688" s="104" t="s">
        <v>25</v>
      </c>
      <c r="L688" s="192"/>
      <c r="M688" s="192"/>
      <c r="N688" s="192"/>
      <c r="O688" s="2628" t="s">
        <v>6395</v>
      </c>
      <c r="Q688" s="118"/>
    </row>
    <row r="689" spans="1:17" ht="18.75" customHeight="1" x14ac:dyDescent="0.3">
      <c r="A689" s="104">
        <v>468</v>
      </c>
      <c r="B689" s="105" t="s">
        <v>194</v>
      </c>
      <c r="C689" s="195">
        <v>401</v>
      </c>
      <c r="D689" s="113">
        <v>59</v>
      </c>
      <c r="E689" s="114">
        <v>8644</v>
      </c>
      <c r="F689" s="115">
        <v>21645</v>
      </c>
      <c r="G689" s="116">
        <v>229</v>
      </c>
      <c r="H689" s="1731" t="s">
        <v>41</v>
      </c>
      <c r="I689" s="118"/>
      <c r="J689" s="192"/>
      <c r="K689" s="104" t="s">
        <v>25</v>
      </c>
      <c r="L689" s="192"/>
      <c r="M689" s="192"/>
      <c r="N689" s="192"/>
      <c r="O689" s="2628" t="s">
        <v>6395</v>
      </c>
      <c r="Q689" s="118"/>
    </row>
    <row r="690" spans="1:17" ht="18.75" customHeight="1" x14ac:dyDescent="0.3">
      <c r="A690" s="104">
        <v>469</v>
      </c>
      <c r="B690" s="105" t="s">
        <v>194</v>
      </c>
      <c r="C690" s="195">
        <v>401</v>
      </c>
      <c r="D690" s="125">
        <v>59</v>
      </c>
      <c r="E690" s="114">
        <v>8645</v>
      </c>
      <c r="F690" s="115">
        <v>21645</v>
      </c>
      <c r="G690" s="116">
        <v>229</v>
      </c>
      <c r="H690" s="1731" t="s">
        <v>41</v>
      </c>
      <c r="I690" s="118"/>
      <c r="J690" s="192"/>
      <c r="K690" s="104" t="s">
        <v>25</v>
      </c>
      <c r="L690" s="192"/>
      <c r="M690" s="192"/>
      <c r="N690" s="192"/>
      <c r="O690" s="2628" t="s">
        <v>6395</v>
      </c>
      <c r="Q690" s="118"/>
    </row>
    <row r="691" spans="1:17" ht="18.75" customHeight="1" x14ac:dyDescent="0.3">
      <c r="A691" s="189">
        <v>470</v>
      </c>
      <c r="B691" s="105" t="s">
        <v>194</v>
      </c>
      <c r="C691" s="195">
        <v>401</v>
      </c>
      <c r="D691" s="128">
        <v>59</v>
      </c>
      <c r="E691" s="114">
        <v>8646</v>
      </c>
      <c r="F691" s="115">
        <v>21645</v>
      </c>
      <c r="G691" s="116">
        <v>229</v>
      </c>
      <c r="H691" s="1731" t="s">
        <v>41</v>
      </c>
      <c r="I691" s="118"/>
      <c r="J691" s="192"/>
      <c r="K691" s="104" t="s">
        <v>25</v>
      </c>
      <c r="L691" s="192"/>
      <c r="M691" s="192"/>
      <c r="N691" s="192"/>
      <c r="O691" s="2628" t="s">
        <v>6395</v>
      </c>
      <c r="Q691" s="118"/>
    </row>
    <row r="692" spans="1:17" ht="18.75" customHeight="1" x14ac:dyDescent="0.3">
      <c r="A692" s="104">
        <v>471</v>
      </c>
      <c r="B692" s="105" t="s">
        <v>194</v>
      </c>
      <c r="C692" s="195">
        <v>401</v>
      </c>
      <c r="D692" s="113">
        <v>59</v>
      </c>
      <c r="E692" s="114">
        <v>8647</v>
      </c>
      <c r="F692" s="115">
        <v>21645</v>
      </c>
      <c r="G692" s="116">
        <v>229</v>
      </c>
      <c r="H692" s="1731" t="s">
        <v>41</v>
      </c>
      <c r="I692" s="118"/>
      <c r="J692" s="192"/>
      <c r="K692" s="104" t="s">
        <v>25</v>
      </c>
      <c r="L692" s="192"/>
      <c r="M692" s="192"/>
      <c r="N692" s="192"/>
      <c r="O692" s="2628" t="s">
        <v>6395</v>
      </c>
      <c r="Q692" s="118"/>
    </row>
    <row r="693" spans="1:17" ht="18.75" customHeight="1" x14ac:dyDescent="0.3">
      <c r="A693" s="104">
        <v>472</v>
      </c>
      <c r="B693" s="105" t="s">
        <v>194</v>
      </c>
      <c r="C693" s="195">
        <v>401</v>
      </c>
      <c r="D693" s="113">
        <v>59</v>
      </c>
      <c r="E693" s="114">
        <v>8648</v>
      </c>
      <c r="F693" s="115">
        <v>21645</v>
      </c>
      <c r="G693" s="116">
        <v>229</v>
      </c>
      <c r="H693" s="1731" t="s">
        <v>41</v>
      </c>
      <c r="I693" s="118"/>
      <c r="J693" s="192"/>
      <c r="K693" s="104" t="s">
        <v>25</v>
      </c>
      <c r="L693" s="192"/>
      <c r="M693" s="192"/>
      <c r="N693" s="192"/>
      <c r="O693" s="2628" t="s">
        <v>6395</v>
      </c>
      <c r="Q693" s="118"/>
    </row>
    <row r="694" spans="1:17" ht="18.75" customHeight="1" x14ac:dyDescent="0.3">
      <c r="A694" s="189">
        <v>473</v>
      </c>
      <c r="B694" s="105" t="s">
        <v>194</v>
      </c>
      <c r="C694" s="195">
        <v>401</v>
      </c>
      <c r="D694" s="113">
        <v>59</v>
      </c>
      <c r="E694" s="114">
        <v>8649</v>
      </c>
      <c r="F694" s="115">
        <v>21645</v>
      </c>
      <c r="G694" s="116">
        <v>229</v>
      </c>
      <c r="H694" s="1731" t="s">
        <v>41</v>
      </c>
      <c r="I694" s="118"/>
      <c r="J694" s="192"/>
      <c r="K694" s="104" t="s">
        <v>25</v>
      </c>
      <c r="L694" s="192"/>
      <c r="M694" s="192"/>
      <c r="N694" s="192"/>
      <c r="O694" s="2628" t="s">
        <v>6395</v>
      </c>
      <c r="Q694" s="118"/>
    </row>
    <row r="695" spans="1:17" ht="18.75" customHeight="1" x14ac:dyDescent="0.3">
      <c r="A695" s="104">
        <v>474</v>
      </c>
      <c r="B695" s="105" t="s">
        <v>194</v>
      </c>
      <c r="C695" s="195">
        <v>401</v>
      </c>
      <c r="D695" s="113">
        <v>59</v>
      </c>
      <c r="E695" s="114">
        <v>8650</v>
      </c>
      <c r="F695" s="115">
        <v>21645</v>
      </c>
      <c r="G695" s="116">
        <v>229</v>
      </c>
      <c r="H695" s="1731" t="s">
        <v>41</v>
      </c>
      <c r="I695" s="118"/>
      <c r="J695" s="192"/>
      <c r="K695" s="104" t="s">
        <v>25</v>
      </c>
      <c r="L695" s="192"/>
      <c r="M695" s="192"/>
      <c r="N695" s="192"/>
      <c r="O695" s="2628" t="s">
        <v>6395</v>
      </c>
      <c r="Q695" s="118"/>
    </row>
    <row r="696" spans="1:17" ht="18.75" customHeight="1" x14ac:dyDescent="0.3">
      <c r="A696" s="104">
        <v>475</v>
      </c>
      <c r="B696" s="105" t="s">
        <v>194</v>
      </c>
      <c r="C696" s="195">
        <v>401</v>
      </c>
      <c r="D696" s="113">
        <v>59</v>
      </c>
      <c r="E696" s="114">
        <v>8651</v>
      </c>
      <c r="F696" s="115">
        <v>21645</v>
      </c>
      <c r="G696" s="116">
        <v>229</v>
      </c>
      <c r="H696" s="1731" t="s">
        <v>41</v>
      </c>
      <c r="I696" s="118"/>
      <c r="J696" s="192"/>
      <c r="K696" s="104" t="s">
        <v>25</v>
      </c>
      <c r="L696" s="192"/>
      <c r="M696" s="192"/>
      <c r="N696" s="192"/>
      <c r="O696" s="2628" t="s">
        <v>6395</v>
      </c>
      <c r="Q696" s="118"/>
    </row>
    <row r="697" spans="1:17" ht="18.75" customHeight="1" x14ac:dyDescent="0.3">
      <c r="A697" s="189">
        <v>476</v>
      </c>
      <c r="B697" s="105" t="s">
        <v>194</v>
      </c>
      <c r="C697" s="195">
        <v>401</v>
      </c>
      <c r="D697" s="113">
        <v>59</v>
      </c>
      <c r="E697" s="114">
        <v>8652</v>
      </c>
      <c r="F697" s="115">
        <v>21645</v>
      </c>
      <c r="G697" s="116">
        <v>229</v>
      </c>
      <c r="H697" s="1731" t="s">
        <v>41</v>
      </c>
      <c r="I697" s="118"/>
      <c r="J697" s="192"/>
      <c r="K697" s="104" t="s">
        <v>25</v>
      </c>
      <c r="L697" s="192"/>
      <c r="M697" s="192"/>
      <c r="N697" s="192"/>
      <c r="O697" s="2628" t="s">
        <v>6395</v>
      </c>
      <c r="Q697" s="118"/>
    </row>
    <row r="698" spans="1:17" ht="18.75" customHeight="1" x14ac:dyDescent="0.3">
      <c r="A698" s="104">
        <v>477</v>
      </c>
      <c r="B698" s="105" t="s">
        <v>194</v>
      </c>
      <c r="C698" s="195">
        <v>401</v>
      </c>
      <c r="D698" s="113">
        <v>59</v>
      </c>
      <c r="E698" s="114">
        <v>8653</v>
      </c>
      <c r="F698" s="115">
        <v>21645</v>
      </c>
      <c r="G698" s="116">
        <v>229</v>
      </c>
      <c r="H698" s="1731" t="s">
        <v>41</v>
      </c>
      <c r="I698" s="118"/>
      <c r="J698" s="192"/>
      <c r="K698" s="104" t="s">
        <v>25</v>
      </c>
      <c r="L698" s="192"/>
      <c r="M698" s="192"/>
      <c r="N698" s="192"/>
      <c r="O698" s="2628" t="s">
        <v>6395</v>
      </c>
      <c r="Q698" s="118"/>
    </row>
    <row r="699" spans="1:17" ht="18.75" customHeight="1" x14ac:dyDescent="0.3">
      <c r="A699" s="104">
        <v>478</v>
      </c>
      <c r="B699" s="105" t="s">
        <v>194</v>
      </c>
      <c r="C699" s="195">
        <v>401</v>
      </c>
      <c r="D699" s="113">
        <v>59</v>
      </c>
      <c r="E699" s="114">
        <v>8654</v>
      </c>
      <c r="F699" s="115">
        <v>21645</v>
      </c>
      <c r="G699" s="116">
        <v>229</v>
      </c>
      <c r="H699" s="1731" t="s">
        <v>41</v>
      </c>
      <c r="I699" s="118"/>
      <c r="J699" s="192"/>
      <c r="K699" s="104" t="s">
        <v>25</v>
      </c>
      <c r="L699" s="192"/>
      <c r="M699" s="192"/>
      <c r="N699" s="192"/>
      <c r="O699" s="2628" t="s">
        <v>6395</v>
      </c>
      <c r="Q699" s="118"/>
    </row>
    <row r="700" spans="1:17" ht="18.75" customHeight="1" x14ac:dyDescent="0.3">
      <c r="A700" s="189">
        <v>479</v>
      </c>
      <c r="B700" s="105" t="s">
        <v>194</v>
      </c>
      <c r="C700" s="195">
        <v>401</v>
      </c>
      <c r="D700" s="113">
        <v>59</v>
      </c>
      <c r="E700" s="114">
        <v>8655</v>
      </c>
      <c r="F700" s="115">
        <v>21645</v>
      </c>
      <c r="G700" s="116">
        <v>229</v>
      </c>
      <c r="H700" s="1731" t="s">
        <v>41</v>
      </c>
      <c r="I700" s="118"/>
      <c r="J700" s="192"/>
      <c r="K700" s="104" t="s">
        <v>25</v>
      </c>
      <c r="L700" s="192"/>
      <c r="M700" s="192"/>
      <c r="N700" s="192"/>
      <c r="O700" s="2628" t="s">
        <v>6395</v>
      </c>
      <c r="Q700" s="118"/>
    </row>
    <row r="701" spans="1:17" ht="18.75" customHeight="1" x14ac:dyDescent="0.3">
      <c r="A701" s="104">
        <v>480</v>
      </c>
      <c r="B701" s="105" t="s">
        <v>194</v>
      </c>
      <c r="C701" s="195">
        <v>401</v>
      </c>
      <c r="D701" s="125">
        <v>59</v>
      </c>
      <c r="E701" s="114">
        <v>8656</v>
      </c>
      <c r="F701" s="115">
        <v>21645</v>
      </c>
      <c r="G701" s="116">
        <v>229</v>
      </c>
      <c r="H701" s="1731" t="s">
        <v>41</v>
      </c>
      <c r="I701" s="118"/>
      <c r="J701" s="192"/>
      <c r="K701" s="104" t="s">
        <v>25</v>
      </c>
      <c r="L701" s="192"/>
      <c r="M701" s="192"/>
      <c r="N701" s="192"/>
      <c r="O701" s="2628" t="s">
        <v>6395</v>
      </c>
      <c r="Q701" s="118"/>
    </row>
    <row r="702" spans="1:17" ht="18.75" customHeight="1" x14ac:dyDescent="0.3">
      <c r="A702" s="104">
        <v>481</v>
      </c>
      <c r="B702" s="105" t="s">
        <v>194</v>
      </c>
      <c r="C702" s="195">
        <v>401</v>
      </c>
      <c r="D702" s="128">
        <v>59</v>
      </c>
      <c r="E702" s="114">
        <v>8657</v>
      </c>
      <c r="F702" s="115">
        <v>21645</v>
      </c>
      <c r="G702" s="116">
        <v>229</v>
      </c>
      <c r="H702" s="1731" t="s">
        <v>41</v>
      </c>
      <c r="I702" s="118"/>
      <c r="J702" s="192"/>
      <c r="K702" s="104" t="s">
        <v>25</v>
      </c>
      <c r="L702" s="192"/>
      <c r="M702" s="192"/>
      <c r="N702" s="192"/>
      <c r="O702" s="2628" t="s">
        <v>6395</v>
      </c>
      <c r="Q702" s="118"/>
    </row>
    <row r="703" spans="1:17" ht="18.75" customHeight="1" x14ac:dyDescent="0.3">
      <c r="A703" s="189">
        <v>482</v>
      </c>
      <c r="B703" s="105" t="s">
        <v>194</v>
      </c>
      <c r="C703" s="195">
        <v>401</v>
      </c>
      <c r="D703" s="113">
        <v>59</v>
      </c>
      <c r="E703" s="114">
        <v>8658</v>
      </c>
      <c r="F703" s="115">
        <v>21645</v>
      </c>
      <c r="G703" s="116">
        <v>229</v>
      </c>
      <c r="H703" s="1731" t="s">
        <v>41</v>
      </c>
      <c r="I703" s="118"/>
      <c r="J703" s="192"/>
      <c r="K703" s="104" t="s">
        <v>25</v>
      </c>
      <c r="L703" s="192"/>
      <c r="M703" s="192"/>
      <c r="N703" s="192"/>
      <c r="O703" s="2628" t="s">
        <v>6395</v>
      </c>
      <c r="Q703" s="118"/>
    </row>
    <row r="704" spans="1:17" ht="18.75" customHeight="1" x14ac:dyDescent="0.3">
      <c r="A704" s="104">
        <v>483</v>
      </c>
      <c r="B704" s="105" t="s">
        <v>194</v>
      </c>
      <c r="C704" s="195">
        <v>401</v>
      </c>
      <c r="D704" s="113">
        <v>59</v>
      </c>
      <c r="E704" s="114">
        <v>8659</v>
      </c>
      <c r="F704" s="115">
        <v>21645</v>
      </c>
      <c r="G704" s="116">
        <v>229</v>
      </c>
      <c r="H704" s="1731" t="s">
        <v>41</v>
      </c>
      <c r="I704" s="118"/>
      <c r="J704" s="192"/>
      <c r="K704" s="104" t="s">
        <v>25</v>
      </c>
      <c r="L704" s="192"/>
      <c r="M704" s="192"/>
      <c r="N704" s="192"/>
      <c r="O704" s="2628" t="s">
        <v>6395</v>
      </c>
      <c r="Q704" s="118"/>
    </row>
    <row r="705" spans="1:17" ht="18.75" customHeight="1" x14ac:dyDescent="0.3">
      <c r="A705" s="104">
        <v>484</v>
      </c>
      <c r="B705" s="105" t="s">
        <v>194</v>
      </c>
      <c r="C705" s="195">
        <v>401</v>
      </c>
      <c r="D705" s="113">
        <v>59</v>
      </c>
      <c r="E705" s="114">
        <v>8660</v>
      </c>
      <c r="F705" s="115">
        <v>21645</v>
      </c>
      <c r="G705" s="116">
        <v>229</v>
      </c>
      <c r="H705" s="1731" t="s">
        <v>41</v>
      </c>
      <c r="I705" s="118"/>
      <c r="J705" s="192"/>
      <c r="K705" s="104" t="s">
        <v>25</v>
      </c>
      <c r="L705" s="192"/>
      <c r="M705" s="192"/>
      <c r="N705" s="192"/>
      <c r="O705" s="2628" t="s">
        <v>6395</v>
      </c>
      <c r="Q705" s="118"/>
    </row>
    <row r="706" spans="1:17" ht="18.75" customHeight="1" x14ac:dyDescent="0.3">
      <c r="A706" s="189">
        <v>485</v>
      </c>
      <c r="B706" s="105" t="s">
        <v>194</v>
      </c>
      <c r="C706" s="195">
        <v>401</v>
      </c>
      <c r="D706" s="113">
        <v>59</v>
      </c>
      <c r="E706" s="114">
        <v>8661</v>
      </c>
      <c r="F706" s="115">
        <v>21645</v>
      </c>
      <c r="G706" s="116">
        <v>229</v>
      </c>
      <c r="H706" s="1731" t="s">
        <v>41</v>
      </c>
      <c r="I706" s="118"/>
      <c r="J706" s="192"/>
      <c r="K706" s="104" t="s">
        <v>25</v>
      </c>
      <c r="L706" s="192"/>
      <c r="M706" s="192"/>
      <c r="N706" s="192"/>
      <c r="O706" s="2628" t="s">
        <v>6395</v>
      </c>
      <c r="Q706" s="118"/>
    </row>
    <row r="707" spans="1:17" ht="18.75" customHeight="1" x14ac:dyDescent="0.3">
      <c r="A707" s="104">
        <v>486</v>
      </c>
      <c r="B707" s="105" t="s">
        <v>194</v>
      </c>
      <c r="C707" s="195">
        <v>401</v>
      </c>
      <c r="D707" s="113">
        <v>59</v>
      </c>
      <c r="E707" s="114">
        <v>8662</v>
      </c>
      <c r="F707" s="115">
        <v>21645</v>
      </c>
      <c r="G707" s="116">
        <v>229</v>
      </c>
      <c r="H707" s="1731" t="s">
        <v>41</v>
      </c>
      <c r="I707" s="118"/>
      <c r="J707" s="192"/>
      <c r="K707" s="104" t="s">
        <v>25</v>
      </c>
      <c r="L707" s="192"/>
      <c r="M707" s="192"/>
      <c r="N707" s="192"/>
      <c r="O707" s="2628" t="s">
        <v>6395</v>
      </c>
      <c r="Q707" s="118"/>
    </row>
    <row r="708" spans="1:17" ht="18.75" customHeight="1" x14ac:dyDescent="0.3">
      <c r="A708" s="104">
        <v>487</v>
      </c>
      <c r="B708" s="105" t="s">
        <v>194</v>
      </c>
      <c r="C708" s="195">
        <v>401</v>
      </c>
      <c r="D708" s="113">
        <v>59</v>
      </c>
      <c r="E708" s="114">
        <v>8663</v>
      </c>
      <c r="F708" s="115">
        <v>21645</v>
      </c>
      <c r="G708" s="116">
        <v>229</v>
      </c>
      <c r="H708" s="1731" t="s">
        <v>41</v>
      </c>
      <c r="I708" s="118"/>
      <c r="J708" s="192"/>
      <c r="K708" s="104" t="s">
        <v>25</v>
      </c>
      <c r="L708" s="192"/>
      <c r="M708" s="192"/>
      <c r="N708" s="192"/>
      <c r="O708" s="2628" t="s">
        <v>6395</v>
      </c>
      <c r="Q708" s="118"/>
    </row>
    <row r="709" spans="1:17" ht="18.75" customHeight="1" x14ac:dyDescent="0.3">
      <c r="A709" s="189">
        <v>488</v>
      </c>
      <c r="B709" s="105" t="s">
        <v>194</v>
      </c>
      <c r="C709" s="195">
        <v>401</v>
      </c>
      <c r="D709" s="113">
        <v>59</v>
      </c>
      <c r="E709" s="114">
        <v>8664</v>
      </c>
      <c r="F709" s="115">
        <v>21645</v>
      </c>
      <c r="G709" s="116">
        <v>229</v>
      </c>
      <c r="H709" s="1731" t="s">
        <v>41</v>
      </c>
      <c r="I709" s="118"/>
      <c r="J709" s="192"/>
      <c r="K709" s="104" t="s">
        <v>25</v>
      </c>
      <c r="L709" s="192"/>
      <c r="M709" s="192"/>
      <c r="N709" s="192"/>
      <c r="O709" s="2628" t="s">
        <v>6395</v>
      </c>
      <c r="Q709" s="118"/>
    </row>
    <row r="710" spans="1:17" ht="18.75" customHeight="1" x14ac:dyDescent="0.3">
      <c r="A710" s="104">
        <v>489</v>
      </c>
      <c r="B710" s="105" t="s">
        <v>194</v>
      </c>
      <c r="C710" s="195">
        <v>401</v>
      </c>
      <c r="D710" s="113">
        <v>59</v>
      </c>
      <c r="E710" s="114">
        <v>8665</v>
      </c>
      <c r="F710" s="115">
        <v>21645</v>
      </c>
      <c r="G710" s="116">
        <v>229</v>
      </c>
      <c r="H710" s="1731" t="s">
        <v>41</v>
      </c>
      <c r="I710" s="118"/>
      <c r="J710" s="192"/>
      <c r="K710" s="104" t="s">
        <v>25</v>
      </c>
      <c r="L710" s="192"/>
      <c r="M710" s="192"/>
      <c r="N710" s="192"/>
      <c r="O710" s="2628" t="s">
        <v>6395</v>
      </c>
      <c r="Q710" s="118"/>
    </row>
    <row r="711" spans="1:17" ht="18.75" customHeight="1" x14ac:dyDescent="0.3">
      <c r="A711" s="104">
        <v>490</v>
      </c>
      <c r="B711" s="105" t="s">
        <v>194</v>
      </c>
      <c r="C711" s="195">
        <v>401</v>
      </c>
      <c r="D711" s="113">
        <v>59</v>
      </c>
      <c r="E711" s="114">
        <v>8666</v>
      </c>
      <c r="F711" s="115">
        <v>21645</v>
      </c>
      <c r="G711" s="116">
        <v>229</v>
      </c>
      <c r="H711" s="1731" t="s">
        <v>41</v>
      </c>
      <c r="I711" s="118"/>
      <c r="J711" s="192"/>
      <c r="K711" s="104" t="s">
        <v>25</v>
      </c>
      <c r="L711" s="192"/>
      <c r="M711" s="192"/>
      <c r="N711" s="192"/>
      <c r="O711" s="2628" t="s">
        <v>6395</v>
      </c>
      <c r="Q711" s="118"/>
    </row>
    <row r="712" spans="1:17" ht="18.75" customHeight="1" x14ac:dyDescent="0.3">
      <c r="A712" s="189">
        <v>491</v>
      </c>
      <c r="B712" s="105" t="s">
        <v>194</v>
      </c>
      <c r="C712" s="195">
        <v>401</v>
      </c>
      <c r="D712" s="113">
        <v>59</v>
      </c>
      <c r="E712" s="114">
        <v>8667</v>
      </c>
      <c r="F712" s="115">
        <v>21645</v>
      </c>
      <c r="G712" s="116">
        <v>229</v>
      </c>
      <c r="H712" s="1731" t="s">
        <v>41</v>
      </c>
      <c r="I712" s="118"/>
      <c r="J712" s="192"/>
      <c r="K712" s="104" t="s">
        <v>25</v>
      </c>
      <c r="L712" s="192"/>
      <c r="M712" s="192"/>
      <c r="N712" s="192"/>
      <c r="O712" s="2628" t="s">
        <v>6395</v>
      </c>
      <c r="Q712" s="118"/>
    </row>
    <row r="713" spans="1:17" ht="18.75" customHeight="1" x14ac:dyDescent="0.3">
      <c r="A713" s="104">
        <v>492</v>
      </c>
      <c r="B713" s="105" t="s">
        <v>194</v>
      </c>
      <c r="C713" s="195">
        <v>401</v>
      </c>
      <c r="D713" s="113">
        <v>59</v>
      </c>
      <c r="E713" s="114">
        <v>8668</v>
      </c>
      <c r="F713" s="115">
        <v>21645</v>
      </c>
      <c r="G713" s="116">
        <v>229</v>
      </c>
      <c r="H713" s="1731" t="s">
        <v>41</v>
      </c>
      <c r="I713" s="118"/>
      <c r="J713" s="192"/>
      <c r="K713" s="104" t="s">
        <v>25</v>
      </c>
      <c r="L713" s="192"/>
      <c r="M713" s="192"/>
      <c r="N713" s="192"/>
      <c r="O713" s="2628" t="s">
        <v>6395</v>
      </c>
      <c r="Q713" s="118"/>
    </row>
    <row r="714" spans="1:17" ht="18.75" customHeight="1" x14ac:dyDescent="0.3">
      <c r="A714" s="104">
        <v>493</v>
      </c>
      <c r="B714" s="105" t="s">
        <v>194</v>
      </c>
      <c r="C714" s="195">
        <v>401</v>
      </c>
      <c r="D714" s="113">
        <v>59</v>
      </c>
      <c r="E714" s="114">
        <v>8669</v>
      </c>
      <c r="F714" s="115">
        <v>21645</v>
      </c>
      <c r="G714" s="116">
        <v>229</v>
      </c>
      <c r="H714" s="1731" t="s">
        <v>41</v>
      </c>
      <c r="I714" s="118"/>
      <c r="J714" s="192"/>
      <c r="K714" s="104" t="s">
        <v>25</v>
      </c>
      <c r="L714" s="192"/>
      <c r="M714" s="192"/>
      <c r="N714" s="192"/>
      <c r="O714" s="2628" t="s">
        <v>6395</v>
      </c>
      <c r="Q714" s="118"/>
    </row>
    <row r="715" spans="1:17" ht="18.75" customHeight="1" x14ac:dyDescent="0.3">
      <c r="A715" s="189">
        <v>494</v>
      </c>
      <c r="B715" s="105" t="s">
        <v>194</v>
      </c>
      <c r="C715" s="195">
        <v>401</v>
      </c>
      <c r="D715" s="125">
        <v>59</v>
      </c>
      <c r="E715" s="114">
        <v>8670</v>
      </c>
      <c r="F715" s="115">
        <v>21645</v>
      </c>
      <c r="G715" s="116">
        <v>229</v>
      </c>
      <c r="H715" s="1731" t="s">
        <v>41</v>
      </c>
      <c r="I715" s="118"/>
      <c r="J715" s="192"/>
      <c r="K715" s="104" t="s">
        <v>25</v>
      </c>
      <c r="L715" s="192"/>
      <c r="M715" s="192"/>
      <c r="N715" s="192"/>
      <c r="O715" s="2628" t="s">
        <v>6395</v>
      </c>
      <c r="Q715" s="118"/>
    </row>
    <row r="716" spans="1:17" ht="18.75" customHeight="1" x14ac:dyDescent="0.3">
      <c r="A716" s="104">
        <v>495</v>
      </c>
      <c r="B716" s="105" t="s">
        <v>194</v>
      </c>
      <c r="C716" s="195">
        <v>401</v>
      </c>
      <c r="D716" s="128">
        <v>59</v>
      </c>
      <c r="E716" s="114">
        <v>8671</v>
      </c>
      <c r="F716" s="115">
        <v>21645</v>
      </c>
      <c r="G716" s="116">
        <v>229</v>
      </c>
      <c r="H716" s="1731" t="s">
        <v>41</v>
      </c>
      <c r="I716" s="118"/>
      <c r="J716" s="192"/>
      <c r="K716" s="104" t="s">
        <v>25</v>
      </c>
      <c r="L716" s="192"/>
      <c r="M716" s="192"/>
      <c r="N716" s="192"/>
      <c r="O716" s="2628" t="s">
        <v>6395</v>
      </c>
      <c r="Q716" s="118"/>
    </row>
    <row r="717" spans="1:17" ht="18.75" customHeight="1" x14ac:dyDescent="0.3">
      <c r="A717" s="104">
        <v>496</v>
      </c>
      <c r="B717" s="105" t="s">
        <v>194</v>
      </c>
      <c r="C717" s="195">
        <v>401</v>
      </c>
      <c r="D717" s="113">
        <v>59</v>
      </c>
      <c r="E717" s="114">
        <v>8672</v>
      </c>
      <c r="F717" s="115">
        <v>21645</v>
      </c>
      <c r="G717" s="116">
        <v>229</v>
      </c>
      <c r="H717" s="1731" t="s">
        <v>41</v>
      </c>
      <c r="I717" s="118"/>
      <c r="J717" s="192"/>
      <c r="K717" s="104" t="s">
        <v>25</v>
      </c>
      <c r="L717" s="192"/>
      <c r="M717" s="192"/>
      <c r="N717" s="192"/>
      <c r="O717" s="2628" t="s">
        <v>6395</v>
      </c>
      <c r="Q717" s="118"/>
    </row>
    <row r="718" spans="1:17" ht="18.75" customHeight="1" x14ac:dyDescent="0.3">
      <c r="A718" s="189">
        <v>497</v>
      </c>
      <c r="B718" s="105" t="s">
        <v>194</v>
      </c>
      <c r="C718" s="195">
        <v>401</v>
      </c>
      <c r="D718" s="113">
        <v>59</v>
      </c>
      <c r="E718" s="114">
        <v>8673</v>
      </c>
      <c r="F718" s="115">
        <v>21645</v>
      </c>
      <c r="G718" s="116">
        <v>229</v>
      </c>
      <c r="H718" s="1731" t="s">
        <v>41</v>
      </c>
      <c r="I718" s="118"/>
      <c r="J718" s="192"/>
      <c r="K718" s="104" t="s">
        <v>25</v>
      </c>
      <c r="L718" s="192"/>
      <c r="M718" s="192"/>
      <c r="N718" s="192"/>
      <c r="O718" s="2628" t="s">
        <v>6395</v>
      </c>
      <c r="Q718" s="118"/>
    </row>
    <row r="719" spans="1:17" ht="18.75" customHeight="1" x14ac:dyDescent="0.3">
      <c r="A719" s="104">
        <v>498</v>
      </c>
      <c r="B719" s="105" t="s">
        <v>194</v>
      </c>
      <c r="C719" s="195">
        <v>401</v>
      </c>
      <c r="D719" s="113">
        <v>59</v>
      </c>
      <c r="E719" s="114">
        <v>8674</v>
      </c>
      <c r="F719" s="115">
        <v>21645</v>
      </c>
      <c r="G719" s="116">
        <v>229</v>
      </c>
      <c r="H719" s="1731" t="s">
        <v>41</v>
      </c>
      <c r="I719" s="118"/>
      <c r="J719" s="192"/>
      <c r="K719" s="104" t="s">
        <v>25</v>
      </c>
      <c r="L719" s="192"/>
      <c r="M719" s="192"/>
      <c r="N719" s="192"/>
      <c r="O719" s="2628" t="s">
        <v>6395</v>
      </c>
      <c r="Q719" s="118"/>
    </row>
    <row r="720" spans="1:17" ht="18.75" customHeight="1" x14ac:dyDescent="0.3">
      <c r="A720" s="104">
        <v>499</v>
      </c>
      <c r="B720" s="105" t="s">
        <v>194</v>
      </c>
      <c r="C720" s="195">
        <v>401</v>
      </c>
      <c r="D720" s="113">
        <v>59</v>
      </c>
      <c r="E720" s="114">
        <v>8675</v>
      </c>
      <c r="F720" s="115">
        <v>21645</v>
      </c>
      <c r="G720" s="116">
        <v>229</v>
      </c>
      <c r="H720" s="1731" t="s">
        <v>41</v>
      </c>
      <c r="I720" s="118"/>
      <c r="J720" s="192"/>
      <c r="K720" s="104" t="s">
        <v>25</v>
      </c>
      <c r="L720" s="192"/>
      <c r="M720" s="192"/>
      <c r="N720" s="192"/>
      <c r="O720" s="2628" t="s">
        <v>6395</v>
      </c>
      <c r="Q720" s="118"/>
    </row>
    <row r="721" spans="1:17" ht="18.75" customHeight="1" x14ac:dyDescent="0.3">
      <c r="A721" s="189">
        <v>500</v>
      </c>
      <c r="B721" s="105" t="s">
        <v>194</v>
      </c>
      <c r="C721" s="195">
        <v>401</v>
      </c>
      <c r="D721" s="113">
        <v>59</v>
      </c>
      <c r="E721" s="114">
        <v>8676</v>
      </c>
      <c r="F721" s="115">
        <v>21645</v>
      </c>
      <c r="G721" s="116">
        <v>229</v>
      </c>
      <c r="H721" s="1731" t="s">
        <v>41</v>
      </c>
      <c r="I721" s="118"/>
      <c r="J721" s="192"/>
      <c r="K721" s="104" t="s">
        <v>25</v>
      </c>
      <c r="L721" s="192"/>
      <c r="M721" s="192"/>
      <c r="N721" s="192"/>
      <c r="O721" s="2628" t="s">
        <v>6395</v>
      </c>
      <c r="Q721" s="118"/>
    </row>
    <row r="722" spans="1:17" ht="18.75" customHeight="1" x14ac:dyDescent="0.3">
      <c r="A722" s="104">
        <v>501</v>
      </c>
      <c r="B722" s="105" t="s">
        <v>194</v>
      </c>
      <c r="C722" s="195">
        <v>401</v>
      </c>
      <c r="D722" s="113">
        <v>59</v>
      </c>
      <c r="E722" s="114">
        <v>8677</v>
      </c>
      <c r="F722" s="115">
        <v>21645</v>
      </c>
      <c r="G722" s="116">
        <v>229</v>
      </c>
      <c r="H722" s="1731" t="s">
        <v>41</v>
      </c>
      <c r="I722" s="118"/>
      <c r="J722" s="192"/>
      <c r="K722" s="104" t="s">
        <v>25</v>
      </c>
      <c r="L722" s="192"/>
      <c r="M722" s="192"/>
      <c r="N722" s="192"/>
      <c r="O722" s="2628" t="s">
        <v>6395</v>
      </c>
      <c r="Q722" s="118"/>
    </row>
    <row r="723" spans="1:17" ht="18.75" customHeight="1" x14ac:dyDescent="0.3">
      <c r="A723" s="104">
        <v>502</v>
      </c>
      <c r="B723" s="105" t="s">
        <v>194</v>
      </c>
      <c r="C723" s="195">
        <v>401</v>
      </c>
      <c r="D723" s="113">
        <v>59</v>
      </c>
      <c r="E723" s="114">
        <v>8678</v>
      </c>
      <c r="F723" s="115">
        <v>21645</v>
      </c>
      <c r="G723" s="116">
        <v>229</v>
      </c>
      <c r="H723" s="1731" t="s">
        <v>41</v>
      </c>
      <c r="I723" s="118"/>
      <c r="J723" s="192"/>
      <c r="K723" s="104" t="s">
        <v>25</v>
      </c>
      <c r="L723" s="192"/>
      <c r="M723" s="192"/>
      <c r="N723" s="192"/>
      <c r="O723" s="2628" t="s">
        <v>6395</v>
      </c>
      <c r="Q723" s="118"/>
    </row>
    <row r="724" spans="1:17" ht="18.75" customHeight="1" x14ac:dyDescent="0.3">
      <c r="A724" s="189">
        <v>503</v>
      </c>
      <c r="B724" s="105" t="s">
        <v>194</v>
      </c>
      <c r="C724" s="195">
        <v>401</v>
      </c>
      <c r="D724" s="113">
        <v>59</v>
      </c>
      <c r="E724" s="114">
        <v>8679</v>
      </c>
      <c r="F724" s="115">
        <v>21645</v>
      </c>
      <c r="G724" s="116">
        <v>229</v>
      </c>
      <c r="H724" s="1731" t="s">
        <v>41</v>
      </c>
      <c r="I724" s="118"/>
      <c r="J724" s="192"/>
      <c r="K724" s="104" t="s">
        <v>25</v>
      </c>
      <c r="L724" s="192"/>
      <c r="M724" s="192"/>
      <c r="N724" s="192"/>
      <c r="O724" s="2628" t="s">
        <v>6395</v>
      </c>
      <c r="Q724" s="118"/>
    </row>
    <row r="725" spans="1:17" ht="18.75" customHeight="1" x14ac:dyDescent="0.3">
      <c r="A725" s="104">
        <v>504</v>
      </c>
      <c r="B725" s="105" t="s">
        <v>194</v>
      </c>
      <c r="C725" s="195">
        <v>401</v>
      </c>
      <c r="D725" s="113">
        <v>59</v>
      </c>
      <c r="E725" s="114">
        <v>8680</v>
      </c>
      <c r="F725" s="115">
        <v>21645</v>
      </c>
      <c r="G725" s="116">
        <v>229</v>
      </c>
      <c r="H725" s="1731" t="s">
        <v>41</v>
      </c>
      <c r="I725" s="118"/>
      <c r="J725" s="192"/>
      <c r="K725" s="104" t="s">
        <v>25</v>
      </c>
      <c r="L725" s="192"/>
      <c r="M725" s="192"/>
      <c r="N725" s="192"/>
      <c r="O725" s="2628" t="s">
        <v>6395</v>
      </c>
      <c r="Q725" s="118"/>
    </row>
    <row r="726" spans="1:17" ht="18.75" customHeight="1" x14ac:dyDescent="0.3">
      <c r="A726" s="104">
        <v>505</v>
      </c>
      <c r="B726" s="105" t="s">
        <v>194</v>
      </c>
      <c r="C726" s="195">
        <v>401</v>
      </c>
      <c r="D726" s="113">
        <v>59</v>
      </c>
      <c r="E726" s="114">
        <v>8681</v>
      </c>
      <c r="F726" s="115">
        <v>21645</v>
      </c>
      <c r="G726" s="116">
        <v>229</v>
      </c>
      <c r="H726" s="1731" t="s">
        <v>41</v>
      </c>
      <c r="I726" s="118"/>
      <c r="J726" s="192"/>
      <c r="K726" s="104" t="s">
        <v>25</v>
      </c>
      <c r="L726" s="192"/>
      <c r="M726" s="192"/>
      <c r="N726" s="192"/>
      <c r="O726" s="2628" t="s">
        <v>6395</v>
      </c>
      <c r="Q726" s="118"/>
    </row>
    <row r="727" spans="1:17" ht="18.75" customHeight="1" x14ac:dyDescent="0.3">
      <c r="A727" s="189">
        <v>506</v>
      </c>
      <c r="B727" s="105" t="s">
        <v>194</v>
      </c>
      <c r="C727" s="195">
        <v>401</v>
      </c>
      <c r="D727" s="113">
        <v>59</v>
      </c>
      <c r="E727" s="114">
        <v>8682</v>
      </c>
      <c r="F727" s="115">
        <v>21645</v>
      </c>
      <c r="G727" s="116">
        <v>229</v>
      </c>
      <c r="H727" s="1731" t="s">
        <v>41</v>
      </c>
      <c r="I727" s="118"/>
      <c r="J727" s="192"/>
      <c r="K727" s="104" t="s">
        <v>25</v>
      </c>
      <c r="L727" s="192"/>
      <c r="M727" s="192"/>
      <c r="N727" s="192"/>
      <c r="O727" s="2628" t="s">
        <v>6395</v>
      </c>
      <c r="Q727" s="118"/>
    </row>
    <row r="728" spans="1:17" ht="18.75" customHeight="1" x14ac:dyDescent="0.3">
      <c r="A728" s="104">
        <v>507</v>
      </c>
      <c r="B728" s="105" t="s">
        <v>194</v>
      </c>
      <c r="C728" s="195">
        <v>401</v>
      </c>
      <c r="D728" s="113">
        <v>59</v>
      </c>
      <c r="E728" s="114">
        <v>8683</v>
      </c>
      <c r="F728" s="115">
        <v>21645</v>
      </c>
      <c r="G728" s="116">
        <v>229</v>
      </c>
      <c r="H728" s="1731" t="s">
        <v>41</v>
      </c>
      <c r="I728" s="118"/>
      <c r="J728" s="192"/>
      <c r="K728" s="104" t="s">
        <v>25</v>
      </c>
      <c r="L728" s="192"/>
      <c r="M728" s="192"/>
      <c r="N728" s="192"/>
      <c r="O728" s="2628" t="s">
        <v>6395</v>
      </c>
      <c r="Q728" s="118"/>
    </row>
    <row r="729" spans="1:17" ht="18.75" customHeight="1" x14ac:dyDescent="0.3">
      <c r="A729" s="104">
        <v>508</v>
      </c>
      <c r="B729" s="105" t="s">
        <v>194</v>
      </c>
      <c r="C729" s="195">
        <v>401</v>
      </c>
      <c r="D729" s="113">
        <v>59</v>
      </c>
      <c r="E729" s="114">
        <v>8684</v>
      </c>
      <c r="F729" s="115">
        <v>21645</v>
      </c>
      <c r="G729" s="116">
        <v>229</v>
      </c>
      <c r="H729" s="1731" t="s">
        <v>41</v>
      </c>
      <c r="I729" s="118"/>
      <c r="J729" s="192"/>
      <c r="K729" s="104" t="s">
        <v>25</v>
      </c>
      <c r="L729" s="192"/>
      <c r="M729" s="192"/>
      <c r="N729" s="192"/>
      <c r="O729" s="2628" t="s">
        <v>6395</v>
      </c>
      <c r="Q729" s="118"/>
    </row>
    <row r="730" spans="1:17" ht="18.75" customHeight="1" x14ac:dyDescent="0.3">
      <c r="A730" s="189">
        <v>509</v>
      </c>
      <c r="B730" s="105" t="s">
        <v>194</v>
      </c>
      <c r="C730" s="195">
        <v>401</v>
      </c>
      <c r="D730" s="125">
        <v>59</v>
      </c>
      <c r="E730" s="114">
        <v>8685</v>
      </c>
      <c r="F730" s="115">
        <v>21645</v>
      </c>
      <c r="G730" s="116">
        <v>229</v>
      </c>
      <c r="H730" s="1731" t="s">
        <v>41</v>
      </c>
      <c r="I730" s="118"/>
      <c r="J730" s="192"/>
      <c r="K730" s="104" t="s">
        <v>25</v>
      </c>
      <c r="L730" s="192"/>
      <c r="M730" s="192"/>
      <c r="N730" s="192"/>
      <c r="O730" s="2628" t="s">
        <v>6395</v>
      </c>
      <c r="Q730" s="118"/>
    </row>
    <row r="731" spans="1:17" ht="18.75" customHeight="1" x14ac:dyDescent="0.3">
      <c r="A731" s="104">
        <v>510</v>
      </c>
      <c r="B731" s="105" t="s">
        <v>194</v>
      </c>
      <c r="C731" s="195">
        <v>401</v>
      </c>
      <c r="D731" s="128">
        <v>59</v>
      </c>
      <c r="E731" s="114">
        <v>8686</v>
      </c>
      <c r="F731" s="115">
        <v>21645</v>
      </c>
      <c r="G731" s="116">
        <v>229</v>
      </c>
      <c r="H731" s="1731" t="s">
        <v>41</v>
      </c>
      <c r="I731" s="118"/>
      <c r="J731" s="192"/>
      <c r="K731" s="104" t="s">
        <v>25</v>
      </c>
      <c r="L731" s="192"/>
      <c r="M731" s="192"/>
      <c r="N731" s="192"/>
      <c r="O731" s="2628" t="s">
        <v>6395</v>
      </c>
      <c r="Q731" s="118"/>
    </row>
    <row r="732" spans="1:17" ht="18.75" customHeight="1" x14ac:dyDescent="0.3">
      <c r="A732" s="104">
        <v>511</v>
      </c>
      <c r="B732" s="105" t="s">
        <v>194</v>
      </c>
      <c r="C732" s="195">
        <v>401</v>
      </c>
      <c r="D732" s="113">
        <v>59</v>
      </c>
      <c r="E732" s="114">
        <v>8687</v>
      </c>
      <c r="F732" s="115">
        <v>21645</v>
      </c>
      <c r="G732" s="116">
        <v>229</v>
      </c>
      <c r="H732" s="1731" t="s">
        <v>41</v>
      </c>
      <c r="I732" s="118"/>
      <c r="J732" s="192"/>
      <c r="K732" s="104" t="s">
        <v>25</v>
      </c>
      <c r="L732" s="192"/>
      <c r="M732" s="192"/>
      <c r="N732" s="192"/>
      <c r="O732" s="2628" t="s">
        <v>6395</v>
      </c>
      <c r="Q732" s="118"/>
    </row>
    <row r="733" spans="1:17" ht="18.75" customHeight="1" x14ac:dyDescent="0.3">
      <c r="A733" s="189">
        <v>512</v>
      </c>
      <c r="B733" s="105" t="s">
        <v>194</v>
      </c>
      <c r="C733" s="195">
        <v>401</v>
      </c>
      <c r="D733" s="113">
        <v>59</v>
      </c>
      <c r="E733" s="114">
        <v>8688</v>
      </c>
      <c r="F733" s="115">
        <v>21645</v>
      </c>
      <c r="G733" s="116">
        <v>229</v>
      </c>
      <c r="H733" s="1731" t="s">
        <v>41</v>
      </c>
      <c r="I733" s="118"/>
      <c r="J733" s="192"/>
      <c r="K733" s="104" t="s">
        <v>25</v>
      </c>
      <c r="L733" s="192"/>
      <c r="M733" s="192"/>
      <c r="N733" s="192"/>
      <c r="O733" s="2628" t="s">
        <v>6395</v>
      </c>
      <c r="Q733" s="118"/>
    </row>
    <row r="734" spans="1:17" ht="18.75" customHeight="1" x14ac:dyDescent="0.3">
      <c r="A734" s="104">
        <v>513</v>
      </c>
      <c r="B734" s="105" t="s">
        <v>194</v>
      </c>
      <c r="C734" s="195">
        <v>401</v>
      </c>
      <c r="D734" s="113">
        <v>59</v>
      </c>
      <c r="E734" s="114">
        <v>8689</v>
      </c>
      <c r="F734" s="115">
        <v>21645</v>
      </c>
      <c r="G734" s="116">
        <v>229</v>
      </c>
      <c r="H734" s="1731" t="s">
        <v>41</v>
      </c>
      <c r="I734" s="118"/>
      <c r="J734" s="192"/>
      <c r="K734" s="104" t="s">
        <v>25</v>
      </c>
      <c r="L734" s="192"/>
      <c r="M734" s="192"/>
      <c r="N734" s="192"/>
      <c r="O734" s="2628" t="s">
        <v>6395</v>
      </c>
      <c r="Q734" s="118"/>
    </row>
    <row r="735" spans="1:17" ht="18.75" customHeight="1" x14ac:dyDescent="0.3">
      <c r="A735" s="104">
        <v>514</v>
      </c>
      <c r="B735" s="105" t="s">
        <v>194</v>
      </c>
      <c r="C735" s="195">
        <v>401</v>
      </c>
      <c r="D735" s="113">
        <v>59</v>
      </c>
      <c r="E735" s="114">
        <v>8690</v>
      </c>
      <c r="F735" s="115">
        <v>21645</v>
      </c>
      <c r="G735" s="116">
        <v>229</v>
      </c>
      <c r="H735" s="1731" t="s">
        <v>41</v>
      </c>
      <c r="I735" s="118"/>
      <c r="J735" s="192"/>
      <c r="K735" s="104" t="s">
        <v>25</v>
      </c>
      <c r="L735" s="192"/>
      <c r="M735" s="192"/>
      <c r="N735" s="192"/>
      <c r="O735" s="2628" t="s">
        <v>6395</v>
      </c>
      <c r="Q735" s="118"/>
    </row>
    <row r="736" spans="1:17" ht="18.75" customHeight="1" x14ac:dyDescent="0.3">
      <c r="A736" s="189">
        <v>515</v>
      </c>
      <c r="B736" s="105" t="s">
        <v>194</v>
      </c>
      <c r="C736" s="195">
        <v>401</v>
      </c>
      <c r="D736" s="113">
        <v>59</v>
      </c>
      <c r="E736" s="114">
        <v>8691</v>
      </c>
      <c r="F736" s="115">
        <v>21645</v>
      </c>
      <c r="G736" s="116">
        <v>229</v>
      </c>
      <c r="H736" s="1731" t="s">
        <v>41</v>
      </c>
      <c r="I736" s="118"/>
      <c r="J736" s="192"/>
      <c r="K736" s="104" t="s">
        <v>25</v>
      </c>
      <c r="L736" s="192"/>
      <c r="M736" s="192"/>
      <c r="N736" s="192"/>
      <c r="O736" s="2628" t="s">
        <v>6395</v>
      </c>
      <c r="Q736" s="118"/>
    </row>
    <row r="737" spans="1:17" ht="18.75" customHeight="1" x14ac:dyDescent="0.3">
      <c r="A737" s="104">
        <v>516</v>
      </c>
      <c r="B737" s="105" t="s">
        <v>194</v>
      </c>
      <c r="C737" s="195">
        <v>401</v>
      </c>
      <c r="D737" s="113">
        <v>59</v>
      </c>
      <c r="E737" s="114">
        <v>8692</v>
      </c>
      <c r="F737" s="115">
        <v>21645</v>
      </c>
      <c r="G737" s="116">
        <v>229</v>
      </c>
      <c r="H737" s="1731" t="s">
        <v>41</v>
      </c>
      <c r="I737" s="118"/>
      <c r="J737" s="192"/>
      <c r="K737" s="104" t="s">
        <v>25</v>
      </c>
      <c r="L737" s="192"/>
      <c r="M737" s="192"/>
      <c r="N737" s="192"/>
      <c r="O737" s="2628" t="s">
        <v>6395</v>
      </c>
      <c r="Q737" s="118"/>
    </row>
    <row r="738" spans="1:17" ht="18.75" customHeight="1" x14ac:dyDescent="0.3">
      <c r="A738" s="104">
        <v>517</v>
      </c>
      <c r="B738" s="105" t="s">
        <v>194</v>
      </c>
      <c r="C738" s="195">
        <v>401</v>
      </c>
      <c r="D738" s="113">
        <v>59</v>
      </c>
      <c r="E738" s="114">
        <v>8693</v>
      </c>
      <c r="F738" s="115">
        <v>21645</v>
      </c>
      <c r="G738" s="116">
        <v>229</v>
      </c>
      <c r="H738" s="1731" t="s">
        <v>41</v>
      </c>
      <c r="I738" s="118"/>
      <c r="J738" s="192"/>
      <c r="K738" s="104" t="s">
        <v>25</v>
      </c>
      <c r="L738" s="192"/>
      <c r="M738" s="192"/>
      <c r="N738" s="192"/>
      <c r="O738" s="2628" t="s">
        <v>6395</v>
      </c>
      <c r="Q738" s="118"/>
    </row>
    <row r="739" spans="1:17" ht="18.75" customHeight="1" x14ac:dyDescent="0.3">
      <c r="A739" s="189">
        <v>518</v>
      </c>
      <c r="B739" s="105" t="s">
        <v>194</v>
      </c>
      <c r="C739" s="195">
        <v>401</v>
      </c>
      <c r="D739" s="113">
        <v>59</v>
      </c>
      <c r="E739" s="114">
        <v>8694</v>
      </c>
      <c r="F739" s="115">
        <v>21645</v>
      </c>
      <c r="G739" s="116">
        <v>229</v>
      </c>
      <c r="H739" s="1731" t="s">
        <v>41</v>
      </c>
      <c r="I739" s="118"/>
      <c r="J739" s="192"/>
      <c r="K739" s="104" t="s">
        <v>25</v>
      </c>
      <c r="L739" s="192"/>
      <c r="M739" s="192"/>
      <c r="N739" s="192"/>
      <c r="O739" s="2628" t="s">
        <v>6395</v>
      </c>
      <c r="Q739" s="118"/>
    </row>
    <row r="740" spans="1:17" ht="18.75" customHeight="1" x14ac:dyDescent="0.3">
      <c r="A740" s="104">
        <v>519</v>
      </c>
      <c r="B740" s="105" t="s">
        <v>194</v>
      </c>
      <c r="C740" s="195">
        <v>401</v>
      </c>
      <c r="D740" s="113">
        <v>59</v>
      </c>
      <c r="E740" s="114">
        <v>8695</v>
      </c>
      <c r="F740" s="115">
        <v>21645</v>
      </c>
      <c r="G740" s="116">
        <v>229</v>
      </c>
      <c r="H740" s="1731" t="s">
        <v>41</v>
      </c>
      <c r="I740" s="118"/>
      <c r="J740" s="192"/>
      <c r="K740" s="104" t="s">
        <v>25</v>
      </c>
      <c r="L740" s="192"/>
      <c r="M740" s="192"/>
      <c r="N740" s="192"/>
      <c r="O740" s="2628" t="s">
        <v>6395</v>
      </c>
      <c r="Q740" s="118"/>
    </row>
    <row r="741" spans="1:17" ht="18.75" customHeight="1" x14ac:dyDescent="0.3">
      <c r="A741" s="104">
        <v>520</v>
      </c>
      <c r="B741" s="105" t="s">
        <v>194</v>
      </c>
      <c r="C741" s="195">
        <v>401</v>
      </c>
      <c r="D741" s="113">
        <v>59</v>
      </c>
      <c r="E741" s="114">
        <v>8696</v>
      </c>
      <c r="F741" s="115">
        <v>21645</v>
      </c>
      <c r="G741" s="116">
        <v>229</v>
      </c>
      <c r="H741" s="1731" t="s">
        <v>41</v>
      </c>
      <c r="I741" s="118"/>
      <c r="J741" s="192"/>
      <c r="K741" s="104" t="s">
        <v>25</v>
      </c>
      <c r="L741" s="192"/>
      <c r="M741" s="192"/>
      <c r="N741" s="192"/>
      <c r="O741" s="2628" t="s">
        <v>6395</v>
      </c>
      <c r="Q741" s="118"/>
    </row>
    <row r="742" spans="1:17" ht="18.75" customHeight="1" x14ac:dyDescent="0.3">
      <c r="A742" s="189">
        <v>521</v>
      </c>
      <c r="B742" s="105" t="s">
        <v>194</v>
      </c>
      <c r="C742" s="195">
        <v>401</v>
      </c>
      <c r="D742" s="113">
        <v>59</v>
      </c>
      <c r="E742" s="114">
        <v>8697</v>
      </c>
      <c r="F742" s="115">
        <v>21645</v>
      </c>
      <c r="G742" s="116">
        <v>229</v>
      </c>
      <c r="H742" s="1731" t="s">
        <v>41</v>
      </c>
      <c r="I742" s="118"/>
      <c r="J742" s="192"/>
      <c r="K742" s="104" t="s">
        <v>25</v>
      </c>
      <c r="L742" s="192"/>
      <c r="M742" s="192"/>
      <c r="N742" s="192"/>
      <c r="O742" s="2628" t="s">
        <v>6395</v>
      </c>
      <c r="Q742" s="118"/>
    </row>
    <row r="743" spans="1:17" ht="18.75" customHeight="1" x14ac:dyDescent="0.3">
      <c r="A743" s="104">
        <v>522</v>
      </c>
      <c r="B743" s="105" t="s">
        <v>194</v>
      </c>
      <c r="C743" s="195">
        <v>401</v>
      </c>
      <c r="D743" s="113">
        <v>59</v>
      </c>
      <c r="E743" s="114">
        <v>8698</v>
      </c>
      <c r="F743" s="115">
        <v>21645</v>
      </c>
      <c r="G743" s="116">
        <v>229</v>
      </c>
      <c r="H743" s="1731" t="s">
        <v>41</v>
      </c>
      <c r="I743" s="118"/>
      <c r="J743" s="192"/>
      <c r="K743" s="104" t="s">
        <v>25</v>
      </c>
      <c r="L743" s="192"/>
      <c r="M743" s="192"/>
      <c r="N743" s="192"/>
      <c r="O743" s="2628" t="s">
        <v>6395</v>
      </c>
      <c r="Q743" s="118"/>
    </row>
    <row r="744" spans="1:17" ht="18.75" customHeight="1" x14ac:dyDescent="0.3">
      <c r="A744" s="104">
        <v>523</v>
      </c>
      <c r="B744" s="105" t="s">
        <v>194</v>
      </c>
      <c r="C744" s="195">
        <v>401</v>
      </c>
      <c r="D744" s="113">
        <v>59</v>
      </c>
      <c r="E744" s="114">
        <v>8699</v>
      </c>
      <c r="F744" s="115">
        <v>21645</v>
      </c>
      <c r="G744" s="116">
        <v>229</v>
      </c>
      <c r="H744" s="1731" t="s">
        <v>41</v>
      </c>
      <c r="I744" s="118"/>
      <c r="J744" s="192"/>
      <c r="K744" s="104" t="s">
        <v>25</v>
      </c>
      <c r="L744" s="192"/>
      <c r="M744" s="192"/>
      <c r="N744" s="192"/>
      <c r="O744" s="2628" t="s">
        <v>6395</v>
      </c>
      <c r="Q744" s="118"/>
    </row>
    <row r="745" spans="1:17" ht="18.75" customHeight="1" x14ac:dyDescent="0.3">
      <c r="A745" s="189">
        <v>524</v>
      </c>
      <c r="B745" s="105" t="s">
        <v>194</v>
      </c>
      <c r="C745" s="195">
        <v>401</v>
      </c>
      <c r="D745" s="113">
        <v>59</v>
      </c>
      <c r="E745" s="114">
        <v>8700</v>
      </c>
      <c r="F745" s="115">
        <v>21645</v>
      </c>
      <c r="G745" s="116">
        <v>229</v>
      </c>
      <c r="H745" s="1731" t="s">
        <v>41</v>
      </c>
      <c r="I745" s="118"/>
      <c r="J745" s="192"/>
      <c r="K745" s="104" t="s">
        <v>25</v>
      </c>
      <c r="L745" s="192"/>
      <c r="M745" s="192"/>
      <c r="N745" s="192"/>
      <c r="O745" s="2628" t="s">
        <v>6395</v>
      </c>
      <c r="Q745" s="118"/>
    </row>
    <row r="746" spans="1:17" ht="18.75" customHeight="1" x14ac:dyDescent="0.3">
      <c r="A746" s="104">
        <v>525</v>
      </c>
      <c r="B746" s="105" t="s">
        <v>194</v>
      </c>
      <c r="C746" s="195">
        <v>401</v>
      </c>
      <c r="D746" s="113">
        <v>59</v>
      </c>
      <c r="E746" s="114">
        <v>8701</v>
      </c>
      <c r="F746" s="115">
        <v>21645</v>
      </c>
      <c r="G746" s="116">
        <v>229</v>
      </c>
      <c r="H746" s="1731" t="s">
        <v>41</v>
      </c>
      <c r="I746" s="118"/>
      <c r="J746" s="192"/>
      <c r="K746" s="104" t="s">
        <v>25</v>
      </c>
      <c r="L746" s="192"/>
      <c r="M746" s="192"/>
      <c r="N746" s="192"/>
      <c r="O746" s="2628" t="s">
        <v>6395</v>
      </c>
      <c r="Q746" s="118"/>
    </row>
    <row r="747" spans="1:17" ht="18.75" customHeight="1" x14ac:dyDescent="0.3">
      <c r="A747" s="104">
        <v>526</v>
      </c>
      <c r="B747" s="105" t="s">
        <v>194</v>
      </c>
      <c r="C747" s="195">
        <v>401</v>
      </c>
      <c r="D747" s="113">
        <v>59</v>
      </c>
      <c r="E747" s="114">
        <v>8702</v>
      </c>
      <c r="F747" s="115">
        <v>21645</v>
      </c>
      <c r="G747" s="116">
        <v>229</v>
      </c>
      <c r="H747" s="1731" t="s">
        <v>41</v>
      </c>
      <c r="I747" s="118"/>
      <c r="J747" s="192"/>
      <c r="K747" s="104" t="s">
        <v>25</v>
      </c>
      <c r="L747" s="192"/>
      <c r="M747" s="192"/>
      <c r="N747" s="192"/>
      <c r="O747" s="2628" t="s">
        <v>6395</v>
      </c>
      <c r="Q747" s="118"/>
    </row>
    <row r="748" spans="1:17" ht="18.75" customHeight="1" x14ac:dyDescent="0.3">
      <c r="A748" s="189">
        <v>527</v>
      </c>
      <c r="B748" s="105" t="s">
        <v>194</v>
      </c>
      <c r="C748" s="195">
        <v>401</v>
      </c>
      <c r="D748" s="113">
        <v>59</v>
      </c>
      <c r="E748" s="114">
        <v>8703</v>
      </c>
      <c r="F748" s="115">
        <v>21645</v>
      </c>
      <c r="G748" s="116">
        <v>229</v>
      </c>
      <c r="H748" s="1731" t="s">
        <v>41</v>
      </c>
      <c r="I748" s="118"/>
      <c r="J748" s="192"/>
      <c r="K748" s="104" t="s">
        <v>25</v>
      </c>
      <c r="L748" s="192"/>
      <c r="M748" s="192"/>
      <c r="N748" s="192"/>
      <c r="O748" s="2628" t="s">
        <v>6395</v>
      </c>
      <c r="Q748" s="118"/>
    </row>
    <row r="749" spans="1:17" ht="18.75" customHeight="1" x14ac:dyDescent="0.3">
      <c r="A749" s="104">
        <v>528</v>
      </c>
      <c r="B749" s="105" t="s">
        <v>194</v>
      </c>
      <c r="C749" s="195">
        <v>401</v>
      </c>
      <c r="D749" s="113">
        <v>59</v>
      </c>
      <c r="E749" s="114">
        <v>8704</v>
      </c>
      <c r="F749" s="115">
        <v>21645</v>
      </c>
      <c r="G749" s="116">
        <v>229</v>
      </c>
      <c r="H749" s="1731" t="s">
        <v>41</v>
      </c>
      <c r="I749" s="118"/>
      <c r="J749" s="192"/>
      <c r="K749" s="104" t="s">
        <v>25</v>
      </c>
      <c r="L749" s="192"/>
      <c r="M749" s="192"/>
      <c r="N749" s="192"/>
      <c r="O749" s="2628" t="s">
        <v>6395</v>
      </c>
      <c r="Q749" s="118"/>
    </row>
    <row r="750" spans="1:17" ht="18.75" customHeight="1" x14ac:dyDescent="0.3">
      <c r="A750" s="104">
        <v>529</v>
      </c>
      <c r="B750" s="105" t="s">
        <v>194</v>
      </c>
      <c r="C750" s="195">
        <v>401</v>
      </c>
      <c r="D750" s="113">
        <v>59</v>
      </c>
      <c r="E750" s="114">
        <v>8705</v>
      </c>
      <c r="F750" s="115">
        <v>21645</v>
      </c>
      <c r="G750" s="116">
        <v>229</v>
      </c>
      <c r="H750" s="1731" t="s">
        <v>41</v>
      </c>
      <c r="I750" s="118"/>
      <c r="J750" s="192"/>
      <c r="K750" s="104" t="s">
        <v>25</v>
      </c>
      <c r="L750" s="192"/>
      <c r="M750" s="192"/>
      <c r="N750" s="192"/>
      <c r="O750" s="2628" t="s">
        <v>6395</v>
      </c>
      <c r="P750" s="782"/>
      <c r="Q750" s="118"/>
    </row>
    <row r="751" spans="1:17" ht="18.75" customHeight="1" x14ac:dyDescent="0.3">
      <c r="A751" s="189">
        <v>530</v>
      </c>
      <c r="B751" s="105" t="s">
        <v>194</v>
      </c>
      <c r="C751" s="195">
        <v>401</v>
      </c>
      <c r="D751" s="113">
        <v>59</v>
      </c>
      <c r="E751" s="114">
        <v>8706</v>
      </c>
      <c r="F751" s="115">
        <v>21645</v>
      </c>
      <c r="G751" s="116">
        <v>229</v>
      </c>
      <c r="H751" s="1731" t="s">
        <v>41</v>
      </c>
      <c r="I751" s="118"/>
      <c r="J751" s="192"/>
      <c r="K751" s="104" t="s">
        <v>25</v>
      </c>
      <c r="L751" s="192"/>
      <c r="M751" s="192"/>
      <c r="N751" s="192"/>
      <c r="O751" s="2628" t="s">
        <v>6395</v>
      </c>
      <c r="Q751" s="118"/>
    </row>
    <row r="752" spans="1:17" ht="18.75" customHeight="1" x14ac:dyDescent="0.45">
      <c r="A752" s="2446"/>
      <c r="B752" s="2602"/>
      <c r="C752" s="2687"/>
      <c r="D752" s="127"/>
      <c r="E752" s="1160"/>
      <c r="F752" s="2603"/>
      <c r="G752" s="681">
        <f>SUM(G222:G751)</f>
        <v>127420</v>
      </c>
      <c r="H752" s="2604"/>
      <c r="I752" s="2605"/>
      <c r="J752" s="986"/>
      <c r="K752" s="432"/>
      <c r="L752" s="986"/>
      <c r="M752" s="986"/>
      <c r="N752" s="986"/>
      <c r="O752" s="2606"/>
      <c r="Q752" s="2605"/>
    </row>
    <row r="753" spans="1:17" ht="18.75" customHeight="1" x14ac:dyDescent="0.3">
      <c r="A753" s="2684" t="s">
        <v>316</v>
      </c>
      <c r="B753" s="2685" t="s">
        <v>317</v>
      </c>
      <c r="C753" s="2686"/>
      <c r="D753" s="2686"/>
      <c r="E753" s="2688"/>
      <c r="F753" s="2689"/>
      <c r="G753" s="2683"/>
      <c r="H753" s="2690"/>
      <c r="I753" s="2691"/>
      <c r="J753" s="2692"/>
      <c r="K753" s="2692"/>
      <c r="L753" s="2693"/>
      <c r="M753" s="2693"/>
      <c r="N753" s="2692"/>
      <c r="O753" s="2694"/>
      <c r="Q753" s="243"/>
    </row>
    <row r="754" spans="1:17" s="10" customFormat="1" ht="18.75" customHeight="1" x14ac:dyDescent="0.3">
      <c r="A754" s="2844" t="s">
        <v>3</v>
      </c>
      <c r="B754" s="2846" t="s">
        <v>4</v>
      </c>
      <c r="C754" s="2848" t="s">
        <v>5</v>
      </c>
      <c r="D754" s="2849"/>
      <c r="E754" s="2850"/>
      <c r="F754" s="8" t="s">
        <v>6</v>
      </c>
      <c r="G754" s="2854" t="s">
        <v>7</v>
      </c>
      <c r="H754" s="2856" t="s">
        <v>8</v>
      </c>
      <c r="I754" s="2858" t="s">
        <v>9</v>
      </c>
      <c r="J754" s="2859"/>
      <c r="K754" s="2859"/>
      <c r="L754" s="2859"/>
      <c r="M754" s="2859"/>
      <c r="N754" s="2860"/>
      <c r="O754" s="9" t="s">
        <v>10</v>
      </c>
    </row>
    <row r="755" spans="1:17" s="10" customFormat="1" ht="42" customHeight="1" x14ac:dyDescent="0.3">
      <c r="A755" s="2845"/>
      <c r="B755" s="2847"/>
      <c r="C755" s="2851"/>
      <c r="D755" s="2852"/>
      <c r="E755" s="2853"/>
      <c r="F755" s="11" t="s">
        <v>11</v>
      </c>
      <c r="G755" s="2855"/>
      <c r="H755" s="2857"/>
      <c r="I755" s="14" t="s">
        <v>12</v>
      </c>
      <c r="J755" s="14" t="s">
        <v>13</v>
      </c>
      <c r="K755" s="15" t="s">
        <v>14</v>
      </c>
      <c r="L755" s="15" t="s">
        <v>15</v>
      </c>
      <c r="M755" s="15" t="s">
        <v>16</v>
      </c>
      <c r="N755" s="15" t="s">
        <v>17</v>
      </c>
      <c r="O755" s="13"/>
    </row>
    <row r="756" spans="1:17" ht="18.75" customHeight="1" x14ac:dyDescent="0.3">
      <c r="A756" s="2645">
        <v>1</v>
      </c>
      <c r="B756" s="264" t="s">
        <v>318</v>
      </c>
      <c r="C756" s="265" t="s">
        <v>316</v>
      </c>
      <c r="D756" s="266">
        <v>51</v>
      </c>
      <c r="E756" s="267" t="s">
        <v>319</v>
      </c>
      <c r="F756" s="268" t="s">
        <v>308</v>
      </c>
      <c r="G756" s="269">
        <v>10000</v>
      </c>
      <c r="H756" s="1731" t="s">
        <v>41</v>
      </c>
      <c r="I756" s="270"/>
      <c r="J756" s="271"/>
      <c r="K756" s="2239" t="s">
        <v>25</v>
      </c>
      <c r="L756" s="272"/>
      <c r="M756" s="271"/>
      <c r="N756" s="272"/>
      <c r="O756" s="2622" t="s">
        <v>6395</v>
      </c>
      <c r="Q756" s="270"/>
    </row>
    <row r="757" spans="1:17" ht="18.75" customHeight="1" x14ac:dyDescent="0.3">
      <c r="A757" s="2645">
        <v>2</v>
      </c>
      <c r="B757" s="264" t="s">
        <v>318</v>
      </c>
      <c r="C757" s="265" t="s">
        <v>316</v>
      </c>
      <c r="D757" s="266">
        <v>51</v>
      </c>
      <c r="E757" s="267" t="s">
        <v>320</v>
      </c>
      <c r="F757" s="268" t="s">
        <v>308</v>
      </c>
      <c r="G757" s="269">
        <v>10000</v>
      </c>
      <c r="H757" s="1731" t="s">
        <v>41</v>
      </c>
      <c r="I757" s="270"/>
      <c r="J757" s="271"/>
      <c r="K757" s="2239" t="s">
        <v>25</v>
      </c>
      <c r="L757" s="272"/>
      <c r="M757" s="271"/>
      <c r="N757" s="272"/>
      <c r="O757" s="2622" t="s">
        <v>6395</v>
      </c>
      <c r="P757" s="782"/>
      <c r="Q757" s="270"/>
    </row>
    <row r="758" spans="1:17" ht="18.75" customHeight="1" x14ac:dyDescent="0.3">
      <c r="A758" s="2645">
        <v>3</v>
      </c>
      <c r="B758" s="264" t="s">
        <v>321</v>
      </c>
      <c r="C758" s="265" t="s">
        <v>316</v>
      </c>
      <c r="D758" s="266">
        <v>58</v>
      </c>
      <c r="E758" s="267" t="s">
        <v>322</v>
      </c>
      <c r="F758" s="268" t="s">
        <v>323</v>
      </c>
      <c r="G758" s="269">
        <v>31886</v>
      </c>
      <c r="H758" s="1731" t="s">
        <v>41</v>
      </c>
      <c r="I758" s="270"/>
      <c r="J758" s="271"/>
      <c r="K758" s="2239" t="s">
        <v>25</v>
      </c>
      <c r="L758" s="272"/>
      <c r="M758" s="271"/>
      <c r="N758" s="272"/>
      <c r="O758" s="2622" t="s">
        <v>6395</v>
      </c>
      <c r="Q758" s="270"/>
    </row>
    <row r="759" spans="1:17" ht="18.75" customHeight="1" x14ac:dyDescent="0.3">
      <c r="A759" s="2798">
        <v>4</v>
      </c>
      <c r="B759" s="2799" t="s">
        <v>321</v>
      </c>
      <c r="C759" s="2800" t="s">
        <v>316</v>
      </c>
      <c r="D759" s="2801">
        <v>58</v>
      </c>
      <c r="E759" s="2802" t="s">
        <v>324</v>
      </c>
      <c r="F759" s="2803" t="s">
        <v>323</v>
      </c>
      <c r="G759" s="2804">
        <v>31886</v>
      </c>
      <c r="H759" s="2805" t="s">
        <v>41</v>
      </c>
      <c r="I759" s="2806"/>
      <c r="J759" s="2807"/>
      <c r="K759" s="2808" t="s">
        <v>25</v>
      </c>
      <c r="L759" s="2809"/>
      <c r="M759" s="2807"/>
      <c r="N759" s="2809"/>
      <c r="O759" s="2810" t="s">
        <v>6395</v>
      </c>
      <c r="Q759" s="270"/>
    </row>
    <row r="760" spans="1:17" ht="18.75" customHeight="1" x14ac:dyDescent="0.45">
      <c r="A760" s="2786"/>
      <c r="B760" s="2787"/>
      <c r="C760" s="2788"/>
      <c r="D760" s="2789"/>
      <c r="E760" s="2788"/>
      <c r="F760" s="2788"/>
      <c r="G760" s="2790">
        <f>SUM(G756:G759)</f>
        <v>83772</v>
      </c>
      <c r="H760" s="2791"/>
      <c r="I760" s="2792"/>
      <c r="J760" s="2793"/>
      <c r="K760" s="2794"/>
      <c r="L760" s="2795"/>
      <c r="M760" s="2793"/>
      <c r="N760" s="2796"/>
      <c r="O760" s="2797"/>
      <c r="Q760" s="270"/>
    </row>
    <row r="761" spans="1:17" ht="17.399999999999999" x14ac:dyDescent="0.45">
      <c r="A761" s="2696"/>
      <c r="B761" s="1343"/>
      <c r="C761" s="432"/>
      <c r="D761" s="432"/>
      <c r="E761" s="433"/>
      <c r="F761" s="434"/>
      <c r="G761" s="2785"/>
      <c r="H761" s="436"/>
      <c r="I761" s="432"/>
      <c r="J761" s="437"/>
      <c r="K761" s="2244"/>
      <c r="L761" s="437"/>
      <c r="M761" s="438"/>
      <c r="N761" s="438"/>
      <c r="O761" s="439"/>
      <c r="Q761" s="432"/>
    </row>
    <row r="762" spans="1:17" x14ac:dyDescent="0.3">
      <c r="A762" s="2646">
        <v>437</v>
      </c>
      <c r="B762" s="282" t="s">
        <v>531</v>
      </c>
      <c r="C762" s="440"/>
      <c r="D762" s="440"/>
      <c r="E762" s="441"/>
      <c r="F762" s="440"/>
      <c r="G762" s="442"/>
      <c r="H762" s="443"/>
      <c r="I762" s="444"/>
      <c r="J762" s="444"/>
      <c r="K762" s="1339"/>
      <c r="L762" s="444"/>
      <c r="M762" s="444"/>
      <c r="N762" s="444"/>
      <c r="O762" s="445"/>
      <c r="Q762" s="444"/>
    </row>
    <row r="763" spans="1:17" s="10" customFormat="1" ht="18.75" customHeight="1" x14ac:dyDescent="0.3">
      <c r="A763" s="2844" t="s">
        <v>3</v>
      </c>
      <c r="B763" s="2846" t="s">
        <v>4</v>
      </c>
      <c r="C763" s="2848" t="s">
        <v>5</v>
      </c>
      <c r="D763" s="2849"/>
      <c r="E763" s="2850"/>
      <c r="F763" s="8" t="s">
        <v>6</v>
      </c>
      <c r="G763" s="2854" t="s">
        <v>7</v>
      </c>
      <c r="H763" s="2856" t="s">
        <v>8</v>
      </c>
      <c r="I763" s="2858" t="s">
        <v>9</v>
      </c>
      <c r="J763" s="2859"/>
      <c r="K763" s="2859"/>
      <c r="L763" s="2859"/>
      <c r="M763" s="2859"/>
      <c r="N763" s="2860"/>
      <c r="O763" s="9" t="s">
        <v>10</v>
      </c>
    </row>
    <row r="764" spans="1:17" s="10" customFormat="1" ht="42" customHeight="1" x14ac:dyDescent="0.3">
      <c r="A764" s="2845"/>
      <c r="B764" s="2847"/>
      <c r="C764" s="2851"/>
      <c r="D764" s="2852"/>
      <c r="E764" s="2853"/>
      <c r="F764" s="11" t="s">
        <v>11</v>
      </c>
      <c r="G764" s="2855"/>
      <c r="H764" s="2857"/>
      <c r="I764" s="14" t="s">
        <v>12</v>
      </c>
      <c r="J764" s="14" t="s">
        <v>13</v>
      </c>
      <c r="K764" s="15" t="s">
        <v>14</v>
      </c>
      <c r="L764" s="15" t="s">
        <v>15</v>
      </c>
      <c r="M764" s="15" t="s">
        <v>16</v>
      </c>
      <c r="N764" s="15" t="s">
        <v>17</v>
      </c>
      <c r="O764" s="13"/>
    </row>
    <row r="765" spans="1:17" ht="18.75" customHeight="1" x14ac:dyDescent="0.3">
      <c r="A765" s="247">
        <v>1</v>
      </c>
      <c r="B765" s="215" t="s">
        <v>532</v>
      </c>
      <c r="C765" s="415" t="s">
        <v>533</v>
      </c>
      <c r="D765" s="416" t="s">
        <v>534</v>
      </c>
      <c r="E765" s="217" t="s">
        <v>535</v>
      </c>
      <c r="F765" s="218" t="s">
        <v>536</v>
      </c>
      <c r="G765" s="192">
        <v>7500</v>
      </c>
      <c r="H765" s="446" t="s">
        <v>537</v>
      </c>
      <c r="I765" s="34"/>
      <c r="J765" s="248"/>
      <c r="K765" s="247" t="s">
        <v>25</v>
      </c>
      <c r="L765" s="248"/>
      <c r="M765" s="248"/>
      <c r="N765" s="248"/>
      <c r="O765" s="2622" t="s">
        <v>6395</v>
      </c>
      <c r="Q765" s="34"/>
    </row>
    <row r="766" spans="1:17" ht="18.75" customHeight="1" x14ac:dyDescent="0.3">
      <c r="A766" s="247">
        <v>2</v>
      </c>
      <c r="B766" s="215" t="s">
        <v>532</v>
      </c>
      <c r="C766" s="415" t="s">
        <v>533</v>
      </c>
      <c r="D766" s="416" t="s">
        <v>534</v>
      </c>
      <c r="E766" s="217" t="s">
        <v>538</v>
      </c>
      <c r="F766" s="218" t="s">
        <v>536</v>
      </c>
      <c r="G766" s="192">
        <v>7500</v>
      </c>
      <c r="H766" s="446" t="s">
        <v>537</v>
      </c>
      <c r="I766" s="34"/>
      <c r="J766" s="248"/>
      <c r="K766" s="247" t="s">
        <v>25</v>
      </c>
      <c r="L766" s="248"/>
      <c r="M766" s="248"/>
      <c r="N766" s="248"/>
      <c r="O766" s="2622" t="s">
        <v>6395</v>
      </c>
      <c r="Q766" s="34"/>
    </row>
    <row r="767" spans="1:17" ht="18.75" customHeight="1" x14ac:dyDescent="0.3">
      <c r="A767" s="247">
        <v>3</v>
      </c>
      <c r="B767" s="215" t="s">
        <v>539</v>
      </c>
      <c r="C767" s="415" t="s">
        <v>533</v>
      </c>
      <c r="D767" s="416" t="s">
        <v>494</v>
      </c>
      <c r="E767" s="217" t="s">
        <v>542</v>
      </c>
      <c r="F767" s="218" t="s">
        <v>540</v>
      </c>
      <c r="G767" s="192">
        <v>5000</v>
      </c>
      <c r="H767" s="447" t="s">
        <v>541</v>
      </c>
      <c r="I767" s="34"/>
      <c r="J767" s="248"/>
      <c r="K767" s="247" t="s">
        <v>25</v>
      </c>
      <c r="L767" s="248"/>
      <c r="M767" s="248"/>
      <c r="N767" s="248"/>
      <c r="O767" s="2628" t="s">
        <v>6395</v>
      </c>
      <c r="Q767" s="34"/>
    </row>
    <row r="768" spans="1:17" ht="18.75" customHeight="1" x14ac:dyDescent="0.3">
      <c r="A768" s="247">
        <v>4</v>
      </c>
      <c r="B768" s="215" t="s">
        <v>539</v>
      </c>
      <c r="C768" s="415" t="s">
        <v>533</v>
      </c>
      <c r="D768" s="416" t="s">
        <v>494</v>
      </c>
      <c r="E768" s="217" t="s">
        <v>543</v>
      </c>
      <c r="F768" s="218" t="s">
        <v>540</v>
      </c>
      <c r="G768" s="192">
        <v>5000</v>
      </c>
      <c r="H768" s="447" t="s">
        <v>541</v>
      </c>
      <c r="I768" s="34"/>
      <c r="J768" s="248"/>
      <c r="K768" s="247" t="s">
        <v>25</v>
      </c>
      <c r="L768" s="248"/>
      <c r="M768" s="248"/>
      <c r="N768" s="248"/>
      <c r="O768" s="2628" t="s">
        <v>6395</v>
      </c>
      <c r="Q768" s="34"/>
    </row>
    <row r="769" spans="1:17" ht="18.75" customHeight="1" x14ac:dyDescent="0.3">
      <c r="A769" s="247">
        <v>5</v>
      </c>
      <c r="B769" s="215" t="s">
        <v>539</v>
      </c>
      <c r="C769" s="415" t="s">
        <v>533</v>
      </c>
      <c r="D769" s="416" t="s">
        <v>494</v>
      </c>
      <c r="E769" s="217" t="s">
        <v>545</v>
      </c>
      <c r="F769" s="218" t="s">
        <v>540</v>
      </c>
      <c r="G769" s="192">
        <v>5000</v>
      </c>
      <c r="H769" s="447" t="s">
        <v>541</v>
      </c>
      <c r="I769" s="34"/>
      <c r="J769" s="248"/>
      <c r="K769" s="247" t="s">
        <v>25</v>
      </c>
      <c r="L769" s="248"/>
      <c r="M769" s="248"/>
      <c r="N769" s="248"/>
      <c r="O769" s="2628" t="s">
        <v>6395</v>
      </c>
      <c r="Q769" s="34"/>
    </row>
    <row r="770" spans="1:17" x14ac:dyDescent="0.3">
      <c r="A770" s="247">
        <v>6</v>
      </c>
      <c r="B770" s="215" t="s">
        <v>539</v>
      </c>
      <c r="C770" s="415" t="s">
        <v>533</v>
      </c>
      <c r="D770" s="416" t="s">
        <v>494</v>
      </c>
      <c r="E770" s="217" t="s">
        <v>319</v>
      </c>
      <c r="F770" s="218" t="s">
        <v>540</v>
      </c>
      <c r="G770" s="192">
        <v>5000</v>
      </c>
      <c r="H770" s="447" t="s">
        <v>541</v>
      </c>
      <c r="I770" s="34"/>
      <c r="J770" s="248"/>
      <c r="K770" s="247" t="s">
        <v>25</v>
      </c>
      <c r="L770" s="248"/>
      <c r="M770" s="248"/>
      <c r="N770" s="248"/>
      <c r="O770" s="2628" t="s">
        <v>6395</v>
      </c>
      <c r="Q770" s="34"/>
    </row>
    <row r="771" spans="1:17" ht="17.399999999999999" x14ac:dyDescent="0.45">
      <c r="A771" s="451"/>
      <c r="B771" s="2778"/>
      <c r="C771" s="418"/>
      <c r="D771" s="452"/>
      <c r="E771" s="419"/>
      <c r="F771" s="418"/>
      <c r="G771" s="2751">
        <f>SUM(G763:G770)</f>
        <v>35000</v>
      </c>
      <c r="H771" s="2780"/>
      <c r="I771" s="2750"/>
      <c r="J771" s="2748"/>
      <c r="K771" s="2779"/>
      <c r="L771" s="2748"/>
      <c r="M771" s="2748"/>
      <c r="N771" s="75"/>
      <c r="O771" s="2747"/>
      <c r="Q771" s="233"/>
    </row>
    <row r="772" spans="1:17" ht="17.399999999999999" x14ac:dyDescent="0.45">
      <c r="A772" s="1222"/>
      <c r="B772" s="2639"/>
      <c r="C772" s="495"/>
      <c r="D772" s="175"/>
      <c r="E772" s="175"/>
      <c r="F772" s="175"/>
      <c r="G772" s="2665"/>
      <c r="H772" s="2782"/>
      <c r="I772" s="2743"/>
      <c r="J772" s="2745"/>
      <c r="K772" s="2783"/>
      <c r="L772" s="2745"/>
      <c r="M772" s="2745"/>
      <c r="N772" s="173"/>
      <c r="O772" s="2777"/>
      <c r="Q772" s="2605"/>
    </row>
    <row r="773" spans="1:17" x14ac:dyDescent="0.3">
      <c r="A773" s="2647">
        <v>481</v>
      </c>
      <c r="B773" s="282" t="s">
        <v>581</v>
      </c>
      <c r="C773" s="283"/>
      <c r="D773" s="2666"/>
      <c r="E773" s="2667"/>
      <c r="F773" s="2668"/>
      <c r="G773" s="470"/>
      <c r="H773" s="2669"/>
      <c r="I773" s="2670"/>
      <c r="J773" s="2670"/>
      <c r="K773" s="2671"/>
      <c r="L773" s="2671"/>
      <c r="M773" s="2670"/>
      <c r="N773" s="2781"/>
      <c r="O773" s="2697"/>
      <c r="Q773" s="472"/>
    </row>
    <row r="774" spans="1:17" s="10" customFormat="1" ht="18.75" customHeight="1" x14ac:dyDescent="0.3">
      <c r="A774" s="2844" t="s">
        <v>3</v>
      </c>
      <c r="B774" s="2846" t="s">
        <v>4</v>
      </c>
      <c r="C774" s="2848" t="s">
        <v>5</v>
      </c>
      <c r="D774" s="2849"/>
      <c r="E774" s="2850"/>
      <c r="F774" s="8" t="s">
        <v>6</v>
      </c>
      <c r="G774" s="2854" t="s">
        <v>7</v>
      </c>
      <c r="H774" s="2856" t="s">
        <v>8</v>
      </c>
      <c r="I774" s="2858" t="s">
        <v>9</v>
      </c>
      <c r="J774" s="2859"/>
      <c r="K774" s="2859"/>
      <c r="L774" s="2859"/>
      <c r="M774" s="2859"/>
      <c r="N774" s="2860"/>
      <c r="O774" s="9" t="s">
        <v>10</v>
      </c>
    </row>
    <row r="775" spans="1:17" s="10" customFormat="1" ht="42" customHeight="1" x14ac:dyDescent="0.3">
      <c r="A775" s="2845"/>
      <c r="B775" s="2847"/>
      <c r="C775" s="2851"/>
      <c r="D775" s="2852"/>
      <c r="E775" s="2853"/>
      <c r="F775" s="11" t="s">
        <v>11</v>
      </c>
      <c r="G775" s="2855"/>
      <c r="H775" s="2857"/>
      <c r="I775" s="14" t="s">
        <v>12</v>
      </c>
      <c r="J775" s="14" t="s">
        <v>13</v>
      </c>
      <c r="K775" s="15" t="s">
        <v>14</v>
      </c>
      <c r="L775" s="15" t="s">
        <v>15</v>
      </c>
      <c r="M775" s="15" t="s">
        <v>16</v>
      </c>
      <c r="N775" s="15" t="s">
        <v>17</v>
      </c>
      <c r="O775" s="13"/>
      <c r="P775" s="2784"/>
    </row>
    <row r="776" spans="1:17" x14ac:dyDescent="0.3">
      <c r="A776" s="415">
        <v>1</v>
      </c>
      <c r="B776" s="248" t="s">
        <v>592</v>
      </c>
      <c r="C776" s="415" t="s">
        <v>583</v>
      </c>
      <c r="D776" s="67">
        <v>60</v>
      </c>
      <c r="E776" s="217" t="s">
        <v>567</v>
      </c>
      <c r="F776" s="218" t="s">
        <v>593</v>
      </c>
      <c r="G776" s="192">
        <v>15000</v>
      </c>
      <c r="H776" s="1731" t="s">
        <v>41</v>
      </c>
      <c r="I776" s="224"/>
      <c r="J776" s="147"/>
      <c r="K776" s="2233" t="s">
        <v>25</v>
      </c>
      <c r="L776" s="224"/>
      <c r="M776" s="224"/>
      <c r="N776" s="313"/>
      <c r="O776" s="2628" t="s">
        <v>6395</v>
      </c>
      <c r="Q776" s="224"/>
    </row>
    <row r="777" spans="1:17" ht="17.399999999999999" x14ac:dyDescent="0.45">
      <c r="A777" s="451"/>
      <c r="B777" s="1213"/>
      <c r="C777" s="75"/>
      <c r="D777" s="452"/>
      <c r="E777" s="452"/>
      <c r="F777" s="452"/>
      <c r="G777" s="2751">
        <f>SUM(G776:G776)</f>
        <v>15000</v>
      </c>
      <c r="H777" s="1215"/>
      <c r="I777" s="2740"/>
      <c r="J777" s="1428"/>
      <c r="K777" s="2755"/>
      <c r="L777" s="2740"/>
      <c r="M777" s="2740"/>
      <c r="N777" s="2754"/>
      <c r="O777" s="2699"/>
      <c r="P777" s="2695"/>
      <c r="Q777" s="478"/>
    </row>
    <row r="778" spans="1:17" ht="17.399999999999999" x14ac:dyDescent="0.45">
      <c r="A778" s="173"/>
      <c r="B778" s="200"/>
      <c r="C778" s="173"/>
      <c r="D778" s="175"/>
      <c r="E778" s="175"/>
      <c r="F778" s="175"/>
      <c r="G778" s="2665"/>
      <c r="H778" s="344"/>
      <c r="I778" s="2756"/>
      <c r="J778" s="61"/>
      <c r="K778" s="2757"/>
      <c r="L778" s="2756"/>
      <c r="M778" s="2756"/>
      <c r="N778" s="1703"/>
      <c r="O778" s="2715"/>
      <c r="Q778" s="1261"/>
    </row>
    <row r="779" spans="1:17" ht="18" customHeight="1" x14ac:dyDescent="0.3">
      <c r="A779" s="2861" t="s">
        <v>623</v>
      </c>
      <c r="B779" s="2861"/>
      <c r="C779" s="3"/>
      <c r="D779" s="3"/>
      <c r="E779" s="5"/>
      <c r="F779" s="7"/>
      <c r="G779" s="3"/>
      <c r="H779" s="3"/>
      <c r="I779" s="3"/>
      <c r="J779" s="3"/>
      <c r="K779" s="3"/>
      <c r="L779" s="3"/>
      <c r="M779" s="7"/>
      <c r="O779" s="2760"/>
    </row>
    <row r="780" spans="1:17" s="10" customFormat="1" ht="18.75" customHeight="1" x14ac:dyDescent="0.3">
      <c r="A780" s="2867" t="s">
        <v>3</v>
      </c>
      <c r="B780" s="2919" t="s">
        <v>4</v>
      </c>
      <c r="C780" s="2920" t="s">
        <v>5</v>
      </c>
      <c r="D780" s="2921"/>
      <c r="E780" s="2922"/>
      <c r="F780" s="8" t="s">
        <v>6</v>
      </c>
      <c r="G780" s="2923" t="s">
        <v>7</v>
      </c>
      <c r="H780" s="2868" t="s">
        <v>8</v>
      </c>
      <c r="I780" s="3005" t="s">
        <v>9</v>
      </c>
      <c r="J780" s="2876"/>
      <c r="K780" s="2876"/>
      <c r="L780" s="2876"/>
      <c r="M780" s="2876"/>
      <c r="N780" s="3006"/>
      <c r="O780" s="9" t="s">
        <v>10</v>
      </c>
    </row>
    <row r="781" spans="1:17" s="10" customFormat="1" ht="42" customHeight="1" x14ac:dyDescent="0.3">
      <c r="A781" s="2845"/>
      <c r="B781" s="2847"/>
      <c r="C781" s="2851"/>
      <c r="D781" s="2852"/>
      <c r="E781" s="2853"/>
      <c r="F781" s="11" t="s">
        <v>11</v>
      </c>
      <c r="G781" s="2855"/>
      <c r="H781" s="2857"/>
      <c r="I781" s="14" t="s">
        <v>12</v>
      </c>
      <c r="J781" s="14" t="s">
        <v>13</v>
      </c>
      <c r="K781" s="15" t="s">
        <v>14</v>
      </c>
      <c r="L781" s="15" t="s">
        <v>15</v>
      </c>
      <c r="M781" s="15" t="s">
        <v>16</v>
      </c>
      <c r="N781" s="15" t="s">
        <v>17</v>
      </c>
      <c r="O781" s="13"/>
    </row>
    <row r="782" spans="1:17" s="10" customFormat="1" ht="18" customHeight="1" x14ac:dyDescent="0.3">
      <c r="A782" s="2648" t="s">
        <v>645</v>
      </c>
      <c r="B782" s="516" t="s">
        <v>646</v>
      </c>
      <c r="C782" s="517"/>
      <c r="D782" s="556"/>
      <c r="E782" s="519"/>
      <c r="F782" s="520"/>
      <c r="G782" s="557"/>
      <c r="H782" s="557"/>
      <c r="I782" s="558"/>
      <c r="J782" s="557"/>
      <c r="K782" s="558"/>
      <c r="L782" s="557"/>
      <c r="M782" s="559"/>
      <c r="N782" s="2612"/>
    </row>
    <row r="783" spans="1:17" x14ac:dyDescent="0.3">
      <c r="A783" s="415">
        <v>1</v>
      </c>
      <c r="B783" s="567" t="s">
        <v>650</v>
      </c>
      <c r="C783" s="2614" t="s">
        <v>651</v>
      </c>
      <c r="D783" s="907"/>
      <c r="E783" s="2613"/>
      <c r="F783" s="533">
        <v>10754</v>
      </c>
      <c r="G783" s="568">
        <v>225000</v>
      </c>
      <c r="H783" s="1723" t="s">
        <v>391</v>
      </c>
      <c r="I783" s="121"/>
      <c r="J783" s="121"/>
      <c r="K783" s="121" t="s">
        <v>25</v>
      </c>
      <c r="L783" s="121"/>
      <c r="M783" s="121"/>
      <c r="N783" s="121"/>
      <c r="O783" s="2628" t="s">
        <v>6395</v>
      </c>
      <c r="Q783" s="224"/>
    </row>
    <row r="784" spans="1:17" ht="17.399999999999999" x14ac:dyDescent="0.45">
      <c r="A784" s="27"/>
      <c r="B784" s="421"/>
      <c r="C784" s="451"/>
      <c r="D784" s="452"/>
      <c r="E784" s="452"/>
      <c r="F784" s="452"/>
      <c r="G784" s="2680">
        <f>SUM(G783:G783)</f>
        <v>225000</v>
      </c>
      <c r="H784" s="2753"/>
      <c r="I784" s="2740"/>
      <c r="J784" s="1428"/>
      <c r="K784" s="2755"/>
      <c r="L784" s="2740"/>
      <c r="M784" s="2740"/>
      <c r="N784" s="2754"/>
      <c r="O784" s="940"/>
      <c r="Q784" s="478"/>
    </row>
    <row r="785" spans="1:17" ht="17.399999999999999" x14ac:dyDescent="0.45">
      <c r="A785" s="622"/>
      <c r="B785" s="331"/>
      <c r="C785" s="51"/>
      <c r="D785" s="175"/>
      <c r="E785" s="175"/>
      <c r="F785" s="175"/>
      <c r="G785" s="2665"/>
      <c r="H785" s="344"/>
      <c r="I785" s="2756"/>
      <c r="J785" s="61"/>
      <c r="K785" s="2757"/>
      <c r="L785" s="2756"/>
      <c r="M785" s="2756"/>
      <c r="N785" s="1703"/>
      <c r="O785" s="2715"/>
      <c r="Q785" s="1261"/>
    </row>
    <row r="786" spans="1:17" ht="18" customHeight="1" x14ac:dyDescent="0.3">
      <c r="A786" s="2657" t="s">
        <v>748</v>
      </c>
      <c r="B786" s="516" t="s">
        <v>749</v>
      </c>
      <c r="C786" s="517"/>
      <c r="D786" s="587"/>
      <c r="E786" s="2658"/>
      <c r="F786" s="589"/>
      <c r="G786" s="522"/>
      <c r="H786" s="521"/>
      <c r="I786" s="522"/>
      <c r="J786" s="521"/>
      <c r="K786" s="521"/>
      <c r="L786" s="521"/>
      <c r="M786" s="521"/>
      <c r="N786" s="2759"/>
      <c r="O786" s="2760"/>
    </row>
    <row r="787" spans="1:17" x14ac:dyDescent="0.3">
      <c r="A787" s="320">
        <v>1</v>
      </c>
      <c r="B787" s="643" t="s">
        <v>750</v>
      </c>
      <c r="C787" s="2763" t="s">
        <v>751</v>
      </c>
      <c r="D787" s="2764"/>
      <c r="E787" s="2773"/>
      <c r="F787" s="350" t="s">
        <v>752</v>
      </c>
      <c r="G787" s="351">
        <v>730000</v>
      </c>
      <c r="H787" s="2758" t="s">
        <v>41</v>
      </c>
      <c r="I787" s="644"/>
      <c r="J787" s="692"/>
      <c r="K787" s="2397" t="s">
        <v>25</v>
      </c>
      <c r="L787" s="692"/>
      <c r="M787" s="692"/>
      <c r="N787" s="692"/>
      <c r="O787" s="2656" t="s">
        <v>6395</v>
      </c>
    </row>
    <row r="788" spans="1:17" ht="17.399999999999999" x14ac:dyDescent="0.45">
      <c r="B788" s="1"/>
      <c r="C788" s="495"/>
      <c r="F788" s="495"/>
      <c r="G788" s="231">
        <f>SUM(G787:G787)</f>
        <v>730000</v>
      </c>
      <c r="H788" s="2604"/>
      <c r="I788" s="2611"/>
      <c r="J788" s="1259"/>
      <c r="K788" s="2615"/>
      <c r="L788" s="1259"/>
      <c r="M788" s="2616"/>
      <c r="N788" s="1259"/>
      <c r="O788" s="2617"/>
    </row>
    <row r="789" spans="1:17" ht="18" customHeight="1" x14ac:dyDescent="0.3">
      <c r="A789" s="2649" t="s">
        <v>772</v>
      </c>
      <c r="B789" s="684" t="s">
        <v>773</v>
      </c>
      <c r="C789" s="668"/>
      <c r="D789" s="685"/>
      <c r="E789" s="686"/>
      <c r="F789" s="687"/>
      <c r="G789" s="688"/>
      <c r="H789" s="521"/>
      <c r="I789" s="590"/>
      <c r="J789" s="521"/>
      <c r="K789" s="521"/>
      <c r="L789" s="591"/>
      <c r="M789" s="2659"/>
      <c r="N789" s="2333"/>
      <c r="O789" s="2333"/>
    </row>
    <row r="790" spans="1:17" x14ac:dyDescent="0.3">
      <c r="A790" s="2761">
        <v>1</v>
      </c>
      <c r="B790" s="2762" t="s">
        <v>774</v>
      </c>
      <c r="C790" s="2763" t="s">
        <v>775</v>
      </c>
      <c r="D790" s="2764"/>
      <c r="E790" s="2765"/>
      <c r="F790" s="2766" t="s">
        <v>776</v>
      </c>
      <c r="G790" s="2767">
        <v>270000</v>
      </c>
      <c r="H790" s="2768" t="s">
        <v>724</v>
      </c>
      <c r="I790" s="2769"/>
      <c r="J790" s="2770"/>
      <c r="K790" s="2771" t="s">
        <v>25</v>
      </c>
      <c r="L790" s="2770"/>
      <c r="M790" s="2770"/>
      <c r="N790" s="2770"/>
      <c r="O790" s="2772" t="s">
        <v>6395</v>
      </c>
    </row>
    <row r="791" spans="1:17" ht="17.399999999999999" x14ac:dyDescent="0.45">
      <c r="B791" s="1"/>
      <c r="C791" s="495"/>
      <c r="F791" s="495"/>
      <c r="G791" s="177">
        <f>SUM(G790:G790)</f>
        <v>270000</v>
      </c>
      <c r="H791" s="2618"/>
      <c r="I791" s="2611"/>
      <c r="J791" s="1259"/>
      <c r="K791" s="2615"/>
      <c r="L791" s="1259"/>
      <c r="M791" s="2616"/>
      <c r="N791" s="1259"/>
    </row>
    <row r="792" spans="1:17" ht="18" customHeight="1" x14ac:dyDescent="0.3">
      <c r="A792" s="2649" t="s">
        <v>803</v>
      </c>
      <c r="B792" s="684" t="s">
        <v>804</v>
      </c>
      <c r="C792" s="668"/>
      <c r="D792" s="685"/>
      <c r="E792" s="686"/>
      <c r="F792" s="687"/>
      <c r="G792" s="688"/>
      <c r="H792" s="689"/>
      <c r="I792" s="688"/>
      <c r="J792" s="689"/>
      <c r="K792" s="689"/>
      <c r="L792" s="690"/>
      <c r="M792" s="691"/>
      <c r="O792" s="1"/>
    </row>
    <row r="793" spans="1:17" x14ac:dyDescent="0.3">
      <c r="A793" s="104">
        <v>1</v>
      </c>
      <c r="B793" s="313" t="s">
        <v>860</v>
      </c>
      <c r="C793" s="216" t="s">
        <v>861</v>
      </c>
      <c r="F793" s="218" t="s">
        <v>862</v>
      </c>
      <c r="G793" s="192">
        <v>28500</v>
      </c>
      <c r="H793" s="1731" t="s">
        <v>41</v>
      </c>
      <c r="I793" s="34"/>
      <c r="J793" s="34"/>
      <c r="K793" s="2233" t="s">
        <v>25</v>
      </c>
      <c r="L793" s="147"/>
      <c r="M793" s="147"/>
      <c r="N793" s="147"/>
      <c r="O793" s="2628" t="s">
        <v>6395</v>
      </c>
    </row>
    <row r="794" spans="1:17" x14ac:dyDescent="0.3">
      <c r="A794" s="104">
        <v>2</v>
      </c>
      <c r="B794" s="698" t="s">
        <v>866</v>
      </c>
      <c r="C794" s="701" t="s">
        <v>867</v>
      </c>
      <c r="F794" s="711" t="s">
        <v>868</v>
      </c>
      <c r="G794" s="712">
        <v>28500</v>
      </c>
      <c r="H794" s="704" t="s">
        <v>811</v>
      </c>
      <c r="I794" s="104"/>
      <c r="J794" s="104"/>
      <c r="K794" s="104" t="s">
        <v>25</v>
      </c>
      <c r="L794" s="104"/>
      <c r="M794" s="104"/>
      <c r="N794" s="104"/>
      <c r="O794" s="2628" t="s">
        <v>6395</v>
      </c>
    </row>
    <row r="795" spans="1:17" x14ac:dyDescent="0.3">
      <c r="A795" s="104">
        <v>3</v>
      </c>
      <c r="B795" s="698" t="s">
        <v>869</v>
      </c>
      <c r="C795" s="701" t="s">
        <v>870</v>
      </c>
      <c r="F795" s="711" t="s">
        <v>868</v>
      </c>
      <c r="G795" s="712">
        <v>28500</v>
      </c>
      <c r="H795" s="704" t="s">
        <v>811</v>
      </c>
      <c r="I795" s="104"/>
      <c r="J795" s="104"/>
      <c r="K795" s="104" t="s">
        <v>25</v>
      </c>
      <c r="L795" s="104"/>
      <c r="M795" s="104"/>
      <c r="N795" s="104"/>
      <c r="O795" s="2628" t="s">
        <v>6395</v>
      </c>
    </row>
    <row r="796" spans="1:17" ht="17.399999999999999" x14ac:dyDescent="0.45">
      <c r="G796" s="2751">
        <f>SUM(G793:G795)</f>
        <v>85500</v>
      </c>
      <c r="H796" s="1215"/>
    </row>
    <row r="797" spans="1:17" ht="17.399999999999999" x14ac:dyDescent="0.45">
      <c r="G797" s="2665"/>
    </row>
    <row r="798" spans="1:17" ht="18" customHeight="1" x14ac:dyDescent="0.3">
      <c r="A798" s="2657" t="s">
        <v>889</v>
      </c>
      <c r="B798" s="516" t="s">
        <v>890</v>
      </c>
      <c r="C798" s="521"/>
      <c r="D798" s="587"/>
      <c r="E798" s="2658"/>
      <c r="F798" s="589"/>
      <c r="G798" s="590"/>
      <c r="H798" s="521"/>
      <c r="I798" s="590"/>
      <c r="J798" s="521"/>
      <c r="K798" s="521"/>
      <c r="L798" s="591"/>
      <c r="M798" s="2659"/>
      <c r="N798" s="2333"/>
      <c r="O798" s="2333"/>
    </row>
    <row r="799" spans="1:17" x14ac:dyDescent="0.3">
      <c r="A799" s="293">
        <v>1</v>
      </c>
      <c r="B799" s="645" t="s">
        <v>893</v>
      </c>
      <c r="C799" s="348" t="s">
        <v>894</v>
      </c>
      <c r="F799" s="350" t="s">
        <v>895</v>
      </c>
      <c r="G799" s="351">
        <v>113500</v>
      </c>
      <c r="H799" s="1718" t="s">
        <v>215</v>
      </c>
      <c r="I799" s="406"/>
      <c r="J799" s="406"/>
      <c r="K799" s="406" t="s">
        <v>25</v>
      </c>
      <c r="L799" s="353"/>
      <c r="M799" s="353"/>
      <c r="N799" s="353"/>
      <c r="O799" s="2656" t="s">
        <v>6395</v>
      </c>
    </row>
    <row r="800" spans="1:17" ht="17.399999999999999" x14ac:dyDescent="0.45">
      <c r="G800" s="2774">
        <f>SUM(G799:G799)</f>
        <v>113500</v>
      </c>
      <c r="H800" s="1215"/>
    </row>
    <row r="801" spans="1:24" x14ac:dyDescent="0.3">
      <c r="A801" s="2861" t="s">
        <v>1157</v>
      </c>
      <c r="B801" s="2861"/>
      <c r="C801" s="3"/>
      <c r="D801" s="3"/>
      <c r="E801" s="3"/>
      <c r="F801" s="3"/>
      <c r="G801" s="2775"/>
      <c r="H801" s="7"/>
      <c r="I801" s="3"/>
      <c r="J801" s="3"/>
      <c r="K801" s="3"/>
      <c r="L801" s="3"/>
      <c r="M801" s="3"/>
      <c r="N801" s="3"/>
      <c r="O801" s="7"/>
    </row>
    <row r="802" spans="1:24" s="10" customFormat="1" ht="18.75" customHeight="1" x14ac:dyDescent="0.3">
      <c r="A802" s="2844" t="s">
        <v>3</v>
      </c>
      <c r="B802" s="2846" t="s">
        <v>4</v>
      </c>
      <c r="C802" s="2848" t="s">
        <v>5</v>
      </c>
      <c r="D802" s="2849"/>
      <c r="E802" s="2850"/>
      <c r="F802" s="8" t="s">
        <v>6</v>
      </c>
      <c r="G802" s="2854" t="s">
        <v>7</v>
      </c>
      <c r="H802" s="2856" t="s">
        <v>8</v>
      </c>
      <c r="I802" s="2858" t="s">
        <v>9</v>
      </c>
      <c r="J802" s="2859"/>
      <c r="K802" s="2859"/>
      <c r="L802" s="2859"/>
      <c r="M802" s="2859"/>
      <c r="N802" s="2860"/>
      <c r="O802" s="9" t="s">
        <v>10</v>
      </c>
    </row>
    <row r="803" spans="1:24" s="10" customFormat="1" ht="42" customHeight="1" x14ac:dyDescent="0.3">
      <c r="A803" s="2845"/>
      <c r="B803" s="2847"/>
      <c r="C803" s="2851"/>
      <c r="D803" s="2852"/>
      <c r="E803" s="2853"/>
      <c r="F803" s="11" t="s">
        <v>11</v>
      </c>
      <c r="G803" s="2855"/>
      <c r="H803" s="2857"/>
      <c r="I803" s="14" t="s">
        <v>12</v>
      </c>
      <c r="J803" s="14" t="s">
        <v>13</v>
      </c>
      <c r="K803" s="15" t="s">
        <v>14</v>
      </c>
      <c r="L803" s="15" t="s">
        <v>15</v>
      </c>
      <c r="M803" s="15" t="s">
        <v>16</v>
      </c>
      <c r="N803" s="15" t="s">
        <v>17</v>
      </c>
      <c r="O803" s="13"/>
    </row>
    <row r="804" spans="1:24" x14ac:dyDescent="0.3">
      <c r="A804" s="2649" t="s">
        <v>1203</v>
      </c>
      <c r="B804" s="773" t="s">
        <v>1204</v>
      </c>
      <c r="C804" s="892"/>
      <c r="D804" s="892"/>
      <c r="E804" s="859"/>
      <c r="F804" s="860"/>
      <c r="G804" s="775"/>
      <c r="H804" s="776"/>
      <c r="I804" s="777"/>
      <c r="J804" s="778"/>
      <c r="K804" s="777"/>
      <c r="L804" s="778"/>
      <c r="M804" s="778"/>
      <c r="N804" s="779"/>
      <c r="O804" s="780"/>
    </row>
    <row r="805" spans="1:24" x14ac:dyDescent="0.3">
      <c r="A805" s="293">
        <v>1</v>
      </c>
      <c r="B805" s="643" t="s">
        <v>1205</v>
      </c>
      <c r="C805" s="2899" t="s">
        <v>1206</v>
      </c>
      <c r="D805" s="2900"/>
      <c r="E805" s="2901"/>
      <c r="F805" s="350" t="s">
        <v>1207</v>
      </c>
      <c r="G805" s="351">
        <v>3900000</v>
      </c>
      <c r="H805" s="1724" t="s">
        <v>724</v>
      </c>
      <c r="I805" s="644"/>
      <c r="J805" s="899"/>
      <c r="K805" s="644" t="s">
        <v>25</v>
      </c>
      <c r="L805" s="692"/>
      <c r="M805" s="692"/>
      <c r="N805" s="692"/>
      <c r="O805" s="2628" t="s">
        <v>6395</v>
      </c>
    </row>
    <row r="806" spans="1:24" ht="17.399999999999999" x14ac:dyDescent="0.45">
      <c r="G806" s="2751">
        <f>SUM(G805:G805)</f>
        <v>3900000</v>
      </c>
      <c r="H806" s="1215"/>
    </row>
    <row r="807" spans="1:24" ht="17.399999999999999" x14ac:dyDescent="0.45">
      <c r="G807" s="2665"/>
    </row>
    <row r="808" spans="1:24" x14ac:dyDescent="0.3">
      <c r="A808" s="2649" t="s">
        <v>1264</v>
      </c>
      <c r="B808" s="2880" t="s">
        <v>1265</v>
      </c>
      <c r="C808" s="2881"/>
      <c r="D808" s="2881"/>
      <c r="E808" s="2881"/>
      <c r="F808" s="860"/>
      <c r="G808" s="775"/>
      <c r="H808" s="776"/>
      <c r="I808" s="777"/>
      <c r="J808" s="778"/>
      <c r="K808" s="777"/>
      <c r="L808" s="778"/>
      <c r="M808" s="778"/>
      <c r="N808" s="779"/>
      <c r="O808" s="780"/>
    </row>
    <row r="809" spans="1:24" x14ac:dyDescent="0.3">
      <c r="A809" s="189">
        <v>1</v>
      </c>
      <c r="B809" s="219" t="s">
        <v>1266</v>
      </c>
      <c r="C809" s="216" t="s">
        <v>1264</v>
      </c>
      <c r="D809" s="416" t="s">
        <v>1267</v>
      </c>
      <c r="E809" s="217" t="s">
        <v>599</v>
      </c>
      <c r="F809" s="218" t="s">
        <v>1268</v>
      </c>
      <c r="G809" s="924">
        <v>999380</v>
      </c>
      <c r="H809" s="2776" t="s">
        <v>724</v>
      </c>
      <c r="I809" s="34"/>
      <c r="J809" s="34"/>
      <c r="K809" s="34" t="s">
        <v>25</v>
      </c>
      <c r="L809" s="224"/>
      <c r="M809" s="224"/>
      <c r="N809" s="147"/>
      <c r="O809" s="2628" t="s">
        <v>6395</v>
      </c>
    </row>
    <row r="810" spans="1:24" ht="17.399999999999999" x14ac:dyDescent="0.45">
      <c r="G810" s="2751">
        <f>SUM(G809:G809)</f>
        <v>999380</v>
      </c>
      <c r="H810" s="1215"/>
    </row>
    <row r="811" spans="1:24" x14ac:dyDescent="0.3">
      <c r="A811" s="2861" t="s">
        <v>1343</v>
      </c>
      <c r="B811" s="2861"/>
      <c r="C811" s="3"/>
      <c r="D811" s="3"/>
      <c r="E811" s="3"/>
      <c r="F811" s="3"/>
      <c r="G811" s="5"/>
      <c r="H811" s="7"/>
      <c r="I811" s="3"/>
      <c r="J811" s="3"/>
      <c r="K811" s="3"/>
      <c r="L811" s="3"/>
      <c r="M811" s="3"/>
      <c r="N811" s="3"/>
      <c r="O811" s="7"/>
    </row>
    <row r="812" spans="1:24" s="10" customFormat="1" ht="18.75" customHeight="1" x14ac:dyDescent="0.3">
      <c r="A812" s="2844" t="s">
        <v>3</v>
      </c>
      <c r="B812" s="2846" t="s">
        <v>4</v>
      </c>
      <c r="C812" s="2848" t="s">
        <v>5</v>
      </c>
      <c r="D812" s="2849"/>
      <c r="E812" s="2850"/>
      <c r="F812" s="8" t="s">
        <v>6</v>
      </c>
      <c r="G812" s="2854" t="s">
        <v>7</v>
      </c>
      <c r="H812" s="2856" t="s">
        <v>8</v>
      </c>
      <c r="I812" s="2858" t="s">
        <v>9</v>
      </c>
      <c r="J812" s="2859"/>
      <c r="K812" s="2859"/>
      <c r="L812" s="2859"/>
      <c r="M812" s="2859"/>
      <c r="N812" s="2860"/>
      <c r="O812" s="9" t="s">
        <v>10</v>
      </c>
    </row>
    <row r="813" spans="1:24" s="10" customFormat="1" ht="42" customHeight="1" x14ac:dyDescent="0.3">
      <c r="A813" s="2845"/>
      <c r="B813" s="2847"/>
      <c r="C813" s="2851"/>
      <c r="D813" s="2852"/>
      <c r="E813" s="2853"/>
      <c r="F813" s="11" t="s">
        <v>11</v>
      </c>
      <c r="G813" s="2855"/>
      <c r="H813" s="2857"/>
      <c r="I813" s="14" t="s">
        <v>12</v>
      </c>
      <c r="J813" s="14" t="s">
        <v>13</v>
      </c>
      <c r="K813" s="15" t="s">
        <v>14</v>
      </c>
      <c r="L813" s="15" t="s">
        <v>15</v>
      </c>
      <c r="M813" s="15" t="s">
        <v>16</v>
      </c>
      <c r="N813" s="15" t="s">
        <v>17</v>
      </c>
      <c r="O813" s="13"/>
    </row>
    <row r="814" spans="1:24" x14ac:dyDescent="0.3">
      <c r="A814" s="63" t="s">
        <v>1344</v>
      </c>
      <c r="B814" s="1108" t="s">
        <v>1345</v>
      </c>
      <c r="C814" s="1109"/>
      <c r="D814" s="1109"/>
      <c r="E814" s="1109"/>
      <c r="F814" s="1110"/>
      <c r="G814" s="1111"/>
      <c r="H814" s="1112"/>
      <c r="I814" s="846"/>
      <c r="J814" s="779"/>
      <c r="K814" s="779"/>
      <c r="L814" s="828"/>
      <c r="M814" s="828"/>
      <c r="N814" s="779"/>
      <c r="O814" s="780"/>
    </row>
    <row r="815" spans="1:24" x14ac:dyDescent="0.3">
      <c r="A815" s="2651">
        <v>1</v>
      </c>
      <c r="B815" s="1114" t="s">
        <v>1346</v>
      </c>
      <c r="C815" s="1115" t="s">
        <v>1344</v>
      </c>
      <c r="D815" s="107">
        <v>31</v>
      </c>
      <c r="E815" s="1031" t="s">
        <v>1347</v>
      </c>
      <c r="F815" s="218" t="s">
        <v>1348</v>
      </c>
      <c r="G815" s="110">
        <v>990</v>
      </c>
      <c r="H815" s="1776" t="s">
        <v>1349</v>
      </c>
      <c r="J815" s="224"/>
      <c r="K815" s="34" t="s">
        <v>25</v>
      </c>
      <c r="L815" s="475"/>
      <c r="M815" s="224"/>
      <c r="N815" s="224"/>
      <c r="O815" s="2628" t="s">
        <v>6395</v>
      </c>
      <c r="P815" s="1">
        <v>1</v>
      </c>
      <c r="T815" s="224"/>
      <c r="U815" s="34" t="s">
        <v>25</v>
      </c>
      <c r="V815" s="475"/>
      <c r="W815" s="224"/>
      <c r="X815" s="224"/>
    </row>
    <row r="816" spans="1:24" x14ac:dyDescent="0.3">
      <c r="A816" s="2651">
        <v>2</v>
      </c>
      <c r="B816" s="1114" t="s">
        <v>1346</v>
      </c>
      <c r="C816" s="1117" t="s">
        <v>1344</v>
      </c>
      <c r="D816" s="113">
        <v>31</v>
      </c>
      <c r="E816" s="217" t="s">
        <v>1351</v>
      </c>
      <c r="F816" s="218" t="s">
        <v>1348</v>
      </c>
      <c r="G816" s="116">
        <v>990</v>
      </c>
      <c r="H816" s="1776" t="s">
        <v>1349</v>
      </c>
      <c r="J816" s="224"/>
      <c r="K816" s="34" t="s">
        <v>25</v>
      </c>
      <c r="L816" s="475"/>
      <c r="M816" s="224"/>
      <c r="N816" s="224"/>
      <c r="O816" s="2628" t="s">
        <v>6395</v>
      </c>
      <c r="P816" s="1">
        <v>2</v>
      </c>
      <c r="T816" s="224"/>
      <c r="U816" s="34" t="s">
        <v>25</v>
      </c>
      <c r="V816" s="475"/>
      <c r="W816" s="224"/>
      <c r="X816" s="224"/>
    </row>
    <row r="817" spans="1:24" x14ac:dyDescent="0.3">
      <c r="A817" s="2652">
        <v>3</v>
      </c>
      <c r="B817" s="1114" t="s">
        <v>1346</v>
      </c>
      <c r="C817" s="1117" t="s">
        <v>1344</v>
      </c>
      <c r="D817" s="113">
        <v>31</v>
      </c>
      <c r="E817" s="217" t="s">
        <v>1352</v>
      </c>
      <c r="F817" s="218" t="s">
        <v>1348</v>
      </c>
      <c r="G817" s="116">
        <v>990</v>
      </c>
      <c r="H817" s="1776" t="s">
        <v>1349</v>
      </c>
      <c r="J817" s="224"/>
      <c r="K817" s="34" t="s">
        <v>25</v>
      </c>
      <c r="L817" s="475"/>
      <c r="M817" s="224"/>
      <c r="N817" s="224"/>
      <c r="O817" s="2628" t="s">
        <v>6395</v>
      </c>
      <c r="P817" s="1">
        <v>3</v>
      </c>
      <c r="T817" s="224"/>
      <c r="U817" s="34" t="s">
        <v>25</v>
      </c>
      <c r="V817" s="475"/>
      <c r="W817" s="224"/>
      <c r="X817" s="224"/>
    </row>
    <row r="818" spans="1:24" x14ac:dyDescent="0.3">
      <c r="A818" s="2651">
        <v>4</v>
      </c>
      <c r="B818" s="1114" t="s">
        <v>1346</v>
      </c>
      <c r="C818" s="216" t="s">
        <v>1344</v>
      </c>
      <c r="D818" s="113">
        <v>31</v>
      </c>
      <c r="E818" s="217" t="s">
        <v>535</v>
      </c>
      <c r="F818" s="218" t="s">
        <v>1348</v>
      </c>
      <c r="G818" s="116">
        <v>990</v>
      </c>
      <c r="H818" s="1776" t="s">
        <v>1349</v>
      </c>
      <c r="J818" s="224"/>
      <c r="K818" s="34" t="s">
        <v>25</v>
      </c>
      <c r="L818" s="475"/>
      <c r="M818" s="224"/>
      <c r="N818" s="224"/>
      <c r="O818" s="2628" t="s">
        <v>6395</v>
      </c>
      <c r="P818" s="1">
        <v>4</v>
      </c>
      <c r="T818" s="224"/>
      <c r="U818" s="34" t="s">
        <v>25</v>
      </c>
      <c r="V818" s="475"/>
      <c r="W818" s="224"/>
      <c r="X818" s="224"/>
    </row>
    <row r="819" spans="1:24" x14ac:dyDescent="0.3">
      <c r="A819" s="2651">
        <v>5</v>
      </c>
      <c r="B819" s="1114" t="s">
        <v>1346</v>
      </c>
      <c r="C819" s="216" t="s">
        <v>1344</v>
      </c>
      <c r="D819" s="113">
        <v>31</v>
      </c>
      <c r="E819" s="217" t="s">
        <v>538</v>
      </c>
      <c r="F819" s="218" t="s">
        <v>1348</v>
      </c>
      <c r="G819" s="116">
        <v>990</v>
      </c>
      <c r="H819" s="1776" t="s">
        <v>1349</v>
      </c>
      <c r="J819" s="224"/>
      <c r="K819" s="34" t="s">
        <v>25</v>
      </c>
      <c r="L819" s="475"/>
      <c r="M819" s="224"/>
      <c r="N819" s="224"/>
      <c r="O819" s="2628" t="s">
        <v>6395</v>
      </c>
      <c r="P819" s="1">
        <v>5</v>
      </c>
      <c r="T819" s="224"/>
      <c r="U819" s="34" t="s">
        <v>25</v>
      </c>
      <c r="V819" s="475"/>
      <c r="W819" s="224"/>
      <c r="X819" s="224"/>
    </row>
    <row r="820" spans="1:24" x14ac:dyDescent="0.3">
      <c r="A820" s="2652">
        <v>6</v>
      </c>
      <c r="B820" s="1114" t="s">
        <v>1346</v>
      </c>
      <c r="C820" s="216" t="s">
        <v>1344</v>
      </c>
      <c r="D820" s="113">
        <v>31</v>
      </c>
      <c r="E820" s="217" t="s">
        <v>934</v>
      </c>
      <c r="F820" s="218" t="s">
        <v>1348</v>
      </c>
      <c r="G820" s="116">
        <v>990</v>
      </c>
      <c r="H820" s="1776" t="s">
        <v>1349</v>
      </c>
      <c r="J820" s="224"/>
      <c r="K820" s="34" t="s">
        <v>25</v>
      </c>
      <c r="L820" s="475"/>
      <c r="M820" s="224"/>
      <c r="N820" s="224"/>
      <c r="O820" s="2628" t="s">
        <v>6395</v>
      </c>
      <c r="P820" s="1">
        <v>6</v>
      </c>
      <c r="T820" s="224"/>
      <c r="U820" s="34" t="s">
        <v>25</v>
      </c>
      <c r="V820" s="475"/>
      <c r="W820" s="224"/>
      <c r="X820" s="224"/>
    </row>
    <row r="821" spans="1:24" x14ac:dyDescent="0.3">
      <c r="A821" s="2651">
        <v>7</v>
      </c>
      <c r="B821" s="1114" t="s">
        <v>1346</v>
      </c>
      <c r="C821" s="216" t="s">
        <v>1344</v>
      </c>
      <c r="D821" s="113">
        <v>31</v>
      </c>
      <c r="E821" s="217" t="s">
        <v>1353</v>
      </c>
      <c r="F821" s="218" t="s">
        <v>1348</v>
      </c>
      <c r="G821" s="116">
        <v>990</v>
      </c>
      <c r="H821" s="1776" t="s">
        <v>1349</v>
      </c>
      <c r="J821" s="224"/>
      <c r="K821" s="34" t="s">
        <v>25</v>
      </c>
      <c r="L821" s="475"/>
      <c r="M821" s="224"/>
      <c r="N821" s="224"/>
      <c r="O821" s="2628" t="s">
        <v>6395</v>
      </c>
      <c r="P821" s="1">
        <v>7</v>
      </c>
      <c r="T821" s="224"/>
      <c r="U821" s="34" t="s">
        <v>25</v>
      </c>
      <c r="V821" s="475"/>
      <c r="W821" s="224"/>
      <c r="X821" s="224"/>
    </row>
    <row r="822" spans="1:24" x14ac:dyDescent="0.3">
      <c r="A822" s="2651">
        <v>8</v>
      </c>
      <c r="B822" s="1114" t="s">
        <v>1346</v>
      </c>
      <c r="C822" s="216" t="s">
        <v>1344</v>
      </c>
      <c r="D822" s="113">
        <v>31</v>
      </c>
      <c r="E822" s="217" t="s">
        <v>418</v>
      </c>
      <c r="F822" s="218" t="s">
        <v>1348</v>
      </c>
      <c r="G822" s="116">
        <v>990</v>
      </c>
      <c r="H822" s="1776" t="s">
        <v>1349</v>
      </c>
      <c r="J822" s="224"/>
      <c r="K822" s="34" t="s">
        <v>25</v>
      </c>
      <c r="L822" s="475"/>
      <c r="M822" s="224"/>
      <c r="N822" s="224"/>
      <c r="O822" s="2628" t="s">
        <v>6395</v>
      </c>
      <c r="P822" s="1">
        <v>8</v>
      </c>
      <c r="T822" s="224"/>
      <c r="U822" s="34" t="s">
        <v>25</v>
      </c>
      <c r="V822" s="475"/>
      <c r="W822" s="224"/>
      <c r="X822" s="224"/>
    </row>
    <row r="823" spans="1:24" x14ac:dyDescent="0.3">
      <c r="A823" s="2652">
        <v>9</v>
      </c>
      <c r="B823" s="1114" t="s">
        <v>1346</v>
      </c>
      <c r="C823" s="216" t="s">
        <v>1344</v>
      </c>
      <c r="D823" s="113">
        <v>31</v>
      </c>
      <c r="E823" s="217" t="s">
        <v>542</v>
      </c>
      <c r="F823" s="218" t="s">
        <v>1348</v>
      </c>
      <c r="G823" s="116">
        <v>990</v>
      </c>
      <c r="H823" s="1776" t="s">
        <v>1349</v>
      </c>
      <c r="J823" s="224"/>
      <c r="K823" s="34" t="s">
        <v>25</v>
      </c>
      <c r="L823" s="475"/>
      <c r="M823" s="224"/>
      <c r="N823" s="224"/>
      <c r="O823" s="2628" t="s">
        <v>6395</v>
      </c>
      <c r="P823" s="1">
        <v>9</v>
      </c>
      <c r="T823" s="224"/>
      <c r="U823" s="34" t="s">
        <v>25</v>
      </c>
      <c r="V823" s="475"/>
      <c r="W823" s="224"/>
      <c r="X823" s="224"/>
    </row>
    <row r="824" spans="1:24" x14ac:dyDescent="0.3">
      <c r="A824" s="2651">
        <v>10</v>
      </c>
      <c r="B824" s="1114" t="s">
        <v>1346</v>
      </c>
      <c r="C824" s="216" t="s">
        <v>1344</v>
      </c>
      <c r="D824" s="113">
        <v>31</v>
      </c>
      <c r="E824" s="419" t="s">
        <v>543</v>
      </c>
      <c r="F824" s="218" t="s">
        <v>1348</v>
      </c>
      <c r="G824" s="116">
        <v>990</v>
      </c>
      <c r="H824" s="1776" t="s">
        <v>1349</v>
      </c>
      <c r="J824" s="224"/>
      <c r="K824" s="34" t="s">
        <v>25</v>
      </c>
      <c r="L824" s="475"/>
      <c r="M824" s="224"/>
      <c r="N824" s="224"/>
      <c r="O824" s="2628" t="s">
        <v>6395</v>
      </c>
      <c r="P824" s="1">
        <v>10</v>
      </c>
      <c r="T824" s="224"/>
      <c r="U824" s="34" t="s">
        <v>25</v>
      </c>
      <c r="V824" s="475"/>
      <c r="W824" s="224"/>
      <c r="X824" s="224"/>
    </row>
    <row r="825" spans="1:24" x14ac:dyDescent="0.3">
      <c r="A825" s="2651">
        <v>11</v>
      </c>
      <c r="B825" s="1114" t="s">
        <v>1346</v>
      </c>
      <c r="C825" s="216" t="s">
        <v>1344</v>
      </c>
      <c r="D825" s="113">
        <v>31</v>
      </c>
      <c r="E825" s="349" t="s">
        <v>544</v>
      </c>
      <c r="F825" s="218" t="s">
        <v>1348</v>
      </c>
      <c r="G825" s="116">
        <v>990</v>
      </c>
      <c r="H825" s="1776" t="s">
        <v>1349</v>
      </c>
      <c r="J825" s="224"/>
      <c r="K825" s="34" t="s">
        <v>25</v>
      </c>
      <c r="L825" s="475"/>
      <c r="M825" s="224"/>
      <c r="N825" s="224"/>
      <c r="O825" s="2628" t="s">
        <v>6395</v>
      </c>
      <c r="P825" s="1">
        <v>11</v>
      </c>
      <c r="T825" s="224"/>
      <c r="U825" s="34" t="s">
        <v>25</v>
      </c>
      <c r="V825" s="475"/>
      <c r="W825" s="224"/>
      <c r="X825" s="224"/>
    </row>
    <row r="826" spans="1:24" x14ac:dyDescent="0.3">
      <c r="A826" s="2652">
        <v>12</v>
      </c>
      <c r="B826" s="1114" t="s">
        <v>1346</v>
      </c>
      <c r="C826" s="1117" t="s">
        <v>1344</v>
      </c>
      <c r="D826" s="113">
        <v>31</v>
      </c>
      <c r="E826" s="217" t="s">
        <v>545</v>
      </c>
      <c r="F826" s="218" t="s">
        <v>1348</v>
      </c>
      <c r="G826" s="116">
        <v>990</v>
      </c>
      <c r="H826" s="1776" t="s">
        <v>1349</v>
      </c>
      <c r="J826" s="224"/>
      <c r="K826" s="34" t="s">
        <v>25</v>
      </c>
      <c r="L826" s="475"/>
      <c r="M826" s="224"/>
      <c r="N826" s="224"/>
      <c r="O826" s="2628" t="s">
        <v>6395</v>
      </c>
      <c r="P826" s="1">
        <v>12</v>
      </c>
      <c r="T826" s="224"/>
      <c r="U826" s="34" t="s">
        <v>25</v>
      </c>
      <c r="V826" s="475"/>
      <c r="W826" s="224"/>
      <c r="X826" s="224"/>
    </row>
    <row r="827" spans="1:24" x14ac:dyDescent="0.3">
      <c r="A827" s="2651">
        <v>13</v>
      </c>
      <c r="B827" s="1114" t="s">
        <v>1346</v>
      </c>
      <c r="C827" s="216" t="s">
        <v>1344</v>
      </c>
      <c r="D827" s="113">
        <v>31</v>
      </c>
      <c r="E827" s="217" t="s">
        <v>546</v>
      </c>
      <c r="F827" s="218" t="s">
        <v>1348</v>
      </c>
      <c r="G827" s="116">
        <v>990</v>
      </c>
      <c r="H827" s="1776" t="s">
        <v>1349</v>
      </c>
      <c r="J827" s="224"/>
      <c r="K827" s="34" t="s">
        <v>25</v>
      </c>
      <c r="L827" s="475"/>
      <c r="M827" s="224"/>
      <c r="N827" s="224"/>
      <c r="O827" s="2628" t="s">
        <v>6395</v>
      </c>
      <c r="P827" s="1">
        <v>13</v>
      </c>
      <c r="T827" s="224"/>
      <c r="U827" s="34" t="s">
        <v>25</v>
      </c>
      <c r="V827" s="475"/>
      <c r="W827" s="224"/>
      <c r="X827" s="224"/>
    </row>
    <row r="828" spans="1:24" x14ac:dyDescent="0.3">
      <c r="A828" s="2651">
        <v>14</v>
      </c>
      <c r="B828" s="1114" t="s">
        <v>1346</v>
      </c>
      <c r="C828" s="216" t="s">
        <v>1344</v>
      </c>
      <c r="D828" s="113">
        <v>31</v>
      </c>
      <c r="E828" s="217" t="s">
        <v>547</v>
      </c>
      <c r="F828" s="218" t="s">
        <v>1348</v>
      </c>
      <c r="G828" s="116">
        <v>990</v>
      </c>
      <c r="H828" s="1776" t="s">
        <v>1349</v>
      </c>
      <c r="J828" s="224"/>
      <c r="K828" s="34" t="s">
        <v>25</v>
      </c>
      <c r="L828" s="475"/>
      <c r="M828" s="224"/>
      <c r="N828" s="224"/>
      <c r="O828" s="2628" t="s">
        <v>6395</v>
      </c>
      <c r="P828" s="1">
        <v>14</v>
      </c>
      <c r="T828" s="224"/>
      <c r="U828" s="34" t="s">
        <v>25</v>
      </c>
      <c r="V828" s="475"/>
      <c r="W828" s="224"/>
      <c r="X828" s="224"/>
    </row>
    <row r="829" spans="1:24" x14ac:dyDescent="0.3">
      <c r="A829" s="2652">
        <v>15</v>
      </c>
      <c r="B829" s="1114" t="s">
        <v>1346</v>
      </c>
      <c r="C829" s="216" t="s">
        <v>1344</v>
      </c>
      <c r="D829" s="113">
        <v>31</v>
      </c>
      <c r="E829" s="217" t="s">
        <v>319</v>
      </c>
      <c r="F829" s="218" t="s">
        <v>1348</v>
      </c>
      <c r="G829" s="116">
        <v>990</v>
      </c>
      <c r="H829" s="1776" t="s">
        <v>1349</v>
      </c>
      <c r="J829" s="224"/>
      <c r="K829" s="34" t="s">
        <v>25</v>
      </c>
      <c r="L829" s="475"/>
      <c r="M829" s="224"/>
      <c r="N829" s="224"/>
      <c r="O829" s="2628" t="s">
        <v>6395</v>
      </c>
      <c r="P829" s="1">
        <v>15</v>
      </c>
      <c r="T829" s="224"/>
      <c r="U829" s="34" t="s">
        <v>25</v>
      </c>
      <c r="V829" s="475"/>
      <c r="W829" s="224"/>
      <c r="X829" s="224"/>
    </row>
    <row r="830" spans="1:24" x14ac:dyDescent="0.3">
      <c r="A830" s="2651">
        <v>16</v>
      </c>
      <c r="B830" s="1114" t="s">
        <v>1346</v>
      </c>
      <c r="C830" s="216" t="s">
        <v>1344</v>
      </c>
      <c r="D830" s="113">
        <v>31</v>
      </c>
      <c r="E830" s="217" t="s">
        <v>320</v>
      </c>
      <c r="F830" s="218" t="s">
        <v>1348</v>
      </c>
      <c r="G830" s="116">
        <v>990</v>
      </c>
      <c r="H830" s="1776" t="s">
        <v>1349</v>
      </c>
      <c r="J830" s="224"/>
      <c r="K830" s="34" t="s">
        <v>25</v>
      </c>
      <c r="L830" s="475"/>
      <c r="M830" s="224"/>
      <c r="N830" s="224"/>
      <c r="O830" s="2628" t="s">
        <v>6395</v>
      </c>
      <c r="P830" s="1">
        <v>16</v>
      </c>
      <c r="T830" s="224"/>
      <c r="U830" s="34" t="s">
        <v>25</v>
      </c>
      <c r="V830" s="475"/>
      <c r="W830" s="224"/>
      <c r="X830" s="224"/>
    </row>
    <row r="831" spans="1:24" x14ac:dyDescent="0.3">
      <c r="A831" s="2651">
        <v>17</v>
      </c>
      <c r="B831" s="1114" t="s">
        <v>1346</v>
      </c>
      <c r="C831" s="1117" t="s">
        <v>1344</v>
      </c>
      <c r="D831" s="113">
        <v>31</v>
      </c>
      <c r="E831" s="217" t="s">
        <v>322</v>
      </c>
      <c r="F831" s="218" t="s">
        <v>1348</v>
      </c>
      <c r="G831" s="116">
        <v>990</v>
      </c>
      <c r="H831" s="1776" t="s">
        <v>1349</v>
      </c>
      <c r="J831" s="224"/>
      <c r="K831" s="34" t="s">
        <v>25</v>
      </c>
      <c r="L831" s="475"/>
      <c r="M831" s="224"/>
      <c r="N831" s="224"/>
      <c r="O831" s="2628" t="s">
        <v>6395</v>
      </c>
      <c r="P831" s="1">
        <v>17</v>
      </c>
      <c r="T831" s="224"/>
      <c r="U831" s="34" t="s">
        <v>25</v>
      </c>
      <c r="V831" s="475"/>
      <c r="W831" s="224"/>
      <c r="X831" s="224"/>
    </row>
    <row r="832" spans="1:24" x14ac:dyDescent="0.3">
      <c r="A832" s="2652">
        <v>18</v>
      </c>
      <c r="B832" s="1114" t="s">
        <v>1346</v>
      </c>
      <c r="C832" s="216" t="s">
        <v>1344</v>
      </c>
      <c r="D832" s="113">
        <v>31</v>
      </c>
      <c r="E832" s="217" t="s">
        <v>324</v>
      </c>
      <c r="F832" s="218" t="s">
        <v>1348</v>
      </c>
      <c r="G832" s="116">
        <v>990</v>
      </c>
      <c r="H832" s="1776" t="s">
        <v>1349</v>
      </c>
      <c r="J832" s="224"/>
      <c r="K832" s="34" t="s">
        <v>25</v>
      </c>
      <c r="L832" s="475"/>
      <c r="M832" s="224"/>
      <c r="N832" s="224"/>
      <c r="O832" s="2628" t="s">
        <v>6395</v>
      </c>
      <c r="P832" s="1">
        <v>18</v>
      </c>
      <c r="T832" s="224"/>
      <c r="U832" s="34" t="s">
        <v>25</v>
      </c>
      <c r="V832" s="475"/>
      <c r="W832" s="224"/>
      <c r="X832" s="224"/>
    </row>
    <row r="833" spans="1:24" x14ac:dyDescent="0.3">
      <c r="A833" s="2651">
        <v>19</v>
      </c>
      <c r="B833" s="1114" t="s">
        <v>1346</v>
      </c>
      <c r="C833" s="216" t="s">
        <v>1344</v>
      </c>
      <c r="D833" s="113">
        <v>31</v>
      </c>
      <c r="E833" s="217" t="s">
        <v>408</v>
      </c>
      <c r="F833" s="218" t="s">
        <v>1348</v>
      </c>
      <c r="G833" s="116">
        <v>990</v>
      </c>
      <c r="H833" s="1776" t="s">
        <v>1349</v>
      </c>
      <c r="J833" s="224"/>
      <c r="K833" s="34" t="s">
        <v>25</v>
      </c>
      <c r="L833" s="475"/>
      <c r="M833" s="224"/>
      <c r="N833" s="224"/>
      <c r="O833" s="2628" t="s">
        <v>6395</v>
      </c>
      <c r="P833" s="1">
        <v>19</v>
      </c>
      <c r="T833" s="224"/>
      <c r="U833" s="34" t="s">
        <v>25</v>
      </c>
      <c r="V833" s="475"/>
      <c r="W833" s="224"/>
      <c r="X833" s="224"/>
    </row>
    <row r="834" spans="1:24" x14ac:dyDescent="0.3">
      <c r="A834" s="2651">
        <v>20</v>
      </c>
      <c r="B834" s="1114" t="s">
        <v>1346</v>
      </c>
      <c r="C834" s="216" t="s">
        <v>1344</v>
      </c>
      <c r="D834" s="113">
        <v>31</v>
      </c>
      <c r="E834" s="217" t="s">
        <v>409</v>
      </c>
      <c r="F834" s="218" t="s">
        <v>1348</v>
      </c>
      <c r="G834" s="116">
        <v>990</v>
      </c>
      <c r="H834" s="1776" t="s">
        <v>1349</v>
      </c>
      <c r="J834" s="224"/>
      <c r="K834" s="34" t="s">
        <v>25</v>
      </c>
      <c r="L834" s="475"/>
      <c r="M834" s="224"/>
      <c r="N834" s="224"/>
      <c r="O834" s="2628" t="s">
        <v>6395</v>
      </c>
      <c r="P834" s="1">
        <v>20</v>
      </c>
      <c r="T834" s="224"/>
      <c r="U834" s="34" t="s">
        <v>25</v>
      </c>
      <c r="V834" s="475"/>
      <c r="W834" s="224"/>
      <c r="X834" s="224"/>
    </row>
    <row r="835" spans="1:24" x14ac:dyDescent="0.3">
      <c r="A835" s="2652">
        <v>21</v>
      </c>
      <c r="B835" s="1114" t="s">
        <v>1346</v>
      </c>
      <c r="C835" s="216" t="s">
        <v>1344</v>
      </c>
      <c r="D835" s="113">
        <v>31</v>
      </c>
      <c r="E835" s="217" t="s">
        <v>410</v>
      </c>
      <c r="F835" s="218" t="s">
        <v>1348</v>
      </c>
      <c r="G835" s="116">
        <v>990</v>
      </c>
      <c r="H835" s="1776" t="s">
        <v>1349</v>
      </c>
      <c r="J835" s="224"/>
      <c r="K835" s="34" t="s">
        <v>25</v>
      </c>
      <c r="L835" s="475"/>
      <c r="M835" s="224"/>
      <c r="N835" s="224"/>
      <c r="O835" s="2628" t="s">
        <v>6395</v>
      </c>
      <c r="P835" s="1">
        <v>21</v>
      </c>
      <c r="T835" s="224"/>
      <c r="U835" s="34" t="s">
        <v>25</v>
      </c>
      <c r="V835" s="475"/>
      <c r="W835" s="224"/>
      <c r="X835" s="224"/>
    </row>
    <row r="836" spans="1:24" x14ac:dyDescent="0.3">
      <c r="A836" s="2651">
        <v>22</v>
      </c>
      <c r="B836" s="1114" t="s">
        <v>1346</v>
      </c>
      <c r="C836" s="216" t="s">
        <v>1344</v>
      </c>
      <c r="D836" s="113">
        <v>31</v>
      </c>
      <c r="E836" s="217" t="s">
        <v>411</v>
      </c>
      <c r="F836" s="218" t="s">
        <v>1348</v>
      </c>
      <c r="G836" s="116">
        <v>990</v>
      </c>
      <c r="H836" s="1776" t="s">
        <v>1349</v>
      </c>
      <c r="J836" s="224"/>
      <c r="K836" s="34" t="s">
        <v>25</v>
      </c>
      <c r="L836" s="475"/>
      <c r="M836" s="224"/>
      <c r="N836" s="224"/>
      <c r="O836" s="2628" t="s">
        <v>6395</v>
      </c>
      <c r="P836" s="1">
        <v>22</v>
      </c>
      <c r="T836" s="224"/>
      <c r="U836" s="34" t="s">
        <v>25</v>
      </c>
      <c r="V836" s="475"/>
      <c r="W836" s="224"/>
      <c r="X836" s="224"/>
    </row>
    <row r="837" spans="1:24" x14ac:dyDescent="0.3">
      <c r="A837" s="2651">
        <v>23</v>
      </c>
      <c r="B837" s="1114" t="s">
        <v>1346</v>
      </c>
      <c r="C837" s="216" t="s">
        <v>1344</v>
      </c>
      <c r="D837" s="113">
        <v>31</v>
      </c>
      <c r="E837" s="217" t="s">
        <v>596</v>
      </c>
      <c r="F837" s="218" t="s">
        <v>1348</v>
      </c>
      <c r="G837" s="116">
        <v>990</v>
      </c>
      <c r="H837" s="1776" t="s">
        <v>1349</v>
      </c>
      <c r="J837" s="224"/>
      <c r="K837" s="34" t="s">
        <v>25</v>
      </c>
      <c r="L837" s="475"/>
      <c r="M837" s="224"/>
      <c r="N837" s="224"/>
      <c r="O837" s="2628" t="s">
        <v>6395</v>
      </c>
      <c r="P837" s="1">
        <v>23</v>
      </c>
      <c r="T837" s="224"/>
      <c r="U837" s="34" t="s">
        <v>25</v>
      </c>
      <c r="V837" s="475"/>
      <c r="W837" s="224"/>
      <c r="X837" s="224"/>
    </row>
    <row r="838" spans="1:24" x14ac:dyDescent="0.3">
      <c r="A838" s="2652">
        <v>24</v>
      </c>
      <c r="B838" s="1114" t="s">
        <v>1346</v>
      </c>
      <c r="C838" s="1117" t="s">
        <v>1344</v>
      </c>
      <c r="D838" s="113">
        <v>31</v>
      </c>
      <c r="E838" s="217" t="s">
        <v>1354</v>
      </c>
      <c r="F838" s="218" t="s">
        <v>1348</v>
      </c>
      <c r="G838" s="116">
        <v>990</v>
      </c>
      <c r="H838" s="1776" t="s">
        <v>1349</v>
      </c>
      <c r="J838" s="224"/>
      <c r="K838" s="34" t="s">
        <v>25</v>
      </c>
      <c r="L838" s="475"/>
      <c r="M838" s="224"/>
      <c r="N838" s="224"/>
      <c r="O838" s="2628" t="s">
        <v>6395</v>
      </c>
      <c r="P838" s="1">
        <v>24</v>
      </c>
      <c r="T838" s="224"/>
      <c r="U838" s="34" t="s">
        <v>25</v>
      </c>
      <c r="V838" s="475"/>
      <c r="W838" s="224"/>
      <c r="X838" s="224"/>
    </row>
    <row r="839" spans="1:24" x14ac:dyDescent="0.3">
      <c r="A839" s="2651">
        <v>25</v>
      </c>
      <c r="B839" s="1114" t="s">
        <v>1346</v>
      </c>
      <c r="C839" s="1119" t="s">
        <v>1344</v>
      </c>
      <c r="D839" s="113">
        <v>31</v>
      </c>
      <c r="E839" s="217" t="s">
        <v>1355</v>
      </c>
      <c r="F839" s="218" t="s">
        <v>1348</v>
      </c>
      <c r="G839" s="116">
        <v>990</v>
      </c>
      <c r="H839" s="1776" t="s">
        <v>1349</v>
      </c>
      <c r="J839" s="224"/>
      <c r="K839" s="34" t="s">
        <v>25</v>
      </c>
      <c r="L839" s="475"/>
      <c r="M839" s="224"/>
      <c r="N839" s="224"/>
      <c r="O839" s="2628" t="s">
        <v>6395</v>
      </c>
      <c r="P839" s="1">
        <v>25</v>
      </c>
      <c r="T839" s="224"/>
      <c r="U839" s="34" t="s">
        <v>25</v>
      </c>
      <c r="V839" s="475"/>
      <c r="W839" s="224"/>
      <c r="X839" s="224"/>
    </row>
    <row r="840" spans="1:24" x14ac:dyDescent="0.3">
      <c r="A840" s="2651">
        <v>26</v>
      </c>
      <c r="B840" s="1114" t="s">
        <v>1346</v>
      </c>
      <c r="C840" s="1120" t="s">
        <v>1344</v>
      </c>
      <c r="D840" s="113">
        <v>31</v>
      </c>
      <c r="E840" s="217" t="s">
        <v>1356</v>
      </c>
      <c r="F840" s="218" t="s">
        <v>1348</v>
      </c>
      <c r="G840" s="116">
        <v>990</v>
      </c>
      <c r="H840" s="1776" t="s">
        <v>1349</v>
      </c>
      <c r="J840" s="224"/>
      <c r="K840" s="34" t="s">
        <v>25</v>
      </c>
      <c r="L840" s="475"/>
      <c r="M840" s="224"/>
      <c r="N840" s="224"/>
      <c r="O840" s="2628" t="s">
        <v>6395</v>
      </c>
      <c r="P840" s="1">
        <v>26</v>
      </c>
      <c r="T840" s="224"/>
      <c r="U840" s="34" t="s">
        <v>25</v>
      </c>
      <c r="V840" s="475"/>
      <c r="W840" s="224"/>
      <c r="X840" s="224"/>
    </row>
    <row r="841" spans="1:24" x14ac:dyDescent="0.3">
      <c r="A841" s="2652">
        <v>27</v>
      </c>
      <c r="B841" s="1114" t="s">
        <v>1346</v>
      </c>
      <c r="C841" s="216" t="s">
        <v>1344</v>
      </c>
      <c r="D841" s="113">
        <v>31</v>
      </c>
      <c r="E841" s="217" t="s">
        <v>551</v>
      </c>
      <c r="F841" s="218" t="s">
        <v>1348</v>
      </c>
      <c r="G841" s="116">
        <v>990</v>
      </c>
      <c r="H841" s="1776" t="s">
        <v>1349</v>
      </c>
      <c r="J841" s="224"/>
      <c r="K841" s="34" t="s">
        <v>25</v>
      </c>
      <c r="L841" s="475"/>
      <c r="M841" s="224"/>
      <c r="N841" s="224"/>
      <c r="O841" s="2628" t="s">
        <v>6395</v>
      </c>
      <c r="P841" s="1">
        <v>27</v>
      </c>
      <c r="T841" s="224"/>
      <c r="U841" s="34" t="s">
        <v>25</v>
      </c>
      <c r="V841" s="475"/>
      <c r="W841" s="224"/>
      <c r="X841" s="224"/>
    </row>
    <row r="842" spans="1:24" x14ac:dyDescent="0.3">
      <c r="A842" s="2651">
        <v>28</v>
      </c>
      <c r="B842" s="1114" t="s">
        <v>1346</v>
      </c>
      <c r="C842" s="216" t="s">
        <v>1344</v>
      </c>
      <c r="D842" s="113">
        <v>31</v>
      </c>
      <c r="E842" s="217" t="s">
        <v>555</v>
      </c>
      <c r="F842" s="218" t="s">
        <v>1348</v>
      </c>
      <c r="G842" s="116">
        <v>990</v>
      </c>
      <c r="H842" s="1776" t="s">
        <v>1349</v>
      </c>
      <c r="J842" s="224"/>
      <c r="K842" s="34" t="s">
        <v>25</v>
      </c>
      <c r="L842" s="475"/>
      <c r="M842" s="224"/>
      <c r="N842" s="224"/>
      <c r="O842" s="2628" t="s">
        <v>6395</v>
      </c>
      <c r="P842" s="1">
        <v>28</v>
      </c>
      <c r="T842" s="224"/>
      <c r="U842" s="34" t="s">
        <v>25</v>
      </c>
      <c r="V842" s="475"/>
      <c r="W842" s="224"/>
      <c r="X842" s="224"/>
    </row>
    <row r="843" spans="1:24" x14ac:dyDescent="0.3">
      <c r="A843" s="2651">
        <v>29</v>
      </c>
      <c r="B843" s="1114" t="s">
        <v>1346</v>
      </c>
      <c r="C843" s="1117" t="s">
        <v>1344</v>
      </c>
      <c r="D843" s="113">
        <v>31</v>
      </c>
      <c r="E843" s="217" t="s">
        <v>557</v>
      </c>
      <c r="F843" s="218" t="s">
        <v>1348</v>
      </c>
      <c r="G843" s="116">
        <v>990</v>
      </c>
      <c r="H843" s="1776" t="s">
        <v>1349</v>
      </c>
      <c r="J843" s="224"/>
      <c r="K843" s="34" t="s">
        <v>25</v>
      </c>
      <c r="L843" s="475"/>
      <c r="M843" s="224"/>
      <c r="N843" s="224"/>
      <c r="O843" s="2628" t="s">
        <v>6395</v>
      </c>
      <c r="P843" s="1">
        <v>29</v>
      </c>
      <c r="T843" s="224"/>
      <c r="U843" s="34" t="s">
        <v>25</v>
      </c>
      <c r="V843" s="475"/>
      <c r="W843" s="224"/>
      <c r="X843" s="224"/>
    </row>
    <row r="844" spans="1:24" x14ac:dyDescent="0.3">
      <c r="A844" s="2652">
        <v>30</v>
      </c>
      <c r="B844" s="1114" t="s">
        <v>1346</v>
      </c>
      <c r="C844" s="216" t="s">
        <v>1344</v>
      </c>
      <c r="D844" s="113">
        <v>31</v>
      </c>
      <c r="E844" s="419" t="s">
        <v>1357</v>
      </c>
      <c r="F844" s="218" t="s">
        <v>1348</v>
      </c>
      <c r="G844" s="116">
        <v>990</v>
      </c>
      <c r="H844" s="1776" t="s">
        <v>1349</v>
      </c>
      <c r="J844" s="224"/>
      <c r="K844" s="34" t="s">
        <v>25</v>
      </c>
      <c r="L844" s="475"/>
      <c r="M844" s="224"/>
      <c r="N844" s="224"/>
      <c r="O844" s="2628" t="s">
        <v>6395</v>
      </c>
      <c r="P844" s="1">
        <v>30</v>
      </c>
      <c r="T844" s="224"/>
      <c r="U844" s="34" t="s">
        <v>25</v>
      </c>
      <c r="V844" s="475"/>
      <c r="W844" s="224"/>
      <c r="X844" s="224"/>
    </row>
    <row r="845" spans="1:24" x14ac:dyDescent="0.3">
      <c r="A845" s="2651">
        <v>31</v>
      </c>
      <c r="B845" s="1114" t="s">
        <v>1346</v>
      </c>
      <c r="C845" s="216" t="s">
        <v>1344</v>
      </c>
      <c r="D845" s="113">
        <v>31</v>
      </c>
      <c r="E845" s="349" t="s">
        <v>1358</v>
      </c>
      <c r="F845" s="218" t="s">
        <v>1348</v>
      </c>
      <c r="G845" s="116">
        <v>990</v>
      </c>
      <c r="H845" s="1776" t="s">
        <v>1349</v>
      </c>
      <c r="J845" s="224"/>
      <c r="K845" s="34" t="s">
        <v>25</v>
      </c>
      <c r="L845" s="475"/>
      <c r="M845" s="224"/>
      <c r="N845" s="224"/>
      <c r="O845" s="2628" t="s">
        <v>6395</v>
      </c>
      <c r="P845" s="1">
        <v>31</v>
      </c>
      <c r="T845" s="224"/>
      <c r="U845" s="34" t="s">
        <v>25</v>
      </c>
      <c r="V845" s="475"/>
      <c r="W845" s="224"/>
      <c r="X845" s="224"/>
    </row>
    <row r="846" spans="1:24" x14ac:dyDescent="0.3">
      <c r="A846" s="2651">
        <v>32</v>
      </c>
      <c r="B846" s="1114" t="s">
        <v>1346</v>
      </c>
      <c r="C846" s="1117" t="s">
        <v>1344</v>
      </c>
      <c r="D846" s="113">
        <v>31</v>
      </c>
      <c r="E846" s="217" t="s">
        <v>1359</v>
      </c>
      <c r="F846" s="218" t="s">
        <v>1348</v>
      </c>
      <c r="G846" s="116">
        <v>990</v>
      </c>
      <c r="H846" s="1776" t="s">
        <v>1349</v>
      </c>
      <c r="J846" s="224"/>
      <c r="K846" s="34" t="s">
        <v>25</v>
      </c>
      <c r="L846" s="475"/>
      <c r="M846" s="224"/>
      <c r="N846" s="224"/>
      <c r="O846" s="2628" t="s">
        <v>6395</v>
      </c>
      <c r="P846" s="1">
        <v>32</v>
      </c>
      <c r="T846" s="224"/>
      <c r="U846" s="34" t="s">
        <v>25</v>
      </c>
      <c r="V846" s="475"/>
      <c r="W846" s="224"/>
      <c r="X846" s="224"/>
    </row>
    <row r="847" spans="1:24" x14ac:dyDescent="0.3">
      <c r="A847" s="2652">
        <v>33</v>
      </c>
      <c r="B847" s="1114" t="s">
        <v>1346</v>
      </c>
      <c r="C847" s="216" t="s">
        <v>1344</v>
      </c>
      <c r="D847" s="113">
        <v>31</v>
      </c>
      <c r="E847" s="217" t="s">
        <v>1360</v>
      </c>
      <c r="F847" s="218" t="s">
        <v>1348</v>
      </c>
      <c r="G847" s="116">
        <v>990</v>
      </c>
      <c r="H847" s="1776" t="s">
        <v>1349</v>
      </c>
      <c r="J847" s="224"/>
      <c r="K847" s="34" t="s">
        <v>25</v>
      </c>
      <c r="L847" s="475"/>
      <c r="M847" s="224"/>
      <c r="N847" s="224"/>
      <c r="O847" s="2628" t="s">
        <v>6395</v>
      </c>
      <c r="P847" s="1">
        <v>33</v>
      </c>
      <c r="T847" s="224"/>
      <c r="U847" s="34" t="s">
        <v>25</v>
      </c>
      <c r="V847" s="475"/>
      <c r="W847" s="224"/>
      <c r="X847" s="224"/>
    </row>
    <row r="848" spans="1:24" x14ac:dyDescent="0.3">
      <c r="A848" s="2651">
        <v>34</v>
      </c>
      <c r="B848" s="1114" t="s">
        <v>1346</v>
      </c>
      <c r="C848" s="216" t="s">
        <v>1344</v>
      </c>
      <c r="D848" s="113">
        <v>31</v>
      </c>
      <c r="E848" s="217" t="s">
        <v>584</v>
      </c>
      <c r="F848" s="218" t="s">
        <v>1348</v>
      </c>
      <c r="G848" s="116">
        <v>990</v>
      </c>
      <c r="H848" s="1776" t="s">
        <v>1349</v>
      </c>
      <c r="J848" s="224"/>
      <c r="K848" s="34" t="s">
        <v>25</v>
      </c>
      <c r="L848" s="475"/>
      <c r="M848" s="224"/>
      <c r="N848" s="224"/>
      <c r="O848" s="2628" t="s">
        <v>6395</v>
      </c>
      <c r="P848" s="1">
        <v>34</v>
      </c>
      <c r="T848" s="224"/>
      <c r="U848" s="34" t="s">
        <v>25</v>
      </c>
      <c r="V848" s="475"/>
      <c r="W848" s="224"/>
      <c r="X848" s="224"/>
    </row>
    <row r="849" spans="1:24" x14ac:dyDescent="0.3">
      <c r="A849" s="2651">
        <v>35</v>
      </c>
      <c r="B849" s="1114" t="s">
        <v>1346</v>
      </c>
      <c r="C849" s="216" t="s">
        <v>1344</v>
      </c>
      <c r="D849" s="113">
        <v>31</v>
      </c>
      <c r="E849" s="217" t="s">
        <v>586</v>
      </c>
      <c r="F849" s="218" t="s">
        <v>1348</v>
      </c>
      <c r="G849" s="116">
        <v>990</v>
      </c>
      <c r="H849" s="1776" t="s">
        <v>1349</v>
      </c>
      <c r="J849" s="224"/>
      <c r="K849" s="34" t="s">
        <v>25</v>
      </c>
      <c r="L849" s="475"/>
      <c r="M849" s="224"/>
      <c r="N849" s="224"/>
      <c r="O849" s="2628" t="s">
        <v>6395</v>
      </c>
      <c r="P849" s="1">
        <v>35</v>
      </c>
      <c r="T849" s="224"/>
      <c r="U849" s="34" t="s">
        <v>25</v>
      </c>
      <c r="V849" s="475"/>
      <c r="W849" s="224"/>
      <c r="X849" s="224"/>
    </row>
    <row r="850" spans="1:24" x14ac:dyDescent="0.3">
      <c r="A850" s="2652">
        <v>36</v>
      </c>
      <c r="B850" s="1114" t="s">
        <v>1346</v>
      </c>
      <c r="C850" s="1117" t="s">
        <v>1344</v>
      </c>
      <c r="D850" s="113">
        <v>31</v>
      </c>
      <c r="E850" s="217" t="s">
        <v>587</v>
      </c>
      <c r="F850" s="218" t="s">
        <v>1348</v>
      </c>
      <c r="G850" s="116">
        <v>990</v>
      </c>
      <c r="H850" s="1776" t="s">
        <v>1349</v>
      </c>
      <c r="J850" s="224"/>
      <c r="K850" s="34" t="s">
        <v>25</v>
      </c>
      <c r="L850" s="475"/>
      <c r="M850" s="224"/>
      <c r="N850" s="224"/>
      <c r="O850" s="2628" t="s">
        <v>6395</v>
      </c>
      <c r="P850" s="1">
        <v>36</v>
      </c>
      <c r="T850" s="224"/>
      <c r="U850" s="34" t="s">
        <v>25</v>
      </c>
      <c r="V850" s="475"/>
      <c r="W850" s="224"/>
      <c r="X850" s="224"/>
    </row>
    <row r="851" spans="1:24" x14ac:dyDescent="0.3">
      <c r="A851" s="2651">
        <v>37</v>
      </c>
      <c r="B851" s="1114" t="s">
        <v>1346</v>
      </c>
      <c r="C851" s="216" t="s">
        <v>1344</v>
      </c>
      <c r="D851" s="113">
        <v>31</v>
      </c>
      <c r="E851" s="217" t="s">
        <v>420</v>
      </c>
      <c r="F851" s="218" t="s">
        <v>1348</v>
      </c>
      <c r="G851" s="116">
        <v>990</v>
      </c>
      <c r="H851" s="1776" t="s">
        <v>1349</v>
      </c>
      <c r="J851" s="224"/>
      <c r="K851" s="34" t="s">
        <v>25</v>
      </c>
      <c r="L851" s="475"/>
      <c r="M851" s="224"/>
      <c r="N851" s="224"/>
      <c r="O851" s="2628" t="s">
        <v>6395</v>
      </c>
      <c r="P851" s="1">
        <v>37</v>
      </c>
      <c r="T851" s="224"/>
      <c r="U851" s="34" t="s">
        <v>25</v>
      </c>
      <c r="V851" s="475"/>
      <c r="W851" s="224"/>
      <c r="X851" s="224"/>
    </row>
    <row r="852" spans="1:24" x14ac:dyDescent="0.3">
      <c r="A852" s="2651">
        <v>38</v>
      </c>
      <c r="B852" s="1114" t="s">
        <v>1346</v>
      </c>
      <c r="C852" s="216" t="s">
        <v>1344</v>
      </c>
      <c r="D852" s="113">
        <v>31</v>
      </c>
      <c r="E852" s="217" t="s">
        <v>588</v>
      </c>
      <c r="F852" s="218" t="s">
        <v>1348</v>
      </c>
      <c r="G852" s="116">
        <v>990</v>
      </c>
      <c r="H852" s="1776" t="s">
        <v>1349</v>
      </c>
      <c r="J852" s="224"/>
      <c r="K852" s="34" t="s">
        <v>25</v>
      </c>
      <c r="L852" s="475"/>
      <c r="M852" s="224"/>
      <c r="N852" s="224"/>
      <c r="O852" s="2628" t="s">
        <v>6395</v>
      </c>
      <c r="P852" s="1">
        <v>38</v>
      </c>
      <c r="T852" s="224"/>
      <c r="U852" s="34" t="s">
        <v>25</v>
      </c>
      <c r="V852" s="475"/>
      <c r="W852" s="224"/>
      <c r="X852" s="224"/>
    </row>
    <row r="853" spans="1:24" x14ac:dyDescent="0.3">
      <c r="A853" s="2652">
        <v>39</v>
      </c>
      <c r="B853" s="1114" t="s">
        <v>1346</v>
      </c>
      <c r="C853" s="1117" t="s">
        <v>1344</v>
      </c>
      <c r="D853" s="113">
        <v>31</v>
      </c>
      <c r="E853" s="217" t="s">
        <v>561</v>
      </c>
      <c r="F853" s="218" t="s">
        <v>1348</v>
      </c>
      <c r="G853" s="116">
        <v>990</v>
      </c>
      <c r="H853" s="1776" t="s">
        <v>1349</v>
      </c>
      <c r="J853" s="224"/>
      <c r="K853" s="34" t="s">
        <v>25</v>
      </c>
      <c r="L853" s="475"/>
      <c r="M853" s="224"/>
      <c r="N853" s="224"/>
      <c r="O853" s="2628" t="s">
        <v>6395</v>
      </c>
      <c r="P853" s="1">
        <v>39</v>
      </c>
      <c r="T853" s="224"/>
      <c r="U853" s="34" t="s">
        <v>25</v>
      </c>
      <c r="V853" s="475"/>
      <c r="W853" s="224"/>
      <c r="X853" s="224"/>
    </row>
    <row r="854" spans="1:24" x14ac:dyDescent="0.3">
      <c r="A854" s="2651">
        <v>40</v>
      </c>
      <c r="B854" s="1114" t="s">
        <v>1346</v>
      </c>
      <c r="C854" s="1117" t="s">
        <v>1344</v>
      </c>
      <c r="D854" s="113">
        <v>31</v>
      </c>
      <c r="E854" s="217" t="s">
        <v>590</v>
      </c>
      <c r="F854" s="218" t="s">
        <v>1348</v>
      </c>
      <c r="G854" s="116">
        <v>990</v>
      </c>
      <c r="H854" s="1776" t="s">
        <v>1349</v>
      </c>
      <c r="J854" s="224"/>
      <c r="K854" s="34" t="s">
        <v>25</v>
      </c>
      <c r="L854" s="475"/>
      <c r="M854" s="224"/>
      <c r="N854" s="224"/>
      <c r="O854" s="2628" t="s">
        <v>6395</v>
      </c>
      <c r="P854" s="1">
        <v>40</v>
      </c>
      <c r="T854" s="224"/>
      <c r="U854" s="34" t="s">
        <v>25</v>
      </c>
      <c r="V854" s="475"/>
      <c r="W854" s="224"/>
      <c r="X854" s="224"/>
    </row>
    <row r="855" spans="1:24" x14ac:dyDescent="0.3">
      <c r="A855" s="2651">
        <v>41</v>
      </c>
      <c r="B855" s="1114" t="s">
        <v>1346</v>
      </c>
      <c r="C855" s="1117" t="s">
        <v>1344</v>
      </c>
      <c r="D855" s="113">
        <v>31</v>
      </c>
      <c r="E855" s="217" t="s">
        <v>591</v>
      </c>
      <c r="F855" s="218" t="s">
        <v>1348</v>
      </c>
      <c r="G855" s="116">
        <v>990</v>
      </c>
      <c r="H855" s="1776" t="s">
        <v>1349</v>
      </c>
      <c r="J855" s="224"/>
      <c r="K855" s="34" t="s">
        <v>25</v>
      </c>
      <c r="L855" s="475"/>
      <c r="M855" s="224"/>
      <c r="N855" s="224"/>
      <c r="O855" s="2628" t="s">
        <v>6395</v>
      </c>
      <c r="P855" s="1">
        <v>41</v>
      </c>
      <c r="T855" s="224"/>
      <c r="U855" s="34" t="s">
        <v>25</v>
      </c>
      <c r="V855" s="475"/>
      <c r="W855" s="224"/>
      <c r="X855" s="224"/>
    </row>
    <row r="856" spans="1:24" x14ac:dyDescent="0.3">
      <c r="A856" s="2652">
        <v>42</v>
      </c>
      <c r="B856" s="1114" t="s">
        <v>1346</v>
      </c>
      <c r="C856" s="216" t="s">
        <v>1344</v>
      </c>
      <c r="D856" s="113">
        <v>31</v>
      </c>
      <c r="E856" s="217" t="s">
        <v>564</v>
      </c>
      <c r="F856" s="218" t="s">
        <v>1348</v>
      </c>
      <c r="G856" s="116">
        <v>990</v>
      </c>
      <c r="H856" s="1776" t="s">
        <v>1349</v>
      </c>
      <c r="J856" s="224"/>
      <c r="K856" s="34" t="s">
        <v>25</v>
      </c>
      <c r="L856" s="475"/>
      <c r="M856" s="224"/>
      <c r="N856" s="224"/>
      <c r="O856" s="2628" t="s">
        <v>6395</v>
      </c>
      <c r="P856" s="1">
        <v>42</v>
      </c>
      <c r="T856" s="224"/>
      <c r="U856" s="34" t="s">
        <v>25</v>
      </c>
      <c r="V856" s="475"/>
      <c r="W856" s="224"/>
      <c r="X856" s="224"/>
    </row>
    <row r="857" spans="1:24" x14ac:dyDescent="0.3">
      <c r="A857" s="2651">
        <v>43</v>
      </c>
      <c r="B857" s="1114" t="s">
        <v>1346</v>
      </c>
      <c r="C857" s="216" t="s">
        <v>1344</v>
      </c>
      <c r="D857" s="113">
        <v>31</v>
      </c>
      <c r="E857" s="217" t="s">
        <v>565</v>
      </c>
      <c r="F857" s="218" t="s">
        <v>1348</v>
      </c>
      <c r="G857" s="116">
        <v>990</v>
      </c>
      <c r="H857" s="1776" t="s">
        <v>1349</v>
      </c>
      <c r="J857" s="224"/>
      <c r="K857" s="34" t="s">
        <v>25</v>
      </c>
      <c r="L857" s="475"/>
      <c r="M857" s="224"/>
      <c r="N857" s="224"/>
      <c r="O857" s="2628" t="s">
        <v>6395</v>
      </c>
      <c r="P857" s="1">
        <v>43</v>
      </c>
      <c r="T857" s="224"/>
      <c r="U857" s="34" t="s">
        <v>25</v>
      </c>
      <c r="V857" s="475"/>
      <c r="W857" s="224"/>
      <c r="X857" s="224"/>
    </row>
    <row r="858" spans="1:24" x14ac:dyDescent="0.3">
      <c r="A858" s="2651">
        <v>44</v>
      </c>
      <c r="B858" s="1114" t="s">
        <v>1346</v>
      </c>
      <c r="C858" s="216" t="s">
        <v>1344</v>
      </c>
      <c r="D858" s="125">
        <v>31</v>
      </c>
      <c r="E858" s="217" t="s">
        <v>567</v>
      </c>
      <c r="F858" s="218" t="s">
        <v>1348</v>
      </c>
      <c r="G858" s="116">
        <v>990</v>
      </c>
      <c r="H858" s="1776" t="s">
        <v>1349</v>
      </c>
      <c r="J858" s="224"/>
      <c r="K858" s="34" t="s">
        <v>25</v>
      </c>
      <c r="L858" s="475"/>
      <c r="M858" s="224"/>
      <c r="N858" s="224"/>
      <c r="O858" s="2628" t="s">
        <v>6395</v>
      </c>
      <c r="P858" s="1">
        <v>44</v>
      </c>
      <c r="T858" s="224"/>
      <c r="U858" s="34" t="s">
        <v>25</v>
      </c>
      <c r="V858" s="475"/>
      <c r="W858" s="224"/>
      <c r="X858" s="224"/>
    </row>
    <row r="859" spans="1:24" x14ac:dyDescent="0.3">
      <c r="A859" s="2652">
        <v>45</v>
      </c>
      <c r="B859" s="1114" t="s">
        <v>1346</v>
      </c>
      <c r="C859" s="216" t="s">
        <v>1344</v>
      </c>
      <c r="D859" s="128">
        <v>31</v>
      </c>
      <c r="E859" s="419" t="s">
        <v>568</v>
      </c>
      <c r="F859" s="218" t="s">
        <v>1348</v>
      </c>
      <c r="G859" s="116">
        <v>990</v>
      </c>
      <c r="H859" s="1776" t="s">
        <v>1349</v>
      </c>
      <c r="J859" s="224"/>
      <c r="K859" s="34" t="s">
        <v>25</v>
      </c>
      <c r="L859" s="475"/>
      <c r="M859" s="224"/>
      <c r="N859" s="224"/>
      <c r="O859" s="2628" t="s">
        <v>6395</v>
      </c>
      <c r="P859" s="1">
        <v>45</v>
      </c>
      <c r="T859" s="224"/>
      <c r="U859" s="34" t="s">
        <v>25</v>
      </c>
      <c r="V859" s="475"/>
      <c r="W859" s="224"/>
      <c r="X859" s="224"/>
    </row>
    <row r="860" spans="1:24" x14ac:dyDescent="0.3">
      <c r="A860" s="2651">
        <v>46</v>
      </c>
      <c r="B860" s="1114" t="s">
        <v>1346</v>
      </c>
      <c r="C860" s="1117" t="s">
        <v>1344</v>
      </c>
      <c r="D860" s="113">
        <v>31</v>
      </c>
      <c r="E860" s="349" t="s">
        <v>569</v>
      </c>
      <c r="F860" s="218" t="s">
        <v>1348</v>
      </c>
      <c r="G860" s="116">
        <v>990</v>
      </c>
      <c r="H860" s="1776" t="s">
        <v>1349</v>
      </c>
      <c r="J860" s="224"/>
      <c r="K860" s="34" t="s">
        <v>25</v>
      </c>
      <c r="L860" s="475"/>
      <c r="M860" s="224"/>
      <c r="N860" s="224"/>
      <c r="O860" s="2628" t="s">
        <v>6395</v>
      </c>
      <c r="P860" s="1">
        <v>46</v>
      </c>
      <c r="T860" s="224"/>
      <c r="U860" s="34" t="s">
        <v>25</v>
      </c>
      <c r="V860" s="475"/>
      <c r="W860" s="224"/>
      <c r="X860" s="224"/>
    </row>
    <row r="861" spans="1:24" x14ac:dyDescent="0.3">
      <c r="A861" s="2651">
        <v>47</v>
      </c>
      <c r="B861" s="1114" t="s">
        <v>1346</v>
      </c>
      <c r="C861" s="216" t="s">
        <v>1344</v>
      </c>
      <c r="D861" s="113">
        <v>31</v>
      </c>
      <c r="E861" s="217" t="s">
        <v>570</v>
      </c>
      <c r="F861" s="218" t="s">
        <v>1348</v>
      </c>
      <c r="G861" s="116">
        <v>990</v>
      </c>
      <c r="H861" s="1776" t="s">
        <v>1349</v>
      </c>
      <c r="J861" s="224"/>
      <c r="K861" s="34" t="s">
        <v>25</v>
      </c>
      <c r="L861" s="475"/>
      <c r="M861" s="224"/>
      <c r="N861" s="224"/>
      <c r="O861" s="2628" t="s">
        <v>6395</v>
      </c>
      <c r="P861" s="1">
        <v>47</v>
      </c>
      <c r="T861" s="224"/>
      <c r="U861" s="34" t="s">
        <v>25</v>
      </c>
      <c r="V861" s="475"/>
      <c r="W861" s="224"/>
      <c r="X861" s="224"/>
    </row>
    <row r="862" spans="1:24" x14ac:dyDescent="0.3">
      <c r="A862" s="2652">
        <v>48</v>
      </c>
      <c r="B862" s="1114" t="s">
        <v>1346</v>
      </c>
      <c r="C862" s="1117" t="s">
        <v>1344</v>
      </c>
      <c r="D862" s="113">
        <v>31</v>
      </c>
      <c r="E862" s="217" t="s">
        <v>571</v>
      </c>
      <c r="F862" s="218" t="s">
        <v>1348</v>
      </c>
      <c r="G862" s="116">
        <v>990</v>
      </c>
      <c r="H862" s="1776" t="s">
        <v>1349</v>
      </c>
      <c r="J862" s="224"/>
      <c r="K862" s="34" t="s">
        <v>25</v>
      </c>
      <c r="L862" s="475"/>
      <c r="M862" s="224"/>
      <c r="N862" s="224"/>
      <c r="O862" s="2628" t="s">
        <v>6395</v>
      </c>
      <c r="P862" s="1">
        <v>48</v>
      </c>
      <c r="T862" s="224"/>
      <c r="U862" s="34" t="s">
        <v>25</v>
      </c>
      <c r="V862" s="475"/>
      <c r="W862" s="224"/>
      <c r="X862" s="224"/>
    </row>
    <row r="863" spans="1:24" x14ac:dyDescent="0.3">
      <c r="A863" s="2651">
        <v>49</v>
      </c>
      <c r="B863" s="1114" t="s">
        <v>1346</v>
      </c>
      <c r="C863" s="1117" t="s">
        <v>1344</v>
      </c>
      <c r="D863" s="113">
        <v>31</v>
      </c>
      <c r="E863" s="217" t="s">
        <v>572</v>
      </c>
      <c r="F863" s="218" t="s">
        <v>1348</v>
      </c>
      <c r="G863" s="116">
        <v>990</v>
      </c>
      <c r="H863" s="1776" t="s">
        <v>1349</v>
      </c>
      <c r="J863" s="224"/>
      <c r="K863" s="34" t="s">
        <v>25</v>
      </c>
      <c r="L863" s="475"/>
      <c r="M863" s="224"/>
      <c r="N863" s="224"/>
      <c r="O863" s="2628" t="s">
        <v>6395</v>
      </c>
      <c r="P863" s="1">
        <v>49</v>
      </c>
      <c r="T863" s="224"/>
      <c r="U863" s="34" t="s">
        <v>25</v>
      </c>
      <c r="V863" s="475"/>
      <c r="W863" s="224"/>
      <c r="X863" s="224"/>
    </row>
    <row r="864" spans="1:24" x14ac:dyDescent="0.3">
      <c r="A864" s="2651">
        <v>50</v>
      </c>
      <c r="B864" s="1114" t="s">
        <v>1346</v>
      </c>
      <c r="C864" s="1117" t="s">
        <v>1344</v>
      </c>
      <c r="D864" s="113">
        <v>31</v>
      </c>
      <c r="E864" s="217" t="s">
        <v>573</v>
      </c>
      <c r="F864" s="218" t="s">
        <v>1348</v>
      </c>
      <c r="G864" s="116">
        <v>990</v>
      </c>
      <c r="H864" s="1776" t="s">
        <v>1349</v>
      </c>
      <c r="J864" s="224"/>
      <c r="K864" s="34" t="s">
        <v>25</v>
      </c>
      <c r="L864" s="475"/>
      <c r="M864" s="224"/>
      <c r="N864" s="224"/>
      <c r="O864" s="2628" t="s">
        <v>6395</v>
      </c>
      <c r="P864" s="1">
        <v>50</v>
      </c>
      <c r="T864" s="224"/>
      <c r="U864" s="34" t="s">
        <v>25</v>
      </c>
      <c r="V864" s="475"/>
      <c r="W864" s="224"/>
      <c r="X864" s="224"/>
    </row>
    <row r="865" spans="1:24" x14ac:dyDescent="0.3">
      <c r="A865" s="2652">
        <v>51</v>
      </c>
      <c r="B865" s="1114" t="s">
        <v>1346</v>
      </c>
      <c r="C865" s="216" t="s">
        <v>1344</v>
      </c>
      <c r="D865" s="113">
        <v>31</v>
      </c>
      <c r="E865" s="217" t="s">
        <v>574</v>
      </c>
      <c r="F865" s="218" t="s">
        <v>1348</v>
      </c>
      <c r="G865" s="116">
        <v>990</v>
      </c>
      <c r="H865" s="1776" t="s">
        <v>1349</v>
      </c>
      <c r="J865" s="224"/>
      <c r="K865" s="34" t="s">
        <v>25</v>
      </c>
      <c r="L865" s="475"/>
      <c r="M865" s="224"/>
      <c r="N865" s="224"/>
      <c r="O865" s="2628" t="s">
        <v>6395</v>
      </c>
      <c r="P865" s="1">
        <v>51</v>
      </c>
      <c r="T865" s="224"/>
      <c r="U865" s="34" t="s">
        <v>25</v>
      </c>
      <c r="V865" s="475"/>
      <c r="W865" s="224"/>
      <c r="X865" s="224"/>
    </row>
    <row r="866" spans="1:24" x14ac:dyDescent="0.3">
      <c r="A866" s="2651">
        <v>52</v>
      </c>
      <c r="B866" s="1114" t="s">
        <v>1346</v>
      </c>
      <c r="C866" s="216" t="s">
        <v>1344</v>
      </c>
      <c r="D866" s="113">
        <v>31</v>
      </c>
      <c r="E866" s="217" t="s">
        <v>575</v>
      </c>
      <c r="F866" s="218" t="s">
        <v>1348</v>
      </c>
      <c r="G866" s="116">
        <v>990</v>
      </c>
      <c r="H866" s="1776" t="s">
        <v>1349</v>
      </c>
      <c r="J866" s="224"/>
      <c r="K866" s="34" t="s">
        <v>25</v>
      </c>
      <c r="L866" s="475"/>
      <c r="M866" s="224"/>
      <c r="N866" s="224"/>
      <c r="O866" s="2628" t="s">
        <v>6395</v>
      </c>
      <c r="P866" s="1">
        <v>52</v>
      </c>
      <c r="T866" s="224"/>
      <c r="U866" s="34" t="s">
        <v>25</v>
      </c>
      <c r="V866" s="475"/>
      <c r="W866" s="224"/>
      <c r="X866" s="224"/>
    </row>
    <row r="867" spans="1:24" x14ac:dyDescent="0.3">
      <c r="A867" s="2651">
        <v>53</v>
      </c>
      <c r="B867" s="1114" t="s">
        <v>1346</v>
      </c>
      <c r="C867" s="216" t="s">
        <v>1344</v>
      </c>
      <c r="D867" s="113">
        <v>31</v>
      </c>
      <c r="E867" s="217" t="s">
        <v>576</v>
      </c>
      <c r="F867" s="218" t="s">
        <v>1348</v>
      </c>
      <c r="G867" s="116">
        <v>990</v>
      </c>
      <c r="H867" s="1776" t="s">
        <v>1349</v>
      </c>
      <c r="J867" s="224"/>
      <c r="K867" s="34" t="s">
        <v>25</v>
      </c>
      <c r="L867" s="475"/>
      <c r="M867" s="224"/>
      <c r="N867" s="224"/>
      <c r="O867" s="2628" t="s">
        <v>6395</v>
      </c>
      <c r="P867" s="1">
        <v>53</v>
      </c>
      <c r="T867" s="224"/>
      <c r="U867" s="34" t="s">
        <v>25</v>
      </c>
      <c r="V867" s="475"/>
      <c r="W867" s="224"/>
      <c r="X867" s="224"/>
    </row>
    <row r="868" spans="1:24" x14ac:dyDescent="0.3">
      <c r="A868" s="2652">
        <v>54</v>
      </c>
      <c r="B868" s="1114" t="s">
        <v>1346</v>
      </c>
      <c r="C868" s="216" t="s">
        <v>1344</v>
      </c>
      <c r="D868" s="113">
        <v>31</v>
      </c>
      <c r="E868" s="217" t="s">
        <v>578</v>
      </c>
      <c r="F868" s="218" t="s">
        <v>1348</v>
      </c>
      <c r="G868" s="116">
        <v>990</v>
      </c>
      <c r="H868" s="1776" t="s">
        <v>1349</v>
      </c>
      <c r="J868" s="224"/>
      <c r="K868" s="34" t="s">
        <v>25</v>
      </c>
      <c r="L868" s="475"/>
      <c r="M868" s="224"/>
      <c r="N868" s="224"/>
      <c r="O868" s="2628" t="s">
        <v>6395</v>
      </c>
      <c r="P868" s="1">
        <v>54</v>
      </c>
      <c r="T868" s="224"/>
      <c r="U868" s="34" t="s">
        <v>25</v>
      </c>
      <c r="V868" s="475"/>
      <c r="W868" s="224"/>
      <c r="X868" s="224"/>
    </row>
    <row r="869" spans="1:24" x14ac:dyDescent="0.3">
      <c r="A869" s="2651">
        <v>55</v>
      </c>
      <c r="B869" s="1114" t="s">
        <v>1346</v>
      </c>
      <c r="C869" s="216" t="s">
        <v>1344</v>
      </c>
      <c r="D869" s="113">
        <v>31</v>
      </c>
      <c r="E869" s="217" t="s">
        <v>1361</v>
      </c>
      <c r="F869" s="218" t="s">
        <v>1348</v>
      </c>
      <c r="G869" s="116">
        <v>990</v>
      </c>
      <c r="H869" s="1776" t="s">
        <v>1349</v>
      </c>
      <c r="J869" s="224"/>
      <c r="K869" s="34" t="s">
        <v>25</v>
      </c>
      <c r="L869" s="475"/>
      <c r="M869" s="224"/>
      <c r="N869" s="224"/>
      <c r="O869" s="2628" t="s">
        <v>6395</v>
      </c>
      <c r="P869" s="1">
        <v>55</v>
      </c>
      <c r="T869" s="224"/>
      <c r="U869" s="34" t="s">
        <v>25</v>
      </c>
      <c r="V869" s="475"/>
      <c r="W869" s="224"/>
      <c r="X869" s="224"/>
    </row>
    <row r="870" spans="1:24" x14ac:dyDescent="0.3">
      <c r="A870" s="2651">
        <v>56</v>
      </c>
      <c r="B870" s="1114" t="s">
        <v>1346</v>
      </c>
      <c r="C870" s="216" t="s">
        <v>1344</v>
      </c>
      <c r="D870" s="113">
        <v>31</v>
      </c>
      <c r="E870" s="217" t="s">
        <v>1362</v>
      </c>
      <c r="F870" s="218" t="s">
        <v>1348</v>
      </c>
      <c r="G870" s="116">
        <v>990</v>
      </c>
      <c r="H870" s="1776" t="s">
        <v>1349</v>
      </c>
      <c r="J870" s="224"/>
      <c r="K870" s="34" t="s">
        <v>25</v>
      </c>
      <c r="L870" s="475"/>
      <c r="M870" s="224"/>
      <c r="N870" s="224"/>
      <c r="O870" s="2628" t="s">
        <v>6395</v>
      </c>
      <c r="P870" s="1">
        <v>56</v>
      </c>
      <c r="T870" s="224"/>
      <c r="U870" s="34" t="s">
        <v>25</v>
      </c>
      <c r="V870" s="475"/>
      <c r="W870" s="224"/>
      <c r="X870" s="224"/>
    </row>
    <row r="871" spans="1:24" x14ac:dyDescent="0.3">
      <c r="A871" s="2652">
        <v>57</v>
      </c>
      <c r="B871" s="1114" t="s">
        <v>1346</v>
      </c>
      <c r="C871" s="216" t="s">
        <v>1344</v>
      </c>
      <c r="D871" s="113">
        <v>31</v>
      </c>
      <c r="E871" s="217" t="s">
        <v>1363</v>
      </c>
      <c r="F871" s="218" t="s">
        <v>1348</v>
      </c>
      <c r="G871" s="116">
        <v>990</v>
      </c>
      <c r="H871" s="1776" t="s">
        <v>1349</v>
      </c>
      <c r="J871" s="224"/>
      <c r="K871" s="34" t="s">
        <v>25</v>
      </c>
      <c r="L871" s="475"/>
      <c r="M871" s="224"/>
      <c r="N871" s="224"/>
      <c r="O871" s="2628" t="s">
        <v>6395</v>
      </c>
      <c r="P871" s="1">
        <v>57</v>
      </c>
      <c r="T871" s="224"/>
      <c r="U871" s="34" t="s">
        <v>25</v>
      </c>
      <c r="V871" s="475"/>
      <c r="W871" s="224"/>
      <c r="X871" s="224"/>
    </row>
    <row r="872" spans="1:24" x14ac:dyDescent="0.3">
      <c r="A872" s="2651">
        <v>58</v>
      </c>
      <c r="B872" s="1114" t="s">
        <v>1346</v>
      </c>
      <c r="C872" s="1117" t="s">
        <v>1344</v>
      </c>
      <c r="D872" s="113">
        <v>31</v>
      </c>
      <c r="E872" s="217" t="s">
        <v>1364</v>
      </c>
      <c r="F872" s="218" t="s">
        <v>1348</v>
      </c>
      <c r="G872" s="116">
        <v>990</v>
      </c>
      <c r="H872" s="1776" t="s">
        <v>1349</v>
      </c>
      <c r="J872" s="224"/>
      <c r="K872" s="34" t="s">
        <v>25</v>
      </c>
      <c r="L872" s="475"/>
      <c r="M872" s="224"/>
      <c r="N872" s="224"/>
      <c r="O872" s="2628" t="s">
        <v>6395</v>
      </c>
      <c r="P872" s="1">
        <v>58</v>
      </c>
      <c r="T872" s="224"/>
      <c r="U872" s="34" t="s">
        <v>25</v>
      </c>
      <c r="V872" s="475"/>
      <c r="W872" s="224"/>
      <c r="X872" s="224"/>
    </row>
    <row r="873" spans="1:24" x14ac:dyDescent="0.3">
      <c r="A873" s="2651">
        <v>59</v>
      </c>
      <c r="B873" s="1114" t="s">
        <v>1346</v>
      </c>
      <c r="C873" s="216" t="s">
        <v>1344</v>
      </c>
      <c r="D873" s="113">
        <v>31</v>
      </c>
      <c r="E873" s="217" t="s">
        <v>1365</v>
      </c>
      <c r="F873" s="218" t="s">
        <v>1348</v>
      </c>
      <c r="G873" s="116">
        <v>990</v>
      </c>
      <c r="H873" s="1776" t="s">
        <v>1349</v>
      </c>
      <c r="J873" s="224"/>
      <c r="K873" s="34" t="s">
        <v>25</v>
      </c>
      <c r="L873" s="475"/>
      <c r="M873" s="224"/>
      <c r="N873" s="224"/>
      <c r="O873" s="2628" t="s">
        <v>6395</v>
      </c>
      <c r="P873" s="1">
        <v>59</v>
      </c>
      <c r="T873" s="224"/>
      <c r="U873" s="34" t="s">
        <v>25</v>
      </c>
      <c r="V873" s="475"/>
      <c r="W873" s="224"/>
      <c r="X873" s="224"/>
    </row>
    <row r="874" spans="1:24" x14ac:dyDescent="0.3">
      <c r="A874" s="2652">
        <v>60</v>
      </c>
      <c r="B874" s="1114" t="s">
        <v>1346</v>
      </c>
      <c r="C874" s="1117" t="s">
        <v>1344</v>
      </c>
      <c r="D874" s="113">
        <v>31</v>
      </c>
      <c r="E874" s="217" t="s">
        <v>948</v>
      </c>
      <c r="F874" s="218" t="s">
        <v>1348</v>
      </c>
      <c r="G874" s="116">
        <v>990</v>
      </c>
      <c r="H874" s="1776" t="s">
        <v>1349</v>
      </c>
      <c r="J874" s="224"/>
      <c r="K874" s="34" t="s">
        <v>25</v>
      </c>
      <c r="L874" s="475"/>
      <c r="M874" s="224"/>
      <c r="N874" s="224"/>
      <c r="O874" s="2628" t="s">
        <v>6395</v>
      </c>
      <c r="P874" s="1">
        <v>60</v>
      </c>
      <c r="T874" s="224"/>
      <c r="U874" s="34" t="s">
        <v>25</v>
      </c>
      <c r="V874" s="475"/>
      <c r="W874" s="224"/>
      <c r="X874" s="224"/>
    </row>
    <row r="875" spans="1:24" x14ac:dyDescent="0.3">
      <c r="A875" s="2651">
        <v>61</v>
      </c>
      <c r="B875" s="1114" t="s">
        <v>1346</v>
      </c>
      <c r="C875" s="1117" t="s">
        <v>1344</v>
      </c>
      <c r="D875" s="113">
        <v>31</v>
      </c>
      <c r="E875" s="217" t="s">
        <v>1366</v>
      </c>
      <c r="F875" s="218" t="s">
        <v>1348</v>
      </c>
      <c r="G875" s="116">
        <v>990</v>
      </c>
      <c r="H875" s="1776" t="s">
        <v>1349</v>
      </c>
      <c r="J875" s="224"/>
      <c r="K875" s="34" t="s">
        <v>25</v>
      </c>
      <c r="L875" s="475"/>
      <c r="M875" s="224"/>
      <c r="N875" s="224"/>
      <c r="O875" s="2628" t="s">
        <v>6395</v>
      </c>
      <c r="P875" s="1">
        <v>61</v>
      </c>
      <c r="T875" s="224"/>
      <c r="U875" s="34" t="s">
        <v>25</v>
      </c>
      <c r="V875" s="475"/>
      <c r="W875" s="224"/>
      <c r="X875" s="224"/>
    </row>
    <row r="876" spans="1:24" x14ac:dyDescent="0.3">
      <c r="A876" s="2651">
        <v>62</v>
      </c>
      <c r="B876" s="1114" t="s">
        <v>1346</v>
      </c>
      <c r="C876" s="1117" t="s">
        <v>1344</v>
      </c>
      <c r="D876" s="113">
        <v>31</v>
      </c>
      <c r="E876" s="217" t="s">
        <v>1367</v>
      </c>
      <c r="F876" s="218" t="s">
        <v>1348</v>
      </c>
      <c r="G876" s="116">
        <v>990</v>
      </c>
      <c r="H876" s="1776" t="s">
        <v>1349</v>
      </c>
      <c r="J876" s="224"/>
      <c r="K876" s="34" t="s">
        <v>25</v>
      </c>
      <c r="L876" s="475"/>
      <c r="M876" s="224"/>
      <c r="N876" s="224"/>
      <c r="O876" s="2628" t="s">
        <v>6395</v>
      </c>
      <c r="P876" s="1">
        <v>62</v>
      </c>
      <c r="T876" s="224"/>
      <c r="U876" s="34" t="s">
        <v>25</v>
      </c>
      <c r="V876" s="475"/>
      <c r="W876" s="224"/>
      <c r="X876" s="224"/>
    </row>
    <row r="877" spans="1:24" x14ac:dyDescent="0.3">
      <c r="A877" s="2652">
        <v>63</v>
      </c>
      <c r="B877" s="1114" t="s">
        <v>1346</v>
      </c>
      <c r="C877" s="216" t="s">
        <v>1344</v>
      </c>
      <c r="D877" s="113">
        <v>31</v>
      </c>
      <c r="E877" s="217" t="s">
        <v>1369</v>
      </c>
      <c r="F877" s="218" t="s">
        <v>1348</v>
      </c>
      <c r="G877" s="116">
        <v>990</v>
      </c>
      <c r="H877" s="1776" t="s">
        <v>1349</v>
      </c>
      <c r="J877" s="224"/>
      <c r="K877" s="34" t="s">
        <v>25</v>
      </c>
      <c r="L877" s="475"/>
      <c r="M877" s="224"/>
      <c r="N877" s="224"/>
      <c r="O877" s="2628" t="s">
        <v>6395</v>
      </c>
      <c r="P877" s="1">
        <v>63</v>
      </c>
      <c r="T877" s="224"/>
      <c r="U877" s="34" t="s">
        <v>25</v>
      </c>
      <c r="V877" s="475"/>
      <c r="W877" s="224"/>
      <c r="X877" s="224"/>
    </row>
    <row r="878" spans="1:24" x14ac:dyDescent="0.3">
      <c r="A878" s="2651">
        <v>64</v>
      </c>
      <c r="B878" s="1114" t="s">
        <v>1346</v>
      </c>
      <c r="C878" s="216" t="s">
        <v>1344</v>
      </c>
      <c r="D878" s="113">
        <v>31</v>
      </c>
      <c r="E878" s="217" t="s">
        <v>1370</v>
      </c>
      <c r="F878" s="218" t="s">
        <v>1348</v>
      </c>
      <c r="G878" s="116">
        <v>990</v>
      </c>
      <c r="H878" s="1776" t="s">
        <v>1349</v>
      </c>
      <c r="J878" s="224"/>
      <c r="K878" s="34" t="s">
        <v>25</v>
      </c>
      <c r="L878" s="475"/>
      <c r="M878" s="224"/>
      <c r="N878" s="224"/>
      <c r="O878" s="2628" t="s">
        <v>6395</v>
      </c>
      <c r="P878" s="1">
        <v>64</v>
      </c>
      <c r="T878" s="224"/>
      <c r="U878" s="34" t="s">
        <v>25</v>
      </c>
      <c r="V878" s="475"/>
      <c r="W878" s="224"/>
      <c r="X878" s="224"/>
    </row>
    <row r="879" spans="1:24" x14ac:dyDescent="0.3">
      <c r="A879" s="2651">
        <v>65</v>
      </c>
      <c r="B879" s="1114" t="s">
        <v>1346</v>
      </c>
      <c r="C879" s="216" t="s">
        <v>1344</v>
      </c>
      <c r="D879" s="113">
        <v>31</v>
      </c>
      <c r="E879" s="217" t="s">
        <v>1371</v>
      </c>
      <c r="F879" s="218" t="s">
        <v>1348</v>
      </c>
      <c r="G879" s="116">
        <v>990</v>
      </c>
      <c r="H879" s="1776" t="s">
        <v>1349</v>
      </c>
      <c r="J879" s="224"/>
      <c r="K879" s="34" t="s">
        <v>25</v>
      </c>
      <c r="L879" s="475"/>
      <c r="M879" s="224"/>
      <c r="N879" s="224"/>
      <c r="O879" s="2628" t="s">
        <v>6395</v>
      </c>
      <c r="P879" s="1">
        <v>65</v>
      </c>
      <c r="T879" s="224"/>
      <c r="U879" s="34" t="s">
        <v>25</v>
      </c>
      <c r="V879" s="475"/>
      <c r="W879" s="224"/>
      <c r="X879" s="224"/>
    </row>
    <row r="880" spans="1:24" x14ac:dyDescent="0.3">
      <c r="A880" s="2652">
        <v>66</v>
      </c>
      <c r="B880" s="1114" t="s">
        <v>1346</v>
      </c>
      <c r="C880" s="216" t="s">
        <v>1344</v>
      </c>
      <c r="D880" s="113">
        <v>31</v>
      </c>
      <c r="E880" s="217" t="s">
        <v>1372</v>
      </c>
      <c r="F880" s="218" t="s">
        <v>1348</v>
      </c>
      <c r="G880" s="116">
        <v>990</v>
      </c>
      <c r="H880" s="1776" t="s">
        <v>1349</v>
      </c>
      <c r="J880" s="224"/>
      <c r="K880" s="34" t="s">
        <v>25</v>
      </c>
      <c r="L880" s="475"/>
      <c r="M880" s="224"/>
      <c r="N880" s="224"/>
      <c r="O880" s="2628" t="s">
        <v>6395</v>
      </c>
      <c r="P880" s="1">
        <v>66</v>
      </c>
      <c r="T880" s="224"/>
      <c r="U880" s="34" t="s">
        <v>25</v>
      </c>
      <c r="V880" s="475"/>
      <c r="W880" s="224"/>
      <c r="X880" s="224"/>
    </row>
    <row r="881" spans="1:24" x14ac:dyDescent="0.3">
      <c r="A881" s="2651">
        <v>67</v>
      </c>
      <c r="B881" s="1114" t="s">
        <v>1346</v>
      </c>
      <c r="C881" s="216" t="s">
        <v>1344</v>
      </c>
      <c r="D881" s="113">
        <v>31</v>
      </c>
      <c r="E881" s="217" t="s">
        <v>1373</v>
      </c>
      <c r="F881" s="218" t="s">
        <v>1348</v>
      </c>
      <c r="G881" s="116">
        <v>990</v>
      </c>
      <c r="H881" s="1776" t="s">
        <v>1349</v>
      </c>
      <c r="J881" s="224"/>
      <c r="K881" s="34" t="s">
        <v>25</v>
      </c>
      <c r="L881" s="475"/>
      <c r="M881" s="224"/>
      <c r="N881" s="224"/>
      <c r="O881" s="2628" t="s">
        <v>6395</v>
      </c>
      <c r="P881" s="1">
        <v>67</v>
      </c>
      <c r="T881" s="224"/>
      <c r="U881" s="34" t="s">
        <v>25</v>
      </c>
      <c r="V881" s="475"/>
      <c r="W881" s="224"/>
      <c r="X881" s="224"/>
    </row>
    <row r="882" spans="1:24" x14ac:dyDescent="0.3">
      <c r="A882" s="2651">
        <v>68</v>
      </c>
      <c r="B882" s="1114" t="s">
        <v>1346</v>
      </c>
      <c r="C882" s="1117" t="s">
        <v>1344</v>
      </c>
      <c r="D882" s="113">
        <v>31</v>
      </c>
      <c r="E882" s="217" t="s">
        <v>1374</v>
      </c>
      <c r="F882" s="218" t="s">
        <v>1348</v>
      </c>
      <c r="G882" s="116">
        <v>990</v>
      </c>
      <c r="H882" s="1776" t="s">
        <v>1349</v>
      </c>
      <c r="J882" s="224"/>
      <c r="K882" s="34" t="s">
        <v>25</v>
      </c>
      <c r="L882" s="475"/>
      <c r="M882" s="224"/>
      <c r="N882" s="224"/>
      <c r="O882" s="2628" t="s">
        <v>6395</v>
      </c>
      <c r="P882" s="1">
        <v>68</v>
      </c>
      <c r="T882" s="224"/>
      <c r="U882" s="34" t="s">
        <v>25</v>
      </c>
      <c r="V882" s="475"/>
      <c r="W882" s="224"/>
      <c r="X882" s="224"/>
    </row>
    <row r="883" spans="1:24" x14ac:dyDescent="0.3">
      <c r="A883" s="2652">
        <v>69</v>
      </c>
      <c r="B883" s="1114" t="s">
        <v>1346</v>
      </c>
      <c r="C883" s="1117" t="s">
        <v>1344</v>
      </c>
      <c r="D883" s="113">
        <v>31</v>
      </c>
      <c r="E883" s="217" t="s">
        <v>951</v>
      </c>
      <c r="F883" s="218" t="s">
        <v>1348</v>
      </c>
      <c r="G883" s="116">
        <v>990</v>
      </c>
      <c r="H883" s="1776" t="s">
        <v>1349</v>
      </c>
      <c r="J883" s="224"/>
      <c r="K883" s="34" t="s">
        <v>25</v>
      </c>
      <c r="L883" s="475"/>
      <c r="M883" s="224"/>
      <c r="N883" s="224"/>
      <c r="O883" s="2628" t="s">
        <v>6395</v>
      </c>
      <c r="P883" s="1">
        <v>69</v>
      </c>
      <c r="T883" s="224"/>
      <c r="U883" s="34" t="s">
        <v>25</v>
      </c>
      <c r="V883" s="475"/>
      <c r="W883" s="224"/>
      <c r="X883" s="224"/>
    </row>
    <row r="884" spans="1:24" x14ac:dyDescent="0.3">
      <c r="A884" s="2651">
        <v>70</v>
      </c>
      <c r="B884" s="1114" t="s">
        <v>1346</v>
      </c>
      <c r="C884" s="216" t="s">
        <v>1344</v>
      </c>
      <c r="D884" s="113">
        <v>31</v>
      </c>
      <c r="E884" s="217" t="s">
        <v>953</v>
      </c>
      <c r="F884" s="218" t="s">
        <v>1348</v>
      </c>
      <c r="G884" s="116">
        <v>990</v>
      </c>
      <c r="H884" s="1776" t="s">
        <v>1349</v>
      </c>
      <c r="J884" s="224"/>
      <c r="K884" s="34" t="s">
        <v>25</v>
      </c>
      <c r="L884" s="475"/>
      <c r="M884" s="224"/>
      <c r="N884" s="224"/>
      <c r="O884" s="2628" t="s">
        <v>6395</v>
      </c>
      <c r="P884" s="1">
        <v>70</v>
      </c>
      <c r="T884" s="224"/>
      <c r="U884" s="34" t="s">
        <v>25</v>
      </c>
      <c r="V884" s="475"/>
      <c r="W884" s="224"/>
      <c r="X884" s="224"/>
    </row>
    <row r="885" spans="1:24" x14ac:dyDescent="0.3">
      <c r="A885" s="2651">
        <v>71</v>
      </c>
      <c r="B885" s="1114" t="s">
        <v>1346</v>
      </c>
      <c r="C885" s="1117" t="s">
        <v>1344</v>
      </c>
      <c r="D885" s="113">
        <v>31</v>
      </c>
      <c r="E885" s="217" t="s">
        <v>1375</v>
      </c>
      <c r="F885" s="218" t="s">
        <v>1348</v>
      </c>
      <c r="G885" s="116">
        <v>990</v>
      </c>
      <c r="H885" s="1776" t="s">
        <v>1349</v>
      </c>
      <c r="J885" s="224"/>
      <c r="K885" s="34" t="s">
        <v>25</v>
      </c>
      <c r="L885" s="475"/>
      <c r="M885" s="224"/>
      <c r="N885" s="224"/>
      <c r="O885" s="2628" t="s">
        <v>6395</v>
      </c>
      <c r="P885" s="1">
        <v>71</v>
      </c>
      <c r="T885" s="224"/>
      <c r="U885" s="34" t="s">
        <v>25</v>
      </c>
      <c r="V885" s="475"/>
      <c r="W885" s="224"/>
      <c r="X885" s="224"/>
    </row>
    <row r="886" spans="1:24" x14ac:dyDescent="0.3">
      <c r="A886" s="2652">
        <v>72</v>
      </c>
      <c r="B886" s="1114" t="s">
        <v>1346</v>
      </c>
      <c r="C886" s="216" t="s">
        <v>1344</v>
      </c>
      <c r="D886" s="113">
        <v>31</v>
      </c>
      <c r="E886" s="217" t="s">
        <v>1376</v>
      </c>
      <c r="F886" s="218" t="s">
        <v>1348</v>
      </c>
      <c r="G886" s="116">
        <v>990</v>
      </c>
      <c r="H886" s="1776" t="s">
        <v>1349</v>
      </c>
      <c r="J886" s="224"/>
      <c r="K886" s="34" t="s">
        <v>25</v>
      </c>
      <c r="L886" s="475"/>
      <c r="M886" s="224"/>
      <c r="N886" s="224"/>
      <c r="O886" s="2628" t="s">
        <v>6395</v>
      </c>
      <c r="P886" s="1">
        <v>72</v>
      </c>
      <c r="T886" s="224"/>
      <c r="U886" s="34" t="s">
        <v>25</v>
      </c>
      <c r="V886" s="475"/>
      <c r="W886" s="224"/>
      <c r="X886" s="224"/>
    </row>
    <row r="887" spans="1:24" x14ac:dyDescent="0.3">
      <c r="A887" s="2651">
        <v>73</v>
      </c>
      <c r="B887" s="1114" t="s">
        <v>1346</v>
      </c>
      <c r="C887" s="1117" t="s">
        <v>1344</v>
      </c>
      <c r="D887" s="113">
        <v>31</v>
      </c>
      <c r="E887" s="217" t="s">
        <v>1377</v>
      </c>
      <c r="F887" s="218" t="s">
        <v>1348</v>
      </c>
      <c r="G887" s="116">
        <v>990</v>
      </c>
      <c r="H887" s="1776" t="s">
        <v>1349</v>
      </c>
      <c r="J887" s="224"/>
      <c r="K887" s="34" t="s">
        <v>25</v>
      </c>
      <c r="L887" s="475"/>
      <c r="M887" s="224"/>
      <c r="N887" s="224"/>
      <c r="O887" s="2628" t="s">
        <v>6395</v>
      </c>
      <c r="P887" s="1">
        <v>73</v>
      </c>
      <c r="T887" s="224"/>
      <c r="U887" s="34" t="s">
        <v>25</v>
      </c>
      <c r="V887" s="475"/>
      <c r="W887" s="224"/>
      <c r="X887" s="224"/>
    </row>
    <row r="888" spans="1:24" x14ac:dyDescent="0.3">
      <c r="A888" s="2651">
        <v>74</v>
      </c>
      <c r="B888" s="1114" t="s">
        <v>1346</v>
      </c>
      <c r="C888" s="1117" t="s">
        <v>1344</v>
      </c>
      <c r="D888" s="113">
        <v>31</v>
      </c>
      <c r="E888" s="217" t="s">
        <v>1378</v>
      </c>
      <c r="F888" s="218" t="s">
        <v>1348</v>
      </c>
      <c r="G888" s="116">
        <v>990</v>
      </c>
      <c r="H888" s="1776" t="s">
        <v>1349</v>
      </c>
      <c r="J888" s="224"/>
      <c r="K888" s="34" t="s">
        <v>25</v>
      </c>
      <c r="L888" s="475"/>
      <c r="M888" s="224"/>
      <c r="N888" s="224"/>
      <c r="O888" s="2628" t="s">
        <v>6395</v>
      </c>
      <c r="P888" s="1">
        <v>74</v>
      </c>
      <c r="T888" s="224"/>
      <c r="U888" s="34" t="s">
        <v>25</v>
      </c>
      <c r="V888" s="475"/>
      <c r="W888" s="224"/>
      <c r="X888" s="224"/>
    </row>
    <row r="889" spans="1:24" x14ac:dyDescent="0.3">
      <c r="A889" s="2652">
        <v>75</v>
      </c>
      <c r="B889" s="1114" t="s">
        <v>1346</v>
      </c>
      <c r="C889" s="216" t="s">
        <v>1344</v>
      </c>
      <c r="D889" s="113">
        <v>31</v>
      </c>
      <c r="E889" s="217" t="s">
        <v>1379</v>
      </c>
      <c r="F889" s="218" t="s">
        <v>1348</v>
      </c>
      <c r="G889" s="116">
        <v>990</v>
      </c>
      <c r="H889" s="1776" t="s">
        <v>1349</v>
      </c>
      <c r="J889" s="224"/>
      <c r="K889" s="34" t="s">
        <v>25</v>
      </c>
      <c r="L889" s="475"/>
      <c r="M889" s="224"/>
      <c r="N889" s="224"/>
      <c r="O889" s="2628" t="s">
        <v>6395</v>
      </c>
      <c r="P889" s="1">
        <v>75</v>
      </c>
      <c r="T889" s="224"/>
      <c r="U889" s="34" t="s">
        <v>25</v>
      </c>
      <c r="V889" s="475"/>
      <c r="W889" s="224"/>
      <c r="X889" s="224"/>
    </row>
    <row r="890" spans="1:24" x14ac:dyDescent="0.3">
      <c r="A890" s="2651">
        <v>76</v>
      </c>
      <c r="B890" s="1114" t="s">
        <v>1346</v>
      </c>
      <c r="C890" s="216" t="s">
        <v>1344</v>
      </c>
      <c r="D890" s="113">
        <v>31</v>
      </c>
      <c r="E890" s="217" t="s">
        <v>1380</v>
      </c>
      <c r="F890" s="218" t="s">
        <v>1348</v>
      </c>
      <c r="G890" s="116">
        <v>990</v>
      </c>
      <c r="H890" s="1776" t="s">
        <v>1349</v>
      </c>
      <c r="J890" s="224"/>
      <c r="K890" s="34" t="s">
        <v>25</v>
      </c>
      <c r="L890" s="475"/>
      <c r="M890" s="224"/>
      <c r="N890" s="224"/>
      <c r="O890" s="2628" t="s">
        <v>6395</v>
      </c>
      <c r="P890" s="1">
        <v>76</v>
      </c>
      <c r="T890" s="224"/>
      <c r="U890" s="34" t="s">
        <v>25</v>
      </c>
      <c r="V890" s="475"/>
      <c r="W890" s="224"/>
      <c r="X890" s="224"/>
    </row>
    <row r="891" spans="1:24" x14ac:dyDescent="0.3">
      <c r="A891" s="2651">
        <v>77</v>
      </c>
      <c r="B891" s="1114" t="s">
        <v>1346</v>
      </c>
      <c r="C891" s="216" t="s">
        <v>1344</v>
      </c>
      <c r="D891" s="113">
        <v>31</v>
      </c>
      <c r="E891" s="217" t="s">
        <v>1381</v>
      </c>
      <c r="F891" s="218" t="s">
        <v>1348</v>
      </c>
      <c r="G891" s="116">
        <v>990</v>
      </c>
      <c r="H891" s="1776" t="s">
        <v>1349</v>
      </c>
      <c r="J891" s="224"/>
      <c r="K891" s="34" t="s">
        <v>25</v>
      </c>
      <c r="L891" s="475"/>
      <c r="M891" s="224"/>
      <c r="N891" s="224"/>
      <c r="O891" s="2628" t="s">
        <v>6395</v>
      </c>
      <c r="P891" s="1">
        <v>77</v>
      </c>
      <c r="T891" s="224"/>
      <c r="U891" s="34" t="s">
        <v>25</v>
      </c>
      <c r="V891" s="475"/>
      <c r="W891" s="224"/>
      <c r="X891" s="224"/>
    </row>
    <row r="892" spans="1:24" x14ac:dyDescent="0.3">
      <c r="A892" s="2652">
        <v>78</v>
      </c>
      <c r="B892" s="1114" t="s">
        <v>1346</v>
      </c>
      <c r="C892" s="216" t="s">
        <v>1344</v>
      </c>
      <c r="D892" s="113">
        <v>31</v>
      </c>
      <c r="E892" s="217" t="s">
        <v>1382</v>
      </c>
      <c r="F892" s="218" t="s">
        <v>1348</v>
      </c>
      <c r="G892" s="116">
        <v>990</v>
      </c>
      <c r="H892" s="1776" t="s">
        <v>1349</v>
      </c>
      <c r="J892" s="224"/>
      <c r="K892" s="34" t="s">
        <v>25</v>
      </c>
      <c r="L892" s="475"/>
      <c r="M892" s="224"/>
      <c r="N892" s="224"/>
      <c r="O892" s="2628" t="s">
        <v>6395</v>
      </c>
      <c r="P892" s="1">
        <v>78</v>
      </c>
      <c r="T892" s="224"/>
      <c r="U892" s="34" t="s">
        <v>25</v>
      </c>
      <c r="V892" s="475"/>
      <c r="W892" s="224"/>
      <c r="X892" s="224"/>
    </row>
    <row r="893" spans="1:24" x14ac:dyDescent="0.3">
      <c r="A893" s="2651">
        <v>79</v>
      </c>
      <c r="B893" s="1114" t="s">
        <v>1346</v>
      </c>
      <c r="C893" s="216" t="s">
        <v>1344</v>
      </c>
      <c r="D893" s="113">
        <v>31</v>
      </c>
      <c r="E893" s="217" t="s">
        <v>1383</v>
      </c>
      <c r="F893" s="218" t="s">
        <v>1348</v>
      </c>
      <c r="G893" s="116">
        <v>990</v>
      </c>
      <c r="H893" s="1776" t="s">
        <v>1349</v>
      </c>
      <c r="J893" s="224"/>
      <c r="K893" s="34" t="s">
        <v>25</v>
      </c>
      <c r="L893" s="475"/>
      <c r="M893" s="224"/>
      <c r="N893" s="224"/>
      <c r="O893" s="2628" t="s">
        <v>6395</v>
      </c>
      <c r="P893" s="1">
        <v>79</v>
      </c>
      <c r="T893" s="224"/>
      <c r="U893" s="34" t="s">
        <v>25</v>
      </c>
      <c r="V893" s="475"/>
      <c r="W893" s="224"/>
      <c r="X893" s="224"/>
    </row>
    <row r="894" spans="1:24" x14ac:dyDescent="0.3">
      <c r="A894" s="2651">
        <v>80</v>
      </c>
      <c r="B894" s="1114" t="s">
        <v>1346</v>
      </c>
      <c r="C894" s="216" t="s">
        <v>1344</v>
      </c>
      <c r="D894" s="113">
        <v>31</v>
      </c>
      <c r="E894" s="217" t="s">
        <v>1384</v>
      </c>
      <c r="F894" s="218" t="s">
        <v>1348</v>
      </c>
      <c r="G894" s="116">
        <v>990</v>
      </c>
      <c r="H894" s="1776" t="s">
        <v>1349</v>
      </c>
      <c r="J894" s="224"/>
      <c r="K894" s="34" t="s">
        <v>25</v>
      </c>
      <c r="L894" s="475"/>
      <c r="M894" s="224"/>
      <c r="N894" s="224"/>
      <c r="O894" s="2628" t="s">
        <v>6395</v>
      </c>
      <c r="P894" s="1">
        <v>80</v>
      </c>
      <c r="T894" s="224"/>
      <c r="U894" s="34" t="s">
        <v>25</v>
      </c>
      <c r="V894" s="475"/>
      <c r="W894" s="224"/>
      <c r="X894" s="224"/>
    </row>
    <row r="895" spans="1:24" x14ac:dyDescent="0.3">
      <c r="A895" s="2652">
        <v>81</v>
      </c>
      <c r="B895" s="1114" t="s">
        <v>1346</v>
      </c>
      <c r="C895" s="216" t="s">
        <v>1344</v>
      </c>
      <c r="D895" s="113">
        <v>31</v>
      </c>
      <c r="E895" s="217" t="s">
        <v>1385</v>
      </c>
      <c r="F895" s="218" t="s">
        <v>1348</v>
      </c>
      <c r="G895" s="116">
        <v>990</v>
      </c>
      <c r="H895" s="1776" t="s">
        <v>1349</v>
      </c>
      <c r="J895" s="224"/>
      <c r="K895" s="34" t="s">
        <v>25</v>
      </c>
      <c r="L895" s="475"/>
      <c r="M895" s="224"/>
      <c r="N895" s="224"/>
      <c r="O895" s="2628" t="s">
        <v>6395</v>
      </c>
      <c r="P895" s="1">
        <v>81</v>
      </c>
      <c r="T895" s="224"/>
      <c r="U895" s="34" t="s">
        <v>25</v>
      </c>
      <c r="V895" s="475"/>
      <c r="W895" s="224"/>
      <c r="X895" s="224"/>
    </row>
    <row r="896" spans="1:24" x14ac:dyDescent="0.3">
      <c r="A896" s="2651">
        <v>82</v>
      </c>
      <c r="B896" s="1114" t="s">
        <v>1346</v>
      </c>
      <c r="C896" s="1117" t="s">
        <v>1344</v>
      </c>
      <c r="D896" s="113">
        <v>31</v>
      </c>
      <c r="E896" s="217" t="s">
        <v>1386</v>
      </c>
      <c r="F896" s="218" t="s">
        <v>1348</v>
      </c>
      <c r="G896" s="116">
        <v>990</v>
      </c>
      <c r="H896" s="1776" t="s">
        <v>1349</v>
      </c>
      <c r="J896" s="224"/>
      <c r="K896" s="34" t="s">
        <v>25</v>
      </c>
      <c r="L896" s="475"/>
      <c r="M896" s="224"/>
      <c r="N896" s="224"/>
      <c r="O896" s="2628" t="s">
        <v>6395</v>
      </c>
      <c r="P896" s="1">
        <v>82</v>
      </c>
      <c r="T896" s="224"/>
      <c r="U896" s="34" t="s">
        <v>25</v>
      </c>
      <c r="V896" s="475"/>
      <c r="W896" s="224"/>
      <c r="X896" s="224"/>
    </row>
    <row r="897" spans="1:24" x14ac:dyDescent="0.3">
      <c r="A897" s="2651">
        <v>83</v>
      </c>
      <c r="B897" s="1114" t="s">
        <v>1346</v>
      </c>
      <c r="C897" s="418" t="s">
        <v>1344</v>
      </c>
      <c r="D897" s="113">
        <v>31</v>
      </c>
      <c r="E897" s="217" t="s">
        <v>414</v>
      </c>
      <c r="F897" s="218" t="s">
        <v>1348</v>
      </c>
      <c r="G897" s="116">
        <v>990</v>
      </c>
      <c r="H897" s="1776" t="s">
        <v>1349</v>
      </c>
      <c r="J897" s="224"/>
      <c r="K897" s="34" t="s">
        <v>25</v>
      </c>
      <c r="L897" s="475"/>
      <c r="M897" s="224"/>
      <c r="N897" s="224"/>
      <c r="O897" s="2628" t="s">
        <v>6395</v>
      </c>
      <c r="P897" s="1">
        <v>83</v>
      </c>
      <c r="T897" s="224"/>
      <c r="U897" s="34" t="s">
        <v>25</v>
      </c>
      <c r="V897" s="475"/>
      <c r="W897" s="224"/>
      <c r="X897" s="224"/>
    </row>
    <row r="898" spans="1:24" x14ac:dyDescent="0.3">
      <c r="A898" s="2652">
        <v>84</v>
      </c>
      <c r="B898" s="1114" t="s">
        <v>1346</v>
      </c>
      <c r="C898" s="1120" t="s">
        <v>1344</v>
      </c>
      <c r="D898" s="113">
        <v>31</v>
      </c>
      <c r="E898" s="217" t="s">
        <v>1388</v>
      </c>
      <c r="F898" s="218" t="s">
        <v>1348</v>
      </c>
      <c r="G898" s="116">
        <v>990</v>
      </c>
      <c r="H898" s="1776" t="s">
        <v>1349</v>
      </c>
      <c r="J898" s="224"/>
      <c r="K898" s="34" t="s">
        <v>25</v>
      </c>
      <c r="L898" s="475"/>
      <c r="M898" s="224"/>
      <c r="N898" s="224"/>
      <c r="O898" s="2628" t="s">
        <v>6395</v>
      </c>
      <c r="P898" s="1">
        <v>84</v>
      </c>
      <c r="T898" s="224"/>
      <c r="U898" s="34" t="s">
        <v>25</v>
      </c>
      <c r="V898" s="475"/>
      <c r="W898" s="224"/>
      <c r="X898" s="224"/>
    </row>
    <row r="899" spans="1:24" x14ac:dyDescent="0.3">
      <c r="A899" s="2651">
        <v>85</v>
      </c>
      <c r="B899" s="1114" t="s">
        <v>1346</v>
      </c>
      <c r="C899" s="1117" t="s">
        <v>1344</v>
      </c>
      <c r="D899" s="113">
        <v>31</v>
      </c>
      <c r="E899" s="217" t="s">
        <v>1389</v>
      </c>
      <c r="F899" s="218" t="s">
        <v>1348</v>
      </c>
      <c r="G899" s="116">
        <v>990</v>
      </c>
      <c r="H899" s="1776" t="s">
        <v>1349</v>
      </c>
      <c r="J899" s="224"/>
      <c r="K899" s="34" t="s">
        <v>25</v>
      </c>
      <c r="L899" s="475"/>
      <c r="M899" s="224"/>
      <c r="N899" s="224"/>
      <c r="O899" s="2628" t="s">
        <v>6395</v>
      </c>
      <c r="P899" s="1">
        <v>85</v>
      </c>
      <c r="T899" s="224"/>
      <c r="U899" s="34" t="s">
        <v>25</v>
      </c>
      <c r="V899" s="475"/>
      <c r="W899" s="224"/>
      <c r="X899" s="224"/>
    </row>
    <row r="900" spans="1:24" x14ac:dyDescent="0.3">
      <c r="A900" s="2651">
        <v>86</v>
      </c>
      <c r="B900" s="1114" t="s">
        <v>1346</v>
      </c>
      <c r="C900" s="216" t="s">
        <v>1344</v>
      </c>
      <c r="D900" s="113">
        <v>31</v>
      </c>
      <c r="E900" s="217" t="s">
        <v>1390</v>
      </c>
      <c r="F900" s="218" t="s">
        <v>1348</v>
      </c>
      <c r="G900" s="116">
        <v>990</v>
      </c>
      <c r="H900" s="1776" t="s">
        <v>1349</v>
      </c>
      <c r="J900" s="224"/>
      <c r="K900" s="34" t="s">
        <v>25</v>
      </c>
      <c r="L900" s="475"/>
      <c r="M900" s="224"/>
      <c r="N900" s="224"/>
      <c r="O900" s="2628" t="s">
        <v>6395</v>
      </c>
      <c r="P900" s="1">
        <v>86</v>
      </c>
      <c r="T900" s="224"/>
      <c r="U900" s="34" t="s">
        <v>25</v>
      </c>
      <c r="V900" s="475"/>
      <c r="W900" s="224"/>
      <c r="X900" s="224"/>
    </row>
    <row r="901" spans="1:24" x14ac:dyDescent="0.3">
      <c r="A901" s="2652">
        <v>87</v>
      </c>
      <c r="B901" s="1114" t="s">
        <v>1346</v>
      </c>
      <c r="C901" s="216" t="s">
        <v>1344</v>
      </c>
      <c r="D901" s="113">
        <v>31</v>
      </c>
      <c r="E901" s="217" t="s">
        <v>1391</v>
      </c>
      <c r="F901" s="218" t="s">
        <v>1348</v>
      </c>
      <c r="G901" s="116">
        <v>990</v>
      </c>
      <c r="H901" s="1776" t="s">
        <v>1349</v>
      </c>
      <c r="J901" s="224"/>
      <c r="K901" s="34" t="s">
        <v>25</v>
      </c>
      <c r="L901" s="475"/>
      <c r="M901" s="224"/>
      <c r="N901" s="224"/>
      <c r="O901" s="2628" t="s">
        <v>6395</v>
      </c>
      <c r="P901" s="1">
        <v>87</v>
      </c>
      <c r="T901" s="224"/>
      <c r="U901" s="34" t="s">
        <v>25</v>
      </c>
      <c r="V901" s="475"/>
      <c r="W901" s="224"/>
      <c r="X901" s="224"/>
    </row>
    <row r="902" spans="1:24" x14ac:dyDescent="0.3">
      <c r="A902" s="2651">
        <v>88</v>
      </c>
      <c r="B902" s="1114" t="s">
        <v>1346</v>
      </c>
      <c r="C902" s="216" t="s">
        <v>1344</v>
      </c>
      <c r="D902" s="113">
        <v>31</v>
      </c>
      <c r="E902" s="217" t="s">
        <v>1392</v>
      </c>
      <c r="F902" s="218" t="s">
        <v>1348</v>
      </c>
      <c r="G902" s="116">
        <v>990</v>
      </c>
      <c r="H902" s="1776" t="s">
        <v>1349</v>
      </c>
      <c r="J902" s="224"/>
      <c r="K902" s="34" t="s">
        <v>25</v>
      </c>
      <c r="L902" s="475"/>
      <c r="M902" s="224"/>
      <c r="N902" s="224"/>
      <c r="O902" s="2628" t="s">
        <v>6395</v>
      </c>
      <c r="P902" s="1">
        <v>88</v>
      </c>
      <c r="T902" s="224"/>
      <c r="U902" s="34" t="s">
        <v>25</v>
      </c>
      <c r="V902" s="475"/>
      <c r="W902" s="224"/>
      <c r="X902" s="224"/>
    </row>
    <row r="903" spans="1:24" x14ac:dyDescent="0.3">
      <c r="A903" s="2651">
        <v>89</v>
      </c>
      <c r="B903" s="1114" t="s">
        <v>1346</v>
      </c>
      <c r="C903" s="216" t="s">
        <v>1344</v>
      </c>
      <c r="D903" s="113">
        <v>31</v>
      </c>
      <c r="E903" s="217" t="s">
        <v>1393</v>
      </c>
      <c r="F903" s="218" t="s">
        <v>1348</v>
      </c>
      <c r="G903" s="116">
        <v>990</v>
      </c>
      <c r="H903" s="1776" t="s">
        <v>1349</v>
      </c>
      <c r="J903" s="224"/>
      <c r="K903" s="34" t="s">
        <v>25</v>
      </c>
      <c r="L903" s="475"/>
      <c r="M903" s="224"/>
      <c r="N903" s="224"/>
      <c r="O903" s="2628" t="s">
        <v>6395</v>
      </c>
      <c r="P903" s="1">
        <v>89</v>
      </c>
      <c r="T903" s="224"/>
      <c r="U903" s="34" t="s">
        <v>25</v>
      </c>
      <c r="V903" s="475"/>
      <c r="W903" s="224"/>
      <c r="X903" s="224"/>
    </row>
    <row r="904" spans="1:24" x14ac:dyDescent="0.3">
      <c r="A904" s="2652">
        <v>90</v>
      </c>
      <c r="B904" s="1114" t="s">
        <v>1346</v>
      </c>
      <c r="C904" s="216" t="s">
        <v>1344</v>
      </c>
      <c r="D904" s="113">
        <v>31</v>
      </c>
      <c r="E904" s="217" t="s">
        <v>1394</v>
      </c>
      <c r="F904" s="218" t="s">
        <v>1348</v>
      </c>
      <c r="G904" s="116">
        <v>990</v>
      </c>
      <c r="H904" s="1776" t="s">
        <v>1349</v>
      </c>
      <c r="J904" s="224"/>
      <c r="K904" s="34" t="s">
        <v>25</v>
      </c>
      <c r="L904" s="475"/>
      <c r="M904" s="224"/>
      <c r="N904" s="224"/>
      <c r="O904" s="2628" t="s">
        <v>6395</v>
      </c>
      <c r="P904" s="1">
        <v>90</v>
      </c>
      <c r="T904" s="224"/>
      <c r="U904" s="34" t="s">
        <v>25</v>
      </c>
      <c r="V904" s="475"/>
      <c r="W904" s="224"/>
      <c r="X904" s="224"/>
    </row>
    <row r="905" spans="1:24" x14ac:dyDescent="0.3">
      <c r="A905" s="2651">
        <v>91</v>
      </c>
      <c r="B905" s="1114" t="s">
        <v>1346</v>
      </c>
      <c r="C905" s="216" t="s">
        <v>1344</v>
      </c>
      <c r="D905" s="125">
        <v>31</v>
      </c>
      <c r="E905" s="217" t="s">
        <v>1395</v>
      </c>
      <c r="F905" s="218" t="s">
        <v>1348</v>
      </c>
      <c r="G905" s="116">
        <v>990</v>
      </c>
      <c r="H905" s="1776" t="s">
        <v>1349</v>
      </c>
      <c r="J905" s="224"/>
      <c r="K905" s="34" t="s">
        <v>25</v>
      </c>
      <c r="L905" s="475"/>
      <c r="M905" s="224"/>
      <c r="N905" s="224"/>
      <c r="O905" s="2628" t="s">
        <v>6395</v>
      </c>
      <c r="P905" s="1">
        <v>91</v>
      </c>
      <c r="T905" s="224"/>
      <c r="U905" s="34" t="s">
        <v>25</v>
      </c>
      <c r="V905" s="475"/>
      <c r="W905" s="224"/>
      <c r="X905" s="224"/>
    </row>
    <row r="906" spans="1:24" x14ac:dyDescent="0.3">
      <c r="A906" s="2651">
        <v>92</v>
      </c>
      <c r="B906" s="1114" t="s">
        <v>1346</v>
      </c>
      <c r="C906" s="216" t="s">
        <v>1344</v>
      </c>
      <c r="D906" s="128">
        <v>31</v>
      </c>
      <c r="E906" s="217" t="s">
        <v>1396</v>
      </c>
      <c r="F906" s="218" t="s">
        <v>1348</v>
      </c>
      <c r="G906" s="116">
        <v>990</v>
      </c>
      <c r="H906" s="1776" t="s">
        <v>1349</v>
      </c>
      <c r="J906" s="224"/>
      <c r="K906" s="34" t="s">
        <v>25</v>
      </c>
      <c r="L906" s="475"/>
      <c r="M906" s="224"/>
      <c r="N906" s="224"/>
      <c r="O906" s="2628" t="s">
        <v>6395</v>
      </c>
      <c r="P906" s="1">
        <v>92</v>
      </c>
      <c r="T906" s="224"/>
      <c r="U906" s="34" t="s">
        <v>25</v>
      </c>
      <c r="V906" s="475"/>
      <c r="W906" s="224"/>
      <c r="X906" s="224"/>
    </row>
    <row r="907" spans="1:24" x14ac:dyDescent="0.3">
      <c r="A907" s="2652">
        <v>93</v>
      </c>
      <c r="B907" s="1114" t="s">
        <v>1346</v>
      </c>
      <c r="C907" s="216" t="s">
        <v>1344</v>
      </c>
      <c r="D907" s="113">
        <v>31</v>
      </c>
      <c r="E907" s="217" t="s">
        <v>1397</v>
      </c>
      <c r="F907" s="218" t="s">
        <v>1348</v>
      </c>
      <c r="G907" s="116">
        <v>990</v>
      </c>
      <c r="H907" s="1776" t="s">
        <v>1349</v>
      </c>
      <c r="J907" s="224"/>
      <c r="K907" s="34" t="s">
        <v>25</v>
      </c>
      <c r="L907" s="475"/>
      <c r="M907" s="224"/>
      <c r="N907" s="224"/>
      <c r="O907" s="2628" t="s">
        <v>6395</v>
      </c>
      <c r="P907" s="1">
        <v>93</v>
      </c>
      <c r="T907" s="224"/>
      <c r="U907" s="34" t="s">
        <v>25</v>
      </c>
      <c r="V907" s="475"/>
      <c r="W907" s="224"/>
      <c r="X907" s="224"/>
    </row>
    <row r="908" spans="1:24" x14ac:dyDescent="0.3">
      <c r="A908" s="2651">
        <v>94</v>
      </c>
      <c r="B908" s="1114" t="s">
        <v>1346</v>
      </c>
      <c r="C908" s="1117" t="s">
        <v>1344</v>
      </c>
      <c r="D908" s="113">
        <v>31</v>
      </c>
      <c r="E908" s="217" t="s">
        <v>1398</v>
      </c>
      <c r="F908" s="218" t="s">
        <v>1348</v>
      </c>
      <c r="G908" s="116">
        <v>990</v>
      </c>
      <c r="H908" s="1776" t="s">
        <v>1349</v>
      </c>
      <c r="J908" s="224"/>
      <c r="K908" s="34" t="s">
        <v>25</v>
      </c>
      <c r="L908" s="475"/>
      <c r="M908" s="224"/>
      <c r="N908" s="224"/>
      <c r="O908" s="2628" t="s">
        <v>6395</v>
      </c>
      <c r="P908" s="1">
        <v>94</v>
      </c>
      <c r="T908" s="224"/>
      <c r="U908" s="34" t="s">
        <v>25</v>
      </c>
      <c r="V908" s="475"/>
      <c r="W908" s="224"/>
      <c r="X908" s="224"/>
    </row>
    <row r="909" spans="1:24" x14ac:dyDescent="0.3">
      <c r="A909" s="2651">
        <v>95</v>
      </c>
      <c r="B909" s="1114" t="s">
        <v>1346</v>
      </c>
      <c r="C909" s="216" t="s">
        <v>1344</v>
      </c>
      <c r="D909" s="113">
        <v>31</v>
      </c>
      <c r="E909" s="217" t="s">
        <v>1399</v>
      </c>
      <c r="F909" s="218" t="s">
        <v>1348</v>
      </c>
      <c r="G909" s="116">
        <v>990</v>
      </c>
      <c r="H909" s="1776" t="s">
        <v>1349</v>
      </c>
      <c r="J909" s="224"/>
      <c r="K909" s="34" t="s">
        <v>25</v>
      </c>
      <c r="L909" s="475"/>
      <c r="M909" s="224"/>
      <c r="N909" s="224"/>
      <c r="O909" s="2628" t="s">
        <v>6395</v>
      </c>
      <c r="P909" s="1">
        <v>95</v>
      </c>
      <c r="T909" s="224"/>
      <c r="U909" s="34" t="s">
        <v>25</v>
      </c>
      <c r="V909" s="475"/>
      <c r="W909" s="224"/>
      <c r="X909" s="224"/>
    </row>
    <row r="910" spans="1:24" x14ac:dyDescent="0.3">
      <c r="A910" s="2652">
        <v>96</v>
      </c>
      <c r="B910" s="1114" t="s">
        <v>1346</v>
      </c>
      <c r="C910" s="216" t="s">
        <v>1344</v>
      </c>
      <c r="D910" s="113">
        <v>31</v>
      </c>
      <c r="E910" s="217" t="s">
        <v>1400</v>
      </c>
      <c r="F910" s="218" t="s">
        <v>1348</v>
      </c>
      <c r="G910" s="116">
        <v>990</v>
      </c>
      <c r="H910" s="1776" t="s">
        <v>1349</v>
      </c>
      <c r="J910" s="224"/>
      <c r="K910" s="34" t="s">
        <v>25</v>
      </c>
      <c r="L910" s="475"/>
      <c r="M910" s="224"/>
      <c r="N910" s="224"/>
      <c r="O910" s="2628" t="s">
        <v>6395</v>
      </c>
      <c r="P910" s="1">
        <v>96</v>
      </c>
      <c r="T910" s="224"/>
      <c r="U910" s="34" t="s">
        <v>25</v>
      </c>
      <c r="V910" s="475"/>
      <c r="W910" s="224"/>
      <c r="X910" s="224"/>
    </row>
    <row r="911" spans="1:24" x14ac:dyDescent="0.3">
      <c r="A911" s="2651">
        <v>97</v>
      </c>
      <c r="B911" s="1114" t="s">
        <v>1346</v>
      </c>
      <c r="C911" s="216" t="s">
        <v>1344</v>
      </c>
      <c r="D911" s="113">
        <v>31</v>
      </c>
      <c r="E911" s="217" t="s">
        <v>1401</v>
      </c>
      <c r="F911" s="218" t="s">
        <v>1348</v>
      </c>
      <c r="G911" s="116">
        <v>990</v>
      </c>
      <c r="H911" s="1776" t="s">
        <v>1349</v>
      </c>
      <c r="J911" s="224"/>
      <c r="K911" s="34" t="s">
        <v>25</v>
      </c>
      <c r="L911" s="475"/>
      <c r="M911" s="224"/>
      <c r="N911" s="224"/>
      <c r="O911" s="2628" t="s">
        <v>6395</v>
      </c>
      <c r="P911" s="1">
        <v>97</v>
      </c>
      <c r="T911" s="224"/>
      <c r="U911" s="34" t="s">
        <v>25</v>
      </c>
      <c r="V911" s="475"/>
      <c r="W911" s="224"/>
      <c r="X911" s="224"/>
    </row>
    <row r="912" spans="1:24" x14ac:dyDescent="0.3">
      <c r="A912" s="2651">
        <v>98</v>
      </c>
      <c r="B912" s="1114" t="s">
        <v>1346</v>
      </c>
      <c r="C912" s="216" t="s">
        <v>1344</v>
      </c>
      <c r="D912" s="113">
        <v>31</v>
      </c>
      <c r="E912" s="217" t="s">
        <v>955</v>
      </c>
      <c r="F912" s="218" t="s">
        <v>1348</v>
      </c>
      <c r="G912" s="116">
        <v>990</v>
      </c>
      <c r="H912" s="1776" t="s">
        <v>1349</v>
      </c>
      <c r="J912" s="224"/>
      <c r="K912" s="34" t="s">
        <v>25</v>
      </c>
      <c r="L912" s="475"/>
      <c r="M912" s="224"/>
      <c r="N912" s="224"/>
      <c r="O912" s="2628" t="s">
        <v>6395</v>
      </c>
      <c r="P912" s="1">
        <v>98</v>
      </c>
      <c r="T912" s="224"/>
      <c r="U912" s="34" t="s">
        <v>25</v>
      </c>
      <c r="V912" s="475"/>
      <c r="W912" s="224"/>
      <c r="X912" s="224"/>
    </row>
    <row r="913" spans="1:24" x14ac:dyDescent="0.3">
      <c r="A913" s="2652">
        <v>99</v>
      </c>
      <c r="B913" s="1114" t="s">
        <v>1346</v>
      </c>
      <c r="C913" s="216" t="s">
        <v>1344</v>
      </c>
      <c r="D913" s="113">
        <v>31</v>
      </c>
      <c r="E913" s="217" t="s">
        <v>957</v>
      </c>
      <c r="F913" s="218" t="s">
        <v>1348</v>
      </c>
      <c r="G913" s="116">
        <v>990</v>
      </c>
      <c r="H913" s="1776" t="s">
        <v>1349</v>
      </c>
      <c r="J913" s="224"/>
      <c r="K913" s="34" t="s">
        <v>25</v>
      </c>
      <c r="L913" s="475"/>
      <c r="M913" s="224"/>
      <c r="N913" s="224"/>
      <c r="O913" s="2628" t="s">
        <v>6395</v>
      </c>
      <c r="P913" s="1">
        <v>99</v>
      </c>
      <c r="T913" s="224"/>
      <c r="U913" s="34" t="s">
        <v>25</v>
      </c>
      <c r="V913" s="475"/>
      <c r="W913" s="224"/>
      <c r="X913" s="224"/>
    </row>
    <row r="914" spans="1:24" x14ac:dyDescent="0.3">
      <c r="A914" s="2651">
        <v>100</v>
      </c>
      <c r="B914" s="1114" t="s">
        <v>1346</v>
      </c>
      <c r="C914" s="216" t="s">
        <v>1344</v>
      </c>
      <c r="D914" s="113">
        <v>31</v>
      </c>
      <c r="E914" s="217" t="s">
        <v>1402</v>
      </c>
      <c r="F914" s="218" t="s">
        <v>1348</v>
      </c>
      <c r="G914" s="116">
        <v>990</v>
      </c>
      <c r="H914" s="1776" t="s">
        <v>1349</v>
      </c>
      <c r="J914" s="224"/>
      <c r="K914" s="34" t="s">
        <v>25</v>
      </c>
      <c r="L914" s="475"/>
      <c r="M914" s="224"/>
      <c r="N914" s="224"/>
      <c r="O914" s="2628" t="s">
        <v>6395</v>
      </c>
      <c r="P914" s="1">
        <v>100</v>
      </c>
      <c r="T914" s="224"/>
      <c r="U914" s="34" t="s">
        <v>25</v>
      </c>
      <c r="V914" s="475"/>
      <c r="W914" s="224"/>
      <c r="X914" s="224"/>
    </row>
    <row r="915" spans="1:24" x14ac:dyDescent="0.3">
      <c r="A915" s="2651">
        <v>101</v>
      </c>
      <c r="B915" s="1114" t="s">
        <v>1346</v>
      </c>
      <c r="C915" s="216" t="s">
        <v>1344</v>
      </c>
      <c r="D915" s="125">
        <v>31</v>
      </c>
      <c r="E915" s="217" t="s">
        <v>959</v>
      </c>
      <c r="F915" s="218" t="s">
        <v>1348</v>
      </c>
      <c r="G915" s="116">
        <v>990</v>
      </c>
      <c r="H915" s="1776" t="s">
        <v>1349</v>
      </c>
      <c r="J915" s="224"/>
      <c r="K915" s="34" t="s">
        <v>25</v>
      </c>
      <c r="L915" s="475"/>
      <c r="M915" s="224"/>
      <c r="N915" s="224"/>
      <c r="O915" s="2628" t="s">
        <v>6395</v>
      </c>
      <c r="P915" s="1">
        <v>101</v>
      </c>
      <c r="T915" s="224"/>
      <c r="U915" s="34" t="s">
        <v>25</v>
      </c>
      <c r="V915" s="475"/>
      <c r="W915" s="224"/>
      <c r="X915" s="224"/>
    </row>
    <row r="916" spans="1:24" x14ac:dyDescent="0.3">
      <c r="A916" s="2652">
        <v>102</v>
      </c>
      <c r="B916" s="1114" t="s">
        <v>1346</v>
      </c>
      <c r="C916" s="216" t="s">
        <v>1344</v>
      </c>
      <c r="D916" s="128">
        <v>31</v>
      </c>
      <c r="E916" s="217" t="s">
        <v>962</v>
      </c>
      <c r="F916" s="218" t="s">
        <v>1348</v>
      </c>
      <c r="G916" s="116">
        <v>990</v>
      </c>
      <c r="H916" s="1776" t="s">
        <v>1349</v>
      </c>
      <c r="J916" s="224"/>
      <c r="K916" s="34" t="s">
        <v>25</v>
      </c>
      <c r="L916" s="475"/>
      <c r="M916" s="224"/>
      <c r="N916" s="224"/>
      <c r="O916" s="2628" t="s">
        <v>6395</v>
      </c>
      <c r="P916" s="1">
        <v>102</v>
      </c>
      <c r="T916" s="224"/>
      <c r="U916" s="34" t="s">
        <v>25</v>
      </c>
      <c r="V916" s="475"/>
      <c r="W916" s="224"/>
      <c r="X916" s="224"/>
    </row>
    <row r="917" spans="1:24" x14ac:dyDescent="0.3">
      <c r="A917" s="2651">
        <v>103</v>
      </c>
      <c r="B917" s="1114" t="s">
        <v>1346</v>
      </c>
      <c r="C917" s="216" t="s">
        <v>1344</v>
      </c>
      <c r="D917" s="113">
        <v>31</v>
      </c>
      <c r="E917" s="217" t="s">
        <v>1403</v>
      </c>
      <c r="F917" s="218" t="s">
        <v>1348</v>
      </c>
      <c r="G917" s="116">
        <v>990</v>
      </c>
      <c r="H917" s="1776" t="s">
        <v>1349</v>
      </c>
      <c r="J917" s="224"/>
      <c r="K917" s="34" t="s">
        <v>25</v>
      </c>
      <c r="L917" s="475"/>
      <c r="M917" s="224"/>
      <c r="N917" s="224"/>
      <c r="O917" s="2628" t="s">
        <v>6395</v>
      </c>
      <c r="P917" s="1">
        <v>103</v>
      </c>
      <c r="T917" s="224"/>
      <c r="U917" s="34" t="s">
        <v>25</v>
      </c>
      <c r="V917" s="475"/>
      <c r="W917" s="224"/>
      <c r="X917" s="224"/>
    </row>
    <row r="918" spans="1:24" x14ac:dyDescent="0.3">
      <c r="A918" s="2651">
        <v>104</v>
      </c>
      <c r="B918" s="1114" t="s">
        <v>1346</v>
      </c>
      <c r="C918" s="216" t="s">
        <v>1344</v>
      </c>
      <c r="D918" s="113">
        <v>31</v>
      </c>
      <c r="E918" s="217" t="s">
        <v>1404</v>
      </c>
      <c r="F918" s="218" t="s">
        <v>1348</v>
      </c>
      <c r="G918" s="116">
        <v>990</v>
      </c>
      <c r="H918" s="1776" t="s">
        <v>1349</v>
      </c>
      <c r="J918" s="224"/>
      <c r="K918" s="34" t="s">
        <v>25</v>
      </c>
      <c r="L918" s="475"/>
      <c r="M918" s="224"/>
      <c r="N918" s="224"/>
      <c r="O918" s="2628" t="s">
        <v>6395</v>
      </c>
      <c r="P918" s="1">
        <v>104</v>
      </c>
      <c r="T918" s="224"/>
      <c r="U918" s="34" t="s">
        <v>25</v>
      </c>
      <c r="V918" s="475"/>
      <c r="W918" s="224"/>
      <c r="X918" s="224"/>
    </row>
    <row r="919" spans="1:24" x14ac:dyDescent="0.3">
      <c r="A919" s="2652">
        <v>105</v>
      </c>
      <c r="B919" s="1114" t="s">
        <v>1346</v>
      </c>
      <c r="C919" s="216" t="s">
        <v>1344</v>
      </c>
      <c r="D919" s="113">
        <v>31</v>
      </c>
      <c r="E919" s="419" t="s">
        <v>1405</v>
      </c>
      <c r="F919" s="218" t="s">
        <v>1348</v>
      </c>
      <c r="G919" s="116">
        <v>990</v>
      </c>
      <c r="H919" s="1776" t="s">
        <v>1349</v>
      </c>
      <c r="J919" s="224"/>
      <c r="K919" s="34" t="s">
        <v>25</v>
      </c>
      <c r="L919" s="475"/>
      <c r="M919" s="224"/>
      <c r="N919" s="224"/>
      <c r="O919" s="2628" t="s">
        <v>6395</v>
      </c>
      <c r="P919" s="1">
        <v>105</v>
      </c>
      <c r="T919" s="224"/>
      <c r="U919" s="34" t="s">
        <v>25</v>
      </c>
      <c r="V919" s="475"/>
      <c r="W919" s="224"/>
      <c r="X919" s="224"/>
    </row>
    <row r="920" spans="1:24" x14ac:dyDescent="0.3">
      <c r="A920" s="2651">
        <v>106</v>
      </c>
      <c r="B920" s="1114" t="s">
        <v>1346</v>
      </c>
      <c r="C920" s="1117" t="s">
        <v>1344</v>
      </c>
      <c r="D920" s="113">
        <v>31</v>
      </c>
      <c r="E920" s="946" t="s">
        <v>1406</v>
      </c>
      <c r="F920" s="218" t="s">
        <v>1348</v>
      </c>
      <c r="G920" s="116">
        <v>990</v>
      </c>
      <c r="H920" s="1776" t="s">
        <v>1349</v>
      </c>
      <c r="J920" s="224"/>
      <c r="K920" s="34" t="s">
        <v>25</v>
      </c>
      <c r="L920" s="475"/>
      <c r="M920" s="224"/>
      <c r="N920" s="224"/>
      <c r="O920" s="2628" t="s">
        <v>6395</v>
      </c>
      <c r="P920" s="1">
        <v>106</v>
      </c>
      <c r="T920" s="224"/>
      <c r="U920" s="34" t="s">
        <v>25</v>
      </c>
      <c r="V920" s="475"/>
      <c r="W920" s="224"/>
      <c r="X920" s="224"/>
    </row>
    <row r="921" spans="1:24" x14ac:dyDescent="0.3">
      <c r="A921" s="2651">
        <v>107</v>
      </c>
      <c r="B921" s="1114" t="s">
        <v>1346</v>
      </c>
      <c r="C921" s="216" t="s">
        <v>1344</v>
      </c>
      <c r="D921" s="113">
        <v>31</v>
      </c>
      <c r="E921" s="349" t="s">
        <v>1407</v>
      </c>
      <c r="F921" s="218" t="s">
        <v>1348</v>
      </c>
      <c r="G921" s="116">
        <v>990</v>
      </c>
      <c r="H921" s="1776" t="s">
        <v>1349</v>
      </c>
      <c r="J921" s="224"/>
      <c r="K921" s="34" t="s">
        <v>25</v>
      </c>
      <c r="L921" s="475"/>
      <c r="M921" s="224"/>
      <c r="N921" s="224"/>
      <c r="O921" s="2628" t="s">
        <v>6395</v>
      </c>
      <c r="P921" s="1">
        <v>107</v>
      </c>
      <c r="T921" s="224"/>
      <c r="U921" s="34" t="s">
        <v>25</v>
      </c>
      <c r="V921" s="475"/>
      <c r="W921" s="224"/>
      <c r="X921" s="224"/>
    </row>
    <row r="922" spans="1:24" x14ac:dyDescent="0.3">
      <c r="A922" s="2652">
        <v>108</v>
      </c>
      <c r="B922" s="1114" t="s">
        <v>1346</v>
      </c>
      <c r="C922" s="418" t="s">
        <v>1344</v>
      </c>
      <c r="D922" s="113">
        <v>31</v>
      </c>
      <c r="E922" s="217" t="s">
        <v>1408</v>
      </c>
      <c r="F922" s="218" t="s">
        <v>1348</v>
      </c>
      <c r="G922" s="116">
        <v>990</v>
      </c>
      <c r="H922" s="1776" t="s">
        <v>1349</v>
      </c>
      <c r="J922" s="224"/>
      <c r="K922" s="34" t="s">
        <v>25</v>
      </c>
      <c r="L922" s="475"/>
      <c r="M922" s="224"/>
      <c r="N922" s="224"/>
      <c r="O922" s="2628" t="s">
        <v>6395</v>
      </c>
      <c r="P922" s="1">
        <v>108</v>
      </c>
      <c r="T922" s="224"/>
      <c r="U922" s="34" t="s">
        <v>25</v>
      </c>
      <c r="V922" s="475"/>
      <c r="W922" s="224"/>
      <c r="X922" s="224"/>
    </row>
    <row r="923" spans="1:24" x14ac:dyDescent="0.3">
      <c r="A923" s="2651">
        <v>109</v>
      </c>
      <c r="B923" s="1114" t="s">
        <v>1346</v>
      </c>
      <c r="C923" s="1120" t="s">
        <v>1344</v>
      </c>
      <c r="D923" s="113">
        <v>31</v>
      </c>
      <c r="E923" s="217" t="s">
        <v>1409</v>
      </c>
      <c r="F923" s="218" t="s">
        <v>1348</v>
      </c>
      <c r="G923" s="116">
        <v>990</v>
      </c>
      <c r="H923" s="1776" t="s">
        <v>1349</v>
      </c>
      <c r="J923" s="224"/>
      <c r="K923" s="34" t="s">
        <v>25</v>
      </c>
      <c r="L923" s="475"/>
      <c r="M923" s="224"/>
      <c r="N923" s="224"/>
      <c r="O923" s="2628" t="s">
        <v>6395</v>
      </c>
      <c r="P923" s="1">
        <v>109</v>
      </c>
      <c r="T923" s="224"/>
      <c r="U923" s="34" t="s">
        <v>25</v>
      </c>
      <c r="V923" s="475"/>
      <c r="W923" s="224"/>
      <c r="X923" s="224"/>
    </row>
    <row r="924" spans="1:24" x14ac:dyDescent="0.3">
      <c r="A924" s="2651">
        <v>110</v>
      </c>
      <c r="B924" s="1114" t="s">
        <v>1346</v>
      </c>
      <c r="C924" s="1117" t="s">
        <v>1344</v>
      </c>
      <c r="D924" s="113">
        <v>31</v>
      </c>
      <c r="E924" s="217" t="s">
        <v>1410</v>
      </c>
      <c r="F924" s="218" t="s">
        <v>1348</v>
      </c>
      <c r="G924" s="116">
        <v>990</v>
      </c>
      <c r="H924" s="1776" t="s">
        <v>1349</v>
      </c>
      <c r="J924" s="224"/>
      <c r="K924" s="34" t="s">
        <v>25</v>
      </c>
      <c r="L924" s="475"/>
      <c r="M924" s="224"/>
      <c r="N924" s="224"/>
      <c r="O924" s="2628" t="s">
        <v>6395</v>
      </c>
      <c r="P924" s="1">
        <v>110</v>
      </c>
      <c r="T924" s="224"/>
      <c r="U924" s="34" t="s">
        <v>25</v>
      </c>
      <c r="V924" s="475"/>
      <c r="W924" s="224"/>
      <c r="X924" s="224"/>
    </row>
    <row r="925" spans="1:24" x14ac:dyDescent="0.3">
      <c r="A925" s="2652">
        <v>111</v>
      </c>
      <c r="B925" s="1114" t="s">
        <v>1346</v>
      </c>
      <c r="C925" s="1117" t="s">
        <v>1344</v>
      </c>
      <c r="D925" s="113">
        <v>31</v>
      </c>
      <c r="E925" s="217" t="s">
        <v>39</v>
      </c>
      <c r="F925" s="218" t="s">
        <v>1348</v>
      </c>
      <c r="G925" s="116">
        <v>990</v>
      </c>
      <c r="H925" s="1776" t="s">
        <v>1349</v>
      </c>
      <c r="J925" s="224"/>
      <c r="K925" s="34" t="s">
        <v>25</v>
      </c>
      <c r="L925" s="475"/>
      <c r="M925" s="224"/>
      <c r="N925" s="224"/>
      <c r="O925" s="2628" t="s">
        <v>6395</v>
      </c>
      <c r="P925" s="1">
        <v>111</v>
      </c>
      <c r="T925" s="224"/>
      <c r="U925" s="34" t="s">
        <v>25</v>
      </c>
      <c r="V925" s="475"/>
      <c r="W925" s="224"/>
      <c r="X925" s="224"/>
    </row>
    <row r="926" spans="1:24" x14ac:dyDescent="0.3">
      <c r="A926" s="2651">
        <v>112</v>
      </c>
      <c r="B926" s="1114" t="s">
        <v>1346</v>
      </c>
      <c r="C926" s="216" t="s">
        <v>1344</v>
      </c>
      <c r="D926" s="113">
        <v>31</v>
      </c>
      <c r="E926" s="217" t="s">
        <v>42</v>
      </c>
      <c r="F926" s="218" t="s">
        <v>1348</v>
      </c>
      <c r="G926" s="116">
        <v>990</v>
      </c>
      <c r="H926" s="1776" t="s">
        <v>1349</v>
      </c>
      <c r="J926" s="224"/>
      <c r="K926" s="34" t="s">
        <v>25</v>
      </c>
      <c r="L926" s="475"/>
      <c r="M926" s="224"/>
      <c r="N926" s="224"/>
      <c r="O926" s="2628" t="s">
        <v>6395</v>
      </c>
      <c r="P926" s="1">
        <v>112</v>
      </c>
      <c r="T926" s="224"/>
      <c r="U926" s="34" t="s">
        <v>25</v>
      </c>
      <c r="V926" s="475"/>
      <c r="W926" s="224"/>
      <c r="X926" s="224"/>
    </row>
    <row r="927" spans="1:24" x14ac:dyDescent="0.3">
      <c r="A927" s="2651">
        <v>113</v>
      </c>
      <c r="B927" s="1114" t="s">
        <v>1346</v>
      </c>
      <c r="C927" s="216" t="s">
        <v>1344</v>
      </c>
      <c r="D927" s="113">
        <v>31</v>
      </c>
      <c r="E927" s="217" t="s">
        <v>43</v>
      </c>
      <c r="F927" s="218" t="s">
        <v>1348</v>
      </c>
      <c r="G927" s="116">
        <v>990</v>
      </c>
      <c r="H927" s="1776" t="s">
        <v>1349</v>
      </c>
      <c r="J927" s="224"/>
      <c r="K927" s="34" t="s">
        <v>25</v>
      </c>
      <c r="L927" s="475"/>
      <c r="M927" s="224"/>
      <c r="N927" s="224"/>
      <c r="O927" s="2628" t="s">
        <v>6395</v>
      </c>
      <c r="P927" s="1">
        <v>113</v>
      </c>
      <c r="T927" s="224"/>
      <c r="U927" s="34" t="s">
        <v>25</v>
      </c>
      <c r="V927" s="475"/>
      <c r="W927" s="224"/>
      <c r="X927" s="224"/>
    </row>
    <row r="928" spans="1:24" x14ac:dyDescent="0.3">
      <c r="A928" s="2652">
        <v>114</v>
      </c>
      <c r="B928" s="1114" t="s">
        <v>1346</v>
      </c>
      <c r="C928" s="216" t="s">
        <v>1344</v>
      </c>
      <c r="D928" s="113">
        <v>31</v>
      </c>
      <c r="E928" s="217" t="s">
        <v>44</v>
      </c>
      <c r="F928" s="218" t="s">
        <v>1348</v>
      </c>
      <c r="G928" s="116">
        <v>990</v>
      </c>
      <c r="H928" s="1776" t="s">
        <v>1349</v>
      </c>
      <c r="J928" s="224"/>
      <c r="K928" s="34" t="s">
        <v>25</v>
      </c>
      <c r="L928" s="475"/>
      <c r="M928" s="224"/>
      <c r="N928" s="224"/>
      <c r="O928" s="2628" t="s">
        <v>6395</v>
      </c>
      <c r="P928" s="1">
        <v>114</v>
      </c>
      <c r="T928" s="224"/>
      <c r="U928" s="34" t="s">
        <v>25</v>
      </c>
      <c r="V928" s="475"/>
      <c r="W928" s="224"/>
      <c r="X928" s="224"/>
    </row>
    <row r="929" spans="1:24" x14ac:dyDescent="0.3">
      <c r="A929" s="2651">
        <v>115</v>
      </c>
      <c r="B929" s="1114" t="s">
        <v>1346</v>
      </c>
      <c r="C929" s="216" t="s">
        <v>1344</v>
      </c>
      <c r="D929" s="113">
        <v>31</v>
      </c>
      <c r="E929" s="217" t="s">
        <v>45</v>
      </c>
      <c r="F929" s="218" t="s">
        <v>1348</v>
      </c>
      <c r="G929" s="116">
        <v>990</v>
      </c>
      <c r="H929" s="1776" t="s">
        <v>1349</v>
      </c>
      <c r="J929" s="224"/>
      <c r="K929" s="34" t="s">
        <v>25</v>
      </c>
      <c r="L929" s="475"/>
      <c r="M929" s="224"/>
      <c r="N929" s="224"/>
      <c r="O929" s="2628" t="s">
        <v>6395</v>
      </c>
      <c r="P929" s="1">
        <v>115</v>
      </c>
      <c r="T929" s="224"/>
      <c r="U929" s="34" t="s">
        <v>25</v>
      </c>
      <c r="V929" s="475"/>
      <c r="W929" s="224"/>
      <c r="X929" s="224"/>
    </row>
    <row r="930" spans="1:24" x14ac:dyDescent="0.3">
      <c r="A930" s="2651">
        <v>116</v>
      </c>
      <c r="B930" s="1114" t="s">
        <v>1346</v>
      </c>
      <c r="C930" s="1117" t="s">
        <v>1344</v>
      </c>
      <c r="D930" s="113">
        <v>31</v>
      </c>
      <c r="E930" s="217" t="s">
        <v>46</v>
      </c>
      <c r="F930" s="218" t="s">
        <v>1348</v>
      </c>
      <c r="G930" s="116">
        <v>990</v>
      </c>
      <c r="H930" s="1776" t="s">
        <v>1349</v>
      </c>
      <c r="J930" s="224"/>
      <c r="K930" s="34" t="s">
        <v>25</v>
      </c>
      <c r="L930" s="475"/>
      <c r="M930" s="224"/>
      <c r="N930" s="224"/>
      <c r="O930" s="2628" t="s">
        <v>6395</v>
      </c>
      <c r="P930" s="1">
        <v>116</v>
      </c>
      <c r="T930" s="224"/>
      <c r="U930" s="34" t="s">
        <v>25</v>
      </c>
      <c r="V930" s="475"/>
      <c r="W930" s="224"/>
      <c r="X930" s="224"/>
    </row>
    <row r="931" spans="1:24" x14ac:dyDescent="0.3">
      <c r="A931" s="2652">
        <v>117</v>
      </c>
      <c r="B931" s="1114" t="s">
        <v>1346</v>
      </c>
      <c r="C931" s="1117" t="s">
        <v>1344</v>
      </c>
      <c r="D931" s="113">
        <v>31</v>
      </c>
      <c r="E931" s="217" t="s">
        <v>47</v>
      </c>
      <c r="F931" s="218" t="s">
        <v>1348</v>
      </c>
      <c r="G931" s="116">
        <v>990</v>
      </c>
      <c r="H931" s="1776" t="s">
        <v>1349</v>
      </c>
      <c r="J931" s="224"/>
      <c r="K931" s="34" t="s">
        <v>25</v>
      </c>
      <c r="L931" s="475"/>
      <c r="M931" s="224"/>
      <c r="N931" s="224"/>
      <c r="O931" s="2628" t="s">
        <v>6395</v>
      </c>
      <c r="P931" s="1">
        <v>117</v>
      </c>
      <c r="T931" s="224"/>
      <c r="U931" s="34" t="s">
        <v>25</v>
      </c>
      <c r="V931" s="475"/>
      <c r="W931" s="224"/>
      <c r="X931" s="224"/>
    </row>
    <row r="932" spans="1:24" x14ac:dyDescent="0.3">
      <c r="A932" s="2651">
        <v>118</v>
      </c>
      <c r="B932" s="1114" t="s">
        <v>1346</v>
      </c>
      <c r="C932" s="216" t="s">
        <v>1344</v>
      </c>
      <c r="D932" s="113">
        <v>31</v>
      </c>
      <c r="E932" s="217" t="s">
        <v>48</v>
      </c>
      <c r="F932" s="218" t="s">
        <v>1348</v>
      </c>
      <c r="G932" s="116">
        <v>990</v>
      </c>
      <c r="H932" s="1776" t="s">
        <v>1349</v>
      </c>
      <c r="J932" s="224"/>
      <c r="K932" s="34" t="s">
        <v>25</v>
      </c>
      <c r="L932" s="475"/>
      <c r="M932" s="224"/>
      <c r="N932" s="224"/>
      <c r="O932" s="2628" t="s">
        <v>6395</v>
      </c>
      <c r="P932" s="1">
        <v>118</v>
      </c>
      <c r="T932" s="224"/>
      <c r="U932" s="34" t="s">
        <v>25</v>
      </c>
      <c r="V932" s="475"/>
      <c r="W932" s="224"/>
      <c r="X932" s="224"/>
    </row>
    <row r="933" spans="1:24" x14ac:dyDescent="0.3">
      <c r="A933" s="2651">
        <v>119</v>
      </c>
      <c r="B933" s="1114" t="s">
        <v>1346</v>
      </c>
      <c r="C933" s="216" t="s">
        <v>1344</v>
      </c>
      <c r="D933" s="113">
        <v>31</v>
      </c>
      <c r="E933" s="217" t="s">
        <v>49</v>
      </c>
      <c r="F933" s="218" t="s">
        <v>1348</v>
      </c>
      <c r="G933" s="116">
        <v>990</v>
      </c>
      <c r="H933" s="1776" t="s">
        <v>1349</v>
      </c>
      <c r="J933" s="224"/>
      <c r="K933" s="34" t="s">
        <v>25</v>
      </c>
      <c r="L933" s="475"/>
      <c r="M933" s="224"/>
      <c r="N933" s="224"/>
      <c r="O933" s="2628" t="s">
        <v>6395</v>
      </c>
      <c r="P933" s="1">
        <v>119</v>
      </c>
      <c r="T933" s="224"/>
      <c r="U933" s="34" t="s">
        <v>25</v>
      </c>
      <c r="V933" s="475"/>
      <c r="W933" s="224"/>
      <c r="X933" s="224"/>
    </row>
    <row r="934" spans="1:24" x14ac:dyDescent="0.3">
      <c r="A934" s="2652">
        <v>120</v>
      </c>
      <c r="B934" s="1114" t="s">
        <v>1346</v>
      </c>
      <c r="C934" s="1117" t="s">
        <v>1344</v>
      </c>
      <c r="D934" s="113">
        <v>31</v>
      </c>
      <c r="E934" s="217" t="s">
        <v>50</v>
      </c>
      <c r="F934" s="218" t="s">
        <v>1348</v>
      </c>
      <c r="G934" s="116">
        <v>990</v>
      </c>
      <c r="H934" s="1776" t="s">
        <v>1349</v>
      </c>
      <c r="J934" s="224"/>
      <c r="K934" s="34" t="s">
        <v>25</v>
      </c>
      <c r="L934" s="475"/>
      <c r="M934" s="224"/>
      <c r="N934" s="224"/>
      <c r="O934" s="2628" t="s">
        <v>6395</v>
      </c>
      <c r="P934" s="1">
        <v>120</v>
      </c>
      <c r="T934" s="224"/>
      <c r="U934" s="34" t="s">
        <v>25</v>
      </c>
      <c r="V934" s="475"/>
      <c r="W934" s="224"/>
      <c r="X934" s="224"/>
    </row>
    <row r="935" spans="1:24" x14ac:dyDescent="0.3">
      <c r="A935" s="2651">
        <v>121</v>
      </c>
      <c r="B935" s="1114" t="s">
        <v>1346</v>
      </c>
      <c r="C935" s="216" t="s">
        <v>1344</v>
      </c>
      <c r="D935" s="113">
        <v>31</v>
      </c>
      <c r="E935" s="217" t="s">
        <v>53</v>
      </c>
      <c r="F935" s="218" t="s">
        <v>1348</v>
      </c>
      <c r="G935" s="116">
        <v>990</v>
      </c>
      <c r="H935" s="1776" t="s">
        <v>1349</v>
      </c>
      <c r="J935" s="224"/>
      <c r="K935" s="34" t="s">
        <v>25</v>
      </c>
      <c r="L935" s="475"/>
      <c r="M935" s="224"/>
      <c r="N935" s="224"/>
      <c r="O935" s="2628" t="s">
        <v>6395</v>
      </c>
      <c r="P935" s="1">
        <v>121</v>
      </c>
      <c r="T935" s="224"/>
      <c r="U935" s="34" t="s">
        <v>25</v>
      </c>
      <c r="V935" s="475"/>
      <c r="W935" s="224"/>
      <c r="X935" s="224"/>
    </row>
    <row r="936" spans="1:24" x14ac:dyDescent="0.3">
      <c r="A936" s="2651">
        <v>122</v>
      </c>
      <c r="B936" s="1114" t="s">
        <v>1346</v>
      </c>
      <c r="C936" s="216" t="s">
        <v>1344</v>
      </c>
      <c r="D936" s="113">
        <v>31</v>
      </c>
      <c r="E936" s="217" t="s">
        <v>56</v>
      </c>
      <c r="F936" s="218" t="s">
        <v>1348</v>
      </c>
      <c r="G936" s="116">
        <v>990</v>
      </c>
      <c r="H936" s="1776" t="s">
        <v>1349</v>
      </c>
      <c r="J936" s="224"/>
      <c r="K936" s="34" t="s">
        <v>25</v>
      </c>
      <c r="L936" s="475"/>
      <c r="M936" s="224"/>
      <c r="N936" s="224"/>
      <c r="O936" s="2628" t="s">
        <v>6395</v>
      </c>
      <c r="P936" s="1">
        <v>122</v>
      </c>
      <c r="T936" s="224"/>
      <c r="U936" s="34" t="s">
        <v>25</v>
      </c>
      <c r="V936" s="475"/>
      <c r="W936" s="224"/>
      <c r="X936" s="224"/>
    </row>
    <row r="937" spans="1:24" x14ac:dyDescent="0.3">
      <c r="A937" s="2652">
        <v>123</v>
      </c>
      <c r="B937" s="1114" t="s">
        <v>1346</v>
      </c>
      <c r="C937" s="216" t="s">
        <v>1344</v>
      </c>
      <c r="D937" s="113">
        <v>31</v>
      </c>
      <c r="E937" s="217" t="s">
        <v>58</v>
      </c>
      <c r="F937" s="218" t="s">
        <v>1348</v>
      </c>
      <c r="G937" s="116">
        <v>990</v>
      </c>
      <c r="H937" s="1776" t="s">
        <v>1349</v>
      </c>
      <c r="J937" s="224"/>
      <c r="K937" s="34" t="s">
        <v>25</v>
      </c>
      <c r="L937" s="475"/>
      <c r="M937" s="224"/>
      <c r="N937" s="224"/>
      <c r="O937" s="2628" t="s">
        <v>6395</v>
      </c>
      <c r="P937" s="1">
        <v>123</v>
      </c>
      <c r="T937" s="224"/>
      <c r="U937" s="34" t="s">
        <v>25</v>
      </c>
      <c r="V937" s="475"/>
      <c r="W937" s="224"/>
      <c r="X937" s="224"/>
    </row>
    <row r="938" spans="1:24" x14ac:dyDescent="0.3">
      <c r="A938" s="2651">
        <v>124</v>
      </c>
      <c r="B938" s="1114" t="s">
        <v>1346</v>
      </c>
      <c r="C938" s="216" t="s">
        <v>1344</v>
      </c>
      <c r="D938" s="113">
        <v>31</v>
      </c>
      <c r="E938" s="217" t="s">
        <v>59</v>
      </c>
      <c r="F938" s="218" t="s">
        <v>1348</v>
      </c>
      <c r="G938" s="116">
        <v>990</v>
      </c>
      <c r="H938" s="1776" t="s">
        <v>1349</v>
      </c>
      <c r="J938" s="224"/>
      <c r="K938" s="34" t="s">
        <v>25</v>
      </c>
      <c r="L938" s="475"/>
      <c r="M938" s="224"/>
      <c r="N938" s="224"/>
      <c r="O938" s="2628" t="s">
        <v>6395</v>
      </c>
      <c r="P938" s="1">
        <v>124</v>
      </c>
      <c r="T938" s="224"/>
      <c r="U938" s="34" t="s">
        <v>25</v>
      </c>
      <c r="V938" s="475"/>
      <c r="W938" s="224"/>
      <c r="X938" s="224"/>
    </row>
    <row r="939" spans="1:24" x14ac:dyDescent="0.3">
      <c r="A939" s="2651">
        <v>125</v>
      </c>
      <c r="B939" s="1114" t="s">
        <v>1346</v>
      </c>
      <c r="C939" s="1117" t="s">
        <v>1344</v>
      </c>
      <c r="D939" s="125">
        <v>31</v>
      </c>
      <c r="E939" s="217" t="s">
        <v>60</v>
      </c>
      <c r="F939" s="218" t="s">
        <v>1348</v>
      </c>
      <c r="G939" s="116">
        <v>990</v>
      </c>
      <c r="H939" s="1776" t="s">
        <v>1349</v>
      </c>
      <c r="J939" s="224"/>
      <c r="K939" s="34" t="s">
        <v>25</v>
      </c>
      <c r="L939" s="475"/>
      <c r="M939" s="224"/>
      <c r="N939" s="224"/>
      <c r="O939" s="2628" t="s">
        <v>6395</v>
      </c>
      <c r="P939" s="1">
        <v>125</v>
      </c>
      <c r="T939" s="224"/>
      <c r="U939" s="34" t="s">
        <v>25</v>
      </c>
      <c r="V939" s="475"/>
      <c r="W939" s="224"/>
      <c r="X939" s="224"/>
    </row>
    <row r="940" spans="1:24" x14ac:dyDescent="0.3">
      <c r="A940" s="2652">
        <v>126</v>
      </c>
      <c r="B940" s="1114" t="s">
        <v>1346</v>
      </c>
      <c r="C940" s="216" t="s">
        <v>1344</v>
      </c>
      <c r="D940" s="128">
        <v>31</v>
      </c>
      <c r="E940" s="217" t="s">
        <v>61</v>
      </c>
      <c r="F940" s="218" t="s">
        <v>1348</v>
      </c>
      <c r="G940" s="116">
        <v>990</v>
      </c>
      <c r="H940" s="1776" t="s">
        <v>1349</v>
      </c>
      <c r="J940" s="224"/>
      <c r="K940" s="34" t="s">
        <v>25</v>
      </c>
      <c r="L940" s="475"/>
      <c r="M940" s="224"/>
      <c r="N940" s="224"/>
      <c r="O940" s="2628" t="s">
        <v>6395</v>
      </c>
      <c r="P940" s="1">
        <v>126</v>
      </c>
      <c r="T940" s="224"/>
      <c r="U940" s="34" t="s">
        <v>25</v>
      </c>
      <c r="V940" s="475"/>
      <c r="W940" s="224"/>
      <c r="X940" s="224"/>
    </row>
    <row r="941" spans="1:24" x14ac:dyDescent="0.3">
      <c r="A941" s="2651">
        <v>127</v>
      </c>
      <c r="B941" s="1114" t="s">
        <v>1346</v>
      </c>
      <c r="C941" s="216" t="s">
        <v>1344</v>
      </c>
      <c r="D941" s="113">
        <v>31</v>
      </c>
      <c r="E941" s="217" t="s">
        <v>62</v>
      </c>
      <c r="F941" s="218" t="s">
        <v>1348</v>
      </c>
      <c r="G941" s="116">
        <v>990</v>
      </c>
      <c r="H941" s="1776" t="s">
        <v>1349</v>
      </c>
      <c r="J941" s="224"/>
      <c r="K941" s="34" t="s">
        <v>25</v>
      </c>
      <c r="L941" s="475"/>
      <c r="M941" s="224"/>
      <c r="N941" s="224"/>
      <c r="O941" s="2628" t="s">
        <v>6395</v>
      </c>
      <c r="P941" s="1">
        <v>127</v>
      </c>
      <c r="T941" s="224"/>
      <c r="U941" s="34" t="s">
        <v>25</v>
      </c>
      <c r="V941" s="475"/>
      <c r="W941" s="224"/>
      <c r="X941" s="224"/>
    </row>
    <row r="942" spans="1:24" x14ac:dyDescent="0.3">
      <c r="A942" s="2651">
        <v>128</v>
      </c>
      <c r="B942" s="1114" t="s">
        <v>1346</v>
      </c>
      <c r="C942" s="216" t="s">
        <v>1344</v>
      </c>
      <c r="D942" s="113">
        <v>31</v>
      </c>
      <c r="E942" s="217" t="s">
        <v>63</v>
      </c>
      <c r="F942" s="218" t="s">
        <v>1348</v>
      </c>
      <c r="G942" s="116">
        <v>990</v>
      </c>
      <c r="H942" s="1776" t="s">
        <v>1349</v>
      </c>
      <c r="J942" s="224"/>
      <c r="K942" s="34" t="s">
        <v>25</v>
      </c>
      <c r="L942" s="475"/>
      <c r="M942" s="224"/>
      <c r="N942" s="224"/>
      <c r="O942" s="2628" t="s">
        <v>6395</v>
      </c>
      <c r="P942" s="1">
        <v>128</v>
      </c>
      <c r="T942" s="224"/>
      <c r="U942" s="34" t="s">
        <v>25</v>
      </c>
      <c r="V942" s="475"/>
      <c r="W942" s="224"/>
      <c r="X942" s="224"/>
    </row>
    <row r="943" spans="1:24" x14ac:dyDescent="0.3">
      <c r="A943" s="2652">
        <v>129</v>
      </c>
      <c r="B943" s="1114" t="s">
        <v>1346</v>
      </c>
      <c r="C943" s="216" t="s">
        <v>1344</v>
      </c>
      <c r="D943" s="113">
        <v>31</v>
      </c>
      <c r="E943" s="217" t="s">
        <v>64</v>
      </c>
      <c r="F943" s="218" t="s">
        <v>1348</v>
      </c>
      <c r="G943" s="116">
        <v>990</v>
      </c>
      <c r="H943" s="1776" t="s">
        <v>1349</v>
      </c>
      <c r="J943" s="224"/>
      <c r="K943" s="34" t="s">
        <v>25</v>
      </c>
      <c r="L943" s="475"/>
      <c r="M943" s="224"/>
      <c r="N943" s="224"/>
      <c r="O943" s="2628" t="s">
        <v>6395</v>
      </c>
      <c r="P943" s="1">
        <v>129</v>
      </c>
      <c r="T943" s="224"/>
      <c r="U943" s="34" t="s">
        <v>25</v>
      </c>
      <c r="V943" s="475"/>
      <c r="W943" s="224"/>
      <c r="X943" s="224"/>
    </row>
    <row r="944" spans="1:24" x14ac:dyDescent="0.3">
      <c r="A944" s="2651">
        <v>130</v>
      </c>
      <c r="B944" s="1114" t="s">
        <v>1346</v>
      </c>
      <c r="C944" s="216" t="s">
        <v>1344</v>
      </c>
      <c r="D944" s="113">
        <v>31</v>
      </c>
      <c r="E944" s="217" t="s">
        <v>65</v>
      </c>
      <c r="F944" s="218" t="s">
        <v>1348</v>
      </c>
      <c r="G944" s="116">
        <v>990</v>
      </c>
      <c r="H944" s="1776" t="s">
        <v>1349</v>
      </c>
      <c r="J944" s="224"/>
      <c r="K944" s="34" t="s">
        <v>25</v>
      </c>
      <c r="L944" s="475"/>
      <c r="M944" s="224"/>
      <c r="N944" s="224"/>
      <c r="O944" s="2628" t="s">
        <v>6395</v>
      </c>
      <c r="P944" s="1">
        <v>130</v>
      </c>
      <c r="T944" s="224"/>
      <c r="U944" s="34" t="s">
        <v>25</v>
      </c>
      <c r="V944" s="475"/>
      <c r="W944" s="224"/>
      <c r="X944" s="224"/>
    </row>
    <row r="945" spans="1:24" x14ac:dyDescent="0.3">
      <c r="A945" s="2651">
        <v>131</v>
      </c>
      <c r="B945" s="1114" t="s">
        <v>1346</v>
      </c>
      <c r="C945" s="216" t="s">
        <v>1344</v>
      </c>
      <c r="D945" s="113">
        <v>31</v>
      </c>
      <c r="E945" s="217" t="s">
        <v>66</v>
      </c>
      <c r="F945" s="218" t="s">
        <v>1348</v>
      </c>
      <c r="G945" s="116">
        <v>990</v>
      </c>
      <c r="H945" s="1776" t="s">
        <v>1349</v>
      </c>
      <c r="J945" s="224"/>
      <c r="K945" s="34" t="s">
        <v>25</v>
      </c>
      <c r="L945" s="475"/>
      <c r="M945" s="224"/>
      <c r="N945" s="224"/>
      <c r="O945" s="2628" t="s">
        <v>6395</v>
      </c>
      <c r="P945" s="1">
        <v>131</v>
      </c>
      <c r="T945" s="224"/>
      <c r="U945" s="34" t="s">
        <v>25</v>
      </c>
      <c r="V945" s="475"/>
      <c r="W945" s="224"/>
      <c r="X945" s="224"/>
    </row>
    <row r="946" spans="1:24" x14ac:dyDescent="0.3">
      <c r="A946" s="2652">
        <v>132</v>
      </c>
      <c r="B946" s="1114" t="s">
        <v>1346</v>
      </c>
      <c r="C946" s="216" t="s">
        <v>1344</v>
      </c>
      <c r="D946" s="113">
        <v>31</v>
      </c>
      <c r="E946" s="217" t="s">
        <v>67</v>
      </c>
      <c r="F946" s="218" t="s">
        <v>1348</v>
      </c>
      <c r="G946" s="116">
        <v>990</v>
      </c>
      <c r="H946" s="1776" t="s">
        <v>1349</v>
      </c>
      <c r="J946" s="224"/>
      <c r="K946" s="34" t="s">
        <v>25</v>
      </c>
      <c r="L946" s="475"/>
      <c r="M946" s="224"/>
      <c r="N946" s="224"/>
      <c r="O946" s="2628" t="s">
        <v>6395</v>
      </c>
      <c r="P946" s="1">
        <v>132</v>
      </c>
      <c r="T946" s="224"/>
      <c r="U946" s="34" t="s">
        <v>25</v>
      </c>
      <c r="V946" s="475"/>
      <c r="W946" s="224"/>
      <c r="X946" s="224"/>
    </row>
    <row r="947" spans="1:24" x14ac:dyDescent="0.3">
      <c r="A947" s="2651">
        <v>133</v>
      </c>
      <c r="B947" s="1114" t="s">
        <v>1346</v>
      </c>
      <c r="C947" s="216" t="s">
        <v>1344</v>
      </c>
      <c r="D947" s="113">
        <v>31</v>
      </c>
      <c r="E947" s="217" t="s">
        <v>68</v>
      </c>
      <c r="F947" s="218" t="s">
        <v>1348</v>
      </c>
      <c r="G947" s="116">
        <v>990</v>
      </c>
      <c r="H947" s="1776" t="s">
        <v>1349</v>
      </c>
      <c r="J947" s="224"/>
      <c r="K947" s="34" t="s">
        <v>25</v>
      </c>
      <c r="L947" s="475"/>
      <c r="M947" s="224"/>
      <c r="N947" s="224"/>
      <c r="O947" s="2628" t="s">
        <v>6395</v>
      </c>
      <c r="P947" s="1">
        <v>133</v>
      </c>
      <c r="T947" s="224"/>
      <c r="U947" s="34" t="s">
        <v>25</v>
      </c>
      <c r="V947" s="475"/>
      <c r="W947" s="224"/>
      <c r="X947" s="224"/>
    </row>
    <row r="948" spans="1:24" x14ac:dyDescent="0.3">
      <c r="A948" s="2651">
        <v>134</v>
      </c>
      <c r="B948" s="1114" t="s">
        <v>1346</v>
      </c>
      <c r="C948" s="1117" t="s">
        <v>1344</v>
      </c>
      <c r="D948" s="113">
        <v>31</v>
      </c>
      <c r="E948" s="217" t="s">
        <v>69</v>
      </c>
      <c r="F948" s="218" t="s">
        <v>1348</v>
      </c>
      <c r="G948" s="116">
        <v>990</v>
      </c>
      <c r="H948" s="1776" t="s">
        <v>1349</v>
      </c>
      <c r="J948" s="224"/>
      <c r="K948" s="34" t="s">
        <v>25</v>
      </c>
      <c r="L948" s="475"/>
      <c r="M948" s="224"/>
      <c r="N948" s="224"/>
      <c r="O948" s="2628" t="s">
        <v>6395</v>
      </c>
      <c r="P948" s="1">
        <v>134</v>
      </c>
      <c r="T948" s="224"/>
      <c r="U948" s="34" t="s">
        <v>25</v>
      </c>
      <c r="V948" s="475"/>
      <c r="W948" s="224"/>
      <c r="X948" s="224"/>
    </row>
    <row r="949" spans="1:24" x14ac:dyDescent="0.3">
      <c r="A949" s="2652">
        <v>135</v>
      </c>
      <c r="B949" s="1114" t="s">
        <v>1346</v>
      </c>
      <c r="C949" s="1117" t="s">
        <v>1344</v>
      </c>
      <c r="D949" s="113">
        <v>31</v>
      </c>
      <c r="E949" s="217" t="s">
        <v>70</v>
      </c>
      <c r="F949" s="218" t="s">
        <v>1348</v>
      </c>
      <c r="G949" s="116">
        <v>990</v>
      </c>
      <c r="H949" s="1776" t="s">
        <v>1349</v>
      </c>
      <c r="J949" s="224"/>
      <c r="K949" s="34" t="s">
        <v>25</v>
      </c>
      <c r="L949" s="475"/>
      <c r="M949" s="224"/>
      <c r="N949" s="224"/>
      <c r="O949" s="2628" t="s">
        <v>6395</v>
      </c>
      <c r="P949" s="1">
        <v>135</v>
      </c>
      <c r="T949" s="224"/>
      <c r="U949" s="34" t="s">
        <v>25</v>
      </c>
      <c r="V949" s="475"/>
      <c r="W949" s="224"/>
      <c r="X949" s="224"/>
    </row>
    <row r="950" spans="1:24" x14ac:dyDescent="0.3">
      <c r="A950" s="2651">
        <v>136</v>
      </c>
      <c r="B950" s="1114" t="s">
        <v>1346</v>
      </c>
      <c r="C950" s="216" t="s">
        <v>1344</v>
      </c>
      <c r="D950" s="113">
        <v>31</v>
      </c>
      <c r="E950" s="217" t="s">
        <v>71</v>
      </c>
      <c r="F950" s="218" t="s">
        <v>1348</v>
      </c>
      <c r="G950" s="116">
        <v>990</v>
      </c>
      <c r="H950" s="1776" t="s">
        <v>1349</v>
      </c>
      <c r="J950" s="224"/>
      <c r="K950" s="34" t="s">
        <v>25</v>
      </c>
      <c r="L950" s="475"/>
      <c r="M950" s="224"/>
      <c r="N950" s="224"/>
      <c r="O950" s="2628" t="s">
        <v>6395</v>
      </c>
      <c r="P950" s="1">
        <v>136</v>
      </c>
      <c r="T950" s="224"/>
      <c r="U950" s="34" t="s">
        <v>25</v>
      </c>
      <c r="V950" s="475"/>
      <c r="W950" s="224"/>
      <c r="X950" s="224"/>
    </row>
    <row r="951" spans="1:24" x14ac:dyDescent="0.3">
      <c r="A951" s="2651">
        <v>137</v>
      </c>
      <c r="B951" s="1114" t="s">
        <v>1346</v>
      </c>
      <c r="C951" s="216" t="s">
        <v>1344</v>
      </c>
      <c r="D951" s="113">
        <v>31</v>
      </c>
      <c r="E951" s="217" t="s">
        <v>72</v>
      </c>
      <c r="F951" s="218" t="s">
        <v>1348</v>
      </c>
      <c r="G951" s="116">
        <v>990</v>
      </c>
      <c r="H951" s="1776" t="s">
        <v>1349</v>
      </c>
      <c r="J951" s="224"/>
      <c r="K951" s="34" t="s">
        <v>25</v>
      </c>
      <c r="L951" s="475"/>
      <c r="M951" s="224"/>
      <c r="N951" s="224"/>
      <c r="O951" s="2628" t="s">
        <v>6395</v>
      </c>
      <c r="P951" s="1">
        <v>137</v>
      </c>
      <c r="T951" s="224"/>
      <c r="U951" s="34" t="s">
        <v>25</v>
      </c>
      <c r="V951" s="475"/>
      <c r="W951" s="224"/>
      <c r="X951" s="224"/>
    </row>
    <row r="952" spans="1:24" x14ac:dyDescent="0.3">
      <c r="A952" s="2652">
        <v>138</v>
      </c>
      <c r="B952" s="1114" t="s">
        <v>1346</v>
      </c>
      <c r="C952" s="216" t="s">
        <v>1344</v>
      </c>
      <c r="D952" s="113">
        <v>31</v>
      </c>
      <c r="E952" s="217" t="s">
        <v>73</v>
      </c>
      <c r="F952" s="218" t="s">
        <v>1348</v>
      </c>
      <c r="G952" s="116">
        <v>990</v>
      </c>
      <c r="H952" s="1776" t="s">
        <v>1349</v>
      </c>
      <c r="J952" s="224"/>
      <c r="K952" s="34" t="s">
        <v>25</v>
      </c>
      <c r="L952" s="475"/>
      <c r="M952" s="224"/>
      <c r="N952" s="224"/>
      <c r="O952" s="2628" t="s">
        <v>6395</v>
      </c>
      <c r="P952" s="1">
        <v>138</v>
      </c>
      <c r="T952" s="224"/>
      <c r="U952" s="34" t="s">
        <v>25</v>
      </c>
      <c r="V952" s="475"/>
      <c r="W952" s="224"/>
      <c r="X952" s="224"/>
    </row>
    <row r="953" spans="1:24" x14ac:dyDescent="0.3">
      <c r="A953" s="2651">
        <v>139</v>
      </c>
      <c r="B953" s="1114" t="s">
        <v>1346</v>
      </c>
      <c r="C953" s="216" t="s">
        <v>1344</v>
      </c>
      <c r="D953" s="113">
        <v>31</v>
      </c>
      <c r="E953" s="217" t="s">
        <v>74</v>
      </c>
      <c r="F953" s="218" t="s">
        <v>1348</v>
      </c>
      <c r="G953" s="116">
        <v>990</v>
      </c>
      <c r="H953" s="1776" t="s">
        <v>1349</v>
      </c>
      <c r="J953" s="224"/>
      <c r="K953" s="34" t="s">
        <v>25</v>
      </c>
      <c r="L953" s="475"/>
      <c r="M953" s="224"/>
      <c r="N953" s="224"/>
      <c r="O953" s="2628" t="s">
        <v>6395</v>
      </c>
      <c r="P953" s="1">
        <v>139</v>
      </c>
      <c r="T953" s="224"/>
      <c r="U953" s="34" t="s">
        <v>25</v>
      </c>
      <c r="V953" s="475"/>
      <c r="W953" s="224"/>
      <c r="X953" s="224"/>
    </row>
    <row r="954" spans="1:24" x14ac:dyDescent="0.3">
      <c r="A954" s="2651">
        <v>140</v>
      </c>
      <c r="B954" s="1114" t="s">
        <v>1346</v>
      </c>
      <c r="C954" s="216" t="s">
        <v>1344</v>
      </c>
      <c r="D954" s="113">
        <v>31</v>
      </c>
      <c r="E954" s="217" t="s">
        <v>75</v>
      </c>
      <c r="F954" s="218" t="s">
        <v>1348</v>
      </c>
      <c r="G954" s="116">
        <v>990</v>
      </c>
      <c r="H954" s="1776" t="s">
        <v>1349</v>
      </c>
      <c r="J954" s="224"/>
      <c r="K954" s="34" t="s">
        <v>25</v>
      </c>
      <c r="L954" s="475"/>
      <c r="M954" s="224"/>
      <c r="N954" s="224"/>
      <c r="O954" s="2628" t="s">
        <v>6395</v>
      </c>
      <c r="P954" s="1">
        <v>140</v>
      </c>
      <c r="T954" s="224"/>
      <c r="U954" s="34" t="s">
        <v>25</v>
      </c>
      <c r="V954" s="475"/>
      <c r="W954" s="224"/>
      <c r="X954" s="224"/>
    </row>
    <row r="955" spans="1:24" x14ac:dyDescent="0.3">
      <c r="A955" s="2652">
        <v>141</v>
      </c>
      <c r="B955" s="1114" t="s">
        <v>1346</v>
      </c>
      <c r="C955" s="216" t="s">
        <v>1344</v>
      </c>
      <c r="D955" s="113">
        <v>31</v>
      </c>
      <c r="E955" s="217" t="s">
        <v>77</v>
      </c>
      <c r="F955" s="218" t="s">
        <v>1348</v>
      </c>
      <c r="G955" s="116">
        <v>990</v>
      </c>
      <c r="H955" s="1776" t="s">
        <v>1349</v>
      </c>
      <c r="J955" s="224"/>
      <c r="K955" s="34" t="s">
        <v>25</v>
      </c>
      <c r="L955" s="475"/>
      <c r="M955" s="224"/>
      <c r="N955" s="224"/>
      <c r="O955" s="2628" t="s">
        <v>6395</v>
      </c>
      <c r="P955" s="1">
        <v>141</v>
      </c>
      <c r="T955" s="224"/>
      <c r="U955" s="34" t="s">
        <v>25</v>
      </c>
      <c r="V955" s="475"/>
      <c r="W955" s="224"/>
      <c r="X955" s="224"/>
    </row>
    <row r="956" spans="1:24" x14ac:dyDescent="0.3">
      <c r="A956" s="2651">
        <v>142</v>
      </c>
      <c r="B956" s="1114" t="s">
        <v>1346</v>
      </c>
      <c r="C956" s="1117" t="s">
        <v>1344</v>
      </c>
      <c r="D956" s="113">
        <v>31</v>
      </c>
      <c r="E956" s="217" t="s">
        <v>79</v>
      </c>
      <c r="F956" s="218" t="s">
        <v>1348</v>
      </c>
      <c r="G956" s="116">
        <v>990</v>
      </c>
      <c r="H956" s="1776" t="s">
        <v>1349</v>
      </c>
      <c r="J956" s="224"/>
      <c r="K956" s="34" t="s">
        <v>25</v>
      </c>
      <c r="L956" s="475"/>
      <c r="M956" s="224"/>
      <c r="N956" s="224"/>
      <c r="O956" s="2628" t="s">
        <v>6395</v>
      </c>
      <c r="P956" s="1">
        <v>142</v>
      </c>
      <c r="T956" s="224"/>
      <c r="U956" s="34" t="s">
        <v>25</v>
      </c>
      <c r="V956" s="475"/>
      <c r="W956" s="224"/>
      <c r="X956" s="224"/>
    </row>
    <row r="957" spans="1:24" x14ac:dyDescent="0.3">
      <c r="A957" s="2651">
        <v>143</v>
      </c>
      <c r="B957" s="1114" t="s">
        <v>1346</v>
      </c>
      <c r="C957" s="216" t="s">
        <v>1344</v>
      </c>
      <c r="D957" s="113">
        <v>31</v>
      </c>
      <c r="E957" s="217" t="s">
        <v>80</v>
      </c>
      <c r="F957" s="218" t="s">
        <v>1348</v>
      </c>
      <c r="G957" s="116">
        <v>990</v>
      </c>
      <c r="H957" s="1776" t="s">
        <v>1349</v>
      </c>
      <c r="J957" s="224"/>
      <c r="K957" s="34" t="s">
        <v>25</v>
      </c>
      <c r="L957" s="475"/>
      <c r="M957" s="224"/>
      <c r="N957" s="224"/>
      <c r="O957" s="2628" t="s">
        <v>6395</v>
      </c>
      <c r="P957" s="1">
        <v>143</v>
      </c>
      <c r="T957" s="224"/>
      <c r="U957" s="34" t="s">
        <v>25</v>
      </c>
      <c r="V957" s="475"/>
      <c r="W957" s="224"/>
      <c r="X957" s="224"/>
    </row>
    <row r="958" spans="1:24" x14ac:dyDescent="0.3">
      <c r="A958" s="2652">
        <v>144</v>
      </c>
      <c r="B958" s="1114" t="s">
        <v>1346</v>
      </c>
      <c r="C958" s="1117" t="s">
        <v>1344</v>
      </c>
      <c r="D958" s="113">
        <v>31</v>
      </c>
      <c r="E958" s="217" t="s">
        <v>81</v>
      </c>
      <c r="F958" s="218" t="s">
        <v>1348</v>
      </c>
      <c r="G958" s="116">
        <v>990</v>
      </c>
      <c r="H958" s="1776" t="s">
        <v>1349</v>
      </c>
      <c r="J958" s="224"/>
      <c r="K958" s="34" t="s">
        <v>25</v>
      </c>
      <c r="L958" s="475"/>
      <c r="M958" s="224"/>
      <c r="N958" s="224"/>
      <c r="O958" s="2628" t="s">
        <v>6395</v>
      </c>
      <c r="P958" s="1">
        <v>144</v>
      </c>
      <c r="T958" s="224"/>
      <c r="U958" s="34" t="s">
        <v>25</v>
      </c>
      <c r="V958" s="475"/>
      <c r="W958" s="224"/>
      <c r="X958" s="224"/>
    </row>
    <row r="959" spans="1:24" x14ac:dyDescent="0.3">
      <c r="A959" s="2651">
        <v>145</v>
      </c>
      <c r="B959" s="1114" t="s">
        <v>1346</v>
      </c>
      <c r="C959" s="1117" t="s">
        <v>1344</v>
      </c>
      <c r="D959" s="113">
        <v>31</v>
      </c>
      <c r="E959" s="217" t="s">
        <v>82</v>
      </c>
      <c r="F959" s="218" t="s">
        <v>1348</v>
      </c>
      <c r="G959" s="116">
        <v>990</v>
      </c>
      <c r="H959" s="1776" t="s">
        <v>1349</v>
      </c>
      <c r="J959" s="224"/>
      <c r="K959" s="34" t="s">
        <v>25</v>
      </c>
      <c r="L959" s="475"/>
      <c r="M959" s="224"/>
      <c r="N959" s="224"/>
      <c r="O959" s="2628" t="s">
        <v>6395</v>
      </c>
      <c r="P959" s="1">
        <v>145</v>
      </c>
      <c r="T959" s="224"/>
      <c r="U959" s="34" t="s">
        <v>25</v>
      </c>
      <c r="V959" s="475"/>
      <c r="W959" s="224"/>
      <c r="X959" s="224"/>
    </row>
    <row r="960" spans="1:24" x14ac:dyDescent="0.3">
      <c r="A960" s="2651">
        <v>146</v>
      </c>
      <c r="B960" s="1114" t="s">
        <v>1346</v>
      </c>
      <c r="C960" s="1117" t="s">
        <v>1344</v>
      </c>
      <c r="D960" s="113">
        <v>31</v>
      </c>
      <c r="E960" s="217" t="s">
        <v>83</v>
      </c>
      <c r="F960" s="218" t="s">
        <v>1348</v>
      </c>
      <c r="G960" s="116">
        <v>990</v>
      </c>
      <c r="H960" s="1776" t="s">
        <v>1349</v>
      </c>
      <c r="J960" s="224"/>
      <c r="K960" s="34" t="s">
        <v>25</v>
      </c>
      <c r="L960" s="475"/>
      <c r="M960" s="224"/>
      <c r="N960" s="224"/>
      <c r="O960" s="2628" t="s">
        <v>6395</v>
      </c>
      <c r="P960" s="1">
        <v>146</v>
      </c>
      <c r="T960" s="224"/>
      <c r="U960" s="34" t="s">
        <v>25</v>
      </c>
      <c r="V960" s="475"/>
      <c r="W960" s="224"/>
      <c r="X960" s="224"/>
    </row>
    <row r="961" spans="1:24" x14ac:dyDescent="0.3">
      <c r="A961" s="2652">
        <v>147</v>
      </c>
      <c r="B961" s="1114" t="s">
        <v>1346</v>
      </c>
      <c r="C961" s="216" t="s">
        <v>1344</v>
      </c>
      <c r="D961" s="113">
        <v>31</v>
      </c>
      <c r="E961" s="217" t="s">
        <v>84</v>
      </c>
      <c r="F961" s="218" t="s">
        <v>1348</v>
      </c>
      <c r="G961" s="116">
        <v>990</v>
      </c>
      <c r="H961" s="1776" t="s">
        <v>1349</v>
      </c>
      <c r="J961" s="224"/>
      <c r="K961" s="34" t="s">
        <v>25</v>
      </c>
      <c r="L961" s="475"/>
      <c r="M961" s="224"/>
      <c r="N961" s="224"/>
      <c r="O961" s="2628" t="s">
        <v>6395</v>
      </c>
      <c r="P961" s="1">
        <v>147</v>
      </c>
      <c r="T961" s="224"/>
      <c r="U961" s="34" t="s">
        <v>25</v>
      </c>
      <c r="V961" s="475"/>
      <c r="W961" s="224"/>
      <c r="X961" s="224"/>
    </row>
    <row r="962" spans="1:24" x14ac:dyDescent="0.3">
      <c r="A962" s="2651">
        <v>148</v>
      </c>
      <c r="B962" s="1114" t="s">
        <v>1346</v>
      </c>
      <c r="C962" s="216" t="s">
        <v>1344</v>
      </c>
      <c r="D962" s="113">
        <v>31</v>
      </c>
      <c r="E962" s="217" t="s">
        <v>85</v>
      </c>
      <c r="F962" s="218" t="s">
        <v>1348</v>
      </c>
      <c r="G962" s="116">
        <v>990</v>
      </c>
      <c r="H962" s="1776" t="s">
        <v>1349</v>
      </c>
      <c r="J962" s="224"/>
      <c r="K962" s="34" t="s">
        <v>25</v>
      </c>
      <c r="L962" s="475"/>
      <c r="M962" s="224"/>
      <c r="N962" s="224"/>
      <c r="O962" s="2628" t="s">
        <v>6395</v>
      </c>
      <c r="P962" s="1">
        <v>148</v>
      </c>
      <c r="T962" s="224"/>
      <c r="U962" s="34" t="s">
        <v>25</v>
      </c>
      <c r="V962" s="475"/>
      <c r="W962" s="224"/>
      <c r="X962" s="224"/>
    </row>
    <row r="963" spans="1:24" x14ac:dyDescent="0.3">
      <c r="A963" s="2651">
        <v>149</v>
      </c>
      <c r="B963" s="1114" t="s">
        <v>1346</v>
      </c>
      <c r="C963" s="1117" t="s">
        <v>1344</v>
      </c>
      <c r="D963" s="113">
        <v>31</v>
      </c>
      <c r="E963" s="217" t="s">
        <v>86</v>
      </c>
      <c r="F963" s="218" t="s">
        <v>1348</v>
      </c>
      <c r="G963" s="116">
        <v>990</v>
      </c>
      <c r="H963" s="1776" t="s">
        <v>1349</v>
      </c>
      <c r="J963" s="224"/>
      <c r="K963" s="34" t="s">
        <v>25</v>
      </c>
      <c r="L963" s="475"/>
      <c r="M963" s="224"/>
      <c r="N963" s="224"/>
      <c r="O963" s="2628" t="s">
        <v>6395</v>
      </c>
      <c r="P963" s="1">
        <v>149</v>
      </c>
      <c r="T963" s="224"/>
      <c r="U963" s="34" t="s">
        <v>25</v>
      </c>
      <c r="V963" s="475"/>
      <c r="W963" s="224"/>
      <c r="X963" s="224"/>
    </row>
    <row r="964" spans="1:24" x14ac:dyDescent="0.3">
      <c r="A964" s="2652">
        <v>150</v>
      </c>
      <c r="B964" s="1114" t="s">
        <v>1346</v>
      </c>
      <c r="C964" s="1117" t="s">
        <v>1344</v>
      </c>
      <c r="D964" s="113">
        <v>31</v>
      </c>
      <c r="E964" s="217" t="s">
        <v>87</v>
      </c>
      <c r="F964" s="218" t="s">
        <v>1348</v>
      </c>
      <c r="G964" s="116">
        <v>990</v>
      </c>
      <c r="H964" s="1776" t="s">
        <v>1349</v>
      </c>
      <c r="J964" s="224"/>
      <c r="K964" s="34" t="s">
        <v>25</v>
      </c>
      <c r="L964" s="475"/>
      <c r="M964" s="224"/>
      <c r="N964" s="224"/>
      <c r="O964" s="2628" t="s">
        <v>6395</v>
      </c>
      <c r="P964" s="1">
        <v>150</v>
      </c>
      <c r="T964" s="224"/>
      <c r="U964" s="34" t="s">
        <v>25</v>
      </c>
      <c r="V964" s="475"/>
      <c r="W964" s="224"/>
      <c r="X964" s="224"/>
    </row>
    <row r="965" spans="1:24" x14ac:dyDescent="0.3">
      <c r="A965" s="2651">
        <v>151</v>
      </c>
      <c r="B965" s="1114" t="s">
        <v>1346</v>
      </c>
      <c r="C965" s="1117" t="s">
        <v>1344</v>
      </c>
      <c r="D965" s="113">
        <v>31</v>
      </c>
      <c r="E965" s="217" t="s">
        <v>88</v>
      </c>
      <c r="F965" s="218" t="s">
        <v>1348</v>
      </c>
      <c r="G965" s="116">
        <v>990</v>
      </c>
      <c r="H965" s="1776" t="s">
        <v>1349</v>
      </c>
      <c r="J965" s="224"/>
      <c r="K965" s="34" t="s">
        <v>25</v>
      </c>
      <c r="L965" s="475"/>
      <c r="M965" s="224"/>
      <c r="N965" s="224"/>
      <c r="O965" s="2628" t="s">
        <v>6395</v>
      </c>
      <c r="P965" s="1">
        <v>151</v>
      </c>
      <c r="T965" s="224"/>
      <c r="U965" s="34" t="s">
        <v>25</v>
      </c>
      <c r="V965" s="475"/>
      <c r="W965" s="224"/>
      <c r="X965" s="224"/>
    </row>
    <row r="966" spans="1:24" x14ac:dyDescent="0.3">
      <c r="A966" s="2651">
        <v>152</v>
      </c>
      <c r="B966" s="1114" t="s">
        <v>1346</v>
      </c>
      <c r="C966" s="216" t="s">
        <v>1344</v>
      </c>
      <c r="D966" s="113">
        <v>31</v>
      </c>
      <c r="E966" s="217" t="s">
        <v>89</v>
      </c>
      <c r="F966" s="218" t="s">
        <v>1348</v>
      </c>
      <c r="G966" s="116">
        <v>990</v>
      </c>
      <c r="H966" s="1776" t="s">
        <v>1349</v>
      </c>
      <c r="J966" s="224"/>
      <c r="K966" s="34" t="s">
        <v>25</v>
      </c>
      <c r="L966" s="475"/>
      <c r="M966" s="224"/>
      <c r="N966" s="224"/>
      <c r="O966" s="2628" t="s">
        <v>6395</v>
      </c>
      <c r="P966" s="1">
        <v>152</v>
      </c>
      <c r="T966" s="224"/>
      <c r="U966" s="34" t="s">
        <v>25</v>
      </c>
      <c r="V966" s="475"/>
      <c r="W966" s="224"/>
      <c r="X966" s="224"/>
    </row>
    <row r="967" spans="1:24" x14ac:dyDescent="0.3">
      <c r="A967" s="2652">
        <v>153</v>
      </c>
      <c r="B967" s="1114" t="s">
        <v>1346</v>
      </c>
      <c r="C967" s="216" t="s">
        <v>1344</v>
      </c>
      <c r="D967" s="113">
        <v>31</v>
      </c>
      <c r="E967" s="217" t="s">
        <v>90</v>
      </c>
      <c r="F967" s="218" t="s">
        <v>1348</v>
      </c>
      <c r="G967" s="116">
        <v>990</v>
      </c>
      <c r="H967" s="1776" t="s">
        <v>1349</v>
      </c>
      <c r="J967" s="224"/>
      <c r="K967" s="34" t="s">
        <v>25</v>
      </c>
      <c r="L967" s="475"/>
      <c r="M967" s="224"/>
      <c r="N967" s="224"/>
      <c r="O967" s="2628" t="s">
        <v>6395</v>
      </c>
      <c r="P967" s="1">
        <v>153</v>
      </c>
      <c r="T967" s="224"/>
      <c r="U967" s="34" t="s">
        <v>25</v>
      </c>
      <c r="V967" s="475"/>
      <c r="W967" s="224"/>
      <c r="X967" s="224"/>
    </row>
    <row r="968" spans="1:24" x14ac:dyDescent="0.3">
      <c r="A968" s="2651">
        <v>154</v>
      </c>
      <c r="B968" s="1114" t="s">
        <v>1346</v>
      </c>
      <c r="C968" s="1117" t="s">
        <v>1344</v>
      </c>
      <c r="D968" s="113">
        <v>31</v>
      </c>
      <c r="E968" s="217" t="s">
        <v>91</v>
      </c>
      <c r="F968" s="218" t="s">
        <v>1348</v>
      </c>
      <c r="G968" s="116">
        <v>990</v>
      </c>
      <c r="H968" s="1776" t="s">
        <v>1349</v>
      </c>
      <c r="J968" s="224"/>
      <c r="K968" s="34" t="s">
        <v>25</v>
      </c>
      <c r="L968" s="475"/>
      <c r="M968" s="224"/>
      <c r="N968" s="224"/>
      <c r="O968" s="2628" t="s">
        <v>6395</v>
      </c>
      <c r="P968" s="1">
        <v>154</v>
      </c>
      <c r="T968" s="224"/>
      <c r="U968" s="34" t="s">
        <v>25</v>
      </c>
      <c r="V968" s="475"/>
      <c r="W968" s="224"/>
      <c r="X968" s="224"/>
    </row>
    <row r="969" spans="1:24" x14ac:dyDescent="0.3">
      <c r="A969" s="2651">
        <v>155</v>
      </c>
      <c r="B969" s="1114" t="s">
        <v>1346</v>
      </c>
      <c r="C969" s="216" t="s">
        <v>1344</v>
      </c>
      <c r="D969" s="113">
        <v>31</v>
      </c>
      <c r="E969" s="217" t="s">
        <v>92</v>
      </c>
      <c r="F969" s="218" t="s">
        <v>1348</v>
      </c>
      <c r="G969" s="116">
        <v>990</v>
      </c>
      <c r="H969" s="1776" t="s">
        <v>1349</v>
      </c>
      <c r="J969" s="224"/>
      <c r="K969" s="34" t="s">
        <v>25</v>
      </c>
      <c r="L969" s="475"/>
      <c r="M969" s="224"/>
      <c r="N969" s="224"/>
      <c r="O969" s="2628" t="s">
        <v>6395</v>
      </c>
      <c r="P969" s="1">
        <v>155</v>
      </c>
      <c r="T969" s="224"/>
      <c r="U969" s="34" t="s">
        <v>25</v>
      </c>
      <c r="V969" s="475"/>
      <c r="W969" s="224"/>
      <c r="X969" s="224"/>
    </row>
    <row r="970" spans="1:24" x14ac:dyDescent="0.3">
      <c r="A970" s="2652">
        <v>156</v>
      </c>
      <c r="B970" s="1114" t="s">
        <v>1346</v>
      </c>
      <c r="C970" s="1117" t="s">
        <v>1344</v>
      </c>
      <c r="D970" s="113">
        <v>31</v>
      </c>
      <c r="E970" s="217" t="s">
        <v>93</v>
      </c>
      <c r="F970" s="218" t="s">
        <v>1348</v>
      </c>
      <c r="G970" s="116">
        <v>990</v>
      </c>
      <c r="H970" s="1776" t="s">
        <v>1349</v>
      </c>
      <c r="J970" s="224"/>
      <c r="K970" s="34" t="s">
        <v>25</v>
      </c>
      <c r="L970" s="475"/>
      <c r="M970" s="224"/>
      <c r="N970" s="224"/>
      <c r="O970" s="2628" t="s">
        <v>6395</v>
      </c>
      <c r="P970" s="1">
        <v>156</v>
      </c>
      <c r="T970" s="224"/>
      <c r="U970" s="34" t="s">
        <v>25</v>
      </c>
      <c r="V970" s="475"/>
      <c r="W970" s="224"/>
      <c r="X970" s="224"/>
    </row>
    <row r="971" spans="1:24" x14ac:dyDescent="0.3">
      <c r="A971" s="2651">
        <v>157</v>
      </c>
      <c r="B971" s="1114" t="s">
        <v>1346</v>
      </c>
      <c r="C971" s="216" t="s">
        <v>1344</v>
      </c>
      <c r="D971" s="113">
        <v>31</v>
      </c>
      <c r="E971" s="217" t="s">
        <v>94</v>
      </c>
      <c r="F971" s="218" t="s">
        <v>1348</v>
      </c>
      <c r="G971" s="116">
        <v>990</v>
      </c>
      <c r="H971" s="1776" t="s">
        <v>1349</v>
      </c>
      <c r="J971" s="224"/>
      <c r="K971" s="34" t="s">
        <v>25</v>
      </c>
      <c r="L971" s="475"/>
      <c r="M971" s="224"/>
      <c r="N971" s="224"/>
      <c r="O971" s="2628" t="s">
        <v>6395</v>
      </c>
      <c r="P971" s="1">
        <v>157</v>
      </c>
      <c r="T971" s="224"/>
      <c r="U971" s="34" t="s">
        <v>25</v>
      </c>
      <c r="V971" s="475"/>
      <c r="W971" s="224"/>
      <c r="X971" s="224"/>
    </row>
    <row r="972" spans="1:24" x14ac:dyDescent="0.3">
      <c r="A972" s="2651">
        <v>158</v>
      </c>
      <c r="B972" s="1114" t="s">
        <v>1346</v>
      </c>
      <c r="C972" s="216" t="s">
        <v>1344</v>
      </c>
      <c r="D972" s="113">
        <v>31</v>
      </c>
      <c r="E972" s="217" t="s">
        <v>95</v>
      </c>
      <c r="F972" s="218" t="s">
        <v>1348</v>
      </c>
      <c r="G972" s="116">
        <v>990</v>
      </c>
      <c r="H972" s="1776" t="s">
        <v>1349</v>
      </c>
      <c r="J972" s="224"/>
      <c r="K972" s="34" t="s">
        <v>25</v>
      </c>
      <c r="L972" s="475"/>
      <c r="M972" s="224"/>
      <c r="N972" s="224"/>
      <c r="O972" s="2628" t="s">
        <v>6395</v>
      </c>
      <c r="P972" s="1">
        <v>158</v>
      </c>
      <c r="T972" s="224"/>
      <c r="U972" s="34" t="s">
        <v>25</v>
      </c>
      <c r="V972" s="475"/>
      <c r="W972" s="224"/>
      <c r="X972" s="224"/>
    </row>
    <row r="973" spans="1:24" x14ac:dyDescent="0.3">
      <c r="A973" s="2652">
        <v>159</v>
      </c>
      <c r="B973" s="1114" t="s">
        <v>1346</v>
      </c>
      <c r="C973" s="216" t="s">
        <v>1344</v>
      </c>
      <c r="D973" s="113">
        <v>31</v>
      </c>
      <c r="E973" s="217" t="s">
        <v>96</v>
      </c>
      <c r="F973" s="218" t="s">
        <v>1348</v>
      </c>
      <c r="G973" s="116">
        <v>990</v>
      </c>
      <c r="H973" s="1776" t="s">
        <v>1349</v>
      </c>
      <c r="J973" s="224"/>
      <c r="K973" s="34" t="s">
        <v>25</v>
      </c>
      <c r="L973" s="475"/>
      <c r="M973" s="224"/>
      <c r="N973" s="224"/>
      <c r="O973" s="2628" t="s">
        <v>6395</v>
      </c>
      <c r="P973" s="1">
        <v>159</v>
      </c>
      <c r="T973" s="224"/>
      <c r="U973" s="34" t="s">
        <v>25</v>
      </c>
      <c r="V973" s="475"/>
      <c r="W973" s="224"/>
      <c r="X973" s="224"/>
    </row>
    <row r="974" spans="1:24" x14ac:dyDescent="0.3">
      <c r="A974" s="2651">
        <v>160</v>
      </c>
      <c r="B974" s="1114" t="s">
        <v>1346</v>
      </c>
      <c r="C974" s="216" t="s">
        <v>1344</v>
      </c>
      <c r="D974" s="113">
        <v>31</v>
      </c>
      <c r="E974" s="217" t="s">
        <v>97</v>
      </c>
      <c r="F974" s="218" t="s">
        <v>1348</v>
      </c>
      <c r="G974" s="116">
        <v>990</v>
      </c>
      <c r="H974" s="1776" t="s">
        <v>1349</v>
      </c>
      <c r="J974" s="224"/>
      <c r="K974" s="34" t="s">
        <v>25</v>
      </c>
      <c r="L974" s="475"/>
      <c r="M974" s="224"/>
      <c r="N974" s="224"/>
      <c r="O974" s="2628" t="s">
        <v>6395</v>
      </c>
      <c r="P974" s="1">
        <v>160</v>
      </c>
      <c r="T974" s="224"/>
      <c r="U974" s="34" t="s">
        <v>25</v>
      </c>
      <c r="V974" s="475"/>
      <c r="W974" s="224"/>
      <c r="X974" s="224"/>
    </row>
    <row r="975" spans="1:24" x14ac:dyDescent="0.3">
      <c r="A975" s="2651">
        <v>161</v>
      </c>
      <c r="B975" s="1114" t="s">
        <v>1346</v>
      </c>
      <c r="C975" s="216" t="s">
        <v>1344</v>
      </c>
      <c r="D975" s="113">
        <v>31</v>
      </c>
      <c r="E975" s="217" t="s">
        <v>999</v>
      </c>
      <c r="F975" s="218" t="s">
        <v>1348</v>
      </c>
      <c r="G975" s="116">
        <v>990</v>
      </c>
      <c r="H975" s="1776" t="s">
        <v>1349</v>
      </c>
      <c r="J975" s="224"/>
      <c r="K975" s="34" t="s">
        <v>25</v>
      </c>
      <c r="L975" s="475"/>
      <c r="M975" s="224"/>
      <c r="N975" s="224"/>
      <c r="O975" s="2628" t="s">
        <v>6395</v>
      </c>
      <c r="P975" s="1">
        <v>161</v>
      </c>
      <c r="T975" s="224"/>
      <c r="U975" s="34" t="s">
        <v>25</v>
      </c>
      <c r="V975" s="475"/>
      <c r="W975" s="224"/>
      <c r="X975" s="224"/>
    </row>
    <row r="976" spans="1:24" x14ac:dyDescent="0.3">
      <c r="A976" s="2652">
        <v>162</v>
      </c>
      <c r="B976" s="1114" t="s">
        <v>1346</v>
      </c>
      <c r="C976" s="216" t="s">
        <v>1344</v>
      </c>
      <c r="D976" s="113">
        <v>31</v>
      </c>
      <c r="E976" s="217" t="s">
        <v>1000</v>
      </c>
      <c r="F976" s="218" t="s">
        <v>1348</v>
      </c>
      <c r="G976" s="116">
        <v>990</v>
      </c>
      <c r="H976" s="1776" t="s">
        <v>1349</v>
      </c>
      <c r="J976" s="224"/>
      <c r="K976" s="34" t="s">
        <v>25</v>
      </c>
      <c r="L976" s="475"/>
      <c r="M976" s="224"/>
      <c r="N976" s="224"/>
      <c r="O976" s="2628" t="s">
        <v>6395</v>
      </c>
      <c r="P976" s="1">
        <v>162</v>
      </c>
      <c r="T976" s="224"/>
      <c r="U976" s="34" t="s">
        <v>25</v>
      </c>
      <c r="V976" s="475"/>
      <c r="W976" s="224"/>
      <c r="X976" s="224"/>
    </row>
    <row r="977" spans="1:24" x14ac:dyDescent="0.3">
      <c r="A977" s="2651">
        <v>163</v>
      </c>
      <c r="B977" s="1114" t="s">
        <v>1346</v>
      </c>
      <c r="C977" s="216" t="s">
        <v>1344</v>
      </c>
      <c r="D977" s="113">
        <v>31</v>
      </c>
      <c r="E977" s="217" t="s">
        <v>1001</v>
      </c>
      <c r="F977" s="218" t="s">
        <v>1348</v>
      </c>
      <c r="G977" s="116">
        <v>990</v>
      </c>
      <c r="H977" s="1776" t="s">
        <v>1349</v>
      </c>
      <c r="J977" s="224"/>
      <c r="K977" s="34" t="s">
        <v>25</v>
      </c>
      <c r="L977" s="475"/>
      <c r="M977" s="224"/>
      <c r="N977" s="224"/>
      <c r="O977" s="2628" t="s">
        <v>6395</v>
      </c>
      <c r="P977" s="1">
        <v>163</v>
      </c>
      <c r="T977" s="224"/>
      <c r="U977" s="34" t="s">
        <v>25</v>
      </c>
      <c r="V977" s="475"/>
      <c r="W977" s="224"/>
      <c r="X977" s="224"/>
    </row>
    <row r="978" spans="1:24" x14ac:dyDescent="0.3">
      <c r="A978" s="2651">
        <v>164</v>
      </c>
      <c r="B978" s="1114" t="s">
        <v>1346</v>
      </c>
      <c r="C978" s="216" t="s">
        <v>1344</v>
      </c>
      <c r="D978" s="113">
        <v>31</v>
      </c>
      <c r="E978" s="217" t="s">
        <v>1002</v>
      </c>
      <c r="F978" s="218" t="s">
        <v>1348</v>
      </c>
      <c r="G978" s="116">
        <v>990</v>
      </c>
      <c r="H978" s="1776" t="s">
        <v>1349</v>
      </c>
      <c r="J978" s="224"/>
      <c r="K978" s="34" t="s">
        <v>25</v>
      </c>
      <c r="L978" s="475"/>
      <c r="M978" s="224"/>
      <c r="N978" s="224"/>
      <c r="O978" s="2628" t="s">
        <v>6395</v>
      </c>
      <c r="P978" s="1">
        <v>164</v>
      </c>
      <c r="T978" s="224"/>
      <c r="U978" s="34" t="s">
        <v>25</v>
      </c>
      <c r="V978" s="475"/>
      <c r="W978" s="224"/>
      <c r="X978" s="224"/>
    </row>
    <row r="979" spans="1:24" x14ac:dyDescent="0.3">
      <c r="A979" s="2652">
        <v>165</v>
      </c>
      <c r="B979" s="1114" t="s">
        <v>1346</v>
      </c>
      <c r="C979" s="216" t="s">
        <v>1344</v>
      </c>
      <c r="D979" s="113">
        <v>31</v>
      </c>
      <c r="E979" s="419" t="s">
        <v>1004</v>
      </c>
      <c r="F979" s="218" t="s">
        <v>1348</v>
      </c>
      <c r="G979" s="116">
        <v>990</v>
      </c>
      <c r="H979" s="1776" t="s">
        <v>1349</v>
      </c>
      <c r="J979" s="224"/>
      <c r="K979" s="34" t="s">
        <v>25</v>
      </c>
      <c r="L979" s="475"/>
      <c r="M979" s="224"/>
      <c r="N979" s="224"/>
      <c r="O979" s="2628" t="s">
        <v>6395</v>
      </c>
      <c r="P979" s="1">
        <v>165</v>
      </c>
      <c r="T979" s="224"/>
      <c r="U979" s="34" t="s">
        <v>25</v>
      </c>
      <c r="V979" s="475"/>
      <c r="W979" s="224"/>
      <c r="X979" s="224"/>
    </row>
    <row r="980" spans="1:24" x14ac:dyDescent="0.3">
      <c r="A980" s="2651">
        <v>166</v>
      </c>
      <c r="B980" s="1114" t="s">
        <v>1346</v>
      </c>
      <c r="C980" s="216" t="s">
        <v>1344</v>
      </c>
      <c r="D980" s="113">
        <v>31</v>
      </c>
      <c r="E980" s="349" t="s">
        <v>1005</v>
      </c>
      <c r="F980" s="218" t="s">
        <v>1348</v>
      </c>
      <c r="G980" s="116">
        <v>990</v>
      </c>
      <c r="H980" s="1776" t="s">
        <v>1349</v>
      </c>
      <c r="J980" s="224"/>
      <c r="K980" s="34" t="s">
        <v>25</v>
      </c>
      <c r="L980" s="475"/>
      <c r="M980" s="224"/>
      <c r="N980" s="224"/>
      <c r="O980" s="2628" t="s">
        <v>6395</v>
      </c>
      <c r="P980" s="1">
        <v>166</v>
      </c>
      <c r="T980" s="224"/>
      <c r="U980" s="34" t="s">
        <v>25</v>
      </c>
      <c r="V980" s="475"/>
      <c r="W980" s="224"/>
      <c r="X980" s="224"/>
    </row>
    <row r="981" spans="1:24" x14ac:dyDescent="0.3">
      <c r="A981" s="2651">
        <v>167</v>
      </c>
      <c r="B981" s="1114" t="s">
        <v>1346</v>
      </c>
      <c r="C981" s="216" t="s">
        <v>1344</v>
      </c>
      <c r="D981" s="113">
        <v>31</v>
      </c>
      <c r="E981" s="217" t="s">
        <v>1006</v>
      </c>
      <c r="F981" s="218" t="s">
        <v>1348</v>
      </c>
      <c r="G981" s="116">
        <v>990</v>
      </c>
      <c r="H981" s="1776" t="s">
        <v>1349</v>
      </c>
      <c r="J981" s="224"/>
      <c r="K981" s="34" t="s">
        <v>25</v>
      </c>
      <c r="L981" s="475"/>
      <c r="M981" s="224"/>
      <c r="N981" s="224"/>
      <c r="O981" s="2628" t="s">
        <v>6395</v>
      </c>
      <c r="P981" s="1">
        <v>167</v>
      </c>
      <c r="T981" s="224"/>
      <c r="U981" s="34" t="s">
        <v>25</v>
      </c>
      <c r="V981" s="475"/>
      <c r="W981" s="224"/>
      <c r="X981" s="224"/>
    </row>
    <row r="982" spans="1:24" x14ac:dyDescent="0.3">
      <c r="A982" s="2652">
        <v>168</v>
      </c>
      <c r="B982" s="1114" t="s">
        <v>1346</v>
      </c>
      <c r="C982" s="216" t="s">
        <v>1344</v>
      </c>
      <c r="D982" s="113">
        <v>31</v>
      </c>
      <c r="E982" s="217" t="s">
        <v>1007</v>
      </c>
      <c r="F982" s="218" t="s">
        <v>1348</v>
      </c>
      <c r="G982" s="116">
        <v>990</v>
      </c>
      <c r="H982" s="1776" t="s">
        <v>1349</v>
      </c>
      <c r="J982" s="224"/>
      <c r="K982" s="34" t="s">
        <v>25</v>
      </c>
      <c r="L982" s="475"/>
      <c r="M982" s="224"/>
      <c r="N982" s="224"/>
      <c r="O982" s="2628" t="s">
        <v>6395</v>
      </c>
      <c r="P982" s="1">
        <v>168</v>
      </c>
      <c r="T982" s="224"/>
      <c r="U982" s="34" t="s">
        <v>25</v>
      </c>
      <c r="V982" s="475"/>
      <c r="W982" s="224"/>
      <c r="X982" s="224"/>
    </row>
    <row r="983" spans="1:24" x14ac:dyDescent="0.3">
      <c r="A983" s="2651">
        <v>169</v>
      </c>
      <c r="B983" s="1114" t="s">
        <v>1346</v>
      </c>
      <c r="C983" s="216" t="s">
        <v>1344</v>
      </c>
      <c r="D983" s="113">
        <v>31</v>
      </c>
      <c r="E983" s="217" t="s">
        <v>1008</v>
      </c>
      <c r="F983" s="218" t="s">
        <v>1348</v>
      </c>
      <c r="G983" s="116">
        <v>990</v>
      </c>
      <c r="H983" s="1776" t="s">
        <v>1349</v>
      </c>
      <c r="J983" s="224"/>
      <c r="K983" s="34" t="s">
        <v>25</v>
      </c>
      <c r="L983" s="475"/>
      <c r="M983" s="224"/>
      <c r="N983" s="224"/>
      <c r="O983" s="2628" t="s">
        <v>6395</v>
      </c>
      <c r="P983" s="1">
        <v>169</v>
      </c>
      <c r="T983" s="224"/>
      <c r="U983" s="34" t="s">
        <v>25</v>
      </c>
      <c r="V983" s="475"/>
      <c r="W983" s="224"/>
      <c r="X983" s="224"/>
    </row>
    <row r="984" spans="1:24" x14ac:dyDescent="0.3">
      <c r="A984" s="2651">
        <v>170</v>
      </c>
      <c r="B984" s="1114" t="s">
        <v>1346</v>
      </c>
      <c r="C984" s="1117" t="s">
        <v>1344</v>
      </c>
      <c r="D984" s="113">
        <v>31</v>
      </c>
      <c r="E984" s="217" t="s">
        <v>1010</v>
      </c>
      <c r="F984" s="218" t="s">
        <v>1348</v>
      </c>
      <c r="G984" s="116">
        <v>990</v>
      </c>
      <c r="H984" s="1776" t="s">
        <v>1349</v>
      </c>
      <c r="J984" s="224"/>
      <c r="K984" s="34" t="s">
        <v>25</v>
      </c>
      <c r="L984" s="475"/>
      <c r="M984" s="224"/>
      <c r="N984" s="224"/>
      <c r="O984" s="2628" t="s">
        <v>6395</v>
      </c>
      <c r="P984" s="1">
        <v>170</v>
      </c>
      <c r="T984" s="224"/>
      <c r="U984" s="34" t="s">
        <v>25</v>
      </c>
      <c r="V984" s="475"/>
      <c r="W984" s="224"/>
      <c r="X984" s="224"/>
    </row>
    <row r="985" spans="1:24" x14ac:dyDescent="0.3">
      <c r="A985" s="2652">
        <v>171</v>
      </c>
      <c r="B985" s="1114" t="s">
        <v>1346</v>
      </c>
      <c r="C985" s="1117" t="s">
        <v>1344</v>
      </c>
      <c r="D985" s="113">
        <v>31</v>
      </c>
      <c r="E985" s="217" t="s">
        <v>1412</v>
      </c>
      <c r="F985" s="218" t="s">
        <v>1348</v>
      </c>
      <c r="G985" s="116">
        <v>990</v>
      </c>
      <c r="H985" s="1776" t="s">
        <v>1349</v>
      </c>
      <c r="J985" s="224"/>
      <c r="K985" s="34" t="s">
        <v>25</v>
      </c>
      <c r="L985" s="475"/>
      <c r="M985" s="224"/>
      <c r="N985" s="224"/>
      <c r="O985" s="2628" t="s">
        <v>6395</v>
      </c>
      <c r="P985" s="1">
        <v>171</v>
      </c>
      <c r="T985" s="224"/>
      <c r="U985" s="34" t="s">
        <v>25</v>
      </c>
      <c r="V985" s="475"/>
      <c r="W985" s="224"/>
      <c r="X985" s="224"/>
    </row>
    <row r="986" spans="1:24" x14ac:dyDescent="0.3">
      <c r="A986" s="2651">
        <v>172</v>
      </c>
      <c r="B986" s="1114" t="s">
        <v>1346</v>
      </c>
      <c r="C986" s="216" t="s">
        <v>1344</v>
      </c>
      <c r="D986" s="113">
        <v>31</v>
      </c>
      <c r="E986" s="217" t="s">
        <v>1012</v>
      </c>
      <c r="F986" s="218" t="s">
        <v>1348</v>
      </c>
      <c r="G986" s="116">
        <v>990</v>
      </c>
      <c r="H986" s="1776" t="s">
        <v>1349</v>
      </c>
      <c r="J986" s="224"/>
      <c r="K986" s="34" t="s">
        <v>25</v>
      </c>
      <c r="L986" s="475"/>
      <c r="M986" s="224"/>
      <c r="N986" s="224"/>
      <c r="O986" s="2628" t="s">
        <v>6395</v>
      </c>
      <c r="P986" s="1">
        <v>172</v>
      </c>
      <c r="T986" s="224"/>
      <c r="U986" s="34" t="s">
        <v>25</v>
      </c>
      <c r="V986" s="475"/>
      <c r="W986" s="224"/>
      <c r="X986" s="224"/>
    </row>
    <row r="987" spans="1:24" x14ac:dyDescent="0.3">
      <c r="A987" s="2651">
        <v>173</v>
      </c>
      <c r="B987" s="1114" t="s">
        <v>1346</v>
      </c>
      <c r="C987" s="1117" t="s">
        <v>1344</v>
      </c>
      <c r="D987" s="113">
        <v>31</v>
      </c>
      <c r="E987" s="217" t="s">
        <v>307</v>
      </c>
      <c r="F987" s="218" t="s">
        <v>1348</v>
      </c>
      <c r="G987" s="116">
        <v>990</v>
      </c>
      <c r="H987" s="1776" t="s">
        <v>1349</v>
      </c>
      <c r="J987" s="224"/>
      <c r="K987" s="34" t="s">
        <v>25</v>
      </c>
      <c r="L987" s="475"/>
      <c r="M987" s="224"/>
      <c r="N987" s="224"/>
      <c r="O987" s="2628" t="s">
        <v>6395</v>
      </c>
      <c r="P987" s="1">
        <v>173</v>
      </c>
      <c r="T987" s="224"/>
      <c r="U987" s="34" t="s">
        <v>25</v>
      </c>
      <c r="V987" s="475"/>
      <c r="W987" s="224"/>
      <c r="X987" s="224"/>
    </row>
    <row r="988" spans="1:24" x14ac:dyDescent="0.3">
      <c r="A988" s="2652">
        <v>174</v>
      </c>
      <c r="B988" s="1114" t="s">
        <v>1346</v>
      </c>
      <c r="C988" s="216" t="s">
        <v>1344</v>
      </c>
      <c r="D988" s="113">
        <v>31</v>
      </c>
      <c r="E988" s="217" t="s">
        <v>1014</v>
      </c>
      <c r="F988" s="218" t="s">
        <v>1348</v>
      </c>
      <c r="G988" s="116">
        <v>990</v>
      </c>
      <c r="H988" s="1776" t="s">
        <v>1349</v>
      </c>
      <c r="J988" s="224"/>
      <c r="K988" s="34" t="s">
        <v>25</v>
      </c>
      <c r="L988" s="475"/>
      <c r="M988" s="224"/>
      <c r="N988" s="224"/>
      <c r="O988" s="2628" t="s">
        <v>6395</v>
      </c>
      <c r="P988" s="1">
        <v>174</v>
      </c>
      <c r="T988" s="224"/>
      <c r="U988" s="34" t="s">
        <v>25</v>
      </c>
      <c r="V988" s="475"/>
      <c r="W988" s="224"/>
      <c r="X988" s="224"/>
    </row>
    <row r="989" spans="1:24" x14ac:dyDescent="0.3">
      <c r="A989" s="2651">
        <v>175</v>
      </c>
      <c r="B989" s="1114" t="s">
        <v>1346</v>
      </c>
      <c r="C989" s="216" t="s">
        <v>1344</v>
      </c>
      <c r="D989" s="113">
        <v>31</v>
      </c>
      <c r="E989" s="217" t="s">
        <v>1016</v>
      </c>
      <c r="F989" s="218" t="s">
        <v>1348</v>
      </c>
      <c r="G989" s="116">
        <v>990</v>
      </c>
      <c r="H989" s="1776" t="s">
        <v>1349</v>
      </c>
      <c r="J989" s="224"/>
      <c r="K989" s="34" t="s">
        <v>25</v>
      </c>
      <c r="L989" s="475"/>
      <c r="M989" s="224"/>
      <c r="N989" s="224"/>
      <c r="O989" s="2628" t="s">
        <v>6395</v>
      </c>
      <c r="P989" s="1">
        <v>175</v>
      </c>
      <c r="T989" s="224"/>
      <c r="U989" s="34" t="s">
        <v>25</v>
      </c>
      <c r="V989" s="475"/>
      <c r="W989" s="224"/>
      <c r="X989" s="224"/>
    </row>
    <row r="990" spans="1:24" x14ac:dyDescent="0.3">
      <c r="A990" s="2651">
        <v>176</v>
      </c>
      <c r="B990" s="1114" t="s">
        <v>1346</v>
      </c>
      <c r="C990" s="216" t="s">
        <v>1344</v>
      </c>
      <c r="D990" s="113">
        <v>31</v>
      </c>
      <c r="E990" s="217" t="s">
        <v>1018</v>
      </c>
      <c r="F990" s="218" t="s">
        <v>1348</v>
      </c>
      <c r="G990" s="116">
        <v>990</v>
      </c>
      <c r="H990" s="1776" t="s">
        <v>1349</v>
      </c>
      <c r="J990" s="224"/>
      <c r="K990" s="34" t="s">
        <v>25</v>
      </c>
      <c r="L990" s="475"/>
      <c r="M990" s="224"/>
      <c r="N990" s="224"/>
      <c r="O990" s="2628" t="s">
        <v>6395</v>
      </c>
      <c r="P990" s="1">
        <v>176</v>
      </c>
      <c r="T990" s="224"/>
      <c r="U990" s="34" t="s">
        <v>25</v>
      </c>
      <c r="V990" s="475"/>
      <c r="W990" s="224"/>
      <c r="X990" s="224"/>
    </row>
    <row r="991" spans="1:24" x14ac:dyDescent="0.3">
      <c r="A991" s="2652">
        <v>177</v>
      </c>
      <c r="B991" s="1114" t="s">
        <v>1346</v>
      </c>
      <c r="C991" s="216" t="s">
        <v>1344</v>
      </c>
      <c r="D991" s="113">
        <v>31</v>
      </c>
      <c r="E991" s="217" t="s">
        <v>1020</v>
      </c>
      <c r="F991" s="218" t="s">
        <v>1348</v>
      </c>
      <c r="G991" s="116">
        <v>990</v>
      </c>
      <c r="H991" s="1776" t="s">
        <v>1349</v>
      </c>
      <c r="J991" s="224"/>
      <c r="K991" s="34" t="s">
        <v>25</v>
      </c>
      <c r="L991" s="475"/>
      <c r="M991" s="224"/>
      <c r="N991" s="224"/>
      <c r="O991" s="2628" t="s">
        <v>6395</v>
      </c>
      <c r="P991" s="1">
        <v>177</v>
      </c>
      <c r="T991" s="224"/>
      <c r="U991" s="34" t="s">
        <v>25</v>
      </c>
      <c r="V991" s="475"/>
      <c r="W991" s="224"/>
      <c r="X991" s="224"/>
    </row>
    <row r="992" spans="1:24" x14ac:dyDescent="0.3">
      <c r="A992" s="2651">
        <v>178</v>
      </c>
      <c r="B992" s="1114" t="s">
        <v>1346</v>
      </c>
      <c r="C992" s="216" t="s">
        <v>1344</v>
      </c>
      <c r="D992" s="113">
        <v>31</v>
      </c>
      <c r="E992" s="217" t="s">
        <v>309</v>
      </c>
      <c r="F992" s="218" t="s">
        <v>1348</v>
      </c>
      <c r="G992" s="116">
        <v>990</v>
      </c>
      <c r="H992" s="1776" t="s">
        <v>1349</v>
      </c>
      <c r="J992" s="224"/>
      <c r="K992" s="34" t="s">
        <v>25</v>
      </c>
      <c r="L992" s="475"/>
      <c r="M992" s="224"/>
      <c r="N992" s="224"/>
      <c r="O992" s="2628" t="s">
        <v>6395</v>
      </c>
      <c r="P992" s="1">
        <v>178</v>
      </c>
      <c r="T992" s="224"/>
      <c r="U992" s="34" t="s">
        <v>25</v>
      </c>
      <c r="V992" s="475"/>
      <c r="W992" s="224"/>
      <c r="X992" s="224"/>
    </row>
    <row r="993" spans="1:24" x14ac:dyDescent="0.3">
      <c r="A993" s="2651">
        <v>179</v>
      </c>
      <c r="B993" s="1114" t="s">
        <v>1346</v>
      </c>
      <c r="C993" s="216" t="s">
        <v>1344</v>
      </c>
      <c r="D993" s="113">
        <v>31</v>
      </c>
      <c r="E993" s="217" t="s">
        <v>313</v>
      </c>
      <c r="F993" s="218" t="s">
        <v>1348</v>
      </c>
      <c r="G993" s="116">
        <v>990</v>
      </c>
      <c r="H993" s="1776" t="s">
        <v>1349</v>
      </c>
      <c r="J993" s="224"/>
      <c r="K993" s="34" t="s">
        <v>25</v>
      </c>
      <c r="L993" s="475"/>
      <c r="M993" s="224"/>
      <c r="N993" s="224"/>
      <c r="O993" s="2628" t="s">
        <v>6395</v>
      </c>
      <c r="P993" s="1">
        <v>179</v>
      </c>
      <c r="T993" s="224"/>
      <c r="U993" s="34" t="s">
        <v>25</v>
      </c>
      <c r="V993" s="475"/>
      <c r="W993" s="224"/>
      <c r="X993" s="224"/>
    </row>
    <row r="994" spans="1:24" x14ac:dyDescent="0.3">
      <c r="A994" s="2652">
        <v>180</v>
      </c>
      <c r="B994" s="1114" t="s">
        <v>1346</v>
      </c>
      <c r="C994" s="1117" t="s">
        <v>1344</v>
      </c>
      <c r="D994" s="113">
        <v>31</v>
      </c>
      <c r="E994" s="217" t="s">
        <v>315</v>
      </c>
      <c r="F994" s="218" t="s">
        <v>1348</v>
      </c>
      <c r="G994" s="116">
        <v>990</v>
      </c>
      <c r="H994" s="1776" t="s">
        <v>1349</v>
      </c>
      <c r="J994" s="224"/>
      <c r="K994" s="34" t="s">
        <v>25</v>
      </c>
      <c r="L994" s="475"/>
      <c r="M994" s="224"/>
      <c r="N994" s="224"/>
      <c r="O994" s="2628" t="s">
        <v>6395</v>
      </c>
      <c r="P994" s="1">
        <v>180</v>
      </c>
      <c r="T994" s="224"/>
      <c r="U994" s="34" t="s">
        <v>25</v>
      </c>
      <c r="V994" s="475"/>
      <c r="W994" s="224"/>
      <c r="X994" s="224"/>
    </row>
    <row r="995" spans="1:24" x14ac:dyDescent="0.3">
      <c r="A995" s="2651">
        <v>181</v>
      </c>
      <c r="B995" s="1114" t="s">
        <v>1346</v>
      </c>
      <c r="C995" s="216" t="s">
        <v>1344</v>
      </c>
      <c r="D995" s="113">
        <v>31</v>
      </c>
      <c r="E995" s="217" t="s">
        <v>1413</v>
      </c>
      <c r="F995" s="218" t="s">
        <v>1348</v>
      </c>
      <c r="G995" s="116">
        <v>990</v>
      </c>
      <c r="H995" s="1776" t="s">
        <v>1349</v>
      </c>
      <c r="J995" s="224"/>
      <c r="K995" s="34" t="s">
        <v>25</v>
      </c>
      <c r="L995" s="475"/>
      <c r="M995" s="224"/>
      <c r="N995" s="224"/>
      <c r="O995" s="2628" t="s">
        <v>6395</v>
      </c>
      <c r="P995" s="1">
        <v>181</v>
      </c>
      <c r="T995" s="224"/>
      <c r="U995" s="34" t="s">
        <v>25</v>
      </c>
      <c r="V995" s="475"/>
      <c r="W995" s="224"/>
      <c r="X995" s="224"/>
    </row>
    <row r="996" spans="1:24" x14ac:dyDescent="0.3">
      <c r="A996" s="2651">
        <v>182</v>
      </c>
      <c r="B996" s="1114" t="s">
        <v>1346</v>
      </c>
      <c r="C996" s="216" t="s">
        <v>1344</v>
      </c>
      <c r="D996" s="113">
        <v>31</v>
      </c>
      <c r="E996" s="217" t="s">
        <v>1414</v>
      </c>
      <c r="F996" s="218" t="s">
        <v>1348</v>
      </c>
      <c r="G996" s="116">
        <v>990</v>
      </c>
      <c r="H996" s="1776" t="s">
        <v>1349</v>
      </c>
      <c r="J996" s="224"/>
      <c r="K996" s="34" t="s">
        <v>25</v>
      </c>
      <c r="L996" s="475"/>
      <c r="M996" s="224"/>
      <c r="N996" s="224"/>
      <c r="O996" s="2628" t="s">
        <v>6395</v>
      </c>
      <c r="P996" s="1">
        <v>182</v>
      </c>
      <c r="T996" s="224"/>
      <c r="U996" s="34" t="s">
        <v>25</v>
      </c>
      <c r="V996" s="475"/>
      <c r="W996" s="224"/>
      <c r="X996" s="224"/>
    </row>
    <row r="997" spans="1:24" x14ac:dyDescent="0.3">
      <c r="A997" s="2652">
        <v>183</v>
      </c>
      <c r="B997" s="1114" t="s">
        <v>1346</v>
      </c>
      <c r="C997" s="216" t="s">
        <v>1344</v>
      </c>
      <c r="D997" s="113">
        <v>31</v>
      </c>
      <c r="E997" s="217" t="s">
        <v>1415</v>
      </c>
      <c r="F997" s="218" t="s">
        <v>1348</v>
      </c>
      <c r="G997" s="116">
        <v>990</v>
      </c>
      <c r="H997" s="1776" t="s">
        <v>1349</v>
      </c>
      <c r="J997" s="224"/>
      <c r="K997" s="34" t="s">
        <v>25</v>
      </c>
      <c r="L997" s="475"/>
      <c r="M997" s="224"/>
      <c r="N997" s="224"/>
      <c r="O997" s="2628" t="s">
        <v>6395</v>
      </c>
      <c r="P997" s="1">
        <v>183</v>
      </c>
      <c r="T997" s="224"/>
      <c r="U997" s="34" t="s">
        <v>25</v>
      </c>
      <c r="V997" s="475"/>
      <c r="W997" s="224"/>
      <c r="X997" s="224"/>
    </row>
    <row r="998" spans="1:24" x14ac:dyDescent="0.3">
      <c r="A998" s="2651">
        <v>184</v>
      </c>
      <c r="B998" s="1114" t="s">
        <v>1346</v>
      </c>
      <c r="C998" s="216" t="s">
        <v>1344</v>
      </c>
      <c r="D998" s="113">
        <v>31</v>
      </c>
      <c r="E998" s="217" t="s">
        <v>426</v>
      </c>
      <c r="F998" s="218" t="s">
        <v>1348</v>
      </c>
      <c r="G998" s="116">
        <v>990</v>
      </c>
      <c r="H998" s="1776" t="s">
        <v>1349</v>
      </c>
      <c r="J998" s="224"/>
      <c r="K998" s="34" t="s">
        <v>25</v>
      </c>
      <c r="L998" s="475"/>
      <c r="M998" s="224"/>
      <c r="N998" s="224"/>
      <c r="O998" s="2628" t="s">
        <v>6395</v>
      </c>
      <c r="P998" s="1">
        <v>184</v>
      </c>
      <c r="T998" s="224"/>
      <c r="U998" s="34" t="s">
        <v>25</v>
      </c>
      <c r="V998" s="475"/>
      <c r="W998" s="224"/>
      <c r="X998" s="224"/>
    </row>
    <row r="999" spans="1:24" x14ac:dyDescent="0.3">
      <c r="A999" s="2651">
        <v>185</v>
      </c>
      <c r="B999" s="1114" t="s">
        <v>1346</v>
      </c>
      <c r="C999" s="216" t="s">
        <v>1344</v>
      </c>
      <c r="D999" s="113">
        <v>31</v>
      </c>
      <c r="E999" s="217" t="s">
        <v>427</v>
      </c>
      <c r="F999" s="218" t="s">
        <v>1348</v>
      </c>
      <c r="G999" s="116">
        <v>990</v>
      </c>
      <c r="H999" s="1776" t="s">
        <v>1349</v>
      </c>
      <c r="J999" s="224"/>
      <c r="K999" s="34" t="s">
        <v>25</v>
      </c>
      <c r="L999" s="475"/>
      <c r="M999" s="224"/>
      <c r="N999" s="224"/>
      <c r="O999" s="2628" t="s">
        <v>6395</v>
      </c>
      <c r="P999" s="1">
        <v>185</v>
      </c>
      <c r="T999" s="224"/>
      <c r="U999" s="34" t="s">
        <v>25</v>
      </c>
      <c r="V999" s="475"/>
      <c r="W999" s="224"/>
      <c r="X999" s="224"/>
    </row>
    <row r="1000" spans="1:24" x14ac:dyDescent="0.3">
      <c r="A1000" s="2652">
        <v>186</v>
      </c>
      <c r="B1000" s="1114" t="s">
        <v>1346</v>
      </c>
      <c r="C1000" s="216" t="s">
        <v>1344</v>
      </c>
      <c r="D1000" s="113">
        <v>31</v>
      </c>
      <c r="E1000" s="217" t="s">
        <v>327</v>
      </c>
      <c r="F1000" s="218" t="s">
        <v>1348</v>
      </c>
      <c r="G1000" s="116">
        <v>990</v>
      </c>
      <c r="H1000" s="1776" t="s">
        <v>1349</v>
      </c>
      <c r="J1000" s="224"/>
      <c r="K1000" s="34" t="s">
        <v>25</v>
      </c>
      <c r="L1000" s="475"/>
      <c r="M1000" s="224"/>
      <c r="N1000" s="224"/>
      <c r="O1000" s="2628" t="s">
        <v>6395</v>
      </c>
      <c r="P1000" s="1">
        <v>186</v>
      </c>
      <c r="T1000" s="224"/>
      <c r="U1000" s="34" t="s">
        <v>25</v>
      </c>
      <c r="V1000" s="475"/>
      <c r="W1000" s="224"/>
      <c r="X1000" s="224"/>
    </row>
    <row r="1001" spans="1:24" x14ac:dyDescent="0.3">
      <c r="A1001" s="2651">
        <v>187</v>
      </c>
      <c r="B1001" s="1114" t="s">
        <v>1346</v>
      </c>
      <c r="C1001" s="216" t="s">
        <v>1344</v>
      </c>
      <c r="D1001" s="113">
        <v>31</v>
      </c>
      <c r="E1001" s="217" t="s">
        <v>438</v>
      </c>
      <c r="F1001" s="218" t="s">
        <v>1348</v>
      </c>
      <c r="G1001" s="116">
        <v>990</v>
      </c>
      <c r="H1001" s="1776" t="s">
        <v>1349</v>
      </c>
      <c r="J1001" s="224"/>
      <c r="K1001" s="34" t="s">
        <v>25</v>
      </c>
      <c r="L1001" s="475"/>
      <c r="M1001" s="224"/>
      <c r="N1001" s="224"/>
      <c r="O1001" s="2628" t="s">
        <v>6395</v>
      </c>
      <c r="P1001" s="1">
        <v>187</v>
      </c>
      <c r="T1001" s="224"/>
      <c r="U1001" s="34" t="s">
        <v>25</v>
      </c>
      <c r="V1001" s="475"/>
      <c r="W1001" s="224"/>
      <c r="X1001" s="224"/>
    </row>
    <row r="1002" spans="1:24" x14ac:dyDescent="0.3">
      <c r="A1002" s="2651">
        <v>188</v>
      </c>
      <c r="B1002" s="1114" t="s">
        <v>1346</v>
      </c>
      <c r="C1002" s="216" t="s">
        <v>1344</v>
      </c>
      <c r="D1002" s="113">
        <v>31</v>
      </c>
      <c r="E1002" s="217" t="s">
        <v>440</v>
      </c>
      <c r="F1002" s="218" t="s">
        <v>1348</v>
      </c>
      <c r="G1002" s="116">
        <v>990</v>
      </c>
      <c r="H1002" s="1776" t="s">
        <v>1349</v>
      </c>
      <c r="J1002" s="224"/>
      <c r="K1002" s="34" t="s">
        <v>25</v>
      </c>
      <c r="L1002" s="475"/>
      <c r="M1002" s="224"/>
      <c r="N1002" s="224"/>
      <c r="O1002" s="2628" t="s">
        <v>6395</v>
      </c>
      <c r="P1002" s="1">
        <v>188</v>
      </c>
      <c r="T1002" s="224"/>
      <c r="U1002" s="34" t="s">
        <v>25</v>
      </c>
      <c r="V1002" s="475"/>
      <c r="W1002" s="224"/>
      <c r="X1002" s="224"/>
    </row>
    <row r="1003" spans="1:24" x14ac:dyDescent="0.3">
      <c r="A1003" s="2652">
        <v>189</v>
      </c>
      <c r="B1003" s="1114" t="s">
        <v>1346</v>
      </c>
      <c r="C1003" s="1117" t="s">
        <v>1344</v>
      </c>
      <c r="D1003" s="113">
        <v>31</v>
      </c>
      <c r="E1003" s="217" t="s">
        <v>1024</v>
      </c>
      <c r="F1003" s="218" t="s">
        <v>1348</v>
      </c>
      <c r="G1003" s="116">
        <v>990</v>
      </c>
      <c r="H1003" s="1776" t="s">
        <v>1349</v>
      </c>
      <c r="J1003" s="224"/>
      <c r="K1003" s="34" t="s">
        <v>25</v>
      </c>
      <c r="L1003" s="475"/>
      <c r="M1003" s="224"/>
      <c r="N1003" s="224"/>
      <c r="O1003" s="2628" t="s">
        <v>6395</v>
      </c>
      <c r="P1003" s="1">
        <v>189</v>
      </c>
      <c r="T1003" s="224"/>
      <c r="U1003" s="34" t="s">
        <v>25</v>
      </c>
      <c r="V1003" s="475"/>
      <c r="W1003" s="224"/>
      <c r="X1003" s="224"/>
    </row>
    <row r="1004" spans="1:24" x14ac:dyDescent="0.3">
      <c r="A1004" s="2651">
        <v>190</v>
      </c>
      <c r="B1004" s="1114" t="s">
        <v>1346</v>
      </c>
      <c r="C1004" s="216" t="s">
        <v>1344</v>
      </c>
      <c r="D1004" s="113">
        <v>31</v>
      </c>
      <c r="E1004" s="217" t="s">
        <v>1026</v>
      </c>
      <c r="F1004" s="218" t="s">
        <v>1348</v>
      </c>
      <c r="G1004" s="116">
        <v>990</v>
      </c>
      <c r="H1004" s="1776" t="s">
        <v>1349</v>
      </c>
      <c r="J1004" s="224"/>
      <c r="K1004" s="34" t="s">
        <v>25</v>
      </c>
      <c r="L1004" s="475"/>
      <c r="M1004" s="224"/>
      <c r="N1004" s="224"/>
      <c r="O1004" s="2628" t="s">
        <v>6395</v>
      </c>
      <c r="P1004" s="1">
        <v>190</v>
      </c>
      <c r="T1004" s="224"/>
      <c r="U1004" s="34" t="s">
        <v>25</v>
      </c>
      <c r="V1004" s="475"/>
      <c r="W1004" s="224"/>
      <c r="X1004" s="224"/>
    </row>
    <row r="1005" spans="1:24" x14ac:dyDescent="0.3">
      <c r="A1005" s="2651">
        <v>191</v>
      </c>
      <c r="B1005" s="1114" t="s">
        <v>1346</v>
      </c>
      <c r="C1005" s="1117" t="s">
        <v>1344</v>
      </c>
      <c r="D1005" s="113">
        <v>31</v>
      </c>
      <c r="E1005" s="217" t="s">
        <v>1027</v>
      </c>
      <c r="F1005" s="218" t="s">
        <v>1348</v>
      </c>
      <c r="G1005" s="116">
        <v>990</v>
      </c>
      <c r="H1005" s="1776" t="s">
        <v>1349</v>
      </c>
      <c r="J1005" s="224"/>
      <c r="K1005" s="34" t="s">
        <v>25</v>
      </c>
      <c r="L1005" s="475"/>
      <c r="M1005" s="224"/>
      <c r="N1005" s="224"/>
      <c r="O1005" s="2628" t="s">
        <v>6395</v>
      </c>
      <c r="P1005" s="1">
        <v>191</v>
      </c>
      <c r="T1005" s="224"/>
      <c r="U1005" s="34" t="s">
        <v>25</v>
      </c>
      <c r="V1005" s="475"/>
      <c r="W1005" s="224"/>
      <c r="X1005" s="224"/>
    </row>
    <row r="1006" spans="1:24" x14ac:dyDescent="0.3">
      <c r="A1006" s="2652">
        <v>192</v>
      </c>
      <c r="B1006" s="1114" t="s">
        <v>1346</v>
      </c>
      <c r="C1006" s="216" t="s">
        <v>1344</v>
      </c>
      <c r="D1006" s="113">
        <v>31</v>
      </c>
      <c r="E1006" s="217" t="s">
        <v>1030</v>
      </c>
      <c r="F1006" s="218" t="s">
        <v>1348</v>
      </c>
      <c r="G1006" s="116">
        <v>990</v>
      </c>
      <c r="H1006" s="1776" t="s">
        <v>1349</v>
      </c>
      <c r="J1006" s="224"/>
      <c r="K1006" s="34" t="s">
        <v>25</v>
      </c>
      <c r="L1006" s="475"/>
      <c r="M1006" s="224"/>
      <c r="N1006" s="224"/>
      <c r="O1006" s="2628" t="s">
        <v>6395</v>
      </c>
      <c r="P1006" s="1">
        <v>192</v>
      </c>
      <c r="T1006" s="224"/>
      <c r="U1006" s="34" t="s">
        <v>25</v>
      </c>
      <c r="V1006" s="475"/>
      <c r="W1006" s="224"/>
      <c r="X1006" s="224"/>
    </row>
    <row r="1007" spans="1:24" x14ac:dyDescent="0.3">
      <c r="A1007" s="2651">
        <v>193</v>
      </c>
      <c r="B1007" s="1114" t="s">
        <v>1346</v>
      </c>
      <c r="C1007" s="216" t="s">
        <v>1344</v>
      </c>
      <c r="D1007" s="113">
        <v>31</v>
      </c>
      <c r="E1007" s="217" t="s">
        <v>1037</v>
      </c>
      <c r="F1007" s="218" t="s">
        <v>1348</v>
      </c>
      <c r="G1007" s="116">
        <v>990</v>
      </c>
      <c r="H1007" s="1776" t="s">
        <v>1349</v>
      </c>
      <c r="J1007" s="224"/>
      <c r="K1007" s="34" t="s">
        <v>25</v>
      </c>
      <c r="L1007" s="475"/>
      <c r="M1007" s="224"/>
      <c r="N1007" s="224"/>
      <c r="O1007" s="2628" t="s">
        <v>6395</v>
      </c>
      <c r="P1007" s="1">
        <v>193</v>
      </c>
      <c r="T1007" s="224"/>
      <c r="U1007" s="34" t="s">
        <v>25</v>
      </c>
      <c r="V1007" s="475"/>
      <c r="W1007" s="224"/>
      <c r="X1007" s="224"/>
    </row>
    <row r="1008" spans="1:24" x14ac:dyDescent="0.3">
      <c r="A1008" s="2651">
        <v>194</v>
      </c>
      <c r="B1008" s="1114" t="s">
        <v>1346</v>
      </c>
      <c r="C1008" s="216" t="s">
        <v>1344</v>
      </c>
      <c r="D1008" s="113">
        <v>31</v>
      </c>
      <c r="E1008" s="217" t="s">
        <v>1039</v>
      </c>
      <c r="F1008" s="218" t="s">
        <v>1348</v>
      </c>
      <c r="G1008" s="116">
        <v>990</v>
      </c>
      <c r="H1008" s="1776" t="s">
        <v>1349</v>
      </c>
      <c r="J1008" s="224"/>
      <c r="K1008" s="34" t="s">
        <v>25</v>
      </c>
      <c r="L1008" s="475"/>
      <c r="M1008" s="224"/>
      <c r="N1008" s="224"/>
      <c r="O1008" s="2628" t="s">
        <v>6395</v>
      </c>
      <c r="P1008" s="1">
        <v>194</v>
      </c>
      <c r="T1008" s="224"/>
      <c r="U1008" s="34" t="s">
        <v>25</v>
      </c>
      <c r="V1008" s="475"/>
      <c r="W1008" s="224"/>
      <c r="X1008" s="224"/>
    </row>
    <row r="1009" spans="1:24" x14ac:dyDescent="0.3">
      <c r="A1009" s="2652">
        <v>195</v>
      </c>
      <c r="B1009" s="1114" t="s">
        <v>1346</v>
      </c>
      <c r="C1009" s="216" t="s">
        <v>1344</v>
      </c>
      <c r="D1009" s="113">
        <v>31</v>
      </c>
      <c r="E1009" s="419" t="s">
        <v>1040</v>
      </c>
      <c r="F1009" s="218" t="s">
        <v>1348</v>
      </c>
      <c r="G1009" s="116">
        <v>990</v>
      </c>
      <c r="H1009" s="1776" t="s">
        <v>1349</v>
      </c>
      <c r="J1009" s="224"/>
      <c r="K1009" s="34" t="s">
        <v>25</v>
      </c>
      <c r="L1009" s="475"/>
      <c r="M1009" s="224"/>
      <c r="N1009" s="224"/>
      <c r="O1009" s="2628" t="s">
        <v>6395</v>
      </c>
      <c r="P1009" s="1">
        <v>195</v>
      </c>
      <c r="T1009" s="224"/>
      <c r="U1009" s="34" t="s">
        <v>25</v>
      </c>
      <c r="V1009" s="475"/>
      <c r="W1009" s="224"/>
      <c r="X1009" s="224"/>
    </row>
    <row r="1010" spans="1:24" x14ac:dyDescent="0.3">
      <c r="A1010" s="2651">
        <v>196</v>
      </c>
      <c r="B1010" s="1114" t="s">
        <v>1346</v>
      </c>
      <c r="C1010" s="216" t="s">
        <v>1344</v>
      </c>
      <c r="D1010" s="113">
        <v>31</v>
      </c>
      <c r="E1010" s="349" t="s">
        <v>1041</v>
      </c>
      <c r="F1010" s="218" t="s">
        <v>1348</v>
      </c>
      <c r="G1010" s="116">
        <v>990</v>
      </c>
      <c r="H1010" s="1776" t="s">
        <v>1349</v>
      </c>
      <c r="J1010" s="224"/>
      <c r="K1010" s="34" t="s">
        <v>25</v>
      </c>
      <c r="L1010" s="475"/>
      <c r="M1010" s="224"/>
      <c r="N1010" s="224"/>
      <c r="O1010" s="2628" t="s">
        <v>6395</v>
      </c>
      <c r="P1010" s="1">
        <v>196</v>
      </c>
      <c r="T1010" s="224"/>
      <c r="U1010" s="34" t="s">
        <v>25</v>
      </c>
      <c r="V1010" s="475"/>
      <c r="W1010" s="224"/>
      <c r="X1010" s="224"/>
    </row>
    <row r="1011" spans="1:24" x14ac:dyDescent="0.3">
      <c r="A1011" s="2651">
        <v>197</v>
      </c>
      <c r="B1011" s="1114" t="s">
        <v>1346</v>
      </c>
      <c r="C1011" s="216" t="s">
        <v>1344</v>
      </c>
      <c r="D1011" s="113">
        <v>31</v>
      </c>
      <c r="E1011" s="217" t="s">
        <v>429</v>
      </c>
      <c r="F1011" s="218" t="s">
        <v>1348</v>
      </c>
      <c r="G1011" s="116">
        <v>990</v>
      </c>
      <c r="H1011" s="1776" t="s">
        <v>1349</v>
      </c>
      <c r="J1011" s="224"/>
      <c r="K1011" s="34" t="s">
        <v>25</v>
      </c>
      <c r="L1011" s="475"/>
      <c r="M1011" s="224"/>
      <c r="N1011" s="224"/>
      <c r="O1011" s="2628" t="s">
        <v>6395</v>
      </c>
      <c r="P1011" s="1">
        <v>197</v>
      </c>
      <c r="T1011" s="224"/>
      <c r="U1011" s="34" t="s">
        <v>25</v>
      </c>
      <c r="V1011" s="475"/>
      <c r="W1011" s="224"/>
      <c r="X1011" s="224"/>
    </row>
    <row r="1012" spans="1:24" x14ac:dyDescent="0.3">
      <c r="A1012" s="2652">
        <v>198</v>
      </c>
      <c r="B1012" s="1114" t="s">
        <v>1346</v>
      </c>
      <c r="C1012" s="216" t="s">
        <v>1344</v>
      </c>
      <c r="D1012" s="125">
        <v>31</v>
      </c>
      <c r="E1012" s="217" t="s">
        <v>431</v>
      </c>
      <c r="F1012" s="218" t="s">
        <v>1348</v>
      </c>
      <c r="G1012" s="116">
        <v>990</v>
      </c>
      <c r="H1012" s="1776" t="s">
        <v>1349</v>
      </c>
      <c r="J1012" s="224"/>
      <c r="K1012" s="34" t="s">
        <v>25</v>
      </c>
      <c r="L1012" s="475"/>
      <c r="M1012" s="224"/>
      <c r="N1012" s="224"/>
      <c r="O1012" s="2628" t="s">
        <v>6395</v>
      </c>
      <c r="P1012" s="1">
        <v>198</v>
      </c>
      <c r="T1012" s="224"/>
      <c r="U1012" s="34" t="s">
        <v>25</v>
      </c>
      <c r="V1012" s="475"/>
      <c r="W1012" s="224"/>
      <c r="X1012" s="224"/>
    </row>
    <row r="1013" spans="1:24" x14ac:dyDescent="0.3">
      <c r="A1013" s="2651">
        <v>199</v>
      </c>
      <c r="B1013" s="1114" t="s">
        <v>1346</v>
      </c>
      <c r="C1013" s="216" t="s">
        <v>1344</v>
      </c>
      <c r="D1013" s="128">
        <v>31</v>
      </c>
      <c r="E1013" s="217" t="s">
        <v>433</v>
      </c>
      <c r="F1013" s="82" t="s">
        <v>1348</v>
      </c>
      <c r="G1013" s="116">
        <v>990</v>
      </c>
      <c r="H1013" s="1776" t="s">
        <v>1349</v>
      </c>
      <c r="J1013" s="224"/>
      <c r="K1013" s="34" t="s">
        <v>25</v>
      </c>
      <c r="L1013" s="475"/>
      <c r="M1013" s="224"/>
      <c r="N1013" s="224"/>
      <c r="O1013" s="2628" t="s">
        <v>6395</v>
      </c>
      <c r="P1013" s="1">
        <v>199</v>
      </c>
      <c r="T1013" s="224"/>
      <c r="U1013" s="34" t="s">
        <v>25</v>
      </c>
      <c r="V1013" s="475"/>
      <c r="W1013" s="224"/>
      <c r="X1013" s="224"/>
    </row>
    <row r="1014" spans="1:24" x14ac:dyDescent="0.3">
      <c r="A1014" s="2651">
        <v>200</v>
      </c>
      <c r="B1014" s="1114" t="s">
        <v>1346</v>
      </c>
      <c r="C1014" s="216" t="s">
        <v>1344</v>
      </c>
      <c r="D1014" s="136">
        <v>31</v>
      </c>
      <c r="E1014" s="217" t="s">
        <v>436</v>
      </c>
      <c r="F1014" s="1121" t="s">
        <v>1348</v>
      </c>
      <c r="G1014" s="116">
        <v>990</v>
      </c>
      <c r="H1014" s="1776" t="s">
        <v>1349</v>
      </c>
      <c r="J1014" s="224"/>
      <c r="K1014" s="34" t="s">
        <v>25</v>
      </c>
      <c r="L1014" s="475"/>
      <c r="M1014" s="224"/>
      <c r="N1014" s="224"/>
      <c r="O1014" s="2628" t="s">
        <v>6395</v>
      </c>
      <c r="P1014" s="1">
        <v>200</v>
      </c>
      <c r="T1014" s="224"/>
      <c r="U1014" s="34" t="s">
        <v>25</v>
      </c>
      <c r="V1014" s="475"/>
      <c r="W1014" s="224"/>
      <c r="X1014" s="224"/>
    </row>
    <row r="1015" spans="1:24" x14ac:dyDescent="0.3">
      <c r="A1015" s="2652">
        <v>201</v>
      </c>
      <c r="B1015" s="1122" t="s">
        <v>1416</v>
      </c>
      <c r="C1015" s="216" t="s">
        <v>1344</v>
      </c>
      <c r="D1015" s="416" t="s">
        <v>938</v>
      </c>
      <c r="E1015" s="217" t="s">
        <v>1054</v>
      </c>
      <c r="F1015" s="218" t="s">
        <v>1417</v>
      </c>
      <c r="G1015" s="116">
        <v>990</v>
      </c>
      <c r="H1015" s="1776" t="s">
        <v>1349</v>
      </c>
      <c r="J1015" s="224"/>
      <c r="K1015" s="34" t="s">
        <v>25</v>
      </c>
      <c r="L1015" s="475"/>
      <c r="M1015" s="224"/>
      <c r="N1015" s="224"/>
      <c r="O1015" s="2628" t="s">
        <v>6395</v>
      </c>
      <c r="P1015" s="1">
        <v>201</v>
      </c>
      <c r="T1015" s="224"/>
      <c r="U1015" s="34" t="s">
        <v>25</v>
      </c>
      <c r="V1015" s="475"/>
      <c r="W1015" s="224"/>
      <c r="X1015" s="224"/>
    </row>
    <row r="1016" spans="1:24" x14ac:dyDescent="0.3">
      <c r="A1016" s="2651">
        <v>202</v>
      </c>
      <c r="B1016" s="1122" t="s">
        <v>1416</v>
      </c>
      <c r="C1016" s="216" t="s">
        <v>1344</v>
      </c>
      <c r="D1016" s="416" t="s">
        <v>938</v>
      </c>
      <c r="E1016" s="217" t="s">
        <v>1056</v>
      </c>
      <c r="F1016" s="218" t="s">
        <v>1417</v>
      </c>
      <c r="G1016" s="116">
        <v>990</v>
      </c>
      <c r="H1016" s="1776" t="s">
        <v>1349</v>
      </c>
      <c r="J1016" s="224"/>
      <c r="K1016" s="34" t="s">
        <v>25</v>
      </c>
      <c r="L1016" s="475"/>
      <c r="M1016" s="224"/>
      <c r="N1016" s="224"/>
      <c r="O1016" s="2628" t="s">
        <v>6395</v>
      </c>
      <c r="P1016" s="1">
        <v>202</v>
      </c>
      <c r="T1016" s="224"/>
      <c r="U1016" s="34" t="s">
        <v>25</v>
      </c>
      <c r="V1016" s="475"/>
      <c r="W1016" s="224"/>
      <c r="X1016" s="224"/>
    </row>
    <row r="1017" spans="1:24" x14ac:dyDescent="0.3">
      <c r="A1017" s="2651">
        <v>203</v>
      </c>
      <c r="B1017" s="1122" t="s">
        <v>1416</v>
      </c>
      <c r="C1017" s="216" t="s">
        <v>1344</v>
      </c>
      <c r="D1017" s="416" t="s">
        <v>938</v>
      </c>
      <c r="E1017" s="217" t="s">
        <v>1058</v>
      </c>
      <c r="F1017" s="218" t="s">
        <v>1417</v>
      </c>
      <c r="G1017" s="116">
        <v>990</v>
      </c>
      <c r="H1017" s="1776" t="s">
        <v>1349</v>
      </c>
      <c r="J1017" s="224"/>
      <c r="K1017" s="34" t="s">
        <v>25</v>
      </c>
      <c r="L1017" s="475"/>
      <c r="M1017" s="224"/>
      <c r="N1017" s="224"/>
      <c r="O1017" s="2628" t="s">
        <v>6395</v>
      </c>
      <c r="P1017" s="1">
        <v>203</v>
      </c>
      <c r="T1017" s="224"/>
      <c r="U1017" s="34" t="s">
        <v>25</v>
      </c>
      <c r="V1017" s="475"/>
      <c r="W1017" s="224"/>
      <c r="X1017" s="224"/>
    </row>
    <row r="1018" spans="1:24" x14ac:dyDescent="0.3">
      <c r="A1018" s="2652">
        <v>204</v>
      </c>
      <c r="B1018" s="1122" t="s">
        <v>1416</v>
      </c>
      <c r="C1018" s="216" t="s">
        <v>1344</v>
      </c>
      <c r="D1018" s="416" t="s">
        <v>938</v>
      </c>
      <c r="E1018" s="217" t="s">
        <v>1418</v>
      </c>
      <c r="F1018" s="218" t="s">
        <v>1417</v>
      </c>
      <c r="G1018" s="116">
        <v>990</v>
      </c>
      <c r="H1018" s="1776" t="s">
        <v>1349</v>
      </c>
      <c r="J1018" s="224"/>
      <c r="K1018" s="34" t="s">
        <v>25</v>
      </c>
      <c r="L1018" s="475"/>
      <c r="M1018" s="224"/>
      <c r="N1018" s="224"/>
      <c r="O1018" s="2628" t="s">
        <v>6395</v>
      </c>
      <c r="P1018" s="1">
        <v>204</v>
      </c>
      <c r="T1018" s="224"/>
      <c r="U1018" s="34" t="s">
        <v>25</v>
      </c>
      <c r="V1018" s="475"/>
      <c r="W1018" s="224"/>
      <c r="X1018" s="224"/>
    </row>
    <row r="1019" spans="1:24" x14ac:dyDescent="0.3">
      <c r="A1019" s="2651">
        <v>205</v>
      </c>
      <c r="B1019" s="1122" t="s">
        <v>1416</v>
      </c>
      <c r="C1019" s="216" t="s">
        <v>1344</v>
      </c>
      <c r="D1019" s="416" t="s">
        <v>938</v>
      </c>
      <c r="E1019" s="217" t="s">
        <v>1061</v>
      </c>
      <c r="F1019" s="218" t="s">
        <v>1417</v>
      </c>
      <c r="G1019" s="116">
        <v>990</v>
      </c>
      <c r="H1019" s="1776" t="s">
        <v>1349</v>
      </c>
      <c r="J1019" s="224"/>
      <c r="K1019" s="34" t="s">
        <v>25</v>
      </c>
      <c r="L1019" s="475"/>
      <c r="M1019" s="224"/>
      <c r="N1019" s="224"/>
      <c r="O1019" s="2628" t="s">
        <v>6395</v>
      </c>
      <c r="P1019" s="1">
        <v>205</v>
      </c>
      <c r="T1019" s="224"/>
      <c r="U1019" s="34" t="s">
        <v>25</v>
      </c>
      <c r="V1019" s="475"/>
      <c r="W1019" s="224"/>
      <c r="X1019" s="224"/>
    </row>
    <row r="1020" spans="1:24" x14ac:dyDescent="0.3">
      <c r="A1020" s="2651">
        <v>206</v>
      </c>
      <c r="B1020" s="1122" t="s">
        <v>1416</v>
      </c>
      <c r="C1020" s="216" t="s">
        <v>1344</v>
      </c>
      <c r="D1020" s="416" t="s">
        <v>938</v>
      </c>
      <c r="E1020" s="217" t="s">
        <v>1063</v>
      </c>
      <c r="F1020" s="218" t="s">
        <v>1417</v>
      </c>
      <c r="G1020" s="116">
        <v>990</v>
      </c>
      <c r="H1020" s="1776" t="s">
        <v>1349</v>
      </c>
      <c r="J1020" s="224"/>
      <c r="K1020" s="34" t="s">
        <v>25</v>
      </c>
      <c r="L1020" s="475"/>
      <c r="M1020" s="224"/>
      <c r="N1020" s="224"/>
      <c r="O1020" s="2628" t="s">
        <v>6395</v>
      </c>
      <c r="P1020" s="1">
        <v>206</v>
      </c>
      <c r="T1020" s="224"/>
      <c r="U1020" s="34" t="s">
        <v>25</v>
      </c>
      <c r="V1020" s="475"/>
      <c r="W1020" s="224"/>
      <c r="X1020" s="224"/>
    </row>
    <row r="1021" spans="1:24" x14ac:dyDescent="0.3">
      <c r="A1021" s="2652">
        <v>207</v>
      </c>
      <c r="B1021" s="1122" t="s">
        <v>1416</v>
      </c>
      <c r="C1021" s="216" t="s">
        <v>1344</v>
      </c>
      <c r="D1021" s="416" t="s">
        <v>938</v>
      </c>
      <c r="E1021" s="217" t="s">
        <v>1065</v>
      </c>
      <c r="F1021" s="218" t="s">
        <v>1417</v>
      </c>
      <c r="G1021" s="116">
        <v>990</v>
      </c>
      <c r="H1021" s="1776" t="s">
        <v>1349</v>
      </c>
      <c r="J1021" s="224"/>
      <c r="K1021" s="34" t="s">
        <v>25</v>
      </c>
      <c r="L1021" s="475"/>
      <c r="M1021" s="224"/>
      <c r="N1021" s="224"/>
      <c r="O1021" s="2628" t="s">
        <v>6395</v>
      </c>
      <c r="P1021" s="1">
        <v>207</v>
      </c>
      <c r="T1021" s="224"/>
      <c r="U1021" s="34" t="s">
        <v>25</v>
      </c>
      <c r="V1021" s="475"/>
      <c r="W1021" s="224"/>
      <c r="X1021" s="224"/>
    </row>
    <row r="1022" spans="1:24" x14ac:dyDescent="0.3">
      <c r="A1022" s="2651">
        <v>208</v>
      </c>
      <c r="B1022" s="1122" t="s">
        <v>1416</v>
      </c>
      <c r="C1022" s="216" t="s">
        <v>1344</v>
      </c>
      <c r="D1022" s="416" t="s">
        <v>938</v>
      </c>
      <c r="E1022" s="419" t="s">
        <v>1067</v>
      </c>
      <c r="F1022" s="218" t="s">
        <v>1417</v>
      </c>
      <c r="G1022" s="116">
        <v>990</v>
      </c>
      <c r="H1022" s="1776" t="s">
        <v>1349</v>
      </c>
      <c r="J1022" s="224"/>
      <c r="K1022" s="34" t="s">
        <v>25</v>
      </c>
      <c r="L1022" s="475"/>
      <c r="M1022" s="224"/>
      <c r="N1022" s="224"/>
      <c r="O1022" s="2628" t="s">
        <v>6395</v>
      </c>
      <c r="P1022" s="1">
        <v>208</v>
      </c>
      <c r="T1022" s="224"/>
      <c r="U1022" s="34" t="s">
        <v>25</v>
      </c>
      <c r="V1022" s="475"/>
      <c r="W1022" s="224"/>
      <c r="X1022" s="224"/>
    </row>
    <row r="1023" spans="1:24" x14ac:dyDescent="0.3">
      <c r="A1023" s="2651">
        <v>209</v>
      </c>
      <c r="B1023" s="1122" t="s">
        <v>1416</v>
      </c>
      <c r="C1023" s="216" t="s">
        <v>1344</v>
      </c>
      <c r="D1023" s="416" t="s">
        <v>938</v>
      </c>
      <c r="E1023" s="349" t="s">
        <v>1068</v>
      </c>
      <c r="F1023" s="218" t="s">
        <v>1417</v>
      </c>
      <c r="G1023" s="116">
        <v>990</v>
      </c>
      <c r="H1023" s="1776" t="s">
        <v>1349</v>
      </c>
      <c r="J1023" s="224"/>
      <c r="K1023" s="34" t="s">
        <v>25</v>
      </c>
      <c r="L1023" s="475"/>
      <c r="M1023" s="224"/>
      <c r="N1023" s="224"/>
      <c r="O1023" s="2628" t="s">
        <v>6395</v>
      </c>
      <c r="P1023" s="1">
        <v>209</v>
      </c>
      <c r="T1023" s="224"/>
      <c r="U1023" s="34" t="s">
        <v>25</v>
      </c>
      <c r="V1023" s="475"/>
      <c r="W1023" s="224"/>
      <c r="X1023" s="224"/>
    </row>
    <row r="1024" spans="1:24" x14ac:dyDescent="0.3">
      <c r="A1024" s="2652">
        <v>210</v>
      </c>
      <c r="B1024" s="1122" t="s">
        <v>1416</v>
      </c>
      <c r="C1024" s="216" t="s">
        <v>1344</v>
      </c>
      <c r="D1024" s="416" t="s">
        <v>938</v>
      </c>
      <c r="E1024" s="217" t="s">
        <v>1069</v>
      </c>
      <c r="F1024" s="218" t="s">
        <v>1417</v>
      </c>
      <c r="G1024" s="116">
        <v>990</v>
      </c>
      <c r="H1024" s="1776" t="s">
        <v>1349</v>
      </c>
      <c r="J1024" s="224"/>
      <c r="K1024" s="34" t="s">
        <v>25</v>
      </c>
      <c r="L1024" s="475"/>
      <c r="M1024" s="224"/>
      <c r="N1024" s="224"/>
      <c r="O1024" s="2628" t="s">
        <v>6395</v>
      </c>
      <c r="P1024" s="1">
        <v>210</v>
      </c>
      <c r="T1024" s="224"/>
      <c r="U1024" s="34" t="s">
        <v>25</v>
      </c>
      <c r="V1024" s="475"/>
      <c r="W1024" s="224"/>
      <c r="X1024" s="224"/>
    </row>
    <row r="1025" spans="1:24" x14ac:dyDescent="0.3">
      <c r="A1025" s="2651">
        <v>211</v>
      </c>
      <c r="B1025" s="1122" t="s">
        <v>1416</v>
      </c>
      <c r="C1025" s="216" t="s">
        <v>1344</v>
      </c>
      <c r="D1025" s="416" t="s">
        <v>938</v>
      </c>
      <c r="E1025" s="217" t="s">
        <v>1070</v>
      </c>
      <c r="F1025" s="218" t="s">
        <v>1417</v>
      </c>
      <c r="G1025" s="116">
        <v>990</v>
      </c>
      <c r="H1025" s="1776" t="s">
        <v>1349</v>
      </c>
      <c r="J1025" s="224"/>
      <c r="K1025" s="34" t="s">
        <v>25</v>
      </c>
      <c r="L1025" s="475"/>
      <c r="M1025" s="224"/>
      <c r="N1025" s="224"/>
      <c r="O1025" s="2628" t="s">
        <v>6395</v>
      </c>
      <c r="P1025" s="1">
        <v>211</v>
      </c>
      <c r="T1025" s="224"/>
      <c r="U1025" s="34" t="s">
        <v>25</v>
      </c>
      <c r="V1025" s="475"/>
      <c r="W1025" s="224"/>
      <c r="X1025" s="224"/>
    </row>
    <row r="1026" spans="1:24" x14ac:dyDescent="0.3">
      <c r="A1026" s="2651">
        <v>212</v>
      </c>
      <c r="B1026" s="1122" t="s">
        <v>1416</v>
      </c>
      <c r="C1026" s="216" t="s">
        <v>1344</v>
      </c>
      <c r="D1026" s="452" t="s">
        <v>938</v>
      </c>
      <c r="E1026" s="217" t="s">
        <v>1073</v>
      </c>
      <c r="F1026" s="218" t="s">
        <v>1417</v>
      </c>
      <c r="G1026" s="116">
        <v>990</v>
      </c>
      <c r="H1026" s="1776" t="s">
        <v>1349</v>
      </c>
      <c r="J1026" s="224"/>
      <c r="K1026" s="34" t="s">
        <v>25</v>
      </c>
      <c r="L1026" s="475"/>
      <c r="M1026" s="224"/>
      <c r="N1026" s="224"/>
      <c r="O1026" s="2628" t="s">
        <v>6395</v>
      </c>
      <c r="P1026" s="1">
        <v>212</v>
      </c>
      <c r="T1026" s="224"/>
      <c r="U1026" s="34" t="s">
        <v>25</v>
      </c>
      <c r="V1026" s="475"/>
      <c r="W1026" s="224"/>
      <c r="X1026" s="224"/>
    </row>
    <row r="1027" spans="1:24" x14ac:dyDescent="0.3">
      <c r="A1027" s="2652">
        <v>213</v>
      </c>
      <c r="B1027" s="1123" t="s">
        <v>1416</v>
      </c>
      <c r="C1027" s="216" t="s">
        <v>1344</v>
      </c>
      <c r="D1027" s="793" t="s">
        <v>938</v>
      </c>
      <c r="E1027" s="217" t="s">
        <v>1076</v>
      </c>
      <c r="F1027" s="218" t="s">
        <v>1417</v>
      </c>
      <c r="G1027" s="116">
        <v>990</v>
      </c>
      <c r="H1027" s="1776" t="s">
        <v>1349</v>
      </c>
      <c r="J1027" s="224"/>
      <c r="K1027" s="34" t="s">
        <v>25</v>
      </c>
      <c r="L1027" s="475"/>
      <c r="M1027" s="224"/>
      <c r="N1027" s="224"/>
      <c r="O1027" s="2628" t="s">
        <v>6395</v>
      </c>
      <c r="P1027" s="1">
        <v>213</v>
      </c>
      <c r="T1027" s="224"/>
      <c r="U1027" s="34" t="s">
        <v>25</v>
      </c>
      <c r="V1027" s="475"/>
      <c r="W1027" s="224"/>
      <c r="X1027" s="224"/>
    </row>
    <row r="1028" spans="1:24" x14ac:dyDescent="0.3">
      <c r="A1028" s="2651">
        <v>214</v>
      </c>
      <c r="B1028" s="1124" t="s">
        <v>1416</v>
      </c>
      <c r="C1028" s="216" t="s">
        <v>1344</v>
      </c>
      <c r="D1028" s="416" t="s">
        <v>938</v>
      </c>
      <c r="E1028" s="217" t="s">
        <v>1419</v>
      </c>
      <c r="F1028" s="218" t="s">
        <v>1417</v>
      </c>
      <c r="G1028" s="116">
        <v>990</v>
      </c>
      <c r="H1028" s="1776" t="s">
        <v>1349</v>
      </c>
      <c r="J1028" s="224"/>
      <c r="K1028" s="34" t="s">
        <v>25</v>
      </c>
      <c r="L1028" s="475"/>
      <c r="M1028" s="224"/>
      <c r="N1028" s="224"/>
      <c r="O1028" s="2628" t="s">
        <v>6395</v>
      </c>
      <c r="P1028" s="1">
        <v>214</v>
      </c>
      <c r="T1028" s="224"/>
      <c r="U1028" s="34" t="s">
        <v>25</v>
      </c>
      <c r="V1028" s="475"/>
      <c r="W1028" s="224"/>
      <c r="X1028" s="224"/>
    </row>
    <row r="1029" spans="1:24" x14ac:dyDescent="0.3">
      <c r="A1029" s="2651">
        <v>215</v>
      </c>
      <c r="B1029" s="1122" t="s">
        <v>1416</v>
      </c>
      <c r="C1029" s="216" t="s">
        <v>1344</v>
      </c>
      <c r="D1029" s="416" t="s">
        <v>938</v>
      </c>
      <c r="E1029" s="217" t="s">
        <v>1420</v>
      </c>
      <c r="F1029" s="218" t="s">
        <v>1417</v>
      </c>
      <c r="G1029" s="116">
        <v>990</v>
      </c>
      <c r="H1029" s="1776" t="s">
        <v>1349</v>
      </c>
      <c r="J1029" s="224"/>
      <c r="K1029" s="34" t="s">
        <v>25</v>
      </c>
      <c r="L1029" s="475"/>
      <c r="M1029" s="224"/>
      <c r="N1029" s="224"/>
      <c r="O1029" s="2628" t="s">
        <v>6395</v>
      </c>
      <c r="P1029" s="1">
        <v>215</v>
      </c>
      <c r="T1029" s="224"/>
      <c r="U1029" s="34" t="s">
        <v>25</v>
      </c>
      <c r="V1029" s="475"/>
      <c r="W1029" s="224"/>
      <c r="X1029" s="224"/>
    </row>
    <row r="1030" spans="1:24" x14ac:dyDescent="0.3">
      <c r="A1030" s="2652">
        <v>216</v>
      </c>
      <c r="B1030" s="1122" t="s">
        <v>1416</v>
      </c>
      <c r="C1030" s="216" t="s">
        <v>1344</v>
      </c>
      <c r="D1030" s="416" t="s">
        <v>938</v>
      </c>
      <c r="E1030" s="217" t="s">
        <v>1421</v>
      </c>
      <c r="F1030" s="218" t="s">
        <v>1417</v>
      </c>
      <c r="G1030" s="116">
        <v>990</v>
      </c>
      <c r="H1030" s="1776" t="s">
        <v>1349</v>
      </c>
      <c r="J1030" s="224"/>
      <c r="K1030" s="34" t="s">
        <v>25</v>
      </c>
      <c r="L1030" s="475"/>
      <c r="M1030" s="224"/>
      <c r="N1030" s="224"/>
      <c r="O1030" s="2628" t="s">
        <v>6395</v>
      </c>
      <c r="P1030" s="1">
        <v>216</v>
      </c>
      <c r="T1030" s="224"/>
      <c r="U1030" s="34" t="s">
        <v>25</v>
      </c>
      <c r="V1030" s="475"/>
      <c r="W1030" s="224"/>
      <c r="X1030" s="224"/>
    </row>
    <row r="1031" spans="1:24" x14ac:dyDescent="0.3">
      <c r="A1031" s="2651">
        <v>217</v>
      </c>
      <c r="B1031" s="1122" t="s">
        <v>1416</v>
      </c>
      <c r="C1031" s="216" t="s">
        <v>1344</v>
      </c>
      <c r="D1031" s="416" t="s">
        <v>938</v>
      </c>
      <c r="E1031" s="217" t="s">
        <v>1422</v>
      </c>
      <c r="F1031" s="218" t="s">
        <v>1417</v>
      </c>
      <c r="G1031" s="116">
        <v>990</v>
      </c>
      <c r="H1031" s="1776" t="s">
        <v>1349</v>
      </c>
      <c r="J1031" s="224"/>
      <c r="K1031" s="34" t="s">
        <v>25</v>
      </c>
      <c r="L1031" s="475"/>
      <c r="M1031" s="224"/>
      <c r="N1031" s="224"/>
      <c r="O1031" s="2628" t="s">
        <v>6395</v>
      </c>
      <c r="P1031" s="1">
        <v>217</v>
      </c>
      <c r="T1031" s="224"/>
      <c r="U1031" s="34" t="s">
        <v>25</v>
      </c>
      <c r="V1031" s="475"/>
      <c r="W1031" s="224"/>
      <c r="X1031" s="224"/>
    </row>
    <row r="1032" spans="1:24" x14ac:dyDescent="0.3">
      <c r="A1032" s="2651">
        <v>218</v>
      </c>
      <c r="B1032" s="1122" t="s">
        <v>1416</v>
      </c>
      <c r="C1032" s="216" t="s">
        <v>1344</v>
      </c>
      <c r="D1032" s="416" t="s">
        <v>938</v>
      </c>
      <c r="E1032" s="217" t="s">
        <v>1423</v>
      </c>
      <c r="F1032" s="218" t="s">
        <v>1417</v>
      </c>
      <c r="G1032" s="116">
        <v>990</v>
      </c>
      <c r="H1032" s="1776" t="s">
        <v>1349</v>
      </c>
      <c r="J1032" s="224"/>
      <c r="K1032" s="34" t="s">
        <v>25</v>
      </c>
      <c r="L1032" s="475"/>
      <c r="M1032" s="224"/>
      <c r="N1032" s="224"/>
      <c r="O1032" s="2628" t="s">
        <v>6395</v>
      </c>
      <c r="P1032" s="1">
        <v>218</v>
      </c>
      <c r="T1032" s="224"/>
      <c r="U1032" s="34" t="s">
        <v>25</v>
      </c>
      <c r="V1032" s="475"/>
      <c r="W1032" s="224"/>
      <c r="X1032" s="224"/>
    </row>
    <row r="1033" spans="1:24" x14ac:dyDescent="0.3">
      <c r="A1033" s="2652">
        <v>219</v>
      </c>
      <c r="B1033" s="1122" t="s">
        <v>1416</v>
      </c>
      <c r="C1033" s="216" t="s">
        <v>1344</v>
      </c>
      <c r="D1033" s="416" t="s">
        <v>938</v>
      </c>
      <c r="E1033" s="217" t="s">
        <v>925</v>
      </c>
      <c r="F1033" s="218" t="s">
        <v>1417</v>
      </c>
      <c r="G1033" s="116">
        <v>990</v>
      </c>
      <c r="H1033" s="1776" t="s">
        <v>1349</v>
      </c>
      <c r="J1033" s="224"/>
      <c r="K1033" s="34" t="s">
        <v>25</v>
      </c>
      <c r="L1033" s="475"/>
      <c r="M1033" s="224"/>
      <c r="N1033" s="224"/>
      <c r="O1033" s="2628" t="s">
        <v>6395</v>
      </c>
      <c r="P1033" s="1">
        <v>219</v>
      </c>
      <c r="T1033" s="224"/>
      <c r="U1033" s="34" t="s">
        <v>25</v>
      </c>
      <c r="V1033" s="475"/>
      <c r="W1033" s="224"/>
      <c r="X1033" s="224"/>
    </row>
    <row r="1034" spans="1:24" x14ac:dyDescent="0.3">
      <c r="A1034" s="2651">
        <v>220</v>
      </c>
      <c r="B1034" s="1122" t="s">
        <v>1416</v>
      </c>
      <c r="C1034" s="216" t="s">
        <v>1344</v>
      </c>
      <c r="D1034" s="416" t="s">
        <v>938</v>
      </c>
      <c r="E1034" s="217" t="s">
        <v>927</v>
      </c>
      <c r="F1034" s="218" t="s">
        <v>1417</v>
      </c>
      <c r="G1034" s="116">
        <v>990</v>
      </c>
      <c r="H1034" s="1776" t="s">
        <v>1349</v>
      </c>
      <c r="J1034" s="224"/>
      <c r="K1034" s="34" t="s">
        <v>25</v>
      </c>
      <c r="L1034" s="475"/>
      <c r="M1034" s="224"/>
      <c r="N1034" s="224"/>
      <c r="O1034" s="2628" t="s">
        <v>6395</v>
      </c>
      <c r="P1034" s="1">
        <v>220</v>
      </c>
      <c r="T1034" s="224"/>
      <c r="U1034" s="34" t="s">
        <v>25</v>
      </c>
      <c r="V1034" s="475"/>
      <c r="W1034" s="224"/>
      <c r="X1034" s="224"/>
    </row>
    <row r="1035" spans="1:24" x14ac:dyDescent="0.3">
      <c r="A1035" s="2651">
        <v>221</v>
      </c>
      <c r="B1035" s="1122" t="s">
        <v>1416</v>
      </c>
      <c r="C1035" s="216" t="s">
        <v>1344</v>
      </c>
      <c r="D1035" s="416" t="s">
        <v>938</v>
      </c>
      <c r="E1035" s="217" t="s">
        <v>928</v>
      </c>
      <c r="F1035" s="218" t="s">
        <v>1417</v>
      </c>
      <c r="G1035" s="116">
        <v>990</v>
      </c>
      <c r="H1035" s="1776" t="s">
        <v>1349</v>
      </c>
      <c r="J1035" s="224"/>
      <c r="K1035" s="34" t="s">
        <v>25</v>
      </c>
      <c r="L1035" s="475"/>
      <c r="M1035" s="224"/>
      <c r="N1035" s="224"/>
      <c r="O1035" s="2628" t="s">
        <v>6395</v>
      </c>
      <c r="P1035" s="1">
        <v>221</v>
      </c>
      <c r="T1035" s="224"/>
      <c r="U1035" s="34" t="s">
        <v>25</v>
      </c>
      <c r="V1035" s="475"/>
      <c r="W1035" s="224"/>
      <c r="X1035" s="224"/>
    </row>
    <row r="1036" spans="1:24" x14ac:dyDescent="0.3">
      <c r="A1036" s="2652">
        <v>222</v>
      </c>
      <c r="B1036" s="1122" t="s">
        <v>1416</v>
      </c>
      <c r="C1036" s="216" t="s">
        <v>1344</v>
      </c>
      <c r="D1036" s="416" t="s">
        <v>938</v>
      </c>
      <c r="E1036" s="217" t="s">
        <v>929</v>
      </c>
      <c r="F1036" s="218" t="s">
        <v>1417</v>
      </c>
      <c r="G1036" s="116">
        <v>990</v>
      </c>
      <c r="H1036" s="1776" t="s">
        <v>1349</v>
      </c>
      <c r="J1036" s="224"/>
      <c r="K1036" s="34" t="s">
        <v>25</v>
      </c>
      <c r="L1036" s="475"/>
      <c r="M1036" s="224"/>
      <c r="N1036" s="224"/>
      <c r="O1036" s="2628" t="s">
        <v>6395</v>
      </c>
      <c r="P1036" s="1">
        <v>222</v>
      </c>
      <c r="T1036" s="224"/>
      <c r="U1036" s="34" t="s">
        <v>25</v>
      </c>
      <c r="V1036" s="475"/>
      <c r="W1036" s="224"/>
      <c r="X1036" s="224"/>
    </row>
    <row r="1037" spans="1:24" x14ac:dyDescent="0.3">
      <c r="A1037" s="2651">
        <v>223</v>
      </c>
      <c r="B1037" s="1122" t="s">
        <v>1416</v>
      </c>
      <c r="C1037" s="216" t="s">
        <v>1344</v>
      </c>
      <c r="D1037" s="416" t="s">
        <v>938</v>
      </c>
      <c r="E1037" s="217" t="s">
        <v>930</v>
      </c>
      <c r="F1037" s="218" t="s">
        <v>1417</v>
      </c>
      <c r="G1037" s="116">
        <v>990</v>
      </c>
      <c r="H1037" s="1776" t="s">
        <v>1349</v>
      </c>
      <c r="J1037" s="224"/>
      <c r="K1037" s="34" t="s">
        <v>25</v>
      </c>
      <c r="L1037" s="475"/>
      <c r="M1037" s="224"/>
      <c r="N1037" s="224"/>
      <c r="O1037" s="2628" t="s">
        <v>6395</v>
      </c>
      <c r="P1037" s="1">
        <v>223</v>
      </c>
      <c r="T1037" s="224"/>
      <c r="U1037" s="34" t="s">
        <v>25</v>
      </c>
      <c r="V1037" s="475"/>
      <c r="W1037" s="224"/>
      <c r="X1037" s="224"/>
    </row>
    <row r="1038" spans="1:24" x14ac:dyDescent="0.3">
      <c r="A1038" s="2651">
        <v>224</v>
      </c>
      <c r="B1038" s="1122" t="s">
        <v>1416</v>
      </c>
      <c r="C1038" s="1117" t="s">
        <v>1344</v>
      </c>
      <c r="D1038" s="416" t="s">
        <v>938</v>
      </c>
      <c r="E1038" s="217" t="s">
        <v>1424</v>
      </c>
      <c r="F1038" s="218" t="s">
        <v>1417</v>
      </c>
      <c r="G1038" s="116">
        <v>990</v>
      </c>
      <c r="H1038" s="1776" t="s">
        <v>1349</v>
      </c>
      <c r="J1038" s="224"/>
      <c r="K1038" s="34" t="s">
        <v>25</v>
      </c>
      <c r="L1038" s="475"/>
      <c r="M1038" s="224"/>
      <c r="N1038" s="224"/>
      <c r="O1038" s="2628" t="s">
        <v>6395</v>
      </c>
      <c r="P1038" s="1">
        <v>224</v>
      </c>
      <c r="T1038" s="224"/>
      <c r="U1038" s="34" t="s">
        <v>25</v>
      </c>
      <c r="V1038" s="475"/>
      <c r="W1038" s="224"/>
      <c r="X1038" s="224"/>
    </row>
    <row r="1039" spans="1:24" x14ac:dyDescent="0.3">
      <c r="A1039" s="2652">
        <v>225</v>
      </c>
      <c r="B1039" s="1122" t="s">
        <v>1416</v>
      </c>
      <c r="C1039" s="216" t="s">
        <v>1344</v>
      </c>
      <c r="D1039" s="416" t="s">
        <v>938</v>
      </c>
      <c r="E1039" s="217" t="s">
        <v>1425</v>
      </c>
      <c r="F1039" s="218" t="s">
        <v>1417</v>
      </c>
      <c r="G1039" s="116">
        <v>990</v>
      </c>
      <c r="H1039" s="1776" t="s">
        <v>1349</v>
      </c>
      <c r="J1039" s="224"/>
      <c r="K1039" s="34" t="s">
        <v>25</v>
      </c>
      <c r="L1039" s="475"/>
      <c r="M1039" s="224"/>
      <c r="N1039" s="224"/>
      <c r="O1039" s="2628" t="s">
        <v>6395</v>
      </c>
      <c r="P1039" s="1">
        <v>225</v>
      </c>
      <c r="T1039" s="224"/>
      <c r="U1039" s="34" t="s">
        <v>25</v>
      </c>
      <c r="V1039" s="475"/>
      <c r="W1039" s="224"/>
      <c r="X1039" s="224"/>
    </row>
    <row r="1040" spans="1:24" x14ac:dyDescent="0.3">
      <c r="A1040" s="2651">
        <v>226</v>
      </c>
      <c r="B1040" s="1122" t="s">
        <v>1416</v>
      </c>
      <c r="C1040" s="216" t="s">
        <v>1344</v>
      </c>
      <c r="D1040" s="416" t="s">
        <v>938</v>
      </c>
      <c r="E1040" s="217" t="s">
        <v>1426</v>
      </c>
      <c r="F1040" s="218" t="s">
        <v>1417</v>
      </c>
      <c r="G1040" s="116">
        <v>990</v>
      </c>
      <c r="H1040" s="1776" t="s">
        <v>1349</v>
      </c>
      <c r="J1040" s="224"/>
      <c r="K1040" s="34" t="s">
        <v>25</v>
      </c>
      <c r="L1040" s="475"/>
      <c r="M1040" s="224"/>
      <c r="N1040" s="224"/>
      <c r="O1040" s="2628" t="s">
        <v>6395</v>
      </c>
      <c r="P1040" s="1">
        <v>226</v>
      </c>
      <c r="T1040" s="224"/>
      <c r="U1040" s="34" t="s">
        <v>25</v>
      </c>
      <c r="V1040" s="475"/>
      <c r="W1040" s="224"/>
      <c r="X1040" s="224"/>
    </row>
    <row r="1041" spans="1:24" x14ac:dyDescent="0.3">
      <c r="A1041" s="2651">
        <v>227</v>
      </c>
      <c r="B1041" s="1122" t="s">
        <v>1416</v>
      </c>
      <c r="C1041" s="1117" t="s">
        <v>1344</v>
      </c>
      <c r="D1041" s="416" t="s">
        <v>938</v>
      </c>
      <c r="E1041" s="217" t="s">
        <v>1427</v>
      </c>
      <c r="F1041" s="218" t="s">
        <v>1417</v>
      </c>
      <c r="G1041" s="116">
        <v>990</v>
      </c>
      <c r="H1041" s="1776" t="s">
        <v>1349</v>
      </c>
      <c r="J1041" s="224"/>
      <c r="K1041" s="34" t="s">
        <v>25</v>
      </c>
      <c r="L1041" s="475"/>
      <c r="M1041" s="224"/>
      <c r="N1041" s="224"/>
      <c r="O1041" s="2628" t="s">
        <v>6395</v>
      </c>
      <c r="P1041" s="1">
        <v>227</v>
      </c>
      <c r="T1041" s="224"/>
      <c r="U1041" s="34" t="s">
        <v>25</v>
      </c>
      <c r="V1041" s="475"/>
      <c r="W1041" s="224"/>
      <c r="X1041" s="224"/>
    </row>
    <row r="1042" spans="1:24" x14ac:dyDescent="0.3">
      <c r="A1042" s="2652">
        <v>228</v>
      </c>
      <c r="B1042" s="1122" t="s">
        <v>1416</v>
      </c>
      <c r="C1042" s="216" t="s">
        <v>1344</v>
      </c>
      <c r="D1042" s="416" t="s">
        <v>938</v>
      </c>
      <c r="E1042" s="217" t="s">
        <v>1428</v>
      </c>
      <c r="F1042" s="218" t="s">
        <v>1417</v>
      </c>
      <c r="G1042" s="116">
        <v>990</v>
      </c>
      <c r="H1042" s="1776" t="s">
        <v>1349</v>
      </c>
      <c r="J1042" s="224"/>
      <c r="K1042" s="34" t="s">
        <v>25</v>
      </c>
      <c r="L1042" s="475"/>
      <c r="M1042" s="224"/>
      <c r="N1042" s="224"/>
      <c r="O1042" s="2628" t="s">
        <v>6395</v>
      </c>
      <c r="P1042" s="1">
        <v>228</v>
      </c>
      <c r="T1042" s="224"/>
      <c r="U1042" s="34" t="s">
        <v>25</v>
      </c>
      <c r="V1042" s="475"/>
      <c r="W1042" s="224"/>
      <c r="X1042" s="224"/>
    </row>
    <row r="1043" spans="1:24" x14ac:dyDescent="0.3">
      <c r="A1043" s="2651">
        <v>229</v>
      </c>
      <c r="B1043" s="1122" t="s">
        <v>1416</v>
      </c>
      <c r="C1043" s="216" t="s">
        <v>1344</v>
      </c>
      <c r="D1043" s="416" t="s">
        <v>938</v>
      </c>
      <c r="E1043" s="217" t="s">
        <v>1429</v>
      </c>
      <c r="F1043" s="218" t="s">
        <v>1417</v>
      </c>
      <c r="G1043" s="116">
        <v>990</v>
      </c>
      <c r="H1043" s="1776" t="s">
        <v>1349</v>
      </c>
      <c r="J1043" s="224"/>
      <c r="K1043" s="34" t="s">
        <v>25</v>
      </c>
      <c r="L1043" s="475"/>
      <c r="M1043" s="224"/>
      <c r="N1043" s="224"/>
      <c r="O1043" s="2628" t="s">
        <v>6395</v>
      </c>
      <c r="P1043" s="1">
        <v>229</v>
      </c>
      <c r="T1043" s="224"/>
      <c r="U1043" s="34" t="s">
        <v>25</v>
      </c>
      <c r="V1043" s="475"/>
      <c r="W1043" s="224"/>
      <c r="X1043" s="224"/>
    </row>
    <row r="1044" spans="1:24" x14ac:dyDescent="0.3">
      <c r="A1044" s="2651">
        <v>230</v>
      </c>
      <c r="B1044" s="1122" t="s">
        <v>1416</v>
      </c>
      <c r="C1044" s="216" t="s">
        <v>1344</v>
      </c>
      <c r="D1044" s="452" t="s">
        <v>938</v>
      </c>
      <c r="E1044" s="217" t="s">
        <v>1430</v>
      </c>
      <c r="F1044" s="218" t="s">
        <v>1417</v>
      </c>
      <c r="G1044" s="116">
        <v>990</v>
      </c>
      <c r="H1044" s="1776" t="s">
        <v>1349</v>
      </c>
      <c r="J1044" s="224"/>
      <c r="K1044" s="34" t="s">
        <v>25</v>
      </c>
      <c r="L1044" s="475"/>
      <c r="M1044" s="224"/>
      <c r="N1044" s="224"/>
      <c r="O1044" s="2628" t="s">
        <v>6395</v>
      </c>
      <c r="P1044" s="1">
        <v>230</v>
      </c>
      <c r="T1044" s="224"/>
      <c r="U1044" s="34" t="s">
        <v>25</v>
      </c>
      <c r="V1044" s="475"/>
      <c r="W1044" s="224"/>
      <c r="X1044" s="224"/>
    </row>
    <row r="1045" spans="1:24" x14ac:dyDescent="0.3">
      <c r="A1045" s="2652">
        <v>231</v>
      </c>
      <c r="B1045" s="1122" t="s">
        <v>1416</v>
      </c>
      <c r="C1045" s="216" t="s">
        <v>1344</v>
      </c>
      <c r="D1045" s="793" t="s">
        <v>938</v>
      </c>
      <c r="E1045" s="217" t="s">
        <v>1431</v>
      </c>
      <c r="F1045" s="218" t="s">
        <v>1417</v>
      </c>
      <c r="G1045" s="116">
        <v>990</v>
      </c>
      <c r="H1045" s="1776" t="s">
        <v>1349</v>
      </c>
      <c r="J1045" s="224"/>
      <c r="K1045" s="34" t="s">
        <v>25</v>
      </c>
      <c r="L1045" s="475"/>
      <c r="M1045" s="224"/>
      <c r="N1045" s="224"/>
      <c r="O1045" s="2628" t="s">
        <v>6395</v>
      </c>
      <c r="P1045" s="1">
        <v>231</v>
      </c>
      <c r="T1045" s="224"/>
      <c r="U1045" s="34" t="s">
        <v>25</v>
      </c>
      <c r="V1045" s="475"/>
      <c r="W1045" s="224"/>
      <c r="X1045" s="224"/>
    </row>
    <row r="1046" spans="1:24" x14ac:dyDescent="0.3">
      <c r="A1046" s="2651">
        <v>232</v>
      </c>
      <c r="B1046" s="1122" t="s">
        <v>1416</v>
      </c>
      <c r="C1046" s="216" t="s">
        <v>1344</v>
      </c>
      <c r="D1046" s="416" t="s">
        <v>938</v>
      </c>
      <c r="E1046" s="217" t="s">
        <v>441</v>
      </c>
      <c r="F1046" s="218" t="s">
        <v>1417</v>
      </c>
      <c r="G1046" s="116">
        <v>990</v>
      </c>
      <c r="H1046" s="1776" t="s">
        <v>1349</v>
      </c>
      <c r="J1046" s="224"/>
      <c r="K1046" s="34" t="s">
        <v>25</v>
      </c>
      <c r="L1046" s="475"/>
      <c r="M1046" s="224"/>
      <c r="N1046" s="224"/>
      <c r="O1046" s="2628" t="s">
        <v>6395</v>
      </c>
      <c r="P1046" s="1">
        <v>232</v>
      </c>
      <c r="T1046" s="224"/>
      <c r="U1046" s="34" t="s">
        <v>25</v>
      </c>
      <c r="V1046" s="475"/>
      <c r="W1046" s="224"/>
      <c r="X1046" s="224"/>
    </row>
    <row r="1047" spans="1:24" x14ac:dyDescent="0.3">
      <c r="A1047" s="2651">
        <v>233</v>
      </c>
      <c r="B1047" s="1122" t="s">
        <v>1416</v>
      </c>
      <c r="C1047" s="216" t="s">
        <v>1344</v>
      </c>
      <c r="D1047" s="416" t="s">
        <v>938</v>
      </c>
      <c r="E1047" s="217" t="s">
        <v>442</v>
      </c>
      <c r="F1047" s="218" t="s">
        <v>1417</v>
      </c>
      <c r="G1047" s="116">
        <v>990</v>
      </c>
      <c r="H1047" s="1776" t="s">
        <v>1349</v>
      </c>
      <c r="J1047" s="224"/>
      <c r="K1047" s="34" t="s">
        <v>25</v>
      </c>
      <c r="L1047" s="475"/>
      <c r="M1047" s="224"/>
      <c r="N1047" s="224"/>
      <c r="O1047" s="2628" t="s">
        <v>6395</v>
      </c>
      <c r="P1047" s="1">
        <v>233</v>
      </c>
      <c r="T1047" s="224"/>
      <c r="U1047" s="34" t="s">
        <v>25</v>
      </c>
      <c r="V1047" s="475"/>
      <c r="W1047" s="224"/>
      <c r="X1047" s="224"/>
    </row>
    <row r="1048" spans="1:24" x14ac:dyDescent="0.3">
      <c r="A1048" s="2652">
        <v>234</v>
      </c>
      <c r="B1048" s="1122" t="s">
        <v>1416</v>
      </c>
      <c r="C1048" s="216" t="s">
        <v>1344</v>
      </c>
      <c r="D1048" s="416" t="s">
        <v>938</v>
      </c>
      <c r="E1048" s="217" t="s">
        <v>1432</v>
      </c>
      <c r="F1048" s="218" t="s">
        <v>1417</v>
      </c>
      <c r="G1048" s="116">
        <v>990</v>
      </c>
      <c r="H1048" s="1776" t="s">
        <v>1349</v>
      </c>
      <c r="J1048" s="224"/>
      <c r="K1048" s="34" t="s">
        <v>25</v>
      </c>
      <c r="L1048" s="475"/>
      <c r="M1048" s="224"/>
      <c r="N1048" s="224"/>
      <c r="O1048" s="2628" t="s">
        <v>6395</v>
      </c>
      <c r="P1048" s="1">
        <v>234</v>
      </c>
      <c r="T1048" s="224"/>
      <c r="U1048" s="34" t="s">
        <v>25</v>
      </c>
      <c r="V1048" s="475"/>
      <c r="W1048" s="224"/>
      <c r="X1048" s="224"/>
    </row>
    <row r="1049" spans="1:24" x14ac:dyDescent="0.3">
      <c r="A1049" s="2651">
        <v>235</v>
      </c>
      <c r="B1049" s="1122" t="s">
        <v>1416</v>
      </c>
      <c r="C1049" s="216" t="s">
        <v>1344</v>
      </c>
      <c r="D1049" s="416" t="s">
        <v>938</v>
      </c>
      <c r="E1049" s="217" t="s">
        <v>1433</v>
      </c>
      <c r="F1049" s="218" t="s">
        <v>1417</v>
      </c>
      <c r="G1049" s="116">
        <v>990</v>
      </c>
      <c r="H1049" s="1776" t="s">
        <v>1349</v>
      </c>
      <c r="J1049" s="224"/>
      <c r="K1049" s="34" t="s">
        <v>25</v>
      </c>
      <c r="L1049" s="475"/>
      <c r="M1049" s="224"/>
      <c r="N1049" s="224"/>
      <c r="O1049" s="2628" t="s">
        <v>6395</v>
      </c>
      <c r="P1049" s="1">
        <v>235</v>
      </c>
      <c r="T1049" s="224"/>
      <c r="U1049" s="34" t="s">
        <v>25</v>
      </c>
      <c r="V1049" s="475"/>
      <c r="W1049" s="224"/>
      <c r="X1049" s="224"/>
    </row>
    <row r="1050" spans="1:24" x14ac:dyDescent="0.3">
      <c r="A1050" s="2651">
        <v>236</v>
      </c>
      <c r="B1050" s="1122" t="s">
        <v>1416</v>
      </c>
      <c r="C1050" s="216" t="s">
        <v>1344</v>
      </c>
      <c r="D1050" s="452" t="s">
        <v>938</v>
      </c>
      <c r="E1050" s="217" t="s">
        <v>1434</v>
      </c>
      <c r="F1050" s="218" t="s">
        <v>1417</v>
      </c>
      <c r="G1050" s="116">
        <v>990</v>
      </c>
      <c r="H1050" s="1776" t="s">
        <v>1349</v>
      </c>
      <c r="J1050" s="224"/>
      <c r="K1050" s="34" t="s">
        <v>25</v>
      </c>
      <c r="L1050" s="475"/>
      <c r="M1050" s="224"/>
      <c r="N1050" s="224"/>
      <c r="O1050" s="2628" t="s">
        <v>6395</v>
      </c>
      <c r="P1050" s="1">
        <v>236</v>
      </c>
      <c r="T1050" s="224"/>
      <c r="U1050" s="34" t="s">
        <v>25</v>
      </c>
      <c r="V1050" s="475"/>
      <c r="W1050" s="224"/>
      <c r="X1050" s="224"/>
    </row>
    <row r="1051" spans="1:24" x14ac:dyDescent="0.3">
      <c r="A1051" s="2652">
        <v>237</v>
      </c>
      <c r="B1051" s="1122" t="s">
        <v>1416</v>
      </c>
      <c r="C1051" s="216" t="s">
        <v>1344</v>
      </c>
      <c r="D1051" s="793" t="s">
        <v>938</v>
      </c>
      <c r="E1051" s="217" t="s">
        <v>1435</v>
      </c>
      <c r="F1051" s="218" t="s">
        <v>1417</v>
      </c>
      <c r="G1051" s="116">
        <v>990</v>
      </c>
      <c r="H1051" s="1776" t="s">
        <v>1349</v>
      </c>
      <c r="J1051" s="224"/>
      <c r="K1051" s="34" t="s">
        <v>25</v>
      </c>
      <c r="L1051" s="475"/>
      <c r="M1051" s="224"/>
      <c r="N1051" s="224"/>
      <c r="O1051" s="2628" t="s">
        <v>6395</v>
      </c>
      <c r="P1051" s="1">
        <v>237</v>
      </c>
      <c r="T1051" s="224"/>
      <c r="U1051" s="34" t="s">
        <v>25</v>
      </c>
      <c r="V1051" s="475"/>
      <c r="W1051" s="224"/>
      <c r="X1051" s="224"/>
    </row>
    <row r="1052" spans="1:24" x14ac:dyDescent="0.3">
      <c r="A1052" s="2651">
        <v>238</v>
      </c>
      <c r="B1052" s="1122" t="s">
        <v>1416</v>
      </c>
      <c r="C1052" s="1117" t="s">
        <v>1344</v>
      </c>
      <c r="D1052" s="416" t="s">
        <v>938</v>
      </c>
      <c r="E1052" s="217" t="s">
        <v>1436</v>
      </c>
      <c r="F1052" s="218" t="s">
        <v>1417</v>
      </c>
      <c r="G1052" s="116">
        <v>990</v>
      </c>
      <c r="H1052" s="1776" t="s">
        <v>1349</v>
      </c>
      <c r="J1052" s="224"/>
      <c r="K1052" s="34" t="s">
        <v>25</v>
      </c>
      <c r="L1052" s="475"/>
      <c r="M1052" s="224"/>
      <c r="N1052" s="224"/>
      <c r="O1052" s="2628" t="s">
        <v>6395</v>
      </c>
      <c r="P1052" s="1">
        <v>238</v>
      </c>
      <c r="T1052" s="224"/>
      <c r="U1052" s="34" t="s">
        <v>25</v>
      </c>
      <c r="V1052" s="475"/>
      <c r="W1052" s="224"/>
      <c r="X1052" s="224"/>
    </row>
    <row r="1053" spans="1:24" x14ac:dyDescent="0.3">
      <c r="A1053" s="2651">
        <v>239</v>
      </c>
      <c r="B1053" s="1122" t="s">
        <v>1416</v>
      </c>
      <c r="C1053" s="216" t="s">
        <v>1344</v>
      </c>
      <c r="D1053" s="416" t="s">
        <v>938</v>
      </c>
      <c r="E1053" s="217" t="s">
        <v>1437</v>
      </c>
      <c r="F1053" s="218" t="s">
        <v>1417</v>
      </c>
      <c r="G1053" s="116">
        <v>990</v>
      </c>
      <c r="H1053" s="1776" t="s">
        <v>1349</v>
      </c>
      <c r="J1053" s="224"/>
      <c r="K1053" s="34" t="s">
        <v>25</v>
      </c>
      <c r="L1053" s="475"/>
      <c r="M1053" s="224"/>
      <c r="N1053" s="224"/>
      <c r="O1053" s="2628" t="s">
        <v>6395</v>
      </c>
      <c r="P1053" s="1">
        <v>239</v>
      </c>
      <c r="T1053" s="224"/>
      <c r="U1053" s="34" t="s">
        <v>25</v>
      </c>
      <c r="V1053" s="475"/>
      <c r="W1053" s="224"/>
      <c r="X1053" s="224"/>
    </row>
    <row r="1054" spans="1:24" x14ac:dyDescent="0.3">
      <c r="A1054" s="2652">
        <v>240</v>
      </c>
      <c r="B1054" s="1122" t="s">
        <v>1416</v>
      </c>
      <c r="C1054" s="216" t="s">
        <v>1344</v>
      </c>
      <c r="D1054" s="416" t="s">
        <v>938</v>
      </c>
      <c r="E1054" s="217" t="s">
        <v>1438</v>
      </c>
      <c r="F1054" s="218" t="s">
        <v>1417</v>
      </c>
      <c r="G1054" s="116">
        <v>990</v>
      </c>
      <c r="H1054" s="1776" t="s">
        <v>1349</v>
      </c>
      <c r="J1054" s="224"/>
      <c r="K1054" s="34" t="s">
        <v>25</v>
      </c>
      <c r="L1054" s="475"/>
      <c r="M1054" s="224"/>
      <c r="N1054" s="224"/>
      <c r="O1054" s="2628" t="s">
        <v>6395</v>
      </c>
      <c r="P1054" s="1">
        <v>240</v>
      </c>
      <c r="T1054" s="224"/>
      <c r="U1054" s="34" t="s">
        <v>25</v>
      </c>
      <c r="V1054" s="475"/>
      <c r="W1054" s="224"/>
      <c r="X1054" s="224"/>
    </row>
    <row r="1055" spans="1:24" x14ac:dyDescent="0.3">
      <c r="A1055" s="2651">
        <v>241</v>
      </c>
      <c r="B1055" s="1122" t="s">
        <v>1416</v>
      </c>
      <c r="C1055" s="216" t="s">
        <v>1344</v>
      </c>
      <c r="D1055" s="416" t="s">
        <v>938</v>
      </c>
      <c r="E1055" s="217" t="s">
        <v>1439</v>
      </c>
      <c r="F1055" s="218" t="s">
        <v>1417</v>
      </c>
      <c r="G1055" s="116">
        <v>990</v>
      </c>
      <c r="H1055" s="1776" t="s">
        <v>1349</v>
      </c>
      <c r="J1055" s="224"/>
      <c r="K1055" s="34" t="s">
        <v>25</v>
      </c>
      <c r="L1055" s="475"/>
      <c r="M1055" s="224"/>
      <c r="N1055" s="224"/>
      <c r="O1055" s="2628" t="s">
        <v>6395</v>
      </c>
      <c r="P1055" s="1">
        <v>241</v>
      </c>
      <c r="T1055" s="224"/>
      <c r="U1055" s="34" t="s">
        <v>25</v>
      </c>
      <c r="V1055" s="475"/>
      <c r="W1055" s="224"/>
      <c r="X1055" s="224"/>
    </row>
    <row r="1056" spans="1:24" x14ac:dyDescent="0.3">
      <c r="A1056" s="2651">
        <v>242</v>
      </c>
      <c r="B1056" s="1122" t="s">
        <v>1416</v>
      </c>
      <c r="C1056" s="216" t="s">
        <v>1344</v>
      </c>
      <c r="D1056" s="416" t="s">
        <v>938</v>
      </c>
      <c r="E1056" s="217" t="s">
        <v>1440</v>
      </c>
      <c r="F1056" s="218" t="s">
        <v>1417</v>
      </c>
      <c r="G1056" s="116">
        <v>990</v>
      </c>
      <c r="H1056" s="1776" t="s">
        <v>1349</v>
      </c>
      <c r="J1056" s="224"/>
      <c r="K1056" s="34" t="s">
        <v>25</v>
      </c>
      <c r="L1056" s="475"/>
      <c r="M1056" s="224"/>
      <c r="N1056" s="224"/>
      <c r="O1056" s="2628" t="s">
        <v>6395</v>
      </c>
      <c r="P1056" s="1">
        <v>242</v>
      </c>
      <c r="T1056" s="224"/>
      <c r="U1056" s="34" t="s">
        <v>25</v>
      </c>
      <c r="V1056" s="475"/>
      <c r="W1056" s="224"/>
      <c r="X1056" s="224"/>
    </row>
    <row r="1057" spans="1:24" x14ac:dyDescent="0.3">
      <c r="A1057" s="2652">
        <v>243</v>
      </c>
      <c r="B1057" s="1122" t="s">
        <v>1416</v>
      </c>
      <c r="C1057" s="216" t="s">
        <v>1344</v>
      </c>
      <c r="D1057" s="416" t="s">
        <v>938</v>
      </c>
      <c r="E1057" s="217" t="s">
        <v>1441</v>
      </c>
      <c r="F1057" s="218" t="s">
        <v>1417</v>
      </c>
      <c r="G1057" s="116">
        <v>990</v>
      </c>
      <c r="H1057" s="1776" t="s">
        <v>1349</v>
      </c>
      <c r="J1057" s="224"/>
      <c r="K1057" s="34" t="s">
        <v>25</v>
      </c>
      <c r="L1057" s="475"/>
      <c r="M1057" s="224"/>
      <c r="N1057" s="224"/>
      <c r="O1057" s="2628" t="s">
        <v>6395</v>
      </c>
      <c r="P1057" s="1">
        <v>243</v>
      </c>
      <c r="T1057" s="224"/>
      <c r="U1057" s="34" t="s">
        <v>25</v>
      </c>
      <c r="V1057" s="475"/>
      <c r="W1057" s="224"/>
      <c r="X1057" s="224"/>
    </row>
    <row r="1058" spans="1:24" x14ac:dyDescent="0.3">
      <c r="A1058" s="2651">
        <v>244</v>
      </c>
      <c r="B1058" s="1122" t="s">
        <v>1416</v>
      </c>
      <c r="C1058" s="1117" t="s">
        <v>1344</v>
      </c>
      <c r="D1058" s="416" t="s">
        <v>938</v>
      </c>
      <c r="E1058" s="217" t="s">
        <v>1442</v>
      </c>
      <c r="F1058" s="218" t="s">
        <v>1417</v>
      </c>
      <c r="G1058" s="116">
        <v>990</v>
      </c>
      <c r="H1058" s="1776" t="s">
        <v>1349</v>
      </c>
      <c r="J1058" s="224"/>
      <c r="K1058" s="34" t="s">
        <v>25</v>
      </c>
      <c r="L1058" s="475"/>
      <c r="M1058" s="224"/>
      <c r="N1058" s="224"/>
      <c r="O1058" s="2628" t="s">
        <v>6395</v>
      </c>
      <c r="P1058" s="1">
        <v>244</v>
      </c>
      <c r="T1058" s="224"/>
      <c r="U1058" s="34" t="s">
        <v>25</v>
      </c>
      <c r="V1058" s="475"/>
      <c r="W1058" s="224"/>
      <c r="X1058" s="224"/>
    </row>
    <row r="1059" spans="1:24" x14ac:dyDescent="0.3">
      <c r="A1059" s="2651">
        <v>245</v>
      </c>
      <c r="B1059" s="1122" t="s">
        <v>1416</v>
      </c>
      <c r="C1059" s="216" t="s">
        <v>1344</v>
      </c>
      <c r="D1059" s="416" t="s">
        <v>938</v>
      </c>
      <c r="E1059" s="217" t="s">
        <v>1443</v>
      </c>
      <c r="F1059" s="218" t="s">
        <v>1417</v>
      </c>
      <c r="G1059" s="116">
        <v>990</v>
      </c>
      <c r="H1059" s="1776" t="s">
        <v>1349</v>
      </c>
      <c r="J1059" s="224"/>
      <c r="K1059" s="34" t="s">
        <v>25</v>
      </c>
      <c r="L1059" s="475"/>
      <c r="M1059" s="224"/>
      <c r="N1059" s="224"/>
      <c r="O1059" s="2628" t="s">
        <v>6395</v>
      </c>
      <c r="P1059" s="1">
        <v>245</v>
      </c>
      <c r="T1059" s="224"/>
      <c r="U1059" s="34" t="s">
        <v>25</v>
      </c>
      <c r="V1059" s="475"/>
      <c r="W1059" s="224"/>
      <c r="X1059" s="224"/>
    </row>
    <row r="1060" spans="1:24" x14ac:dyDescent="0.3">
      <c r="A1060" s="2652">
        <v>246</v>
      </c>
      <c r="B1060" s="1122" t="s">
        <v>1416</v>
      </c>
      <c r="C1060" s="1117" t="s">
        <v>1344</v>
      </c>
      <c r="D1060" s="416" t="s">
        <v>938</v>
      </c>
      <c r="E1060" s="217" t="s">
        <v>1444</v>
      </c>
      <c r="F1060" s="218" t="s">
        <v>1417</v>
      </c>
      <c r="G1060" s="116">
        <v>990</v>
      </c>
      <c r="H1060" s="1776" t="s">
        <v>1349</v>
      </c>
      <c r="J1060" s="224"/>
      <c r="K1060" s="34" t="s">
        <v>25</v>
      </c>
      <c r="L1060" s="475"/>
      <c r="M1060" s="224"/>
      <c r="N1060" s="224"/>
      <c r="O1060" s="2628" t="s">
        <v>6395</v>
      </c>
      <c r="P1060" s="1">
        <v>246</v>
      </c>
      <c r="T1060" s="224"/>
      <c r="U1060" s="34" t="s">
        <v>25</v>
      </c>
      <c r="V1060" s="475"/>
      <c r="W1060" s="224"/>
      <c r="X1060" s="224"/>
    </row>
    <row r="1061" spans="1:24" x14ac:dyDescent="0.3">
      <c r="A1061" s="2651">
        <v>247</v>
      </c>
      <c r="B1061" s="1122" t="s">
        <v>1416</v>
      </c>
      <c r="C1061" s="216" t="s">
        <v>1344</v>
      </c>
      <c r="D1061" s="416" t="s">
        <v>938</v>
      </c>
      <c r="E1061" s="217" t="s">
        <v>1445</v>
      </c>
      <c r="F1061" s="218" t="s">
        <v>1417</v>
      </c>
      <c r="G1061" s="116">
        <v>990</v>
      </c>
      <c r="H1061" s="1776" t="s">
        <v>1349</v>
      </c>
      <c r="J1061" s="224"/>
      <c r="K1061" s="34" t="s">
        <v>25</v>
      </c>
      <c r="L1061" s="475"/>
      <c r="M1061" s="224"/>
      <c r="N1061" s="224"/>
      <c r="O1061" s="2628" t="s">
        <v>6395</v>
      </c>
      <c r="P1061" s="1">
        <v>247</v>
      </c>
      <c r="T1061" s="224"/>
      <c r="U1061" s="34" t="s">
        <v>25</v>
      </c>
      <c r="V1061" s="475"/>
      <c r="W1061" s="224"/>
      <c r="X1061" s="224"/>
    </row>
    <row r="1062" spans="1:24" x14ac:dyDescent="0.3">
      <c r="A1062" s="2651">
        <v>248</v>
      </c>
      <c r="B1062" s="1122" t="s">
        <v>1416</v>
      </c>
      <c r="C1062" s="216" t="s">
        <v>1344</v>
      </c>
      <c r="D1062" s="416" t="s">
        <v>938</v>
      </c>
      <c r="E1062" s="217" t="s">
        <v>1446</v>
      </c>
      <c r="F1062" s="218" t="s">
        <v>1417</v>
      </c>
      <c r="G1062" s="116">
        <v>990</v>
      </c>
      <c r="H1062" s="1776" t="s">
        <v>1349</v>
      </c>
      <c r="J1062" s="224"/>
      <c r="K1062" s="34" t="s">
        <v>25</v>
      </c>
      <c r="L1062" s="475"/>
      <c r="M1062" s="224"/>
      <c r="N1062" s="224"/>
      <c r="O1062" s="2628" t="s">
        <v>6395</v>
      </c>
      <c r="P1062" s="1">
        <v>248</v>
      </c>
      <c r="T1062" s="224"/>
      <c r="U1062" s="34" t="s">
        <v>25</v>
      </c>
      <c r="V1062" s="475"/>
      <c r="W1062" s="224"/>
      <c r="X1062" s="224"/>
    </row>
    <row r="1063" spans="1:24" x14ac:dyDescent="0.3">
      <c r="A1063" s="2652">
        <v>249</v>
      </c>
      <c r="B1063" s="1122" t="s">
        <v>1416</v>
      </c>
      <c r="C1063" s="1117" t="s">
        <v>1344</v>
      </c>
      <c r="D1063" s="416" t="s">
        <v>938</v>
      </c>
      <c r="E1063" s="217" t="s">
        <v>1079</v>
      </c>
      <c r="F1063" s="218" t="s">
        <v>1417</v>
      </c>
      <c r="G1063" s="116">
        <v>990</v>
      </c>
      <c r="H1063" s="1776" t="s">
        <v>1349</v>
      </c>
      <c r="J1063" s="224"/>
      <c r="K1063" s="34" t="s">
        <v>25</v>
      </c>
      <c r="L1063" s="475"/>
      <c r="M1063" s="224"/>
      <c r="N1063" s="224"/>
      <c r="O1063" s="2628" t="s">
        <v>6395</v>
      </c>
      <c r="P1063" s="1">
        <v>249</v>
      </c>
      <c r="T1063" s="224"/>
      <c r="U1063" s="34" t="s">
        <v>25</v>
      </c>
      <c r="V1063" s="475"/>
      <c r="W1063" s="224"/>
      <c r="X1063" s="224"/>
    </row>
    <row r="1064" spans="1:24" x14ac:dyDescent="0.3">
      <c r="A1064" s="2651">
        <v>250</v>
      </c>
      <c r="B1064" s="1122" t="s">
        <v>1416</v>
      </c>
      <c r="C1064" s="216" t="s">
        <v>1344</v>
      </c>
      <c r="D1064" s="416" t="s">
        <v>938</v>
      </c>
      <c r="E1064" s="217" t="s">
        <v>1083</v>
      </c>
      <c r="F1064" s="218" t="s">
        <v>1417</v>
      </c>
      <c r="G1064" s="116">
        <v>990</v>
      </c>
      <c r="H1064" s="1776" t="s">
        <v>1349</v>
      </c>
      <c r="J1064" s="224"/>
      <c r="K1064" s="34" t="s">
        <v>25</v>
      </c>
      <c r="L1064" s="475"/>
      <c r="M1064" s="224"/>
      <c r="N1064" s="224"/>
      <c r="O1064" s="2628" t="s">
        <v>6395</v>
      </c>
      <c r="P1064" s="1">
        <v>250</v>
      </c>
      <c r="T1064" s="224"/>
      <c r="U1064" s="34" t="s">
        <v>25</v>
      </c>
      <c r="V1064" s="475"/>
      <c r="W1064" s="224"/>
      <c r="X1064" s="224"/>
    </row>
    <row r="1065" spans="1:24" x14ac:dyDescent="0.3">
      <c r="A1065" s="2651">
        <v>251</v>
      </c>
      <c r="B1065" s="1122" t="s">
        <v>1416</v>
      </c>
      <c r="C1065" s="216" t="s">
        <v>1344</v>
      </c>
      <c r="D1065" s="416" t="s">
        <v>938</v>
      </c>
      <c r="E1065" s="217" t="s">
        <v>1084</v>
      </c>
      <c r="F1065" s="218" t="s">
        <v>1417</v>
      </c>
      <c r="G1065" s="116">
        <v>990</v>
      </c>
      <c r="H1065" s="1776" t="s">
        <v>1349</v>
      </c>
      <c r="J1065" s="224"/>
      <c r="K1065" s="34" t="s">
        <v>25</v>
      </c>
      <c r="L1065" s="475"/>
      <c r="M1065" s="224"/>
      <c r="N1065" s="224"/>
      <c r="O1065" s="2628" t="s">
        <v>6395</v>
      </c>
      <c r="P1065" s="1">
        <v>251</v>
      </c>
      <c r="T1065" s="224"/>
      <c r="U1065" s="34" t="s">
        <v>25</v>
      </c>
      <c r="V1065" s="475"/>
      <c r="W1065" s="224"/>
      <c r="X1065" s="224"/>
    </row>
    <row r="1066" spans="1:24" x14ac:dyDescent="0.3">
      <c r="A1066" s="2652">
        <v>252</v>
      </c>
      <c r="B1066" s="1122" t="s">
        <v>1416</v>
      </c>
      <c r="C1066" s="216" t="s">
        <v>1344</v>
      </c>
      <c r="D1066" s="416" t="s">
        <v>938</v>
      </c>
      <c r="E1066" s="217" t="s">
        <v>1447</v>
      </c>
      <c r="F1066" s="218" t="s">
        <v>1417</v>
      </c>
      <c r="G1066" s="116">
        <v>990</v>
      </c>
      <c r="H1066" s="1776" t="s">
        <v>1349</v>
      </c>
      <c r="J1066" s="224"/>
      <c r="K1066" s="34" t="s">
        <v>25</v>
      </c>
      <c r="L1066" s="475"/>
      <c r="M1066" s="224"/>
      <c r="N1066" s="224"/>
      <c r="O1066" s="2628" t="s">
        <v>6395</v>
      </c>
      <c r="P1066" s="1">
        <v>252</v>
      </c>
      <c r="T1066" s="224"/>
      <c r="U1066" s="34" t="s">
        <v>25</v>
      </c>
      <c r="V1066" s="475"/>
      <c r="W1066" s="224"/>
      <c r="X1066" s="224"/>
    </row>
    <row r="1067" spans="1:24" x14ac:dyDescent="0.3">
      <c r="A1067" s="2651">
        <v>253</v>
      </c>
      <c r="B1067" s="1122" t="s">
        <v>1416</v>
      </c>
      <c r="C1067" s="1117" t="s">
        <v>1344</v>
      </c>
      <c r="D1067" s="416" t="s">
        <v>938</v>
      </c>
      <c r="E1067" s="217" t="s">
        <v>1086</v>
      </c>
      <c r="F1067" s="218" t="s">
        <v>1417</v>
      </c>
      <c r="G1067" s="116">
        <v>990</v>
      </c>
      <c r="H1067" s="1776" t="s">
        <v>1349</v>
      </c>
      <c r="J1067" s="224"/>
      <c r="K1067" s="34" t="s">
        <v>25</v>
      </c>
      <c r="L1067" s="475"/>
      <c r="M1067" s="224"/>
      <c r="N1067" s="224"/>
      <c r="O1067" s="2628" t="s">
        <v>6395</v>
      </c>
      <c r="P1067" s="1">
        <v>253</v>
      </c>
      <c r="T1067" s="224"/>
      <c r="U1067" s="34" t="s">
        <v>25</v>
      </c>
      <c r="V1067" s="475"/>
      <c r="W1067" s="224"/>
      <c r="X1067" s="224"/>
    </row>
    <row r="1068" spans="1:24" x14ac:dyDescent="0.3">
      <c r="A1068" s="2651">
        <v>254</v>
      </c>
      <c r="B1068" s="1122" t="s">
        <v>1416</v>
      </c>
      <c r="C1068" s="216" t="s">
        <v>1344</v>
      </c>
      <c r="D1068" s="416" t="s">
        <v>938</v>
      </c>
      <c r="E1068" s="217" t="s">
        <v>1089</v>
      </c>
      <c r="F1068" s="218" t="s">
        <v>1417</v>
      </c>
      <c r="G1068" s="116">
        <v>990</v>
      </c>
      <c r="H1068" s="1776" t="s">
        <v>1349</v>
      </c>
      <c r="J1068" s="224"/>
      <c r="K1068" s="34" t="s">
        <v>25</v>
      </c>
      <c r="L1068" s="475"/>
      <c r="M1068" s="224"/>
      <c r="N1068" s="224"/>
      <c r="O1068" s="2628" t="s">
        <v>6395</v>
      </c>
      <c r="P1068" s="1">
        <v>254</v>
      </c>
      <c r="T1068" s="224"/>
      <c r="U1068" s="34" t="s">
        <v>25</v>
      </c>
      <c r="V1068" s="475"/>
      <c r="W1068" s="224"/>
      <c r="X1068" s="224"/>
    </row>
    <row r="1069" spans="1:24" x14ac:dyDescent="0.3">
      <c r="A1069" s="2652">
        <v>255</v>
      </c>
      <c r="B1069" s="1122" t="s">
        <v>1416</v>
      </c>
      <c r="C1069" s="216" t="s">
        <v>1344</v>
      </c>
      <c r="D1069" s="416" t="s">
        <v>938</v>
      </c>
      <c r="E1069" s="217" t="s">
        <v>1448</v>
      </c>
      <c r="F1069" s="218" t="s">
        <v>1417</v>
      </c>
      <c r="G1069" s="116">
        <v>990</v>
      </c>
      <c r="H1069" s="1776" t="s">
        <v>1349</v>
      </c>
      <c r="J1069" s="224"/>
      <c r="K1069" s="34" t="s">
        <v>25</v>
      </c>
      <c r="L1069" s="475"/>
      <c r="M1069" s="224"/>
      <c r="N1069" s="224"/>
      <c r="O1069" s="2628" t="s">
        <v>6395</v>
      </c>
      <c r="P1069" s="1">
        <v>255</v>
      </c>
      <c r="T1069" s="224"/>
      <c r="U1069" s="34" t="s">
        <v>25</v>
      </c>
      <c r="V1069" s="475"/>
      <c r="W1069" s="224"/>
      <c r="X1069" s="224"/>
    </row>
    <row r="1070" spans="1:24" x14ac:dyDescent="0.3">
      <c r="A1070" s="2651">
        <v>256</v>
      </c>
      <c r="B1070" s="1122" t="s">
        <v>1416</v>
      </c>
      <c r="C1070" s="216" t="s">
        <v>1344</v>
      </c>
      <c r="D1070" s="416" t="s">
        <v>938</v>
      </c>
      <c r="E1070" s="217" t="s">
        <v>22</v>
      </c>
      <c r="F1070" s="218" t="s">
        <v>1417</v>
      </c>
      <c r="G1070" s="116">
        <v>990</v>
      </c>
      <c r="H1070" s="1776" t="s">
        <v>1349</v>
      </c>
      <c r="J1070" s="224"/>
      <c r="K1070" s="34" t="s">
        <v>25</v>
      </c>
      <c r="L1070" s="475"/>
      <c r="M1070" s="224"/>
      <c r="N1070" s="224"/>
      <c r="O1070" s="2628" t="s">
        <v>6395</v>
      </c>
      <c r="P1070" s="1">
        <v>256</v>
      </c>
      <c r="T1070" s="224"/>
      <c r="U1070" s="34" t="s">
        <v>25</v>
      </c>
      <c r="V1070" s="475"/>
      <c r="W1070" s="224"/>
      <c r="X1070" s="224"/>
    </row>
    <row r="1071" spans="1:24" x14ac:dyDescent="0.3">
      <c r="A1071" s="2651">
        <v>257</v>
      </c>
      <c r="B1071" s="1122" t="s">
        <v>1416</v>
      </c>
      <c r="C1071" s="216" t="s">
        <v>1344</v>
      </c>
      <c r="D1071" s="416" t="s">
        <v>938</v>
      </c>
      <c r="E1071" s="217" t="s">
        <v>26</v>
      </c>
      <c r="F1071" s="218" t="s">
        <v>1417</v>
      </c>
      <c r="G1071" s="116">
        <v>990</v>
      </c>
      <c r="H1071" s="1776" t="s">
        <v>1349</v>
      </c>
      <c r="J1071" s="224"/>
      <c r="K1071" s="34" t="s">
        <v>25</v>
      </c>
      <c r="L1071" s="475"/>
      <c r="M1071" s="224"/>
      <c r="N1071" s="224"/>
      <c r="O1071" s="2628" t="s">
        <v>6395</v>
      </c>
      <c r="P1071" s="1">
        <v>257</v>
      </c>
      <c r="T1071" s="224"/>
      <c r="U1071" s="34" t="s">
        <v>25</v>
      </c>
      <c r="V1071" s="475"/>
      <c r="W1071" s="224"/>
      <c r="X1071" s="224"/>
    </row>
    <row r="1072" spans="1:24" x14ac:dyDescent="0.3">
      <c r="A1072" s="2652">
        <v>258</v>
      </c>
      <c r="B1072" s="1122" t="s">
        <v>1416</v>
      </c>
      <c r="C1072" s="216" t="s">
        <v>1344</v>
      </c>
      <c r="D1072" s="416" t="s">
        <v>938</v>
      </c>
      <c r="E1072" s="217" t="s">
        <v>27</v>
      </c>
      <c r="F1072" s="218" t="s">
        <v>1417</v>
      </c>
      <c r="G1072" s="116">
        <v>990</v>
      </c>
      <c r="H1072" s="1776" t="s">
        <v>1349</v>
      </c>
      <c r="J1072" s="224"/>
      <c r="K1072" s="34" t="s">
        <v>25</v>
      </c>
      <c r="L1072" s="475"/>
      <c r="M1072" s="224"/>
      <c r="N1072" s="224"/>
      <c r="O1072" s="2628" t="s">
        <v>6395</v>
      </c>
      <c r="P1072" s="1">
        <v>258</v>
      </c>
      <c r="T1072" s="224"/>
      <c r="U1072" s="34" t="s">
        <v>25</v>
      </c>
      <c r="V1072" s="475"/>
      <c r="W1072" s="224"/>
      <c r="X1072" s="224"/>
    </row>
    <row r="1073" spans="1:24" x14ac:dyDescent="0.3">
      <c r="A1073" s="2651">
        <v>259</v>
      </c>
      <c r="B1073" s="1122" t="s">
        <v>1416</v>
      </c>
      <c r="C1073" s="216" t="s">
        <v>1344</v>
      </c>
      <c r="D1073" s="416" t="s">
        <v>938</v>
      </c>
      <c r="E1073" s="217" t="s">
        <v>29</v>
      </c>
      <c r="F1073" s="218" t="s">
        <v>1417</v>
      </c>
      <c r="G1073" s="116">
        <v>990</v>
      </c>
      <c r="H1073" s="1776" t="s">
        <v>1349</v>
      </c>
      <c r="J1073" s="224"/>
      <c r="K1073" s="34" t="s">
        <v>25</v>
      </c>
      <c r="L1073" s="475"/>
      <c r="M1073" s="224"/>
      <c r="N1073" s="224"/>
      <c r="O1073" s="2628" t="s">
        <v>6395</v>
      </c>
      <c r="P1073" s="1">
        <v>259</v>
      </c>
      <c r="T1073" s="224"/>
      <c r="U1073" s="34" t="s">
        <v>25</v>
      </c>
      <c r="V1073" s="475"/>
      <c r="W1073" s="224"/>
      <c r="X1073" s="224"/>
    </row>
    <row r="1074" spans="1:24" x14ac:dyDescent="0.3">
      <c r="A1074" s="2651">
        <v>260</v>
      </c>
      <c r="B1074" s="1122" t="s">
        <v>1416</v>
      </c>
      <c r="C1074" s="216" t="s">
        <v>1344</v>
      </c>
      <c r="D1074" s="416" t="s">
        <v>938</v>
      </c>
      <c r="E1074" s="217" t="s">
        <v>30</v>
      </c>
      <c r="F1074" s="218" t="s">
        <v>1417</v>
      </c>
      <c r="G1074" s="116">
        <v>990</v>
      </c>
      <c r="H1074" s="1776" t="s">
        <v>1349</v>
      </c>
      <c r="J1074" s="224"/>
      <c r="K1074" s="34" t="s">
        <v>25</v>
      </c>
      <c r="L1074" s="475"/>
      <c r="M1074" s="224"/>
      <c r="N1074" s="224"/>
      <c r="O1074" s="2628" t="s">
        <v>6395</v>
      </c>
      <c r="P1074" s="1">
        <v>260</v>
      </c>
      <c r="T1074" s="224"/>
      <c r="U1074" s="34" t="s">
        <v>25</v>
      </c>
      <c r="V1074" s="475"/>
      <c r="W1074" s="224"/>
      <c r="X1074" s="224"/>
    </row>
    <row r="1075" spans="1:24" x14ac:dyDescent="0.3">
      <c r="A1075" s="2652">
        <v>261</v>
      </c>
      <c r="B1075" s="1122" t="s">
        <v>1416</v>
      </c>
      <c r="C1075" s="216" t="s">
        <v>1344</v>
      </c>
      <c r="D1075" s="416" t="s">
        <v>938</v>
      </c>
      <c r="E1075" s="217" t="s">
        <v>32</v>
      </c>
      <c r="F1075" s="218" t="s">
        <v>1417</v>
      </c>
      <c r="G1075" s="116">
        <v>990</v>
      </c>
      <c r="H1075" s="1776" t="s">
        <v>1349</v>
      </c>
      <c r="J1075" s="224"/>
      <c r="K1075" s="34" t="s">
        <v>25</v>
      </c>
      <c r="L1075" s="475"/>
      <c r="M1075" s="224"/>
      <c r="N1075" s="224"/>
      <c r="O1075" s="2628" t="s">
        <v>6395</v>
      </c>
      <c r="P1075" s="1">
        <v>261</v>
      </c>
      <c r="T1075" s="224"/>
      <c r="U1075" s="34" t="s">
        <v>25</v>
      </c>
      <c r="V1075" s="475"/>
      <c r="W1075" s="224"/>
      <c r="X1075" s="224"/>
    </row>
    <row r="1076" spans="1:24" x14ac:dyDescent="0.3">
      <c r="A1076" s="2651">
        <v>262</v>
      </c>
      <c r="B1076" s="1122" t="s">
        <v>1416</v>
      </c>
      <c r="C1076" s="216" t="s">
        <v>1344</v>
      </c>
      <c r="D1076" s="416" t="s">
        <v>938</v>
      </c>
      <c r="E1076" s="217" t="s">
        <v>34</v>
      </c>
      <c r="F1076" s="218" t="s">
        <v>1417</v>
      </c>
      <c r="G1076" s="116">
        <v>990</v>
      </c>
      <c r="H1076" s="1776" t="s">
        <v>1349</v>
      </c>
      <c r="J1076" s="224"/>
      <c r="K1076" s="34" t="s">
        <v>25</v>
      </c>
      <c r="L1076" s="475"/>
      <c r="M1076" s="224"/>
      <c r="N1076" s="224"/>
      <c r="O1076" s="2628" t="s">
        <v>6395</v>
      </c>
      <c r="P1076" s="1">
        <v>262</v>
      </c>
      <c r="T1076" s="224"/>
      <c r="U1076" s="34" t="s">
        <v>25</v>
      </c>
      <c r="V1076" s="475"/>
      <c r="W1076" s="224"/>
      <c r="X1076" s="224"/>
    </row>
    <row r="1077" spans="1:24" x14ac:dyDescent="0.3">
      <c r="A1077" s="2651">
        <v>263</v>
      </c>
      <c r="B1077" s="1122" t="s">
        <v>1416</v>
      </c>
      <c r="C1077" s="216" t="s">
        <v>1344</v>
      </c>
      <c r="D1077" s="416" t="s">
        <v>938</v>
      </c>
      <c r="E1077" s="217" t="s">
        <v>35</v>
      </c>
      <c r="F1077" s="218" t="s">
        <v>1417</v>
      </c>
      <c r="G1077" s="116">
        <v>990</v>
      </c>
      <c r="H1077" s="1776" t="s">
        <v>1349</v>
      </c>
      <c r="J1077" s="224"/>
      <c r="K1077" s="34" t="s">
        <v>25</v>
      </c>
      <c r="L1077" s="475"/>
      <c r="M1077" s="224"/>
      <c r="N1077" s="224"/>
      <c r="O1077" s="2628" t="s">
        <v>6395</v>
      </c>
      <c r="P1077" s="1">
        <v>263</v>
      </c>
      <c r="T1077" s="224"/>
      <c r="U1077" s="34" t="s">
        <v>25</v>
      </c>
      <c r="V1077" s="475"/>
      <c r="W1077" s="224"/>
      <c r="X1077" s="224"/>
    </row>
    <row r="1078" spans="1:24" x14ac:dyDescent="0.3">
      <c r="A1078" s="2652">
        <v>264</v>
      </c>
      <c r="B1078" s="1122" t="s">
        <v>1416</v>
      </c>
      <c r="C1078" s="216" t="s">
        <v>1344</v>
      </c>
      <c r="D1078" s="452" t="s">
        <v>938</v>
      </c>
      <c r="E1078" s="217" t="s">
        <v>1094</v>
      </c>
      <c r="F1078" s="218" t="s">
        <v>1417</v>
      </c>
      <c r="G1078" s="116">
        <v>990</v>
      </c>
      <c r="H1078" s="1776" t="s">
        <v>1349</v>
      </c>
      <c r="J1078" s="224"/>
      <c r="K1078" s="34" t="s">
        <v>25</v>
      </c>
      <c r="L1078" s="475"/>
      <c r="M1078" s="224"/>
      <c r="N1078" s="224"/>
      <c r="O1078" s="2628" t="s">
        <v>6395</v>
      </c>
      <c r="P1078" s="1">
        <v>264</v>
      </c>
      <c r="T1078" s="224"/>
      <c r="U1078" s="34" t="s">
        <v>25</v>
      </c>
      <c r="V1078" s="475"/>
      <c r="W1078" s="224"/>
      <c r="X1078" s="224"/>
    </row>
    <row r="1079" spans="1:24" x14ac:dyDescent="0.3">
      <c r="A1079" s="2651">
        <v>265</v>
      </c>
      <c r="B1079" s="1122" t="s">
        <v>1416</v>
      </c>
      <c r="C1079" s="216" t="s">
        <v>1344</v>
      </c>
      <c r="D1079" s="793" t="s">
        <v>938</v>
      </c>
      <c r="E1079" s="217" t="s">
        <v>1449</v>
      </c>
      <c r="F1079" s="218" t="s">
        <v>1417</v>
      </c>
      <c r="G1079" s="116">
        <v>990</v>
      </c>
      <c r="H1079" s="1776" t="s">
        <v>1349</v>
      </c>
      <c r="J1079" s="224"/>
      <c r="K1079" s="34" t="s">
        <v>25</v>
      </c>
      <c r="L1079" s="475"/>
      <c r="M1079" s="224"/>
      <c r="N1079" s="224"/>
      <c r="O1079" s="2628" t="s">
        <v>6395</v>
      </c>
      <c r="P1079" s="1">
        <v>265</v>
      </c>
      <c r="T1079" s="224"/>
      <c r="U1079" s="34" t="s">
        <v>25</v>
      </c>
      <c r="V1079" s="475"/>
      <c r="W1079" s="224"/>
      <c r="X1079" s="224"/>
    </row>
    <row r="1080" spans="1:24" x14ac:dyDescent="0.3">
      <c r="A1080" s="2651">
        <v>266</v>
      </c>
      <c r="B1080" s="1122" t="s">
        <v>1416</v>
      </c>
      <c r="C1080" s="1117" t="s">
        <v>1344</v>
      </c>
      <c r="D1080" s="793" t="s">
        <v>938</v>
      </c>
      <c r="E1080" s="217" t="s">
        <v>1450</v>
      </c>
      <c r="F1080" s="218" t="s">
        <v>1417</v>
      </c>
      <c r="G1080" s="116">
        <v>990</v>
      </c>
      <c r="H1080" s="1776" t="s">
        <v>1349</v>
      </c>
      <c r="J1080" s="224"/>
      <c r="K1080" s="34" t="s">
        <v>25</v>
      </c>
      <c r="L1080" s="475"/>
      <c r="M1080" s="224"/>
      <c r="N1080" s="224"/>
      <c r="O1080" s="2628" t="s">
        <v>6395</v>
      </c>
      <c r="P1080" s="1">
        <v>266</v>
      </c>
      <c r="T1080" s="224"/>
      <c r="U1080" s="34" t="s">
        <v>25</v>
      </c>
      <c r="V1080" s="475"/>
      <c r="W1080" s="224"/>
      <c r="X1080" s="224"/>
    </row>
    <row r="1081" spans="1:24" x14ac:dyDescent="0.3">
      <c r="A1081" s="2652">
        <v>267</v>
      </c>
      <c r="B1081" s="1122" t="s">
        <v>1416</v>
      </c>
      <c r="C1081" s="216" t="s">
        <v>1344</v>
      </c>
      <c r="D1081" s="416" t="s">
        <v>938</v>
      </c>
      <c r="E1081" s="217" t="s">
        <v>1451</v>
      </c>
      <c r="F1081" s="218" t="s">
        <v>1417</v>
      </c>
      <c r="G1081" s="116">
        <v>990</v>
      </c>
      <c r="H1081" s="1776" t="s">
        <v>1349</v>
      </c>
      <c r="J1081" s="224"/>
      <c r="K1081" s="34" t="s">
        <v>25</v>
      </c>
      <c r="L1081" s="475"/>
      <c r="M1081" s="224"/>
      <c r="N1081" s="224"/>
      <c r="O1081" s="2628" t="s">
        <v>6395</v>
      </c>
      <c r="P1081" s="1">
        <v>267</v>
      </c>
      <c r="T1081" s="224"/>
      <c r="U1081" s="34" t="s">
        <v>25</v>
      </c>
      <c r="V1081" s="475"/>
      <c r="W1081" s="224"/>
      <c r="X1081" s="224"/>
    </row>
    <row r="1082" spans="1:24" x14ac:dyDescent="0.3">
      <c r="A1082" s="2651">
        <v>268</v>
      </c>
      <c r="B1082" s="1122" t="s">
        <v>1416</v>
      </c>
      <c r="C1082" s="1117" t="s">
        <v>1344</v>
      </c>
      <c r="D1082" s="416" t="s">
        <v>938</v>
      </c>
      <c r="E1082" s="217" t="s">
        <v>1452</v>
      </c>
      <c r="F1082" s="218" t="s">
        <v>1417</v>
      </c>
      <c r="G1082" s="116">
        <v>990</v>
      </c>
      <c r="H1082" s="1776" t="s">
        <v>1349</v>
      </c>
      <c r="J1082" s="224"/>
      <c r="K1082" s="34" t="s">
        <v>25</v>
      </c>
      <c r="L1082" s="475"/>
      <c r="M1082" s="224"/>
      <c r="N1082" s="224"/>
      <c r="O1082" s="2628" t="s">
        <v>6395</v>
      </c>
      <c r="P1082" s="1">
        <v>268</v>
      </c>
      <c r="T1082" s="224"/>
      <c r="U1082" s="34" t="s">
        <v>25</v>
      </c>
      <c r="V1082" s="475"/>
      <c r="W1082" s="224"/>
      <c r="X1082" s="224"/>
    </row>
    <row r="1083" spans="1:24" x14ac:dyDescent="0.3">
      <c r="A1083" s="2651">
        <v>269</v>
      </c>
      <c r="B1083" s="1122" t="s">
        <v>1416</v>
      </c>
      <c r="C1083" s="216" t="s">
        <v>1344</v>
      </c>
      <c r="D1083" s="416" t="s">
        <v>938</v>
      </c>
      <c r="E1083" s="217" t="s">
        <v>444</v>
      </c>
      <c r="F1083" s="218" t="s">
        <v>1417</v>
      </c>
      <c r="G1083" s="116">
        <v>990</v>
      </c>
      <c r="H1083" s="1776" t="s">
        <v>1349</v>
      </c>
      <c r="J1083" s="224"/>
      <c r="K1083" s="34" t="s">
        <v>25</v>
      </c>
      <c r="L1083" s="475"/>
      <c r="M1083" s="224"/>
      <c r="N1083" s="224"/>
      <c r="O1083" s="2628" t="s">
        <v>6395</v>
      </c>
      <c r="P1083" s="1">
        <v>269</v>
      </c>
      <c r="T1083" s="224"/>
      <c r="U1083" s="34" t="s">
        <v>25</v>
      </c>
      <c r="V1083" s="475"/>
      <c r="W1083" s="224"/>
      <c r="X1083" s="224"/>
    </row>
    <row r="1084" spans="1:24" x14ac:dyDescent="0.3">
      <c r="A1084" s="2652">
        <v>270</v>
      </c>
      <c r="B1084" s="1122" t="s">
        <v>1416</v>
      </c>
      <c r="C1084" s="216" t="s">
        <v>1344</v>
      </c>
      <c r="D1084" s="452" t="s">
        <v>938</v>
      </c>
      <c r="E1084" s="217" t="s">
        <v>447</v>
      </c>
      <c r="F1084" s="218" t="s">
        <v>1417</v>
      </c>
      <c r="G1084" s="116">
        <v>990</v>
      </c>
      <c r="H1084" s="1776" t="s">
        <v>1349</v>
      </c>
      <c r="J1084" s="224"/>
      <c r="K1084" s="34" t="s">
        <v>25</v>
      </c>
      <c r="L1084" s="475"/>
      <c r="M1084" s="224"/>
      <c r="N1084" s="224"/>
      <c r="O1084" s="2628" t="s">
        <v>6395</v>
      </c>
      <c r="P1084" s="1">
        <v>270</v>
      </c>
      <c r="T1084" s="224"/>
      <c r="U1084" s="34" t="s">
        <v>25</v>
      </c>
      <c r="V1084" s="475"/>
      <c r="W1084" s="224"/>
      <c r="X1084" s="224"/>
    </row>
    <row r="1085" spans="1:24" x14ac:dyDescent="0.3">
      <c r="A1085" s="2651">
        <v>271</v>
      </c>
      <c r="B1085" s="1122" t="s">
        <v>1416</v>
      </c>
      <c r="C1085" s="216" t="s">
        <v>1344</v>
      </c>
      <c r="D1085" s="793" t="s">
        <v>938</v>
      </c>
      <c r="E1085" s="217" t="s">
        <v>449</v>
      </c>
      <c r="F1085" s="218" t="s">
        <v>1417</v>
      </c>
      <c r="G1085" s="116">
        <v>990</v>
      </c>
      <c r="H1085" s="1776" t="s">
        <v>1349</v>
      </c>
      <c r="J1085" s="224"/>
      <c r="K1085" s="34" t="s">
        <v>25</v>
      </c>
      <c r="L1085" s="475"/>
      <c r="M1085" s="224"/>
      <c r="N1085" s="224"/>
      <c r="O1085" s="2628" t="s">
        <v>6395</v>
      </c>
      <c r="P1085" s="1">
        <v>271</v>
      </c>
      <c r="T1085" s="224"/>
      <c r="U1085" s="34" t="s">
        <v>25</v>
      </c>
      <c r="V1085" s="475"/>
      <c r="W1085" s="224"/>
      <c r="X1085" s="224"/>
    </row>
    <row r="1086" spans="1:24" x14ac:dyDescent="0.3">
      <c r="A1086" s="2651">
        <v>272</v>
      </c>
      <c r="B1086" s="1122" t="s">
        <v>1416</v>
      </c>
      <c r="C1086" s="1117" t="s">
        <v>1344</v>
      </c>
      <c r="D1086" s="793" t="s">
        <v>938</v>
      </c>
      <c r="E1086" s="217" t="s">
        <v>450</v>
      </c>
      <c r="F1086" s="218" t="s">
        <v>1417</v>
      </c>
      <c r="G1086" s="116">
        <v>990</v>
      </c>
      <c r="H1086" s="1776" t="s">
        <v>1349</v>
      </c>
      <c r="J1086" s="224"/>
      <c r="K1086" s="34" t="s">
        <v>25</v>
      </c>
      <c r="L1086" s="475"/>
      <c r="M1086" s="224"/>
      <c r="N1086" s="224"/>
      <c r="O1086" s="2628" t="s">
        <v>6395</v>
      </c>
      <c r="P1086" s="1">
        <v>272</v>
      </c>
      <c r="T1086" s="224"/>
      <c r="U1086" s="34" t="s">
        <v>25</v>
      </c>
      <c r="V1086" s="475"/>
      <c r="W1086" s="224"/>
      <c r="X1086" s="224"/>
    </row>
    <row r="1087" spans="1:24" x14ac:dyDescent="0.3">
      <c r="A1087" s="2652">
        <v>273</v>
      </c>
      <c r="B1087" s="1122" t="s">
        <v>1416</v>
      </c>
      <c r="C1087" s="216" t="s">
        <v>1344</v>
      </c>
      <c r="D1087" s="416" t="s">
        <v>938</v>
      </c>
      <c r="E1087" s="217" t="s">
        <v>451</v>
      </c>
      <c r="F1087" s="218" t="s">
        <v>1417</v>
      </c>
      <c r="G1087" s="116">
        <v>990</v>
      </c>
      <c r="H1087" s="1776" t="s">
        <v>1349</v>
      </c>
      <c r="J1087" s="224"/>
      <c r="K1087" s="34" t="s">
        <v>25</v>
      </c>
      <c r="L1087" s="475"/>
      <c r="M1087" s="224"/>
      <c r="N1087" s="224"/>
      <c r="O1087" s="2628" t="s">
        <v>6395</v>
      </c>
      <c r="P1087" s="1">
        <v>273</v>
      </c>
      <c r="T1087" s="224"/>
      <c r="U1087" s="34" t="s">
        <v>25</v>
      </c>
      <c r="V1087" s="475"/>
      <c r="W1087" s="224"/>
      <c r="X1087" s="224"/>
    </row>
    <row r="1088" spans="1:24" x14ac:dyDescent="0.3">
      <c r="A1088" s="2651">
        <v>274</v>
      </c>
      <c r="B1088" s="1122" t="s">
        <v>1416</v>
      </c>
      <c r="C1088" s="216" t="s">
        <v>1344</v>
      </c>
      <c r="D1088" s="416" t="s">
        <v>938</v>
      </c>
      <c r="E1088" s="217" t="s">
        <v>452</v>
      </c>
      <c r="F1088" s="218" t="s">
        <v>1417</v>
      </c>
      <c r="G1088" s="116">
        <v>990</v>
      </c>
      <c r="H1088" s="1776" t="s">
        <v>1349</v>
      </c>
      <c r="J1088" s="224"/>
      <c r="K1088" s="34" t="s">
        <v>25</v>
      </c>
      <c r="L1088" s="475"/>
      <c r="M1088" s="224"/>
      <c r="N1088" s="224"/>
      <c r="O1088" s="2628" t="s">
        <v>6395</v>
      </c>
      <c r="P1088" s="1">
        <v>274</v>
      </c>
      <c r="T1088" s="224"/>
      <c r="U1088" s="34" t="s">
        <v>25</v>
      </c>
      <c r="V1088" s="475"/>
      <c r="W1088" s="224"/>
      <c r="X1088" s="224"/>
    </row>
    <row r="1089" spans="1:24" x14ac:dyDescent="0.3">
      <c r="A1089" s="2651">
        <v>275</v>
      </c>
      <c r="B1089" s="1122" t="s">
        <v>1416</v>
      </c>
      <c r="C1089" s="216" t="s">
        <v>1344</v>
      </c>
      <c r="D1089" s="416" t="s">
        <v>938</v>
      </c>
      <c r="E1089" s="217" t="s">
        <v>1453</v>
      </c>
      <c r="F1089" s="218" t="s">
        <v>1417</v>
      </c>
      <c r="G1089" s="116">
        <v>990</v>
      </c>
      <c r="H1089" s="1776" t="s">
        <v>1349</v>
      </c>
      <c r="J1089" s="224"/>
      <c r="K1089" s="34" t="s">
        <v>25</v>
      </c>
      <c r="L1089" s="475"/>
      <c r="M1089" s="224"/>
      <c r="N1089" s="224"/>
      <c r="O1089" s="2628" t="s">
        <v>6395</v>
      </c>
      <c r="P1089" s="1">
        <v>275</v>
      </c>
      <c r="T1089" s="224"/>
      <c r="U1089" s="34" t="s">
        <v>25</v>
      </c>
      <c r="V1089" s="475"/>
      <c r="W1089" s="224"/>
      <c r="X1089" s="224"/>
    </row>
    <row r="1090" spans="1:24" x14ac:dyDescent="0.3">
      <c r="A1090" s="2652">
        <v>276</v>
      </c>
      <c r="B1090" s="1122" t="s">
        <v>1416</v>
      </c>
      <c r="C1090" s="1117" t="s">
        <v>1344</v>
      </c>
      <c r="D1090" s="793" t="s">
        <v>938</v>
      </c>
      <c r="E1090" s="217" t="s">
        <v>1454</v>
      </c>
      <c r="F1090" s="218" t="s">
        <v>1417</v>
      </c>
      <c r="G1090" s="116">
        <v>990</v>
      </c>
      <c r="H1090" s="1776" t="s">
        <v>1349</v>
      </c>
      <c r="J1090" s="224"/>
      <c r="K1090" s="34" t="s">
        <v>25</v>
      </c>
      <c r="L1090" s="475"/>
      <c r="M1090" s="224"/>
      <c r="N1090" s="224"/>
      <c r="O1090" s="2628" t="s">
        <v>6395</v>
      </c>
      <c r="P1090" s="1">
        <v>276</v>
      </c>
      <c r="T1090" s="224"/>
      <c r="U1090" s="34" t="s">
        <v>25</v>
      </c>
      <c r="V1090" s="475"/>
      <c r="W1090" s="224"/>
      <c r="X1090" s="224"/>
    </row>
    <row r="1091" spans="1:24" x14ac:dyDescent="0.3">
      <c r="A1091" s="2651">
        <v>277</v>
      </c>
      <c r="B1091" s="1122" t="s">
        <v>1416</v>
      </c>
      <c r="C1091" s="1117" t="s">
        <v>1344</v>
      </c>
      <c r="D1091" s="793" t="s">
        <v>938</v>
      </c>
      <c r="E1091" s="217" t="s">
        <v>1455</v>
      </c>
      <c r="F1091" s="218" t="s">
        <v>1417</v>
      </c>
      <c r="G1091" s="116">
        <v>990</v>
      </c>
      <c r="H1091" s="1776" t="s">
        <v>1349</v>
      </c>
      <c r="J1091" s="224"/>
      <c r="K1091" s="34" t="s">
        <v>25</v>
      </c>
      <c r="L1091" s="475"/>
      <c r="M1091" s="224"/>
      <c r="N1091" s="224"/>
      <c r="O1091" s="2628" t="s">
        <v>6395</v>
      </c>
      <c r="P1091" s="1">
        <v>277</v>
      </c>
      <c r="T1091" s="224"/>
      <c r="U1091" s="34" t="s">
        <v>25</v>
      </c>
      <c r="V1091" s="475"/>
      <c r="W1091" s="224"/>
      <c r="X1091" s="224"/>
    </row>
    <row r="1092" spans="1:24" x14ac:dyDescent="0.3">
      <c r="A1092" s="2651">
        <v>278</v>
      </c>
      <c r="B1092" s="1122" t="s">
        <v>1416</v>
      </c>
      <c r="C1092" s="1117" t="s">
        <v>1344</v>
      </c>
      <c r="D1092" s="416" t="s">
        <v>938</v>
      </c>
      <c r="E1092" s="217" t="s">
        <v>467</v>
      </c>
      <c r="F1092" s="218" t="s">
        <v>1417</v>
      </c>
      <c r="G1092" s="116">
        <v>990</v>
      </c>
      <c r="H1092" s="1776" t="s">
        <v>1349</v>
      </c>
      <c r="J1092" s="224"/>
      <c r="K1092" s="34" t="s">
        <v>25</v>
      </c>
      <c r="L1092" s="475"/>
      <c r="M1092" s="224"/>
      <c r="N1092" s="224"/>
      <c r="O1092" s="2628" t="s">
        <v>6395</v>
      </c>
      <c r="P1092" s="1">
        <v>278</v>
      </c>
      <c r="T1092" s="224"/>
      <c r="U1092" s="34" t="s">
        <v>25</v>
      </c>
      <c r="V1092" s="475"/>
      <c r="W1092" s="224"/>
      <c r="X1092" s="224"/>
    </row>
    <row r="1093" spans="1:24" x14ac:dyDescent="0.3">
      <c r="A1093" s="2652">
        <v>279</v>
      </c>
      <c r="B1093" s="1122" t="s">
        <v>1416</v>
      </c>
      <c r="C1093" s="1117" t="s">
        <v>1344</v>
      </c>
      <c r="D1093" s="416" t="s">
        <v>938</v>
      </c>
      <c r="E1093" s="217" t="s">
        <v>469</v>
      </c>
      <c r="F1093" s="218" t="s">
        <v>1417</v>
      </c>
      <c r="G1093" s="116">
        <v>990</v>
      </c>
      <c r="H1093" s="1776" t="s">
        <v>1349</v>
      </c>
      <c r="J1093" s="224"/>
      <c r="K1093" s="34" t="s">
        <v>25</v>
      </c>
      <c r="L1093" s="475"/>
      <c r="M1093" s="224"/>
      <c r="N1093" s="224"/>
      <c r="O1093" s="2628" t="s">
        <v>6395</v>
      </c>
      <c r="P1093" s="1">
        <v>279</v>
      </c>
      <c r="T1093" s="224"/>
      <c r="U1093" s="34" t="s">
        <v>25</v>
      </c>
      <c r="V1093" s="475"/>
      <c r="W1093" s="224"/>
      <c r="X1093" s="224"/>
    </row>
    <row r="1094" spans="1:24" x14ac:dyDescent="0.3">
      <c r="A1094" s="2651">
        <v>280</v>
      </c>
      <c r="B1094" s="1122" t="s">
        <v>1416</v>
      </c>
      <c r="C1094" s="1117" t="s">
        <v>1344</v>
      </c>
      <c r="D1094" s="416" t="s">
        <v>938</v>
      </c>
      <c r="E1094" s="217" t="s">
        <v>1456</v>
      </c>
      <c r="F1094" s="218" t="s">
        <v>1417</v>
      </c>
      <c r="G1094" s="116">
        <v>990</v>
      </c>
      <c r="H1094" s="1776" t="s">
        <v>1349</v>
      </c>
      <c r="J1094" s="224"/>
      <c r="K1094" s="34" t="s">
        <v>25</v>
      </c>
      <c r="L1094" s="475"/>
      <c r="M1094" s="224"/>
      <c r="N1094" s="224"/>
      <c r="O1094" s="2628" t="s">
        <v>6395</v>
      </c>
      <c r="P1094" s="1">
        <v>280</v>
      </c>
      <c r="T1094" s="224"/>
      <c r="U1094" s="34" t="s">
        <v>25</v>
      </c>
      <c r="V1094" s="475"/>
      <c r="W1094" s="224"/>
      <c r="X1094" s="224"/>
    </row>
    <row r="1095" spans="1:24" x14ac:dyDescent="0.3">
      <c r="A1095" s="2651">
        <v>281</v>
      </c>
      <c r="B1095" s="1122" t="s">
        <v>1416</v>
      </c>
      <c r="C1095" s="1117" t="s">
        <v>1344</v>
      </c>
      <c r="D1095" s="416" t="s">
        <v>938</v>
      </c>
      <c r="E1095" s="217" t="s">
        <v>1457</v>
      </c>
      <c r="F1095" s="218" t="s">
        <v>1417</v>
      </c>
      <c r="G1095" s="116">
        <v>990</v>
      </c>
      <c r="H1095" s="1776" t="s">
        <v>1349</v>
      </c>
      <c r="J1095" s="224"/>
      <c r="K1095" s="34" t="s">
        <v>25</v>
      </c>
      <c r="L1095" s="475"/>
      <c r="M1095" s="224"/>
      <c r="N1095" s="224"/>
      <c r="O1095" s="2628" t="s">
        <v>6395</v>
      </c>
      <c r="P1095" s="1">
        <v>281</v>
      </c>
      <c r="T1095" s="224"/>
      <c r="U1095" s="34" t="s">
        <v>25</v>
      </c>
      <c r="V1095" s="475"/>
      <c r="W1095" s="224"/>
      <c r="X1095" s="224"/>
    </row>
    <row r="1096" spans="1:24" x14ac:dyDescent="0.3">
      <c r="A1096" s="2652">
        <v>282</v>
      </c>
      <c r="B1096" s="1122" t="s">
        <v>1416</v>
      </c>
      <c r="C1096" s="216" t="s">
        <v>1344</v>
      </c>
      <c r="D1096" s="452" t="s">
        <v>938</v>
      </c>
      <c r="E1096" s="217" t="s">
        <v>1458</v>
      </c>
      <c r="F1096" s="218" t="s">
        <v>1417</v>
      </c>
      <c r="G1096" s="116">
        <v>990</v>
      </c>
      <c r="H1096" s="1776" t="s">
        <v>1349</v>
      </c>
      <c r="J1096" s="224"/>
      <c r="K1096" s="34" t="s">
        <v>25</v>
      </c>
      <c r="L1096" s="475"/>
      <c r="M1096" s="224"/>
      <c r="N1096" s="224"/>
      <c r="O1096" s="2628" t="s">
        <v>6395</v>
      </c>
      <c r="P1096" s="1">
        <v>282</v>
      </c>
      <c r="T1096" s="224"/>
      <c r="U1096" s="34" t="s">
        <v>25</v>
      </c>
      <c r="V1096" s="475"/>
      <c r="W1096" s="224"/>
      <c r="X1096" s="224"/>
    </row>
    <row r="1097" spans="1:24" x14ac:dyDescent="0.3">
      <c r="A1097" s="2651">
        <v>283</v>
      </c>
      <c r="B1097" s="1122" t="s">
        <v>1416</v>
      </c>
      <c r="C1097" s="216" t="s">
        <v>1344</v>
      </c>
      <c r="D1097" s="793" t="s">
        <v>938</v>
      </c>
      <c r="E1097" s="217" t="s">
        <v>1459</v>
      </c>
      <c r="F1097" s="218" t="s">
        <v>1417</v>
      </c>
      <c r="G1097" s="116">
        <v>990</v>
      </c>
      <c r="H1097" s="1776" t="s">
        <v>1349</v>
      </c>
      <c r="J1097" s="224"/>
      <c r="K1097" s="34" t="s">
        <v>25</v>
      </c>
      <c r="L1097" s="475"/>
      <c r="M1097" s="224"/>
      <c r="N1097" s="224"/>
      <c r="O1097" s="2628" t="s">
        <v>6395</v>
      </c>
      <c r="P1097" s="1">
        <v>283</v>
      </c>
      <c r="T1097" s="224"/>
      <c r="U1097" s="34" t="s">
        <v>25</v>
      </c>
      <c r="V1097" s="475"/>
      <c r="W1097" s="224"/>
      <c r="X1097" s="224"/>
    </row>
    <row r="1098" spans="1:24" x14ac:dyDescent="0.3">
      <c r="A1098" s="2651">
        <v>284</v>
      </c>
      <c r="B1098" s="1122" t="s">
        <v>1416</v>
      </c>
      <c r="C1098" s="216" t="s">
        <v>1344</v>
      </c>
      <c r="D1098" s="416" t="s">
        <v>938</v>
      </c>
      <c r="E1098" s="217" t="s">
        <v>1460</v>
      </c>
      <c r="F1098" s="218" t="s">
        <v>1417</v>
      </c>
      <c r="G1098" s="116">
        <v>990</v>
      </c>
      <c r="H1098" s="1776" t="s">
        <v>1349</v>
      </c>
      <c r="J1098" s="224"/>
      <c r="K1098" s="34" t="s">
        <v>25</v>
      </c>
      <c r="L1098" s="475"/>
      <c r="M1098" s="224"/>
      <c r="N1098" s="224"/>
      <c r="O1098" s="2628" t="s">
        <v>6395</v>
      </c>
      <c r="P1098" s="1">
        <v>284</v>
      </c>
      <c r="T1098" s="224"/>
      <c r="U1098" s="34" t="s">
        <v>25</v>
      </c>
      <c r="V1098" s="475"/>
      <c r="W1098" s="224"/>
      <c r="X1098" s="224"/>
    </row>
    <row r="1099" spans="1:24" x14ac:dyDescent="0.3">
      <c r="A1099" s="2652">
        <v>285</v>
      </c>
      <c r="B1099" s="1122" t="s">
        <v>1416</v>
      </c>
      <c r="C1099" s="216" t="s">
        <v>1344</v>
      </c>
      <c r="D1099" s="416" t="s">
        <v>938</v>
      </c>
      <c r="E1099" s="217" t="s">
        <v>1461</v>
      </c>
      <c r="F1099" s="218" t="s">
        <v>1417</v>
      </c>
      <c r="G1099" s="116">
        <v>990</v>
      </c>
      <c r="H1099" s="1776" t="s">
        <v>1349</v>
      </c>
      <c r="J1099" s="224"/>
      <c r="K1099" s="34" t="s">
        <v>25</v>
      </c>
      <c r="L1099" s="475"/>
      <c r="M1099" s="224"/>
      <c r="N1099" s="224"/>
      <c r="O1099" s="2628" t="s">
        <v>6395</v>
      </c>
      <c r="P1099" s="1">
        <v>285</v>
      </c>
      <c r="T1099" s="224"/>
      <c r="U1099" s="34" t="s">
        <v>25</v>
      </c>
      <c r="V1099" s="475"/>
      <c r="W1099" s="224"/>
      <c r="X1099" s="224"/>
    </row>
    <row r="1100" spans="1:24" x14ac:dyDescent="0.3">
      <c r="A1100" s="2651">
        <v>286</v>
      </c>
      <c r="B1100" s="1122" t="s">
        <v>1416</v>
      </c>
      <c r="C1100" s="216" t="s">
        <v>1344</v>
      </c>
      <c r="D1100" s="416" t="s">
        <v>938</v>
      </c>
      <c r="E1100" s="217" t="s">
        <v>1462</v>
      </c>
      <c r="F1100" s="218" t="s">
        <v>1417</v>
      </c>
      <c r="G1100" s="116">
        <v>990</v>
      </c>
      <c r="H1100" s="1776" t="s">
        <v>1349</v>
      </c>
      <c r="J1100" s="224"/>
      <c r="K1100" s="34" t="s">
        <v>25</v>
      </c>
      <c r="L1100" s="475"/>
      <c r="M1100" s="224"/>
      <c r="N1100" s="224"/>
      <c r="O1100" s="2628" t="s">
        <v>6395</v>
      </c>
      <c r="P1100" s="1">
        <v>286</v>
      </c>
      <c r="T1100" s="224"/>
      <c r="U1100" s="34" t="s">
        <v>25</v>
      </c>
      <c r="V1100" s="475"/>
      <c r="W1100" s="224"/>
      <c r="X1100" s="224"/>
    </row>
    <row r="1101" spans="1:24" x14ac:dyDescent="0.3">
      <c r="A1101" s="2651">
        <v>287</v>
      </c>
      <c r="B1101" s="1122" t="s">
        <v>1416</v>
      </c>
      <c r="C1101" s="216" t="s">
        <v>1344</v>
      </c>
      <c r="D1101" s="416" t="s">
        <v>938</v>
      </c>
      <c r="E1101" s="419" t="s">
        <v>1463</v>
      </c>
      <c r="F1101" s="218" t="s">
        <v>1417</v>
      </c>
      <c r="G1101" s="116">
        <v>990</v>
      </c>
      <c r="H1101" s="1776" t="s">
        <v>1349</v>
      </c>
      <c r="J1101" s="224"/>
      <c r="K1101" s="34" t="s">
        <v>25</v>
      </c>
      <c r="L1101" s="475"/>
      <c r="M1101" s="224"/>
      <c r="N1101" s="224"/>
      <c r="O1101" s="2628" t="s">
        <v>6395</v>
      </c>
      <c r="P1101" s="1">
        <v>287</v>
      </c>
      <c r="T1101" s="224"/>
      <c r="U1101" s="34" t="s">
        <v>25</v>
      </c>
      <c r="V1101" s="475"/>
      <c r="W1101" s="224"/>
      <c r="X1101" s="224"/>
    </row>
    <row r="1102" spans="1:24" x14ac:dyDescent="0.3">
      <c r="A1102" s="2652">
        <v>288</v>
      </c>
      <c r="B1102" s="1122" t="s">
        <v>1416</v>
      </c>
      <c r="C1102" s="1117" t="s">
        <v>1344</v>
      </c>
      <c r="D1102" s="416" t="s">
        <v>938</v>
      </c>
      <c r="E1102" s="349" t="s">
        <v>1464</v>
      </c>
      <c r="F1102" s="218" t="s">
        <v>1417</v>
      </c>
      <c r="G1102" s="116">
        <v>990</v>
      </c>
      <c r="H1102" s="1776" t="s">
        <v>1349</v>
      </c>
      <c r="J1102" s="224"/>
      <c r="K1102" s="34" t="s">
        <v>25</v>
      </c>
      <c r="L1102" s="475"/>
      <c r="M1102" s="224"/>
      <c r="N1102" s="224"/>
      <c r="O1102" s="2628" t="s">
        <v>6395</v>
      </c>
      <c r="P1102" s="1">
        <v>288</v>
      </c>
      <c r="T1102" s="224"/>
      <c r="U1102" s="34" t="s">
        <v>25</v>
      </c>
      <c r="V1102" s="475"/>
      <c r="W1102" s="224"/>
      <c r="X1102" s="224"/>
    </row>
    <row r="1103" spans="1:24" x14ac:dyDescent="0.3">
      <c r="A1103" s="2651">
        <v>289</v>
      </c>
      <c r="B1103" s="1122" t="s">
        <v>1416</v>
      </c>
      <c r="C1103" s="1117" t="s">
        <v>1344</v>
      </c>
      <c r="D1103" s="416" t="s">
        <v>938</v>
      </c>
      <c r="E1103" s="217" t="s">
        <v>1465</v>
      </c>
      <c r="F1103" s="218" t="s">
        <v>1417</v>
      </c>
      <c r="G1103" s="116">
        <v>990</v>
      </c>
      <c r="H1103" s="1776" t="s">
        <v>1349</v>
      </c>
      <c r="J1103" s="224"/>
      <c r="K1103" s="34" t="s">
        <v>25</v>
      </c>
      <c r="L1103" s="475"/>
      <c r="M1103" s="224"/>
      <c r="N1103" s="224"/>
      <c r="O1103" s="2628" t="s">
        <v>6395</v>
      </c>
      <c r="P1103" s="1">
        <v>289</v>
      </c>
      <c r="T1103" s="224"/>
      <c r="U1103" s="34" t="s">
        <v>25</v>
      </c>
      <c r="V1103" s="475"/>
      <c r="W1103" s="224"/>
      <c r="X1103" s="224"/>
    </row>
    <row r="1104" spans="1:24" x14ac:dyDescent="0.3">
      <c r="A1104" s="2651">
        <v>290</v>
      </c>
      <c r="B1104" s="1122" t="s">
        <v>1416</v>
      </c>
      <c r="C1104" s="1117" t="s">
        <v>1344</v>
      </c>
      <c r="D1104" s="416" t="s">
        <v>938</v>
      </c>
      <c r="E1104" s="217" t="s">
        <v>1466</v>
      </c>
      <c r="F1104" s="218" t="s">
        <v>1417</v>
      </c>
      <c r="G1104" s="116">
        <v>990</v>
      </c>
      <c r="H1104" s="1776" t="s">
        <v>1349</v>
      </c>
      <c r="J1104" s="224"/>
      <c r="K1104" s="34" t="s">
        <v>25</v>
      </c>
      <c r="L1104" s="475"/>
      <c r="M1104" s="224"/>
      <c r="N1104" s="224"/>
      <c r="O1104" s="2628" t="s">
        <v>6395</v>
      </c>
      <c r="P1104" s="1">
        <v>290</v>
      </c>
      <c r="T1104" s="224"/>
      <c r="U1104" s="34" t="s">
        <v>25</v>
      </c>
      <c r="V1104" s="475"/>
      <c r="W1104" s="224"/>
      <c r="X1104" s="224"/>
    </row>
    <row r="1105" spans="1:24" x14ac:dyDescent="0.3">
      <c r="A1105" s="2652">
        <v>291</v>
      </c>
      <c r="B1105" s="1122" t="s">
        <v>1416</v>
      </c>
      <c r="C1105" s="216" t="s">
        <v>1344</v>
      </c>
      <c r="D1105" s="452" t="s">
        <v>938</v>
      </c>
      <c r="E1105" s="217" t="s">
        <v>1467</v>
      </c>
      <c r="F1105" s="218" t="s">
        <v>1417</v>
      </c>
      <c r="G1105" s="116">
        <v>990</v>
      </c>
      <c r="H1105" s="1776" t="s">
        <v>1349</v>
      </c>
      <c r="J1105" s="224"/>
      <c r="K1105" s="34" t="s">
        <v>25</v>
      </c>
      <c r="L1105" s="475"/>
      <c r="M1105" s="224"/>
      <c r="N1105" s="224"/>
      <c r="O1105" s="2628" t="s">
        <v>6395</v>
      </c>
      <c r="P1105" s="1">
        <v>291</v>
      </c>
      <c r="T1105" s="224"/>
      <c r="U1105" s="34" t="s">
        <v>25</v>
      </c>
      <c r="V1105" s="475"/>
      <c r="W1105" s="224"/>
      <c r="X1105" s="224"/>
    </row>
    <row r="1106" spans="1:24" x14ac:dyDescent="0.3">
      <c r="A1106" s="2651">
        <v>292</v>
      </c>
      <c r="B1106" s="1122" t="s">
        <v>1416</v>
      </c>
      <c r="C1106" s="216" t="s">
        <v>1344</v>
      </c>
      <c r="D1106" s="793" t="s">
        <v>938</v>
      </c>
      <c r="E1106" s="217" t="s">
        <v>1468</v>
      </c>
      <c r="F1106" s="218" t="s">
        <v>1417</v>
      </c>
      <c r="G1106" s="116">
        <v>990</v>
      </c>
      <c r="H1106" s="1776" t="s">
        <v>1349</v>
      </c>
      <c r="J1106" s="224"/>
      <c r="K1106" s="34" t="s">
        <v>25</v>
      </c>
      <c r="L1106" s="475"/>
      <c r="M1106" s="224"/>
      <c r="N1106" s="224"/>
      <c r="O1106" s="2628" t="s">
        <v>6395</v>
      </c>
      <c r="P1106" s="1">
        <v>292</v>
      </c>
      <c r="T1106" s="224"/>
      <c r="U1106" s="34" t="s">
        <v>25</v>
      </c>
      <c r="V1106" s="475"/>
      <c r="W1106" s="224"/>
      <c r="X1106" s="224"/>
    </row>
    <row r="1107" spans="1:24" x14ac:dyDescent="0.3">
      <c r="A1107" s="2651">
        <v>293</v>
      </c>
      <c r="B1107" s="1122" t="s">
        <v>1416</v>
      </c>
      <c r="C1107" s="216" t="s">
        <v>1344</v>
      </c>
      <c r="D1107" s="416" t="s">
        <v>938</v>
      </c>
      <c r="E1107" s="217" t="s">
        <v>1469</v>
      </c>
      <c r="F1107" s="218" t="s">
        <v>1417</v>
      </c>
      <c r="G1107" s="116">
        <v>990</v>
      </c>
      <c r="H1107" s="1776" t="s">
        <v>1349</v>
      </c>
      <c r="J1107" s="224"/>
      <c r="K1107" s="34" t="s">
        <v>25</v>
      </c>
      <c r="L1107" s="475"/>
      <c r="M1107" s="224"/>
      <c r="N1107" s="224"/>
      <c r="O1107" s="2628" t="s">
        <v>6395</v>
      </c>
      <c r="P1107" s="1">
        <v>293</v>
      </c>
      <c r="T1107" s="224"/>
      <c r="U1107" s="34" t="s">
        <v>25</v>
      </c>
      <c r="V1107" s="475"/>
      <c r="W1107" s="224"/>
      <c r="X1107" s="224"/>
    </row>
    <row r="1108" spans="1:24" x14ac:dyDescent="0.3">
      <c r="A1108" s="2652">
        <v>294</v>
      </c>
      <c r="B1108" s="1122" t="s">
        <v>1416</v>
      </c>
      <c r="C1108" s="216" t="s">
        <v>1344</v>
      </c>
      <c r="D1108" s="416" t="s">
        <v>938</v>
      </c>
      <c r="E1108" s="217" t="s">
        <v>1470</v>
      </c>
      <c r="F1108" s="218" t="s">
        <v>1417</v>
      </c>
      <c r="G1108" s="116">
        <v>990</v>
      </c>
      <c r="H1108" s="1776" t="s">
        <v>1349</v>
      </c>
      <c r="J1108" s="224"/>
      <c r="K1108" s="34" t="s">
        <v>25</v>
      </c>
      <c r="L1108" s="475"/>
      <c r="M1108" s="224"/>
      <c r="N1108" s="224"/>
      <c r="O1108" s="2628" t="s">
        <v>6395</v>
      </c>
      <c r="P1108" s="1">
        <v>294</v>
      </c>
      <c r="T1108" s="224"/>
      <c r="U1108" s="34" t="s">
        <v>25</v>
      </c>
      <c r="V1108" s="475"/>
      <c r="W1108" s="224"/>
      <c r="X1108" s="224"/>
    </row>
    <row r="1109" spans="1:24" x14ac:dyDescent="0.3">
      <c r="A1109" s="2651">
        <v>295</v>
      </c>
      <c r="B1109" s="1122" t="s">
        <v>1416</v>
      </c>
      <c r="C1109" s="216" t="s">
        <v>1344</v>
      </c>
      <c r="D1109" s="416" t="s">
        <v>938</v>
      </c>
      <c r="E1109" s="217" t="s">
        <v>1471</v>
      </c>
      <c r="F1109" s="218" t="s">
        <v>1417</v>
      </c>
      <c r="G1109" s="116">
        <v>990</v>
      </c>
      <c r="H1109" s="1776" t="s">
        <v>1349</v>
      </c>
      <c r="J1109" s="224"/>
      <c r="K1109" s="34" t="s">
        <v>25</v>
      </c>
      <c r="L1109" s="475"/>
      <c r="M1109" s="224"/>
      <c r="N1109" s="224"/>
      <c r="O1109" s="2628" t="s">
        <v>6395</v>
      </c>
      <c r="P1109" s="1">
        <v>295</v>
      </c>
      <c r="T1109" s="224"/>
      <c r="U1109" s="34" t="s">
        <v>25</v>
      </c>
      <c r="V1109" s="475"/>
      <c r="W1109" s="224"/>
      <c r="X1109" s="224"/>
    </row>
    <row r="1110" spans="1:24" x14ac:dyDescent="0.3">
      <c r="A1110" s="2651">
        <v>296</v>
      </c>
      <c r="B1110" s="1122" t="s">
        <v>1416</v>
      </c>
      <c r="C1110" s="216" t="s">
        <v>1344</v>
      </c>
      <c r="D1110" s="416" t="s">
        <v>938</v>
      </c>
      <c r="E1110" s="217" t="s">
        <v>1472</v>
      </c>
      <c r="F1110" s="218" t="s">
        <v>1417</v>
      </c>
      <c r="G1110" s="116">
        <v>990</v>
      </c>
      <c r="H1110" s="1776" t="s">
        <v>1349</v>
      </c>
      <c r="J1110" s="224"/>
      <c r="K1110" s="34" t="s">
        <v>25</v>
      </c>
      <c r="L1110" s="475"/>
      <c r="M1110" s="224"/>
      <c r="N1110" s="224"/>
      <c r="O1110" s="2628" t="s">
        <v>6395</v>
      </c>
      <c r="P1110" s="1">
        <v>296</v>
      </c>
      <c r="T1110" s="224"/>
      <c r="U1110" s="34" t="s">
        <v>25</v>
      </c>
      <c r="V1110" s="475"/>
      <c r="W1110" s="224"/>
      <c r="X1110" s="224"/>
    </row>
    <row r="1111" spans="1:24" x14ac:dyDescent="0.3">
      <c r="A1111" s="2652">
        <v>297</v>
      </c>
      <c r="B1111" s="1122" t="s">
        <v>1416</v>
      </c>
      <c r="C1111" s="216" t="s">
        <v>1344</v>
      </c>
      <c r="D1111" s="416" t="s">
        <v>938</v>
      </c>
      <c r="E1111" s="217" t="s">
        <v>1473</v>
      </c>
      <c r="F1111" s="218" t="s">
        <v>1417</v>
      </c>
      <c r="G1111" s="116">
        <v>990</v>
      </c>
      <c r="H1111" s="1776" t="s">
        <v>1349</v>
      </c>
      <c r="J1111" s="224"/>
      <c r="K1111" s="34" t="s">
        <v>25</v>
      </c>
      <c r="L1111" s="475"/>
      <c r="M1111" s="224"/>
      <c r="N1111" s="224"/>
      <c r="O1111" s="2628" t="s">
        <v>6395</v>
      </c>
      <c r="P1111" s="1">
        <v>297</v>
      </c>
      <c r="T1111" s="224"/>
      <c r="U1111" s="34" t="s">
        <v>25</v>
      </c>
      <c r="V1111" s="475"/>
      <c r="W1111" s="224"/>
      <c r="X1111" s="224"/>
    </row>
    <row r="1112" spans="1:24" x14ac:dyDescent="0.3">
      <c r="A1112" s="2651">
        <v>298</v>
      </c>
      <c r="B1112" s="1122" t="s">
        <v>1416</v>
      </c>
      <c r="C1112" s="216" t="s">
        <v>1344</v>
      </c>
      <c r="D1112" s="416" t="s">
        <v>938</v>
      </c>
      <c r="E1112" s="217" t="s">
        <v>1474</v>
      </c>
      <c r="F1112" s="218" t="s">
        <v>1417</v>
      </c>
      <c r="G1112" s="116">
        <v>990</v>
      </c>
      <c r="H1112" s="1776" t="s">
        <v>1349</v>
      </c>
      <c r="J1112" s="224"/>
      <c r="K1112" s="34" t="s">
        <v>25</v>
      </c>
      <c r="L1112" s="475"/>
      <c r="M1112" s="224"/>
      <c r="N1112" s="224"/>
      <c r="O1112" s="2628" t="s">
        <v>6395</v>
      </c>
      <c r="P1112" s="1">
        <v>298</v>
      </c>
      <c r="T1112" s="224"/>
      <c r="U1112" s="34" t="s">
        <v>25</v>
      </c>
      <c r="V1112" s="475"/>
      <c r="W1112" s="224"/>
      <c r="X1112" s="224"/>
    </row>
    <row r="1113" spans="1:24" x14ac:dyDescent="0.3">
      <c r="A1113" s="2651">
        <v>299</v>
      </c>
      <c r="B1113" s="1122" t="s">
        <v>1416</v>
      </c>
      <c r="C1113" s="216" t="s">
        <v>1344</v>
      </c>
      <c r="D1113" s="416" t="s">
        <v>938</v>
      </c>
      <c r="E1113" s="217" t="s">
        <v>1475</v>
      </c>
      <c r="F1113" s="218" t="s">
        <v>1417</v>
      </c>
      <c r="G1113" s="116">
        <v>990</v>
      </c>
      <c r="H1113" s="1776" t="s">
        <v>1349</v>
      </c>
      <c r="J1113" s="224"/>
      <c r="K1113" s="34" t="s">
        <v>25</v>
      </c>
      <c r="L1113" s="475"/>
      <c r="M1113" s="224"/>
      <c r="N1113" s="224"/>
      <c r="O1113" s="2628" t="s">
        <v>6395</v>
      </c>
      <c r="P1113" s="1">
        <v>299</v>
      </c>
      <c r="T1113" s="224"/>
      <c r="U1113" s="34" t="s">
        <v>25</v>
      </c>
      <c r="V1113" s="475"/>
      <c r="W1113" s="224"/>
      <c r="X1113" s="224"/>
    </row>
    <row r="1114" spans="1:24" x14ac:dyDescent="0.3">
      <c r="A1114" s="2652">
        <v>300</v>
      </c>
      <c r="B1114" s="1122" t="s">
        <v>1416</v>
      </c>
      <c r="C1114" s="216" t="s">
        <v>1344</v>
      </c>
      <c r="D1114" s="416" t="s">
        <v>938</v>
      </c>
      <c r="E1114" s="217" t="s">
        <v>1476</v>
      </c>
      <c r="F1114" s="218" t="s">
        <v>1417</v>
      </c>
      <c r="G1114" s="116">
        <v>990</v>
      </c>
      <c r="H1114" s="1776" t="s">
        <v>1349</v>
      </c>
      <c r="J1114" s="224"/>
      <c r="K1114" s="34" t="s">
        <v>25</v>
      </c>
      <c r="L1114" s="475"/>
      <c r="M1114" s="224"/>
      <c r="N1114" s="224"/>
      <c r="O1114" s="2628" t="s">
        <v>6395</v>
      </c>
      <c r="P1114" s="1">
        <v>300</v>
      </c>
      <c r="T1114" s="224"/>
      <c r="U1114" s="34" t="s">
        <v>25</v>
      </c>
      <c r="V1114" s="475"/>
      <c r="W1114" s="224"/>
      <c r="X1114" s="224"/>
    </row>
    <row r="1115" spans="1:24" x14ac:dyDescent="0.3">
      <c r="A1115" s="2651">
        <v>301</v>
      </c>
      <c r="B1115" s="1122" t="s">
        <v>1477</v>
      </c>
      <c r="C1115" s="1117" t="s">
        <v>1344</v>
      </c>
      <c r="D1115" s="416" t="s">
        <v>938</v>
      </c>
      <c r="E1115" s="217" t="s">
        <v>1478</v>
      </c>
      <c r="F1115" s="218" t="s">
        <v>1417</v>
      </c>
      <c r="G1115" s="116">
        <v>1190</v>
      </c>
      <c r="H1115" s="1776" t="s">
        <v>1349</v>
      </c>
      <c r="J1115" s="224"/>
      <c r="K1115" s="34" t="s">
        <v>25</v>
      </c>
      <c r="L1115" s="475"/>
      <c r="M1115" s="224"/>
      <c r="N1115" s="224"/>
      <c r="O1115" s="2628" t="s">
        <v>6395</v>
      </c>
      <c r="P1115" s="1">
        <v>301</v>
      </c>
      <c r="T1115" s="224"/>
      <c r="U1115" s="34" t="s">
        <v>25</v>
      </c>
      <c r="V1115" s="475"/>
      <c r="W1115" s="224"/>
      <c r="X1115" s="224"/>
    </row>
    <row r="1116" spans="1:24" x14ac:dyDescent="0.3">
      <c r="A1116" s="2651">
        <v>302</v>
      </c>
      <c r="B1116" s="1122" t="s">
        <v>1477</v>
      </c>
      <c r="C1116" s="216" t="s">
        <v>1344</v>
      </c>
      <c r="D1116" s="416" t="s">
        <v>938</v>
      </c>
      <c r="E1116" s="217" t="s">
        <v>1479</v>
      </c>
      <c r="F1116" s="218" t="s">
        <v>1417</v>
      </c>
      <c r="G1116" s="116">
        <v>1190</v>
      </c>
      <c r="H1116" s="1776" t="s">
        <v>1349</v>
      </c>
      <c r="J1116" s="224"/>
      <c r="K1116" s="34" t="s">
        <v>25</v>
      </c>
      <c r="L1116" s="475"/>
      <c r="M1116" s="224"/>
      <c r="N1116" s="224"/>
      <c r="O1116" s="2628" t="s">
        <v>6395</v>
      </c>
      <c r="P1116" s="1">
        <v>302</v>
      </c>
      <c r="T1116" s="224"/>
      <c r="U1116" s="34" t="s">
        <v>25</v>
      </c>
      <c r="V1116" s="475"/>
      <c r="W1116" s="224"/>
      <c r="X1116" s="224"/>
    </row>
    <row r="1117" spans="1:24" x14ac:dyDescent="0.3">
      <c r="A1117" s="2652">
        <v>303</v>
      </c>
      <c r="B1117" s="1122" t="s">
        <v>1477</v>
      </c>
      <c r="C1117" s="216" t="s">
        <v>1344</v>
      </c>
      <c r="D1117" s="416" t="s">
        <v>938</v>
      </c>
      <c r="E1117" s="217" t="s">
        <v>1480</v>
      </c>
      <c r="F1117" s="218" t="s">
        <v>1417</v>
      </c>
      <c r="G1117" s="116">
        <v>1190</v>
      </c>
      <c r="H1117" s="1776" t="s">
        <v>1349</v>
      </c>
      <c r="J1117" s="224"/>
      <c r="K1117" s="34" t="s">
        <v>25</v>
      </c>
      <c r="L1117" s="475"/>
      <c r="M1117" s="224"/>
      <c r="N1117" s="224"/>
      <c r="O1117" s="2628" t="s">
        <v>6395</v>
      </c>
      <c r="P1117" s="1">
        <v>303</v>
      </c>
      <c r="T1117" s="224"/>
      <c r="U1117" s="34" t="s">
        <v>25</v>
      </c>
      <c r="V1117" s="475"/>
      <c r="W1117" s="224"/>
      <c r="X1117" s="224"/>
    </row>
    <row r="1118" spans="1:24" x14ac:dyDescent="0.3">
      <c r="A1118" s="2651">
        <v>304</v>
      </c>
      <c r="B1118" s="1122" t="s">
        <v>1477</v>
      </c>
      <c r="C1118" s="216" t="s">
        <v>1344</v>
      </c>
      <c r="D1118" s="416" t="s">
        <v>938</v>
      </c>
      <c r="E1118" s="217" t="s">
        <v>453</v>
      </c>
      <c r="F1118" s="218" t="s">
        <v>1417</v>
      </c>
      <c r="G1118" s="116">
        <v>1190</v>
      </c>
      <c r="H1118" s="1776" t="s">
        <v>1349</v>
      </c>
      <c r="J1118" s="224"/>
      <c r="K1118" s="34" t="s">
        <v>25</v>
      </c>
      <c r="L1118" s="475"/>
      <c r="M1118" s="224"/>
      <c r="N1118" s="224"/>
      <c r="O1118" s="2628" t="s">
        <v>6395</v>
      </c>
      <c r="P1118" s="1">
        <v>304</v>
      </c>
      <c r="T1118" s="224"/>
      <c r="U1118" s="34" t="s">
        <v>25</v>
      </c>
      <c r="V1118" s="475"/>
      <c r="W1118" s="224"/>
      <c r="X1118" s="224"/>
    </row>
    <row r="1119" spans="1:24" x14ac:dyDescent="0.3">
      <c r="A1119" s="2651">
        <v>305</v>
      </c>
      <c r="B1119" s="1122" t="s">
        <v>1477</v>
      </c>
      <c r="C1119" s="216" t="s">
        <v>1344</v>
      </c>
      <c r="D1119" s="416" t="s">
        <v>938</v>
      </c>
      <c r="E1119" s="217" t="s">
        <v>421</v>
      </c>
      <c r="F1119" s="218" t="s">
        <v>1417</v>
      </c>
      <c r="G1119" s="116">
        <v>1190</v>
      </c>
      <c r="H1119" s="1776" t="s">
        <v>1349</v>
      </c>
      <c r="J1119" s="224"/>
      <c r="K1119" s="34" t="s">
        <v>25</v>
      </c>
      <c r="L1119" s="475"/>
      <c r="M1119" s="224"/>
      <c r="N1119" s="224"/>
      <c r="O1119" s="2628" t="s">
        <v>6395</v>
      </c>
      <c r="P1119" s="1">
        <v>305</v>
      </c>
      <c r="T1119" s="224"/>
      <c r="U1119" s="34" t="s">
        <v>25</v>
      </c>
      <c r="V1119" s="475"/>
      <c r="W1119" s="224"/>
      <c r="X1119" s="224"/>
    </row>
    <row r="1120" spans="1:24" x14ac:dyDescent="0.3">
      <c r="A1120" s="2652">
        <v>306</v>
      </c>
      <c r="B1120" s="1122" t="s">
        <v>1477</v>
      </c>
      <c r="C1120" s="216" t="s">
        <v>1344</v>
      </c>
      <c r="D1120" s="416" t="s">
        <v>938</v>
      </c>
      <c r="E1120" s="217" t="s">
        <v>423</v>
      </c>
      <c r="F1120" s="218" t="s">
        <v>1417</v>
      </c>
      <c r="G1120" s="116">
        <v>1190</v>
      </c>
      <c r="H1120" s="1776" t="s">
        <v>1349</v>
      </c>
      <c r="J1120" s="224"/>
      <c r="K1120" s="34" t="s">
        <v>25</v>
      </c>
      <c r="L1120" s="475"/>
      <c r="M1120" s="224"/>
      <c r="N1120" s="224"/>
      <c r="O1120" s="2628" t="s">
        <v>6395</v>
      </c>
      <c r="P1120" s="1">
        <v>306</v>
      </c>
      <c r="T1120" s="224"/>
      <c r="U1120" s="34" t="s">
        <v>25</v>
      </c>
      <c r="V1120" s="475"/>
      <c r="W1120" s="224"/>
      <c r="X1120" s="224"/>
    </row>
    <row r="1121" spans="1:24" x14ac:dyDescent="0.3">
      <c r="A1121" s="2651">
        <v>307</v>
      </c>
      <c r="B1121" s="1122" t="s">
        <v>1477</v>
      </c>
      <c r="C1121" s="216" t="s">
        <v>1344</v>
      </c>
      <c r="D1121" s="452" t="s">
        <v>938</v>
      </c>
      <c r="E1121" s="217" t="s">
        <v>424</v>
      </c>
      <c r="F1121" s="218" t="s">
        <v>1417</v>
      </c>
      <c r="G1121" s="116">
        <v>1190</v>
      </c>
      <c r="H1121" s="1776" t="s">
        <v>1349</v>
      </c>
      <c r="J1121" s="224"/>
      <c r="K1121" s="34" t="s">
        <v>25</v>
      </c>
      <c r="L1121" s="475"/>
      <c r="M1121" s="224"/>
      <c r="N1121" s="224"/>
      <c r="O1121" s="2628" t="s">
        <v>6395</v>
      </c>
      <c r="P1121" s="1">
        <v>307</v>
      </c>
      <c r="T1121" s="224"/>
      <c r="U1121" s="34" t="s">
        <v>25</v>
      </c>
      <c r="V1121" s="475"/>
      <c r="W1121" s="224"/>
      <c r="X1121" s="224"/>
    </row>
    <row r="1122" spans="1:24" x14ac:dyDescent="0.3">
      <c r="A1122" s="2651">
        <v>308</v>
      </c>
      <c r="B1122" s="1122" t="s">
        <v>1477</v>
      </c>
      <c r="C1122" s="216" t="s">
        <v>1344</v>
      </c>
      <c r="D1122" s="793" t="s">
        <v>938</v>
      </c>
      <c r="E1122" s="217" t="s">
        <v>425</v>
      </c>
      <c r="F1122" s="218" t="s">
        <v>1417</v>
      </c>
      <c r="G1122" s="116">
        <v>1190</v>
      </c>
      <c r="H1122" s="1776" t="s">
        <v>1349</v>
      </c>
      <c r="J1122" s="224"/>
      <c r="K1122" s="34" t="s">
        <v>25</v>
      </c>
      <c r="L1122" s="475"/>
      <c r="M1122" s="224"/>
      <c r="N1122" s="224"/>
      <c r="O1122" s="2628" t="s">
        <v>6395</v>
      </c>
      <c r="P1122" s="1">
        <v>308</v>
      </c>
      <c r="T1122" s="224"/>
      <c r="U1122" s="34" t="s">
        <v>25</v>
      </c>
      <c r="V1122" s="475"/>
      <c r="W1122" s="224"/>
      <c r="X1122" s="224"/>
    </row>
    <row r="1123" spans="1:24" x14ac:dyDescent="0.3">
      <c r="A1123" s="2652">
        <v>309</v>
      </c>
      <c r="B1123" s="1122" t="s">
        <v>1477</v>
      </c>
      <c r="C1123" s="1117" t="s">
        <v>1344</v>
      </c>
      <c r="D1123" s="416" t="s">
        <v>938</v>
      </c>
      <c r="E1123" s="217" t="s">
        <v>456</v>
      </c>
      <c r="F1123" s="218" t="s">
        <v>1417</v>
      </c>
      <c r="G1123" s="116">
        <v>1190</v>
      </c>
      <c r="H1123" s="1776" t="s">
        <v>1349</v>
      </c>
      <c r="J1123" s="224"/>
      <c r="K1123" s="34" t="s">
        <v>25</v>
      </c>
      <c r="L1123" s="475"/>
      <c r="M1123" s="224"/>
      <c r="N1123" s="224"/>
      <c r="O1123" s="2628" t="s">
        <v>6395</v>
      </c>
      <c r="P1123" s="1">
        <v>309</v>
      </c>
      <c r="T1123" s="224"/>
      <c r="U1123" s="34" t="s">
        <v>25</v>
      </c>
      <c r="V1123" s="475"/>
      <c r="W1123" s="224"/>
      <c r="X1123" s="224"/>
    </row>
    <row r="1124" spans="1:24" x14ac:dyDescent="0.3">
      <c r="A1124" s="2651">
        <v>310</v>
      </c>
      <c r="B1124" s="1122" t="s">
        <v>1477</v>
      </c>
      <c r="C1124" s="216" t="s">
        <v>1344</v>
      </c>
      <c r="D1124" s="416" t="s">
        <v>938</v>
      </c>
      <c r="E1124" s="217" t="s">
        <v>1481</v>
      </c>
      <c r="F1124" s="218" t="s">
        <v>1417</v>
      </c>
      <c r="G1124" s="116">
        <v>1190</v>
      </c>
      <c r="H1124" s="1776" t="s">
        <v>1349</v>
      </c>
      <c r="J1124" s="224"/>
      <c r="K1124" s="34" t="s">
        <v>25</v>
      </c>
      <c r="L1124" s="475"/>
      <c r="M1124" s="224"/>
      <c r="N1124" s="224"/>
      <c r="O1124" s="2628" t="s">
        <v>6395</v>
      </c>
      <c r="P1124" s="1">
        <v>310</v>
      </c>
      <c r="T1124" s="224"/>
      <c r="U1124" s="34" t="s">
        <v>25</v>
      </c>
      <c r="V1124" s="475"/>
      <c r="W1124" s="224"/>
      <c r="X1124" s="224"/>
    </row>
    <row r="1125" spans="1:24" x14ac:dyDescent="0.3">
      <c r="A1125" s="2651">
        <v>311</v>
      </c>
      <c r="B1125" s="1122" t="s">
        <v>1477</v>
      </c>
      <c r="C1125" s="1117" t="s">
        <v>1344</v>
      </c>
      <c r="D1125" s="416" t="s">
        <v>938</v>
      </c>
      <c r="E1125" s="217" t="s">
        <v>1482</v>
      </c>
      <c r="F1125" s="218" t="s">
        <v>1417</v>
      </c>
      <c r="G1125" s="116">
        <v>1190</v>
      </c>
      <c r="H1125" s="1776" t="s">
        <v>1349</v>
      </c>
      <c r="J1125" s="224"/>
      <c r="K1125" s="34" t="s">
        <v>25</v>
      </c>
      <c r="L1125" s="475"/>
      <c r="M1125" s="224"/>
      <c r="N1125" s="224"/>
      <c r="O1125" s="2628" t="s">
        <v>6395</v>
      </c>
      <c r="P1125" s="1">
        <v>311</v>
      </c>
      <c r="T1125" s="224"/>
      <c r="U1125" s="34" t="s">
        <v>25</v>
      </c>
      <c r="V1125" s="475"/>
      <c r="W1125" s="224"/>
      <c r="X1125" s="224"/>
    </row>
    <row r="1126" spans="1:24" x14ac:dyDescent="0.3">
      <c r="A1126" s="2652">
        <v>312</v>
      </c>
      <c r="B1126" s="1122" t="s">
        <v>1477</v>
      </c>
      <c r="C1126" s="216" t="s">
        <v>1344</v>
      </c>
      <c r="D1126" s="416" t="s">
        <v>938</v>
      </c>
      <c r="E1126" s="217" t="s">
        <v>1483</v>
      </c>
      <c r="F1126" s="218" t="s">
        <v>1417</v>
      </c>
      <c r="G1126" s="116">
        <v>1190</v>
      </c>
      <c r="H1126" s="1776" t="s">
        <v>1349</v>
      </c>
      <c r="J1126" s="224"/>
      <c r="K1126" s="34" t="s">
        <v>25</v>
      </c>
      <c r="L1126" s="475"/>
      <c r="M1126" s="224"/>
      <c r="N1126" s="224"/>
      <c r="O1126" s="2628" t="s">
        <v>6395</v>
      </c>
      <c r="P1126" s="1">
        <v>312</v>
      </c>
      <c r="T1126" s="224"/>
      <c r="U1126" s="34" t="s">
        <v>25</v>
      </c>
      <c r="V1126" s="475"/>
      <c r="W1126" s="224"/>
      <c r="X1126" s="224"/>
    </row>
    <row r="1127" spans="1:24" x14ac:dyDescent="0.3">
      <c r="A1127" s="2651">
        <v>313</v>
      </c>
      <c r="B1127" s="1122" t="s">
        <v>1477</v>
      </c>
      <c r="C1127" s="216" t="s">
        <v>1344</v>
      </c>
      <c r="D1127" s="416" t="s">
        <v>938</v>
      </c>
      <c r="E1127" s="217" t="s">
        <v>1484</v>
      </c>
      <c r="F1127" s="218" t="s">
        <v>1417</v>
      </c>
      <c r="G1127" s="116">
        <v>1190</v>
      </c>
      <c r="H1127" s="1776" t="s">
        <v>1349</v>
      </c>
      <c r="J1127" s="224"/>
      <c r="K1127" s="34" t="s">
        <v>25</v>
      </c>
      <c r="L1127" s="475"/>
      <c r="M1127" s="327"/>
      <c r="N1127" s="327"/>
      <c r="O1127" s="2628" t="s">
        <v>6395</v>
      </c>
      <c r="P1127" s="1">
        <v>313</v>
      </c>
      <c r="T1127" s="224"/>
      <c r="U1127" s="34" t="s">
        <v>25</v>
      </c>
      <c r="V1127" s="475"/>
      <c r="W1127" s="327"/>
      <c r="X1127" s="327"/>
    </row>
    <row r="1128" spans="1:24" x14ac:dyDescent="0.3">
      <c r="A1128" s="2651">
        <v>314</v>
      </c>
      <c r="B1128" s="1122" t="s">
        <v>1477</v>
      </c>
      <c r="C1128" s="216" t="s">
        <v>1344</v>
      </c>
      <c r="D1128" s="416" t="s">
        <v>938</v>
      </c>
      <c r="E1128" s="217" t="s">
        <v>1485</v>
      </c>
      <c r="F1128" s="218" t="s">
        <v>1417</v>
      </c>
      <c r="G1128" s="116">
        <v>1190</v>
      </c>
      <c r="H1128" s="1776" t="s">
        <v>1349</v>
      </c>
      <c r="J1128" s="224"/>
      <c r="K1128" s="34" t="s">
        <v>25</v>
      </c>
      <c r="L1128" s="475"/>
      <c r="M1128" s="1125"/>
      <c r="N1128" s="1125"/>
      <c r="O1128" s="2628" t="s">
        <v>6395</v>
      </c>
      <c r="P1128" s="1">
        <v>314</v>
      </c>
      <c r="T1128" s="224"/>
      <c r="U1128" s="34" t="s">
        <v>25</v>
      </c>
      <c r="V1128" s="475"/>
      <c r="W1128" s="1125"/>
      <c r="X1128" s="1125"/>
    </row>
    <row r="1129" spans="1:24" x14ac:dyDescent="0.3">
      <c r="A1129" s="2652">
        <v>315</v>
      </c>
      <c r="B1129" s="1122" t="s">
        <v>1477</v>
      </c>
      <c r="C1129" s="216" t="s">
        <v>1344</v>
      </c>
      <c r="D1129" s="416" t="s">
        <v>938</v>
      </c>
      <c r="E1129" s="217" t="s">
        <v>1486</v>
      </c>
      <c r="F1129" s="218" t="s">
        <v>1417</v>
      </c>
      <c r="G1129" s="116">
        <v>1190</v>
      </c>
      <c r="H1129" s="1776" t="s">
        <v>1349</v>
      </c>
      <c r="J1129" s="224"/>
      <c r="K1129" s="34" t="s">
        <v>25</v>
      </c>
      <c r="L1129" s="475"/>
      <c r="M1129" s="848"/>
      <c r="N1129" s="848"/>
      <c r="O1129" s="2628" t="s">
        <v>6395</v>
      </c>
      <c r="P1129" s="1">
        <v>315</v>
      </c>
      <c r="T1129" s="224"/>
      <c r="U1129" s="34" t="s">
        <v>25</v>
      </c>
      <c r="V1129" s="475"/>
      <c r="W1129" s="848"/>
      <c r="X1129" s="848"/>
    </row>
    <row r="1130" spans="1:24" x14ac:dyDescent="0.3">
      <c r="A1130" s="2651">
        <v>316</v>
      </c>
      <c r="B1130" s="1122" t="s">
        <v>1477</v>
      </c>
      <c r="C1130" s="1117" t="s">
        <v>1344</v>
      </c>
      <c r="D1130" s="416" t="s">
        <v>938</v>
      </c>
      <c r="E1130" s="217" t="s">
        <v>1487</v>
      </c>
      <c r="F1130" s="218" t="s">
        <v>1417</v>
      </c>
      <c r="G1130" s="116">
        <v>1190</v>
      </c>
      <c r="H1130" s="1776" t="s">
        <v>1349</v>
      </c>
      <c r="J1130" s="224"/>
      <c r="K1130" s="34" t="s">
        <v>25</v>
      </c>
      <c r="L1130" s="475"/>
      <c r="M1130" s="224"/>
      <c r="N1130" s="224"/>
      <c r="O1130" s="2628" t="s">
        <v>6395</v>
      </c>
      <c r="P1130" s="1">
        <v>316</v>
      </c>
      <c r="T1130" s="224"/>
      <c r="U1130" s="34" t="s">
        <v>25</v>
      </c>
      <c r="V1130" s="475"/>
      <c r="W1130" s="224"/>
      <c r="X1130" s="224"/>
    </row>
    <row r="1131" spans="1:24" x14ac:dyDescent="0.3">
      <c r="A1131" s="2651">
        <v>317</v>
      </c>
      <c r="B1131" s="1122" t="s">
        <v>1477</v>
      </c>
      <c r="C1131" s="216" t="s">
        <v>1344</v>
      </c>
      <c r="D1131" s="416" t="s">
        <v>938</v>
      </c>
      <c r="E1131" s="217" t="s">
        <v>1488</v>
      </c>
      <c r="F1131" s="218" t="s">
        <v>1417</v>
      </c>
      <c r="G1131" s="116">
        <v>1190</v>
      </c>
      <c r="H1131" s="1776" t="s">
        <v>1349</v>
      </c>
      <c r="J1131" s="224"/>
      <c r="K1131" s="34" t="s">
        <v>25</v>
      </c>
      <c r="L1131" s="475"/>
      <c r="M1131" s="224"/>
      <c r="N1131" s="224"/>
      <c r="O1131" s="2628" t="s">
        <v>6395</v>
      </c>
      <c r="P1131" s="1">
        <v>317</v>
      </c>
      <c r="T1131" s="224"/>
      <c r="U1131" s="34" t="s">
        <v>25</v>
      </c>
      <c r="V1131" s="475"/>
      <c r="W1131" s="224"/>
      <c r="X1131" s="224"/>
    </row>
    <row r="1132" spans="1:24" x14ac:dyDescent="0.3">
      <c r="A1132" s="2652">
        <v>318</v>
      </c>
      <c r="B1132" s="1122" t="s">
        <v>1477</v>
      </c>
      <c r="C1132" s="216" t="s">
        <v>1344</v>
      </c>
      <c r="D1132" s="416" t="s">
        <v>938</v>
      </c>
      <c r="E1132" s="419" t="s">
        <v>1489</v>
      </c>
      <c r="F1132" s="218" t="s">
        <v>1417</v>
      </c>
      <c r="G1132" s="116">
        <v>1190</v>
      </c>
      <c r="H1132" s="1776" t="s">
        <v>1349</v>
      </c>
      <c r="J1132" s="224"/>
      <c r="K1132" s="34" t="s">
        <v>25</v>
      </c>
      <c r="L1132" s="475"/>
      <c r="M1132" s="224"/>
      <c r="N1132" s="224"/>
      <c r="O1132" s="2628" t="s">
        <v>6395</v>
      </c>
      <c r="P1132" s="1">
        <v>318</v>
      </c>
      <c r="T1132" s="224"/>
      <c r="U1132" s="34" t="s">
        <v>25</v>
      </c>
      <c r="V1132" s="475"/>
      <c r="W1132" s="224"/>
      <c r="X1132" s="224"/>
    </row>
    <row r="1133" spans="1:24" x14ac:dyDescent="0.3">
      <c r="A1133" s="2651">
        <v>319</v>
      </c>
      <c r="B1133" s="1122" t="s">
        <v>1477</v>
      </c>
      <c r="C1133" s="216" t="s">
        <v>1344</v>
      </c>
      <c r="D1133" s="416" t="s">
        <v>938</v>
      </c>
      <c r="E1133" s="349" t="s">
        <v>1490</v>
      </c>
      <c r="F1133" s="218" t="s">
        <v>1417</v>
      </c>
      <c r="G1133" s="116">
        <v>1190</v>
      </c>
      <c r="H1133" s="1776" t="s">
        <v>1349</v>
      </c>
      <c r="J1133" s="224"/>
      <c r="K1133" s="34" t="s">
        <v>25</v>
      </c>
      <c r="L1133" s="475"/>
      <c r="M1133" s="224"/>
      <c r="N1133" s="224"/>
      <c r="O1133" s="2628" t="s">
        <v>6395</v>
      </c>
      <c r="P1133" s="1">
        <v>319</v>
      </c>
      <c r="T1133" s="224"/>
      <c r="U1133" s="34" t="s">
        <v>25</v>
      </c>
      <c r="V1133" s="475"/>
      <c r="W1133" s="224"/>
      <c r="X1133" s="224"/>
    </row>
    <row r="1134" spans="1:24" x14ac:dyDescent="0.3">
      <c r="A1134" s="2651">
        <v>320</v>
      </c>
      <c r="B1134" s="1122" t="s">
        <v>1477</v>
      </c>
      <c r="C1134" s="1117" t="s">
        <v>1344</v>
      </c>
      <c r="D1134" s="416" t="s">
        <v>938</v>
      </c>
      <c r="E1134" s="217" t="s">
        <v>1491</v>
      </c>
      <c r="F1134" s="218" t="s">
        <v>1417</v>
      </c>
      <c r="G1134" s="116">
        <v>1190</v>
      </c>
      <c r="H1134" s="1776" t="s">
        <v>1349</v>
      </c>
      <c r="J1134" s="224"/>
      <c r="K1134" s="34" t="s">
        <v>25</v>
      </c>
      <c r="L1134" s="475"/>
      <c r="M1134" s="224"/>
      <c r="N1134" s="224"/>
      <c r="O1134" s="2628" t="s">
        <v>6395</v>
      </c>
      <c r="P1134" s="1">
        <v>320</v>
      </c>
      <c r="T1134" s="224"/>
      <c r="U1134" s="34" t="s">
        <v>25</v>
      </c>
      <c r="V1134" s="475"/>
      <c r="W1134" s="224"/>
      <c r="X1134" s="224"/>
    </row>
    <row r="1135" spans="1:24" x14ac:dyDescent="0.3">
      <c r="A1135" s="2652">
        <v>321</v>
      </c>
      <c r="B1135" s="1122" t="s">
        <v>1477</v>
      </c>
      <c r="C1135" s="1117" t="s">
        <v>1344</v>
      </c>
      <c r="D1135" s="416" t="s">
        <v>938</v>
      </c>
      <c r="E1135" s="217" t="s">
        <v>1492</v>
      </c>
      <c r="F1135" s="218" t="s">
        <v>1417</v>
      </c>
      <c r="G1135" s="116">
        <v>1190</v>
      </c>
      <c r="H1135" s="1776" t="s">
        <v>1349</v>
      </c>
      <c r="J1135" s="224"/>
      <c r="K1135" s="34" t="s">
        <v>25</v>
      </c>
      <c r="L1135" s="475"/>
      <c r="M1135" s="224"/>
      <c r="N1135" s="224"/>
      <c r="O1135" s="2628" t="s">
        <v>6395</v>
      </c>
      <c r="P1135" s="1">
        <v>321</v>
      </c>
      <c r="T1135" s="224"/>
      <c r="U1135" s="34" t="s">
        <v>25</v>
      </c>
      <c r="V1135" s="475"/>
      <c r="W1135" s="224"/>
      <c r="X1135" s="224"/>
    </row>
    <row r="1136" spans="1:24" x14ac:dyDescent="0.3">
      <c r="A1136" s="2651">
        <v>322</v>
      </c>
      <c r="B1136" s="1122" t="s">
        <v>1477</v>
      </c>
      <c r="C1136" s="216" t="s">
        <v>1344</v>
      </c>
      <c r="D1136" s="416" t="s">
        <v>938</v>
      </c>
      <c r="E1136" s="217" t="s">
        <v>1493</v>
      </c>
      <c r="F1136" s="218" t="s">
        <v>1417</v>
      </c>
      <c r="G1136" s="116">
        <v>1190</v>
      </c>
      <c r="H1136" s="1776" t="s">
        <v>1349</v>
      </c>
      <c r="J1136" s="224"/>
      <c r="K1136" s="34" t="s">
        <v>25</v>
      </c>
      <c r="L1136" s="475"/>
      <c r="M1136" s="224"/>
      <c r="N1136" s="224"/>
      <c r="O1136" s="2628" t="s">
        <v>6395</v>
      </c>
      <c r="P1136" s="1">
        <v>322</v>
      </c>
      <c r="T1136" s="224"/>
      <c r="U1136" s="34" t="s">
        <v>25</v>
      </c>
      <c r="V1136" s="475"/>
      <c r="W1136" s="224"/>
      <c r="X1136" s="224"/>
    </row>
    <row r="1137" spans="1:24" x14ac:dyDescent="0.3">
      <c r="A1137" s="2651">
        <v>323</v>
      </c>
      <c r="B1137" s="1122" t="s">
        <v>1477</v>
      </c>
      <c r="C1137" s="216" t="s">
        <v>1344</v>
      </c>
      <c r="D1137" s="416" t="s">
        <v>938</v>
      </c>
      <c r="E1137" s="217" t="s">
        <v>1494</v>
      </c>
      <c r="F1137" s="218" t="s">
        <v>1417</v>
      </c>
      <c r="G1137" s="116">
        <v>1190</v>
      </c>
      <c r="H1137" s="1776" t="s">
        <v>1349</v>
      </c>
      <c r="J1137" s="224"/>
      <c r="K1137" s="34" t="s">
        <v>25</v>
      </c>
      <c r="L1137" s="475"/>
      <c r="M1137" s="224"/>
      <c r="N1137" s="224"/>
      <c r="O1137" s="2628" t="s">
        <v>6395</v>
      </c>
      <c r="P1137" s="1">
        <v>323</v>
      </c>
      <c r="T1137" s="224"/>
      <c r="U1137" s="34" t="s">
        <v>25</v>
      </c>
      <c r="V1137" s="475"/>
      <c r="W1137" s="224"/>
      <c r="X1137" s="224"/>
    </row>
    <row r="1138" spans="1:24" x14ac:dyDescent="0.3">
      <c r="A1138" s="2652">
        <v>324</v>
      </c>
      <c r="B1138" s="1122" t="s">
        <v>1477</v>
      </c>
      <c r="C1138" s="216" t="s">
        <v>1344</v>
      </c>
      <c r="D1138" s="416" t="s">
        <v>938</v>
      </c>
      <c r="E1138" s="217" t="s">
        <v>1495</v>
      </c>
      <c r="F1138" s="218" t="s">
        <v>1417</v>
      </c>
      <c r="G1138" s="116">
        <v>1190</v>
      </c>
      <c r="H1138" s="1776" t="s">
        <v>1349</v>
      </c>
      <c r="J1138" s="224"/>
      <c r="K1138" s="34" t="s">
        <v>25</v>
      </c>
      <c r="L1138" s="475"/>
      <c r="M1138" s="224"/>
      <c r="N1138" s="224"/>
      <c r="O1138" s="2628" t="s">
        <v>6395</v>
      </c>
      <c r="P1138" s="1">
        <v>324</v>
      </c>
      <c r="T1138" s="224"/>
      <c r="U1138" s="34" t="s">
        <v>25</v>
      </c>
      <c r="V1138" s="475"/>
      <c r="W1138" s="224"/>
      <c r="X1138" s="224"/>
    </row>
    <row r="1139" spans="1:24" x14ac:dyDescent="0.3">
      <c r="A1139" s="2651">
        <v>325</v>
      </c>
      <c r="B1139" s="1122" t="s">
        <v>1477</v>
      </c>
      <c r="C1139" s="216" t="s">
        <v>1344</v>
      </c>
      <c r="D1139" s="416" t="s">
        <v>938</v>
      </c>
      <c r="E1139" s="217" t="s">
        <v>1496</v>
      </c>
      <c r="F1139" s="218" t="s">
        <v>1417</v>
      </c>
      <c r="G1139" s="116">
        <v>1190</v>
      </c>
      <c r="H1139" s="1776" t="s">
        <v>1349</v>
      </c>
      <c r="J1139" s="224"/>
      <c r="K1139" s="34" t="s">
        <v>25</v>
      </c>
      <c r="L1139" s="475"/>
      <c r="M1139" s="475"/>
      <c r="N1139" s="475"/>
      <c r="O1139" s="2628" t="s">
        <v>6395</v>
      </c>
      <c r="P1139" s="1">
        <v>325</v>
      </c>
      <c r="T1139" s="224"/>
      <c r="U1139" s="34" t="s">
        <v>25</v>
      </c>
      <c r="V1139" s="475"/>
      <c r="W1139" s="475"/>
      <c r="X1139" s="475"/>
    </row>
    <row r="1140" spans="1:24" x14ac:dyDescent="0.3">
      <c r="A1140" s="2651">
        <v>326</v>
      </c>
      <c r="B1140" s="1122" t="s">
        <v>1477</v>
      </c>
      <c r="C1140" s="216" t="s">
        <v>1344</v>
      </c>
      <c r="D1140" s="452" t="s">
        <v>938</v>
      </c>
      <c r="E1140" s="217" t="s">
        <v>1497</v>
      </c>
      <c r="F1140" s="218" t="s">
        <v>1417</v>
      </c>
      <c r="G1140" s="116">
        <v>1190</v>
      </c>
      <c r="H1140" s="1776" t="s">
        <v>1349</v>
      </c>
      <c r="J1140" s="224"/>
      <c r="K1140" s="34" t="s">
        <v>25</v>
      </c>
      <c r="L1140" s="475"/>
      <c r="M1140" s="848"/>
      <c r="N1140" s="848"/>
      <c r="O1140" s="2628" t="s">
        <v>6395</v>
      </c>
      <c r="P1140" s="1">
        <v>326</v>
      </c>
      <c r="T1140" s="224"/>
      <c r="U1140" s="34" t="s">
        <v>25</v>
      </c>
      <c r="V1140" s="475"/>
      <c r="W1140" s="848"/>
      <c r="X1140" s="848"/>
    </row>
    <row r="1141" spans="1:24" x14ac:dyDescent="0.3">
      <c r="A1141" s="2652">
        <v>327</v>
      </c>
      <c r="B1141" s="1122" t="s">
        <v>1477</v>
      </c>
      <c r="C1141" s="216" t="s">
        <v>1344</v>
      </c>
      <c r="D1141" s="793" t="s">
        <v>938</v>
      </c>
      <c r="E1141" s="217" t="s">
        <v>1498</v>
      </c>
      <c r="F1141" s="218" t="s">
        <v>1417</v>
      </c>
      <c r="G1141" s="116">
        <v>1190</v>
      </c>
      <c r="H1141" s="1776" t="s">
        <v>1349</v>
      </c>
      <c r="J1141" s="224"/>
      <c r="K1141" s="34" t="s">
        <v>25</v>
      </c>
      <c r="L1141" s="475"/>
      <c r="M1141" s="224"/>
      <c r="N1141" s="224"/>
      <c r="O1141" s="2628" t="s">
        <v>6395</v>
      </c>
      <c r="P1141" s="1">
        <v>327</v>
      </c>
      <c r="T1141" s="224"/>
      <c r="U1141" s="34" t="s">
        <v>25</v>
      </c>
      <c r="V1141" s="475"/>
      <c r="W1141" s="224"/>
      <c r="X1141" s="224"/>
    </row>
    <row r="1142" spans="1:24" x14ac:dyDescent="0.3">
      <c r="A1142" s="2651">
        <v>328</v>
      </c>
      <c r="B1142" s="1122" t="s">
        <v>1477</v>
      </c>
      <c r="C1142" s="216" t="s">
        <v>1344</v>
      </c>
      <c r="D1142" s="452" t="s">
        <v>938</v>
      </c>
      <c r="E1142" s="217" t="s">
        <v>1499</v>
      </c>
      <c r="F1142" s="218" t="s">
        <v>1417</v>
      </c>
      <c r="G1142" s="116">
        <v>1190</v>
      </c>
      <c r="H1142" s="1776" t="s">
        <v>1349</v>
      </c>
      <c r="J1142" s="224"/>
      <c r="K1142" s="34" t="s">
        <v>25</v>
      </c>
      <c r="L1142" s="475"/>
      <c r="M1142" s="224"/>
      <c r="N1142" s="224"/>
      <c r="O1142" s="2628" t="s">
        <v>6395</v>
      </c>
      <c r="P1142" s="1">
        <v>328</v>
      </c>
      <c r="T1142" s="224"/>
      <c r="U1142" s="34" t="s">
        <v>25</v>
      </c>
      <c r="V1142" s="475"/>
      <c r="W1142" s="224"/>
      <c r="X1142" s="224"/>
    </row>
    <row r="1143" spans="1:24" x14ac:dyDescent="0.3">
      <c r="A1143" s="2651">
        <v>329</v>
      </c>
      <c r="B1143" s="1122" t="s">
        <v>1477</v>
      </c>
      <c r="C1143" s="216" t="s">
        <v>1344</v>
      </c>
      <c r="D1143" s="793" t="s">
        <v>938</v>
      </c>
      <c r="E1143" s="217" t="s">
        <v>1500</v>
      </c>
      <c r="F1143" s="218" t="s">
        <v>1417</v>
      </c>
      <c r="G1143" s="116">
        <v>1190</v>
      </c>
      <c r="H1143" s="1776" t="s">
        <v>1349</v>
      </c>
      <c r="J1143" s="224"/>
      <c r="K1143" s="34" t="s">
        <v>25</v>
      </c>
      <c r="L1143" s="475"/>
      <c r="M1143" s="224"/>
      <c r="N1143" s="224"/>
      <c r="O1143" s="2628" t="s">
        <v>6395</v>
      </c>
      <c r="P1143" s="1">
        <v>329</v>
      </c>
      <c r="T1143" s="224"/>
      <c r="U1143" s="34" t="s">
        <v>25</v>
      </c>
      <c r="V1143" s="475"/>
      <c r="W1143" s="224"/>
      <c r="X1143" s="224"/>
    </row>
    <row r="1144" spans="1:24" x14ac:dyDescent="0.3">
      <c r="A1144" s="2652">
        <v>330</v>
      </c>
      <c r="B1144" s="1122" t="s">
        <v>1477</v>
      </c>
      <c r="C1144" s="216" t="s">
        <v>1344</v>
      </c>
      <c r="D1144" s="416" t="s">
        <v>938</v>
      </c>
      <c r="E1144" s="217" t="s">
        <v>1501</v>
      </c>
      <c r="F1144" s="218" t="s">
        <v>1417</v>
      </c>
      <c r="G1144" s="116">
        <v>1190</v>
      </c>
      <c r="H1144" s="1776" t="s">
        <v>1349</v>
      </c>
      <c r="J1144" s="224"/>
      <c r="K1144" s="34" t="s">
        <v>25</v>
      </c>
      <c r="L1144" s="475"/>
      <c r="M1144" s="224"/>
      <c r="N1144" s="224"/>
      <c r="O1144" s="2628" t="s">
        <v>6395</v>
      </c>
      <c r="P1144" s="1">
        <v>330</v>
      </c>
      <c r="T1144" s="224"/>
      <c r="U1144" s="34" t="s">
        <v>25</v>
      </c>
      <c r="V1144" s="475"/>
      <c r="W1144" s="224"/>
      <c r="X1144" s="224"/>
    </row>
    <row r="1145" spans="1:24" x14ac:dyDescent="0.3">
      <c r="A1145" s="2651">
        <v>331</v>
      </c>
      <c r="B1145" s="1122" t="s">
        <v>1477</v>
      </c>
      <c r="C1145" s="216" t="s">
        <v>1344</v>
      </c>
      <c r="D1145" s="416" t="s">
        <v>938</v>
      </c>
      <c r="E1145" s="217" t="s">
        <v>1502</v>
      </c>
      <c r="F1145" s="218" t="s">
        <v>1417</v>
      </c>
      <c r="G1145" s="116">
        <v>1190</v>
      </c>
      <c r="H1145" s="1776" t="s">
        <v>1349</v>
      </c>
      <c r="J1145" s="224"/>
      <c r="K1145" s="34" t="s">
        <v>25</v>
      </c>
      <c r="L1145" s="475"/>
      <c r="M1145" s="224"/>
      <c r="N1145" s="224"/>
      <c r="O1145" s="2628" t="s">
        <v>6395</v>
      </c>
      <c r="P1145" s="1">
        <v>331</v>
      </c>
      <c r="T1145" s="224"/>
      <c r="U1145" s="34" t="s">
        <v>25</v>
      </c>
      <c r="V1145" s="475"/>
      <c r="W1145" s="224"/>
      <c r="X1145" s="224"/>
    </row>
    <row r="1146" spans="1:24" x14ac:dyDescent="0.3">
      <c r="A1146" s="2651">
        <v>332</v>
      </c>
      <c r="B1146" s="1122" t="s">
        <v>1477</v>
      </c>
      <c r="C1146" s="216" t="s">
        <v>1344</v>
      </c>
      <c r="D1146" s="416" t="s">
        <v>938</v>
      </c>
      <c r="E1146" s="217" t="s">
        <v>1503</v>
      </c>
      <c r="F1146" s="218" t="s">
        <v>1417</v>
      </c>
      <c r="G1146" s="116">
        <v>1190</v>
      </c>
      <c r="H1146" s="1776" t="s">
        <v>1349</v>
      </c>
      <c r="J1146" s="224"/>
      <c r="K1146" s="34" t="s">
        <v>25</v>
      </c>
      <c r="L1146" s="475"/>
      <c r="M1146" s="224"/>
      <c r="N1146" s="224"/>
      <c r="O1146" s="2628" t="s">
        <v>6395</v>
      </c>
      <c r="P1146" s="1">
        <v>332</v>
      </c>
      <c r="T1146" s="224"/>
      <c r="U1146" s="34" t="s">
        <v>25</v>
      </c>
      <c r="V1146" s="475"/>
      <c r="W1146" s="224"/>
      <c r="X1146" s="224"/>
    </row>
    <row r="1147" spans="1:24" x14ac:dyDescent="0.3">
      <c r="A1147" s="2652">
        <v>333</v>
      </c>
      <c r="B1147" s="1122" t="s">
        <v>1477</v>
      </c>
      <c r="C1147" s="216" t="s">
        <v>1344</v>
      </c>
      <c r="D1147" s="416" t="s">
        <v>938</v>
      </c>
      <c r="E1147" s="217" t="s">
        <v>1504</v>
      </c>
      <c r="F1147" s="218" t="s">
        <v>1417</v>
      </c>
      <c r="G1147" s="116">
        <v>1190</v>
      </c>
      <c r="H1147" s="1776" t="s">
        <v>1349</v>
      </c>
      <c r="J1147" s="224"/>
      <c r="K1147" s="34" t="s">
        <v>25</v>
      </c>
      <c r="L1147" s="475"/>
      <c r="M1147" s="224"/>
      <c r="N1147" s="224"/>
      <c r="O1147" s="2628" t="s">
        <v>6395</v>
      </c>
      <c r="P1147" s="1">
        <v>333</v>
      </c>
      <c r="T1147" s="224"/>
      <c r="U1147" s="34" t="s">
        <v>25</v>
      </c>
      <c r="V1147" s="475"/>
      <c r="W1147" s="224"/>
      <c r="X1147" s="224"/>
    </row>
    <row r="1148" spans="1:24" x14ac:dyDescent="0.3">
      <c r="A1148" s="2651">
        <v>334</v>
      </c>
      <c r="B1148" s="1122" t="s">
        <v>1477</v>
      </c>
      <c r="C1148" s="216" t="s">
        <v>1344</v>
      </c>
      <c r="D1148" s="452" t="s">
        <v>938</v>
      </c>
      <c r="E1148" s="217" t="s">
        <v>1505</v>
      </c>
      <c r="F1148" s="218" t="s">
        <v>1417</v>
      </c>
      <c r="G1148" s="116">
        <v>1190</v>
      </c>
      <c r="H1148" s="1776" t="s">
        <v>1349</v>
      </c>
      <c r="J1148" s="224"/>
      <c r="K1148" s="34" t="s">
        <v>25</v>
      </c>
      <c r="L1148" s="475"/>
      <c r="M1148" s="224"/>
      <c r="N1148" s="224"/>
      <c r="O1148" s="2628" t="s">
        <v>6395</v>
      </c>
      <c r="P1148" s="1">
        <v>334</v>
      </c>
      <c r="T1148" s="224"/>
      <c r="U1148" s="34" t="s">
        <v>25</v>
      </c>
      <c r="V1148" s="475"/>
      <c r="W1148" s="224"/>
      <c r="X1148" s="224"/>
    </row>
    <row r="1149" spans="1:24" x14ac:dyDescent="0.3">
      <c r="A1149" s="2651">
        <v>335</v>
      </c>
      <c r="B1149" s="1122" t="s">
        <v>1477</v>
      </c>
      <c r="C1149" s="216" t="s">
        <v>1344</v>
      </c>
      <c r="D1149" s="793" t="s">
        <v>938</v>
      </c>
      <c r="E1149" s="217" t="s">
        <v>1506</v>
      </c>
      <c r="F1149" s="218" t="s">
        <v>1417</v>
      </c>
      <c r="G1149" s="116">
        <v>1190</v>
      </c>
      <c r="H1149" s="1776" t="s">
        <v>1349</v>
      </c>
      <c r="J1149" s="224"/>
      <c r="K1149" s="34" t="s">
        <v>25</v>
      </c>
      <c r="L1149" s="475"/>
      <c r="M1149" s="224"/>
      <c r="N1149" s="224"/>
      <c r="O1149" s="2628" t="s">
        <v>6395</v>
      </c>
      <c r="P1149" s="1">
        <v>335</v>
      </c>
      <c r="T1149" s="224"/>
      <c r="U1149" s="34" t="s">
        <v>25</v>
      </c>
      <c r="V1149" s="475"/>
      <c r="W1149" s="224"/>
      <c r="X1149" s="224"/>
    </row>
    <row r="1150" spans="1:24" x14ac:dyDescent="0.3">
      <c r="A1150" s="2652">
        <v>336</v>
      </c>
      <c r="B1150" s="1122" t="s">
        <v>1477</v>
      </c>
      <c r="C1150" s="216" t="s">
        <v>1344</v>
      </c>
      <c r="D1150" s="416" t="s">
        <v>938</v>
      </c>
      <c r="E1150" s="217" t="s">
        <v>1507</v>
      </c>
      <c r="F1150" s="218" t="s">
        <v>1417</v>
      </c>
      <c r="G1150" s="116">
        <v>1190</v>
      </c>
      <c r="H1150" s="1776" t="s">
        <v>1349</v>
      </c>
      <c r="J1150" s="224"/>
      <c r="K1150" s="34" t="s">
        <v>25</v>
      </c>
      <c r="L1150" s="475"/>
      <c r="M1150" s="224"/>
      <c r="N1150" s="224"/>
      <c r="O1150" s="2628" t="s">
        <v>6395</v>
      </c>
      <c r="P1150" s="1">
        <v>336</v>
      </c>
      <c r="T1150" s="224"/>
      <c r="U1150" s="34" t="s">
        <v>25</v>
      </c>
      <c r="V1150" s="475"/>
      <c r="W1150" s="224"/>
      <c r="X1150" s="224"/>
    </row>
    <row r="1151" spans="1:24" x14ac:dyDescent="0.3">
      <c r="A1151" s="2651">
        <v>337</v>
      </c>
      <c r="B1151" s="1122" t="s">
        <v>1477</v>
      </c>
      <c r="C1151" s="216" t="s">
        <v>1344</v>
      </c>
      <c r="D1151" s="416" t="s">
        <v>938</v>
      </c>
      <c r="E1151" s="217" t="s">
        <v>1508</v>
      </c>
      <c r="F1151" s="218" t="s">
        <v>1417</v>
      </c>
      <c r="G1151" s="116">
        <v>1190</v>
      </c>
      <c r="H1151" s="1776" t="s">
        <v>1349</v>
      </c>
      <c r="J1151" s="224"/>
      <c r="K1151" s="34" t="s">
        <v>25</v>
      </c>
      <c r="L1151" s="475"/>
      <c r="M1151" s="224"/>
      <c r="N1151" s="224"/>
      <c r="O1151" s="2628" t="s">
        <v>6395</v>
      </c>
      <c r="P1151" s="1">
        <v>337</v>
      </c>
      <c r="T1151" s="224"/>
      <c r="U1151" s="34" t="s">
        <v>25</v>
      </c>
      <c r="V1151" s="475"/>
      <c r="W1151" s="224"/>
      <c r="X1151" s="224"/>
    </row>
    <row r="1152" spans="1:24" x14ac:dyDescent="0.3">
      <c r="A1152" s="2651">
        <v>338</v>
      </c>
      <c r="B1152" s="1122" t="s">
        <v>1477</v>
      </c>
      <c r="C1152" s="216" t="s">
        <v>1344</v>
      </c>
      <c r="D1152" s="416" t="s">
        <v>938</v>
      </c>
      <c r="E1152" s="217" t="s">
        <v>1509</v>
      </c>
      <c r="F1152" s="218" t="s">
        <v>1417</v>
      </c>
      <c r="G1152" s="116">
        <v>1190</v>
      </c>
      <c r="H1152" s="1776" t="s">
        <v>1349</v>
      </c>
      <c r="J1152" s="224"/>
      <c r="K1152" s="34" t="s">
        <v>25</v>
      </c>
      <c r="L1152" s="475"/>
      <c r="M1152" s="224"/>
      <c r="N1152" s="224"/>
      <c r="O1152" s="2628" t="s">
        <v>6395</v>
      </c>
      <c r="P1152" s="1">
        <v>338</v>
      </c>
      <c r="T1152" s="224"/>
      <c r="U1152" s="34" t="s">
        <v>25</v>
      </c>
      <c r="V1152" s="475"/>
      <c r="W1152" s="224"/>
      <c r="X1152" s="224"/>
    </row>
    <row r="1153" spans="1:24" x14ac:dyDescent="0.3">
      <c r="A1153" s="2652">
        <v>339</v>
      </c>
      <c r="B1153" s="1122" t="s">
        <v>1477</v>
      </c>
      <c r="C1153" s="216" t="s">
        <v>1344</v>
      </c>
      <c r="D1153" s="416" t="s">
        <v>938</v>
      </c>
      <c r="E1153" s="217" t="s">
        <v>1510</v>
      </c>
      <c r="F1153" s="218" t="s">
        <v>1417</v>
      </c>
      <c r="G1153" s="116">
        <v>1190</v>
      </c>
      <c r="H1153" s="1776" t="s">
        <v>1349</v>
      </c>
      <c r="J1153" s="224"/>
      <c r="K1153" s="34" t="s">
        <v>25</v>
      </c>
      <c r="L1153" s="475"/>
      <c r="M1153" s="224"/>
      <c r="N1153" s="224"/>
      <c r="O1153" s="2628" t="s">
        <v>6395</v>
      </c>
      <c r="P1153" s="1">
        <v>339</v>
      </c>
      <c r="T1153" s="224"/>
      <c r="U1153" s="34" t="s">
        <v>25</v>
      </c>
      <c r="V1153" s="475"/>
      <c r="W1153" s="224"/>
      <c r="X1153" s="224"/>
    </row>
    <row r="1154" spans="1:24" x14ac:dyDescent="0.3">
      <c r="A1154" s="2651">
        <v>340</v>
      </c>
      <c r="B1154" s="1122" t="s">
        <v>1477</v>
      </c>
      <c r="C1154" s="216" t="s">
        <v>1344</v>
      </c>
      <c r="D1154" s="416" t="s">
        <v>938</v>
      </c>
      <c r="E1154" s="217" t="s">
        <v>1511</v>
      </c>
      <c r="F1154" s="218" t="s">
        <v>1417</v>
      </c>
      <c r="G1154" s="116">
        <v>1190</v>
      </c>
      <c r="H1154" s="1776" t="s">
        <v>1349</v>
      </c>
      <c r="J1154" s="224"/>
      <c r="K1154" s="34" t="s">
        <v>25</v>
      </c>
      <c r="L1154" s="475"/>
      <c r="M1154" s="224"/>
      <c r="N1154" s="224"/>
      <c r="O1154" s="2628" t="s">
        <v>6395</v>
      </c>
      <c r="P1154" s="1">
        <v>340</v>
      </c>
      <c r="T1154" s="224"/>
      <c r="U1154" s="34" t="s">
        <v>25</v>
      </c>
      <c r="V1154" s="475"/>
      <c r="W1154" s="224"/>
      <c r="X1154" s="224"/>
    </row>
    <row r="1155" spans="1:24" x14ac:dyDescent="0.3">
      <c r="A1155" s="2651">
        <v>341</v>
      </c>
      <c r="B1155" s="1122" t="s">
        <v>1477</v>
      </c>
      <c r="C1155" s="216" t="s">
        <v>1344</v>
      </c>
      <c r="D1155" s="416" t="s">
        <v>938</v>
      </c>
      <c r="E1155" s="217" t="s">
        <v>1512</v>
      </c>
      <c r="F1155" s="218" t="s">
        <v>1417</v>
      </c>
      <c r="G1155" s="116">
        <v>1190</v>
      </c>
      <c r="H1155" s="1776" t="s">
        <v>1349</v>
      </c>
      <c r="J1155" s="224"/>
      <c r="K1155" s="34" t="s">
        <v>25</v>
      </c>
      <c r="L1155" s="475"/>
      <c r="M1155" s="224"/>
      <c r="N1155" s="224"/>
      <c r="O1155" s="2628" t="s">
        <v>6395</v>
      </c>
      <c r="P1155" s="1">
        <v>341</v>
      </c>
      <c r="T1155" s="224"/>
      <c r="U1155" s="34" t="s">
        <v>25</v>
      </c>
      <c r="V1155" s="475"/>
      <c r="W1155" s="224"/>
      <c r="X1155" s="224"/>
    </row>
    <row r="1156" spans="1:24" x14ac:dyDescent="0.3">
      <c r="A1156" s="2652">
        <v>342</v>
      </c>
      <c r="B1156" s="1122" t="s">
        <v>1477</v>
      </c>
      <c r="C1156" s="216" t="s">
        <v>1344</v>
      </c>
      <c r="D1156" s="416" t="s">
        <v>938</v>
      </c>
      <c r="E1156" s="217" t="s">
        <v>1513</v>
      </c>
      <c r="F1156" s="218" t="s">
        <v>1417</v>
      </c>
      <c r="G1156" s="116">
        <v>1190</v>
      </c>
      <c r="H1156" s="1776" t="s">
        <v>1349</v>
      </c>
      <c r="J1156" s="224"/>
      <c r="K1156" s="34" t="s">
        <v>25</v>
      </c>
      <c r="L1156" s="475"/>
      <c r="M1156" s="224"/>
      <c r="N1156" s="224"/>
      <c r="O1156" s="2628" t="s">
        <v>6395</v>
      </c>
      <c r="P1156" s="1">
        <v>342</v>
      </c>
      <c r="T1156" s="224"/>
      <c r="U1156" s="34" t="s">
        <v>25</v>
      </c>
      <c r="V1156" s="475"/>
      <c r="W1156" s="224"/>
      <c r="X1156" s="224"/>
    </row>
    <row r="1157" spans="1:24" x14ac:dyDescent="0.3">
      <c r="A1157" s="2651">
        <v>343</v>
      </c>
      <c r="B1157" s="1122" t="s">
        <v>1477</v>
      </c>
      <c r="C1157" s="216" t="s">
        <v>1344</v>
      </c>
      <c r="D1157" s="416" t="s">
        <v>938</v>
      </c>
      <c r="E1157" s="217" t="s">
        <v>1514</v>
      </c>
      <c r="F1157" s="218" t="s">
        <v>1417</v>
      </c>
      <c r="G1157" s="116">
        <v>1190</v>
      </c>
      <c r="H1157" s="1776" t="s">
        <v>1349</v>
      </c>
      <c r="J1157" s="224"/>
      <c r="K1157" s="34" t="s">
        <v>25</v>
      </c>
      <c r="L1157" s="475"/>
      <c r="M1157" s="224"/>
      <c r="N1157" s="224"/>
      <c r="O1157" s="2628" t="s">
        <v>6395</v>
      </c>
      <c r="P1157" s="1">
        <v>343</v>
      </c>
      <c r="T1157" s="224"/>
      <c r="U1157" s="34" t="s">
        <v>25</v>
      </c>
      <c r="V1157" s="475"/>
      <c r="W1157" s="224"/>
      <c r="X1157" s="224"/>
    </row>
    <row r="1158" spans="1:24" x14ac:dyDescent="0.3">
      <c r="A1158" s="2651">
        <v>344</v>
      </c>
      <c r="B1158" s="1122" t="s">
        <v>1477</v>
      </c>
      <c r="C1158" s="216" t="s">
        <v>1344</v>
      </c>
      <c r="D1158" s="416" t="s">
        <v>938</v>
      </c>
      <c r="E1158" s="217" t="s">
        <v>1515</v>
      </c>
      <c r="F1158" s="218" t="s">
        <v>1417</v>
      </c>
      <c r="G1158" s="116">
        <v>1190</v>
      </c>
      <c r="H1158" s="1776" t="s">
        <v>1349</v>
      </c>
      <c r="J1158" s="224"/>
      <c r="K1158" s="34" t="s">
        <v>25</v>
      </c>
      <c r="L1158" s="475"/>
      <c r="M1158" s="224"/>
      <c r="N1158" s="224"/>
      <c r="O1158" s="2628" t="s">
        <v>6395</v>
      </c>
      <c r="P1158" s="1">
        <v>344</v>
      </c>
      <c r="T1158" s="224"/>
      <c r="U1158" s="34" t="s">
        <v>25</v>
      </c>
      <c r="V1158" s="475"/>
      <c r="W1158" s="224"/>
      <c r="X1158" s="224"/>
    </row>
    <row r="1159" spans="1:24" x14ac:dyDescent="0.3">
      <c r="A1159" s="2652">
        <v>345</v>
      </c>
      <c r="B1159" s="1122" t="s">
        <v>1477</v>
      </c>
      <c r="C1159" s="216" t="s">
        <v>1344</v>
      </c>
      <c r="D1159" s="416" t="s">
        <v>938</v>
      </c>
      <c r="E1159" s="217" t="s">
        <v>1516</v>
      </c>
      <c r="F1159" s="218" t="s">
        <v>1417</v>
      </c>
      <c r="G1159" s="116">
        <v>1190</v>
      </c>
      <c r="H1159" s="1776" t="s">
        <v>1349</v>
      </c>
      <c r="J1159" s="224"/>
      <c r="K1159" s="34" t="s">
        <v>25</v>
      </c>
      <c r="L1159" s="475"/>
      <c r="M1159" s="224"/>
      <c r="N1159" s="224"/>
      <c r="O1159" s="2628" t="s">
        <v>6395</v>
      </c>
      <c r="P1159" s="1">
        <v>345</v>
      </c>
      <c r="T1159" s="224"/>
      <c r="U1159" s="34" t="s">
        <v>25</v>
      </c>
      <c r="V1159" s="475"/>
      <c r="W1159" s="224"/>
      <c r="X1159" s="224"/>
    </row>
    <row r="1160" spans="1:24" x14ac:dyDescent="0.3">
      <c r="A1160" s="2651">
        <v>346</v>
      </c>
      <c r="B1160" s="1122" t="s">
        <v>1477</v>
      </c>
      <c r="C1160" s="216" t="s">
        <v>1344</v>
      </c>
      <c r="D1160" s="416" t="s">
        <v>938</v>
      </c>
      <c r="E1160" s="217" t="s">
        <v>1517</v>
      </c>
      <c r="F1160" s="218" t="s">
        <v>1417</v>
      </c>
      <c r="G1160" s="116">
        <v>1190</v>
      </c>
      <c r="H1160" s="1776" t="s">
        <v>1349</v>
      </c>
      <c r="J1160" s="224"/>
      <c r="K1160" s="34" t="s">
        <v>25</v>
      </c>
      <c r="L1160" s="475"/>
      <c r="M1160" s="224"/>
      <c r="N1160" s="224"/>
      <c r="O1160" s="2628" t="s">
        <v>6395</v>
      </c>
      <c r="P1160" s="1">
        <v>346</v>
      </c>
      <c r="T1160" s="224"/>
      <c r="U1160" s="34" t="s">
        <v>25</v>
      </c>
      <c r="V1160" s="475"/>
      <c r="W1160" s="224"/>
      <c r="X1160" s="224"/>
    </row>
    <row r="1161" spans="1:24" x14ac:dyDescent="0.3">
      <c r="A1161" s="2651">
        <v>347</v>
      </c>
      <c r="B1161" s="1122" t="s">
        <v>1477</v>
      </c>
      <c r="C1161" s="216" t="s">
        <v>1344</v>
      </c>
      <c r="D1161" s="416" t="s">
        <v>938</v>
      </c>
      <c r="E1161" s="217" t="s">
        <v>1518</v>
      </c>
      <c r="F1161" s="218" t="s">
        <v>1417</v>
      </c>
      <c r="G1161" s="116">
        <v>1190</v>
      </c>
      <c r="H1161" s="1776" t="s">
        <v>1349</v>
      </c>
      <c r="J1161" s="224"/>
      <c r="K1161" s="34" t="s">
        <v>25</v>
      </c>
      <c r="L1161" s="475"/>
      <c r="M1161" s="224"/>
      <c r="N1161" s="224"/>
      <c r="O1161" s="2628" t="s">
        <v>6395</v>
      </c>
      <c r="P1161" s="1">
        <v>347</v>
      </c>
      <c r="T1161" s="224"/>
      <c r="U1161" s="34" t="s">
        <v>25</v>
      </c>
      <c r="V1161" s="475"/>
      <c r="W1161" s="224"/>
      <c r="X1161" s="224"/>
    </row>
    <row r="1162" spans="1:24" x14ac:dyDescent="0.3">
      <c r="A1162" s="2652">
        <v>348</v>
      </c>
      <c r="B1162" s="1122" t="s">
        <v>1477</v>
      </c>
      <c r="C1162" s="216" t="s">
        <v>1344</v>
      </c>
      <c r="D1162" s="416" t="s">
        <v>938</v>
      </c>
      <c r="E1162" s="217" t="s">
        <v>1519</v>
      </c>
      <c r="F1162" s="218" t="s">
        <v>1417</v>
      </c>
      <c r="G1162" s="116">
        <v>1190</v>
      </c>
      <c r="H1162" s="1776" t="s">
        <v>1349</v>
      </c>
      <c r="J1162" s="224"/>
      <c r="K1162" s="34" t="s">
        <v>25</v>
      </c>
      <c r="L1162" s="475"/>
      <c r="M1162" s="224"/>
      <c r="N1162" s="224"/>
      <c r="O1162" s="2628" t="s">
        <v>6395</v>
      </c>
      <c r="P1162" s="1">
        <v>348</v>
      </c>
      <c r="T1162" s="224"/>
      <c r="U1162" s="34" t="s">
        <v>25</v>
      </c>
      <c r="V1162" s="475"/>
      <c r="W1162" s="224"/>
      <c r="X1162" s="224"/>
    </row>
    <row r="1163" spans="1:24" x14ac:dyDescent="0.3">
      <c r="A1163" s="2651">
        <v>349</v>
      </c>
      <c r="B1163" s="1122" t="s">
        <v>1477</v>
      </c>
      <c r="C1163" s="1117" t="s">
        <v>1344</v>
      </c>
      <c r="D1163" s="416" t="s">
        <v>938</v>
      </c>
      <c r="E1163" s="217" t="s">
        <v>1520</v>
      </c>
      <c r="F1163" s="218" t="s">
        <v>1417</v>
      </c>
      <c r="G1163" s="116">
        <v>1190</v>
      </c>
      <c r="H1163" s="1776" t="s">
        <v>1349</v>
      </c>
      <c r="J1163" s="224"/>
      <c r="K1163" s="34" t="s">
        <v>25</v>
      </c>
      <c r="L1163" s="475"/>
      <c r="M1163" s="224"/>
      <c r="N1163" s="224"/>
      <c r="O1163" s="2628" t="s">
        <v>6395</v>
      </c>
      <c r="P1163" s="1">
        <v>349</v>
      </c>
      <c r="T1163" s="224"/>
      <c r="U1163" s="34" t="s">
        <v>25</v>
      </c>
      <c r="V1163" s="475"/>
      <c r="W1163" s="224"/>
      <c r="X1163" s="224"/>
    </row>
    <row r="1164" spans="1:24" x14ac:dyDescent="0.3">
      <c r="A1164" s="2651">
        <v>350</v>
      </c>
      <c r="B1164" s="1122" t="s">
        <v>1477</v>
      </c>
      <c r="C1164" s="1117" t="s">
        <v>1344</v>
      </c>
      <c r="D1164" s="416" t="s">
        <v>938</v>
      </c>
      <c r="E1164" s="217" t="s">
        <v>1521</v>
      </c>
      <c r="F1164" s="218" t="s">
        <v>1417</v>
      </c>
      <c r="G1164" s="116">
        <v>1190</v>
      </c>
      <c r="H1164" s="1776" t="s">
        <v>1349</v>
      </c>
      <c r="J1164" s="224"/>
      <c r="K1164" s="34" t="s">
        <v>25</v>
      </c>
      <c r="L1164" s="475"/>
      <c r="M1164" s="224"/>
      <c r="N1164" s="224"/>
      <c r="O1164" s="2628" t="s">
        <v>6395</v>
      </c>
      <c r="P1164" s="1">
        <v>350</v>
      </c>
      <c r="T1164" s="224"/>
      <c r="U1164" s="34" t="s">
        <v>25</v>
      </c>
      <c r="V1164" s="475"/>
      <c r="W1164" s="224"/>
      <c r="X1164" s="224"/>
    </row>
    <row r="1165" spans="1:24" x14ac:dyDescent="0.3">
      <c r="A1165" s="2652">
        <v>351</v>
      </c>
      <c r="B1165" s="1122" t="s">
        <v>1477</v>
      </c>
      <c r="C1165" s="1117" t="s">
        <v>1344</v>
      </c>
      <c r="D1165" s="416" t="s">
        <v>938</v>
      </c>
      <c r="E1165" s="217" t="s">
        <v>1522</v>
      </c>
      <c r="F1165" s="218" t="s">
        <v>1417</v>
      </c>
      <c r="G1165" s="116">
        <v>1190</v>
      </c>
      <c r="H1165" s="1776" t="s">
        <v>1349</v>
      </c>
      <c r="J1165" s="224"/>
      <c r="K1165" s="34" t="s">
        <v>25</v>
      </c>
      <c r="L1165" s="475"/>
      <c r="M1165" s="224"/>
      <c r="N1165" s="224"/>
      <c r="O1165" s="2628" t="s">
        <v>6395</v>
      </c>
      <c r="P1165" s="1">
        <v>351</v>
      </c>
      <c r="T1165" s="224"/>
      <c r="U1165" s="34" t="s">
        <v>25</v>
      </c>
      <c r="V1165" s="475"/>
      <c r="W1165" s="224"/>
      <c r="X1165" s="224"/>
    </row>
    <row r="1166" spans="1:24" x14ac:dyDescent="0.3">
      <c r="A1166" s="2651">
        <v>352</v>
      </c>
      <c r="B1166" s="1122" t="s">
        <v>1477</v>
      </c>
      <c r="C1166" s="1117" t="s">
        <v>1344</v>
      </c>
      <c r="D1166" s="416" t="s">
        <v>938</v>
      </c>
      <c r="E1166" s="217" t="s">
        <v>1523</v>
      </c>
      <c r="F1166" s="218" t="s">
        <v>1417</v>
      </c>
      <c r="G1166" s="116">
        <v>1190</v>
      </c>
      <c r="H1166" s="1776" t="s">
        <v>1349</v>
      </c>
      <c r="J1166" s="224"/>
      <c r="K1166" s="34" t="s">
        <v>25</v>
      </c>
      <c r="L1166" s="475"/>
      <c r="M1166" s="224"/>
      <c r="N1166" s="224"/>
      <c r="O1166" s="2628" t="s">
        <v>6395</v>
      </c>
      <c r="P1166" s="1">
        <v>352</v>
      </c>
      <c r="T1166" s="224"/>
      <c r="U1166" s="34" t="s">
        <v>25</v>
      </c>
      <c r="V1166" s="475"/>
      <c r="W1166" s="224"/>
      <c r="X1166" s="224"/>
    </row>
    <row r="1167" spans="1:24" x14ac:dyDescent="0.3">
      <c r="A1167" s="2651">
        <v>353</v>
      </c>
      <c r="B1167" s="1122" t="s">
        <v>1477</v>
      </c>
      <c r="C1167" s="1117" t="s">
        <v>1344</v>
      </c>
      <c r="D1167" s="416" t="s">
        <v>938</v>
      </c>
      <c r="E1167" s="217" t="s">
        <v>1524</v>
      </c>
      <c r="F1167" s="218" t="s">
        <v>1417</v>
      </c>
      <c r="G1167" s="116">
        <v>1190</v>
      </c>
      <c r="H1167" s="1776" t="s">
        <v>1349</v>
      </c>
      <c r="J1167" s="224"/>
      <c r="K1167" s="34" t="s">
        <v>25</v>
      </c>
      <c r="L1167" s="475"/>
      <c r="M1167" s="224"/>
      <c r="N1167" s="224"/>
      <c r="O1167" s="2628" t="s">
        <v>6395</v>
      </c>
      <c r="P1167" s="1">
        <v>353</v>
      </c>
      <c r="T1167" s="224"/>
      <c r="U1167" s="34" t="s">
        <v>25</v>
      </c>
      <c r="V1167" s="475"/>
      <c r="W1167" s="224"/>
      <c r="X1167" s="224"/>
    </row>
    <row r="1168" spans="1:24" x14ac:dyDescent="0.3">
      <c r="A1168" s="2652">
        <v>354</v>
      </c>
      <c r="B1168" s="1122" t="s">
        <v>1477</v>
      </c>
      <c r="C1168" s="1117" t="s">
        <v>1344</v>
      </c>
      <c r="D1168" s="416" t="s">
        <v>938</v>
      </c>
      <c r="E1168" s="217" t="s">
        <v>1525</v>
      </c>
      <c r="F1168" s="218" t="s">
        <v>1417</v>
      </c>
      <c r="G1168" s="116">
        <v>1190</v>
      </c>
      <c r="H1168" s="1776" t="s">
        <v>1349</v>
      </c>
      <c r="J1168" s="224"/>
      <c r="K1168" s="34" t="s">
        <v>25</v>
      </c>
      <c r="L1168" s="475"/>
      <c r="M1168" s="224"/>
      <c r="N1168" s="224"/>
      <c r="O1168" s="2628" t="s">
        <v>6395</v>
      </c>
      <c r="P1168" s="1">
        <v>354</v>
      </c>
      <c r="T1168" s="224"/>
      <c r="U1168" s="34" t="s">
        <v>25</v>
      </c>
      <c r="V1168" s="475"/>
      <c r="W1168" s="224"/>
      <c r="X1168" s="224"/>
    </row>
    <row r="1169" spans="1:24" x14ac:dyDescent="0.3">
      <c r="A1169" s="2651">
        <v>355</v>
      </c>
      <c r="B1169" s="1122" t="s">
        <v>1477</v>
      </c>
      <c r="C1169" s="1117" t="s">
        <v>1344</v>
      </c>
      <c r="D1169" s="416" t="s">
        <v>938</v>
      </c>
      <c r="E1169" s="217" t="s">
        <v>1526</v>
      </c>
      <c r="F1169" s="218" t="s">
        <v>1417</v>
      </c>
      <c r="G1169" s="116">
        <v>1190</v>
      </c>
      <c r="H1169" s="1776" t="s">
        <v>1349</v>
      </c>
      <c r="J1169" s="224"/>
      <c r="K1169" s="34" t="s">
        <v>25</v>
      </c>
      <c r="L1169" s="475"/>
      <c r="M1169" s="224"/>
      <c r="N1169" s="224"/>
      <c r="O1169" s="2628" t="s">
        <v>6395</v>
      </c>
      <c r="P1169" s="1">
        <v>355</v>
      </c>
      <c r="T1169" s="224"/>
      <c r="U1169" s="34" t="s">
        <v>25</v>
      </c>
      <c r="V1169" s="475"/>
      <c r="W1169" s="224"/>
      <c r="X1169" s="224"/>
    </row>
    <row r="1170" spans="1:24" x14ac:dyDescent="0.3">
      <c r="A1170" s="2651">
        <v>356</v>
      </c>
      <c r="B1170" s="1122" t="s">
        <v>1477</v>
      </c>
      <c r="C1170" s="1117" t="s">
        <v>1344</v>
      </c>
      <c r="D1170" s="416" t="s">
        <v>938</v>
      </c>
      <c r="E1170" s="217" t="s">
        <v>1527</v>
      </c>
      <c r="F1170" s="218" t="s">
        <v>1417</v>
      </c>
      <c r="G1170" s="116">
        <v>1190</v>
      </c>
      <c r="H1170" s="1776" t="s">
        <v>1349</v>
      </c>
      <c r="J1170" s="224"/>
      <c r="K1170" s="34" t="s">
        <v>25</v>
      </c>
      <c r="L1170" s="475"/>
      <c r="M1170" s="224"/>
      <c r="N1170" s="224"/>
      <c r="O1170" s="2628" t="s">
        <v>6395</v>
      </c>
      <c r="P1170" s="1">
        <v>356</v>
      </c>
      <c r="T1170" s="224"/>
      <c r="U1170" s="34" t="s">
        <v>25</v>
      </c>
      <c r="V1170" s="475"/>
      <c r="W1170" s="224"/>
      <c r="X1170" s="224"/>
    </row>
    <row r="1171" spans="1:24" x14ac:dyDescent="0.3">
      <c r="A1171" s="2652">
        <v>357</v>
      </c>
      <c r="B1171" s="1122" t="s">
        <v>1477</v>
      </c>
      <c r="C1171" s="1117" t="s">
        <v>1344</v>
      </c>
      <c r="D1171" s="416" t="s">
        <v>938</v>
      </c>
      <c r="E1171" s="217" t="s">
        <v>1528</v>
      </c>
      <c r="F1171" s="218" t="s">
        <v>1417</v>
      </c>
      <c r="G1171" s="116">
        <v>1190</v>
      </c>
      <c r="H1171" s="1776" t="s">
        <v>1349</v>
      </c>
      <c r="J1171" s="224"/>
      <c r="K1171" s="34" t="s">
        <v>25</v>
      </c>
      <c r="L1171" s="475"/>
      <c r="M1171" s="224"/>
      <c r="N1171" s="224"/>
      <c r="O1171" s="2628" t="s">
        <v>6395</v>
      </c>
      <c r="P1171" s="1">
        <v>357</v>
      </c>
      <c r="T1171" s="224"/>
      <c r="U1171" s="34" t="s">
        <v>25</v>
      </c>
      <c r="V1171" s="475"/>
      <c r="W1171" s="224"/>
      <c r="X1171" s="224"/>
    </row>
    <row r="1172" spans="1:24" x14ac:dyDescent="0.3">
      <c r="A1172" s="2651">
        <v>358</v>
      </c>
      <c r="B1172" s="1122" t="s">
        <v>1477</v>
      </c>
      <c r="C1172" s="1117" t="s">
        <v>1344</v>
      </c>
      <c r="D1172" s="416" t="s">
        <v>938</v>
      </c>
      <c r="E1172" s="217" t="s">
        <v>1529</v>
      </c>
      <c r="F1172" s="218" t="s">
        <v>1417</v>
      </c>
      <c r="G1172" s="116">
        <v>1190</v>
      </c>
      <c r="H1172" s="1776" t="s">
        <v>1349</v>
      </c>
      <c r="J1172" s="224"/>
      <c r="K1172" s="34" t="s">
        <v>25</v>
      </c>
      <c r="L1172" s="475"/>
      <c r="M1172" s="224"/>
      <c r="N1172" s="224"/>
      <c r="O1172" s="2628" t="s">
        <v>6395</v>
      </c>
      <c r="P1172" s="1">
        <v>358</v>
      </c>
      <c r="T1172" s="224"/>
      <c r="U1172" s="34" t="s">
        <v>25</v>
      </c>
      <c r="V1172" s="475"/>
      <c r="W1172" s="224"/>
      <c r="X1172" s="224"/>
    </row>
    <row r="1173" spans="1:24" x14ac:dyDescent="0.3">
      <c r="A1173" s="2651">
        <v>359</v>
      </c>
      <c r="B1173" s="1122" t="s">
        <v>1477</v>
      </c>
      <c r="C1173" s="1117" t="s">
        <v>1344</v>
      </c>
      <c r="D1173" s="416" t="s">
        <v>938</v>
      </c>
      <c r="E1173" s="217" t="s">
        <v>1530</v>
      </c>
      <c r="F1173" s="218" t="s">
        <v>1417</v>
      </c>
      <c r="G1173" s="116">
        <v>1190</v>
      </c>
      <c r="H1173" s="1776" t="s">
        <v>1349</v>
      </c>
      <c r="J1173" s="224"/>
      <c r="K1173" s="34" t="s">
        <v>25</v>
      </c>
      <c r="L1173" s="475"/>
      <c r="M1173" s="224"/>
      <c r="N1173" s="224"/>
      <c r="O1173" s="2628" t="s">
        <v>6395</v>
      </c>
      <c r="P1173" s="1">
        <v>359</v>
      </c>
      <c r="T1173" s="224"/>
      <c r="U1173" s="34" t="s">
        <v>25</v>
      </c>
      <c r="V1173" s="475"/>
      <c r="W1173" s="224"/>
      <c r="X1173" s="224"/>
    </row>
    <row r="1174" spans="1:24" x14ac:dyDescent="0.3">
      <c r="A1174" s="2652">
        <v>360</v>
      </c>
      <c r="B1174" s="1122" t="s">
        <v>1477</v>
      </c>
      <c r="C1174" s="1117" t="s">
        <v>1344</v>
      </c>
      <c r="D1174" s="416" t="s">
        <v>938</v>
      </c>
      <c r="E1174" s="217" t="s">
        <v>1531</v>
      </c>
      <c r="F1174" s="218" t="s">
        <v>1417</v>
      </c>
      <c r="G1174" s="116">
        <v>1190</v>
      </c>
      <c r="H1174" s="1776" t="s">
        <v>1349</v>
      </c>
      <c r="J1174" s="224"/>
      <c r="K1174" s="34" t="s">
        <v>25</v>
      </c>
      <c r="L1174" s="475"/>
      <c r="M1174" s="224"/>
      <c r="N1174" s="224"/>
      <c r="O1174" s="2628" t="s">
        <v>6395</v>
      </c>
      <c r="P1174" s="1">
        <v>360</v>
      </c>
      <c r="T1174" s="224"/>
      <c r="U1174" s="34" t="s">
        <v>25</v>
      </c>
      <c r="V1174" s="475"/>
      <c r="W1174" s="224"/>
      <c r="X1174" s="224"/>
    </row>
    <row r="1175" spans="1:24" x14ac:dyDescent="0.3">
      <c r="A1175" s="2651">
        <v>361</v>
      </c>
      <c r="B1175" s="1122" t="s">
        <v>1477</v>
      </c>
      <c r="C1175" s="1117" t="s">
        <v>1344</v>
      </c>
      <c r="D1175" s="416" t="s">
        <v>938</v>
      </c>
      <c r="E1175" s="217" t="s">
        <v>1532</v>
      </c>
      <c r="F1175" s="218" t="s">
        <v>1417</v>
      </c>
      <c r="G1175" s="116">
        <v>1190</v>
      </c>
      <c r="H1175" s="1776" t="s">
        <v>1349</v>
      </c>
      <c r="J1175" s="224"/>
      <c r="K1175" s="34" t="s">
        <v>25</v>
      </c>
      <c r="L1175" s="475"/>
      <c r="M1175" s="224"/>
      <c r="N1175" s="224"/>
      <c r="O1175" s="2628" t="s">
        <v>6395</v>
      </c>
      <c r="P1175" s="1">
        <v>361</v>
      </c>
      <c r="T1175" s="224"/>
      <c r="U1175" s="34" t="s">
        <v>25</v>
      </c>
      <c r="V1175" s="475"/>
      <c r="W1175" s="224"/>
      <c r="X1175" s="224"/>
    </row>
    <row r="1176" spans="1:24" x14ac:dyDescent="0.3">
      <c r="A1176" s="2651">
        <v>362</v>
      </c>
      <c r="B1176" s="1122" t="s">
        <v>1477</v>
      </c>
      <c r="C1176" s="1117" t="s">
        <v>1344</v>
      </c>
      <c r="D1176" s="416" t="s">
        <v>938</v>
      </c>
      <c r="E1176" s="217" t="s">
        <v>1533</v>
      </c>
      <c r="F1176" s="218" t="s">
        <v>1417</v>
      </c>
      <c r="G1176" s="116">
        <v>1190</v>
      </c>
      <c r="H1176" s="1776" t="s">
        <v>1349</v>
      </c>
      <c r="J1176" s="224"/>
      <c r="K1176" s="34" t="s">
        <v>25</v>
      </c>
      <c r="L1176" s="475"/>
      <c r="M1176" s="224"/>
      <c r="N1176" s="224"/>
      <c r="O1176" s="2628" t="s">
        <v>6395</v>
      </c>
      <c r="P1176" s="1">
        <v>362</v>
      </c>
      <c r="T1176" s="224"/>
      <c r="U1176" s="34" t="s">
        <v>25</v>
      </c>
      <c r="V1176" s="475"/>
      <c r="W1176" s="224"/>
      <c r="X1176" s="224"/>
    </row>
    <row r="1177" spans="1:24" x14ac:dyDescent="0.3">
      <c r="A1177" s="2652">
        <v>363</v>
      </c>
      <c r="B1177" s="1122" t="s">
        <v>1477</v>
      </c>
      <c r="C1177" s="1117" t="s">
        <v>1344</v>
      </c>
      <c r="D1177" s="416" t="s">
        <v>938</v>
      </c>
      <c r="E1177" s="217" t="s">
        <v>1535</v>
      </c>
      <c r="F1177" s="218" t="s">
        <v>1417</v>
      </c>
      <c r="G1177" s="116">
        <v>1190</v>
      </c>
      <c r="H1177" s="1776" t="s">
        <v>1349</v>
      </c>
      <c r="J1177" s="224"/>
      <c r="K1177" s="34" t="s">
        <v>25</v>
      </c>
      <c r="L1177" s="475"/>
      <c r="M1177" s="224"/>
      <c r="N1177" s="224"/>
      <c r="O1177" s="2628" t="s">
        <v>6395</v>
      </c>
      <c r="P1177" s="1">
        <v>363</v>
      </c>
      <c r="T1177" s="224"/>
      <c r="U1177" s="34" t="s">
        <v>25</v>
      </c>
      <c r="V1177" s="475"/>
      <c r="W1177" s="224"/>
      <c r="X1177" s="224"/>
    </row>
    <row r="1178" spans="1:24" x14ac:dyDescent="0.3">
      <c r="A1178" s="2651">
        <v>364</v>
      </c>
      <c r="B1178" s="1122" t="s">
        <v>1477</v>
      </c>
      <c r="C1178" s="1117" t="s">
        <v>1344</v>
      </c>
      <c r="D1178" s="416" t="s">
        <v>938</v>
      </c>
      <c r="E1178" s="217" t="s">
        <v>1536</v>
      </c>
      <c r="F1178" s="218" t="s">
        <v>1417</v>
      </c>
      <c r="G1178" s="116">
        <v>1190</v>
      </c>
      <c r="H1178" s="1776" t="s">
        <v>1349</v>
      </c>
      <c r="J1178" s="224"/>
      <c r="K1178" s="34" t="s">
        <v>25</v>
      </c>
      <c r="L1178" s="475"/>
      <c r="M1178" s="224"/>
      <c r="N1178" s="224"/>
      <c r="O1178" s="2628" t="s">
        <v>6395</v>
      </c>
      <c r="P1178" s="1">
        <v>364</v>
      </c>
      <c r="T1178" s="224"/>
      <c r="U1178" s="34" t="s">
        <v>25</v>
      </c>
      <c r="V1178" s="475"/>
      <c r="W1178" s="224"/>
      <c r="X1178" s="224"/>
    </row>
    <row r="1179" spans="1:24" x14ac:dyDescent="0.3">
      <c r="A1179" s="2651">
        <v>365</v>
      </c>
      <c r="B1179" s="1122" t="s">
        <v>1477</v>
      </c>
      <c r="C1179" s="1117" t="s">
        <v>1344</v>
      </c>
      <c r="D1179" s="416" t="s">
        <v>938</v>
      </c>
      <c r="E1179" s="217" t="s">
        <v>1537</v>
      </c>
      <c r="F1179" s="218" t="s">
        <v>1417</v>
      </c>
      <c r="G1179" s="116">
        <v>1190</v>
      </c>
      <c r="H1179" s="1776" t="s">
        <v>1349</v>
      </c>
      <c r="J1179" s="224"/>
      <c r="K1179" s="34" t="s">
        <v>25</v>
      </c>
      <c r="L1179" s="475"/>
      <c r="M1179" s="224"/>
      <c r="N1179" s="224"/>
      <c r="O1179" s="2628" t="s">
        <v>6395</v>
      </c>
      <c r="P1179" s="1">
        <v>365</v>
      </c>
      <c r="T1179" s="224"/>
      <c r="U1179" s="34" t="s">
        <v>25</v>
      </c>
      <c r="V1179" s="475"/>
      <c r="W1179" s="224"/>
      <c r="X1179" s="224"/>
    </row>
    <row r="1180" spans="1:24" x14ac:dyDescent="0.3">
      <c r="A1180" s="2652">
        <v>366</v>
      </c>
      <c r="B1180" s="1122" t="s">
        <v>1477</v>
      </c>
      <c r="C1180" s="1117" t="s">
        <v>1344</v>
      </c>
      <c r="D1180" s="416" t="s">
        <v>938</v>
      </c>
      <c r="E1180" s="217" t="s">
        <v>1538</v>
      </c>
      <c r="F1180" s="218" t="s">
        <v>1417</v>
      </c>
      <c r="G1180" s="116">
        <v>1190</v>
      </c>
      <c r="H1180" s="1776" t="s">
        <v>1349</v>
      </c>
      <c r="J1180" s="224"/>
      <c r="K1180" s="34" t="s">
        <v>25</v>
      </c>
      <c r="L1180" s="475"/>
      <c r="M1180" s="224"/>
      <c r="N1180" s="224"/>
      <c r="O1180" s="2628" t="s">
        <v>6395</v>
      </c>
      <c r="P1180" s="1">
        <v>366</v>
      </c>
      <c r="T1180" s="224"/>
      <c r="U1180" s="34" t="s">
        <v>25</v>
      </c>
      <c r="V1180" s="475"/>
      <c r="W1180" s="224"/>
      <c r="X1180" s="224"/>
    </row>
    <row r="1181" spans="1:24" x14ac:dyDescent="0.3">
      <c r="A1181" s="2651">
        <v>367</v>
      </c>
      <c r="B1181" s="1122" t="s">
        <v>1477</v>
      </c>
      <c r="C1181" s="1117" t="s">
        <v>1344</v>
      </c>
      <c r="D1181" s="416" t="s">
        <v>938</v>
      </c>
      <c r="E1181" s="217" t="s">
        <v>1539</v>
      </c>
      <c r="F1181" s="218" t="s">
        <v>1417</v>
      </c>
      <c r="G1181" s="116">
        <v>1190</v>
      </c>
      <c r="H1181" s="1776" t="s">
        <v>1349</v>
      </c>
      <c r="J1181" s="224"/>
      <c r="K1181" s="34" t="s">
        <v>25</v>
      </c>
      <c r="L1181" s="475"/>
      <c r="M1181" s="224"/>
      <c r="N1181" s="224"/>
      <c r="O1181" s="2628" t="s">
        <v>6395</v>
      </c>
      <c r="P1181" s="1">
        <v>367</v>
      </c>
      <c r="T1181" s="224"/>
      <c r="U1181" s="34" t="s">
        <v>25</v>
      </c>
      <c r="V1181" s="475"/>
      <c r="W1181" s="224"/>
      <c r="X1181" s="224"/>
    </row>
    <row r="1182" spans="1:24" x14ac:dyDescent="0.3">
      <c r="A1182" s="2651">
        <v>368</v>
      </c>
      <c r="B1182" s="1122" t="s">
        <v>1477</v>
      </c>
      <c r="C1182" s="1117" t="s">
        <v>1344</v>
      </c>
      <c r="D1182" s="416" t="s">
        <v>938</v>
      </c>
      <c r="E1182" s="217" t="s">
        <v>1540</v>
      </c>
      <c r="F1182" s="218" t="s">
        <v>1417</v>
      </c>
      <c r="G1182" s="116">
        <v>1190</v>
      </c>
      <c r="H1182" s="1776" t="s">
        <v>1349</v>
      </c>
      <c r="J1182" s="224"/>
      <c r="K1182" s="34" t="s">
        <v>25</v>
      </c>
      <c r="L1182" s="475"/>
      <c r="M1182" s="224"/>
      <c r="N1182" s="224"/>
      <c r="O1182" s="2628" t="s">
        <v>6395</v>
      </c>
      <c r="P1182" s="1">
        <v>368</v>
      </c>
      <c r="T1182" s="224"/>
      <c r="U1182" s="34" t="s">
        <v>25</v>
      </c>
      <c r="V1182" s="475"/>
      <c r="W1182" s="224"/>
      <c r="X1182" s="224"/>
    </row>
    <row r="1183" spans="1:24" x14ac:dyDescent="0.3">
      <c r="A1183" s="2652">
        <v>369</v>
      </c>
      <c r="B1183" s="1122" t="s">
        <v>1477</v>
      </c>
      <c r="C1183" s="1117" t="s">
        <v>1344</v>
      </c>
      <c r="D1183" s="452" t="s">
        <v>938</v>
      </c>
      <c r="E1183" s="217" t="s">
        <v>1541</v>
      </c>
      <c r="F1183" s="218" t="s">
        <v>1417</v>
      </c>
      <c r="G1183" s="116">
        <v>1190</v>
      </c>
      <c r="H1183" s="1776" t="s">
        <v>1349</v>
      </c>
      <c r="J1183" s="224"/>
      <c r="K1183" s="34" t="s">
        <v>25</v>
      </c>
      <c r="L1183" s="475"/>
      <c r="M1183" s="224"/>
      <c r="N1183" s="224"/>
      <c r="O1183" s="2628" t="s">
        <v>6395</v>
      </c>
      <c r="P1183" s="1">
        <v>369</v>
      </c>
      <c r="T1183" s="224"/>
      <c r="U1183" s="34" t="s">
        <v>25</v>
      </c>
      <c r="V1183" s="475"/>
      <c r="W1183" s="224"/>
      <c r="X1183" s="224"/>
    </row>
    <row r="1184" spans="1:24" x14ac:dyDescent="0.3">
      <c r="A1184" s="2651">
        <v>370</v>
      </c>
      <c r="B1184" s="1122" t="s">
        <v>1477</v>
      </c>
      <c r="C1184" s="216" t="s">
        <v>1344</v>
      </c>
      <c r="D1184" s="793" t="s">
        <v>938</v>
      </c>
      <c r="E1184" s="217" t="s">
        <v>1542</v>
      </c>
      <c r="F1184" s="218" t="s">
        <v>1417</v>
      </c>
      <c r="G1184" s="116">
        <v>1190</v>
      </c>
      <c r="H1184" s="1776" t="s">
        <v>1349</v>
      </c>
      <c r="J1184" s="224"/>
      <c r="K1184" s="34" t="s">
        <v>25</v>
      </c>
      <c r="L1184" s="475"/>
      <c r="M1184" s="224"/>
      <c r="N1184" s="224"/>
      <c r="O1184" s="2628" t="s">
        <v>6395</v>
      </c>
      <c r="P1184" s="1">
        <v>370</v>
      </c>
      <c r="T1184" s="224"/>
      <c r="U1184" s="34" t="s">
        <v>25</v>
      </c>
      <c r="V1184" s="475"/>
      <c r="W1184" s="224"/>
      <c r="X1184" s="224"/>
    </row>
    <row r="1185" spans="1:24" x14ac:dyDescent="0.3">
      <c r="A1185" s="2651">
        <v>371</v>
      </c>
      <c r="B1185" s="1122" t="s">
        <v>1477</v>
      </c>
      <c r="C1185" s="216" t="s">
        <v>1344</v>
      </c>
      <c r="D1185" s="416" t="s">
        <v>938</v>
      </c>
      <c r="E1185" s="217" t="s">
        <v>1543</v>
      </c>
      <c r="F1185" s="218" t="s">
        <v>1417</v>
      </c>
      <c r="G1185" s="116">
        <v>1190</v>
      </c>
      <c r="H1185" s="1776" t="s">
        <v>1349</v>
      </c>
      <c r="J1185" s="224"/>
      <c r="K1185" s="34" t="s">
        <v>25</v>
      </c>
      <c r="L1185" s="475"/>
      <c r="M1185" s="224"/>
      <c r="N1185" s="224"/>
      <c r="O1185" s="2628" t="s">
        <v>6395</v>
      </c>
      <c r="P1185" s="1">
        <v>371</v>
      </c>
      <c r="T1185" s="224"/>
      <c r="U1185" s="34" t="s">
        <v>25</v>
      </c>
      <c r="V1185" s="475"/>
      <c r="W1185" s="224"/>
      <c r="X1185" s="224"/>
    </row>
    <row r="1186" spans="1:24" x14ac:dyDescent="0.3">
      <c r="A1186" s="2652">
        <v>372</v>
      </c>
      <c r="B1186" s="1122" t="s">
        <v>1477</v>
      </c>
      <c r="C1186" s="216" t="s">
        <v>1344</v>
      </c>
      <c r="D1186" s="416" t="s">
        <v>938</v>
      </c>
      <c r="E1186" s="217" t="s">
        <v>1544</v>
      </c>
      <c r="F1186" s="218" t="s">
        <v>1417</v>
      </c>
      <c r="G1186" s="116">
        <v>1190</v>
      </c>
      <c r="H1186" s="1776" t="s">
        <v>1349</v>
      </c>
      <c r="J1186" s="224"/>
      <c r="K1186" s="34" t="s">
        <v>25</v>
      </c>
      <c r="L1186" s="475"/>
      <c r="M1186" s="224"/>
      <c r="N1186" s="224"/>
      <c r="O1186" s="2628" t="s">
        <v>6395</v>
      </c>
      <c r="P1186" s="1">
        <v>372</v>
      </c>
      <c r="T1186" s="224"/>
      <c r="U1186" s="34" t="s">
        <v>25</v>
      </c>
      <c r="V1186" s="475"/>
      <c r="W1186" s="224"/>
      <c r="X1186" s="224"/>
    </row>
    <row r="1187" spans="1:24" x14ac:dyDescent="0.3">
      <c r="A1187" s="2651">
        <v>373</v>
      </c>
      <c r="B1187" s="1122" t="s">
        <v>1477</v>
      </c>
      <c r="C1187" s="216" t="s">
        <v>1344</v>
      </c>
      <c r="D1187" s="416" t="s">
        <v>938</v>
      </c>
      <c r="E1187" s="217" t="s">
        <v>1545</v>
      </c>
      <c r="F1187" s="218" t="s">
        <v>1417</v>
      </c>
      <c r="G1187" s="116">
        <v>1190</v>
      </c>
      <c r="H1187" s="1776" t="s">
        <v>1349</v>
      </c>
      <c r="J1187" s="224"/>
      <c r="K1187" s="34" t="s">
        <v>25</v>
      </c>
      <c r="L1187" s="475"/>
      <c r="M1187" s="224"/>
      <c r="N1187" s="224"/>
      <c r="O1187" s="2628" t="s">
        <v>6395</v>
      </c>
      <c r="P1187" s="1">
        <v>373</v>
      </c>
      <c r="T1187" s="224"/>
      <c r="U1187" s="34" t="s">
        <v>25</v>
      </c>
      <c r="V1187" s="475"/>
      <c r="W1187" s="224"/>
      <c r="X1187" s="224"/>
    </row>
    <row r="1188" spans="1:24" x14ac:dyDescent="0.3">
      <c r="A1188" s="2651">
        <v>374</v>
      </c>
      <c r="B1188" s="1122" t="s">
        <v>1477</v>
      </c>
      <c r="C1188" s="216" t="s">
        <v>1344</v>
      </c>
      <c r="D1188" s="416" t="s">
        <v>938</v>
      </c>
      <c r="E1188" s="217" t="s">
        <v>1546</v>
      </c>
      <c r="F1188" s="218" t="s">
        <v>1417</v>
      </c>
      <c r="G1188" s="116">
        <v>1190</v>
      </c>
      <c r="H1188" s="1776" t="s">
        <v>1349</v>
      </c>
      <c r="J1188" s="224"/>
      <c r="K1188" s="34" t="s">
        <v>25</v>
      </c>
      <c r="L1188" s="475"/>
      <c r="M1188" s="224"/>
      <c r="N1188" s="224"/>
      <c r="O1188" s="2628" t="s">
        <v>6395</v>
      </c>
      <c r="P1188" s="1">
        <v>374</v>
      </c>
      <c r="T1188" s="224"/>
      <c r="U1188" s="34" t="s">
        <v>25</v>
      </c>
      <c r="V1188" s="475"/>
      <c r="W1188" s="224"/>
      <c r="X1188" s="224"/>
    </row>
    <row r="1189" spans="1:24" x14ac:dyDescent="0.3">
      <c r="A1189" s="2652">
        <v>375</v>
      </c>
      <c r="B1189" s="1122" t="s">
        <v>1477</v>
      </c>
      <c r="C1189" s="216" t="s">
        <v>1344</v>
      </c>
      <c r="D1189" s="416" t="s">
        <v>938</v>
      </c>
      <c r="E1189" s="217" t="s">
        <v>331</v>
      </c>
      <c r="F1189" s="218" t="s">
        <v>1417</v>
      </c>
      <c r="G1189" s="116">
        <v>1190</v>
      </c>
      <c r="H1189" s="1776" t="s">
        <v>1349</v>
      </c>
      <c r="J1189" s="224"/>
      <c r="K1189" s="34" t="s">
        <v>25</v>
      </c>
      <c r="L1189" s="475"/>
      <c r="M1189" s="224"/>
      <c r="N1189" s="224"/>
      <c r="O1189" s="2628" t="s">
        <v>6395</v>
      </c>
      <c r="P1189" s="1">
        <v>375</v>
      </c>
      <c r="T1189" s="224"/>
      <c r="U1189" s="34" t="s">
        <v>25</v>
      </c>
      <c r="V1189" s="475"/>
      <c r="W1189" s="224"/>
      <c r="X1189" s="224"/>
    </row>
    <row r="1190" spans="1:24" x14ac:dyDescent="0.3">
      <c r="A1190" s="2651">
        <v>376</v>
      </c>
      <c r="B1190" s="1122" t="s">
        <v>1477</v>
      </c>
      <c r="C1190" s="216" t="s">
        <v>1344</v>
      </c>
      <c r="D1190" s="416" t="s">
        <v>938</v>
      </c>
      <c r="E1190" s="217" t="s">
        <v>1547</v>
      </c>
      <c r="F1190" s="218" t="s">
        <v>1417</v>
      </c>
      <c r="G1190" s="116">
        <v>1190</v>
      </c>
      <c r="H1190" s="1776" t="s">
        <v>1349</v>
      </c>
      <c r="J1190" s="224"/>
      <c r="K1190" s="34" t="s">
        <v>25</v>
      </c>
      <c r="L1190" s="475"/>
      <c r="M1190" s="224"/>
      <c r="N1190" s="224"/>
      <c r="O1190" s="2628" t="s">
        <v>6395</v>
      </c>
      <c r="P1190" s="1">
        <v>376</v>
      </c>
      <c r="T1190" s="224"/>
      <c r="U1190" s="34" t="s">
        <v>25</v>
      </c>
      <c r="V1190" s="475"/>
      <c r="W1190" s="224"/>
      <c r="X1190" s="224"/>
    </row>
    <row r="1191" spans="1:24" x14ac:dyDescent="0.3">
      <c r="A1191" s="2651">
        <v>377</v>
      </c>
      <c r="B1191" s="1122" t="s">
        <v>1477</v>
      </c>
      <c r="C1191" s="216" t="s">
        <v>1344</v>
      </c>
      <c r="D1191" s="416" t="s">
        <v>938</v>
      </c>
      <c r="E1191" s="217" t="s">
        <v>1548</v>
      </c>
      <c r="F1191" s="218" t="s">
        <v>1417</v>
      </c>
      <c r="G1191" s="116">
        <v>1190</v>
      </c>
      <c r="H1191" s="1776" t="s">
        <v>1349</v>
      </c>
      <c r="J1191" s="224"/>
      <c r="K1191" s="34" t="s">
        <v>25</v>
      </c>
      <c r="L1191" s="475"/>
      <c r="M1191" s="224"/>
      <c r="N1191" s="224"/>
      <c r="O1191" s="2628" t="s">
        <v>6395</v>
      </c>
      <c r="P1191" s="1">
        <v>377</v>
      </c>
      <c r="T1191" s="224"/>
      <c r="U1191" s="34" t="s">
        <v>25</v>
      </c>
      <c r="V1191" s="475"/>
      <c r="W1191" s="224"/>
      <c r="X1191" s="224"/>
    </row>
    <row r="1192" spans="1:24" x14ac:dyDescent="0.3">
      <c r="A1192" s="2652">
        <v>378</v>
      </c>
      <c r="B1192" s="1122" t="s">
        <v>1477</v>
      </c>
      <c r="C1192" s="216" t="s">
        <v>1344</v>
      </c>
      <c r="D1192" s="416" t="s">
        <v>938</v>
      </c>
      <c r="E1192" s="217" t="s">
        <v>1549</v>
      </c>
      <c r="F1192" s="218" t="s">
        <v>1417</v>
      </c>
      <c r="G1192" s="116">
        <v>1190</v>
      </c>
      <c r="H1192" s="1776" t="s">
        <v>1349</v>
      </c>
      <c r="J1192" s="224"/>
      <c r="K1192" s="34" t="s">
        <v>25</v>
      </c>
      <c r="L1192" s="475"/>
      <c r="M1192" s="224"/>
      <c r="N1192" s="224"/>
      <c r="O1192" s="2628" t="s">
        <v>6395</v>
      </c>
      <c r="P1192" s="1">
        <v>378</v>
      </c>
      <c r="T1192" s="224"/>
      <c r="U1192" s="34" t="s">
        <v>25</v>
      </c>
      <c r="V1192" s="475"/>
      <c r="W1192" s="224"/>
      <c r="X1192" s="224"/>
    </row>
    <row r="1193" spans="1:24" x14ac:dyDescent="0.3">
      <c r="A1193" s="2651">
        <v>379</v>
      </c>
      <c r="B1193" s="1122" t="s">
        <v>1477</v>
      </c>
      <c r="C1193" s="216" t="s">
        <v>1344</v>
      </c>
      <c r="D1193" s="416" t="s">
        <v>938</v>
      </c>
      <c r="E1193" s="217" t="s">
        <v>1550</v>
      </c>
      <c r="F1193" s="218" t="s">
        <v>1417</v>
      </c>
      <c r="G1193" s="116">
        <v>1190</v>
      </c>
      <c r="H1193" s="1776" t="s">
        <v>1349</v>
      </c>
      <c r="J1193" s="224"/>
      <c r="K1193" s="34" t="s">
        <v>25</v>
      </c>
      <c r="L1193" s="475"/>
      <c r="M1193" s="224"/>
      <c r="N1193" s="224"/>
      <c r="O1193" s="2628" t="s">
        <v>6395</v>
      </c>
      <c r="P1193" s="1">
        <v>379</v>
      </c>
      <c r="T1193" s="224"/>
      <c r="U1193" s="34" t="s">
        <v>25</v>
      </c>
      <c r="V1193" s="475"/>
      <c r="W1193" s="224"/>
      <c r="X1193" s="224"/>
    </row>
    <row r="1194" spans="1:24" x14ac:dyDescent="0.3">
      <c r="A1194" s="2651">
        <v>380</v>
      </c>
      <c r="B1194" s="1122" t="s">
        <v>1477</v>
      </c>
      <c r="C1194" s="216" t="s">
        <v>1344</v>
      </c>
      <c r="D1194" s="416" t="s">
        <v>938</v>
      </c>
      <c r="E1194" s="217" t="s">
        <v>1551</v>
      </c>
      <c r="F1194" s="218" t="s">
        <v>1417</v>
      </c>
      <c r="G1194" s="116">
        <v>1190</v>
      </c>
      <c r="H1194" s="1776" t="s">
        <v>1349</v>
      </c>
      <c r="J1194" s="224"/>
      <c r="K1194" s="34" t="s">
        <v>25</v>
      </c>
      <c r="L1194" s="475"/>
      <c r="M1194" s="224"/>
      <c r="N1194" s="224"/>
      <c r="O1194" s="2628" t="s">
        <v>6395</v>
      </c>
      <c r="P1194" s="1">
        <v>380</v>
      </c>
      <c r="T1194" s="224"/>
      <c r="U1194" s="34" t="s">
        <v>25</v>
      </c>
      <c r="V1194" s="475"/>
      <c r="W1194" s="224"/>
      <c r="X1194" s="224"/>
    </row>
    <row r="1195" spans="1:24" x14ac:dyDescent="0.3">
      <c r="A1195" s="2652">
        <v>381</v>
      </c>
      <c r="B1195" s="1122" t="s">
        <v>1477</v>
      </c>
      <c r="C1195" s="216" t="s">
        <v>1344</v>
      </c>
      <c r="D1195" s="416" t="s">
        <v>938</v>
      </c>
      <c r="E1195" s="217" t="s">
        <v>1552</v>
      </c>
      <c r="F1195" s="218" t="s">
        <v>1417</v>
      </c>
      <c r="G1195" s="116">
        <v>1190</v>
      </c>
      <c r="H1195" s="1776" t="s">
        <v>1349</v>
      </c>
      <c r="J1195" s="224"/>
      <c r="K1195" s="34" t="s">
        <v>25</v>
      </c>
      <c r="L1195" s="475"/>
      <c r="M1195" s="224"/>
      <c r="N1195" s="224"/>
      <c r="O1195" s="2628" t="s">
        <v>6395</v>
      </c>
      <c r="P1195" s="1">
        <v>381</v>
      </c>
      <c r="T1195" s="224"/>
      <c r="U1195" s="34" t="s">
        <v>25</v>
      </c>
      <c r="V1195" s="475"/>
      <c r="W1195" s="224"/>
      <c r="X1195" s="224"/>
    </row>
    <row r="1196" spans="1:24" x14ac:dyDescent="0.3">
      <c r="A1196" s="2651">
        <v>382</v>
      </c>
      <c r="B1196" s="1122" t="s">
        <v>1477</v>
      </c>
      <c r="C1196" s="216" t="s">
        <v>1344</v>
      </c>
      <c r="D1196" s="416" t="s">
        <v>938</v>
      </c>
      <c r="E1196" s="217" t="s">
        <v>1553</v>
      </c>
      <c r="F1196" s="218" t="s">
        <v>1417</v>
      </c>
      <c r="G1196" s="116">
        <v>1190</v>
      </c>
      <c r="H1196" s="1776" t="s">
        <v>1349</v>
      </c>
      <c r="J1196" s="224"/>
      <c r="K1196" s="34" t="s">
        <v>25</v>
      </c>
      <c r="L1196" s="475"/>
      <c r="M1196" s="224"/>
      <c r="N1196" s="224"/>
      <c r="O1196" s="2628" t="s">
        <v>6395</v>
      </c>
      <c r="P1196" s="1">
        <v>382</v>
      </c>
      <c r="T1196" s="224"/>
      <c r="U1196" s="34" t="s">
        <v>25</v>
      </c>
      <c r="V1196" s="475"/>
      <c r="W1196" s="224"/>
      <c r="X1196" s="224"/>
    </row>
    <row r="1197" spans="1:24" x14ac:dyDescent="0.3">
      <c r="A1197" s="2651">
        <v>383</v>
      </c>
      <c r="B1197" s="1122" t="s">
        <v>1477</v>
      </c>
      <c r="C1197" s="216" t="s">
        <v>1344</v>
      </c>
      <c r="D1197" s="416" t="s">
        <v>938</v>
      </c>
      <c r="E1197" s="217" t="s">
        <v>1554</v>
      </c>
      <c r="F1197" s="218" t="s">
        <v>1417</v>
      </c>
      <c r="G1197" s="116">
        <v>1190</v>
      </c>
      <c r="H1197" s="1776" t="s">
        <v>1349</v>
      </c>
      <c r="J1197" s="224"/>
      <c r="K1197" s="34" t="s">
        <v>25</v>
      </c>
      <c r="L1197" s="475"/>
      <c r="M1197" s="224"/>
      <c r="N1197" s="224"/>
      <c r="O1197" s="2628" t="s">
        <v>6395</v>
      </c>
      <c r="P1197" s="1">
        <v>383</v>
      </c>
      <c r="T1197" s="224"/>
      <c r="U1197" s="34" t="s">
        <v>25</v>
      </c>
      <c r="V1197" s="475"/>
      <c r="W1197" s="224"/>
      <c r="X1197" s="224"/>
    </row>
    <row r="1198" spans="1:24" x14ac:dyDescent="0.3">
      <c r="A1198" s="2652">
        <v>384</v>
      </c>
      <c r="B1198" s="1122" t="s">
        <v>1477</v>
      </c>
      <c r="C1198" s="216" t="s">
        <v>1344</v>
      </c>
      <c r="D1198" s="416" t="s">
        <v>938</v>
      </c>
      <c r="E1198" s="217" t="s">
        <v>1555</v>
      </c>
      <c r="F1198" s="218" t="s">
        <v>1417</v>
      </c>
      <c r="G1198" s="116">
        <v>1190</v>
      </c>
      <c r="H1198" s="1776" t="s">
        <v>1349</v>
      </c>
      <c r="J1198" s="224"/>
      <c r="K1198" s="34" t="s">
        <v>25</v>
      </c>
      <c r="L1198" s="475"/>
      <c r="M1198" s="224"/>
      <c r="N1198" s="224"/>
      <c r="O1198" s="2628" t="s">
        <v>6395</v>
      </c>
      <c r="P1198" s="1">
        <v>384</v>
      </c>
      <c r="T1198" s="224"/>
      <c r="U1198" s="34" t="s">
        <v>25</v>
      </c>
      <c r="V1198" s="475"/>
      <c r="W1198" s="224"/>
      <c r="X1198" s="224"/>
    </row>
    <row r="1199" spans="1:24" x14ac:dyDescent="0.3">
      <c r="A1199" s="2651">
        <v>385</v>
      </c>
      <c r="B1199" s="1122" t="s">
        <v>1477</v>
      </c>
      <c r="C1199" s="216" t="s">
        <v>1344</v>
      </c>
      <c r="D1199" s="416" t="s">
        <v>938</v>
      </c>
      <c r="E1199" s="217" t="s">
        <v>1556</v>
      </c>
      <c r="F1199" s="218" t="s">
        <v>1417</v>
      </c>
      <c r="G1199" s="116">
        <v>1190</v>
      </c>
      <c r="H1199" s="1776" t="s">
        <v>1349</v>
      </c>
      <c r="J1199" s="224"/>
      <c r="K1199" s="34" t="s">
        <v>25</v>
      </c>
      <c r="L1199" s="475"/>
      <c r="M1199" s="224"/>
      <c r="N1199" s="224"/>
      <c r="O1199" s="2628" t="s">
        <v>6395</v>
      </c>
      <c r="P1199" s="1">
        <v>385</v>
      </c>
      <c r="T1199" s="224"/>
      <c r="U1199" s="34" t="s">
        <v>25</v>
      </c>
      <c r="V1199" s="475"/>
      <c r="W1199" s="224"/>
      <c r="X1199" s="224"/>
    </row>
    <row r="1200" spans="1:24" x14ac:dyDescent="0.3">
      <c r="A1200" s="2651">
        <v>386</v>
      </c>
      <c r="B1200" s="1122" t="s">
        <v>1477</v>
      </c>
      <c r="C1200" s="216" t="s">
        <v>1344</v>
      </c>
      <c r="D1200" s="416" t="s">
        <v>938</v>
      </c>
      <c r="E1200" s="217" t="s">
        <v>1557</v>
      </c>
      <c r="F1200" s="218" t="s">
        <v>1417</v>
      </c>
      <c r="G1200" s="116">
        <v>1190</v>
      </c>
      <c r="H1200" s="1776" t="s">
        <v>1349</v>
      </c>
      <c r="J1200" s="224"/>
      <c r="K1200" s="34" t="s">
        <v>25</v>
      </c>
      <c r="L1200" s="475"/>
      <c r="M1200" s="224"/>
      <c r="N1200" s="224"/>
      <c r="O1200" s="2628" t="s">
        <v>6395</v>
      </c>
      <c r="P1200" s="1">
        <v>386</v>
      </c>
      <c r="T1200" s="224"/>
      <c r="U1200" s="34" t="s">
        <v>25</v>
      </c>
      <c r="V1200" s="475"/>
      <c r="W1200" s="224"/>
      <c r="X1200" s="224"/>
    </row>
    <row r="1201" spans="1:24" x14ac:dyDescent="0.3">
      <c r="A1201" s="2652">
        <v>387</v>
      </c>
      <c r="B1201" s="1122" t="s">
        <v>1477</v>
      </c>
      <c r="C1201" s="216" t="s">
        <v>1344</v>
      </c>
      <c r="D1201" s="452" t="s">
        <v>938</v>
      </c>
      <c r="E1201" s="217" t="s">
        <v>1558</v>
      </c>
      <c r="F1201" s="218" t="s">
        <v>1417</v>
      </c>
      <c r="G1201" s="116">
        <v>1190</v>
      </c>
      <c r="H1201" s="1776" t="s">
        <v>1349</v>
      </c>
      <c r="J1201" s="224"/>
      <c r="K1201" s="34" t="s">
        <v>25</v>
      </c>
      <c r="L1201" s="475"/>
      <c r="M1201" s="224"/>
      <c r="N1201" s="224"/>
      <c r="O1201" s="2628" t="s">
        <v>6395</v>
      </c>
      <c r="P1201" s="1">
        <v>387</v>
      </c>
      <c r="T1201" s="224"/>
      <c r="U1201" s="34" t="s">
        <v>25</v>
      </c>
      <c r="V1201" s="475"/>
      <c r="W1201" s="224"/>
      <c r="X1201" s="224"/>
    </row>
    <row r="1202" spans="1:24" x14ac:dyDescent="0.3">
      <c r="A1202" s="2651">
        <v>388</v>
      </c>
      <c r="B1202" s="1122" t="s">
        <v>1477</v>
      </c>
      <c r="C1202" s="216" t="s">
        <v>1344</v>
      </c>
      <c r="D1202" s="793" t="s">
        <v>938</v>
      </c>
      <c r="E1202" s="217" t="s">
        <v>1559</v>
      </c>
      <c r="F1202" s="218" t="s">
        <v>1417</v>
      </c>
      <c r="G1202" s="116">
        <v>1190</v>
      </c>
      <c r="H1202" s="1776" t="s">
        <v>1349</v>
      </c>
      <c r="J1202" s="224"/>
      <c r="K1202" s="34" t="s">
        <v>25</v>
      </c>
      <c r="L1202" s="475"/>
      <c r="M1202" s="224"/>
      <c r="N1202" s="224"/>
      <c r="O1202" s="2628" t="s">
        <v>6395</v>
      </c>
      <c r="P1202" s="1">
        <v>388</v>
      </c>
      <c r="T1202" s="224"/>
      <c r="U1202" s="34" t="s">
        <v>25</v>
      </c>
      <c r="V1202" s="475"/>
      <c r="W1202" s="224"/>
      <c r="X1202" s="224"/>
    </row>
    <row r="1203" spans="1:24" x14ac:dyDescent="0.3">
      <c r="A1203" s="2651">
        <v>389</v>
      </c>
      <c r="B1203" s="1122" t="s">
        <v>1477</v>
      </c>
      <c r="C1203" s="216" t="s">
        <v>1344</v>
      </c>
      <c r="D1203" s="416" t="s">
        <v>938</v>
      </c>
      <c r="E1203" s="217" t="s">
        <v>1560</v>
      </c>
      <c r="F1203" s="218" t="s">
        <v>1417</v>
      </c>
      <c r="G1203" s="116">
        <v>1190</v>
      </c>
      <c r="H1203" s="1776" t="s">
        <v>1349</v>
      </c>
      <c r="J1203" s="224"/>
      <c r="K1203" s="34" t="s">
        <v>25</v>
      </c>
      <c r="L1203" s="475"/>
      <c r="M1203" s="224"/>
      <c r="N1203" s="224"/>
      <c r="O1203" s="2628" t="s">
        <v>6395</v>
      </c>
      <c r="P1203" s="1">
        <v>389</v>
      </c>
      <c r="T1203" s="224"/>
      <c r="U1203" s="34" t="s">
        <v>25</v>
      </c>
      <c r="V1203" s="475"/>
      <c r="W1203" s="224"/>
      <c r="X1203" s="224"/>
    </row>
    <row r="1204" spans="1:24" x14ac:dyDescent="0.3">
      <c r="A1204" s="2652">
        <v>390</v>
      </c>
      <c r="B1204" s="1122" t="s">
        <v>1477</v>
      </c>
      <c r="C1204" s="216" t="s">
        <v>1344</v>
      </c>
      <c r="D1204" s="416" t="s">
        <v>938</v>
      </c>
      <c r="E1204" s="217" t="s">
        <v>1561</v>
      </c>
      <c r="F1204" s="218" t="s">
        <v>1417</v>
      </c>
      <c r="G1204" s="116">
        <v>1190</v>
      </c>
      <c r="H1204" s="1776" t="s">
        <v>1349</v>
      </c>
      <c r="J1204" s="224"/>
      <c r="K1204" s="34" t="s">
        <v>25</v>
      </c>
      <c r="L1204" s="475"/>
      <c r="M1204" s="224"/>
      <c r="N1204" s="224"/>
      <c r="O1204" s="2628" t="s">
        <v>6395</v>
      </c>
      <c r="P1204" s="1">
        <v>390</v>
      </c>
      <c r="T1204" s="224"/>
      <c r="U1204" s="34" t="s">
        <v>25</v>
      </c>
      <c r="V1204" s="475"/>
      <c r="W1204" s="224"/>
      <c r="X1204" s="224"/>
    </row>
    <row r="1205" spans="1:24" x14ac:dyDescent="0.3">
      <c r="A1205" s="2651">
        <v>391</v>
      </c>
      <c r="B1205" s="1122" t="s">
        <v>1477</v>
      </c>
      <c r="C1205" s="216" t="s">
        <v>1344</v>
      </c>
      <c r="D1205" s="416" t="s">
        <v>938</v>
      </c>
      <c r="E1205" s="217" t="s">
        <v>1562</v>
      </c>
      <c r="F1205" s="218" t="s">
        <v>1417</v>
      </c>
      <c r="G1205" s="116">
        <v>1190</v>
      </c>
      <c r="H1205" s="1776" t="s">
        <v>1349</v>
      </c>
      <c r="J1205" s="224"/>
      <c r="K1205" s="34" t="s">
        <v>25</v>
      </c>
      <c r="L1205" s="475"/>
      <c r="M1205" s="224"/>
      <c r="N1205" s="224"/>
      <c r="O1205" s="2628" t="s">
        <v>6395</v>
      </c>
      <c r="P1205" s="1">
        <v>391</v>
      </c>
      <c r="T1205" s="224"/>
      <c r="U1205" s="34" t="s">
        <v>25</v>
      </c>
      <c r="V1205" s="475"/>
      <c r="W1205" s="224"/>
      <c r="X1205" s="224"/>
    </row>
    <row r="1206" spans="1:24" x14ac:dyDescent="0.3">
      <c r="A1206" s="2651">
        <v>392</v>
      </c>
      <c r="B1206" s="1122" t="s">
        <v>1477</v>
      </c>
      <c r="C1206" s="216" t="s">
        <v>1344</v>
      </c>
      <c r="D1206" s="416" t="s">
        <v>938</v>
      </c>
      <c r="E1206" s="217" t="s">
        <v>1563</v>
      </c>
      <c r="F1206" s="218" t="s">
        <v>1417</v>
      </c>
      <c r="G1206" s="116">
        <v>1190</v>
      </c>
      <c r="H1206" s="1776" t="s">
        <v>1349</v>
      </c>
      <c r="J1206" s="224"/>
      <c r="K1206" s="34" t="s">
        <v>25</v>
      </c>
      <c r="L1206" s="475"/>
      <c r="M1206" s="224"/>
      <c r="N1206" s="224"/>
      <c r="O1206" s="2628" t="s">
        <v>6395</v>
      </c>
      <c r="P1206" s="1">
        <v>392</v>
      </c>
      <c r="T1206" s="224"/>
      <c r="U1206" s="34" t="s">
        <v>25</v>
      </c>
      <c r="V1206" s="475"/>
      <c r="W1206" s="224"/>
      <c r="X1206" s="224"/>
    </row>
    <row r="1207" spans="1:24" x14ac:dyDescent="0.3">
      <c r="A1207" s="2652">
        <v>393</v>
      </c>
      <c r="B1207" s="1122" t="s">
        <v>1477</v>
      </c>
      <c r="C1207" s="216" t="s">
        <v>1344</v>
      </c>
      <c r="D1207" s="416" t="s">
        <v>938</v>
      </c>
      <c r="E1207" s="217" t="s">
        <v>1564</v>
      </c>
      <c r="F1207" s="218" t="s">
        <v>1417</v>
      </c>
      <c r="G1207" s="116">
        <v>1190</v>
      </c>
      <c r="H1207" s="1776" t="s">
        <v>1349</v>
      </c>
      <c r="J1207" s="224"/>
      <c r="K1207" s="34" t="s">
        <v>25</v>
      </c>
      <c r="L1207" s="475"/>
      <c r="M1207" s="224"/>
      <c r="N1207" s="224"/>
      <c r="O1207" s="2628" t="s">
        <v>6395</v>
      </c>
      <c r="P1207" s="1">
        <v>393</v>
      </c>
      <c r="T1207" s="224"/>
      <c r="U1207" s="34" t="s">
        <v>25</v>
      </c>
      <c r="V1207" s="475"/>
      <c r="W1207" s="224"/>
      <c r="X1207" s="224"/>
    </row>
    <row r="1208" spans="1:24" x14ac:dyDescent="0.3">
      <c r="A1208" s="2651">
        <v>394</v>
      </c>
      <c r="B1208" s="1122" t="s">
        <v>1477</v>
      </c>
      <c r="C1208" s="216" t="s">
        <v>1344</v>
      </c>
      <c r="D1208" s="416" t="s">
        <v>938</v>
      </c>
      <c r="E1208" s="217" t="s">
        <v>1565</v>
      </c>
      <c r="F1208" s="218" t="s">
        <v>1417</v>
      </c>
      <c r="G1208" s="116">
        <v>1190</v>
      </c>
      <c r="H1208" s="1776" t="s">
        <v>1349</v>
      </c>
      <c r="J1208" s="224"/>
      <c r="K1208" s="34" t="s">
        <v>25</v>
      </c>
      <c r="L1208" s="475"/>
      <c r="M1208" s="224"/>
      <c r="N1208" s="224"/>
      <c r="O1208" s="2628" t="s">
        <v>6395</v>
      </c>
      <c r="P1208" s="1">
        <v>394</v>
      </c>
      <c r="T1208" s="224"/>
      <c r="U1208" s="34" t="s">
        <v>25</v>
      </c>
      <c r="V1208" s="475"/>
      <c r="W1208" s="224"/>
      <c r="X1208" s="224"/>
    </row>
    <row r="1209" spans="1:24" x14ac:dyDescent="0.3">
      <c r="A1209" s="2651">
        <v>395</v>
      </c>
      <c r="B1209" s="1122" t="s">
        <v>1477</v>
      </c>
      <c r="C1209" s="216" t="s">
        <v>1344</v>
      </c>
      <c r="D1209" s="416" t="s">
        <v>938</v>
      </c>
      <c r="E1209" s="217" t="s">
        <v>1566</v>
      </c>
      <c r="F1209" s="218" t="s">
        <v>1417</v>
      </c>
      <c r="G1209" s="116">
        <v>1190</v>
      </c>
      <c r="H1209" s="1776" t="s">
        <v>1349</v>
      </c>
      <c r="J1209" s="224"/>
      <c r="K1209" s="34" t="s">
        <v>25</v>
      </c>
      <c r="L1209" s="475"/>
      <c r="M1209" s="224"/>
      <c r="N1209" s="224"/>
      <c r="O1209" s="2628" t="s">
        <v>6395</v>
      </c>
      <c r="P1209" s="1">
        <v>395</v>
      </c>
      <c r="T1209" s="224"/>
      <c r="U1209" s="34" t="s">
        <v>25</v>
      </c>
      <c r="V1209" s="475"/>
      <c r="W1209" s="224"/>
      <c r="X1209" s="224"/>
    </row>
    <row r="1210" spans="1:24" x14ac:dyDescent="0.3">
      <c r="A1210" s="2652">
        <v>396</v>
      </c>
      <c r="B1210" s="1122" t="s">
        <v>1477</v>
      </c>
      <c r="C1210" s="216" t="s">
        <v>1344</v>
      </c>
      <c r="D1210" s="416" t="s">
        <v>938</v>
      </c>
      <c r="E1210" s="217" t="s">
        <v>1567</v>
      </c>
      <c r="F1210" s="218" t="s">
        <v>1417</v>
      </c>
      <c r="G1210" s="116">
        <v>1190</v>
      </c>
      <c r="H1210" s="1776" t="s">
        <v>1349</v>
      </c>
      <c r="J1210" s="224"/>
      <c r="K1210" s="34" t="s">
        <v>25</v>
      </c>
      <c r="L1210" s="475"/>
      <c r="M1210" s="224"/>
      <c r="N1210" s="224"/>
      <c r="O1210" s="2628" t="s">
        <v>6395</v>
      </c>
      <c r="P1210" s="1">
        <v>396</v>
      </c>
      <c r="T1210" s="224"/>
      <c r="U1210" s="34" t="s">
        <v>25</v>
      </c>
      <c r="V1210" s="475"/>
      <c r="W1210" s="224"/>
      <c r="X1210" s="224"/>
    </row>
    <row r="1211" spans="1:24" x14ac:dyDescent="0.3">
      <c r="A1211" s="2651">
        <v>397</v>
      </c>
      <c r="B1211" s="1122" t="s">
        <v>1477</v>
      </c>
      <c r="C1211" s="216" t="s">
        <v>1344</v>
      </c>
      <c r="D1211" s="416" t="s">
        <v>938</v>
      </c>
      <c r="E1211" s="217" t="s">
        <v>1568</v>
      </c>
      <c r="F1211" s="218" t="s">
        <v>1417</v>
      </c>
      <c r="G1211" s="116">
        <v>1190</v>
      </c>
      <c r="H1211" s="1776" t="s">
        <v>1349</v>
      </c>
      <c r="J1211" s="224"/>
      <c r="K1211" s="34" t="s">
        <v>25</v>
      </c>
      <c r="L1211" s="475"/>
      <c r="M1211" s="224"/>
      <c r="N1211" s="224"/>
      <c r="O1211" s="2628" t="s">
        <v>6395</v>
      </c>
      <c r="P1211" s="1">
        <v>397</v>
      </c>
      <c r="T1211" s="224"/>
      <c r="U1211" s="34" t="s">
        <v>25</v>
      </c>
      <c r="V1211" s="475"/>
      <c r="W1211" s="224"/>
      <c r="X1211" s="224"/>
    </row>
    <row r="1212" spans="1:24" x14ac:dyDescent="0.3">
      <c r="A1212" s="2651">
        <v>398</v>
      </c>
      <c r="B1212" s="1122" t="s">
        <v>1477</v>
      </c>
      <c r="C1212" s="216" t="s">
        <v>1344</v>
      </c>
      <c r="D1212" s="416" t="s">
        <v>938</v>
      </c>
      <c r="E1212" s="217" t="s">
        <v>1569</v>
      </c>
      <c r="F1212" s="218" t="s">
        <v>1417</v>
      </c>
      <c r="G1212" s="116">
        <v>1190</v>
      </c>
      <c r="H1212" s="1776" t="s">
        <v>1349</v>
      </c>
      <c r="J1212" s="224"/>
      <c r="K1212" s="34" t="s">
        <v>25</v>
      </c>
      <c r="L1212" s="475"/>
      <c r="M1212" s="224"/>
      <c r="N1212" s="224"/>
      <c r="O1212" s="2628" t="s">
        <v>6395</v>
      </c>
      <c r="P1212" s="1">
        <v>398</v>
      </c>
      <c r="T1212" s="224"/>
      <c r="U1212" s="34" t="s">
        <v>25</v>
      </c>
      <c r="V1212" s="475"/>
      <c r="W1212" s="224"/>
      <c r="X1212" s="224"/>
    </row>
    <row r="1213" spans="1:24" x14ac:dyDescent="0.3">
      <c r="A1213" s="2652">
        <v>399</v>
      </c>
      <c r="B1213" s="1122" t="s">
        <v>1477</v>
      </c>
      <c r="C1213" s="216" t="s">
        <v>1344</v>
      </c>
      <c r="D1213" s="416" t="s">
        <v>938</v>
      </c>
      <c r="E1213" s="217" t="s">
        <v>1570</v>
      </c>
      <c r="F1213" s="218" t="s">
        <v>1417</v>
      </c>
      <c r="G1213" s="116">
        <v>1190</v>
      </c>
      <c r="H1213" s="1776" t="s">
        <v>1349</v>
      </c>
      <c r="J1213" s="224"/>
      <c r="K1213" s="34" t="s">
        <v>25</v>
      </c>
      <c r="L1213" s="475"/>
      <c r="M1213" s="224"/>
      <c r="N1213" s="224"/>
      <c r="O1213" s="2628" t="s">
        <v>6395</v>
      </c>
      <c r="P1213" s="1">
        <v>399</v>
      </c>
      <c r="T1213" s="224"/>
      <c r="U1213" s="34" t="s">
        <v>25</v>
      </c>
      <c r="V1213" s="475"/>
      <c r="W1213" s="224"/>
      <c r="X1213" s="224"/>
    </row>
    <row r="1214" spans="1:24" x14ac:dyDescent="0.3">
      <c r="A1214" s="2651">
        <v>400</v>
      </c>
      <c r="B1214" s="1122" t="s">
        <v>1477</v>
      </c>
      <c r="C1214" s="216" t="s">
        <v>1344</v>
      </c>
      <c r="D1214" s="452" t="s">
        <v>938</v>
      </c>
      <c r="E1214" s="217" t="s">
        <v>1571</v>
      </c>
      <c r="F1214" s="218" t="s">
        <v>1417</v>
      </c>
      <c r="G1214" s="116">
        <v>1190</v>
      </c>
      <c r="H1214" s="1776" t="s">
        <v>1349</v>
      </c>
      <c r="J1214" s="224"/>
      <c r="K1214" s="34" t="s">
        <v>25</v>
      </c>
      <c r="L1214" s="475"/>
      <c r="M1214" s="224"/>
      <c r="N1214" s="224"/>
      <c r="O1214" s="2628" t="s">
        <v>6395</v>
      </c>
      <c r="P1214" s="1">
        <v>400</v>
      </c>
      <c r="T1214" s="224"/>
      <c r="U1214" s="34" t="s">
        <v>25</v>
      </c>
      <c r="V1214" s="475"/>
      <c r="W1214" s="224"/>
      <c r="X1214" s="224"/>
    </row>
    <row r="1215" spans="1:24" x14ac:dyDescent="0.3">
      <c r="A1215" s="2651">
        <v>401</v>
      </c>
      <c r="B1215" s="1122" t="s">
        <v>1477</v>
      </c>
      <c r="C1215" s="1117" t="s">
        <v>1344</v>
      </c>
      <c r="D1215" s="793" t="s">
        <v>938</v>
      </c>
      <c r="E1215" s="217" t="s">
        <v>1572</v>
      </c>
      <c r="F1215" s="218" t="s">
        <v>1417</v>
      </c>
      <c r="G1215" s="116">
        <v>1190</v>
      </c>
      <c r="H1215" s="1776" t="s">
        <v>1349</v>
      </c>
      <c r="J1215" s="224"/>
      <c r="K1215" s="34" t="s">
        <v>25</v>
      </c>
      <c r="L1215" s="475"/>
      <c r="M1215" s="224"/>
      <c r="N1215" s="224"/>
      <c r="O1215" s="2628" t="s">
        <v>6395</v>
      </c>
      <c r="P1215" s="1">
        <v>401</v>
      </c>
      <c r="T1215" s="224"/>
      <c r="U1215" s="34" t="s">
        <v>25</v>
      </c>
      <c r="V1215" s="475"/>
      <c r="W1215" s="224"/>
      <c r="X1215" s="224"/>
    </row>
    <row r="1216" spans="1:24" x14ac:dyDescent="0.3">
      <c r="A1216" s="2652">
        <v>402</v>
      </c>
      <c r="B1216" s="1122" t="s">
        <v>1477</v>
      </c>
      <c r="C1216" s="1117" t="s">
        <v>1344</v>
      </c>
      <c r="D1216" s="416" t="s">
        <v>938</v>
      </c>
      <c r="E1216" s="217" t="s">
        <v>1573</v>
      </c>
      <c r="F1216" s="218" t="s">
        <v>1417</v>
      </c>
      <c r="G1216" s="116">
        <v>1190</v>
      </c>
      <c r="H1216" s="1776" t="s">
        <v>1349</v>
      </c>
      <c r="J1216" s="224"/>
      <c r="K1216" s="34" t="s">
        <v>25</v>
      </c>
      <c r="L1216" s="475"/>
      <c r="M1216" s="224"/>
      <c r="N1216" s="224"/>
      <c r="O1216" s="2628" t="s">
        <v>6395</v>
      </c>
      <c r="P1216" s="1">
        <v>402</v>
      </c>
      <c r="T1216" s="224"/>
      <c r="U1216" s="34" t="s">
        <v>25</v>
      </c>
      <c r="V1216" s="475"/>
      <c r="W1216" s="224"/>
      <c r="X1216" s="224"/>
    </row>
    <row r="1217" spans="1:24" x14ac:dyDescent="0.3">
      <c r="A1217" s="2651">
        <v>403</v>
      </c>
      <c r="B1217" s="1122" t="s">
        <v>1477</v>
      </c>
      <c r="C1217" s="1117" t="s">
        <v>1344</v>
      </c>
      <c r="D1217" s="416" t="s">
        <v>938</v>
      </c>
      <c r="E1217" s="217" t="s">
        <v>1574</v>
      </c>
      <c r="F1217" s="218" t="s">
        <v>1417</v>
      </c>
      <c r="G1217" s="116">
        <v>1190</v>
      </c>
      <c r="H1217" s="1776" t="s">
        <v>1349</v>
      </c>
      <c r="J1217" s="224"/>
      <c r="K1217" s="34" t="s">
        <v>25</v>
      </c>
      <c r="L1217" s="475"/>
      <c r="M1217" s="224"/>
      <c r="N1217" s="224"/>
      <c r="O1217" s="2628" t="s">
        <v>6395</v>
      </c>
      <c r="P1217" s="1">
        <v>403</v>
      </c>
      <c r="T1217" s="224"/>
      <c r="U1217" s="34" t="s">
        <v>25</v>
      </c>
      <c r="V1217" s="475"/>
      <c r="W1217" s="224"/>
      <c r="X1217" s="224"/>
    </row>
    <row r="1218" spans="1:24" x14ac:dyDescent="0.3">
      <c r="A1218" s="2651">
        <v>404</v>
      </c>
      <c r="B1218" s="1122" t="s">
        <v>1477</v>
      </c>
      <c r="C1218" s="1117" t="s">
        <v>1344</v>
      </c>
      <c r="D1218" s="416" t="s">
        <v>938</v>
      </c>
      <c r="E1218" s="217" t="s">
        <v>1575</v>
      </c>
      <c r="F1218" s="218" t="s">
        <v>1417</v>
      </c>
      <c r="G1218" s="116">
        <v>1190</v>
      </c>
      <c r="H1218" s="1776" t="s">
        <v>1349</v>
      </c>
      <c r="J1218" s="224"/>
      <c r="K1218" s="34" t="s">
        <v>25</v>
      </c>
      <c r="L1218" s="475"/>
      <c r="M1218" s="224"/>
      <c r="N1218" s="224"/>
      <c r="O1218" s="2628" t="s">
        <v>6395</v>
      </c>
      <c r="P1218" s="1">
        <v>404</v>
      </c>
      <c r="T1218" s="224"/>
      <c r="U1218" s="34" t="s">
        <v>25</v>
      </c>
      <c r="V1218" s="475"/>
      <c r="W1218" s="224"/>
      <c r="X1218" s="224"/>
    </row>
    <row r="1219" spans="1:24" x14ac:dyDescent="0.3">
      <c r="A1219" s="2652">
        <v>405</v>
      </c>
      <c r="B1219" s="1122" t="s">
        <v>1477</v>
      </c>
      <c r="C1219" s="1117" t="s">
        <v>1344</v>
      </c>
      <c r="D1219" s="416" t="s">
        <v>938</v>
      </c>
      <c r="E1219" s="217" t="s">
        <v>1576</v>
      </c>
      <c r="F1219" s="218" t="s">
        <v>1417</v>
      </c>
      <c r="G1219" s="116">
        <v>1190</v>
      </c>
      <c r="H1219" s="1776" t="s">
        <v>1349</v>
      </c>
      <c r="J1219" s="224"/>
      <c r="K1219" s="34" t="s">
        <v>25</v>
      </c>
      <c r="L1219" s="475"/>
      <c r="M1219" s="224"/>
      <c r="N1219" s="224"/>
      <c r="O1219" s="2628" t="s">
        <v>6395</v>
      </c>
      <c r="P1219" s="1">
        <v>405</v>
      </c>
      <c r="T1219" s="224"/>
      <c r="U1219" s="34" t="s">
        <v>25</v>
      </c>
      <c r="V1219" s="475"/>
      <c r="W1219" s="224"/>
      <c r="X1219" s="224"/>
    </row>
    <row r="1220" spans="1:24" x14ac:dyDescent="0.3">
      <c r="A1220" s="2651">
        <v>406</v>
      </c>
      <c r="B1220" s="1122" t="s">
        <v>1477</v>
      </c>
      <c r="C1220" s="1117" t="s">
        <v>1344</v>
      </c>
      <c r="D1220" s="416" t="s">
        <v>938</v>
      </c>
      <c r="E1220" s="217" t="s">
        <v>1577</v>
      </c>
      <c r="F1220" s="218" t="s">
        <v>1417</v>
      </c>
      <c r="G1220" s="116">
        <v>1190</v>
      </c>
      <c r="H1220" s="1776" t="s">
        <v>1349</v>
      </c>
      <c r="J1220" s="224"/>
      <c r="K1220" s="34" t="s">
        <v>25</v>
      </c>
      <c r="L1220" s="475"/>
      <c r="M1220" s="224"/>
      <c r="N1220" s="224"/>
      <c r="O1220" s="2628" t="s">
        <v>6395</v>
      </c>
      <c r="P1220" s="1">
        <v>406</v>
      </c>
      <c r="T1220" s="224"/>
      <c r="U1220" s="34" t="s">
        <v>25</v>
      </c>
      <c r="V1220" s="475"/>
      <c r="W1220" s="224"/>
      <c r="X1220" s="224"/>
    </row>
    <row r="1221" spans="1:24" x14ac:dyDescent="0.3">
      <c r="A1221" s="2651">
        <v>407</v>
      </c>
      <c r="B1221" s="1122" t="s">
        <v>1477</v>
      </c>
      <c r="C1221" s="1117" t="s">
        <v>1344</v>
      </c>
      <c r="D1221" s="416" t="s">
        <v>938</v>
      </c>
      <c r="E1221" s="217" t="s">
        <v>1578</v>
      </c>
      <c r="F1221" s="218" t="s">
        <v>1417</v>
      </c>
      <c r="G1221" s="116">
        <v>1190</v>
      </c>
      <c r="H1221" s="1776" t="s">
        <v>1349</v>
      </c>
      <c r="J1221" s="224"/>
      <c r="K1221" s="34" t="s">
        <v>25</v>
      </c>
      <c r="L1221" s="475"/>
      <c r="M1221" s="224"/>
      <c r="N1221" s="224"/>
      <c r="O1221" s="2628" t="s">
        <v>6395</v>
      </c>
      <c r="P1221" s="1">
        <v>407</v>
      </c>
      <c r="T1221" s="224"/>
      <c r="U1221" s="34" t="s">
        <v>25</v>
      </c>
      <c r="V1221" s="475"/>
      <c r="W1221" s="224"/>
      <c r="X1221" s="224"/>
    </row>
    <row r="1222" spans="1:24" x14ac:dyDescent="0.3">
      <c r="A1222" s="2652">
        <v>408</v>
      </c>
      <c r="B1222" s="1122" t="s">
        <v>1477</v>
      </c>
      <c r="C1222" s="1117" t="s">
        <v>1344</v>
      </c>
      <c r="D1222" s="416" t="s">
        <v>938</v>
      </c>
      <c r="E1222" s="217" t="s">
        <v>1579</v>
      </c>
      <c r="F1222" s="218" t="s">
        <v>1417</v>
      </c>
      <c r="G1222" s="116">
        <v>1190</v>
      </c>
      <c r="H1222" s="1776" t="s">
        <v>1349</v>
      </c>
      <c r="J1222" s="224"/>
      <c r="K1222" s="34" t="s">
        <v>25</v>
      </c>
      <c r="L1222" s="475"/>
      <c r="M1222" s="224"/>
      <c r="N1222" s="224"/>
      <c r="O1222" s="2628" t="s">
        <v>6395</v>
      </c>
      <c r="P1222" s="1">
        <v>408</v>
      </c>
      <c r="T1222" s="224"/>
      <c r="U1222" s="34" t="s">
        <v>25</v>
      </c>
      <c r="V1222" s="475"/>
      <c r="W1222" s="224"/>
      <c r="X1222" s="224"/>
    </row>
    <row r="1223" spans="1:24" x14ac:dyDescent="0.3">
      <c r="A1223" s="2651">
        <v>409</v>
      </c>
      <c r="B1223" s="1122" t="s">
        <v>1477</v>
      </c>
      <c r="C1223" s="1117" t="s">
        <v>1344</v>
      </c>
      <c r="D1223" s="416" t="s">
        <v>938</v>
      </c>
      <c r="E1223" s="217" t="s">
        <v>1580</v>
      </c>
      <c r="F1223" s="218" t="s">
        <v>1417</v>
      </c>
      <c r="G1223" s="116">
        <v>1190</v>
      </c>
      <c r="H1223" s="1776" t="s">
        <v>1349</v>
      </c>
      <c r="J1223" s="224"/>
      <c r="K1223" s="34" t="s">
        <v>25</v>
      </c>
      <c r="L1223" s="475"/>
      <c r="M1223" s="224"/>
      <c r="N1223" s="224"/>
      <c r="O1223" s="2628" t="s">
        <v>6395</v>
      </c>
      <c r="P1223" s="1">
        <v>409</v>
      </c>
      <c r="T1223" s="224"/>
      <c r="U1223" s="34" t="s">
        <v>25</v>
      </c>
      <c r="V1223" s="475"/>
      <c r="W1223" s="224"/>
      <c r="X1223" s="224"/>
    </row>
    <row r="1224" spans="1:24" x14ac:dyDescent="0.3">
      <c r="A1224" s="2651">
        <v>410</v>
      </c>
      <c r="B1224" s="1122" t="s">
        <v>1477</v>
      </c>
      <c r="C1224" s="1117" t="s">
        <v>1344</v>
      </c>
      <c r="D1224" s="416" t="s">
        <v>938</v>
      </c>
      <c r="E1224" s="217" t="s">
        <v>1581</v>
      </c>
      <c r="F1224" s="218" t="s">
        <v>1417</v>
      </c>
      <c r="G1224" s="116">
        <v>1190</v>
      </c>
      <c r="H1224" s="1776" t="s">
        <v>1349</v>
      </c>
      <c r="J1224" s="224"/>
      <c r="K1224" s="34" t="s">
        <v>25</v>
      </c>
      <c r="L1224" s="475"/>
      <c r="M1224" s="224"/>
      <c r="N1224" s="224"/>
      <c r="O1224" s="2628" t="s">
        <v>6395</v>
      </c>
      <c r="P1224" s="1">
        <v>410</v>
      </c>
      <c r="T1224" s="224"/>
      <c r="U1224" s="34" t="s">
        <v>25</v>
      </c>
      <c r="V1224" s="475"/>
      <c r="W1224" s="224"/>
      <c r="X1224" s="224"/>
    </row>
    <row r="1225" spans="1:24" x14ac:dyDescent="0.3">
      <c r="A1225" s="2652">
        <v>411</v>
      </c>
      <c r="B1225" s="1122" t="s">
        <v>1477</v>
      </c>
      <c r="C1225" s="1117" t="s">
        <v>1344</v>
      </c>
      <c r="D1225" s="416" t="s">
        <v>938</v>
      </c>
      <c r="E1225" s="217" t="s">
        <v>1582</v>
      </c>
      <c r="F1225" s="218" t="s">
        <v>1417</v>
      </c>
      <c r="G1225" s="116">
        <v>1190</v>
      </c>
      <c r="H1225" s="1776" t="s">
        <v>1349</v>
      </c>
      <c r="J1225" s="224"/>
      <c r="K1225" s="34" t="s">
        <v>25</v>
      </c>
      <c r="L1225" s="475"/>
      <c r="M1225" s="224"/>
      <c r="N1225" s="224"/>
      <c r="O1225" s="2628" t="s">
        <v>6395</v>
      </c>
      <c r="P1225" s="1">
        <v>411</v>
      </c>
      <c r="T1225" s="224"/>
      <c r="U1225" s="34" t="s">
        <v>25</v>
      </c>
      <c r="V1225" s="475"/>
      <c r="W1225" s="224"/>
      <c r="X1225" s="224"/>
    </row>
    <row r="1226" spans="1:24" x14ac:dyDescent="0.3">
      <c r="A1226" s="2651">
        <v>412</v>
      </c>
      <c r="B1226" s="1122" t="s">
        <v>1477</v>
      </c>
      <c r="C1226" s="1117" t="s">
        <v>1344</v>
      </c>
      <c r="D1226" s="416" t="s">
        <v>938</v>
      </c>
      <c r="E1226" s="217" t="s">
        <v>1583</v>
      </c>
      <c r="F1226" s="218" t="s">
        <v>1417</v>
      </c>
      <c r="G1226" s="116">
        <v>1190</v>
      </c>
      <c r="H1226" s="1776" t="s">
        <v>1349</v>
      </c>
      <c r="J1226" s="224"/>
      <c r="K1226" s="34" t="s">
        <v>25</v>
      </c>
      <c r="L1226" s="475"/>
      <c r="M1226" s="224"/>
      <c r="N1226" s="224"/>
      <c r="O1226" s="2628" t="s">
        <v>6395</v>
      </c>
      <c r="P1226" s="1">
        <v>412</v>
      </c>
      <c r="T1226" s="224"/>
      <c r="U1226" s="34" t="s">
        <v>25</v>
      </c>
      <c r="V1226" s="475"/>
      <c r="W1226" s="224"/>
      <c r="X1226" s="224"/>
    </row>
    <row r="1227" spans="1:24" x14ac:dyDescent="0.3">
      <c r="A1227" s="2651">
        <v>413</v>
      </c>
      <c r="B1227" s="1122" t="s">
        <v>1477</v>
      </c>
      <c r="C1227" s="1117" t="s">
        <v>1344</v>
      </c>
      <c r="D1227" s="416" t="s">
        <v>938</v>
      </c>
      <c r="E1227" s="217" t="s">
        <v>1584</v>
      </c>
      <c r="F1227" s="218" t="s">
        <v>1417</v>
      </c>
      <c r="G1227" s="116">
        <v>1190</v>
      </c>
      <c r="H1227" s="1776" t="s">
        <v>1349</v>
      </c>
      <c r="J1227" s="224"/>
      <c r="K1227" s="34" t="s">
        <v>25</v>
      </c>
      <c r="L1227" s="475"/>
      <c r="M1227" s="224"/>
      <c r="N1227" s="224"/>
      <c r="O1227" s="2628" t="s">
        <v>6395</v>
      </c>
      <c r="P1227" s="1">
        <v>413</v>
      </c>
      <c r="T1227" s="224"/>
      <c r="U1227" s="34" t="s">
        <v>25</v>
      </c>
      <c r="V1227" s="475"/>
      <c r="W1227" s="224"/>
      <c r="X1227" s="224"/>
    </row>
    <row r="1228" spans="1:24" x14ac:dyDescent="0.3">
      <c r="A1228" s="2652">
        <v>414</v>
      </c>
      <c r="B1228" s="1122" t="s">
        <v>1477</v>
      </c>
      <c r="C1228" s="1117" t="s">
        <v>1344</v>
      </c>
      <c r="D1228" s="416" t="s">
        <v>938</v>
      </c>
      <c r="E1228" s="217" t="s">
        <v>1585</v>
      </c>
      <c r="F1228" s="218" t="s">
        <v>1417</v>
      </c>
      <c r="G1228" s="116">
        <v>1190</v>
      </c>
      <c r="H1228" s="1776" t="s">
        <v>1349</v>
      </c>
      <c r="J1228" s="224"/>
      <c r="K1228" s="34" t="s">
        <v>25</v>
      </c>
      <c r="L1228" s="475"/>
      <c r="M1228" s="224"/>
      <c r="N1228" s="224"/>
      <c r="O1228" s="2628" t="s">
        <v>6395</v>
      </c>
      <c r="P1228" s="1">
        <v>414</v>
      </c>
      <c r="T1228" s="224"/>
      <c r="U1228" s="34" t="s">
        <v>25</v>
      </c>
      <c r="V1228" s="475"/>
      <c r="W1228" s="224"/>
      <c r="X1228" s="224"/>
    </row>
    <row r="1229" spans="1:24" x14ac:dyDescent="0.3">
      <c r="A1229" s="2651">
        <v>415</v>
      </c>
      <c r="B1229" s="1122" t="s">
        <v>1477</v>
      </c>
      <c r="C1229" s="1117" t="s">
        <v>1344</v>
      </c>
      <c r="D1229" s="416" t="s">
        <v>938</v>
      </c>
      <c r="E1229" s="217" t="s">
        <v>1586</v>
      </c>
      <c r="F1229" s="218" t="s">
        <v>1417</v>
      </c>
      <c r="G1229" s="116">
        <v>1190</v>
      </c>
      <c r="H1229" s="1776" t="s">
        <v>1349</v>
      </c>
      <c r="J1229" s="224"/>
      <c r="K1229" s="34" t="s">
        <v>25</v>
      </c>
      <c r="L1229" s="475"/>
      <c r="M1229" s="224"/>
      <c r="N1229" s="224"/>
      <c r="O1229" s="2628" t="s">
        <v>6395</v>
      </c>
      <c r="P1229" s="1">
        <v>415</v>
      </c>
      <c r="T1229" s="224"/>
      <c r="U1229" s="34" t="s">
        <v>25</v>
      </c>
      <c r="V1229" s="475"/>
      <c r="W1229" s="224"/>
      <c r="X1229" s="224"/>
    </row>
    <row r="1230" spans="1:24" x14ac:dyDescent="0.3">
      <c r="A1230" s="2651">
        <v>416</v>
      </c>
      <c r="B1230" s="1122" t="s">
        <v>1477</v>
      </c>
      <c r="C1230" s="1117" t="s">
        <v>1344</v>
      </c>
      <c r="D1230" s="416" t="s">
        <v>938</v>
      </c>
      <c r="E1230" s="217" t="s">
        <v>1587</v>
      </c>
      <c r="F1230" s="218" t="s">
        <v>1417</v>
      </c>
      <c r="G1230" s="116">
        <v>1190</v>
      </c>
      <c r="H1230" s="1776" t="s">
        <v>1349</v>
      </c>
      <c r="J1230" s="224"/>
      <c r="K1230" s="34" t="s">
        <v>25</v>
      </c>
      <c r="L1230" s="475"/>
      <c r="M1230" s="224"/>
      <c r="N1230" s="224"/>
      <c r="O1230" s="2628" t="s">
        <v>6395</v>
      </c>
      <c r="P1230" s="1">
        <v>416</v>
      </c>
      <c r="T1230" s="224"/>
      <c r="U1230" s="34" t="s">
        <v>25</v>
      </c>
      <c r="V1230" s="475"/>
      <c r="W1230" s="224"/>
      <c r="X1230" s="224"/>
    </row>
    <row r="1231" spans="1:24" x14ac:dyDescent="0.3">
      <c r="A1231" s="2652">
        <v>417</v>
      </c>
      <c r="B1231" s="1122" t="s">
        <v>1477</v>
      </c>
      <c r="C1231" s="1117" t="s">
        <v>1344</v>
      </c>
      <c r="D1231" s="416" t="s">
        <v>938</v>
      </c>
      <c r="E1231" s="217" t="s">
        <v>1588</v>
      </c>
      <c r="F1231" s="218" t="s">
        <v>1417</v>
      </c>
      <c r="G1231" s="116">
        <v>1190</v>
      </c>
      <c r="H1231" s="1776" t="s">
        <v>1349</v>
      </c>
      <c r="J1231" s="224"/>
      <c r="K1231" s="34" t="s">
        <v>25</v>
      </c>
      <c r="L1231" s="475"/>
      <c r="M1231" s="224"/>
      <c r="N1231" s="224"/>
      <c r="O1231" s="2628" t="s">
        <v>6395</v>
      </c>
      <c r="P1231" s="1">
        <v>417</v>
      </c>
      <c r="T1231" s="224"/>
      <c r="U1231" s="34" t="s">
        <v>25</v>
      </c>
      <c r="V1231" s="475"/>
      <c r="W1231" s="224"/>
      <c r="X1231" s="224"/>
    </row>
    <row r="1232" spans="1:24" x14ac:dyDescent="0.3">
      <c r="A1232" s="2651">
        <v>418</v>
      </c>
      <c r="B1232" s="1122" t="s">
        <v>1477</v>
      </c>
      <c r="C1232" s="1117" t="s">
        <v>1344</v>
      </c>
      <c r="D1232" s="416" t="s">
        <v>938</v>
      </c>
      <c r="E1232" s="217" t="s">
        <v>1589</v>
      </c>
      <c r="F1232" s="218" t="s">
        <v>1417</v>
      </c>
      <c r="G1232" s="116">
        <v>1190</v>
      </c>
      <c r="H1232" s="1776" t="s">
        <v>1349</v>
      </c>
      <c r="J1232" s="224"/>
      <c r="K1232" s="34" t="s">
        <v>25</v>
      </c>
      <c r="L1232" s="475"/>
      <c r="M1232" s="224"/>
      <c r="N1232" s="224"/>
      <c r="O1232" s="2628" t="s">
        <v>6395</v>
      </c>
      <c r="P1232" s="1">
        <v>418</v>
      </c>
      <c r="T1232" s="224"/>
      <c r="U1232" s="34" t="s">
        <v>25</v>
      </c>
      <c r="V1232" s="475"/>
      <c r="W1232" s="224"/>
      <c r="X1232" s="224"/>
    </row>
    <row r="1233" spans="1:24" x14ac:dyDescent="0.3">
      <c r="A1233" s="2651">
        <v>419</v>
      </c>
      <c r="B1233" s="1122" t="s">
        <v>1477</v>
      </c>
      <c r="C1233" s="1117" t="s">
        <v>1344</v>
      </c>
      <c r="D1233" s="416" t="s">
        <v>938</v>
      </c>
      <c r="E1233" s="217" t="s">
        <v>1590</v>
      </c>
      <c r="F1233" s="218" t="s">
        <v>1417</v>
      </c>
      <c r="G1233" s="116">
        <v>1190</v>
      </c>
      <c r="H1233" s="1776" t="s">
        <v>1349</v>
      </c>
      <c r="J1233" s="224"/>
      <c r="K1233" s="34" t="s">
        <v>25</v>
      </c>
      <c r="L1233" s="475"/>
      <c r="M1233" s="224"/>
      <c r="N1233" s="224"/>
      <c r="O1233" s="2628" t="s">
        <v>6395</v>
      </c>
      <c r="P1233" s="1">
        <v>419</v>
      </c>
      <c r="T1233" s="224"/>
      <c r="U1233" s="34" t="s">
        <v>25</v>
      </c>
      <c r="V1233" s="475"/>
      <c r="W1233" s="224"/>
      <c r="X1233" s="224"/>
    </row>
    <row r="1234" spans="1:24" x14ac:dyDescent="0.3">
      <c r="A1234" s="2652">
        <v>420</v>
      </c>
      <c r="B1234" s="1122" t="s">
        <v>1477</v>
      </c>
      <c r="C1234" s="1117" t="s">
        <v>1344</v>
      </c>
      <c r="D1234" s="416" t="s">
        <v>938</v>
      </c>
      <c r="E1234" s="217" t="s">
        <v>1591</v>
      </c>
      <c r="F1234" s="218" t="s">
        <v>1417</v>
      </c>
      <c r="G1234" s="116">
        <v>1190</v>
      </c>
      <c r="H1234" s="1776" t="s">
        <v>1349</v>
      </c>
      <c r="J1234" s="224"/>
      <c r="K1234" s="34" t="s">
        <v>25</v>
      </c>
      <c r="L1234" s="475"/>
      <c r="M1234" s="224"/>
      <c r="N1234" s="224"/>
      <c r="O1234" s="2628" t="s">
        <v>6395</v>
      </c>
      <c r="P1234" s="1">
        <v>420</v>
      </c>
      <c r="T1234" s="224"/>
      <c r="U1234" s="34" t="s">
        <v>25</v>
      </c>
      <c r="V1234" s="475"/>
      <c r="W1234" s="224"/>
      <c r="X1234" s="224"/>
    </row>
    <row r="1235" spans="1:24" x14ac:dyDescent="0.3">
      <c r="A1235" s="2651">
        <v>421</v>
      </c>
      <c r="B1235" s="1122" t="s">
        <v>1477</v>
      </c>
      <c r="C1235" s="1117" t="s">
        <v>1344</v>
      </c>
      <c r="D1235" s="416" t="s">
        <v>938</v>
      </c>
      <c r="E1235" s="217" t="s">
        <v>1592</v>
      </c>
      <c r="F1235" s="218" t="s">
        <v>1417</v>
      </c>
      <c r="G1235" s="116">
        <v>1190</v>
      </c>
      <c r="H1235" s="1776" t="s">
        <v>1349</v>
      </c>
      <c r="J1235" s="224"/>
      <c r="K1235" s="34" t="s">
        <v>25</v>
      </c>
      <c r="L1235" s="475"/>
      <c r="M1235" s="224"/>
      <c r="N1235" s="224"/>
      <c r="O1235" s="2628" t="s">
        <v>6395</v>
      </c>
      <c r="P1235" s="1">
        <v>421</v>
      </c>
      <c r="T1235" s="224"/>
      <c r="U1235" s="34" t="s">
        <v>25</v>
      </c>
      <c r="V1235" s="475"/>
      <c r="W1235" s="224"/>
      <c r="X1235" s="224"/>
    </row>
    <row r="1236" spans="1:24" x14ac:dyDescent="0.3">
      <c r="A1236" s="2651">
        <v>422</v>
      </c>
      <c r="B1236" s="1122" t="s">
        <v>1477</v>
      </c>
      <c r="C1236" s="1117" t="s">
        <v>1344</v>
      </c>
      <c r="D1236" s="416" t="s">
        <v>938</v>
      </c>
      <c r="E1236" s="217" t="s">
        <v>1593</v>
      </c>
      <c r="F1236" s="218" t="s">
        <v>1417</v>
      </c>
      <c r="G1236" s="116">
        <v>1190</v>
      </c>
      <c r="H1236" s="1776" t="s">
        <v>1349</v>
      </c>
      <c r="J1236" s="224"/>
      <c r="K1236" s="34" t="s">
        <v>25</v>
      </c>
      <c r="L1236" s="475"/>
      <c r="M1236" s="224"/>
      <c r="N1236" s="224"/>
      <c r="O1236" s="2628" t="s">
        <v>6395</v>
      </c>
      <c r="P1236" s="1">
        <v>422</v>
      </c>
      <c r="T1236" s="224"/>
      <c r="U1236" s="34" t="s">
        <v>25</v>
      </c>
      <c r="V1236" s="475"/>
      <c r="W1236" s="224"/>
      <c r="X1236" s="224"/>
    </row>
    <row r="1237" spans="1:24" x14ac:dyDescent="0.3">
      <c r="A1237" s="2652">
        <v>423</v>
      </c>
      <c r="B1237" s="1122" t="s">
        <v>1477</v>
      </c>
      <c r="C1237" s="1117" t="s">
        <v>1344</v>
      </c>
      <c r="D1237" s="416" t="s">
        <v>938</v>
      </c>
      <c r="E1237" s="217" t="s">
        <v>1594</v>
      </c>
      <c r="F1237" s="218" t="s">
        <v>1417</v>
      </c>
      <c r="G1237" s="116">
        <v>1190</v>
      </c>
      <c r="H1237" s="1776" t="s">
        <v>1349</v>
      </c>
      <c r="J1237" s="224"/>
      <c r="K1237" s="34" t="s">
        <v>25</v>
      </c>
      <c r="L1237" s="475"/>
      <c r="M1237" s="224"/>
      <c r="N1237" s="224"/>
      <c r="O1237" s="2628" t="s">
        <v>6395</v>
      </c>
      <c r="P1237" s="1">
        <v>423</v>
      </c>
      <c r="T1237" s="224"/>
      <c r="U1237" s="34" t="s">
        <v>25</v>
      </c>
      <c r="V1237" s="475"/>
      <c r="W1237" s="224"/>
      <c r="X1237" s="224"/>
    </row>
    <row r="1238" spans="1:24" x14ac:dyDescent="0.3">
      <c r="A1238" s="2651">
        <v>424</v>
      </c>
      <c r="B1238" s="1122" t="s">
        <v>1477</v>
      </c>
      <c r="C1238" s="1117" t="s">
        <v>1344</v>
      </c>
      <c r="D1238" s="416" t="s">
        <v>938</v>
      </c>
      <c r="E1238" s="217" t="s">
        <v>1595</v>
      </c>
      <c r="F1238" s="218" t="s">
        <v>1417</v>
      </c>
      <c r="G1238" s="116">
        <v>1190</v>
      </c>
      <c r="H1238" s="1776" t="s">
        <v>1349</v>
      </c>
      <c r="J1238" s="224"/>
      <c r="K1238" s="34" t="s">
        <v>25</v>
      </c>
      <c r="L1238" s="475"/>
      <c r="M1238" s="224"/>
      <c r="N1238" s="224"/>
      <c r="O1238" s="2628" t="s">
        <v>6395</v>
      </c>
      <c r="P1238" s="1">
        <v>424</v>
      </c>
      <c r="T1238" s="224"/>
      <c r="U1238" s="34" t="s">
        <v>25</v>
      </c>
      <c r="V1238" s="475"/>
      <c r="W1238" s="224"/>
      <c r="X1238" s="224"/>
    </row>
    <row r="1239" spans="1:24" x14ac:dyDescent="0.3">
      <c r="A1239" s="2651">
        <v>425</v>
      </c>
      <c r="B1239" s="1122" t="s">
        <v>1477</v>
      </c>
      <c r="C1239" s="1117" t="s">
        <v>1344</v>
      </c>
      <c r="D1239" s="452" t="s">
        <v>938</v>
      </c>
      <c r="E1239" s="217" t="s">
        <v>1596</v>
      </c>
      <c r="F1239" s="218" t="s">
        <v>1417</v>
      </c>
      <c r="G1239" s="116">
        <v>1190</v>
      </c>
      <c r="H1239" s="1776" t="s">
        <v>1349</v>
      </c>
      <c r="J1239" s="224"/>
      <c r="K1239" s="34" t="s">
        <v>25</v>
      </c>
      <c r="L1239" s="475"/>
      <c r="M1239" s="224"/>
      <c r="N1239" s="224"/>
      <c r="O1239" s="2628" t="s">
        <v>6395</v>
      </c>
      <c r="P1239" s="1">
        <v>425</v>
      </c>
      <c r="T1239" s="224"/>
      <c r="U1239" s="34" t="s">
        <v>25</v>
      </c>
      <c r="V1239" s="475"/>
      <c r="W1239" s="224"/>
      <c r="X1239" s="224"/>
    </row>
    <row r="1240" spans="1:24" x14ac:dyDescent="0.3">
      <c r="A1240" s="2652">
        <v>426</v>
      </c>
      <c r="B1240" s="1122" t="s">
        <v>1477</v>
      </c>
      <c r="C1240" s="1117" t="s">
        <v>1344</v>
      </c>
      <c r="D1240" s="793" t="s">
        <v>938</v>
      </c>
      <c r="E1240" s="217" t="s">
        <v>1597</v>
      </c>
      <c r="F1240" s="218" t="s">
        <v>1417</v>
      </c>
      <c r="G1240" s="116">
        <v>1190</v>
      </c>
      <c r="H1240" s="1776" t="s">
        <v>1349</v>
      </c>
      <c r="J1240" s="224"/>
      <c r="K1240" s="34" t="s">
        <v>25</v>
      </c>
      <c r="L1240" s="475"/>
      <c r="M1240" s="224"/>
      <c r="N1240" s="224"/>
      <c r="O1240" s="2628" t="s">
        <v>6395</v>
      </c>
      <c r="P1240" s="1">
        <v>426</v>
      </c>
      <c r="T1240" s="224"/>
      <c r="U1240" s="34" t="s">
        <v>25</v>
      </c>
      <c r="V1240" s="475"/>
      <c r="W1240" s="224"/>
      <c r="X1240" s="224"/>
    </row>
    <row r="1241" spans="1:24" x14ac:dyDescent="0.3">
      <c r="A1241" s="2651">
        <v>427</v>
      </c>
      <c r="B1241" s="1122" t="s">
        <v>1477</v>
      </c>
      <c r="C1241" s="1117" t="s">
        <v>1344</v>
      </c>
      <c r="D1241" s="416" t="s">
        <v>938</v>
      </c>
      <c r="E1241" s="217" t="s">
        <v>1598</v>
      </c>
      <c r="F1241" s="218" t="s">
        <v>1417</v>
      </c>
      <c r="G1241" s="116">
        <v>1190</v>
      </c>
      <c r="H1241" s="1776" t="s">
        <v>1349</v>
      </c>
      <c r="J1241" s="224"/>
      <c r="K1241" s="34" t="s">
        <v>25</v>
      </c>
      <c r="L1241" s="475"/>
      <c r="M1241" s="224"/>
      <c r="N1241" s="224"/>
      <c r="O1241" s="2628" t="s">
        <v>6395</v>
      </c>
      <c r="P1241" s="1">
        <v>427</v>
      </c>
      <c r="T1241" s="224"/>
      <c r="U1241" s="34" t="s">
        <v>25</v>
      </c>
      <c r="V1241" s="475"/>
      <c r="W1241" s="224"/>
      <c r="X1241" s="224"/>
    </row>
    <row r="1242" spans="1:24" x14ac:dyDescent="0.3">
      <c r="A1242" s="2651">
        <v>428</v>
      </c>
      <c r="B1242" s="1122" t="s">
        <v>1477</v>
      </c>
      <c r="C1242" s="1117" t="s">
        <v>1344</v>
      </c>
      <c r="D1242" s="416" t="s">
        <v>938</v>
      </c>
      <c r="E1242" s="217" t="s">
        <v>1599</v>
      </c>
      <c r="F1242" s="218" t="s">
        <v>1417</v>
      </c>
      <c r="G1242" s="116">
        <v>1190</v>
      </c>
      <c r="H1242" s="1776" t="s">
        <v>1349</v>
      </c>
      <c r="J1242" s="224"/>
      <c r="K1242" s="34" t="s">
        <v>25</v>
      </c>
      <c r="L1242" s="475"/>
      <c r="M1242" s="224"/>
      <c r="N1242" s="224"/>
      <c r="O1242" s="2628" t="s">
        <v>6395</v>
      </c>
      <c r="P1242" s="1">
        <v>428</v>
      </c>
      <c r="T1242" s="224"/>
      <c r="U1242" s="34" t="s">
        <v>25</v>
      </c>
      <c r="V1242" s="475"/>
      <c r="W1242" s="224"/>
      <c r="X1242" s="224"/>
    </row>
    <row r="1243" spans="1:24" x14ac:dyDescent="0.3">
      <c r="A1243" s="2652">
        <v>429</v>
      </c>
      <c r="B1243" s="1122" t="s">
        <v>1477</v>
      </c>
      <c r="C1243" s="1117" t="s">
        <v>1344</v>
      </c>
      <c r="D1243" s="416" t="s">
        <v>938</v>
      </c>
      <c r="E1243" s="217" t="s">
        <v>1600</v>
      </c>
      <c r="F1243" s="218" t="s">
        <v>1417</v>
      </c>
      <c r="G1243" s="116">
        <v>1190</v>
      </c>
      <c r="H1243" s="1776" t="s">
        <v>1349</v>
      </c>
      <c r="J1243" s="224"/>
      <c r="K1243" s="34" t="s">
        <v>25</v>
      </c>
      <c r="L1243" s="475"/>
      <c r="M1243" s="224"/>
      <c r="N1243" s="224"/>
      <c r="O1243" s="2628" t="s">
        <v>6395</v>
      </c>
      <c r="P1243" s="1">
        <v>429</v>
      </c>
      <c r="T1243" s="224"/>
      <c r="U1243" s="34" t="s">
        <v>25</v>
      </c>
      <c r="V1243" s="475"/>
      <c r="W1243" s="224"/>
      <c r="X1243" s="224"/>
    </row>
    <row r="1244" spans="1:24" x14ac:dyDescent="0.3">
      <c r="A1244" s="2651">
        <v>430</v>
      </c>
      <c r="B1244" s="1122" t="s">
        <v>1477</v>
      </c>
      <c r="C1244" s="1117" t="s">
        <v>1344</v>
      </c>
      <c r="D1244" s="416" t="s">
        <v>938</v>
      </c>
      <c r="E1244" s="217" t="s">
        <v>1601</v>
      </c>
      <c r="F1244" s="218" t="s">
        <v>1417</v>
      </c>
      <c r="G1244" s="116">
        <v>1190</v>
      </c>
      <c r="H1244" s="1776" t="s">
        <v>1349</v>
      </c>
      <c r="J1244" s="224"/>
      <c r="K1244" s="34" t="s">
        <v>25</v>
      </c>
      <c r="L1244" s="475"/>
      <c r="M1244" s="224"/>
      <c r="N1244" s="224"/>
      <c r="O1244" s="2628" t="s">
        <v>6395</v>
      </c>
      <c r="P1244" s="1">
        <v>430</v>
      </c>
      <c r="T1244" s="224"/>
      <c r="U1244" s="34" t="s">
        <v>25</v>
      </c>
      <c r="V1244" s="475"/>
      <c r="W1244" s="224"/>
      <c r="X1244" s="224"/>
    </row>
    <row r="1245" spans="1:24" x14ac:dyDescent="0.3">
      <c r="A1245" s="2651">
        <v>431</v>
      </c>
      <c r="B1245" s="1122" t="s">
        <v>1477</v>
      </c>
      <c r="C1245" s="1117" t="s">
        <v>1344</v>
      </c>
      <c r="D1245" s="416" t="s">
        <v>938</v>
      </c>
      <c r="E1245" s="217" t="s">
        <v>1602</v>
      </c>
      <c r="F1245" s="218" t="s">
        <v>1417</v>
      </c>
      <c r="G1245" s="116">
        <v>1190</v>
      </c>
      <c r="H1245" s="1776" t="s">
        <v>1349</v>
      </c>
      <c r="J1245" s="224"/>
      <c r="K1245" s="34" t="s">
        <v>25</v>
      </c>
      <c r="L1245" s="475"/>
      <c r="M1245" s="224"/>
      <c r="N1245" s="224"/>
      <c r="O1245" s="2628" t="s">
        <v>6395</v>
      </c>
      <c r="P1245" s="1">
        <v>431</v>
      </c>
      <c r="T1245" s="224"/>
      <c r="U1245" s="34" t="s">
        <v>25</v>
      </c>
      <c r="V1245" s="475"/>
      <c r="W1245" s="224"/>
      <c r="X1245" s="224"/>
    </row>
    <row r="1246" spans="1:24" x14ac:dyDescent="0.3">
      <c r="A1246" s="2652">
        <v>432</v>
      </c>
      <c r="B1246" s="1122" t="s">
        <v>1477</v>
      </c>
      <c r="C1246" s="1117" t="s">
        <v>1344</v>
      </c>
      <c r="D1246" s="416" t="s">
        <v>938</v>
      </c>
      <c r="E1246" s="217" t="s">
        <v>1603</v>
      </c>
      <c r="F1246" s="218" t="s">
        <v>1417</v>
      </c>
      <c r="G1246" s="116">
        <v>1190</v>
      </c>
      <c r="H1246" s="1776" t="s">
        <v>1349</v>
      </c>
      <c r="J1246" s="224"/>
      <c r="K1246" s="34" t="s">
        <v>25</v>
      </c>
      <c r="L1246" s="475"/>
      <c r="M1246" s="224"/>
      <c r="N1246" s="224"/>
      <c r="O1246" s="2628" t="s">
        <v>6395</v>
      </c>
      <c r="P1246" s="1">
        <v>432</v>
      </c>
      <c r="T1246" s="224"/>
      <c r="U1246" s="34" t="s">
        <v>25</v>
      </c>
      <c r="V1246" s="475"/>
      <c r="W1246" s="224"/>
      <c r="X1246" s="224"/>
    </row>
    <row r="1247" spans="1:24" x14ac:dyDescent="0.3">
      <c r="A1247" s="2651">
        <v>433</v>
      </c>
      <c r="B1247" s="1122" t="s">
        <v>1477</v>
      </c>
      <c r="C1247" s="1117" t="s">
        <v>1344</v>
      </c>
      <c r="D1247" s="416" t="s">
        <v>938</v>
      </c>
      <c r="E1247" s="217" t="s">
        <v>1604</v>
      </c>
      <c r="F1247" s="218" t="s">
        <v>1417</v>
      </c>
      <c r="G1247" s="116">
        <v>1190</v>
      </c>
      <c r="H1247" s="1776" t="s">
        <v>1349</v>
      </c>
      <c r="J1247" s="224"/>
      <c r="K1247" s="34" t="s">
        <v>25</v>
      </c>
      <c r="L1247" s="475"/>
      <c r="M1247" s="224"/>
      <c r="N1247" s="224"/>
      <c r="O1247" s="2628" t="s">
        <v>6395</v>
      </c>
      <c r="P1247" s="1">
        <v>433</v>
      </c>
      <c r="T1247" s="224"/>
      <c r="U1247" s="34" t="s">
        <v>25</v>
      </c>
      <c r="V1247" s="475"/>
      <c r="W1247" s="224"/>
      <c r="X1247" s="224"/>
    </row>
    <row r="1248" spans="1:24" x14ac:dyDescent="0.3">
      <c r="A1248" s="2651">
        <v>434</v>
      </c>
      <c r="B1248" s="1122" t="s">
        <v>1477</v>
      </c>
      <c r="C1248" s="1117" t="s">
        <v>1344</v>
      </c>
      <c r="D1248" s="416" t="s">
        <v>938</v>
      </c>
      <c r="E1248" s="217" t="s">
        <v>1605</v>
      </c>
      <c r="F1248" s="218" t="s">
        <v>1417</v>
      </c>
      <c r="G1248" s="116">
        <v>1190</v>
      </c>
      <c r="H1248" s="1776" t="s">
        <v>1349</v>
      </c>
      <c r="J1248" s="224"/>
      <c r="K1248" s="34" t="s">
        <v>25</v>
      </c>
      <c r="L1248" s="475"/>
      <c r="M1248" s="224"/>
      <c r="N1248" s="224"/>
      <c r="O1248" s="2628" t="s">
        <v>6395</v>
      </c>
      <c r="P1248" s="1">
        <v>434</v>
      </c>
      <c r="T1248" s="224"/>
      <c r="U1248" s="34" t="s">
        <v>25</v>
      </c>
      <c r="V1248" s="475"/>
      <c r="W1248" s="224"/>
      <c r="X1248" s="224"/>
    </row>
    <row r="1249" spans="1:24" x14ac:dyDescent="0.3">
      <c r="A1249" s="2652">
        <v>435</v>
      </c>
      <c r="B1249" s="1122" t="s">
        <v>1477</v>
      </c>
      <c r="C1249" s="1117" t="s">
        <v>1344</v>
      </c>
      <c r="D1249" s="416" t="s">
        <v>938</v>
      </c>
      <c r="E1249" s="217" t="s">
        <v>334</v>
      </c>
      <c r="F1249" s="218" t="s">
        <v>1417</v>
      </c>
      <c r="G1249" s="116">
        <v>1190</v>
      </c>
      <c r="H1249" s="1776" t="s">
        <v>1349</v>
      </c>
      <c r="J1249" s="224"/>
      <c r="K1249" s="34" t="s">
        <v>25</v>
      </c>
      <c r="L1249" s="475"/>
      <c r="M1249" s="224"/>
      <c r="N1249" s="224"/>
      <c r="O1249" s="2628" t="s">
        <v>6395</v>
      </c>
      <c r="P1249" s="1">
        <v>435</v>
      </c>
      <c r="T1249" s="224"/>
      <c r="U1249" s="34" t="s">
        <v>25</v>
      </c>
      <c r="V1249" s="475"/>
      <c r="W1249" s="224"/>
      <c r="X1249" s="224"/>
    </row>
    <row r="1250" spans="1:24" x14ac:dyDescent="0.3">
      <c r="A1250" s="2651">
        <v>436</v>
      </c>
      <c r="B1250" s="1122" t="s">
        <v>1477</v>
      </c>
      <c r="C1250" s="1117" t="s">
        <v>1344</v>
      </c>
      <c r="D1250" s="416" t="s">
        <v>938</v>
      </c>
      <c r="E1250" s="217" t="s">
        <v>1606</v>
      </c>
      <c r="F1250" s="218" t="s">
        <v>1417</v>
      </c>
      <c r="G1250" s="116">
        <v>1190</v>
      </c>
      <c r="H1250" s="1776" t="s">
        <v>1349</v>
      </c>
      <c r="J1250" s="224"/>
      <c r="K1250" s="34" t="s">
        <v>25</v>
      </c>
      <c r="L1250" s="475"/>
      <c r="M1250" s="224"/>
      <c r="N1250" s="224"/>
      <c r="O1250" s="2628" t="s">
        <v>6395</v>
      </c>
      <c r="P1250" s="1">
        <v>436</v>
      </c>
      <c r="T1250" s="224"/>
      <c r="U1250" s="34" t="s">
        <v>25</v>
      </c>
      <c r="V1250" s="475"/>
      <c r="W1250" s="224"/>
      <c r="X1250" s="224"/>
    </row>
    <row r="1251" spans="1:24" x14ac:dyDescent="0.3">
      <c r="A1251" s="2651">
        <v>437</v>
      </c>
      <c r="B1251" s="1122" t="s">
        <v>1477</v>
      </c>
      <c r="C1251" s="1117" t="s">
        <v>1344</v>
      </c>
      <c r="D1251" s="416" t="s">
        <v>938</v>
      </c>
      <c r="E1251" s="217" t="s">
        <v>1607</v>
      </c>
      <c r="F1251" s="218" t="s">
        <v>1417</v>
      </c>
      <c r="G1251" s="116">
        <v>1190</v>
      </c>
      <c r="H1251" s="1776" t="s">
        <v>1349</v>
      </c>
      <c r="J1251" s="224"/>
      <c r="K1251" s="34" t="s">
        <v>25</v>
      </c>
      <c r="L1251" s="475"/>
      <c r="M1251" s="224"/>
      <c r="N1251" s="224"/>
      <c r="O1251" s="2628" t="s">
        <v>6395</v>
      </c>
      <c r="P1251" s="1">
        <v>437</v>
      </c>
      <c r="T1251" s="224"/>
      <c r="U1251" s="34" t="s">
        <v>25</v>
      </c>
      <c r="V1251" s="475"/>
      <c r="W1251" s="224"/>
      <c r="X1251" s="224"/>
    </row>
    <row r="1252" spans="1:24" x14ac:dyDescent="0.3">
      <c r="A1252" s="2652">
        <v>438</v>
      </c>
      <c r="B1252" s="1122" t="s">
        <v>1477</v>
      </c>
      <c r="C1252" s="1117" t="s">
        <v>1344</v>
      </c>
      <c r="D1252" s="416" t="s">
        <v>938</v>
      </c>
      <c r="E1252" s="217" t="s">
        <v>1608</v>
      </c>
      <c r="F1252" s="218" t="s">
        <v>1417</v>
      </c>
      <c r="G1252" s="116">
        <v>1190</v>
      </c>
      <c r="H1252" s="1776" t="s">
        <v>1349</v>
      </c>
      <c r="J1252" s="224"/>
      <c r="K1252" s="34" t="s">
        <v>25</v>
      </c>
      <c r="L1252" s="475"/>
      <c r="M1252" s="224"/>
      <c r="N1252" s="224"/>
      <c r="O1252" s="2628" t="s">
        <v>6395</v>
      </c>
      <c r="P1252" s="1">
        <v>438</v>
      </c>
      <c r="T1252" s="224"/>
      <c r="U1252" s="34" t="s">
        <v>25</v>
      </c>
      <c r="V1252" s="475"/>
      <c r="W1252" s="224"/>
      <c r="X1252" s="224"/>
    </row>
    <row r="1253" spans="1:24" x14ac:dyDescent="0.3">
      <c r="A1253" s="2651">
        <v>439</v>
      </c>
      <c r="B1253" s="1122" t="s">
        <v>1477</v>
      </c>
      <c r="C1253" s="1117" t="s">
        <v>1344</v>
      </c>
      <c r="D1253" s="416" t="s">
        <v>938</v>
      </c>
      <c r="E1253" s="217" t="s">
        <v>1609</v>
      </c>
      <c r="F1253" s="218" t="s">
        <v>1417</v>
      </c>
      <c r="G1253" s="116">
        <v>1190</v>
      </c>
      <c r="H1253" s="1776" t="s">
        <v>1349</v>
      </c>
      <c r="J1253" s="224"/>
      <c r="K1253" s="34" t="s">
        <v>25</v>
      </c>
      <c r="L1253" s="475"/>
      <c r="M1253" s="224"/>
      <c r="N1253" s="224"/>
      <c r="O1253" s="2628" t="s">
        <v>6395</v>
      </c>
      <c r="P1253" s="1">
        <v>439</v>
      </c>
      <c r="T1253" s="224"/>
      <c r="U1253" s="34" t="s">
        <v>25</v>
      </c>
      <c r="V1253" s="475"/>
      <c r="W1253" s="224"/>
      <c r="X1253" s="224"/>
    </row>
    <row r="1254" spans="1:24" x14ac:dyDescent="0.3">
      <c r="A1254" s="2651">
        <v>440</v>
      </c>
      <c r="B1254" s="1122" t="s">
        <v>1477</v>
      </c>
      <c r="C1254" s="1117" t="s">
        <v>1344</v>
      </c>
      <c r="D1254" s="416" t="s">
        <v>938</v>
      </c>
      <c r="E1254" s="217" t="s">
        <v>471</v>
      </c>
      <c r="F1254" s="218" t="s">
        <v>1417</v>
      </c>
      <c r="G1254" s="116">
        <v>1190</v>
      </c>
      <c r="H1254" s="1776" t="s">
        <v>1349</v>
      </c>
      <c r="J1254" s="224"/>
      <c r="K1254" s="34" t="s">
        <v>25</v>
      </c>
      <c r="L1254" s="475"/>
      <c r="M1254" s="224"/>
      <c r="N1254" s="224"/>
      <c r="O1254" s="2628" t="s">
        <v>6395</v>
      </c>
      <c r="P1254" s="1">
        <v>440</v>
      </c>
      <c r="T1254" s="224"/>
      <c r="U1254" s="34" t="s">
        <v>25</v>
      </c>
      <c r="V1254" s="475"/>
      <c r="W1254" s="224"/>
      <c r="X1254" s="224"/>
    </row>
    <row r="1255" spans="1:24" x14ac:dyDescent="0.3">
      <c r="A1255" s="2652">
        <v>441</v>
      </c>
      <c r="B1255" s="1122" t="s">
        <v>1477</v>
      </c>
      <c r="C1255" s="1117" t="s">
        <v>1344</v>
      </c>
      <c r="D1255" s="416" t="s">
        <v>938</v>
      </c>
      <c r="E1255" s="217" t="s">
        <v>1610</v>
      </c>
      <c r="F1255" s="218" t="s">
        <v>1417</v>
      </c>
      <c r="G1255" s="116">
        <v>1190</v>
      </c>
      <c r="H1255" s="1776" t="s">
        <v>1349</v>
      </c>
      <c r="J1255" s="224"/>
      <c r="K1255" s="34" t="s">
        <v>25</v>
      </c>
      <c r="L1255" s="475"/>
      <c r="M1255" s="224"/>
      <c r="N1255" s="224"/>
      <c r="O1255" s="2628" t="s">
        <v>6395</v>
      </c>
      <c r="P1255" s="1">
        <v>441</v>
      </c>
      <c r="T1255" s="224"/>
      <c r="U1255" s="34" t="s">
        <v>25</v>
      </c>
      <c r="V1255" s="475"/>
      <c r="W1255" s="224"/>
      <c r="X1255" s="224"/>
    </row>
    <row r="1256" spans="1:24" x14ac:dyDescent="0.3">
      <c r="A1256" s="2651">
        <v>442</v>
      </c>
      <c r="B1256" s="1122" t="s">
        <v>1477</v>
      </c>
      <c r="C1256" s="1117" t="s">
        <v>1344</v>
      </c>
      <c r="D1256" s="452" t="s">
        <v>938</v>
      </c>
      <c r="E1256" s="217" t="s">
        <v>1611</v>
      </c>
      <c r="F1256" s="218" t="s">
        <v>1417</v>
      </c>
      <c r="G1256" s="116">
        <v>1190</v>
      </c>
      <c r="H1256" s="1776" t="s">
        <v>1349</v>
      </c>
      <c r="J1256" s="224"/>
      <c r="K1256" s="34" t="s">
        <v>25</v>
      </c>
      <c r="L1256" s="475"/>
      <c r="M1256" s="224"/>
      <c r="N1256" s="224"/>
      <c r="O1256" s="2628" t="s">
        <v>6395</v>
      </c>
      <c r="P1256" s="1">
        <v>442</v>
      </c>
      <c r="T1256" s="224"/>
      <c r="U1256" s="34" t="s">
        <v>25</v>
      </c>
      <c r="V1256" s="475"/>
      <c r="W1256" s="224"/>
      <c r="X1256" s="224"/>
    </row>
    <row r="1257" spans="1:24" x14ac:dyDescent="0.3">
      <c r="A1257" s="2651">
        <v>443</v>
      </c>
      <c r="B1257" s="1122" t="s">
        <v>1477</v>
      </c>
      <c r="C1257" s="1117" t="s">
        <v>1344</v>
      </c>
      <c r="D1257" s="793" t="s">
        <v>938</v>
      </c>
      <c r="E1257" s="217" t="s">
        <v>1612</v>
      </c>
      <c r="F1257" s="218" t="s">
        <v>1417</v>
      </c>
      <c r="G1257" s="116">
        <v>1190</v>
      </c>
      <c r="H1257" s="1776" t="s">
        <v>1349</v>
      </c>
      <c r="J1257" s="224"/>
      <c r="K1257" s="34" t="s">
        <v>25</v>
      </c>
      <c r="L1257" s="475"/>
      <c r="M1257" s="224"/>
      <c r="N1257" s="224"/>
      <c r="O1257" s="2628" t="s">
        <v>6395</v>
      </c>
      <c r="P1257" s="1">
        <v>443</v>
      </c>
      <c r="T1257" s="224"/>
      <c r="U1257" s="34" t="s">
        <v>25</v>
      </c>
      <c r="V1257" s="475"/>
      <c r="W1257" s="224"/>
      <c r="X1257" s="224"/>
    </row>
    <row r="1258" spans="1:24" x14ac:dyDescent="0.3">
      <c r="A1258" s="2652">
        <v>444</v>
      </c>
      <c r="B1258" s="1122" t="s">
        <v>1477</v>
      </c>
      <c r="C1258" s="216" t="s">
        <v>1344</v>
      </c>
      <c r="D1258" s="416" t="s">
        <v>938</v>
      </c>
      <c r="E1258" s="217" t="s">
        <v>1613</v>
      </c>
      <c r="F1258" s="218" t="s">
        <v>1417</v>
      </c>
      <c r="G1258" s="116">
        <v>1190</v>
      </c>
      <c r="H1258" s="1776" t="s">
        <v>1349</v>
      </c>
      <c r="J1258" s="224"/>
      <c r="K1258" s="34" t="s">
        <v>25</v>
      </c>
      <c r="L1258" s="475"/>
      <c r="M1258" s="224"/>
      <c r="N1258" s="224"/>
      <c r="O1258" s="2628" t="s">
        <v>6395</v>
      </c>
      <c r="P1258" s="1">
        <v>444</v>
      </c>
      <c r="T1258" s="224"/>
      <c r="U1258" s="34" t="s">
        <v>25</v>
      </c>
      <c r="V1258" s="475"/>
      <c r="W1258" s="224"/>
      <c r="X1258" s="224"/>
    </row>
    <row r="1259" spans="1:24" x14ac:dyDescent="0.3">
      <c r="A1259" s="2651">
        <v>445</v>
      </c>
      <c r="B1259" s="1122" t="s">
        <v>1477</v>
      </c>
      <c r="C1259" s="216" t="s">
        <v>1344</v>
      </c>
      <c r="D1259" s="416" t="s">
        <v>938</v>
      </c>
      <c r="E1259" s="217" t="s">
        <v>1614</v>
      </c>
      <c r="F1259" s="218" t="s">
        <v>1417</v>
      </c>
      <c r="G1259" s="116">
        <v>1190</v>
      </c>
      <c r="H1259" s="1776" t="s">
        <v>1349</v>
      </c>
      <c r="J1259" s="224"/>
      <c r="K1259" s="34" t="s">
        <v>25</v>
      </c>
      <c r="L1259" s="475"/>
      <c r="M1259" s="224"/>
      <c r="N1259" s="224"/>
      <c r="O1259" s="2628" t="s">
        <v>6395</v>
      </c>
      <c r="P1259" s="1">
        <v>445</v>
      </c>
      <c r="T1259" s="224"/>
      <c r="U1259" s="34" t="s">
        <v>25</v>
      </c>
      <c r="V1259" s="475"/>
      <c r="W1259" s="224"/>
      <c r="X1259" s="224"/>
    </row>
    <row r="1260" spans="1:24" x14ac:dyDescent="0.3">
      <c r="A1260" s="2651">
        <v>446</v>
      </c>
      <c r="B1260" s="1122" t="s">
        <v>1477</v>
      </c>
      <c r="C1260" s="216" t="s">
        <v>1344</v>
      </c>
      <c r="D1260" s="416" t="s">
        <v>938</v>
      </c>
      <c r="E1260" s="217" t="s">
        <v>1615</v>
      </c>
      <c r="F1260" s="218" t="s">
        <v>1417</v>
      </c>
      <c r="G1260" s="116">
        <v>1190</v>
      </c>
      <c r="H1260" s="1776" t="s">
        <v>1349</v>
      </c>
      <c r="J1260" s="224"/>
      <c r="K1260" s="34" t="s">
        <v>25</v>
      </c>
      <c r="L1260" s="475"/>
      <c r="M1260" s="224"/>
      <c r="N1260" s="224"/>
      <c r="O1260" s="2628" t="s">
        <v>6395</v>
      </c>
      <c r="P1260" s="1">
        <v>446</v>
      </c>
      <c r="T1260" s="224"/>
      <c r="U1260" s="34" t="s">
        <v>25</v>
      </c>
      <c r="V1260" s="475"/>
      <c r="W1260" s="224"/>
      <c r="X1260" s="224"/>
    </row>
    <row r="1261" spans="1:24" x14ac:dyDescent="0.3">
      <c r="A1261" s="2652">
        <v>447</v>
      </c>
      <c r="B1261" s="1122" t="s">
        <v>1477</v>
      </c>
      <c r="C1261" s="216" t="s">
        <v>1344</v>
      </c>
      <c r="D1261" s="416" t="s">
        <v>938</v>
      </c>
      <c r="E1261" s="217" t="s">
        <v>1616</v>
      </c>
      <c r="F1261" s="218" t="s">
        <v>1417</v>
      </c>
      <c r="G1261" s="116">
        <v>1190</v>
      </c>
      <c r="H1261" s="1776" t="s">
        <v>1349</v>
      </c>
      <c r="J1261" s="224"/>
      <c r="K1261" s="34" t="s">
        <v>25</v>
      </c>
      <c r="L1261" s="475"/>
      <c r="M1261" s="224"/>
      <c r="N1261" s="224"/>
      <c r="O1261" s="2628" t="s">
        <v>6395</v>
      </c>
      <c r="P1261" s="1">
        <v>447</v>
      </c>
      <c r="T1261" s="224"/>
      <c r="U1261" s="34" t="s">
        <v>25</v>
      </c>
      <c r="V1261" s="475"/>
      <c r="W1261" s="224"/>
      <c r="X1261" s="224"/>
    </row>
    <row r="1262" spans="1:24" x14ac:dyDescent="0.3">
      <c r="A1262" s="2651">
        <v>448</v>
      </c>
      <c r="B1262" s="1122" t="s">
        <v>1477</v>
      </c>
      <c r="C1262" s="216" t="s">
        <v>1344</v>
      </c>
      <c r="D1262" s="416" t="s">
        <v>938</v>
      </c>
      <c r="E1262" s="217" t="s">
        <v>1617</v>
      </c>
      <c r="F1262" s="218" t="s">
        <v>1417</v>
      </c>
      <c r="G1262" s="116">
        <v>1190</v>
      </c>
      <c r="H1262" s="1776" t="s">
        <v>1349</v>
      </c>
      <c r="J1262" s="224"/>
      <c r="K1262" s="34" t="s">
        <v>25</v>
      </c>
      <c r="L1262" s="475"/>
      <c r="M1262" s="224"/>
      <c r="N1262" s="224"/>
      <c r="O1262" s="2628" t="s">
        <v>6395</v>
      </c>
      <c r="P1262" s="1">
        <v>448</v>
      </c>
      <c r="T1262" s="224"/>
      <c r="U1262" s="34" t="s">
        <v>25</v>
      </c>
      <c r="V1262" s="475"/>
      <c r="W1262" s="224"/>
      <c r="X1262" s="224"/>
    </row>
    <row r="1263" spans="1:24" x14ac:dyDescent="0.3">
      <c r="A1263" s="2651">
        <v>449</v>
      </c>
      <c r="B1263" s="1122" t="s">
        <v>1477</v>
      </c>
      <c r="C1263" s="216" t="s">
        <v>1344</v>
      </c>
      <c r="D1263" s="416" t="s">
        <v>938</v>
      </c>
      <c r="E1263" s="217" t="s">
        <v>1618</v>
      </c>
      <c r="F1263" s="218" t="s">
        <v>1417</v>
      </c>
      <c r="G1263" s="116">
        <v>1190</v>
      </c>
      <c r="H1263" s="1776" t="s">
        <v>1349</v>
      </c>
      <c r="J1263" s="224"/>
      <c r="K1263" s="34" t="s">
        <v>25</v>
      </c>
      <c r="L1263" s="475"/>
      <c r="M1263" s="224"/>
      <c r="N1263" s="224"/>
      <c r="O1263" s="2628" t="s">
        <v>6395</v>
      </c>
      <c r="P1263" s="1">
        <v>449</v>
      </c>
      <c r="T1263" s="224"/>
      <c r="U1263" s="34" t="s">
        <v>25</v>
      </c>
      <c r="V1263" s="475"/>
      <c r="W1263" s="224"/>
      <c r="X1263" s="224"/>
    </row>
    <row r="1264" spans="1:24" x14ac:dyDescent="0.3">
      <c r="A1264" s="2652">
        <v>450</v>
      </c>
      <c r="B1264" s="1122" t="s">
        <v>1477</v>
      </c>
      <c r="C1264" s="216" t="s">
        <v>1344</v>
      </c>
      <c r="D1264" s="416" t="s">
        <v>938</v>
      </c>
      <c r="E1264" s="217" t="s">
        <v>1619</v>
      </c>
      <c r="F1264" s="218" t="s">
        <v>1417</v>
      </c>
      <c r="G1264" s="116">
        <v>1190</v>
      </c>
      <c r="H1264" s="1776" t="s">
        <v>1349</v>
      </c>
      <c r="J1264" s="224"/>
      <c r="K1264" s="34" t="s">
        <v>25</v>
      </c>
      <c r="L1264" s="475"/>
      <c r="M1264" s="224"/>
      <c r="N1264" s="224"/>
      <c r="O1264" s="2628" t="s">
        <v>6395</v>
      </c>
      <c r="P1264" s="1">
        <v>450</v>
      </c>
      <c r="T1264" s="224"/>
      <c r="U1264" s="34" t="s">
        <v>25</v>
      </c>
      <c r="V1264" s="475"/>
      <c r="W1264" s="224"/>
      <c r="X1264" s="224"/>
    </row>
    <row r="1265" spans="1:24" x14ac:dyDescent="0.3">
      <c r="A1265" s="2651">
        <v>451</v>
      </c>
      <c r="B1265" s="1122" t="s">
        <v>1477</v>
      </c>
      <c r="C1265" s="216" t="s">
        <v>1344</v>
      </c>
      <c r="D1265" s="416" t="s">
        <v>938</v>
      </c>
      <c r="E1265" s="217" t="s">
        <v>1620</v>
      </c>
      <c r="F1265" s="218" t="s">
        <v>1417</v>
      </c>
      <c r="G1265" s="116">
        <v>1190</v>
      </c>
      <c r="H1265" s="1776" t="s">
        <v>1349</v>
      </c>
      <c r="J1265" s="224"/>
      <c r="K1265" s="34" t="s">
        <v>25</v>
      </c>
      <c r="L1265" s="475"/>
      <c r="M1265" s="224"/>
      <c r="N1265" s="224"/>
      <c r="O1265" s="2628" t="s">
        <v>6395</v>
      </c>
      <c r="P1265" s="1">
        <v>451</v>
      </c>
      <c r="T1265" s="224"/>
      <c r="U1265" s="34" t="s">
        <v>25</v>
      </c>
      <c r="V1265" s="475"/>
      <c r="W1265" s="224"/>
      <c r="X1265" s="224"/>
    </row>
    <row r="1266" spans="1:24" x14ac:dyDescent="0.3">
      <c r="A1266" s="2651">
        <v>452</v>
      </c>
      <c r="B1266" s="1122" t="s">
        <v>1477</v>
      </c>
      <c r="C1266" s="216" t="s">
        <v>1344</v>
      </c>
      <c r="D1266" s="416" t="s">
        <v>938</v>
      </c>
      <c r="E1266" s="217" t="s">
        <v>1621</v>
      </c>
      <c r="F1266" s="218" t="s">
        <v>1417</v>
      </c>
      <c r="G1266" s="116">
        <v>1190</v>
      </c>
      <c r="H1266" s="1776" t="s">
        <v>1349</v>
      </c>
      <c r="J1266" s="224"/>
      <c r="K1266" s="34" t="s">
        <v>25</v>
      </c>
      <c r="L1266" s="475"/>
      <c r="M1266" s="224"/>
      <c r="N1266" s="224"/>
      <c r="O1266" s="2628" t="s">
        <v>6395</v>
      </c>
      <c r="P1266" s="1">
        <v>452</v>
      </c>
      <c r="T1266" s="224"/>
      <c r="U1266" s="34" t="s">
        <v>25</v>
      </c>
      <c r="V1266" s="475"/>
      <c r="W1266" s="224"/>
      <c r="X1266" s="224"/>
    </row>
    <row r="1267" spans="1:24" x14ac:dyDescent="0.3">
      <c r="A1267" s="2652">
        <v>453</v>
      </c>
      <c r="B1267" s="1122" t="s">
        <v>1477</v>
      </c>
      <c r="C1267" s="216" t="s">
        <v>1344</v>
      </c>
      <c r="D1267" s="416" t="s">
        <v>938</v>
      </c>
      <c r="E1267" s="217" t="s">
        <v>1622</v>
      </c>
      <c r="F1267" s="218" t="s">
        <v>1417</v>
      </c>
      <c r="G1267" s="116">
        <v>1190</v>
      </c>
      <c r="H1267" s="1776" t="s">
        <v>1349</v>
      </c>
      <c r="J1267" s="224"/>
      <c r="K1267" s="34" t="s">
        <v>25</v>
      </c>
      <c r="L1267" s="475"/>
      <c r="M1267" s="224"/>
      <c r="N1267" s="224"/>
      <c r="O1267" s="2628" t="s">
        <v>6395</v>
      </c>
      <c r="P1267" s="1">
        <v>453</v>
      </c>
      <c r="T1267" s="224"/>
      <c r="U1267" s="34" t="s">
        <v>25</v>
      </c>
      <c r="V1267" s="475"/>
      <c r="W1267" s="224"/>
      <c r="X1267" s="224"/>
    </row>
    <row r="1268" spans="1:24" x14ac:dyDescent="0.3">
      <c r="A1268" s="2651">
        <v>454</v>
      </c>
      <c r="B1268" s="1122" t="s">
        <v>1477</v>
      </c>
      <c r="C1268" s="216" t="s">
        <v>1344</v>
      </c>
      <c r="D1268" s="416" t="s">
        <v>938</v>
      </c>
      <c r="E1268" s="217" t="s">
        <v>1623</v>
      </c>
      <c r="F1268" s="218" t="s">
        <v>1417</v>
      </c>
      <c r="G1268" s="116">
        <v>1190</v>
      </c>
      <c r="H1268" s="1776" t="s">
        <v>1349</v>
      </c>
      <c r="J1268" s="224"/>
      <c r="K1268" s="34" t="s">
        <v>25</v>
      </c>
      <c r="L1268" s="475"/>
      <c r="M1268" s="224"/>
      <c r="N1268" s="224"/>
      <c r="O1268" s="2628" t="s">
        <v>6395</v>
      </c>
      <c r="P1268" s="1">
        <v>454</v>
      </c>
      <c r="T1268" s="224"/>
      <c r="U1268" s="34" t="s">
        <v>25</v>
      </c>
      <c r="V1268" s="475"/>
      <c r="W1268" s="224"/>
      <c r="X1268" s="224"/>
    </row>
    <row r="1269" spans="1:24" x14ac:dyDescent="0.3">
      <c r="A1269" s="2651">
        <v>455</v>
      </c>
      <c r="B1269" s="1122" t="s">
        <v>1477</v>
      </c>
      <c r="C1269" s="216" t="s">
        <v>1344</v>
      </c>
      <c r="D1269" s="452" t="s">
        <v>938</v>
      </c>
      <c r="E1269" s="217" t="s">
        <v>1624</v>
      </c>
      <c r="F1269" s="218" t="s">
        <v>1417</v>
      </c>
      <c r="G1269" s="116">
        <v>1190</v>
      </c>
      <c r="H1269" s="1776" t="s">
        <v>1349</v>
      </c>
      <c r="J1269" s="224"/>
      <c r="K1269" s="34" t="s">
        <v>25</v>
      </c>
      <c r="L1269" s="475"/>
      <c r="M1269" s="224"/>
      <c r="N1269" s="224"/>
      <c r="O1269" s="2628" t="s">
        <v>6395</v>
      </c>
      <c r="P1269" s="1">
        <v>455</v>
      </c>
      <c r="T1269" s="224"/>
      <c r="U1269" s="34" t="s">
        <v>25</v>
      </c>
      <c r="V1269" s="475"/>
      <c r="W1269" s="224"/>
      <c r="X1269" s="224"/>
    </row>
    <row r="1270" spans="1:24" x14ac:dyDescent="0.3">
      <c r="A1270" s="2652">
        <v>456</v>
      </c>
      <c r="B1270" s="1122" t="s">
        <v>1477</v>
      </c>
      <c r="C1270" s="216" t="s">
        <v>1344</v>
      </c>
      <c r="D1270" s="495" t="s">
        <v>938</v>
      </c>
      <c r="E1270" s="217" t="s">
        <v>1625</v>
      </c>
      <c r="F1270" s="218" t="s">
        <v>1417</v>
      </c>
      <c r="G1270" s="116">
        <v>1190</v>
      </c>
      <c r="H1270" s="1776" t="s">
        <v>1349</v>
      </c>
      <c r="J1270" s="224"/>
      <c r="K1270" s="34" t="s">
        <v>25</v>
      </c>
      <c r="L1270" s="475"/>
      <c r="M1270" s="224"/>
      <c r="N1270" s="224"/>
      <c r="O1270" s="2628" t="s">
        <v>6395</v>
      </c>
      <c r="P1270" s="1">
        <v>456</v>
      </c>
      <c r="T1270" s="224"/>
      <c r="U1270" s="34" t="s">
        <v>25</v>
      </c>
      <c r="V1270" s="475"/>
      <c r="W1270" s="224"/>
      <c r="X1270" s="224"/>
    </row>
    <row r="1271" spans="1:24" x14ac:dyDescent="0.3">
      <c r="A1271" s="2651">
        <v>457</v>
      </c>
      <c r="B1271" s="1122" t="s">
        <v>1477</v>
      </c>
      <c r="C1271" s="216" t="s">
        <v>1344</v>
      </c>
      <c r="D1271" s="793" t="s">
        <v>938</v>
      </c>
      <c r="E1271" s="217" t="s">
        <v>1626</v>
      </c>
      <c r="F1271" s="218" t="s">
        <v>1417</v>
      </c>
      <c r="G1271" s="116">
        <v>1190</v>
      </c>
      <c r="H1271" s="1776" t="s">
        <v>1349</v>
      </c>
      <c r="J1271" s="224"/>
      <c r="K1271" s="34" t="s">
        <v>25</v>
      </c>
      <c r="L1271" s="475"/>
      <c r="M1271" s="224"/>
      <c r="N1271" s="224"/>
      <c r="O1271" s="2628" t="s">
        <v>6395</v>
      </c>
      <c r="P1271" s="1">
        <v>457</v>
      </c>
      <c r="T1271" s="224"/>
      <c r="U1271" s="34" t="s">
        <v>25</v>
      </c>
      <c r="V1271" s="475"/>
      <c r="W1271" s="224"/>
      <c r="X1271" s="224"/>
    </row>
    <row r="1272" spans="1:24" x14ac:dyDescent="0.3">
      <c r="A1272" s="2651">
        <v>458</v>
      </c>
      <c r="B1272" s="1122" t="s">
        <v>1477</v>
      </c>
      <c r="C1272" s="216" t="s">
        <v>1344</v>
      </c>
      <c r="D1272" s="452" t="s">
        <v>938</v>
      </c>
      <c r="E1272" s="217" t="s">
        <v>1627</v>
      </c>
      <c r="F1272" s="218" t="s">
        <v>1417</v>
      </c>
      <c r="G1272" s="116">
        <v>1190</v>
      </c>
      <c r="H1272" s="1776" t="s">
        <v>1349</v>
      </c>
      <c r="J1272" s="224"/>
      <c r="K1272" s="34" t="s">
        <v>25</v>
      </c>
      <c r="L1272" s="475"/>
      <c r="M1272" s="224"/>
      <c r="N1272" s="224"/>
      <c r="O1272" s="2628" t="s">
        <v>6395</v>
      </c>
      <c r="P1272" s="1">
        <v>458</v>
      </c>
      <c r="T1272" s="224"/>
      <c r="U1272" s="34" t="s">
        <v>25</v>
      </c>
      <c r="V1272" s="475"/>
      <c r="W1272" s="224"/>
      <c r="X1272" s="224"/>
    </row>
    <row r="1273" spans="1:24" x14ac:dyDescent="0.3">
      <c r="A1273" s="2652">
        <v>459</v>
      </c>
      <c r="B1273" s="1122" t="s">
        <v>1477</v>
      </c>
      <c r="C1273" s="216" t="s">
        <v>1344</v>
      </c>
      <c r="D1273" s="793" t="s">
        <v>938</v>
      </c>
      <c r="E1273" s="217" t="s">
        <v>1628</v>
      </c>
      <c r="F1273" s="218" t="s">
        <v>1417</v>
      </c>
      <c r="G1273" s="116">
        <v>1190</v>
      </c>
      <c r="H1273" s="1776" t="s">
        <v>1349</v>
      </c>
      <c r="J1273" s="224"/>
      <c r="K1273" s="34" t="s">
        <v>25</v>
      </c>
      <c r="L1273" s="475"/>
      <c r="M1273" s="224"/>
      <c r="N1273" s="224"/>
      <c r="O1273" s="2628" t="s">
        <v>6395</v>
      </c>
      <c r="P1273" s="1">
        <v>459</v>
      </c>
      <c r="T1273" s="224"/>
      <c r="U1273" s="34" t="s">
        <v>25</v>
      </c>
      <c r="V1273" s="475"/>
      <c r="W1273" s="224"/>
      <c r="X1273" s="224"/>
    </row>
    <row r="1274" spans="1:24" x14ac:dyDescent="0.3">
      <c r="A1274" s="2651">
        <v>460</v>
      </c>
      <c r="B1274" s="1122" t="s">
        <v>1477</v>
      </c>
      <c r="C1274" s="216" t="s">
        <v>1344</v>
      </c>
      <c r="D1274" s="416" t="s">
        <v>938</v>
      </c>
      <c r="E1274" s="217" t="s">
        <v>1629</v>
      </c>
      <c r="F1274" s="218" t="s">
        <v>1417</v>
      </c>
      <c r="G1274" s="116">
        <v>1190</v>
      </c>
      <c r="H1274" s="1776" t="s">
        <v>1349</v>
      </c>
      <c r="J1274" s="224"/>
      <c r="K1274" s="34" t="s">
        <v>25</v>
      </c>
      <c r="L1274" s="475"/>
      <c r="M1274" s="224"/>
      <c r="N1274" s="224"/>
      <c r="O1274" s="2628" t="s">
        <v>6395</v>
      </c>
      <c r="P1274" s="1">
        <v>460</v>
      </c>
      <c r="T1274" s="224"/>
      <c r="U1274" s="34" t="s">
        <v>25</v>
      </c>
      <c r="V1274" s="475"/>
      <c r="W1274" s="224"/>
      <c r="X1274" s="224"/>
    </row>
    <row r="1275" spans="1:24" x14ac:dyDescent="0.3">
      <c r="A1275" s="2651">
        <v>461</v>
      </c>
      <c r="B1275" s="1122" t="s">
        <v>1477</v>
      </c>
      <c r="C1275" s="216" t="s">
        <v>1344</v>
      </c>
      <c r="D1275" s="416" t="s">
        <v>938</v>
      </c>
      <c r="E1275" s="217" t="s">
        <v>1630</v>
      </c>
      <c r="F1275" s="218" t="s">
        <v>1417</v>
      </c>
      <c r="G1275" s="116">
        <v>1190</v>
      </c>
      <c r="H1275" s="1776" t="s">
        <v>1349</v>
      </c>
      <c r="J1275" s="224"/>
      <c r="K1275" s="34" t="s">
        <v>25</v>
      </c>
      <c r="L1275" s="475"/>
      <c r="M1275" s="224"/>
      <c r="N1275" s="224"/>
      <c r="O1275" s="2628" t="s">
        <v>6395</v>
      </c>
      <c r="P1275" s="1">
        <v>461</v>
      </c>
      <c r="T1275" s="224"/>
      <c r="U1275" s="34" t="s">
        <v>25</v>
      </c>
      <c r="V1275" s="475"/>
      <c r="W1275" s="224"/>
      <c r="X1275" s="224"/>
    </row>
    <row r="1276" spans="1:24" x14ac:dyDescent="0.3">
      <c r="A1276" s="2652">
        <v>462</v>
      </c>
      <c r="B1276" s="1122" t="s">
        <v>1477</v>
      </c>
      <c r="C1276" s="216" t="s">
        <v>1344</v>
      </c>
      <c r="D1276" s="416" t="s">
        <v>938</v>
      </c>
      <c r="E1276" s="217" t="s">
        <v>1631</v>
      </c>
      <c r="F1276" s="218" t="s">
        <v>1417</v>
      </c>
      <c r="G1276" s="116">
        <v>1190</v>
      </c>
      <c r="H1276" s="1776" t="s">
        <v>1349</v>
      </c>
      <c r="J1276" s="224"/>
      <c r="K1276" s="34" t="s">
        <v>25</v>
      </c>
      <c r="L1276" s="475"/>
      <c r="M1276" s="224"/>
      <c r="N1276" s="224"/>
      <c r="O1276" s="2628" t="s">
        <v>6395</v>
      </c>
      <c r="P1276" s="1">
        <v>462</v>
      </c>
      <c r="T1276" s="224"/>
      <c r="U1276" s="34" t="s">
        <v>25</v>
      </c>
      <c r="V1276" s="475"/>
      <c r="W1276" s="224"/>
      <c r="X1276" s="224"/>
    </row>
    <row r="1277" spans="1:24" x14ac:dyDescent="0.3">
      <c r="A1277" s="2651">
        <v>463</v>
      </c>
      <c r="B1277" s="1122" t="s">
        <v>1477</v>
      </c>
      <c r="C1277" s="216" t="s">
        <v>1344</v>
      </c>
      <c r="D1277" s="416" t="s">
        <v>938</v>
      </c>
      <c r="E1277" s="217" t="s">
        <v>1632</v>
      </c>
      <c r="F1277" s="218" t="s">
        <v>1417</v>
      </c>
      <c r="G1277" s="116">
        <v>1190</v>
      </c>
      <c r="H1277" s="1776" t="s">
        <v>1349</v>
      </c>
      <c r="J1277" s="224"/>
      <c r="K1277" s="34" t="s">
        <v>25</v>
      </c>
      <c r="L1277" s="475"/>
      <c r="M1277" s="224"/>
      <c r="N1277" s="224"/>
      <c r="O1277" s="2628" t="s">
        <v>6395</v>
      </c>
      <c r="P1277" s="1">
        <v>463</v>
      </c>
      <c r="T1277" s="224"/>
      <c r="U1277" s="34" t="s">
        <v>25</v>
      </c>
      <c r="V1277" s="475"/>
      <c r="W1277" s="224"/>
      <c r="X1277" s="224"/>
    </row>
    <row r="1278" spans="1:24" x14ac:dyDescent="0.3">
      <c r="A1278" s="2651">
        <v>464</v>
      </c>
      <c r="B1278" s="1122" t="s">
        <v>1477</v>
      </c>
      <c r="C1278" s="216" t="s">
        <v>1344</v>
      </c>
      <c r="D1278" s="416" t="s">
        <v>938</v>
      </c>
      <c r="E1278" s="217" t="s">
        <v>1633</v>
      </c>
      <c r="F1278" s="218" t="s">
        <v>1417</v>
      </c>
      <c r="G1278" s="116">
        <v>1190</v>
      </c>
      <c r="H1278" s="1776" t="s">
        <v>1349</v>
      </c>
      <c r="J1278" s="224"/>
      <c r="K1278" s="34" t="s">
        <v>25</v>
      </c>
      <c r="L1278" s="475"/>
      <c r="M1278" s="224"/>
      <c r="N1278" s="224"/>
      <c r="O1278" s="2628" t="s">
        <v>6395</v>
      </c>
      <c r="P1278" s="1">
        <v>464</v>
      </c>
      <c r="T1278" s="224"/>
      <c r="U1278" s="34" t="s">
        <v>25</v>
      </c>
      <c r="V1278" s="475"/>
      <c r="W1278" s="224"/>
      <c r="X1278" s="224"/>
    </row>
    <row r="1279" spans="1:24" x14ac:dyDescent="0.3">
      <c r="A1279" s="2652">
        <v>465</v>
      </c>
      <c r="B1279" s="1122" t="s">
        <v>1477</v>
      </c>
      <c r="C1279" s="216" t="s">
        <v>1344</v>
      </c>
      <c r="D1279" s="416" t="s">
        <v>938</v>
      </c>
      <c r="E1279" s="217" t="s">
        <v>459</v>
      </c>
      <c r="F1279" s="218" t="s">
        <v>1417</v>
      </c>
      <c r="G1279" s="116">
        <v>1190</v>
      </c>
      <c r="H1279" s="1776" t="s">
        <v>1349</v>
      </c>
      <c r="J1279" s="224"/>
      <c r="K1279" s="34" t="s">
        <v>25</v>
      </c>
      <c r="L1279" s="475"/>
      <c r="M1279" s="224"/>
      <c r="N1279" s="224"/>
      <c r="O1279" s="2628" t="s">
        <v>6395</v>
      </c>
      <c r="P1279" s="1">
        <v>465</v>
      </c>
      <c r="T1279" s="224"/>
      <c r="U1279" s="34" t="s">
        <v>25</v>
      </c>
      <c r="V1279" s="475"/>
      <c r="W1279" s="224"/>
      <c r="X1279" s="224"/>
    </row>
    <row r="1280" spans="1:24" x14ac:dyDescent="0.3">
      <c r="A1280" s="2651">
        <v>466</v>
      </c>
      <c r="B1280" s="1122" t="s">
        <v>1477</v>
      </c>
      <c r="C1280" s="216" t="s">
        <v>1344</v>
      </c>
      <c r="D1280" s="416" t="s">
        <v>938</v>
      </c>
      <c r="E1280" s="217" t="s">
        <v>462</v>
      </c>
      <c r="F1280" s="218" t="s">
        <v>1417</v>
      </c>
      <c r="G1280" s="116">
        <v>1190</v>
      </c>
      <c r="H1280" s="1776" t="s">
        <v>1349</v>
      </c>
      <c r="J1280" s="224"/>
      <c r="K1280" s="34" t="s">
        <v>25</v>
      </c>
      <c r="L1280" s="475"/>
      <c r="M1280" s="224"/>
      <c r="N1280" s="224"/>
      <c r="O1280" s="2628" t="s">
        <v>6395</v>
      </c>
      <c r="P1280" s="1">
        <v>466</v>
      </c>
      <c r="T1280" s="224"/>
      <c r="U1280" s="34" t="s">
        <v>25</v>
      </c>
      <c r="V1280" s="475"/>
      <c r="W1280" s="224"/>
      <c r="X1280" s="224"/>
    </row>
    <row r="1281" spans="1:24" x14ac:dyDescent="0.3">
      <c r="A1281" s="2651">
        <v>467</v>
      </c>
      <c r="B1281" s="1122" t="s">
        <v>1477</v>
      </c>
      <c r="C1281" s="216" t="s">
        <v>1344</v>
      </c>
      <c r="D1281" s="416" t="s">
        <v>938</v>
      </c>
      <c r="E1281" s="217" t="s">
        <v>463</v>
      </c>
      <c r="F1281" s="218" t="s">
        <v>1417</v>
      </c>
      <c r="G1281" s="116">
        <v>1190</v>
      </c>
      <c r="H1281" s="1776" t="s">
        <v>1349</v>
      </c>
      <c r="J1281" s="224"/>
      <c r="K1281" s="34" t="s">
        <v>25</v>
      </c>
      <c r="L1281" s="475"/>
      <c r="M1281" s="224"/>
      <c r="N1281" s="224"/>
      <c r="O1281" s="2628" t="s">
        <v>6395</v>
      </c>
      <c r="P1281" s="1">
        <v>467</v>
      </c>
      <c r="T1281" s="224"/>
      <c r="U1281" s="34" t="s">
        <v>25</v>
      </c>
      <c r="V1281" s="475"/>
      <c r="W1281" s="224"/>
      <c r="X1281" s="224"/>
    </row>
    <row r="1282" spans="1:24" x14ac:dyDescent="0.3">
      <c r="A1282" s="2652">
        <v>468</v>
      </c>
      <c r="B1282" s="1122" t="s">
        <v>1477</v>
      </c>
      <c r="C1282" s="216" t="s">
        <v>1344</v>
      </c>
      <c r="D1282" s="416" t="s">
        <v>938</v>
      </c>
      <c r="E1282" s="217" t="s">
        <v>464</v>
      </c>
      <c r="F1282" s="218" t="s">
        <v>1417</v>
      </c>
      <c r="G1282" s="116">
        <v>1190</v>
      </c>
      <c r="H1282" s="1776" t="s">
        <v>1349</v>
      </c>
      <c r="J1282" s="224"/>
      <c r="K1282" s="34" t="s">
        <v>25</v>
      </c>
      <c r="L1282" s="475"/>
      <c r="M1282" s="224"/>
      <c r="N1282" s="224"/>
      <c r="O1282" s="2628" t="s">
        <v>6395</v>
      </c>
      <c r="P1282" s="1">
        <v>468</v>
      </c>
      <c r="T1282" s="224"/>
      <c r="U1282" s="34" t="s">
        <v>25</v>
      </c>
      <c r="V1282" s="475"/>
      <c r="W1282" s="224"/>
      <c r="X1282" s="224"/>
    </row>
    <row r="1283" spans="1:24" x14ac:dyDescent="0.3">
      <c r="A1283" s="2651">
        <v>469</v>
      </c>
      <c r="B1283" s="1122" t="s">
        <v>1477</v>
      </c>
      <c r="C1283" s="216" t="s">
        <v>1344</v>
      </c>
      <c r="D1283" s="416" t="s">
        <v>938</v>
      </c>
      <c r="E1283" s="217" t="s">
        <v>1634</v>
      </c>
      <c r="F1283" s="218" t="s">
        <v>1417</v>
      </c>
      <c r="G1283" s="116">
        <v>1190</v>
      </c>
      <c r="H1283" s="1776" t="s">
        <v>1349</v>
      </c>
      <c r="J1283" s="224"/>
      <c r="K1283" s="34" t="s">
        <v>25</v>
      </c>
      <c r="L1283" s="475"/>
      <c r="M1283" s="224"/>
      <c r="N1283" s="224"/>
      <c r="O1283" s="2628" t="s">
        <v>6395</v>
      </c>
      <c r="P1283" s="1">
        <v>469</v>
      </c>
      <c r="T1283" s="224"/>
      <c r="U1283" s="34" t="s">
        <v>25</v>
      </c>
      <c r="V1283" s="475"/>
      <c r="W1283" s="224"/>
      <c r="X1283" s="224"/>
    </row>
    <row r="1284" spans="1:24" x14ac:dyDescent="0.3">
      <c r="A1284" s="2651">
        <v>470</v>
      </c>
      <c r="B1284" s="1122" t="s">
        <v>1477</v>
      </c>
      <c r="C1284" s="216" t="s">
        <v>1344</v>
      </c>
      <c r="D1284" s="452" t="s">
        <v>938</v>
      </c>
      <c r="E1284" s="217" t="s">
        <v>1635</v>
      </c>
      <c r="F1284" s="218" t="s">
        <v>1417</v>
      </c>
      <c r="G1284" s="116">
        <v>1190</v>
      </c>
      <c r="H1284" s="1776" t="s">
        <v>1349</v>
      </c>
      <c r="J1284" s="224"/>
      <c r="K1284" s="34" t="s">
        <v>25</v>
      </c>
      <c r="L1284" s="475"/>
      <c r="M1284" s="224"/>
      <c r="N1284" s="224"/>
      <c r="O1284" s="2628" t="s">
        <v>6395</v>
      </c>
      <c r="P1284" s="1">
        <v>470</v>
      </c>
      <c r="T1284" s="224"/>
      <c r="U1284" s="34" t="s">
        <v>25</v>
      </c>
      <c r="V1284" s="475"/>
      <c r="W1284" s="224"/>
      <c r="X1284" s="224"/>
    </row>
    <row r="1285" spans="1:24" x14ac:dyDescent="0.3">
      <c r="A1285" s="2652">
        <v>471</v>
      </c>
      <c r="B1285" s="1122" t="s">
        <v>1477</v>
      </c>
      <c r="C1285" s="1117" t="s">
        <v>1344</v>
      </c>
      <c r="D1285" s="495" t="s">
        <v>938</v>
      </c>
      <c r="E1285" s="217" t="s">
        <v>1636</v>
      </c>
      <c r="F1285" s="218" t="s">
        <v>1417</v>
      </c>
      <c r="G1285" s="116">
        <v>1190</v>
      </c>
      <c r="H1285" s="1776" t="s">
        <v>1349</v>
      </c>
      <c r="J1285" s="224"/>
      <c r="K1285" s="34" t="s">
        <v>25</v>
      </c>
      <c r="L1285" s="475"/>
      <c r="M1285" s="224"/>
      <c r="N1285" s="224"/>
      <c r="O1285" s="2628" t="s">
        <v>6395</v>
      </c>
      <c r="P1285" s="1">
        <v>471</v>
      </c>
      <c r="T1285" s="224"/>
      <c r="U1285" s="34" t="s">
        <v>25</v>
      </c>
      <c r="V1285" s="475"/>
      <c r="W1285" s="224"/>
      <c r="X1285" s="224"/>
    </row>
    <row r="1286" spans="1:24" x14ac:dyDescent="0.3">
      <c r="A1286" s="2651">
        <v>472</v>
      </c>
      <c r="B1286" s="1122" t="s">
        <v>1477</v>
      </c>
      <c r="C1286" s="1117" t="s">
        <v>1344</v>
      </c>
      <c r="D1286" s="793" t="s">
        <v>938</v>
      </c>
      <c r="E1286" s="217" t="s">
        <v>1637</v>
      </c>
      <c r="F1286" s="218" t="s">
        <v>1417</v>
      </c>
      <c r="G1286" s="116">
        <v>1190</v>
      </c>
      <c r="H1286" s="1776" t="s">
        <v>1349</v>
      </c>
      <c r="J1286" s="224"/>
      <c r="K1286" s="34" t="s">
        <v>25</v>
      </c>
      <c r="L1286" s="475"/>
      <c r="M1286" s="224"/>
      <c r="N1286" s="224"/>
      <c r="O1286" s="2628" t="s">
        <v>6395</v>
      </c>
      <c r="P1286" s="1">
        <v>472</v>
      </c>
      <c r="T1286" s="224"/>
      <c r="U1286" s="34" t="s">
        <v>25</v>
      </c>
      <c r="V1286" s="475"/>
      <c r="W1286" s="224"/>
      <c r="X1286" s="224"/>
    </row>
    <row r="1287" spans="1:24" x14ac:dyDescent="0.3">
      <c r="A1287" s="2651">
        <v>473</v>
      </c>
      <c r="B1287" s="1122" t="s">
        <v>1477</v>
      </c>
      <c r="C1287" s="1117" t="s">
        <v>1344</v>
      </c>
      <c r="D1287" s="416" t="s">
        <v>938</v>
      </c>
      <c r="E1287" s="217" t="s">
        <v>1638</v>
      </c>
      <c r="F1287" s="218" t="s">
        <v>1417</v>
      </c>
      <c r="G1287" s="116">
        <v>1190</v>
      </c>
      <c r="H1287" s="1776" t="s">
        <v>1349</v>
      </c>
      <c r="J1287" s="224"/>
      <c r="K1287" s="34" t="s">
        <v>25</v>
      </c>
      <c r="L1287" s="475"/>
      <c r="M1287" s="224"/>
      <c r="N1287" s="224"/>
      <c r="O1287" s="2628" t="s">
        <v>6395</v>
      </c>
      <c r="P1287" s="1">
        <v>473</v>
      </c>
      <c r="T1287" s="224"/>
      <c r="U1287" s="34" t="s">
        <v>25</v>
      </c>
      <c r="V1287" s="475"/>
      <c r="W1287" s="224"/>
      <c r="X1287" s="224"/>
    </row>
    <row r="1288" spans="1:24" x14ac:dyDescent="0.3">
      <c r="A1288" s="2652">
        <v>474</v>
      </c>
      <c r="B1288" s="1122" t="s">
        <v>1477</v>
      </c>
      <c r="C1288" s="1117" t="s">
        <v>1344</v>
      </c>
      <c r="D1288" s="416" t="s">
        <v>938</v>
      </c>
      <c r="E1288" s="217" t="s">
        <v>1639</v>
      </c>
      <c r="F1288" s="218" t="s">
        <v>1417</v>
      </c>
      <c r="G1288" s="116">
        <v>1190</v>
      </c>
      <c r="H1288" s="1776" t="s">
        <v>1349</v>
      </c>
      <c r="J1288" s="224"/>
      <c r="K1288" s="34" t="s">
        <v>25</v>
      </c>
      <c r="L1288" s="475"/>
      <c r="M1288" s="224"/>
      <c r="N1288" s="224"/>
      <c r="O1288" s="2628" t="s">
        <v>6395</v>
      </c>
      <c r="P1288" s="1">
        <v>474</v>
      </c>
      <c r="T1288" s="224"/>
      <c r="U1288" s="34" t="s">
        <v>25</v>
      </c>
      <c r="V1288" s="475"/>
      <c r="W1288" s="224"/>
      <c r="X1288" s="224"/>
    </row>
    <row r="1289" spans="1:24" x14ac:dyDescent="0.3">
      <c r="A1289" s="2651">
        <v>475</v>
      </c>
      <c r="B1289" s="1122" t="s">
        <v>1477</v>
      </c>
      <c r="C1289" s="1117" t="s">
        <v>1344</v>
      </c>
      <c r="D1289" s="416" t="s">
        <v>938</v>
      </c>
      <c r="E1289" s="217" t="s">
        <v>1640</v>
      </c>
      <c r="F1289" s="218" t="s">
        <v>1417</v>
      </c>
      <c r="G1289" s="116">
        <v>1190</v>
      </c>
      <c r="H1289" s="1776" t="s">
        <v>1349</v>
      </c>
      <c r="J1289" s="224"/>
      <c r="K1289" s="34" t="s">
        <v>25</v>
      </c>
      <c r="L1289" s="475"/>
      <c r="M1289" s="224"/>
      <c r="N1289" s="224"/>
      <c r="O1289" s="2628" t="s">
        <v>6395</v>
      </c>
      <c r="P1289" s="1">
        <v>475</v>
      </c>
      <c r="T1289" s="224"/>
      <c r="U1289" s="34" t="s">
        <v>25</v>
      </c>
      <c r="V1289" s="475"/>
      <c r="W1289" s="224"/>
      <c r="X1289" s="224"/>
    </row>
    <row r="1290" spans="1:24" x14ac:dyDescent="0.3">
      <c r="A1290" s="2651">
        <v>476</v>
      </c>
      <c r="B1290" s="1122" t="s">
        <v>1477</v>
      </c>
      <c r="C1290" s="1117" t="s">
        <v>1344</v>
      </c>
      <c r="D1290" s="416" t="s">
        <v>938</v>
      </c>
      <c r="E1290" s="217" t="s">
        <v>1641</v>
      </c>
      <c r="F1290" s="218" t="s">
        <v>1417</v>
      </c>
      <c r="G1290" s="116">
        <v>1190</v>
      </c>
      <c r="H1290" s="1776" t="s">
        <v>1349</v>
      </c>
      <c r="J1290" s="224"/>
      <c r="K1290" s="34" t="s">
        <v>25</v>
      </c>
      <c r="L1290" s="475"/>
      <c r="M1290" s="224"/>
      <c r="N1290" s="224"/>
      <c r="O1290" s="2628" t="s">
        <v>6395</v>
      </c>
      <c r="P1290" s="1">
        <v>476</v>
      </c>
      <c r="T1290" s="224"/>
      <c r="U1290" s="34" t="s">
        <v>25</v>
      </c>
      <c r="V1290" s="475"/>
      <c r="W1290" s="224"/>
      <c r="X1290" s="224"/>
    </row>
    <row r="1291" spans="1:24" x14ac:dyDescent="0.3">
      <c r="A1291" s="2652">
        <v>477</v>
      </c>
      <c r="B1291" s="1122" t="s">
        <v>1477</v>
      </c>
      <c r="C1291" s="1117" t="s">
        <v>1344</v>
      </c>
      <c r="D1291" s="416" t="s">
        <v>938</v>
      </c>
      <c r="E1291" s="217" t="s">
        <v>1642</v>
      </c>
      <c r="F1291" s="218" t="s">
        <v>1417</v>
      </c>
      <c r="G1291" s="116">
        <v>1190</v>
      </c>
      <c r="H1291" s="1776" t="s">
        <v>1349</v>
      </c>
      <c r="J1291" s="224"/>
      <c r="K1291" s="34" t="s">
        <v>25</v>
      </c>
      <c r="L1291" s="475"/>
      <c r="M1291" s="224"/>
      <c r="N1291" s="224"/>
      <c r="O1291" s="2628" t="s">
        <v>6395</v>
      </c>
      <c r="P1291" s="1">
        <v>477</v>
      </c>
      <c r="T1291" s="224"/>
      <c r="U1291" s="34" t="s">
        <v>25</v>
      </c>
      <c r="V1291" s="475"/>
      <c r="W1291" s="224"/>
      <c r="X1291" s="224"/>
    </row>
    <row r="1292" spans="1:24" x14ac:dyDescent="0.3">
      <c r="A1292" s="2651">
        <v>478</v>
      </c>
      <c r="B1292" s="1122" t="s">
        <v>1477</v>
      </c>
      <c r="C1292" s="1117" t="s">
        <v>1344</v>
      </c>
      <c r="D1292" s="416" t="s">
        <v>938</v>
      </c>
      <c r="E1292" s="217" t="s">
        <v>1643</v>
      </c>
      <c r="F1292" s="218" t="s">
        <v>1417</v>
      </c>
      <c r="G1292" s="116">
        <v>1190</v>
      </c>
      <c r="H1292" s="1776" t="s">
        <v>1349</v>
      </c>
      <c r="J1292" s="224"/>
      <c r="K1292" s="34" t="s">
        <v>25</v>
      </c>
      <c r="L1292" s="475"/>
      <c r="M1292" s="224"/>
      <c r="N1292" s="224"/>
      <c r="O1292" s="2628" t="s">
        <v>6395</v>
      </c>
      <c r="P1292" s="1">
        <v>478</v>
      </c>
      <c r="T1292" s="224"/>
      <c r="U1292" s="34" t="s">
        <v>25</v>
      </c>
      <c r="V1292" s="475"/>
      <c r="W1292" s="224"/>
      <c r="X1292" s="224"/>
    </row>
    <row r="1293" spans="1:24" x14ac:dyDescent="0.3">
      <c r="A1293" s="2651">
        <v>479</v>
      </c>
      <c r="B1293" s="1122" t="s">
        <v>1477</v>
      </c>
      <c r="C1293" s="1117" t="s">
        <v>1344</v>
      </c>
      <c r="D1293" s="416" t="s">
        <v>938</v>
      </c>
      <c r="E1293" s="217" t="s">
        <v>1644</v>
      </c>
      <c r="F1293" s="218" t="s">
        <v>1417</v>
      </c>
      <c r="G1293" s="116">
        <v>1190</v>
      </c>
      <c r="H1293" s="1776" t="s">
        <v>1349</v>
      </c>
      <c r="J1293" s="224"/>
      <c r="K1293" s="34" t="s">
        <v>25</v>
      </c>
      <c r="L1293" s="475"/>
      <c r="M1293" s="224"/>
      <c r="N1293" s="224"/>
      <c r="O1293" s="2628" t="s">
        <v>6395</v>
      </c>
      <c r="P1293" s="1">
        <v>479</v>
      </c>
      <c r="T1293" s="224"/>
      <c r="U1293" s="34" t="s">
        <v>25</v>
      </c>
      <c r="V1293" s="475"/>
      <c r="W1293" s="224"/>
      <c r="X1293" s="224"/>
    </row>
    <row r="1294" spans="1:24" x14ac:dyDescent="0.3">
      <c r="A1294" s="2652">
        <v>480</v>
      </c>
      <c r="B1294" s="1122" t="s">
        <v>1477</v>
      </c>
      <c r="C1294" s="216" t="s">
        <v>1344</v>
      </c>
      <c r="D1294" s="452" t="s">
        <v>938</v>
      </c>
      <c r="E1294" s="217" t="s">
        <v>1645</v>
      </c>
      <c r="F1294" s="218" t="s">
        <v>1417</v>
      </c>
      <c r="G1294" s="116">
        <v>1190</v>
      </c>
      <c r="H1294" s="1776" t="s">
        <v>1349</v>
      </c>
      <c r="J1294" s="224"/>
      <c r="K1294" s="34" t="s">
        <v>25</v>
      </c>
      <c r="L1294" s="475"/>
      <c r="M1294" s="224"/>
      <c r="N1294" s="224"/>
      <c r="O1294" s="2628" t="s">
        <v>6395</v>
      </c>
      <c r="P1294" s="1">
        <v>480</v>
      </c>
      <c r="T1294" s="224"/>
      <c r="U1294" s="34" t="s">
        <v>25</v>
      </c>
      <c r="V1294" s="475"/>
      <c r="W1294" s="224"/>
      <c r="X1294" s="224"/>
    </row>
    <row r="1295" spans="1:24" x14ac:dyDescent="0.3">
      <c r="A1295" s="2651">
        <v>481</v>
      </c>
      <c r="B1295" s="1122" t="s">
        <v>1477</v>
      </c>
      <c r="C1295" s="216" t="s">
        <v>1344</v>
      </c>
      <c r="D1295" s="495" t="s">
        <v>938</v>
      </c>
      <c r="E1295" s="217" t="s">
        <v>1646</v>
      </c>
      <c r="F1295" s="218" t="s">
        <v>1417</v>
      </c>
      <c r="G1295" s="116">
        <v>1190</v>
      </c>
      <c r="H1295" s="1776" t="s">
        <v>1349</v>
      </c>
      <c r="J1295" s="224"/>
      <c r="K1295" s="34" t="s">
        <v>25</v>
      </c>
      <c r="L1295" s="475"/>
      <c r="M1295" s="224"/>
      <c r="N1295" s="224"/>
      <c r="O1295" s="2628" t="s">
        <v>6395</v>
      </c>
      <c r="P1295" s="1">
        <v>481</v>
      </c>
      <c r="T1295" s="224"/>
      <c r="U1295" s="34" t="s">
        <v>25</v>
      </c>
      <c r="V1295" s="475"/>
      <c r="W1295" s="224"/>
      <c r="X1295" s="224"/>
    </row>
    <row r="1296" spans="1:24" x14ac:dyDescent="0.3">
      <c r="A1296" s="2651">
        <v>482</v>
      </c>
      <c r="B1296" s="1122" t="s">
        <v>1477</v>
      </c>
      <c r="C1296" s="216" t="s">
        <v>1344</v>
      </c>
      <c r="D1296" s="793" t="s">
        <v>938</v>
      </c>
      <c r="E1296" s="217" t="s">
        <v>1647</v>
      </c>
      <c r="F1296" s="218" t="s">
        <v>1417</v>
      </c>
      <c r="G1296" s="116">
        <v>1190</v>
      </c>
      <c r="H1296" s="1776" t="s">
        <v>1349</v>
      </c>
      <c r="J1296" s="224"/>
      <c r="K1296" s="34" t="s">
        <v>25</v>
      </c>
      <c r="L1296" s="475"/>
      <c r="M1296" s="224"/>
      <c r="N1296" s="224"/>
      <c r="O1296" s="2628" t="s">
        <v>6395</v>
      </c>
      <c r="P1296" s="1">
        <v>482</v>
      </c>
      <c r="T1296" s="224"/>
      <c r="U1296" s="34" t="s">
        <v>25</v>
      </c>
      <c r="V1296" s="475"/>
      <c r="W1296" s="224"/>
      <c r="X1296" s="224"/>
    </row>
    <row r="1297" spans="1:24" x14ac:dyDescent="0.3">
      <c r="A1297" s="2652">
        <v>483</v>
      </c>
      <c r="B1297" s="1122" t="s">
        <v>1477</v>
      </c>
      <c r="C1297" s="216" t="s">
        <v>1344</v>
      </c>
      <c r="D1297" s="416" t="s">
        <v>938</v>
      </c>
      <c r="E1297" s="217" t="s">
        <v>1648</v>
      </c>
      <c r="F1297" s="218" t="s">
        <v>1417</v>
      </c>
      <c r="G1297" s="116">
        <v>1190</v>
      </c>
      <c r="H1297" s="1776" t="s">
        <v>1349</v>
      </c>
      <c r="J1297" s="224"/>
      <c r="K1297" s="34" t="s">
        <v>25</v>
      </c>
      <c r="L1297" s="475"/>
      <c r="M1297" s="224"/>
      <c r="N1297" s="224"/>
      <c r="O1297" s="2628" t="s">
        <v>6395</v>
      </c>
      <c r="P1297" s="1">
        <v>483</v>
      </c>
      <c r="T1297" s="224"/>
      <c r="U1297" s="34" t="s">
        <v>25</v>
      </c>
      <c r="V1297" s="475"/>
      <c r="W1297" s="224"/>
      <c r="X1297" s="224"/>
    </row>
    <row r="1298" spans="1:24" x14ac:dyDescent="0.3">
      <c r="A1298" s="2651">
        <v>484</v>
      </c>
      <c r="B1298" s="1122" t="s">
        <v>1477</v>
      </c>
      <c r="C1298" s="216" t="s">
        <v>1344</v>
      </c>
      <c r="D1298" s="416" t="s">
        <v>938</v>
      </c>
      <c r="E1298" s="217" t="s">
        <v>1649</v>
      </c>
      <c r="F1298" s="218" t="s">
        <v>1417</v>
      </c>
      <c r="G1298" s="116">
        <v>1190</v>
      </c>
      <c r="H1298" s="1776" t="s">
        <v>1349</v>
      </c>
      <c r="J1298" s="224"/>
      <c r="K1298" s="34" t="s">
        <v>25</v>
      </c>
      <c r="L1298" s="475"/>
      <c r="M1298" s="224"/>
      <c r="N1298" s="224"/>
      <c r="O1298" s="2628" t="s">
        <v>6395</v>
      </c>
      <c r="P1298" s="1">
        <v>484</v>
      </c>
      <c r="T1298" s="224"/>
      <c r="U1298" s="34" t="s">
        <v>25</v>
      </c>
      <c r="V1298" s="475"/>
      <c r="W1298" s="224"/>
      <c r="X1298" s="224"/>
    </row>
    <row r="1299" spans="1:24" x14ac:dyDescent="0.3">
      <c r="A1299" s="2651">
        <v>485</v>
      </c>
      <c r="B1299" s="1122" t="s">
        <v>1477</v>
      </c>
      <c r="C1299" s="216" t="s">
        <v>1344</v>
      </c>
      <c r="D1299" s="416" t="s">
        <v>938</v>
      </c>
      <c r="E1299" s="217" t="s">
        <v>1650</v>
      </c>
      <c r="F1299" s="218" t="s">
        <v>1417</v>
      </c>
      <c r="G1299" s="116">
        <v>1190</v>
      </c>
      <c r="H1299" s="1776" t="s">
        <v>1349</v>
      </c>
      <c r="J1299" s="224"/>
      <c r="K1299" s="34" t="s">
        <v>25</v>
      </c>
      <c r="L1299" s="475"/>
      <c r="M1299" s="224"/>
      <c r="N1299" s="224"/>
      <c r="O1299" s="2628" t="s">
        <v>6395</v>
      </c>
      <c r="P1299" s="1">
        <v>485</v>
      </c>
      <c r="T1299" s="224"/>
      <c r="U1299" s="34" t="s">
        <v>25</v>
      </c>
      <c r="V1299" s="475"/>
      <c r="W1299" s="224"/>
      <c r="X1299" s="224"/>
    </row>
    <row r="1300" spans="1:24" x14ac:dyDescent="0.3">
      <c r="A1300" s="2652">
        <v>486</v>
      </c>
      <c r="B1300" s="1122" t="s">
        <v>1477</v>
      </c>
      <c r="C1300" s="216" t="s">
        <v>1344</v>
      </c>
      <c r="D1300" s="416" t="s">
        <v>938</v>
      </c>
      <c r="E1300" s="217" t="s">
        <v>1651</v>
      </c>
      <c r="F1300" s="218" t="s">
        <v>1417</v>
      </c>
      <c r="G1300" s="116">
        <v>1190</v>
      </c>
      <c r="H1300" s="1776" t="s">
        <v>1349</v>
      </c>
      <c r="J1300" s="224"/>
      <c r="K1300" s="34" t="s">
        <v>25</v>
      </c>
      <c r="L1300" s="475"/>
      <c r="M1300" s="224"/>
      <c r="N1300" s="224"/>
      <c r="O1300" s="2628" t="s">
        <v>6395</v>
      </c>
      <c r="P1300" s="1">
        <v>486</v>
      </c>
      <c r="T1300" s="224"/>
      <c r="U1300" s="34" t="s">
        <v>25</v>
      </c>
      <c r="V1300" s="475"/>
      <c r="W1300" s="224"/>
      <c r="X1300" s="224"/>
    </row>
    <row r="1301" spans="1:24" x14ac:dyDescent="0.3">
      <c r="A1301" s="2651">
        <v>487</v>
      </c>
      <c r="B1301" s="1122" t="s">
        <v>1477</v>
      </c>
      <c r="C1301" s="216" t="s">
        <v>1344</v>
      </c>
      <c r="D1301" s="416" t="s">
        <v>938</v>
      </c>
      <c r="E1301" s="217" t="s">
        <v>1652</v>
      </c>
      <c r="F1301" s="218" t="s">
        <v>1417</v>
      </c>
      <c r="G1301" s="116">
        <v>1190</v>
      </c>
      <c r="H1301" s="1776" t="s">
        <v>1349</v>
      </c>
      <c r="J1301" s="224"/>
      <c r="K1301" s="34" t="s">
        <v>25</v>
      </c>
      <c r="L1301" s="475"/>
      <c r="M1301" s="224"/>
      <c r="N1301" s="224"/>
      <c r="O1301" s="2628" t="s">
        <v>6395</v>
      </c>
      <c r="P1301" s="1">
        <v>487</v>
      </c>
      <c r="T1301" s="224"/>
      <c r="U1301" s="34" t="s">
        <v>25</v>
      </c>
      <c r="V1301" s="475"/>
      <c r="W1301" s="224"/>
      <c r="X1301" s="224"/>
    </row>
    <row r="1302" spans="1:24" x14ac:dyDescent="0.3">
      <c r="A1302" s="2651">
        <v>488</v>
      </c>
      <c r="B1302" s="1122" t="s">
        <v>1477</v>
      </c>
      <c r="C1302" s="216" t="s">
        <v>1344</v>
      </c>
      <c r="D1302" s="416" t="s">
        <v>938</v>
      </c>
      <c r="E1302" s="217" t="s">
        <v>1653</v>
      </c>
      <c r="F1302" s="218" t="s">
        <v>1417</v>
      </c>
      <c r="G1302" s="116">
        <v>1190</v>
      </c>
      <c r="H1302" s="1776" t="s">
        <v>1349</v>
      </c>
      <c r="J1302" s="224"/>
      <c r="K1302" s="34" t="s">
        <v>25</v>
      </c>
      <c r="L1302" s="475"/>
      <c r="M1302" s="224"/>
      <c r="N1302" s="224"/>
      <c r="O1302" s="2628" t="s">
        <v>6395</v>
      </c>
      <c r="P1302" s="1">
        <v>488</v>
      </c>
      <c r="T1302" s="224"/>
      <c r="U1302" s="34" t="s">
        <v>25</v>
      </c>
      <c r="V1302" s="475"/>
      <c r="W1302" s="224"/>
      <c r="X1302" s="224"/>
    </row>
    <row r="1303" spans="1:24" x14ac:dyDescent="0.3">
      <c r="A1303" s="2652">
        <v>489</v>
      </c>
      <c r="B1303" s="1122" t="s">
        <v>1477</v>
      </c>
      <c r="C1303" s="216" t="s">
        <v>1344</v>
      </c>
      <c r="D1303" s="416" t="s">
        <v>938</v>
      </c>
      <c r="E1303" s="217" t="s">
        <v>1654</v>
      </c>
      <c r="F1303" s="218" t="s">
        <v>1417</v>
      </c>
      <c r="G1303" s="116">
        <v>1190</v>
      </c>
      <c r="H1303" s="1776" t="s">
        <v>1349</v>
      </c>
      <c r="J1303" s="224"/>
      <c r="K1303" s="34" t="s">
        <v>25</v>
      </c>
      <c r="L1303" s="475"/>
      <c r="M1303" s="224"/>
      <c r="N1303" s="224"/>
      <c r="O1303" s="2628" t="s">
        <v>6395</v>
      </c>
      <c r="P1303" s="1">
        <v>489</v>
      </c>
      <c r="T1303" s="224"/>
      <c r="U1303" s="34" t="s">
        <v>25</v>
      </c>
      <c r="V1303" s="475"/>
      <c r="W1303" s="224"/>
      <c r="X1303" s="224"/>
    </row>
    <row r="1304" spans="1:24" x14ac:dyDescent="0.3">
      <c r="A1304" s="2651">
        <v>490</v>
      </c>
      <c r="B1304" s="1122" t="s">
        <v>1477</v>
      </c>
      <c r="C1304" s="216" t="s">
        <v>1344</v>
      </c>
      <c r="D1304" s="416" t="s">
        <v>938</v>
      </c>
      <c r="E1304" s="217" t="s">
        <v>1655</v>
      </c>
      <c r="F1304" s="218" t="s">
        <v>1417</v>
      </c>
      <c r="G1304" s="116">
        <v>1190</v>
      </c>
      <c r="H1304" s="1776" t="s">
        <v>1349</v>
      </c>
      <c r="J1304" s="224"/>
      <c r="K1304" s="34" t="s">
        <v>25</v>
      </c>
      <c r="L1304" s="475"/>
      <c r="M1304" s="224"/>
      <c r="N1304" s="224"/>
      <c r="O1304" s="2628" t="s">
        <v>6395</v>
      </c>
      <c r="P1304" s="1">
        <v>490</v>
      </c>
      <c r="T1304" s="224"/>
      <c r="U1304" s="34" t="s">
        <v>25</v>
      </c>
      <c r="V1304" s="475"/>
      <c r="W1304" s="224"/>
      <c r="X1304" s="224"/>
    </row>
    <row r="1305" spans="1:24" x14ac:dyDescent="0.3">
      <c r="A1305" s="2651">
        <v>491</v>
      </c>
      <c r="B1305" s="1122" t="s">
        <v>1477</v>
      </c>
      <c r="C1305" s="216" t="s">
        <v>1344</v>
      </c>
      <c r="D1305" s="416" t="s">
        <v>938</v>
      </c>
      <c r="E1305" s="217" t="s">
        <v>1656</v>
      </c>
      <c r="F1305" s="218" t="s">
        <v>1417</v>
      </c>
      <c r="G1305" s="116">
        <v>1190</v>
      </c>
      <c r="H1305" s="1776" t="s">
        <v>1349</v>
      </c>
      <c r="J1305" s="224"/>
      <c r="K1305" s="34" t="s">
        <v>25</v>
      </c>
      <c r="L1305" s="475"/>
      <c r="M1305" s="224"/>
      <c r="N1305" s="224"/>
      <c r="O1305" s="2628" t="s">
        <v>6395</v>
      </c>
      <c r="P1305" s="1">
        <v>491</v>
      </c>
      <c r="T1305" s="224"/>
      <c r="U1305" s="34" t="s">
        <v>25</v>
      </c>
      <c r="V1305" s="475"/>
      <c r="W1305" s="224"/>
      <c r="X1305" s="224"/>
    </row>
    <row r="1306" spans="1:24" x14ac:dyDescent="0.3">
      <c r="A1306" s="2652">
        <v>492</v>
      </c>
      <c r="B1306" s="1122" t="s">
        <v>1477</v>
      </c>
      <c r="C1306" s="216" t="s">
        <v>1344</v>
      </c>
      <c r="D1306" s="416" t="s">
        <v>938</v>
      </c>
      <c r="E1306" s="217" t="s">
        <v>1657</v>
      </c>
      <c r="F1306" s="218" t="s">
        <v>1417</v>
      </c>
      <c r="G1306" s="116">
        <v>1190</v>
      </c>
      <c r="H1306" s="1776" t="s">
        <v>1349</v>
      </c>
      <c r="J1306" s="224"/>
      <c r="K1306" s="34" t="s">
        <v>25</v>
      </c>
      <c r="L1306" s="475"/>
      <c r="M1306" s="224"/>
      <c r="N1306" s="224"/>
      <c r="O1306" s="2628" t="s">
        <v>6395</v>
      </c>
      <c r="P1306" s="1">
        <v>492</v>
      </c>
      <c r="T1306" s="224"/>
      <c r="U1306" s="34" t="s">
        <v>25</v>
      </c>
      <c r="V1306" s="475"/>
      <c r="W1306" s="224"/>
      <c r="X1306" s="224"/>
    </row>
    <row r="1307" spans="1:24" x14ac:dyDescent="0.3">
      <c r="A1307" s="2651">
        <v>493</v>
      </c>
      <c r="B1307" s="1122" t="s">
        <v>1477</v>
      </c>
      <c r="C1307" s="216" t="s">
        <v>1344</v>
      </c>
      <c r="D1307" s="416" t="s">
        <v>938</v>
      </c>
      <c r="E1307" s="217" t="s">
        <v>1658</v>
      </c>
      <c r="F1307" s="218" t="s">
        <v>1417</v>
      </c>
      <c r="G1307" s="116">
        <v>1190</v>
      </c>
      <c r="H1307" s="1776" t="s">
        <v>1349</v>
      </c>
      <c r="J1307" s="224"/>
      <c r="K1307" s="34" t="s">
        <v>25</v>
      </c>
      <c r="L1307" s="475"/>
      <c r="M1307" s="224"/>
      <c r="N1307" s="224"/>
      <c r="O1307" s="2628" t="s">
        <v>6395</v>
      </c>
      <c r="P1307" s="1">
        <v>493</v>
      </c>
      <c r="T1307" s="224"/>
      <c r="U1307" s="34" t="s">
        <v>25</v>
      </c>
      <c r="V1307" s="475"/>
      <c r="W1307" s="224"/>
      <c r="X1307" s="224"/>
    </row>
    <row r="1308" spans="1:24" x14ac:dyDescent="0.3">
      <c r="A1308" s="2651">
        <v>494</v>
      </c>
      <c r="B1308" s="1122" t="s">
        <v>1477</v>
      </c>
      <c r="C1308" s="216" t="s">
        <v>1344</v>
      </c>
      <c r="D1308" s="452" t="s">
        <v>938</v>
      </c>
      <c r="E1308" s="217" t="s">
        <v>1659</v>
      </c>
      <c r="F1308" s="218" t="s">
        <v>1417</v>
      </c>
      <c r="G1308" s="116">
        <v>1190</v>
      </c>
      <c r="H1308" s="1776" t="s">
        <v>1349</v>
      </c>
      <c r="J1308" s="224"/>
      <c r="K1308" s="34" t="s">
        <v>25</v>
      </c>
      <c r="L1308" s="475"/>
      <c r="M1308" s="224"/>
      <c r="N1308" s="224"/>
      <c r="O1308" s="2628" t="s">
        <v>6395</v>
      </c>
      <c r="P1308" s="1">
        <v>494</v>
      </c>
      <c r="T1308" s="224"/>
      <c r="U1308" s="34" t="s">
        <v>25</v>
      </c>
      <c r="V1308" s="475"/>
      <c r="W1308" s="224"/>
      <c r="X1308" s="224"/>
    </row>
    <row r="1309" spans="1:24" x14ac:dyDescent="0.3">
      <c r="A1309" s="2652">
        <v>495</v>
      </c>
      <c r="B1309" s="1122" t="s">
        <v>1477</v>
      </c>
      <c r="C1309" s="216" t="s">
        <v>1344</v>
      </c>
      <c r="D1309" s="495" t="s">
        <v>938</v>
      </c>
      <c r="E1309" s="217" t="s">
        <v>1660</v>
      </c>
      <c r="F1309" s="218" t="s">
        <v>1417</v>
      </c>
      <c r="G1309" s="116">
        <v>1190</v>
      </c>
      <c r="H1309" s="1776" t="s">
        <v>1349</v>
      </c>
      <c r="J1309" s="224"/>
      <c r="K1309" s="34" t="s">
        <v>25</v>
      </c>
      <c r="L1309" s="475"/>
      <c r="M1309" s="224"/>
      <c r="N1309" s="224"/>
      <c r="O1309" s="2628" t="s">
        <v>6395</v>
      </c>
      <c r="P1309" s="1">
        <v>495</v>
      </c>
      <c r="T1309" s="224"/>
      <c r="U1309" s="34" t="s">
        <v>25</v>
      </c>
      <c r="V1309" s="475"/>
      <c r="W1309" s="224"/>
      <c r="X1309" s="224"/>
    </row>
    <row r="1310" spans="1:24" x14ac:dyDescent="0.3">
      <c r="A1310" s="2651">
        <v>496</v>
      </c>
      <c r="B1310" s="1122" t="s">
        <v>1477</v>
      </c>
      <c r="C1310" s="216" t="s">
        <v>1344</v>
      </c>
      <c r="D1310" s="793" t="s">
        <v>938</v>
      </c>
      <c r="E1310" s="217" t="s">
        <v>1661</v>
      </c>
      <c r="F1310" s="218" t="s">
        <v>1417</v>
      </c>
      <c r="G1310" s="116">
        <v>1190</v>
      </c>
      <c r="H1310" s="1776" t="s">
        <v>1349</v>
      </c>
      <c r="J1310" s="224"/>
      <c r="K1310" s="34" t="s">
        <v>25</v>
      </c>
      <c r="L1310" s="475"/>
      <c r="M1310" s="224"/>
      <c r="N1310" s="224"/>
      <c r="O1310" s="2628" t="s">
        <v>6395</v>
      </c>
      <c r="P1310" s="1">
        <v>496</v>
      </c>
      <c r="T1310" s="224"/>
      <c r="U1310" s="34" t="s">
        <v>25</v>
      </c>
      <c r="V1310" s="475"/>
      <c r="W1310" s="224"/>
      <c r="X1310" s="224"/>
    </row>
    <row r="1311" spans="1:24" x14ac:dyDescent="0.3">
      <c r="A1311" s="2651">
        <v>497</v>
      </c>
      <c r="B1311" s="1122" t="s">
        <v>1477</v>
      </c>
      <c r="C1311" s="216" t="s">
        <v>1344</v>
      </c>
      <c r="D1311" s="416" t="s">
        <v>938</v>
      </c>
      <c r="E1311" s="217" t="s">
        <v>1662</v>
      </c>
      <c r="F1311" s="218" t="s">
        <v>1417</v>
      </c>
      <c r="G1311" s="116">
        <v>1190</v>
      </c>
      <c r="H1311" s="1776" t="s">
        <v>1349</v>
      </c>
      <c r="J1311" s="224"/>
      <c r="K1311" s="34" t="s">
        <v>25</v>
      </c>
      <c r="L1311" s="475"/>
      <c r="M1311" s="224"/>
      <c r="N1311" s="224"/>
      <c r="O1311" s="2628" t="s">
        <v>6395</v>
      </c>
      <c r="P1311" s="1">
        <v>497</v>
      </c>
      <c r="T1311" s="224"/>
      <c r="U1311" s="34" t="s">
        <v>25</v>
      </c>
      <c r="V1311" s="475"/>
      <c r="W1311" s="224"/>
      <c r="X1311" s="224"/>
    </row>
    <row r="1312" spans="1:24" x14ac:dyDescent="0.3">
      <c r="A1312" s="2652">
        <v>498</v>
      </c>
      <c r="B1312" s="1122" t="s">
        <v>1477</v>
      </c>
      <c r="C1312" s="216" t="s">
        <v>1344</v>
      </c>
      <c r="D1312" s="416" t="s">
        <v>938</v>
      </c>
      <c r="E1312" s="217" t="s">
        <v>1663</v>
      </c>
      <c r="F1312" s="218" t="s">
        <v>1417</v>
      </c>
      <c r="G1312" s="116">
        <v>1190</v>
      </c>
      <c r="H1312" s="1776" t="s">
        <v>1349</v>
      </c>
      <c r="J1312" s="224"/>
      <c r="K1312" s="34" t="s">
        <v>25</v>
      </c>
      <c r="L1312" s="475"/>
      <c r="M1312" s="224"/>
      <c r="N1312" s="224"/>
      <c r="O1312" s="2628" t="s">
        <v>6395</v>
      </c>
      <c r="P1312" s="1">
        <v>498</v>
      </c>
      <c r="T1312" s="224"/>
      <c r="U1312" s="34" t="s">
        <v>25</v>
      </c>
      <c r="V1312" s="475"/>
      <c r="W1312" s="224"/>
      <c r="X1312" s="224"/>
    </row>
    <row r="1313" spans="1:24" x14ac:dyDescent="0.3">
      <c r="A1313" s="2651">
        <v>499</v>
      </c>
      <c r="B1313" s="1122" t="s">
        <v>1477</v>
      </c>
      <c r="C1313" s="216" t="s">
        <v>1344</v>
      </c>
      <c r="D1313" s="416" t="s">
        <v>938</v>
      </c>
      <c r="E1313" s="217" t="s">
        <v>1664</v>
      </c>
      <c r="F1313" s="218" t="s">
        <v>1417</v>
      </c>
      <c r="G1313" s="116">
        <v>1190</v>
      </c>
      <c r="H1313" s="1776" t="s">
        <v>1349</v>
      </c>
      <c r="J1313" s="224"/>
      <c r="K1313" s="34" t="s">
        <v>25</v>
      </c>
      <c r="L1313" s="475"/>
      <c r="M1313" s="224"/>
      <c r="N1313" s="224"/>
      <c r="O1313" s="2628" t="s">
        <v>6395</v>
      </c>
      <c r="P1313" s="1">
        <v>499</v>
      </c>
      <c r="T1313" s="224"/>
      <c r="U1313" s="34" t="s">
        <v>25</v>
      </c>
      <c r="V1313" s="475"/>
      <c r="W1313" s="224"/>
      <c r="X1313" s="224"/>
    </row>
    <row r="1314" spans="1:24" x14ac:dyDescent="0.3">
      <c r="A1314" s="2651">
        <v>500</v>
      </c>
      <c r="B1314" s="1122" t="s">
        <v>1477</v>
      </c>
      <c r="C1314" s="216" t="s">
        <v>1344</v>
      </c>
      <c r="D1314" s="416" t="s">
        <v>938</v>
      </c>
      <c r="E1314" s="217" t="s">
        <v>1665</v>
      </c>
      <c r="F1314" s="218" t="s">
        <v>1417</v>
      </c>
      <c r="G1314" s="116">
        <v>1190</v>
      </c>
      <c r="H1314" s="1776" t="s">
        <v>1349</v>
      </c>
      <c r="J1314" s="224"/>
      <c r="K1314" s="34" t="s">
        <v>25</v>
      </c>
      <c r="L1314" s="475"/>
      <c r="M1314" s="224"/>
      <c r="N1314" s="224"/>
      <c r="O1314" s="2628" t="s">
        <v>6395</v>
      </c>
      <c r="P1314" s="1">
        <v>500</v>
      </c>
      <c r="T1314" s="224"/>
      <c r="U1314" s="34" t="s">
        <v>25</v>
      </c>
      <c r="V1314" s="475"/>
      <c r="W1314" s="224"/>
      <c r="X1314" s="224"/>
    </row>
    <row r="1315" spans="1:24" x14ac:dyDescent="0.3">
      <c r="A1315" s="2652">
        <v>501</v>
      </c>
      <c r="B1315" s="1122" t="s">
        <v>1666</v>
      </c>
      <c r="C1315" s="216" t="s">
        <v>1344</v>
      </c>
      <c r="D1315" s="416" t="s">
        <v>938</v>
      </c>
      <c r="E1315" s="217" t="s">
        <v>1667</v>
      </c>
      <c r="F1315" s="218" t="s">
        <v>1668</v>
      </c>
      <c r="G1315" s="116">
        <v>1630</v>
      </c>
      <c r="H1315" s="1776" t="s">
        <v>1349</v>
      </c>
      <c r="J1315" s="224"/>
      <c r="K1315" s="34" t="s">
        <v>25</v>
      </c>
      <c r="L1315" s="475"/>
      <c r="M1315" s="224"/>
      <c r="N1315" s="224"/>
      <c r="O1315" s="2628" t="s">
        <v>6395</v>
      </c>
      <c r="P1315" s="1">
        <v>501</v>
      </c>
      <c r="T1315" s="224"/>
      <c r="U1315" s="34" t="s">
        <v>25</v>
      </c>
      <c r="V1315" s="475"/>
      <c r="W1315" s="224"/>
      <c r="X1315" s="224"/>
    </row>
    <row r="1316" spans="1:24" x14ac:dyDescent="0.3">
      <c r="A1316" s="2651">
        <v>502</v>
      </c>
      <c r="B1316" s="1122" t="s">
        <v>1666</v>
      </c>
      <c r="C1316" s="216" t="s">
        <v>1344</v>
      </c>
      <c r="D1316" s="416" t="s">
        <v>938</v>
      </c>
      <c r="E1316" s="217" t="s">
        <v>1669</v>
      </c>
      <c r="F1316" s="218" t="s">
        <v>1668</v>
      </c>
      <c r="G1316" s="116">
        <v>1630</v>
      </c>
      <c r="H1316" s="1776" t="s">
        <v>1349</v>
      </c>
      <c r="J1316" s="224"/>
      <c r="K1316" s="34" t="s">
        <v>25</v>
      </c>
      <c r="L1316" s="475"/>
      <c r="M1316" s="224"/>
      <c r="N1316" s="224"/>
      <c r="O1316" s="2628" t="s">
        <v>6395</v>
      </c>
      <c r="P1316" s="1">
        <v>502</v>
      </c>
      <c r="T1316" s="224"/>
      <c r="U1316" s="34" t="s">
        <v>25</v>
      </c>
      <c r="V1316" s="475"/>
      <c r="W1316" s="224"/>
      <c r="X1316" s="224"/>
    </row>
    <row r="1317" spans="1:24" x14ac:dyDescent="0.3">
      <c r="A1317" s="2651">
        <v>503</v>
      </c>
      <c r="B1317" s="1122" t="s">
        <v>1666</v>
      </c>
      <c r="C1317" s="216" t="s">
        <v>1344</v>
      </c>
      <c r="D1317" s="416" t="s">
        <v>938</v>
      </c>
      <c r="E1317" s="217" t="s">
        <v>1670</v>
      </c>
      <c r="F1317" s="218" t="s">
        <v>1668</v>
      </c>
      <c r="G1317" s="116">
        <v>1630</v>
      </c>
      <c r="H1317" s="1776" t="s">
        <v>1349</v>
      </c>
      <c r="J1317" s="224"/>
      <c r="K1317" s="34" t="s">
        <v>25</v>
      </c>
      <c r="L1317" s="475"/>
      <c r="M1317" s="224"/>
      <c r="N1317" s="224"/>
      <c r="O1317" s="2628" t="s">
        <v>6395</v>
      </c>
      <c r="P1317" s="1">
        <v>503</v>
      </c>
      <c r="T1317" s="224"/>
      <c r="U1317" s="34" t="s">
        <v>25</v>
      </c>
      <c r="V1317" s="475"/>
      <c r="W1317" s="224"/>
      <c r="X1317" s="224"/>
    </row>
    <row r="1318" spans="1:24" x14ac:dyDescent="0.3">
      <c r="A1318" s="2652">
        <v>504</v>
      </c>
      <c r="B1318" s="1122" t="s">
        <v>1671</v>
      </c>
      <c r="C1318" s="216" t="s">
        <v>1344</v>
      </c>
      <c r="D1318" s="416" t="s">
        <v>947</v>
      </c>
      <c r="E1318" s="217" t="s">
        <v>1672</v>
      </c>
      <c r="F1318" s="218" t="s">
        <v>1673</v>
      </c>
      <c r="G1318" s="116">
        <v>3948</v>
      </c>
      <c r="H1318" s="1776" t="s">
        <v>1349</v>
      </c>
      <c r="J1318" s="224"/>
      <c r="K1318" s="34" t="s">
        <v>25</v>
      </c>
      <c r="L1318" s="475"/>
      <c r="M1318" s="224"/>
      <c r="N1318" s="224"/>
      <c r="O1318" s="2628" t="s">
        <v>6395</v>
      </c>
      <c r="P1318" s="1">
        <v>504</v>
      </c>
      <c r="T1318" s="224"/>
      <c r="U1318" s="34" t="s">
        <v>25</v>
      </c>
      <c r="V1318" s="475"/>
      <c r="W1318" s="224"/>
      <c r="X1318" s="224"/>
    </row>
    <row r="1319" spans="1:24" x14ac:dyDescent="0.3">
      <c r="A1319" s="2651">
        <v>505</v>
      </c>
      <c r="B1319" s="1122" t="s">
        <v>1671</v>
      </c>
      <c r="C1319" s="216" t="s">
        <v>1344</v>
      </c>
      <c r="D1319" s="416" t="s">
        <v>947</v>
      </c>
      <c r="E1319" s="217" t="s">
        <v>1674</v>
      </c>
      <c r="F1319" s="218" t="s">
        <v>1673</v>
      </c>
      <c r="G1319" s="116">
        <v>3948</v>
      </c>
      <c r="H1319" s="1776" t="s">
        <v>1349</v>
      </c>
      <c r="J1319" s="224"/>
      <c r="K1319" s="34" t="s">
        <v>25</v>
      </c>
      <c r="L1319" s="475"/>
      <c r="M1319" s="224"/>
      <c r="N1319" s="224"/>
      <c r="O1319" s="2628" t="s">
        <v>6395</v>
      </c>
      <c r="P1319" s="1">
        <v>505</v>
      </c>
      <c r="T1319" s="224"/>
      <c r="U1319" s="34" t="s">
        <v>25</v>
      </c>
      <c r="V1319" s="475"/>
      <c r="W1319" s="224"/>
      <c r="X1319" s="224"/>
    </row>
    <row r="1320" spans="1:24" x14ac:dyDescent="0.3">
      <c r="A1320" s="2651">
        <v>506</v>
      </c>
      <c r="B1320" s="1122" t="s">
        <v>1671</v>
      </c>
      <c r="C1320" s="216" t="s">
        <v>1344</v>
      </c>
      <c r="D1320" s="416" t="s">
        <v>947</v>
      </c>
      <c r="E1320" s="217" t="s">
        <v>1675</v>
      </c>
      <c r="F1320" s="218" t="s">
        <v>1673</v>
      </c>
      <c r="G1320" s="116">
        <v>3948</v>
      </c>
      <c r="H1320" s="1776" t="s">
        <v>1349</v>
      </c>
      <c r="J1320" s="224"/>
      <c r="K1320" s="34" t="s">
        <v>25</v>
      </c>
      <c r="L1320" s="475"/>
      <c r="M1320" s="224"/>
      <c r="N1320" s="224"/>
      <c r="O1320" s="2628" t="s">
        <v>6395</v>
      </c>
      <c r="P1320" s="1">
        <v>506</v>
      </c>
      <c r="T1320" s="224"/>
      <c r="U1320" s="34" t="s">
        <v>25</v>
      </c>
      <c r="V1320" s="475"/>
      <c r="W1320" s="224"/>
      <c r="X1320" s="224"/>
    </row>
    <row r="1321" spans="1:24" x14ac:dyDescent="0.3">
      <c r="A1321" s="2652">
        <v>507</v>
      </c>
      <c r="B1321" s="1122" t="s">
        <v>1671</v>
      </c>
      <c r="C1321" s="216" t="s">
        <v>1344</v>
      </c>
      <c r="D1321" s="416" t="s">
        <v>947</v>
      </c>
      <c r="E1321" s="217" t="s">
        <v>1676</v>
      </c>
      <c r="F1321" s="218" t="s">
        <v>1673</v>
      </c>
      <c r="G1321" s="116">
        <v>3948</v>
      </c>
      <c r="H1321" s="1776" t="s">
        <v>1349</v>
      </c>
      <c r="J1321" s="224"/>
      <c r="K1321" s="34" t="s">
        <v>25</v>
      </c>
      <c r="L1321" s="475"/>
      <c r="M1321" s="224"/>
      <c r="N1321" s="224"/>
      <c r="O1321" s="2628" t="s">
        <v>6395</v>
      </c>
      <c r="P1321" s="1">
        <v>507</v>
      </c>
      <c r="T1321" s="224"/>
      <c r="U1321" s="34" t="s">
        <v>25</v>
      </c>
      <c r="V1321" s="475"/>
      <c r="W1321" s="224"/>
      <c r="X1321" s="224"/>
    </row>
    <row r="1322" spans="1:24" x14ac:dyDescent="0.3">
      <c r="A1322" s="2651">
        <v>508</v>
      </c>
      <c r="B1322" s="1122" t="s">
        <v>1671</v>
      </c>
      <c r="C1322" s="216" t="s">
        <v>1344</v>
      </c>
      <c r="D1322" s="416" t="s">
        <v>947</v>
      </c>
      <c r="E1322" s="217" t="s">
        <v>1677</v>
      </c>
      <c r="F1322" s="218" t="s">
        <v>1673</v>
      </c>
      <c r="G1322" s="116">
        <v>3948</v>
      </c>
      <c r="H1322" s="1776" t="s">
        <v>1349</v>
      </c>
      <c r="J1322" s="224"/>
      <c r="K1322" s="34" t="s">
        <v>25</v>
      </c>
      <c r="L1322" s="475"/>
      <c r="M1322" s="224"/>
      <c r="N1322" s="224"/>
      <c r="O1322" s="2628" t="s">
        <v>6395</v>
      </c>
      <c r="P1322" s="1">
        <v>508</v>
      </c>
      <c r="T1322" s="224"/>
      <c r="U1322" s="34" t="s">
        <v>25</v>
      </c>
      <c r="V1322" s="475"/>
      <c r="W1322" s="224"/>
      <c r="X1322" s="224"/>
    </row>
    <row r="1323" spans="1:24" x14ac:dyDescent="0.3">
      <c r="A1323" s="2651">
        <v>509</v>
      </c>
      <c r="B1323" s="1122" t="s">
        <v>1671</v>
      </c>
      <c r="C1323" s="216" t="s">
        <v>1344</v>
      </c>
      <c r="D1323" s="416" t="s">
        <v>947</v>
      </c>
      <c r="E1323" s="217" t="s">
        <v>1678</v>
      </c>
      <c r="F1323" s="218" t="s">
        <v>1673</v>
      </c>
      <c r="G1323" s="116">
        <v>3948</v>
      </c>
      <c r="H1323" s="1776" t="s">
        <v>1349</v>
      </c>
      <c r="J1323" s="224"/>
      <c r="K1323" s="34" t="s">
        <v>25</v>
      </c>
      <c r="L1323" s="475"/>
      <c r="M1323" s="224"/>
      <c r="N1323" s="224"/>
      <c r="O1323" s="2628" t="s">
        <v>6395</v>
      </c>
      <c r="P1323" s="1">
        <v>509</v>
      </c>
      <c r="T1323" s="224"/>
      <c r="U1323" s="34" t="s">
        <v>25</v>
      </c>
      <c r="V1323" s="475"/>
      <c r="W1323" s="224"/>
      <c r="X1323" s="224"/>
    </row>
    <row r="1324" spans="1:24" x14ac:dyDescent="0.3">
      <c r="A1324" s="2652">
        <v>510</v>
      </c>
      <c r="B1324" s="1122" t="s">
        <v>1671</v>
      </c>
      <c r="C1324" s="216" t="s">
        <v>1344</v>
      </c>
      <c r="D1324" s="416" t="s">
        <v>947</v>
      </c>
      <c r="E1324" s="217" t="s">
        <v>1679</v>
      </c>
      <c r="F1324" s="218" t="s">
        <v>1673</v>
      </c>
      <c r="G1324" s="116">
        <v>3948</v>
      </c>
      <c r="H1324" s="1776" t="s">
        <v>1349</v>
      </c>
      <c r="J1324" s="224"/>
      <c r="K1324" s="34" t="s">
        <v>25</v>
      </c>
      <c r="L1324" s="475"/>
      <c r="M1324" s="224"/>
      <c r="N1324" s="224"/>
      <c r="O1324" s="2628" t="s">
        <v>6395</v>
      </c>
      <c r="P1324" s="1">
        <v>510</v>
      </c>
      <c r="T1324" s="224"/>
      <c r="U1324" s="34" t="s">
        <v>25</v>
      </c>
      <c r="V1324" s="475"/>
      <c r="W1324" s="224"/>
      <c r="X1324" s="224"/>
    </row>
    <row r="1325" spans="1:24" x14ac:dyDescent="0.3">
      <c r="A1325" s="2651">
        <v>511</v>
      </c>
      <c r="B1325" s="1122" t="s">
        <v>1671</v>
      </c>
      <c r="C1325" s="216" t="s">
        <v>1344</v>
      </c>
      <c r="D1325" s="452" t="s">
        <v>947</v>
      </c>
      <c r="E1325" s="217" t="s">
        <v>1680</v>
      </c>
      <c r="F1325" s="218" t="s">
        <v>1673</v>
      </c>
      <c r="G1325" s="116">
        <v>3948</v>
      </c>
      <c r="H1325" s="1776" t="s">
        <v>1349</v>
      </c>
      <c r="J1325" s="224"/>
      <c r="K1325" s="34" t="s">
        <v>25</v>
      </c>
      <c r="L1325" s="475"/>
      <c r="M1325" s="224"/>
      <c r="N1325" s="224"/>
      <c r="O1325" s="2628" t="s">
        <v>6395</v>
      </c>
      <c r="P1325" s="1">
        <v>511</v>
      </c>
      <c r="T1325" s="224"/>
      <c r="U1325" s="34" t="s">
        <v>25</v>
      </c>
      <c r="V1325" s="475"/>
      <c r="W1325" s="224"/>
      <c r="X1325" s="224"/>
    </row>
    <row r="1326" spans="1:24" x14ac:dyDescent="0.3">
      <c r="A1326" s="2651">
        <v>512</v>
      </c>
      <c r="B1326" s="1122" t="s">
        <v>1671</v>
      </c>
      <c r="C1326" s="216" t="s">
        <v>1344</v>
      </c>
      <c r="D1326" s="495" t="s">
        <v>947</v>
      </c>
      <c r="E1326" s="217" t="s">
        <v>1681</v>
      </c>
      <c r="F1326" s="218" t="s">
        <v>1673</v>
      </c>
      <c r="G1326" s="116">
        <v>3948</v>
      </c>
      <c r="H1326" s="1776" t="s">
        <v>1349</v>
      </c>
      <c r="J1326" s="224"/>
      <c r="K1326" s="34" t="s">
        <v>25</v>
      </c>
      <c r="L1326" s="475"/>
      <c r="M1326" s="224"/>
      <c r="N1326" s="224"/>
      <c r="O1326" s="2628" t="s">
        <v>6395</v>
      </c>
      <c r="P1326" s="1">
        <v>512</v>
      </c>
      <c r="T1326" s="224"/>
      <c r="U1326" s="34" t="s">
        <v>25</v>
      </c>
      <c r="V1326" s="475"/>
      <c r="W1326" s="224"/>
      <c r="X1326" s="224"/>
    </row>
    <row r="1327" spans="1:24" x14ac:dyDescent="0.3">
      <c r="A1327" s="2652">
        <v>513</v>
      </c>
      <c r="B1327" s="1122" t="s">
        <v>1671</v>
      </c>
      <c r="C1327" s="216" t="s">
        <v>1344</v>
      </c>
      <c r="D1327" s="793" t="s">
        <v>947</v>
      </c>
      <c r="E1327" s="217" t="s">
        <v>1682</v>
      </c>
      <c r="F1327" s="218" t="s">
        <v>1673</v>
      </c>
      <c r="G1327" s="116">
        <v>3948</v>
      </c>
      <c r="H1327" s="1776" t="s">
        <v>1349</v>
      </c>
      <c r="J1327" s="224"/>
      <c r="K1327" s="34" t="s">
        <v>25</v>
      </c>
      <c r="L1327" s="475"/>
      <c r="M1327" s="224"/>
      <c r="N1327" s="224"/>
      <c r="O1327" s="2628" t="s">
        <v>6395</v>
      </c>
      <c r="P1327" s="1">
        <v>513</v>
      </c>
      <c r="T1327" s="224"/>
      <c r="U1327" s="34" t="s">
        <v>25</v>
      </c>
      <c r="V1327" s="475"/>
      <c r="W1327" s="224"/>
      <c r="X1327" s="224"/>
    </row>
    <row r="1328" spans="1:24" x14ac:dyDescent="0.3">
      <c r="A1328" s="2651">
        <v>514</v>
      </c>
      <c r="B1328" s="1122" t="s">
        <v>1683</v>
      </c>
      <c r="C1328" s="216" t="s">
        <v>1344</v>
      </c>
      <c r="D1328" s="416" t="s">
        <v>947</v>
      </c>
      <c r="E1328" s="217" t="s">
        <v>1684</v>
      </c>
      <c r="F1328" s="218" t="s">
        <v>1673</v>
      </c>
      <c r="G1328" s="116">
        <v>17946</v>
      </c>
      <c r="H1328" s="1776" t="s">
        <v>1349</v>
      </c>
      <c r="J1328" s="224"/>
      <c r="K1328" s="34" t="s">
        <v>25</v>
      </c>
      <c r="L1328" s="475"/>
      <c r="M1328" s="224"/>
      <c r="N1328" s="224"/>
      <c r="O1328" s="2628" t="s">
        <v>6395</v>
      </c>
      <c r="P1328" s="1">
        <v>514</v>
      </c>
      <c r="T1328" s="224"/>
      <c r="U1328" s="34" t="s">
        <v>25</v>
      </c>
      <c r="V1328" s="475"/>
      <c r="W1328" s="224"/>
      <c r="X1328" s="224"/>
    </row>
    <row r="1329" spans="1:24" x14ac:dyDescent="0.3">
      <c r="A1329" s="2651">
        <v>515</v>
      </c>
      <c r="B1329" s="1122" t="s">
        <v>1685</v>
      </c>
      <c r="C1329" s="216" t="s">
        <v>1344</v>
      </c>
      <c r="D1329" s="416" t="s">
        <v>947</v>
      </c>
      <c r="E1329" s="217" t="s">
        <v>1686</v>
      </c>
      <c r="F1329" s="218" t="s">
        <v>1673</v>
      </c>
      <c r="G1329" s="116">
        <v>17946</v>
      </c>
      <c r="H1329" s="1776" t="s">
        <v>1349</v>
      </c>
      <c r="J1329" s="224"/>
      <c r="K1329" s="34" t="s">
        <v>25</v>
      </c>
      <c r="L1329" s="475"/>
      <c r="M1329" s="224"/>
      <c r="N1329" s="224"/>
      <c r="O1329" s="2628" t="s">
        <v>6395</v>
      </c>
      <c r="P1329" s="1">
        <v>515</v>
      </c>
      <c r="T1329" s="224"/>
      <c r="U1329" s="34" t="s">
        <v>25</v>
      </c>
      <c r="V1329" s="475"/>
      <c r="W1329" s="224"/>
      <c r="X1329" s="224"/>
    </row>
    <row r="1330" spans="1:24" x14ac:dyDescent="0.3">
      <c r="A1330" s="2652">
        <v>516</v>
      </c>
      <c r="B1330" s="1122" t="s">
        <v>1685</v>
      </c>
      <c r="C1330" s="216" t="s">
        <v>1344</v>
      </c>
      <c r="D1330" s="416" t="s">
        <v>947</v>
      </c>
      <c r="E1330" s="217" t="s">
        <v>1687</v>
      </c>
      <c r="F1330" s="218" t="s">
        <v>1673</v>
      </c>
      <c r="G1330" s="116">
        <v>17946</v>
      </c>
      <c r="H1330" s="1776" t="s">
        <v>1349</v>
      </c>
      <c r="J1330" s="224"/>
      <c r="K1330" s="34" t="s">
        <v>25</v>
      </c>
      <c r="L1330" s="475"/>
      <c r="M1330" s="224"/>
      <c r="N1330" s="224"/>
      <c r="O1330" s="2628" t="s">
        <v>6395</v>
      </c>
      <c r="P1330" s="1">
        <v>516</v>
      </c>
      <c r="T1330" s="224"/>
      <c r="U1330" s="34" t="s">
        <v>25</v>
      </c>
      <c r="V1330" s="475"/>
      <c r="W1330" s="224"/>
      <c r="X1330" s="224"/>
    </row>
    <row r="1331" spans="1:24" x14ac:dyDescent="0.3">
      <c r="A1331" s="2651">
        <v>517</v>
      </c>
      <c r="B1331" s="1122" t="s">
        <v>1685</v>
      </c>
      <c r="C1331" s="216" t="s">
        <v>1344</v>
      </c>
      <c r="D1331" s="416" t="s">
        <v>947</v>
      </c>
      <c r="E1331" s="217" t="s">
        <v>1688</v>
      </c>
      <c r="F1331" s="218" t="s">
        <v>1673</v>
      </c>
      <c r="G1331" s="116">
        <v>17946</v>
      </c>
      <c r="H1331" s="1776" t="s">
        <v>1349</v>
      </c>
      <c r="J1331" s="224"/>
      <c r="K1331" s="34" t="s">
        <v>25</v>
      </c>
      <c r="L1331" s="475"/>
      <c r="M1331" s="224"/>
      <c r="N1331" s="224"/>
      <c r="O1331" s="2628" t="s">
        <v>6395</v>
      </c>
      <c r="P1331" s="1">
        <v>517</v>
      </c>
      <c r="T1331" s="224"/>
      <c r="U1331" s="34" t="s">
        <v>25</v>
      </c>
      <c r="V1331" s="475"/>
      <c r="W1331" s="224"/>
      <c r="X1331" s="224"/>
    </row>
    <row r="1332" spans="1:24" x14ac:dyDescent="0.3">
      <c r="A1332" s="2651">
        <v>518</v>
      </c>
      <c r="B1332" s="1122" t="s">
        <v>1685</v>
      </c>
      <c r="C1332" s="216" t="s">
        <v>1344</v>
      </c>
      <c r="D1332" s="416" t="s">
        <v>947</v>
      </c>
      <c r="E1332" s="217" t="s">
        <v>1689</v>
      </c>
      <c r="F1332" s="218" t="s">
        <v>1673</v>
      </c>
      <c r="G1332" s="116">
        <v>17946</v>
      </c>
      <c r="H1332" s="1776" t="s">
        <v>1349</v>
      </c>
      <c r="J1332" s="224"/>
      <c r="K1332" s="34" t="s">
        <v>25</v>
      </c>
      <c r="L1332" s="475"/>
      <c r="M1332" s="224"/>
      <c r="N1332" s="224"/>
      <c r="O1332" s="2628" t="s">
        <v>6395</v>
      </c>
      <c r="P1332" s="1">
        <v>518</v>
      </c>
      <c r="T1332" s="224"/>
      <c r="U1332" s="34" t="s">
        <v>25</v>
      </c>
      <c r="V1332" s="475"/>
      <c r="W1332" s="224"/>
      <c r="X1332" s="224"/>
    </row>
    <row r="1333" spans="1:24" x14ac:dyDescent="0.3">
      <c r="A1333" s="2652">
        <v>519</v>
      </c>
      <c r="B1333" s="1122" t="s">
        <v>1690</v>
      </c>
      <c r="C1333" s="216" t="s">
        <v>1344</v>
      </c>
      <c r="D1333" s="416" t="s">
        <v>947</v>
      </c>
      <c r="E1333" s="217" t="s">
        <v>1691</v>
      </c>
      <c r="F1333" s="218" t="s">
        <v>1692</v>
      </c>
      <c r="G1333" s="116">
        <v>5992</v>
      </c>
      <c r="H1333" s="1776" t="s">
        <v>1349</v>
      </c>
      <c r="J1333" s="224"/>
      <c r="K1333" s="34" t="s">
        <v>25</v>
      </c>
      <c r="L1333" s="475"/>
      <c r="M1333" s="224"/>
      <c r="N1333" s="224"/>
      <c r="O1333" s="2628" t="s">
        <v>6395</v>
      </c>
      <c r="P1333" s="1">
        <v>519</v>
      </c>
      <c r="T1333" s="224"/>
      <c r="U1333" s="34" t="s">
        <v>25</v>
      </c>
      <c r="V1333" s="475"/>
      <c r="W1333" s="224"/>
      <c r="X1333" s="224"/>
    </row>
    <row r="1334" spans="1:24" x14ac:dyDescent="0.3">
      <c r="A1334" s="2651">
        <v>520</v>
      </c>
      <c r="B1334" s="1122" t="s">
        <v>1690</v>
      </c>
      <c r="C1334" s="216" t="s">
        <v>1344</v>
      </c>
      <c r="D1334" s="416" t="s">
        <v>947</v>
      </c>
      <c r="E1334" s="217" t="s">
        <v>1693</v>
      </c>
      <c r="F1334" s="218" t="s">
        <v>1692</v>
      </c>
      <c r="G1334" s="116">
        <v>5992</v>
      </c>
      <c r="H1334" s="1776" t="s">
        <v>1349</v>
      </c>
      <c r="J1334" s="224"/>
      <c r="K1334" s="34" t="s">
        <v>25</v>
      </c>
      <c r="L1334" s="475"/>
      <c r="M1334" s="224"/>
      <c r="N1334" s="224"/>
      <c r="O1334" s="2628" t="s">
        <v>6395</v>
      </c>
      <c r="P1334" s="1">
        <v>520</v>
      </c>
      <c r="T1334" s="224"/>
      <c r="U1334" s="34" t="s">
        <v>25</v>
      </c>
      <c r="V1334" s="475"/>
      <c r="W1334" s="224"/>
      <c r="X1334" s="224"/>
    </row>
    <row r="1335" spans="1:24" x14ac:dyDescent="0.3">
      <c r="A1335" s="2651">
        <v>521</v>
      </c>
      <c r="B1335" s="1122" t="s">
        <v>1690</v>
      </c>
      <c r="C1335" s="216" t="s">
        <v>1344</v>
      </c>
      <c r="D1335" s="416" t="s">
        <v>947</v>
      </c>
      <c r="E1335" s="217" t="s">
        <v>1694</v>
      </c>
      <c r="F1335" s="218" t="s">
        <v>1692</v>
      </c>
      <c r="G1335" s="116">
        <v>5992</v>
      </c>
      <c r="H1335" s="1776" t="s">
        <v>1349</v>
      </c>
      <c r="J1335" s="224"/>
      <c r="K1335" s="34" t="s">
        <v>25</v>
      </c>
      <c r="L1335" s="475"/>
      <c r="M1335" s="224"/>
      <c r="N1335" s="224"/>
      <c r="O1335" s="2628" t="s">
        <v>6395</v>
      </c>
      <c r="P1335" s="1">
        <v>521</v>
      </c>
      <c r="T1335" s="224"/>
      <c r="U1335" s="34" t="s">
        <v>25</v>
      </c>
      <c r="V1335" s="475"/>
      <c r="W1335" s="224"/>
      <c r="X1335" s="224"/>
    </row>
    <row r="1336" spans="1:24" x14ac:dyDescent="0.3">
      <c r="A1336" s="2652">
        <v>522</v>
      </c>
      <c r="B1336" s="1122" t="s">
        <v>1690</v>
      </c>
      <c r="C1336" s="216" t="s">
        <v>1344</v>
      </c>
      <c r="D1336" s="416" t="s">
        <v>947</v>
      </c>
      <c r="E1336" s="217" t="s">
        <v>1695</v>
      </c>
      <c r="F1336" s="218" t="s">
        <v>1692</v>
      </c>
      <c r="G1336" s="116">
        <v>5992</v>
      </c>
      <c r="H1336" s="1776" t="s">
        <v>1349</v>
      </c>
      <c r="J1336" s="224"/>
      <c r="K1336" s="34" t="s">
        <v>25</v>
      </c>
      <c r="L1336" s="475"/>
      <c r="M1336" s="224"/>
      <c r="N1336" s="224"/>
      <c r="O1336" s="2628" t="s">
        <v>6395</v>
      </c>
      <c r="P1336" s="1">
        <v>522</v>
      </c>
      <c r="T1336" s="224"/>
      <c r="U1336" s="34" t="s">
        <v>25</v>
      </c>
      <c r="V1336" s="475"/>
      <c r="W1336" s="224"/>
      <c r="X1336" s="224"/>
    </row>
    <row r="1337" spans="1:24" x14ac:dyDescent="0.3">
      <c r="A1337" s="2651">
        <v>523</v>
      </c>
      <c r="B1337" s="1122" t="s">
        <v>1690</v>
      </c>
      <c r="C1337" s="216" t="s">
        <v>1344</v>
      </c>
      <c r="D1337" s="416" t="s">
        <v>947</v>
      </c>
      <c r="E1337" s="217" t="s">
        <v>1696</v>
      </c>
      <c r="F1337" s="218" t="s">
        <v>1692</v>
      </c>
      <c r="G1337" s="116">
        <v>5992</v>
      </c>
      <c r="H1337" s="1776" t="s">
        <v>1349</v>
      </c>
      <c r="J1337" s="224"/>
      <c r="K1337" s="34" t="s">
        <v>25</v>
      </c>
      <c r="L1337" s="475"/>
      <c r="M1337" s="224"/>
      <c r="N1337" s="224"/>
      <c r="O1337" s="2628" t="s">
        <v>6395</v>
      </c>
      <c r="P1337" s="1">
        <v>523</v>
      </c>
      <c r="T1337" s="224"/>
      <c r="U1337" s="34" t="s">
        <v>25</v>
      </c>
      <c r="V1337" s="475"/>
      <c r="W1337" s="224"/>
      <c r="X1337" s="224"/>
    </row>
    <row r="1338" spans="1:24" x14ac:dyDescent="0.3">
      <c r="A1338" s="2651">
        <v>524</v>
      </c>
      <c r="B1338" s="1122" t="s">
        <v>1690</v>
      </c>
      <c r="C1338" s="216" t="s">
        <v>1344</v>
      </c>
      <c r="D1338" s="416" t="s">
        <v>947</v>
      </c>
      <c r="E1338" s="217" t="s">
        <v>1697</v>
      </c>
      <c r="F1338" s="218" t="s">
        <v>1692</v>
      </c>
      <c r="G1338" s="116">
        <v>5992</v>
      </c>
      <c r="H1338" s="1776" t="s">
        <v>1349</v>
      </c>
      <c r="J1338" s="224"/>
      <c r="K1338" s="34" t="s">
        <v>25</v>
      </c>
      <c r="L1338" s="475"/>
      <c r="M1338" s="224"/>
      <c r="N1338" s="224"/>
      <c r="O1338" s="2628" t="s">
        <v>6395</v>
      </c>
      <c r="P1338" s="1">
        <v>524</v>
      </c>
      <c r="T1338" s="224"/>
      <c r="U1338" s="34" t="s">
        <v>25</v>
      </c>
      <c r="V1338" s="475"/>
      <c r="W1338" s="224"/>
      <c r="X1338" s="224"/>
    </row>
    <row r="1339" spans="1:24" x14ac:dyDescent="0.3">
      <c r="A1339" s="2652">
        <v>525</v>
      </c>
      <c r="B1339" s="1122" t="s">
        <v>1690</v>
      </c>
      <c r="C1339" s="216" t="s">
        <v>1344</v>
      </c>
      <c r="D1339" s="416" t="s">
        <v>947</v>
      </c>
      <c r="E1339" s="217" t="s">
        <v>1698</v>
      </c>
      <c r="F1339" s="218" t="s">
        <v>1692</v>
      </c>
      <c r="G1339" s="116">
        <v>5992</v>
      </c>
      <c r="H1339" s="1776" t="s">
        <v>1349</v>
      </c>
      <c r="J1339" s="224"/>
      <c r="K1339" s="34" t="s">
        <v>25</v>
      </c>
      <c r="L1339" s="475"/>
      <c r="M1339" s="224"/>
      <c r="N1339" s="224"/>
      <c r="O1339" s="2628" t="s">
        <v>6395</v>
      </c>
      <c r="P1339" s="1">
        <v>525</v>
      </c>
      <c r="T1339" s="224"/>
      <c r="U1339" s="34" t="s">
        <v>25</v>
      </c>
      <c r="V1339" s="475"/>
      <c r="W1339" s="224"/>
      <c r="X1339" s="224"/>
    </row>
    <row r="1340" spans="1:24" x14ac:dyDescent="0.3">
      <c r="A1340" s="2651">
        <v>526</v>
      </c>
      <c r="B1340" s="1122" t="s">
        <v>1690</v>
      </c>
      <c r="C1340" s="216" t="s">
        <v>1344</v>
      </c>
      <c r="D1340" s="452" t="s">
        <v>947</v>
      </c>
      <c r="E1340" s="217" t="s">
        <v>475</v>
      </c>
      <c r="F1340" s="218" t="s">
        <v>1692</v>
      </c>
      <c r="G1340" s="116">
        <v>5992</v>
      </c>
      <c r="H1340" s="1776" t="s">
        <v>1349</v>
      </c>
      <c r="J1340" s="224"/>
      <c r="K1340" s="34" t="s">
        <v>25</v>
      </c>
      <c r="L1340" s="475"/>
      <c r="M1340" s="224"/>
      <c r="N1340" s="224"/>
      <c r="O1340" s="2628" t="s">
        <v>6395</v>
      </c>
      <c r="P1340" s="1">
        <v>526</v>
      </c>
      <c r="T1340" s="224"/>
      <c r="U1340" s="34" t="s">
        <v>25</v>
      </c>
      <c r="V1340" s="475"/>
      <c r="W1340" s="224"/>
      <c r="X1340" s="224"/>
    </row>
    <row r="1341" spans="1:24" x14ac:dyDescent="0.3">
      <c r="A1341" s="2651">
        <v>527</v>
      </c>
      <c r="B1341" s="1122" t="s">
        <v>1690</v>
      </c>
      <c r="C1341" s="216" t="s">
        <v>1344</v>
      </c>
      <c r="D1341" s="495" t="s">
        <v>947</v>
      </c>
      <c r="E1341" s="217" t="s">
        <v>1699</v>
      </c>
      <c r="F1341" s="218" t="s">
        <v>1692</v>
      </c>
      <c r="G1341" s="116">
        <v>5992</v>
      </c>
      <c r="H1341" s="1776" t="s">
        <v>1349</v>
      </c>
      <c r="J1341" s="224"/>
      <c r="K1341" s="34" t="s">
        <v>25</v>
      </c>
      <c r="L1341" s="475"/>
      <c r="M1341" s="224"/>
      <c r="N1341" s="224"/>
      <c r="O1341" s="2628" t="s">
        <v>6395</v>
      </c>
      <c r="P1341" s="1">
        <v>527</v>
      </c>
      <c r="T1341" s="224"/>
      <c r="U1341" s="34" t="s">
        <v>25</v>
      </c>
      <c r="V1341" s="475"/>
      <c r="W1341" s="224"/>
      <c r="X1341" s="224"/>
    </row>
    <row r="1342" spans="1:24" x14ac:dyDescent="0.3">
      <c r="A1342" s="2652">
        <v>528</v>
      </c>
      <c r="B1342" s="1122" t="s">
        <v>1690</v>
      </c>
      <c r="C1342" s="216" t="s">
        <v>1344</v>
      </c>
      <c r="D1342" s="793" t="s">
        <v>947</v>
      </c>
      <c r="E1342" s="217" t="s">
        <v>1700</v>
      </c>
      <c r="F1342" s="218" t="s">
        <v>1692</v>
      </c>
      <c r="G1342" s="116">
        <v>5992</v>
      </c>
      <c r="H1342" s="1776" t="s">
        <v>1349</v>
      </c>
      <c r="J1342" s="224"/>
      <c r="K1342" s="34" t="s">
        <v>25</v>
      </c>
      <c r="L1342" s="475"/>
      <c r="M1342" s="224"/>
      <c r="N1342" s="224"/>
      <c r="O1342" s="2628" t="s">
        <v>6395</v>
      </c>
      <c r="P1342" s="1">
        <v>528</v>
      </c>
      <c r="T1342" s="224"/>
      <c r="U1342" s="34" t="s">
        <v>25</v>
      </c>
      <c r="V1342" s="475"/>
      <c r="W1342" s="224"/>
      <c r="X1342" s="224"/>
    </row>
    <row r="1343" spans="1:24" x14ac:dyDescent="0.3">
      <c r="A1343" s="2651">
        <v>529</v>
      </c>
      <c r="B1343" s="1122" t="s">
        <v>1690</v>
      </c>
      <c r="C1343" s="216" t="s">
        <v>1344</v>
      </c>
      <c r="D1343" s="416" t="s">
        <v>947</v>
      </c>
      <c r="E1343" s="217" t="s">
        <v>1701</v>
      </c>
      <c r="F1343" s="218" t="s">
        <v>1692</v>
      </c>
      <c r="G1343" s="116">
        <v>5992</v>
      </c>
      <c r="H1343" s="1776" t="s">
        <v>1349</v>
      </c>
      <c r="J1343" s="224"/>
      <c r="K1343" s="34" t="s">
        <v>25</v>
      </c>
      <c r="L1343" s="475"/>
      <c r="M1343" s="224"/>
      <c r="N1343" s="224"/>
      <c r="O1343" s="2628" t="s">
        <v>6395</v>
      </c>
      <c r="P1343" s="1">
        <v>529</v>
      </c>
      <c r="T1343" s="224"/>
      <c r="U1343" s="34" t="s">
        <v>25</v>
      </c>
      <c r="V1343" s="475"/>
      <c r="W1343" s="224"/>
      <c r="X1343" s="224"/>
    </row>
    <row r="1344" spans="1:24" x14ac:dyDescent="0.3">
      <c r="A1344" s="2651">
        <v>530</v>
      </c>
      <c r="B1344" s="1122" t="s">
        <v>1690</v>
      </c>
      <c r="C1344" s="216" t="s">
        <v>1344</v>
      </c>
      <c r="D1344" s="416" t="s">
        <v>947</v>
      </c>
      <c r="E1344" s="217" t="s">
        <v>1702</v>
      </c>
      <c r="F1344" s="218" t="s">
        <v>1692</v>
      </c>
      <c r="G1344" s="116">
        <v>5992</v>
      </c>
      <c r="H1344" s="1776" t="s">
        <v>1349</v>
      </c>
      <c r="J1344" s="224"/>
      <c r="K1344" s="34" t="s">
        <v>25</v>
      </c>
      <c r="L1344" s="475"/>
      <c r="M1344" s="224"/>
      <c r="N1344" s="224"/>
      <c r="O1344" s="2628" t="s">
        <v>6395</v>
      </c>
      <c r="P1344" s="1">
        <v>530</v>
      </c>
      <c r="T1344" s="224"/>
      <c r="U1344" s="34" t="s">
        <v>25</v>
      </c>
      <c r="V1344" s="475"/>
      <c r="W1344" s="224"/>
      <c r="X1344" s="224"/>
    </row>
    <row r="1345" spans="1:24" x14ac:dyDescent="0.3">
      <c r="A1345" s="2652">
        <v>531</v>
      </c>
      <c r="B1345" s="1122" t="s">
        <v>1690</v>
      </c>
      <c r="C1345" s="216" t="s">
        <v>1344</v>
      </c>
      <c r="D1345" s="416" t="s">
        <v>947</v>
      </c>
      <c r="E1345" s="217" t="s">
        <v>1703</v>
      </c>
      <c r="F1345" s="218" t="s">
        <v>1692</v>
      </c>
      <c r="G1345" s="116">
        <v>5992</v>
      </c>
      <c r="H1345" s="1776" t="s">
        <v>1349</v>
      </c>
      <c r="J1345" s="224"/>
      <c r="K1345" s="34" t="s">
        <v>25</v>
      </c>
      <c r="L1345" s="475"/>
      <c r="M1345" s="224"/>
      <c r="N1345" s="224"/>
      <c r="O1345" s="2628" t="s">
        <v>6395</v>
      </c>
      <c r="P1345" s="1">
        <v>531</v>
      </c>
      <c r="T1345" s="224"/>
      <c r="U1345" s="34" t="s">
        <v>25</v>
      </c>
      <c r="V1345" s="475"/>
      <c r="W1345" s="224"/>
      <c r="X1345" s="224"/>
    </row>
    <row r="1346" spans="1:24" x14ac:dyDescent="0.3">
      <c r="A1346" s="2651">
        <v>532</v>
      </c>
      <c r="B1346" s="1122" t="s">
        <v>1690</v>
      </c>
      <c r="C1346" s="216" t="s">
        <v>1344</v>
      </c>
      <c r="D1346" s="416" t="s">
        <v>947</v>
      </c>
      <c r="E1346" s="217" t="s">
        <v>1704</v>
      </c>
      <c r="F1346" s="218" t="s">
        <v>1692</v>
      </c>
      <c r="G1346" s="116">
        <v>5992</v>
      </c>
      <c r="H1346" s="1776" t="s">
        <v>1349</v>
      </c>
      <c r="J1346" s="224"/>
      <c r="K1346" s="34" t="s">
        <v>25</v>
      </c>
      <c r="L1346" s="475"/>
      <c r="M1346" s="224"/>
      <c r="N1346" s="224"/>
      <c r="O1346" s="2628" t="s">
        <v>6395</v>
      </c>
      <c r="P1346" s="1">
        <v>532</v>
      </c>
      <c r="T1346" s="224"/>
      <c r="U1346" s="34" t="s">
        <v>25</v>
      </c>
      <c r="V1346" s="475"/>
      <c r="W1346" s="224"/>
      <c r="X1346" s="224"/>
    </row>
    <row r="1347" spans="1:24" x14ac:dyDescent="0.3">
      <c r="A1347" s="2651">
        <v>533</v>
      </c>
      <c r="B1347" s="1122" t="s">
        <v>1690</v>
      </c>
      <c r="C1347" s="216" t="s">
        <v>1344</v>
      </c>
      <c r="D1347" s="416" t="s">
        <v>947</v>
      </c>
      <c r="E1347" s="217" t="s">
        <v>1705</v>
      </c>
      <c r="F1347" s="218" t="s">
        <v>1692</v>
      </c>
      <c r="G1347" s="116">
        <v>5992</v>
      </c>
      <c r="H1347" s="1776" t="s">
        <v>1349</v>
      </c>
      <c r="J1347" s="224"/>
      <c r="K1347" s="34" t="s">
        <v>25</v>
      </c>
      <c r="L1347" s="475"/>
      <c r="M1347" s="224"/>
      <c r="N1347" s="224"/>
      <c r="O1347" s="2628" t="s">
        <v>6395</v>
      </c>
      <c r="P1347" s="1">
        <v>533</v>
      </c>
      <c r="T1347" s="224"/>
      <c r="U1347" s="34" t="s">
        <v>25</v>
      </c>
      <c r="V1347" s="475"/>
      <c r="W1347" s="224"/>
      <c r="X1347" s="224"/>
    </row>
    <row r="1348" spans="1:24" x14ac:dyDescent="0.3">
      <c r="A1348" s="2652">
        <v>534</v>
      </c>
      <c r="B1348" s="1122" t="s">
        <v>1690</v>
      </c>
      <c r="C1348" s="216" t="s">
        <v>1344</v>
      </c>
      <c r="D1348" s="416" t="s">
        <v>947</v>
      </c>
      <c r="E1348" s="217" t="s">
        <v>1706</v>
      </c>
      <c r="F1348" s="218" t="s">
        <v>1692</v>
      </c>
      <c r="G1348" s="116">
        <v>5992</v>
      </c>
      <c r="H1348" s="1776" t="s">
        <v>1349</v>
      </c>
      <c r="J1348" s="224"/>
      <c r="K1348" s="34" t="s">
        <v>25</v>
      </c>
      <c r="L1348" s="475"/>
      <c r="M1348" s="224"/>
      <c r="N1348" s="224"/>
      <c r="O1348" s="2628" t="s">
        <v>6395</v>
      </c>
      <c r="P1348" s="1">
        <v>534</v>
      </c>
      <c r="T1348" s="224"/>
      <c r="U1348" s="34" t="s">
        <v>25</v>
      </c>
      <c r="V1348" s="475"/>
      <c r="W1348" s="224"/>
      <c r="X1348" s="224"/>
    </row>
    <row r="1349" spans="1:24" x14ac:dyDescent="0.3">
      <c r="A1349" s="2651">
        <v>535</v>
      </c>
      <c r="B1349" s="1122" t="s">
        <v>1690</v>
      </c>
      <c r="C1349" s="216" t="s">
        <v>1344</v>
      </c>
      <c r="D1349" s="416" t="s">
        <v>947</v>
      </c>
      <c r="E1349" s="217" t="s">
        <v>1707</v>
      </c>
      <c r="F1349" s="218" t="s">
        <v>1692</v>
      </c>
      <c r="G1349" s="116">
        <v>5992</v>
      </c>
      <c r="H1349" s="1776" t="s">
        <v>1349</v>
      </c>
      <c r="J1349" s="224"/>
      <c r="K1349" s="34" t="s">
        <v>25</v>
      </c>
      <c r="L1349" s="475"/>
      <c r="M1349" s="224"/>
      <c r="N1349" s="224"/>
      <c r="O1349" s="2628" t="s">
        <v>6395</v>
      </c>
      <c r="P1349" s="1">
        <v>535</v>
      </c>
      <c r="T1349" s="224"/>
      <c r="U1349" s="34" t="s">
        <v>25</v>
      </c>
      <c r="V1349" s="475"/>
      <c r="W1349" s="224"/>
      <c r="X1349" s="224"/>
    </row>
    <row r="1350" spans="1:24" x14ac:dyDescent="0.3">
      <c r="A1350" s="2651">
        <v>536</v>
      </c>
      <c r="B1350" s="1122" t="s">
        <v>1690</v>
      </c>
      <c r="C1350" s="216" t="s">
        <v>1344</v>
      </c>
      <c r="D1350" s="416" t="s">
        <v>947</v>
      </c>
      <c r="E1350" s="217" t="s">
        <v>1708</v>
      </c>
      <c r="F1350" s="218" t="s">
        <v>1692</v>
      </c>
      <c r="G1350" s="116">
        <v>5992</v>
      </c>
      <c r="H1350" s="1776" t="s">
        <v>1349</v>
      </c>
      <c r="J1350" s="224"/>
      <c r="K1350" s="34" t="s">
        <v>25</v>
      </c>
      <c r="L1350" s="475"/>
      <c r="M1350" s="224"/>
      <c r="N1350" s="224"/>
      <c r="O1350" s="2628" t="s">
        <v>6395</v>
      </c>
      <c r="P1350" s="1">
        <v>536</v>
      </c>
      <c r="T1350" s="224"/>
      <c r="U1350" s="34" t="s">
        <v>25</v>
      </c>
      <c r="V1350" s="475"/>
      <c r="W1350" s="224"/>
      <c r="X1350" s="224"/>
    </row>
    <row r="1351" spans="1:24" x14ac:dyDescent="0.3">
      <c r="A1351" s="2652">
        <v>537</v>
      </c>
      <c r="B1351" s="1122" t="s">
        <v>1690</v>
      </c>
      <c r="C1351" s="216" t="s">
        <v>1344</v>
      </c>
      <c r="D1351" s="416" t="s">
        <v>947</v>
      </c>
      <c r="E1351" s="217" t="s">
        <v>1709</v>
      </c>
      <c r="F1351" s="218" t="s">
        <v>1692</v>
      </c>
      <c r="G1351" s="116">
        <v>5992</v>
      </c>
      <c r="H1351" s="1776" t="s">
        <v>1349</v>
      </c>
      <c r="J1351" s="224"/>
      <c r="K1351" s="34" t="s">
        <v>25</v>
      </c>
      <c r="L1351" s="475"/>
      <c r="M1351" s="224"/>
      <c r="N1351" s="224"/>
      <c r="O1351" s="2628" t="s">
        <v>6395</v>
      </c>
      <c r="P1351" s="1">
        <v>537</v>
      </c>
      <c r="T1351" s="224"/>
      <c r="U1351" s="34" t="s">
        <v>25</v>
      </c>
      <c r="V1351" s="475"/>
      <c r="W1351" s="224"/>
      <c r="X1351" s="224"/>
    </row>
    <row r="1352" spans="1:24" x14ac:dyDescent="0.3">
      <c r="A1352" s="2651">
        <v>538</v>
      </c>
      <c r="B1352" s="1122" t="s">
        <v>1690</v>
      </c>
      <c r="C1352" s="216" t="s">
        <v>1344</v>
      </c>
      <c r="D1352" s="416" t="s">
        <v>947</v>
      </c>
      <c r="E1352" s="217" t="s">
        <v>339</v>
      </c>
      <c r="F1352" s="218" t="s">
        <v>1692</v>
      </c>
      <c r="G1352" s="116">
        <v>5992</v>
      </c>
      <c r="H1352" s="1776" t="s">
        <v>1349</v>
      </c>
      <c r="J1352" s="224"/>
      <c r="K1352" s="34" t="s">
        <v>25</v>
      </c>
      <c r="L1352" s="475"/>
      <c r="M1352" s="224"/>
      <c r="N1352" s="224"/>
      <c r="O1352" s="2628" t="s">
        <v>6395</v>
      </c>
      <c r="P1352" s="1">
        <v>538</v>
      </c>
      <c r="T1352" s="224"/>
      <c r="U1352" s="34" t="s">
        <v>25</v>
      </c>
      <c r="V1352" s="475"/>
      <c r="W1352" s="224"/>
      <c r="X1352" s="224"/>
    </row>
    <row r="1353" spans="1:24" x14ac:dyDescent="0.3">
      <c r="A1353" s="2651">
        <v>539</v>
      </c>
      <c r="B1353" s="1122" t="s">
        <v>1690</v>
      </c>
      <c r="C1353" s="216" t="s">
        <v>1344</v>
      </c>
      <c r="D1353" s="416" t="s">
        <v>947</v>
      </c>
      <c r="E1353" s="217" t="s">
        <v>1710</v>
      </c>
      <c r="F1353" s="218" t="s">
        <v>1692</v>
      </c>
      <c r="G1353" s="116">
        <v>5992</v>
      </c>
      <c r="H1353" s="1776" t="s">
        <v>1349</v>
      </c>
      <c r="J1353" s="224"/>
      <c r="K1353" s="34" t="s">
        <v>25</v>
      </c>
      <c r="L1353" s="475"/>
      <c r="M1353" s="224"/>
      <c r="N1353" s="224"/>
      <c r="O1353" s="2628" t="s">
        <v>6395</v>
      </c>
      <c r="P1353" s="1">
        <v>539</v>
      </c>
      <c r="T1353" s="224"/>
      <c r="U1353" s="34" t="s">
        <v>25</v>
      </c>
      <c r="V1353" s="475"/>
      <c r="W1353" s="224"/>
      <c r="X1353" s="224"/>
    </row>
    <row r="1354" spans="1:24" x14ac:dyDescent="0.3">
      <c r="A1354" s="2652">
        <v>540</v>
      </c>
      <c r="B1354" s="1122" t="s">
        <v>1690</v>
      </c>
      <c r="C1354" s="216" t="s">
        <v>1344</v>
      </c>
      <c r="D1354" s="416" t="s">
        <v>947</v>
      </c>
      <c r="E1354" s="217" t="s">
        <v>1711</v>
      </c>
      <c r="F1354" s="218" t="s">
        <v>1692</v>
      </c>
      <c r="G1354" s="116">
        <v>5992</v>
      </c>
      <c r="H1354" s="1776" t="s">
        <v>1349</v>
      </c>
      <c r="J1354" s="224"/>
      <c r="K1354" s="34" t="s">
        <v>25</v>
      </c>
      <c r="L1354" s="475"/>
      <c r="M1354" s="224"/>
      <c r="N1354" s="224"/>
      <c r="O1354" s="2628" t="s">
        <v>6395</v>
      </c>
      <c r="P1354" s="1">
        <v>540</v>
      </c>
      <c r="T1354" s="224"/>
      <c r="U1354" s="34" t="s">
        <v>25</v>
      </c>
      <c r="V1354" s="475"/>
      <c r="W1354" s="224"/>
      <c r="X1354" s="224"/>
    </row>
    <row r="1355" spans="1:24" x14ac:dyDescent="0.3">
      <c r="A1355" s="2651">
        <v>541</v>
      </c>
      <c r="B1355" s="1122" t="s">
        <v>1690</v>
      </c>
      <c r="C1355" s="216" t="s">
        <v>1344</v>
      </c>
      <c r="D1355" s="416" t="s">
        <v>947</v>
      </c>
      <c r="E1355" s="217" t="s">
        <v>1712</v>
      </c>
      <c r="F1355" s="218" t="s">
        <v>1692</v>
      </c>
      <c r="G1355" s="116">
        <v>5992</v>
      </c>
      <c r="H1355" s="1776" t="s">
        <v>1349</v>
      </c>
      <c r="J1355" s="224"/>
      <c r="K1355" s="34" t="s">
        <v>25</v>
      </c>
      <c r="L1355" s="475"/>
      <c r="M1355" s="224"/>
      <c r="N1355" s="224"/>
      <c r="O1355" s="2628" t="s">
        <v>6395</v>
      </c>
      <c r="P1355" s="1">
        <v>541</v>
      </c>
      <c r="T1355" s="224"/>
      <c r="U1355" s="34" t="s">
        <v>25</v>
      </c>
      <c r="V1355" s="475"/>
      <c r="W1355" s="224"/>
      <c r="X1355" s="224"/>
    </row>
    <row r="1356" spans="1:24" x14ac:dyDescent="0.3">
      <c r="A1356" s="2651">
        <v>542</v>
      </c>
      <c r="B1356" s="1122" t="s">
        <v>1690</v>
      </c>
      <c r="C1356" s="216" t="s">
        <v>1344</v>
      </c>
      <c r="D1356" s="452" t="s">
        <v>947</v>
      </c>
      <c r="E1356" s="217" t="s">
        <v>1713</v>
      </c>
      <c r="F1356" s="218" t="s">
        <v>1692</v>
      </c>
      <c r="G1356" s="116">
        <v>5992</v>
      </c>
      <c r="H1356" s="1776" t="s">
        <v>1349</v>
      </c>
      <c r="J1356" s="224"/>
      <c r="K1356" s="34" t="s">
        <v>25</v>
      </c>
      <c r="L1356" s="475"/>
      <c r="M1356" s="224"/>
      <c r="N1356" s="224"/>
      <c r="O1356" s="2628" t="s">
        <v>6395</v>
      </c>
      <c r="P1356" s="1">
        <v>542</v>
      </c>
      <c r="T1356" s="224"/>
      <c r="U1356" s="34" t="s">
        <v>25</v>
      </c>
      <c r="V1356" s="475"/>
      <c r="W1356" s="224"/>
      <c r="X1356" s="224"/>
    </row>
    <row r="1357" spans="1:24" x14ac:dyDescent="0.3">
      <c r="A1357" s="2652">
        <v>543</v>
      </c>
      <c r="B1357" s="1122" t="s">
        <v>1690</v>
      </c>
      <c r="C1357" s="216" t="s">
        <v>1344</v>
      </c>
      <c r="D1357" s="495" t="s">
        <v>947</v>
      </c>
      <c r="E1357" s="217" t="s">
        <v>1714</v>
      </c>
      <c r="F1357" s="218" t="s">
        <v>1692</v>
      </c>
      <c r="G1357" s="116">
        <v>5992</v>
      </c>
      <c r="H1357" s="1776" t="s">
        <v>1349</v>
      </c>
      <c r="J1357" s="224"/>
      <c r="K1357" s="34" t="s">
        <v>25</v>
      </c>
      <c r="L1357" s="475"/>
      <c r="M1357" s="224"/>
      <c r="N1357" s="224"/>
      <c r="O1357" s="2628" t="s">
        <v>6395</v>
      </c>
      <c r="P1357" s="1">
        <v>543</v>
      </c>
      <c r="T1357" s="224"/>
      <c r="U1357" s="34" t="s">
        <v>25</v>
      </c>
      <c r="V1357" s="475"/>
      <c r="W1357" s="224"/>
      <c r="X1357" s="224"/>
    </row>
    <row r="1358" spans="1:24" x14ac:dyDescent="0.3">
      <c r="A1358" s="2651">
        <v>544</v>
      </c>
      <c r="B1358" s="1122" t="s">
        <v>1690</v>
      </c>
      <c r="C1358" s="216" t="s">
        <v>1344</v>
      </c>
      <c r="D1358" s="793" t="s">
        <v>947</v>
      </c>
      <c r="E1358" s="217" t="s">
        <v>1715</v>
      </c>
      <c r="F1358" s="218" t="s">
        <v>1692</v>
      </c>
      <c r="G1358" s="116">
        <v>5992</v>
      </c>
      <c r="H1358" s="1776" t="s">
        <v>1349</v>
      </c>
      <c r="J1358" s="224"/>
      <c r="K1358" s="34" t="s">
        <v>25</v>
      </c>
      <c r="L1358" s="475"/>
      <c r="M1358" s="224"/>
      <c r="N1358" s="224"/>
      <c r="O1358" s="2628" t="s">
        <v>6395</v>
      </c>
      <c r="P1358" s="1">
        <v>544</v>
      </c>
      <c r="T1358" s="224"/>
      <c r="U1358" s="34" t="s">
        <v>25</v>
      </c>
      <c r="V1358" s="475"/>
      <c r="W1358" s="224"/>
      <c r="X1358" s="224"/>
    </row>
    <row r="1359" spans="1:24" x14ac:dyDescent="0.3">
      <c r="A1359" s="2651">
        <v>545</v>
      </c>
      <c r="B1359" s="1122" t="s">
        <v>1690</v>
      </c>
      <c r="C1359" s="216" t="s">
        <v>1344</v>
      </c>
      <c r="D1359" s="416" t="s">
        <v>947</v>
      </c>
      <c r="E1359" s="217" t="s">
        <v>1716</v>
      </c>
      <c r="F1359" s="218" t="s">
        <v>1692</v>
      </c>
      <c r="G1359" s="116">
        <v>5992</v>
      </c>
      <c r="H1359" s="1776" t="s">
        <v>1349</v>
      </c>
      <c r="J1359" s="224"/>
      <c r="K1359" s="34" t="s">
        <v>25</v>
      </c>
      <c r="L1359" s="475"/>
      <c r="M1359" s="224"/>
      <c r="N1359" s="224"/>
      <c r="O1359" s="2628" t="s">
        <v>6395</v>
      </c>
      <c r="P1359" s="1">
        <v>545</v>
      </c>
      <c r="T1359" s="224"/>
      <c r="U1359" s="34" t="s">
        <v>25</v>
      </c>
      <c r="V1359" s="475"/>
      <c r="W1359" s="224"/>
      <c r="X1359" s="224"/>
    </row>
    <row r="1360" spans="1:24" x14ac:dyDescent="0.3">
      <c r="A1360" s="2652">
        <v>546</v>
      </c>
      <c r="B1360" s="1122" t="s">
        <v>1690</v>
      </c>
      <c r="C1360" s="216" t="s">
        <v>1344</v>
      </c>
      <c r="D1360" s="416" t="s">
        <v>947</v>
      </c>
      <c r="E1360" s="217" t="s">
        <v>1717</v>
      </c>
      <c r="F1360" s="218" t="s">
        <v>1692</v>
      </c>
      <c r="G1360" s="116">
        <v>5992</v>
      </c>
      <c r="H1360" s="1776" t="s">
        <v>1349</v>
      </c>
      <c r="J1360" s="224"/>
      <c r="K1360" s="34" t="s">
        <v>25</v>
      </c>
      <c r="L1360" s="475"/>
      <c r="M1360" s="224"/>
      <c r="N1360" s="224"/>
      <c r="O1360" s="2628" t="s">
        <v>6395</v>
      </c>
      <c r="P1360" s="1">
        <v>546</v>
      </c>
      <c r="T1360" s="224"/>
      <c r="U1360" s="34" t="s">
        <v>25</v>
      </c>
      <c r="V1360" s="475"/>
      <c r="W1360" s="224"/>
      <c r="X1360" s="224"/>
    </row>
    <row r="1361" spans="1:24" x14ac:dyDescent="0.3">
      <c r="A1361" s="2651">
        <v>547</v>
      </c>
      <c r="B1361" s="1122" t="s">
        <v>1690</v>
      </c>
      <c r="C1361" s="216" t="s">
        <v>1344</v>
      </c>
      <c r="D1361" s="416" t="s">
        <v>947</v>
      </c>
      <c r="E1361" s="217" t="s">
        <v>1718</v>
      </c>
      <c r="F1361" s="218" t="s">
        <v>1692</v>
      </c>
      <c r="G1361" s="116">
        <v>5992</v>
      </c>
      <c r="H1361" s="1776" t="s">
        <v>1349</v>
      </c>
      <c r="J1361" s="224"/>
      <c r="K1361" s="34" t="s">
        <v>25</v>
      </c>
      <c r="L1361" s="475"/>
      <c r="M1361" s="224"/>
      <c r="N1361" s="224"/>
      <c r="O1361" s="2628" t="s">
        <v>6395</v>
      </c>
      <c r="P1361" s="1">
        <v>547</v>
      </c>
      <c r="T1361" s="224"/>
      <c r="U1361" s="34" t="s">
        <v>25</v>
      </c>
      <c r="V1361" s="475"/>
      <c r="W1361" s="224"/>
      <c r="X1361" s="224"/>
    </row>
    <row r="1362" spans="1:24" x14ac:dyDescent="0.3">
      <c r="A1362" s="2651">
        <v>548</v>
      </c>
      <c r="B1362" s="1122" t="s">
        <v>1690</v>
      </c>
      <c r="C1362" s="216" t="s">
        <v>1344</v>
      </c>
      <c r="D1362" s="416" t="s">
        <v>947</v>
      </c>
      <c r="E1362" s="217" t="s">
        <v>1719</v>
      </c>
      <c r="F1362" s="218" t="s">
        <v>1692</v>
      </c>
      <c r="G1362" s="116">
        <v>5992</v>
      </c>
      <c r="H1362" s="1776" t="s">
        <v>1349</v>
      </c>
      <c r="J1362" s="224"/>
      <c r="K1362" s="34" t="s">
        <v>25</v>
      </c>
      <c r="L1362" s="475"/>
      <c r="M1362" s="224"/>
      <c r="N1362" s="224"/>
      <c r="O1362" s="2628" t="s">
        <v>6395</v>
      </c>
      <c r="P1362" s="1">
        <v>548</v>
      </c>
      <c r="T1362" s="224"/>
      <c r="U1362" s="34" t="s">
        <v>25</v>
      </c>
      <c r="V1362" s="475"/>
      <c r="W1362" s="224"/>
      <c r="X1362" s="224"/>
    </row>
    <row r="1363" spans="1:24" x14ac:dyDescent="0.3">
      <c r="A1363" s="2652">
        <v>549</v>
      </c>
      <c r="B1363" s="1122" t="s">
        <v>1690</v>
      </c>
      <c r="C1363" s="216" t="s">
        <v>1344</v>
      </c>
      <c r="D1363" s="416" t="s">
        <v>947</v>
      </c>
      <c r="E1363" s="217" t="s">
        <v>1720</v>
      </c>
      <c r="F1363" s="218" t="s">
        <v>1692</v>
      </c>
      <c r="G1363" s="116">
        <v>5992</v>
      </c>
      <c r="H1363" s="1776" t="s">
        <v>1349</v>
      </c>
      <c r="J1363" s="224"/>
      <c r="K1363" s="34" t="s">
        <v>25</v>
      </c>
      <c r="L1363" s="475"/>
      <c r="M1363" s="224"/>
      <c r="N1363" s="224"/>
      <c r="O1363" s="2628" t="s">
        <v>6395</v>
      </c>
      <c r="P1363" s="1">
        <v>549</v>
      </c>
      <c r="T1363" s="224"/>
      <c r="U1363" s="34" t="s">
        <v>25</v>
      </c>
      <c r="V1363" s="475"/>
      <c r="W1363" s="224"/>
      <c r="X1363" s="224"/>
    </row>
    <row r="1364" spans="1:24" x14ac:dyDescent="0.3">
      <c r="A1364" s="2651">
        <v>550</v>
      </c>
      <c r="B1364" s="1122" t="s">
        <v>1690</v>
      </c>
      <c r="C1364" s="216" t="s">
        <v>1344</v>
      </c>
      <c r="D1364" s="416" t="s">
        <v>947</v>
      </c>
      <c r="E1364" s="217" t="s">
        <v>1721</v>
      </c>
      <c r="F1364" s="218" t="s">
        <v>1692</v>
      </c>
      <c r="G1364" s="116">
        <v>5992</v>
      </c>
      <c r="H1364" s="1776" t="s">
        <v>1349</v>
      </c>
      <c r="J1364" s="224"/>
      <c r="K1364" s="34" t="s">
        <v>25</v>
      </c>
      <c r="L1364" s="475"/>
      <c r="M1364" s="224"/>
      <c r="N1364" s="224"/>
      <c r="O1364" s="2628" t="s">
        <v>6395</v>
      </c>
      <c r="P1364" s="1">
        <v>550</v>
      </c>
      <c r="T1364" s="224"/>
      <c r="U1364" s="34" t="s">
        <v>25</v>
      </c>
      <c r="V1364" s="475"/>
      <c r="W1364" s="224"/>
      <c r="X1364" s="224"/>
    </row>
    <row r="1365" spans="1:24" x14ac:dyDescent="0.3">
      <c r="A1365" s="2651">
        <v>551</v>
      </c>
      <c r="B1365" s="1122" t="s">
        <v>1690</v>
      </c>
      <c r="C1365" s="216" t="s">
        <v>1344</v>
      </c>
      <c r="D1365" s="416" t="s">
        <v>947</v>
      </c>
      <c r="E1365" s="217" t="s">
        <v>1722</v>
      </c>
      <c r="F1365" s="218" t="s">
        <v>1692</v>
      </c>
      <c r="G1365" s="116">
        <v>5992</v>
      </c>
      <c r="H1365" s="1776" t="s">
        <v>1349</v>
      </c>
      <c r="J1365" s="224"/>
      <c r="K1365" s="34" t="s">
        <v>25</v>
      </c>
      <c r="L1365" s="475"/>
      <c r="M1365" s="224"/>
      <c r="N1365" s="224"/>
      <c r="O1365" s="2628" t="s">
        <v>6395</v>
      </c>
      <c r="P1365" s="1">
        <v>551</v>
      </c>
      <c r="T1365" s="224"/>
      <c r="U1365" s="34" t="s">
        <v>25</v>
      </c>
      <c r="V1365" s="475"/>
      <c r="W1365" s="224"/>
      <c r="X1365" s="224"/>
    </row>
    <row r="1366" spans="1:24" x14ac:dyDescent="0.3">
      <c r="A1366" s="2652">
        <v>552</v>
      </c>
      <c r="B1366" s="1122" t="s">
        <v>1690</v>
      </c>
      <c r="C1366" s="216" t="s">
        <v>1344</v>
      </c>
      <c r="D1366" s="416" t="s">
        <v>947</v>
      </c>
      <c r="E1366" s="217" t="s">
        <v>1723</v>
      </c>
      <c r="F1366" s="218" t="s">
        <v>1692</v>
      </c>
      <c r="G1366" s="116">
        <v>5992</v>
      </c>
      <c r="H1366" s="1776" t="s">
        <v>1349</v>
      </c>
      <c r="J1366" s="224"/>
      <c r="K1366" s="34" t="s">
        <v>25</v>
      </c>
      <c r="L1366" s="475"/>
      <c r="M1366" s="224"/>
      <c r="N1366" s="224"/>
      <c r="O1366" s="2628" t="s">
        <v>6395</v>
      </c>
      <c r="P1366" s="1">
        <v>552</v>
      </c>
      <c r="T1366" s="224"/>
      <c r="U1366" s="34" t="s">
        <v>25</v>
      </c>
      <c r="V1366" s="475"/>
      <c r="W1366" s="224"/>
      <c r="X1366" s="224"/>
    </row>
    <row r="1367" spans="1:24" x14ac:dyDescent="0.3">
      <c r="A1367" s="2651">
        <v>553</v>
      </c>
      <c r="B1367" s="1122" t="s">
        <v>1690</v>
      </c>
      <c r="C1367" s="216" t="s">
        <v>1344</v>
      </c>
      <c r="D1367" s="416" t="s">
        <v>947</v>
      </c>
      <c r="E1367" s="217" t="s">
        <v>1724</v>
      </c>
      <c r="F1367" s="218" t="s">
        <v>1692</v>
      </c>
      <c r="G1367" s="116">
        <v>5992</v>
      </c>
      <c r="H1367" s="1776" t="s">
        <v>1349</v>
      </c>
      <c r="J1367" s="224"/>
      <c r="K1367" s="34" t="s">
        <v>25</v>
      </c>
      <c r="L1367" s="475"/>
      <c r="M1367" s="224"/>
      <c r="N1367" s="224"/>
      <c r="O1367" s="2628" t="s">
        <v>6395</v>
      </c>
      <c r="P1367" s="1">
        <v>553</v>
      </c>
      <c r="T1367" s="224"/>
      <c r="U1367" s="34" t="s">
        <v>25</v>
      </c>
      <c r="V1367" s="475"/>
      <c r="W1367" s="224"/>
      <c r="X1367" s="224"/>
    </row>
    <row r="1368" spans="1:24" x14ac:dyDescent="0.3">
      <c r="A1368" s="2651">
        <v>554</v>
      </c>
      <c r="B1368" s="1122" t="s">
        <v>1690</v>
      </c>
      <c r="C1368" s="216" t="s">
        <v>1344</v>
      </c>
      <c r="D1368" s="416" t="s">
        <v>947</v>
      </c>
      <c r="E1368" s="217" t="s">
        <v>1725</v>
      </c>
      <c r="F1368" s="218" t="s">
        <v>1692</v>
      </c>
      <c r="G1368" s="116">
        <v>5992</v>
      </c>
      <c r="H1368" s="1776" t="s">
        <v>1349</v>
      </c>
      <c r="J1368" s="224"/>
      <c r="K1368" s="34" t="s">
        <v>25</v>
      </c>
      <c r="L1368" s="475"/>
      <c r="M1368" s="224"/>
      <c r="N1368" s="224"/>
      <c r="O1368" s="2628" t="s">
        <v>6395</v>
      </c>
      <c r="P1368" s="1">
        <v>554</v>
      </c>
      <c r="T1368" s="224"/>
      <c r="U1368" s="34" t="s">
        <v>25</v>
      </c>
      <c r="V1368" s="475"/>
      <c r="W1368" s="224"/>
      <c r="X1368" s="224"/>
    </row>
    <row r="1369" spans="1:24" x14ac:dyDescent="0.3">
      <c r="A1369" s="2652">
        <v>555</v>
      </c>
      <c r="B1369" s="1122" t="s">
        <v>1690</v>
      </c>
      <c r="C1369" s="216" t="s">
        <v>1344</v>
      </c>
      <c r="D1369" s="416" t="s">
        <v>947</v>
      </c>
      <c r="E1369" s="217" t="s">
        <v>1726</v>
      </c>
      <c r="F1369" s="218" t="s">
        <v>1692</v>
      </c>
      <c r="G1369" s="116">
        <v>5992</v>
      </c>
      <c r="H1369" s="1776" t="s">
        <v>1349</v>
      </c>
      <c r="J1369" s="224"/>
      <c r="K1369" s="34" t="s">
        <v>25</v>
      </c>
      <c r="L1369" s="475"/>
      <c r="M1369" s="224"/>
      <c r="N1369" s="224"/>
      <c r="O1369" s="2628" t="s">
        <v>6395</v>
      </c>
      <c r="P1369" s="1">
        <v>555</v>
      </c>
      <c r="T1369" s="224"/>
      <c r="U1369" s="34" t="s">
        <v>25</v>
      </c>
      <c r="V1369" s="475"/>
      <c r="W1369" s="224"/>
      <c r="X1369" s="224"/>
    </row>
    <row r="1370" spans="1:24" x14ac:dyDescent="0.3">
      <c r="A1370" s="2651">
        <v>556</v>
      </c>
      <c r="B1370" s="1122" t="s">
        <v>1690</v>
      </c>
      <c r="C1370" s="216" t="s">
        <v>1344</v>
      </c>
      <c r="D1370" s="416" t="s">
        <v>947</v>
      </c>
      <c r="E1370" s="217" t="s">
        <v>1727</v>
      </c>
      <c r="F1370" s="218" t="s">
        <v>1692</v>
      </c>
      <c r="G1370" s="116">
        <v>5992</v>
      </c>
      <c r="H1370" s="1776" t="s">
        <v>1349</v>
      </c>
      <c r="J1370" s="224"/>
      <c r="K1370" s="34" t="s">
        <v>25</v>
      </c>
      <c r="L1370" s="475"/>
      <c r="M1370" s="224"/>
      <c r="N1370" s="224"/>
      <c r="O1370" s="2628" t="s">
        <v>6395</v>
      </c>
      <c r="P1370" s="1">
        <v>556</v>
      </c>
      <c r="T1370" s="224"/>
      <c r="U1370" s="34" t="s">
        <v>25</v>
      </c>
      <c r="V1370" s="475"/>
      <c r="W1370" s="224"/>
      <c r="X1370" s="224"/>
    </row>
    <row r="1371" spans="1:24" x14ac:dyDescent="0.3">
      <c r="A1371" s="2651">
        <v>557</v>
      </c>
      <c r="B1371" s="1122" t="s">
        <v>1690</v>
      </c>
      <c r="C1371" s="216" t="s">
        <v>1344</v>
      </c>
      <c r="D1371" s="416" t="s">
        <v>947</v>
      </c>
      <c r="E1371" s="217" t="s">
        <v>1728</v>
      </c>
      <c r="F1371" s="218" t="s">
        <v>1692</v>
      </c>
      <c r="G1371" s="116">
        <v>5992</v>
      </c>
      <c r="H1371" s="1776" t="s">
        <v>1349</v>
      </c>
      <c r="J1371" s="224"/>
      <c r="K1371" s="34" t="s">
        <v>25</v>
      </c>
      <c r="L1371" s="475"/>
      <c r="M1371" s="224"/>
      <c r="N1371" s="224"/>
      <c r="O1371" s="2628" t="s">
        <v>6395</v>
      </c>
      <c r="P1371" s="1">
        <v>557</v>
      </c>
      <c r="T1371" s="224"/>
      <c r="U1371" s="34" t="s">
        <v>25</v>
      </c>
      <c r="V1371" s="475"/>
      <c r="W1371" s="224"/>
      <c r="X1371" s="224"/>
    </row>
    <row r="1372" spans="1:24" x14ac:dyDescent="0.3">
      <c r="A1372" s="2652">
        <v>558</v>
      </c>
      <c r="B1372" s="1122" t="s">
        <v>1690</v>
      </c>
      <c r="C1372" s="216" t="s">
        <v>1344</v>
      </c>
      <c r="D1372" s="416" t="s">
        <v>947</v>
      </c>
      <c r="E1372" s="217" t="s">
        <v>1729</v>
      </c>
      <c r="F1372" s="218" t="s">
        <v>1692</v>
      </c>
      <c r="G1372" s="116">
        <v>5992</v>
      </c>
      <c r="H1372" s="1776" t="s">
        <v>1349</v>
      </c>
      <c r="J1372" s="224"/>
      <c r="K1372" s="34" t="s">
        <v>25</v>
      </c>
      <c r="L1372" s="475"/>
      <c r="M1372" s="224"/>
      <c r="N1372" s="224"/>
      <c r="O1372" s="2628" t="s">
        <v>6395</v>
      </c>
      <c r="P1372" s="1">
        <v>558</v>
      </c>
      <c r="T1372" s="224"/>
      <c r="U1372" s="34" t="s">
        <v>25</v>
      </c>
      <c r="V1372" s="475"/>
      <c r="W1372" s="224"/>
      <c r="X1372" s="224"/>
    </row>
    <row r="1373" spans="1:24" x14ac:dyDescent="0.3">
      <c r="A1373" s="2651">
        <v>559</v>
      </c>
      <c r="B1373" s="1122" t="s">
        <v>1690</v>
      </c>
      <c r="C1373" s="216" t="s">
        <v>1344</v>
      </c>
      <c r="D1373" s="416" t="s">
        <v>947</v>
      </c>
      <c r="E1373" s="217" t="s">
        <v>1730</v>
      </c>
      <c r="F1373" s="218" t="s">
        <v>1692</v>
      </c>
      <c r="G1373" s="116">
        <v>5992</v>
      </c>
      <c r="H1373" s="1776" t="s">
        <v>1349</v>
      </c>
      <c r="J1373" s="224"/>
      <c r="K1373" s="34" t="s">
        <v>25</v>
      </c>
      <c r="L1373" s="475"/>
      <c r="M1373" s="224"/>
      <c r="N1373" s="224"/>
      <c r="O1373" s="2628" t="s">
        <v>6395</v>
      </c>
      <c r="P1373" s="1">
        <v>559</v>
      </c>
      <c r="T1373" s="224"/>
      <c r="U1373" s="34" t="s">
        <v>25</v>
      </c>
      <c r="V1373" s="475"/>
      <c r="W1373" s="224"/>
      <c r="X1373" s="224"/>
    </row>
    <row r="1374" spans="1:24" x14ac:dyDescent="0.3">
      <c r="A1374" s="2651">
        <v>560</v>
      </c>
      <c r="B1374" s="1122" t="s">
        <v>1690</v>
      </c>
      <c r="C1374" s="216" t="s">
        <v>1344</v>
      </c>
      <c r="D1374" s="416" t="s">
        <v>947</v>
      </c>
      <c r="E1374" s="217" t="s">
        <v>1731</v>
      </c>
      <c r="F1374" s="218" t="s">
        <v>1692</v>
      </c>
      <c r="G1374" s="116">
        <v>5992</v>
      </c>
      <c r="H1374" s="1776" t="s">
        <v>1349</v>
      </c>
      <c r="J1374" s="224"/>
      <c r="K1374" s="34" t="s">
        <v>25</v>
      </c>
      <c r="L1374" s="475"/>
      <c r="M1374" s="224"/>
      <c r="N1374" s="224"/>
      <c r="O1374" s="2628" t="s">
        <v>6395</v>
      </c>
      <c r="P1374" s="1">
        <v>560</v>
      </c>
      <c r="T1374" s="224"/>
      <c r="U1374" s="34" t="s">
        <v>25</v>
      </c>
      <c r="V1374" s="475"/>
      <c r="W1374" s="224"/>
      <c r="X1374" s="224"/>
    </row>
    <row r="1375" spans="1:24" x14ac:dyDescent="0.3">
      <c r="A1375" s="2652">
        <v>561</v>
      </c>
      <c r="B1375" s="1122" t="s">
        <v>1690</v>
      </c>
      <c r="C1375" s="216" t="s">
        <v>1344</v>
      </c>
      <c r="D1375" s="416" t="s">
        <v>947</v>
      </c>
      <c r="E1375" s="217" t="s">
        <v>1732</v>
      </c>
      <c r="F1375" s="218" t="s">
        <v>1692</v>
      </c>
      <c r="G1375" s="116">
        <v>5992</v>
      </c>
      <c r="H1375" s="1776" t="s">
        <v>1349</v>
      </c>
      <c r="J1375" s="224"/>
      <c r="K1375" s="34" t="s">
        <v>25</v>
      </c>
      <c r="L1375" s="475"/>
      <c r="M1375" s="224"/>
      <c r="N1375" s="224"/>
      <c r="O1375" s="2628" t="s">
        <v>6395</v>
      </c>
      <c r="P1375" s="1">
        <v>561</v>
      </c>
      <c r="T1375" s="224"/>
      <c r="U1375" s="34" t="s">
        <v>25</v>
      </c>
      <c r="V1375" s="475"/>
      <c r="W1375" s="224"/>
      <c r="X1375" s="224"/>
    </row>
    <row r="1376" spans="1:24" x14ac:dyDescent="0.3">
      <c r="A1376" s="2651">
        <v>562</v>
      </c>
      <c r="B1376" s="1122" t="s">
        <v>1690</v>
      </c>
      <c r="C1376" s="216" t="s">
        <v>1344</v>
      </c>
      <c r="D1376" s="416" t="s">
        <v>947</v>
      </c>
      <c r="E1376" s="217" t="s">
        <v>1733</v>
      </c>
      <c r="F1376" s="218" t="s">
        <v>1692</v>
      </c>
      <c r="G1376" s="116">
        <v>5992</v>
      </c>
      <c r="H1376" s="1776" t="s">
        <v>1349</v>
      </c>
      <c r="J1376" s="224"/>
      <c r="K1376" s="34" t="s">
        <v>25</v>
      </c>
      <c r="L1376" s="475"/>
      <c r="M1376" s="224"/>
      <c r="N1376" s="224"/>
      <c r="O1376" s="2628" t="s">
        <v>6395</v>
      </c>
      <c r="P1376" s="1">
        <v>562</v>
      </c>
      <c r="T1376" s="224"/>
      <c r="U1376" s="34" t="s">
        <v>25</v>
      </c>
      <c r="V1376" s="475"/>
      <c r="W1376" s="224"/>
      <c r="X1376" s="224"/>
    </row>
    <row r="1377" spans="1:24" x14ac:dyDescent="0.3">
      <c r="A1377" s="2651">
        <v>563</v>
      </c>
      <c r="B1377" s="1122" t="s">
        <v>1690</v>
      </c>
      <c r="C1377" s="216" t="s">
        <v>1344</v>
      </c>
      <c r="D1377" s="416" t="s">
        <v>947</v>
      </c>
      <c r="E1377" s="217" t="s">
        <v>1734</v>
      </c>
      <c r="F1377" s="218" t="s">
        <v>1692</v>
      </c>
      <c r="G1377" s="116">
        <v>5992</v>
      </c>
      <c r="H1377" s="1776" t="s">
        <v>1349</v>
      </c>
      <c r="J1377" s="224"/>
      <c r="K1377" s="34" t="s">
        <v>25</v>
      </c>
      <c r="L1377" s="475"/>
      <c r="M1377" s="224"/>
      <c r="N1377" s="224"/>
      <c r="O1377" s="2628" t="s">
        <v>6395</v>
      </c>
      <c r="P1377" s="1">
        <v>563</v>
      </c>
      <c r="T1377" s="224"/>
      <c r="U1377" s="34" t="s">
        <v>25</v>
      </c>
      <c r="V1377" s="475"/>
      <c r="W1377" s="224"/>
      <c r="X1377" s="224"/>
    </row>
    <row r="1378" spans="1:24" x14ac:dyDescent="0.3">
      <c r="A1378" s="2652">
        <v>564</v>
      </c>
      <c r="B1378" s="1122" t="s">
        <v>1690</v>
      </c>
      <c r="C1378" s="216" t="s">
        <v>1344</v>
      </c>
      <c r="D1378" s="416" t="s">
        <v>947</v>
      </c>
      <c r="E1378" s="217" t="s">
        <v>1735</v>
      </c>
      <c r="F1378" s="218" t="s">
        <v>1692</v>
      </c>
      <c r="G1378" s="116">
        <v>5992</v>
      </c>
      <c r="H1378" s="1776" t="s">
        <v>1349</v>
      </c>
      <c r="J1378" s="224"/>
      <c r="K1378" s="34" t="s">
        <v>25</v>
      </c>
      <c r="L1378" s="475"/>
      <c r="M1378" s="224"/>
      <c r="N1378" s="224"/>
      <c r="O1378" s="2628" t="s">
        <v>6395</v>
      </c>
      <c r="P1378" s="1">
        <v>564</v>
      </c>
      <c r="T1378" s="224"/>
      <c r="U1378" s="34" t="s">
        <v>25</v>
      </c>
      <c r="V1378" s="475"/>
      <c r="W1378" s="224"/>
      <c r="X1378" s="224"/>
    </row>
    <row r="1379" spans="1:24" x14ac:dyDescent="0.3">
      <c r="A1379" s="2651">
        <v>565</v>
      </c>
      <c r="B1379" s="1122" t="s">
        <v>1690</v>
      </c>
      <c r="C1379" s="216" t="s">
        <v>1344</v>
      </c>
      <c r="D1379" s="416" t="s">
        <v>947</v>
      </c>
      <c r="E1379" s="217" t="s">
        <v>1736</v>
      </c>
      <c r="F1379" s="218" t="s">
        <v>1692</v>
      </c>
      <c r="G1379" s="116">
        <v>5992</v>
      </c>
      <c r="H1379" s="1776" t="s">
        <v>1349</v>
      </c>
      <c r="J1379" s="224"/>
      <c r="K1379" s="34" t="s">
        <v>25</v>
      </c>
      <c r="L1379" s="475"/>
      <c r="M1379" s="224"/>
      <c r="N1379" s="224"/>
      <c r="O1379" s="2628" t="s">
        <v>6395</v>
      </c>
      <c r="P1379" s="1">
        <v>565</v>
      </c>
      <c r="T1379" s="224"/>
      <c r="U1379" s="34" t="s">
        <v>25</v>
      </c>
      <c r="V1379" s="475"/>
      <c r="W1379" s="224"/>
      <c r="X1379" s="224"/>
    </row>
    <row r="1380" spans="1:24" x14ac:dyDescent="0.3">
      <c r="A1380" s="2651">
        <v>566</v>
      </c>
      <c r="B1380" s="1122" t="s">
        <v>1690</v>
      </c>
      <c r="C1380" s="216" t="s">
        <v>1344</v>
      </c>
      <c r="D1380" s="416" t="s">
        <v>947</v>
      </c>
      <c r="E1380" s="217" t="s">
        <v>1737</v>
      </c>
      <c r="F1380" s="218" t="s">
        <v>1692</v>
      </c>
      <c r="G1380" s="116">
        <v>5992</v>
      </c>
      <c r="H1380" s="1776" t="s">
        <v>1349</v>
      </c>
      <c r="J1380" s="224"/>
      <c r="K1380" s="34" t="s">
        <v>25</v>
      </c>
      <c r="L1380" s="475"/>
      <c r="M1380" s="224"/>
      <c r="N1380" s="224"/>
      <c r="O1380" s="2628" t="s">
        <v>6395</v>
      </c>
      <c r="P1380" s="1">
        <v>566</v>
      </c>
      <c r="T1380" s="224"/>
      <c r="U1380" s="34" t="s">
        <v>25</v>
      </c>
      <c r="V1380" s="475"/>
      <c r="W1380" s="224"/>
      <c r="X1380" s="224"/>
    </row>
    <row r="1381" spans="1:24" x14ac:dyDescent="0.3">
      <c r="A1381" s="2652">
        <v>567</v>
      </c>
      <c r="B1381" s="1122" t="s">
        <v>1690</v>
      </c>
      <c r="C1381" s="216" t="s">
        <v>1344</v>
      </c>
      <c r="D1381" s="416" t="s">
        <v>947</v>
      </c>
      <c r="E1381" s="217" t="s">
        <v>1738</v>
      </c>
      <c r="F1381" s="218" t="s">
        <v>1692</v>
      </c>
      <c r="G1381" s="116">
        <v>5992</v>
      </c>
      <c r="H1381" s="1776" t="s">
        <v>1349</v>
      </c>
      <c r="J1381" s="224"/>
      <c r="K1381" s="34" t="s">
        <v>25</v>
      </c>
      <c r="L1381" s="475"/>
      <c r="M1381" s="224"/>
      <c r="N1381" s="224"/>
      <c r="O1381" s="2628" t="s">
        <v>6395</v>
      </c>
      <c r="P1381" s="1">
        <v>567</v>
      </c>
      <c r="T1381" s="224"/>
      <c r="U1381" s="34" t="s">
        <v>25</v>
      </c>
      <c r="V1381" s="475"/>
      <c r="W1381" s="224"/>
      <c r="X1381" s="224"/>
    </row>
    <row r="1382" spans="1:24" x14ac:dyDescent="0.3">
      <c r="A1382" s="2651">
        <v>568</v>
      </c>
      <c r="B1382" s="1122" t="s">
        <v>1690</v>
      </c>
      <c r="C1382" s="216" t="s">
        <v>1344</v>
      </c>
      <c r="D1382" s="416" t="s">
        <v>947</v>
      </c>
      <c r="E1382" s="217" t="s">
        <v>1739</v>
      </c>
      <c r="F1382" s="218" t="s">
        <v>1692</v>
      </c>
      <c r="G1382" s="116">
        <v>5992</v>
      </c>
      <c r="H1382" s="1776" t="s">
        <v>1349</v>
      </c>
      <c r="J1382" s="224"/>
      <c r="K1382" s="34" t="s">
        <v>25</v>
      </c>
      <c r="L1382" s="475"/>
      <c r="M1382" s="224"/>
      <c r="N1382" s="224"/>
      <c r="O1382" s="2628" t="s">
        <v>6395</v>
      </c>
      <c r="P1382" s="1">
        <v>568</v>
      </c>
      <c r="T1382" s="224"/>
      <c r="U1382" s="34" t="s">
        <v>25</v>
      </c>
      <c r="V1382" s="475"/>
      <c r="W1382" s="224"/>
      <c r="X1382" s="224"/>
    </row>
    <row r="1383" spans="1:24" x14ac:dyDescent="0.3">
      <c r="A1383" s="2651">
        <v>569</v>
      </c>
      <c r="B1383" s="1122" t="s">
        <v>1690</v>
      </c>
      <c r="C1383" s="216" t="s">
        <v>1344</v>
      </c>
      <c r="D1383" s="452" t="s">
        <v>947</v>
      </c>
      <c r="E1383" s="217" t="s">
        <v>1740</v>
      </c>
      <c r="F1383" s="218" t="s">
        <v>1692</v>
      </c>
      <c r="G1383" s="116">
        <v>5992</v>
      </c>
      <c r="H1383" s="1776" t="s">
        <v>1349</v>
      </c>
      <c r="J1383" s="224"/>
      <c r="K1383" s="34" t="s">
        <v>25</v>
      </c>
      <c r="L1383" s="475"/>
      <c r="M1383" s="224"/>
      <c r="N1383" s="224"/>
      <c r="O1383" s="2628" t="s">
        <v>6395</v>
      </c>
      <c r="P1383" s="1">
        <v>569</v>
      </c>
      <c r="T1383" s="224"/>
      <c r="U1383" s="34" t="s">
        <v>25</v>
      </c>
      <c r="V1383" s="475"/>
      <c r="W1383" s="224"/>
      <c r="X1383" s="224"/>
    </row>
    <row r="1384" spans="1:24" x14ac:dyDescent="0.3">
      <c r="A1384" s="2652">
        <v>570</v>
      </c>
      <c r="B1384" s="1122" t="s">
        <v>1690</v>
      </c>
      <c r="C1384" s="216" t="s">
        <v>1344</v>
      </c>
      <c r="D1384" s="793" t="s">
        <v>947</v>
      </c>
      <c r="E1384" s="217" t="s">
        <v>1741</v>
      </c>
      <c r="F1384" s="218" t="s">
        <v>1692</v>
      </c>
      <c r="G1384" s="116">
        <v>5992</v>
      </c>
      <c r="H1384" s="1776" t="s">
        <v>1349</v>
      </c>
      <c r="J1384" s="224"/>
      <c r="K1384" s="34" t="s">
        <v>25</v>
      </c>
      <c r="L1384" s="475"/>
      <c r="M1384" s="224"/>
      <c r="N1384" s="224"/>
      <c r="O1384" s="2628" t="s">
        <v>6395</v>
      </c>
      <c r="P1384" s="1">
        <v>570</v>
      </c>
      <c r="T1384" s="224"/>
      <c r="U1384" s="34" t="s">
        <v>25</v>
      </c>
      <c r="V1384" s="475"/>
      <c r="W1384" s="224"/>
      <c r="X1384" s="224"/>
    </row>
    <row r="1385" spans="1:24" x14ac:dyDescent="0.3">
      <c r="A1385" s="2651">
        <v>571</v>
      </c>
      <c r="B1385" s="1122" t="s">
        <v>1690</v>
      </c>
      <c r="C1385" s="216" t="s">
        <v>1344</v>
      </c>
      <c r="D1385" s="416" t="s">
        <v>947</v>
      </c>
      <c r="E1385" s="217" t="s">
        <v>1742</v>
      </c>
      <c r="F1385" s="218" t="s">
        <v>1692</v>
      </c>
      <c r="G1385" s="116">
        <v>5992</v>
      </c>
      <c r="H1385" s="1776" t="s">
        <v>1349</v>
      </c>
      <c r="J1385" s="224"/>
      <c r="K1385" s="34" t="s">
        <v>25</v>
      </c>
      <c r="L1385" s="475"/>
      <c r="M1385" s="224"/>
      <c r="N1385" s="224"/>
      <c r="O1385" s="2628" t="s">
        <v>6395</v>
      </c>
      <c r="P1385" s="1">
        <v>571</v>
      </c>
      <c r="T1385" s="224"/>
      <c r="U1385" s="34" t="s">
        <v>25</v>
      </c>
      <c r="V1385" s="475"/>
      <c r="W1385" s="224"/>
      <c r="X1385" s="224"/>
    </row>
    <row r="1386" spans="1:24" x14ac:dyDescent="0.3">
      <c r="A1386" s="2651">
        <v>572</v>
      </c>
      <c r="B1386" s="1122" t="s">
        <v>1690</v>
      </c>
      <c r="C1386" s="216" t="s">
        <v>1344</v>
      </c>
      <c r="D1386" s="416" t="s">
        <v>947</v>
      </c>
      <c r="E1386" s="217" t="s">
        <v>1743</v>
      </c>
      <c r="F1386" s="218" t="s">
        <v>1692</v>
      </c>
      <c r="G1386" s="116">
        <v>5992</v>
      </c>
      <c r="H1386" s="1776" t="s">
        <v>1349</v>
      </c>
      <c r="J1386" s="224"/>
      <c r="K1386" s="34" t="s">
        <v>25</v>
      </c>
      <c r="L1386" s="475"/>
      <c r="M1386" s="224"/>
      <c r="N1386" s="224"/>
      <c r="O1386" s="2628" t="s">
        <v>6395</v>
      </c>
      <c r="P1386" s="1">
        <v>572</v>
      </c>
      <c r="T1386" s="224"/>
      <c r="U1386" s="34" t="s">
        <v>25</v>
      </c>
      <c r="V1386" s="475"/>
      <c r="W1386" s="224"/>
      <c r="X1386" s="224"/>
    </row>
    <row r="1387" spans="1:24" x14ac:dyDescent="0.3">
      <c r="A1387" s="2652">
        <v>573</v>
      </c>
      <c r="B1387" s="1122" t="s">
        <v>1690</v>
      </c>
      <c r="C1387" s="216" t="s">
        <v>1344</v>
      </c>
      <c r="D1387" s="416" t="s">
        <v>947</v>
      </c>
      <c r="E1387" s="217" t="s">
        <v>1744</v>
      </c>
      <c r="F1387" s="218" t="s">
        <v>1692</v>
      </c>
      <c r="G1387" s="116">
        <v>5992</v>
      </c>
      <c r="H1387" s="1776" t="s">
        <v>1349</v>
      </c>
      <c r="J1387" s="224"/>
      <c r="K1387" s="34" t="s">
        <v>25</v>
      </c>
      <c r="L1387" s="475"/>
      <c r="M1387" s="224"/>
      <c r="N1387" s="224"/>
      <c r="O1387" s="2628" t="s">
        <v>6395</v>
      </c>
      <c r="P1387" s="1">
        <v>573</v>
      </c>
      <c r="T1387" s="224"/>
      <c r="U1387" s="34" t="s">
        <v>25</v>
      </c>
      <c r="V1387" s="475"/>
      <c r="W1387" s="224"/>
      <c r="X1387" s="224"/>
    </row>
    <row r="1388" spans="1:24" x14ac:dyDescent="0.3">
      <c r="A1388" s="2651">
        <v>574</v>
      </c>
      <c r="B1388" s="1122" t="s">
        <v>1690</v>
      </c>
      <c r="C1388" s="216" t="s">
        <v>1344</v>
      </c>
      <c r="D1388" s="416" t="s">
        <v>947</v>
      </c>
      <c r="E1388" s="217" t="s">
        <v>1745</v>
      </c>
      <c r="F1388" s="218" t="s">
        <v>1692</v>
      </c>
      <c r="G1388" s="116">
        <v>5992</v>
      </c>
      <c r="H1388" s="1776" t="s">
        <v>1349</v>
      </c>
      <c r="J1388" s="224"/>
      <c r="K1388" s="34" t="s">
        <v>25</v>
      </c>
      <c r="L1388" s="475"/>
      <c r="M1388" s="224"/>
      <c r="N1388" s="224"/>
      <c r="O1388" s="2628" t="s">
        <v>6395</v>
      </c>
      <c r="P1388" s="1">
        <v>574</v>
      </c>
      <c r="T1388" s="224"/>
      <c r="U1388" s="34" t="s">
        <v>25</v>
      </c>
      <c r="V1388" s="475"/>
      <c r="W1388" s="224"/>
      <c r="X1388" s="224"/>
    </row>
    <row r="1389" spans="1:24" x14ac:dyDescent="0.3">
      <c r="A1389" s="2651">
        <v>575</v>
      </c>
      <c r="B1389" s="1122" t="s">
        <v>1690</v>
      </c>
      <c r="C1389" s="216" t="s">
        <v>1344</v>
      </c>
      <c r="D1389" s="416" t="s">
        <v>947</v>
      </c>
      <c r="E1389" s="217" t="s">
        <v>1746</v>
      </c>
      <c r="F1389" s="218" t="s">
        <v>1692</v>
      </c>
      <c r="G1389" s="116">
        <v>5992</v>
      </c>
      <c r="H1389" s="1776" t="s">
        <v>1349</v>
      </c>
      <c r="J1389" s="224"/>
      <c r="K1389" s="34" t="s">
        <v>25</v>
      </c>
      <c r="L1389" s="475"/>
      <c r="M1389" s="224"/>
      <c r="N1389" s="224"/>
      <c r="O1389" s="2628" t="s">
        <v>6395</v>
      </c>
      <c r="P1389" s="1">
        <v>575</v>
      </c>
      <c r="T1389" s="224"/>
      <c r="U1389" s="34" t="s">
        <v>25</v>
      </c>
      <c r="V1389" s="475"/>
      <c r="W1389" s="224"/>
      <c r="X1389" s="224"/>
    </row>
    <row r="1390" spans="1:24" x14ac:dyDescent="0.3">
      <c r="A1390" s="2652">
        <v>576</v>
      </c>
      <c r="B1390" s="1122" t="s">
        <v>1690</v>
      </c>
      <c r="C1390" s="216" t="s">
        <v>1344</v>
      </c>
      <c r="D1390" s="416" t="s">
        <v>947</v>
      </c>
      <c r="E1390" s="217" t="s">
        <v>1747</v>
      </c>
      <c r="F1390" s="218" t="s">
        <v>1692</v>
      </c>
      <c r="G1390" s="116">
        <v>5992</v>
      </c>
      <c r="H1390" s="1776" t="s">
        <v>1349</v>
      </c>
      <c r="J1390" s="224"/>
      <c r="K1390" s="34" t="s">
        <v>25</v>
      </c>
      <c r="L1390" s="475"/>
      <c r="M1390" s="224"/>
      <c r="N1390" s="224"/>
      <c r="O1390" s="2628" t="s">
        <v>6395</v>
      </c>
      <c r="P1390" s="1">
        <v>576</v>
      </c>
      <c r="T1390" s="224"/>
      <c r="U1390" s="34" t="s">
        <v>25</v>
      </c>
      <c r="V1390" s="475"/>
      <c r="W1390" s="224"/>
      <c r="X1390" s="224"/>
    </row>
    <row r="1391" spans="1:24" x14ac:dyDescent="0.3">
      <c r="A1391" s="2651">
        <v>577</v>
      </c>
      <c r="B1391" s="1122" t="s">
        <v>1690</v>
      </c>
      <c r="C1391" s="216" t="s">
        <v>1344</v>
      </c>
      <c r="D1391" s="416" t="s">
        <v>947</v>
      </c>
      <c r="E1391" s="217" t="s">
        <v>1748</v>
      </c>
      <c r="F1391" s="218" t="s">
        <v>1692</v>
      </c>
      <c r="G1391" s="116">
        <v>5992</v>
      </c>
      <c r="H1391" s="1776" t="s">
        <v>1349</v>
      </c>
      <c r="J1391" s="224"/>
      <c r="K1391" s="34" t="s">
        <v>25</v>
      </c>
      <c r="L1391" s="475"/>
      <c r="M1391" s="224"/>
      <c r="N1391" s="224"/>
      <c r="O1391" s="2628" t="s">
        <v>6395</v>
      </c>
      <c r="P1391" s="1">
        <v>577</v>
      </c>
      <c r="T1391" s="224"/>
      <c r="U1391" s="34" t="s">
        <v>25</v>
      </c>
      <c r="V1391" s="475"/>
      <c r="W1391" s="224"/>
      <c r="X1391" s="224"/>
    </row>
    <row r="1392" spans="1:24" x14ac:dyDescent="0.3">
      <c r="A1392" s="2651">
        <v>578</v>
      </c>
      <c r="B1392" s="1122" t="s">
        <v>1690</v>
      </c>
      <c r="C1392" s="216" t="s">
        <v>1344</v>
      </c>
      <c r="D1392" s="416" t="s">
        <v>947</v>
      </c>
      <c r="E1392" s="217" t="s">
        <v>1749</v>
      </c>
      <c r="F1392" s="218" t="s">
        <v>1692</v>
      </c>
      <c r="G1392" s="116">
        <v>5992</v>
      </c>
      <c r="H1392" s="1776" t="s">
        <v>1349</v>
      </c>
      <c r="J1392" s="224"/>
      <c r="K1392" s="34" t="s">
        <v>25</v>
      </c>
      <c r="L1392" s="475"/>
      <c r="M1392" s="224"/>
      <c r="N1392" s="224"/>
      <c r="O1392" s="2628" t="s">
        <v>6395</v>
      </c>
      <c r="P1392" s="1">
        <v>578</v>
      </c>
      <c r="T1392" s="224"/>
      <c r="U1392" s="34" t="s">
        <v>25</v>
      </c>
      <c r="V1392" s="475"/>
      <c r="W1392" s="224"/>
      <c r="X1392" s="224"/>
    </row>
    <row r="1393" spans="1:24" x14ac:dyDescent="0.3">
      <c r="A1393" s="2652">
        <v>579</v>
      </c>
      <c r="B1393" s="1122" t="s">
        <v>1690</v>
      </c>
      <c r="C1393" s="216" t="s">
        <v>1344</v>
      </c>
      <c r="D1393" s="416" t="s">
        <v>947</v>
      </c>
      <c r="E1393" s="217" t="s">
        <v>1750</v>
      </c>
      <c r="F1393" s="218" t="s">
        <v>1692</v>
      </c>
      <c r="G1393" s="116">
        <v>5992</v>
      </c>
      <c r="H1393" s="1776" t="s">
        <v>1349</v>
      </c>
      <c r="J1393" s="224"/>
      <c r="K1393" s="34" t="s">
        <v>25</v>
      </c>
      <c r="L1393" s="475"/>
      <c r="M1393" s="224"/>
      <c r="N1393" s="224"/>
      <c r="O1393" s="2628" t="s">
        <v>6395</v>
      </c>
      <c r="P1393" s="1">
        <v>579</v>
      </c>
      <c r="T1393" s="224"/>
      <c r="U1393" s="34" t="s">
        <v>25</v>
      </c>
      <c r="V1393" s="475"/>
      <c r="W1393" s="224"/>
      <c r="X1393" s="224"/>
    </row>
    <row r="1394" spans="1:24" x14ac:dyDescent="0.3">
      <c r="A1394" s="2651">
        <v>580</v>
      </c>
      <c r="B1394" s="1122" t="s">
        <v>1690</v>
      </c>
      <c r="C1394" s="216" t="s">
        <v>1344</v>
      </c>
      <c r="D1394" s="416" t="s">
        <v>947</v>
      </c>
      <c r="E1394" s="217" t="s">
        <v>1751</v>
      </c>
      <c r="F1394" s="218" t="s">
        <v>1692</v>
      </c>
      <c r="G1394" s="116">
        <v>5992</v>
      </c>
      <c r="H1394" s="1776" t="s">
        <v>1349</v>
      </c>
      <c r="J1394" s="224"/>
      <c r="K1394" s="34" t="s">
        <v>25</v>
      </c>
      <c r="L1394" s="475"/>
      <c r="M1394" s="224"/>
      <c r="N1394" s="224"/>
      <c r="O1394" s="2628" t="s">
        <v>6395</v>
      </c>
      <c r="P1394" s="1">
        <v>580</v>
      </c>
      <c r="T1394" s="224"/>
      <c r="U1394" s="34" t="s">
        <v>25</v>
      </c>
      <c r="V1394" s="475"/>
      <c r="W1394" s="224"/>
      <c r="X1394" s="224"/>
    </row>
    <row r="1395" spans="1:24" x14ac:dyDescent="0.3">
      <c r="A1395" s="2651">
        <v>581</v>
      </c>
      <c r="B1395" s="1122" t="s">
        <v>1690</v>
      </c>
      <c r="C1395" s="216" t="s">
        <v>1344</v>
      </c>
      <c r="D1395" s="416" t="s">
        <v>947</v>
      </c>
      <c r="E1395" s="217" t="s">
        <v>1752</v>
      </c>
      <c r="F1395" s="218" t="s">
        <v>1692</v>
      </c>
      <c r="G1395" s="116">
        <v>5992</v>
      </c>
      <c r="H1395" s="1776" t="s">
        <v>1349</v>
      </c>
      <c r="J1395" s="224"/>
      <c r="K1395" s="34" t="s">
        <v>25</v>
      </c>
      <c r="L1395" s="475"/>
      <c r="M1395" s="224"/>
      <c r="N1395" s="224"/>
      <c r="O1395" s="2628" t="s">
        <v>6395</v>
      </c>
      <c r="P1395" s="1">
        <v>581</v>
      </c>
      <c r="T1395" s="224"/>
      <c r="U1395" s="34" t="s">
        <v>25</v>
      </c>
      <c r="V1395" s="475"/>
      <c r="W1395" s="224"/>
      <c r="X1395" s="224"/>
    </row>
    <row r="1396" spans="1:24" x14ac:dyDescent="0.3">
      <c r="A1396" s="2652">
        <v>582</v>
      </c>
      <c r="B1396" s="1122" t="s">
        <v>1690</v>
      </c>
      <c r="C1396" s="216" t="s">
        <v>1344</v>
      </c>
      <c r="D1396" s="416" t="s">
        <v>947</v>
      </c>
      <c r="E1396" s="217" t="s">
        <v>1753</v>
      </c>
      <c r="F1396" s="218" t="s">
        <v>1692</v>
      </c>
      <c r="G1396" s="116">
        <v>5992</v>
      </c>
      <c r="H1396" s="1776" t="s">
        <v>1349</v>
      </c>
      <c r="J1396" s="224"/>
      <c r="K1396" s="34" t="s">
        <v>25</v>
      </c>
      <c r="L1396" s="475"/>
      <c r="M1396" s="224"/>
      <c r="N1396" s="224"/>
      <c r="O1396" s="2628" t="s">
        <v>6395</v>
      </c>
      <c r="P1396" s="1">
        <v>582</v>
      </c>
      <c r="T1396" s="224"/>
      <c r="U1396" s="34" t="s">
        <v>25</v>
      </c>
      <c r="V1396" s="475"/>
      <c r="W1396" s="224"/>
      <c r="X1396" s="224"/>
    </row>
    <row r="1397" spans="1:24" x14ac:dyDescent="0.3">
      <c r="A1397" s="2651">
        <v>583</v>
      </c>
      <c r="B1397" s="1122" t="s">
        <v>1690</v>
      </c>
      <c r="C1397" s="216" t="s">
        <v>1344</v>
      </c>
      <c r="D1397" s="416" t="s">
        <v>947</v>
      </c>
      <c r="E1397" s="217" t="s">
        <v>1754</v>
      </c>
      <c r="F1397" s="218" t="s">
        <v>1692</v>
      </c>
      <c r="G1397" s="116">
        <v>5992</v>
      </c>
      <c r="H1397" s="1776" t="s">
        <v>1349</v>
      </c>
      <c r="J1397" s="224"/>
      <c r="K1397" s="34" t="s">
        <v>25</v>
      </c>
      <c r="L1397" s="475"/>
      <c r="M1397" s="224"/>
      <c r="N1397" s="224"/>
      <c r="O1397" s="2628" t="s">
        <v>6395</v>
      </c>
      <c r="P1397" s="1">
        <v>583</v>
      </c>
      <c r="T1397" s="224"/>
      <c r="U1397" s="34" t="s">
        <v>25</v>
      </c>
      <c r="V1397" s="475"/>
      <c r="W1397" s="224"/>
      <c r="X1397" s="224"/>
    </row>
    <row r="1398" spans="1:24" x14ac:dyDescent="0.3">
      <c r="A1398" s="2651">
        <v>584</v>
      </c>
      <c r="B1398" s="1122" t="s">
        <v>1690</v>
      </c>
      <c r="C1398" s="216" t="s">
        <v>1344</v>
      </c>
      <c r="D1398" s="416" t="s">
        <v>947</v>
      </c>
      <c r="E1398" s="217" t="s">
        <v>1755</v>
      </c>
      <c r="F1398" s="218" t="s">
        <v>1692</v>
      </c>
      <c r="G1398" s="116">
        <v>5992</v>
      </c>
      <c r="H1398" s="1776" t="s">
        <v>1349</v>
      </c>
      <c r="J1398" s="224"/>
      <c r="K1398" s="34" t="s">
        <v>25</v>
      </c>
      <c r="L1398" s="475"/>
      <c r="M1398" s="224"/>
      <c r="N1398" s="224"/>
      <c r="O1398" s="2628" t="s">
        <v>6395</v>
      </c>
      <c r="P1398" s="1">
        <v>584</v>
      </c>
      <c r="T1398" s="224"/>
      <c r="U1398" s="34" t="s">
        <v>25</v>
      </c>
      <c r="V1398" s="475"/>
      <c r="W1398" s="224"/>
      <c r="X1398" s="224"/>
    </row>
    <row r="1399" spans="1:24" x14ac:dyDescent="0.3">
      <c r="A1399" s="2652">
        <v>585</v>
      </c>
      <c r="B1399" s="1122" t="s">
        <v>1690</v>
      </c>
      <c r="C1399" s="216" t="s">
        <v>1344</v>
      </c>
      <c r="D1399" s="416" t="s">
        <v>947</v>
      </c>
      <c r="E1399" s="217" t="s">
        <v>1756</v>
      </c>
      <c r="F1399" s="218" t="s">
        <v>1692</v>
      </c>
      <c r="G1399" s="116">
        <v>5992</v>
      </c>
      <c r="H1399" s="1776" t="s">
        <v>1349</v>
      </c>
      <c r="J1399" s="224"/>
      <c r="K1399" s="34" t="s">
        <v>25</v>
      </c>
      <c r="L1399" s="475"/>
      <c r="M1399" s="224"/>
      <c r="N1399" s="224"/>
      <c r="O1399" s="2628" t="s">
        <v>6395</v>
      </c>
      <c r="P1399" s="1">
        <v>585</v>
      </c>
      <c r="T1399" s="224"/>
      <c r="U1399" s="34" t="s">
        <v>25</v>
      </c>
      <c r="V1399" s="475"/>
      <c r="W1399" s="224"/>
      <c r="X1399" s="224"/>
    </row>
    <row r="1400" spans="1:24" x14ac:dyDescent="0.3">
      <c r="A1400" s="2651">
        <v>586</v>
      </c>
      <c r="B1400" s="1122" t="s">
        <v>1690</v>
      </c>
      <c r="C1400" s="216" t="s">
        <v>1344</v>
      </c>
      <c r="D1400" s="416" t="s">
        <v>947</v>
      </c>
      <c r="E1400" s="217" t="s">
        <v>1757</v>
      </c>
      <c r="F1400" s="218" t="s">
        <v>1692</v>
      </c>
      <c r="G1400" s="116">
        <v>5992</v>
      </c>
      <c r="H1400" s="1776" t="s">
        <v>1349</v>
      </c>
      <c r="J1400" s="224"/>
      <c r="K1400" s="34" t="s">
        <v>25</v>
      </c>
      <c r="L1400" s="475"/>
      <c r="M1400" s="224"/>
      <c r="N1400" s="224"/>
      <c r="O1400" s="2628" t="s">
        <v>6395</v>
      </c>
      <c r="P1400" s="1">
        <v>586</v>
      </c>
      <c r="T1400" s="224"/>
      <c r="U1400" s="34" t="s">
        <v>25</v>
      </c>
      <c r="V1400" s="475"/>
      <c r="W1400" s="224"/>
      <c r="X1400" s="224"/>
    </row>
    <row r="1401" spans="1:24" x14ac:dyDescent="0.3">
      <c r="A1401" s="2651">
        <v>587</v>
      </c>
      <c r="B1401" s="1122" t="s">
        <v>1690</v>
      </c>
      <c r="C1401" s="216" t="s">
        <v>1344</v>
      </c>
      <c r="D1401" s="416" t="s">
        <v>947</v>
      </c>
      <c r="E1401" s="217" t="s">
        <v>1758</v>
      </c>
      <c r="F1401" s="218" t="s">
        <v>1692</v>
      </c>
      <c r="G1401" s="116">
        <v>5992</v>
      </c>
      <c r="H1401" s="1776" t="s">
        <v>1349</v>
      </c>
      <c r="J1401" s="224"/>
      <c r="K1401" s="34" t="s">
        <v>25</v>
      </c>
      <c r="L1401" s="475"/>
      <c r="M1401" s="224"/>
      <c r="N1401" s="224"/>
      <c r="O1401" s="2628" t="s">
        <v>6395</v>
      </c>
      <c r="P1401" s="1">
        <v>587</v>
      </c>
      <c r="T1401" s="224"/>
      <c r="U1401" s="34" t="s">
        <v>25</v>
      </c>
      <c r="V1401" s="475"/>
      <c r="W1401" s="224"/>
      <c r="X1401" s="224"/>
    </row>
    <row r="1402" spans="1:24" x14ac:dyDescent="0.3">
      <c r="A1402" s="2652">
        <v>588</v>
      </c>
      <c r="B1402" s="1122" t="s">
        <v>1690</v>
      </c>
      <c r="C1402" s="216" t="s">
        <v>1344</v>
      </c>
      <c r="D1402" s="416" t="s">
        <v>947</v>
      </c>
      <c r="E1402" s="217" t="s">
        <v>1759</v>
      </c>
      <c r="F1402" s="218" t="s">
        <v>1692</v>
      </c>
      <c r="G1402" s="116">
        <v>5992</v>
      </c>
      <c r="H1402" s="1776" t="s">
        <v>1349</v>
      </c>
      <c r="J1402" s="224"/>
      <c r="K1402" s="34" t="s">
        <v>25</v>
      </c>
      <c r="L1402" s="475"/>
      <c r="M1402" s="224"/>
      <c r="N1402" s="224"/>
      <c r="O1402" s="2628" t="s">
        <v>6395</v>
      </c>
      <c r="P1402" s="1">
        <v>588</v>
      </c>
      <c r="T1402" s="224"/>
      <c r="U1402" s="34" t="s">
        <v>25</v>
      </c>
      <c r="V1402" s="475"/>
      <c r="W1402" s="224"/>
      <c r="X1402" s="224"/>
    </row>
    <row r="1403" spans="1:24" x14ac:dyDescent="0.3">
      <c r="A1403" s="2651">
        <v>589</v>
      </c>
      <c r="B1403" s="1122" t="s">
        <v>1690</v>
      </c>
      <c r="C1403" s="216" t="s">
        <v>1344</v>
      </c>
      <c r="D1403" s="416" t="s">
        <v>947</v>
      </c>
      <c r="E1403" s="217" t="s">
        <v>336</v>
      </c>
      <c r="F1403" s="218" t="s">
        <v>1692</v>
      </c>
      <c r="G1403" s="116">
        <v>5992</v>
      </c>
      <c r="H1403" s="1776" t="s">
        <v>1349</v>
      </c>
      <c r="J1403" s="224"/>
      <c r="K1403" s="34" t="s">
        <v>25</v>
      </c>
      <c r="L1403" s="475"/>
      <c r="M1403" s="224"/>
      <c r="N1403" s="224"/>
      <c r="O1403" s="2628" t="s">
        <v>6395</v>
      </c>
      <c r="P1403" s="1">
        <v>589</v>
      </c>
      <c r="T1403" s="224"/>
      <c r="U1403" s="34" t="s">
        <v>25</v>
      </c>
      <c r="V1403" s="475"/>
      <c r="W1403" s="224"/>
      <c r="X1403" s="224"/>
    </row>
    <row r="1404" spans="1:24" x14ac:dyDescent="0.3">
      <c r="A1404" s="2651">
        <v>590</v>
      </c>
      <c r="B1404" s="1122" t="s">
        <v>1690</v>
      </c>
      <c r="C1404" s="216" t="s">
        <v>1344</v>
      </c>
      <c r="D1404" s="416" t="s">
        <v>947</v>
      </c>
      <c r="E1404" s="217" t="s">
        <v>337</v>
      </c>
      <c r="F1404" s="218" t="s">
        <v>1692</v>
      </c>
      <c r="G1404" s="116">
        <v>5992</v>
      </c>
      <c r="H1404" s="1776" t="s">
        <v>1349</v>
      </c>
      <c r="J1404" s="224"/>
      <c r="K1404" s="34" t="s">
        <v>25</v>
      </c>
      <c r="L1404" s="475"/>
      <c r="M1404" s="224"/>
      <c r="N1404" s="224"/>
      <c r="O1404" s="2628" t="s">
        <v>6395</v>
      </c>
      <c r="P1404" s="1">
        <v>590</v>
      </c>
      <c r="T1404" s="224"/>
      <c r="U1404" s="34" t="s">
        <v>25</v>
      </c>
      <c r="V1404" s="475"/>
      <c r="W1404" s="224"/>
      <c r="X1404" s="224"/>
    </row>
    <row r="1405" spans="1:24" x14ac:dyDescent="0.3">
      <c r="A1405" s="2652">
        <v>591</v>
      </c>
      <c r="B1405" s="1122" t="s">
        <v>1690</v>
      </c>
      <c r="C1405" s="216" t="s">
        <v>1344</v>
      </c>
      <c r="D1405" s="416" t="s">
        <v>947</v>
      </c>
      <c r="E1405" s="217" t="s">
        <v>1760</v>
      </c>
      <c r="F1405" s="218" t="s">
        <v>1692</v>
      </c>
      <c r="G1405" s="116">
        <v>5992</v>
      </c>
      <c r="H1405" s="1776" t="s">
        <v>1349</v>
      </c>
      <c r="J1405" s="224"/>
      <c r="K1405" s="34" t="s">
        <v>25</v>
      </c>
      <c r="L1405" s="475"/>
      <c r="M1405" s="224"/>
      <c r="N1405" s="224"/>
      <c r="O1405" s="2628" t="s">
        <v>6395</v>
      </c>
      <c r="P1405" s="1">
        <v>591</v>
      </c>
      <c r="T1405" s="224"/>
      <c r="U1405" s="34" t="s">
        <v>25</v>
      </c>
      <c r="V1405" s="475"/>
      <c r="W1405" s="224"/>
      <c r="X1405" s="224"/>
    </row>
    <row r="1406" spans="1:24" x14ac:dyDescent="0.3">
      <c r="A1406" s="2651">
        <v>592</v>
      </c>
      <c r="B1406" s="1122" t="s">
        <v>1690</v>
      </c>
      <c r="C1406" s="216" t="s">
        <v>1344</v>
      </c>
      <c r="D1406" s="416" t="s">
        <v>947</v>
      </c>
      <c r="E1406" s="217" t="s">
        <v>1761</v>
      </c>
      <c r="F1406" s="218" t="s">
        <v>1692</v>
      </c>
      <c r="G1406" s="116">
        <v>5992</v>
      </c>
      <c r="H1406" s="1776" t="s">
        <v>1349</v>
      </c>
      <c r="J1406" s="224"/>
      <c r="K1406" s="34" t="s">
        <v>25</v>
      </c>
      <c r="L1406" s="475"/>
      <c r="M1406" s="224"/>
      <c r="N1406" s="224"/>
      <c r="O1406" s="2628" t="s">
        <v>6395</v>
      </c>
      <c r="P1406" s="1">
        <v>592</v>
      </c>
      <c r="T1406" s="224"/>
      <c r="U1406" s="34" t="s">
        <v>25</v>
      </c>
      <c r="V1406" s="475"/>
      <c r="W1406" s="224"/>
      <c r="X1406" s="224"/>
    </row>
    <row r="1407" spans="1:24" x14ac:dyDescent="0.3">
      <c r="A1407" s="2651">
        <v>593</v>
      </c>
      <c r="B1407" s="1122" t="s">
        <v>1690</v>
      </c>
      <c r="C1407" s="216" t="s">
        <v>1344</v>
      </c>
      <c r="D1407" s="416" t="s">
        <v>947</v>
      </c>
      <c r="E1407" s="217" t="s">
        <v>1762</v>
      </c>
      <c r="F1407" s="218" t="s">
        <v>1692</v>
      </c>
      <c r="G1407" s="116">
        <v>5992</v>
      </c>
      <c r="H1407" s="1776" t="s">
        <v>1349</v>
      </c>
      <c r="J1407" s="224"/>
      <c r="K1407" s="34" t="s">
        <v>25</v>
      </c>
      <c r="L1407" s="475"/>
      <c r="M1407" s="224"/>
      <c r="N1407" s="224"/>
      <c r="O1407" s="2628" t="s">
        <v>6395</v>
      </c>
      <c r="P1407" s="1">
        <v>593</v>
      </c>
      <c r="T1407" s="224"/>
      <c r="U1407" s="34" t="s">
        <v>25</v>
      </c>
      <c r="V1407" s="475"/>
      <c r="W1407" s="224"/>
      <c r="X1407" s="224"/>
    </row>
    <row r="1408" spans="1:24" x14ac:dyDescent="0.3">
      <c r="A1408" s="2652">
        <v>594</v>
      </c>
      <c r="B1408" s="1122" t="s">
        <v>1690</v>
      </c>
      <c r="C1408" s="216" t="s">
        <v>1344</v>
      </c>
      <c r="D1408" s="416" t="s">
        <v>947</v>
      </c>
      <c r="E1408" s="217" t="s">
        <v>1763</v>
      </c>
      <c r="F1408" s="218" t="s">
        <v>1692</v>
      </c>
      <c r="G1408" s="116">
        <v>5992</v>
      </c>
      <c r="H1408" s="1776" t="s">
        <v>1349</v>
      </c>
      <c r="J1408" s="224"/>
      <c r="K1408" s="34" t="s">
        <v>25</v>
      </c>
      <c r="L1408" s="475"/>
      <c r="M1408" s="224"/>
      <c r="N1408" s="224"/>
      <c r="O1408" s="2628" t="s">
        <v>6395</v>
      </c>
      <c r="P1408" s="1">
        <v>594</v>
      </c>
      <c r="T1408" s="224"/>
      <c r="U1408" s="34" t="s">
        <v>25</v>
      </c>
      <c r="V1408" s="475"/>
      <c r="W1408" s="224"/>
      <c r="X1408" s="224"/>
    </row>
    <row r="1409" spans="1:24" x14ac:dyDescent="0.3">
      <c r="A1409" s="2651">
        <v>595</v>
      </c>
      <c r="B1409" s="1122" t="s">
        <v>1690</v>
      </c>
      <c r="C1409" s="216" t="s">
        <v>1344</v>
      </c>
      <c r="D1409" s="416" t="s">
        <v>947</v>
      </c>
      <c r="E1409" s="217" t="s">
        <v>390</v>
      </c>
      <c r="F1409" s="218" t="s">
        <v>1692</v>
      </c>
      <c r="G1409" s="116">
        <v>5992</v>
      </c>
      <c r="H1409" s="1776" t="s">
        <v>1349</v>
      </c>
      <c r="J1409" s="224"/>
      <c r="K1409" s="34" t="s">
        <v>25</v>
      </c>
      <c r="L1409" s="475"/>
      <c r="M1409" s="224"/>
      <c r="N1409" s="224"/>
      <c r="O1409" s="2628" t="s">
        <v>6395</v>
      </c>
      <c r="P1409" s="1">
        <v>595</v>
      </c>
      <c r="T1409" s="224"/>
      <c r="U1409" s="34" t="s">
        <v>25</v>
      </c>
      <c r="V1409" s="475"/>
      <c r="W1409" s="224"/>
      <c r="X1409" s="224"/>
    </row>
    <row r="1410" spans="1:24" x14ac:dyDescent="0.3">
      <c r="A1410" s="2651">
        <v>596</v>
      </c>
      <c r="B1410" s="1122" t="s">
        <v>1690</v>
      </c>
      <c r="C1410" s="216" t="s">
        <v>1344</v>
      </c>
      <c r="D1410" s="416" t="s">
        <v>947</v>
      </c>
      <c r="E1410" s="217" t="s">
        <v>340</v>
      </c>
      <c r="F1410" s="218" t="s">
        <v>1692</v>
      </c>
      <c r="G1410" s="116">
        <v>5992</v>
      </c>
      <c r="H1410" s="1776" t="s">
        <v>1349</v>
      </c>
      <c r="J1410" s="224"/>
      <c r="K1410" s="34" t="s">
        <v>25</v>
      </c>
      <c r="L1410" s="475"/>
      <c r="M1410" s="224"/>
      <c r="N1410" s="224"/>
      <c r="O1410" s="2628" t="s">
        <v>6395</v>
      </c>
      <c r="P1410" s="1">
        <v>596</v>
      </c>
      <c r="T1410" s="224"/>
      <c r="U1410" s="34" t="s">
        <v>25</v>
      </c>
      <c r="V1410" s="475"/>
      <c r="W1410" s="224"/>
      <c r="X1410" s="224"/>
    </row>
    <row r="1411" spans="1:24" x14ac:dyDescent="0.3">
      <c r="A1411" s="2652">
        <v>597</v>
      </c>
      <c r="B1411" s="1122" t="s">
        <v>1690</v>
      </c>
      <c r="C1411" s="216" t="s">
        <v>1344</v>
      </c>
      <c r="D1411" s="416" t="s">
        <v>947</v>
      </c>
      <c r="E1411" s="217" t="s">
        <v>342</v>
      </c>
      <c r="F1411" s="218" t="s">
        <v>1692</v>
      </c>
      <c r="G1411" s="116">
        <v>5992</v>
      </c>
      <c r="H1411" s="1776" t="s">
        <v>1349</v>
      </c>
      <c r="J1411" s="224"/>
      <c r="K1411" s="34" t="s">
        <v>25</v>
      </c>
      <c r="L1411" s="475"/>
      <c r="M1411" s="224"/>
      <c r="N1411" s="224"/>
      <c r="O1411" s="2628" t="s">
        <v>6395</v>
      </c>
      <c r="P1411" s="1">
        <v>597</v>
      </c>
      <c r="T1411" s="224"/>
      <c r="U1411" s="34" t="s">
        <v>25</v>
      </c>
      <c r="V1411" s="475"/>
      <c r="W1411" s="224"/>
      <c r="X1411" s="224"/>
    </row>
    <row r="1412" spans="1:24" x14ac:dyDescent="0.3">
      <c r="A1412" s="2651">
        <v>598</v>
      </c>
      <c r="B1412" s="1122" t="s">
        <v>1690</v>
      </c>
      <c r="C1412" s="216" t="s">
        <v>1344</v>
      </c>
      <c r="D1412" s="452" t="s">
        <v>947</v>
      </c>
      <c r="E1412" s="217" t="s">
        <v>392</v>
      </c>
      <c r="F1412" s="218" t="s">
        <v>1692</v>
      </c>
      <c r="G1412" s="116">
        <v>5992</v>
      </c>
      <c r="H1412" s="1776" t="s">
        <v>1349</v>
      </c>
      <c r="J1412" s="224"/>
      <c r="K1412" s="34" t="s">
        <v>25</v>
      </c>
      <c r="L1412" s="475"/>
      <c r="M1412" s="224"/>
      <c r="N1412" s="224"/>
      <c r="O1412" s="2628" t="s">
        <v>6395</v>
      </c>
      <c r="P1412" s="1">
        <v>598</v>
      </c>
      <c r="T1412" s="224"/>
      <c r="U1412" s="34" t="s">
        <v>25</v>
      </c>
      <c r="V1412" s="475"/>
      <c r="W1412" s="224"/>
      <c r="X1412" s="224"/>
    </row>
    <row r="1413" spans="1:24" x14ac:dyDescent="0.3">
      <c r="A1413" s="2651">
        <v>599</v>
      </c>
      <c r="B1413" s="1122" t="s">
        <v>1690</v>
      </c>
      <c r="C1413" s="216" t="s">
        <v>1344</v>
      </c>
      <c r="D1413" s="495" t="s">
        <v>947</v>
      </c>
      <c r="E1413" s="217" t="s">
        <v>1764</v>
      </c>
      <c r="F1413" s="218" t="s">
        <v>1692</v>
      </c>
      <c r="G1413" s="116">
        <v>5992</v>
      </c>
      <c r="H1413" s="1776" t="s">
        <v>1349</v>
      </c>
      <c r="J1413" s="224"/>
      <c r="K1413" s="34" t="s">
        <v>25</v>
      </c>
      <c r="L1413" s="475"/>
      <c r="M1413" s="224"/>
      <c r="N1413" s="224"/>
      <c r="O1413" s="2628" t="s">
        <v>6395</v>
      </c>
      <c r="P1413" s="1">
        <v>599</v>
      </c>
      <c r="T1413" s="224"/>
      <c r="U1413" s="34" t="s">
        <v>25</v>
      </c>
      <c r="V1413" s="475"/>
      <c r="W1413" s="224"/>
      <c r="X1413" s="224"/>
    </row>
    <row r="1414" spans="1:24" x14ac:dyDescent="0.3">
      <c r="A1414" s="2652">
        <v>600</v>
      </c>
      <c r="B1414" s="1122" t="s">
        <v>1690</v>
      </c>
      <c r="C1414" s="216" t="s">
        <v>1344</v>
      </c>
      <c r="D1414" s="793" t="s">
        <v>947</v>
      </c>
      <c r="E1414" s="217" t="s">
        <v>1765</v>
      </c>
      <c r="F1414" s="218" t="s">
        <v>1692</v>
      </c>
      <c r="G1414" s="116">
        <v>5992</v>
      </c>
      <c r="H1414" s="1776" t="s">
        <v>1349</v>
      </c>
      <c r="J1414" s="224"/>
      <c r="K1414" s="34" t="s">
        <v>25</v>
      </c>
      <c r="L1414" s="475"/>
      <c r="M1414" s="224"/>
      <c r="N1414" s="224"/>
      <c r="O1414" s="2628" t="s">
        <v>6395</v>
      </c>
      <c r="P1414" s="1">
        <v>600</v>
      </c>
      <c r="T1414" s="224"/>
      <c r="U1414" s="34" t="s">
        <v>25</v>
      </c>
      <c r="V1414" s="475"/>
      <c r="W1414" s="224"/>
      <c r="X1414" s="224"/>
    </row>
    <row r="1415" spans="1:24" x14ac:dyDescent="0.3">
      <c r="A1415" s="2651">
        <v>601</v>
      </c>
      <c r="B1415" s="1122" t="s">
        <v>1690</v>
      </c>
      <c r="C1415" s="216" t="s">
        <v>1344</v>
      </c>
      <c r="D1415" s="416" t="s">
        <v>947</v>
      </c>
      <c r="E1415" s="217" t="s">
        <v>1766</v>
      </c>
      <c r="F1415" s="218" t="s">
        <v>1692</v>
      </c>
      <c r="G1415" s="116">
        <v>5992</v>
      </c>
      <c r="H1415" s="1776" t="s">
        <v>1349</v>
      </c>
      <c r="J1415" s="224"/>
      <c r="K1415" s="34" t="s">
        <v>25</v>
      </c>
      <c r="L1415" s="475"/>
      <c r="M1415" s="224"/>
      <c r="N1415" s="224"/>
      <c r="O1415" s="2628" t="s">
        <v>6395</v>
      </c>
      <c r="P1415" s="1">
        <v>601</v>
      </c>
      <c r="T1415" s="224"/>
      <c r="U1415" s="34" t="s">
        <v>25</v>
      </c>
      <c r="V1415" s="475"/>
      <c r="W1415" s="224"/>
      <c r="X1415" s="224"/>
    </row>
    <row r="1416" spans="1:24" x14ac:dyDescent="0.3">
      <c r="A1416" s="2651">
        <v>602</v>
      </c>
      <c r="B1416" s="1122" t="s">
        <v>1690</v>
      </c>
      <c r="C1416" s="216" t="s">
        <v>1344</v>
      </c>
      <c r="D1416" s="416" t="s">
        <v>947</v>
      </c>
      <c r="E1416" s="217" t="s">
        <v>1767</v>
      </c>
      <c r="F1416" s="218" t="s">
        <v>1692</v>
      </c>
      <c r="G1416" s="116">
        <v>5992</v>
      </c>
      <c r="H1416" s="1776" t="s">
        <v>1349</v>
      </c>
      <c r="J1416" s="224"/>
      <c r="K1416" s="34" t="s">
        <v>25</v>
      </c>
      <c r="L1416" s="475"/>
      <c r="M1416" s="224"/>
      <c r="N1416" s="224"/>
      <c r="O1416" s="2628" t="s">
        <v>6395</v>
      </c>
      <c r="P1416" s="1">
        <v>602</v>
      </c>
      <c r="T1416" s="224"/>
      <c r="U1416" s="34" t="s">
        <v>25</v>
      </c>
      <c r="V1416" s="475"/>
      <c r="W1416" s="224"/>
      <c r="X1416" s="224"/>
    </row>
    <row r="1417" spans="1:24" x14ac:dyDescent="0.3">
      <c r="A1417" s="2652">
        <v>603</v>
      </c>
      <c r="B1417" s="1122" t="s">
        <v>1690</v>
      </c>
      <c r="C1417" s="216" t="s">
        <v>1344</v>
      </c>
      <c r="D1417" s="416" t="s">
        <v>947</v>
      </c>
      <c r="E1417" s="217" t="s">
        <v>1768</v>
      </c>
      <c r="F1417" s="218" t="s">
        <v>1692</v>
      </c>
      <c r="G1417" s="116">
        <v>5992</v>
      </c>
      <c r="H1417" s="1776" t="s">
        <v>1349</v>
      </c>
      <c r="J1417" s="224"/>
      <c r="K1417" s="34" t="s">
        <v>25</v>
      </c>
      <c r="L1417" s="475"/>
      <c r="M1417" s="224"/>
      <c r="N1417" s="224"/>
      <c r="O1417" s="2628" t="s">
        <v>6395</v>
      </c>
      <c r="P1417" s="1">
        <v>603</v>
      </c>
      <c r="T1417" s="224"/>
      <c r="U1417" s="34" t="s">
        <v>25</v>
      </c>
      <c r="V1417" s="475"/>
      <c r="W1417" s="224"/>
      <c r="X1417" s="224"/>
    </row>
    <row r="1418" spans="1:24" x14ac:dyDescent="0.3">
      <c r="A1418" s="2651">
        <v>604</v>
      </c>
      <c r="B1418" s="1122" t="s">
        <v>1690</v>
      </c>
      <c r="C1418" s="216" t="s">
        <v>1344</v>
      </c>
      <c r="D1418" s="416" t="s">
        <v>947</v>
      </c>
      <c r="E1418" s="217" t="s">
        <v>397</v>
      </c>
      <c r="F1418" s="218" t="s">
        <v>1692</v>
      </c>
      <c r="G1418" s="116">
        <v>5992</v>
      </c>
      <c r="H1418" s="1776" t="s">
        <v>1349</v>
      </c>
      <c r="J1418" s="224"/>
      <c r="K1418" s="34" t="s">
        <v>25</v>
      </c>
      <c r="L1418" s="475"/>
      <c r="M1418" s="224"/>
      <c r="N1418" s="224"/>
      <c r="O1418" s="2628" t="s">
        <v>6395</v>
      </c>
      <c r="P1418" s="1">
        <v>604</v>
      </c>
      <c r="T1418" s="224"/>
      <c r="U1418" s="34" t="s">
        <v>25</v>
      </c>
      <c r="V1418" s="475"/>
      <c r="W1418" s="224"/>
      <c r="X1418" s="224"/>
    </row>
    <row r="1419" spans="1:24" x14ac:dyDescent="0.3">
      <c r="A1419" s="2651">
        <v>605</v>
      </c>
      <c r="B1419" s="1122" t="s">
        <v>1690</v>
      </c>
      <c r="C1419" s="216" t="s">
        <v>1344</v>
      </c>
      <c r="D1419" s="416" t="s">
        <v>947</v>
      </c>
      <c r="E1419" s="217" t="s">
        <v>1769</v>
      </c>
      <c r="F1419" s="218" t="s">
        <v>1692</v>
      </c>
      <c r="G1419" s="116">
        <v>5992</v>
      </c>
      <c r="H1419" s="1776" t="s">
        <v>1349</v>
      </c>
      <c r="J1419" s="224"/>
      <c r="K1419" s="34" t="s">
        <v>25</v>
      </c>
      <c r="L1419" s="475"/>
      <c r="M1419" s="224"/>
      <c r="N1419" s="224"/>
      <c r="O1419" s="2628" t="s">
        <v>6395</v>
      </c>
      <c r="P1419" s="1">
        <v>605</v>
      </c>
      <c r="T1419" s="224"/>
      <c r="U1419" s="34" t="s">
        <v>25</v>
      </c>
      <c r="V1419" s="475"/>
      <c r="W1419" s="224"/>
      <c r="X1419" s="224"/>
    </row>
    <row r="1420" spans="1:24" x14ac:dyDescent="0.3">
      <c r="A1420" s="2652">
        <v>606</v>
      </c>
      <c r="B1420" s="1122" t="s">
        <v>1690</v>
      </c>
      <c r="C1420" s="216" t="s">
        <v>1344</v>
      </c>
      <c r="D1420" s="416" t="s">
        <v>947</v>
      </c>
      <c r="E1420" s="217" t="s">
        <v>1770</v>
      </c>
      <c r="F1420" s="218" t="s">
        <v>1692</v>
      </c>
      <c r="G1420" s="116">
        <v>5992</v>
      </c>
      <c r="H1420" s="1776" t="s">
        <v>1349</v>
      </c>
      <c r="J1420" s="224"/>
      <c r="K1420" s="34" t="s">
        <v>25</v>
      </c>
      <c r="L1420" s="475"/>
      <c r="M1420" s="224"/>
      <c r="N1420" s="224"/>
      <c r="O1420" s="2628" t="s">
        <v>6395</v>
      </c>
      <c r="P1420" s="1">
        <v>606</v>
      </c>
      <c r="T1420" s="224"/>
      <c r="U1420" s="34" t="s">
        <v>25</v>
      </c>
      <c r="V1420" s="475"/>
      <c r="W1420" s="224"/>
      <c r="X1420" s="224"/>
    </row>
    <row r="1421" spans="1:24" x14ac:dyDescent="0.3">
      <c r="A1421" s="2651">
        <v>607</v>
      </c>
      <c r="B1421" s="1122" t="s">
        <v>1690</v>
      </c>
      <c r="C1421" s="216" t="s">
        <v>1344</v>
      </c>
      <c r="D1421" s="416" t="s">
        <v>947</v>
      </c>
      <c r="E1421" s="217" t="s">
        <v>1771</v>
      </c>
      <c r="F1421" s="218" t="s">
        <v>1692</v>
      </c>
      <c r="G1421" s="116">
        <v>5992</v>
      </c>
      <c r="H1421" s="1776" t="s">
        <v>1349</v>
      </c>
      <c r="J1421" s="224"/>
      <c r="K1421" s="34" t="s">
        <v>25</v>
      </c>
      <c r="L1421" s="475"/>
      <c r="M1421" s="224"/>
      <c r="N1421" s="224"/>
      <c r="O1421" s="2628" t="s">
        <v>6395</v>
      </c>
      <c r="P1421" s="1">
        <v>607</v>
      </c>
      <c r="T1421" s="224"/>
      <c r="U1421" s="34" t="s">
        <v>25</v>
      </c>
      <c r="V1421" s="475"/>
      <c r="W1421" s="224"/>
      <c r="X1421" s="224"/>
    </row>
    <row r="1422" spans="1:24" x14ac:dyDescent="0.3">
      <c r="A1422" s="2651">
        <v>608</v>
      </c>
      <c r="B1422" s="1122" t="s">
        <v>1690</v>
      </c>
      <c r="C1422" s="216" t="s">
        <v>1344</v>
      </c>
      <c r="D1422" s="416" t="s">
        <v>947</v>
      </c>
      <c r="E1422" s="217" t="s">
        <v>1772</v>
      </c>
      <c r="F1422" s="218" t="s">
        <v>1692</v>
      </c>
      <c r="G1422" s="116">
        <v>5992</v>
      </c>
      <c r="H1422" s="1776" t="s">
        <v>1349</v>
      </c>
      <c r="J1422" s="224"/>
      <c r="K1422" s="34" t="s">
        <v>25</v>
      </c>
      <c r="L1422" s="475"/>
      <c r="M1422" s="224"/>
      <c r="N1422" s="224"/>
      <c r="O1422" s="2628" t="s">
        <v>6395</v>
      </c>
      <c r="P1422" s="1">
        <v>608</v>
      </c>
      <c r="T1422" s="224"/>
      <c r="U1422" s="34" t="s">
        <v>25</v>
      </c>
      <c r="V1422" s="475"/>
      <c r="W1422" s="224"/>
      <c r="X1422" s="224"/>
    </row>
    <row r="1423" spans="1:24" x14ac:dyDescent="0.3">
      <c r="A1423" s="2652">
        <v>609</v>
      </c>
      <c r="B1423" s="1122" t="s">
        <v>1690</v>
      </c>
      <c r="C1423" s="216" t="s">
        <v>1344</v>
      </c>
      <c r="D1423" s="416" t="s">
        <v>947</v>
      </c>
      <c r="E1423" s="217" t="s">
        <v>1773</v>
      </c>
      <c r="F1423" s="218" t="s">
        <v>1692</v>
      </c>
      <c r="G1423" s="116">
        <v>5992</v>
      </c>
      <c r="H1423" s="1776" t="s">
        <v>1349</v>
      </c>
      <c r="J1423" s="224"/>
      <c r="K1423" s="34" t="s">
        <v>25</v>
      </c>
      <c r="L1423" s="475"/>
      <c r="M1423" s="224"/>
      <c r="N1423" s="224"/>
      <c r="O1423" s="2628" t="s">
        <v>6395</v>
      </c>
      <c r="P1423" s="1">
        <v>609</v>
      </c>
      <c r="T1423" s="224"/>
      <c r="U1423" s="34" t="s">
        <v>25</v>
      </c>
      <c r="V1423" s="475"/>
      <c r="W1423" s="224"/>
      <c r="X1423" s="224"/>
    </row>
    <row r="1424" spans="1:24" x14ac:dyDescent="0.3">
      <c r="A1424" s="2651">
        <v>610</v>
      </c>
      <c r="B1424" s="1122" t="s">
        <v>1690</v>
      </c>
      <c r="C1424" s="216" t="s">
        <v>1344</v>
      </c>
      <c r="D1424" s="416" t="s">
        <v>947</v>
      </c>
      <c r="E1424" s="217" t="s">
        <v>1774</v>
      </c>
      <c r="F1424" s="218" t="s">
        <v>1692</v>
      </c>
      <c r="G1424" s="116">
        <v>5992</v>
      </c>
      <c r="H1424" s="1776" t="s">
        <v>1349</v>
      </c>
      <c r="J1424" s="224"/>
      <c r="K1424" s="34" t="s">
        <v>25</v>
      </c>
      <c r="L1424" s="475"/>
      <c r="M1424" s="224"/>
      <c r="N1424" s="224"/>
      <c r="O1424" s="2628" t="s">
        <v>6395</v>
      </c>
      <c r="P1424" s="1">
        <v>610</v>
      </c>
      <c r="T1424" s="224"/>
      <c r="U1424" s="34" t="s">
        <v>25</v>
      </c>
      <c r="V1424" s="475"/>
      <c r="W1424" s="224"/>
      <c r="X1424" s="224"/>
    </row>
    <row r="1425" spans="1:24" x14ac:dyDescent="0.3">
      <c r="A1425" s="2651">
        <v>611</v>
      </c>
      <c r="B1425" s="1122" t="s">
        <v>1690</v>
      </c>
      <c r="C1425" s="216" t="s">
        <v>1344</v>
      </c>
      <c r="D1425" s="416" t="s">
        <v>947</v>
      </c>
      <c r="E1425" s="217" t="s">
        <v>1775</v>
      </c>
      <c r="F1425" s="218" t="s">
        <v>1692</v>
      </c>
      <c r="G1425" s="116">
        <v>5992</v>
      </c>
      <c r="H1425" s="1776" t="s">
        <v>1349</v>
      </c>
      <c r="J1425" s="224"/>
      <c r="K1425" s="34" t="s">
        <v>25</v>
      </c>
      <c r="L1425" s="475"/>
      <c r="M1425" s="224"/>
      <c r="N1425" s="224"/>
      <c r="O1425" s="2628" t="s">
        <v>6395</v>
      </c>
      <c r="P1425" s="1">
        <v>611</v>
      </c>
      <c r="T1425" s="224"/>
      <c r="U1425" s="34" t="s">
        <v>25</v>
      </c>
      <c r="V1425" s="475"/>
      <c r="W1425" s="224"/>
      <c r="X1425" s="224"/>
    </row>
    <row r="1426" spans="1:24" x14ac:dyDescent="0.3">
      <c r="A1426" s="2652">
        <v>612</v>
      </c>
      <c r="B1426" s="1122" t="s">
        <v>1690</v>
      </c>
      <c r="C1426" s="216" t="s">
        <v>1344</v>
      </c>
      <c r="D1426" s="416" t="s">
        <v>947</v>
      </c>
      <c r="E1426" s="217" t="s">
        <v>1776</v>
      </c>
      <c r="F1426" s="218" t="s">
        <v>1692</v>
      </c>
      <c r="G1426" s="116">
        <v>5992</v>
      </c>
      <c r="H1426" s="1776" t="s">
        <v>1349</v>
      </c>
      <c r="J1426" s="224"/>
      <c r="K1426" s="34" t="s">
        <v>25</v>
      </c>
      <c r="L1426" s="475"/>
      <c r="M1426" s="224"/>
      <c r="N1426" s="224"/>
      <c r="O1426" s="2628" t="s">
        <v>6395</v>
      </c>
      <c r="P1426" s="1">
        <v>612</v>
      </c>
      <c r="T1426" s="224"/>
      <c r="U1426" s="34" t="s">
        <v>25</v>
      </c>
      <c r="V1426" s="475"/>
      <c r="W1426" s="224"/>
      <c r="X1426" s="224"/>
    </row>
    <row r="1427" spans="1:24" x14ac:dyDescent="0.3">
      <c r="A1427" s="2651">
        <v>613</v>
      </c>
      <c r="B1427" s="1122" t="s">
        <v>1690</v>
      </c>
      <c r="C1427" s="216" t="s">
        <v>1344</v>
      </c>
      <c r="D1427" s="416" t="s">
        <v>947</v>
      </c>
      <c r="E1427" s="217" t="s">
        <v>1777</v>
      </c>
      <c r="F1427" s="218" t="s">
        <v>1692</v>
      </c>
      <c r="G1427" s="116">
        <v>5992</v>
      </c>
      <c r="H1427" s="1776" t="s">
        <v>1349</v>
      </c>
      <c r="J1427" s="224"/>
      <c r="K1427" s="34" t="s">
        <v>25</v>
      </c>
      <c r="L1427" s="475"/>
      <c r="M1427" s="224"/>
      <c r="N1427" s="224"/>
      <c r="O1427" s="2628" t="s">
        <v>6395</v>
      </c>
      <c r="P1427" s="1">
        <v>613</v>
      </c>
      <c r="T1427" s="224"/>
      <c r="U1427" s="34" t="s">
        <v>25</v>
      </c>
      <c r="V1427" s="475"/>
      <c r="W1427" s="224"/>
      <c r="X1427" s="224"/>
    </row>
    <row r="1428" spans="1:24" x14ac:dyDescent="0.3">
      <c r="A1428" s="2651">
        <v>614</v>
      </c>
      <c r="B1428" s="1122" t="s">
        <v>1690</v>
      </c>
      <c r="C1428" s="216" t="s">
        <v>1344</v>
      </c>
      <c r="D1428" s="416" t="s">
        <v>947</v>
      </c>
      <c r="E1428" s="217" t="s">
        <v>1778</v>
      </c>
      <c r="F1428" s="218" t="s">
        <v>1692</v>
      </c>
      <c r="G1428" s="116">
        <v>5992</v>
      </c>
      <c r="H1428" s="1776" t="s">
        <v>1349</v>
      </c>
      <c r="J1428" s="224"/>
      <c r="K1428" s="34" t="s">
        <v>25</v>
      </c>
      <c r="L1428" s="475"/>
      <c r="M1428" s="224"/>
      <c r="N1428" s="224"/>
      <c r="O1428" s="2628" t="s">
        <v>6395</v>
      </c>
      <c r="P1428" s="1">
        <v>614</v>
      </c>
      <c r="T1428" s="224"/>
      <c r="U1428" s="34" t="s">
        <v>25</v>
      </c>
      <c r="V1428" s="475"/>
      <c r="W1428" s="224"/>
      <c r="X1428" s="224"/>
    </row>
    <row r="1429" spans="1:24" x14ac:dyDescent="0.3">
      <c r="A1429" s="2652">
        <v>615</v>
      </c>
      <c r="B1429" s="1122" t="s">
        <v>1690</v>
      </c>
      <c r="C1429" s="216" t="s">
        <v>1344</v>
      </c>
      <c r="D1429" s="416" t="s">
        <v>947</v>
      </c>
      <c r="E1429" s="217" t="s">
        <v>1779</v>
      </c>
      <c r="F1429" s="218" t="s">
        <v>1692</v>
      </c>
      <c r="G1429" s="116">
        <v>5992</v>
      </c>
      <c r="H1429" s="1776" t="s">
        <v>1349</v>
      </c>
      <c r="J1429" s="224"/>
      <c r="K1429" s="34" t="s">
        <v>25</v>
      </c>
      <c r="L1429" s="475"/>
      <c r="M1429" s="224"/>
      <c r="N1429" s="224"/>
      <c r="O1429" s="2628" t="s">
        <v>6395</v>
      </c>
      <c r="P1429" s="1">
        <v>615</v>
      </c>
      <c r="T1429" s="224"/>
      <c r="U1429" s="34" t="s">
        <v>25</v>
      </c>
      <c r="V1429" s="475"/>
      <c r="W1429" s="224"/>
      <c r="X1429" s="224"/>
    </row>
    <row r="1430" spans="1:24" x14ac:dyDescent="0.3">
      <c r="A1430" s="2651">
        <v>616</v>
      </c>
      <c r="B1430" s="1122" t="s">
        <v>1690</v>
      </c>
      <c r="C1430" s="216" t="s">
        <v>1344</v>
      </c>
      <c r="D1430" s="416" t="s">
        <v>947</v>
      </c>
      <c r="E1430" s="217" t="s">
        <v>1780</v>
      </c>
      <c r="F1430" s="218" t="s">
        <v>1692</v>
      </c>
      <c r="G1430" s="116">
        <v>5992</v>
      </c>
      <c r="H1430" s="1776" t="s">
        <v>1349</v>
      </c>
      <c r="J1430" s="224"/>
      <c r="K1430" s="34" t="s">
        <v>25</v>
      </c>
      <c r="L1430" s="475"/>
      <c r="M1430" s="224"/>
      <c r="N1430" s="224"/>
      <c r="O1430" s="2628" t="s">
        <v>6395</v>
      </c>
      <c r="P1430" s="1">
        <v>616</v>
      </c>
      <c r="T1430" s="224"/>
      <c r="U1430" s="34" t="s">
        <v>25</v>
      </c>
      <c r="V1430" s="475"/>
      <c r="W1430" s="224"/>
      <c r="X1430" s="224"/>
    </row>
    <row r="1431" spans="1:24" x14ac:dyDescent="0.3">
      <c r="A1431" s="2651">
        <v>617</v>
      </c>
      <c r="B1431" s="1122" t="s">
        <v>1690</v>
      </c>
      <c r="C1431" s="216" t="s">
        <v>1344</v>
      </c>
      <c r="D1431" s="416" t="s">
        <v>947</v>
      </c>
      <c r="E1431" s="217" t="s">
        <v>1781</v>
      </c>
      <c r="F1431" s="218" t="s">
        <v>1692</v>
      </c>
      <c r="G1431" s="116">
        <v>5992</v>
      </c>
      <c r="H1431" s="1776" t="s">
        <v>1349</v>
      </c>
      <c r="J1431" s="224"/>
      <c r="K1431" s="34" t="s">
        <v>25</v>
      </c>
      <c r="L1431" s="475"/>
      <c r="M1431" s="224"/>
      <c r="N1431" s="224"/>
      <c r="O1431" s="2628" t="s">
        <v>6395</v>
      </c>
      <c r="P1431" s="1">
        <v>617</v>
      </c>
      <c r="T1431" s="224"/>
      <c r="U1431" s="34" t="s">
        <v>25</v>
      </c>
      <c r="V1431" s="475"/>
      <c r="W1431" s="224"/>
      <c r="X1431" s="224"/>
    </row>
    <row r="1432" spans="1:24" x14ac:dyDescent="0.3">
      <c r="A1432" s="2652">
        <v>618</v>
      </c>
      <c r="B1432" s="1122" t="s">
        <v>1690</v>
      </c>
      <c r="C1432" s="216" t="s">
        <v>1344</v>
      </c>
      <c r="D1432" s="416" t="s">
        <v>947</v>
      </c>
      <c r="E1432" s="217" t="s">
        <v>1782</v>
      </c>
      <c r="F1432" s="218" t="s">
        <v>1692</v>
      </c>
      <c r="G1432" s="116">
        <v>5992</v>
      </c>
      <c r="H1432" s="1776" t="s">
        <v>1349</v>
      </c>
      <c r="J1432" s="224"/>
      <c r="K1432" s="34" t="s">
        <v>25</v>
      </c>
      <c r="L1432" s="475"/>
      <c r="M1432" s="224"/>
      <c r="N1432" s="224"/>
      <c r="O1432" s="2628" t="s">
        <v>6395</v>
      </c>
      <c r="P1432" s="1">
        <v>618</v>
      </c>
      <c r="T1432" s="224"/>
      <c r="U1432" s="34" t="s">
        <v>25</v>
      </c>
      <c r="V1432" s="475"/>
      <c r="W1432" s="224"/>
      <c r="X1432" s="224"/>
    </row>
    <row r="1433" spans="1:24" x14ac:dyDescent="0.3">
      <c r="A1433" s="2651">
        <v>619</v>
      </c>
      <c r="B1433" s="1122" t="s">
        <v>1690</v>
      </c>
      <c r="C1433" s="216" t="s">
        <v>1344</v>
      </c>
      <c r="D1433" s="416" t="s">
        <v>947</v>
      </c>
      <c r="E1433" s="217" t="s">
        <v>1783</v>
      </c>
      <c r="F1433" s="218" t="s">
        <v>1692</v>
      </c>
      <c r="G1433" s="116">
        <v>5992</v>
      </c>
      <c r="H1433" s="1776" t="s">
        <v>1349</v>
      </c>
      <c r="J1433" s="224"/>
      <c r="K1433" s="34" t="s">
        <v>25</v>
      </c>
      <c r="L1433" s="475"/>
      <c r="M1433" s="224"/>
      <c r="N1433" s="224"/>
      <c r="O1433" s="2628" t="s">
        <v>6395</v>
      </c>
      <c r="P1433" s="1">
        <v>619</v>
      </c>
      <c r="T1433" s="224"/>
      <c r="U1433" s="34" t="s">
        <v>25</v>
      </c>
      <c r="V1433" s="475"/>
      <c r="W1433" s="224"/>
      <c r="X1433" s="224"/>
    </row>
    <row r="1434" spans="1:24" x14ac:dyDescent="0.3">
      <c r="A1434" s="2651">
        <v>620</v>
      </c>
      <c r="B1434" s="1122" t="s">
        <v>1690</v>
      </c>
      <c r="C1434" s="216" t="s">
        <v>1344</v>
      </c>
      <c r="D1434" s="416" t="s">
        <v>947</v>
      </c>
      <c r="E1434" s="217" t="s">
        <v>1784</v>
      </c>
      <c r="F1434" s="218" t="s">
        <v>1692</v>
      </c>
      <c r="G1434" s="116">
        <v>5992</v>
      </c>
      <c r="H1434" s="1776" t="s">
        <v>1349</v>
      </c>
      <c r="J1434" s="224"/>
      <c r="K1434" s="34" t="s">
        <v>25</v>
      </c>
      <c r="L1434" s="475"/>
      <c r="M1434" s="224"/>
      <c r="N1434" s="224"/>
      <c r="O1434" s="2628" t="s">
        <v>6395</v>
      </c>
      <c r="P1434" s="1">
        <v>620</v>
      </c>
      <c r="T1434" s="224"/>
      <c r="U1434" s="34" t="s">
        <v>25</v>
      </c>
      <c r="V1434" s="475"/>
      <c r="W1434" s="224"/>
      <c r="X1434" s="224"/>
    </row>
    <row r="1435" spans="1:24" x14ac:dyDescent="0.3">
      <c r="A1435" s="2652">
        <v>621</v>
      </c>
      <c r="B1435" s="1122" t="s">
        <v>1690</v>
      </c>
      <c r="C1435" s="216" t="s">
        <v>1344</v>
      </c>
      <c r="D1435" s="416" t="s">
        <v>947</v>
      </c>
      <c r="E1435" s="217" t="s">
        <v>1785</v>
      </c>
      <c r="F1435" s="218" t="s">
        <v>1692</v>
      </c>
      <c r="G1435" s="116">
        <v>5992</v>
      </c>
      <c r="H1435" s="1776" t="s">
        <v>1349</v>
      </c>
      <c r="J1435" s="224"/>
      <c r="K1435" s="34" t="s">
        <v>25</v>
      </c>
      <c r="L1435" s="475"/>
      <c r="M1435" s="224"/>
      <c r="N1435" s="224"/>
      <c r="O1435" s="2628" t="s">
        <v>6395</v>
      </c>
      <c r="P1435" s="1">
        <v>621</v>
      </c>
      <c r="T1435" s="224"/>
      <c r="U1435" s="34" t="s">
        <v>25</v>
      </c>
      <c r="V1435" s="475"/>
      <c r="W1435" s="224"/>
      <c r="X1435" s="224"/>
    </row>
    <row r="1436" spans="1:24" x14ac:dyDescent="0.3">
      <c r="A1436" s="2651">
        <v>622</v>
      </c>
      <c r="B1436" s="1122" t="s">
        <v>1690</v>
      </c>
      <c r="C1436" s="216" t="s">
        <v>1344</v>
      </c>
      <c r="D1436" s="416" t="s">
        <v>947</v>
      </c>
      <c r="E1436" s="217" t="s">
        <v>1786</v>
      </c>
      <c r="F1436" s="218" t="s">
        <v>1692</v>
      </c>
      <c r="G1436" s="116">
        <v>5992</v>
      </c>
      <c r="H1436" s="1776" t="s">
        <v>1349</v>
      </c>
      <c r="J1436" s="224"/>
      <c r="K1436" s="34" t="s">
        <v>25</v>
      </c>
      <c r="L1436" s="475"/>
      <c r="M1436" s="224"/>
      <c r="N1436" s="224"/>
      <c r="O1436" s="2628" t="s">
        <v>6395</v>
      </c>
      <c r="P1436" s="1">
        <v>622</v>
      </c>
      <c r="T1436" s="224"/>
      <c r="U1436" s="34" t="s">
        <v>25</v>
      </c>
      <c r="V1436" s="475"/>
      <c r="W1436" s="224"/>
      <c r="X1436" s="224"/>
    </row>
    <row r="1437" spans="1:24" x14ac:dyDescent="0.3">
      <c r="A1437" s="2651">
        <v>623</v>
      </c>
      <c r="B1437" s="1122" t="s">
        <v>1690</v>
      </c>
      <c r="C1437" s="216" t="s">
        <v>1344</v>
      </c>
      <c r="D1437" s="416" t="s">
        <v>947</v>
      </c>
      <c r="E1437" s="217" t="s">
        <v>1787</v>
      </c>
      <c r="F1437" s="218" t="s">
        <v>1692</v>
      </c>
      <c r="G1437" s="116">
        <v>5992</v>
      </c>
      <c r="H1437" s="1776" t="s">
        <v>1349</v>
      </c>
      <c r="J1437" s="224"/>
      <c r="K1437" s="34" t="s">
        <v>25</v>
      </c>
      <c r="L1437" s="475"/>
      <c r="M1437" s="224"/>
      <c r="N1437" s="224"/>
      <c r="O1437" s="2628" t="s">
        <v>6395</v>
      </c>
      <c r="P1437" s="1">
        <v>623</v>
      </c>
      <c r="T1437" s="224"/>
      <c r="U1437" s="34" t="s">
        <v>25</v>
      </c>
      <c r="V1437" s="475"/>
      <c r="W1437" s="224"/>
      <c r="X1437" s="224"/>
    </row>
    <row r="1438" spans="1:24" x14ac:dyDescent="0.3">
      <c r="A1438" s="2652">
        <v>624</v>
      </c>
      <c r="B1438" s="1122" t="s">
        <v>1690</v>
      </c>
      <c r="C1438" s="216" t="s">
        <v>1344</v>
      </c>
      <c r="D1438" s="416" t="s">
        <v>947</v>
      </c>
      <c r="E1438" s="217" t="s">
        <v>1788</v>
      </c>
      <c r="F1438" s="218" t="s">
        <v>1692</v>
      </c>
      <c r="G1438" s="116">
        <v>5992</v>
      </c>
      <c r="H1438" s="1776" t="s">
        <v>1349</v>
      </c>
      <c r="J1438" s="224"/>
      <c r="K1438" s="34" t="s">
        <v>25</v>
      </c>
      <c r="L1438" s="475"/>
      <c r="M1438" s="224"/>
      <c r="N1438" s="224"/>
      <c r="O1438" s="2628" t="s">
        <v>6395</v>
      </c>
      <c r="P1438" s="1">
        <v>624</v>
      </c>
      <c r="T1438" s="224"/>
      <c r="U1438" s="34" t="s">
        <v>25</v>
      </c>
      <c r="V1438" s="475"/>
      <c r="W1438" s="224"/>
      <c r="X1438" s="224"/>
    </row>
    <row r="1439" spans="1:24" x14ac:dyDescent="0.3">
      <c r="A1439" s="2651">
        <v>625</v>
      </c>
      <c r="B1439" s="1122" t="s">
        <v>1690</v>
      </c>
      <c r="C1439" s="216" t="s">
        <v>1344</v>
      </c>
      <c r="D1439" s="416" t="s">
        <v>947</v>
      </c>
      <c r="E1439" s="217" t="s">
        <v>1789</v>
      </c>
      <c r="F1439" s="218" t="s">
        <v>1692</v>
      </c>
      <c r="G1439" s="116">
        <v>5992</v>
      </c>
      <c r="H1439" s="1776" t="s">
        <v>1349</v>
      </c>
      <c r="J1439" s="224"/>
      <c r="K1439" s="34" t="s">
        <v>25</v>
      </c>
      <c r="L1439" s="475"/>
      <c r="M1439" s="224"/>
      <c r="N1439" s="224"/>
      <c r="O1439" s="2628" t="s">
        <v>6395</v>
      </c>
      <c r="P1439" s="1">
        <v>625</v>
      </c>
      <c r="T1439" s="224"/>
      <c r="U1439" s="34" t="s">
        <v>25</v>
      </c>
      <c r="V1439" s="475"/>
      <c r="W1439" s="224"/>
      <c r="X1439" s="224"/>
    </row>
    <row r="1440" spans="1:24" x14ac:dyDescent="0.3">
      <c r="A1440" s="2651">
        <v>626</v>
      </c>
      <c r="B1440" s="1122" t="s">
        <v>1690</v>
      </c>
      <c r="C1440" s="216" t="s">
        <v>1344</v>
      </c>
      <c r="D1440" s="416" t="s">
        <v>947</v>
      </c>
      <c r="E1440" s="217" t="s">
        <v>1790</v>
      </c>
      <c r="F1440" s="218" t="s">
        <v>1692</v>
      </c>
      <c r="G1440" s="116">
        <v>5992</v>
      </c>
      <c r="H1440" s="1776" t="s">
        <v>1349</v>
      </c>
      <c r="J1440" s="224"/>
      <c r="K1440" s="34" t="s">
        <v>25</v>
      </c>
      <c r="L1440" s="475"/>
      <c r="M1440" s="224"/>
      <c r="N1440" s="224"/>
      <c r="O1440" s="2628" t="s">
        <v>6395</v>
      </c>
      <c r="P1440" s="1">
        <v>626</v>
      </c>
      <c r="T1440" s="224"/>
      <c r="U1440" s="34" t="s">
        <v>25</v>
      </c>
      <c r="V1440" s="475"/>
      <c r="W1440" s="224"/>
      <c r="X1440" s="224"/>
    </row>
    <row r="1441" spans="1:24" x14ac:dyDescent="0.3">
      <c r="A1441" s="2652">
        <v>627</v>
      </c>
      <c r="B1441" s="1122" t="s">
        <v>1690</v>
      </c>
      <c r="C1441" s="216" t="s">
        <v>1344</v>
      </c>
      <c r="D1441" s="416" t="s">
        <v>947</v>
      </c>
      <c r="E1441" s="217" t="s">
        <v>1791</v>
      </c>
      <c r="F1441" s="218" t="s">
        <v>1692</v>
      </c>
      <c r="G1441" s="116">
        <v>5992</v>
      </c>
      <c r="H1441" s="1776" t="s">
        <v>1349</v>
      </c>
      <c r="J1441" s="224"/>
      <c r="K1441" s="34" t="s">
        <v>25</v>
      </c>
      <c r="L1441" s="475"/>
      <c r="M1441" s="224"/>
      <c r="N1441" s="224"/>
      <c r="O1441" s="2628" t="s">
        <v>6395</v>
      </c>
      <c r="P1441" s="1">
        <v>627</v>
      </c>
      <c r="T1441" s="224"/>
      <c r="U1441" s="34" t="s">
        <v>25</v>
      </c>
      <c r="V1441" s="475"/>
      <c r="W1441" s="224"/>
      <c r="X1441" s="224"/>
    </row>
    <row r="1442" spans="1:24" x14ac:dyDescent="0.3">
      <c r="A1442" s="2651">
        <v>628</v>
      </c>
      <c r="B1442" s="1122" t="s">
        <v>1690</v>
      </c>
      <c r="C1442" s="216" t="s">
        <v>1344</v>
      </c>
      <c r="D1442" s="416" t="s">
        <v>947</v>
      </c>
      <c r="E1442" s="217" t="s">
        <v>344</v>
      </c>
      <c r="F1442" s="218" t="s">
        <v>1692</v>
      </c>
      <c r="G1442" s="116">
        <v>5992</v>
      </c>
      <c r="H1442" s="1776" t="s">
        <v>1349</v>
      </c>
      <c r="J1442" s="224"/>
      <c r="K1442" s="34" t="s">
        <v>25</v>
      </c>
      <c r="L1442" s="475"/>
      <c r="M1442" s="224"/>
      <c r="N1442" s="224"/>
      <c r="O1442" s="2628" t="s">
        <v>6395</v>
      </c>
      <c r="P1442" s="1">
        <v>628</v>
      </c>
      <c r="T1442" s="224"/>
      <c r="U1442" s="34" t="s">
        <v>25</v>
      </c>
      <c r="V1442" s="475"/>
      <c r="W1442" s="224"/>
      <c r="X1442" s="224"/>
    </row>
    <row r="1443" spans="1:24" x14ac:dyDescent="0.3">
      <c r="A1443" s="2651">
        <v>629</v>
      </c>
      <c r="B1443" s="1122" t="s">
        <v>1690</v>
      </c>
      <c r="C1443" s="216" t="s">
        <v>1344</v>
      </c>
      <c r="D1443" s="416" t="s">
        <v>947</v>
      </c>
      <c r="E1443" s="217" t="s">
        <v>345</v>
      </c>
      <c r="F1443" s="218" t="s">
        <v>1692</v>
      </c>
      <c r="G1443" s="116">
        <v>5992</v>
      </c>
      <c r="H1443" s="1776" t="s">
        <v>1349</v>
      </c>
      <c r="J1443" s="224"/>
      <c r="K1443" s="34" t="s">
        <v>25</v>
      </c>
      <c r="L1443" s="475"/>
      <c r="M1443" s="224"/>
      <c r="N1443" s="224"/>
      <c r="O1443" s="2628" t="s">
        <v>6395</v>
      </c>
      <c r="P1443" s="1">
        <v>629</v>
      </c>
      <c r="T1443" s="224"/>
      <c r="U1443" s="34" t="s">
        <v>25</v>
      </c>
      <c r="V1443" s="475"/>
      <c r="W1443" s="224"/>
      <c r="X1443" s="224"/>
    </row>
    <row r="1444" spans="1:24" x14ac:dyDescent="0.3">
      <c r="A1444" s="2652">
        <v>630</v>
      </c>
      <c r="B1444" s="1122" t="s">
        <v>1690</v>
      </c>
      <c r="C1444" s="216" t="s">
        <v>1344</v>
      </c>
      <c r="D1444" s="416" t="s">
        <v>947</v>
      </c>
      <c r="E1444" s="217" t="s">
        <v>346</v>
      </c>
      <c r="F1444" s="218" t="s">
        <v>1692</v>
      </c>
      <c r="G1444" s="116">
        <v>5992</v>
      </c>
      <c r="H1444" s="1776" t="s">
        <v>1349</v>
      </c>
      <c r="J1444" s="224"/>
      <c r="K1444" s="34" t="s">
        <v>25</v>
      </c>
      <c r="L1444" s="475"/>
      <c r="M1444" s="224"/>
      <c r="N1444" s="224"/>
      <c r="O1444" s="2628" t="s">
        <v>6395</v>
      </c>
      <c r="P1444" s="1">
        <v>630</v>
      </c>
      <c r="T1444" s="224"/>
      <c r="U1444" s="34" t="s">
        <v>25</v>
      </c>
      <c r="V1444" s="475"/>
      <c r="W1444" s="224"/>
      <c r="X1444" s="224"/>
    </row>
    <row r="1445" spans="1:24" x14ac:dyDescent="0.3">
      <c r="A1445" s="2651">
        <v>631</v>
      </c>
      <c r="B1445" s="1122" t="s">
        <v>1690</v>
      </c>
      <c r="C1445" s="216" t="s">
        <v>1344</v>
      </c>
      <c r="D1445" s="416" t="s">
        <v>947</v>
      </c>
      <c r="E1445" s="217" t="s">
        <v>486</v>
      </c>
      <c r="F1445" s="218" t="s">
        <v>1692</v>
      </c>
      <c r="G1445" s="116">
        <v>5992</v>
      </c>
      <c r="H1445" s="1776" t="s">
        <v>1349</v>
      </c>
      <c r="J1445" s="224"/>
      <c r="K1445" s="34" t="s">
        <v>25</v>
      </c>
      <c r="L1445" s="475"/>
      <c r="M1445" s="224"/>
      <c r="N1445" s="224"/>
      <c r="O1445" s="2628" t="s">
        <v>6395</v>
      </c>
      <c r="P1445" s="1">
        <v>631</v>
      </c>
      <c r="T1445" s="224"/>
      <c r="U1445" s="34" t="s">
        <v>25</v>
      </c>
      <c r="V1445" s="475"/>
      <c r="W1445" s="224"/>
      <c r="X1445" s="224"/>
    </row>
    <row r="1446" spans="1:24" x14ac:dyDescent="0.3">
      <c r="A1446" s="2651">
        <v>632</v>
      </c>
      <c r="B1446" s="1122" t="s">
        <v>1690</v>
      </c>
      <c r="C1446" s="216" t="s">
        <v>1344</v>
      </c>
      <c r="D1446" s="452" t="s">
        <v>947</v>
      </c>
      <c r="E1446" s="217" t="s">
        <v>1792</v>
      </c>
      <c r="F1446" s="218" t="s">
        <v>1692</v>
      </c>
      <c r="G1446" s="116">
        <v>5992</v>
      </c>
      <c r="H1446" s="1776" t="s">
        <v>1349</v>
      </c>
      <c r="J1446" s="224"/>
      <c r="K1446" s="34" t="s">
        <v>25</v>
      </c>
      <c r="L1446" s="475"/>
      <c r="M1446" s="224"/>
      <c r="N1446" s="224"/>
      <c r="O1446" s="2628" t="s">
        <v>6395</v>
      </c>
      <c r="P1446" s="1">
        <v>632</v>
      </c>
      <c r="T1446" s="224"/>
      <c r="U1446" s="34" t="s">
        <v>25</v>
      </c>
      <c r="V1446" s="475"/>
      <c r="W1446" s="224"/>
      <c r="X1446" s="224"/>
    </row>
    <row r="1447" spans="1:24" x14ac:dyDescent="0.3">
      <c r="A1447" s="2652">
        <v>633</v>
      </c>
      <c r="B1447" s="1122" t="s">
        <v>1690</v>
      </c>
      <c r="C1447" s="216" t="s">
        <v>1344</v>
      </c>
      <c r="D1447" s="793" t="s">
        <v>947</v>
      </c>
      <c r="E1447" s="217" t="s">
        <v>1793</v>
      </c>
      <c r="F1447" s="218" t="s">
        <v>1692</v>
      </c>
      <c r="G1447" s="116">
        <v>5992</v>
      </c>
      <c r="H1447" s="1776" t="s">
        <v>1349</v>
      </c>
      <c r="J1447" s="224"/>
      <c r="K1447" s="34" t="s">
        <v>25</v>
      </c>
      <c r="L1447" s="475"/>
      <c r="M1447" s="224"/>
      <c r="N1447" s="224"/>
      <c r="O1447" s="2628" t="s">
        <v>6395</v>
      </c>
      <c r="P1447" s="1">
        <v>633</v>
      </c>
      <c r="T1447" s="224"/>
      <c r="U1447" s="34" t="s">
        <v>25</v>
      </c>
      <c r="V1447" s="475"/>
      <c r="W1447" s="224"/>
      <c r="X1447" s="224"/>
    </row>
    <row r="1448" spans="1:24" x14ac:dyDescent="0.3">
      <c r="A1448" s="2651">
        <v>634</v>
      </c>
      <c r="B1448" s="1122" t="s">
        <v>1690</v>
      </c>
      <c r="C1448" s="216" t="s">
        <v>1344</v>
      </c>
      <c r="D1448" s="416" t="s">
        <v>947</v>
      </c>
      <c r="E1448" s="217" t="s">
        <v>1794</v>
      </c>
      <c r="F1448" s="218" t="s">
        <v>1692</v>
      </c>
      <c r="G1448" s="116">
        <v>5992</v>
      </c>
      <c r="H1448" s="1776" t="s">
        <v>1349</v>
      </c>
      <c r="J1448" s="224"/>
      <c r="K1448" s="34" t="s">
        <v>25</v>
      </c>
      <c r="L1448" s="475"/>
      <c r="M1448" s="224"/>
      <c r="N1448" s="224"/>
      <c r="O1448" s="2628" t="s">
        <v>6395</v>
      </c>
      <c r="P1448" s="1">
        <v>634</v>
      </c>
      <c r="T1448" s="224"/>
      <c r="U1448" s="34" t="s">
        <v>25</v>
      </c>
      <c r="V1448" s="475"/>
      <c r="W1448" s="224"/>
      <c r="X1448" s="224"/>
    </row>
    <row r="1449" spans="1:24" x14ac:dyDescent="0.3">
      <c r="A1449" s="2651">
        <v>635</v>
      </c>
      <c r="B1449" s="1122" t="s">
        <v>1690</v>
      </c>
      <c r="C1449" s="216" t="s">
        <v>1344</v>
      </c>
      <c r="D1449" s="416" t="s">
        <v>947</v>
      </c>
      <c r="E1449" s="217" t="s">
        <v>1795</v>
      </c>
      <c r="F1449" s="218" t="s">
        <v>1692</v>
      </c>
      <c r="G1449" s="116">
        <v>5992</v>
      </c>
      <c r="H1449" s="1776" t="s">
        <v>1349</v>
      </c>
      <c r="J1449" s="224"/>
      <c r="K1449" s="34" t="s">
        <v>25</v>
      </c>
      <c r="L1449" s="475"/>
      <c r="M1449" s="224"/>
      <c r="N1449" s="224"/>
      <c r="O1449" s="2628" t="s">
        <v>6395</v>
      </c>
      <c r="P1449" s="1">
        <v>635</v>
      </c>
      <c r="T1449" s="224"/>
      <c r="U1449" s="34" t="s">
        <v>25</v>
      </c>
      <c r="V1449" s="475"/>
      <c r="W1449" s="224"/>
      <c r="X1449" s="224"/>
    </row>
    <row r="1450" spans="1:24" x14ac:dyDescent="0.3">
      <c r="A1450" s="2652">
        <v>636</v>
      </c>
      <c r="B1450" s="1122" t="s">
        <v>1690</v>
      </c>
      <c r="C1450" s="216" t="s">
        <v>1344</v>
      </c>
      <c r="D1450" s="416" t="s">
        <v>947</v>
      </c>
      <c r="E1450" s="217" t="s">
        <v>1796</v>
      </c>
      <c r="F1450" s="218" t="s">
        <v>1692</v>
      </c>
      <c r="G1450" s="116">
        <v>5992</v>
      </c>
      <c r="H1450" s="1776" t="s">
        <v>1349</v>
      </c>
      <c r="J1450" s="224"/>
      <c r="K1450" s="34" t="s">
        <v>25</v>
      </c>
      <c r="L1450" s="475"/>
      <c r="M1450" s="224"/>
      <c r="N1450" s="224"/>
      <c r="O1450" s="2628" t="s">
        <v>6395</v>
      </c>
      <c r="P1450" s="1">
        <v>636</v>
      </c>
      <c r="T1450" s="224"/>
      <c r="U1450" s="34" t="s">
        <v>25</v>
      </c>
      <c r="V1450" s="475"/>
      <c r="W1450" s="224"/>
      <c r="X1450" s="224"/>
    </row>
    <row r="1451" spans="1:24" x14ac:dyDescent="0.3">
      <c r="A1451" s="2651">
        <v>637</v>
      </c>
      <c r="B1451" s="1122" t="s">
        <v>1690</v>
      </c>
      <c r="C1451" s="216" t="s">
        <v>1344</v>
      </c>
      <c r="D1451" s="416" t="s">
        <v>947</v>
      </c>
      <c r="E1451" s="217" t="s">
        <v>1797</v>
      </c>
      <c r="F1451" s="218" t="s">
        <v>1692</v>
      </c>
      <c r="G1451" s="116">
        <v>5992</v>
      </c>
      <c r="H1451" s="1776" t="s">
        <v>1349</v>
      </c>
      <c r="J1451" s="224"/>
      <c r="K1451" s="34" t="s">
        <v>25</v>
      </c>
      <c r="L1451" s="475"/>
      <c r="M1451" s="224"/>
      <c r="N1451" s="224"/>
      <c r="O1451" s="2628" t="s">
        <v>6395</v>
      </c>
      <c r="P1451" s="1">
        <v>637</v>
      </c>
      <c r="T1451" s="224"/>
      <c r="U1451" s="34" t="s">
        <v>25</v>
      </c>
      <c r="V1451" s="475"/>
      <c r="W1451" s="224"/>
      <c r="X1451" s="224"/>
    </row>
    <row r="1452" spans="1:24" x14ac:dyDescent="0.3">
      <c r="A1452" s="2651">
        <v>638</v>
      </c>
      <c r="B1452" s="1122" t="s">
        <v>1690</v>
      </c>
      <c r="C1452" s="216" t="s">
        <v>1344</v>
      </c>
      <c r="D1452" s="416" t="s">
        <v>947</v>
      </c>
      <c r="E1452" s="217" t="s">
        <v>1798</v>
      </c>
      <c r="F1452" s="218" t="s">
        <v>1692</v>
      </c>
      <c r="G1452" s="116">
        <v>5992</v>
      </c>
      <c r="H1452" s="1776" t="s">
        <v>1349</v>
      </c>
      <c r="J1452" s="224"/>
      <c r="K1452" s="34" t="s">
        <v>25</v>
      </c>
      <c r="L1452" s="475"/>
      <c r="M1452" s="224"/>
      <c r="N1452" s="224"/>
      <c r="O1452" s="2628" t="s">
        <v>6395</v>
      </c>
      <c r="P1452" s="1">
        <v>638</v>
      </c>
      <c r="T1452" s="224"/>
      <c r="U1452" s="34" t="s">
        <v>25</v>
      </c>
      <c r="V1452" s="475"/>
      <c r="W1452" s="224"/>
      <c r="X1452" s="224"/>
    </row>
    <row r="1453" spans="1:24" x14ac:dyDescent="0.3">
      <c r="A1453" s="2652">
        <v>639</v>
      </c>
      <c r="B1453" s="1122" t="s">
        <v>1690</v>
      </c>
      <c r="C1453" s="216" t="s">
        <v>1344</v>
      </c>
      <c r="D1453" s="416" t="s">
        <v>947</v>
      </c>
      <c r="E1453" s="217" t="s">
        <v>1799</v>
      </c>
      <c r="F1453" s="218" t="s">
        <v>1692</v>
      </c>
      <c r="G1453" s="116">
        <v>5992</v>
      </c>
      <c r="H1453" s="1776" t="s">
        <v>1349</v>
      </c>
      <c r="J1453" s="224"/>
      <c r="K1453" s="34" t="s">
        <v>25</v>
      </c>
      <c r="L1453" s="475"/>
      <c r="M1453" s="224"/>
      <c r="N1453" s="224"/>
      <c r="O1453" s="2628" t="s">
        <v>6395</v>
      </c>
      <c r="P1453" s="1">
        <v>639</v>
      </c>
      <c r="T1453" s="224"/>
      <c r="U1453" s="34" t="s">
        <v>25</v>
      </c>
      <c r="V1453" s="475"/>
      <c r="W1453" s="224"/>
      <c r="X1453" s="224"/>
    </row>
    <row r="1454" spans="1:24" x14ac:dyDescent="0.3">
      <c r="A1454" s="2651">
        <v>640</v>
      </c>
      <c r="B1454" s="1122" t="s">
        <v>1690</v>
      </c>
      <c r="C1454" s="216" t="s">
        <v>1344</v>
      </c>
      <c r="D1454" s="416" t="s">
        <v>947</v>
      </c>
      <c r="E1454" s="217" t="s">
        <v>1800</v>
      </c>
      <c r="F1454" s="218" t="s">
        <v>1692</v>
      </c>
      <c r="G1454" s="116">
        <v>5992</v>
      </c>
      <c r="H1454" s="1776" t="s">
        <v>1349</v>
      </c>
      <c r="J1454" s="224"/>
      <c r="K1454" s="34" t="s">
        <v>25</v>
      </c>
      <c r="L1454" s="475"/>
      <c r="M1454" s="224"/>
      <c r="N1454" s="224"/>
      <c r="O1454" s="2628" t="s">
        <v>6395</v>
      </c>
      <c r="P1454" s="1">
        <v>640</v>
      </c>
      <c r="T1454" s="224"/>
      <c r="U1454" s="34" t="s">
        <v>25</v>
      </c>
      <c r="V1454" s="475"/>
      <c r="W1454" s="224"/>
      <c r="X1454" s="224"/>
    </row>
    <row r="1455" spans="1:24" x14ac:dyDescent="0.3">
      <c r="A1455" s="2651">
        <v>641</v>
      </c>
      <c r="B1455" s="1122" t="s">
        <v>1690</v>
      </c>
      <c r="C1455" s="216" t="s">
        <v>1344</v>
      </c>
      <c r="D1455" s="416" t="s">
        <v>947</v>
      </c>
      <c r="E1455" s="217" t="s">
        <v>1801</v>
      </c>
      <c r="F1455" s="218" t="s">
        <v>1692</v>
      </c>
      <c r="G1455" s="116">
        <v>5992</v>
      </c>
      <c r="H1455" s="1776" t="s">
        <v>1349</v>
      </c>
      <c r="J1455" s="224"/>
      <c r="K1455" s="34" t="s">
        <v>25</v>
      </c>
      <c r="L1455" s="475"/>
      <c r="M1455" s="224"/>
      <c r="N1455" s="224"/>
      <c r="O1455" s="2628" t="s">
        <v>6395</v>
      </c>
      <c r="P1455" s="1">
        <v>641</v>
      </c>
      <c r="T1455" s="224"/>
      <c r="U1455" s="34" t="s">
        <v>25</v>
      </c>
      <c r="V1455" s="475"/>
      <c r="W1455" s="224"/>
      <c r="X1455" s="224"/>
    </row>
    <row r="1456" spans="1:24" x14ac:dyDescent="0.3">
      <c r="A1456" s="2652">
        <v>642</v>
      </c>
      <c r="B1456" s="1122" t="s">
        <v>1690</v>
      </c>
      <c r="C1456" s="216" t="s">
        <v>1344</v>
      </c>
      <c r="D1456" s="416" t="s">
        <v>947</v>
      </c>
      <c r="E1456" s="217" t="s">
        <v>1802</v>
      </c>
      <c r="F1456" s="218" t="s">
        <v>1692</v>
      </c>
      <c r="G1456" s="116">
        <v>5992</v>
      </c>
      <c r="H1456" s="1776" t="s">
        <v>1349</v>
      </c>
      <c r="J1456" s="224"/>
      <c r="K1456" s="34" t="s">
        <v>25</v>
      </c>
      <c r="L1456" s="475"/>
      <c r="M1456" s="224"/>
      <c r="N1456" s="224"/>
      <c r="O1456" s="2628" t="s">
        <v>6395</v>
      </c>
      <c r="P1456" s="1">
        <v>642</v>
      </c>
      <c r="T1456" s="224"/>
      <c r="U1456" s="34" t="s">
        <v>25</v>
      </c>
      <c r="V1456" s="475"/>
      <c r="W1456" s="224"/>
      <c r="X1456" s="224"/>
    </row>
    <row r="1457" spans="1:24" x14ac:dyDescent="0.3">
      <c r="A1457" s="2651">
        <v>643</v>
      </c>
      <c r="B1457" s="1122" t="s">
        <v>1690</v>
      </c>
      <c r="C1457" s="216" t="s">
        <v>1344</v>
      </c>
      <c r="D1457" s="416" t="s">
        <v>947</v>
      </c>
      <c r="E1457" s="217" t="s">
        <v>1803</v>
      </c>
      <c r="F1457" s="218" t="s">
        <v>1692</v>
      </c>
      <c r="G1457" s="116">
        <v>5992</v>
      </c>
      <c r="H1457" s="1776" t="s">
        <v>1349</v>
      </c>
      <c r="J1457" s="224"/>
      <c r="K1457" s="34" t="s">
        <v>25</v>
      </c>
      <c r="L1457" s="475"/>
      <c r="M1457" s="224"/>
      <c r="N1457" s="224"/>
      <c r="O1457" s="2628" t="s">
        <v>6395</v>
      </c>
      <c r="P1457" s="1">
        <v>643</v>
      </c>
      <c r="T1457" s="224"/>
      <c r="U1457" s="34" t="s">
        <v>25</v>
      </c>
      <c r="V1457" s="475"/>
      <c r="W1457" s="224"/>
      <c r="X1457" s="224"/>
    </row>
    <row r="1458" spans="1:24" x14ac:dyDescent="0.3">
      <c r="A1458" s="2651">
        <v>644</v>
      </c>
      <c r="B1458" s="1122" t="s">
        <v>1690</v>
      </c>
      <c r="C1458" s="216" t="s">
        <v>1344</v>
      </c>
      <c r="D1458" s="416" t="s">
        <v>947</v>
      </c>
      <c r="E1458" s="217" t="s">
        <v>1804</v>
      </c>
      <c r="F1458" s="218" t="s">
        <v>1692</v>
      </c>
      <c r="G1458" s="116">
        <v>5992</v>
      </c>
      <c r="H1458" s="1776" t="s">
        <v>1349</v>
      </c>
      <c r="J1458" s="224"/>
      <c r="K1458" s="34" t="s">
        <v>25</v>
      </c>
      <c r="L1458" s="475"/>
      <c r="M1458" s="224"/>
      <c r="N1458" s="224"/>
      <c r="O1458" s="2628" t="s">
        <v>6395</v>
      </c>
      <c r="P1458" s="1">
        <v>644</v>
      </c>
      <c r="T1458" s="224"/>
      <c r="U1458" s="34" t="s">
        <v>25</v>
      </c>
      <c r="V1458" s="475"/>
      <c r="W1458" s="224"/>
      <c r="X1458" s="224"/>
    </row>
    <row r="1459" spans="1:24" x14ac:dyDescent="0.3">
      <c r="A1459" s="2652">
        <v>645</v>
      </c>
      <c r="B1459" s="1122" t="s">
        <v>1690</v>
      </c>
      <c r="C1459" s="216" t="s">
        <v>1344</v>
      </c>
      <c r="D1459" s="416" t="s">
        <v>947</v>
      </c>
      <c r="E1459" s="217" t="s">
        <v>1805</v>
      </c>
      <c r="F1459" s="218" t="s">
        <v>1692</v>
      </c>
      <c r="G1459" s="116">
        <v>5992</v>
      </c>
      <c r="H1459" s="1776" t="s">
        <v>1349</v>
      </c>
      <c r="J1459" s="224"/>
      <c r="K1459" s="34" t="s">
        <v>25</v>
      </c>
      <c r="L1459" s="475"/>
      <c r="M1459" s="224"/>
      <c r="N1459" s="224"/>
      <c r="O1459" s="2628" t="s">
        <v>6395</v>
      </c>
      <c r="P1459" s="1">
        <v>645</v>
      </c>
      <c r="T1459" s="224"/>
      <c r="U1459" s="34" t="s">
        <v>25</v>
      </c>
      <c r="V1459" s="475"/>
      <c r="W1459" s="224"/>
      <c r="X1459" s="224"/>
    </row>
    <row r="1460" spans="1:24" x14ac:dyDescent="0.3">
      <c r="A1460" s="2651">
        <v>646</v>
      </c>
      <c r="B1460" s="1122" t="s">
        <v>1690</v>
      </c>
      <c r="C1460" s="216" t="s">
        <v>1344</v>
      </c>
      <c r="D1460" s="416" t="s">
        <v>947</v>
      </c>
      <c r="E1460" s="217" t="s">
        <v>1806</v>
      </c>
      <c r="F1460" s="218" t="s">
        <v>1692</v>
      </c>
      <c r="G1460" s="116">
        <v>5992</v>
      </c>
      <c r="H1460" s="1776" t="s">
        <v>1349</v>
      </c>
      <c r="J1460" s="224"/>
      <c r="K1460" s="34" t="s">
        <v>25</v>
      </c>
      <c r="L1460" s="475"/>
      <c r="M1460" s="224"/>
      <c r="N1460" s="224"/>
      <c r="O1460" s="2628" t="s">
        <v>6395</v>
      </c>
      <c r="P1460" s="1">
        <v>646</v>
      </c>
      <c r="T1460" s="224"/>
      <c r="U1460" s="34" t="s">
        <v>25</v>
      </c>
      <c r="V1460" s="475"/>
      <c r="W1460" s="224"/>
      <c r="X1460" s="224"/>
    </row>
    <row r="1461" spans="1:24" x14ac:dyDescent="0.3">
      <c r="A1461" s="2651">
        <v>647</v>
      </c>
      <c r="B1461" s="1122" t="s">
        <v>1690</v>
      </c>
      <c r="C1461" s="216" t="s">
        <v>1344</v>
      </c>
      <c r="D1461" s="416" t="s">
        <v>947</v>
      </c>
      <c r="E1461" s="217" t="s">
        <v>1807</v>
      </c>
      <c r="F1461" s="218" t="s">
        <v>1692</v>
      </c>
      <c r="G1461" s="116">
        <v>5992</v>
      </c>
      <c r="H1461" s="1776" t="s">
        <v>1349</v>
      </c>
      <c r="J1461" s="224"/>
      <c r="K1461" s="34" t="s">
        <v>25</v>
      </c>
      <c r="L1461" s="475"/>
      <c r="M1461" s="224"/>
      <c r="N1461" s="224"/>
      <c r="O1461" s="2628" t="s">
        <v>6395</v>
      </c>
      <c r="P1461" s="1">
        <v>647</v>
      </c>
      <c r="T1461" s="224"/>
      <c r="U1461" s="34" t="s">
        <v>25</v>
      </c>
      <c r="V1461" s="475"/>
      <c r="W1461" s="224"/>
      <c r="X1461" s="224"/>
    </row>
    <row r="1462" spans="1:24" x14ac:dyDescent="0.3">
      <c r="A1462" s="2652">
        <v>648</v>
      </c>
      <c r="B1462" s="1122" t="s">
        <v>1690</v>
      </c>
      <c r="C1462" s="216" t="s">
        <v>1344</v>
      </c>
      <c r="D1462" s="416" t="s">
        <v>947</v>
      </c>
      <c r="E1462" s="217" t="s">
        <v>1808</v>
      </c>
      <c r="F1462" s="218" t="s">
        <v>1692</v>
      </c>
      <c r="G1462" s="116">
        <v>5992</v>
      </c>
      <c r="H1462" s="1776" t="s">
        <v>1349</v>
      </c>
      <c r="J1462" s="224"/>
      <c r="K1462" s="34" t="s">
        <v>25</v>
      </c>
      <c r="L1462" s="475"/>
      <c r="M1462" s="224"/>
      <c r="N1462" s="224"/>
      <c r="O1462" s="2628" t="s">
        <v>6395</v>
      </c>
      <c r="P1462" s="1">
        <v>648</v>
      </c>
      <c r="T1462" s="224"/>
      <c r="U1462" s="34" t="s">
        <v>25</v>
      </c>
      <c r="V1462" s="475"/>
      <c r="W1462" s="224"/>
      <c r="X1462" s="224"/>
    </row>
    <row r="1463" spans="1:24" x14ac:dyDescent="0.3">
      <c r="A1463" s="2651">
        <v>649</v>
      </c>
      <c r="B1463" s="1122" t="s">
        <v>1690</v>
      </c>
      <c r="C1463" s="216" t="s">
        <v>1344</v>
      </c>
      <c r="D1463" s="416" t="s">
        <v>947</v>
      </c>
      <c r="E1463" s="217" t="s">
        <v>1809</v>
      </c>
      <c r="F1463" s="218" t="s">
        <v>1692</v>
      </c>
      <c r="G1463" s="116">
        <v>5992</v>
      </c>
      <c r="H1463" s="1776" t="s">
        <v>1349</v>
      </c>
      <c r="J1463" s="224"/>
      <c r="K1463" s="34" t="s">
        <v>25</v>
      </c>
      <c r="L1463" s="475"/>
      <c r="M1463" s="224"/>
      <c r="N1463" s="224"/>
      <c r="O1463" s="2628" t="s">
        <v>6395</v>
      </c>
      <c r="P1463" s="1">
        <v>649</v>
      </c>
      <c r="T1463" s="224"/>
      <c r="U1463" s="34" t="s">
        <v>25</v>
      </c>
      <c r="V1463" s="475"/>
      <c r="W1463" s="224"/>
      <c r="X1463" s="224"/>
    </row>
    <row r="1464" spans="1:24" x14ac:dyDescent="0.3">
      <c r="A1464" s="2651">
        <v>650</v>
      </c>
      <c r="B1464" s="1122" t="s">
        <v>1690</v>
      </c>
      <c r="C1464" s="216" t="s">
        <v>1344</v>
      </c>
      <c r="D1464" s="452" t="s">
        <v>947</v>
      </c>
      <c r="E1464" s="217" t="s">
        <v>1810</v>
      </c>
      <c r="F1464" s="218" t="s">
        <v>1692</v>
      </c>
      <c r="G1464" s="116">
        <v>5992</v>
      </c>
      <c r="H1464" s="1776" t="s">
        <v>1349</v>
      </c>
      <c r="J1464" s="224"/>
      <c r="K1464" s="34" t="s">
        <v>25</v>
      </c>
      <c r="L1464" s="475"/>
      <c r="M1464" s="224"/>
      <c r="N1464" s="224"/>
      <c r="O1464" s="2628" t="s">
        <v>6395</v>
      </c>
      <c r="P1464" s="1">
        <v>650</v>
      </c>
      <c r="T1464" s="224"/>
      <c r="U1464" s="34" t="s">
        <v>25</v>
      </c>
      <c r="V1464" s="475"/>
      <c r="W1464" s="224"/>
      <c r="X1464" s="224"/>
    </row>
    <row r="1465" spans="1:24" x14ac:dyDescent="0.3">
      <c r="A1465" s="2652">
        <v>651</v>
      </c>
      <c r="B1465" s="1122" t="s">
        <v>1690</v>
      </c>
      <c r="C1465" s="216" t="s">
        <v>1344</v>
      </c>
      <c r="D1465" s="495" t="s">
        <v>947</v>
      </c>
      <c r="E1465" s="217" t="s">
        <v>1811</v>
      </c>
      <c r="F1465" s="218" t="s">
        <v>1692</v>
      </c>
      <c r="G1465" s="116">
        <v>5992</v>
      </c>
      <c r="H1465" s="1776" t="s">
        <v>1349</v>
      </c>
      <c r="J1465" s="224"/>
      <c r="K1465" s="34" t="s">
        <v>25</v>
      </c>
      <c r="L1465" s="475"/>
      <c r="M1465" s="224"/>
      <c r="N1465" s="224"/>
      <c r="O1465" s="2628" t="s">
        <v>6395</v>
      </c>
      <c r="P1465" s="1">
        <v>651</v>
      </c>
      <c r="T1465" s="224"/>
      <c r="U1465" s="34" t="s">
        <v>25</v>
      </c>
      <c r="V1465" s="475"/>
      <c r="W1465" s="224"/>
      <c r="X1465" s="224"/>
    </row>
    <row r="1466" spans="1:24" x14ac:dyDescent="0.3">
      <c r="A1466" s="2651">
        <v>652</v>
      </c>
      <c r="B1466" s="1122" t="s">
        <v>1690</v>
      </c>
      <c r="C1466" s="216" t="s">
        <v>1344</v>
      </c>
      <c r="D1466" s="793" t="s">
        <v>947</v>
      </c>
      <c r="E1466" s="217" t="s">
        <v>1812</v>
      </c>
      <c r="F1466" s="218" t="s">
        <v>1692</v>
      </c>
      <c r="G1466" s="116">
        <v>5992</v>
      </c>
      <c r="H1466" s="1776" t="s">
        <v>1349</v>
      </c>
      <c r="J1466" s="224"/>
      <c r="K1466" s="34" t="s">
        <v>25</v>
      </c>
      <c r="L1466" s="475"/>
      <c r="M1466" s="224"/>
      <c r="N1466" s="224"/>
      <c r="O1466" s="2628" t="s">
        <v>6395</v>
      </c>
      <c r="P1466" s="1">
        <v>652</v>
      </c>
      <c r="T1466" s="224"/>
      <c r="U1466" s="34" t="s">
        <v>25</v>
      </c>
      <c r="V1466" s="475"/>
      <c r="W1466" s="224"/>
      <c r="X1466" s="224"/>
    </row>
    <row r="1467" spans="1:24" x14ac:dyDescent="0.3">
      <c r="A1467" s="2651">
        <v>653</v>
      </c>
      <c r="B1467" s="1122" t="s">
        <v>1690</v>
      </c>
      <c r="C1467" s="216" t="s">
        <v>1344</v>
      </c>
      <c r="D1467" s="416" t="s">
        <v>947</v>
      </c>
      <c r="E1467" s="217" t="s">
        <v>1813</v>
      </c>
      <c r="F1467" s="218" t="s">
        <v>1692</v>
      </c>
      <c r="G1467" s="116">
        <v>5992</v>
      </c>
      <c r="H1467" s="1776" t="s">
        <v>1349</v>
      </c>
      <c r="J1467" s="224"/>
      <c r="K1467" s="34" t="s">
        <v>25</v>
      </c>
      <c r="L1467" s="475"/>
      <c r="M1467" s="224"/>
      <c r="N1467" s="224"/>
      <c r="O1467" s="2628" t="s">
        <v>6395</v>
      </c>
      <c r="P1467" s="1">
        <v>653</v>
      </c>
      <c r="T1467" s="224"/>
      <c r="U1467" s="34" t="s">
        <v>25</v>
      </c>
      <c r="V1467" s="475"/>
      <c r="W1467" s="224"/>
      <c r="X1467" s="224"/>
    </row>
    <row r="1468" spans="1:24" x14ac:dyDescent="0.3">
      <c r="A1468" s="2652">
        <v>654</v>
      </c>
      <c r="B1468" s="1122" t="s">
        <v>1690</v>
      </c>
      <c r="C1468" s="216" t="s">
        <v>1344</v>
      </c>
      <c r="D1468" s="416" t="s">
        <v>947</v>
      </c>
      <c r="E1468" s="217" t="s">
        <v>1814</v>
      </c>
      <c r="F1468" s="218" t="s">
        <v>1692</v>
      </c>
      <c r="G1468" s="116">
        <v>5992</v>
      </c>
      <c r="H1468" s="1776" t="s">
        <v>1349</v>
      </c>
      <c r="J1468" s="224"/>
      <c r="K1468" s="34" t="s">
        <v>25</v>
      </c>
      <c r="L1468" s="475"/>
      <c r="M1468" s="224"/>
      <c r="N1468" s="224"/>
      <c r="O1468" s="2628" t="s">
        <v>6395</v>
      </c>
      <c r="P1468" s="1">
        <v>654</v>
      </c>
      <c r="T1468" s="224"/>
      <c r="U1468" s="34" t="s">
        <v>25</v>
      </c>
      <c r="V1468" s="475"/>
      <c r="W1468" s="224"/>
      <c r="X1468" s="224"/>
    </row>
    <row r="1469" spans="1:24" x14ac:dyDescent="0.3">
      <c r="A1469" s="2651">
        <v>655</v>
      </c>
      <c r="B1469" s="1122" t="s">
        <v>1690</v>
      </c>
      <c r="C1469" s="216" t="s">
        <v>1344</v>
      </c>
      <c r="D1469" s="416" t="s">
        <v>947</v>
      </c>
      <c r="E1469" s="217" t="s">
        <v>1815</v>
      </c>
      <c r="F1469" s="218" t="s">
        <v>1692</v>
      </c>
      <c r="G1469" s="116">
        <v>5992</v>
      </c>
      <c r="H1469" s="1776" t="s">
        <v>1349</v>
      </c>
      <c r="J1469" s="224"/>
      <c r="K1469" s="34" t="s">
        <v>25</v>
      </c>
      <c r="L1469" s="475"/>
      <c r="M1469" s="224"/>
      <c r="N1469" s="224"/>
      <c r="O1469" s="2628" t="s">
        <v>6395</v>
      </c>
      <c r="P1469" s="1">
        <v>655</v>
      </c>
      <c r="T1469" s="224"/>
      <c r="U1469" s="34" t="s">
        <v>25</v>
      </c>
      <c r="V1469" s="475"/>
      <c r="W1469" s="224"/>
      <c r="X1469" s="224"/>
    </row>
    <row r="1470" spans="1:24" x14ac:dyDescent="0.3">
      <c r="A1470" s="2651">
        <v>656</v>
      </c>
      <c r="B1470" s="1122" t="s">
        <v>1690</v>
      </c>
      <c r="C1470" s="216" t="s">
        <v>1344</v>
      </c>
      <c r="D1470" s="416" t="s">
        <v>947</v>
      </c>
      <c r="E1470" s="217" t="s">
        <v>1816</v>
      </c>
      <c r="F1470" s="218" t="s">
        <v>1692</v>
      </c>
      <c r="G1470" s="116">
        <v>5992</v>
      </c>
      <c r="H1470" s="1776" t="s">
        <v>1349</v>
      </c>
      <c r="J1470" s="224"/>
      <c r="K1470" s="34" t="s">
        <v>25</v>
      </c>
      <c r="L1470" s="475"/>
      <c r="M1470" s="224"/>
      <c r="N1470" s="224"/>
      <c r="O1470" s="2628" t="s">
        <v>6395</v>
      </c>
      <c r="P1470" s="1">
        <v>656</v>
      </c>
      <c r="T1470" s="224"/>
      <c r="U1470" s="34" t="s">
        <v>25</v>
      </c>
      <c r="V1470" s="475"/>
      <c r="W1470" s="224"/>
      <c r="X1470" s="224"/>
    </row>
    <row r="1471" spans="1:24" x14ac:dyDescent="0.3">
      <c r="A1471" s="2652">
        <v>657</v>
      </c>
      <c r="B1471" s="1122" t="s">
        <v>1690</v>
      </c>
      <c r="C1471" s="216" t="s">
        <v>1344</v>
      </c>
      <c r="D1471" s="416" t="s">
        <v>947</v>
      </c>
      <c r="E1471" s="217" t="s">
        <v>1817</v>
      </c>
      <c r="F1471" s="218" t="s">
        <v>1692</v>
      </c>
      <c r="G1471" s="116">
        <v>5992</v>
      </c>
      <c r="H1471" s="1776" t="s">
        <v>1349</v>
      </c>
      <c r="J1471" s="224"/>
      <c r="K1471" s="34" t="s">
        <v>25</v>
      </c>
      <c r="L1471" s="475"/>
      <c r="M1471" s="224"/>
      <c r="N1471" s="224"/>
      <c r="O1471" s="2628" t="s">
        <v>6395</v>
      </c>
      <c r="P1471" s="1">
        <v>657</v>
      </c>
      <c r="T1471" s="224"/>
      <c r="U1471" s="34" t="s">
        <v>25</v>
      </c>
      <c r="V1471" s="475"/>
      <c r="W1471" s="224"/>
      <c r="X1471" s="224"/>
    </row>
    <row r="1472" spans="1:24" x14ac:dyDescent="0.3">
      <c r="A1472" s="2651">
        <v>658</v>
      </c>
      <c r="B1472" s="1122" t="s">
        <v>1818</v>
      </c>
      <c r="C1472" s="216" t="s">
        <v>1344</v>
      </c>
      <c r="D1472" s="416" t="s">
        <v>954</v>
      </c>
      <c r="E1472" s="217" t="s">
        <v>1819</v>
      </c>
      <c r="F1472" s="218" t="s">
        <v>1820</v>
      </c>
      <c r="G1472" s="116">
        <v>7276</v>
      </c>
      <c r="H1472" s="1776" t="s">
        <v>1349</v>
      </c>
      <c r="J1472" s="224"/>
      <c r="K1472" s="34" t="s">
        <v>25</v>
      </c>
      <c r="L1472" s="475"/>
      <c r="M1472" s="224"/>
      <c r="N1472" s="224"/>
      <c r="O1472" s="2628" t="s">
        <v>6395</v>
      </c>
      <c r="P1472" s="1">
        <v>658</v>
      </c>
      <c r="T1472" s="224"/>
      <c r="U1472" s="34" t="s">
        <v>25</v>
      </c>
      <c r="V1472" s="475"/>
      <c r="W1472" s="224"/>
      <c r="X1472" s="224"/>
    </row>
    <row r="1473" spans="1:24" x14ac:dyDescent="0.3">
      <c r="A1473" s="2651">
        <v>659</v>
      </c>
      <c r="B1473" s="1122" t="s">
        <v>1818</v>
      </c>
      <c r="C1473" s="216" t="s">
        <v>1344</v>
      </c>
      <c r="D1473" s="416" t="s">
        <v>954</v>
      </c>
      <c r="E1473" s="217" t="s">
        <v>1821</v>
      </c>
      <c r="F1473" s="218" t="s">
        <v>1820</v>
      </c>
      <c r="G1473" s="116">
        <v>7276</v>
      </c>
      <c r="H1473" s="1776" t="s">
        <v>1349</v>
      </c>
      <c r="J1473" s="224"/>
      <c r="K1473" s="34" t="s">
        <v>25</v>
      </c>
      <c r="L1473" s="475"/>
      <c r="M1473" s="224"/>
      <c r="N1473" s="224"/>
      <c r="O1473" s="2628" t="s">
        <v>6395</v>
      </c>
      <c r="P1473" s="1">
        <v>659</v>
      </c>
      <c r="T1473" s="224"/>
      <c r="U1473" s="34" t="s">
        <v>25</v>
      </c>
      <c r="V1473" s="475"/>
      <c r="W1473" s="224"/>
      <c r="X1473" s="224"/>
    </row>
    <row r="1474" spans="1:24" x14ac:dyDescent="0.3">
      <c r="A1474" s="2652">
        <v>660</v>
      </c>
      <c r="B1474" s="1122" t="s">
        <v>1818</v>
      </c>
      <c r="C1474" s="216" t="s">
        <v>1344</v>
      </c>
      <c r="D1474" s="416" t="s">
        <v>954</v>
      </c>
      <c r="E1474" s="217" t="s">
        <v>1822</v>
      </c>
      <c r="F1474" s="218" t="s">
        <v>1820</v>
      </c>
      <c r="G1474" s="116">
        <v>7276</v>
      </c>
      <c r="H1474" s="1776" t="s">
        <v>1349</v>
      </c>
      <c r="J1474" s="224"/>
      <c r="K1474" s="34" t="s">
        <v>25</v>
      </c>
      <c r="L1474" s="475"/>
      <c r="M1474" s="224"/>
      <c r="N1474" s="224"/>
      <c r="O1474" s="2628" t="s">
        <v>6395</v>
      </c>
      <c r="P1474" s="1">
        <v>660</v>
      </c>
      <c r="T1474" s="224"/>
      <c r="U1474" s="34" t="s">
        <v>25</v>
      </c>
      <c r="V1474" s="475"/>
      <c r="W1474" s="224"/>
      <c r="X1474" s="224"/>
    </row>
    <row r="1475" spans="1:24" x14ac:dyDescent="0.3">
      <c r="A1475" s="2651">
        <v>661</v>
      </c>
      <c r="B1475" s="1122" t="s">
        <v>1818</v>
      </c>
      <c r="C1475" s="216" t="s">
        <v>1344</v>
      </c>
      <c r="D1475" s="416" t="s">
        <v>954</v>
      </c>
      <c r="E1475" s="217" t="s">
        <v>1823</v>
      </c>
      <c r="F1475" s="218" t="s">
        <v>1820</v>
      </c>
      <c r="G1475" s="116">
        <v>7276</v>
      </c>
      <c r="H1475" s="1776" t="s">
        <v>1349</v>
      </c>
      <c r="J1475" s="224"/>
      <c r="K1475" s="34" t="s">
        <v>25</v>
      </c>
      <c r="L1475" s="475"/>
      <c r="M1475" s="224"/>
      <c r="N1475" s="224"/>
      <c r="O1475" s="2628" t="s">
        <v>6395</v>
      </c>
      <c r="P1475" s="1">
        <v>661</v>
      </c>
      <c r="T1475" s="224"/>
      <c r="U1475" s="34" t="s">
        <v>25</v>
      </c>
      <c r="V1475" s="475"/>
      <c r="W1475" s="224"/>
      <c r="X1475" s="224"/>
    </row>
    <row r="1476" spans="1:24" x14ac:dyDescent="0.3">
      <c r="A1476" s="2651">
        <v>662</v>
      </c>
      <c r="B1476" s="1122" t="s">
        <v>1818</v>
      </c>
      <c r="C1476" s="216" t="s">
        <v>1344</v>
      </c>
      <c r="D1476" s="416" t="s">
        <v>954</v>
      </c>
      <c r="E1476" s="217" t="s">
        <v>1824</v>
      </c>
      <c r="F1476" s="218" t="s">
        <v>1820</v>
      </c>
      <c r="G1476" s="116">
        <v>7276</v>
      </c>
      <c r="H1476" s="1776" t="s">
        <v>1349</v>
      </c>
      <c r="J1476" s="224"/>
      <c r="K1476" s="34" t="s">
        <v>25</v>
      </c>
      <c r="L1476" s="475"/>
      <c r="M1476" s="224"/>
      <c r="N1476" s="224"/>
      <c r="O1476" s="2628" t="s">
        <v>6395</v>
      </c>
      <c r="P1476" s="1">
        <v>662</v>
      </c>
      <c r="T1476" s="224"/>
      <c r="U1476" s="34" t="s">
        <v>25</v>
      </c>
      <c r="V1476" s="475"/>
      <c r="W1476" s="224"/>
      <c r="X1476" s="224"/>
    </row>
    <row r="1477" spans="1:24" x14ac:dyDescent="0.3">
      <c r="A1477" s="2652">
        <v>663</v>
      </c>
      <c r="B1477" s="1122" t="s">
        <v>1818</v>
      </c>
      <c r="C1477" s="216" t="s">
        <v>1344</v>
      </c>
      <c r="D1477" s="416" t="s">
        <v>954</v>
      </c>
      <c r="E1477" s="217" t="s">
        <v>1825</v>
      </c>
      <c r="F1477" s="218" t="s">
        <v>1820</v>
      </c>
      <c r="G1477" s="116">
        <v>7276</v>
      </c>
      <c r="H1477" s="1776" t="s">
        <v>1349</v>
      </c>
      <c r="J1477" s="224"/>
      <c r="K1477" s="34" t="s">
        <v>25</v>
      </c>
      <c r="L1477" s="475"/>
      <c r="M1477" s="224"/>
      <c r="N1477" s="224"/>
      <c r="O1477" s="2628" t="s">
        <v>6395</v>
      </c>
      <c r="P1477" s="1">
        <v>663</v>
      </c>
      <c r="T1477" s="224"/>
      <c r="U1477" s="34" t="s">
        <v>25</v>
      </c>
      <c r="V1477" s="475"/>
      <c r="W1477" s="224"/>
      <c r="X1477" s="224"/>
    </row>
    <row r="1478" spans="1:24" x14ac:dyDescent="0.3">
      <c r="A1478" s="2651">
        <v>664</v>
      </c>
      <c r="B1478" s="1122" t="s">
        <v>1818</v>
      </c>
      <c r="C1478" s="216" t="s">
        <v>1344</v>
      </c>
      <c r="D1478" s="452" t="s">
        <v>954</v>
      </c>
      <c r="E1478" s="217" t="s">
        <v>1826</v>
      </c>
      <c r="F1478" s="218" t="s">
        <v>1820</v>
      </c>
      <c r="G1478" s="116">
        <v>7276</v>
      </c>
      <c r="H1478" s="1776" t="s">
        <v>1349</v>
      </c>
      <c r="J1478" s="224"/>
      <c r="K1478" s="34" t="s">
        <v>25</v>
      </c>
      <c r="L1478" s="475"/>
      <c r="M1478" s="224"/>
      <c r="N1478" s="224"/>
      <c r="O1478" s="2628" t="s">
        <v>6395</v>
      </c>
      <c r="P1478" s="1">
        <v>664</v>
      </c>
      <c r="T1478" s="224"/>
      <c r="U1478" s="34" t="s">
        <v>25</v>
      </c>
      <c r="V1478" s="475"/>
      <c r="W1478" s="224"/>
      <c r="X1478" s="224"/>
    </row>
    <row r="1479" spans="1:24" x14ac:dyDescent="0.3">
      <c r="A1479" s="2651">
        <v>665</v>
      </c>
      <c r="B1479" s="1122" t="s">
        <v>1818</v>
      </c>
      <c r="C1479" s="216" t="s">
        <v>1344</v>
      </c>
      <c r="D1479" s="793" t="s">
        <v>954</v>
      </c>
      <c r="E1479" s="217" t="s">
        <v>1827</v>
      </c>
      <c r="F1479" s="218" t="s">
        <v>1820</v>
      </c>
      <c r="G1479" s="116">
        <v>7276</v>
      </c>
      <c r="H1479" s="1776" t="s">
        <v>1349</v>
      </c>
      <c r="J1479" s="224"/>
      <c r="K1479" s="34" t="s">
        <v>25</v>
      </c>
      <c r="L1479" s="475"/>
      <c r="M1479" s="224"/>
      <c r="N1479" s="224"/>
      <c r="O1479" s="2628" t="s">
        <v>6395</v>
      </c>
      <c r="P1479" s="1">
        <v>665</v>
      </c>
      <c r="T1479" s="224"/>
      <c r="U1479" s="34" t="s">
        <v>25</v>
      </c>
      <c r="V1479" s="475"/>
      <c r="W1479" s="224"/>
      <c r="X1479" s="224"/>
    </row>
    <row r="1480" spans="1:24" x14ac:dyDescent="0.3">
      <c r="A1480" s="2652">
        <v>666</v>
      </c>
      <c r="B1480" s="1122" t="s">
        <v>1818</v>
      </c>
      <c r="C1480" s="216" t="s">
        <v>1344</v>
      </c>
      <c r="D1480" s="452" t="s">
        <v>954</v>
      </c>
      <c r="E1480" s="217" t="s">
        <v>1828</v>
      </c>
      <c r="F1480" s="218" t="s">
        <v>1820</v>
      </c>
      <c r="G1480" s="116">
        <v>7276</v>
      </c>
      <c r="H1480" s="1776" t="s">
        <v>1349</v>
      </c>
      <c r="J1480" s="224"/>
      <c r="K1480" s="34" t="s">
        <v>25</v>
      </c>
      <c r="L1480" s="475"/>
      <c r="M1480" s="224"/>
      <c r="N1480" s="224"/>
      <c r="O1480" s="2628" t="s">
        <v>6395</v>
      </c>
      <c r="P1480" s="1">
        <v>666</v>
      </c>
      <c r="T1480" s="224"/>
      <c r="U1480" s="34" t="s">
        <v>25</v>
      </c>
      <c r="V1480" s="475"/>
      <c r="W1480" s="224"/>
      <c r="X1480" s="224"/>
    </row>
    <row r="1481" spans="1:24" x14ac:dyDescent="0.3">
      <c r="A1481" s="2651">
        <v>667</v>
      </c>
      <c r="B1481" s="1122" t="s">
        <v>1818</v>
      </c>
      <c r="C1481" s="216" t="s">
        <v>1344</v>
      </c>
      <c r="D1481" s="793" t="s">
        <v>954</v>
      </c>
      <c r="E1481" s="217" t="s">
        <v>1829</v>
      </c>
      <c r="F1481" s="218" t="s">
        <v>1820</v>
      </c>
      <c r="G1481" s="116">
        <v>7276</v>
      </c>
      <c r="H1481" s="1776" t="s">
        <v>1349</v>
      </c>
      <c r="J1481" s="224"/>
      <c r="K1481" s="34" t="s">
        <v>25</v>
      </c>
      <c r="L1481" s="475"/>
      <c r="M1481" s="224"/>
      <c r="N1481" s="224"/>
      <c r="O1481" s="2628" t="s">
        <v>6395</v>
      </c>
      <c r="P1481" s="1">
        <v>667</v>
      </c>
      <c r="T1481" s="224"/>
      <c r="U1481" s="34" t="s">
        <v>25</v>
      </c>
      <c r="V1481" s="475"/>
      <c r="W1481" s="224"/>
      <c r="X1481" s="224"/>
    </row>
    <row r="1482" spans="1:24" x14ac:dyDescent="0.3">
      <c r="A1482" s="2651">
        <v>668</v>
      </c>
      <c r="B1482" s="1122" t="s">
        <v>1818</v>
      </c>
      <c r="C1482" s="216" t="s">
        <v>1344</v>
      </c>
      <c r="D1482" s="416" t="s">
        <v>954</v>
      </c>
      <c r="E1482" s="217" t="s">
        <v>1830</v>
      </c>
      <c r="F1482" s="218" t="s">
        <v>1820</v>
      </c>
      <c r="G1482" s="116">
        <v>7276</v>
      </c>
      <c r="H1482" s="1776" t="s">
        <v>1349</v>
      </c>
      <c r="J1482" s="224"/>
      <c r="K1482" s="34" t="s">
        <v>25</v>
      </c>
      <c r="L1482" s="475"/>
      <c r="M1482" s="224"/>
      <c r="N1482" s="224"/>
      <c r="O1482" s="2628" t="s">
        <v>6395</v>
      </c>
      <c r="P1482" s="1">
        <v>668</v>
      </c>
      <c r="T1482" s="224"/>
      <c r="U1482" s="34" t="s">
        <v>25</v>
      </c>
      <c r="V1482" s="475"/>
      <c r="W1482" s="224"/>
      <c r="X1482" s="224"/>
    </row>
    <row r="1483" spans="1:24" x14ac:dyDescent="0.3">
      <c r="A1483" s="2652">
        <v>669</v>
      </c>
      <c r="B1483" s="1122" t="s">
        <v>1818</v>
      </c>
      <c r="C1483" s="216" t="s">
        <v>1344</v>
      </c>
      <c r="D1483" s="416" t="s">
        <v>954</v>
      </c>
      <c r="E1483" s="217" t="s">
        <v>1831</v>
      </c>
      <c r="F1483" s="218" t="s">
        <v>1820</v>
      </c>
      <c r="G1483" s="116">
        <v>7276</v>
      </c>
      <c r="H1483" s="1776" t="s">
        <v>1349</v>
      </c>
      <c r="J1483" s="224"/>
      <c r="K1483" s="34" t="s">
        <v>25</v>
      </c>
      <c r="L1483" s="475"/>
      <c r="M1483" s="224"/>
      <c r="N1483" s="224"/>
      <c r="O1483" s="2628" t="s">
        <v>6395</v>
      </c>
      <c r="P1483" s="1">
        <v>669</v>
      </c>
      <c r="T1483" s="224"/>
      <c r="U1483" s="34" t="s">
        <v>25</v>
      </c>
      <c r="V1483" s="475"/>
      <c r="W1483" s="224"/>
      <c r="X1483" s="224"/>
    </row>
    <row r="1484" spans="1:24" x14ac:dyDescent="0.3">
      <c r="A1484" s="2651">
        <v>670</v>
      </c>
      <c r="B1484" s="1122" t="s">
        <v>1818</v>
      </c>
      <c r="C1484" s="216" t="s">
        <v>1344</v>
      </c>
      <c r="D1484" s="416" t="s">
        <v>954</v>
      </c>
      <c r="E1484" s="217" t="s">
        <v>1832</v>
      </c>
      <c r="F1484" s="218" t="s">
        <v>1820</v>
      </c>
      <c r="G1484" s="116">
        <v>7276</v>
      </c>
      <c r="H1484" s="1776" t="s">
        <v>1349</v>
      </c>
      <c r="J1484" s="224"/>
      <c r="K1484" s="34" t="s">
        <v>25</v>
      </c>
      <c r="L1484" s="475"/>
      <c r="M1484" s="224"/>
      <c r="N1484" s="224"/>
      <c r="O1484" s="2628" t="s">
        <v>6395</v>
      </c>
      <c r="P1484" s="1">
        <v>670</v>
      </c>
      <c r="T1484" s="224"/>
      <c r="U1484" s="34" t="s">
        <v>25</v>
      </c>
      <c r="V1484" s="475"/>
      <c r="W1484" s="224"/>
      <c r="X1484" s="224"/>
    </row>
    <row r="1485" spans="1:24" x14ac:dyDescent="0.3">
      <c r="A1485" s="2651">
        <v>671</v>
      </c>
      <c r="B1485" s="1122" t="s">
        <v>1818</v>
      </c>
      <c r="C1485" s="216" t="s">
        <v>1344</v>
      </c>
      <c r="D1485" s="416" t="s">
        <v>954</v>
      </c>
      <c r="E1485" s="217" t="s">
        <v>1833</v>
      </c>
      <c r="F1485" s="218" t="s">
        <v>1820</v>
      </c>
      <c r="G1485" s="116">
        <v>7276</v>
      </c>
      <c r="H1485" s="1776" t="s">
        <v>1349</v>
      </c>
      <c r="J1485" s="224"/>
      <c r="K1485" s="34" t="s">
        <v>25</v>
      </c>
      <c r="L1485" s="475"/>
      <c r="M1485" s="224"/>
      <c r="N1485" s="224"/>
      <c r="O1485" s="2628" t="s">
        <v>6395</v>
      </c>
      <c r="P1485" s="1">
        <v>671</v>
      </c>
      <c r="T1485" s="224"/>
      <c r="U1485" s="34" t="s">
        <v>25</v>
      </c>
      <c r="V1485" s="475"/>
      <c r="W1485" s="224"/>
      <c r="X1485" s="224"/>
    </row>
    <row r="1486" spans="1:24" x14ac:dyDescent="0.3">
      <c r="A1486" s="2652">
        <v>672</v>
      </c>
      <c r="B1486" s="1122" t="s">
        <v>1818</v>
      </c>
      <c r="C1486" s="216" t="s">
        <v>1344</v>
      </c>
      <c r="D1486" s="416" t="s">
        <v>954</v>
      </c>
      <c r="E1486" s="217" t="s">
        <v>1834</v>
      </c>
      <c r="F1486" s="218" t="s">
        <v>1820</v>
      </c>
      <c r="G1486" s="116">
        <v>7276</v>
      </c>
      <c r="H1486" s="1776" t="s">
        <v>1349</v>
      </c>
      <c r="J1486" s="224"/>
      <c r="K1486" s="34" t="s">
        <v>25</v>
      </c>
      <c r="L1486" s="475"/>
      <c r="M1486" s="224"/>
      <c r="N1486" s="224"/>
      <c r="O1486" s="2628" t="s">
        <v>6395</v>
      </c>
      <c r="P1486" s="1">
        <v>672</v>
      </c>
      <c r="T1486" s="224"/>
      <c r="U1486" s="34" t="s">
        <v>25</v>
      </c>
      <c r="V1486" s="475"/>
      <c r="W1486" s="224"/>
      <c r="X1486" s="224"/>
    </row>
    <row r="1487" spans="1:24" x14ac:dyDescent="0.3">
      <c r="A1487" s="2651">
        <v>673</v>
      </c>
      <c r="B1487" s="1122" t="s">
        <v>1818</v>
      </c>
      <c r="C1487" s="216" t="s">
        <v>1344</v>
      </c>
      <c r="D1487" s="416" t="s">
        <v>954</v>
      </c>
      <c r="E1487" s="217" t="s">
        <v>1835</v>
      </c>
      <c r="F1487" s="218" t="s">
        <v>1820</v>
      </c>
      <c r="G1487" s="116">
        <v>7276</v>
      </c>
      <c r="H1487" s="1776" t="s">
        <v>1349</v>
      </c>
      <c r="J1487" s="224"/>
      <c r="K1487" s="34" t="s">
        <v>25</v>
      </c>
      <c r="L1487" s="475"/>
      <c r="M1487" s="224"/>
      <c r="N1487" s="224"/>
      <c r="O1487" s="2628" t="s">
        <v>6395</v>
      </c>
      <c r="P1487" s="1">
        <v>673</v>
      </c>
      <c r="T1487" s="224"/>
      <c r="U1487" s="34" t="s">
        <v>25</v>
      </c>
      <c r="V1487" s="475"/>
      <c r="W1487" s="224"/>
      <c r="X1487" s="224"/>
    </row>
    <row r="1488" spans="1:24" x14ac:dyDescent="0.3">
      <c r="A1488" s="2651">
        <v>674</v>
      </c>
      <c r="B1488" s="1122" t="s">
        <v>1818</v>
      </c>
      <c r="C1488" s="216" t="s">
        <v>1344</v>
      </c>
      <c r="D1488" s="416" t="s">
        <v>954</v>
      </c>
      <c r="E1488" s="217" t="s">
        <v>1836</v>
      </c>
      <c r="F1488" s="218" t="s">
        <v>1820</v>
      </c>
      <c r="G1488" s="116">
        <v>7276</v>
      </c>
      <c r="H1488" s="1776" t="s">
        <v>1349</v>
      </c>
      <c r="J1488" s="224"/>
      <c r="K1488" s="34" t="s">
        <v>25</v>
      </c>
      <c r="L1488" s="475"/>
      <c r="M1488" s="224"/>
      <c r="N1488" s="224"/>
      <c r="O1488" s="2628" t="s">
        <v>6395</v>
      </c>
      <c r="P1488" s="1">
        <v>674</v>
      </c>
      <c r="T1488" s="224"/>
      <c r="U1488" s="34" t="s">
        <v>25</v>
      </c>
      <c r="V1488" s="475"/>
      <c r="W1488" s="224"/>
      <c r="X1488" s="224"/>
    </row>
    <row r="1489" spans="1:24" x14ac:dyDescent="0.3">
      <c r="A1489" s="2652">
        <v>675</v>
      </c>
      <c r="B1489" s="1122" t="s">
        <v>1818</v>
      </c>
      <c r="C1489" s="216" t="s">
        <v>1344</v>
      </c>
      <c r="D1489" s="416" t="s">
        <v>954</v>
      </c>
      <c r="E1489" s="217" t="s">
        <v>1837</v>
      </c>
      <c r="F1489" s="218" t="s">
        <v>1820</v>
      </c>
      <c r="G1489" s="116">
        <v>7276</v>
      </c>
      <c r="H1489" s="1776" t="s">
        <v>1349</v>
      </c>
      <c r="J1489" s="224"/>
      <c r="K1489" s="34" t="s">
        <v>25</v>
      </c>
      <c r="L1489" s="475"/>
      <c r="M1489" s="224"/>
      <c r="N1489" s="224"/>
      <c r="O1489" s="2628" t="s">
        <v>6395</v>
      </c>
      <c r="P1489" s="1">
        <v>675</v>
      </c>
      <c r="T1489" s="224"/>
      <c r="U1489" s="34" t="s">
        <v>25</v>
      </c>
      <c r="V1489" s="475"/>
      <c r="W1489" s="224"/>
      <c r="X1489" s="224"/>
    </row>
    <row r="1490" spans="1:24" x14ac:dyDescent="0.3">
      <c r="A1490" s="2651">
        <v>676</v>
      </c>
      <c r="B1490" s="1122" t="s">
        <v>1818</v>
      </c>
      <c r="C1490" s="216" t="s">
        <v>1344</v>
      </c>
      <c r="D1490" s="416" t="s">
        <v>954</v>
      </c>
      <c r="E1490" s="217" t="s">
        <v>100</v>
      </c>
      <c r="F1490" s="218" t="s">
        <v>1820</v>
      </c>
      <c r="G1490" s="116">
        <v>7276</v>
      </c>
      <c r="H1490" s="1776" t="s">
        <v>1349</v>
      </c>
      <c r="J1490" s="224"/>
      <c r="K1490" s="34" t="s">
        <v>25</v>
      </c>
      <c r="L1490" s="475"/>
      <c r="M1490" s="224"/>
      <c r="N1490" s="224"/>
      <c r="O1490" s="2628" t="s">
        <v>6395</v>
      </c>
      <c r="P1490" s="1">
        <v>676</v>
      </c>
      <c r="T1490" s="224"/>
      <c r="U1490" s="34" t="s">
        <v>25</v>
      </c>
      <c r="V1490" s="475"/>
      <c r="W1490" s="224"/>
      <c r="X1490" s="224"/>
    </row>
    <row r="1491" spans="1:24" x14ac:dyDescent="0.3">
      <c r="A1491" s="2651">
        <v>677</v>
      </c>
      <c r="B1491" s="1122" t="s">
        <v>1818</v>
      </c>
      <c r="C1491" s="216" t="s">
        <v>1344</v>
      </c>
      <c r="D1491" s="416" t="s">
        <v>954</v>
      </c>
      <c r="E1491" s="217" t="s">
        <v>1838</v>
      </c>
      <c r="F1491" s="218" t="s">
        <v>1820</v>
      </c>
      <c r="G1491" s="116">
        <v>7276</v>
      </c>
      <c r="H1491" s="1776" t="s">
        <v>1349</v>
      </c>
      <c r="J1491" s="224"/>
      <c r="K1491" s="34" t="s">
        <v>25</v>
      </c>
      <c r="L1491" s="475"/>
      <c r="M1491" s="224"/>
      <c r="N1491" s="224"/>
      <c r="O1491" s="2628" t="s">
        <v>6395</v>
      </c>
      <c r="P1491" s="1">
        <v>677</v>
      </c>
      <c r="T1491" s="224"/>
      <c r="U1491" s="34" t="s">
        <v>25</v>
      </c>
      <c r="V1491" s="475"/>
      <c r="W1491" s="224"/>
      <c r="X1491" s="224"/>
    </row>
    <row r="1492" spans="1:24" x14ac:dyDescent="0.3">
      <c r="A1492" s="2652">
        <v>678</v>
      </c>
      <c r="B1492" s="1122" t="s">
        <v>1818</v>
      </c>
      <c r="C1492" s="216" t="s">
        <v>1344</v>
      </c>
      <c r="D1492" s="416" t="s">
        <v>954</v>
      </c>
      <c r="E1492" s="217" t="s">
        <v>1839</v>
      </c>
      <c r="F1492" s="218" t="s">
        <v>1820</v>
      </c>
      <c r="G1492" s="116">
        <v>7276</v>
      </c>
      <c r="H1492" s="1776" t="s">
        <v>1349</v>
      </c>
      <c r="J1492" s="224"/>
      <c r="K1492" s="34" t="s">
        <v>25</v>
      </c>
      <c r="L1492" s="475"/>
      <c r="M1492" s="224"/>
      <c r="N1492" s="224"/>
      <c r="O1492" s="2628" t="s">
        <v>6395</v>
      </c>
      <c r="P1492" s="1">
        <v>678</v>
      </c>
      <c r="T1492" s="224"/>
      <c r="U1492" s="34" t="s">
        <v>25</v>
      </c>
      <c r="V1492" s="475"/>
      <c r="W1492" s="224"/>
      <c r="X1492" s="224"/>
    </row>
    <row r="1493" spans="1:24" x14ac:dyDescent="0.3">
      <c r="A1493" s="2651">
        <v>679</v>
      </c>
      <c r="B1493" s="1122" t="s">
        <v>1818</v>
      </c>
      <c r="C1493" s="216" t="s">
        <v>1344</v>
      </c>
      <c r="D1493" s="416" t="s">
        <v>954</v>
      </c>
      <c r="E1493" s="217" t="s">
        <v>1840</v>
      </c>
      <c r="F1493" s="218" t="s">
        <v>1820</v>
      </c>
      <c r="G1493" s="116">
        <v>7276</v>
      </c>
      <c r="H1493" s="1776" t="s">
        <v>1349</v>
      </c>
      <c r="J1493" s="224"/>
      <c r="K1493" s="34" t="s">
        <v>25</v>
      </c>
      <c r="L1493" s="475"/>
      <c r="M1493" s="224"/>
      <c r="N1493" s="224"/>
      <c r="O1493" s="2628" t="s">
        <v>6395</v>
      </c>
      <c r="P1493" s="1">
        <v>679</v>
      </c>
      <c r="T1493" s="224"/>
      <c r="U1493" s="34" t="s">
        <v>25</v>
      </c>
      <c r="V1493" s="475"/>
      <c r="W1493" s="224"/>
      <c r="X1493" s="224"/>
    </row>
    <row r="1494" spans="1:24" x14ac:dyDescent="0.3">
      <c r="A1494" s="2651">
        <v>680</v>
      </c>
      <c r="B1494" s="1122" t="s">
        <v>1818</v>
      </c>
      <c r="C1494" s="216" t="s">
        <v>1344</v>
      </c>
      <c r="D1494" s="452" t="s">
        <v>954</v>
      </c>
      <c r="E1494" s="217" t="s">
        <v>1841</v>
      </c>
      <c r="F1494" s="218" t="s">
        <v>1820</v>
      </c>
      <c r="G1494" s="116">
        <v>7276</v>
      </c>
      <c r="H1494" s="1776" t="s">
        <v>1349</v>
      </c>
      <c r="J1494" s="224"/>
      <c r="K1494" s="34" t="s">
        <v>25</v>
      </c>
      <c r="L1494" s="475"/>
      <c r="M1494" s="224"/>
      <c r="N1494" s="224"/>
      <c r="O1494" s="2628" t="s">
        <v>6395</v>
      </c>
      <c r="P1494" s="1">
        <v>680</v>
      </c>
      <c r="T1494" s="224"/>
      <c r="U1494" s="34" t="s">
        <v>25</v>
      </c>
      <c r="V1494" s="475"/>
      <c r="W1494" s="224"/>
      <c r="X1494" s="224"/>
    </row>
    <row r="1495" spans="1:24" x14ac:dyDescent="0.3">
      <c r="A1495" s="2652">
        <v>681</v>
      </c>
      <c r="B1495" s="1122" t="s">
        <v>1818</v>
      </c>
      <c r="C1495" s="216" t="s">
        <v>1344</v>
      </c>
      <c r="D1495" s="495" t="s">
        <v>954</v>
      </c>
      <c r="E1495" s="217" t="s">
        <v>1842</v>
      </c>
      <c r="F1495" s="218" t="s">
        <v>1820</v>
      </c>
      <c r="G1495" s="116">
        <v>7276</v>
      </c>
      <c r="H1495" s="1776" t="s">
        <v>1349</v>
      </c>
      <c r="J1495" s="224"/>
      <c r="K1495" s="34" t="s">
        <v>25</v>
      </c>
      <c r="L1495" s="475"/>
      <c r="M1495" s="224"/>
      <c r="N1495" s="224"/>
      <c r="O1495" s="2628" t="s">
        <v>6395</v>
      </c>
      <c r="P1495" s="1">
        <v>681</v>
      </c>
      <c r="T1495" s="224"/>
      <c r="U1495" s="34" t="s">
        <v>25</v>
      </c>
      <c r="V1495" s="475"/>
      <c r="W1495" s="224"/>
      <c r="X1495" s="224"/>
    </row>
    <row r="1496" spans="1:24" x14ac:dyDescent="0.3">
      <c r="A1496" s="2651">
        <v>682</v>
      </c>
      <c r="B1496" s="1122" t="s">
        <v>1818</v>
      </c>
      <c r="C1496" s="216" t="s">
        <v>1344</v>
      </c>
      <c r="D1496" s="495" t="s">
        <v>954</v>
      </c>
      <c r="E1496" s="217" t="s">
        <v>1843</v>
      </c>
      <c r="F1496" s="218" t="s">
        <v>1820</v>
      </c>
      <c r="G1496" s="116">
        <v>7276</v>
      </c>
      <c r="H1496" s="1776" t="s">
        <v>1349</v>
      </c>
      <c r="J1496" s="224"/>
      <c r="K1496" s="34" t="s">
        <v>25</v>
      </c>
      <c r="L1496" s="475"/>
      <c r="M1496" s="224"/>
      <c r="N1496" s="224"/>
      <c r="O1496" s="2628" t="s">
        <v>6395</v>
      </c>
      <c r="P1496" s="1">
        <v>682</v>
      </c>
      <c r="T1496" s="224"/>
      <c r="U1496" s="34" t="s">
        <v>25</v>
      </c>
      <c r="V1496" s="475"/>
      <c r="W1496" s="224"/>
      <c r="X1496" s="224"/>
    </row>
    <row r="1497" spans="1:24" x14ac:dyDescent="0.3">
      <c r="A1497" s="2651">
        <v>683</v>
      </c>
      <c r="B1497" s="1122" t="s">
        <v>1818</v>
      </c>
      <c r="C1497" s="216" t="s">
        <v>1344</v>
      </c>
      <c r="D1497" s="793" t="s">
        <v>954</v>
      </c>
      <c r="E1497" s="217" t="s">
        <v>1844</v>
      </c>
      <c r="F1497" s="218" t="s">
        <v>1820</v>
      </c>
      <c r="G1497" s="116">
        <v>7276</v>
      </c>
      <c r="H1497" s="1776" t="s">
        <v>1349</v>
      </c>
      <c r="J1497" s="224"/>
      <c r="K1497" s="34" t="s">
        <v>25</v>
      </c>
      <c r="L1497" s="475"/>
      <c r="M1497" s="224"/>
      <c r="N1497" s="224"/>
      <c r="O1497" s="2628" t="s">
        <v>6395</v>
      </c>
      <c r="P1497" s="1">
        <v>683</v>
      </c>
      <c r="T1497" s="224"/>
      <c r="U1497" s="34" t="s">
        <v>25</v>
      </c>
      <c r="V1497" s="475"/>
      <c r="W1497" s="224"/>
      <c r="X1497" s="224"/>
    </row>
    <row r="1498" spans="1:24" x14ac:dyDescent="0.3">
      <c r="A1498" s="2652">
        <v>684</v>
      </c>
      <c r="B1498" s="1122" t="s">
        <v>1818</v>
      </c>
      <c r="C1498" s="216" t="s">
        <v>1344</v>
      </c>
      <c r="D1498" s="452" t="s">
        <v>954</v>
      </c>
      <c r="E1498" s="217" t="s">
        <v>1845</v>
      </c>
      <c r="F1498" s="218" t="s">
        <v>1820</v>
      </c>
      <c r="G1498" s="116">
        <v>7276</v>
      </c>
      <c r="H1498" s="1776" t="s">
        <v>1349</v>
      </c>
      <c r="J1498" s="224"/>
      <c r="K1498" s="34" t="s">
        <v>25</v>
      </c>
      <c r="L1498" s="475"/>
      <c r="M1498" s="224"/>
      <c r="N1498" s="224"/>
      <c r="O1498" s="2628" t="s">
        <v>6395</v>
      </c>
      <c r="P1498" s="1">
        <v>684</v>
      </c>
      <c r="T1498" s="224"/>
      <c r="U1498" s="34" t="s">
        <v>25</v>
      </c>
      <c r="V1498" s="475"/>
      <c r="W1498" s="224"/>
      <c r="X1498" s="224"/>
    </row>
    <row r="1499" spans="1:24" x14ac:dyDescent="0.3">
      <c r="A1499" s="2651">
        <v>685</v>
      </c>
      <c r="B1499" s="1122" t="s">
        <v>1818</v>
      </c>
      <c r="C1499" s="216" t="s">
        <v>1344</v>
      </c>
      <c r="D1499" s="793" t="s">
        <v>954</v>
      </c>
      <c r="E1499" s="217" t="s">
        <v>1846</v>
      </c>
      <c r="F1499" s="218" t="s">
        <v>1820</v>
      </c>
      <c r="G1499" s="116">
        <v>7276</v>
      </c>
      <c r="H1499" s="1776" t="s">
        <v>1349</v>
      </c>
      <c r="J1499" s="224"/>
      <c r="K1499" s="34" t="s">
        <v>25</v>
      </c>
      <c r="L1499" s="475"/>
      <c r="M1499" s="224"/>
      <c r="N1499" s="224"/>
      <c r="O1499" s="2628" t="s">
        <v>6395</v>
      </c>
      <c r="P1499" s="1">
        <v>685</v>
      </c>
      <c r="T1499" s="224"/>
      <c r="U1499" s="34" t="s">
        <v>25</v>
      </c>
      <c r="V1499" s="475"/>
      <c r="W1499" s="224"/>
      <c r="X1499" s="224"/>
    </row>
    <row r="1500" spans="1:24" x14ac:dyDescent="0.3">
      <c r="A1500" s="2651">
        <v>686</v>
      </c>
      <c r="B1500" s="1122" t="s">
        <v>1818</v>
      </c>
      <c r="C1500" s="216" t="s">
        <v>1344</v>
      </c>
      <c r="D1500" s="416" t="s">
        <v>954</v>
      </c>
      <c r="E1500" s="217" t="s">
        <v>1847</v>
      </c>
      <c r="F1500" s="218" t="s">
        <v>1820</v>
      </c>
      <c r="G1500" s="116">
        <v>7276</v>
      </c>
      <c r="H1500" s="1776" t="s">
        <v>1349</v>
      </c>
      <c r="J1500" s="224"/>
      <c r="K1500" s="34" t="s">
        <v>25</v>
      </c>
      <c r="L1500" s="475"/>
      <c r="M1500" s="224"/>
      <c r="N1500" s="224"/>
      <c r="O1500" s="2628" t="s">
        <v>6395</v>
      </c>
      <c r="P1500" s="1">
        <v>686</v>
      </c>
      <c r="T1500" s="224"/>
      <c r="U1500" s="34" t="s">
        <v>25</v>
      </c>
      <c r="V1500" s="475"/>
      <c r="W1500" s="224"/>
      <c r="X1500" s="224"/>
    </row>
    <row r="1501" spans="1:24" x14ac:dyDescent="0.3">
      <c r="A1501" s="2652">
        <v>687</v>
      </c>
      <c r="B1501" s="1122" t="s">
        <v>1818</v>
      </c>
      <c r="C1501" s="216" t="s">
        <v>1344</v>
      </c>
      <c r="D1501" s="416" t="s">
        <v>954</v>
      </c>
      <c r="E1501" s="217" t="s">
        <v>1848</v>
      </c>
      <c r="F1501" s="218" t="s">
        <v>1820</v>
      </c>
      <c r="G1501" s="116">
        <v>7276</v>
      </c>
      <c r="H1501" s="1776" t="s">
        <v>1349</v>
      </c>
      <c r="J1501" s="224"/>
      <c r="K1501" s="34" t="s">
        <v>25</v>
      </c>
      <c r="L1501" s="475"/>
      <c r="M1501" s="224"/>
      <c r="N1501" s="224"/>
      <c r="O1501" s="2628" t="s">
        <v>6395</v>
      </c>
      <c r="P1501" s="1">
        <v>687</v>
      </c>
      <c r="T1501" s="224"/>
      <c r="U1501" s="34" t="s">
        <v>25</v>
      </c>
      <c r="V1501" s="475"/>
      <c r="W1501" s="224"/>
      <c r="X1501" s="224"/>
    </row>
    <row r="1502" spans="1:24" x14ac:dyDescent="0.3">
      <c r="A1502" s="2651">
        <v>688</v>
      </c>
      <c r="B1502" s="1122" t="s">
        <v>1818</v>
      </c>
      <c r="C1502" s="216" t="s">
        <v>1344</v>
      </c>
      <c r="D1502" s="416" t="s">
        <v>954</v>
      </c>
      <c r="E1502" s="217" t="s">
        <v>1849</v>
      </c>
      <c r="F1502" s="218" t="s">
        <v>1820</v>
      </c>
      <c r="G1502" s="116">
        <v>7276</v>
      </c>
      <c r="H1502" s="1776" t="s">
        <v>1349</v>
      </c>
      <c r="J1502" s="224"/>
      <c r="K1502" s="34" t="s">
        <v>25</v>
      </c>
      <c r="L1502" s="475"/>
      <c r="M1502" s="224"/>
      <c r="N1502" s="224"/>
      <c r="O1502" s="2628" t="s">
        <v>6395</v>
      </c>
      <c r="P1502" s="1">
        <v>688</v>
      </c>
      <c r="T1502" s="224"/>
      <c r="U1502" s="34" t="s">
        <v>25</v>
      </c>
      <c r="V1502" s="475"/>
      <c r="W1502" s="224"/>
      <c r="X1502" s="224"/>
    </row>
    <row r="1503" spans="1:24" x14ac:dyDescent="0.3">
      <c r="A1503" s="2651">
        <v>689</v>
      </c>
      <c r="B1503" s="1122" t="s">
        <v>1818</v>
      </c>
      <c r="C1503" s="216" t="s">
        <v>1344</v>
      </c>
      <c r="D1503" s="416" t="s">
        <v>954</v>
      </c>
      <c r="E1503" s="217" t="s">
        <v>1850</v>
      </c>
      <c r="F1503" s="218" t="s">
        <v>1820</v>
      </c>
      <c r="G1503" s="116">
        <v>7276</v>
      </c>
      <c r="H1503" s="1776" t="s">
        <v>1349</v>
      </c>
      <c r="J1503" s="224"/>
      <c r="K1503" s="34" t="s">
        <v>25</v>
      </c>
      <c r="L1503" s="475"/>
      <c r="M1503" s="224"/>
      <c r="N1503" s="224"/>
      <c r="O1503" s="2628" t="s">
        <v>6395</v>
      </c>
      <c r="P1503" s="1">
        <v>689</v>
      </c>
      <c r="T1503" s="224"/>
      <c r="U1503" s="34" t="s">
        <v>25</v>
      </c>
      <c r="V1503" s="475"/>
      <c r="W1503" s="224"/>
      <c r="X1503" s="224"/>
    </row>
    <row r="1504" spans="1:24" x14ac:dyDescent="0.3">
      <c r="A1504" s="2652">
        <v>690</v>
      </c>
      <c r="B1504" s="1122" t="s">
        <v>1818</v>
      </c>
      <c r="C1504" s="216" t="s">
        <v>1344</v>
      </c>
      <c r="D1504" s="416" t="s">
        <v>954</v>
      </c>
      <c r="E1504" s="217" t="s">
        <v>1851</v>
      </c>
      <c r="F1504" s="218" t="s">
        <v>1820</v>
      </c>
      <c r="G1504" s="116">
        <v>7276</v>
      </c>
      <c r="H1504" s="1776" t="s">
        <v>1349</v>
      </c>
      <c r="J1504" s="224"/>
      <c r="K1504" s="34" t="s">
        <v>25</v>
      </c>
      <c r="L1504" s="475"/>
      <c r="M1504" s="224"/>
      <c r="N1504" s="224"/>
      <c r="O1504" s="2628" t="s">
        <v>6395</v>
      </c>
      <c r="P1504" s="1">
        <v>690</v>
      </c>
      <c r="T1504" s="224"/>
      <c r="U1504" s="34" t="s">
        <v>25</v>
      </c>
      <c r="V1504" s="475"/>
      <c r="W1504" s="224"/>
      <c r="X1504" s="224"/>
    </row>
    <row r="1505" spans="1:24" x14ac:dyDescent="0.3">
      <c r="A1505" s="2651">
        <v>691</v>
      </c>
      <c r="B1505" s="1122" t="s">
        <v>1818</v>
      </c>
      <c r="C1505" s="216" t="s">
        <v>1344</v>
      </c>
      <c r="D1505" s="416" t="s">
        <v>954</v>
      </c>
      <c r="E1505" s="217" t="s">
        <v>1852</v>
      </c>
      <c r="F1505" s="218" t="s">
        <v>1820</v>
      </c>
      <c r="G1505" s="116">
        <v>7276</v>
      </c>
      <c r="H1505" s="1776" t="s">
        <v>1349</v>
      </c>
      <c r="J1505" s="224"/>
      <c r="K1505" s="34" t="s">
        <v>25</v>
      </c>
      <c r="L1505" s="475"/>
      <c r="M1505" s="224"/>
      <c r="N1505" s="224"/>
      <c r="O1505" s="2628" t="s">
        <v>6395</v>
      </c>
      <c r="P1505" s="1">
        <v>691</v>
      </c>
      <c r="T1505" s="224"/>
      <c r="U1505" s="34" t="s">
        <v>25</v>
      </c>
      <c r="V1505" s="475"/>
      <c r="W1505" s="224"/>
      <c r="X1505" s="224"/>
    </row>
    <row r="1506" spans="1:24" x14ac:dyDescent="0.3">
      <c r="A1506" s="2651">
        <v>692</v>
      </c>
      <c r="B1506" s="1122" t="s">
        <v>1818</v>
      </c>
      <c r="C1506" s="216" t="s">
        <v>1344</v>
      </c>
      <c r="D1506" s="416" t="s">
        <v>954</v>
      </c>
      <c r="E1506" s="217" t="s">
        <v>1853</v>
      </c>
      <c r="F1506" s="218" t="s">
        <v>1820</v>
      </c>
      <c r="G1506" s="116">
        <v>7276</v>
      </c>
      <c r="H1506" s="1776" t="s">
        <v>1349</v>
      </c>
      <c r="J1506" s="224"/>
      <c r="K1506" s="34" t="s">
        <v>25</v>
      </c>
      <c r="L1506" s="475"/>
      <c r="M1506" s="224"/>
      <c r="N1506" s="224"/>
      <c r="O1506" s="2628" t="s">
        <v>6395</v>
      </c>
      <c r="P1506" s="1">
        <v>692</v>
      </c>
      <c r="T1506" s="224"/>
      <c r="U1506" s="34" t="s">
        <v>25</v>
      </c>
      <c r="V1506" s="475"/>
      <c r="W1506" s="224"/>
      <c r="X1506" s="224"/>
    </row>
    <row r="1507" spans="1:24" x14ac:dyDescent="0.3">
      <c r="A1507" s="2652">
        <v>693</v>
      </c>
      <c r="B1507" s="1122" t="s">
        <v>1818</v>
      </c>
      <c r="C1507" s="216" t="s">
        <v>1344</v>
      </c>
      <c r="D1507" s="416" t="s">
        <v>954</v>
      </c>
      <c r="E1507" s="217" t="s">
        <v>1854</v>
      </c>
      <c r="F1507" s="218" t="s">
        <v>1820</v>
      </c>
      <c r="G1507" s="116">
        <v>7276</v>
      </c>
      <c r="H1507" s="1776" t="s">
        <v>1349</v>
      </c>
      <c r="J1507" s="224"/>
      <c r="K1507" s="34" t="s">
        <v>25</v>
      </c>
      <c r="L1507" s="475"/>
      <c r="M1507" s="224"/>
      <c r="N1507" s="224"/>
      <c r="O1507" s="2628" t="s">
        <v>6395</v>
      </c>
      <c r="P1507" s="1">
        <v>693</v>
      </c>
      <c r="T1507" s="224"/>
      <c r="U1507" s="34" t="s">
        <v>25</v>
      </c>
      <c r="V1507" s="475"/>
      <c r="W1507" s="224"/>
      <c r="X1507" s="224"/>
    </row>
    <row r="1508" spans="1:24" x14ac:dyDescent="0.3">
      <c r="A1508" s="2651">
        <v>694</v>
      </c>
      <c r="B1508" s="1122" t="s">
        <v>1818</v>
      </c>
      <c r="C1508" s="216" t="s">
        <v>1344</v>
      </c>
      <c r="D1508" s="416" t="s">
        <v>954</v>
      </c>
      <c r="E1508" s="217" t="s">
        <v>1855</v>
      </c>
      <c r="F1508" s="218" t="s">
        <v>1820</v>
      </c>
      <c r="G1508" s="116">
        <v>7276</v>
      </c>
      <c r="H1508" s="1776" t="s">
        <v>1349</v>
      </c>
      <c r="J1508" s="224"/>
      <c r="K1508" s="34" t="s">
        <v>25</v>
      </c>
      <c r="L1508" s="475"/>
      <c r="M1508" s="224"/>
      <c r="N1508" s="224"/>
      <c r="O1508" s="2628" t="s">
        <v>6395</v>
      </c>
      <c r="P1508" s="1">
        <v>694</v>
      </c>
      <c r="T1508" s="224"/>
      <c r="U1508" s="34" t="s">
        <v>25</v>
      </c>
      <c r="V1508" s="475"/>
      <c r="W1508" s="224"/>
      <c r="X1508" s="224"/>
    </row>
    <row r="1509" spans="1:24" x14ac:dyDescent="0.3">
      <c r="A1509" s="2651">
        <v>695</v>
      </c>
      <c r="B1509" s="1122" t="s">
        <v>1818</v>
      </c>
      <c r="C1509" s="216" t="s">
        <v>1344</v>
      </c>
      <c r="D1509" s="452" t="s">
        <v>954</v>
      </c>
      <c r="E1509" s="217" t="s">
        <v>1856</v>
      </c>
      <c r="F1509" s="218" t="s">
        <v>1820</v>
      </c>
      <c r="G1509" s="116">
        <v>7276</v>
      </c>
      <c r="H1509" s="1776" t="s">
        <v>1349</v>
      </c>
      <c r="J1509" s="224"/>
      <c r="K1509" s="34" t="s">
        <v>25</v>
      </c>
      <c r="L1509" s="475"/>
      <c r="M1509" s="224"/>
      <c r="N1509" s="224"/>
      <c r="O1509" s="2628" t="s">
        <v>6395</v>
      </c>
      <c r="P1509" s="1">
        <v>695</v>
      </c>
      <c r="T1509" s="224"/>
      <c r="U1509" s="34" t="s">
        <v>25</v>
      </c>
      <c r="V1509" s="475"/>
      <c r="W1509" s="224"/>
      <c r="X1509" s="224"/>
    </row>
    <row r="1510" spans="1:24" x14ac:dyDescent="0.3">
      <c r="A1510" s="2652">
        <v>696</v>
      </c>
      <c r="B1510" s="1122" t="s">
        <v>1818</v>
      </c>
      <c r="C1510" s="216" t="s">
        <v>1344</v>
      </c>
      <c r="D1510" s="793" t="s">
        <v>954</v>
      </c>
      <c r="E1510" s="217" t="s">
        <v>488</v>
      </c>
      <c r="F1510" s="218" t="s">
        <v>1820</v>
      </c>
      <c r="G1510" s="116">
        <v>7276</v>
      </c>
      <c r="H1510" s="1776" t="s">
        <v>1349</v>
      </c>
      <c r="J1510" s="224"/>
      <c r="K1510" s="34" t="s">
        <v>25</v>
      </c>
      <c r="L1510" s="475"/>
      <c r="M1510" s="224"/>
      <c r="N1510" s="224"/>
      <c r="O1510" s="2628" t="s">
        <v>6395</v>
      </c>
      <c r="P1510" s="1">
        <v>696</v>
      </c>
      <c r="T1510" s="224"/>
      <c r="U1510" s="34" t="s">
        <v>25</v>
      </c>
      <c r="V1510" s="475"/>
      <c r="W1510" s="224"/>
      <c r="X1510" s="224"/>
    </row>
    <row r="1511" spans="1:24" x14ac:dyDescent="0.3">
      <c r="A1511" s="2651">
        <v>697</v>
      </c>
      <c r="B1511" s="1122" t="s">
        <v>1818</v>
      </c>
      <c r="C1511" s="216" t="s">
        <v>1344</v>
      </c>
      <c r="D1511" s="452" t="s">
        <v>954</v>
      </c>
      <c r="E1511" s="217" t="s">
        <v>491</v>
      </c>
      <c r="F1511" s="218" t="s">
        <v>1820</v>
      </c>
      <c r="G1511" s="116">
        <v>7276</v>
      </c>
      <c r="H1511" s="1776" t="s">
        <v>1349</v>
      </c>
      <c r="J1511" s="224"/>
      <c r="K1511" s="34" t="s">
        <v>25</v>
      </c>
      <c r="L1511" s="475"/>
      <c r="M1511" s="224"/>
      <c r="N1511" s="224"/>
      <c r="O1511" s="2628" t="s">
        <v>6395</v>
      </c>
      <c r="P1511" s="1">
        <v>697</v>
      </c>
      <c r="T1511" s="224"/>
      <c r="U1511" s="34" t="s">
        <v>25</v>
      </c>
      <c r="V1511" s="475"/>
      <c r="W1511" s="224"/>
      <c r="X1511" s="224"/>
    </row>
    <row r="1512" spans="1:24" x14ac:dyDescent="0.3">
      <c r="A1512" s="2651">
        <v>698</v>
      </c>
      <c r="B1512" s="1122" t="s">
        <v>1818</v>
      </c>
      <c r="C1512" s="216" t="s">
        <v>1344</v>
      </c>
      <c r="D1512" s="793" t="s">
        <v>954</v>
      </c>
      <c r="E1512" s="217" t="s">
        <v>492</v>
      </c>
      <c r="F1512" s="218" t="s">
        <v>1820</v>
      </c>
      <c r="G1512" s="116">
        <v>7276</v>
      </c>
      <c r="H1512" s="1776" t="s">
        <v>1349</v>
      </c>
      <c r="J1512" s="224"/>
      <c r="K1512" s="34" t="s">
        <v>25</v>
      </c>
      <c r="L1512" s="475"/>
      <c r="M1512" s="224"/>
      <c r="N1512" s="224"/>
      <c r="O1512" s="2628" t="s">
        <v>6395</v>
      </c>
      <c r="P1512" s="1">
        <v>698</v>
      </c>
      <c r="T1512" s="224"/>
      <c r="U1512" s="34" t="s">
        <v>25</v>
      </c>
      <c r="V1512" s="475"/>
      <c r="W1512" s="224"/>
      <c r="X1512" s="224"/>
    </row>
    <row r="1513" spans="1:24" x14ac:dyDescent="0.3">
      <c r="A1513" s="2652">
        <v>699</v>
      </c>
      <c r="B1513" s="1122" t="s">
        <v>1818</v>
      </c>
      <c r="C1513" s="216" t="s">
        <v>1344</v>
      </c>
      <c r="D1513" s="416" t="s">
        <v>954</v>
      </c>
      <c r="E1513" s="217" t="s">
        <v>495</v>
      </c>
      <c r="F1513" s="218" t="s">
        <v>1820</v>
      </c>
      <c r="G1513" s="116">
        <v>7276</v>
      </c>
      <c r="H1513" s="1776" t="s">
        <v>1349</v>
      </c>
      <c r="J1513" s="224"/>
      <c r="K1513" s="34" t="s">
        <v>25</v>
      </c>
      <c r="L1513" s="475"/>
      <c r="M1513" s="224"/>
      <c r="N1513" s="224"/>
      <c r="O1513" s="2628" t="s">
        <v>6395</v>
      </c>
      <c r="P1513" s="1">
        <v>699</v>
      </c>
      <c r="T1513" s="224"/>
      <c r="U1513" s="34" t="s">
        <v>25</v>
      </c>
      <c r="V1513" s="475"/>
      <c r="W1513" s="224"/>
      <c r="X1513" s="224"/>
    </row>
    <row r="1514" spans="1:24" x14ac:dyDescent="0.3">
      <c r="A1514" s="2651">
        <v>700</v>
      </c>
      <c r="B1514" s="1122" t="s">
        <v>1818</v>
      </c>
      <c r="C1514" s="216" t="s">
        <v>1344</v>
      </c>
      <c r="D1514" s="416" t="s">
        <v>954</v>
      </c>
      <c r="E1514" s="217" t="s">
        <v>1857</v>
      </c>
      <c r="F1514" s="218" t="s">
        <v>1820</v>
      </c>
      <c r="G1514" s="116">
        <v>7276</v>
      </c>
      <c r="H1514" s="1776" t="s">
        <v>1349</v>
      </c>
      <c r="J1514" s="224"/>
      <c r="K1514" s="34" t="s">
        <v>25</v>
      </c>
      <c r="L1514" s="475"/>
      <c r="M1514" s="224"/>
      <c r="N1514" s="224"/>
      <c r="O1514" s="2628" t="s">
        <v>6395</v>
      </c>
      <c r="P1514" s="1">
        <v>700</v>
      </c>
      <c r="T1514" s="224"/>
      <c r="U1514" s="34" t="s">
        <v>25</v>
      </c>
      <c r="V1514" s="475"/>
      <c r="W1514" s="224"/>
      <c r="X1514" s="224"/>
    </row>
    <row r="1515" spans="1:24" x14ac:dyDescent="0.3">
      <c r="A1515" s="2651">
        <v>701</v>
      </c>
      <c r="B1515" s="1122" t="s">
        <v>1818</v>
      </c>
      <c r="C1515" s="216" t="s">
        <v>1344</v>
      </c>
      <c r="D1515" s="416" t="s">
        <v>954</v>
      </c>
      <c r="E1515" s="217" t="s">
        <v>1858</v>
      </c>
      <c r="F1515" s="218" t="s">
        <v>1820</v>
      </c>
      <c r="G1515" s="116">
        <v>7276</v>
      </c>
      <c r="H1515" s="1776" t="s">
        <v>1349</v>
      </c>
      <c r="J1515" s="224"/>
      <c r="K1515" s="34" t="s">
        <v>25</v>
      </c>
      <c r="L1515" s="475"/>
      <c r="M1515" s="224"/>
      <c r="N1515" s="224"/>
      <c r="O1515" s="2628" t="s">
        <v>6395</v>
      </c>
      <c r="P1515" s="1">
        <v>701</v>
      </c>
      <c r="T1515" s="224"/>
      <c r="U1515" s="34" t="s">
        <v>25</v>
      </c>
      <c r="V1515" s="475"/>
      <c r="W1515" s="224"/>
      <c r="X1515" s="224"/>
    </row>
    <row r="1516" spans="1:24" x14ac:dyDescent="0.3">
      <c r="A1516" s="2652">
        <v>702</v>
      </c>
      <c r="B1516" s="1122" t="s">
        <v>1818</v>
      </c>
      <c r="C1516" s="216" t="s">
        <v>1344</v>
      </c>
      <c r="D1516" s="416" t="s">
        <v>954</v>
      </c>
      <c r="E1516" s="217" t="s">
        <v>1859</v>
      </c>
      <c r="F1516" s="218" t="s">
        <v>1820</v>
      </c>
      <c r="G1516" s="116">
        <v>7276</v>
      </c>
      <c r="H1516" s="1776" t="s">
        <v>1349</v>
      </c>
      <c r="J1516" s="224"/>
      <c r="K1516" s="34" t="s">
        <v>25</v>
      </c>
      <c r="L1516" s="475"/>
      <c r="M1516" s="224"/>
      <c r="N1516" s="224"/>
      <c r="O1516" s="2628" t="s">
        <v>6395</v>
      </c>
      <c r="P1516" s="1">
        <v>702</v>
      </c>
      <c r="T1516" s="224"/>
      <c r="U1516" s="34" t="s">
        <v>25</v>
      </c>
      <c r="V1516" s="475"/>
      <c r="W1516" s="224"/>
      <c r="X1516" s="224"/>
    </row>
    <row r="1517" spans="1:24" x14ac:dyDescent="0.3">
      <c r="A1517" s="2651">
        <v>703</v>
      </c>
      <c r="B1517" s="1122" t="s">
        <v>1818</v>
      </c>
      <c r="C1517" s="216" t="s">
        <v>1344</v>
      </c>
      <c r="D1517" s="416" t="s">
        <v>954</v>
      </c>
      <c r="E1517" s="217" t="s">
        <v>1860</v>
      </c>
      <c r="F1517" s="218" t="s">
        <v>1820</v>
      </c>
      <c r="G1517" s="116">
        <v>7276</v>
      </c>
      <c r="H1517" s="1776" t="s">
        <v>1349</v>
      </c>
      <c r="J1517" s="224"/>
      <c r="K1517" s="34" t="s">
        <v>25</v>
      </c>
      <c r="L1517" s="475"/>
      <c r="M1517" s="224"/>
      <c r="N1517" s="224"/>
      <c r="O1517" s="2628" t="s">
        <v>6395</v>
      </c>
      <c r="P1517" s="1">
        <v>703</v>
      </c>
      <c r="T1517" s="224"/>
      <c r="U1517" s="34" t="s">
        <v>25</v>
      </c>
      <c r="V1517" s="475"/>
      <c r="W1517" s="224"/>
      <c r="X1517" s="224"/>
    </row>
    <row r="1518" spans="1:24" x14ac:dyDescent="0.3">
      <c r="A1518" s="2651">
        <v>704</v>
      </c>
      <c r="B1518" s="1122" t="s">
        <v>1818</v>
      </c>
      <c r="C1518" s="216" t="s">
        <v>1344</v>
      </c>
      <c r="D1518" s="416" t="s">
        <v>954</v>
      </c>
      <c r="E1518" s="217" t="s">
        <v>1861</v>
      </c>
      <c r="F1518" s="218" t="s">
        <v>1820</v>
      </c>
      <c r="G1518" s="116">
        <v>7276</v>
      </c>
      <c r="H1518" s="1776" t="s">
        <v>1349</v>
      </c>
      <c r="J1518" s="224"/>
      <c r="K1518" s="34" t="s">
        <v>25</v>
      </c>
      <c r="L1518" s="475"/>
      <c r="M1518" s="224"/>
      <c r="N1518" s="224"/>
      <c r="O1518" s="2628" t="s">
        <v>6395</v>
      </c>
      <c r="P1518" s="1">
        <v>704</v>
      </c>
      <c r="T1518" s="224"/>
      <c r="U1518" s="34" t="s">
        <v>25</v>
      </c>
      <c r="V1518" s="475"/>
      <c r="W1518" s="224"/>
      <c r="X1518" s="224"/>
    </row>
    <row r="1519" spans="1:24" x14ac:dyDescent="0.3">
      <c r="A1519" s="2652">
        <v>705</v>
      </c>
      <c r="B1519" s="1122" t="s">
        <v>1818</v>
      </c>
      <c r="C1519" s="216" t="s">
        <v>1344</v>
      </c>
      <c r="D1519" s="416" t="s">
        <v>954</v>
      </c>
      <c r="E1519" s="217" t="s">
        <v>1862</v>
      </c>
      <c r="F1519" s="218" t="s">
        <v>1820</v>
      </c>
      <c r="G1519" s="116">
        <v>7276</v>
      </c>
      <c r="H1519" s="1776" t="s">
        <v>1349</v>
      </c>
      <c r="J1519" s="224"/>
      <c r="K1519" s="34" t="s">
        <v>25</v>
      </c>
      <c r="L1519" s="475"/>
      <c r="M1519" s="224"/>
      <c r="N1519" s="224"/>
      <c r="O1519" s="2628" t="s">
        <v>6395</v>
      </c>
      <c r="P1519" s="1">
        <v>705</v>
      </c>
      <c r="T1519" s="224"/>
      <c r="U1519" s="34" t="s">
        <v>25</v>
      </c>
      <c r="V1519" s="475"/>
      <c r="W1519" s="224"/>
      <c r="X1519" s="224"/>
    </row>
    <row r="1520" spans="1:24" x14ac:dyDescent="0.3">
      <c r="A1520" s="2651">
        <v>706</v>
      </c>
      <c r="B1520" s="1122" t="s">
        <v>1818</v>
      </c>
      <c r="C1520" s="216" t="s">
        <v>1344</v>
      </c>
      <c r="D1520" s="416" t="s">
        <v>954</v>
      </c>
      <c r="E1520" s="217" t="s">
        <v>1863</v>
      </c>
      <c r="F1520" s="218" t="s">
        <v>1820</v>
      </c>
      <c r="G1520" s="116">
        <v>7276</v>
      </c>
      <c r="H1520" s="1776" t="s">
        <v>1349</v>
      </c>
      <c r="J1520" s="224"/>
      <c r="K1520" s="34" t="s">
        <v>25</v>
      </c>
      <c r="L1520" s="475"/>
      <c r="M1520" s="224"/>
      <c r="N1520" s="224"/>
      <c r="O1520" s="2628" t="s">
        <v>6395</v>
      </c>
      <c r="P1520" s="1">
        <v>706</v>
      </c>
      <c r="T1520" s="224"/>
      <c r="U1520" s="34" t="s">
        <v>25</v>
      </c>
      <c r="V1520" s="475"/>
      <c r="W1520" s="224"/>
      <c r="X1520" s="224"/>
    </row>
    <row r="1521" spans="1:24" x14ac:dyDescent="0.3">
      <c r="A1521" s="2651">
        <v>707</v>
      </c>
      <c r="B1521" s="1122" t="s">
        <v>1818</v>
      </c>
      <c r="C1521" s="216" t="s">
        <v>1344</v>
      </c>
      <c r="D1521" s="416" t="s">
        <v>954</v>
      </c>
      <c r="E1521" s="217" t="s">
        <v>1864</v>
      </c>
      <c r="F1521" s="218" t="s">
        <v>1820</v>
      </c>
      <c r="G1521" s="116">
        <v>7276</v>
      </c>
      <c r="H1521" s="1776" t="s">
        <v>1349</v>
      </c>
      <c r="J1521" s="224"/>
      <c r="K1521" s="34" t="s">
        <v>25</v>
      </c>
      <c r="L1521" s="475"/>
      <c r="M1521" s="224"/>
      <c r="N1521" s="224"/>
      <c r="O1521" s="2628" t="s">
        <v>6395</v>
      </c>
      <c r="P1521" s="1">
        <v>707</v>
      </c>
      <c r="T1521" s="224"/>
      <c r="U1521" s="34" t="s">
        <v>25</v>
      </c>
      <c r="V1521" s="475"/>
      <c r="W1521" s="224"/>
      <c r="X1521" s="224"/>
    </row>
    <row r="1522" spans="1:24" x14ac:dyDescent="0.3">
      <c r="A1522" s="2652">
        <v>708</v>
      </c>
      <c r="B1522" s="1122" t="s">
        <v>1818</v>
      </c>
      <c r="C1522" s="216" t="s">
        <v>1344</v>
      </c>
      <c r="D1522" s="416" t="s">
        <v>954</v>
      </c>
      <c r="E1522" s="217" t="s">
        <v>1865</v>
      </c>
      <c r="F1522" s="218" t="s">
        <v>1820</v>
      </c>
      <c r="G1522" s="116">
        <v>7276</v>
      </c>
      <c r="H1522" s="1776" t="s">
        <v>1349</v>
      </c>
      <c r="J1522" s="224"/>
      <c r="K1522" s="34" t="s">
        <v>25</v>
      </c>
      <c r="L1522" s="475"/>
      <c r="M1522" s="224"/>
      <c r="N1522" s="224"/>
      <c r="O1522" s="2628" t="s">
        <v>6395</v>
      </c>
      <c r="P1522" s="1">
        <v>708</v>
      </c>
      <c r="T1522" s="224"/>
      <c r="U1522" s="34" t="s">
        <v>25</v>
      </c>
      <c r="V1522" s="475"/>
      <c r="W1522" s="224"/>
      <c r="X1522" s="224"/>
    </row>
    <row r="1523" spans="1:24" x14ac:dyDescent="0.3">
      <c r="A1523" s="2651">
        <v>709</v>
      </c>
      <c r="B1523" s="1122" t="s">
        <v>1818</v>
      </c>
      <c r="C1523" s="216" t="s">
        <v>1344</v>
      </c>
      <c r="D1523" s="416" t="s">
        <v>954</v>
      </c>
      <c r="E1523" s="217" t="s">
        <v>1866</v>
      </c>
      <c r="F1523" s="218" t="s">
        <v>1820</v>
      </c>
      <c r="G1523" s="116">
        <v>7276</v>
      </c>
      <c r="H1523" s="1776" t="s">
        <v>1349</v>
      </c>
      <c r="J1523" s="224"/>
      <c r="K1523" s="34" t="s">
        <v>25</v>
      </c>
      <c r="L1523" s="475"/>
      <c r="M1523" s="224"/>
      <c r="N1523" s="224"/>
      <c r="O1523" s="2628" t="s">
        <v>6395</v>
      </c>
      <c r="P1523" s="1">
        <v>709</v>
      </c>
      <c r="T1523" s="224"/>
      <c r="U1523" s="34" t="s">
        <v>25</v>
      </c>
      <c r="V1523" s="475"/>
      <c r="W1523" s="224"/>
      <c r="X1523" s="224"/>
    </row>
    <row r="1524" spans="1:24" x14ac:dyDescent="0.3">
      <c r="A1524" s="2651">
        <v>710</v>
      </c>
      <c r="B1524" s="1122" t="s">
        <v>1818</v>
      </c>
      <c r="C1524" s="216" t="s">
        <v>1344</v>
      </c>
      <c r="D1524" s="416" t="s">
        <v>954</v>
      </c>
      <c r="E1524" s="217" t="s">
        <v>1867</v>
      </c>
      <c r="F1524" s="218" t="s">
        <v>1820</v>
      </c>
      <c r="G1524" s="116">
        <v>7276</v>
      </c>
      <c r="H1524" s="1776" t="s">
        <v>1349</v>
      </c>
      <c r="J1524" s="224"/>
      <c r="K1524" s="34" t="s">
        <v>25</v>
      </c>
      <c r="L1524" s="475"/>
      <c r="M1524" s="224"/>
      <c r="N1524" s="224"/>
      <c r="O1524" s="2628" t="s">
        <v>6395</v>
      </c>
      <c r="P1524" s="1">
        <v>710</v>
      </c>
      <c r="T1524" s="224"/>
      <c r="U1524" s="34" t="s">
        <v>25</v>
      </c>
      <c r="V1524" s="475"/>
      <c r="W1524" s="224"/>
      <c r="X1524" s="224"/>
    </row>
    <row r="1525" spans="1:24" x14ac:dyDescent="0.3">
      <c r="A1525" s="2652">
        <v>711</v>
      </c>
      <c r="B1525" s="1122" t="s">
        <v>1818</v>
      </c>
      <c r="C1525" s="216" t="s">
        <v>1344</v>
      </c>
      <c r="D1525" s="416" t="s">
        <v>954</v>
      </c>
      <c r="E1525" s="217" t="s">
        <v>1868</v>
      </c>
      <c r="F1525" s="218" t="s">
        <v>1820</v>
      </c>
      <c r="G1525" s="116">
        <v>7276</v>
      </c>
      <c r="H1525" s="1776" t="s">
        <v>1349</v>
      </c>
      <c r="J1525" s="224"/>
      <c r="K1525" s="34" t="s">
        <v>25</v>
      </c>
      <c r="L1525" s="475"/>
      <c r="M1525" s="224"/>
      <c r="N1525" s="224"/>
      <c r="O1525" s="2628" t="s">
        <v>6395</v>
      </c>
      <c r="P1525" s="1">
        <v>711</v>
      </c>
      <c r="T1525" s="224"/>
      <c r="U1525" s="34" t="s">
        <v>25</v>
      </c>
      <c r="V1525" s="475"/>
      <c r="W1525" s="224"/>
      <c r="X1525" s="224"/>
    </row>
    <row r="1526" spans="1:24" x14ac:dyDescent="0.3">
      <c r="A1526" s="2651">
        <v>712</v>
      </c>
      <c r="B1526" s="1122" t="s">
        <v>1818</v>
      </c>
      <c r="C1526" s="216" t="s">
        <v>1344</v>
      </c>
      <c r="D1526" s="416" t="s">
        <v>954</v>
      </c>
      <c r="E1526" s="217" t="s">
        <v>1869</v>
      </c>
      <c r="F1526" s="218" t="s">
        <v>1820</v>
      </c>
      <c r="G1526" s="116">
        <v>7276</v>
      </c>
      <c r="H1526" s="1776" t="s">
        <v>1349</v>
      </c>
      <c r="J1526" s="224"/>
      <c r="K1526" s="34" t="s">
        <v>25</v>
      </c>
      <c r="L1526" s="475"/>
      <c r="M1526" s="224"/>
      <c r="N1526" s="224"/>
      <c r="O1526" s="2628" t="s">
        <v>6395</v>
      </c>
      <c r="P1526" s="1">
        <v>712</v>
      </c>
      <c r="T1526" s="224"/>
      <c r="U1526" s="34" t="s">
        <v>25</v>
      </c>
      <c r="V1526" s="475"/>
      <c r="W1526" s="224"/>
      <c r="X1526" s="224"/>
    </row>
    <row r="1527" spans="1:24" x14ac:dyDescent="0.3">
      <c r="A1527" s="2651">
        <v>713</v>
      </c>
      <c r="B1527" s="1122" t="s">
        <v>1818</v>
      </c>
      <c r="C1527" s="216" t="s">
        <v>1344</v>
      </c>
      <c r="D1527" s="416" t="s">
        <v>954</v>
      </c>
      <c r="E1527" s="217" t="s">
        <v>1870</v>
      </c>
      <c r="F1527" s="218" t="s">
        <v>1820</v>
      </c>
      <c r="G1527" s="116">
        <v>7276</v>
      </c>
      <c r="H1527" s="1776" t="s">
        <v>1349</v>
      </c>
      <c r="J1527" s="224"/>
      <c r="K1527" s="34" t="s">
        <v>25</v>
      </c>
      <c r="L1527" s="475"/>
      <c r="M1527" s="224"/>
      <c r="N1527" s="224"/>
      <c r="O1527" s="2628" t="s">
        <v>6395</v>
      </c>
      <c r="P1527" s="1">
        <v>713</v>
      </c>
      <c r="T1527" s="224"/>
      <c r="U1527" s="34" t="s">
        <v>25</v>
      </c>
      <c r="V1527" s="475"/>
      <c r="W1527" s="224"/>
      <c r="X1527" s="224"/>
    </row>
    <row r="1528" spans="1:24" x14ac:dyDescent="0.3">
      <c r="A1528" s="2652">
        <v>714</v>
      </c>
      <c r="B1528" s="1122" t="s">
        <v>1818</v>
      </c>
      <c r="C1528" s="216" t="s">
        <v>1344</v>
      </c>
      <c r="D1528" s="452" t="s">
        <v>954</v>
      </c>
      <c r="E1528" s="217" t="s">
        <v>1871</v>
      </c>
      <c r="F1528" s="218" t="s">
        <v>1820</v>
      </c>
      <c r="G1528" s="116">
        <v>7276</v>
      </c>
      <c r="H1528" s="1776" t="s">
        <v>1349</v>
      </c>
      <c r="J1528" s="224"/>
      <c r="K1528" s="34" t="s">
        <v>25</v>
      </c>
      <c r="L1528" s="475"/>
      <c r="M1528" s="224"/>
      <c r="N1528" s="224"/>
      <c r="O1528" s="2628" t="s">
        <v>6395</v>
      </c>
      <c r="P1528" s="1">
        <v>714</v>
      </c>
      <c r="T1528" s="224"/>
      <c r="U1528" s="34" t="s">
        <v>25</v>
      </c>
      <c r="V1528" s="475"/>
      <c r="W1528" s="224"/>
      <c r="X1528" s="224"/>
    </row>
    <row r="1529" spans="1:24" x14ac:dyDescent="0.3">
      <c r="A1529" s="2651">
        <v>715</v>
      </c>
      <c r="B1529" s="1122" t="s">
        <v>1818</v>
      </c>
      <c r="C1529" s="1117" t="s">
        <v>1344</v>
      </c>
      <c r="D1529" s="793" t="s">
        <v>954</v>
      </c>
      <c r="E1529" s="217" t="s">
        <v>1872</v>
      </c>
      <c r="F1529" s="218" t="s">
        <v>1820</v>
      </c>
      <c r="G1529" s="116">
        <v>7276</v>
      </c>
      <c r="H1529" s="1776" t="s">
        <v>1349</v>
      </c>
      <c r="J1529" s="224"/>
      <c r="K1529" s="34" t="s">
        <v>25</v>
      </c>
      <c r="L1529" s="475"/>
      <c r="M1529" s="224"/>
      <c r="N1529" s="224"/>
      <c r="O1529" s="2628" t="s">
        <v>6395</v>
      </c>
      <c r="P1529" s="1">
        <v>715</v>
      </c>
      <c r="T1529" s="224"/>
      <c r="U1529" s="34" t="s">
        <v>25</v>
      </c>
      <c r="V1529" s="475"/>
      <c r="W1529" s="224"/>
      <c r="X1529" s="224"/>
    </row>
    <row r="1530" spans="1:24" x14ac:dyDescent="0.3">
      <c r="A1530" s="2651">
        <v>716</v>
      </c>
      <c r="B1530" s="1122" t="s">
        <v>1818</v>
      </c>
      <c r="C1530" s="1117" t="s">
        <v>1344</v>
      </c>
      <c r="D1530" s="416" t="s">
        <v>954</v>
      </c>
      <c r="E1530" s="217" t="s">
        <v>1873</v>
      </c>
      <c r="F1530" s="218" t="s">
        <v>1820</v>
      </c>
      <c r="G1530" s="116">
        <v>7276</v>
      </c>
      <c r="H1530" s="1776" t="s">
        <v>1349</v>
      </c>
      <c r="J1530" s="224"/>
      <c r="K1530" s="34" t="s">
        <v>25</v>
      </c>
      <c r="L1530" s="475"/>
      <c r="M1530" s="224"/>
      <c r="N1530" s="224"/>
      <c r="O1530" s="2628" t="s">
        <v>6395</v>
      </c>
      <c r="P1530" s="1">
        <v>716</v>
      </c>
      <c r="T1530" s="224"/>
      <c r="U1530" s="34" t="s">
        <v>25</v>
      </c>
      <c r="V1530" s="475"/>
      <c r="W1530" s="224"/>
      <c r="X1530" s="224"/>
    </row>
    <row r="1531" spans="1:24" x14ac:dyDescent="0.3">
      <c r="A1531" s="2652">
        <v>717</v>
      </c>
      <c r="B1531" s="1122" t="s">
        <v>1818</v>
      </c>
      <c r="C1531" s="1117" t="s">
        <v>1344</v>
      </c>
      <c r="D1531" s="416" t="s">
        <v>954</v>
      </c>
      <c r="E1531" s="217" t="s">
        <v>1874</v>
      </c>
      <c r="F1531" s="218" t="s">
        <v>1820</v>
      </c>
      <c r="G1531" s="116">
        <v>7276</v>
      </c>
      <c r="H1531" s="1776" t="s">
        <v>1349</v>
      </c>
      <c r="J1531" s="224"/>
      <c r="K1531" s="34" t="s">
        <v>25</v>
      </c>
      <c r="L1531" s="475"/>
      <c r="M1531" s="224"/>
      <c r="N1531" s="224"/>
      <c r="O1531" s="2628" t="s">
        <v>6395</v>
      </c>
      <c r="P1531" s="1">
        <v>717</v>
      </c>
      <c r="T1531" s="224"/>
      <c r="U1531" s="34" t="s">
        <v>25</v>
      </c>
      <c r="V1531" s="475"/>
      <c r="W1531" s="224"/>
      <c r="X1531" s="224"/>
    </row>
    <row r="1532" spans="1:24" x14ac:dyDescent="0.3">
      <c r="A1532" s="2651">
        <v>718</v>
      </c>
      <c r="B1532" s="1122" t="s">
        <v>1818</v>
      </c>
      <c r="C1532" s="1117" t="s">
        <v>1344</v>
      </c>
      <c r="D1532" s="416" t="s">
        <v>954</v>
      </c>
      <c r="E1532" s="217" t="s">
        <v>1875</v>
      </c>
      <c r="F1532" s="218" t="s">
        <v>1820</v>
      </c>
      <c r="G1532" s="116">
        <v>7276</v>
      </c>
      <c r="H1532" s="1776" t="s">
        <v>1349</v>
      </c>
      <c r="J1532" s="224"/>
      <c r="K1532" s="34" t="s">
        <v>25</v>
      </c>
      <c r="L1532" s="475"/>
      <c r="M1532" s="224"/>
      <c r="N1532" s="224"/>
      <c r="O1532" s="2628" t="s">
        <v>6395</v>
      </c>
      <c r="P1532" s="1">
        <v>718</v>
      </c>
      <c r="T1532" s="224"/>
      <c r="U1532" s="34" t="s">
        <v>25</v>
      </c>
      <c r="V1532" s="475"/>
      <c r="W1532" s="224"/>
      <c r="X1532" s="224"/>
    </row>
    <row r="1533" spans="1:24" x14ac:dyDescent="0.3">
      <c r="A1533" s="2651">
        <v>719</v>
      </c>
      <c r="B1533" s="1122" t="s">
        <v>1818</v>
      </c>
      <c r="C1533" s="1117" t="s">
        <v>1344</v>
      </c>
      <c r="D1533" s="416" t="s">
        <v>954</v>
      </c>
      <c r="E1533" s="217" t="s">
        <v>1876</v>
      </c>
      <c r="F1533" s="218" t="s">
        <v>1820</v>
      </c>
      <c r="G1533" s="116">
        <v>7276</v>
      </c>
      <c r="H1533" s="1776" t="s">
        <v>1349</v>
      </c>
      <c r="J1533" s="224"/>
      <c r="K1533" s="34" t="s">
        <v>25</v>
      </c>
      <c r="L1533" s="475"/>
      <c r="M1533" s="224"/>
      <c r="N1533" s="224"/>
      <c r="O1533" s="2628" t="s">
        <v>6395</v>
      </c>
      <c r="P1533" s="1">
        <v>719</v>
      </c>
      <c r="T1533" s="224"/>
      <c r="U1533" s="34" t="s">
        <v>25</v>
      </c>
      <c r="V1533" s="475"/>
      <c r="W1533" s="224"/>
      <c r="X1533" s="224"/>
    </row>
    <row r="1534" spans="1:24" x14ac:dyDescent="0.3">
      <c r="A1534" s="2652">
        <v>720</v>
      </c>
      <c r="B1534" s="1122" t="s">
        <v>1818</v>
      </c>
      <c r="C1534" s="1117" t="s">
        <v>1344</v>
      </c>
      <c r="D1534" s="416" t="s">
        <v>954</v>
      </c>
      <c r="E1534" s="217" t="s">
        <v>1877</v>
      </c>
      <c r="F1534" s="218" t="s">
        <v>1820</v>
      </c>
      <c r="G1534" s="116">
        <v>7276</v>
      </c>
      <c r="H1534" s="1776" t="s">
        <v>1349</v>
      </c>
      <c r="J1534" s="224"/>
      <c r="K1534" s="34" t="s">
        <v>25</v>
      </c>
      <c r="L1534" s="475"/>
      <c r="M1534" s="224"/>
      <c r="N1534" s="224"/>
      <c r="O1534" s="2628" t="s">
        <v>6395</v>
      </c>
      <c r="P1534" s="1">
        <v>720</v>
      </c>
      <c r="T1534" s="224"/>
      <c r="U1534" s="34" t="s">
        <v>25</v>
      </c>
      <c r="V1534" s="475"/>
      <c r="W1534" s="224"/>
      <c r="X1534" s="224"/>
    </row>
    <row r="1535" spans="1:24" x14ac:dyDescent="0.3">
      <c r="A1535" s="2651">
        <v>721</v>
      </c>
      <c r="B1535" s="1122" t="s">
        <v>1818</v>
      </c>
      <c r="C1535" s="1117" t="s">
        <v>1344</v>
      </c>
      <c r="D1535" s="416" t="s">
        <v>954</v>
      </c>
      <c r="E1535" s="217" t="s">
        <v>1878</v>
      </c>
      <c r="F1535" s="218" t="s">
        <v>1820</v>
      </c>
      <c r="G1535" s="116">
        <v>7276</v>
      </c>
      <c r="H1535" s="1776" t="s">
        <v>1349</v>
      </c>
      <c r="J1535" s="224"/>
      <c r="K1535" s="34" t="s">
        <v>25</v>
      </c>
      <c r="L1535" s="475"/>
      <c r="M1535" s="224"/>
      <c r="N1535" s="224"/>
      <c r="O1535" s="2628" t="s">
        <v>6395</v>
      </c>
      <c r="P1535" s="1">
        <v>721</v>
      </c>
      <c r="T1535" s="224"/>
      <c r="U1535" s="34" t="s">
        <v>25</v>
      </c>
      <c r="V1535" s="475"/>
      <c r="W1535" s="224"/>
      <c r="X1535" s="224"/>
    </row>
    <row r="1536" spans="1:24" x14ac:dyDescent="0.3">
      <c r="A1536" s="2651">
        <v>722</v>
      </c>
      <c r="B1536" s="1122" t="s">
        <v>1818</v>
      </c>
      <c r="C1536" s="1117" t="s">
        <v>1344</v>
      </c>
      <c r="D1536" s="416" t="s">
        <v>954</v>
      </c>
      <c r="E1536" s="217" t="s">
        <v>1879</v>
      </c>
      <c r="F1536" s="218" t="s">
        <v>1820</v>
      </c>
      <c r="G1536" s="116">
        <v>7276</v>
      </c>
      <c r="H1536" s="1776" t="s">
        <v>1349</v>
      </c>
      <c r="J1536" s="224"/>
      <c r="K1536" s="34" t="s">
        <v>25</v>
      </c>
      <c r="L1536" s="475"/>
      <c r="M1536" s="224"/>
      <c r="N1536" s="224"/>
      <c r="O1536" s="2628" t="s">
        <v>6395</v>
      </c>
      <c r="P1536" s="1">
        <v>722</v>
      </c>
      <c r="T1536" s="224"/>
      <c r="U1536" s="34" t="s">
        <v>25</v>
      </c>
      <c r="V1536" s="475"/>
      <c r="W1536" s="224"/>
      <c r="X1536" s="224"/>
    </row>
    <row r="1537" spans="1:24" x14ac:dyDescent="0.3">
      <c r="A1537" s="2652">
        <v>723</v>
      </c>
      <c r="B1537" s="1122" t="s">
        <v>1818</v>
      </c>
      <c r="C1537" s="1117" t="s">
        <v>1344</v>
      </c>
      <c r="D1537" s="416" t="s">
        <v>954</v>
      </c>
      <c r="E1537" s="217" t="s">
        <v>1880</v>
      </c>
      <c r="F1537" s="218" t="s">
        <v>1820</v>
      </c>
      <c r="G1537" s="116">
        <v>7276</v>
      </c>
      <c r="H1537" s="1776" t="s">
        <v>1349</v>
      </c>
      <c r="J1537" s="224"/>
      <c r="K1537" s="34" t="s">
        <v>25</v>
      </c>
      <c r="L1537" s="475"/>
      <c r="M1537" s="224"/>
      <c r="N1537" s="224"/>
      <c r="O1537" s="2628" t="s">
        <v>6395</v>
      </c>
      <c r="P1537" s="1">
        <v>723</v>
      </c>
      <c r="T1537" s="224"/>
      <c r="U1537" s="34" t="s">
        <v>25</v>
      </c>
      <c r="V1537" s="475"/>
      <c r="W1537" s="224"/>
      <c r="X1537" s="224"/>
    </row>
    <row r="1538" spans="1:24" x14ac:dyDescent="0.3">
      <c r="A1538" s="2651">
        <v>724</v>
      </c>
      <c r="B1538" s="1122" t="s">
        <v>1818</v>
      </c>
      <c r="C1538" s="1117" t="s">
        <v>1344</v>
      </c>
      <c r="D1538" s="416" t="s">
        <v>954</v>
      </c>
      <c r="E1538" s="217" t="s">
        <v>1881</v>
      </c>
      <c r="F1538" s="218" t="s">
        <v>1820</v>
      </c>
      <c r="G1538" s="116">
        <v>7276</v>
      </c>
      <c r="H1538" s="1776" t="s">
        <v>1349</v>
      </c>
      <c r="J1538" s="224"/>
      <c r="K1538" s="34" t="s">
        <v>25</v>
      </c>
      <c r="L1538" s="475"/>
      <c r="M1538" s="224"/>
      <c r="N1538" s="224"/>
      <c r="O1538" s="2628" t="s">
        <v>6395</v>
      </c>
      <c r="P1538" s="1">
        <v>724</v>
      </c>
      <c r="T1538" s="224"/>
      <c r="U1538" s="34" t="s">
        <v>25</v>
      </c>
      <c r="V1538" s="475"/>
      <c r="W1538" s="224"/>
      <c r="X1538" s="224"/>
    </row>
    <row r="1539" spans="1:24" x14ac:dyDescent="0.3">
      <c r="A1539" s="2651">
        <v>725</v>
      </c>
      <c r="B1539" s="1122" t="s">
        <v>1818</v>
      </c>
      <c r="C1539" s="1117" t="s">
        <v>1344</v>
      </c>
      <c r="D1539" s="416" t="s">
        <v>954</v>
      </c>
      <c r="E1539" s="217" t="s">
        <v>1882</v>
      </c>
      <c r="F1539" s="218" t="s">
        <v>1820</v>
      </c>
      <c r="G1539" s="116">
        <v>7276</v>
      </c>
      <c r="H1539" s="1776" t="s">
        <v>1349</v>
      </c>
      <c r="J1539" s="224"/>
      <c r="K1539" s="34" t="s">
        <v>25</v>
      </c>
      <c r="L1539" s="475"/>
      <c r="M1539" s="224"/>
      <c r="N1539" s="224"/>
      <c r="O1539" s="2628" t="s">
        <v>6395</v>
      </c>
      <c r="P1539" s="1">
        <v>725</v>
      </c>
      <c r="T1539" s="224"/>
      <c r="U1539" s="34" t="s">
        <v>25</v>
      </c>
      <c r="V1539" s="475"/>
      <c r="W1539" s="224"/>
      <c r="X1539" s="224"/>
    </row>
    <row r="1540" spans="1:24" x14ac:dyDescent="0.3">
      <c r="A1540" s="2652">
        <v>726</v>
      </c>
      <c r="B1540" s="1122" t="s">
        <v>1818</v>
      </c>
      <c r="C1540" s="1117" t="s">
        <v>1344</v>
      </c>
      <c r="D1540" s="416" t="s">
        <v>954</v>
      </c>
      <c r="E1540" s="217" t="s">
        <v>1883</v>
      </c>
      <c r="F1540" s="218" t="s">
        <v>1820</v>
      </c>
      <c r="G1540" s="116">
        <v>7276</v>
      </c>
      <c r="H1540" s="1776" t="s">
        <v>1349</v>
      </c>
      <c r="J1540" s="224"/>
      <c r="K1540" s="34" t="s">
        <v>25</v>
      </c>
      <c r="L1540" s="475"/>
      <c r="M1540" s="224"/>
      <c r="N1540" s="224"/>
      <c r="O1540" s="2628" t="s">
        <v>6395</v>
      </c>
      <c r="P1540" s="1">
        <v>726</v>
      </c>
      <c r="T1540" s="224"/>
      <c r="U1540" s="34" t="s">
        <v>25</v>
      </c>
      <c r="V1540" s="475"/>
      <c r="W1540" s="224"/>
      <c r="X1540" s="224"/>
    </row>
    <row r="1541" spans="1:24" x14ac:dyDescent="0.3">
      <c r="A1541" s="2651">
        <v>727</v>
      </c>
      <c r="B1541" s="1122" t="s">
        <v>1818</v>
      </c>
      <c r="C1541" s="1117" t="s">
        <v>1344</v>
      </c>
      <c r="D1541" s="452" t="s">
        <v>954</v>
      </c>
      <c r="E1541" s="217" t="s">
        <v>1884</v>
      </c>
      <c r="F1541" s="218" t="s">
        <v>1820</v>
      </c>
      <c r="G1541" s="116">
        <v>7276</v>
      </c>
      <c r="H1541" s="1776" t="s">
        <v>1349</v>
      </c>
      <c r="J1541" s="224"/>
      <c r="K1541" s="34" t="s">
        <v>25</v>
      </c>
      <c r="L1541" s="475"/>
      <c r="M1541" s="224"/>
      <c r="N1541" s="224"/>
      <c r="O1541" s="2628" t="s">
        <v>6395</v>
      </c>
      <c r="P1541" s="1">
        <v>727</v>
      </c>
      <c r="T1541" s="224"/>
      <c r="U1541" s="34" t="s">
        <v>25</v>
      </c>
      <c r="V1541" s="475"/>
      <c r="W1541" s="224"/>
      <c r="X1541" s="224"/>
    </row>
    <row r="1542" spans="1:24" x14ac:dyDescent="0.3">
      <c r="A1542" s="2651">
        <v>728</v>
      </c>
      <c r="B1542" s="1122" t="s">
        <v>1818</v>
      </c>
      <c r="C1542" s="1117" t="s">
        <v>1344</v>
      </c>
      <c r="D1542" s="793" t="s">
        <v>954</v>
      </c>
      <c r="E1542" s="217" t="s">
        <v>1885</v>
      </c>
      <c r="F1542" s="218" t="s">
        <v>1820</v>
      </c>
      <c r="G1542" s="116">
        <v>7276</v>
      </c>
      <c r="H1542" s="1776" t="s">
        <v>1349</v>
      </c>
      <c r="J1542" s="224"/>
      <c r="K1542" s="34" t="s">
        <v>25</v>
      </c>
      <c r="L1542" s="475"/>
      <c r="M1542" s="224"/>
      <c r="N1542" s="224"/>
      <c r="O1542" s="2628" t="s">
        <v>6395</v>
      </c>
      <c r="P1542" s="1">
        <v>728</v>
      </c>
      <c r="T1542" s="224"/>
      <c r="U1542" s="34" t="s">
        <v>25</v>
      </c>
      <c r="V1542" s="475"/>
      <c r="W1542" s="224"/>
      <c r="X1542" s="224"/>
    </row>
    <row r="1543" spans="1:24" x14ac:dyDescent="0.3">
      <c r="A1543" s="2652">
        <v>729</v>
      </c>
      <c r="B1543" s="1122" t="s">
        <v>1818</v>
      </c>
      <c r="C1543" s="1117" t="s">
        <v>1344</v>
      </c>
      <c r="D1543" s="416" t="s">
        <v>954</v>
      </c>
      <c r="E1543" s="217" t="s">
        <v>1886</v>
      </c>
      <c r="F1543" s="218" t="s">
        <v>1820</v>
      </c>
      <c r="G1543" s="116">
        <v>7276</v>
      </c>
      <c r="H1543" s="1776" t="s">
        <v>1349</v>
      </c>
      <c r="J1543" s="224"/>
      <c r="K1543" s="34" t="s">
        <v>25</v>
      </c>
      <c r="L1543" s="475"/>
      <c r="M1543" s="224"/>
      <c r="N1543" s="224"/>
      <c r="O1543" s="2628" t="s">
        <v>6395</v>
      </c>
      <c r="P1543" s="1">
        <v>729</v>
      </c>
      <c r="T1543" s="224"/>
      <c r="U1543" s="34" t="s">
        <v>25</v>
      </c>
      <c r="V1543" s="475"/>
      <c r="W1543" s="224"/>
      <c r="X1543" s="224"/>
    </row>
    <row r="1544" spans="1:24" x14ac:dyDescent="0.3">
      <c r="A1544" s="2651">
        <v>730</v>
      </c>
      <c r="B1544" s="1122" t="s">
        <v>1818</v>
      </c>
      <c r="C1544" s="1117" t="s">
        <v>1344</v>
      </c>
      <c r="D1544" s="416" t="s">
        <v>954</v>
      </c>
      <c r="E1544" s="217" t="s">
        <v>1887</v>
      </c>
      <c r="F1544" s="218" t="s">
        <v>1820</v>
      </c>
      <c r="G1544" s="116">
        <v>7276</v>
      </c>
      <c r="H1544" s="1776" t="s">
        <v>1349</v>
      </c>
      <c r="J1544" s="224"/>
      <c r="K1544" s="34" t="s">
        <v>25</v>
      </c>
      <c r="L1544" s="475"/>
      <c r="M1544" s="224"/>
      <c r="N1544" s="224"/>
      <c r="O1544" s="2628" t="s">
        <v>6395</v>
      </c>
      <c r="P1544" s="1">
        <v>730</v>
      </c>
      <c r="T1544" s="224"/>
      <c r="U1544" s="34" t="s">
        <v>25</v>
      </c>
      <c r="V1544" s="475"/>
      <c r="W1544" s="224"/>
      <c r="X1544" s="224"/>
    </row>
    <row r="1545" spans="1:24" x14ac:dyDescent="0.3">
      <c r="A1545" s="2651">
        <v>731</v>
      </c>
      <c r="B1545" s="1122" t="s">
        <v>1818</v>
      </c>
      <c r="C1545" s="1117" t="s">
        <v>1344</v>
      </c>
      <c r="D1545" s="416" t="s">
        <v>954</v>
      </c>
      <c r="E1545" s="217" t="s">
        <v>1888</v>
      </c>
      <c r="F1545" s="218" t="s">
        <v>1820</v>
      </c>
      <c r="G1545" s="116">
        <v>7276</v>
      </c>
      <c r="H1545" s="1776" t="s">
        <v>1349</v>
      </c>
      <c r="J1545" s="224"/>
      <c r="K1545" s="34" t="s">
        <v>25</v>
      </c>
      <c r="L1545" s="475"/>
      <c r="M1545" s="224"/>
      <c r="N1545" s="224"/>
      <c r="O1545" s="2628" t="s">
        <v>6395</v>
      </c>
      <c r="P1545" s="1">
        <v>731</v>
      </c>
      <c r="T1545" s="224"/>
      <c r="U1545" s="34" t="s">
        <v>25</v>
      </c>
      <c r="V1545" s="475"/>
      <c r="W1545" s="224"/>
      <c r="X1545" s="224"/>
    </row>
    <row r="1546" spans="1:24" x14ac:dyDescent="0.3">
      <c r="A1546" s="2652">
        <v>732</v>
      </c>
      <c r="B1546" s="1122" t="s">
        <v>1818</v>
      </c>
      <c r="C1546" s="1117" t="s">
        <v>1344</v>
      </c>
      <c r="D1546" s="416" t="s">
        <v>954</v>
      </c>
      <c r="E1546" s="217" t="s">
        <v>1889</v>
      </c>
      <c r="F1546" s="218" t="s">
        <v>1820</v>
      </c>
      <c r="G1546" s="116">
        <v>7276</v>
      </c>
      <c r="H1546" s="1776" t="s">
        <v>1349</v>
      </c>
      <c r="J1546" s="224"/>
      <c r="K1546" s="34" t="s">
        <v>25</v>
      </c>
      <c r="L1546" s="475"/>
      <c r="M1546" s="224"/>
      <c r="N1546" s="224"/>
      <c r="O1546" s="2628" t="s">
        <v>6395</v>
      </c>
      <c r="P1546" s="1">
        <v>732</v>
      </c>
      <c r="T1546" s="224"/>
      <c r="U1546" s="34" t="s">
        <v>25</v>
      </c>
      <c r="V1546" s="475"/>
      <c r="W1546" s="224"/>
      <c r="X1546" s="224"/>
    </row>
    <row r="1547" spans="1:24" x14ac:dyDescent="0.3">
      <c r="A1547" s="2651">
        <v>733</v>
      </c>
      <c r="B1547" s="1122" t="s">
        <v>1818</v>
      </c>
      <c r="C1547" s="1117" t="s">
        <v>1344</v>
      </c>
      <c r="D1547" s="416" t="s">
        <v>954</v>
      </c>
      <c r="E1547" s="217" t="s">
        <v>199</v>
      </c>
      <c r="F1547" s="218" t="s">
        <v>1820</v>
      </c>
      <c r="G1547" s="116">
        <v>7276</v>
      </c>
      <c r="H1547" s="1776" t="s">
        <v>1349</v>
      </c>
      <c r="J1547" s="224"/>
      <c r="K1547" s="34" t="s">
        <v>25</v>
      </c>
      <c r="L1547" s="475"/>
      <c r="M1547" s="224"/>
      <c r="N1547" s="224"/>
      <c r="O1547" s="2628" t="s">
        <v>6395</v>
      </c>
      <c r="P1547" s="1">
        <v>733</v>
      </c>
      <c r="T1547" s="224"/>
      <c r="U1547" s="34" t="s">
        <v>25</v>
      </c>
      <c r="V1547" s="475"/>
      <c r="W1547" s="224"/>
      <c r="X1547" s="224"/>
    </row>
    <row r="1548" spans="1:24" x14ac:dyDescent="0.3">
      <c r="A1548" s="2651">
        <v>734</v>
      </c>
      <c r="B1548" s="1122" t="s">
        <v>1818</v>
      </c>
      <c r="C1548" s="1117" t="s">
        <v>1344</v>
      </c>
      <c r="D1548" s="416" t="s">
        <v>954</v>
      </c>
      <c r="E1548" s="217" t="s">
        <v>201</v>
      </c>
      <c r="F1548" s="218" t="s">
        <v>1820</v>
      </c>
      <c r="G1548" s="116">
        <v>7276</v>
      </c>
      <c r="H1548" s="1776" t="s">
        <v>1349</v>
      </c>
      <c r="J1548" s="224"/>
      <c r="K1548" s="34" t="s">
        <v>25</v>
      </c>
      <c r="L1548" s="475"/>
      <c r="M1548" s="224"/>
      <c r="N1548" s="224"/>
      <c r="O1548" s="2628" t="s">
        <v>6395</v>
      </c>
      <c r="P1548" s="1">
        <v>734</v>
      </c>
      <c r="T1548" s="224"/>
      <c r="U1548" s="34" t="s">
        <v>25</v>
      </c>
      <c r="V1548" s="475"/>
      <c r="W1548" s="224"/>
      <c r="X1548" s="224"/>
    </row>
    <row r="1549" spans="1:24" x14ac:dyDescent="0.3">
      <c r="A1549" s="2652">
        <v>735</v>
      </c>
      <c r="B1549" s="1122" t="s">
        <v>1818</v>
      </c>
      <c r="C1549" s="1117" t="s">
        <v>1344</v>
      </c>
      <c r="D1549" s="416" t="s">
        <v>954</v>
      </c>
      <c r="E1549" s="217" t="s">
        <v>203</v>
      </c>
      <c r="F1549" s="218" t="s">
        <v>1820</v>
      </c>
      <c r="G1549" s="116">
        <v>7276</v>
      </c>
      <c r="H1549" s="1776" t="s">
        <v>1349</v>
      </c>
      <c r="J1549" s="224"/>
      <c r="K1549" s="34" t="s">
        <v>25</v>
      </c>
      <c r="L1549" s="475"/>
      <c r="M1549" s="224"/>
      <c r="N1549" s="224"/>
      <c r="O1549" s="2628" t="s">
        <v>6395</v>
      </c>
      <c r="P1549" s="1">
        <v>735</v>
      </c>
      <c r="T1549" s="224"/>
      <c r="U1549" s="34" t="s">
        <v>25</v>
      </c>
      <c r="V1549" s="475"/>
      <c r="W1549" s="224"/>
      <c r="X1549" s="224"/>
    </row>
    <row r="1550" spans="1:24" x14ac:dyDescent="0.3">
      <c r="A1550" s="2651">
        <v>736</v>
      </c>
      <c r="B1550" s="1122" t="s">
        <v>1818</v>
      </c>
      <c r="C1550" s="1117" t="s">
        <v>1344</v>
      </c>
      <c r="D1550" s="416" t="s">
        <v>954</v>
      </c>
      <c r="E1550" s="217" t="s">
        <v>204</v>
      </c>
      <c r="F1550" s="218" t="s">
        <v>1820</v>
      </c>
      <c r="G1550" s="116">
        <v>7276</v>
      </c>
      <c r="H1550" s="1776" t="s">
        <v>1349</v>
      </c>
      <c r="J1550" s="224"/>
      <c r="K1550" s="34" t="s">
        <v>25</v>
      </c>
      <c r="L1550" s="475"/>
      <c r="M1550" s="224"/>
      <c r="N1550" s="224"/>
      <c r="O1550" s="2628" t="s">
        <v>6395</v>
      </c>
      <c r="P1550" s="1">
        <v>736</v>
      </c>
      <c r="T1550" s="224"/>
      <c r="U1550" s="34" t="s">
        <v>25</v>
      </c>
      <c r="V1550" s="475"/>
      <c r="W1550" s="224"/>
      <c r="X1550" s="224"/>
    </row>
    <row r="1551" spans="1:24" x14ac:dyDescent="0.3">
      <c r="A1551" s="2651">
        <v>737</v>
      </c>
      <c r="B1551" s="1122" t="s">
        <v>1818</v>
      </c>
      <c r="C1551" s="1117" t="s">
        <v>1344</v>
      </c>
      <c r="D1551" s="416" t="s">
        <v>954</v>
      </c>
      <c r="E1551" s="217" t="s">
        <v>205</v>
      </c>
      <c r="F1551" s="218" t="s">
        <v>1820</v>
      </c>
      <c r="G1551" s="116">
        <v>7276</v>
      </c>
      <c r="H1551" s="1776" t="s">
        <v>1349</v>
      </c>
      <c r="J1551" s="224"/>
      <c r="K1551" s="34" t="s">
        <v>25</v>
      </c>
      <c r="L1551" s="475"/>
      <c r="M1551" s="224"/>
      <c r="N1551" s="224"/>
      <c r="O1551" s="2628" t="s">
        <v>6395</v>
      </c>
      <c r="P1551" s="1">
        <v>737</v>
      </c>
      <c r="T1551" s="224"/>
      <c r="U1551" s="34" t="s">
        <v>25</v>
      </c>
      <c r="V1551" s="475"/>
      <c r="W1551" s="224"/>
      <c r="X1551" s="224"/>
    </row>
    <row r="1552" spans="1:24" x14ac:dyDescent="0.3">
      <c r="A1552" s="2652">
        <v>738</v>
      </c>
      <c r="B1552" s="1122" t="s">
        <v>1818</v>
      </c>
      <c r="C1552" s="1117" t="s">
        <v>1344</v>
      </c>
      <c r="D1552" s="416" t="s">
        <v>954</v>
      </c>
      <c r="E1552" s="217" t="s">
        <v>206</v>
      </c>
      <c r="F1552" s="218" t="s">
        <v>1820</v>
      </c>
      <c r="G1552" s="116">
        <v>7276</v>
      </c>
      <c r="H1552" s="1776" t="s">
        <v>1349</v>
      </c>
      <c r="J1552" s="224"/>
      <c r="K1552" s="34" t="s">
        <v>25</v>
      </c>
      <c r="L1552" s="475"/>
      <c r="M1552" s="224"/>
      <c r="N1552" s="224"/>
      <c r="O1552" s="2628" t="s">
        <v>6395</v>
      </c>
      <c r="P1552" s="1">
        <v>738</v>
      </c>
      <c r="T1552" s="224"/>
      <c r="U1552" s="34" t="s">
        <v>25</v>
      </c>
      <c r="V1552" s="475"/>
      <c r="W1552" s="224"/>
      <c r="X1552" s="224"/>
    </row>
    <row r="1553" spans="1:24" x14ac:dyDescent="0.3">
      <c r="A1553" s="2651">
        <v>739</v>
      </c>
      <c r="B1553" s="1122" t="s">
        <v>1818</v>
      </c>
      <c r="C1553" s="1117" t="s">
        <v>1344</v>
      </c>
      <c r="D1553" s="416" t="s">
        <v>954</v>
      </c>
      <c r="E1553" s="217" t="s">
        <v>207</v>
      </c>
      <c r="F1553" s="218" t="s">
        <v>1820</v>
      </c>
      <c r="G1553" s="116">
        <v>7276</v>
      </c>
      <c r="H1553" s="1776" t="s">
        <v>1349</v>
      </c>
      <c r="J1553" s="224"/>
      <c r="K1553" s="34" t="s">
        <v>25</v>
      </c>
      <c r="L1553" s="475"/>
      <c r="M1553" s="224"/>
      <c r="N1553" s="224"/>
      <c r="O1553" s="2628" t="s">
        <v>6395</v>
      </c>
      <c r="P1553" s="1">
        <v>739</v>
      </c>
      <c r="T1553" s="224"/>
      <c r="U1553" s="34" t="s">
        <v>25</v>
      </c>
      <c r="V1553" s="475"/>
      <c r="W1553" s="224"/>
      <c r="X1553" s="224"/>
    </row>
    <row r="1554" spans="1:24" x14ac:dyDescent="0.3">
      <c r="A1554" s="2651">
        <v>740</v>
      </c>
      <c r="B1554" s="1122" t="s">
        <v>1818</v>
      </c>
      <c r="C1554" s="1117" t="s">
        <v>1344</v>
      </c>
      <c r="D1554" s="416" t="s">
        <v>954</v>
      </c>
      <c r="E1554" s="217" t="s">
        <v>208</v>
      </c>
      <c r="F1554" s="218" t="s">
        <v>1820</v>
      </c>
      <c r="G1554" s="116">
        <v>7276</v>
      </c>
      <c r="H1554" s="1776" t="s">
        <v>1349</v>
      </c>
      <c r="J1554" s="224"/>
      <c r="K1554" s="34" t="s">
        <v>25</v>
      </c>
      <c r="L1554" s="475"/>
      <c r="M1554" s="224"/>
      <c r="N1554" s="224"/>
      <c r="O1554" s="2628" t="s">
        <v>6395</v>
      </c>
      <c r="P1554" s="1">
        <v>740</v>
      </c>
      <c r="T1554" s="224"/>
      <c r="U1554" s="34" t="s">
        <v>25</v>
      </c>
      <c r="V1554" s="475"/>
      <c r="W1554" s="224"/>
      <c r="X1554" s="224"/>
    </row>
    <row r="1555" spans="1:24" x14ac:dyDescent="0.3">
      <c r="A1555" s="2652">
        <v>741</v>
      </c>
      <c r="B1555" s="1122" t="s">
        <v>1818</v>
      </c>
      <c r="C1555" s="1117" t="s">
        <v>1344</v>
      </c>
      <c r="D1555" s="416" t="s">
        <v>954</v>
      </c>
      <c r="E1555" s="217" t="s">
        <v>209</v>
      </c>
      <c r="F1555" s="218" t="s">
        <v>1820</v>
      </c>
      <c r="G1555" s="116">
        <v>7276</v>
      </c>
      <c r="H1555" s="1776" t="s">
        <v>1349</v>
      </c>
      <c r="J1555" s="224"/>
      <c r="K1555" s="34" t="s">
        <v>25</v>
      </c>
      <c r="L1555" s="475"/>
      <c r="M1555" s="224"/>
      <c r="N1555" s="224"/>
      <c r="O1555" s="2628" t="s">
        <v>6395</v>
      </c>
      <c r="P1555" s="1">
        <v>741</v>
      </c>
      <c r="T1555" s="224"/>
      <c r="U1555" s="34" t="s">
        <v>25</v>
      </c>
      <c r="V1555" s="475"/>
      <c r="W1555" s="224"/>
      <c r="X1555" s="224"/>
    </row>
    <row r="1556" spans="1:24" x14ac:dyDescent="0.3">
      <c r="A1556" s="2651">
        <v>742</v>
      </c>
      <c r="B1556" s="1122" t="s">
        <v>1818</v>
      </c>
      <c r="C1556" s="1117" t="s">
        <v>1344</v>
      </c>
      <c r="D1556" s="416" t="s">
        <v>954</v>
      </c>
      <c r="E1556" s="217" t="s">
        <v>1890</v>
      </c>
      <c r="F1556" s="218" t="s">
        <v>1820</v>
      </c>
      <c r="G1556" s="116">
        <v>7276</v>
      </c>
      <c r="H1556" s="1776" t="s">
        <v>1349</v>
      </c>
      <c r="J1556" s="224"/>
      <c r="K1556" s="34" t="s">
        <v>25</v>
      </c>
      <c r="L1556" s="475"/>
      <c r="M1556" s="224"/>
      <c r="N1556" s="224"/>
      <c r="O1556" s="2628" t="s">
        <v>6395</v>
      </c>
      <c r="P1556" s="1">
        <v>742</v>
      </c>
      <c r="T1556" s="224"/>
      <c r="U1556" s="34" t="s">
        <v>25</v>
      </c>
      <c r="V1556" s="475"/>
      <c r="W1556" s="224"/>
      <c r="X1556" s="224"/>
    </row>
    <row r="1557" spans="1:24" x14ac:dyDescent="0.3">
      <c r="A1557" s="2651">
        <v>743</v>
      </c>
      <c r="B1557" s="1122" t="s">
        <v>1818</v>
      </c>
      <c r="C1557" s="216" t="s">
        <v>1344</v>
      </c>
      <c r="D1557" s="452" t="s">
        <v>954</v>
      </c>
      <c r="E1557" s="217" t="s">
        <v>211</v>
      </c>
      <c r="F1557" s="218" t="s">
        <v>1820</v>
      </c>
      <c r="G1557" s="116">
        <v>7276</v>
      </c>
      <c r="H1557" s="1776" t="s">
        <v>1349</v>
      </c>
      <c r="J1557" s="224"/>
      <c r="K1557" s="34" t="s">
        <v>25</v>
      </c>
      <c r="L1557" s="475"/>
      <c r="M1557" s="224"/>
      <c r="N1557" s="224"/>
      <c r="O1557" s="2628" t="s">
        <v>6395</v>
      </c>
      <c r="P1557" s="1">
        <v>743</v>
      </c>
      <c r="T1557" s="224"/>
      <c r="U1557" s="34" t="s">
        <v>25</v>
      </c>
      <c r="V1557" s="475"/>
      <c r="W1557" s="224"/>
      <c r="X1557" s="224"/>
    </row>
    <row r="1558" spans="1:24" x14ac:dyDescent="0.3">
      <c r="A1558" s="2652">
        <v>744</v>
      </c>
      <c r="B1558" s="1122" t="s">
        <v>1818</v>
      </c>
      <c r="C1558" s="216" t="s">
        <v>1344</v>
      </c>
      <c r="D1558" s="793" t="s">
        <v>954</v>
      </c>
      <c r="E1558" s="217" t="s">
        <v>212</v>
      </c>
      <c r="F1558" s="218" t="s">
        <v>1820</v>
      </c>
      <c r="G1558" s="116">
        <v>7276</v>
      </c>
      <c r="H1558" s="1776" t="s">
        <v>1349</v>
      </c>
      <c r="J1558" s="224"/>
      <c r="K1558" s="34" t="s">
        <v>25</v>
      </c>
      <c r="L1558" s="475"/>
      <c r="M1558" s="224"/>
      <c r="N1558" s="224"/>
      <c r="O1558" s="2628" t="s">
        <v>6395</v>
      </c>
      <c r="P1558" s="1">
        <v>744</v>
      </c>
      <c r="T1558" s="224"/>
      <c r="U1558" s="34" t="s">
        <v>25</v>
      </c>
      <c r="V1558" s="475"/>
      <c r="W1558" s="224"/>
      <c r="X1558" s="224"/>
    </row>
    <row r="1559" spans="1:24" x14ac:dyDescent="0.3">
      <c r="A1559" s="2651">
        <v>745</v>
      </c>
      <c r="B1559" s="1122" t="s">
        <v>1818</v>
      </c>
      <c r="C1559" s="216" t="s">
        <v>1344</v>
      </c>
      <c r="D1559" s="416" t="s">
        <v>954</v>
      </c>
      <c r="E1559" s="217" t="s">
        <v>213</v>
      </c>
      <c r="F1559" s="218" t="s">
        <v>1820</v>
      </c>
      <c r="G1559" s="116">
        <v>7276</v>
      </c>
      <c r="H1559" s="1776" t="s">
        <v>1349</v>
      </c>
      <c r="J1559" s="224"/>
      <c r="K1559" s="34" t="s">
        <v>25</v>
      </c>
      <c r="L1559" s="475"/>
      <c r="M1559" s="224"/>
      <c r="N1559" s="224"/>
      <c r="O1559" s="2628" t="s">
        <v>6395</v>
      </c>
      <c r="P1559" s="1">
        <v>745</v>
      </c>
      <c r="T1559" s="224"/>
      <c r="U1559" s="34" t="s">
        <v>25</v>
      </c>
      <c r="V1559" s="475"/>
      <c r="W1559" s="224"/>
      <c r="X1559" s="224"/>
    </row>
    <row r="1560" spans="1:24" x14ac:dyDescent="0.3">
      <c r="A1560" s="2651">
        <v>746</v>
      </c>
      <c r="B1560" s="1122" t="s">
        <v>1818</v>
      </c>
      <c r="C1560" s="216" t="s">
        <v>1344</v>
      </c>
      <c r="D1560" s="416" t="s">
        <v>954</v>
      </c>
      <c r="E1560" s="217" t="s">
        <v>1891</v>
      </c>
      <c r="F1560" s="218" t="s">
        <v>1820</v>
      </c>
      <c r="G1560" s="116">
        <v>7276</v>
      </c>
      <c r="H1560" s="1776" t="s">
        <v>1349</v>
      </c>
      <c r="J1560" s="224"/>
      <c r="K1560" s="34" t="s">
        <v>25</v>
      </c>
      <c r="L1560" s="475"/>
      <c r="M1560" s="224"/>
      <c r="N1560" s="224"/>
      <c r="O1560" s="2628" t="s">
        <v>6395</v>
      </c>
      <c r="P1560" s="1">
        <v>746</v>
      </c>
      <c r="T1560" s="224"/>
      <c r="U1560" s="34" t="s">
        <v>25</v>
      </c>
      <c r="V1560" s="475"/>
      <c r="W1560" s="224"/>
      <c r="X1560" s="224"/>
    </row>
    <row r="1561" spans="1:24" x14ac:dyDescent="0.3">
      <c r="A1561" s="2652">
        <v>747</v>
      </c>
      <c r="B1561" s="1122" t="s">
        <v>1818</v>
      </c>
      <c r="C1561" s="216" t="s">
        <v>1344</v>
      </c>
      <c r="D1561" s="416" t="s">
        <v>954</v>
      </c>
      <c r="E1561" s="217" t="s">
        <v>214</v>
      </c>
      <c r="F1561" s="218" t="s">
        <v>1820</v>
      </c>
      <c r="G1561" s="116">
        <v>7276</v>
      </c>
      <c r="H1561" s="1776" t="s">
        <v>1349</v>
      </c>
      <c r="J1561" s="224"/>
      <c r="K1561" s="34" t="s">
        <v>25</v>
      </c>
      <c r="L1561" s="475"/>
      <c r="M1561" s="224"/>
      <c r="N1561" s="224"/>
      <c r="O1561" s="2628" t="s">
        <v>6395</v>
      </c>
      <c r="P1561" s="1">
        <v>747</v>
      </c>
      <c r="T1561" s="224"/>
      <c r="U1561" s="34" t="s">
        <v>25</v>
      </c>
      <c r="V1561" s="475"/>
      <c r="W1561" s="224"/>
      <c r="X1561" s="224"/>
    </row>
    <row r="1562" spans="1:24" x14ac:dyDescent="0.3">
      <c r="A1562" s="2651">
        <v>748</v>
      </c>
      <c r="B1562" s="1122" t="s">
        <v>1818</v>
      </c>
      <c r="C1562" s="216" t="s">
        <v>1344</v>
      </c>
      <c r="D1562" s="416" t="s">
        <v>954</v>
      </c>
      <c r="E1562" s="217" t="s">
        <v>1892</v>
      </c>
      <c r="F1562" s="218" t="s">
        <v>1820</v>
      </c>
      <c r="G1562" s="116">
        <v>7276</v>
      </c>
      <c r="H1562" s="1776" t="s">
        <v>1349</v>
      </c>
      <c r="J1562" s="224"/>
      <c r="K1562" s="34" t="s">
        <v>25</v>
      </c>
      <c r="L1562" s="475"/>
      <c r="M1562" s="224"/>
      <c r="N1562" s="224"/>
      <c r="O1562" s="2628" t="s">
        <v>6395</v>
      </c>
      <c r="P1562" s="1">
        <v>748</v>
      </c>
      <c r="T1562" s="224"/>
      <c r="U1562" s="34" t="s">
        <v>25</v>
      </c>
      <c r="V1562" s="475"/>
      <c r="W1562" s="224"/>
      <c r="X1562" s="224"/>
    </row>
    <row r="1563" spans="1:24" x14ac:dyDescent="0.3">
      <c r="A1563" s="2651">
        <v>749</v>
      </c>
      <c r="B1563" s="1122" t="s">
        <v>1818</v>
      </c>
      <c r="C1563" s="216" t="s">
        <v>1344</v>
      </c>
      <c r="D1563" s="416" t="s">
        <v>954</v>
      </c>
      <c r="E1563" s="217" t="s">
        <v>216</v>
      </c>
      <c r="F1563" s="218" t="s">
        <v>1820</v>
      </c>
      <c r="G1563" s="116">
        <v>7276</v>
      </c>
      <c r="H1563" s="1776" t="s">
        <v>1349</v>
      </c>
      <c r="J1563" s="224"/>
      <c r="K1563" s="34" t="s">
        <v>25</v>
      </c>
      <c r="L1563" s="475"/>
      <c r="M1563" s="224"/>
      <c r="N1563" s="224"/>
      <c r="O1563" s="2628" t="s">
        <v>6395</v>
      </c>
      <c r="P1563" s="1">
        <v>749</v>
      </c>
      <c r="T1563" s="224"/>
      <c r="U1563" s="34" t="s">
        <v>25</v>
      </c>
      <c r="V1563" s="475"/>
      <c r="W1563" s="224"/>
      <c r="X1563" s="224"/>
    </row>
    <row r="1564" spans="1:24" x14ac:dyDescent="0.3">
      <c r="A1564" s="2652">
        <v>750</v>
      </c>
      <c r="B1564" s="1122" t="s">
        <v>1818</v>
      </c>
      <c r="C1564" s="216" t="s">
        <v>1344</v>
      </c>
      <c r="D1564" s="416" t="s">
        <v>954</v>
      </c>
      <c r="E1564" s="217" t="s">
        <v>217</v>
      </c>
      <c r="F1564" s="218" t="s">
        <v>1820</v>
      </c>
      <c r="G1564" s="116">
        <v>7276</v>
      </c>
      <c r="H1564" s="1776" t="s">
        <v>1349</v>
      </c>
      <c r="J1564" s="224"/>
      <c r="K1564" s="34" t="s">
        <v>25</v>
      </c>
      <c r="L1564" s="475"/>
      <c r="M1564" s="224"/>
      <c r="N1564" s="224"/>
      <c r="O1564" s="2628" t="s">
        <v>6395</v>
      </c>
      <c r="P1564" s="1">
        <v>750</v>
      </c>
      <c r="T1564" s="224"/>
      <c r="U1564" s="34" t="s">
        <v>25</v>
      </c>
      <c r="V1564" s="475"/>
      <c r="W1564" s="224"/>
      <c r="X1564" s="224"/>
    </row>
    <row r="1565" spans="1:24" x14ac:dyDescent="0.3">
      <c r="A1565" s="2651">
        <v>751</v>
      </c>
      <c r="B1565" s="1122" t="s">
        <v>1818</v>
      </c>
      <c r="C1565" s="216" t="s">
        <v>1344</v>
      </c>
      <c r="D1565" s="416" t="s">
        <v>954</v>
      </c>
      <c r="E1565" s="217" t="s">
        <v>218</v>
      </c>
      <c r="F1565" s="218" t="s">
        <v>1820</v>
      </c>
      <c r="G1565" s="116">
        <v>7276</v>
      </c>
      <c r="H1565" s="1776" t="s">
        <v>1349</v>
      </c>
      <c r="J1565" s="224"/>
      <c r="K1565" s="34" t="s">
        <v>25</v>
      </c>
      <c r="L1565" s="475"/>
      <c r="M1565" s="224"/>
      <c r="N1565" s="224"/>
      <c r="O1565" s="2628" t="s">
        <v>6395</v>
      </c>
      <c r="P1565" s="1">
        <v>751</v>
      </c>
      <c r="T1565" s="224"/>
      <c r="U1565" s="34" t="s">
        <v>25</v>
      </c>
      <c r="V1565" s="475"/>
      <c r="W1565" s="224"/>
      <c r="X1565" s="224"/>
    </row>
    <row r="1566" spans="1:24" x14ac:dyDescent="0.3">
      <c r="A1566" s="2651">
        <v>752</v>
      </c>
      <c r="B1566" s="1122" t="s">
        <v>1818</v>
      </c>
      <c r="C1566" s="216" t="s">
        <v>1344</v>
      </c>
      <c r="D1566" s="416" t="s">
        <v>954</v>
      </c>
      <c r="E1566" s="217" t="s">
        <v>219</v>
      </c>
      <c r="F1566" s="218" t="s">
        <v>1820</v>
      </c>
      <c r="G1566" s="116">
        <v>7276</v>
      </c>
      <c r="H1566" s="1776" t="s">
        <v>1349</v>
      </c>
      <c r="J1566" s="224"/>
      <c r="K1566" s="34" t="s">
        <v>25</v>
      </c>
      <c r="L1566" s="475"/>
      <c r="M1566" s="224"/>
      <c r="N1566" s="224"/>
      <c r="O1566" s="2628" t="s">
        <v>6395</v>
      </c>
      <c r="P1566" s="1">
        <v>752</v>
      </c>
      <c r="T1566" s="224"/>
      <c r="U1566" s="34" t="s">
        <v>25</v>
      </c>
      <c r="V1566" s="475"/>
      <c r="W1566" s="224"/>
      <c r="X1566" s="224"/>
    </row>
    <row r="1567" spans="1:24" x14ac:dyDescent="0.3">
      <c r="A1567" s="2652">
        <v>753</v>
      </c>
      <c r="B1567" s="1122" t="s">
        <v>1818</v>
      </c>
      <c r="C1567" s="216" t="s">
        <v>1344</v>
      </c>
      <c r="D1567" s="416" t="s">
        <v>954</v>
      </c>
      <c r="E1567" s="217" t="s">
        <v>220</v>
      </c>
      <c r="F1567" s="218" t="s">
        <v>1820</v>
      </c>
      <c r="G1567" s="116">
        <v>7276</v>
      </c>
      <c r="H1567" s="1776" t="s">
        <v>1349</v>
      </c>
      <c r="J1567" s="224"/>
      <c r="K1567" s="34" t="s">
        <v>25</v>
      </c>
      <c r="L1567" s="475"/>
      <c r="M1567" s="224"/>
      <c r="N1567" s="224"/>
      <c r="O1567" s="2628" t="s">
        <v>6395</v>
      </c>
      <c r="P1567" s="1">
        <v>753</v>
      </c>
      <c r="T1567" s="224"/>
      <c r="U1567" s="34" t="s">
        <v>25</v>
      </c>
      <c r="V1567" s="475"/>
      <c r="W1567" s="224"/>
      <c r="X1567" s="224"/>
    </row>
    <row r="1568" spans="1:24" x14ac:dyDescent="0.3">
      <c r="A1568" s="2651">
        <v>754</v>
      </c>
      <c r="B1568" s="1122" t="s">
        <v>1818</v>
      </c>
      <c r="C1568" s="216" t="s">
        <v>1344</v>
      </c>
      <c r="D1568" s="416" t="s">
        <v>954</v>
      </c>
      <c r="E1568" s="217" t="s">
        <v>221</v>
      </c>
      <c r="F1568" s="218" t="s">
        <v>1820</v>
      </c>
      <c r="G1568" s="116">
        <v>7276</v>
      </c>
      <c r="H1568" s="1776" t="s">
        <v>1349</v>
      </c>
      <c r="J1568" s="224"/>
      <c r="K1568" s="34" t="s">
        <v>25</v>
      </c>
      <c r="L1568" s="475"/>
      <c r="M1568" s="224"/>
      <c r="N1568" s="224"/>
      <c r="O1568" s="2628" t="s">
        <v>6395</v>
      </c>
      <c r="P1568" s="1">
        <v>754</v>
      </c>
      <c r="T1568" s="224"/>
      <c r="U1568" s="34" t="s">
        <v>25</v>
      </c>
      <c r="V1568" s="475"/>
      <c r="W1568" s="224"/>
      <c r="X1568" s="224"/>
    </row>
    <row r="1569" spans="1:24" x14ac:dyDescent="0.3">
      <c r="A1569" s="2651">
        <v>755</v>
      </c>
      <c r="B1569" s="1122" t="s">
        <v>1818</v>
      </c>
      <c r="C1569" s="216" t="s">
        <v>1344</v>
      </c>
      <c r="D1569" s="416" t="s">
        <v>954</v>
      </c>
      <c r="E1569" s="217" t="s">
        <v>222</v>
      </c>
      <c r="F1569" s="218" t="s">
        <v>1820</v>
      </c>
      <c r="G1569" s="116">
        <v>7276</v>
      </c>
      <c r="H1569" s="1776" t="s">
        <v>1349</v>
      </c>
      <c r="J1569" s="224"/>
      <c r="K1569" s="34" t="s">
        <v>25</v>
      </c>
      <c r="L1569" s="475"/>
      <c r="M1569" s="224"/>
      <c r="N1569" s="224"/>
      <c r="O1569" s="2628" t="s">
        <v>6395</v>
      </c>
      <c r="P1569" s="1">
        <v>755</v>
      </c>
      <c r="T1569" s="224"/>
      <c r="U1569" s="34" t="s">
        <v>25</v>
      </c>
      <c r="V1569" s="475"/>
      <c r="W1569" s="224"/>
      <c r="X1569" s="224"/>
    </row>
    <row r="1570" spans="1:24" x14ac:dyDescent="0.3">
      <c r="A1570" s="2652">
        <v>756</v>
      </c>
      <c r="B1570" s="1122" t="s">
        <v>1818</v>
      </c>
      <c r="C1570" s="216" t="s">
        <v>1344</v>
      </c>
      <c r="D1570" s="416" t="s">
        <v>954</v>
      </c>
      <c r="E1570" s="217" t="s">
        <v>223</v>
      </c>
      <c r="F1570" s="218" t="s">
        <v>1820</v>
      </c>
      <c r="G1570" s="116">
        <v>7276</v>
      </c>
      <c r="H1570" s="1776" t="s">
        <v>1349</v>
      </c>
      <c r="J1570" s="224"/>
      <c r="K1570" s="34" t="s">
        <v>25</v>
      </c>
      <c r="L1570" s="475"/>
      <c r="M1570" s="224"/>
      <c r="N1570" s="224"/>
      <c r="O1570" s="2628" t="s">
        <v>6395</v>
      </c>
      <c r="P1570" s="1">
        <v>756</v>
      </c>
      <c r="T1570" s="224"/>
      <c r="U1570" s="34" t="s">
        <v>25</v>
      </c>
      <c r="V1570" s="475"/>
      <c r="W1570" s="224"/>
      <c r="X1570" s="224"/>
    </row>
    <row r="1571" spans="1:24" x14ac:dyDescent="0.3">
      <c r="A1571" s="2651">
        <v>757</v>
      </c>
      <c r="B1571" s="1122" t="s">
        <v>1818</v>
      </c>
      <c r="C1571" s="216" t="s">
        <v>1344</v>
      </c>
      <c r="D1571" s="416" t="s">
        <v>954</v>
      </c>
      <c r="E1571" s="217" t="s">
        <v>224</v>
      </c>
      <c r="F1571" s="218" t="s">
        <v>1820</v>
      </c>
      <c r="G1571" s="116">
        <v>7276</v>
      </c>
      <c r="H1571" s="1776" t="s">
        <v>1349</v>
      </c>
      <c r="J1571" s="224"/>
      <c r="K1571" s="34" t="s">
        <v>25</v>
      </c>
      <c r="L1571" s="475"/>
      <c r="M1571" s="224"/>
      <c r="N1571" s="224"/>
      <c r="O1571" s="2628" t="s">
        <v>6395</v>
      </c>
      <c r="P1571" s="1">
        <v>757</v>
      </c>
      <c r="T1571" s="224"/>
      <c r="U1571" s="34" t="s">
        <v>25</v>
      </c>
      <c r="V1571" s="475"/>
      <c r="W1571" s="224"/>
      <c r="X1571" s="224"/>
    </row>
    <row r="1572" spans="1:24" x14ac:dyDescent="0.3">
      <c r="A1572" s="2651">
        <v>758</v>
      </c>
      <c r="B1572" s="1122" t="s">
        <v>1818</v>
      </c>
      <c r="C1572" s="216" t="s">
        <v>1344</v>
      </c>
      <c r="D1572" s="416" t="s">
        <v>954</v>
      </c>
      <c r="E1572" s="217" t="s">
        <v>225</v>
      </c>
      <c r="F1572" s="218" t="s">
        <v>1820</v>
      </c>
      <c r="G1572" s="116">
        <v>7276</v>
      </c>
      <c r="H1572" s="1776" t="s">
        <v>1349</v>
      </c>
      <c r="J1572" s="224"/>
      <c r="K1572" s="34" t="s">
        <v>25</v>
      </c>
      <c r="L1572" s="475"/>
      <c r="M1572" s="224"/>
      <c r="N1572" s="224"/>
      <c r="O1572" s="2628" t="s">
        <v>6395</v>
      </c>
      <c r="P1572" s="1">
        <v>758</v>
      </c>
      <c r="T1572" s="224"/>
      <c r="U1572" s="34" t="s">
        <v>25</v>
      </c>
      <c r="V1572" s="475"/>
      <c r="W1572" s="224"/>
      <c r="X1572" s="224"/>
    </row>
    <row r="1573" spans="1:24" x14ac:dyDescent="0.3">
      <c r="A1573" s="2652">
        <v>759</v>
      </c>
      <c r="B1573" s="1122" t="s">
        <v>1818</v>
      </c>
      <c r="C1573" s="216" t="s">
        <v>1344</v>
      </c>
      <c r="D1573" s="416" t="s">
        <v>954</v>
      </c>
      <c r="E1573" s="217" t="s">
        <v>226</v>
      </c>
      <c r="F1573" s="218" t="s">
        <v>1820</v>
      </c>
      <c r="G1573" s="116">
        <v>7276</v>
      </c>
      <c r="H1573" s="1776" t="s">
        <v>1349</v>
      </c>
      <c r="J1573" s="224"/>
      <c r="K1573" s="34" t="s">
        <v>25</v>
      </c>
      <c r="L1573" s="475"/>
      <c r="M1573" s="224"/>
      <c r="N1573" s="224"/>
      <c r="O1573" s="2628" t="s">
        <v>6395</v>
      </c>
      <c r="P1573" s="1">
        <v>759</v>
      </c>
      <c r="T1573" s="224"/>
      <c r="U1573" s="34" t="s">
        <v>25</v>
      </c>
      <c r="V1573" s="475"/>
      <c r="W1573" s="224"/>
      <c r="X1573" s="224"/>
    </row>
    <row r="1574" spans="1:24" x14ac:dyDescent="0.3">
      <c r="A1574" s="2651">
        <v>760</v>
      </c>
      <c r="B1574" s="1122" t="s">
        <v>1818</v>
      </c>
      <c r="C1574" s="216" t="s">
        <v>1344</v>
      </c>
      <c r="D1574" s="416" t="s">
        <v>954</v>
      </c>
      <c r="E1574" s="217" t="s">
        <v>227</v>
      </c>
      <c r="F1574" s="218" t="s">
        <v>1820</v>
      </c>
      <c r="G1574" s="116">
        <v>7276</v>
      </c>
      <c r="H1574" s="1776" t="s">
        <v>1349</v>
      </c>
      <c r="J1574" s="224"/>
      <c r="K1574" s="34" t="s">
        <v>25</v>
      </c>
      <c r="L1574" s="475"/>
      <c r="M1574" s="224"/>
      <c r="N1574" s="224"/>
      <c r="O1574" s="2628" t="s">
        <v>6395</v>
      </c>
      <c r="P1574" s="1">
        <v>760</v>
      </c>
      <c r="T1574" s="224"/>
      <c r="U1574" s="34" t="s">
        <v>25</v>
      </c>
      <c r="V1574" s="475"/>
      <c r="W1574" s="224"/>
      <c r="X1574" s="224"/>
    </row>
    <row r="1575" spans="1:24" x14ac:dyDescent="0.3">
      <c r="A1575" s="2651">
        <v>761</v>
      </c>
      <c r="B1575" s="1122" t="s">
        <v>1818</v>
      </c>
      <c r="C1575" s="216" t="s">
        <v>1344</v>
      </c>
      <c r="D1575" s="416" t="s">
        <v>954</v>
      </c>
      <c r="E1575" s="217" t="s">
        <v>228</v>
      </c>
      <c r="F1575" s="218" t="s">
        <v>1820</v>
      </c>
      <c r="G1575" s="116">
        <v>7276</v>
      </c>
      <c r="H1575" s="1776" t="s">
        <v>1349</v>
      </c>
      <c r="J1575" s="224"/>
      <c r="K1575" s="34" t="s">
        <v>25</v>
      </c>
      <c r="L1575" s="475"/>
      <c r="M1575" s="224"/>
      <c r="N1575" s="224"/>
      <c r="O1575" s="2628" t="s">
        <v>6395</v>
      </c>
      <c r="P1575" s="1">
        <v>761</v>
      </c>
      <c r="T1575" s="224"/>
      <c r="U1575" s="34" t="s">
        <v>25</v>
      </c>
      <c r="V1575" s="475"/>
      <c r="W1575" s="224"/>
      <c r="X1575" s="224"/>
    </row>
    <row r="1576" spans="1:24" x14ac:dyDescent="0.3">
      <c r="A1576" s="2652">
        <v>762</v>
      </c>
      <c r="B1576" s="1122" t="s">
        <v>1818</v>
      </c>
      <c r="C1576" s="216" t="s">
        <v>1344</v>
      </c>
      <c r="D1576" s="452" t="s">
        <v>954</v>
      </c>
      <c r="E1576" s="217" t="s">
        <v>229</v>
      </c>
      <c r="F1576" s="218" t="s">
        <v>1820</v>
      </c>
      <c r="G1576" s="116">
        <v>7276</v>
      </c>
      <c r="H1576" s="1776" t="s">
        <v>1349</v>
      </c>
      <c r="J1576" s="224"/>
      <c r="K1576" s="34" t="s">
        <v>25</v>
      </c>
      <c r="L1576" s="475"/>
      <c r="M1576" s="224"/>
      <c r="N1576" s="224"/>
      <c r="O1576" s="2628" t="s">
        <v>6395</v>
      </c>
      <c r="P1576" s="1">
        <v>762</v>
      </c>
      <c r="T1576" s="224"/>
      <c r="U1576" s="34" t="s">
        <v>25</v>
      </c>
      <c r="V1576" s="475"/>
      <c r="W1576" s="224"/>
      <c r="X1576" s="224"/>
    </row>
    <row r="1577" spans="1:24" x14ac:dyDescent="0.3">
      <c r="A1577" s="2651">
        <v>763</v>
      </c>
      <c r="B1577" s="1122" t="s">
        <v>1818</v>
      </c>
      <c r="C1577" s="216" t="s">
        <v>1344</v>
      </c>
      <c r="D1577" s="793" t="s">
        <v>954</v>
      </c>
      <c r="E1577" s="217" t="s">
        <v>230</v>
      </c>
      <c r="F1577" s="218" t="s">
        <v>1820</v>
      </c>
      <c r="G1577" s="116">
        <v>7276</v>
      </c>
      <c r="H1577" s="1776" t="s">
        <v>1349</v>
      </c>
      <c r="J1577" s="224"/>
      <c r="K1577" s="34" t="s">
        <v>25</v>
      </c>
      <c r="L1577" s="475"/>
      <c r="M1577" s="224"/>
      <c r="N1577" s="224"/>
      <c r="O1577" s="2628" t="s">
        <v>6395</v>
      </c>
      <c r="P1577" s="1">
        <v>763</v>
      </c>
      <c r="T1577" s="224"/>
      <c r="U1577" s="34" t="s">
        <v>25</v>
      </c>
      <c r="V1577" s="475"/>
      <c r="W1577" s="224"/>
      <c r="X1577" s="224"/>
    </row>
    <row r="1578" spans="1:24" x14ac:dyDescent="0.3">
      <c r="A1578" s="2651">
        <v>764</v>
      </c>
      <c r="B1578" s="1122" t="s">
        <v>1818</v>
      </c>
      <c r="C1578" s="216" t="s">
        <v>1344</v>
      </c>
      <c r="D1578" s="416" t="s">
        <v>954</v>
      </c>
      <c r="E1578" s="217" t="s">
        <v>231</v>
      </c>
      <c r="F1578" s="218" t="s">
        <v>1820</v>
      </c>
      <c r="G1578" s="116">
        <v>7276</v>
      </c>
      <c r="H1578" s="1776" t="s">
        <v>1349</v>
      </c>
      <c r="J1578" s="224"/>
      <c r="K1578" s="34" t="s">
        <v>25</v>
      </c>
      <c r="L1578" s="475"/>
      <c r="M1578" s="224"/>
      <c r="N1578" s="224"/>
      <c r="O1578" s="2628" t="s">
        <v>6395</v>
      </c>
      <c r="P1578" s="1">
        <v>764</v>
      </c>
      <c r="T1578" s="224"/>
      <c r="U1578" s="34" t="s">
        <v>25</v>
      </c>
      <c r="V1578" s="475"/>
      <c r="W1578" s="224"/>
      <c r="X1578" s="224"/>
    </row>
    <row r="1579" spans="1:24" x14ac:dyDescent="0.3">
      <c r="A1579" s="2652">
        <v>765</v>
      </c>
      <c r="B1579" s="1122" t="s">
        <v>1818</v>
      </c>
      <c r="C1579" s="216" t="s">
        <v>1344</v>
      </c>
      <c r="D1579" s="416" t="s">
        <v>954</v>
      </c>
      <c r="E1579" s="217" t="s">
        <v>232</v>
      </c>
      <c r="F1579" s="218" t="s">
        <v>1820</v>
      </c>
      <c r="G1579" s="116">
        <v>7276</v>
      </c>
      <c r="H1579" s="1776" t="s">
        <v>1349</v>
      </c>
      <c r="J1579" s="224"/>
      <c r="K1579" s="34" t="s">
        <v>25</v>
      </c>
      <c r="L1579" s="475"/>
      <c r="M1579" s="224"/>
      <c r="N1579" s="224"/>
      <c r="O1579" s="2628" t="s">
        <v>6395</v>
      </c>
      <c r="P1579" s="1">
        <v>765</v>
      </c>
      <c r="T1579" s="224"/>
      <c r="U1579" s="34" t="s">
        <v>25</v>
      </c>
      <c r="V1579" s="475"/>
      <c r="W1579" s="224"/>
      <c r="X1579" s="224"/>
    </row>
    <row r="1580" spans="1:24" x14ac:dyDescent="0.3">
      <c r="A1580" s="2651">
        <v>766</v>
      </c>
      <c r="B1580" s="1122" t="s">
        <v>1818</v>
      </c>
      <c r="C1580" s="216" t="s">
        <v>1344</v>
      </c>
      <c r="D1580" s="416" t="s">
        <v>954</v>
      </c>
      <c r="E1580" s="217" t="s">
        <v>233</v>
      </c>
      <c r="F1580" s="218" t="s">
        <v>1820</v>
      </c>
      <c r="G1580" s="116">
        <v>7276</v>
      </c>
      <c r="H1580" s="1776" t="s">
        <v>1349</v>
      </c>
      <c r="J1580" s="224"/>
      <c r="K1580" s="34" t="s">
        <v>25</v>
      </c>
      <c r="L1580" s="475"/>
      <c r="M1580" s="224"/>
      <c r="N1580" s="224"/>
      <c r="O1580" s="2628" t="s">
        <v>6395</v>
      </c>
      <c r="P1580" s="1">
        <v>766</v>
      </c>
      <c r="T1580" s="224"/>
      <c r="U1580" s="34" t="s">
        <v>25</v>
      </c>
      <c r="V1580" s="475"/>
      <c r="W1580" s="224"/>
      <c r="X1580" s="224"/>
    </row>
    <row r="1581" spans="1:24" x14ac:dyDescent="0.3">
      <c r="A1581" s="2651">
        <v>767</v>
      </c>
      <c r="B1581" s="1122" t="s">
        <v>1818</v>
      </c>
      <c r="C1581" s="216" t="s">
        <v>1344</v>
      </c>
      <c r="D1581" s="416" t="s">
        <v>954</v>
      </c>
      <c r="E1581" s="217" t="s">
        <v>234</v>
      </c>
      <c r="F1581" s="218" t="s">
        <v>1820</v>
      </c>
      <c r="G1581" s="116">
        <v>7276</v>
      </c>
      <c r="H1581" s="1776" t="s">
        <v>1349</v>
      </c>
      <c r="J1581" s="224"/>
      <c r="K1581" s="34" t="s">
        <v>25</v>
      </c>
      <c r="L1581" s="475"/>
      <c r="M1581" s="224"/>
      <c r="N1581" s="224"/>
      <c r="O1581" s="2628" t="s">
        <v>6395</v>
      </c>
      <c r="P1581" s="1">
        <v>767</v>
      </c>
      <c r="T1581" s="224"/>
      <c r="U1581" s="34" t="s">
        <v>25</v>
      </c>
      <c r="V1581" s="475"/>
      <c r="W1581" s="224"/>
      <c r="X1581" s="224"/>
    </row>
    <row r="1582" spans="1:24" x14ac:dyDescent="0.3">
      <c r="A1582" s="2652">
        <v>768</v>
      </c>
      <c r="B1582" s="1122" t="s">
        <v>1818</v>
      </c>
      <c r="C1582" s="216" t="s">
        <v>1344</v>
      </c>
      <c r="D1582" s="416" t="s">
        <v>954</v>
      </c>
      <c r="E1582" s="217" t="s">
        <v>1893</v>
      </c>
      <c r="F1582" s="218" t="s">
        <v>1820</v>
      </c>
      <c r="G1582" s="116">
        <v>7276</v>
      </c>
      <c r="H1582" s="1776" t="s">
        <v>1349</v>
      </c>
      <c r="J1582" s="224"/>
      <c r="K1582" s="34" t="s">
        <v>25</v>
      </c>
      <c r="L1582" s="475"/>
      <c r="M1582" s="224"/>
      <c r="N1582" s="224"/>
      <c r="O1582" s="2628" t="s">
        <v>6395</v>
      </c>
      <c r="P1582" s="1">
        <v>768</v>
      </c>
      <c r="T1582" s="224"/>
      <c r="U1582" s="34" t="s">
        <v>25</v>
      </c>
      <c r="V1582" s="475"/>
      <c r="W1582" s="224"/>
      <c r="X1582" s="224"/>
    </row>
    <row r="1583" spans="1:24" x14ac:dyDescent="0.3">
      <c r="A1583" s="2651">
        <v>769</v>
      </c>
      <c r="B1583" s="1122" t="s">
        <v>1818</v>
      </c>
      <c r="C1583" s="216" t="s">
        <v>1344</v>
      </c>
      <c r="D1583" s="416" t="s">
        <v>954</v>
      </c>
      <c r="E1583" s="217" t="s">
        <v>1894</v>
      </c>
      <c r="F1583" s="218" t="s">
        <v>1820</v>
      </c>
      <c r="G1583" s="116">
        <v>7276</v>
      </c>
      <c r="H1583" s="1776" t="s">
        <v>1349</v>
      </c>
      <c r="J1583" s="224"/>
      <c r="K1583" s="34" t="s">
        <v>25</v>
      </c>
      <c r="L1583" s="475"/>
      <c r="M1583" s="224"/>
      <c r="N1583" s="224"/>
      <c r="O1583" s="2628" t="s">
        <v>6395</v>
      </c>
      <c r="P1583" s="1">
        <v>769</v>
      </c>
      <c r="T1583" s="224"/>
      <c r="U1583" s="34" t="s">
        <v>25</v>
      </c>
      <c r="V1583" s="475"/>
      <c r="W1583" s="224"/>
      <c r="X1583" s="224"/>
    </row>
    <row r="1584" spans="1:24" x14ac:dyDescent="0.3">
      <c r="A1584" s="2651">
        <v>770</v>
      </c>
      <c r="B1584" s="1122" t="s">
        <v>1818</v>
      </c>
      <c r="C1584" s="216" t="s">
        <v>1344</v>
      </c>
      <c r="D1584" s="416" t="s">
        <v>954</v>
      </c>
      <c r="E1584" s="217" t="s">
        <v>235</v>
      </c>
      <c r="F1584" s="218" t="s">
        <v>1820</v>
      </c>
      <c r="G1584" s="116">
        <v>7276</v>
      </c>
      <c r="H1584" s="1776" t="s">
        <v>1349</v>
      </c>
      <c r="J1584" s="224"/>
      <c r="K1584" s="34" t="s">
        <v>25</v>
      </c>
      <c r="L1584" s="475"/>
      <c r="M1584" s="224"/>
      <c r="N1584" s="224"/>
      <c r="O1584" s="2628" t="s">
        <v>6395</v>
      </c>
      <c r="P1584" s="1">
        <v>770</v>
      </c>
      <c r="T1584" s="224"/>
      <c r="U1584" s="34" t="s">
        <v>25</v>
      </c>
      <c r="V1584" s="475"/>
      <c r="W1584" s="224"/>
      <c r="X1584" s="224"/>
    </row>
    <row r="1585" spans="1:24" x14ac:dyDescent="0.3">
      <c r="A1585" s="2652">
        <v>771</v>
      </c>
      <c r="B1585" s="1122" t="s">
        <v>1818</v>
      </c>
      <c r="C1585" s="216" t="s">
        <v>1344</v>
      </c>
      <c r="D1585" s="416" t="s">
        <v>954</v>
      </c>
      <c r="E1585" s="217" t="s">
        <v>1895</v>
      </c>
      <c r="F1585" s="218" t="s">
        <v>1820</v>
      </c>
      <c r="G1585" s="116">
        <v>7276</v>
      </c>
      <c r="H1585" s="1776" t="s">
        <v>1349</v>
      </c>
      <c r="J1585" s="224"/>
      <c r="K1585" s="34" t="s">
        <v>25</v>
      </c>
      <c r="L1585" s="475"/>
      <c r="M1585" s="224"/>
      <c r="N1585" s="224"/>
      <c r="O1585" s="2628" t="s">
        <v>6395</v>
      </c>
      <c r="P1585" s="1">
        <v>771</v>
      </c>
      <c r="T1585" s="224"/>
      <c r="U1585" s="34" t="s">
        <v>25</v>
      </c>
      <c r="V1585" s="475"/>
      <c r="W1585" s="224"/>
      <c r="X1585" s="224"/>
    </row>
    <row r="1586" spans="1:24" x14ac:dyDescent="0.3">
      <c r="A1586" s="2651">
        <v>772</v>
      </c>
      <c r="B1586" s="1122" t="s">
        <v>1818</v>
      </c>
      <c r="C1586" s="216" t="s">
        <v>1344</v>
      </c>
      <c r="D1586" s="416" t="s">
        <v>954</v>
      </c>
      <c r="E1586" s="217" t="s">
        <v>237</v>
      </c>
      <c r="F1586" s="218" t="s">
        <v>1820</v>
      </c>
      <c r="G1586" s="116">
        <v>7276</v>
      </c>
      <c r="H1586" s="1776" t="s">
        <v>1349</v>
      </c>
      <c r="J1586" s="224"/>
      <c r="K1586" s="34" t="s">
        <v>25</v>
      </c>
      <c r="L1586" s="475"/>
      <c r="M1586" s="224"/>
      <c r="N1586" s="224"/>
      <c r="O1586" s="2628" t="s">
        <v>6395</v>
      </c>
      <c r="P1586" s="1">
        <v>772</v>
      </c>
      <c r="T1586" s="224"/>
      <c r="U1586" s="34" t="s">
        <v>25</v>
      </c>
      <c r="V1586" s="475"/>
      <c r="W1586" s="224"/>
      <c r="X1586" s="224"/>
    </row>
    <row r="1587" spans="1:24" x14ac:dyDescent="0.3">
      <c r="A1587" s="2651">
        <v>773</v>
      </c>
      <c r="B1587" s="1122" t="s">
        <v>1818</v>
      </c>
      <c r="C1587" s="216" t="s">
        <v>1344</v>
      </c>
      <c r="D1587" s="416" t="s">
        <v>954</v>
      </c>
      <c r="E1587" s="217" t="s">
        <v>1896</v>
      </c>
      <c r="F1587" s="218" t="s">
        <v>1820</v>
      </c>
      <c r="G1587" s="116">
        <v>7276</v>
      </c>
      <c r="H1587" s="1776" t="s">
        <v>1349</v>
      </c>
      <c r="J1587" s="224"/>
      <c r="K1587" s="34" t="s">
        <v>25</v>
      </c>
      <c r="L1587" s="475"/>
      <c r="M1587" s="224"/>
      <c r="N1587" s="224"/>
      <c r="O1587" s="2628" t="s">
        <v>6395</v>
      </c>
      <c r="P1587" s="1">
        <v>773</v>
      </c>
      <c r="T1587" s="224"/>
      <c r="U1587" s="34" t="s">
        <v>25</v>
      </c>
      <c r="V1587" s="475"/>
      <c r="W1587" s="224"/>
      <c r="X1587" s="224"/>
    </row>
    <row r="1588" spans="1:24" x14ac:dyDescent="0.3">
      <c r="A1588" s="2652">
        <v>774</v>
      </c>
      <c r="B1588" s="1122" t="s">
        <v>1818</v>
      </c>
      <c r="C1588" s="216" t="s">
        <v>1344</v>
      </c>
      <c r="D1588" s="416" t="s">
        <v>954</v>
      </c>
      <c r="E1588" s="217" t="s">
        <v>240</v>
      </c>
      <c r="F1588" s="218" t="s">
        <v>1820</v>
      </c>
      <c r="G1588" s="116">
        <v>7276</v>
      </c>
      <c r="H1588" s="1776" t="s">
        <v>1349</v>
      </c>
      <c r="J1588" s="224"/>
      <c r="K1588" s="34" t="s">
        <v>25</v>
      </c>
      <c r="L1588" s="475"/>
      <c r="M1588" s="224"/>
      <c r="N1588" s="224"/>
      <c r="O1588" s="2628" t="s">
        <v>6395</v>
      </c>
      <c r="P1588" s="1">
        <v>774</v>
      </c>
      <c r="T1588" s="224"/>
      <c r="U1588" s="34" t="s">
        <v>25</v>
      </c>
      <c r="V1588" s="475"/>
      <c r="W1588" s="224"/>
      <c r="X1588" s="224"/>
    </row>
    <row r="1589" spans="1:24" x14ac:dyDescent="0.3">
      <c r="A1589" s="2651">
        <v>775</v>
      </c>
      <c r="B1589" s="1122" t="s">
        <v>1818</v>
      </c>
      <c r="C1589" s="216" t="s">
        <v>1344</v>
      </c>
      <c r="D1589" s="416" t="s">
        <v>954</v>
      </c>
      <c r="E1589" s="217" t="s">
        <v>243</v>
      </c>
      <c r="F1589" s="218" t="s">
        <v>1820</v>
      </c>
      <c r="G1589" s="116">
        <v>7276</v>
      </c>
      <c r="H1589" s="1776" t="s">
        <v>1349</v>
      </c>
      <c r="J1589" s="224"/>
      <c r="K1589" s="34" t="s">
        <v>25</v>
      </c>
      <c r="L1589" s="475"/>
      <c r="M1589" s="224"/>
      <c r="N1589" s="224"/>
      <c r="O1589" s="2628" t="s">
        <v>6395</v>
      </c>
      <c r="P1589" s="1">
        <v>775</v>
      </c>
      <c r="T1589" s="224"/>
      <c r="U1589" s="34" t="s">
        <v>25</v>
      </c>
      <c r="V1589" s="475"/>
      <c r="W1589" s="224"/>
      <c r="X1589" s="224"/>
    </row>
    <row r="1590" spans="1:24" x14ac:dyDescent="0.3">
      <c r="A1590" s="2651">
        <v>776</v>
      </c>
      <c r="B1590" s="1122" t="s">
        <v>1818</v>
      </c>
      <c r="C1590" s="216" t="s">
        <v>1344</v>
      </c>
      <c r="D1590" s="416" t="s">
        <v>954</v>
      </c>
      <c r="E1590" s="217" t="s">
        <v>244</v>
      </c>
      <c r="F1590" s="218" t="s">
        <v>1820</v>
      </c>
      <c r="G1590" s="116">
        <v>7276</v>
      </c>
      <c r="H1590" s="1776" t="s">
        <v>1349</v>
      </c>
      <c r="J1590" s="224"/>
      <c r="K1590" s="34" t="s">
        <v>25</v>
      </c>
      <c r="L1590" s="475"/>
      <c r="M1590" s="224"/>
      <c r="N1590" s="224"/>
      <c r="O1590" s="2628" t="s">
        <v>6395</v>
      </c>
      <c r="P1590" s="1">
        <v>776</v>
      </c>
      <c r="T1590" s="224"/>
      <c r="U1590" s="34" t="s">
        <v>25</v>
      </c>
      <c r="V1590" s="475"/>
      <c r="W1590" s="224"/>
      <c r="X1590" s="224"/>
    </row>
    <row r="1591" spans="1:24" x14ac:dyDescent="0.3">
      <c r="A1591" s="2652">
        <v>777</v>
      </c>
      <c r="B1591" s="1122" t="s">
        <v>1818</v>
      </c>
      <c r="C1591" s="216" t="s">
        <v>1344</v>
      </c>
      <c r="D1591" s="452" t="s">
        <v>954</v>
      </c>
      <c r="E1591" s="217" t="s">
        <v>245</v>
      </c>
      <c r="F1591" s="218" t="s">
        <v>1820</v>
      </c>
      <c r="G1591" s="116">
        <v>7276</v>
      </c>
      <c r="H1591" s="1776" t="s">
        <v>1349</v>
      </c>
      <c r="J1591" s="224"/>
      <c r="K1591" s="34" t="s">
        <v>25</v>
      </c>
      <c r="L1591" s="475"/>
      <c r="M1591" s="224"/>
      <c r="N1591" s="224"/>
      <c r="O1591" s="2628" t="s">
        <v>6395</v>
      </c>
      <c r="P1591" s="1">
        <v>777</v>
      </c>
      <c r="T1591" s="224"/>
      <c r="U1591" s="34" t="s">
        <v>25</v>
      </c>
      <c r="V1591" s="475"/>
      <c r="W1591" s="224"/>
      <c r="X1591" s="224"/>
    </row>
    <row r="1592" spans="1:24" x14ac:dyDescent="0.3">
      <c r="A1592" s="2651">
        <v>778</v>
      </c>
      <c r="B1592" s="1122" t="s">
        <v>1818</v>
      </c>
      <c r="C1592" s="216" t="s">
        <v>1344</v>
      </c>
      <c r="D1592" s="495" t="s">
        <v>954</v>
      </c>
      <c r="E1592" s="217" t="s">
        <v>246</v>
      </c>
      <c r="F1592" s="218" t="s">
        <v>1820</v>
      </c>
      <c r="G1592" s="116">
        <v>7276</v>
      </c>
      <c r="H1592" s="1776" t="s">
        <v>1349</v>
      </c>
      <c r="J1592" s="224"/>
      <c r="K1592" s="34" t="s">
        <v>25</v>
      </c>
      <c r="L1592" s="475"/>
      <c r="M1592" s="224"/>
      <c r="N1592" s="224"/>
      <c r="O1592" s="2628" t="s">
        <v>6395</v>
      </c>
      <c r="P1592" s="1">
        <v>778</v>
      </c>
      <c r="T1592" s="224"/>
      <c r="U1592" s="34" t="s">
        <v>25</v>
      </c>
      <c r="V1592" s="475"/>
      <c r="W1592" s="224"/>
      <c r="X1592" s="224"/>
    </row>
    <row r="1593" spans="1:24" x14ac:dyDescent="0.3">
      <c r="A1593" s="2651">
        <v>779</v>
      </c>
      <c r="B1593" s="1122" t="s">
        <v>1818</v>
      </c>
      <c r="C1593" s="216" t="s">
        <v>1344</v>
      </c>
      <c r="D1593" s="793" t="s">
        <v>954</v>
      </c>
      <c r="E1593" s="217" t="s">
        <v>247</v>
      </c>
      <c r="F1593" s="218" t="s">
        <v>1820</v>
      </c>
      <c r="G1593" s="116">
        <v>7276</v>
      </c>
      <c r="H1593" s="1776" t="s">
        <v>1349</v>
      </c>
      <c r="J1593" s="224"/>
      <c r="K1593" s="34" t="s">
        <v>25</v>
      </c>
      <c r="L1593" s="475"/>
      <c r="M1593" s="224"/>
      <c r="N1593" s="224"/>
      <c r="O1593" s="2628" t="s">
        <v>6395</v>
      </c>
      <c r="P1593" s="1">
        <v>779</v>
      </c>
      <c r="T1593" s="224"/>
      <c r="U1593" s="34" t="s">
        <v>25</v>
      </c>
      <c r="V1593" s="475"/>
      <c r="W1593" s="224"/>
      <c r="X1593" s="224"/>
    </row>
    <row r="1594" spans="1:24" x14ac:dyDescent="0.3">
      <c r="A1594" s="2652">
        <v>780</v>
      </c>
      <c r="B1594" s="1122" t="s">
        <v>1818</v>
      </c>
      <c r="C1594" s="216" t="s">
        <v>1344</v>
      </c>
      <c r="D1594" s="416" t="s">
        <v>954</v>
      </c>
      <c r="E1594" s="217" t="s">
        <v>249</v>
      </c>
      <c r="F1594" s="218" t="s">
        <v>1820</v>
      </c>
      <c r="G1594" s="116">
        <v>7276</v>
      </c>
      <c r="H1594" s="1776" t="s">
        <v>1349</v>
      </c>
      <c r="J1594" s="224"/>
      <c r="K1594" s="34" t="s">
        <v>25</v>
      </c>
      <c r="L1594" s="475"/>
      <c r="M1594" s="224"/>
      <c r="N1594" s="224"/>
      <c r="O1594" s="2628" t="s">
        <v>6395</v>
      </c>
      <c r="P1594" s="1">
        <v>780</v>
      </c>
      <c r="T1594" s="224"/>
      <c r="U1594" s="34" t="s">
        <v>25</v>
      </c>
      <c r="V1594" s="475"/>
      <c r="W1594" s="224"/>
      <c r="X1594" s="224"/>
    </row>
    <row r="1595" spans="1:24" x14ac:dyDescent="0.3">
      <c r="A1595" s="2651">
        <v>781</v>
      </c>
      <c r="B1595" s="1122" t="s">
        <v>1818</v>
      </c>
      <c r="C1595" s="216" t="s">
        <v>1344</v>
      </c>
      <c r="D1595" s="416" t="s">
        <v>954</v>
      </c>
      <c r="E1595" s="217" t="s">
        <v>250</v>
      </c>
      <c r="F1595" s="218" t="s">
        <v>1820</v>
      </c>
      <c r="G1595" s="116">
        <v>7276</v>
      </c>
      <c r="H1595" s="1776" t="s">
        <v>1349</v>
      </c>
      <c r="J1595" s="224"/>
      <c r="K1595" s="34" t="s">
        <v>25</v>
      </c>
      <c r="L1595" s="475"/>
      <c r="M1595" s="224"/>
      <c r="N1595" s="224"/>
      <c r="O1595" s="2628" t="s">
        <v>6395</v>
      </c>
      <c r="P1595" s="1">
        <v>781</v>
      </c>
      <c r="T1595" s="224"/>
      <c r="U1595" s="34" t="s">
        <v>25</v>
      </c>
      <c r="V1595" s="475"/>
      <c r="W1595" s="224"/>
      <c r="X1595" s="224"/>
    </row>
    <row r="1596" spans="1:24" x14ac:dyDescent="0.3">
      <c r="A1596" s="2651">
        <v>782</v>
      </c>
      <c r="B1596" s="1122" t="s">
        <v>1818</v>
      </c>
      <c r="C1596" s="216" t="s">
        <v>1344</v>
      </c>
      <c r="D1596" s="416" t="s">
        <v>954</v>
      </c>
      <c r="E1596" s="217" t="s">
        <v>252</v>
      </c>
      <c r="F1596" s="218" t="s">
        <v>1820</v>
      </c>
      <c r="G1596" s="116">
        <v>7276</v>
      </c>
      <c r="H1596" s="1776" t="s">
        <v>1349</v>
      </c>
      <c r="J1596" s="224"/>
      <c r="K1596" s="34" t="s">
        <v>25</v>
      </c>
      <c r="L1596" s="475"/>
      <c r="M1596" s="224"/>
      <c r="N1596" s="224"/>
      <c r="O1596" s="2628" t="s">
        <v>6395</v>
      </c>
      <c r="P1596" s="1">
        <v>782</v>
      </c>
      <c r="T1596" s="224"/>
      <c r="U1596" s="34" t="s">
        <v>25</v>
      </c>
      <c r="V1596" s="475"/>
      <c r="W1596" s="224"/>
      <c r="X1596" s="224"/>
    </row>
    <row r="1597" spans="1:24" x14ac:dyDescent="0.3">
      <c r="A1597" s="2652">
        <v>783</v>
      </c>
      <c r="B1597" s="1122" t="s">
        <v>1818</v>
      </c>
      <c r="C1597" s="216" t="s">
        <v>1344</v>
      </c>
      <c r="D1597" s="416" t="s">
        <v>954</v>
      </c>
      <c r="E1597" s="217" t="s">
        <v>255</v>
      </c>
      <c r="F1597" s="218" t="s">
        <v>1820</v>
      </c>
      <c r="G1597" s="116">
        <v>7276</v>
      </c>
      <c r="H1597" s="1776" t="s">
        <v>1349</v>
      </c>
      <c r="J1597" s="224"/>
      <c r="K1597" s="34" t="s">
        <v>25</v>
      </c>
      <c r="L1597" s="475"/>
      <c r="M1597" s="224"/>
      <c r="N1597" s="224"/>
      <c r="O1597" s="2628" t="s">
        <v>6395</v>
      </c>
      <c r="P1597" s="1">
        <v>783</v>
      </c>
      <c r="T1597" s="224"/>
      <c r="U1597" s="34" t="s">
        <v>25</v>
      </c>
      <c r="V1597" s="475"/>
      <c r="W1597" s="224"/>
      <c r="X1597" s="224"/>
    </row>
    <row r="1598" spans="1:24" x14ac:dyDescent="0.3">
      <c r="A1598" s="2651">
        <v>784</v>
      </c>
      <c r="B1598" s="1122" t="s">
        <v>1818</v>
      </c>
      <c r="C1598" s="216" t="s">
        <v>1344</v>
      </c>
      <c r="D1598" s="416" t="s">
        <v>954</v>
      </c>
      <c r="E1598" s="217" t="s">
        <v>256</v>
      </c>
      <c r="F1598" s="218" t="s">
        <v>1820</v>
      </c>
      <c r="G1598" s="116">
        <v>7276</v>
      </c>
      <c r="H1598" s="1776" t="s">
        <v>1349</v>
      </c>
      <c r="J1598" s="224"/>
      <c r="K1598" s="34" t="s">
        <v>25</v>
      </c>
      <c r="L1598" s="475"/>
      <c r="M1598" s="224"/>
      <c r="N1598" s="224"/>
      <c r="O1598" s="2628" t="s">
        <v>6395</v>
      </c>
      <c r="P1598" s="1">
        <v>784</v>
      </c>
      <c r="T1598" s="224"/>
      <c r="U1598" s="34" t="s">
        <v>25</v>
      </c>
      <c r="V1598" s="475"/>
      <c r="W1598" s="224"/>
      <c r="X1598" s="224"/>
    </row>
    <row r="1599" spans="1:24" x14ac:dyDescent="0.3">
      <c r="A1599" s="2651">
        <v>785</v>
      </c>
      <c r="B1599" s="1122" t="s">
        <v>1818</v>
      </c>
      <c r="C1599" s="216" t="s">
        <v>1344</v>
      </c>
      <c r="D1599" s="416" t="s">
        <v>954</v>
      </c>
      <c r="E1599" s="217" t="s">
        <v>257</v>
      </c>
      <c r="F1599" s="218" t="s">
        <v>1820</v>
      </c>
      <c r="G1599" s="116">
        <v>7276</v>
      </c>
      <c r="H1599" s="1776" t="s">
        <v>1349</v>
      </c>
      <c r="J1599" s="224"/>
      <c r="K1599" s="34" t="s">
        <v>25</v>
      </c>
      <c r="L1599" s="475"/>
      <c r="M1599" s="224"/>
      <c r="N1599" s="224"/>
      <c r="O1599" s="2628" t="s">
        <v>6395</v>
      </c>
      <c r="P1599" s="1">
        <v>785</v>
      </c>
      <c r="T1599" s="224"/>
      <c r="U1599" s="34" t="s">
        <v>25</v>
      </c>
      <c r="V1599" s="475"/>
      <c r="W1599" s="224"/>
      <c r="X1599" s="224"/>
    </row>
    <row r="1600" spans="1:24" x14ac:dyDescent="0.3">
      <c r="A1600" s="2652">
        <v>786</v>
      </c>
      <c r="B1600" s="1122" t="s">
        <v>1818</v>
      </c>
      <c r="C1600" s="216" t="s">
        <v>1344</v>
      </c>
      <c r="D1600" s="416" t="s">
        <v>954</v>
      </c>
      <c r="E1600" s="217" t="s">
        <v>258</v>
      </c>
      <c r="F1600" s="218" t="s">
        <v>1820</v>
      </c>
      <c r="G1600" s="116">
        <v>7276</v>
      </c>
      <c r="H1600" s="1776" t="s">
        <v>1349</v>
      </c>
      <c r="J1600" s="224"/>
      <c r="K1600" s="34" t="s">
        <v>25</v>
      </c>
      <c r="L1600" s="475"/>
      <c r="M1600" s="224"/>
      <c r="N1600" s="224"/>
      <c r="O1600" s="2628" t="s">
        <v>6395</v>
      </c>
      <c r="P1600" s="1">
        <v>786</v>
      </c>
      <c r="T1600" s="224"/>
      <c r="U1600" s="34" t="s">
        <v>25</v>
      </c>
      <c r="V1600" s="475"/>
      <c r="W1600" s="224"/>
      <c r="X1600" s="224"/>
    </row>
    <row r="1601" spans="1:24" x14ac:dyDescent="0.3">
      <c r="A1601" s="2651">
        <v>787</v>
      </c>
      <c r="B1601" s="1122" t="s">
        <v>1818</v>
      </c>
      <c r="C1601" s="216" t="s">
        <v>1344</v>
      </c>
      <c r="D1601" s="416" t="s">
        <v>954</v>
      </c>
      <c r="E1601" s="217" t="s">
        <v>1897</v>
      </c>
      <c r="F1601" s="218" t="s">
        <v>1820</v>
      </c>
      <c r="G1601" s="116">
        <v>7276</v>
      </c>
      <c r="H1601" s="1776" t="s">
        <v>1349</v>
      </c>
      <c r="J1601" s="224"/>
      <c r="K1601" s="34" t="s">
        <v>25</v>
      </c>
      <c r="L1601" s="475"/>
      <c r="M1601" s="224"/>
      <c r="N1601" s="224"/>
      <c r="O1601" s="2628" t="s">
        <v>6395</v>
      </c>
      <c r="P1601" s="1">
        <v>787</v>
      </c>
      <c r="T1601" s="224"/>
      <c r="U1601" s="34" t="s">
        <v>25</v>
      </c>
      <c r="V1601" s="475"/>
      <c r="W1601" s="224"/>
      <c r="X1601" s="224"/>
    </row>
    <row r="1602" spans="1:24" x14ac:dyDescent="0.3">
      <c r="A1602" s="2651">
        <v>788</v>
      </c>
      <c r="B1602" s="1122" t="s">
        <v>1818</v>
      </c>
      <c r="C1602" s="216" t="s">
        <v>1344</v>
      </c>
      <c r="D1602" s="416" t="s">
        <v>954</v>
      </c>
      <c r="E1602" s="217" t="s">
        <v>1898</v>
      </c>
      <c r="F1602" s="218" t="s">
        <v>1820</v>
      </c>
      <c r="G1602" s="116">
        <v>7276</v>
      </c>
      <c r="H1602" s="1776" t="s">
        <v>1349</v>
      </c>
      <c r="J1602" s="224"/>
      <c r="K1602" s="34" t="s">
        <v>25</v>
      </c>
      <c r="L1602" s="475"/>
      <c r="M1602" s="224"/>
      <c r="N1602" s="224"/>
      <c r="O1602" s="2628" t="s">
        <v>6395</v>
      </c>
      <c r="P1602" s="1">
        <v>788</v>
      </c>
      <c r="T1602" s="224"/>
      <c r="U1602" s="34" t="s">
        <v>25</v>
      </c>
      <c r="V1602" s="475"/>
      <c r="W1602" s="224"/>
      <c r="X1602" s="224"/>
    </row>
    <row r="1603" spans="1:24" x14ac:dyDescent="0.3">
      <c r="A1603" s="2652">
        <v>789</v>
      </c>
      <c r="B1603" s="1122" t="s">
        <v>1818</v>
      </c>
      <c r="C1603" s="216" t="s">
        <v>1344</v>
      </c>
      <c r="D1603" s="416" t="s">
        <v>954</v>
      </c>
      <c r="E1603" s="217" t="s">
        <v>1899</v>
      </c>
      <c r="F1603" s="218" t="s">
        <v>1820</v>
      </c>
      <c r="G1603" s="116">
        <v>7276</v>
      </c>
      <c r="H1603" s="1776" t="s">
        <v>1349</v>
      </c>
      <c r="J1603" s="224"/>
      <c r="K1603" s="34" t="s">
        <v>25</v>
      </c>
      <c r="L1603" s="475"/>
      <c r="M1603" s="224"/>
      <c r="N1603" s="224"/>
      <c r="O1603" s="2628" t="s">
        <v>6395</v>
      </c>
      <c r="P1603" s="1">
        <v>789</v>
      </c>
      <c r="T1603" s="224"/>
      <c r="U1603" s="34" t="s">
        <v>25</v>
      </c>
      <c r="V1603" s="475"/>
      <c r="W1603" s="224"/>
      <c r="X1603" s="224"/>
    </row>
    <row r="1604" spans="1:24" x14ac:dyDescent="0.3">
      <c r="A1604" s="2651">
        <v>790</v>
      </c>
      <c r="B1604" s="1122" t="s">
        <v>1818</v>
      </c>
      <c r="C1604" s="216" t="s">
        <v>1344</v>
      </c>
      <c r="D1604" s="416" t="s">
        <v>954</v>
      </c>
      <c r="E1604" s="217" t="s">
        <v>1900</v>
      </c>
      <c r="F1604" s="218" t="s">
        <v>1820</v>
      </c>
      <c r="G1604" s="116">
        <v>7276</v>
      </c>
      <c r="H1604" s="1776" t="s">
        <v>1349</v>
      </c>
      <c r="J1604" s="224"/>
      <c r="K1604" s="34" t="s">
        <v>25</v>
      </c>
      <c r="L1604" s="475"/>
      <c r="M1604" s="224"/>
      <c r="N1604" s="224"/>
      <c r="O1604" s="2628" t="s">
        <v>6395</v>
      </c>
      <c r="P1604" s="1">
        <v>790</v>
      </c>
      <c r="T1604" s="224"/>
      <c r="U1604" s="34" t="s">
        <v>25</v>
      </c>
      <c r="V1604" s="475"/>
      <c r="W1604" s="224"/>
      <c r="X1604" s="224"/>
    </row>
    <row r="1605" spans="1:24" x14ac:dyDescent="0.3">
      <c r="A1605" s="2651">
        <v>791</v>
      </c>
      <c r="B1605" s="1122" t="s">
        <v>1818</v>
      </c>
      <c r="C1605" s="216" t="s">
        <v>1344</v>
      </c>
      <c r="D1605" s="416" t="s">
        <v>954</v>
      </c>
      <c r="E1605" s="217" t="s">
        <v>1901</v>
      </c>
      <c r="F1605" s="218" t="s">
        <v>1820</v>
      </c>
      <c r="G1605" s="116">
        <v>7276</v>
      </c>
      <c r="H1605" s="1776" t="s">
        <v>1349</v>
      </c>
      <c r="J1605" s="224"/>
      <c r="K1605" s="34" t="s">
        <v>25</v>
      </c>
      <c r="L1605" s="475"/>
      <c r="M1605" s="224"/>
      <c r="N1605" s="224"/>
      <c r="O1605" s="2628" t="s">
        <v>6395</v>
      </c>
      <c r="P1605" s="1">
        <v>791</v>
      </c>
      <c r="T1605" s="224"/>
      <c r="U1605" s="34" t="s">
        <v>25</v>
      </c>
      <c r="V1605" s="475"/>
      <c r="W1605" s="224"/>
      <c r="X1605" s="224"/>
    </row>
    <row r="1606" spans="1:24" x14ac:dyDescent="0.3">
      <c r="A1606" s="2652">
        <v>792</v>
      </c>
      <c r="B1606" s="1122" t="s">
        <v>1818</v>
      </c>
      <c r="C1606" s="1117" t="s">
        <v>1344</v>
      </c>
      <c r="D1606" s="452" t="s">
        <v>954</v>
      </c>
      <c r="E1606" s="217" t="s">
        <v>1902</v>
      </c>
      <c r="F1606" s="218" t="s">
        <v>1820</v>
      </c>
      <c r="G1606" s="116">
        <v>7276</v>
      </c>
      <c r="H1606" s="1776" t="s">
        <v>1349</v>
      </c>
      <c r="J1606" s="224"/>
      <c r="K1606" s="34" t="s">
        <v>25</v>
      </c>
      <c r="L1606" s="475"/>
      <c r="M1606" s="224"/>
      <c r="N1606" s="224"/>
      <c r="O1606" s="2628" t="s">
        <v>6395</v>
      </c>
      <c r="P1606" s="1">
        <v>792</v>
      </c>
      <c r="T1606" s="224"/>
      <c r="U1606" s="34" t="s">
        <v>25</v>
      </c>
      <c r="V1606" s="475"/>
      <c r="W1606" s="224"/>
      <c r="X1606" s="224"/>
    </row>
    <row r="1607" spans="1:24" x14ac:dyDescent="0.3">
      <c r="A1607" s="2651">
        <v>793</v>
      </c>
      <c r="B1607" s="1122" t="s">
        <v>1818</v>
      </c>
      <c r="C1607" s="1117" t="s">
        <v>1344</v>
      </c>
      <c r="D1607" s="793" t="s">
        <v>954</v>
      </c>
      <c r="E1607" s="217" t="s">
        <v>1903</v>
      </c>
      <c r="F1607" s="218" t="s">
        <v>1820</v>
      </c>
      <c r="G1607" s="116">
        <v>7276</v>
      </c>
      <c r="H1607" s="1776" t="s">
        <v>1349</v>
      </c>
      <c r="J1607" s="224"/>
      <c r="K1607" s="34" t="s">
        <v>25</v>
      </c>
      <c r="L1607" s="475"/>
      <c r="M1607" s="224"/>
      <c r="N1607" s="224"/>
      <c r="O1607" s="2628" t="s">
        <v>6395</v>
      </c>
      <c r="P1607" s="1">
        <v>793</v>
      </c>
      <c r="T1607" s="224"/>
      <c r="U1607" s="34" t="s">
        <v>25</v>
      </c>
      <c r="V1607" s="475"/>
      <c r="W1607" s="224"/>
      <c r="X1607" s="224"/>
    </row>
    <row r="1608" spans="1:24" x14ac:dyDescent="0.3">
      <c r="A1608" s="2651">
        <v>794</v>
      </c>
      <c r="B1608" s="1122" t="s">
        <v>1818</v>
      </c>
      <c r="C1608" s="1117" t="s">
        <v>1344</v>
      </c>
      <c r="D1608" s="416" t="s">
        <v>954</v>
      </c>
      <c r="E1608" s="217" t="s">
        <v>1904</v>
      </c>
      <c r="F1608" s="218" t="s">
        <v>1820</v>
      </c>
      <c r="G1608" s="116">
        <v>7276</v>
      </c>
      <c r="H1608" s="1776" t="s">
        <v>1349</v>
      </c>
      <c r="J1608" s="224"/>
      <c r="K1608" s="34" t="s">
        <v>25</v>
      </c>
      <c r="L1608" s="475"/>
      <c r="M1608" s="224"/>
      <c r="N1608" s="224"/>
      <c r="O1608" s="2628" t="s">
        <v>6395</v>
      </c>
      <c r="P1608" s="1">
        <v>794</v>
      </c>
      <c r="T1608" s="224"/>
      <c r="U1608" s="34" t="s">
        <v>25</v>
      </c>
      <c r="V1608" s="475"/>
      <c r="W1608" s="224"/>
      <c r="X1608" s="224"/>
    </row>
    <row r="1609" spans="1:24" x14ac:dyDescent="0.3">
      <c r="A1609" s="2652">
        <v>795</v>
      </c>
      <c r="B1609" s="1122" t="s">
        <v>1818</v>
      </c>
      <c r="C1609" s="1117" t="s">
        <v>1344</v>
      </c>
      <c r="D1609" s="416" t="s">
        <v>954</v>
      </c>
      <c r="E1609" s="217" t="s">
        <v>1905</v>
      </c>
      <c r="F1609" s="218" t="s">
        <v>1820</v>
      </c>
      <c r="G1609" s="116">
        <v>7276</v>
      </c>
      <c r="H1609" s="1776" t="s">
        <v>1349</v>
      </c>
      <c r="J1609" s="224"/>
      <c r="K1609" s="34" t="s">
        <v>25</v>
      </c>
      <c r="L1609" s="475"/>
      <c r="M1609" s="224"/>
      <c r="N1609" s="224"/>
      <c r="O1609" s="2628" t="s">
        <v>6395</v>
      </c>
      <c r="P1609" s="1">
        <v>795</v>
      </c>
      <c r="T1609" s="224"/>
      <c r="U1609" s="34" t="s">
        <v>25</v>
      </c>
      <c r="V1609" s="475"/>
      <c r="W1609" s="224"/>
      <c r="X1609" s="224"/>
    </row>
    <row r="1610" spans="1:24" x14ac:dyDescent="0.3">
      <c r="A1610" s="2651">
        <v>796</v>
      </c>
      <c r="B1610" s="1122" t="s">
        <v>1818</v>
      </c>
      <c r="C1610" s="1117" t="s">
        <v>1344</v>
      </c>
      <c r="D1610" s="416" t="s">
        <v>954</v>
      </c>
      <c r="E1610" s="217" t="s">
        <v>1906</v>
      </c>
      <c r="F1610" s="218" t="s">
        <v>1820</v>
      </c>
      <c r="G1610" s="116">
        <v>7276</v>
      </c>
      <c r="H1610" s="1776" t="s">
        <v>1349</v>
      </c>
      <c r="J1610" s="224"/>
      <c r="K1610" s="34" t="s">
        <v>25</v>
      </c>
      <c r="L1610" s="475"/>
      <c r="M1610" s="224"/>
      <c r="N1610" s="224"/>
      <c r="O1610" s="2628" t="s">
        <v>6395</v>
      </c>
      <c r="P1610" s="1">
        <v>796</v>
      </c>
      <c r="T1610" s="224"/>
      <c r="U1610" s="34" t="s">
        <v>25</v>
      </c>
      <c r="V1610" s="475"/>
      <c r="W1610" s="224"/>
      <c r="X1610" s="224"/>
    </row>
    <row r="1611" spans="1:24" x14ac:dyDescent="0.3">
      <c r="A1611" s="2651">
        <v>797</v>
      </c>
      <c r="B1611" s="1122" t="s">
        <v>1818</v>
      </c>
      <c r="C1611" s="1117" t="s">
        <v>1344</v>
      </c>
      <c r="D1611" s="416" t="s">
        <v>954</v>
      </c>
      <c r="E1611" s="217" t="s">
        <v>1907</v>
      </c>
      <c r="F1611" s="218" t="s">
        <v>1820</v>
      </c>
      <c r="G1611" s="116">
        <v>7276</v>
      </c>
      <c r="H1611" s="1776" t="s">
        <v>1349</v>
      </c>
      <c r="J1611" s="224"/>
      <c r="K1611" s="34" t="s">
        <v>25</v>
      </c>
      <c r="L1611" s="475"/>
      <c r="M1611" s="224"/>
      <c r="N1611" s="224"/>
      <c r="O1611" s="2628" t="s">
        <v>6395</v>
      </c>
      <c r="P1611" s="1">
        <v>797</v>
      </c>
      <c r="T1611" s="224"/>
      <c r="U1611" s="34" t="s">
        <v>25</v>
      </c>
      <c r="V1611" s="475"/>
      <c r="W1611" s="224"/>
      <c r="X1611" s="224"/>
    </row>
    <row r="1612" spans="1:24" x14ac:dyDescent="0.3">
      <c r="A1612" s="2652">
        <v>798</v>
      </c>
      <c r="B1612" s="1122" t="s">
        <v>1818</v>
      </c>
      <c r="C1612" s="1117" t="s">
        <v>1344</v>
      </c>
      <c r="D1612" s="416" t="s">
        <v>954</v>
      </c>
      <c r="E1612" s="217" t="s">
        <v>1908</v>
      </c>
      <c r="F1612" s="218" t="s">
        <v>1820</v>
      </c>
      <c r="G1612" s="116">
        <v>7276</v>
      </c>
      <c r="H1612" s="1776" t="s">
        <v>1349</v>
      </c>
      <c r="J1612" s="224"/>
      <c r="K1612" s="34" t="s">
        <v>25</v>
      </c>
      <c r="L1612" s="475"/>
      <c r="M1612" s="224"/>
      <c r="N1612" s="224"/>
      <c r="O1612" s="2628" t="s">
        <v>6395</v>
      </c>
      <c r="P1612" s="1">
        <v>798</v>
      </c>
      <c r="T1612" s="224"/>
      <c r="U1612" s="34" t="s">
        <v>25</v>
      </c>
      <c r="V1612" s="475"/>
      <c r="W1612" s="224"/>
      <c r="X1612" s="224"/>
    </row>
    <row r="1613" spans="1:24" x14ac:dyDescent="0.3">
      <c r="A1613" s="2651">
        <v>799</v>
      </c>
      <c r="B1613" s="1122" t="s">
        <v>1909</v>
      </c>
      <c r="C1613" s="1117" t="s">
        <v>1344</v>
      </c>
      <c r="D1613" s="416" t="s">
        <v>954</v>
      </c>
      <c r="E1613" s="217" t="s">
        <v>1910</v>
      </c>
      <c r="F1613" s="218" t="s">
        <v>1911</v>
      </c>
      <c r="G1613" s="116">
        <v>6634</v>
      </c>
      <c r="H1613" s="1776" t="s">
        <v>1349</v>
      </c>
      <c r="J1613" s="224"/>
      <c r="K1613" s="34" t="s">
        <v>25</v>
      </c>
      <c r="L1613" s="475"/>
      <c r="M1613" s="224"/>
      <c r="N1613" s="224"/>
      <c r="O1613" s="2628" t="s">
        <v>6395</v>
      </c>
      <c r="P1613" s="1">
        <v>799</v>
      </c>
      <c r="T1613" s="224"/>
      <c r="U1613" s="34" t="s">
        <v>25</v>
      </c>
      <c r="V1613" s="475"/>
      <c r="W1613" s="224"/>
      <c r="X1613" s="224"/>
    </row>
    <row r="1614" spans="1:24" x14ac:dyDescent="0.3">
      <c r="A1614" s="2651">
        <v>800</v>
      </c>
      <c r="B1614" s="1122" t="s">
        <v>1909</v>
      </c>
      <c r="C1614" s="1117" t="s">
        <v>1344</v>
      </c>
      <c r="D1614" s="416" t="s">
        <v>954</v>
      </c>
      <c r="E1614" s="217" t="s">
        <v>1912</v>
      </c>
      <c r="F1614" s="218" t="s">
        <v>1911</v>
      </c>
      <c r="G1614" s="116">
        <v>6634</v>
      </c>
      <c r="H1614" s="1776" t="s">
        <v>1349</v>
      </c>
      <c r="J1614" s="224"/>
      <c r="K1614" s="34" t="s">
        <v>25</v>
      </c>
      <c r="L1614" s="475"/>
      <c r="M1614" s="224"/>
      <c r="N1614" s="224"/>
      <c r="O1614" s="2628" t="s">
        <v>6395</v>
      </c>
      <c r="P1614" s="1">
        <v>800</v>
      </c>
      <c r="T1614" s="224"/>
      <c r="U1614" s="34" t="s">
        <v>25</v>
      </c>
      <c r="V1614" s="475"/>
      <c r="W1614" s="224"/>
      <c r="X1614" s="224"/>
    </row>
    <row r="1615" spans="1:24" x14ac:dyDescent="0.3">
      <c r="A1615" s="2652">
        <v>801</v>
      </c>
      <c r="B1615" s="1122" t="s">
        <v>1909</v>
      </c>
      <c r="C1615" s="1117" t="s">
        <v>1344</v>
      </c>
      <c r="D1615" s="416" t="s">
        <v>954</v>
      </c>
      <c r="E1615" s="217" t="s">
        <v>1913</v>
      </c>
      <c r="F1615" s="218" t="s">
        <v>1911</v>
      </c>
      <c r="G1615" s="116">
        <v>6634</v>
      </c>
      <c r="H1615" s="1776" t="s">
        <v>1349</v>
      </c>
      <c r="J1615" s="224"/>
      <c r="K1615" s="34" t="s">
        <v>25</v>
      </c>
      <c r="L1615" s="475"/>
      <c r="M1615" s="224"/>
      <c r="N1615" s="224"/>
      <c r="O1615" s="2628" t="s">
        <v>6395</v>
      </c>
      <c r="P1615" s="1">
        <v>801</v>
      </c>
      <c r="T1615" s="224"/>
      <c r="U1615" s="34" t="s">
        <v>25</v>
      </c>
      <c r="V1615" s="475"/>
      <c r="W1615" s="224"/>
      <c r="X1615" s="224"/>
    </row>
    <row r="1616" spans="1:24" x14ac:dyDescent="0.3">
      <c r="A1616" s="2651">
        <v>802</v>
      </c>
      <c r="B1616" s="1122" t="s">
        <v>1909</v>
      </c>
      <c r="C1616" s="1117" t="s">
        <v>1344</v>
      </c>
      <c r="D1616" s="416" t="s">
        <v>954</v>
      </c>
      <c r="E1616" s="217" t="s">
        <v>1914</v>
      </c>
      <c r="F1616" s="218" t="s">
        <v>1911</v>
      </c>
      <c r="G1616" s="116">
        <v>6634</v>
      </c>
      <c r="H1616" s="1776" t="s">
        <v>1349</v>
      </c>
      <c r="J1616" s="224"/>
      <c r="K1616" s="34" t="s">
        <v>25</v>
      </c>
      <c r="L1616" s="475"/>
      <c r="M1616" s="224"/>
      <c r="N1616" s="224"/>
      <c r="O1616" s="2628" t="s">
        <v>6395</v>
      </c>
      <c r="P1616" s="1">
        <v>802</v>
      </c>
      <c r="T1616" s="224"/>
      <c r="U1616" s="34" t="s">
        <v>25</v>
      </c>
      <c r="V1616" s="475"/>
      <c r="W1616" s="224"/>
      <c r="X1616" s="224"/>
    </row>
    <row r="1617" spans="1:24" x14ac:dyDescent="0.3">
      <c r="A1617" s="2651">
        <v>803</v>
      </c>
      <c r="B1617" s="1122" t="s">
        <v>1909</v>
      </c>
      <c r="C1617" s="1117" t="s">
        <v>1344</v>
      </c>
      <c r="D1617" s="416" t="s">
        <v>954</v>
      </c>
      <c r="E1617" s="217" t="s">
        <v>1915</v>
      </c>
      <c r="F1617" s="218" t="s">
        <v>1911</v>
      </c>
      <c r="G1617" s="116">
        <v>6634</v>
      </c>
      <c r="H1617" s="1776" t="s">
        <v>1349</v>
      </c>
      <c r="J1617" s="224"/>
      <c r="K1617" s="34" t="s">
        <v>25</v>
      </c>
      <c r="L1617" s="475"/>
      <c r="M1617" s="224"/>
      <c r="N1617" s="224"/>
      <c r="O1617" s="2628" t="s">
        <v>6395</v>
      </c>
      <c r="P1617" s="1">
        <v>803</v>
      </c>
      <c r="T1617" s="224"/>
      <c r="U1617" s="34" t="s">
        <v>25</v>
      </c>
      <c r="V1617" s="475"/>
      <c r="W1617" s="224"/>
      <c r="X1617" s="224"/>
    </row>
    <row r="1618" spans="1:24" x14ac:dyDescent="0.3">
      <c r="A1618" s="2652">
        <v>804</v>
      </c>
      <c r="B1618" s="1122" t="s">
        <v>1909</v>
      </c>
      <c r="C1618" s="1117" t="s">
        <v>1344</v>
      </c>
      <c r="D1618" s="416" t="s">
        <v>954</v>
      </c>
      <c r="E1618" s="217" t="s">
        <v>1916</v>
      </c>
      <c r="F1618" s="218" t="s">
        <v>1911</v>
      </c>
      <c r="G1618" s="116">
        <v>6634</v>
      </c>
      <c r="H1618" s="1776" t="s">
        <v>1349</v>
      </c>
      <c r="J1618" s="224"/>
      <c r="K1618" s="34" t="s">
        <v>25</v>
      </c>
      <c r="L1618" s="475"/>
      <c r="M1618" s="224"/>
      <c r="N1618" s="224"/>
      <c r="O1618" s="2628" t="s">
        <v>6395</v>
      </c>
      <c r="P1618" s="1">
        <v>804</v>
      </c>
      <c r="T1618" s="224"/>
      <c r="U1618" s="34" t="s">
        <v>25</v>
      </c>
      <c r="V1618" s="475"/>
      <c r="W1618" s="224"/>
      <c r="X1618" s="224"/>
    </row>
    <row r="1619" spans="1:24" x14ac:dyDescent="0.3">
      <c r="A1619" s="2651">
        <v>805</v>
      </c>
      <c r="B1619" s="1122" t="s">
        <v>1909</v>
      </c>
      <c r="C1619" s="1117" t="s">
        <v>1344</v>
      </c>
      <c r="D1619" s="416" t="s">
        <v>954</v>
      </c>
      <c r="E1619" s="217" t="s">
        <v>1917</v>
      </c>
      <c r="F1619" s="218" t="s">
        <v>1911</v>
      </c>
      <c r="G1619" s="116">
        <v>6634</v>
      </c>
      <c r="H1619" s="1776" t="s">
        <v>1349</v>
      </c>
      <c r="J1619" s="224"/>
      <c r="K1619" s="34" t="s">
        <v>25</v>
      </c>
      <c r="L1619" s="475"/>
      <c r="M1619" s="224"/>
      <c r="N1619" s="224"/>
      <c r="O1619" s="2628" t="s">
        <v>6395</v>
      </c>
      <c r="P1619" s="1">
        <v>805</v>
      </c>
      <c r="T1619" s="224"/>
      <c r="U1619" s="34" t="s">
        <v>25</v>
      </c>
      <c r="V1619" s="475"/>
      <c r="W1619" s="224"/>
      <c r="X1619" s="224"/>
    </row>
    <row r="1620" spans="1:24" x14ac:dyDescent="0.3">
      <c r="A1620" s="2651">
        <v>806</v>
      </c>
      <c r="B1620" s="1122" t="s">
        <v>1909</v>
      </c>
      <c r="C1620" s="1117" t="s">
        <v>1344</v>
      </c>
      <c r="D1620" s="452" t="s">
        <v>954</v>
      </c>
      <c r="E1620" s="217" t="s">
        <v>1918</v>
      </c>
      <c r="F1620" s="218" t="s">
        <v>1911</v>
      </c>
      <c r="G1620" s="116">
        <v>6634</v>
      </c>
      <c r="H1620" s="1776" t="s">
        <v>1349</v>
      </c>
      <c r="J1620" s="224"/>
      <c r="K1620" s="34" t="s">
        <v>25</v>
      </c>
      <c r="L1620" s="475"/>
      <c r="M1620" s="224"/>
      <c r="N1620" s="224"/>
      <c r="O1620" s="2628" t="s">
        <v>6395</v>
      </c>
      <c r="P1620" s="1">
        <v>806</v>
      </c>
      <c r="T1620" s="224"/>
      <c r="U1620" s="34" t="s">
        <v>25</v>
      </c>
      <c r="V1620" s="475"/>
      <c r="W1620" s="224"/>
      <c r="X1620" s="224"/>
    </row>
    <row r="1621" spans="1:24" x14ac:dyDescent="0.3">
      <c r="A1621" s="2652">
        <v>807</v>
      </c>
      <c r="B1621" s="1122" t="s">
        <v>1909</v>
      </c>
      <c r="C1621" s="1117" t="s">
        <v>1344</v>
      </c>
      <c r="D1621" s="793" t="s">
        <v>954</v>
      </c>
      <c r="E1621" s="217" t="s">
        <v>1919</v>
      </c>
      <c r="F1621" s="218" t="s">
        <v>1911</v>
      </c>
      <c r="G1621" s="116">
        <v>6634</v>
      </c>
      <c r="H1621" s="1776" t="s">
        <v>1349</v>
      </c>
      <c r="J1621" s="224"/>
      <c r="K1621" s="34" t="s">
        <v>25</v>
      </c>
      <c r="L1621" s="475"/>
      <c r="M1621" s="224"/>
      <c r="N1621" s="224"/>
      <c r="O1621" s="2628" t="s">
        <v>6395</v>
      </c>
      <c r="P1621" s="1">
        <v>807</v>
      </c>
      <c r="T1621" s="224"/>
      <c r="U1621" s="34" t="s">
        <v>25</v>
      </c>
      <c r="V1621" s="475"/>
      <c r="W1621" s="224"/>
      <c r="X1621" s="224"/>
    </row>
    <row r="1622" spans="1:24" x14ac:dyDescent="0.3">
      <c r="A1622" s="2651">
        <v>808</v>
      </c>
      <c r="B1622" s="1122" t="s">
        <v>1909</v>
      </c>
      <c r="C1622" s="216" t="s">
        <v>1344</v>
      </c>
      <c r="D1622" s="416" t="s">
        <v>954</v>
      </c>
      <c r="E1622" s="217" t="s">
        <v>498</v>
      </c>
      <c r="F1622" s="218" t="s">
        <v>1911</v>
      </c>
      <c r="G1622" s="116">
        <v>6634</v>
      </c>
      <c r="H1622" s="1776" t="s">
        <v>1349</v>
      </c>
      <c r="J1622" s="224"/>
      <c r="K1622" s="34" t="s">
        <v>25</v>
      </c>
      <c r="L1622" s="475"/>
      <c r="M1622" s="224"/>
      <c r="N1622" s="224"/>
      <c r="O1622" s="2628" t="s">
        <v>6395</v>
      </c>
      <c r="P1622" s="1">
        <v>808</v>
      </c>
      <c r="T1622" s="224"/>
      <c r="U1622" s="34" t="s">
        <v>25</v>
      </c>
      <c r="V1622" s="475"/>
      <c r="W1622" s="224"/>
      <c r="X1622" s="224"/>
    </row>
    <row r="1623" spans="1:24" x14ac:dyDescent="0.3">
      <c r="A1623" s="2651">
        <v>809</v>
      </c>
      <c r="B1623" s="1122" t="s">
        <v>1909</v>
      </c>
      <c r="C1623" s="216" t="s">
        <v>1344</v>
      </c>
      <c r="D1623" s="416" t="s">
        <v>954</v>
      </c>
      <c r="E1623" s="217" t="s">
        <v>500</v>
      </c>
      <c r="F1623" s="218" t="s">
        <v>1911</v>
      </c>
      <c r="G1623" s="116">
        <v>6634</v>
      </c>
      <c r="H1623" s="1776" t="s">
        <v>1349</v>
      </c>
      <c r="J1623" s="224"/>
      <c r="K1623" s="34" t="s">
        <v>25</v>
      </c>
      <c r="L1623" s="475"/>
      <c r="M1623" s="224"/>
      <c r="N1623" s="224"/>
      <c r="O1623" s="2628" t="s">
        <v>6395</v>
      </c>
      <c r="P1623" s="1">
        <v>809</v>
      </c>
      <c r="T1623" s="224"/>
      <c r="U1623" s="34" t="s">
        <v>25</v>
      </c>
      <c r="V1623" s="475"/>
      <c r="W1623" s="224"/>
      <c r="X1623" s="224"/>
    </row>
    <row r="1624" spans="1:24" x14ac:dyDescent="0.3">
      <c r="A1624" s="2652">
        <v>810</v>
      </c>
      <c r="B1624" s="1122" t="s">
        <v>1909</v>
      </c>
      <c r="C1624" s="216" t="s">
        <v>1344</v>
      </c>
      <c r="D1624" s="416" t="s">
        <v>954</v>
      </c>
      <c r="E1624" s="217" t="s">
        <v>501</v>
      </c>
      <c r="F1624" s="218" t="s">
        <v>1911</v>
      </c>
      <c r="G1624" s="116">
        <v>6634</v>
      </c>
      <c r="H1624" s="1776" t="s">
        <v>1349</v>
      </c>
      <c r="J1624" s="224"/>
      <c r="K1624" s="34" t="s">
        <v>25</v>
      </c>
      <c r="L1624" s="475"/>
      <c r="M1624" s="224"/>
      <c r="N1624" s="224"/>
      <c r="O1624" s="2628" t="s">
        <v>6395</v>
      </c>
      <c r="P1624" s="1">
        <v>810</v>
      </c>
      <c r="T1624" s="224"/>
      <c r="U1624" s="34" t="s">
        <v>25</v>
      </c>
      <c r="V1624" s="475"/>
      <c r="W1624" s="224"/>
      <c r="X1624" s="224"/>
    </row>
    <row r="1625" spans="1:24" x14ac:dyDescent="0.3">
      <c r="A1625" s="2651">
        <v>811</v>
      </c>
      <c r="B1625" s="1122" t="s">
        <v>1909</v>
      </c>
      <c r="C1625" s="216" t="s">
        <v>1344</v>
      </c>
      <c r="D1625" s="416" t="s">
        <v>954</v>
      </c>
      <c r="E1625" s="217" t="s">
        <v>502</v>
      </c>
      <c r="F1625" s="218" t="s">
        <v>1911</v>
      </c>
      <c r="G1625" s="116">
        <v>6634</v>
      </c>
      <c r="H1625" s="1776" t="s">
        <v>1349</v>
      </c>
      <c r="J1625" s="224"/>
      <c r="K1625" s="34" t="s">
        <v>25</v>
      </c>
      <c r="L1625" s="475"/>
      <c r="M1625" s="224"/>
      <c r="N1625" s="224"/>
      <c r="O1625" s="2628" t="s">
        <v>6395</v>
      </c>
      <c r="P1625" s="1">
        <v>811</v>
      </c>
      <c r="T1625" s="224"/>
      <c r="U1625" s="34" t="s">
        <v>25</v>
      </c>
      <c r="V1625" s="475"/>
      <c r="W1625" s="224"/>
      <c r="X1625" s="224"/>
    </row>
    <row r="1626" spans="1:24" x14ac:dyDescent="0.3">
      <c r="A1626" s="2651">
        <v>812</v>
      </c>
      <c r="B1626" s="1122" t="s">
        <v>1909</v>
      </c>
      <c r="C1626" s="216" t="s">
        <v>1344</v>
      </c>
      <c r="D1626" s="416" t="s">
        <v>954</v>
      </c>
      <c r="E1626" s="217" t="s">
        <v>1920</v>
      </c>
      <c r="F1626" s="218" t="s">
        <v>1911</v>
      </c>
      <c r="G1626" s="116">
        <v>6634</v>
      </c>
      <c r="H1626" s="1776" t="s">
        <v>1349</v>
      </c>
      <c r="J1626" s="224"/>
      <c r="K1626" s="34" t="s">
        <v>25</v>
      </c>
      <c r="L1626" s="475"/>
      <c r="M1626" s="224"/>
      <c r="N1626" s="224"/>
      <c r="O1626" s="2628" t="s">
        <v>6395</v>
      </c>
      <c r="P1626" s="1">
        <v>812</v>
      </c>
      <c r="T1626" s="224"/>
      <c r="U1626" s="34" t="s">
        <v>25</v>
      </c>
      <c r="V1626" s="475"/>
      <c r="W1626" s="224"/>
      <c r="X1626" s="224"/>
    </row>
    <row r="1627" spans="1:24" x14ac:dyDescent="0.3">
      <c r="A1627" s="2652">
        <v>813</v>
      </c>
      <c r="B1627" s="1122" t="s">
        <v>1909</v>
      </c>
      <c r="C1627" s="216" t="s">
        <v>1344</v>
      </c>
      <c r="D1627" s="416" t="s">
        <v>954</v>
      </c>
      <c r="E1627" s="217" t="s">
        <v>260</v>
      </c>
      <c r="F1627" s="218" t="s">
        <v>1911</v>
      </c>
      <c r="G1627" s="116">
        <v>6634</v>
      </c>
      <c r="H1627" s="1776" t="s">
        <v>1349</v>
      </c>
      <c r="J1627" s="224"/>
      <c r="K1627" s="34" t="s">
        <v>25</v>
      </c>
      <c r="L1627" s="475"/>
      <c r="M1627" s="224"/>
      <c r="N1627" s="224"/>
      <c r="O1627" s="2628" t="s">
        <v>6395</v>
      </c>
      <c r="P1627" s="1">
        <v>813</v>
      </c>
      <c r="T1627" s="224"/>
      <c r="U1627" s="34" t="s">
        <v>25</v>
      </c>
      <c r="V1627" s="475"/>
      <c r="W1627" s="224"/>
      <c r="X1627" s="224"/>
    </row>
    <row r="1628" spans="1:24" x14ac:dyDescent="0.3">
      <c r="A1628" s="2651">
        <v>814</v>
      </c>
      <c r="B1628" s="1122" t="s">
        <v>1909</v>
      </c>
      <c r="C1628" s="216" t="s">
        <v>1344</v>
      </c>
      <c r="D1628" s="416" t="s">
        <v>954</v>
      </c>
      <c r="E1628" s="217" t="s">
        <v>263</v>
      </c>
      <c r="F1628" s="218" t="s">
        <v>1911</v>
      </c>
      <c r="G1628" s="116">
        <v>6634</v>
      </c>
      <c r="H1628" s="1776" t="s">
        <v>1349</v>
      </c>
      <c r="J1628" s="224"/>
      <c r="K1628" s="34" t="s">
        <v>25</v>
      </c>
      <c r="L1628" s="475"/>
      <c r="M1628" s="224"/>
      <c r="N1628" s="224"/>
      <c r="O1628" s="2628" t="s">
        <v>6395</v>
      </c>
      <c r="P1628" s="1">
        <v>814</v>
      </c>
      <c r="T1628" s="224"/>
      <c r="U1628" s="34" t="s">
        <v>25</v>
      </c>
      <c r="V1628" s="475"/>
      <c r="W1628" s="224"/>
      <c r="X1628" s="224"/>
    </row>
    <row r="1629" spans="1:24" x14ac:dyDescent="0.3">
      <c r="A1629" s="2651">
        <v>815</v>
      </c>
      <c r="B1629" s="1122" t="s">
        <v>1909</v>
      </c>
      <c r="C1629" s="216" t="s">
        <v>1344</v>
      </c>
      <c r="D1629" s="416" t="s">
        <v>954</v>
      </c>
      <c r="E1629" s="217" t="s">
        <v>264</v>
      </c>
      <c r="F1629" s="218" t="s">
        <v>1911</v>
      </c>
      <c r="G1629" s="116">
        <v>6634</v>
      </c>
      <c r="H1629" s="1776" t="s">
        <v>1349</v>
      </c>
      <c r="J1629" s="224"/>
      <c r="K1629" s="34" t="s">
        <v>25</v>
      </c>
      <c r="L1629" s="475"/>
      <c r="M1629" s="224"/>
      <c r="N1629" s="224"/>
      <c r="O1629" s="2628" t="s">
        <v>6395</v>
      </c>
      <c r="P1629" s="1">
        <v>815</v>
      </c>
      <c r="T1629" s="224"/>
      <c r="U1629" s="34" t="s">
        <v>25</v>
      </c>
      <c r="V1629" s="475"/>
      <c r="W1629" s="224"/>
      <c r="X1629" s="224"/>
    </row>
    <row r="1630" spans="1:24" x14ac:dyDescent="0.3">
      <c r="A1630" s="2652">
        <v>816</v>
      </c>
      <c r="B1630" s="1122" t="s">
        <v>1909</v>
      </c>
      <c r="C1630" s="216" t="s">
        <v>1344</v>
      </c>
      <c r="D1630" s="416" t="s">
        <v>954</v>
      </c>
      <c r="E1630" s="217" t="s">
        <v>265</v>
      </c>
      <c r="F1630" s="218" t="s">
        <v>1911</v>
      </c>
      <c r="G1630" s="116">
        <v>6634</v>
      </c>
      <c r="H1630" s="1776" t="s">
        <v>1349</v>
      </c>
      <c r="J1630" s="224"/>
      <c r="K1630" s="34" t="s">
        <v>25</v>
      </c>
      <c r="L1630" s="475"/>
      <c r="M1630" s="224"/>
      <c r="N1630" s="224"/>
      <c r="O1630" s="2628" t="s">
        <v>6395</v>
      </c>
      <c r="P1630" s="1">
        <v>816</v>
      </c>
      <c r="T1630" s="224"/>
      <c r="U1630" s="34" t="s">
        <v>25</v>
      </c>
      <c r="V1630" s="475"/>
      <c r="W1630" s="224"/>
      <c r="X1630" s="224"/>
    </row>
    <row r="1631" spans="1:24" x14ac:dyDescent="0.3">
      <c r="A1631" s="2651">
        <v>817</v>
      </c>
      <c r="B1631" s="1122" t="s">
        <v>1909</v>
      </c>
      <c r="C1631" s="216" t="s">
        <v>1344</v>
      </c>
      <c r="D1631" s="416" t="s">
        <v>954</v>
      </c>
      <c r="E1631" s="217" t="s">
        <v>266</v>
      </c>
      <c r="F1631" s="218" t="s">
        <v>1911</v>
      </c>
      <c r="G1631" s="116">
        <v>6634</v>
      </c>
      <c r="H1631" s="1776" t="s">
        <v>1349</v>
      </c>
      <c r="J1631" s="224"/>
      <c r="K1631" s="34" t="s">
        <v>25</v>
      </c>
      <c r="L1631" s="475"/>
      <c r="M1631" s="224"/>
      <c r="N1631" s="224"/>
      <c r="O1631" s="2628" t="s">
        <v>6395</v>
      </c>
      <c r="P1631" s="1">
        <v>817</v>
      </c>
      <c r="T1631" s="224"/>
      <c r="U1631" s="34" t="s">
        <v>25</v>
      </c>
      <c r="V1631" s="475"/>
      <c r="W1631" s="224"/>
      <c r="X1631" s="224"/>
    </row>
    <row r="1632" spans="1:24" x14ac:dyDescent="0.3">
      <c r="A1632" s="2651">
        <v>818</v>
      </c>
      <c r="B1632" s="1122" t="s">
        <v>1909</v>
      </c>
      <c r="C1632" s="216" t="s">
        <v>1344</v>
      </c>
      <c r="D1632" s="416" t="s">
        <v>954</v>
      </c>
      <c r="E1632" s="217" t="s">
        <v>267</v>
      </c>
      <c r="F1632" s="218" t="s">
        <v>1911</v>
      </c>
      <c r="G1632" s="116">
        <v>6634</v>
      </c>
      <c r="H1632" s="1776" t="s">
        <v>1349</v>
      </c>
      <c r="J1632" s="224"/>
      <c r="K1632" s="34" t="s">
        <v>25</v>
      </c>
      <c r="L1632" s="475"/>
      <c r="M1632" s="224"/>
      <c r="N1632" s="224"/>
      <c r="O1632" s="2628" t="s">
        <v>6395</v>
      </c>
      <c r="P1632" s="1">
        <v>818</v>
      </c>
      <c r="T1632" s="224"/>
      <c r="U1632" s="34" t="s">
        <v>25</v>
      </c>
      <c r="V1632" s="475"/>
      <c r="W1632" s="224"/>
      <c r="X1632" s="224"/>
    </row>
    <row r="1633" spans="1:24" x14ac:dyDescent="0.3">
      <c r="A1633" s="2652">
        <v>819</v>
      </c>
      <c r="B1633" s="1122" t="s">
        <v>1909</v>
      </c>
      <c r="C1633" s="216" t="s">
        <v>1344</v>
      </c>
      <c r="D1633" s="416" t="s">
        <v>954</v>
      </c>
      <c r="E1633" s="217" t="s">
        <v>269</v>
      </c>
      <c r="F1633" s="218" t="s">
        <v>1911</v>
      </c>
      <c r="G1633" s="116">
        <v>6634</v>
      </c>
      <c r="H1633" s="1776" t="s">
        <v>1349</v>
      </c>
      <c r="J1633" s="224"/>
      <c r="K1633" s="34" t="s">
        <v>25</v>
      </c>
      <c r="L1633" s="475"/>
      <c r="M1633" s="224"/>
      <c r="N1633" s="224"/>
      <c r="O1633" s="2628" t="s">
        <v>6395</v>
      </c>
      <c r="P1633" s="1">
        <v>819</v>
      </c>
      <c r="T1633" s="224"/>
      <c r="U1633" s="34" t="s">
        <v>25</v>
      </c>
      <c r="V1633" s="475"/>
      <c r="W1633" s="224"/>
      <c r="X1633" s="224"/>
    </row>
    <row r="1634" spans="1:24" x14ac:dyDescent="0.3">
      <c r="A1634" s="2651">
        <v>820</v>
      </c>
      <c r="B1634" s="1122" t="s">
        <v>1909</v>
      </c>
      <c r="C1634" s="216" t="s">
        <v>1344</v>
      </c>
      <c r="D1634" s="416" t="s">
        <v>954</v>
      </c>
      <c r="E1634" s="217" t="s">
        <v>270</v>
      </c>
      <c r="F1634" s="218" t="s">
        <v>1911</v>
      </c>
      <c r="G1634" s="116">
        <v>6634</v>
      </c>
      <c r="H1634" s="1776" t="s">
        <v>1349</v>
      </c>
      <c r="J1634" s="224"/>
      <c r="K1634" s="34" t="s">
        <v>25</v>
      </c>
      <c r="L1634" s="475"/>
      <c r="M1634" s="224"/>
      <c r="N1634" s="224"/>
      <c r="O1634" s="2628" t="s">
        <v>6395</v>
      </c>
      <c r="P1634" s="1">
        <v>820</v>
      </c>
      <c r="T1634" s="224"/>
      <c r="U1634" s="34" t="s">
        <v>25</v>
      </c>
      <c r="V1634" s="475"/>
      <c r="W1634" s="224"/>
      <c r="X1634" s="224"/>
    </row>
    <row r="1635" spans="1:24" x14ac:dyDescent="0.3">
      <c r="A1635" s="2651">
        <v>821</v>
      </c>
      <c r="B1635" s="1122" t="s">
        <v>1909</v>
      </c>
      <c r="C1635" s="216" t="s">
        <v>1344</v>
      </c>
      <c r="D1635" s="452" t="s">
        <v>954</v>
      </c>
      <c r="E1635" s="217" t="s">
        <v>1921</v>
      </c>
      <c r="F1635" s="218" t="s">
        <v>1911</v>
      </c>
      <c r="G1635" s="116">
        <v>6634</v>
      </c>
      <c r="H1635" s="1776" t="s">
        <v>1349</v>
      </c>
      <c r="J1635" s="224"/>
      <c r="K1635" s="34" t="s">
        <v>25</v>
      </c>
      <c r="L1635" s="475"/>
      <c r="M1635" s="224"/>
      <c r="N1635" s="224"/>
      <c r="O1635" s="2628" t="s">
        <v>6395</v>
      </c>
      <c r="P1635" s="1">
        <v>821</v>
      </c>
      <c r="T1635" s="224"/>
      <c r="U1635" s="34" t="s">
        <v>25</v>
      </c>
      <c r="V1635" s="475"/>
      <c r="W1635" s="224"/>
      <c r="X1635" s="224"/>
    </row>
    <row r="1636" spans="1:24" x14ac:dyDescent="0.3">
      <c r="A1636" s="2652">
        <v>822</v>
      </c>
      <c r="B1636" s="1122" t="s">
        <v>1909</v>
      </c>
      <c r="C1636" s="216" t="s">
        <v>1344</v>
      </c>
      <c r="D1636" s="495" t="s">
        <v>954</v>
      </c>
      <c r="E1636" s="217" t="s">
        <v>271</v>
      </c>
      <c r="F1636" s="218" t="s">
        <v>1911</v>
      </c>
      <c r="G1636" s="116">
        <v>6634</v>
      </c>
      <c r="H1636" s="1776" t="s">
        <v>1349</v>
      </c>
      <c r="J1636" s="224"/>
      <c r="K1636" s="34" t="s">
        <v>25</v>
      </c>
      <c r="L1636" s="475"/>
      <c r="M1636" s="224"/>
      <c r="N1636" s="224"/>
      <c r="O1636" s="2628" t="s">
        <v>6395</v>
      </c>
      <c r="P1636" s="1">
        <v>822</v>
      </c>
      <c r="T1636" s="224"/>
      <c r="U1636" s="34" t="s">
        <v>25</v>
      </c>
      <c r="V1636" s="475"/>
      <c r="W1636" s="224"/>
      <c r="X1636" s="224"/>
    </row>
    <row r="1637" spans="1:24" x14ac:dyDescent="0.3">
      <c r="A1637" s="2651">
        <v>823</v>
      </c>
      <c r="B1637" s="1122" t="s">
        <v>1909</v>
      </c>
      <c r="C1637" s="216" t="s">
        <v>1344</v>
      </c>
      <c r="D1637" s="793" t="s">
        <v>954</v>
      </c>
      <c r="E1637" s="217" t="s">
        <v>272</v>
      </c>
      <c r="F1637" s="218" t="s">
        <v>1911</v>
      </c>
      <c r="G1637" s="116">
        <v>6634</v>
      </c>
      <c r="H1637" s="1776" t="s">
        <v>1349</v>
      </c>
      <c r="J1637" s="224"/>
      <c r="K1637" s="34" t="s">
        <v>25</v>
      </c>
      <c r="L1637" s="475"/>
      <c r="M1637" s="224"/>
      <c r="N1637" s="224"/>
      <c r="O1637" s="2628" t="s">
        <v>6395</v>
      </c>
      <c r="P1637" s="1">
        <v>823</v>
      </c>
      <c r="T1637" s="224"/>
      <c r="U1637" s="34" t="s">
        <v>25</v>
      </c>
      <c r="V1637" s="475"/>
      <c r="W1637" s="224"/>
      <c r="X1637" s="224"/>
    </row>
    <row r="1638" spans="1:24" x14ac:dyDescent="0.3">
      <c r="A1638" s="2651">
        <v>824</v>
      </c>
      <c r="B1638" s="1122" t="s">
        <v>1909</v>
      </c>
      <c r="C1638" s="216" t="s">
        <v>1344</v>
      </c>
      <c r="D1638" s="416" t="s">
        <v>954</v>
      </c>
      <c r="E1638" s="217" t="s">
        <v>273</v>
      </c>
      <c r="F1638" s="218" t="s">
        <v>1911</v>
      </c>
      <c r="G1638" s="116">
        <v>6634</v>
      </c>
      <c r="H1638" s="1776" t="s">
        <v>1349</v>
      </c>
      <c r="J1638" s="224"/>
      <c r="K1638" s="34" t="s">
        <v>25</v>
      </c>
      <c r="L1638" s="475"/>
      <c r="M1638" s="224"/>
      <c r="N1638" s="224"/>
      <c r="O1638" s="2628" t="s">
        <v>6395</v>
      </c>
      <c r="P1638" s="1">
        <v>824</v>
      </c>
      <c r="T1638" s="224"/>
      <c r="U1638" s="34" t="s">
        <v>25</v>
      </c>
      <c r="V1638" s="475"/>
      <c r="W1638" s="224"/>
      <c r="X1638" s="224"/>
    </row>
    <row r="1639" spans="1:24" x14ac:dyDescent="0.3">
      <c r="A1639" s="2652">
        <v>825</v>
      </c>
      <c r="B1639" s="1122" t="s">
        <v>1909</v>
      </c>
      <c r="C1639" s="216" t="s">
        <v>1344</v>
      </c>
      <c r="D1639" s="416" t="s">
        <v>954</v>
      </c>
      <c r="E1639" s="217" t="s">
        <v>1922</v>
      </c>
      <c r="F1639" s="218" t="s">
        <v>1911</v>
      </c>
      <c r="G1639" s="116">
        <v>6634</v>
      </c>
      <c r="H1639" s="1776" t="s">
        <v>1349</v>
      </c>
      <c r="J1639" s="224"/>
      <c r="K1639" s="34" t="s">
        <v>25</v>
      </c>
      <c r="L1639" s="475"/>
      <c r="M1639" s="224"/>
      <c r="N1639" s="224"/>
      <c r="O1639" s="2628" t="s">
        <v>6395</v>
      </c>
      <c r="P1639" s="1">
        <v>825</v>
      </c>
      <c r="T1639" s="224"/>
      <c r="U1639" s="34" t="s">
        <v>25</v>
      </c>
      <c r="V1639" s="475"/>
      <c r="W1639" s="224"/>
      <c r="X1639" s="224"/>
    </row>
    <row r="1640" spans="1:24" x14ac:dyDescent="0.3">
      <c r="A1640" s="2651">
        <v>826</v>
      </c>
      <c r="B1640" s="1122" t="s">
        <v>1909</v>
      </c>
      <c r="C1640" s="216" t="s">
        <v>1344</v>
      </c>
      <c r="D1640" s="416" t="s">
        <v>954</v>
      </c>
      <c r="E1640" s="217" t="s">
        <v>274</v>
      </c>
      <c r="F1640" s="218" t="s">
        <v>1911</v>
      </c>
      <c r="G1640" s="116">
        <v>6634</v>
      </c>
      <c r="H1640" s="1776" t="s">
        <v>1349</v>
      </c>
      <c r="J1640" s="224"/>
      <c r="K1640" s="34" t="s">
        <v>25</v>
      </c>
      <c r="L1640" s="475"/>
      <c r="M1640" s="224"/>
      <c r="N1640" s="224"/>
      <c r="O1640" s="2628" t="s">
        <v>6395</v>
      </c>
      <c r="P1640" s="1">
        <v>826</v>
      </c>
      <c r="T1640" s="224"/>
      <c r="U1640" s="34" t="s">
        <v>25</v>
      </c>
      <c r="V1640" s="475"/>
      <c r="W1640" s="224"/>
      <c r="X1640" s="224"/>
    </row>
    <row r="1641" spans="1:24" x14ac:dyDescent="0.3">
      <c r="A1641" s="2651">
        <v>827</v>
      </c>
      <c r="B1641" s="1122" t="s">
        <v>1909</v>
      </c>
      <c r="C1641" s="216" t="s">
        <v>1344</v>
      </c>
      <c r="D1641" s="416" t="s">
        <v>954</v>
      </c>
      <c r="E1641" s="217" t="s">
        <v>276</v>
      </c>
      <c r="F1641" s="218" t="s">
        <v>1911</v>
      </c>
      <c r="G1641" s="116">
        <v>6634</v>
      </c>
      <c r="H1641" s="1776" t="s">
        <v>1349</v>
      </c>
      <c r="J1641" s="224"/>
      <c r="K1641" s="34" t="s">
        <v>25</v>
      </c>
      <c r="L1641" s="475"/>
      <c r="M1641" s="224"/>
      <c r="N1641" s="224"/>
      <c r="O1641" s="2628" t="s">
        <v>6395</v>
      </c>
      <c r="P1641" s="1">
        <v>827</v>
      </c>
      <c r="T1641" s="224"/>
      <c r="U1641" s="34" t="s">
        <v>25</v>
      </c>
      <c r="V1641" s="475"/>
      <c r="W1641" s="224"/>
      <c r="X1641" s="224"/>
    </row>
    <row r="1642" spans="1:24" x14ac:dyDescent="0.3">
      <c r="A1642" s="2652">
        <v>828</v>
      </c>
      <c r="B1642" s="1122" t="s">
        <v>1909</v>
      </c>
      <c r="C1642" s="216" t="s">
        <v>1344</v>
      </c>
      <c r="D1642" s="416" t="s">
        <v>954</v>
      </c>
      <c r="E1642" s="217" t="s">
        <v>277</v>
      </c>
      <c r="F1642" s="218" t="s">
        <v>1911</v>
      </c>
      <c r="G1642" s="116">
        <v>6634</v>
      </c>
      <c r="H1642" s="1776" t="s">
        <v>1349</v>
      </c>
      <c r="J1642" s="224"/>
      <c r="K1642" s="34" t="s">
        <v>25</v>
      </c>
      <c r="L1642" s="475"/>
      <c r="M1642" s="224"/>
      <c r="N1642" s="224"/>
      <c r="O1642" s="2628" t="s">
        <v>6395</v>
      </c>
      <c r="P1642" s="1">
        <v>828</v>
      </c>
      <c r="T1642" s="224"/>
      <c r="U1642" s="34" t="s">
        <v>25</v>
      </c>
      <c r="V1642" s="475"/>
      <c r="W1642" s="224"/>
      <c r="X1642" s="224"/>
    </row>
    <row r="1643" spans="1:24" x14ac:dyDescent="0.3">
      <c r="A1643" s="2651">
        <v>829</v>
      </c>
      <c r="B1643" s="1122" t="s">
        <v>1909</v>
      </c>
      <c r="C1643" s="216" t="s">
        <v>1344</v>
      </c>
      <c r="D1643" s="416" t="s">
        <v>954</v>
      </c>
      <c r="E1643" s="217" t="s">
        <v>278</v>
      </c>
      <c r="F1643" s="218" t="s">
        <v>1911</v>
      </c>
      <c r="G1643" s="116">
        <v>6634</v>
      </c>
      <c r="H1643" s="1776" t="s">
        <v>1349</v>
      </c>
      <c r="J1643" s="224"/>
      <c r="K1643" s="34" t="s">
        <v>25</v>
      </c>
      <c r="L1643" s="475"/>
      <c r="M1643" s="224"/>
      <c r="N1643" s="224"/>
      <c r="O1643" s="2628" t="s">
        <v>6395</v>
      </c>
      <c r="P1643" s="1">
        <v>829</v>
      </c>
      <c r="T1643" s="224"/>
      <c r="U1643" s="34" t="s">
        <v>25</v>
      </c>
      <c r="V1643" s="475"/>
      <c r="W1643" s="224"/>
      <c r="X1643" s="224"/>
    </row>
    <row r="1644" spans="1:24" x14ac:dyDescent="0.3">
      <c r="A1644" s="2651">
        <v>830</v>
      </c>
      <c r="B1644" s="1122" t="s">
        <v>1909</v>
      </c>
      <c r="C1644" s="216" t="s">
        <v>1344</v>
      </c>
      <c r="D1644" s="416" t="s">
        <v>954</v>
      </c>
      <c r="E1644" s="217" t="s">
        <v>279</v>
      </c>
      <c r="F1644" s="218" t="s">
        <v>1911</v>
      </c>
      <c r="G1644" s="116">
        <v>6634</v>
      </c>
      <c r="H1644" s="1776" t="s">
        <v>1349</v>
      </c>
      <c r="J1644" s="224"/>
      <c r="K1644" s="34" t="s">
        <v>25</v>
      </c>
      <c r="L1644" s="475"/>
      <c r="M1644" s="224"/>
      <c r="N1644" s="224"/>
      <c r="O1644" s="2628" t="s">
        <v>6395</v>
      </c>
      <c r="P1644" s="1">
        <v>830</v>
      </c>
      <c r="T1644" s="224"/>
      <c r="U1644" s="34" t="s">
        <v>25</v>
      </c>
      <c r="V1644" s="475"/>
      <c r="W1644" s="224"/>
      <c r="X1644" s="224"/>
    </row>
    <row r="1645" spans="1:24" x14ac:dyDescent="0.3">
      <c r="A1645" s="2652">
        <v>831</v>
      </c>
      <c r="B1645" s="1122" t="s">
        <v>1909</v>
      </c>
      <c r="C1645" s="216" t="s">
        <v>1344</v>
      </c>
      <c r="D1645" s="416" t="s">
        <v>954</v>
      </c>
      <c r="E1645" s="217" t="s">
        <v>280</v>
      </c>
      <c r="F1645" s="218" t="s">
        <v>1911</v>
      </c>
      <c r="G1645" s="116">
        <v>6634</v>
      </c>
      <c r="H1645" s="1776" t="s">
        <v>1349</v>
      </c>
      <c r="J1645" s="224"/>
      <c r="K1645" s="34" t="s">
        <v>25</v>
      </c>
      <c r="L1645" s="475"/>
      <c r="M1645" s="224"/>
      <c r="N1645" s="224"/>
      <c r="O1645" s="2628" t="s">
        <v>6395</v>
      </c>
      <c r="P1645" s="1">
        <v>831</v>
      </c>
      <c r="T1645" s="224"/>
      <c r="U1645" s="34" t="s">
        <v>25</v>
      </c>
      <c r="V1645" s="475"/>
      <c r="W1645" s="224"/>
      <c r="X1645" s="224"/>
    </row>
    <row r="1646" spans="1:24" x14ac:dyDescent="0.3">
      <c r="A1646" s="2651">
        <v>832</v>
      </c>
      <c r="B1646" s="1122" t="s">
        <v>1909</v>
      </c>
      <c r="C1646" s="216" t="s">
        <v>1344</v>
      </c>
      <c r="D1646" s="416" t="s">
        <v>954</v>
      </c>
      <c r="E1646" s="217" t="s">
        <v>281</v>
      </c>
      <c r="F1646" s="218" t="s">
        <v>1911</v>
      </c>
      <c r="G1646" s="116">
        <v>6634</v>
      </c>
      <c r="H1646" s="1776" t="s">
        <v>1349</v>
      </c>
      <c r="J1646" s="224"/>
      <c r="K1646" s="34" t="s">
        <v>25</v>
      </c>
      <c r="L1646" s="475"/>
      <c r="M1646" s="224"/>
      <c r="N1646" s="224"/>
      <c r="O1646" s="2628" t="s">
        <v>6395</v>
      </c>
      <c r="P1646" s="1">
        <v>832</v>
      </c>
      <c r="T1646" s="224"/>
      <c r="U1646" s="34" t="s">
        <v>25</v>
      </c>
      <c r="V1646" s="475"/>
      <c r="W1646" s="224"/>
      <c r="X1646" s="224"/>
    </row>
    <row r="1647" spans="1:24" x14ac:dyDescent="0.3">
      <c r="A1647" s="2651">
        <v>833</v>
      </c>
      <c r="B1647" s="1122" t="s">
        <v>1909</v>
      </c>
      <c r="C1647" s="216" t="s">
        <v>1344</v>
      </c>
      <c r="D1647" s="416" t="s">
        <v>954</v>
      </c>
      <c r="E1647" s="217" t="s">
        <v>282</v>
      </c>
      <c r="F1647" s="218" t="s">
        <v>1911</v>
      </c>
      <c r="G1647" s="116">
        <v>6634</v>
      </c>
      <c r="H1647" s="1776" t="s">
        <v>1349</v>
      </c>
      <c r="J1647" s="224"/>
      <c r="K1647" s="34" t="s">
        <v>25</v>
      </c>
      <c r="L1647" s="475"/>
      <c r="M1647" s="224"/>
      <c r="N1647" s="224"/>
      <c r="O1647" s="2628" t="s">
        <v>6395</v>
      </c>
      <c r="P1647" s="1">
        <v>833</v>
      </c>
      <c r="T1647" s="224"/>
      <c r="U1647" s="34" t="s">
        <v>25</v>
      </c>
      <c r="V1647" s="475"/>
      <c r="W1647" s="224"/>
      <c r="X1647" s="224"/>
    </row>
    <row r="1648" spans="1:24" x14ac:dyDescent="0.3">
      <c r="A1648" s="2652">
        <v>834</v>
      </c>
      <c r="B1648" s="1122" t="s">
        <v>1909</v>
      </c>
      <c r="C1648" s="216" t="s">
        <v>1344</v>
      </c>
      <c r="D1648" s="416" t="s">
        <v>954</v>
      </c>
      <c r="E1648" s="217" t="s">
        <v>283</v>
      </c>
      <c r="F1648" s="218" t="s">
        <v>1911</v>
      </c>
      <c r="G1648" s="116">
        <v>6634</v>
      </c>
      <c r="H1648" s="1776" t="s">
        <v>1349</v>
      </c>
      <c r="J1648" s="224"/>
      <c r="K1648" s="34" t="s">
        <v>25</v>
      </c>
      <c r="L1648" s="475"/>
      <c r="M1648" s="224"/>
      <c r="N1648" s="224"/>
      <c r="O1648" s="2628" t="s">
        <v>6395</v>
      </c>
      <c r="P1648" s="1">
        <v>834</v>
      </c>
      <c r="T1648" s="224"/>
      <c r="U1648" s="34" t="s">
        <v>25</v>
      </c>
      <c r="V1648" s="475"/>
      <c r="W1648" s="224"/>
      <c r="X1648" s="224"/>
    </row>
    <row r="1649" spans="1:24" x14ac:dyDescent="0.3">
      <c r="A1649" s="2651">
        <v>835</v>
      </c>
      <c r="B1649" s="1122" t="s">
        <v>1909</v>
      </c>
      <c r="C1649" s="216" t="s">
        <v>1344</v>
      </c>
      <c r="D1649" s="416" t="s">
        <v>954</v>
      </c>
      <c r="E1649" s="217" t="s">
        <v>284</v>
      </c>
      <c r="F1649" s="218" t="s">
        <v>1911</v>
      </c>
      <c r="G1649" s="116">
        <v>6634</v>
      </c>
      <c r="H1649" s="1776" t="s">
        <v>1349</v>
      </c>
      <c r="J1649" s="224"/>
      <c r="K1649" s="34" t="s">
        <v>25</v>
      </c>
      <c r="L1649" s="475"/>
      <c r="M1649" s="224"/>
      <c r="N1649" s="224"/>
      <c r="O1649" s="2628" t="s">
        <v>6395</v>
      </c>
      <c r="P1649" s="1">
        <v>835</v>
      </c>
      <c r="T1649" s="224"/>
      <c r="U1649" s="34" t="s">
        <v>25</v>
      </c>
      <c r="V1649" s="475"/>
      <c r="W1649" s="224"/>
      <c r="X1649" s="224"/>
    </row>
    <row r="1650" spans="1:24" x14ac:dyDescent="0.3">
      <c r="A1650" s="2651">
        <v>836</v>
      </c>
      <c r="B1650" s="1122" t="s">
        <v>1909</v>
      </c>
      <c r="C1650" s="216" t="s">
        <v>1344</v>
      </c>
      <c r="D1650" s="416" t="s">
        <v>954</v>
      </c>
      <c r="E1650" s="217" t="s">
        <v>285</v>
      </c>
      <c r="F1650" s="218" t="s">
        <v>1911</v>
      </c>
      <c r="G1650" s="116">
        <v>6634</v>
      </c>
      <c r="H1650" s="1776" t="s">
        <v>1349</v>
      </c>
      <c r="J1650" s="224"/>
      <c r="K1650" s="34" t="s">
        <v>25</v>
      </c>
      <c r="L1650" s="475"/>
      <c r="M1650" s="224"/>
      <c r="N1650" s="224"/>
      <c r="O1650" s="2628" t="s">
        <v>6395</v>
      </c>
      <c r="P1650" s="1">
        <v>836</v>
      </c>
      <c r="T1650" s="224"/>
      <c r="U1650" s="34" t="s">
        <v>25</v>
      </c>
      <c r="V1650" s="475"/>
      <c r="W1650" s="224"/>
      <c r="X1650" s="224"/>
    </row>
    <row r="1651" spans="1:24" x14ac:dyDescent="0.3">
      <c r="A1651" s="2652">
        <v>837</v>
      </c>
      <c r="B1651" s="1122" t="s">
        <v>1909</v>
      </c>
      <c r="C1651" s="216" t="s">
        <v>1344</v>
      </c>
      <c r="D1651" s="416" t="s">
        <v>954</v>
      </c>
      <c r="E1651" s="217" t="s">
        <v>286</v>
      </c>
      <c r="F1651" s="218" t="s">
        <v>1911</v>
      </c>
      <c r="G1651" s="116">
        <v>6634</v>
      </c>
      <c r="H1651" s="1776" t="s">
        <v>1349</v>
      </c>
      <c r="J1651" s="224"/>
      <c r="K1651" s="34" t="s">
        <v>25</v>
      </c>
      <c r="L1651" s="475"/>
      <c r="M1651" s="224"/>
      <c r="N1651" s="224"/>
      <c r="O1651" s="2628" t="s">
        <v>6395</v>
      </c>
      <c r="P1651" s="1">
        <v>837</v>
      </c>
      <c r="T1651" s="224"/>
      <c r="U1651" s="34" t="s">
        <v>25</v>
      </c>
      <c r="V1651" s="475"/>
      <c r="W1651" s="224"/>
      <c r="X1651" s="224"/>
    </row>
    <row r="1652" spans="1:24" x14ac:dyDescent="0.3">
      <c r="A1652" s="2651">
        <v>838</v>
      </c>
      <c r="B1652" s="1122" t="s">
        <v>1909</v>
      </c>
      <c r="C1652" s="216" t="s">
        <v>1344</v>
      </c>
      <c r="D1652" s="452" t="s">
        <v>954</v>
      </c>
      <c r="E1652" s="217" t="s">
        <v>287</v>
      </c>
      <c r="F1652" s="218" t="s">
        <v>1911</v>
      </c>
      <c r="G1652" s="116">
        <v>6634</v>
      </c>
      <c r="H1652" s="1776" t="s">
        <v>1349</v>
      </c>
      <c r="J1652" s="224"/>
      <c r="K1652" s="34" t="s">
        <v>25</v>
      </c>
      <c r="L1652" s="475"/>
      <c r="M1652" s="224"/>
      <c r="N1652" s="224"/>
      <c r="O1652" s="2628" t="s">
        <v>6395</v>
      </c>
      <c r="P1652" s="1">
        <v>838</v>
      </c>
      <c r="T1652" s="224"/>
      <c r="U1652" s="34" t="s">
        <v>25</v>
      </c>
      <c r="V1652" s="475"/>
      <c r="W1652" s="224"/>
      <c r="X1652" s="224"/>
    </row>
    <row r="1653" spans="1:24" x14ac:dyDescent="0.3">
      <c r="A1653" s="2651">
        <v>839</v>
      </c>
      <c r="B1653" s="1122" t="s">
        <v>1909</v>
      </c>
      <c r="C1653" s="216" t="s">
        <v>1344</v>
      </c>
      <c r="D1653" s="495" t="s">
        <v>954</v>
      </c>
      <c r="E1653" s="217" t="s">
        <v>289</v>
      </c>
      <c r="F1653" s="218" t="s">
        <v>1911</v>
      </c>
      <c r="G1653" s="116">
        <v>6634</v>
      </c>
      <c r="H1653" s="1776" t="s">
        <v>1349</v>
      </c>
      <c r="J1653" s="224"/>
      <c r="K1653" s="34" t="s">
        <v>25</v>
      </c>
      <c r="L1653" s="475"/>
      <c r="M1653" s="224"/>
      <c r="N1653" s="224"/>
      <c r="O1653" s="2628" t="s">
        <v>6395</v>
      </c>
      <c r="P1653" s="1">
        <v>839</v>
      </c>
      <c r="T1653" s="224"/>
      <c r="U1653" s="34" t="s">
        <v>25</v>
      </c>
      <c r="V1653" s="475"/>
      <c r="W1653" s="224"/>
      <c r="X1653" s="224"/>
    </row>
    <row r="1654" spans="1:24" x14ac:dyDescent="0.3">
      <c r="A1654" s="2652">
        <v>840</v>
      </c>
      <c r="B1654" s="1122" t="s">
        <v>1909</v>
      </c>
      <c r="C1654" s="216" t="s">
        <v>1344</v>
      </c>
      <c r="D1654" s="793" t="s">
        <v>954</v>
      </c>
      <c r="E1654" s="217" t="s">
        <v>290</v>
      </c>
      <c r="F1654" s="218" t="s">
        <v>1911</v>
      </c>
      <c r="G1654" s="116">
        <v>6634</v>
      </c>
      <c r="H1654" s="1776" t="s">
        <v>1349</v>
      </c>
      <c r="J1654" s="224"/>
      <c r="K1654" s="34" t="s">
        <v>25</v>
      </c>
      <c r="L1654" s="475"/>
      <c r="M1654" s="224"/>
      <c r="N1654" s="224"/>
      <c r="O1654" s="2628" t="s">
        <v>6395</v>
      </c>
      <c r="P1654" s="1">
        <v>840</v>
      </c>
      <c r="T1654" s="224"/>
      <c r="U1654" s="34" t="s">
        <v>25</v>
      </c>
      <c r="V1654" s="475"/>
      <c r="W1654" s="224"/>
      <c r="X1654" s="224"/>
    </row>
    <row r="1655" spans="1:24" x14ac:dyDescent="0.3">
      <c r="A1655" s="2651">
        <v>841</v>
      </c>
      <c r="B1655" s="1122" t="s">
        <v>1909</v>
      </c>
      <c r="C1655" s="216" t="s">
        <v>1344</v>
      </c>
      <c r="D1655" s="416" t="s">
        <v>954</v>
      </c>
      <c r="E1655" s="217" t="s">
        <v>292</v>
      </c>
      <c r="F1655" s="218" t="s">
        <v>1911</v>
      </c>
      <c r="G1655" s="116">
        <v>6634</v>
      </c>
      <c r="H1655" s="1776" t="s">
        <v>1349</v>
      </c>
      <c r="J1655" s="224"/>
      <c r="K1655" s="34" t="s">
        <v>25</v>
      </c>
      <c r="L1655" s="475"/>
      <c r="M1655" s="224"/>
      <c r="N1655" s="224"/>
      <c r="O1655" s="2628" t="s">
        <v>6395</v>
      </c>
      <c r="P1655" s="1">
        <v>841</v>
      </c>
      <c r="T1655" s="224"/>
      <c r="U1655" s="34" t="s">
        <v>25</v>
      </c>
      <c r="V1655" s="475"/>
      <c r="W1655" s="224"/>
      <c r="X1655" s="224"/>
    </row>
    <row r="1656" spans="1:24" x14ac:dyDescent="0.3">
      <c r="A1656" s="2651">
        <v>842</v>
      </c>
      <c r="B1656" s="1122" t="s">
        <v>1909</v>
      </c>
      <c r="C1656" s="216" t="s">
        <v>1344</v>
      </c>
      <c r="D1656" s="416" t="s">
        <v>954</v>
      </c>
      <c r="E1656" s="217" t="s">
        <v>1923</v>
      </c>
      <c r="F1656" s="218" t="s">
        <v>1911</v>
      </c>
      <c r="G1656" s="116">
        <v>6634</v>
      </c>
      <c r="H1656" s="1776" t="s">
        <v>1349</v>
      </c>
      <c r="J1656" s="224"/>
      <c r="K1656" s="34" t="s">
        <v>25</v>
      </c>
      <c r="L1656" s="475"/>
      <c r="M1656" s="224"/>
      <c r="N1656" s="224"/>
      <c r="O1656" s="2628" t="s">
        <v>6395</v>
      </c>
      <c r="P1656" s="1">
        <v>842</v>
      </c>
      <c r="T1656" s="224"/>
      <c r="U1656" s="34" t="s">
        <v>25</v>
      </c>
      <c r="V1656" s="475"/>
      <c r="W1656" s="224"/>
      <c r="X1656" s="224"/>
    </row>
    <row r="1657" spans="1:24" x14ac:dyDescent="0.3">
      <c r="A1657" s="2652">
        <v>843</v>
      </c>
      <c r="B1657" s="1122" t="s">
        <v>1909</v>
      </c>
      <c r="C1657" s="216" t="s">
        <v>1344</v>
      </c>
      <c r="D1657" s="416" t="s">
        <v>954</v>
      </c>
      <c r="E1657" s="217" t="s">
        <v>293</v>
      </c>
      <c r="F1657" s="218" t="s">
        <v>1911</v>
      </c>
      <c r="G1657" s="116">
        <v>6634</v>
      </c>
      <c r="H1657" s="1776" t="s">
        <v>1349</v>
      </c>
      <c r="J1657" s="224"/>
      <c r="K1657" s="34" t="s">
        <v>25</v>
      </c>
      <c r="L1657" s="475"/>
      <c r="M1657" s="224"/>
      <c r="N1657" s="224"/>
      <c r="O1657" s="2628" t="s">
        <v>6395</v>
      </c>
      <c r="P1657" s="1">
        <v>843</v>
      </c>
      <c r="T1657" s="224"/>
      <c r="U1657" s="34" t="s">
        <v>25</v>
      </c>
      <c r="V1657" s="475"/>
      <c r="W1657" s="224"/>
      <c r="X1657" s="224"/>
    </row>
    <row r="1658" spans="1:24" x14ac:dyDescent="0.3">
      <c r="A1658" s="2651">
        <v>844</v>
      </c>
      <c r="B1658" s="1122" t="s">
        <v>1909</v>
      </c>
      <c r="C1658" s="216" t="s">
        <v>1344</v>
      </c>
      <c r="D1658" s="416" t="s">
        <v>954</v>
      </c>
      <c r="E1658" s="217" t="s">
        <v>294</v>
      </c>
      <c r="F1658" s="218" t="s">
        <v>1911</v>
      </c>
      <c r="G1658" s="116">
        <v>6634</v>
      </c>
      <c r="H1658" s="1776" t="s">
        <v>1349</v>
      </c>
      <c r="J1658" s="224"/>
      <c r="K1658" s="34" t="s">
        <v>25</v>
      </c>
      <c r="L1658" s="475"/>
      <c r="M1658" s="224"/>
      <c r="N1658" s="224"/>
      <c r="O1658" s="2628" t="s">
        <v>6395</v>
      </c>
      <c r="P1658" s="1">
        <v>844</v>
      </c>
      <c r="T1658" s="224"/>
      <c r="U1658" s="34" t="s">
        <v>25</v>
      </c>
      <c r="V1658" s="475"/>
      <c r="W1658" s="224"/>
      <c r="X1658" s="224"/>
    </row>
    <row r="1659" spans="1:24" x14ac:dyDescent="0.3">
      <c r="A1659" s="2651">
        <v>845</v>
      </c>
      <c r="B1659" s="1122" t="s">
        <v>1909</v>
      </c>
      <c r="C1659" s="216" t="s">
        <v>1344</v>
      </c>
      <c r="D1659" s="416" t="s">
        <v>954</v>
      </c>
      <c r="E1659" s="217" t="s">
        <v>296</v>
      </c>
      <c r="F1659" s="218" t="s">
        <v>1911</v>
      </c>
      <c r="G1659" s="116">
        <v>6634</v>
      </c>
      <c r="H1659" s="1776" t="s">
        <v>1349</v>
      </c>
      <c r="J1659" s="224"/>
      <c r="K1659" s="34" t="s">
        <v>25</v>
      </c>
      <c r="L1659" s="475"/>
      <c r="M1659" s="224"/>
      <c r="N1659" s="224"/>
      <c r="O1659" s="2628" t="s">
        <v>6395</v>
      </c>
      <c r="P1659" s="1">
        <v>845</v>
      </c>
      <c r="T1659" s="224"/>
      <c r="U1659" s="34" t="s">
        <v>25</v>
      </c>
      <c r="V1659" s="475"/>
      <c r="W1659" s="224"/>
      <c r="X1659" s="224"/>
    </row>
    <row r="1660" spans="1:24" x14ac:dyDescent="0.3">
      <c r="A1660" s="2652">
        <v>846</v>
      </c>
      <c r="B1660" s="1122" t="s">
        <v>1909</v>
      </c>
      <c r="C1660" s="216" t="s">
        <v>1344</v>
      </c>
      <c r="D1660" s="416" t="s">
        <v>954</v>
      </c>
      <c r="E1660" s="217" t="s">
        <v>299</v>
      </c>
      <c r="F1660" s="218" t="s">
        <v>1911</v>
      </c>
      <c r="G1660" s="116">
        <v>6634</v>
      </c>
      <c r="H1660" s="1776" t="s">
        <v>1349</v>
      </c>
      <c r="J1660" s="224"/>
      <c r="K1660" s="34" t="s">
        <v>25</v>
      </c>
      <c r="L1660" s="475"/>
      <c r="M1660" s="224"/>
      <c r="N1660" s="224"/>
      <c r="O1660" s="2628" t="s">
        <v>6395</v>
      </c>
      <c r="P1660" s="1">
        <v>846</v>
      </c>
      <c r="T1660" s="224"/>
      <c r="U1660" s="34" t="s">
        <v>25</v>
      </c>
      <c r="V1660" s="475"/>
      <c r="W1660" s="224"/>
      <c r="X1660" s="224"/>
    </row>
    <row r="1661" spans="1:24" x14ac:dyDescent="0.3">
      <c r="A1661" s="2651">
        <v>847</v>
      </c>
      <c r="B1661" s="1122" t="s">
        <v>1909</v>
      </c>
      <c r="C1661" s="216" t="s">
        <v>1344</v>
      </c>
      <c r="D1661" s="416" t="s">
        <v>954</v>
      </c>
      <c r="E1661" s="217" t="s">
        <v>300</v>
      </c>
      <c r="F1661" s="218" t="s">
        <v>1911</v>
      </c>
      <c r="G1661" s="116">
        <v>6634</v>
      </c>
      <c r="H1661" s="1776" t="s">
        <v>1349</v>
      </c>
      <c r="J1661" s="224"/>
      <c r="K1661" s="34" t="s">
        <v>25</v>
      </c>
      <c r="L1661" s="475"/>
      <c r="M1661" s="224"/>
      <c r="N1661" s="224"/>
      <c r="O1661" s="2628" t="s">
        <v>6395</v>
      </c>
      <c r="P1661" s="1">
        <v>847</v>
      </c>
      <c r="T1661" s="224"/>
      <c r="U1661" s="34" t="s">
        <v>25</v>
      </c>
      <c r="V1661" s="475"/>
      <c r="W1661" s="224"/>
      <c r="X1661" s="224"/>
    </row>
    <row r="1662" spans="1:24" x14ac:dyDescent="0.3">
      <c r="A1662" s="2651">
        <v>848</v>
      </c>
      <c r="B1662" s="1122" t="s">
        <v>1909</v>
      </c>
      <c r="C1662" s="216" t="s">
        <v>1344</v>
      </c>
      <c r="D1662" s="416" t="s">
        <v>954</v>
      </c>
      <c r="E1662" s="217" t="s">
        <v>301</v>
      </c>
      <c r="F1662" s="218" t="s">
        <v>1911</v>
      </c>
      <c r="G1662" s="116">
        <v>6634</v>
      </c>
      <c r="H1662" s="1776" t="s">
        <v>1349</v>
      </c>
      <c r="J1662" s="224"/>
      <c r="K1662" s="34" t="s">
        <v>25</v>
      </c>
      <c r="L1662" s="475"/>
      <c r="M1662" s="224"/>
      <c r="N1662" s="224"/>
      <c r="O1662" s="2628" t="s">
        <v>6395</v>
      </c>
      <c r="P1662" s="1">
        <v>848</v>
      </c>
      <c r="T1662" s="224"/>
      <c r="U1662" s="34" t="s">
        <v>25</v>
      </c>
      <c r="V1662" s="475"/>
      <c r="W1662" s="224"/>
      <c r="X1662" s="224"/>
    </row>
    <row r="1663" spans="1:24" x14ac:dyDescent="0.3">
      <c r="A1663" s="2652">
        <v>849</v>
      </c>
      <c r="B1663" s="1122" t="s">
        <v>1909</v>
      </c>
      <c r="C1663" s="216" t="s">
        <v>1344</v>
      </c>
      <c r="D1663" s="416" t="s">
        <v>954</v>
      </c>
      <c r="E1663" s="217" t="s">
        <v>302</v>
      </c>
      <c r="F1663" s="218" t="s">
        <v>1911</v>
      </c>
      <c r="G1663" s="116">
        <v>6634</v>
      </c>
      <c r="H1663" s="1776" t="s">
        <v>1349</v>
      </c>
      <c r="J1663" s="224"/>
      <c r="K1663" s="34" t="s">
        <v>25</v>
      </c>
      <c r="L1663" s="475"/>
      <c r="M1663" s="224"/>
      <c r="N1663" s="224"/>
      <c r="O1663" s="2628" t="s">
        <v>6395</v>
      </c>
      <c r="P1663" s="1">
        <v>849</v>
      </c>
      <c r="T1663" s="224"/>
      <c r="U1663" s="34" t="s">
        <v>25</v>
      </c>
      <c r="V1663" s="475"/>
      <c r="W1663" s="224"/>
      <c r="X1663" s="224"/>
    </row>
    <row r="1664" spans="1:24" x14ac:dyDescent="0.3">
      <c r="A1664" s="2651">
        <v>850</v>
      </c>
      <c r="B1664" s="1122" t="s">
        <v>1909</v>
      </c>
      <c r="C1664" s="216" t="s">
        <v>1344</v>
      </c>
      <c r="D1664" s="416" t="s">
        <v>954</v>
      </c>
      <c r="E1664" s="217" t="s">
        <v>303</v>
      </c>
      <c r="F1664" s="218" t="s">
        <v>1911</v>
      </c>
      <c r="G1664" s="116">
        <v>6634</v>
      </c>
      <c r="H1664" s="1776" t="s">
        <v>1349</v>
      </c>
      <c r="J1664" s="224"/>
      <c r="K1664" s="34" t="s">
        <v>25</v>
      </c>
      <c r="L1664" s="475"/>
      <c r="M1664" s="224"/>
      <c r="N1664" s="224"/>
      <c r="O1664" s="2628" t="s">
        <v>6395</v>
      </c>
      <c r="P1664" s="1">
        <v>850</v>
      </c>
      <c r="T1664" s="224"/>
      <c r="U1664" s="34" t="s">
        <v>25</v>
      </c>
      <c r="V1664" s="475"/>
      <c r="W1664" s="224"/>
      <c r="X1664" s="224"/>
    </row>
    <row r="1665" spans="1:24" x14ac:dyDescent="0.3">
      <c r="A1665" s="2651">
        <v>851</v>
      </c>
      <c r="B1665" s="1122" t="s">
        <v>1909</v>
      </c>
      <c r="C1665" s="216" t="s">
        <v>1344</v>
      </c>
      <c r="D1665" s="452" t="s">
        <v>954</v>
      </c>
      <c r="E1665" s="217" t="s">
        <v>1924</v>
      </c>
      <c r="F1665" s="218" t="s">
        <v>1911</v>
      </c>
      <c r="G1665" s="116">
        <v>6634</v>
      </c>
      <c r="H1665" s="1776" t="s">
        <v>1349</v>
      </c>
      <c r="J1665" s="224"/>
      <c r="K1665" s="34" t="s">
        <v>25</v>
      </c>
      <c r="L1665" s="475"/>
      <c r="M1665" s="224"/>
      <c r="N1665" s="224"/>
      <c r="O1665" s="2628" t="s">
        <v>6395</v>
      </c>
      <c r="P1665" s="1">
        <v>851</v>
      </c>
      <c r="T1665" s="224"/>
      <c r="U1665" s="34" t="s">
        <v>25</v>
      </c>
      <c r="V1665" s="475"/>
      <c r="W1665" s="224"/>
      <c r="X1665" s="224"/>
    </row>
    <row r="1666" spans="1:24" x14ac:dyDescent="0.3">
      <c r="A1666" s="2652">
        <v>852</v>
      </c>
      <c r="B1666" s="1122" t="s">
        <v>1909</v>
      </c>
      <c r="C1666" s="216" t="s">
        <v>1344</v>
      </c>
      <c r="D1666" s="793" t="s">
        <v>954</v>
      </c>
      <c r="E1666" s="217" t="s">
        <v>1925</v>
      </c>
      <c r="F1666" s="218" t="s">
        <v>1911</v>
      </c>
      <c r="G1666" s="116">
        <v>6634</v>
      </c>
      <c r="H1666" s="1776" t="s">
        <v>1349</v>
      </c>
      <c r="J1666" s="224"/>
      <c r="K1666" s="34" t="s">
        <v>25</v>
      </c>
      <c r="L1666" s="475"/>
      <c r="M1666" s="224"/>
      <c r="N1666" s="224"/>
      <c r="O1666" s="2628" t="s">
        <v>6395</v>
      </c>
      <c r="P1666" s="1">
        <v>852</v>
      </c>
      <c r="T1666" s="224"/>
      <c r="U1666" s="34" t="s">
        <v>25</v>
      </c>
      <c r="V1666" s="475"/>
      <c r="W1666" s="224"/>
      <c r="X1666" s="224"/>
    </row>
    <row r="1667" spans="1:24" x14ac:dyDescent="0.3">
      <c r="A1667" s="2651">
        <v>853</v>
      </c>
      <c r="B1667" s="1122" t="s">
        <v>1909</v>
      </c>
      <c r="C1667" s="216" t="s">
        <v>1344</v>
      </c>
      <c r="D1667" s="452" t="s">
        <v>954</v>
      </c>
      <c r="E1667" s="217" t="s">
        <v>1926</v>
      </c>
      <c r="F1667" s="218" t="s">
        <v>1911</v>
      </c>
      <c r="G1667" s="116">
        <v>6634</v>
      </c>
      <c r="H1667" s="1776" t="s">
        <v>1349</v>
      </c>
      <c r="J1667" s="224"/>
      <c r="K1667" s="34" t="s">
        <v>25</v>
      </c>
      <c r="L1667" s="475"/>
      <c r="M1667" s="224"/>
      <c r="N1667" s="224"/>
      <c r="O1667" s="2628" t="s">
        <v>6395</v>
      </c>
      <c r="P1667" s="1">
        <v>853</v>
      </c>
      <c r="T1667" s="224"/>
      <c r="U1667" s="34" t="s">
        <v>25</v>
      </c>
      <c r="V1667" s="475"/>
      <c r="W1667" s="224"/>
      <c r="X1667" s="224"/>
    </row>
    <row r="1668" spans="1:24" x14ac:dyDescent="0.3">
      <c r="A1668" s="2651">
        <v>854</v>
      </c>
      <c r="B1668" s="1122" t="s">
        <v>1909</v>
      </c>
      <c r="C1668" s="216" t="s">
        <v>1344</v>
      </c>
      <c r="D1668" s="793" t="s">
        <v>954</v>
      </c>
      <c r="E1668" s="217" t="s">
        <v>1927</v>
      </c>
      <c r="F1668" s="218" t="s">
        <v>1911</v>
      </c>
      <c r="G1668" s="116">
        <v>6634</v>
      </c>
      <c r="H1668" s="1776" t="s">
        <v>1349</v>
      </c>
      <c r="J1668" s="224"/>
      <c r="K1668" s="34" t="s">
        <v>25</v>
      </c>
      <c r="L1668" s="475"/>
      <c r="M1668" s="224"/>
      <c r="N1668" s="224"/>
      <c r="O1668" s="2628" t="s">
        <v>6395</v>
      </c>
      <c r="P1668" s="1">
        <v>854</v>
      </c>
      <c r="T1668" s="224"/>
      <c r="U1668" s="34" t="s">
        <v>25</v>
      </c>
      <c r="V1668" s="475"/>
      <c r="W1668" s="224"/>
      <c r="X1668" s="224"/>
    </row>
    <row r="1669" spans="1:24" x14ac:dyDescent="0.3">
      <c r="A1669" s="2652">
        <v>855</v>
      </c>
      <c r="B1669" s="1122" t="s">
        <v>1909</v>
      </c>
      <c r="C1669" s="216" t="s">
        <v>1344</v>
      </c>
      <c r="D1669" s="416" t="s">
        <v>954</v>
      </c>
      <c r="E1669" s="217" t="s">
        <v>1928</v>
      </c>
      <c r="F1669" s="218" t="s">
        <v>1911</v>
      </c>
      <c r="G1669" s="116">
        <v>6634</v>
      </c>
      <c r="H1669" s="1776" t="s">
        <v>1349</v>
      </c>
      <c r="J1669" s="224"/>
      <c r="K1669" s="34" t="s">
        <v>25</v>
      </c>
      <c r="L1669" s="475"/>
      <c r="M1669" s="224"/>
      <c r="N1669" s="224"/>
      <c r="O1669" s="2628" t="s">
        <v>6395</v>
      </c>
      <c r="P1669" s="1">
        <v>855</v>
      </c>
      <c r="T1669" s="224"/>
      <c r="U1669" s="34" t="s">
        <v>25</v>
      </c>
      <c r="V1669" s="475"/>
      <c r="W1669" s="224"/>
      <c r="X1669" s="224"/>
    </row>
    <row r="1670" spans="1:24" x14ac:dyDescent="0.3">
      <c r="A1670" s="2651">
        <v>856</v>
      </c>
      <c r="B1670" s="1122" t="s">
        <v>1909</v>
      </c>
      <c r="C1670" s="216" t="s">
        <v>1344</v>
      </c>
      <c r="D1670" s="416" t="s">
        <v>954</v>
      </c>
      <c r="E1670" s="217" t="s">
        <v>1929</v>
      </c>
      <c r="F1670" s="218" t="s">
        <v>1911</v>
      </c>
      <c r="G1670" s="116">
        <v>6634</v>
      </c>
      <c r="H1670" s="1776" t="s">
        <v>1349</v>
      </c>
      <c r="J1670" s="224"/>
      <c r="K1670" s="34" t="s">
        <v>25</v>
      </c>
      <c r="L1670" s="475"/>
      <c r="M1670" s="224"/>
      <c r="N1670" s="224"/>
      <c r="O1670" s="2628" t="s">
        <v>6395</v>
      </c>
      <c r="P1670" s="1">
        <v>856</v>
      </c>
      <c r="T1670" s="224"/>
      <c r="U1670" s="34" t="s">
        <v>25</v>
      </c>
      <c r="V1670" s="475"/>
      <c r="W1670" s="224"/>
      <c r="X1670" s="224"/>
    </row>
    <row r="1671" spans="1:24" x14ac:dyDescent="0.3">
      <c r="A1671" s="2651">
        <v>857</v>
      </c>
      <c r="B1671" s="1122" t="s">
        <v>1909</v>
      </c>
      <c r="C1671" s="216" t="s">
        <v>1344</v>
      </c>
      <c r="D1671" s="416" t="s">
        <v>954</v>
      </c>
      <c r="E1671" s="217" t="s">
        <v>1930</v>
      </c>
      <c r="F1671" s="218" t="s">
        <v>1911</v>
      </c>
      <c r="G1671" s="116">
        <v>6634</v>
      </c>
      <c r="H1671" s="1776" t="s">
        <v>1349</v>
      </c>
      <c r="J1671" s="224"/>
      <c r="K1671" s="34" t="s">
        <v>25</v>
      </c>
      <c r="L1671" s="475"/>
      <c r="M1671" s="224"/>
      <c r="N1671" s="224"/>
      <c r="O1671" s="2628" t="s">
        <v>6395</v>
      </c>
      <c r="P1671" s="1">
        <v>857</v>
      </c>
      <c r="T1671" s="224"/>
      <c r="U1671" s="34" t="s">
        <v>25</v>
      </c>
      <c r="V1671" s="475"/>
      <c r="W1671" s="224"/>
      <c r="X1671" s="224"/>
    </row>
    <row r="1672" spans="1:24" x14ac:dyDescent="0.3">
      <c r="A1672" s="2652">
        <v>858</v>
      </c>
      <c r="B1672" s="1122" t="s">
        <v>1909</v>
      </c>
      <c r="C1672" s="216" t="s">
        <v>1344</v>
      </c>
      <c r="D1672" s="416" t="s">
        <v>954</v>
      </c>
      <c r="E1672" s="217" t="s">
        <v>348</v>
      </c>
      <c r="F1672" s="218" t="s">
        <v>1911</v>
      </c>
      <c r="G1672" s="116">
        <v>6634</v>
      </c>
      <c r="H1672" s="1776" t="s">
        <v>1349</v>
      </c>
      <c r="J1672" s="224"/>
      <c r="K1672" s="34" t="s">
        <v>25</v>
      </c>
      <c r="L1672" s="475"/>
      <c r="M1672" s="224"/>
      <c r="N1672" s="224"/>
      <c r="O1672" s="2628" t="s">
        <v>6395</v>
      </c>
      <c r="P1672" s="1">
        <v>858</v>
      </c>
      <c r="T1672" s="224"/>
      <c r="U1672" s="34" t="s">
        <v>25</v>
      </c>
      <c r="V1672" s="475"/>
      <c r="W1672" s="224"/>
      <c r="X1672" s="224"/>
    </row>
    <row r="1673" spans="1:24" x14ac:dyDescent="0.3">
      <c r="A1673" s="2651">
        <v>859</v>
      </c>
      <c r="B1673" s="1122" t="s">
        <v>1909</v>
      </c>
      <c r="C1673" s="216" t="s">
        <v>1344</v>
      </c>
      <c r="D1673" s="416" t="s">
        <v>954</v>
      </c>
      <c r="E1673" s="217" t="s">
        <v>350</v>
      </c>
      <c r="F1673" s="218" t="s">
        <v>1911</v>
      </c>
      <c r="G1673" s="116">
        <v>6634</v>
      </c>
      <c r="H1673" s="1776" t="s">
        <v>1349</v>
      </c>
      <c r="J1673" s="224"/>
      <c r="K1673" s="34" t="s">
        <v>25</v>
      </c>
      <c r="L1673" s="475"/>
      <c r="M1673" s="224"/>
      <c r="N1673" s="224"/>
      <c r="O1673" s="2628" t="s">
        <v>6395</v>
      </c>
      <c r="P1673" s="1">
        <v>859</v>
      </c>
      <c r="T1673" s="224"/>
      <c r="U1673" s="34" t="s">
        <v>25</v>
      </c>
      <c r="V1673" s="475"/>
      <c r="W1673" s="224"/>
      <c r="X1673" s="224"/>
    </row>
    <row r="1674" spans="1:24" x14ac:dyDescent="0.3">
      <c r="A1674" s="2651">
        <v>860</v>
      </c>
      <c r="B1674" s="1122" t="s">
        <v>1909</v>
      </c>
      <c r="C1674" s="216" t="s">
        <v>1344</v>
      </c>
      <c r="D1674" s="416" t="s">
        <v>954</v>
      </c>
      <c r="E1674" s="217" t="s">
        <v>351</v>
      </c>
      <c r="F1674" s="218" t="s">
        <v>1911</v>
      </c>
      <c r="G1674" s="116">
        <v>6634</v>
      </c>
      <c r="H1674" s="1776" t="s">
        <v>1349</v>
      </c>
      <c r="J1674" s="224"/>
      <c r="K1674" s="34" t="s">
        <v>25</v>
      </c>
      <c r="L1674" s="475"/>
      <c r="M1674" s="224"/>
      <c r="N1674" s="224"/>
      <c r="O1674" s="2628" t="s">
        <v>6395</v>
      </c>
      <c r="P1674" s="1">
        <v>860</v>
      </c>
      <c r="T1674" s="224"/>
      <c r="U1674" s="34" t="s">
        <v>25</v>
      </c>
      <c r="V1674" s="475"/>
      <c r="W1674" s="224"/>
      <c r="X1674" s="224"/>
    </row>
    <row r="1675" spans="1:24" x14ac:dyDescent="0.3">
      <c r="A1675" s="2652">
        <v>861</v>
      </c>
      <c r="B1675" s="1122" t="s">
        <v>1909</v>
      </c>
      <c r="C1675" s="216" t="s">
        <v>1344</v>
      </c>
      <c r="D1675" s="416" t="s">
        <v>954</v>
      </c>
      <c r="E1675" s="217" t="s">
        <v>1931</v>
      </c>
      <c r="F1675" s="218" t="s">
        <v>1911</v>
      </c>
      <c r="G1675" s="116">
        <v>6634</v>
      </c>
      <c r="H1675" s="1776" t="s">
        <v>1349</v>
      </c>
      <c r="J1675" s="224"/>
      <c r="K1675" s="34" t="s">
        <v>25</v>
      </c>
      <c r="L1675" s="475"/>
      <c r="M1675" s="224"/>
      <c r="N1675" s="224"/>
      <c r="O1675" s="2628" t="s">
        <v>6395</v>
      </c>
      <c r="P1675" s="1">
        <v>861</v>
      </c>
      <c r="T1675" s="224"/>
      <c r="U1675" s="34" t="s">
        <v>25</v>
      </c>
      <c r="V1675" s="475"/>
      <c r="W1675" s="224"/>
      <c r="X1675" s="224"/>
    </row>
    <row r="1676" spans="1:24" x14ac:dyDescent="0.3">
      <c r="A1676" s="2651">
        <v>862</v>
      </c>
      <c r="B1676" s="1122" t="s">
        <v>1909</v>
      </c>
      <c r="C1676" s="216" t="s">
        <v>1344</v>
      </c>
      <c r="D1676" s="416" t="s">
        <v>954</v>
      </c>
      <c r="E1676" s="217" t="s">
        <v>1932</v>
      </c>
      <c r="F1676" s="218" t="s">
        <v>1911</v>
      </c>
      <c r="G1676" s="116">
        <v>6634</v>
      </c>
      <c r="H1676" s="1776" t="s">
        <v>1349</v>
      </c>
      <c r="J1676" s="224"/>
      <c r="K1676" s="34" t="s">
        <v>25</v>
      </c>
      <c r="L1676" s="475"/>
      <c r="M1676" s="224"/>
      <c r="N1676" s="224"/>
      <c r="O1676" s="2628" t="s">
        <v>6395</v>
      </c>
      <c r="P1676" s="1">
        <v>862</v>
      </c>
      <c r="T1676" s="224"/>
      <c r="U1676" s="34" t="s">
        <v>25</v>
      </c>
      <c r="V1676" s="475"/>
      <c r="W1676" s="224"/>
      <c r="X1676" s="224"/>
    </row>
    <row r="1677" spans="1:24" x14ac:dyDescent="0.3">
      <c r="A1677" s="2651">
        <v>863</v>
      </c>
      <c r="B1677" s="1122" t="s">
        <v>1909</v>
      </c>
      <c r="C1677" s="216" t="s">
        <v>1344</v>
      </c>
      <c r="D1677" s="416" t="s">
        <v>954</v>
      </c>
      <c r="E1677" s="217" t="s">
        <v>1933</v>
      </c>
      <c r="F1677" s="218" t="s">
        <v>1911</v>
      </c>
      <c r="G1677" s="116">
        <v>6634</v>
      </c>
      <c r="H1677" s="1776" t="s">
        <v>1349</v>
      </c>
      <c r="J1677" s="224"/>
      <c r="K1677" s="34" t="s">
        <v>25</v>
      </c>
      <c r="L1677" s="475"/>
      <c r="M1677" s="224"/>
      <c r="N1677" s="224"/>
      <c r="O1677" s="2628" t="s">
        <v>6395</v>
      </c>
      <c r="P1677" s="1">
        <v>863</v>
      </c>
      <c r="T1677" s="224"/>
      <c r="U1677" s="34" t="s">
        <v>25</v>
      </c>
      <c r="V1677" s="475"/>
      <c r="W1677" s="224"/>
      <c r="X1677" s="224"/>
    </row>
    <row r="1678" spans="1:24" x14ac:dyDescent="0.3">
      <c r="A1678" s="2652">
        <v>864</v>
      </c>
      <c r="B1678" s="1122" t="s">
        <v>1909</v>
      </c>
      <c r="C1678" s="216" t="s">
        <v>1344</v>
      </c>
      <c r="D1678" s="416" t="s">
        <v>954</v>
      </c>
      <c r="E1678" s="217" t="s">
        <v>1934</v>
      </c>
      <c r="F1678" s="218" t="s">
        <v>1911</v>
      </c>
      <c r="G1678" s="116">
        <v>6634</v>
      </c>
      <c r="H1678" s="1776" t="s">
        <v>1349</v>
      </c>
      <c r="J1678" s="224"/>
      <c r="K1678" s="34" t="s">
        <v>25</v>
      </c>
      <c r="L1678" s="475"/>
      <c r="M1678" s="224"/>
      <c r="N1678" s="224"/>
      <c r="O1678" s="2628" t="s">
        <v>6395</v>
      </c>
      <c r="P1678" s="1">
        <v>864</v>
      </c>
      <c r="T1678" s="224"/>
      <c r="U1678" s="34" t="s">
        <v>25</v>
      </c>
      <c r="V1678" s="475"/>
      <c r="W1678" s="224"/>
      <c r="X1678" s="224"/>
    </row>
    <row r="1679" spans="1:24" x14ac:dyDescent="0.3">
      <c r="A1679" s="2651">
        <v>865</v>
      </c>
      <c r="B1679" s="1122" t="s">
        <v>1909</v>
      </c>
      <c r="C1679" s="216" t="s">
        <v>1344</v>
      </c>
      <c r="D1679" s="416" t="s">
        <v>954</v>
      </c>
      <c r="E1679" s="217" t="s">
        <v>1935</v>
      </c>
      <c r="F1679" s="218" t="s">
        <v>1911</v>
      </c>
      <c r="G1679" s="116">
        <v>6634</v>
      </c>
      <c r="H1679" s="1776" t="s">
        <v>1349</v>
      </c>
      <c r="J1679" s="224"/>
      <c r="K1679" s="34" t="s">
        <v>25</v>
      </c>
      <c r="L1679" s="475"/>
      <c r="M1679" s="224"/>
      <c r="N1679" s="224"/>
      <c r="O1679" s="2628" t="s">
        <v>6395</v>
      </c>
      <c r="P1679" s="1">
        <v>865</v>
      </c>
      <c r="T1679" s="224"/>
      <c r="U1679" s="34" t="s">
        <v>25</v>
      </c>
      <c r="V1679" s="475"/>
      <c r="W1679" s="224"/>
      <c r="X1679" s="224"/>
    </row>
    <row r="1680" spans="1:24" x14ac:dyDescent="0.3">
      <c r="A1680" s="2651">
        <v>866</v>
      </c>
      <c r="B1680" s="1122" t="s">
        <v>1909</v>
      </c>
      <c r="C1680" s="216" t="s">
        <v>1344</v>
      </c>
      <c r="D1680" s="416" t="s">
        <v>954</v>
      </c>
      <c r="E1680" s="217" t="s">
        <v>1936</v>
      </c>
      <c r="F1680" s="218" t="s">
        <v>1911</v>
      </c>
      <c r="G1680" s="116">
        <v>6634</v>
      </c>
      <c r="H1680" s="1776" t="s">
        <v>1349</v>
      </c>
      <c r="J1680" s="224"/>
      <c r="K1680" s="34" t="s">
        <v>25</v>
      </c>
      <c r="L1680" s="475"/>
      <c r="M1680" s="224"/>
      <c r="N1680" s="224"/>
      <c r="O1680" s="2628" t="s">
        <v>6395</v>
      </c>
      <c r="P1680" s="1">
        <v>866</v>
      </c>
      <c r="T1680" s="224"/>
      <c r="U1680" s="34" t="s">
        <v>25</v>
      </c>
      <c r="V1680" s="475"/>
      <c r="W1680" s="224"/>
      <c r="X1680" s="224"/>
    </row>
    <row r="1681" spans="1:24" x14ac:dyDescent="0.3">
      <c r="A1681" s="2652">
        <v>867</v>
      </c>
      <c r="B1681" s="1122" t="s">
        <v>1909</v>
      </c>
      <c r="C1681" s="216" t="s">
        <v>1344</v>
      </c>
      <c r="D1681" s="416" t="s">
        <v>954</v>
      </c>
      <c r="E1681" s="217" t="s">
        <v>1937</v>
      </c>
      <c r="F1681" s="218" t="s">
        <v>1911</v>
      </c>
      <c r="G1681" s="116">
        <v>6634</v>
      </c>
      <c r="H1681" s="1776" t="s">
        <v>1349</v>
      </c>
      <c r="J1681" s="224"/>
      <c r="K1681" s="34" t="s">
        <v>25</v>
      </c>
      <c r="L1681" s="475"/>
      <c r="M1681" s="224"/>
      <c r="N1681" s="224"/>
      <c r="O1681" s="2628" t="s">
        <v>6395</v>
      </c>
      <c r="P1681" s="1">
        <v>867</v>
      </c>
      <c r="T1681" s="224"/>
      <c r="U1681" s="34" t="s">
        <v>25</v>
      </c>
      <c r="V1681" s="475"/>
      <c r="W1681" s="224"/>
      <c r="X1681" s="224"/>
    </row>
    <row r="1682" spans="1:24" x14ac:dyDescent="0.3">
      <c r="A1682" s="2651">
        <v>868</v>
      </c>
      <c r="B1682" s="1122" t="s">
        <v>1909</v>
      </c>
      <c r="C1682" s="216" t="s">
        <v>1344</v>
      </c>
      <c r="D1682" s="416" t="s">
        <v>954</v>
      </c>
      <c r="E1682" s="217" t="s">
        <v>1938</v>
      </c>
      <c r="F1682" s="218" t="s">
        <v>1911</v>
      </c>
      <c r="G1682" s="116">
        <v>6634</v>
      </c>
      <c r="H1682" s="1776" t="s">
        <v>1349</v>
      </c>
      <c r="J1682" s="224"/>
      <c r="K1682" s="34" t="s">
        <v>25</v>
      </c>
      <c r="L1682" s="475"/>
      <c r="M1682" s="224"/>
      <c r="N1682" s="224"/>
      <c r="O1682" s="2628" t="s">
        <v>6395</v>
      </c>
      <c r="P1682" s="1">
        <v>868</v>
      </c>
      <c r="T1682" s="224"/>
      <c r="U1682" s="34" t="s">
        <v>25</v>
      </c>
      <c r="V1682" s="475"/>
      <c r="W1682" s="224"/>
      <c r="X1682" s="224"/>
    </row>
    <row r="1683" spans="1:24" x14ac:dyDescent="0.3">
      <c r="A1683" s="2651">
        <v>869</v>
      </c>
      <c r="B1683" s="1122" t="s">
        <v>1909</v>
      </c>
      <c r="C1683" s="216" t="s">
        <v>1344</v>
      </c>
      <c r="D1683" s="416" t="s">
        <v>954</v>
      </c>
      <c r="E1683" s="217" t="s">
        <v>1939</v>
      </c>
      <c r="F1683" s="218" t="s">
        <v>1911</v>
      </c>
      <c r="G1683" s="116">
        <v>6634</v>
      </c>
      <c r="H1683" s="1776" t="s">
        <v>1349</v>
      </c>
      <c r="J1683" s="224"/>
      <c r="K1683" s="34" t="s">
        <v>25</v>
      </c>
      <c r="L1683" s="475"/>
      <c r="M1683" s="224"/>
      <c r="N1683" s="224"/>
      <c r="O1683" s="2628" t="s">
        <v>6395</v>
      </c>
      <c r="P1683" s="1">
        <v>869</v>
      </c>
      <c r="T1683" s="224"/>
      <c r="U1683" s="34" t="s">
        <v>25</v>
      </c>
      <c r="V1683" s="475"/>
      <c r="W1683" s="224"/>
      <c r="X1683" s="224"/>
    </row>
    <row r="1684" spans="1:24" x14ac:dyDescent="0.3">
      <c r="A1684" s="2652">
        <v>870</v>
      </c>
      <c r="B1684" s="1122" t="s">
        <v>1909</v>
      </c>
      <c r="C1684" s="216" t="s">
        <v>1344</v>
      </c>
      <c r="D1684" s="452" t="s">
        <v>954</v>
      </c>
      <c r="E1684" s="217" t="s">
        <v>1940</v>
      </c>
      <c r="F1684" s="218" t="s">
        <v>1911</v>
      </c>
      <c r="G1684" s="116">
        <v>6634</v>
      </c>
      <c r="H1684" s="1776" t="s">
        <v>1349</v>
      </c>
      <c r="J1684" s="224"/>
      <c r="K1684" s="34" t="s">
        <v>25</v>
      </c>
      <c r="L1684" s="475"/>
      <c r="M1684" s="224"/>
      <c r="N1684" s="224"/>
      <c r="O1684" s="2628" t="s">
        <v>6395</v>
      </c>
      <c r="P1684" s="1">
        <v>870</v>
      </c>
      <c r="T1684" s="224"/>
      <c r="U1684" s="34" t="s">
        <v>25</v>
      </c>
      <c r="V1684" s="475"/>
      <c r="W1684" s="224"/>
      <c r="X1684" s="224"/>
    </row>
    <row r="1685" spans="1:24" x14ac:dyDescent="0.3">
      <c r="A1685" s="2651">
        <v>871</v>
      </c>
      <c r="B1685" s="1122" t="s">
        <v>1909</v>
      </c>
      <c r="C1685" s="216" t="s">
        <v>1344</v>
      </c>
      <c r="D1685" s="495" t="s">
        <v>954</v>
      </c>
      <c r="E1685" s="217" t="s">
        <v>1941</v>
      </c>
      <c r="F1685" s="218" t="s">
        <v>1911</v>
      </c>
      <c r="G1685" s="116">
        <v>6634</v>
      </c>
      <c r="H1685" s="1776" t="s">
        <v>1349</v>
      </c>
      <c r="J1685" s="224"/>
      <c r="K1685" s="34" t="s">
        <v>25</v>
      </c>
      <c r="L1685" s="475"/>
      <c r="M1685" s="224"/>
      <c r="N1685" s="224"/>
      <c r="O1685" s="2628" t="s">
        <v>6395</v>
      </c>
      <c r="P1685" s="1">
        <v>871</v>
      </c>
      <c r="T1685" s="224"/>
      <c r="U1685" s="34" t="s">
        <v>25</v>
      </c>
      <c r="V1685" s="475"/>
      <c r="W1685" s="224"/>
      <c r="X1685" s="224"/>
    </row>
    <row r="1686" spans="1:24" x14ac:dyDescent="0.3">
      <c r="A1686" s="2651">
        <v>872</v>
      </c>
      <c r="B1686" s="1122" t="s">
        <v>1909</v>
      </c>
      <c r="C1686" s="216" t="s">
        <v>1344</v>
      </c>
      <c r="D1686" s="793" t="s">
        <v>954</v>
      </c>
      <c r="E1686" s="217" t="s">
        <v>1942</v>
      </c>
      <c r="F1686" s="218" t="s">
        <v>1911</v>
      </c>
      <c r="G1686" s="116">
        <v>6634</v>
      </c>
      <c r="H1686" s="1776" t="s">
        <v>1349</v>
      </c>
      <c r="J1686" s="224"/>
      <c r="K1686" s="34" t="s">
        <v>25</v>
      </c>
      <c r="L1686" s="475"/>
      <c r="M1686" s="224"/>
      <c r="N1686" s="224"/>
      <c r="O1686" s="2628" t="s">
        <v>6395</v>
      </c>
      <c r="P1686" s="1">
        <v>872</v>
      </c>
      <c r="T1686" s="224"/>
      <c r="U1686" s="34" t="s">
        <v>25</v>
      </c>
      <c r="V1686" s="475"/>
      <c r="W1686" s="224"/>
      <c r="X1686" s="224"/>
    </row>
    <row r="1687" spans="1:24" x14ac:dyDescent="0.3">
      <c r="A1687" s="2652">
        <v>873</v>
      </c>
      <c r="B1687" s="1122" t="s">
        <v>1909</v>
      </c>
      <c r="C1687" s="216" t="s">
        <v>1344</v>
      </c>
      <c r="D1687" s="416" t="s">
        <v>954</v>
      </c>
      <c r="E1687" s="217" t="s">
        <v>1943</v>
      </c>
      <c r="F1687" s="218" t="s">
        <v>1911</v>
      </c>
      <c r="G1687" s="116">
        <v>6634</v>
      </c>
      <c r="H1687" s="1776" t="s">
        <v>1349</v>
      </c>
      <c r="J1687" s="224"/>
      <c r="K1687" s="34" t="s">
        <v>25</v>
      </c>
      <c r="L1687" s="475"/>
      <c r="M1687" s="224"/>
      <c r="N1687" s="224"/>
      <c r="O1687" s="2628" t="s">
        <v>6395</v>
      </c>
      <c r="P1687" s="1">
        <v>873</v>
      </c>
      <c r="T1687" s="224"/>
      <c r="U1687" s="34" t="s">
        <v>25</v>
      </c>
      <c r="V1687" s="475"/>
      <c r="W1687" s="224"/>
      <c r="X1687" s="224"/>
    </row>
    <row r="1688" spans="1:24" x14ac:dyDescent="0.3">
      <c r="A1688" s="2651">
        <v>874</v>
      </c>
      <c r="B1688" s="1122" t="s">
        <v>1909</v>
      </c>
      <c r="C1688" s="216" t="s">
        <v>1344</v>
      </c>
      <c r="D1688" s="416" t="s">
        <v>954</v>
      </c>
      <c r="E1688" s="217" t="s">
        <v>1944</v>
      </c>
      <c r="F1688" s="218" t="s">
        <v>1911</v>
      </c>
      <c r="G1688" s="116">
        <v>6634</v>
      </c>
      <c r="H1688" s="1776" t="s">
        <v>1349</v>
      </c>
      <c r="J1688" s="224"/>
      <c r="K1688" s="34" t="s">
        <v>25</v>
      </c>
      <c r="L1688" s="475"/>
      <c r="M1688" s="224"/>
      <c r="N1688" s="224"/>
      <c r="O1688" s="2628" t="s">
        <v>6395</v>
      </c>
      <c r="P1688" s="1">
        <v>874</v>
      </c>
      <c r="T1688" s="224"/>
      <c r="U1688" s="34" t="s">
        <v>25</v>
      </c>
      <c r="V1688" s="475"/>
      <c r="W1688" s="224"/>
      <c r="X1688" s="224"/>
    </row>
    <row r="1689" spans="1:24" x14ac:dyDescent="0.3">
      <c r="A1689" s="2651">
        <v>875</v>
      </c>
      <c r="B1689" s="1122" t="s">
        <v>1909</v>
      </c>
      <c r="C1689" s="216" t="s">
        <v>1344</v>
      </c>
      <c r="D1689" s="416" t="s">
        <v>954</v>
      </c>
      <c r="E1689" s="217" t="s">
        <v>1945</v>
      </c>
      <c r="F1689" s="218" t="s">
        <v>1911</v>
      </c>
      <c r="G1689" s="116">
        <v>6634</v>
      </c>
      <c r="H1689" s="1776" t="s">
        <v>1349</v>
      </c>
      <c r="J1689" s="224"/>
      <c r="K1689" s="34" t="s">
        <v>25</v>
      </c>
      <c r="L1689" s="475"/>
      <c r="M1689" s="224"/>
      <c r="N1689" s="224"/>
      <c r="O1689" s="2628" t="s">
        <v>6395</v>
      </c>
      <c r="P1689" s="1">
        <v>875</v>
      </c>
      <c r="T1689" s="224"/>
      <c r="U1689" s="34" t="s">
        <v>25</v>
      </c>
      <c r="V1689" s="475"/>
      <c r="W1689" s="224"/>
      <c r="X1689" s="224"/>
    </row>
    <row r="1690" spans="1:24" x14ac:dyDescent="0.3">
      <c r="A1690" s="2652">
        <v>876</v>
      </c>
      <c r="B1690" s="1122" t="s">
        <v>1909</v>
      </c>
      <c r="C1690" s="216" t="s">
        <v>1344</v>
      </c>
      <c r="D1690" s="416" t="s">
        <v>954</v>
      </c>
      <c r="E1690" s="217" t="s">
        <v>1946</v>
      </c>
      <c r="F1690" s="218" t="s">
        <v>1911</v>
      </c>
      <c r="G1690" s="116">
        <v>6634</v>
      </c>
      <c r="H1690" s="1776" t="s">
        <v>1349</v>
      </c>
      <c r="J1690" s="224"/>
      <c r="K1690" s="34" t="s">
        <v>25</v>
      </c>
      <c r="L1690" s="475"/>
      <c r="M1690" s="224"/>
      <c r="N1690" s="224"/>
      <c r="O1690" s="2628" t="s">
        <v>6395</v>
      </c>
      <c r="P1690" s="1">
        <v>876</v>
      </c>
      <c r="T1690" s="224"/>
      <c r="U1690" s="34" t="s">
        <v>25</v>
      </c>
      <c r="V1690" s="475"/>
      <c r="W1690" s="224"/>
      <c r="X1690" s="224"/>
    </row>
    <row r="1691" spans="1:24" x14ac:dyDescent="0.3">
      <c r="A1691" s="2651">
        <v>877</v>
      </c>
      <c r="B1691" s="1122" t="s">
        <v>1909</v>
      </c>
      <c r="C1691" s="216" t="s">
        <v>1344</v>
      </c>
      <c r="D1691" s="416" t="s">
        <v>954</v>
      </c>
      <c r="E1691" s="217" t="s">
        <v>1947</v>
      </c>
      <c r="F1691" s="218" t="s">
        <v>1911</v>
      </c>
      <c r="G1691" s="116">
        <v>6634</v>
      </c>
      <c r="H1691" s="1776" t="s">
        <v>1349</v>
      </c>
      <c r="J1691" s="224"/>
      <c r="K1691" s="34" t="s">
        <v>25</v>
      </c>
      <c r="L1691" s="475"/>
      <c r="M1691" s="224"/>
      <c r="N1691" s="224"/>
      <c r="O1691" s="2628" t="s">
        <v>6395</v>
      </c>
      <c r="P1691" s="1">
        <v>877</v>
      </c>
      <c r="T1691" s="224"/>
      <c r="U1691" s="34" t="s">
        <v>25</v>
      </c>
      <c r="V1691" s="475"/>
      <c r="W1691" s="224"/>
      <c r="X1691" s="224"/>
    </row>
    <row r="1692" spans="1:24" x14ac:dyDescent="0.3">
      <c r="A1692" s="2651">
        <v>878</v>
      </c>
      <c r="B1692" s="1122" t="s">
        <v>1909</v>
      </c>
      <c r="C1692" s="216" t="s">
        <v>1344</v>
      </c>
      <c r="D1692" s="416" t="s">
        <v>954</v>
      </c>
      <c r="E1692" s="217" t="s">
        <v>1948</v>
      </c>
      <c r="F1692" s="218" t="s">
        <v>1911</v>
      </c>
      <c r="G1692" s="116">
        <v>6634</v>
      </c>
      <c r="H1692" s="1776" t="s">
        <v>1349</v>
      </c>
      <c r="J1692" s="224"/>
      <c r="K1692" s="34" t="s">
        <v>25</v>
      </c>
      <c r="L1692" s="475"/>
      <c r="M1692" s="224"/>
      <c r="N1692" s="224"/>
      <c r="O1692" s="2628" t="s">
        <v>6395</v>
      </c>
      <c r="P1692" s="1">
        <v>878</v>
      </c>
      <c r="T1692" s="224"/>
      <c r="U1692" s="34" t="s">
        <v>25</v>
      </c>
      <c r="V1692" s="475"/>
      <c r="W1692" s="224"/>
      <c r="X1692" s="224"/>
    </row>
    <row r="1693" spans="1:24" x14ac:dyDescent="0.3">
      <c r="A1693" s="2652">
        <v>879</v>
      </c>
      <c r="B1693" s="1122" t="s">
        <v>1909</v>
      </c>
      <c r="C1693" s="216" t="s">
        <v>1344</v>
      </c>
      <c r="D1693" s="416" t="s">
        <v>954</v>
      </c>
      <c r="E1693" s="217" t="s">
        <v>1949</v>
      </c>
      <c r="F1693" s="218" t="s">
        <v>1911</v>
      </c>
      <c r="G1693" s="116">
        <v>6634</v>
      </c>
      <c r="H1693" s="1776" t="s">
        <v>1349</v>
      </c>
      <c r="J1693" s="224"/>
      <c r="K1693" s="34" t="s">
        <v>25</v>
      </c>
      <c r="L1693" s="475"/>
      <c r="M1693" s="224"/>
      <c r="N1693" s="224"/>
      <c r="O1693" s="2628" t="s">
        <v>6395</v>
      </c>
      <c r="P1693" s="1">
        <v>879</v>
      </c>
      <c r="T1693" s="224"/>
      <c r="U1693" s="34" t="s">
        <v>25</v>
      </c>
      <c r="V1693" s="475"/>
      <c r="W1693" s="224"/>
      <c r="X1693" s="224"/>
    </row>
    <row r="1694" spans="1:24" x14ac:dyDescent="0.3">
      <c r="A1694" s="2651">
        <v>880</v>
      </c>
      <c r="B1694" s="1122" t="s">
        <v>1909</v>
      </c>
      <c r="C1694" s="216" t="s">
        <v>1344</v>
      </c>
      <c r="D1694" s="416" t="s">
        <v>954</v>
      </c>
      <c r="E1694" s="217" t="s">
        <v>1950</v>
      </c>
      <c r="F1694" s="218" t="s">
        <v>1911</v>
      </c>
      <c r="G1694" s="116">
        <v>6634</v>
      </c>
      <c r="H1694" s="1776" t="s">
        <v>1349</v>
      </c>
      <c r="J1694" s="224"/>
      <c r="K1694" s="34" t="s">
        <v>25</v>
      </c>
      <c r="L1694" s="475"/>
      <c r="M1694" s="224"/>
      <c r="N1694" s="224"/>
      <c r="O1694" s="2628" t="s">
        <v>6395</v>
      </c>
      <c r="P1694" s="1">
        <v>880</v>
      </c>
      <c r="T1694" s="224"/>
      <c r="U1694" s="34" t="s">
        <v>25</v>
      </c>
      <c r="V1694" s="475"/>
      <c r="W1694" s="224"/>
      <c r="X1694" s="224"/>
    </row>
    <row r="1695" spans="1:24" x14ac:dyDescent="0.3">
      <c r="A1695" s="2651">
        <v>881</v>
      </c>
      <c r="B1695" s="1122" t="s">
        <v>1909</v>
      </c>
      <c r="C1695" s="216" t="s">
        <v>1344</v>
      </c>
      <c r="D1695" s="416" t="s">
        <v>954</v>
      </c>
      <c r="E1695" s="217" t="s">
        <v>1951</v>
      </c>
      <c r="F1695" s="218" t="s">
        <v>1911</v>
      </c>
      <c r="G1695" s="116">
        <v>6634</v>
      </c>
      <c r="H1695" s="1776" t="s">
        <v>1349</v>
      </c>
      <c r="J1695" s="224"/>
      <c r="K1695" s="34" t="s">
        <v>25</v>
      </c>
      <c r="L1695" s="475"/>
      <c r="M1695" s="224"/>
      <c r="N1695" s="224"/>
      <c r="O1695" s="2628" t="s">
        <v>6395</v>
      </c>
      <c r="P1695" s="1">
        <v>881</v>
      </c>
      <c r="T1695" s="224"/>
      <c r="U1695" s="34" t="s">
        <v>25</v>
      </c>
      <c r="V1695" s="475"/>
      <c r="W1695" s="224"/>
      <c r="X1695" s="224"/>
    </row>
    <row r="1696" spans="1:24" x14ac:dyDescent="0.3">
      <c r="A1696" s="2652">
        <v>882</v>
      </c>
      <c r="B1696" s="1122" t="s">
        <v>1909</v>
      </c>
      <c r="C1696" s="216" t="s">
        <v>1344</v>
      </c>
      <c r="D1696" s="416" t="s">
        <v>954</v>
      </c>
      <c r="E1696" s="217" t="s">
        <v>1952</v>
      </c>
      <c r="F1696" s="218" t="s">
        <v>1911</v>
      </c>
      <c r="G1696" s="116">
        <v>6634</v>
      </c>
      <c r="H1696" s="1776" t="s">
        <v>1349</v>
      </c>
      <c r="J1696" s="224"/>
      <c r="K1696" s="34" t="s">
        <v>25</v>
      </c>
      <c r="L1696" s="475"/>
      <c r="M1696" s="224"/>
      <c r="N1696" s="224"/>
      <c r="O1696" s="2628" t="s">
        <v>6395</v>
      </c>
      <c r="P1696" s="1">
        <v>882</v>
      </c>
      <c r="T1696" s="224"/>
      <c r="U1696" s="34" t="s">
        <v>25</v>
      </c>
      <c r="V1696" s="475"/>
      <c r="W1696" s="224"/>
      <c r="X1696" s="224"/>
    </row>
    <row r="1697" spans="1:24" x14ac:dyDescent="0.3">
      <c r="A1697" s="2651">
        <v>883</v>
      </c>
      <c r="B1697" s="1122" t="s">
        <v>1909</v>
      </c>
      <c r="C1697" s="216" t="s">
        <v>1344</v>
      </c>
      <c r="D1697" s="416" t="s">
        <v>954</v>
      </c>
      <c r="E1697" s="217" t="s">
        <v>1953</v>
      </c>
      <c r="F1697" s="218" t="s">
        <v>1911</v>
      </c>
      <c r="G1697" s="116">
        <v>6634</v>
      </c>
      <c r="H1697" s="1776" t="s">
        <v>1349</v>
      </c>
      <c r="J1697" s="224"/>
      <c r="K1697" s="34" t="s">
        <v>25</v>
      </c>
      <c r="L1697" s="475"/>
      <c r="M1697" s="224"/>
      <c r="N1697" s="224"/>
      <c r="O1697" s="2628" t="s">
        <v>6395</v>
      </c>
      <c r="P1697" s="1">
        <v>883</v>
      </c>
      <c r="T1697" s="224"/>
      <c r="U1697" s="34" t="s">
        <v>25</v>
      </c>
      <c r="V1697" s="475"/>
      <c r="W1697" s="224"/>
      <c r="X1697" s="224"/>
    </row>
    <row r="1698" spans="1:24" x14ac:dyDescent="0.3">
      <c r="A1698" s="2651">
        <v>884</v>
      </c>
      <c r="B1698" s="1122" t="s">
        <v>1909</v>
      </c>
      <c r="C1698" s="216" t="s">
        <v>1344</v>
      </c>
      <c r="D1698" s="416" t="s">
        <v>954</v>
      </c>
      <c r="E1698" s="217" t="s">
        <v>1954</v>
      </c>
      <c r="F1698" s="218" t="s">
        <v>1911</v>
      </c>
      <c r="G1698" s="116">
        <v>6634</v>
      </c>
      <c r="H1698" s="1776" t="s">
        <v>1349</v>
      </c>
      <c r="J1698" s="224"/>
      <c r="K1698" s="34" t="s">
        <v>25</v>
      </c>
      <c r="L1698" s="475"/>
      <c r="M1698" s="224"/>
      <c r="N1698" s="224"/>
      <c r="O1698" s="2628" t="s">
        <v>6395</v>
      </c>
      <c r="P1698" s="1">
        <v>884</v>
      </c>
      <c r="T1698" s="224"/>
      <c r="U1698" s="34" t="s">
        <v>25</v>
      </c>
      <c r="V1698" s="475"/>
      <c r="W1698" s="224"/>
      <c r="X1698" s="224"/>
    </row>
    <row r="1699" spans="1:24" x14ac:dyDescent="0.3">
      <c r="A1699" s="2652">
        <v>885</v>
      </c>
      <c r="B1699" s="1122" t="s">
        <v>1909</v>
      </c>
      <c r="C1699" s="216" t="s">
        <v>1344</v>
      </c>
      <c r="D1699" s="452" t="s">
        <v>954</v>
      </c>
      <c r="E1699" s="217" t="s">
        <v>1955</v>
      </c>
      <c r="F1699" s="218" t="s">
        <v>1911</v>
      </c>
      <c r="G1699" s="116">
        <v>6634</v>
      </c>
      <c r="H1699" s="1776" t="s">
        <v>1349</v>
      </c>
      <c r="J1699" s="224"/>
      <c r="K1699" s="34" t="s">
        <v>25</v>
      </c>
      <c r="L1699" s="475"/>
      <c r="M1699" s="224"/>
      <c r="N1699" s="224"/>
      <c r="O1699" s="2628" t="s">
        <v>6395</v>
      </c>
      <c r="P1699" s="1">
        <v>885</v>
      </c>
      <c r="T1699" s="224"/>
      <c r="U1699" s="34" t="s">
        <v>25</v>
      </c>
      <c r="V1699" s="475"/>
      <c r="W1699" s="224"/>
      <c r="X1699" s="224"/>
    </row>
    <row r="1700" spans="1:24" x14ac:dyDescent="0.3">
      <c r="A1700" s="2651">
        <v>886</v>
      </c>
      <c r="B1700" s="1122" t="s">
        <v>1909</v>
      </c>
      <c r="C1700" s="216" t="s">
        <v>1344</v>
      </c>
      <c r="D1700" s="793" t="s">
        <v>954</v>
      </c>
      <c r="E1700" s="217" t="s">
        <v>354</v>
      </c>
      <c r="F1700" s="218" t="s">
        <v>1911</v>
      </c>
      <c r="G1700" s="116">
        <v>6634</v>
      </c>
      <c r="H1700" s="1776" t="s">
        <v>1349</v>
      </c>
      <c r="J1700" s="224"/>
      <c r="K1700" s="34" t="s">
        <v>25</v>
      </c>
      <c r="L1700" s="475"/>
      <c r="M1700" s="224"/>
      <c r="N1700" s="224"/>
      <c r="O1700" s="2628" t="s">
        <v>6395</v>
      </c>
      <c r="P1700" s="1">
        <v>886</v>
      </c>
      <c r="T1700" s="224"/>
      <c r="U1700" s="34" t="s">
        <v>25</v>
      </c>
      <c r="V1700" s="475"/>
      <c r="W1700" s="224"/>
      <c r="X1700" s="224"/>
    </row>
    <row r="1701" spans="1:24" x14ac:dyDescent="0.3">
      <c r="A1701" s="2651">
        <v>887</v>
      </c>
      <c r="B1701" s="1122" t="s">
        <v>1909</v>
      </c>
      <c r="C1701" s="216" t="s">
        <v>1344</v>
      </c>
      <c r="D1701" s="416" t="s">
        <v>954</v>
      </c>
      <c r="E1701" s="217" t="s">
        <v>1956</v>
      </c>
      <c r="F1701" s="218" t="s">
        <v>1911</v>
      </c>
      <c r="G1701" s="116">
        <v>6634</v>
      </c>
      <c r="H1701" s="1776" t="s">
        <v>1349</v>
      </c>
      <c r="J1701" s="224"/>
      <c r="K1701" s="34" t="s">
        <v>25</v>
      </c>
      <c r="L1701" s="475"/>
      <c r="M1701" s="224"/>
      <c r="N1701" s="224"/>
      <c r="O1701" s="2628" t="s">
        <v>6395</v>
      </c>
      <c r="P1701" s="1">
        <v>887</v>
      </c>
      <c r="T1701" s="224"/>
      <c r="U1701" s="34" t="s">
        <v>25</v>
      </c>
      <c r="V1701" s="475"/>
      <c r="W1701" s="224"/>
      <c r="X1701" s="224"/>
    </row>
    <row r="1702" spans="1:24" x14ac:dyDescent="0.3">
      <c r="A1702" s="2652">
        <v>888</v>
      </c>
      <c r="B1702" s="1122" t="s">
        <v>1909</v>
      </c>
      <c r="C1702" s="216" t="s">
        <v>1344</v>
      </c>
      <c r="D1702" s="416" t="s">
        <v>954</v>
      </c>
      <c r="E1702" s="217" t="s">
        <v>356</v>
      </c>
      <c r="F1702" s="218" t="s">
        <v>1911</v>
      </c>
      <c r="G1702" s="116">
        <v>6634</v>
      </c>
      <c r="H1702" s="1776" t="s">
        <v>1349</v>
      </c>
      <c r="J1702" s="224"/>
      <c r="K1702" s="34" t="s">
        <v>25</v>
      </c>
      <c r="L1702" s="475"/>
      <c r="M1702" s="224"/>
      <c r="N1702" s="224"/>
      <c r="O1702" s="2628" t="s">
        <v>6395</v>
      </c>
      <c r="P1702" s="1">
        <v>888</v>
      </c>
      <c r="T1702" s="224"/>
      <c r="U1702" s="34" t="s">
        <v>25</v>
      </c>
      <c r="V1702" s="475"/>
      <c r="W1702" s="224"/>
      <c r="X1702" s="224"/>
    </row>
    <row r="1703" spans="1:24" x14ac:dyDescent="0.3">
      <c r="A1703" s="2651">
        <v>889</v>
      </c>
      <c r="B1703" s="1122" t="s">
        <v>1909</v>
      </c>
      <c r="C1703" s="216" t="s">
        <v>1344</v>
      </c>
      <c r="D1703" s="416" t="s">
        <v>954</v>
      </c>
      <c r="E1703" s="217" t="s">
        <v>358</v>
      </c>
      <c r="F1703" s="218" t="s">
        <v>1911</v>
      </c>
      <c r="G1703" s="116">
        <v>6634</v>
      </c>
      <c r="H1703" s="1776" t="s">
        <v>1349</v>
      </c>
      <c r="J1703" s="224"/>
      <c r="K1703" s="34" t="s">
        <v>25</v>
      </c>
      <c r="L1703" s="475"/>
      <c r="M1703" s="224"/>
      <c r="N1703" s="224"/>
      <c r="O1703" s="2628" t="s">
        <v>6395</v>
      </c>
      <c r="P1703" s="1">
        <v>889</v>
      </c>
      <c r="T1703" s="224"/>
      <c r="U1703" s="34" t="s">
        <v>25</v>
      </c>
      <c r="V1703" s="475"/>
      <c r="W1703" s="224"/>
      <c r="X1703" s="224"/>
    </row>
    <row r="1704" spans="1:24" x14ac:dyDescent="0.3">
      <c r="A1704" s="2651">
        <v>890</v>
      </c>
      <c r="B1704" s="1122" t="s">
        <v>1909</v>
      </c>
      <c r="C1704" s="216" t="s">
        <v>1344</v>
      </c>
      <c r="D1704" s="416" t="s">
        <v>954</v>
      </c>
      <c r="E1704" s="217" t="s">
        <v>1957</v>
      </c>
      <c r="F1704" s="218" t="s">
        <v>1911</v>
      </c>
      <c r="G1704" s="116">
        <v>6634</v>
      </c>
      <c r="H1704" s="1776" t="s">
        <v>1349</v>
      </c>
      <c r="J1704" s="224"/>
      <c r="K1704" s="34" t="s">
        <v>25</v>
      </c>
      <c r="L1704" s="475"/>
      <c r="M1704" s="224"/>
      <c r="N1704" s="224"/>
      <c r="O1704" s="2628" t="s">
        <v>6395</v>
      </c>
      <c r="P1704" s="1">
        <v>890</v>
      </c>
      <c r="T1704" s="224"/>
      <c r="U1704" s="34" t="s">
        <v>25</v>
      </c>
      <c r="V1704" s="475"/>
      <c r="W1704" s="224"/>
      <c r="X1704" s="224"/>
    </row>
    <row r="1705" spans="1:24" x14ac:dyDescent="0.3">
      <c r="A1705" s="2652">
        <v>891</v>
      </c>
      <c r="B1705" s="1122" t="s">
        <v>1909</v>
      </c>
      <c r="C1705" s="216" t="s">
        <v>1344</v>
      </c>
      <c r="D1705" s="416" t="s">
        <v>954</v>
      </c>
      <c r="E1705" s="217" t="s">
        <v>360</v>
      </c>
      <c r="F1705" s="218" t="s">
        <v>1911</v>
      </c>
      <c r="G1705" s="116">
        <v>6634</v>
      </c>
      <c r="H1705" s="1776" t="s">
        <v>1349</v>
      </c>
      <c r="J1705" s="224"/>
      <c r="K1705" s="34" t="s">
        <v>25</v>
      </c>
      <c r="L1705" s="475"/>
      <c r="M1705" s="224"/>
      <c r="N1705" s="224"/>
      <c r="O1705" s="2628" t="s">
        <v>6395</v>
      </c>
      <c r="P1705" s="1">
        <v>891</v>
      </c>
      <c r="T1705" s="224"/>
      <c r="U1705" s="34" t="s">
        <v>25</v>
      </c>
      <c r="V1705" s="475"/>
      <c r="W1705" s="224"/>
      <c r="X1705" s="224"/>
    </row>
    <row r="1706" spans="1:24" x14ac:dyDescent="0.3">
      <c r="A1706" s="2651">
        <v>892</v>
      </c>
      <c r="B1706" s="1122" t="s">
        <v>1909</v>
      </c>
      <c r="C1706" s="216" t="s">
        <v>1344</v>
      </c>
      <c r="D1706" s="416" t="s">
        <v>954</v>
      </c>
      <c r="E1706" s="217" t="s">
        <v>361</v>
      </c>
      <c r="F1706" s="218" t="s">
        <v>1911</v>
      </c>
      <c r="G1706" s="116">
        <v>6634</v>
      </c>
      <c r="H1706" s="1776" t="s">
        <v>1349</v>
      </c>
      <c r="J1706" s="224"/>
      <c r="K1706" s="34" t="s">
        <v>25</v>
      </c>
      <c r="L1706" s="475"/>
      <c r="M1706" s="224"/>
      <c r="N1706" s="224"/>
      <c r="O1706" s="2628" t="s">
        <v>6395</v>
      </c>
      <c r="P1706" s="1">
        <v>892</v>
      </c>
      <c r="T1706" s="224"/>
      <c r="U1706" s="34" t="s">
        <v>25</v>
      </c>
      <c r="V1706" s="475"/>
      <c r="W1706" s="224"/>
      <c r="X1706" s="224"/>
    </row>
    <row r="1707" spans="1:24" x14ac:dyDescent="0.3">
      <c r="A1707" s="2651">
        <v>893</v>
      </c>
      <c r="B1707" s="1122" t="s">
        <v>1909</v>
      </c>
      <c r="C1707" s="216" t="s">
        <v>1344</v>
      </c>
      <c r="D1707" s="416" t="s">
        <v>954</v>
      </c>
      <c r="E1707" s="217" t="s">
        <v>1958</v>
      </c>
      <c r="F1707" s="218" t="s">
        <v>1911</v>
      </c>
      <c r="G1707" s="116">
        <v>6634</v>
      </c>
      <c r="H1707" s="1776" t="s">
        <v>1349</v>
      </c>
      <c r="J1707" s="224"/>
      <c r="K1707" s="34" t="s">
        <v>25</v>
      </c>
      <c r="L1707" s="475"/>
      <c r="M1707" s="224"/>
      <c r="N1707" s="224"/>
      <c r="O1707" s="2628" t="s">
        <v>6395</v>
      </c>
      <c r="P1707" s="1">
        <v>893</v>
      </c>
      <c r="T1707" s="224"/>
      <c r="U1707" s="34" t="s">
        <v>25</v>
      </c>
      <c r="V1707" s="475"/>
      <c r="W1707" s="224"/>
      <c r="X1707" s="224"/>
    </row>
    <row r="1708" spans="1:24" x14ac:dyDescent="0.3">
      <c r="A1708" s="2652">
        <v>894</v>
      </c>
      <c r="B1708" s="1122" t="s">
        <v>1909</v>
      </c>
      <c r="C1708" s="216" t="s">
        <v>1344</v>
      </c>
      <c r="D1708" s="416" t="s">
        <v>954</v>
      </c>
      <c r="E1708" s="217" t="s">
        <v>1959</v>
      </c>
      <c r="F1708" s="218" t="s">
        <v>1911</v>
      </c>
      <c r="G1708" s="116">
        <v>6634</v>
      </c>
      <c r="H1708" s="1776" t="s">
        <v>1349</v>
      </c>
      <c r="J1708" s="224"/>
      <c r="K1708" s="34" t="s">
        <v>25</v>
      </c>
      <c r="L1708" s="475"/>
      <c r="M1708" s="224"/>
      <c r="N1708" s="224"/>
      <c r="O1708" s="2628" t="s">
        <v>6395</v>
      </c>
      <c r="P1708" s="1">
        <v>894</v>
      </c>
      <c r="T1708" s="224"/>
      <c r="U1708" s="34" t="s">
        <v>25</v>
      </c>
      <c r="V1708" s="475"/>
      <c r="W1708" s="224"/>
      <c r="X1708" s="224"/>
    </row>
    <row r="1709" spans="1:24" x14ac:dyDescent="0.3">
      <c r="A1709" s="2651">
        <v>895</v>
      </c>
      <c r="B1709" s="1122" t="s">
        <v>1909</v>
      </c>
      <c r="C1709" s="216" t="s">
        <v>1344</v>
      </c>
      <c r="D1709" s="416" t="s">
        <v>954</v>
      </c>
      <c r="E1709" s="217" t="s">
        <v>1960</v>
      </c>
      <c r="F1709" s="218" t="s">
        <v>1911</v>
      </c>
      <c r="G1709" s="116">
        <v>6634</v>
      </c>
      <c r="H1709" s="1776" t="s">
        <v>1349</v>
      </c>
      <c r="J1709" s="224"/>
      <c r="K1709" s="34" t="s">
        <v>25</v>
      </c>
      <c r="L1709" s="475"/>
      <c r="M1709" s="224"/>
      <c r="N1709" s="224"/>
      <c r="O1709" s="2628" t="s">
        <v>6395</v>
      </c>
      <c r="P1709" s="1">
        <v>895</v>
      </c>
      <c r="T1709" s="224"/>
      <c r="U1709" s="34" t="s">
        <v>25</v>
      </c>
      <c r="V1709" s="475"/>
      <c r="W1709" s="224"/>
      <c r="X1709" s="224"/>
    </row>
    <row r="1710" spans="1:24" x14ac:dyDescent="0.3">
      <c r="A1710" s="2651">
        <v>896</v>
      </c>
      <c r="B1710" s="1122" t="s">
        <v>1909</v>
      </c>
      <c r="C1710" s="216" t="s">
        <v>1344</v>
      </c>
      <c r="D1710" s="416" t="s">
        <v>954</v>
      </c>
      <c r="E1710" s="217" t="s">
        <v>1961</v>
      </c>
      <c r="F1710" s="218" t="s">
        <v>1911</v>
      </c>
      <c r="G1710" s="116">
        <v>6634</v>
      </c>
      <c r="H1710" s="1776" t="s">
        <v>1349</v>
      </c>
      <c r="J1710" s="224"/>
      <c r="K1710" s="34" t="s">
        <v>25</v>
      </c>
      <c r="L1710" s="475"/>
      <c r="M1710" s="224"/>
      <c r="N1710" s="224"/>
      <c r="O1710" s="2628" t="s">
        <v>6395</v>
      </c>
      <c r="P1710" s="1">
        <v>896</v>
      </c>
      <c r="T1710" s="224"/>
      <c r="U1710" s="34" t="s">
        <v>25</v>
      </c>
      <c r="V1710" s="475"/>
      <c r="W1710" s="224"/>
      <c r="X1710" s="224"/>
    </row>
    <row r="1711" spans="1:24" x14ac:dyDescent="0.3">
      <c r="A1711" s="2652">
        <v>897</v>
      </c>
      <c r="B1711" s="1122" t="s">
        <v>1909</v>
      </c>
      <c r="C1711" s="216" t="s">
        <v>1344</v>
      </c>
      <c r="D1711" s="416" t="s">
        <v>954</v>
      </c>
      <c r="E1711" s="217" t="s">
        <v>1962</v>
      </c>
      <c r="F1711" s="218" t="s">
        <v>1911</v>
      </c>
      <c r="G1711" s="116">
        <v>6634</v>
      </c>
      <c r="H1711" s="1776" t="s">
        <v>1349</v>
      </c>
      <c r="J1711" s="224"/>
      <c r="K1711" s="34" t="s">
        <v>25</v>
      </c>
      <c r="L1711" s="475"/>
      <c r="M1711" s="224"/>
      <c r="N1711" s="224"/>
      <c r="O1711" s="2628" t="s">
        <v>6395</v>
      </c>
      <c r="P1711" s="1">
        <v>897</v>
      </c>
      <c r="T1711" s="224"/>
      <c r="U1711" s="34" t="s">
        <v>25</v>
      </c>
      <c r="V1711" s="475"/>
      <c r="W1711" s="224"/>
      <c r="X1711" s="224"/>
    </row>
    <row r="1712" spans="1:24" x14ac:dyDescent="0.3">
      <c r="A1712" s="2651">
        <v>898</v>
      </c>
      <c r="B1712" s="1122" t="s">
        <v>1909</v>
      </c>
      <c r="C1712" s="216" t="s">
        <v>1344</v>
      </c>
      <c r="D1712" s="416" t="s">
        <v>954</v>
      </c>
      <c r="E1712" s="217" t="s">
        <v>1963</v>
      </c>
      <c r="F1712" s="218" t="s">
        <v>1911</v>
      </c>
      <c r="G1712" s="116">
        <v>6634</v>
      </c>
      <c r="H1712" s="1776" t="s">
        <v>1349</v>
      </c>
      <c r="J1712" s="224"/>
      <c r="K1712" s="34" t="s">
        <v>25</v>
      </c>
      <c r="L1712" s="475"/>
      <c r="M1712" s="224"/>
      <c r="N1712" s="224"/>
      <c r="O1712" s="2628" t="s">
        <v>6395</v>
      </c>
      <c r="P1712" s="1">
        <v>898</v>
      </c>
      <c r="T1712" s="224"/>
      <c r="U1712" s="34" t="s">
        <v>25</v>
      </c>
      <c r="V1712" s="475"/>
      <c r="W1712" s="224"/>
      <c r="X1712" s="224"/>
    </row>
    <row r="1713" spans="1:24" x14ac:dyDescent="0.3">
      <c r="A1713" s="2651">
        <v>899</v>
      </c>
      <c r="B1713" s="1122" t="s">
        <v>1909</v>
      </c>
      <c r="C1713" s="216" t="s">
        <v>1344</v>
      </c>
      <c r="D1713" s="416" t="s">
        <v>954</v>
      </c>
      <c r="E1713" s="217" t="s">
        <v>1964</v>
      </c>
      <c r="F1713" s="218" t="s">
        <v>1911</v>
      </c>
      <c r="G1713" s="116">
        <v>6634</v>
      </c>
      <c r="H1713" s="1776" t="s">
        <v>1349</v>
      </c>
      <c r="J1713" s="224"/>
      <c r="K1713" s="34" t="s">
        <v>25</v>
      </c>
      <c r="L1713" s="475"/>
      <c r="M1713" s="224"/>
      <c r="N1713" s="224"/>
      <c r="O1713" s="2628" t="s">
        <v>6395</v>
      </c>
      <c r="P1713" s="1">
        <v>899</v>
      </c>
      <c r="T1713" s="224"/>
      <c r="U1713" s="34" t="s">
        <v>25</v>
      </c>
      <c r="V1713" s="475"/>
      <c r="W1713" s="224"/>
      <c r="X1713" s="224"/>
    </row>
    <row r="1714" spans="1:24" x14ac:dyDescent="0.3">
      <c r="A1714" s="2652">
        <v>900</v>
      </c>
      <c r="B1714" s="1122" t="s">
        <v>1909</v>
      </c>
      <c r="C1714" s="216" t="s">
        <v>1344</v>
      </c>
      <c r="D1714" s="416" t="s">
        <v>954</v>
      </c>
      <c r="E1714" s="217" t="s">
        <v>1965</v>
      </c>
      <c r="F1714" s="218" t="s">
        <v>1911</v>
      </c>
      <c r="G1714" s="116">
        <v>6634</v>
      </c>
      <c r="H1714" s="1776" t="s">
        <v>1349</v>
      </c>
      <c r="J1714" s="224"/>
      <c r="K1714" s="34" t="s">
        <v>25</v>
      </c>
      <c r="L1714" s="475"/>
      <c r="M1714" s="224"/>
      <c r="N1714" s="224"/>
      <c r="O1714" s="2628" t="s">
        <v>6395</v>
      </c>
      <c r="P1714" s="1">
        <v>900</v>
      </c>
      <c r="T1714" s="224"/>
      <c r="U1714" s="34" t="s">
        <v>25</v>
      </c>
      <c r="V1714" s="475"/>
      <c r="W1714" s="224"/>
      <c r="X1714" s="224"/>
    </row>
    <row r="1715" spans="1:24" x14ac:dyDescent="0.3">
      <c r="A1715" s="2651">
        <v>901</v>
      </c>
      <c r="B1715" s="1122" t="s">
        <v>1909</v>
      </c>
      <c r="C1715" s="216" t="s">
        <v>1344</v>
      </c>
      <c r="D1715" s="416" t="s">
        <v>954</v>
      </c>
      <c r="E1715" s="217" t="s">
        <v>1966</v>
      </c>
      <c r="F1715" s="218" t="s">
        <v>1911</v>
      </c>
      <c r="G1715" s="116">
        <v>6634</v>
      </c>
      <c r="H1715" s="1776" t="s">
        <v>1349</v>
      </c>
      <c r="J1715" s="224"/>
      <c r="K1715" s="34" t="s">
        <v>25</v>
      </c>
      <c r="L1715" s="475"/>
      <c r="M1715" s="224"/>
      <c r="N1715" s="224"/>
      <c r="O1715" s="2628" t="s">
        <v>6395</v>
      </c>
      <c r="P1715" s="1">
        <v>901</v>
      </c>
      <c r="T1715" s="224"/>
      <c r="U1715" s="34" t="s">
        <v>25</v>
      </c>
      <c r="V1715" s="475"/>
      <c r="W1715" s="224"/>
      <c r="X1715" s="224"/>
    </row>
    <row r="1716" spans="1:24" x14ac:dyDescent="0.3">
      <c r="A1716" s="2651">
        <v>902</v>
      </c>
      <c r="B1716" s="1122" t="s">
        <v>1909</v>
      </c>
      <c r="C1716" s="216" t="s">
        <v>1344</v>
      </c>
      <c r="D1716" s="416" t="s">
        <v>954</v>
      </c>
      <c r="E1716" s="217" t="s">
        <v>1967</v>
      </c>
      <c r="F1716" s="218" t="s">
        <v>1911</v>
      </c>
      <c r="G1716" s="116">
        <v>6634</v>
      </c>
      <c r="H1716" s="1776" t="s">
        <v>1349</v>
      </c>
      <c r="J1716" s="224"/>
      <c r="K1716" s="34" t="s">
        <v>25</v>
      </c>
      <c r="L1716" s="475"/>
      <c r="M1716" s="224"/>
      <c r="N1716" s="224"/>
      <c r="O1716" s="2628" t="s">
        <v>6395</v>
      </c>
      <c r="P1716" s="1">
        <v>902</v>
      </c>
      <c r="T1716" s="224"/>
      <c r="U1716" s="34" t="s">
        <v>25</v>
      </c>
      <c r="V1716" s="475"/>
      <c r="W1716" s="224"/>
      <c r="X1716" s="224"/>
    </row>
    <row r="1717" spans="1:24" x14ac:dyDescent="0.3">
      <c r="A1717" s="2652">
        <v>903</v>
      </c>
      <c r="B1717" s="1122" t="s">
        <v>2168</v>
      </c>
      <c r="C1717" s="216" t="s">
        <v>1344</v>
      </c>
      <c r="D1717" s="416" t="s">
        <v>968</v>
      </c>
      <c r="E1717" s="217" t="s">
        <v>2169</v>
      </c>
      <c r="F1717" s="218" t="s">
        <v>2170</v>
      </c>
      <c r="G1717" s="116">
        <v>8400</v>
      </c>
      <c r="H1717" s="1776" t="s">
        <v>1349</v>
      </c>
      <c r="J1717" s="224"/>
      <c r="K1717" s="34" t="s">
        <v>25</v>
      </c>
      <c r="L1717" s="475"/>
      <c r="M1717" s="224"/>
      <c r="N1717" s="224"/>
      <c r="O1717" s="2628" t="s">
        <v>6395</v>
      </c>
      <c r="P1717" s="1">
        <v>903</v>
      </c>
      <c r="T1717" s="224"/>
      <c r="U1717" s="34" t="s">
        <v>25</v>
      </c>
      <c r="V1717" s="475"/>
      <c r="W1717" s="224"/>
      <c r="X1717" s="224"/>
    </row>
    <row r="1718" spans="1:24" x14ac:dyDescent="0.3">
      <c r="A1718" s="2651">
        <v>904</v>
      </c>
      <c r="B1718" s="1122" t="s">
        <v>2168</v>
      </c>
      <c r="C1718" s="216" t="s">
        <v>1344</v>
      </c>
      <c r="D1718" s="416" t="s">
        <v>968</v>
      </c>
      <c r="E1718" s="217" t="s">
        <v>2171</v>
      </c>
      <c r="F1718" s="218" t="s">
        <v>2170</v>
      </c>
      <c r="G1718" s="116">
        <v>8400</v>
      </c>
      <c r="H1718" s="1776" t="s">
        <v>1349</v>
      </c>
      <c r="J1718" s="224"/>
      <c r="K1718" s="34" t="s">
        <v>25</v>
      </c>
      <c r="L1718" s="475"/>
      <c r="M1718" s="224"/>
      <c r="N1718" s="224"/>
      <c r="O1718" s="2628" t="s">
        <v>6395</v>
      </c>
      <c r="P1718" s="1">
        <v>904</v>
      </c>
      <c r="T1718" s="224"/>
      <c r="U1718" s="34" t="s">
        <v>25</v>
      </c>
      <c r="V1718" s="475"/>
      <c r="W1718" s="224"/>
      <c r="X1718" s="224"/>
    </row>
    <row r="1719" spans="1:24" x14ac:dyDescent="0.3">
      <c r="A1719" s="2651">
        <v>905</v>
      </c>
      <c r="B1719" s="1122" t="s">
        <v>2168</v>
      </c>
      <c r="C1719" s="216" t="s">
        <v>1344</v>
      </c>
      <c r="D1719" s="416" t="s">
        <v>968</v>
      </c>
      <c r="E1719" s="217" t="s">
        <v>2172</v>
      </c>
      <c r="F1719" s="218" t="s">
        <v>2170</v>
      </c>
      <c r="G1719" s="116">
        <v>8400</v>
      </c>
      <c r="H1719" s="1776" t="s">
        <v>1349</v>
      </c>
      <c r="J1719" s="224"/>
      <c r="K1719" s="34" t="s">
        <v>25</v>
      </c>
      <c r="L1719" s="475"/>
      <c r="M1719" s="224"/>
      <c r="N1719" s="224"/>
      <c r="O1719" s="2628" t="s">
        <v>6395</v>
      </c>
      <c r="P1719" s="1">
        <v>905</v>
      </c>
      <c r="T1719" s="224"/>
      <c r="U1719" s="34" t="s">
        <v>25</v>
      </c>
      <c r="V1719" s="475"/>
      <c r="W1719" s="224"/>
      <c r="X1719" s="224"/>
    </row>
    <row r="1720" spans="1:24" x14ac:dyDescent="0.3">
      <c r="A1720" s="2652">
        <v>906</v>
      </c>
      <c r="B1720" s="1122" t="s">
        <v>2168</v>
      </c>
      <c r="C1720" s="216" t="s">
        <v>1344</v>
      </c>
      <c r="D1720" s="416" t="s">
        <v>968</v>
      </c>
      <c r="E1720" s="217" t="s">
        <v>380</v>
      </c>
      <c r="F1720" s="218" t="s">
        <v>2170</v>
      </c>
      <c r="G1720" s="116">
        <v>8400</v>
      </c>
      <c r="H1720" s="1776" t="s">
        <v>1349</v>
      </c>
      <c r="J1720" s="224"/>
      <c r="K1720" s="34" t="s">
        <v>25</v>
      </c>
      <c r="L1720" s="475"/>
      <c r="M1720" s="224"/>
      <c r="N1720" s="224"/>
      <c r="O1720" s="2628" t="s">
        <v>6395</v>
      </c>
      <c r="P1720" s="1">
        <v>906</v>
      </c>
      <c r="T1720" s="224"/>
      <c r="U1720" s="34" t="s">
        <v>25</v>
      </c>
      <c r="V1720" s="475"/>
      <c r="W1720" s="224"/>
      <c r="X1720" s="224"/>
    </row>
    <row r="1721" spans="1:24" x14ac:dyDescent="0.3">
      <c r="A1721" s="2651">
        <v>907</v>
      </c>
      <c r="B1721" s="1122" t="s">
        <v>2168</v>
      </c>
      <c r="C1721" s="216" t="s">
        <v>1344</v>
      </c>
      <c r="D1721" s="416" t="s">
        <v>968</v>
      </c>
      <c r="E1721" s="217" t="s">
        <v>381</v>
      </c>
      <c r="F1721" s="218" t="s">
        <v>2170</v>
      </c>
      <c r="G1721" s="116">
        <v>8400</v>
      </c>
      <c r="H1721" s="1776" t="s">
        <v>1349</v>
      </c>
      <c r="J1721" s="224"/>
      <c r="K1721" s="34" t="s">
        <v>25</v>
      </c>
      <c r="L1721" s="475"/>
      <c r="M1721" s="224"/>
      <c r="N1721" s="224"/>
      <c r="O1721" s="2628" t="s">
        <v>6395</v>
      </c>
      <c r="P1721" s="1">
        <v>907</v>
      </c>
      <c r="T1721" s="224"/>
      <c r="U1721" s="34" t="s">
        <v>25</v>
      </c>
      <c r="V1721" s="475"/>
      <c r="W1721" s="224"/>
      <c r="X1721" s="224"/>
    </row>
    <row r="1722" spans="1:24" x14ac:dyDescent="0.3">
      <c r="A1722" s="2651">
        <v>908</v>
      </c>
      <c r="B1722" s="1122" t="s">
        <v>2168</v>
      </c>
      <c r="C1722" s="216" t="s">
        <v>1344</v>
      </c>
      <c r="D1722" s="416" t="s">
        <v>968</v>
      </c>
      <c r="E1722" s="217" t="s">
        <v>2173</v>
      </c>
      <c r="F1722" s="218" t="s">
        <v>2170</v>
      </c>
      <c r="G1722" s="116">
        <v>8400</v>
      </c>
      <c r="H1722" s="1776" t="s">
        <v>1349</v>
      </c>
      <c r="J1722" s="224"/>
      <c r="K1722" s="34" t="s">
        <v>25</v>
      </c>
      <c r="L1722" s="475"/>
      <c r="M1722" s="224"/>
      <c r="N1722" s="224"/>
      <c r="O1722" s="2628" t="s">
        <v>6395</v>
      </c>
      <c r="P1722" s="1">
        <v>908</v>
      </c>
      <c r="T1722" s="224"/>
      <c r="U1722" s="34" t="s">
        <v>25</v>
      </c>
      <c r="V1722" s="475"/>
      <c r="W1722" s="224"/>
      <c r="X1722" s="224"/>
    </row>
    <row r="1723" spans="1:24" x14ac:dyDescent="0.3">
      <c r="A1723" s="2652">
        <v>909</v>
      </c>
      <c r="B1723" s="1122" t="s">
        <v>2168</v>
      </c>
      <c r="C1723" s="216" t="s">
        <v>1344</v>
      </c>
      <c r="D1723" s="416" t="s">
        <v>968</v>
      </c>
      <c r="E1723" s="217" t="s">
        <v>2174</v>
      </c>
      <c r="F1723" s="218" t="s">
        <v>2170</v>
      </c>
      <c r="G1723" s="116">
        <v>8400</v>
      </c>
      <c r="H1723" s="1776" t="s">
        <v>1349</v>
      </c>
      <c r="J1723" s="224"/>
      <c r="K1723" s="34" t="s">
        <v>25</v>
      </c>
      <c r="L1723" s="475"/>
      <c r="M1723" s="224"/>
      <c r="N1723" s="224"/>
      <c r="O1723" s="2628" t="s">
        <v>6395</v>
      </c>
      <c r="P1723" s="1">
        <v>909</v>
      </c>
      <c r="T1723" s="224"/>
      <c r="U1723" s="34" t="s">
        <v>25</v>
      </c>
      <c r="V1723" s="475"/>
      <c r="W1723" s="224"/>
      <c r="X1723" s="224"/>
    </row>
    <row r="1724" spans="1:24" x14ac:dyDescent="0.3">
      <c r="A1724" s="2651">
        <v>910</v>
      </c>
      <c r="B1724" s="1122" t="s">
        <v>2168</v>
      </c>
      <c r="C1724" s="1117" t="s">
        <v>1344</v>
      </c>
      <c r="D1724" s="452" t="s">
        <v>968</v>
      </c>
      <c r="E1724" s="217" t="s">
        <v>2175</v>
      </c>
      <c r="F1724" s="218" t="s">
        <v>2170</v>
      </c>
      <c r="G1724" s="116">
        <v>8400</v>
      </c>
      <c r="H1724" s="1776" t="s">
        <v>1349</v>
      </c>
      <c r="J1724" s="224"/>
      <c r="K1724" s="34" t="s">
        <v>25</v>
      </c>
      <c r="L1724" s="475"/>
      <c r="M1724" s="224"/>
      <c r="N1724" s="224"/>
      <c r="O1724" s="2628" t="s">
        <v>6395</v>
      </c>
      <c r="P1724" s="1">
        <v>910</v>
      </c>
      <c r="T1724" s="224"/>
      <c r="U1724" s="34" t="s">
        <v>25</v>
      </c>
      <c r="V1724" s="475"/>
      <c r="W1724" s="224"/>
      <c r="X1724" s="224"/>
    </row>
    <row r="1725" spans="1:24" x14ac:dyDescent="0.3">
      <c r="A1725" s="2651">
        <v>911</v>
      </c>
      <c r="B1725" s="1122" t="s">
        <v>2168</v>
      </c>
      <c r="C1725" s="1117" t="s">
        <v>1344</v>
      </c>
      <c r="D1725" s="495" t="s">
        <v>968</v>
      </c>
      <c r="E1725" s="217" t="s">
        <v>2176</v>
      </c>
      <c r="F1725" s="218" t="s">
        <v>2170</v>
      </c>
      <c r="G1725" s="116">
        <v>8400</v>
      </c>
      <c r="H1725" s="1776" t="s">
        <v>1349</v>
      </c>
      <c r="J1725" s="224"/>
      <c r="K1725" s="34" t="s">
        <v>25</v>
      </c>
      <c r="L1725" s="475"/>
      <c r="M1725" s="224"/>
      <c r="N1725" s="224"/>
      <c r="O1725" s="2628" t="s">
        <v>6395</v>
      </c>
      <c r="P1725" s="1">
        <v>911</v>
      </c>
      <c r="T1725" s="224"/>
      <c r="U1725" s="34" t="s">
        <v>25</v>
      </c>
      <c r="V1725" s="475"/>
      <c r="W1725" s="224"/>
      <c r="X1725" s="224"/>
    </row>
    <row r="1726" spans="1:24" x14ac:dyDescent="0.3">
      <c r="A1726" s="2652">
        <v>912</v>
      </c>
      <c r="B1726" s="1122" t="s">
        <v>2168</v>
      </c>
      <c r="C1726" s="1117" t="s">
        <v>1344</v>
      </c>
      <c r="D1726" s="793" t="s">
        <v>968</v>
      </c>
      <c r="E1726" s="217" t="s">
        <v>2177</v>
      </c>
      <c r="F1726" s="218" t="s">
        <v>2170</v>
      </c>
      <c r="G1726" s="116">
        <v>8400</v>
      </c>
      <c r="H1726" s="1776" t="s">
        <v>1349</v>
      </c>
      <c r="J1726" s="224"/>
      <c r="K1726" s="34" t="s">
        <v>25</v>
      </c>
      <c r="L1726" s="475"/>
      <c r="M1726" s="224"/>
      <c r="N1726" s="224"/>
      <c r="O1726" s="2628" t="s">
        <v>6395</v>
      </c>
      <c r="P1726" s="1">
        <v>912</v>
      </c>
      <c r="T1726" s="224"/>
      <c r="U1726" s="34" t="s">
        <v>25</v>
      </c>
      <c r="V1726" s="475"/>
      <c r="W1726" s="224"/>
      <c r="X1726" s="224"/>
    </row>
    <row r="1727" spans="1:24" x14ac:dyDescent="0.3">
      <c r="A1727" s="2651">
        <v>913</v>
      </c>
      <c r="B1727" s="1122" t="s">
        <v>2168</v>
      </c>
      <c r="C1727" s="1117" t="s">
        <v>1344</v>
      </c>
      <c r="D1727" s="416" t="s">
        <v>968</v>
      </c>
      <c r="E1727" s="217" t="s">
        <v>2178</v>
      </c>
      <c r="F1727" s="218" t="s">
        <v>2170</v>
      </c>
      <c r="G1727" s="116">
        <v>8400</v>
      </c>
      <c r="H1727" s="1776" t="s">
        <v>1349</v>
      </c>
      <c r="J1727" s="224"/>
      <c r="K1727" s="34" t="s">
        <v>25</v>
      </c>
      <c r="L1727" s="475"/>
      <c r="M1727" s="224"/>
      <c r="N1727" s="224"/>
      <c r="O1727" s="2628" t="s">
        <v>6395</v>
      </c>
      <c r="P1727" s="1">
        <v>913</v>
      </c>
      <c r="T1727" s="224"/>
      <c r="U1727" s="34" t="s">
        <v>25</v>
      </c>
      <c r="V1727" s="475"/>
      <c r="W1727" s="224"/>
      <c r="X1727" s="224"/>
    </row>
    <row r="1728" spans="1:24" x14ac:dyDescent="0.3">
      <c r="A1728" s="2651">
        <v>914</v>
      </c>
      <c r="B1728" s="1122" t="s">
        <v>2168</v>
      </c>
      <c r="C1728" s="1117" t="s">
        <v>1344</v>
      </c>
      <c r="D1728" s="416" t="s">
        <v>968</v>
      </c>
      <c r="E1728" s="217" t="s">
        <v>2179</v>
      </c>
      <c r="F1728" s="218" t="s">
        <v>2170</v>
      </c>
      <c r="G1728" s="116">
        <v>8400</v>
      </c>
      <c r="H1728" s="1776" t="s">
        <v>1349</v>
      </c>
      <c r="J1728" s="224"/>
      <c r="K1728" s="34" t="s">
        <v>25</v>
      </c>
      <c r="L1728" s="475"/>
      <c r="M1728" s="224"/>
      <c r="N1728" s="224"/>
      <c r="O1728" s="2628" t="s">
        <v>6395</v>
      </c>
      <c r="P1728" s="1">
        <v>914</v>
      </c>
      <c r="T1728" s="224"/>
      <c r="U1728" s="34" t="s">
        <v>25</v>
      </c>
      <c r="V1728" s="475"/>
      <c r="W1728" s="224"/>
      <c r="X1728" s="224"/>
    </row>
    <row r="1729" spans="1:24" x14ac:dyDescent="0.3">
      <c r="A1729" s="2652">
        <v>915</v>
      </c>
      <c r="B1729" s="1122" t="s">
        <v>2168</v>
      </c>
      <c r="C1729" s="1117" t="s">
        <v>1344</v>
      </c>
      <c r="D1729" s="416" t="s">
        <v>968</v>
      </c>
      <c r="E1729" s="217" t="s">
        <v>2180</v>
      </c>
      <c r="F1729" s="218" t="s">
        <v>2170</v>
      </c>
      <c r="G1729" s="116">
        <v>8400</v>
      </c>
      <c r="H1729" s="1776" t="s">
        <v>1349</v>
      </c>
      <c r="J1729" s="224"/>
      <c r="K1729" s="34" t="s">
        <v>25</v>
      </c>
      <c r="L1729" s="475"/>
      <c r="M1729" s="224"/>
      <c r="N1729" s="224"/>
      <c r="O1729" s="2628" t="s">
        <v>6395</v>
      </c>
      <c r="P1729" s="1">
        <v>915</v>
      </c>
      <c r="T1729" s="224"/>
      <c r="U1729" s="34" t="s">
        <v>25</v>
      </c>
      <c r="V1729" s="475"/>
      <c r="W1729" s="224"/>
      <c r="X1729" s="224"/>
    </row>
    <row r="1730" spans="1:24" x14ac:dyDescent="0.3">
      <c r="A1730" s="2651">
        <v>916</v>
      </c>
      <c r="B1730" s="1122" t="s">
        <v>2168</v>
      </c>
      <c r="C1730" s="1117" t="s">
        <v>1344</v>
      </c>
      <c r="D1730" s="416" t="s">
        <v>968</v>
      </c>
      <c r="E1730" s="217" t="s">
        <v>2181</v>
      </c>
      <c r="F1730" s="218" t="s">
        <v>2170</v>
      </c>
      <c r="G1730" s="116">
        <v>8400</v>
      </c>
      <c r="H1730" s="1776" t="s">
        <v>1349</v>
      </c>
      <c r="J1730" s="224"/>
      <c r="K1730" s="34" t="s">
        <v>25</v>
      </c>
      <c r="L1730" s="475"/>
      <c r="M1730" s="224"/>
      <c r="N1730" s="224"/>
      <c r="O1730" s="2628" t="s">
        <v>6395</v>
      </c>
      <c r="P1730" s="1">
        <v>916</v>
      </c>
      <c r="T1730" s="224"/>
      <c r="U1730" s="34" t="s">
        <v>25</v>
      </c>
      <c r="V1730" s="475"/>
      <c r="W1730" s="224"/>
      <c r="X1730" s="224"/>
    </row>
    <row r="1731" spans="1:24" x14ac:dyDescent="0.3">
      <c r="A1731" s="2651">
        <v>917</v>
      </c>
      <c r="B1731" s="1122" t="s">
        <v>2168</v>
      </c>
      <c r="C1731" s="1117" t="s">
        <v>1344</v>
      </c>
      <c r="D1731" s="416" t="s">
        <v>968</v>
      </c>
      <c r="E1731" s="217" t="s">
        <v>2182</v>
      </c>
      <c r="F1731" s="218" t="s">
        <v>2170</v>
      </c>
      <c r="G1731" s="116">
        <v>8400</v>
      </c>
      <c r="H1731" s="1776" t="s">
        <v>1349</v>
      </c>
      <c r="J1731" s="224"/>
      <c r="K1731" s="34" t="s">
        <v>25</v>
      </c>
      <c r="L1731" s="475"/>
      <c r="M1731" s="224"/>
      <c r="N1731" s="224"/>
      <c r="O1731" s="2628" t="s">
        <v>6395</v>
      </c>
      <c r="P1731" s="1">
        <v>917</v>
      </c>
      <c r="T1731" s="224"/>
      <c r="U1731" s="34" t="s">
        <v>25</v>
      </c>
      <c r="V1731" s="475"/>
      <c r="W1731" s="224"/>
      <c r="X1731" s="224"/>
    </row>
    <row r="1732" spans="1:24" x14ac:dyDescent="0.3">
      <c r="A1732" s="2652">
        <v>918</v>
      </c>
      <c r="B1732" s="1122" t="s">
        <v>2168</v>
      </c>
      <c r="C1732" s="1117" t="s">
        <v>1344</v>
      </c>
      <c r="D1732" s="416" t="s">
        <v>968</v>
      </c>
      <c r="E1732" s="217" t="s">
        <v>2183</v>
      </c>
      <c r="F1732" s="218" t="s">
        <v>2170</v>
      </c>
      <c r="G1732" s="116">
        <v>8400</v>
      </c>
      <c r="H1732" s="1776" t="s">
        <v>1349</v>
      </c>
      <c r="J1732" s="224"/>
      <c r="K1732" s="34" t="s">
        <v>25</v>
      </c>
      <c r="L1732" s="475"/>
      <c r="M1732" s="224"/>
      <c r="N1732" s="224"/>
      <c r="O1732" s="2628" t="s">
        <v>6395</v>
      </c>
      <c r="P1732" s="1">
        <v>918</v>
      </c>
      <c r="T1732" s="224"/>
      <c r="U1732" s="34" t="s">
        <v>25</v>
      </c>
      <c r="V1732" s="475"/>
      <c r="W1732" s="224"/>
      <c r="X1732" s="224"/>
    </row>
    <row r="1733" spans="1:24" x14ac:dyDescent="0.3">
      <c r="A1733" s="2651">
        <v>919</v>
      </c>
      <c r="B1733" s="1122" t="s">
        <v>2168</v>
      </c>
      <c r="C1733" s="1117" t="s">
        <v>1344</v>
      </c>
      <c r="D1733" s="416" t="s">
        <v>968</v>
      </c>
      <c r="E1733" s="217" t="s">
        <v>2184</v>
      </c>
      <c r="F1733" s="218" t="s">
        <v>2170</v>
      </c>
      <c r="G1733" s="116">
        <v>8400</v>
      </c>
      <c r="H1733" s="1776" t="s">
        <v>1349</v>
      </c>
      <c r="J1733" s="224"/>
      <c r="K1733" s="34" t="s">
        <v>25</v>
      </c>
      <c r="L1733" s="475"/>
      <c r="M1733" s="224"/>
      <c r="N1733" s="224"/>
      <c r="O1733" s="2628" t="s">
        <v>6395</v>
      </c>
      <c r="P1733" s="1">
        <v>919</v>
      </c>
      <c r="T1733" s="224"/>
      <c r="U1733" s="34" t="s">
        <v>25</v>
      </c>
      <c r="V1733" s="475"/>
      <c r="W1733" s="224"/>
      <c r="X1733" s="224"/>
    </row>
    <row r="1734" spans="1:24" x14ac:dyDescent="0.3">
      <c r="A1734" s="2651">
        <v>920</v>
      </c>
      <c r="B1734" s="1122" t="s">
        <v>2168</v>
      </c>
      <c r="C1734" s="1117" t="s">
        <v>1344</v>
      </c>
      <c r="D1734" s="416" t="s">
        <v>968</v>
      </c>
      <c r="E1734" s="217" t="s">
        <v>2185</v>
      </c>
      <c r="F1734" s="218" t="s">
        <v>2170</v>
      </c>
      <c r="G1734" s="116">
        <v>8400</v>
      </c>
      <c r="H1734" s="1776" t="s">
        <v>1349</v>
      </c>
      <c r="J1734" s="224"/>
      <c r="K1734" s="34" t="s">
        <v>25</v>
      </c>
      <c r="L1734" s="475"/>
      <c r="M1734" s="224"/>
      <c r="N1734" s="224"/>
      <c r="O1734" s="2628" t="s">
        <v>6395</v>
      </c>
      <c r="P1734" s="1">
        <v>920</v>
      </c>
      <c r="T1734" s="224"/>
      <c r="U1734" s="34" t="s">
        <v>25</v>
      </c>
      <c r="V1734" s="475"/>
      <c r="W1734" s="224"/>
      <c r="X1734" s="224"/>
    </row>
    <row r="1735" spans="1:24" x14ac:dyDescent="0.3">
      <c r="A1735" s="2652">
        <v>921</v>
      </c>
      <c r="B1735" s="1122" t="s">
        <v>2168</v>
      </c>
      <c r="C1735" s="1117" t="s">
        <v>1344</v>
      </c>
      <c r="D1735" s="416" t="s">
        <v>968</v>
      </c>
      <c r="E1735" s="217" t="s">
        <v>2186</v>
      </c>
      <c r="F1735" s="218" t="s">
        <v>2170</v>
      </c>
      <c r="G1735" s="116">
        <v>8400</v>
      </c>
      <c r="H1735" s="1776" t="s">
        <v>1349</v>
      </c>
      <c r="J1735" s="224"/>
      <c r="K1735" s="34" t="s">
        <v>25</v>
      </c>
      <c r="L1735" s="475"/>
      <c r="M1735" s="224"/>
      <c r="N1735" s="224"/>
      <c r="O1735" s="2628" t="s">
        <v>6395</v>
      </c>
      <c r="P1735" s="1">
        <v>921</v>
      </c>
      <c r="T1735" s="224"/>
      <c r="U1735" s="34" t="s">
        <v>25</v>
      </c>
      <c r="V1735" s="475"/>
      <c r="W1735" s="224"/>
      <c r="X1735" s="224"/>
    </row>
    <row r="1736" spans="1:24" x14ac:dyDescent="0.3">
      <c r="A1736" s="2651">
        <v>922</v>
      </c>
      <c r="B1736" s="1122" t="s">
        <v>2168</v>
      </c>
      <c r="C1736" s="1117" t="s">
        <v>1344</v>
      </c>
      <c r="D1736" s="452" t="s">
        <v>968</v>
      </c>
      <c r="E1736" s="217" t="s">
        <v>2187</v>
      </c>
      <c r="F1736" s="218" t="s">
        <v>2170</v>
      </c>
      <c r="G1736" s="116">
        <v>8400</v>
      </c>
      <c r="H1736" s="1776" t="s">
        <v>1349</v>
      </c>
      <c r="J1736" s="224"/>
      <c r="K1736" s="34" t="s">
        <v>25</v>
      </c>
      <c r="L1736" s="475"/>
      <c r="M1736" s="224"/>
      <c r="N1736" s="224"/>
      <c r="O1736" s="2628" t="s">
        <v>6395</v>
      </c>
      <c r="P1736" s="1">
        <v>922</v>
      </c>
      <c r="T1736" s="224"/>
      <c r="U1736" s="34" t="s">
        <v>25</v>
      </c>
      <c r="V1736" s="475"/>
      <c r="W1736" s="224"/>
      <c r="X1736" s="224"/>
    </row>
    <row r="1737" spans="1:24" x14ac:dyDescent="0.3">
      <c r="A1737" s="2651">
        <v>923</v>
      </c>
      <c r="B1737" s="1122" t="s">
        <v>2168</v>
      </c>
      <c r="C1737" s="1117" t="s">
        <v>1344</v>
      </c>
      <c r="D1737" s="793" t="s">
        <v>968</v>
      </c>
      <c r="E1737" s="217" t="s">
        <v>2188</v>
      </c>
      <c r="F1737" s="218" t="s">
        <v>2170</v>
      </c>
      <c r="G1737" s="116">
        <v>8400</v>
      </c>
      <c r="H1737" s="1776" t="s">
        <v>1349</v>
      </c>
      <c r="J1737" s="224"/>
      <c r="K1737" s="34" t="s">
        <v>25</v>
      </c>
      <c r="L1737" s="475"/>
      <c r="M1737" s="224"/>
      <c r="N1737" s="224"/>
      <c r="O1737" s="2628" t="s">
        <v>6395</v>
      </c>
      <c r="P1737" s="1">
        <v>923</v>
      </c>
      <c r="T1737" s="224"/>
      <c r="U1737" s="34" t="s">
        <v>25</v>
      </c>
      <c r="V1737" s="475"/>
      <c r="W1737" s="224"/>
      <c r="X1737" s="224"/>
    </row>
    <row r="1738" spans="1:24" x14ac:dyDescent="0.3">
      <c r="A1738" s="2652">
        <v>924</v>
      </c>
      <c r="B1738" s="1122" t="s">
        <v>2168</v>
      </c>
      <c r="C1738" s="1117" t="s">
        <v>1344</v>
      </c>
      <c r="D1738" s="416" t="s">
        <v>968</v>
      </c>
      <c r="E1738" s="217" t="s">
        <v>382</v>
      </c>
      <c r="F1738" s="218" t="s">
        <v>2170</v>
      </c>
      <c r="G1738" s="116">
        <v>8400</v>
      </c>
      <c r="H1738" s="1776" t="s">
        <v>1349</v>
      </c>
      <c r="J1738" s="224"/>
      <c r="K1738" s="34" t="s">
        <v>25</v>
      </c>
      <c r="L1738" s="475"/>
      <c r="M1738" s="224"/>
      <c r="N1738" s="224"/>
      <c r="O1738" s="2628" t="s">
        <v>6395</v>
      </c>
      <c r="P1738" s="1">
        <v>924</v>
      </c>
      <c r="T1738" s="224"/>
      <c r="U1738" s="34" t="s">
        <v>25</v>
      </c>
      <c r="V1738" s="475"/>
      <c r="W1738" s="224"/>
      <c r="X1738" s="224"/>
    </row>
    <row r="1739" spans="1:24" x14ac:dyDescent="0.3">
      <c r="A1739" s="2651">
        <v>925</v>
      </c>
      <c r="B1739" s="1122" t="s">
        <v>2168</v>
      </c>
      <c r="C1739" s="1117" t="s">
        <v>1344</v>
      </c>
      <c r="D1739" s="452" t="s">
        <v>968</v>
      </c>
      <c r="E1739" s="217" t="s">
        <v>2189</v>
      </c>
      <c r="F1739" s="218" t="s">
        <v>2170</v>
      </c>
      <c r="G1739" s="116">
        <v>8400</v>
      </c>
      <c r="H1739" s="1776" t="s">
        <v>1349</v>
      </c>
      <c r="J1739" s="224"/>
      <c r="K1739" s="34" t="s">
        <v>25</v>
      </c>
      <c r="L1739" s="475"/>
      <c r="M1739" s="224"/>
      <c r="N1739" s="224"/>
      <c r="O1739" s="2628" t="s">
        <v>6395</v>
      </c>
      <c r="P1739" s="1">
        <v>925</v>
      </c>
      <c r="T1739" s="224"/>
      <c r="U1739" s="34" t="s">
        <v>25</v>
      </c>
      <c r="V1739" s="475"/>
      <c r="W1739" s="224"/>
      <c r="X1739" s="224"/>
    </row>
    <row r="1740" spans="1:24" x14ac:dyDescent="0.3">
      <c r="A1740" s="2651">
        <v>926</v>
      </c>
      <c r="B1740" s="1122" t="s">
        <v>2168</v>
      </c>
      <c r="C1740" s="1117" t="s">
        <v>1344</v>
      </c>
      <c r="D1740" s="793" t="s">
        <v>968</v>
      </c>
      <c r="E1740" s="217" t="s">
        <v>2190</v>
      </c>
      <c r="F1740" s="218" t="s">
        <v>2170</v>
      </c>
      <c r="G1740" s="116">
        <v>8400</v>
      </c>
      <c r="H1740" s="1776" t="s">
        <v>1349</v>
      </c>
      <c r="J1740" s="224"/>
      <c r="K1740" s="34" t="s">
        <v>25</v>
      </c>
      <c r="L1740" s="475"/>
      <c r="M1740" s="224"/>
      <c r="N1740" s="224"/>
      <c r="O1740" s="2628" t="s">
        <v>6395</v>
      </c>
      <c r="P1740" s="1">
        <v>926</v>
      </c>
      <c r="T1740" s="224"/>
      <c r="U1740" s="34" t="s">
        <v>25</v>
      </c>
      <c r="V1740" s="475"/>
      <c r="W1740" s="224"/>
      <c r="X1740" s="224"/>
    </row>
    <row r="1741" spans="1:24" x14ac:dyDescent="0.3">
      <c r="A1741" s="2652">
        <v>927</v>
      </c>
      <c r="B1741" s="1122" t="s">
        <v>2168</v>
      </c>
      <c r="C1741" s="216" t="s">
        <v>1344</v>
      </c>
      <c r="D1741" s="416" t="s">
        <v>968</v>
      </c>
      <c r="E1741" s="217" t="s">
        <v>2191</v>
      </c>
      <c r="F1741" s="218" t="s">
        <v>2170</v>
      </c>
      <c r="G1741" s="116">
        <v>8400</v>
      </c>
      <c r="H1741" s="1776" t="s">
        <v>1349</v>
      </c>
      <c r="J1741" s="224"/>
      <c r="K1741" s="34" t="s">
        <v>25</v>
      </c>
      <c r="L1741" s="475"/>
      <c r="M1741" s="224"/>
      <c r="N1741" s="224"/>
      <c r="O1741" s="2628" t="s">
        <v>6395</v>
      </c>
      <c r="P1741" s="1">
        <v>927</v>
      </c>
      <c r="T1741" s="224"/>
      <c r="U1741" s="34" t="s">
        <v>25</v>
      </c>
      <c r="V1741" s="475"/>
      <c r="W1741" s="224"/>
      <c r="X1741" s="224"/>
    </row>
    <row r="1742" spans="1:24" x14ac:dyDescent="0.3">
      <c r="A1742" s="2651">
        <v>928</v>
      </c>
      <c r="B1742" s="1122" t="s">
        <v>2168</v>
      </c>
      <c r="C1742" s="216" t="s">
        <v>1344</v>
      </c>
      <c r="D1742" s="416" t="s">
        <v>968</v>
      </c>
      <c r="E1742" s="217" t="s">
        <v>2192</v>
      </c>
      <c r="F1742" s="218" t="s">
        <v>2170</v>
      </c>
      <c r="G1742" s="116">
        <v>8400</v>
      </c>
      <c r="H1742" s="1776" t="s">
        <v>1349</v>
      </c>
      <c r="J1742" s="224"/>
      <c r="K1742" s="34" t="s">
        <v>25</v>
      </c>
      <c r="L1742" s="475"/>
      <c r="M1742" s="224"/>
      <c r="N1742" s="224"/>
      <c r="O1742" s="2628" t="s">
        <v>6395</v>
      </c>
      <c r="P1742" s="1">
        <v>928</v>
      </c>
      <c r="T1742" s="224"/>
      <c r="U1742" s="34" t="s">
        <v>25</v>
      </c>
      <c r="V1742" s="475"/>
      <c r="W1742" s="224"/>
      <c r="X1742" s="224"/>
    </row>
    <row r="1743" spans="1:24" x14ac:dyDescent="0.3">
      <c r="A1743" s="2651">
        <v>929</v>
      </c>
      <c r="B1743" s="1122" t="s">
        <v>2168</v>
      </c>
      <c r="C1743" s="216" t="s">
        <v>1344</v>
      </c>
      <c r="D1743" s="416" t="s">
        <v>968</v>
      </c>
      <c r="E1743" s="217" t="s">
        <v>2193</v>
      </c>
      <c r="F1743" s="218" t="s">
        <v>2170</v>
      </c>
      <c r="G1743" s="116">
        <v>8400</v>
      </c>
      <c r="H1743" s="1776" t="s">
        <v>1349</v>
      </c>
      <c r="J1743" s="224"/>
      <c r="K1743" s="34" t="s">
        <v>25</v>
      </c>
      <c r="L1743" s="475"/>
      <c r="M1743" s="224"/>
      <c r="N1743" s="224"/>
      <c r="O1743" s="2628" t="s">
        <v>6395</v>
      </c>
      <c r="P1743" s="1">
        <v>929</v>
      </c>
      <c r="T1743" s="224"/>
      <c r="U1743" s="34" t="s">
        <v>25</v>
      </c>
      <c r="V1743" s="475"/>
      <c r="W1743" s="224"/>
      <c r="X1743" s="224"/>
    </row>
    <row r="1744" spans="1:24" x14ac:dyDescent="0.3">
      <c r="A1744" s="2652">
        <v>930</v>
      </c>
      <c r="B1744" s="1122" t="s">
        <v>2168</v>
      </c>
      <c r="C1744" s="216" t="s">
        <v>1344</v>
      </c>
      <c r="D1744" s="416" t="s">
        <v>968</v>
      </c>
      <c r="E1744" s="217" t="s">
        <v>2194</v>
      </c>
      <c r="F1744" s="218" t="s">
        <v>2170</v>
      </c>
      <c r="G1744" s="116">
        <v>8400</v>
      </c>
      <c r="H1744" s="1776" t="s">
        <v>1349</v>
      </c>
      <c r="J1744" s="224"/>
      <c r="K1744" s="34" t="s">
        <v>25</v>
      </c>
      <c r="L1744" s="475"/>
      <c r="M1744" s="224"/>
      <c r="N1744" s="224"/>
      <c r="O1744" s="2628" t="s">
        <v>6395</v>
      </c>
      <c r="P1744" s="1">
        <v>930</v>
      </c>
      <c r="T1744" s="224"/>
      <c r="U1744" s="34" t="s">
        <v>25</v>
      </c>
      <c r="V1744" s="475"/>
      <c r="W1744" s="224"/>
      <c r="X1744" s="224"/>
    </row>
    <row r="1745" spans="1:24" x14ac:dyDescent="0.3">
      <c r="A1745" s="2651">
        <v>931</v>
      </c>
      <c r="B1745" s="1122" t="s">
        <v>2168</v>
      </c>
      <c r="C1745" s="216" t="s">
        <v>1344</v>
      </c>
      <c r="D1745" s="416" t="s">
        <v>968</v>
      </c>
      <c r="E1745" s="217" t="s">
        <v>2195</v>
      </c>
      <c r="F1745" s="218" t="s">
        <v>2170</v>
      </c>
      <c r="G1745" s="116">
        <v>8400</v>
      </c>
      <c r="H1745" s="1776" t="s">
        <v>1349</v>
      </c>
      <c r="J1745" s="224"/>
      <c r="K1745" s="34" t="s">
        <v>25</v>
      </c>
      <c r="L1745" s="475"/>
      <c r="M1745" s="224"/>
      <c r="N1745" s="224"/>
      <c r="O1745" s="2628" t="s">
        <v>6395</v>
      </c>
      <c r="P1745" s="1">
        <v>931</v>
      </c>
      <c r="T1745" s="224"/>
      <c r="U1745" s="34" t="s">
        <v>25</v>
      </c>
      <c r="V1745" s="475"/>
      <c r="W1745" s="224"/>
      <c r="X1745" s="224"/>
    </row>
    <row r="1746" spans="1:24" x14ac:dyDescent="0.3">
      <c r="A1746" s="2651">
        <v>932</v>
      </c>
      <c r="B1746" s="1122" t="s">
        <v>2168</v>
      </c>
      <c r="C1746" s="216" t="s">
        <v>1344</v>
      </c>
      <c r="D1746" s="416" t="s">
        <v>968</v>
      </c>
      <c r="E1746" s="217" t="s">
        <v>2196</v>
      </c>
      <c r="F1746" s="218" t="s">
        <v>2170</v>
      </c>
      <c r="G1746" s="116">
        <v>8400</v>
      </c>
      <c r="H1746" s="1776" t="s">
        <v>1349</v>
      </c>
      <c r="J1746" s="224"/>
      <c r="K1746" s="34" t="s">
        <v>25</v>
      </c>
      <c r="L1746" s="475"/>
      <c r="M1746" s="224"/>
      <c r="N1746" s="224"/>
      <c r="O1746" s="2628" t="s">
        <v>6395</v>
      </c>
      <c r="P1746" s="1">
        <v>932</v>
      </c>
      <c r="T1746" s="224"/>
      <c r="U1746" s="34" t="s">
        <v>25</v>
      </c>
      <c r="V1746" s="475"/>
      <c r="W1746" s="224"/>
      <c r="X1746" s="224"/>
    </row>
    <row r="1747" spans="1:24" x14ac:dyDescent="0.3">
      <c r="A1747" s="2652">
        <v>933</v>
      </c>
      <c r="B1747" s="1122" t="s">
        <v>2168</v>
      </c>
      <c r="C1747" s="216" t="s">
        <v>1344</v>
      </c>
      <c r="D1747" s="416" t="s">
        <v>968</v>
      </c>
      <c r="E1747" s="217" t="s">
        <v>2197</v>
      </c>
      <c r="F1747" s="218" t="s">
        <v>2170</v>
      </c>
      <c r="G1747" s="116">
        <v>8400</v>
      </c>
      <c r="H1747" s="1776" t="s">
        <v>1349</v>
      </c>
      <c r="J1747" s="224"/>
      <c r="K1747" s="34" t="s">
        <v>25</v>
      </c>
      <c r="L1747" s="475"/>
      <c r="M1747" s="224"/>
      <c r="N1747" s="224"/>
      <c r="O1747" s="2628" t="s">
        <v>6395</v>
      </c>
      <c r="P1747" s="1">
        <v>933</v>
      </c>
      <c r="T1747" s="224"/>
      <c r="U1747" s="34" t="s">
        <v>25</v>
      </c>
      <c r="V1747" s="475"/>
      <c r="W1747" s="224"/>
      <c r="X1747" s="224"/>
    </row>
    <row r="1748" spans="1:24" x14ac:dyDescent="0.3">
      <c r="A1748" s="2651">
        <v>934</v>
      </c>
      <c r="B1748" s="1122" t="s">
        <v>2168</v>
      </c>
      <c r="C1748" s="216" t="s">
        <v>1344</v>
      </c>
      <c r="D1748" s="416" t="s">
        <v>968</v>
      </c>
      <c r="E1748" s="217" t="s">
        <v>2198</v>
      </c>
      <c r="F1748" s="218" t="s">
        <v>2170</v>
      </c>
      <c r="G1748" s="116">
        <v>8400</v>
      </c>
      <c r="H1748" s="1776" t="s">
        <v>1349</v>
      </c>
      <c r="J1748" s="224"/>
      <c r="K1748" s="34" t="s">
        <v>25</v>
      </c>
      <c r="L1748" s="475"/>
      <c r="M1748" s="224"/>
      <c r="N1748" s="224"/>
      <c r="O1748" s="2628" t="s">
        <v>6395</v>
      </c>
      <c r="P1748" s="1">
        <v>934</v>
      </c>
      <c r="T1748" s="224"/>
      <c r="U1748" s="34" t="s">
        <v>25</v>
      </c>
      <c r="V1748" s="475"/>
      <c r="W1748" s="224"/>
      <c r="X1748" s="224"/>
    </row>
    <row r="1749" spans="1:24" x14ac:dyDescent="0.3">
      <c r="A1749" s="2651">
        <v>935</v>
      </c>
      <c r="B1749" s="1122" t="s">
        <v>2168</v>
      </c>
      <c r="C1749" s="216" t="s">
        <v>1344</v>
      </c>
      <c r="D1749" s="416" t="s">
        <v>968</v>
      </c>
      <c r="E1749" s="217" t="s">
        <v>2199</v>
      </c>
      <c r="F1749" s="218" t="s">
        <v>2170</v>
      </c>
      <c r="G1749" s="116">
        <v>8400</v>
      </c>
      <c r="H1749" s="1776" t="s">
        <v>1349</v>
      </c>
      <c r="J1749" s="224"/>
      <c r="K1749" s="34" t="s">
        <v>25</v>
      </c>
      <c r="L1749" s="475"/>
      <c r="M1749" s="224"/>
      <c r="N1749" s="224"/>
      <c r="O1749" s="2628" t="s">
        <v>6395</v>
      </c>
      <c r="P1749" s="1">
        <v>935</v>
      </c>
      <c r="T1749" s="224"/>
      <c r="U1749" s="34" t="s">
        <v>25</v>
      </c>
      <c r="V1749" s="475"/>
      <c r="W1749" s="224"/>
      <c r="X1749" s="224"/>
    </row>
    <row r="1750" spans="1:24" x14ac:dyDescent="0.3">
      <c r="A1750" s="2652">
        <v>936</v>
      </c>
      <c r="B1750" s="1122" t="s">
        <v>2168</v>
      </c>
      <c r="C1750" s="216" t="s">
        <v>1344</v>
      </c>
      <c r="D1750" s="416" t="s">
        <v>968</v>
      </c>
      <c r="E1750" s="217" t="s">
        <v>2200</v>
      </c>
      <c r="F1750" s="218" t="s">
        <v>2170</v>
      </c>
      <c r="G1750" s="116">
        <v>8400</v>
      </c>
      <c r="H1750" s="1776" t="s">
        <v>1349</v>
      </c>
      <c r="J1750" s="224"/>
      <c r="K1750" s="34" t="s">
        <v>25</v>
      </c>
      <c r="L1750" s="475"/>
      <c r="M1750" s="224"/>
      <c r="N1750" s="224"/>
      <c r="O1750" s="2628" t="s">
        <v>6395</v>
      </c>
      <c r="P1750" s="1">
        <v>936</v>
      </c>
      <c r="T1750" s="224"/>
      <c r="U1750" s="34" t="s">
        <v>25</v>
      </c>
      <c r="V1750" s="475"/>
      <c r="W1750" s="224"/>
      <c r="X1750" s="224"/>
    </row>
    <row r="1751" spans="1:24" x14ac:dyDescent="0.3">
      <c r="A1751" s="2651">
        <v>937</v>
      </c>
      <c r="B1751" s="1122" t="s">
        <v>2168</v>
      </c>
      <c r="C1751" s="216" t="s">
        <v>1344</v>
      </c>
      <c r="D1751" s="452" t="s">
        <v>968</v>
      </c>
      <c r="E1751" s="217" t="s">
        <v>2201</v>
      </c>
      <c r="F1751" s="218" t="s">
        <v>2170</v>
      </c>
      <c r="G1751" s="116">
        <v>8400</v>
      </c>
      <c r="H1751" s="1776" t="s">
        <v>1349</v>
      </c>
      <c r="J1751" s="224"/>
      <c r="K1751" s="34" t="s">
        <v>25</v>
      </c>
      <c r="L1751" s="475"/>
      <c r="M1751" s="224"/>
      <c r="N1751" s="224"/>
      <c r="O1751" s="2628" t="s">
        <v>6395</v>
      </c>
      <c r="P1751" s="1">
        <v>937</v>
      </c>
      <c r="T1751" s="224"/>
      <c r="U1751" s="34" t="s">
        <v>25</v>
      </c>
      <c r="V1751" s="475"/>
      <c r="W1751" s="224"/>
      <c r="X1751" s="224"/>
    </row>
    <row r="1752" spans="1:24" x14ac:dyDescent="0.3">
      <c r="A1752" s="2651">
        <v>938</v>
      </c>
      <c r="B1752" s="1122" t="s">
        <v>2168</v>
      </c>
      <c r="C1752" s="216" t="s">
        <v>1344</v>
      </c>
      <c r="D1752" s="495" t="s">
        <v>968</v>
      </c>
      <c r="E1752" s="217" t="s">
        <v>2202</v>
      </c>
      <c r="F1752" s="218" t="s">
        <v>2170</v>
      </c>
      <c r="G1752" s="116">
        <v>8400</v>
      </c>
      <c r="H1752" s="1776" t="s">
        <v>1349</v>
      </c>
      <c r="J1752" s="224"/>
      <c r="K1752" s="34" t="s">
        <v>25</v>
      </c>
      <c r="L1752" s="475"/>
      <c r="M1752" s="224"/>
      <c r="N1752" s="224"/>
      <c r="O1752" s="2628" t="s">
        <v>6395</v>
      </c>
      <c r="P1752" s="1">
        <v>938</v>
      </c>
      <c r="T1752" s="224"/>
      <c r="U1752" s="34" t="s">
        <v>25</v>
      </c>
      <c r="V1752" s="475"/>
      <c r="W1752" s="224"/>
      <c r="X1752" s="224"/>
    </row>
    <row r="1753" spans="1:24" x14ac:dyDescent="0.3">
      <c r="A1753" s="2652">
        <v>939</v>
      </c>
      <c r="B1753" s="1122" t="s">
        <v>2168</v>
      </c>
      <c r="C1753" s="216" t="s">
        <v>1344</v>
      </c>
      <c r="D1753" s="793" t="s">
        <v>968</v>
      </c>
      <c r="E1753" s="217" t="s">
        <v>2203</v>
      </c>
      <c r="F1753" s="218" t="s">
        <v>2170</v>
      </c>
      <c r="G1753" s="116">
        <v>8400</v>
      </c>
      <c r="H1753" s="1776" t="s">
        <v>1349</v>
      </c>
      <c r="J1753" s="224"/>
      <c r="K1753" s="34" t="s">
        <v>25</v>
      </c>
      <c r="L1753" s="475"/>
      <c r="M1753" s="224"/>
      <c r="N1753" s="224"/>
      <c r="O1753" s="2628" t="s">
        <v>6395</v>
      </c>
      <c r="P1753" s="1">
        <v>939</v>
      </c>
      <c r="T1753" s="224"/>
      <c r="U1753" s="34" t="s">
        <v>25</v>
      </c>
      <c r="V1753" s="475"/>
      <c r="W1753" s="224"/>
      <c r="X1753" s="224"/>
    </row>
    <row r="1754" spans="1:24" x14ac:dyDescent="0.3">
      <c r="A1754" s="2651">
        <v>940</v>
      </c>
      <c r="B1754" s="1122" t="s">
        <v>2168</v>
      </c>
      <c r="C1754" s="216" t="s">
        <v>1344</v>
      </c>
      <c r="D1754" s="416" t="s">
        <v>968</v>
      </c>
      <c r="E1754" s="217" t="s">
        <v>2204</v>
      </c>
      <c r="F1754" s="218" t="s">
        <v>2170</v>
      </c>
      <c r="G1754" s="116">
        <v>8400</v>
      </c>
      <c r="H1754" s="1776" t="s">
        <v>1349</v>
      </c>
      <c r="J1754" s="224"/>
      <c r="K1754" s="34" t="s">
        <v>25</v>
      </c>
      <c r="L1754" s="475"/>
      <c r="M1754" s="224"/>
      <c r="N1754" s="224"/>
      <c r="O1754" s="2628" t="s">
        <v>6395</v>
      </c>
      <c r="P1754" s="1">
        <v>940</v>
      </c>
      <c r="T1754" s="224"/>
      <c r="U1754" s="34" t="s">
        <v>25</v>
      </c>
      <c r="V1754" s="475"/>
      <c r="W1754" s="224"/>
      <c r="X1754" s="224"/>
    </row>
    <row r="1755" spans="1:24" x14ac:dyDescent="0.3">
      <c r="A1755" s="2651">
        <v>941</v>
      </c>
      <c r="B1755" s="1122" t="s">
        <v>2168</v>
      </c>
      <c r="C1755" s="216" t="s">
        <v>1344</v>
      </c>
      <c r="D1755" s="416" t="s">
        <v>968</v>
      </c>
      <c r="E1755" s="217" t="s">
        <v>2205</v>
      </c>
      <c r="F1755" s="218" t="s">
        <v>2170</v>
      </c>
      <c r="G1755" s="116">
        <v>8400</v>
      </c>
      <c r="H1755" s="1776" t="s">
        <v>1349</v>
      </c>
      <c r="J1755" s="224"/>
      <c r="K1755" s="34" t="s">
        <v>25</v>
      </c>
      <c r="L1755" s="475"/>
      <c r="M1755" s="224"/>
      <c r="N1755" s="224"/>
      <c r="O1755" s="2628" t="s">
        <v>6395</v>
      </c>
      <c r="P1755" s="1">
        <v>941</v>
      </c>
      <c r="T1755" s="224"/>
      <c r="U1755" s="34" t="s">
        <v>25</v>
      </c>
      <c r="V1755" s="475"/>
      <c r="W1755" s="224"/>
      <c r="X1755" s="224"/>
    </row>
    <row r="1756" spans="1:24" x14ac:dyDescent="0.3">
      <c r="A1756" s="2652">
        <v>942</v>
      </c>
      <c r="B1756" s="1122" t="s">
        <v>2168</v>
      </c>
      <c r="C1756" s="216" t="s">
        <v>1344</v>
      </c>
      <c r="D1756" s="416" t="s">
        <v>968</v>
      </c>
      <c r="E1756" s="217" t="s">
        <v>2206</v>
      </c>
      <c r="F1756" s="218" t="s">
        <v>2170</v>
      </c>
      <c r="G1756" s="116">
        <v>8400</v>
      </c>
      <c r="H1756" s="1776" t="s">
        <v>1349</v>
      </c>
      <c r="J1756" s="224"/>
      <c r="K1756" s="34" t="s">
        <v>25</v>
      </c>
      <c r="L1756" s="475"/>
      <c r="M1756" s="224"/>
      <c r="N1756" s="224"/>
      <c r="O1756" s="2628" t="s">
        <v>6395</v>
      </c>
      <c r="P1756" s="1">
        <v>942</v>
      </c>
      <c r="T1756" s="224"/>
      <c r="U1756" s="34" t="s">
        <v>25</v>
      </c>
      <c r="V1756" s="475"/>
      <c r="W1756" s="224"/>
      <c r="X1756" s="224"/>
    </row>
    <row r="1757" spans="1:24" x14ac:dyDescent="0.3">
      <c r="A1757" s="2651">
        <v>943</v>
      </c>
      <c r="B1757" s="1122" t="s">
        <v>2168</v>
      </c>
      <c r="C1757" s="216" t="s">
        <v>1344</v>
      </c>
      <c r="D1757" s="416" t="s">
        <v>968</v>
      </c>
      <c r="E1757" s="217" t="s">
        <v>2207</v>
      </c>
      <c r="F1757" s="218" t="s">
        <v>2170</v>
      </c>
      <c r="G1757" s="116">
        <v>8400</v>
      </c>
      <c r="H1757" s="1776" t="s">
        <v>1349</v>
      </c>
      <c r="J1757" s="224"/>
      <c r="K1757" s="34" t="s">
        <v>25</v>
      </c>
      <c r="L1757" s="475"/>
      <c r="M1757" s="224"/>
      <c r="N1757" s="224"/>
      <c r="O1757" s="2628" t="s">
        <v>6395</v>
      </c>
      <c r="P1757" s="1">
        <v>943</v>
      </c>
      <c r="T1757" s="224"/>
      <c r="U1757" s="34" t="s">
        <v>25</v>
      </c>
      <c r="V1757" s="475"/>
      <c r="W1757" s="224"/>
      <c r="X1757" s="224"/>
    </row>
    <row r="1758" spans="1:24" x14ac:dyDescent="0.3">
      <c r="A1758" s="2651">
        <v>944</v>
      </c>
      <c r="B1758" s="1122" t="s">
        <v>2168</v>
      </c>
      <c r="C1758" s="216" t="s">
        <v>1344</v>
      </c>
      <c r="D1758" s="416" t="s">
        <v>968</v>
      </c>
      <c r="E1758" s="217" t="s">
        <v>2208</v>
      </c>
      <c r="F1758" s="218" t="s">
        <v>2170</v>
      </c>
      <c r="G1758" s="116">
        <v>8400</v>
      </c>
      <c r="H1758" s="1776" t="s">
        <v>1349</v>
      </c>
      <c r="J1758" s="224"/>
      <c r="K1758" s="34" t="s">
        <v>25</v>
      </c>
      <c r="L1758" s="475"/>
      <c r="M1758" s="224"/>
      <c r="N1758" s="224"/>
      <c r="O1758" s="2628" t="s">
        <v>6395</v>
      </c>
      <c r="P1758" s="1">
        <v>944</v>
      </c>
      <c r="T1758" s="224"/>
      <c r="U1758" s="34" t="s">
        <v>25</v>
      </c>
      <c r="V1758" s="475"/>
      <c r="W1758" s="224"/>
      <c r="X1758" s="224"/>
    </row>
    <row r="1759" spans="1:24" x14ac:dyDescent="0.3">
      <c r="A1759" s="2652">
        <v>945</v>
      </c>
      <c r="B1759" s="1122" t="s">
        <v>2168</v>
      </c>
      <c r="C1759" s="216" t="s">
        <v>1344</v>
      </c>
      <c r="D1759" s="416" t="s">
        <v>968</v>
      </c>
      <c r="E1759" s="217" t="s">
        <v>2209</v>
      </c>
      <c r="F1759" s="218" t="s">
        <v>2170</v>
      </c>
      <c r="G1759" s="116">
        <v>8400</v>
      </c>
      <c r="H1759" s="1776" t="s">
        <v>1349</v>
      </c>
      <c r="J1759" s="224"/>
      <c r="K1759" s="34" t="s">
        <v>25</v>
      </c>
      <c r="L1759" s="475"/>
      <c r="M1759" s="224"/>
      <c r="N1759" s="224"/>
      <c r="O1759" s="2628" t="s">
        <v>6395</v>
      </c>
      <c r="P1759" s="1">
        <v>945</v>
      </c>
      <c r="T1759" s="224"/>
      <c r="U1759" s="34" t="s">
        <v>25</v>
      </c>
      <c r="V1759" s="475"/>
      <c r="W1759" s="224"/>
      <c r="X1759" s="224"/>
    </row>
    <row r="1760" spans="1:24" x14ac:dyDescent="0.3">
      <c r="A1760" s="2651">
        <v>946</v>
      </c>
      <c r="B1760" s="1122" t="s">
        <v>2168</v>
      </c>
      <c r="C1760" s="216" t="s">
        <v>1344</v>
      </c>
      <c r="D1760" s="416" t="s">
        <v>968</v>
      </c>
      <c r="E1760" s="217" t="s">
        <v>2210</v>
      </c>
      <c r="F1760" s="218" t="s">
        <v>2170</v>
      </c>
      <c r="G1760" s="116">
        <v>8400</v>
      </c>
      <c r="H1760" s="1776" t="s">
        <v>1349</v>
      </c>
      <c r="J1760" s="224"/>
      <c r="K1760" s="34" t="s">
        <v>25</v>
      </c>
      <c r="L1760" s="475"/>
      <c r="M1760" s="224"/>
      <c r="N1760" s="224"/>
      <c r="O1760" s="2628" t="s">
        <v>6395</v>
      </c>
      <c r="P1760" s="1">
        <v>946</v>
      </c>
      <c r="T1760" s="224"/>
      <c r="U1760" s="34" t="s">
        <v>25</v>
      </c>
      <c r="V1760" s="475"/>
      <c r="W1760" s="224"/>
      <c r="X1760" s="224"/>
    </row>
    <row r="1761" spans="1:24" x14ac:dyDescent="0.3">
      <c r="A1761" s="2651">
        <v>947</v>
      </c>
      <c r="B1761" s="1122" t="s">
        <v>2168</v>
      </c>
      <c r="C1761" s="216" t="s">
        <v>1344</v>
      </c>
      <c r="D1761" s="416" t="s">
        <v>968</v>
      </c>
      <c r="E1761" s="217" t="s">
        <v>2211</v>
      </c>
      <c r="F1761" s="218" t="s">
        <v>2170</v>
      </c>
      <c r="G1761" s="116">
        <v>8400</v>
      </c>
      <c r="H1761" s="1776" t="s">
        <v>1349</v>
      </c>
      <c r="J1761" s="224"/>
      <c r="K1761" s="34" t="s">
        <v>25</v>
      </c>
      <c r="L1761" s="475"/>
      <c r="M1761" s="224"/>
      <c r="N1761" s="224"/>
      <c r="O1761" s="2628" t="s">
        <v>6395</v>
      </c>
      <c r="P1761" s="1">
        <v>947</v>
      </c>
      <c r="T1761" s="224"/>
      <c r="U1761" s="34" t="s">
        <v>25</v>
      </c>
      <c r="V1761" s="475"/>
      <c r="W1761" s="224"/>
      <c r="X1761" s="224"/>
    </row>
    <row r="1762" spans="1:24" x14ac:dyDescent="0.3">
      <c r="A1762" s="2652">
        <v>948</v>
      </c>
      <c r="B1762" s="1122" t="s">
        <v>2168</v>
      </c>
      <c r="C1762" s="216" t="s">
        <v>1344</v>
      </c>
      <c r="D1762" s="416" t="s">
        <v>968</v>
      </c>
      <c r="E1762" s="217" t="s">
        <v>2212</v>
      </c>
      <c r="F1762" s="218" t="s">
        <v>2170</v>
      </c>
      <c r="G1762" s="116">
        <v>8400</v>
      </c>
      <c r="H1762" s="1776" t="s">
        <v>1349</v>
      </c>
      <c r="J1762" s="224"/>
      <c r="K1762" s="34" t="s">
        <v>25</v>
      </c>
      <c r="L1762" s="475"/>
      <c r="M1762" s="224"/>
      <c r="N1762" s="224"/>
      <c r="O1762" s="2628" t="s">
        <v>6395</v>
      </c>
      <c r="P1762" s="1">
        <v>948</v>
      </c>
      <c r="T1762" s="224"/>
      <c r="U1762" s="34" t="s">
        <v>25</v>
      </c>
      <c r="V1762" s="475"/>
      <c r="W1762" s="224"/>
      <c r="X1762" s="224"/>
    </row>
    <row r="1763" spans="1:24" x14ac:dyDescent="0.3">
      <c r="A1763" s="2651">
        <v>949</v>
      </c>
      <c r="B1763" s="1122" t="s">
        <v>2168</v>
      </c>
      <c r="C1763" s="216" t="s">
        <v>1344</v>
      </c>
      <c r="D1763" s="416" t="s">
        <v>968</v>
      </c>
      <c r="E1763" s="217" t="s">
        <v>2213</v>
      </c>
      <c r="F1763" s="218" t="s">
        <v>2170</v>
      </c>
      <c r="G1763" s="116">
        <v>8400</v>
      </c>
      <c r="H1763" s="1776" t="s">
        <v>1349</v>
      </c>
      <c r="J1763" s="224"/>
      <c r="K1763" s="34" t="s">
        <v>25</v>
      </c>
      <c r="L1763" s="475"/>
      <c r="M1763" s="224"/>
      <c r="N1763" s="224"/>
      <c r="O1763" s="2628" t="s">
        <v>6395</v>
      </c>
      <c r="P1763" s="1">
        <v>949</v>
      </c>
      <c r="T1763" s="224"/>
      <c r="U1763" s="34" t="s">
        <v>25</v>
      </c>
      <c r="V1763" s="475"/>
      <c r="W1763" s="224"/>
      <c r="X1763" s="224"/>
    </row>
    <row r="1764" spans="1:24" x14ac:dyDescent="0.3">
      <c r="A1764" s="2651">
        <v>950</v>
      </c>
      <c r="B1764" s="1122" t="s">
        <v>2168</v>
      </c>
      <c r="C1764" s="216" t="s">
        <v>1344</v>
      </c>
      <c r="D1764" s="452" t="s">
        <v>968</v>
      </c>
      <c r="E1764" s="217" t="s">
        <v>2214</v>
      </c>
      <c r="F1764" s="218" t="s">
        <v>2170</v>
      </c>
      <c r="G1764" s="116">
        <v>8400</v>
      </c>
      <c r="H1764" s="1776" t="s">
        <v>1349</v>
      </c>
      <c r="J1764" s="224"/>
      <c r="K1764" s="34" t="s">
        <v>25</v>
      </c>
      <c r="L1764" s="475"/>
      <c r="M1764" s="224"/>
      <c r="N1764" s="224"/>
      <c r="O1764" s="2628" t="s">
        <v>6395</v>
      </c>
      <c r="P1764" s="1">
        <v>950</v>
      </c>
      <c r="T1764" s="224"/>
      <c r="U1764" s="34" t="s">
        <v>25</v>
      </c>
      <c r="V1764" s="475"/>
      <c r="W1764" s="224"/>
      <c r="X1764" s="224"/>
    </row>
    <row r="1765" spans="1:24" x14ac:dyDescent="0.3">
      <c r="A1765" s="2652">
        <v>951</v>
      </c>
      <c r="B1765" s="1122" t="s">
        <v>2168</v>
      </c>
      <c r="C1765" s="216" t="s">
        <v>1344</v>
      </c>
      <c r="D1765" s="793" t="s">
        <v>968</v>
      </c>
      <c r="E1765" s="217" t="s">
        <v>2215</v>
      </c>
      <c r="F1765" s="218" t="s">
        <v>2170</v>
      </c>
      <c r="G1765" s="116">
        <v>8400</v>
      </c>
      <c r="H1765" s="1776" t="s">
        <v>1349</v>
      </c>
      <c r="J1765" s="224"/>
      <c r="K1765" s="34" t="s">
        <v>25</v>
      </c>
      <c r="L1765" s="475"/>
      <c r="M1765" s="224"/>
      <c r="N1765" s="224"/>
      <c r="O1765" s="2628" t="s">
        <v>6395</v>
      </c>
      <c r="P1765" s="1">
        <v>951</v>
      </c>
      <c r="T1765" s="224"/>
      <c r="U1765" s="34" t="s">
        <v>25</v>
      </c>
      <c r="V1765" s="475"/>
      <c r="W1765" s="224"/>
      <c r="X1765" s="224"/>
    </row>
    <row r="1766" spans="1:24" x14ac:dyDescent="0.3">
      <c r="A1766" s="2651">
        <v>952</v>
      </c>
      <c r="B1766" s="1122" t="s">
        <v>2168</v>
      </c>
      <c r="C1766" s="216" t="s">
        <v>1344</v>
      </c>
      <c r="D1766" s="416" t="s">
        <v>968</v>
      </c>
      <c r="E1766" s="217" t="s">
        <v>2216</v>
      </c>
      <c r="F1766" s="218" t="s">
        <v>2170</v>
      </c>
      <c r="G1766" s="116">
        <v>8400</v>
      </c>
      <c r="H1766" s="1776" t="s">
        <v>1349</v>
      </c>
      <c r="J1766" s="224"/>
      <c r="K1766" s="34" t="s">
        <v>25</v>
      </c>
      <c r="L1766" s="475"/>
      <c r="M1766" s="224"/>
      <c r="N1766" s="224"/>
      <c r="O1766" s="2628" t="s">
        <v>6395</v>
      </c>
      <c r="P1766" s="1">
        <v>952</v>
      </c>
      <c r="T1766" s="224"/>
      <c r="U1766" s="34" t="s">
        <v>25</v>
      </c>
      <c r="V1766" s="475"/>
      <c r="W1766" s="224"/>
      <c r="X1766" s="224"/>
    </row>
    <row r="1767" spans="1:24" x14ac:dyDescent="0.3">
      <c r="A1767" s="2651">
        <v>953</v>
      </c>
      <c r="B1767" s="1122" t="s">
        <v>2168</v>
      </c>
      <c r="C1767" s="216" t="s">
        <v>1344</v>
      </c>
      <c r="D1767" s="416" t="s">
        <v>968</v>
      </c>
      <c r="E1767" s="217" t="s">
        <v>2217</v>
      </c>
      <c r="F1767" s="218" t="s">
        <v>2170</v>
      </c>
      <c r="G1767" s="116">
        <v>8400</v>
      </c>
      <c r="H1767" s="1776" t="s">
        <v>1349</v>
      </c>
      <c r="J1767" s="224"/>
      <c r="K1767" s="34" t="s">
        <v>25</v>
      </c>
      <c r="L1767" s="475"/>
      <c r="M1767" s="224"/>
      <c r="N1767" s="224"/>
      <c r="O1767" s="2628" t="s">
        <v>6395</v>
      </c>
      <c r="P1767" s="1">
        <v>953</v>
      </c>
      <c r="T1767" s="224"/>
      <c r="U1767" s="34" t="s">
        <v>25</v>
      </c>
      <c r="V1767" s="475"/>
      <c r="W1767" s="224"/>
      <c r="X1767" s="224"/>
    </row>
    <row r="1768" spans="1:24" x14ac:dyDescent="0.3">
      <c r="A1768" s="2652">
        <v>954</v>
      </c>
      <c r="B1768" s="1122" t="s">
        <v>2168</v>
      </c>
      <c r="C1768" s="216" t="s">
        <v>1344</v>
      </c>
      <c r="D1768" s="416" t="s">
        <v>968</v>
      </c>
      <c r="E1768" s="217" t="s">
        <v>2218</v>
      </c>
      <c r="F1768" s="218" t="s">
        <v>2170</v>
      </c>
      <c r="G1768" s="116">
        <v>8400</v>
      </c>
      <c r="H1768" s="1776" t="s">
        <v>1349</v>
      </c>
      <c r="J1768" s="224"/>
      <c r="K1768" s="34" t="s">
        <v>25</v>
      </c>
      <c r="L1768" s="475"/>
      <c r="M1768" s="224"/>
      <c r="N1768" s="224"/>
      <c r="O1768" s="2628" t="s">
        <v>6395</v>
      </c>
      <c r="P1768" s="1">
        <v>954</v>
      </c>
      <c r="T1768" s="224"/>
      <c r="U1768" s="34" t="s">
        <v>25</v>
      </c>
      <c r="V1768" s="475"/>
      <c r="W1768" s="224"/>
      <c r="X1768" s="224"/>
    </row>
    <row r="1769" spans="1:24" x14ac:dyDescent="0.3">
      <c r="A1769" s="2651">
        <v>955</v>
      </c>
      <c r="B1769" s="1122" t="s">
        <v>2168</v>
      </c>
      <c r="C1769" s="216" t="s">
        <v>1344</v>
      </c>
      <c r="D1769" s="416" t="s">
        <v>968</v>
      </c>
      <c r="E1769" s="217" t="s">
        <v>2219</v>
      </c>
      <c r="F1769" s="218" t="s">
        <v>2170</v>
      </c>
      <c r="G1769" s="116">
        <v>8400</v>
      </c>
      <c r="H1769" s="1776" t="s">
        <v>1349</v>
      </c>
      <c r="J1769" s="224"/>
      <c r="K1769" s="34" t="s">
        <v>25</v>
      </c>
      <c r="L1769" s="475"/>
      <c r="M1769" s="224"/>
      <c r="N1769" s="224"/>
      <c r="O1769" s="2628" t="s">
        <v>6395</v>
      </c>
      <c r="P1769" s="1">
        <v>955</v>
      </c>
      <c r="T1769" s="224"/>
      <c r="U1769" s="34" t="s">
        <v>25</v>
      </c>
      <c r="V1769" s="475"/>
      <c r="W1769" s="224"/>
      <c r="X1769" s="224"/>
    </row>
    <row r="1770" spans="1:24" x14ac:dyDescent="0.3">
      <c r="A1770" s="2651">
        <v>956</v>
      </c>
      <c r="B1770" s="1122" t="s">
        <v>2168</v>
      </c>
      <c r="C1770" s="216" t="s">
        <v>1344</v>
      </c>
      <c r="D1770" s="416" t="s">
        <v>968</v>
      </c>
      <c r="E1770" s="217" t="s">
        <v>2220</v>
      </c>
      <c r="F1770" s="218" t="s">
        <v>2170</v>
      </c>
      <c r="G1770" s="116">
        <v>8400</v>
      </c>
      <c r="H1770" s="1776" t="s">
        <v>1349</v>
      </c>
      <c r="J1770" s="224"/>
      <c r="K1770" s="34" t="s">
        <v>25</v>
      </c>
      <c r="L1770" s="475"/>
      <c r="M1770" s="224"/>
      <c r="N1770" s="224"/>
      <c r="O1770" s="2628" t="s">
        <v>6395</v>
      </c>
      <c r="P1770" s="1">
        <v>956</v>
      </c>
      <c r="T1770" s="224"/>
      <c r="U1770" s="34" t="s">
        <v>25</v>
      </c>
      <c r="V1770" s="475"/>
      <c r="W1770" s="224"/>
      <c r="X1770" s="224"/>
    </row>
    <row r="1771" spans="1:24" x14ac:dyDescent="0.3">
      <c r="A1771" s="2652">
        <v>957</v>
      </c>
      <c r="B1771" s="1122" t="s">
        <v>2168</v>
      </c>
      <c r="C1771" s="216" t="s">
        <v>1344</v>
      </c>
      <c r="D1771" s="416" t="s">
        <v>968</v>
      </c>
      <c r="E1771" s="217" t="s">
        <v>2221</v>
      </c>
      <c r="F1771" s="218" t="s">
        <v>2170</v>
      </c>
      <c r="G1771" s="116">
        <v>8400</v>
      </c>
      <c r="H1771" s="1776" t="s">
        <v>1349</v>
      </c>
      <c r="J1771" s="224"/>
      <c r="K1771" s="34" t="s">
        <v>25</v>
      </c>
      <c r="L1771" s="475"/>
      <c r="M1771" s="224"/>
      <c r="N1771" s="224"/>
      <c r="O1771" s="2628" t="s">
        <v>6395</v>
      </c>
      <c r="P1771" s="1">
        <v>957</v>
      </c>
      <c r="T1771" s="224"/>
      <c r="U1771" s="34" t="s">
        <v>25</v>
      </c>
      <c r="V1771" s="475"/>
      <c r="W1771" s="224"/>
      <c r="X1771" s="224"/>
    </row>
    <row r="1772" spans="1:24" x14ac:dyDescent="0.3">
      <c r="A1772" s="2651">
        <v>958</v>
      </c>
      <c r="B1772" s="1122" t="s">
        <v>2168</v>
      </c>
      <c r="C1772" s="216" t="s">
        <v>1344</v>
      </c>
      <c r="D1772" s="416" t="s">
        <v>968</v>
      </c>
      <c r="E1772" s="217" t="s">
        <v>2222</v>
      </c>
      <c r="F1772" s="218" t="s">
        <v>2170</v>
      </c>
      <c r="G1772" s="116">
        <v>8400</v>
      </c>
      <c r="H1772" s="1776" t="s">
        <v>1349</v>
      </c>
      <c r="J1772" s="224"/>
      <c r="K1772" s="34" t="s">
        <v>25</v>
      </c>
      <c r="L1772" s="475"/>
      <c r="M1772" s="224"/>
      <c r="N1772" s="224"/>
      <c r="O1772" s="2628" t="s">
        <v>6395</v>
      </c>
      <c r="P1772" s="1">
        <v>958</v>
      </c>
      <c r="T1772" s="224"/>
      <c r="U1772" s="34" t="s">
        <v>25</v>
      </c>
      <c r="V1772" s="475"/>
      <c r="W1772" s="224"/>
      <c r="X1772" s="224"/>
    </row>
    <row r="1773" spans="1:24" x14ac:dyDescent="0.3">
      <c r="A1773" s="2651">
        <v>959</v>
      </c>
      <c r="B1773" s="1122" t="s">
        <v>2168</v>
      </c>
      <c r="C1773" s="216" t="s">
        <v>1344</v>
      </c>
      <c r="D1773" s="416" t="s">
        <v>968</v>
      </c>
      <c r="E1773" s="217" t="s">
        <v>2223</v>
      </c>
      <c r="F1773" s="218" t="s">
        <v>2170</v>
      </c>
      <c r="G1773" s="116">
        <v>8400</v>
      </c>
      <c r="H1773" s="1776" t="s">
        <v>1349</v>
      </c>
      <c r="J1773" s="224"/>
      <c r="K1773" s="34" t="s">
        <v>25</v>
      </c>
      <c r="L1773" s="475"/>
      <c r="M1773" s="224"/>
      <c r="N1773" s="224"/>
      <c r="O1773" s="2628" t="s">
        <v>6395</v>
      </c>
      <c r="P1773" s="1">
        <v>959</v>
      </c>
      <c r="T1773" s="224"/>
      <c r="U1773" s="34" t="s">
        <v>25</v>
      </c>
      <c r="V1773" s="475"/>
      <c r="W1773" s="224"/>
      <c r="X1773" s="224"/>
    </row>
    <row r="1774" spans="1:24" x14ac:dyDescent="0.3">
      <c r="A1774" s="2652">
        <v>960</v>
      </c>
      <c r="B1774" s="1122" t="s">
        <v>2168</v>
      </c>
      <c r="C1774" s="216" t="s">
        <v>1344</v>
      </c>
      <c r="D1774" s="416" t="s">
        <v>968</v>
      </c>
      <c r="E1774" s="217" t="s">
        <v>2224</v>
      </c>
      <c r="F1774" s="218" t="s">
        <v>2170</v>
      </c>
      <c r="G1774" s="116">
        <v>8400</v>
      </c>
      <c r="H1774" s="1776" t="s">
        <v>1349</v>
      </c>
      <c r="J1774" s="224"/>
      <c r="K1774" s="34" t="s">
        <v>25</v>
      </c>
      <c r="L1774" s="475"/>
      <c r="M1774" s="224"/>
      <c r="N1774" s="224"/>
      <c r="O1774" s="2628" t="s">
        <v>6395</v>
      </c>
      <c r="P1774" s="1">
        <v>960</v>
      </c>
      <c r="T1774" s="224"/>
      <c r="U1774" s="34" t="s">
        <v>25</v>
      </c>
      <c r="V1774" s="475"/>
      <c r="W1774" s="224"/>
      <c r="X1774" s="224"/>
    </row>
    <row r="1775" spans="1:24" x14ac:dyDescent="0.3">
      <c r="A1775" s="2651">
        <v>961</v>
      </c>
      <c r="B1775" s="1122" t="s">
        <v>2168</v>
      </c>
      <c r="C1775" s="216" t="s">
        <v>1344</v>
      </c>
      <c r="D1775" s="416" t="s">
        <v>968</v>
      </c>
      <c r="E1775" s="217" t="s">
        <v>2225</v>
      </c>
      <c r="F1775" s="218" t="s">
        <v>2170</v>
      </c>
      <c r="G1775" s="116">
        <v>8400</v>
      </c>
      <c r="H1775" s="1776" t="s">
        <v>1349</v>
      </c>
      <c r="J1775" s="224"/>
      <c r="K1775" s="34" t="s">
        <v>25</v>
      </c>
      <c r="L1775" s="475"/>
      <c r="M1775" s="224"/>
      <c r="N1775" s="224"/>
      <c r="O1775" s="2628" t="s">
        <v>6395</v>
      </c>
      <c r="P1775" s="1">
        <v>961</v>
      </c>
      <c r="T1775" s="224"/>
      <c r="U1775" s="34" t="s">
        <v>25</v>
      </c>
      <c r="V1775" s="475"/>
      <c r="W1775" s="224"/>
      <c r="X1775" s="224"/>
    </row>
    <row r="1776" spans="1:24" x14ac:dyDescent="0.3">
      <c r="A1776" s="2651">
        <v>962</v>
      </c>
      <c r="B1776" s="1122" t="s">
        <v>2168</v>
      </c>
      <c r="C1776" s="216" t="s">
        <v>1344</v>
      </c>
      <c r="D1776" s="416" t="s">
        <v>968</v>
      </c>
      <c r="E1776" s="217" t="s">
        <v>2226</v>
      </c>
      <c r="F1776" s="218" t="s">
        <v>2170</v>
      </c>
      <c r="G1776" s="116">
        <v>8400</v>
      </c>
      <c r="H1776" s="1776" t="s">
        <v>1349</v>
      </c>
      <c r="J1776" s="224"/>
      <c r="K1776" s="34" t="s">
        <v>25</v>
      </c>
      <c r="L1776" s="475"/>
      <c r="M1776" s="224"/>
      <c r="N1776" s="224"/>
      <c r="O1776" s="2628" t="s">
        <v>6395</v>
      </c>
      <c r="P1776" s="1">
        <v>962</v>
      </c>
      <c r="T1776" s="224"/>
      <c r="U1776" s="34" t="s">
        <v>25</v>
      </c>
      <c r="V1776" s="475"/>
      <c r="W1776" s="224"/>
      <c r="X1776" s="224"/>
    </row>
    <row r="1777" spans="1:24" x14ac:dyDescent="0.3">
      <c r="A1777" s="2652">
        <v>963</v>
      </c>
      <c r="B1777" s="1122" t="s">
        <v>2168</v>
      </c>
      <c r="C1777" s="216" t="s">
        <v>1344</v>
      </c>
      <c r="D1777" s="452" t="s">
        <v>968</v>
      </c>
      <c r="E1777" s="217" t="s">
        <v>2227</v>
      </c>
      <c r="F1777" s="218" t="s">
        <v>2170</v>
      </c>
      <c r="G1777" s="116">
        <v>8400</v>
      </c>
      <c r="H1777" s="1776" t="s">
        <v>1349</v>
      </c>
      <c r="J1777" s="224"/>
      <c r="K1777" s="34" t="s">
        <v>25</v>
      </c>
      <c r="L1777" s="475"/>
      <c r="M1777" s="224"/>
      <c r="N1777" s="224"/>
      <c r="O1777" s="2628" t="s">
        <v>6395</v>
      </c>
      <c r="P1777" s="1">
        <v>963</v>
      </c>
      <c r="T1777" s="224"/>
      <c r="U1777" s="34" t="s">
        <v>25</v>
      </c>
      <c r="V1777" s="475"/>
      <c r="W1777" s="224"/>
      <c r="X1777" s="224"/>
    </row>
    <row r="1778" spans="1:24" x14ac:dyDescent="0.3">
      <c r="A1778" s="2651">
        <v>964</v>
      </c>
      <c r="B1778" s="1122" t="s">
        <v>2168</v>
      </c>
      <c r="C1778" s="216" t="s">
        <v>1344</v>
      </c>
      <c r="D1778" s="495" t="s">
        <v>968</v>
      </c>
      <c r="E1778" s="217" t="s">
        <v>2228</v>
      </c>
      <c r="F1778" s="218" t="s">
        <v>2170</v>
      </c>
      <c r="G1778" s="116">
        <v>8400</v>
      </c>
      <c r="H1778" s="1776" t="s">
        <v>1349</v>
      </c>
      <c r="J1778" s="224"/>
      <c r="K1778" s="34" t="s">
        <v>25</v>
      </c>
      <c r="L1778" s="475"/>
      <c r="M1778" s="224"/>
      <c r="N1778" s="224"/>
      <c r="O1778" s="2628" t="s">
        <v>6395</v>
      </c>
      <c r="P1778" s="1">
        <v>964</v>
      </c>
      <c r="T1778" s="224"/>
      <c r="U1778" s="34" t="s">
        <v>25</v>
      </c>
      <c r="V1778" s="475"/>
      <c r="W1778" s="224"/>
      <c r="X1778" s="224"/>
    </row>
    <row r="1779" spans="1:24" x14ac:dyDescent="0.3">
      <c r="A1779" s="2651">
        <v>965</v>
      </c>
      <c r="B1779" s="1122" t="s">
        <v>2168</v>
      </c>
      <c r="C1779" s="216" t="s">
        <v>1344</v>
      </c>
      <c r="D1779" s="793" t="s">
        <v>968</v>
      </c>
      <c r="E1779" s="217" t="s">
        <v>2229</v>
      </c>
      <c r="F1779" s="218" t="s">
        <v>2170</v>
      </c>
      <c r="G1779" s="116">
        <v>8400</v>
      </c>
      <c r="H1779" s="1776" t="s">
        <v>1349</v>
      </c>
      <c r="J1779" s="224"/>
      <c r="K1779" s="34" t="s">
        <v>25</v>
      </c>
      <c r="L1779" s="475"/>
      <c r="M1779" s="224"/>
      <c r="N1779" s="224"/>
      <c r="O1779" s="2628" t="s">
        <v>6395</v>
      </c>
      <c r="P1779" s="1">
        <v>965</v>
      </c>
      <c r="T1779" s="224"/>
      <c r="U1779" s="34" t="s">
        <v>25</v>
      </c>
      <c r="V1779" s="475"/>
      <c r="W1779" s="224"/>
      <c r="X1779" s="224"/>
    </row>
    <row r="1780" spans="1:24" x14ac:dyDescent="0.3">
      <c r="A1780" s="2652">
        <v>966</v>
      </c>
      <c r="B1780" s="1122" t="s">
        <v>2168</v>
      </c>
      <c r="C1780" s="216" t="s">
        <v>1344</v>
      </c>
      <c r="D1780" s="416" t="s">
        <v>968</v>
      </c>
      <c r="E1780" s="217" t="s">
        <v>2230</v>
      </c>
      <c r="F1780" s="218" t="s">
        <v>2170</v>
      </c>
      <c r="G1780" s="116">
        <v>8400</v>
      </c>
      <c r="H1780" s="1776" t="s">
        <v>1349</v>
      </c>
      <c r="J1780" s="224"/>
      <c r="K1780" s="34" t="s">
        <v>25</v>
      </c>
      <c r="L1780" s="475"/>
      <c r="M1780" s="224"/>
      <c r="N1780" s="224"/>
      <c r="O1780" s="2628" t="s">
        <v>6395</v>
      </c>
      <c r="P1780" s="1">
        <v>966</v>
      </c>
      <c r="T1780" s="224"/>
      <c r="U1780" s="34" t="s">
        <v>25</v>
      </c>
      <c r="V1780" s="475"/>
      <c r="W1780" s="224"/>
      <c r="X1780" s="224"/>
    </row>
    <row r="1781" spans="1:24" x14ac:dyDescent="0.3">
      <c r="A1781" s="2651">
        <v>967</v>
      </c>
      <c r="B1781" s="1122" t="s">
        <v>2168</v>
      </c>
      <c r="C1781" s="216" t="s">
        <v>1344</v>
      </c>
      <c r="D1781" s="416" t="s">
        <v>968</v>
      </c>
      <c r="E1781" s="217" t="s">
        <v>2231</v>
      </c>
      <c r="F1781" s="218" t="s">
        <v>2170</v>
      </c>
      <c r="G1781" s="116">
        <v>8400</v>
      </c>
      <c r="H1781" s="1776" t="s">
        <v>1349</v>
      </c>
      <c r="J1781" s="224"/>
      <c r="K1781" s="34" t="s">
        <v>25</v>
      </c>
      <c r="L1781" s="475"/>
      <c r="M1781" s="224"/>
      <c r="N1781" s="224"/>
      <c r="O1781" s="2628" t="s">
        <v>6395</v>
      </c>
      <c r="P1781" s="1">
        <v>967</v>
      </c>
      <c r="T1781" s="224"/>
      <c r="U1781" s="34" t="s">
        <v>25</v>
      </c>
      <c r="V1781" s="475"/>
      <c r="W1781" s="224"/>
      <c r="X1781" s="224"/>
    </row>
    <row r="1782" spans="1:24" x14ac:dyDescent="0.3">
      <c r="A1782" s="2651">
        <v>968</v>
      </c>
      <c r="B1782" s="1122" t="s">
        <v>2168</v>
      </c>
      <c r="C1782" s="216" t="s">
        <v>1344</v>
      </c>
      <c r="D1782" s="416" t="s">
        <v>968</v>
      </c>
      <c r="E1782" s="217" t="s">
        <v>2232</v>
      </c>
      <c r="F1782" s="218" t="s">
        <v>2170</v>
      </c>
      <c r="G1782" s="116">
        <v>8400</v>
      </c>
      <c r="H1782" s="1776" t="s">
        <v>1349</v>
      </c>
      <c r="J1782" s="224"/>
      <c r="K1782" s="34" t="s">
        <v>25</v>
      </c>
      <c r="L1782" s="475"/>
      <c r="M1782" s="224"/>
      <c r="N1782" s="224"/>
      <c r="O1782" s="2628" t="s">
        <v>6395</v>
      </c>
      <c r="P1782" s="1">
        <v>968</v>
      </c>
      <c r="T1782" s="224"/>
      <c r="U1782" s="34" t="s">
        <v>25</v>
      </c>
      <c r="V1782" s="475"/>
      <c r="W1782" s="224"/>
      <c r="X1782" s="224"/>
    </row>
    <row r="1783" spans="1:24" x14ac:dyDescent="0.3">
      <c r="A1783" s="2652">
        <v>969</v>
      </c>
      <c r="B1783" s="1122" t="s">
        <v>2168</v>
      </c>
      <c r="C1783" s="216" t="s">
        <v>1344</v>
      </c>
      <c r="D1783" s="416" t="s">
        <v>968</v>
      </c>
      <c r="E1783" s="217" t="s">
        <v>2233</v>
      </c>
      <c r="F1783" s="218" t="s">
        <v>2170</v>
      </c>
      <c r="G1783" s="116">
        <v>8400</v>
      </c>
      <c r="H1783" s="1776" t="s">
        <v>1349</v>
      </c>
      <c r="J1783" s="224"/>
      <c r="K1783" s="34" t="s">
        <v>25</v>
      </c>
      <c r="L1783" s="475"/>
      <c r="M1783" s="224"/>
      <c r="N1783" s="224"/>
      <c r="O1783" s="2628" t="s">
        <v>6395</v>
      </c>
      <c r="P1783" s="1">
        <v>969</v>
      </c>
      <c r="T1783" s="224"/>
      <c r="U1783" s="34" t="s">
        <v>25</v>
      </c>
      <c r="V1783" s="475"/>
      <c r="W1783" s="224"/>
      <c r="X1783" s="224"/>
    </row>
    <row r="1784" spans="1:24" x14ac:dyDescent="0.3">
      <c r="A1784" s="2651">
        <v>970</v>
      </c>
      <c r="B1784" s="1122" t="s">
        <v>2168</v>
      </c>
      <c r="C1784" s="216" t="s">
        <v>1344</v>
      </c>
      <c r="D1784" s="416" t="s">
        <v>968</v>
      </c>
      <c r="E1784" s="217" t="s">
        <v>2234</v>
      </c>
      <c r="F1784" s="218" t="s">
        <v>2170</v>
      </c>
      <c r="G1784" s="116">
        <v>8400</v>
      </c>
      <c r="H1784" s="1776" t="s">
        <v>1349</v>
      </c>
      <c r="J1784" s="224"/>
      <c r="K1784" s="34" t="s">
        <v>25</v>
      </c>
      <c r="L1784" s="475"/>
      <c r="M1784" s="224"/>
      <c r="N1784" s="224"/>
      <c r="O1784" s="2628" t="s">
        <v>6395</v>
      </c>
      <c r="P1784" s="1">
        <v>970</v>
      </c>
      <c r="T1784" s="224"/>
      <c r="U1784" s="34" t="s">
        <v>25</v>
      </c>
      <c r="V1784" s="475"/>
      <c r="W1784" s="224"/>
      <c r="X1784" s="224"/>
    </row>
    <row r="1785" spans="1:24" x14ac:dyDescent="0.3">
      <c r="A1785" s="2651">
        <v>971</v>
      </c>
      <c r="B1785" s="1122" t="s">
        <v>2168</v>
      </c>
      <c r="C1785" s="216" t="s">
        <v>1344</v>
      </c>
      <c r="D1785" s="416" t="s">
        <v>968</v>
      </c>
      <c r="E1785" s="217" t="s">
        <v>2235</v>
      </c>
      <c r="F1785" s="218" t="s">
        <v>2170</v>
      </c>
      <c r="G1785" s="116">
        <v>8400</v>
      </c>
      <c r="H1785" s="1776" t="s">
        <v>1349</v>
      </c>
      <c r="J1785" s="224"/>
      <c r="K1785" s="34" t="s">
        <v>25</v>
      </c>
      <c r="L1785" s="475"/>
      <c r="M1785" s="224"/>
      <c r="N1785" s="224"/>
      <c r="O1785" s="2628" t="s">
        <v>6395</v>
      </c>
      <c r="P1785" s="1">
        <v>971</v>
      </c>
      <c r="T1785" s="224"/>
      <c r="U1785" s="34" t="s">
        <v>25</v>
      </c>
      <c r="V1785" s="475"/>
      <c r="W1785" s="224"/>
      <c r="X1785" s="224"/>
    </row>
    <row r="1786" spans="1:24" x14ac:dyDescent="0.3">
      <c r="A1786" s="2652">
        <v>972</v>
      </c>
      <c r="B1786" s="1122" t="s">
        <v>2168</v>
      </c>
      <c r="C1786" s="216" t="s">
        <v>1344</v>
      </c>
      <c r="D1786" s="416" t="s">
        <v>968</v>
      </c>
      <c r="E1786" s="217" t="s">
        <v>2236</v>
      </c>
      <c r="F1786" s="218" t="s">
        <v>2170</v>
      </c>
      <c r="G1786" s="116">
        <v>8400</v>
      </c>
      <c r="H1786" s="1776" t="s">
        <v>1349</v>
      </c>
      <c r="J1786" s="224"/>
      <c r="K1786" s="34" t="s">
        <v>25</v>
      </c>
      <c r="L1786" s="475"/>
      <c r="M1786" s="224"/>
      <c r="N1786" s="224"/>
      <c r="O1786" s="2628" t="s">
        <v>6395</v>
      </c>
      <c r="P1786" s="1">
        <v>972</v>
      </c>
      <c r="T1786" s="224"/>
      <c r="U1786" s="34" t="s">
        <v>25</v>
      </c>
      <c r="V1786" s="475"/>
      <c r="W1786" s="224"/>
      <c r="X1786" s="224"/>
    </row>
    <row r="1787" spans="1:24" x14ac:dyDescent="0.3">
      <c r="A1787" s="2651">
        <v>973</v>
      </c>
      <c r="B1787" s="1122" t="s">
        <v>2168</v>
      </c>
      <c r="C1787" s="216" t="s">
        <v>1344</v>
      </c>
      <c r="D1787" s="416" t="s">
        <v>968</v>
      </c>
      <c r="E1787" s="217" t="s">
        <v>2237</v>
      </c>
      <c r="F1787" s="218" t="s">
        <v>2170</v>
      </c>
      <c r="G1787" s="116">
        <v>8400</v>
      </c>
      <c r="H1787" s="1776" t="s">
        <v>1349</v>
      </c>
      <c r="J1787" s="224"/>
      <c r="K1787" s="34" t="s">
        <v>25</v>
      </c>
      <c r="L1787" s="475"/>
      <c r="M1787" s="224"/>
      <c r="N1787" s="224"/>
      <c r="O1787" s="2628" t="s">
        <v>6395</v>
      </c>
      <c r="P1787" s="1">
        <v>973</v>
      </c>
      <c r="T1787" s="224"/>
      <c r="U1787" s="34" t="s">
        <v>25</v>
      </c>
      <c r="V1787" s="475"/>
      <c r="W1787" s="224"/>
      <c r="X1787" s="224"/>
    </row>
    <row r="1788" spans="1:24" x14ac:dyDescent="0.3">
      <c r="A1788" s="2651">
        <v>974</v>
      </c>
      <c r="B1788" s="1122" t="s">
        <v>2168</v>
      </c>
      <c r="C1788" s="216" t="s">
        <v>1344</v>
      </c>
      <c r="D1788" s="416" t="s">
        <v>968</v>
      </c>
      <c r="E1788" s="217" t="s">
        <v>2238</v>
      </c>
      <c r="F1788" s="218" t="s">
        <v>2170</v>
      </c>
      <c r="G1788" s="116">
        <v>8400</v>
      </c>
      <c r="H1788" s="1776" t="s">
        <v>1349</v>
      </c>
      <c r="J1788" s="224"/>
      <c r="K1788" s="34" t="s">
        <v>25</v>
      </c>
      <c r="L1788" s="475"/>
      <c r="M1788" s="224"/>
      <c r="N1788" s="224"/>
      <c r="O1788" s="2628" t="s">
        <v>6395</v>
      </c>
      <c r="P1788" s="1">
        <v>974</v>
      </c>
      <c r="T1788" s="224"/>
      <c r="U1788" s="34" t="s">
        <v>25</v>
      </c>
      <c r="V1788" s="475"/>
      <c r="W1788" s="224"/>
      <c r="X1788" s="224"/>
    </row>
    <row r="1789" spans="1:24" x14ac:dyDescent="0.3">
      <c r="A1789" s="2652">
        <v>975</v>
      </c>
      <c r="B1789" s="1122" t="s">
        <v>2168</v>
      </c>
      <c r="C1789" s="216" t="s">
        <v>1344</v>
      </c>
      <c r="D1789" s="416" t="s">
        <v>968</v>
      </c>
      <c r="E1789" s="217" t="s">
        <v>2239</v>
      </c>
      <c r="F1789" s="218" t="s">
        <v>2170</v>
      </c>
      <c r="G1789" s="116">
        <v>8400</v>
      </c>
      <c r="H1789" s="1776" t="s">
        <v>1349</v>
      </c>
      <c r="J1789" s="224"/>
      <c r="K1789" s="34" t="s">
        <v>25</v>
      </c>
      <c r="L1789" s="475"/>
      <c r="M1789" s="224"/>
      <c r="N1789" s="224"/>
      <c r="O1789" s="2628" t="s">
        <v>6395</v>
      </c>
      <c r="P1789" s="1">
        <v>975</v>
      </c>
      <c r="T1789" s="224"/>
      <c r="U1789" s="34" t="s">
        <v>25</v>
      </c>
      <c r="V1789" s="475"/>
      <c r="W1789" s="224"/>
      <c r="X1789" s="224"/>
    </row>
    <row r="1790" spans="1:24" x14ac:dyDescent="0.3">
      <c r="A1790" s="2651">
        <v>976</v>
      </c>
      <c r="B1790" s="1122" t="s">
        <v>2168</v>
      </c>
      <c r="C1790" s="216" t="s">
        <v>1344</v>
      </c>
      <c r="D1790" s="416" t="s">
        <v>968</v>
      </c>
      <c r="E1790" s="217" t="s">
        <v>2240</v>
      </c>
      <c r="F1790" s="218" t="s">
        <v>2170</v>
      </c>
      <c r="G1790" s="116">
        <v>8400</v>
      </c>
      <c r="H1790" s="1776" t="s">
        <v>1349</v>
      </c>
      <c r="J1790" s="224"/>
      <c r="K1790" s="34" t="s">
        <v>25</v>
      </c>
      <c r="L1790" s="475"/>
      <c r="M1790" s="224"/>
      <c r="N1790" s="224"/>
      <c r="O1790" s="2628" t="s">
        <v>6395</v>
      </c>
      <c r="P1790" s="1">
        <v>976</v>
      </c>
      <c r="T1790" s="224"/>
      <c r="U1790" s="34" t="s">
        <v>25</v>
      </c>
      <c r="V1790" s="475"/>
      <c r="W1790" s="224"/>
      <c r="X1790" s="224"/>
    </row>
    <row r="1791" spans="1:24" x14ac:dyDescent="0.3">
      <c r="A1791" s="2651">
        <v>977</v>
      </c>
      <c r="B1791" s="1122" t="s">
        <v>2168</v>
      </c>
      <c r="C1791" s="216" t="s">
        <v>1344</v>
      </c>
      <c r="D1791" s="416" t="s">
        <v>968</v>
      </c>
      <c r="E1791" s="217" t="s">
        <v>384</v>
      </c>
      <c r="F1791" s="218" t="s">
        <v>2170</v>
      </c>
      <c r="G1791" s="116">
        <v>8400</v>
      </c>
      <c r="H1791" s="1776" t="s">
        <v>1349</v>
      </c>
      <c r="J1791" s="224"/>
      <c r="K1791" s="34" t="s">
        <v>25</v>
      </c>
      <c r="L1791" s="475"/>
      <c r="M1791" s="224"/>
      <c r="N1791" s="224"/>
      <c r="O1791" s="2628" t="s">
        <v>6395</v>
      </c>
      <c r="P1791" s="1">
        <v>977</v>
      </c>
      <c r="T1791" s="224"/>
      <c r="U1791" s="34" t="s">
        <v>25</v>
      </c>
      <c r="V1791" s="475"/>
      <c r="W1791" s="224"/>
      <c r="X1791" s="224"/>
    </row>
    <row r="1792" spans="1:24" x14ac:dyDescent="0.3">
      <c r="A1792" s="2652">
        <v>978</v>
      </c>
      <c r="B1792" s="1122" t="s">
        <v>2168</v>
      </c>
      <c r="C1792" s="216" t="s">
        <v>1344</v>
      </c>
      <c r="D1792" s="416" t="s">
        <v>968</v>
      </c>
      <c r="E1792" s="217" t="s">
        <v>385</v>
      </c>
      <c r="F1792" s="218" t="s">
        <v>2170</v>
      </c>
      <c r="G1792" s="116">
        <v>8400</v>
      </c>
      <c r="H1792" s="1776" t="s">
        <v>1349</v>
      </c>
      <c r="J1792" s="224"/>
      <c r="K1792" s="34" t="s">
        <v>25</v>
      </c>
      <c r="L1792" s="475"/>
      <c r="M1792" s="224"/>
      <c r="N1792" s="224"/>
      <c r="O1792" s="2628" t="s">
        <v>6395</v>
      </c>
      <c r="P1792" s="1">
        <v>978</v>
      </c>
      <c r="T1792" s="224"/>
      <c r="U1792" s="34" t="s">
        <v>25</v>
      </c>
      <c r="V1792" s="475"/>
      <c r="W1792" s="224"/>
      <c r="X1792" s="224"/>
    </row>
    <row r="1793" spans="1:24" x14ac:dyDescent="0.3">
      <c r="A1793" s="2651">
        <v>979</v>
      </c>
      <c r="B1793" s="1122" t="s">
        <v>2168</v>
      </c>
      <c r="C1793" s="216" t="s">
        <v>1344</v>
      </c>
      <c r="D1793" s="452" t="s">
        <v>968</v>
      </c>
      <c r="E1793" s="217" t="s">
        <v>2241</v>
      </c>
      <c r="F1793" s="218" t="s">
        <v>2170</v>
      </c>
      <c r="G1793" s="116">
        <v>8400</v>
      </c>
      <c r="H1793" s="1776" t="s">
        <v>1349</v>
      </c>
      <c r="J1793" s="224"/>
      <c r="K1793" s="34" t="s">
        <v>25</v>
      </c>
      <c r="L1793" s="475"/>
      <c r="M1793" s="224"/>
      <c r="N1793" s="224"/>
      <c r="O1793" s="2628" t="s">
        <v>6395</v>
      </c>
      <c r="P1793" s="1">
        <v>979</v>
      </c>
      <c r="T1793" s="224"/>
      <c r="U1793" s="34" t="s">
        <v>25</v>
      </c>
      <c r="V1793" s="475"/>
      <c r="W1793" s="224"/>
      <c r="X1793" s="224"/>
    </row>
    <row r="1794" spans="1:24" x14ac:dyDescent="0.3">
      <c r="A1794" s="2651">
        <v>980</v>
      </c>
      <c r="B1794" s="1122" t="s">
        <v>2168</v>
      </c>
      <c r="C1794" s="216" t="s">
        <v>1344</v>
      </c>
      <c r="D1794" s="495" t="s">
        <v>968</v>
      </c>
      <c r="E1794" s="217" t="s">
        <v>2242</v>
      </c>
      <c r="F1794" s="218" t="s">
        <v>2170</v>
      </c>
      <c r="G1794" s="116">
        <v>8400</v>
      </c>
      <c r="H1794" s="1776" t="s">
        <v>1349</v>
      </c>
      <c r="J1794" s="224"/>
      <c r="K1794" s="34" t="s">
        <v>25</v>
      </c>
      <c r="L1794" s="475"/>
      <c r="M1794" s="224"/>
      <c r="N1794" s="224"/>
      <c r="O1794" s="2628" t="s">
        <v>6395</v>
      </c>
      <c r="P1794" s="1">
        <v>980</v>
      </c>
      <c r="T1794" s="224"/>
      <c r="U1794" s="34" t="s">
        <v>25</v>
      </c>
      <c r="V1794" s="475"/>
      <c r="W1794" s="224"/>
      <c r="X1794" s="224"/>
    </row>
    <row r="1795" spans="1:24" x14ac:dyDescent="0.3">
      <c r="A1795" s="2652">
        <v>981</v>
      </c>
      <c r="B1795" s="1122" t="s">
        <v>2168</v>
      </c>
      <c r="C1795" s="216" t="s">
        <v>1344</v>
      </c>
      <c r="D1795" s="793" t="s">
        <v>968</v>
      </c>
      <c r="E1795" s="217" t="s">
        <v>2243</v>
      </c>
      <c r="F1795" s="218" t="s">
        <v>2170</v>
      </c>
      <c r="G1795" s="116">
        <v>8400</v>
      </c>
      <c r="H1795" s="1776" t="s">
        <v>1349</v>
      </c>
      <c r="J1795" s="224"/>
      <c r="K1795" s="34" t="s">
        <v>25</v>
      </c>
      <c r="L1795" s="475"/>
      <c r="M1795" s="224"/>
      <c r="N1795" s="224"/>
      <c r="O1795" s="2628" t="s">
        <v>6395</v>
      </c>
      <c r="P1795" s="1">
        <v>981</v>
      </c>
      <c r="T1795" s="224"/>
      <c r="U1795" s="34" t="s">
        <v>25</v>
      </c>
      <c r="V1795" s="475"/>
      <c r="W1795" s="224"/>
      <c r="X1795" s="224"/>
    </row>
    <row r="1796" spans="1:24" x14ac:dyDescent="0.3">
      <c r="A1796" s="2651">
        <v>982</v>
      </c>
      <c r="B1796" s="1122" t="s">
        <v>2168</v>
      </c>
      <c r="C1796" s="216" t="s">
        <v>1344</v>
      </c>
      <c r="D1796" s="416" t="s">
        <v>968</v>
      </c>
      <c r="E1796" s="217" t="s">
        <v>2244</v>
      </c>
      <c r="F1796" s="218" t="s">
        <v>2170</v>
      </c>
      <c r="G1796" s="116">
        <v>8400</v>
      </c>
      <c r="H1796" s="1776" t="s">
        <v>1349</v>
      </c>
      <c r="J1796" s="224"/>
      <c r="K1796" s="34" t="s">
        <v>25</v>
      </c>
      <c r="L1796" s="475"/>
      <c r="M1796" s="224"/>
      <c r="N1796" s="224"/>
      <c r="O1796" s="2628" t="s">
        <v>6395</v>
      </c>
      <c r="P1796" s="1">
        <v>982</v>
      </c>
      <c r="T1796" s="224"/>
      <c r="U1796" s="34" t="s">
        <v>25</v>
      </c>
      <c r="V1796" s="475"/>
      <c r="W1796" s="224"/>
      <c r="X1796" s="224"/>
    </row>
    <row r="1797" spans="1:24" x14ac:dyDescent="0.3">
      <c r="A1797" s="2651">
        <v>983</v>
      </c>
      <c r="B1797" s="1122" t="s">
        <v>2168</v>
      </c>
      <c r="C1797" s="216" t="s">
        <v>1344</v>
      </c>
      <c r="D1797" s="416" t="s">
        <v>968</v>
      </c>
      <c r="E1797" s="217" t="s">
        <v>2245</v>
      </c>
      <c r="F1797" s="218" t="s">
        <v>2170</v>
      </c>
      <c r="G1797" s="116">
        <v>8400</v>
      </c>
      <c r="H1797" s="1776" t="s">
        <v>1349</v>
      </c>
      <c r="J1797" s="224"/>
      <c r="K1797" s="34" t="s">
        <v>25</v>
      </c>
      <c r="L1797" s="475"/>
      <c r="M1797" s="224"/>
      <c r="N1797" s="224"/>
      <c r="O1797" s="2628" t="s">
        <v>6395</v>
      </c>
      <c r="P1797" s="1">
        <v>983</v>
      </c>
      <c r="T1797" s="224"/>
      <c r="U1797" s="34" t="s">
        <v>25</v>
      </c>
      <c r="V1797" s="475"/>
      <c r="W1797" s="224"/>
      <c r="X1797" s="224"/>
    </row>
    <row r="1798" spans="1:24" x14ac:dyDescent="0.3">
      <c r="A1798" s="2652">
        <v>984</v>
      </c>
      <c r="B1798" s="1122" t="s">
        <v>2168</v>
      </c>
      <c r="C1798" s="216" t="s">
        <v>1344</v>
      </c>
      <c r="D1798" s="416" t="s">
        <v>968</v>
      </c>
      <c r="E1798" s="217" t="s">
        <v>2246</v>
      </c>
      <c r="F1798" s="218" t="s">
        <v>2170</v>
      </c>
      <c r="G1798" s="116">
        <v>8400</v>
      </c>
      <c r="H1798" s="1776" t="s">
        <v>1349</v>
      </c>
      <c r="J1798" s="224"/>
      <c r="K1798" s="34" t="s">
        <v>25</v>
      </c>
      <c r="L1798" s="475"/>
      <c r="M1798" s="224"/>
      <c r="N1798" s="224"/>
      <c r="O1798" s="2628" t="s">
        <v>6395</v>
      </c>
      <c r="P1798" s="1">
        <v>984</v>
      </c>
      <c r="T1798" s="224"/>
      <c r="U1798" s="34" t="s">
        <v>25</v>
      </c>
      <c r="V1798" s="475"/>
      <c r="W1798" s="224"/>
      <c r="X1798" s="224"/>
    </row>
    <row r="1799" spans="1:24" x14ac:dyDescent="0.3">
      <c r="A1799" s="2651">
        <v>985</v>
      </c>
      <c r="B1799" s="1122" t="s">
        <v>2168</v>
      </c>
      <c r="C1799" s="216" t="s">
        <v>1344</v>
      </c>
      <c r="D1799" s="416" t="s">
        <v>968</v>
      </c>
      <c r="E1799" s="217" t="s">
        <v>2247</v>
      </c>
      <c r="F1799" s="218" t="s">
        <v>2170</v>
      </c>
      <c r="G1799" s="116">
        <v>8400</v>
      </c>
      <c r="H1799" s="1776" t="s">
        <v>1349</v>
      </c>
      <c r="J1799" s="224"/>
      <c r="K1799" s="34" t="s">
        <v>25</v>
      </c>
      <c r="L1799" s="475"/>
      <c r="M1799" s="224"/>
      <c r="N1799" s="224"/>
      <c r="O1799" s="2628" t="s">
        <v>6395</v>
      </c>
      <c r="P1799" s="1">
        <v>985</v>
      </c>
      <c r="T1799" s="224"/>
      <c r="U1799" s="34" t="s">
        <v>25</v>
      </c>
      <c r="V1799" s="475"/>
      <c r="W1799" s="224"/>
      <c r="X1799" s="224"/>
    </row>
    <row r="1800" spans="1:24" x14ac:dyDescent="0.3">
      <c r="A1800" s="2651">
        <v>986</v>
      </c>
      <c r="B1800" s="1122" t="s">
        <v>2168</v>
      </c>
      <c r="C1800" s="216" t="s">
        <v>1344</v>
      </c>
      <c r="D1800" s="416" t="s">
        <v>968</v>
      </c>
      <c r="E1800" s="217" t="s">
        <v>2248</v>
      </c>
      <c r="F1800" s="218" t="s">
        <v>2170</v>
      </c>
      <c r="G1800" s="116">
        <v>8400</v>
      </c>
      <c r="H1800" s="1776" t="s">
        <v>1349</v>
      </c>
      <c r="J1800" s="224"/>
      <c r="K1800" s="34" t="s">
        <v>25</v>
      </c>
      <c r="L1800" s="475"/>
      <c r="M1800" s="224"/>
      <c r="N1800" s="224"/>
      <c r="O1800" s="2628" t="s">
        <v>6395</v>
      </c>
      <c r="P1800" s="1">
        <v>986</v>
      </c>
      <c r="T1800" s="224"/>
      <c r="U1800" s="34" t="s">
        <v>25</v>
      </c>
      <c r="V1800" s="475"/>
      <c r="W1800" s="224"/>
      <c r="X1800" s="224"/>
    </row>
    <row r="1801" spans="1:24" x14ac:dyDescent="0.3">
      <c r="A1801" s="2652">
        <v>987</v>
      </c>
      <c r="B1801" s="1122" t="s">
        <v>2168</v>
      </c>
      <c r="C1801" s="216" t="s">
        <v>1344</v>
      </c>
      <c r="D1801" s="416" t="s">
        <v>968</v>
      </c>
      <c r="E1801" s="217" t="s">
        <v>2249</v>
      </c>
      <c r="F1801" s="218" t="s">
        <v>2170</v>
      </c>
      <c r="G1801" s="116">
        <v>8400</v>
      </c>
      <c r="H1801" s="1776" t="s">
        <v>1349</v>
      </c>
      <c r="J1801" s="224"/>
      <c r="K1801" s="34" t="s">
        <v>25</v>
      </c>
      <c r="L1801" s="475"/>
      <c r="M1801" s="224"/>
      <c r="N1801" s="224"/>
      <c r="O1801" s="2628" t="s">
        <v>6395</v>
      </c>
      <c r="P1801" s="1">
        <v>987</v>
      </c>
      <c r="T1801" s="224"/>
      <c r="U1801" s="34" t="s">
        <v>25</v>
      </c>
      <c r="V1801" s="475"/>
      <c r="W1801" s="224"/>
      <c r="X1801" s="224"/>
    </row>
    <row r="1802" spans="1:24" x14ac:dyDescent="0.3">
      <c r="A1802" s="2651">
        <v>988</v>
      </c>
      <c r="B1802" s="1122" t="s">
        <v>2168</v>
      </c>
      <c r="C1802" s="216" t="s">
        <v>1344</v>
      </c>
      <c r="D1802" s="416" t="s">
        <v>968</v>
      </c>
      <c r="E1802" s="217" t="s">
        <v>2250</v>
      </c>
      <c r="F1802" s="218" t="s">
        <v>2170</v>
      </c>
      <c r="G1802" s="116">
        <v>8400</v>
      </c>
      <c r="H1802" s="1776" t="s">
        <v>1349</v>
      </c>
      <c r="J1802" s="224"/>
      <c r="K1802" s="34" t="s">
        <v>25</v>
      </c>
      <c r="L1802" s="475"/>
      <c r="M1802" s="224"/>
      <c r="N1802" s="224"/>
      <c r="O1802" s="2628" t="s">
        <v>6395</v>
      </c>
      <c r="P1802" s="1">
        <v>988</v>
      </c>
      <c r="T1802" s="224"/>
      <c r="U1802" s="34" t="s">
        <v>25</v>
      </c>
      <c r="V1802" s="475"/>
      <c r="W1802" s="224"/>
      <c r="X1802" s="224"/>
    </row>
    <row r="1803" spans="1:24" x14ac:dyDescent="0.3">
      <c r="A1803" s="2651">
        <v>989</v>
      </c>
      <c r="B1803" s="1122" t="s">
        <v>2168</v>
      </c>
      <c r="C1803" s="216" t="s">
        <v>1344</v>
      </c>
      <c r="D1803" s="416" t="s">
        <v>968</v>
      </c>
      <c r="E1803" s="217" t="s">
        <v>2251</v>
      </c>
      <c r="F1803" s="218" t="s">
        <v>2170</v>
      </c>
      <c r="G1803" s="116">
        <v>8400</v>
      </c>
      <c r="H1803" s="1776" t="s">
        <v>1349</v>
      </c>
      <c r="J1803" s="224"/>
      <c r="K1803" s="34" t="s">
        <v>25</v>
      </c>
      <c r="L1803" s="475"/>
      <c r="M1803" s="224"/>
      <c r="N1803" s="224"/>
      <c r="O1803" s="2628" t="s">
        <v>6395</v>
      </c>
      <c r="P1803" s="1">
        <v>989</v>
      </c>
      <c r="T1803" s="224"/>
      <c r="U1803" s="34" t="s">
        <v>25</v>
      </c>
      <c r="V1803" s="475"/>
      <c r="W1803" s="224"/>
      <c r="X1803" s="224"/>
    </row>
    <row r="1804" spans="1:24" x14ac:dyDescent="0.3">
      <c r="A1804" s="2652">
        <v>990</v>
      </c>
      <c r="B1804" s="1122" t="s">
        <v>2168</v>
      </c>
      <c r="C1804" s="216" t="s">
        <v>1344</v>
      </c>
      <c r="D1804" s="416" t="s">
        <v>968</v>
      </c>
      <c r="E1804" s="217" t="s">
        <v>2252</v>
      </c>
      <c r="F1804" s="218" t="s">
        <v>2170</v>
      </c>
      <c r="G1804" s="116">
        <v>8400</v>
      </c>
      <c r="H1804" s="1776" t="s">
        <v>1349</v>
      </c>
      <c r="J1804" s="224"/>
      <c r="K1804" s="34" t="s">
        <v>25</v>
      </c>
      <c r="L1804" s="475"/>
      <c r="M1804" s="224"/>
      <c r="N1804" s="224"/>
      <c r="O1804" s="2628" t="s">
        <v>6395</v>
      </c>
      <c r="P1804" s="1">
        <v>990</v>
      </c>
      <c r="T1804" s="224"/>
      <c r="U1804" s="34" t="s">
        <v>25</v>
      </c>
      <c r="V1804" s="475"/>
      <c r="W1804" s="224"/>
      <c r="X1804" s="224"/>
    </row>
    <row r="1805" spans="1:24" x14ac:dyDescent="0.3">
      <c r="A1805" s="2651">
        <v>991</v>
      </c>
      <c r="B1805" s="1122" t="s">
        <v>2168</v>
      </c>
      <c r="C1805" s="216" t="s">
        <v>1344</v>
      </c>
      <c r="D1805" s="452" t="s">
        <v>968</v>
      </c>
      <c r="E1805" s="217" t="s">
        <v>2253</v>
      </c>
      <c r="F1805" s="218" t="s">
        <v>2170</v>
      </c>
      <c r="G1805" s="116">
        <v>8400</v>
      </c>
      <c r="H1805" s="1776" t="s">
        <v>1349</v>
      </c>
      <c r="J1805" s="224"/>
      <c r="K1805" s="34" t="s">
        <v>25</v>
      </c>
      <c r="L1805" s="475"/>
      <c r="M1805" s="224"/>
      <c r="N1805" s="224"/>
      <c r="O1805" s="2628" t="s">
        <v>6395</v>
      </c>
      <c r="P1805" s="1">
        <v>991</v>
      </c>
      <c r="T1805" s="224"/>
      <c r="U1805" s="34" t="s">
        <v>25</v>
      </c>
      <c r="V1805" s="475"/>
      <c r="W1805" s="224"/>
      <c r="X1805" s="224"/>
    </row>
    <row r="1806" spans="1:24" x14ac:dyDescent="0.3">
      <c r="A1806" s="2651">
        <v>992</v>
      </c>
      <c r="B1806" s="1122" t="s">
        <v>2168</v>
      </c>
      <c r="C1806" s="216" t="s">
        <v>1344</v>
      </c>
      <c r="D1806" s="495" t="s">
        <v>968</v>
      </c>
      <c r="E1806" s="217" t="s">
        <v>2254</v>
      </c>
      <c r="F1806" s="218" t="s">
        <v>2170</v>
      </c>
      <c r="G1806" s="116">
        <v>8400</v>
      </c>
      <c r="H1806" s="1776" t="s">
        <v>1349</v>
      </c>
      <c r="J1806" s="224"/>
      <c r="K1806" s="34" t="s">
        <v>25</v>
      </c>
      <c r="L1806" s="475"/>
      <c r="M1806" s="224"/>
      <c r="N1806" s="224"/>
      <c r="O1806" s="2628" t="s">
        <v>6395</v>
      </c>
      <c r="P1806" s="1">
        <v>992</v>
      </c>
      <c r="T1806" s="224"/>
      <c r="U1806" s="34" t="s">
        <v>25</v>
      </c>
      <c r="V1806" s="475"/>
      <c r="W1806" s="224"/>
      <c r="X1806" s="224"/>
    </row>
    <row r="1807" spans="1:24" x14ac:dyDescent="0.3">
      <c r="A1807" s="2652">
        <v>993</v>
      </c>
      <c r="B1807" s="1122" t="s">
        <v>2168</v>
      </c>
      <c r="C1807" s="216" t="s">
        <v>1344</v>
      </c>
      <c r="D1807" s="793" t="s">
        <v>968</v>
      </c>
      <c r="E1807" s="217" t="s">
        <v>2255</v>
      </c>
      <c r="F1807" s="218" t="s">
        <v>2170</v>
      </c>
      <c r="G1807" s="116">
        <v>8400</v>
      </c>
      <c r="H1807" s="1776" t="s">
        <v>1349</v>
      </c>
      <c r="J1807" s="224"/>
      <c r="K1807" s="34" t="s">
        <v>25</v>
      </c>
      <c r="L1807" s="475"/>
      <c r="M1807" s="224"/>
      <c r="N1807" s="224"/>
      <c r="O1807" s="2628" t="s">
        <v>6395</v>
      </c>
      <c r="P1807" s="1">
        <v>993</v>
      </c>
      <c r="T1807" s="224"/>
      <c r="U1807" s="34" t="s">
        <v>25</v>
      </c>
      <c r="V1807" s="475"/>
      <c r="W1807" s="224"/>
      <c r="X1807" s="224"/>
    </row>
    <row r="1808" spans="1:24" x14ac:dyDescent="0.3">
      <c r="A1808" s="2651">
        <v>994</v>
      </c>
      <c r="B1808" s="1122" t="s">
        <v>2168</v>
      </c>
      <c r="C1808" s="216" t="s">
        <v>1344</v>
      </c>
      <c r="D1808" s="416" t="s">
        <v>968</v>
      </c>
      <c r="E1808" s="217" t="s">
        <v>2256</v>
      </c>
      <c r="F1808" s="218" t="s">
        <v>2170</v>
      </c>
      <c r="G1808" s="116">
        <v>8400</v>
      </c>
      <c r="H1808" s="1776" t="s">
        <v>1349</v>
      </c>
      <c r="J1808" s="224"/>
      <c r="K1808" s="34" t="s">
        <v>25</v>
      </c>
      <c r="L1808" s="475"/>
      <c r="M1808" s="224"/>
      <c r="N1808" s="224"/>
      <c r="O1808" s="2628" t="s">
        <v>6395</v>
      </c>
      <c r="P1808" s="1">
        <v>994</v>
      </c>
      <c r="T1808" s="224"/>
      <c r="U1808" s="34" t="s">
        <v>25</v>
      </c>
      <c r="V1808" s="475"/>
      <c r="W1808" s="224"/>
      <c r="X1808" s="224"/>
    </row>
    <row r="1809" spans="1:24" x14ac:dyDescent="0.3">
      <c r="A1809" s="2651">
        <v>995</v>
      </c>
      <c r="B1809" s="1122" t="s">
        <v>2168</v>
      </c>
      <c r="C1809" s="216" t="s">
        <v>1344</v>
      </c>
      <c r="D1809" s="416" t="s">
        <v>968</v>
      </c>
      <c r="E1809" s="217" t="s">
        <v>2257</v>
      </c>
      <c r="F1809" s="218" t="s">
        <v>2170</v>
      </c>
      <c r="G1809" s="116">
        <v>8400</v>
      </c>
      <c r="H1809" s="1776" t="s">
        <v>1349</v>
      </c>
      <c r="J1809" s="224"/>
      <c r="K1809" s="34" t="s">
        <v>25</v>
      </c>
      <c r="L1809" s="475"/>
      <c r="M1809" s="224"/>
      <c r="N1809" s="224"/>
      <c r="O1809" s="2628" t="s">
        <v>6395</v>
      </c>
      <c r="P1809" s="1">
        <v>995</v>
      </c>
      <c r="T1809" s="224"/>
      <c r="U1809" s="34" t="s">
        <v>25</v>
      </c>
      <c r="V1809" s="475"/>
      <c r="W1809" s="224"/>
      <c r="X1809" s="224"/>
    </row>
    <row r="1810" spans="1:24" x14ac:dyDescent="0.3">
      <c r="A1810" s="2652">
        <v>996</v>
      </c>
      <c r="B1810" s="1122" t="s">
        <v>2168</v>
      </c>
      <c r="C1810" s="216" t="s">
        <v>1344</v>
      </c>
      <c r="D1810" s="416" t="s">
        <v>968</v>
      </c>
      <c r="E1810" s="217" t="s">
        <v>2258</v>
      </c>
      <c r="F1810" s="218" t="s">
        <v>2170</v>
      </c>
      <c r="G1810" s="116">
        <v>8400</v>
      </c>
      <c r="H1810" s="1776" t="s">
        <v>1349</v>
      </c>
      <c r="J1810" s="224"/>
      <c r="K1810" s="34" t="s">
        <v>25</v>
      </c>
      <c r="L1810" s="475"/>
      <c r="M1810" s="224"/>
      <c r="N1810" s="224"/>
      <c r="O1810" s="2628" t="s">
        <v>6395</v>
      </c>
      <c r="P1810" s="1">
        <v>996</v>
      </c>
      <c r="T1810" s="224"/>
      <c r="U1810" s="34" t="s">
        <v>25</v>
      </c>
      <c r="V1810" s="475"/>
      <c r="W1810" s="224"/>
      <c r="X1810" s="224"/>
    </row>
    <row r="1811" spans="1:24" x14ac:dyDescent="0.3">
      <c r="A1811" s="2651">
        <v>997</v>
      </c>
      <c r="B1811" s="1122" t="s">
        <v>2168</v>
      </c>
      <c r="C1811" s="216" t="s">
        <v>1344</v>
      </c>
      <c r="D1811" s="416" t="s">
        <v>968</v>
      </c>
      <c r="E1811" s="217" t="s">
        <v>2259</v>
      </c>
      <c r="F1811" s="218" t="s">
        <v>2170</v>
      </c>
      <c r="G1811" s="116">
        <v>8400</v>
      </c>
      <c r="H1811" s="1776" t="s">
        <v>1349</v>
      </c>
      <c r="J1811" s="224"/>
      <c r="K1811" s="34" t="s">
        <v>25</v>
      </c>
      <c r="L1811" s="475"/>
      <c r="M1811" s="224"/>
      <c r="N1811" s="224"/>
      <c r="O1811" s="2628" t="s">
        <v>6395</v>
      </c>
      <c r="P1811" s="1">
        <v>997</v>
      </c>
      <c r="T1811" s="224"/>
      <c r="U1811" s="34" t="s">
        <v>25</v>
      </c>
      <c r="V1811" s="475"/>
      <c r="W1811" s="224"/>
      <c r="X1811" s="224"/>
    </row>
    <row r="1812" spans="1:24" x14ac:dyDescent="0.3">
      <c r="A1812" s="2651">
        <v>998</v>
      </c>
      <c r="B1812" s="1122" t="s">
        <v>2168</v>
      </c>
      <c r="C1812" s="216" t="s">
        <v>1344</v>
      </c>
      <c r="D1812" s="416" t="s">
        <v>968</v>
      </c>
      <c r="E1812" s="217" t="s">
        <v>2260</v>
      </c>
      <c r="F1812" s="218" t="s">
        <v>2170</v>
      </c>
      <c r="G1812" s="116">
        <v>8400</v>
      </c>
      <c r="H1812" s="1776" t="s">
        <v>1349</v>
      </c>
      <c r="J1812" s="224"/>
      <c r="K1812" s="34" t="s">
        <v>25</v>
      </c>
      <c r="L1812" s="475"/>
      <c r="M1812" s="224"/>
      <c r="N1812" s="224"/>
      <c r="O1812" s="2628" t="s">
        <v>6395</v>
      </c>
      <c r="P1812" s="1">
        <v>998</v>
      </c>
      <c r="T1812" s="224"/>
      <c r="U1812" s="34" t="s">
        <v>25</v>
      </c>
      <c r="V1812" s="475"/>
      <c r="W1812" s="224"/>
      <c r="X1812" s="224"/>
    </row>
    <row r="1813" spans="1:24" x14ac:dyDescent="0.3">
      <c r="A1813" s="2652">
        <v>999</v>
      </c>
      <c r="B1813" s="1122" t="s">
        <v>2168</v>
      </c>
      <c r="C1813" s="216" t="s">
        <v>1344</v>
      </c>
      <c r="D1813" s="416" t="s">
        <v>968</v>
      </c>
      <c r="E1813" s="217" t="s">
        <v>2261</v>
      </c>
      <c r="F1813" s="218" t="s">
        <v>2170</v>
      </c>
      <c r="G1813" s="116">
        <v>8400</v>
      </c>
      <c r="H1813" s="1776" t="s">
        <v>1349</v>
      </c>
      <c r="J1813" s="224"/>
      <c r="K1813" s="34" t="s">
        <v>25</v>
      </c>
      <c r="L1813" s="475"/>
      <c r="M1813" s="224"/>
      <c r="N1813" s="224"/>
      <c r="O1813" s="2628" t="s">
        <v>6395</v>
      </c>
      <c r="P1813" s="1">
        <v>999</v>
      </c>
      <c r="T1813" s="224"/>
      <c r="U1813" s="34" t="s">
        <v>25</v>
      </c>
      <c r="V1813" s="475"/>
      <c r="W1813" s="224"/>
      <c r="X1813" s="224"/>
    </row>
    <row r="1814" spans="1:24" x14ac:dyDescent="0.3">
      <c r="A1814" s="2651">
        <v>1000</v>
      </c>
      <c r="B1814" s="1122" t="s">
        <v>2168</v>
      </c>
      <c r="C1814" s="216" t="s">
        <v>1344</v>
      </c>
      <c r="D1814" s="416" t="s">
        <v>968</v>
      </c>
      <c r="E1814" s="217" t="s">
        <v>2262</v>
      </c>
      <c r="F1814" s="218" t="s">
        <v>2170</v>
      </c>
      <c r="G1814" s="116">
        <v>8400</v>
      </c>
      <c r="H1814" s="1776" t="s">
        <v>1349</v>
      </c>
      <c r="J1814" s="224"/>
      <c r="K1814" s="34" t="s">
        <v>25</v>
      </c>
      <c r="L1814" s="475"/>
      <c r="M1814" s="224"/>
      <c r="N1814" s="224"/>
      <c r="O1814" s="2628" t="s">
        <v>6395</v>
      </c>
      <c r="P1814" s="1">
        <v>1000</v>
      </c>
      <c r="T1814" s="224"/>
      <c r="U1814" s="34" t="s">
        <v>25</v>
      </c>
      <c r="V1814" s="475"/>
      <c r="W1814" s="224"/>
      <c r="X1814" s="224"/>
    </row>
    <row r="1815" spans="1:24" x14ac:dyDescent="0.3">
      <c r="A1815" s="2651">
        <v>1001</v>
      </c>
      <c r="B1815" s="1122" t="s">
        <v>2168</v>
      </c>
      <c r="C1815" s="216" t="s">
        <v>1344</v>
      </c>
      <c r="D1815" s="416" t="s">
        <v>968</v>
      </c>
      <c r="E1815" s="217" t="s">
        <v>2263</v>
      </c>
      <c r="F1815" s="218" t="s">
        <v>2170</v>
      </c>
      <c r="G1815" s="116">
        <v>8400</v>
      </c>
      <c r="H1815" s="1776" t="s">
        <v>1349</v>
      </c>
      <c r="J1815" s="224"/>
      <c r="K1815" s="34" t="s">
        <v>25</v>
      </c>
      <c r="L1815" s="475"/>
      <c r="M1815" s="224"/>
      <c r="N1815" s="224"/>
      <c r="O1815" s="2628" t="s">
        <v>6395</v>
      </c>
      <c r="P1815" s="1">
        <v>1001</v>
      </c>
      <c r="T1815" s="224"/>
      <c r="U1815" s="34" t="s">
        <v>25</v>
      </c>
      <c r="V1815" s="475"/>
      <c r="W1815" s="224"/>
      <c r="X1815" s="224"/>
    </row>
    <row r="1816" spans="1:24" x14ac:dyDescent="0.3">
      <c r="A1816" s="2652">
        <v>1002</v>
      </c>
      <c r="B1816" s="1122" t="s">
        <v>2168</v>
      </c>
      <c r="C1816" s="216" t="s">
        <v>1344</v>
      </c>
      <c r="D1816" s="416" t="s">
        <v>968</v>
      </c>
      <c r="E1816" s="217" t="s">
        <v>2264</v>
      </c>
      <c r="F1816" s="218" t="s">
        <v>2170</v>
      </c>
      <c r="G1816" s="116">
        <v>8400</v>
      </c>
      <c r="H1816" s="1776" t="s">
        <v>1349</v>
      </c>
      <c r="J1816" s="224"/>
      <c r="K1816" s="34" t="s">
        <v>25</v>
      </c>
      <c r="L1816" s="475"/>
      <c r="M1816" s="224"/>
      <c r="N1816" s="224"/>
      <c r="O1816" s="2628" t="s">
        <v>6395</v>
      </c>
      <c r="P1816" s="1">
        <v>1002</v>
      </c>
      <c r="T1816" s="224"/>
      <c r="U1816" s="34" t="s">
        <v>25</v>
      </c>
      <c r="V1816" s="475"/>
      <c r="W1816" s="224"/>
      <c r="X1816" s="224"/>
    </row>
    <row r="1817" spans="1:24" x14ac:dyDescent="0.3">
      <c r="A1817" s="2651">
        <v>1003</v>
      </c>
      <c r="B1817" s="1122" t="s">
        <v>2168</v>
      </c>
      <c r="C1817" s="216" t="s">
        <v>1344</v>
      </c>
      <c r="D1817" s="452" t="s">
        <v>968</v>
      </c>
      <c r="E1817" s="217" t="s">
        <v>2265</v>
      </c>
      <c r="F1817" s="218" t="s">
        <v>2170</v>
      </c>
      <c r="G1817" s="116">
        <v>8400</v>
      </c>
      <c r="H1817" s="1776" t="s">
        <v>1349</v>
      </c>
      <c r="J1817" s="224"/>
      <c r="K1817" s="34" t="s">
        <v>25</v>
      </c>
      <c r="L1817" s="475"/>
      <c r="M1817" s="224"/>
      <c r="N1817" s="224"/>
      <c r="O1817" s="2628" t="s">
        <v>6395</v>
      </c>
      <c r="P1817" s="1">
        <v>1003</v>
      </c>
      <c r="T1817" s="224"/>
      <c r="U1817" s="34" t="s">
        <v>25</v>
      </c>
      <c r="V1817" s="475"/>
      <c r="W1817" s="224"/>
      <c r="X1817" s="224"/>
    </row>
    <row r="1818" spans="1:24" x14ac:dyDescent="0.3">
      <c r="A1818" s="2651">
        <v>1004</v>
      </c>
      <c r="B1818" s="1122" t="s">
        <v>2168</v>
      </c>
      <c r="C1818" s="216" t="s">
        <v>1344</v>
      </c>
      <c r="D1818" s="495" t="s">
        <v>968</v>
      </c>
      <c r="E1818" s="217" t="s">
        <v>2266</v>
      </c>
      <c r="F1818" s="218" t="s">
        <v>2170</v>
      </c>
      <c r="G1818" s="116">
        <v>8400</v>
      </c>
      <c r="H1818" s="1776" t="s">
        <v>1349</v>
      </c>
      <c r="J1818" s="224"/>
      <c r="K1818" s="34" t="s">
        <v>25</v>
      </c>
      <c r="L1818" s="475"/>
      <c r="M1818" s="224"/>
      <c r="N1818" s="224"/>
      <c r="O1818" s="2628" t="s">
        <v>6395</v>
      </c>
      <c r="P1818" s="1">
        <v>1004</v>
      </c>
      <c r="T1818" s="224"/>
      <c r="U1818" s="34" t="s">
        <v>25</v>
      </c>
      <c r="V1818" s="475"/>
      <c r="W1818" s="224"/>
      <c r="X1818" s="224"/>
    </row>
    <row r="1819" spans="1:24" x14ac:dyDescent="0.3">
      <c r="A1819" s="2652">
        <v>1005</v>
      </c>
      <c r="B1819" s="1122" t="s">
        <v>2168</v>
      </c>
      <c r="C1819" s="216" t="s">
        <v>1344</v>
      </c>
      <c r="D1819" s="793" t="s">
        <v>968</v>
      </c>
      <c r="E1819" s="217" t="s">
        <v>2267</v>
      </c>
      <c r="F1819" s="218" t="s">
        <v>2170</v>
      </c>
      <c r="G1819" s="116">
        <v>8400</v>
      </c>
      <c r="H1819" s="1776" t="s">
        <v>1349</v>
      </c>
      <c r="J1819" s="224"/>
      <c r="K1819" s="34" t="s">
        <v>25</v>
      </c>
      <c r="L1819" s="475"/>
      <c r="M1819" s="224"/>
      <c r="N1819" s="224"/>
      <c r="O1819" s="2628" t="s">
        <v>6395</v>
      </c>
      <c r="P1819" s="1">
        <v>1005</v>
      </c>
      <c r="T1819" s="224"/>
      <c r="U1819" s="34" t="s">
        <v>25</v>
      </c>
      <c r="V1819" s="475"/>
      <c r="W1819" s="224"/>
      <c r="X1819" s="224"/>
    </row>
    <row r="1820" spans="1:24" x14ac:dyDescent="0.3">
      <c r="A1820" s="2651">
        <v>1006</v>
      </c>
      <c r="B1820" s="1122" t="s">
        <v>2168</v>
      </c>
      <c r="C1820" s="216" t="s">
        <v>1344</v>
      </c>
      <c r="D1820" s="416" t="s">
        <v>968</v>
      </c>
      <c r="E1820" s="217" t="s">
        <v>2268</v>
      </c>
      <c r="F1820" s="218" t="s">
        <v>2170</v>
      </c>
      <c r="G1820" s="116">
        <v>8400</v>
      </c>
      <c r="H1820" s="1776" t="s">
        <v>1349</v>
      </c>
      <c r="J1820" s="224"/>
      <c r="K1820" s="34" t="s">
        <v>25</v>
      </c>
      <c r="L1820" s="475"/>
      <c r="M1820" s="224"/>
      <c r="N1820" s="224"/>
      <c r="O1820" s="2628" t="s">
        <v>6395</v>
      </c>
      <c r="P1820" s="1">
        <v>1006</v>
      </c>
      <c r="T1820" s="224"/>
      <c r="U1820" s="34" t="s">
        <v>25</v>
      </c>
      <c r="V1820" s="475"/>
      <c r="W1820" s="224"/>
      <c r="X1820" s="224"/>
    </row>
    <row r="1821" spans="1:24" x14ac:dyDescent="0.3">
      <c r="A1821" s="2651">
        <v>1007</v>
      </c>
      <c r="B1821" s="1122" t="s">
        <v>2168</v>
      </c>
      <c r="C1821" s="216" t="s">
        <v>1344</v>
      </c>
      <c r="D1821" s="416" t="s">
        <v>968</v>
      </c>
      <c r="E1821" s="217" t="s">
        <v>2269</v>
      </c>
      <c r="F1821" s="218" t="s">
        <v>2170</v>
      </c>
      <c r="G1821" s="116">
        <v>8400</v>
      </c>
      <c r="H1821" s="1776" t="s">
        <v>1349</v>
      </c>
      <c r="J1821" s="224"/>
      <c r="K1821" s="34" t="s">
        <v>25</v>
      </c>
      <c r="L1821" s="475"/>
      <c r="M1821" s="224"/>
      <c r="N1821" s="224"/>
      <c r="O1821" s="2628" t="s">
        <v>6395</v>
      </c>
      <c r="P1821" s="1">
        <v>1007</v>
      </c>
      <c r="T1821" s="224"/>
      <c r="U1821" s="34" t="s">
        <v>25</v>
      </c>
      <c r="V1821" s="475"/>
      <c r="W1821" s="224"/>
      <c r="X1821" s="224"/>
    </row>
    <row r="1822" spans="1:24" x14ac:dyDescent="0.3">
      <c r="A1822" s="2652">
        <v>1008</v>
      </c>
      <c r="B1822" s="1122" t="s">
        <v>2168</v>
      </c>
      <c r="C1822" s="216" t="s">
        <v>1344</v>
      </c>
      <c r="D1822" s="416" t="s">
        <v>968</v>
      </c>
      <c r="E1822" s="217" t="s">
        <v>2270</v>
      </c>
      <c r="F1822" s="218" t="s">
        <v>2170</v>
      </c>
      <c r="G1822" s="116">
        <v>8400</v>
      </c>
      <c r="H1822" s="1776" t="s">
        <v>1349</v>
      </c>
      <c r="J1822" s="224"/>
      <c r="K1822" s="34" t="s">
        <v>25</v>
      </c>
      <c r="L1822" s="475"/>
      <c r="M1822" s="224"/>
      <c r="N1822" s="224"/>
      <c r="O1822" s="2628" t="s">
        <v>6395</v>
      </c>
      <c r="P1822" s="1">
        <v>1008</v>
      </c>
      <c r="T1822" s="224"/>
      <c r="U1822" s="34" t="s">
        <v>25</v>
      </c>
      <c r="V1822" s="475"/>
      <c r="W1822" s="224"/>
      <c r="X1822" s="224"/>
    </row>
    <row r="1823" spans="1:24" x14ac:dyDescent="0.3">
      <c r="A1823" s="2651">
        <v>1009</v>
      </c>
      <c r="B1823" s="1122" t="s">
        <v>2168</v>
      </c>
      <c r="C1823" s="216" t="s">
        <v>1344</v>
      </c>
      <c r="D1823" s="416" t="s">
        <v>968</v>
      </c>
      <c r="E1823" s="217" t="s">
        <v>2271</v>
      </c>
      <c r="F1823" s="218" t="s">
        <v>2170</v>
      </c>
      <c r="G1823" s="116">
        <v>8400</v>
      </c>
      <c r="H1823" s="1776" t="s">
        <v>1349</v>
      </c>
      <c r="J1823" s="224"/>
      <c r="K1823" s="34" t="s">
        <v>25</v>
      </c>
      <c r="L1823" s="475"/>
      <c r="M1823" s="224"/>
      <c r="N1823" s="224"/>
      <c r="O1823" s="2628" t="s">
        <v>6395</v>
      </c>
      <c r="P1823" s="1">
        <v>1009</v>
      </c>
      <c r="T1823" s="224"/>
      <c r="U1823" s="34" t="s">
        <v>25</v>
      </c>
      <c r="V1823" s="475"/>
      <c r="W1823" s="224"/>
      <c r="X1823" s="224"/>
    </row>
    <row r="1824" spans="1:24" x14ac:dyDescent="0.3">
      <c r="A1824" s="2651">
        <v>1010</v>
      </c>
      <c r="B1824" s="1122" t="s">
        <v>2168</v>
      </c>
      <c r="C1824" s="216" t="s">
        <v>1344</v>
      </c>
      <c r="D1824" s="416" t="s">
        <v>968</v>
      </c>
      <c r="E1824" s="217" t="s">
        <v>2272</v>
      </c>
      <c r="F1824" s="218" t="s">
        <v>2170</v>
      </c>
      <c r="G1824" s="116">
        <v>8400</v>
      </c>
      <c r="H1824" s="1776" t="s">
        <v>1349</v>
      </c>
      <c r="J1824" s="224"/>
      <c r="K1824" s="34" t="s">
        <v>25</v>
      </c>
      <c r="L1824" s="475"/>
      <c r="M1824" s="224"/>
      <c r="N1824" s="224"/>
      <c r="O1824" s="2628" t="s">
        <v>6395</v>
      </c>
      <c r="P1824" s="1">
        <v>1010</v>
      </c>
      <c r="T1824" s="224"/>
      <c r="U1824" s="34" t="s">
        <v>25</v>
      </c>
      <c r="V1824" s="475"/>
      <c r="W1824" s="224"/>
      <c r="X1824" s="224"/>
    </row>
    <row r="1825" spans="1:24" x14ac:dyDescent="0.3">
      <c r="A1825" s="2652">
        <v>1011</v>
      </c>
      <c r="B1825" s="1122" t="s">
        <v>2168</v>
      </c>
      <c r="C1825" s="216" t="s">
        <v>1344</v>
      </c>
      <c r="D1825" s="416" t="s">
        <v>968</v>
      </c>
      <c r="E1825" s="217" t="s">
        <v>2273</v>
      </c>
      <c r="F1825" s="218" t="s">
        <v>2170</v>
      </c>
      <c r="G1825" s="116">
        <v>8400</v>
      </c>
      <c r="H1825" s="1776" t="s">
        <v>1349</v>
      </c>
      <c r="J1825" s="224"/>
      <c r="K1825" s="34" t="s">
        <v>25</v>
      </c>
      <c r="L1825" s="475"/>
      <c r="M1825" s="224"/>
      <c r="N1825" s="224"/>
      <c r="O1825" s="2628" t="s">
        <v>6395</v>
      </c>
      <c r="P1825" s="1">
        <v>1011</v>
      </c>
      <c r="T1825" s="224"/>
      <c r="U1825" s="34" t="s">
        <v>25</v>
      </c>
      <c r="V1825" s="475"/>
      <c r="W1825" s="224"/>
      <c r="X1825" s="224"/>
    </row>
    <row r="1826" spans="1:24" x14ac:dyDescent="0.3">
      <c r="A1826" s="2651">
        <v>1012</v>
      </c>
      <c r="B1826" s="1122" t="s">
        <v>2168</v>
      </c>
      <c r="C1826" s="216" t="s">
        <v>1344</v>
      </c>
      <c r="D1826" s="416" t="s">
        <v>968</v>
      </c>
      <c r="E1826" s="217" t="s">
        <v>2274</v>
      </c>
      <c r="F1826" s="218" t="s">
        <v>2170</v>
      </c>
      <c r="G1826" s="116">
        <v>8400</v>
      </c>
      <c r="H1826" s="1776" t="s">
        <v>1349</v>
      </c>
      <c r="J1826" s="224"/>
      <c r="K1826" s="34" t="s">
        <v>25</v>
      </c>
      <c r="L1826" s="475"/>
      <c r="M1826" s="224"/>
      <c r="N1826" s="224"/>
      <c r="O1826" s="2628" t="s">
        <v>6395</v>
      </c>
      <c r="P1826" s="1">
        <v>1012</v>
      </c>
      <c r="T1826" s="224"/>
      <c r="U1826" s="34" t="s">
        <v>25</v>
      </c>
      <c r="V1826" s="475"/>
      <c r="W1826" s="224"/>
      <c r="X1826" s="224"/>
    </row>
    <row r="1827" spans="1:24" x14ac:dyDescent="0.3">
      <c r="A1827" s="2651">
        <v>1013</v>
      </c>
      <c r="B1827" s="1122" t="s">
        <v>2168</v>
      </c>
      <c r="C1827" s="216" t="s">
        <v>1344</v>
      </c>
      <c r="D1827" s="416" t="s">
        <v>968</v>
      </c>
      <c r="E1827" s="217" t="s">
        <v>2275</v>
      </c>
      <c r="F1827" s="218" t="s">
        <v>2170</v>
      </c>
      <c r="G1827" s="116">
        <v>8400</v>
      </c>
      <c r="H1827" s="1776" t="s">
        <v>1349</v>
      </c>
      <c r="J1827" s="224"/>
      <c r="K1827" s="34" t="s">
        <v>25</v>
      </c>
      <c r="L1827" s="475"/>
      <c r="M1827" s="224"/>
      <c r="N1827" s="224"/>
      <c r="O1827" s="2628" t="s">
        <v>6395</v>
      </c>
      <c r="P1827" s="1">
        <v>1013</v>
      </c>
      <c r="T1827" s="224"/>
      <c r="U1827" s="34" t="s">
        <v>25</v>
      </c>
      <c r="V1827" s="475"/>
      <c r="W1827" s="224"/>
      <c r="X1827" s="224"/>
    </row>
    <row r="1828" spans="1:24" x14ac:dyDescent="0.3">
      <c r="A1828" s="2652">
        <v>1014</v>
      </c>
      <c r="B1828" s="1122" t="s">
        <v>2168</v>
      </c>
      <c r="C1828" s="216" t="s">
        <v>1344</v>
      </c>
      <c r="D1828" s="452" t="s">
        <v>968</v>
      </c>
      <c r="E1828" s="217" t="s">
        <v>2276</v>
      </c>
      <c r="F1828" s="218" t="s">
        <v>2170</v>
      </c>
      <c r="G1828" s="116">
        <v>8400</v>
      </c>
      <c r="H1828" s="1776" t="s">
        <v>1349</v>
      </c>
      <c r="J1828" s="224"/>
      <c r="K1828" s="34" t="s">
        <v>25</v>
      </c>
      <c r="L1828" s="475"/>
      <c r="M1828" s="224"/>
      <c r="N1828" s="224"/>
      <c r="O1828" s="2628" t="s">
        <v>6395</v>
      </c>
      <c r="P1828" s="1">
        <v>1014</v>
      </c>
      <c r="T1828" s="224"/>
      <c r="U1828" s="34" t="s">
        <v>25</v>
      </c>
      <c r="V1828" s="475"/>
      <c r="W1828" s="224"/>
      <c r="X1828" s="224"/>
    </row>
    <row r="1829" spans="1:24" x14ac:dyDescent="0.3">
      <c r="A1829" s="2651">
        <v>1015</v>
      </c>
      <c r="B1829" s="1122" t="s">
        <v>2168</v>
      </c>
      <c r="C1829" s="1117" t="s">
        <v>1344</v>
      </c>
      <c r="D1829" s="495" t="s">
        <v>968</v>
      </c>
      <c r="E1829" s="217" t="s">
        <v>2277</v>
      </c>
      <c r="F1829" s="218" t="s">
        <v>2170</v>
      </c>
      <c r="G1829" s="116">
        <v>8400</v>
      </c>
      <c r="H1829" s="1776" t="s">
        <v>1349</v>
      </c>
      <c r="J1829" s="224"/>
      <c r="K1829" s="34" t="s">
        <v>25</v>
      </c>
      <c r="L1829" s="475"/>
      <c r="M1829" s="224"/>
      <c r="N1829" s="224"/>
      <c r="O1829" s="2628" t="s">
        <v>6395</v>
      </c>
      <c r="P1829" s="1">
        <v>1015</v>
      </c>
      <c r="T1829" s="224"/>
      <c r="U1829" s="34" t="s">
        <v>25</v>
      </c>
      <c r="V1829" s="475"/>
      <c r="W1829" s="224"/>
      <c r="X1829" s="224"/>
    </row>
    <row r="1830" spans="1:24" x14ac:dyDescent="0.3">
      <c r="A1830" s="2651">
        <v>1016</v>
      </c>
      <c r="B1830" s="1122" t="s">
        <v>2168</v>
      </c>
      <c r="C1830" s="1117" t="s">
        <v>1344</v>
      </c>
      <c r="D1830" s="793" t="s">
        <v>968</v>
      </c>
      <c r="E1830" s="217" t="s">
        <v>2278</v>
      </c>
      <c r="F1830" s="218" t="s">
        <v>2170</v>
      </c>
      <c r="G1830" s="116">
        <v>8400</v>
      </c>
      <c r="H1830" s="1776" t="s">
        <v>1349</v>
      </c>
      <c r="J1830" s="224"/>
      <c r="K1830" s="34" t="s">
        <v>25</v>
      </c>
      <c r="L1830" s="475"/>
      <c r="M1830" s="224"/>
      <c r="N1830" s="224"/>
      <c r="O1830" s="2628" t="s">
        <v>6395</v>
      </c>
      <c r="P1830" s="1">
        <v>1016</v>
      </c>
      <c r="T1830" s="224"/>
      <c r="U1830" s="34" t="s">
        <v>25</v>
      </c>
      <c r="V1830" s="475"/>
      <c r="W1830" s="224"/>
      <c r="X1830" s="224"/>
    </row>
    <row r="1831" spans="1:24" x14ac:dyDescent="0.3">
      <c r="A1831" s="2652">
        <v>1017</v>
      </c>
      <c r="B1831" s="1122" t="s">
        <v>2168</v>
      </c>
      <c r="C1831" s="1117" t="s">
        <v>1344</v>
      </c>
      <c r="D1831" s="416" t="s">
        <v>968</v>
      </c>
      <c r="E1831" s="217" t="s">
        <v>2279</v>
      </c>
      <c r="F1831" s="218" t="s">
        <v>2170</v>
      </c>
      <c r="G1831" s="116">
        <v>8400</v>
      </c>
      <c r="H1831" s="1776" t="s">
        <v>1349</v>
      </c>
      <c r="J1831" s="224"/>
      <c r="K1831" s="34" t="s">
        <v>25</v>
      </c>
      <c r="L1831" s="475"/>
      <c r="M1831" s="224"/>
      <c r="N1831" s="224"/>
      <c r="O1831" s="2628" t="s">
        <v>6395</v>
      </c>
      <c r="P1831" s="1">
        <v>1017</v>
      </c>
      <c r="T1831" s="224"/>
      <c r="U1831" s="34" t="s">
        <v>25</v>
      </c>
      <c r="V1831" s="475"/>
      <c r="W1831" s="224"/>
      <c r="X1831" s="224"/>
    </row>
    <row r="1832" spans="1:24" x14ac:dyDescent="0.3">
      <c r="A1832" s="2651">
        <v>1018</v>
      </c>
      <c r="B1832" s="1122" t="s">
        <v>2168</v>
      </c>
      <c r="C1832" s="1117" t="s">
        <v>1344</v>
      </c>
      <c r="D1832" s="416" t="s">
        <v>968</v>
      </c>
      <c r="E1832" s="217" t="s">
        <v>2280</v>
      </c>
      <c r="F1832" s="218" t="s">
        <v>2170</v>
      </c>
      <c r="G1832" s="116">
        <v>8400</v>
      </c>
      <c r="H1832" s="1776" t="s">
        <v>1349</v>
      </c>
      <c r="J1832" s="224"/>
      <c r="K1832" s="34" t="s">
        <v>25</v>
      </c>
      <c r="L1832" s="475"/>
      <c r="M1832" s="224"/>
      <c r="N1832" s="224"/>
      <c r="O1832" s="2628" t="s">
        <v>6395</v>
      </c>
      <c r="P1832" s="1">
        <v>1018</v>
      </c>
      <c r="T1832" s="224"/>
      <c r="U1832" s="34" t="s">
        <v>25</v>
      </c>
      <c r="V1832" s="475"/>
      <c r="W1832" s="224"/>
      <c r="X1832" s="224"/>
    </row>
    <row r="1833" spans="1:24" x14ac:dyDescent="0.3">
      <c r="A1833" s="2651">
        <v>1019</v>
      </c>
      <c r="B1833" s="1122" t="s">
        <v>2168</v>
      </c>
      <c r="C1833" s="1117" t="s">
        <v>1344</v>
      </c>
      <c r="D1833" s="416" t="s">
        <v>968</v>
      </c>
      <c r="E1833" s="217" t="s">
        <v>2281</v>
      </c>
      <c r="F1833" s="218" t="s">
        <v>2170</v>
      </c>
      <c r="G1833" s="116">
        <v>8400</v>
      </c>
      <c r="H1833" s="1776" t="s">
        <v>1349</v>
      </c>
      <c r="J1833" s="224"/>
      <c r="K1833" s="34" t="s">
        <v>25</v>
      </c>
      <c r="L1833" s="475"/>
      <c r="M1833" s="224"/>
      <c r="N1833" s="224"/>
      <c r="O1833" s="2628" t="s">
        <v>6395</v>
      </c>
      <c r="P1833" s="1">
        <v>1019</v>
      </c>
      <c r="T1833" s="224"/>
      <c r="U1833" s="34" t="s">
        <v>25</v>
      </c>
      <c r="V1833" s="475"/>
      <c r="W1833" s="224"/>
      <c r="X1833" s="224"/>
    </row>
    <row r="1834" spans="1:24" x14ac:dyDescent="0.3">
      <c r="A1834" s="2652">
        <v>1020</v>
      </c>
      <c r="B1834" s="1122" t="s">
        <v>2168</v>
      </c>
      <c r="C1834" s="1117" t="s">
        <v>1344</v>
      </c>
      <c r="D1834" s="416" t="s">
        <v>968</v>
      </c>
      <c r="E1834" s="217" t="s">
        <v>2282</v>
      </c>
      <c r="F1834" s="218" t="s">
        <v>2170</v>
      </c>
      <c r="G1834" s="116">
        <v>8400</v>
      </c>
      <c r="H1834" s="1776" t="s">
        <v>1349</v>
      </c>
      <c r="J1834" s="224"/>
      <c r="K1834" s="34" t="s">
        <v>25</v>
      </c>
      <c r="L1834" s="475"/>
      <c r="M1834" s="224"/>
      <c r="N1834" s="224"/>
      <c r="O1834" s="2628" t="s">
        <v>6395</v>
      </c>
      <c r="P1834" s="1">
        <v>1020</v>
      </c>
      <c r="T1834" s="224"/>
      <c r="U1834" s="34" t="s">
        <v>25</v>
      </c>
      <c r="V1834" s="475"/>
      <c r="W1834" s="224"/>
      <c r="X1834" s="224"/>
    </row>
    <row r="1835" spans="1:24" x14ac:dyDescent="0.3">
      <c r="A1835" s="2651">
        <v>1021</v>
      </c>
      <c r="B1835" s="1122" t="s">
        <v>2168</v>
      </c>
      <c r="C1835" s="1117" t="s">
        <v>1344</v>
      </c>
      <c r="D1835" s="416" t="s">
        <v>968</v>
      </c>
      <c r="E1835" s="217" t="s">
        <v>2283</v>
      </c>
      <c r="F1835" s="218" t="s">
        <v>2170</v>
      </c>
      <c r="G1835" s="116">
        <v>8400</v>
      </c>
      <c r="H1835" s="1776" t="s">
        <v>1349</v>
      </c>
      <c r="J1835" s="224"/>
      <c r="K1835" s="34" t="s">
        <v>25</v>
      </c>
      <c r="L1835" s="475"/>
      <c r="M1835" s="224"/>
      <c r="N1835" s="224"/>
      <c r="O1835" s="2628" t="s">
        <v>6395</v>
      </c>
      <c r="P1835" s="1">
        <v>1021</v>
      </c>
      <c r="T1835" s="224"/>
      <c r="U1835" s="34" t="s">
        <v>25</v>
      </c>
      <c r="V1835" s="475"/>
      <c r="W1835" s="224"/>
      <c r="X1835" s="224"/>
    </row>
    <row r="1836" spans="1:24" x14ac:dyDescent="0.3">
      <c r="A1836" s="2651">
        <v>1022</v>
      </c>
      <c r="B1836" s="1122" t="s">
        <v>2168</v>
      </c>
      <c r="C1836" s="1117" t="s">
        <v>1344</v>
      </c>
      <c r="D1836" s="416" t="s">
        <v>968</v>
      </c>
      <c r="E1836" s="217" t="s">
        <v>2284</v>
      </c>
      <c r="F1836" s="218" t="s">
        <v>2170</v>
      </c>
      <c r="G1836" s="116">
        <v>8400</v>
      </c>
      <c r="H1836" s="1776" t="s">
        <v>1349</v>
      </c>
      <c r="J1836" s="224"/>
      <c r="K1836" s="34" t="s">
        <v>25</v>
      </c>
      <c r="L1836" s="475"/>
      <c r="M1836" s="224"/>
      <c r="N1836" s="224"/>
      <c r="O1836" s="2628" t="s">
        <v>6395</v>
      </c>
      <c r="P1836" s="1">
        <v>1022</v>
      </c>
      <c r="T1836" s="224"/>
      <c r="U1836" s="34" t="s">
        <v>25</v>
      </c>
      <c r="V1836" s="475"/>
      <c r="W1836" s="224"/>
      <c r="X1836" s="224"/>
    </row>
    <row r="1837" spans="1:24" x14ac:dyDescent="0.3">
      <c r="A1837" s="2652">
        <v>1023</v>
      </c>
      <c r="B1837" s="1122" t="s">
        <v>2168</v>
      </c>
      <c r="C1837" s="1117" t="s">
        <v>1344</v>
      </c>
      <c r="D1837" s="416" t="s">
        <v>968</v>
      </c>
      <c r="E1837" s="217" t="s">
        <v>2285</v>
      </c>
      <c r="F1837" s="218" t="s">
        <v>2170</v>
      </c>
      <c r="G1837" s="116">
        <v>8400</v>
      </c>
      <c r="H1837" s="1776" t="s">
        <v>1349</v>
      </c>
      <c r="J1837" s="224"/>
      <c r="K1837" s="34" t="s">
        <v>25</v>
      </c>
      <c r="L1837" s="475"/>
      <c r="M1837" s="224"/>
      <c r="N1837" s="224"/>
      <c r="O1837" s="2628" t="s">
        <v>6395</v>
      </c>
      <c r="P1837" s="1">
        <v>1023</v>
      </c>
      <c r="T1837" s="224"/>
      <c r="U1837" s="34" t="s">
        <v>25</v>
      </c>
      <c r="V1837" s="475"/>
      <c r="W1837" s="224"/>
      <c r="X1837" s="224"/>
    </row>
    <row r="1838" spans="1:24" x14ac:dyDescent="0.3">
      <c r="A1838" s="2651">
        <v>1024</v>
      </c>
      <c r="B1838" s="1122" t="s">
        <v>2168</v>
      </c>
      <c r="C1838" s="1117" t="s">
        <v>1344</v>
      </c>
      <c r="D1838" s="416" t="s">
        <v>968</v>
      </c>
      <c r="E1838" s="217" t="s">
        <v>2286</v>
      </c>
      <c r="F1838" s="218" t="s">
        <v>2170</v>
      </c>
      <c r="G1838" s="116">
        <v>8400</v>
      </c>
      <c r="H1838" s="1776" t="s">
        <v>1349</v>
      </c>
      <c r="J1838" s="224"/>
      <c r="K1838" s="34" t="s">
        <v>25</v>
      </c>
      <c r="L1838" s="475"/>
      <c r="M1838" s="224"/>
      <c r="N1838" s="224"/>
      <c r="O1838" s="2628" t="s">
        <v>6395</v>
      </c>
      <c r="P1838" s="1">
        <v>1024</v>
      </c>
      <c r="T1838" s="224"/>
      <c r="U1838" s="34" t="s">
        <v>25</v>
      </c>
      <c r="V1838" s="475"/>
      <c r="W1838" s="224"/>
      <c r="X1838" s="224"/>
    </row>
    <row r="1839" spans="1:24" x14ac:dyDescent="0.3">
      <c r="A1839" s="2651">
        <v>1025</v>
      </c>
      <c r="B1839" s="1122" t="s">
        <v>2168</v>
      </c>
      <c r="C1839" s="1117" t="s">
        <v>1344</v>
      </c>
      <c r="D1839" s="416" t="s">
        <v>968</v>
      </c>
      <c r="E1839" s="217" t="s">
        <v>2287</v>
      </c>
      <c r="F1839" s="218" t="s">
        <v>2170</v>
      </c>
      <c r="G1839" s="116">
        <v>8400</v>
      </c>
      <c r="H1839" s="1776" t="s">
        <v>1349</v>
      </c>
      <c r="J1839" s="224"/>
      <c r="K1839" s="34" t="s">
        <v>25</v>
      </c>
      <c r="L1839" s="475"/>
      <c r="M1839" s="224"/>
      <c r="N1839" s="224"/>
      <c r="O1839" s="2628" t="s">
        <v>6395</v>
      </c>
      <c r="P1839" s="1">
        <v>1025</v>
      </c>
      <c r="T1839" s="224"/>
      <c r="U1839" s="34" t="s">
        <v>25</v>
      </c>
      <c r="V1839" s="475"/>
      <c r="W1839" s="224"/>
      <c r="X1839" s="224"/>
    </row>
    <row r="1840" spans="1:24" x14ac:dyDescent="0.3">
      <c r="A1840" s="2652">
        <v>1026</v>
      </c>
      <c r="B1840" s="1122" t="s">
        <v>2288</v>
      </c>
      <c r="C1840" s="1117" t="s">
        <v>1344</v>
      </c>
      <c r="D1840" s="452" t="s">
        <v>968</v>
      </c>
      <c r="E1840" s="217" t="s">
        <v>2289</v>
      </c>
      <c r="F1840" s="218" t="s">
        <v>2170</v>
      </c>
      <c r="G1840" s="116">
        <v>8400</v>
      </c>
      <c r="H1840" s="1776" t="s">
        <v>1349</v>
      </c>
      <c r="J1840" s="224"/>
      <c r="K1840" s="34" t="s">
        <v>25</v>
      </c>
      <c r="L1840" s="475"/>
      <c r="M1840" s="224"/>
      <c r="N1840" s="224"/>
      <c r="O1840" s="2628" t="s">
        <v>6395</v>
      </c>
      <c r="P1840" s="1">
        <v>1026</v>
      </c>
      <c r="T1840" s="224"/>
      <c r="U1840" s="34" t="s">
        <v>25</v>
      </c>
      <c r="V1840" s="475"/>
      <c r="W1840" s="224"/>
      <c r="X1840" s="224"/>
    </row>
    <row r="1841" spans="1:24" x14ac:dyDescent="0.3">
      <c r="A1841" s="2651">
        <v>1027</v>
      </c>
      <c r="B1841" s="1122" t="s">
        <v>2288</v>
      </c>
      <c r="C1841" s="1117" t="s">
        <v>1344</v>
      </c>
      <c r="D1841" s="495" t="s">
        <v>968</v>
      </c>
      <c r="E1841" s="217" t="s">
        <v>2290</v>
      </c>
      <c r="F1841" s="218" t="s">
        <v>2170</v>
      </c>
      <c r="G1841" s="116">
        <v>8400</v>
      </c>
      <c r="H1841" s="1776" t="s">
        <v>1349</v>
      </c>
      <c r="J1841" s="224"/>
      <c r="K1841" s="34" t="s">
        <v>25</v>
      </c>
      <c r="L1841" s="475"/>
      <c r="M1841" s="224"/>
      <c r="N1841" s="224"/>
      <c r="O1841" s="2628" t="s">
        <v>6395</v>
      </c>
      <c r="P1841" s="1">
        <v>1027</v>
      </c>
      <c r="T1841" s="224"/>
      <c r="U1841" s="34" t="s">
        <v>25</v>
      </c>
      <c r="V1841" s="475"/>
      <c r="W1841" s="224"/>
      <c r="X1841" s="224"/>
    </row>
    <row r="1842" spans="1:24" x14ac:dyDescent="0.3">
      <c r="A1842" s="2651">
        <v>1028</v>
      </c>
      <c r="B1842" s="1122" t="s">
        <v>2288</v>
      </c>
      <c r="C1842" s="216" t="s">
        <v>1344</v>
      </c>
      <c r="D1842" s="793" t="s">
        <v>968</v>
      </c>
      <c r="E1842" s="217" t="s">
        <v>2291</v>
      </c>
      <c r="F1842" s="218" t="s">
        <v>2170</v>
      </c>
      <c r="G1842" s="116">
        <v>8400</v>
      </c>
      <c r="H1842" s="1776" t="s">
        <v>1349</v>
      </c>
      <c r="J1842" s="224"/>
      <c r="K1842" s="34" t="s">
        <v>25</v>
      </c>
      <c r="L1842" s="475"/>
      <c r="M1842" s="224"/>
      <c r="N1842" s="224"/>
      <c r="O1842" s="2628" t="s">
        <v>6395</v>
      </c>
      <c r="P1842" s="1">
        <v>1028</v>
      </c>
      <c r="T1842" s="224"/>
      <c r="U1842" s="34" t="s">
        <v>25</v>
      </c>
      <c r="V1842" s="475"/>
      <c r="W1842" s="224"/>
      <c r="X1842" s="224"/>
    </row>
    <row r="1843" spans="1:24" x14ac:dyDescent="0.3">
      <c r="A1843" s="2652">
        <v>1029</v>
      </c>
      <c r="B1843" s="1122" t="s">
        <v>2288</v>
      </c>
      <c r="C1843" s="216" t="s">
        <v>1344</v>
      </c>
      <c r="D1843" s="416" t="s">
        <v>968</v>
      </c>
      <c r="E1843" s="217" t="s">
        <v>2292</v>
      </c>
      <c r="F1843" s="218" t="s">
        <v>2170</v>
      </c>
      <c r="G1843" s="116">
        <v>8400</v>
      </c>
      <c r="H1843" s="1776" t="s">
        <v>1349</v>
      </c>
      <c r="J1843" s="224"/>
      <c r="K1843" s="34" t="s">
        <v>25</v>
      </c>
      <c r="L1843" s="475"/>
      <c r="M1843" s="224"/>
      <c r="N1843" s="224"/>
      <c r="O1843" s="2628" t="s">
        <v>6395</v>
      </c>
      <c r="P1843" s="1">
        <v>1029</v>
      </c>
      <c r="T1843" s="224"/>
      <c r="U1843" s="34" t="s">
        <v>25</v>
      </c>
      <c r="V1843" s="475"/>
      <c r="W1843" s="224"/>
      <c r="X1843" s="224"/>
    </row>
    <row r="1844" spans="1:24" ht="18.75" customHeight="1" x14ac:dyDescent="0.3">
      <c r="A1844" s="2651">
        <v>1030</v>
      </c>
      <c r="B1844" s="1122" t="s">
        <v>2321</v>
      </c>
      <c r="C1844" s="216" t="s">
        <v>1344</v>
      </c>
      <c r="D1844" s="416" t="s">
        <v>2322</v>
      </c>
      <c r="E1844" s="217" t="s">
        <v>2323</v>
      </c>
      <c r="F1844" s="218" t="s">
        <v>2324</v>
      </c>
      <c r="G1844" s="116">
        <v>12250</v>
      </c>
      <c r="H1844" s="1776" t="s">
        <v>1349</v>
      </c>
      <c r="J1844" s="1126"/>
      <c r="K1844" s="34" t="s">
        <v>25</v>
      </c>
      <c r="L1844" s="1127"/>
      <c r="M1844" s="1126"/>
      <c r="N1844" s="1126"/>
      <c r="O1844" s="2628" t="s">
        <v>6395</v>
      </c>
      <c r="P1844" s="1">
        <v>1030</v>
      </c>
      <c r="T1844" s="1126"/>
      <c r="U1844" s="34" t="s">
        <v>25</v>
      </c>
      <c r="V1844" s="1127"/>
      <c r="W1844" s="1126"/>
      <c r="X1844" s="1126"/>
    </row>
    <row r="1845" spans="1:24" ht="18.75" customHeight="1" x14ac:dyDescent="0.3">
      <c r="A1845" s="2651">
        <v>1031</v>
      </c>
      <c r="B1845" s="1122" t="s">
        <v>2321</v>
      </c>
      <c r="C1845" s="216" t="s">
        <v>1344</v>
      </c>
      <c r="D1845" s="416" t="s">
        <v>2322</v>
      </c>
      <c r="E1845" s="217" t="s">
        <v>2325</v>
      </c>
      <c r="F1845" s="218" t="s">
        <v>2324</v>
      </c>
      <c r="G1845" s="116">
        <v>12250</v>
      </c>
      <c r="H1845" s="1776" t="s">
        <v>1349</v>
      </c>
      <c r="J1845" s="1126"/>
      <c r="K1845" s="34" t="s">
        <v>25</v>
      </c>
      <c r="L1845" s="1127"/>
      <c r="M1845" s="1126"/>
      <c r="N1845" s="1126"/>
      <c r="O1845" s="2628" t="s">
        <v>6395</v>
      </c>
      <c r="P1845" s="1">
        <v>1031</v>
      </c>
      <c r="T1845" s="1126"/>
      <c r="U1845" s="34" t="s">
        <v>25</v>
      </c>
      <c r="V1845" s="1127"/>
      <c r="W1845" s="1126"/>
      <c r="X1845" s="1126"/>
    </row>
    <row r="1846" spans="1:24" ht="18.75" customHeight="1" x14ac:dyDescent="0.3">
      <c r="A1846" s="2652">
        <v>1032</v>
      </c>
      <c r="B1846" s="1122" t="s">
        <v>2321</v>
      </c>
      <c r="C1846" s="216" t="s">
        <v>1344</v>
      </c>
      <c r="D1846" s="416" t="s">
        <v>2322</v>
      </c>
      <c r="E1846" s="217" t="s">
        <v>2326</v>
      </c>
      <c r="F1846" s="218" t="s">
        <v>2324</v>
      </c>
      <c r="G1846" s="116">
        <v>12250</v>
      </c>
      <c r="H1846" s="1776" t="s">
        <v>1349</v>
      </c>
      <c r="J1846" s="1126"/>
      <c r="K1846" s="34" t="s">
        <v>25</v>
      </c>
      <c r="L1846" s="1127"/>
      <c r="M1846" s="1126"/>
      <c r="N1846" s="1126"/>
      <c r="O1846" s="2628" t="s">
        <v>6395</v>
      </c>
      <c r="P1846" s="1">
        <v>1032</v>
      </c>
      <c r="T1846" s="1126"/>
      <c r="U1846" s="34" t="s">
        <v>25</v>
      </c>
      <c r="V1846" s="1127"/>
      <c r="W1846" s="1126"/>
      <c r="X1846" s="1126"/>
    </row>
    <row r="1847" spans="1:24" ht="18.75" customHeight="1" x14ac:dyDescent="0.3">
      <c r="A1847" s="2651">
        <v>1033</v>
      </c>
      <c r="B1847" s="1122" t="s">
        <v>2321</v>
      </c>
      <c r="C1847" s="216" t="s">
        <v>1344</v>
      </c>
      <c r="D1847" s="416" t="s">
        <v>2322</v>
      </c>
      <c r="E1847" s="217" t="s">
        <v>2327</v>
      </c>
      <c r="F1847" s="218" t="s">
        <v>2324</v>
      </c>
      <c r="G1847" s="116">
        <v>12250</v>
      </c>
      <c r="H1847" s="1776" t="s">
        <v>1349</v>
      </c>
      <c r="J1847" s="1126"/>
      <c r="K1847" s="34" t="s">
        <v>25</v>
      </c>
      <c r="L1847" s="1127"/>
      <c r="M1847" s="1126"/>
      <c r="N1847" s="1126"/>
      <c r="O1847" s="2628" t="s">
        <v>6395</v>
      </c>
      <c r="P1847" s="1">
        <v>1033</v>
      </c>
      <c r="T1847" s="1126"/>
      <c r="U1847" s="34" t="s">
        <v>25</v>
      </c>
      <c r="V1847" s="1127"/>
      <c r="W1847" s="1126"/>
      <c r="X1847" s="1126"/>
    </row>
    <row r="1848" spans="1:24" ht="18.75" customHeight="1" x14ac:dyDescent="0.3">
      <c r="A1848" s="2651">
        <v>1034</v>
      </c>
      <c r="B1848" s="1122" t="s">
        <v>2321</v>
      </c>
      <c r="C1848" s="216" t="s">
        <v>1344</v>
      </c>
      <c r="D1848" s="416" t="s">
        <v>2322</v>
      </c>
      <c r="E1848" s="217" t="s">
        <v>2328</v>
      </c>
      <c r="F1848" s="218" t="s">
        <v>2324</v>
      </c>
      <c r="G1848" s="116">
        <v>12250</v>
      </c>
      <c r="H1848" s="1776" t="s">
        <v>1349</v>
      </c>
      <c r="J1848" s="1126"/>
      <c r="K1848" s="34" t="s">
        <v>25</v>
      </c>
      <c r="L1848" s="1127"/>
      <c r="M1848" s="1126"/>
      <c r="N1848" s="1126"/>
      <c r="O1848" s="2628" t="s">
        <v>6395</v>
      </c>
      <c r="P1848" s="1">
        <v>1034</v>
      </c>
      <c r="T1848" s="1126"/>
      <c r="U1848" s="34" t="s">
        <v>25</v>
      </c>
      <c r="V1848" s="1127"/>
      <c r="W1848" s="1126"/>
      <c r="X1848" s="1126"/>
    </row>
    <row r="1849" spans="1:24" ht="18.75" customHeight="1" x14ac:dyDescent="0.3">
      <c r="A1849" s="2652">
        <v>1035</v>
      </c>
      <c r="B1849" s="1122" t="s">
        <v>2321</v>
      </c>
      <c r="C1849" s="216" t="s">
        <v>1344</v>
      </c>
      <c r="D1849" s="416" t="s">
        <v>2322</v>
      </c>
      <c r="E1849" s="217" t="s">
        <v>2329</v>
      </c>
      <c r="F1849" s="218" t="s">
        <v>2324</v>
      </c>
      <c r="G1849" s="116">
        <v>12250</v>
      </c>
      <c r="H1849" s="1776" t="s">
        <v>1349</v>
      </c>
      <c r="J1849" s="1126"/>
      <c r="K1849" s="34" t="s">
        <v>25</v>
      </c>
      <c r="L1849" s="1127"/>
      <c r="M1849" s="1126"/>
      <c r="N1849" s="1126"/>
      <c r="O1849" s="2628" t="s">
        <v>6395</v>
      </c>
      <c r="P1849" s="1">
        <v>1035</v>
      </c>
      <c r="T1849" s="1126"/>
      <c r="U1849" s="34" t="s">
        <v>25</v>
      </c>
      <c r="V1849" s="1127"/>
      <c r="W1849" s="1126"/>
      <c r="X1849" s="1126"/>
    </row>
    <row r="1850" spans="1:24" ht="18.75" customHeight="1" x14ac:dyDescent="0.3">
      <c r="A1850" s="2651">
        <v>1036</v>
      </c>
      <c r="B1850" s="1122" t="s">
        <v>2321</v>
      </c>
      <c r="C1850" s="216" t="s">
        <v>1344</v>
      </c>
      <c r="D1850" s="416" t="s">
        <v>2322</v>
      </c>
      <c r="E1850" s="217" t="s">
        <v>2330</v>
      </c>
      <c r="F1850" s="218" t="s">
        <v>2324</v>
      </c>
      <c r="G1850" s="116">
        <v>12250</v>
      </c>
      <c r="H1850" s="1776" t="s">
        <v>1349</v>
      </c>
      <c r="J1850" s="1126"/>
      <c r="K1850" s="34" t="s">
        <v>25</v>
      </c>
      <c r="L1850" s="1127"/>
      <c r="M1850" s="1126"/>
      <c r="N1850" s="1126"/>
      <c r="O1850" s="2628" t="s">
        <v>6395</v>
      </c>
      <c r="P1850" s="1">
        <v>1036</v>
      </c>
      <c r="T1850" s="1126"/>
      <c r="U1850" s="34" t="s">
        <v>25</v>
      </c>
      <c r="V1850" s="1127"/>
      <c r="W1850" s="1126"/>
      <c r="X1850" s="1126"/>
    </row>
    <row r="1851" spans="1:24" ht="18.75" customHeight="1" x14ac:dyDescent="0.3">
      <c r="A1851" s="2651">
        <v>1037</v>
      </c>
      <c r="B1851" s="1122" t="s">
        <v>2321</v>
      </c>
      <c r="C1851" s="216" t="s">
        <v>1344</v>
      </c>
      <c r="D1851" s="416" t="s">
        <v>2322</v>
      </c>
      <c r="E1851" s="217" t="s">
        <v>2331</v>
      </c>
      <c r="F1851" s="218" t="s">
        <v>2324</v>
      </c>
      <c r="G1851" s="116">
        <v>12250</v>
      </c>
      <c r="H1851" s="1776" t="s">
        <v>1349</v>
      </c>
      <c r="J1851" s="1126"/>
      <c r="K1851" s="34" t="s">
        <v>25</v>
      </c>
      <c r="L1851" s="1127"/>
      <c r="M1851" s="1126"/>
      <c r="N1851" s="1126"/>
      <c r="O1851" s="2628" t="s">
        <v>6395</v>
      </c>
      <c r="P1851" s="1">
        <v>1037</v>
      </c>
      <c r="T1851" s="1126"/>
      <c r="U1851" s="34" t="s">
        <v>25</v>
      </c>
      <c r="V1851" s="1127"/>
      <c r="W1851" s="1126"/>
      <c r="X1851" s="1126"/>
    </row>
    <row r="1852" spans="1:24" ht="18.75" customHeight="1" x14ac:dyDescent="0.3">
      <c r="A1852" s="2652">
        <v>1038</v>
      </c>
      <c r="B1852" s="1122" t="s">
        <v>2332</v>
      </c>
      <c r="C1852" s="216" t="s">
        <v>1344</v>
      </c>
      <c r="D1852" s="416" t="s">
        <v>1146</v>
      </c>
      <c r="E1852" s="217" t="s">
        <v>2333</v>
      </c>
      <c r="F1852" s="218" t="s">
        <v>2334</v>
      </c>
      <c r="G1852" s="116">
        <v>4950</v>
      </c>
      <c r="H1852" s="1776" t="s">
        <v>1349</v>
      </c>
      <c r="J1852" s="224"/>
      <c r="K1852" s="34" t="s">
        <v>25</v>
      </c>
      <c r="L1852" s="475"/>
      <c r="M1852" s="224"/>
      <c r="N1852" s="224"/>
      <c r="O1852" s="2628" t="s">
        <v>6395</v>
      </c>
      <c r="P1852" s="1">
        <v>1038</v>
      </c>
      <c r="T1852" s="224"/>
      <c r="U1852" s="34" t="s">
        <v>25</v>
      </c>
      <c r="V1852" s="475"/>
      <c r="W1852" s="224"/>
      <c r="X1852" s="224"/>
    </row>
    <row r="1853" spans="1:24" ht="18.75" customHeight="1" x14ac:dyDescent="0.3">
      <c r="A1853" s="2651">
        <v>1039</v>
      </c>
      <c r="B1853" s="1122" t="s">
        <v>2332</v>
      </c>
      <c r="C1853" s="216" t="s">
        <v>1344</v>
      </c>
      <c r="D1853" s="452" t="s">
        <v>1146</v>
      </c>
      <c r="E1853" s="217" t="s">
        <v>2335</v>
      </c>
      <c r="F1853" s="218" t="s">
        <v>2334</v>
      </c>
      <c r="G1853" s="116">
        <v>4950</v>
      </c>
      <c r="H1853" s="1776" t="s">
        <v>1349</v>
      </c>
      <c r="J1853" s="224"/>
      <c r="K1853" s="34" t="s">
        <v>25</v>
      </c>
      <c r="L1853" s="475"/>
      <c r="M1853" s="224"/>
      <c r="N1853" s="224"/>
      <c r="O1853" s="2628" t="s">
        <v>6395</v>
      </c>
      <c r="P1853" s="1">
        <v>1039</v>
      </c>
      <c r="T1853" s="224"/>
      <c r="U1853" s="34" t="s">
        <v>25</v>
      </c>
      <c r="V1853" s="475"/>
      <c r="W1853" s="224"/>
      <c r="X1853" s="224"/>
    </row>
    <row r="1854" spans="1:24" ht="18.75" customHeight="1" x14ac:dyDescent="0.3">
      <c r="A1854" s="2651">
        <v>1040</v>
      </c>
      <c r="B1854" s="1122" t="s">
        <v>2332</v>
      </c>
      <c r="C1854" s="216" t="s">
        <v>1344</v>
      </c>
      <c r="D1854" s="495" t="s">
        <v>1146</v>
      </c>
      <c r="E1854" s="217" t="s">
        <v>2336</v>
      </c>
      <c r="F1854" s="218" t="s">
        <v>2334</v>
      </c>
      <c r="G1854" s="116">
        <v>4950</v>
      </c>
      <c r="H1854" s="1776" t="s">
        <v>1349</v>
      </c>
      <c r="J1854" s="224"/>
      <c r="K1854" s="34" t="s">
        <v>25</v>
      </c>
      <c r="L1854" s="475"/>
      <c r="M1854" s="224"/>
      <c r="N1854" s="224"/>
      <c r="O1854" s="2628" t="s">
        <v>6395</v>
      </c>
      <c r="P1854" s="1">
        <v>1040</v>
      </c>
      <c r="T1854" s="224"/>
      <c r="U1854" s="34" t="s">
        <v>25</v>
      </c>
      <c r="V1854" s="475"/>
      <c r="W1854" s="224"/>
      <c r="X1854" s="224"/>
    </row>
    <row r="1855" spans="1:24" ht="18.75" customHeight="1" x14ac:dyDescent="0.3">
      <c r="A1855" s="2652">
        <v>1041</v>
      </c>
      <c r="B1855" s="1122" t="s">
        <v>2332</v>
      </c>
      <c r="C1855" s="216" t="s">
        <v>1344</v>
      </c>
      <c r="D1855" s="793" t="s">
        <v>1146</v>
      </c>
      <c r="E1855" s="217" t="s">
        <v>2337</v>
      </c>
      <c r="F1855" s="218" t="s">
        <v>2334</v>
      </c>
      <c r="G1855" s="116">
        <v>4950</v>
      </c>
      <c r="H1855" s="1776" t="s">
        <v>1349</v>
      </c>
      <c r="J1855" s="224"/>
      <c r="K1855" s="34" t="s">
        <v>25</v>
      </c>
      <c r="L1855" s="475"/>
      <c r="M1855" s="224"/>
      <c r="N1855" s="224"/>
      <c r="O1855" s="2628" t="s">
        <v>6395</v>
      </c>
      <c r="P1855" s="1">
        <v>1041</v>
      </c>
      <c r="T1855" s="224"/>
      <c r="U1855" s="34" t="s">
        <v>25</v>
      </c>
      <c r="V1855" s="475"/>
      <c r="W1855" s="224"/>
      <c r="X1855" s="224"/>
    </row>
    <row r="1856" spans="1:24" ht="18.75" customHeight="1" x14ac:dyDescent="0.3">
      <c r="A1856" s="2651">
        <v>1042</v>
      </c>
      <c r="B1856" s="1122" t="s">
        <v>2332</v>
      </c>
      <c r="C1856" s="216" t="s">
        <v>1344</v>
      </c>
      <c r="D1856" s="416" t="s">
        <v>1146</v>
      </c>
      <c r="E1856" s="217" t="s">
        <v>2338</v>
      </c>
      <c r="F1856" s="218" t="s">
        <v>2334</v>
      </c>
      <c r="G1856" s="116">
        <v>4950</v>
      </c>
      <c r="H1856" s="1776" t="s">
        <v>1349</v>
      </c>
      <c r="J1856" s="224"/>
      <c r="K1856" s="34" t="s">
        <v>25</v>
      </c>
      <c r="L1856" s="475"/>
      <c r="M1856" s="224"/>
      <c r="N1856" s="224"/>
      <c r="O1856" s="2628" t="s">
        <v>6395</v>
      </c>
      <c r="P1856" s="1">
        <v>1042</v>
      </c>
      <c r="T1856" s="224"/>
      <c r="U1856" s="34" t="s">
        <v>25</v>
      </c>
      <c r="V1856" s="475"/>
      <c r="W1856" s="224"/>
      <c r="X1856" s="224"/>
    </row>
    <row r="1857" spans="1:24" ht="18.75" customHeight="1" x14ac:dyDescent="0.3">
      <c r="A1857" s="2651">
        <v>1043</v>
      </c>
      <c r="B1857" s="1122" t="s">
        <v>2332</v>
      </c>
      <c r="C1857" s="216" t="s">
        <v>1344</v>
      </c>
      <c r="D1857" s="416" t="s">
        <v>1146</v>
      </c>
      <c r="E1857" s="217" t="s">
        <v>2339</v>
      </c>
      <c r="F1857" s="218" t="s">
        <v>2334</v>
      </c>
      <c r="G1857" s="116">
        <v>4950</v>
      </c>
      <c r="H1857" s="1776" t="s">
        <v>1349</v>
      </c>
      <c r="J1857" s="224"/>
      <c r="K1857" s="34" t="s">
        <v>25</v>
      </c>
      <c r="L1857" s="475"/>
      <c r="M1857" s="224"/>
      <c r="N1857" s="224"/>
      <c r="O1857" s="2628" t="s">
        <v>6395</v>
      </c>
      <c r="P1857" s="1">
        <v>1043</v>
      </c>
      <c r="T1857" s="224"/>
      <c r="U1857" s="34" t="s">
        <v>25</v>
      </c>
      <c r="V1857" s="475"/>
      <c r="W1857" s="224"/>
      <c r="X1857" s="224"/>
    </row>
    <row r="1858" spans="1:24" ht="18.75" customHeight="1" x14ac:dyDescent="0.3">
      <c r="A1858" s="2652">
        <v>1044</v>
      </c>
      <c r="B1858" s="1122" t="s">
        <v>2332</v>
      </c>
      <c r="C1858" s="216" t="s">
        <v>1344</v>
      </c>
      <c r="D1858" s="416" t="s">
        <v>1146</v>
      </c>
      <c r="E1858" s="217" t="s">
        <v>2340</v>
      </c>
      <c r="F1858" s="218" t="s">
        <v>2334</v>
      </c>
      <c r="G1858" s="116">
        <v>4950</v>
      </c>
      <c r="H1858" s="1776" t="s">
        <v>1349</v>
      </c>
      <c r="J1858" s="224"/>
      <c r="K1858" s="34" t="s">
        <v>25</v>
      </c>
      <c r="L1858" s="475"/>
      <c r="M1858" s="224"/>
      <c r="N1858" s="224"/>
      <c r="O1858" s="2628" t="s">
        <v>6395</v>
      </c>
      <c r="P1858" s="1">
        <v>1044</v>
      </c>
      <c r="T1858" s="224"/>
      <c r="U1858" s="34" t="s">
        <v>25</v>
      </c>
      <c r="V1858" s="475"/>
      <c r="W1858" s="224"/>
      <c r="X1858" s="224"/>
    </row>
    <row r="1859" spans="1:24" ht="18.75" customHeight="1" x14ac:dyDescent="0.3">
      <c r="A1859" s="2651">
        <v>1045</v>
      </c>
      <c r="B1859" s="1122" t="s">
        <v>2332</v>
      </c>
      <c r="C1859" s="216" t="s">
        <v>1344</v>
      </c>
      <c r="D1859" s="416" t="s">
        <v>1146</v>
      </c>
      <c r="E1859" s="217" t="s">
        <v>2341</v>
      </c>
      <c r="F1859" s="218" t="s">
        <v>2334</v>
      </c>
      <c r="G1859" s="116">
        <v>4950</v>
      </c>
      <c r="H1859" s="1776" t="s">
        <v>1349</v>
      </c>
      <c r="J1859" s="224"/>
      <c r="K1859" s="34" t="s">
        <v>25</v>
      </c>
      <c r="L1859" s="475"/>
      <c r="M1859" s="224"/>
      <c r="N1859" s="224"/>
      <c r="O1859" s="2628" t="s">
        <v>6395</v>
      </c>
      <c r="P1859" s="1">
        <v>1045</v>
      </c>
      <c r="T1859" s="224"/>
      <c r="U1859" s="34" t="s">
        <v>25</v>
      </c>
      <c r="V1859" s="475"/>
      <c r="W1859" s="224"/>
      <c r="X1859" s="224"/>
    </row>
    <row r="1860" spans="1:24" ht="18.75" customHeight="1" x14ac:dyDescent="0.3">
      <c r="A1860" s="2651">
        <v>1046</v>
      </c>
      <c r="B1860" s="1122" t="s">
        <v>2332</v>
      </c>
      <c r="C1860" s="216" t="s">
        <v>1344</v>
      </c>
      <c r="D1860" s="416" t="s">
        <v>1146</v>
      </c>
      <c r="E1860" s="217" t="s">
        <v>2342</v>
      </c>
      <c r="F1860" s="218" t="s">
        <v>2334</v>
      </c>
      <c r="G1860" s="116">
        <v>4950</v>
      </c>
      <c r="H1860" s="1776" t="s">
        <v>1349</v>
      </c>
      <c r="J1860" s="224"/>
      <c r="K1860" s="34" t="s">
        <v>25</v>
      </c>
      <c r="L1860" s="475"/>
      <c r="M1860" s="224"/>
      <c r="N1860" s="224"/>
      <c r="O1860" s="2628" t="s">
        <v>6395</v>
      </c>
      <c r="P1860" s="1">
        <v>1046</v>
      </c>
      <c r="T1860" s="224"/>
      <c r="U1860" s="34" t="s">
        <v>25</v>
      </c>
      <c r="V1860" s="475"/>
      <c r="W1860" s="224"/>
      <c r="X1860" s="224"/>
    </row>
    <row r="1861" spans="1:24" ht="18.75" customHeight="1" x14ac:dyDescent="0.3">
      <c r="A1861" s="2652">
        <v>1047</v>
      </c>
      <c r="B1861" s="1122" t="s">
        <v>2332</v>
      </c>
      <c r="C1861" s="216" t="s">
        <v>1344</v>
      </c>
      <c r="D1861" s="416" t="s">
        <v>1146</v>
      </c>
      <c r="E1861" s="217" t="s">
        <v>2343</v>
      </c>
      <c r="F1861" s="218" t="s">
        <v>2334</v>
      </c>
      <c r="G1861" s="116">
        <v>4950</v>
      </c>
      <c r="H1861" s="1776" t="s">
        <v>1349</v>
      </c>
      <c r="J1861" s="224"/>
      <c r="K1861" s="34" t="s">
        <v>25</v>
      </c>
      <c r="L1861" s="475"/>
      <c r="M1861" s="224"/>
      <c r="N1861" s="224"/>
      <c r="O1861" s="2628" t="s">
        <v>6395</v>
      </c>
      <c r="P1861" s="1">
        <v>1047</v>
      </c>
      <c r="T1861" s="224"/>
      <c r="U1861" s="34" t="s">
        <v>25</v>
      </c>
      <c r="V1861" s="475"/>
      <c r="W1861" s="224"/>
      <c r="X1861" s="224"/>
    </row>
    <row r="1862" spans="1:24" ht="18.75" customHeight="1" x14ac:dyDescent="0.3">
      <c r="A1862" s="2651">
        <v>1048</v>
      </c>
      <c r="B1862" s="1122" t="s">
        <v>2332</v>
      </c>
      <c r="C1862" s="216" t="s">
        <v>1344</v>
      </c>
      <c r="D1862" s="416" t="s">
        <v>1146</v>
      </c>
      <c r="E1862" s="217" t="s">
        <v>2344</v>
      </c>
      <c r="F1862" s="218" t="s">
        <v>2334</v>
      </c>
      <c r="G1862" s="116">
        <v>4950</v>
      </c>
      <c r="H1862" s="1776" t="s">
        <v>1349</v>
      </c>
      <c r="J1862" s="224"/>
      <c r="K1862" s="34" t="s">
        <v>25</v>
      </c>
      <c r="L1862" s="475"/>
      <c r="M1862" s="224"/>
      <c r="N1862" s="224"/>
      <c r="O1862" s="2628" t="s">
        <v>6395</v>
      </c>
      <c r="P1862" s="1">
        <v>1048</v>
      </c>
      <c r="T1862" s="224"/>
      <c r="U1862" s="34" t="s">
        <v>25</v>
      </c>
      <c r="V1862" s="475"/>
      <c r="W1862" s="224"/>
      <c r="X1862" s="224"/>
    </row>
    <row r="1863" spans="1:24" ht="18.75" customHeight="1" x14ac:dyDescent="0.3">
      <c r="A1863" s="2651">
        <v>1049</v>
      </c>
      <c r="B1863" s="1122" t="s">
        <v>2332</v>
      </c>
      <c r="C1863" s="216" t="s">
        <v>1344</v>
      </c>
      <c r="D1863" s="416" t="s">
        <v>1146</v>
      </c>
      <c r="E1863" s="217" t="s">
        <v>2345</v>
      </c>
      <c r="F1863" s="218" t="s">
        <v>2334</v>
      </c>
      <c r="G1863" s="116">
        <v>4950</v>
      </c>
      <c r="H1863" s="1776" t="s">
        <v>1349</v>
      </c>
      <c r="J1863" s="224"/>
      <c r="K1863" s="34" t="s">
        <v>25</v>
      </c>
      <c r="L1863" s="475"/>
      <c r="M1863" s="224"/>
      <c r="N1863" s="224"/>
      <c r="O1863" s="2628" t="s">
        <v>6395</v>
      </c>
      <c r="P1863" s="1">
        <v>1049</v>
      </c>
      <c r="T1863" s="224"/>
      <c r="U1863" s="34" t="s">
        <v>25</v>
      </c>
      <c r="V1863" s="475"/>
      <c r="W1863" s="224"/>
      <c r="X1863" s="224"/>
    </row>
    <row r="1864" spans="1:24" ht="18.75" customHeight="1" x14ac:dyDescent="0.3">
      <c r="A1864" s="2652">
        <v>1050</v>
      </c>
      <c r="B1864" s="1122" t="s">
        <v>2332</v>
      </c>
      <c r="C1864" s="216" t="s">
        <v>1344</v>
      </c>
      <c r="D1864" s="416" t="s">
        <v>1146</v>
      </c>
      <c r="E1864" s="217" t="s">
        <v>2346</v>
      </c>
      <c r="F1864" s="218" t="s">
        <v>2334</v>
      </c>
      <c r="G1864" s="116">
        <v>4950</v>
      </c>
      <c r="H1864" s="1776" t="s">
        <v>1349</v>
      </c>
      <c r="J1864" s="224"/>
      <c r="K1864" s="34" t="s">
        <v>25</v>
      </c>
      <c r="L1864" s="475"/>
      <c r="M1864" s="224"/>
      <c r="N1864" s="224"/>
      <c r="O1864" s="2628" t="s">
        <v>6395</v>
      </c>
      <c r="P1864" s="1">
        <v>1050</v>
      </c>
      <c r="T1864" s="224"/>
      <c r="U1864" s="34" t="s">
        <v>25</v>
      </c>
      <c r="V1864" s="475"/>
      <c r="W1864" s="224"/>
      <c r="X1864" s="224"/>
    </row>
    <row r="1865" spans="1:24" ht="18.75" customHeight="1" x14ac:dyDescent="0.3">
      <c r="A1865" s="2651">
        <v>1051</v>
      </c>
      <c r="B1865" s="1122" t="s">
        <v>2332</v>
      </c>
      <c r="C1865" s="216" t="s">
        <v>1344</v>
      </c>
      <c r="D1865" s="416" t="s">
        <v>1146</v>
      </c>
      <c r="E1865" s="217" t="s">
        <v>2347</v>
      </c>
      <c r="F1865" s="218" t="s">
        <v>2334</v>
      </c>
      <c r="G1865" s="116">
        <v>4950</v>
      </c>
      <c r="H1865" s="1776" t="s">
        <v>1349</v>
      </c>
      <c r="J1865" s="224"/>
      <c r="K1865" s="34" t="s">
        <v>25</v>
      </c>
      <c r="L1865" s="475"/>
      <c r="M1865" s="224"/>
      <c r="N1865" s="224"/>
      <c r="O1865" s="2628" t="s">
        <v>6395</v>
      </c>
      <c r="P1865" s="1">
        <v>1051</v>
      </c>
      <c r="T1865" s="224"/>
      <c r="U1865" s="34" t="s">
        <v>25</v>
      </c>
      <c r="V1865" s="475"/>
      <c r="W1865" s="224"/>
      <c r="X1865" s="224"/>
    </row>
    <row r="1866" spans="1:24" ht="18.75" customHeight="1" x14ac:dyDescent="0.3">
      <c r="A1866" s="2651">
        <v>1052</v>
      </c>
      <c r="B1866" s="1122" t="s">
        <v>2332</v>
      </c>
      <c r="C1866" s="216" t="s">
        <v>1344</v>
      </c>
      <c r="D1866" s="416" t="s">
        <v>1146</v>
      </c>
      <c r="E1866" s="217" t="s">
        <v>2348</v>
      </c>
      <c r="F1866" s="218" t="s">
        <v>2334</v>
      </c>
      <c r="G1866" s="116">
        <v>4950</v>
      </c>
      <c r="H1866" s="1776" t="s">
        <v>1349</v>
      </c>
      <c r="J1866" s="224"/>
      <c r="K1866" s="34" t="s">
        <v>25</v>
      </c>
      <c r="L1866" s="475"/>
      <c r="M1866" s="224"/>
      <c r="N1866" s="224"/>
      <c r="O1866" s="2628" t="s">
        <v>6395</v>
      </c>
      <c r="P1866" s="1">
        <v>1052</v>
      </c>
      <c r="T1866" s="224"/>
      <c r="U1866" s="34" t="s">
        <v>25</v>
      </c>
      <c r="V1866" s="475"/>
      <c r="W1866" s="224"/>
      <c r="X1866" s="224"/>
    </row>
    <row r="1867" spans="1:24" ht="18.75" customHeight="1" x14ac:dyDescent="0.3">
      <c r="A1867" s="2652">
        <v>1053</v>
      </c>
      <c r="B1867" s="1122" t="s">
        <v>2332</v>
      </c>
      <c r="C1867" s="216" t="s">
        <v>1344</v>
      </c>
      <c r="D1867" s="452" t="s">
        <v>1146</v>
      </c>
      <c r="E1867" s="217" t="s">
        <v>2349</v>
      </c>
      <c r="F1867" s="218" t="s">
        <v>2334</v>
      </c>
      <c r="G1867" s="116">
        <v>4950</v>
      </c>
      <c r="H1867" s="1776" t="s">
        <v>1349</v>
      </c>
      <c r="J1867" s="224"/>
      <c r="K1867" s="34" t="s">
        <v>25</v>
      </c>
      <c r="L1867" s="475"/>
      <c r="M1867" s="224"/>
      <c r="N1867" s="224"/>
      <c r="O1867" s="2628" t="s">
        <v>6395</v>
      </c>
      <c r="P1867" s="1">
        <v>1053</v>
      </c>
      <c r="T1867" s="224"/>
      <c r="U1867" s="34" t="s">
        <v>25</v>
      </c>
      <c r="V1867" s="475"/>
      <c r="W1867" s="224"/>
      <c r="X1867" s="224"/>
    </row>
    <row r="1868" spans="1:24" ht="18.75" customHeight="1" x14ac:dyDescent="0.3">
      <c r="A1868" s="2651">
        <v>1054</v>
      </c>
      <c r="B1868" s="1122" t="s">
        <v>2332</v>
      </c>
      <c r="C1868" s="216" t="s">
        <v>1344</v>
      </c>
      <c r="D1868" s="793" t="s">
        <v>1146</v>
      </c>
      <c r="E1868" s="217" t="s">
        <v>2350</v>
      </c>
      <c r="F1868" s="218" t="s">
        <v>2334</v>
      </c>
      <c r="G1868" s="116">
        <v>4950</v>
      </c>
      <c r="H1868" s="1776" t="s">
        <v>1349</v>
      </c>
      <c r="J1868" s="224"/>
      <c r="K1868" s="34" t="s">
        <v>25</v>
      </c>
      <c r="L1868" s="475"/>
      <c r="M1868" s="224"/>
      <c r="N1868" s="224"/>
      <c r="O1868" s="2628" t="s">
        <v>6395</v>
      </c>
      <c r="P1868" s="1">
        <v>1054</v>
      </c>
      <c r="T1868" s="224"/>
      <c r="U1868" s="34" t="s">
        <v>25</v>
      </c>
      <c r="V1868" s="475"/>
      <c r="W1868" s="224"/>
      <c r="X1868" s="224"/>
    </row>
    <row r="1869" spans="1:24" ht="18.75" customHeight="1" x14ac:dyDescent="0.3">
      <c r="A1869" s="2651">
        <v>1055</v>
      </c>
      <c r="B1869" s="1122" t="s">
        <v>2332</v>
      </c>
      <c r="C1869" s="216" t="s">
        <v>1344</v>
      </c>
      <c r="D1869" s="416" t="s">
        <v>1146</v>
      </c>
      <c r="E1869" s="217" t="s">
        <v>2351</v>
      </c>
      <c r="F1869" s="218" t="s">
        <v>2334</v>
      </c>
      <c r="G1869" s="116">
        <v>4950</v>
      </c>
      <c r="H1869" s="1776" t="s">
        <v>1349</v>
      </c>
      <c r="J1869" s="224"/>
      <c r="K1869" s="34" t="s">
        <v>25</v>
      </c>
      <c r="L1869" s="475"/>
      <c r="M1869" s="224"/>
      <c r="N1869" s="224"/>
      <c r="O1869" s="2628" t="s">
        <v>6395</v>
      </c>
      <c r="P1869" s="1">
        <v>1055</v>
      </c>
      <c r="T1869" s="224"/>
      <c r="U1869" s="34" t="s">
        <v>25</v>
      </c>
      <c r="V1869" s="475"/>
      <c r="W1869" s="224"/>
      <c r="X1869" s="224"/>
    </row>
    <row r="1870" spans="1:24" ht="18.75" customHeight="1" x14ac:dyDescent="0.3">
      <c r="A1870" s="2652">
        <v>1056</v>
      </c>
      <c r="B1870" s="1122" t="s">
        <v>2332</v>
      </c>
      <c r="C1870" s="216" t="s">
        <v>1344</v>
      </c>
      <c r="D1870" s="416" t="s">
        <v>1146</v>
      </c>
      <c r="E1870" s="217" t="s">
        <v>2352</v>
      </c>
      <c r="F1870" s="218" t="s">
        <v>2334</v>
      </c>
      <c r="G1870" s="116">
        <v>4950</v>
      </c>
      <c r="H1870" s="1776" t="s">
        <v>1349</v>
      </c>
      <c r="J1870" s="224"/>
      <c r="K1870" s="34" t="s">
        <v>25</v>
      </c>
      <c r="L1870" s="475"/>
      <c r="M1870" s="224"/>
      <c r="N1870" s="224"/>
      <c r="O1870" s="2628" t="s">
        <v>6395</v>
      </c>
      <c r="P1870" s="1">
        <v>1056</v>
      </c>
      <c r="T1870" s="224"/>
      <c r="U1870" s="34" t="s">
        <v>25</v>
      </c>
      <c r="V1870" s="475"/>
      <c r="W1870" s="224"/>
      <c r="X1870" s="224"/>
    </row>
    <row r="1871" spans="1:24" ht="18.75" customHeight="1" x14ac:dyDescent="0.3">
      <c r="A1871" s="2651">
        <v>1057</v>
      </c>
      <c r="B1871" s="1122" t="s">
        <v>2332</v>
      </c>
      <c r="C1871" s="216" t="s">
        <v>1344</v>
      </c>
      <c r="D1871" s="416" t="s">
        <v>1146</v>
      </c>
      <c r="E1871" s="217" t="s">
        <v>2353</v>
      </c>
      <c r="F1871" s="218" t="s">
        <v>2334</v>
      </c>
      <c r="G1871" s="116">
        <v>4950</v>
      </c>
      <c r="H1871" s="1776" t="s">
        <v>1349</v>
      </c>
      <c r="J1871" s="224"/>
      <c r="K1871" s="34" t="s">
        <v>25</v>
      </c>
      <c r="L1871" s="475"/>
      <c r="M1871" s="224"/>
      <c r="N1871" s="224"/>
      <c r="O1871" s="2628" t="s">
        <v>6395</v>
      </c>
      <c r="P1871" s="1">
        <v>1057</v>
      </c>
      <c r="T1871" s="224"/>
      <c r="U1871" s="34" t="s">
        <v>25</v>
      </c>
      <c r="V1871" s="475"/>
      <c r="W1871" s="224"/>
      <c r="X1871" s="224"/>
    </row>
    <row r="1872" spans="1:24" ht="18.75" customHeight="1" x14ac:dyDescent="0.3">
      <c r="A1872" s="2651">
        <v>1058</v>
      </c>
      <c r="B1872" s="1122" t="s">
        <v>2332</v>
      </c>
      <c r="C1872" s="216" t="s">
        <v>1344</v>
      </c>
      <c r="D1872" s="416" t="s">
        <v>1146</v>
      </c>
      <c r="E1872" s="217" t="s">
        <v>2354</v>
      </c>
      <c r="F1872" s="218" t="s">
        <v>2334</v>
      </c>
      <c r="G1872" s="116">
        <v>4950</v>
      </c>
      <c r="H1872" s="1776" t="s">
        <v>1349</v>
      </c>
      <c r="J1872" s="224"/>
      <c r="K1872" s="34" t="s">
        <v>25</v>
      </c>
      <c r="L1872" s="475"/>
      <c r="M1872" s="224"/>
      <c r="N1872" s="224"/>
      <c r="O1872" s="2628" t="s">
        <v>6395</v>
      </c>
      <c r="P1872" s="1">
        <v>1058</v>
      </c>
      <c r="T1872" s="224"/>
      <c r="U1872" s="34" t="s">
        <v>25</v>
      </c>
      <c r="V1872" s="475"/>
      <c r="W1872" s="224"/>
      <c r="X1872" s="224"/>
    </row>
    <row r="1873" spans="1:24" ht="18.75" customHeight="1" x14ac:dyDescent="0.3">
      <c r="A1873" s="2652">
        <v>1059</v>
      </c>
      <c r="B1873" s="1122" t="s">
        <v>2332</v>
      </c>
      <c r="C1873" s="216" t="s">
        <v>1344</v>
      </c>
      <c r="D1873" s="416" t="s">
        <v>1146</v>
      </c>
      <c r="E1873" s="217" t="s">
        <v>2355</v>
      </c>
      <c r="F1873" s="218" t="s">
        <v>2334</v>
      </c>
      <c r="G1873" s="116">
        <v>4950</v>
      </c>
      <c r="H1873" s="1776" t="s">
        <v>1349</v>
      </c>
      <c r="J1873" s="224"/>
      <c r="K1873" s="34" t="s">
        <v>25</v>
      </c>
      <c r="L1873" s="475"/>
      <c r="M1873" s="224"/>
      <c r="N1873" s="224"/>
      <c r="O1873" s="2628" t="s">
        <v>6395</v>
      </c>
      <c r="P1873" s="1">
        <v>1059</v>
      </c>
      <c r="T1873" s="224"/>
      <c r="U1873" s="34" t="s">
        <v>25</v>
      </c>
      <c r="V1873" s="475"/>
      <c r="W1873" s="224"/>
      <c r="X1873" s="224"/>
    </row>
    <row r="1874" spans="1:24" ht="18.75" customHeight="1" x14ac:dyDescent="0.3">
      <c r="A1874" s="2651">
        <v>1060</v>
      </c>
      <c r="B1874" s="1122" t="s">
        <v>2332</v>
      </c>
      <c r="C1874" s="216" t="s">
        <v>1344</v>
      </c>
      <c r="D1874" s="416" t="s">
        <v>1146</v>
      </c>
      <c r="E1874" s="217" t="s">
        <v>2356</v>
      </c>
      <c r="F1874" s="218" t="s">
        <v>2334</v>
      </c>
      <c r="G1874" s="116">
        <v>4950</v>
      </c>
      <c r="H1874" s="1776" t="s">
        <v>1349</v>
      </c>
      <c r="J1874" s="224"/>
      <c r="K1874" s="34" t="s">
        <v>25</v>
      </c>
      <c r="L1874" s="475"/>
      <c r="M1874" s="224"/>
      <c r="N1874" s="224"/>
      <c r="O1874" s="2628" t="s">
        <v>6395</v>
      </c>
      <c r="P1874" s="1">
        <v>1060</v>
      </c>
      <c r="T1874" s="224"/>
      <c r="U1874" s="34" t="s">
        <v>25</v>
      </c>
      <c r="V1874" s="475"/>
      <c r="W1874" s="224"/>
      <c r="X1874" s="224"/>
    </row>
    <row r="1875" spans="1:24" ht="18.75" customHeight="1" x14ac:dyDescent="0.3">
      <c r="A1875" s="2651">
        <v>1061</v>
      </c>
      <c r="B1875" s="1122" t="s">
        <v>2332</v>
      </c>
      <c r="C1875" s="216" t="s">
        <v>1344</v>
      </c>
      <c r="D1875" s="416" t="s">
        <v>1146</v>
      </c>
      <c r="E1875" s="217" t="s">
        <v>2357</v>
      </c>
      <c r="F1875" s="218" t="s">
        <v>2334</v>
      </c>
      <c r="G1875" s="116">
        <v>4950</v>
      </c>
      <c r="H1875" s="1776" t="s">
        <v>1349</v>
      </c>
      <c r="J1875" s="224"/>
      <c r="K1875" s="34" t="s">
        <v>25</v>
      </c>
      <c r="L1875" s="475"/>
      <c r="M1875" s="224"/>
      <c r="N1875" s="224"/>
      <c r="O1875" s="2628" t="s">
        <v>6395</v>
      </c>
      <c r="P1875" s="1">
        <v>1061</v>
      </c>
      <c r="T1875" s="224"/>
      <c r="U1875" s="34" t="s">
        <v>25</v>
      </c>
      <c r="V1875" s="475"/>
      <c r="W1875" s="224"/>
      <c r="X1875" s="224"/>
    </row>
    <row r="1876" spans="1:24" ht="18.75" customHeight="1" x14ac:dyDescent="0.3">
      <c r="A1876" s="2652">
        <v>1062</v>
      </c>
      <c r="B1876" s="1122" t="s">
        <v>2332</v>
      </c>
      <c r="C1876" s="216" t="s">
        <v>1344</v>
      </c>
      <c r="D1876" s="416" t="s">
        <v>1146</v>
      </c>
      <c r="E1876" s="217" t="s">
        <v>2358</v>
      </c>
      <c r="F1876" s="218" t="s">
        <v>2334</v>
      </c>
      <c r="G1876" s="116">
        <v>4950</v>
      </c>
      <c r="H1876" s="1776" t="s">
        <v>1349</v>
      </c>
      <c r="J1876" s="224"/>
      <c r="K1876" s="34" t="s">
        <v>25</v>
      </c>
      <c r="L1876" s="475"/>
      <c r="M1876" s="224"/>
      <c r="N1876" s="224"/>
      <c r="O1876" s="2628" t="s">
        <v>6395</v>
      </c>
      <c r="P1876" s="1">
        <v>1062</v>
      </c>
      <c r="T1876" s="224"/>
      <c r="U1876" s="34" t="s">
        <v>25</v>
      </c>
      <c r="V1876" s="475"/>
      <c r="W1876" s="224"/>
      <c r="X1876" s="224"/>
    </row>
    <row r="1877" spans="1:24" ht="18.75" customHeight="1" x14ac:dyDescent="0.3">
      <c r="A1877" s="2651">
        <v>1063</v>
      </c>
      <c r="B1877" s="1122" t="s">
        <v>2332</v>
      </c>
      <c r="C1877" s="216" t="s">
        <v>1344</v>
      </c>
      <c r="D1877" s="416" t="s">
        <v>1146</v>
      </c>
      <c r="E1877" s="217" t="s">
        <v>2359</v>
      </c>
      <c r="F1877" s="218" t="s">
        <v>2334</v>
      </c>
      <c r="G1877" s="116">
        <v>4950</v>
      </c>
      <c r="H1877" s="1776" t="s">
        <v>1349</v>
      </c>
      <c r="J1877" s="224"/>
      <c r="K1877" s="34" t="s">
        <v>25</v>
      </c>
      <c r="L1877" s="475"/>
      <c r="M1877" s="224"/>
      <c r="N1877" s="224"/>
      <c r="O1877" s="2628" t="s">
        <v>6395</v>
      </c>
      <c r="P1877" s="1">
        <v>1063</v>
      </c>
      <c r="T1877" s="224"/>
      <c r="U1877" s="34" t="s">
        <v>25</v>
      </c>
      <c r="V1877" s="475"/>
      <c r="W1877" s="224"/>
      <c r="X1877" s="224"/>
    </row>
    <row r="1878" spans="1:24" ht="18.75" customHeight="1" x14ac:dyDescent="0.3">
      <c r="A1878" s="2651">
        <v>1064</v>
      </c>
      <c r="B1878" s="1122" t="s">
        <v>2332</v>
      </c>
      <c r="C1878" s="216" t="s">
        <v>1344</v>
      </c>
      <c r="D1878" s="416" t="s">
        <v>1146</v>
      </c>
      <c r="E1878" s="217" t="s">
        <v>2360</v>
      </c>
      <c r="F1878" s="218" t="s">
        <v>2334</v>
      </c>
      <c r="G1878" s="116">
        <v>4950</v>
      </c>
      <c r="H1878" s="1776" t="s">
        <v>1349</v>
      </c>
      <c r="J1878" s="224"/>
      <c r="K1878" s="34" t="s">
        <v>25</v>
      </c>
      <c r="L1878" s="475"/>
      <c r="M1878" s="224"/>
      <c r="N1878" s="224"/>
      <c r="O1878" s="2628" t="s">
        <v>6395</v>
      </c>
      <c r="P1878" s="1">
        <v>1064</v>
      </c>
      <c r="T1878" s="224"/>
      <c r="U1878" s="34" t="s">
        <v>25</v>
      </c>
      <c r="V1878" s="475"/>
      <c r="W1878" s="224"/>
      <c r="X1878" s="224"/>
    </row>
    <row r="1879" spans="1:24" ht="18.75" customHeight="1" x14ac:dyDescent="0.3">
      <c r="A1879" s="2652">
        <v>1065</v>
      </c>
      <c r="B1879" s="1122" t="s">
        <v>2332</v>
      </c>
      <c r="C1879" s="216" t="s">
        <v>1344</v>
      </c>
      <c r="D1879" s="416" t="s">
        <v>1146</v>
      </c>
      <c r="E1879" s="217" t="s">
        <v>2361</v>
      </c>
      <c r="F1879" s="218" t="s">
        <v>2334</v>
      </c>
      <c r="G1879" s="116">
        <v>4950</v>
      </c>
      <c r="H1879" s="1776" t="s">
        <v>1349</v>
      </c>
      <c r="J1879" s="224"/>
      <c r="K1879" s="34" t="s">
        <v>25</v>
      </c>
      <c r="L1879" s="475"/>
      <c r="M1879" s="224"/>
      <c r="N1879" s="224"/>
      <c r="O1879" s="2628" t="s">
        <v>6395</v>
      </c>
      <c r="P1879" s="1">
        <v>1065</v>
      </c>
      <c r="T1879" s="224"/>
      <c r="U1879" s="34" t="s">
        <v>25</v>
      </c>
      <c r="V1879" s="475"/>
      <c r="W1879" s="224"/>
      <c r="X1879" s="224"/>
    </row>
    <row r="1880" spans="1:24" ht="18.75" customHeight="1" x14ac:dyDescent="0.3">
      <c r="A1880" s="2651">
        <v>1066</v>
      </c>
      <c r="B1880" s="1122" t="s">
        <v>2332</v>
      </c>
      <c r="C1880" s="216" t="s">
        <v>1344</v>
      </c>
      <c r="D1880" s="416" t="s">
        <v>1146</v>
      </c>
      <c r="E1880" s="217" t="s">
        <v>2362</v>
      </c>
      <c r="F1880" s="218" t="s">
        <v>2334</v>
      </c>
      <c r="G1880" s="116">
        <v>4950</v>
      </c>
      <c r="H1880" s="1776" t="s">
        <v>1349</v>
      </c>
      <c r="J1880" s="224"/>
      <c r="K1880" s="34" t="s">
        <v>25</v>
      </c>
      <c r="L1880" s="475"/>
      <c r="M1880" s="224"/>
      <c r="N1880" s="224"/>
      <c r="O1880" s="2628" t="s">
        <v>6395</v>
      </c>
      <c r="P1880" s="1">
        <v>1066</v>
      </c>
      <c r="T1880" s="224"/>
      <c r="U1880" s="34" t="s">
        <v>25</v>
      </c>
      <c r="V1880" s="475"/>
      <c r="W1880" s="224"/>
      <c r="X1880" s="224"/>
    </row>
    <row r="1881" spans="1:24" ht="18.75" customHeight="1" x14ac:dyDescent="0.3">
      <c r="A1881" s="2651">
        <v>1067</v>
      </c>
      <c r="B1881" s="1122" t="s">
        <v>2332</v>
      </c>
      <c r="C1881" s="216" t="s">
        <v>1344</v>
      </c>
      <c r="D1881" s="416" t="s">
        <v>1146</v>
      </c>
      <c r="E1881" s="217" t="s">
        <v>2363</v>
      </c>
      <c r="F1881" s="218" t="s">
        <v>2334</v>
      </c>
      <c r="G1881" s="116">
        <v>4950</v>
      </c>
      <c r="H1881" s="1776" t="s">
        <v>1349</v>
      </c>
      <c r="J1881" s="224"/>
      <c r="K1881" s="34" t="s">
        <v>25</v>
      </c>
      <c r="L1881" s="475"/>
      <c r="M1881" s="224"/>
      <c r="N1881" s="224"/>
      <c r="O1881" s="2628" t="s">
        <v>6395</v>
      </c>
      <c r="P1881" s="1">
        <v>1067</v>
      </c>
      <c r="T1881" s="224"/>
      <c r="U1881" s="34" t="s">
        <v>25</v>
      </c>
      <c r="V1881" s="475"/>
      <c r="W1881" s="224"/>
      <c r="X1881" s="224"/>
    </row>
    <row r="1882" spans="1:24" ht="18.75" customHeight="1" x14ac:dyDescent="0.3">
      <c r="A1882" s="2652">
        <v>1068</v>
      </c>
      <c r="B1882" s="1122" t="s">
        <v>2332</v>
      </c>
      <c r="C1882" s="1117" t="s">
        <v>1344</v>
      </c>
      <c r="D1882" s="452" t="s">
        <v>1146</v>
      </c>
      <c r="E1882" s="217" t="s">
        <v>2364</v>
      </c>
      <c r="F1882" s="218" t="s">
        <v>2334</v>
      </c>
      <c r="G1882" s="116">
        <v>4950</v>
      </c>
      <c r="H1882" s="1776" t="s">
        <v>1349</v>
      </c>
      <c r="J1882" s="224"/>
      <c r="K1882" s="34" t="s">
        <v>25</v>
      </c>
      <c r="L1882" s="475"/>
      <c r="M1882" s="224"/>
      <c r="N1882" s="224"/>
      <c r="O1882" s="2628" t="s">
        <v>6395</v>
      </c>
      <c r="P1882" s="1">
        <v>1068</v>
      </c>
      <c r="T1882" s="224"/>
      <c r="U1882" s="34" t="s">
        <v>25</v>
      </c>
      <c r="V1882" s="475"/>
      <c r="W1882" s="224"/>
      <c r="X1882" s="224"/>
    </row>
    <row r="1883" spans="1:24" ht="18.75" customHeight="1" x14ac:dyDescent="0.3">
      <c r="A1883" s="2651">
        <v>1069</v>
      </c>
      <c r="B1883" s="1122" t="s">
        <v>2332</v>
      </c>
      <c r="C1883" s="1117" t="s">
        <v>1344</v>
      </c>
      <c r="D1883" s="793" t="s">
        <v>1146</v>
      </c>
      <c r="E1883" s="217" t="s">
        <v>2365</v>
      </c>
      <c r="F1883" s="218" t="s">
        <v>2334</v>
      </c>
      <c r="G1883" s="116">
        <v>4950</v>
      </c>
      <c r="H1883" s="1776" t="s">
        <v>1349</v>
      </c>
      <c r="J1883" s="224"/>
      <c r="K1883" s="34" t="s">
        <v>25</v>
      </c>
      <c r="L1883" s="475"/>
      <c r="M1883" s="224"/>
      <c r="N1883" s="224"/>
      <c r="O1883" s="2628" t="s">
        <v>6395</v>
      </c>
      <c r="P1883" s="1">
        <v>1069</v>
      </c>
      <c r="T1883" s="224"/>
      <c r="U1883" s="34" t="s">
        <v>25</v>
      </c>
      <c r="V1883" s="475"/>
      <c r="W1883" s="224"/>
      <c r="X1883" s="224"/>
    </row>
    <row r="1884" spans="1:24" ht="18.75" customHeight="1" x14ac:dyDescent="0.3">
      <c r="A1884" s="2651">
        <v>1070</v>
      </c>
      <c r="B1884" s="1122" t="s">
        <v>2332</v>
      </c>
      <c r="C1884" s="1117" t="s">
        <v>1344</v>
      </c>
      <c r="D1884" s="416" t="s">
        <v>1146</v>
      </c>
      <c r="E1884" s="217" t="s">
        <v>2366</v>
      </c>
      <c r="F1884" s="218" t="s">
        <v>2334</v>
      </c>
      <c r="G1884" s="116">
        <v>4950</v>
      </c>
      <c r="H1884" s="1776" t="s">
        <v>1349</v>
      </c>
      <c r="J1884" s="224"/>
      <c r="K1884" s="34" t="s">
        <v>25</v>
      </c>
      <c r="L1884" s="475"/>
      <c r="M1884" s="224"/>
      <c r="N1884" s="224"/>
      <c r="O1884" s="2628" t="s">
        <v>6395</v>
      </c>
      <c r="P1884" s="1">
        <v>1070</v>
      </c>
      <c r="T1884" s="224"/>
      <c r="U1884" s="34" t="s">
        <v>25</v>
      </c>
      <c r="V1884" s="475"/>
      <c r="W1884" s="224"/>
      <c r="X1884" s="224"/>
    </row>
    <row r="1885" spans="1:24" ht="18.75" customHeight="1" x14ac:dyDescent="0.3">
      <c r="A1885" s="2652">
        <v>1071</v>
      </c>
      <c r="B1885" s="1122" t="s">
        <v>2332</v>
      </c>
      <c r="C1885" s="1117" t="s">
        <v>1344</v>
      </c>
      <c r="D1885" s="416" t="s">
        <v>1146</v>
      </c>
      <c r="E1885" s="217" t="s">
        <v>2367</v>
      </c>
      <c r="F1885" s="218" t="s">
        <v>2334</v>
      </c>
      <c r="G1885" s="116">
        <v>4950</v>
      </c>
      <c r="H1885" s="1776" t="s">
        <v>1349</v>
      </c>
      <c r="J1885" s="224"/>
      <c r="K1885" s="34" t="s">
        <v>25</v>
      </c>
      <c r="L1885" s="475"/>
      <c r="M1885" s="224"/>
      <c r="N1885" s="224"/>
      <c r="O1885" s="2628" t="s">
        <v>6395</v>
      </c>
      <c r="P1885" s="1">
        <v>1071</v>
      </c>
      <c r="T1885" s="224"/>
      <c r="U1885" s="34" t="s">
        <v>25</v>
      </c>
      <c r="V1885" s="475"/>
      <c r="W1885" s="224"/>
      <c r="X1885" s="224"/>
    </row>
    <row r="1886" spans="1:24" ht="18.75" customHeight="1" x14ac:dyDescent="0.3">
      <c r="A1886" s="2651">
        <v>1072</v>
      </c>
      <c r="B1886" s="1122" t="s">
        <v>2332</v>
      </c>
      <c r="C1886" s="1117" t="s">
        <v>1344</v>
      </c>
      <c r="D1886" s="416" t="s">
        <v>1146</v>
      </c>
      <c r="E1886" s="217" t="s">
        <v>2368</v>
      </c>
      <c r="F1886" s="218" t="s">
        <v>2334</v>
      </c>
      <c r="G1886" s="116">
        <v>4950</v>
      </c>
      <c r="H1886" s="1776" t="s">
        <v>1349</v>
      </c>
      <c r="J1886" s="224"/>
      <c r="K1886" s="34" t="s">
        <v>25</v>
      </c>
      <c r="L1886" s="475"/>
      <c r="M1886" s="224"/>
      <c r="N1886" s="224"/>
      <c r="O1886" s="2628" t="s">
        <v>6395</v>
      </c>
      <c r="P1886" s="1">
        <v>1072</v>
      </c>
      <c r="T1886" s="224"/>
      <c r="U1886" s="34" t="s">
        <v>25</v>
      </c>
      <c r="V1886" s="475"/>
      <c r="W1886" s="224"/>
      <c r="X1886" s="224"/>
    </row>
    <row r="1887" spans="1:24" ht="18.75" customHeight="1" x14ac:dyDescent="0.3">
      <c r="A1887" s="2651">
        <v>1073</v>
      </c>
      <c r="B1887" s="1122" t="s">
        <v>2332</v>
      </c>
      <c r="C1887" s="1117" t="s">
        <v>1344</v>
      </c>
      <c r="D1887" s="416" t="s">
        <v>1146</v>
      </c>
      <c r="E1887" s="217" t="s">
        <v>2369</v>
      </c>
      <c r="F1887" s="218" t="s">
        <v>2334</v>
      </c>
      <c r="G1887" s="116">
        <v>4950</v>
      </c>
      <c r="H1887" s="1776" t="s">
        <v>1349</v>
      </c>
      <c r="J1887" s="224"/>
      <c r="K1887" s="34" t="s">
        <v>25</v>
      </c>
      <c r="L1887" s="475"/>
      <c r="M1887" s="224"/>
      <c r="N1887" s="224"/>
      <c r="O1887" s="2628" t="s">
        <v>6395</v>
      </c>
      <c r="P1887" s="1">
        <v>1073</v>
      </c>
      <c r="T1887" s="224"/>
      <c r="U1887" s="34" t="s">
        <v>25</v>
      </c>
      <c r="V1887" s="475"/>
      <c r="W1887" s="224"/>
      <c r="X1887" s="224"/>
    </row>
    <row r="1888" spans="1:24" ht="18.75" customHeight="1" x14ac:dyDescent="0.3">
      <c r="A1888" s="2652">
        <v>1074</v>
      </c>
      <c r="B1888" s="1122" t="s">
        <v>2332</v>
      </c>
      <c r="C1888" s="1117" t="s">
        <v>1344</v>
      </c>
      <c r="D1888" s="416" t="s">
        <v>1146</v>
      </c>
      <c r="E1888" s="217" t="s">
        <v>2370</v>
      </c>
      <c r="F1888" s="218" t="s">
        <v>2334</v>
      </c>
      <c r="G1888" s="116">
        <v>4950</v>
      </c>
      <c r="H1888" s="1776" t="s">
        <v>1349</v>
      </c>
      <c r="J1888" s="224"/>
      <c r="K1888" s="34" t="s">
        <v>25</v>
      </c>
      <c r="L1888" s="475"/>
      <c r="M1888" s="224"/>
      <c r="N1888" s="224"/>
      <c r="O1888" s="2628" t="s">
        <v>6395</v>
      </c>
      <c r="P1888" s="1">
        <v>1074</v>
      </c>
      <c r="T1888" s="224"/>
      <c r="U1888" s="34" t="s">
        <v>25</v>
      </c>
      <c r="V1888" s="475"/>
      <c r="W1888" s="224"/>
      <c r="X1888" s="224"/>
    </row>
    <row r="1889" spans="1:24" ht="18.75" customHeight="1" x14ac:dyDescent="0.3">
      <c r="A1889" s="2651">
        <v>1075</v>
      </c>
      <c r="B1889" s="1122" t="s">
        <v>2332</v>
      </c>
      <c r="C1889" s="1117" t="s">
        <v>1344</v>
      </c>
      <c r="D1889" s="416" t="s">
        <v>1146</v>
      </c>
      <c r="E1889" s="217" t="s">
        <v>2371</v>
      </c>
      <c r="F1889" s="218" t="s">
        <v>2334</v>
      </c>
      <c r="G1889" s="116">
        <v>4950</v>
      </c>
      <c r="H1889" s="1776" t="s">
        <v>1349</v>
      </c>
      <c r="J1889" s="224"/>
      <c r="K1889" s="34" t="s">
        <v>25</v>
      </c>
      <c r="L1889" s="475"/>
      <c r="M1889" s="224"/>
      <c r="N1889" s="224"/>
      <c r="O1889" s="2628" t="s">
        <v>6395</v>
      </c>
      <c r="P1889" s="1">
        <v>1075</v>
      </c>
      <c r="T1889" s="224"/>
      <c r="U1889" s="34" t="s">
        <v>25</v>
      </c>
      <c r="V1889" s="475"/>
      <c r="W1889" s="224"/>
      <c r="X1889" s="224"/>
    </row>
    <row r="1890" spans="1:24" ht="18.75" customHeight="1" x14ac:dyDescent="0.3">
      <c r="A1890" s="2651">
        <v>1076</v>
      </c>
      <c r="B1890" s="1122" t="s">
        <v>2332</v>
      </c>
      <c r="C1890" s="1117" t="s">
        <v>1344</v>
      </c>
      <c r="D1890" s="416" t="s">
        <v>1146</v>
      </c>
      <c r="E1890" s="217" t="s">
        <v>2372</v>
      </c>
      <c r="F1890" s="218" t="s">
        <v>2334</v>
      </c>
      <c r="G1890" s="116">
        <v>4950</v>
      </c>
      <c r="H1890" s="1776" t="s">
        <v>1349</v>
      </c>
      <c r="J1890" s="224"/>
      <c r="K1890" s="34" t="s">
        <v>25</v>
      </c>
      <c r="L1890" s="475"/>
      <c r="M1890" s="224"/>
      <c r="N1890" s="224"/>
      <c r="O1890" s="2628" t="s">
        <v>6395</v>
      </c>
      <c r="P1890" s="1">
        <v>1076</v>
      </c>
      <c r="T1890" s="224"/>
      <c r="U1890" s="34" t="s">
        <v>25</v>
      </c>
      <c r="V1890" s="475"/>
      <c r="W1890" s="224"/>
      <c r="X1890" s="224"/>
    </row>
    <row r="1891" spans="1:24" ht="18.75" customHeight="1" x14ac:dyDescent="0.3">
      <c r="A1891" s="2652">
        <v>1077</v>
      </c>
      <c r="B1891" s="1122" t="s">
        <v>2332</v>
      </c>
      <c r="C1891" s="1117" t="s">
        <v>1344</v>
      </c>
      <c r="D1891" s="416" t="s">
        <v>1146</v>
      </c>
      <c r="E1891" s="217" t="s">
        <v>2373</v>
      </c>
      <c r="F1891" s="218" t="s">
        <v>2334</v>
      </c>
      <c r="G1891" s="116">
        <v>4950</v>
      </c>
      <c r="H1891" s="1776" t="s">
        <v>1349</v>
      </c>
      <c r="J1891" s="224"/>
      <c r="K1891" s="34" t="s">
        <v>25</v>
      </c>
      <c r="L1891" s="475"/>
      <c r="M1891" s="224"/>
      <c r="N1891" s="224"/>
      <c r="O1891" s="2628" t="s">
        <v>6395</v>
      </c>
      <c r="P1891" s="1">
        <v>1077</v>
      </c>
      <c r="T1891" s="224"/>
      <c r="U1891" s="34" t="s">
        <v>25</v>
      </c>
      <c r="V1891" s="475"/>
      <c r="W1891" s="224"/>
      <c r="X1891" s="224"/>
    </row>
    <row r="1892" spans="1:24" ht="18.75" customHeight="1" x14ac:dyDescent="0.3">
      <c r="A1892" s="2651">
        <v>1078</v>
      </c>
      <c r="B1892" s="1122" t="s">
        <v>2332</v>
      </c>
      <c r="C1892" s="1117" t="s">
        <v>1344</v>
      </c>
      <c r="D1892" s="416" t="s">
        <v>1146</v>
      </c>
      <c r="E1892" s="217" t="s">
        <v>2374</v>
      </c>
      <c r="F1892" s="218" t="s">
        <v>2334</v>
      </c>
      <c r="G1892" s="116">
        <v>4950</v>
      </c>
      <c r="H1892" s="1776" t="s">
        <v>1349</v>
      </c>
      <c r="J1892" s="224"/>
      <c r="K1892" s="34" t="s">
        <v>25</v>
      </c>
      <c r="L1892" s="475"/>
      <c r="M1892" s="224"/>
      <c r="N1892" s="224"/>
      <c r="O1892" s="2628" t="s">
        <v>6395</v>
      </c>
      <c r="P1892" s="1">
        <v>1078</v>
      </c>
      <c r="T1892" s="224"/>
      <c r="U1892" s="34" t="s">
        <v>25</v>
      </c>
      <c r="V1892" s="475"/>
      <c r="W1892" s="224"/>
      <c r="X1892" s="224"/>
    </row>
    <row r="1893" spans="1:24" ht="18.75" customHeight="1" x14ac:dyDescent="0.3">
      <c r="A1893" s="2651">
        <v>1079</v>
      </c>
      <c r="B1893" s="1122" t="s">
        <v>2332</v>
      </c>
      <c r="C1893" s="1117" t="s">
        <v>1344</v>
      </c>
      <c r="D1893" s="416" t="s">
        <v>1146</v>
      </c>
      <c r="E1893" s="217" t="s">
        <v>2375</v>
      </c>
      <c r="F1893" s="218" t="s">
        <v>2334</v>
      </c>
      <c r="G1893" s="116">
        <v>4950</v>
      </c>
      <c r="H1893" s="1776" t="s">
        <v>1349</v>
      </c>
      <c r="J1893" s="224"/>
      <c r="K1893" s="34" t="s">
        <v>25</v>
      </c>
      <c r="L1893" s="475"/>
      <c r="M1893" s="224"/>
      <c r="N1893" s="224"/>
      <c r="O1893" s="2628" t="s">
        <v>6395</v>
      </c>
      <c r="P1893" s="1">
        <v>1079</v>
      </c>
      <c r="T1893" s="224"/>
      <c r="U1893" s="34" t="s">
        <v>25</v>
      </c>
      <c r="V1893" s="475"/>
      <c r="W1893" s="224"/>
      <c r="X1893" s="224"/>
    </row>
    <row r="1894" spans="1:24" ht="18.75" customHeight="1" x14ac:dyDescent="0.3">
      <c r="A1894" s="2652">
        <v>1080</v>
      </c>
      <c r="B1894" s="1122" t="s">
        <v>2332</v>
      </c>
      <c r="C1894" s="1117" t="s">
        <v>1344</v>
      </c>
      <c r="D1894" s="452" t="s">
        <v>1146</v>
      </c>
      <c r="E1894" s="217" t="s">
        <v>2376</v>
      </c>
      <c r="F1894" s="218" t="s">
        <v>2334</v>
      </c>
      <c r="G1894" s="116">
        <v>4950</v>
      </c>
      <c r="H1894" s="1776" t="s">
        <v>1349</v>
      </c>
      <c r="J1894" s="224"/>
      <c r="K1894" s="34" t="s">
        <v>25</v>
      </c>
      <c r="L1894" s="475"/>
      <c r="M1894" s="224"/>
      <c r="N1894" s="224"/>
      <c r="O1894" s="2628" t="s">
        <v>6395</v>
      </c>
      <c r="P1894" s="1">
        <v>1080</v>
      </c>
      <c r="T1894" s="224"/>
      <c r="U1894" s="34" t="s">
        <v>25</v>
      </c>
      <c r="V1894" s="475"/>
      <c r="W1894" s="224"/>
      <c r="X1894" s="224"/>
    </row>
    <row r="1895" spans="1:24" ht="18.75" customHeight="1" x14ac:dyDescent="0.3">
      <c r="A1895" s="2651">
        <v>1081</v>
      </c>
      <c r="B1895" s="1122" t="s">
        <v>2332</v>
      </c>
      <c r="C1895" s="1117" t="s">
        <v>1344</v>
      </c>
      <c r="D1895" s="793" t="s">
        <v>1146</v>
      </c>
      <c r="E1895" s="217" t="s">
        <v>2377</v>
      </c>
      <c r="F1895" s="218" t="s">
        <v>2334</v>
      </c>
      <c r="G1895" s="116">
        <v>4950</v>
      </c>
      <c r="H1895" s="1776" t="s">
        <v>1349</v>
      </c>
      <c r="J1895" s="224"/>
      <c r="K1895" s="34" t="s">
        <v>25</v>
      </c>
      <c r="L1895" s="475"/>
      <c r="M1895" s="224"/>
      <c r="N1895" s="224"/>
      <c r="O1895" s="2628" t="s">
        <v>6395</v>
      </c>
      <c r="P1895" s="1">
        <v>1081</v>
      </c>
      <c r="T1895" s="224"/>
      <c r="U1895" s="34" t="s">
        <v>25</v>
      </c>
      <c r="V1895" s="475"/>
      <c r="W1895" s="224"/>
      <c r="X1895" s="224"/>
    </row>
    <row r="1896" spans="1:24" ht="18.75" customHeight="1" x14ac:dyDescent="0.3">
      <c r="A1896" s="2651">
        <v>1082</v>
      </c>
      <c r="B1896" s="1122" t="s">
        <v>2332</v>
      </c>
      <c r="C1896" s="216" t="s">
        <v>1344</v>
      </c>
      <c r="D1896" s="416" t="s">
        <v>1146</v>
      </c>
      <c r="E1896" s="217" t="s">
        <v>2378</v>
      </c>
      <c r="F1896" s="218" t="s">
        <v>2334</v>
      </c>
      <c r="G1896" s="116">
        <v>4950</v>
      </c>
      <c r="H1896" s="1776" t="s">
        <v>1349</v>
      </c>
      <c r="J1896" s="224"/>
      <c r="K1896" s="34" t="s">
        <v>25</v>
      </c>
      <c r="L1896" s="475"/>
      <c r="M1896" s="224"/>
      <c r="N1896" s="224"/>
      <c r="O1896" s="2628" t="s">
        <v>6395</v>
      </c>
      <c r="P1896" s="1">
        <v>1082</v>
      </c>
      <c r="T1896" s="224"/>
      <c r="U1896" s="34" t="s">
        <v>25</v>
      </c>
      <c r="V1896" s="475"/>
      <c r="W1896" s="224"/>
      <c r="X1896" s="224"/>
    </row>
    <row r="1897" spans="1:24" ht="18.75" customHeight="1" x14ac:dyDescent="0.3">
      <c r="A1897" s="2652">
        <v>1083</v>
      </c>
      <c r="B1897" s="1122" t="s">
        <v>2332</v>
      </c>
      <c r="C1897" s="216" t="s">
        <v>1344</v>
      </c>
      <c r="D1897" s="416" t="s">
        <v>1146</v>
      </c>
      <c r="E1897" s="217" t="s">
        <v>2379</v>
      </c>
      <c r="F1897" s="218" t="s">
        <v>2334</v>
      </c>
      <c r="G1897" s="116">
        <v>4950</v>
      </c>
      <c r="H1897" s="1776" t="s">
        <v>1349</v>
      </c>
      <c r="J1897" s="224"/>
      <c r="K1897" s="34" t="s">
        <v>25</v>
      </c>
      <c r="L1897" s="475"/>
      <c r="M1897" s="224"/>
      <c r="N1897" s="224"/>
      <c r="O1897" s="2628" t="s">
        <v>6395</v>
      </c>
      <c r="P1897" s="1">
        <v>1083</v>
      </c>
      <c r="T1897" s="224"/>
      <c r="U1897" s="34" t="s">
        <v>25</v>
      </c>
      <c r="V1897" s="475"/>
      <c r="W1897" s="224"/>
      <c r="X1897" s="224"/>
    </row>
    <row r="1898" spans="1:24" ht="18.75" customHeight="1" x14ac:dyDescent="0.3">
      <c r="A1898" s="2651">
        <v>1084</v>
      </c>
      <c r="B1898" s="1122" t="s">
        <v>2332</v>
      </c>
      <c r="C1898" s="216" t="s">
        <v>1344</v>
      </c>
      <c r="D1898" s="416" t="s">
        <v>1146</v>
      </c>
      <c r="E1898" s="217" t="s">
        <v>2380</v>
      </c>
      <c r="F1898" s="218" t="s">
        <v>2334</v>
      </c>
      <c r="G1898" s="116">
        <v>4950</v>
      </c>
      <c r="H1898" s="1776" t="s">
        <v>1349</v>
      </c>
      <c r="J1898" s="224"/>
      <c r="K1898" s="34" t="s">
        <v>25</v>
      </c>
      <c r="L1898" s="475"/>
      <c r="M1898" s="224"/>
      <c r="N1898" s="224"/>
      <c r="O1898" s="2628" t="s">
        <v>6395</v>
      </c>
      <c r="P1898" s="1">
        <v>1084</v>
      </c>
      <c r="T1898" s="224"/>
      <c r="U1898" s="34" t="s">
        <v>25</v>
      </c>
      <c r="V1898" s="475"/>
      <c r="W1898" s="224"/>
      <c r="X1898" s="224"/>
    </row>
    <row r="1899" spans="1:24" ht="18.75" customHeight="1" x14ac:dyDescent="0.3">
      <c r="A1899" s="2651">
        <v>1085</v>
      </c>
      <c r="B1899" s="1122" t="s">
        <v>2332</v>
      </c>
      <c r="C1899" s="216" t="s">
        <v>1344</v>
      </c>
      <c r="D1899" s="416" t="s">
        <v>1146</v>
      </c>
      <c r="E1899" s="217" t="s">
        <v>2381</v>
      </c>
      <c r="F1899" s="218" t="s">
        <v>2334</v>
      </c>
      <c r="G1899" s="116">
        <v>4950</v>
      </c>
      <c r="H1899" s="1776" t="s">
        <v>1349</v>
      </c>
      <c r="J1899" s="224"/>
      <c r="K1899" s="34" t="s">
        <v>25</v>
      </c>
      <c r="L1899" s="475"/>
      <c r="M1899" s="224"/>
      <c r="N1899" s="224"/>
      <c r="O1899" s="2628" t="s">
        <v>6395</v>
      </c>
      <c r="P1899" s="1">
        <v>1085</v>
      </c>
      <c r="T1899" s="224"/>
      <c r="U1899" s="34" t="s">
        <v>25</v>
      </c>
      <c r="V1899" s="475"/>
      <c r="W1899" s="224"/>
      <c r="X1899" s="224"/>
    </row>
    <row r="1900" spans="1:24" ht="18.75" customHeight="1" x14ac:dyDescent="0.3">
      <c r="A1900" s="2652">
        <v>1086</v>
      </c>
      <c r="B1900" s="1122" t="s">
        <v>2332</v>
      </c>
      <c r="C1900" s="216" t="s">
        <v>1344</v>
      </c>
      <c r="D1900" s="416" t="s">
        <v>1146</v>
      </c>
      <c r="E1900" s="217" t="s">
        <v>2382</v>
      </c>
      <c r="F1900" s="218" t="s">
        <v>2334</v>
      </c>
      <c r="G1900" s="116">
        <v>4950</v>
      </c>
      <c r="H1900" s="1776" t="s">
        <v>1349</v>
      </c>
      <c r="J1900" s="224"/>
      <c r="K1900" s="34" t="s">
        <v>25</v>
      </c>
      <c r="L1900" s="475"/>
      <c r="M1900" s="224"/>
      <c r="N1900" s="224"/>
      <c r="O1900" s="2628" t="s">
        <v>6395</v>
      </c>
      <c r="P1900" s="1">
        <v>1086</v>
      </c>
      <c r="T1900" s="224"/>
      <c r="U1900" s="34" t="s">
        <v>25</v>
      </c>
      <c r="V1900" s="475"/>
      <c r="W1900" s="224"/>
      <c r="X1900" s="224"/>
    </row>
    <row r="1901" spans="1:24" ht="18.75" customHeight="1" x14ac:dyDescent="0.3">
      <c r="A1901" s="2651">
        <v>1087</v>
      </c>
      <c r="B1901" s="1122" t="s">
        <v>2332</v>
      </c>
      <c r="C1901" s="216" t="s">
        <v>1344</v>
      </c>
      <c r="D1901" s="416" t="s">
        <v>1146</v>
      </c>
      <c r="E1901" s="217" t="s">
        <v>2383</v>
      </c>
      <c r="F1901" s="218" t="s">
        <v>2334</v>
      </c>
      <c r="G1901" s="116">
        <v>4950</v>
      </c>
      <c r="H1901" s="1776" t="s">
        <v>1349</v>
      </c>
      <c r="J1901" s="224"/>
      <c r="K1901" s="34" t="s">
        <v>25</v>
      </c>
      <c r="L1901" s="475"/>
      <c r="M1901" s="224"/>
      <c r="N1901" s="224"/>
      <c r="O1901" s="2628" t="s">
        <v>6395</v>
      </c>
      <c r="P1901" s="1">
        <v>1087</v>
      </c>
      <c r="T1901" s="224"/>
      <c r="U1901" s="34" t="s">
        <v>25</v>
      </c>
      <c r="V1901" s="475"/>
      <c r="W1901" s="224"/>
      <c r="X1901" s="224"/>
    </row>
    <row r="1902" spans="1:24" ht="18.75" customHeight="1" x14ac:dyDescent="0.3">
      <c r="A1902" s="2651">
        <v>1088</v>
      </c>
      <c r="B1902" s="1122" t="s">
        <v>2332</v>
      </c>
      <c r="C1902" s="216" t="s">
        <v>1344</v>
      </c>
      <c r="D1902" s="416" t="s">
        <v>1146</v>
      </c>
      <c r="E1902" s="217" t="s">
        <v>2384</v>
      </c>
      <c r="F1902" s="218" t="s">
        <v>2334</v>
      </c>
      <c r="G1902" s="116">
        <v>4950</v>
      </c>
      <c r="H1902" s="1776" t="s">
        <v>1349</v>
      </c>
      <c r="J1902" s="224"/>
      <c r="K1902" s="34" t="s">
        <v>25</v>
      </c>
      <c r="L1902" s="475"/>
      <c r="M1902" s="224"/>
      <c r="N1902" s="224"/>
      <c r="O1902" s="2628" t="s">
        <v>6395</v>
      </c>
      <c r="P1902" s="1">
        <v>1088</v>
      </c>
      <c r="T1902" s="224"/>
      <c r="U1902" s="34" t="s">
        <v>25</v>
      </c>
      <c r="V1902" s="475"/>
      <c r="W1902" s="224"/>
      <c r="X1902" s="224"/>
    </row>
    <row r="1903" spans="1:24" ht="18.75" customHeight="1" x14ac:dyDescent="0.3">
      <c r="A1903" s="2652">
        <v>1089</v>
      </c>
      <c r="B1903" s="1122" t="s">
        <v>2332</v>
      </c>
      <c r="C1903" s="216" t="s">
        <v>1344</v>
      </c>
      <c r="D1903" s="416" t="s">
        <v>1146</v>
      </c>
      <c r="E1903" s="217" t="s">
        <v>2385</v>
      </c>
      <c r="F1903" s="218" t="s">
        <v>2334</v>
      </c>
      <c r="G1903" s="116">
        <v>4950</v>
      </c>
      <c r="H1903" s="1776" t="s">
        <v>1349</v>
      </c>
      <c r="J1903" s="224"/>
      <c r="K1903" s="34" t="s">
        <v>25</v>
      </c>
      <c r="L1903" s="475"/>
      <c r="M1903" s="224"/>
      <c r="N1903" s="224"/>
      <c r="O1903" s="2628" t="s">
        <v>6395</v>
      </c>
      <c r="P1903" s="1">
        <v>1089</v>
      </c>
      <c r="T1903" s="224"/>
      <c r="U1903" s="34" t="s">
        <v>25</v>
      </c>
      <c r="V1903" s="475"/>
      <c r="W1903" s="224"/>
      <c r="X1903" s="224"/>
    </row>
    <row r="1904" spans="1:24" ht="18.75" customHeight="1" x14ac:dyDescent="0.3">
      <c r="A1904" s="2651">
        <v>1090</v>
      </c>
      <c r="B1904" s="1122" t="s">
        <v>2332</v>
      </c>
      <c r="C1904" s="216" t="s">
        <v>1344</v>
      </c>
      <c r="D1904" s="416" t="s">
        <v>1146</v>
      </c>
      <c r="E1904" s="217" t="s">
        <v>2386</v>
      </c>
      <c r="F1904" s="218" t="s">
        <v>2334</v>
      </c>
      <c r="G1904" s="116">
        <v>4950</v>
      </c>
      <c r="H1904" s="1776" t="s">
        <v>1349</v>
      </c>
      <c r="J1904" s="224"/>
      <c r="K1904" s="34" t="s">
        <v>25</v>
      </c>
      <c r="L1904" s="475"/>
      <c r="M1904" s="224"/>
      <c r="N1904" s="224"/>
      <c r="O1904" s="2628" t="s">
        <v>6395</v>
      </c>
      <c r="P1904" s="1">
        <v>1090</v>
      </c>
      <c r="T1904" s="224"/>
      <c r="U1904" s="34" t="s">
        <v>25</v>
      </c>
      <c r="V1904" s="475"/>
      <c r="W1904" s="224"/>
      <c r="X1904" s="224"/>
    </row>
    <row r="1905" spans="1:24" ht="18.75" customHeight="1" x14ac:dyDescent="0.3">
      <c r="A1905" s="2651">
        <v>1091</v>
      </c>
      <c r="B1905" s="1122" t="s">
        <v>2332</v>
      </c>
      <c r="C1905" s="216" t="s">
        <v>1344</v>
      </c>
      <c r="D1905" s="416" t="s">
        <v>1146</v>
      </c>
      <c r="E1905" s="217" t="s">
        <v>2387</v>
      </c>
      <c r="F1905" s="218" t="s">
        <v>2334</v>
      </c>
      <c r="G1905" s="116">
        <v>4950</v>
      </c>
      <c r="H1905" s="1776" t="s">
        <v>1349</v>
      </c>
      <c r="J1905" s="224"/>
      <c r="K1905" s="34" t="s">
        <v>25</v>
      </c>
      <c r="L1905" s="475"/>
      <c r="M1905" s="224"/>
      <c r="N1905" s="224"/>
      <c r="O1905" s="2628" t="s">
        <v>6395</v>
      </c>
      <c r="P1905" s="1">
        <v>1091</v>
      </c>
      <c r="T1905" s="224"/>
      <c r="U1905" s="34" t="s">
        <v>25</v>
      </c>
      <c r="V1905" s="475"/>
      <c r="W1905" s="224"/>
      <c r="X1905" s="224"/>
    </row>
    <row r="1906" spans="1:24" ht="18.75" customHeight="1" x14ac:dyDescent="0.3">
      <c r="A1906" s="2652">
        <v>1092</v>
      </c>
      <c r="B1906" s="1122" t="s">
        <v>2332</v>
      </c>
      <c r="C1906" s="216" t="s">
        <v>1344</v>
      </c>
      <c r="D1906" s="416" t="s">
        <v>1146</v>
      </c>
      <c r="E1906" s="217" t="s">
        <v>2388</v>
      </c>
      <c r="F1906" s="218" t="s">
        <v>2334</v>
      </c>
      <c r="G1906" s="116">
        <v>4950</v>
      </c>
      <c r="H1906" s="1776" t="s">
        <v>1349</v>
      </c>
      <c r="J1906" s="224"/>
      <c r="K1906" s="34" t="s">
        <v>25</v>
      </c>
      <c r="L1906" s="475"/>
      <c r="M1906" s="224"/>
      <c r="N1906" s="224"/>
      <c r="O1906" s="2628" t="s">
        <v>6395</v>
      </c>
      <c r="P1906" s="1">
        <v>1092</v>
      </c>
      <c r="T1906" s="224"/>
      <c r="U1906" s="34" t="s">
        <v>25</v>
      </c>
      <c r="V1906" s="475"/>
      <c r="W1906" s="224"/>
      <c r="X1906" s="224"/>
    </row>
    <row r="1907" spans="1:24" ht="18.75" customHeight="1" x14ac:dyDescent="0.3">
      <c r="A1907" s="2651">
        <v>1093</v>
      </c>
      <c r="B1907" s="1122" t="s">
        <v>2332</v>
      </c>
      <c r="C1907" s="216" t="s">
        <v>1344</v>
      </c>
      <c r="D1907" s="416" t="s">
        <v>1146</v>
      </c>
      <c r="E1907" s="217" t="s">
        <v>2389</v>
      </c>
      <c r="F1907" s="218" t="s">
        <v>2334</v>
      </c>
      <c r="G1907" s="116">
        <v>4950</v>
      </c>
      <c r="H1907" s="1776" t="s">
        <v>1349</v>
      </c>
      <c r="J1907" s="224"/>
      <c r="K1907" s="34" t="s">
        <v>25</v>
      </c>
      <c r="L1907" s="475"/>
      <c r="M1907" s="224"/>
      <c r="N1907" s="224"/>
      <c r="O1907" s="2628" t="s">
        <v>6395</v>
      </c>
      <c r="P1907" s="1">
        <v>1093</v>
      </c>
      <c r="T1907" s="224"/>
      <c r="U1907" s="34" t="s">
        <v>25</v>
      </c>
      <c r="V1907" s="475"/>
      <c r="W1907" s="224"/>
      <c r="X1907" s="224"/>
    </row>
    <row r="1908" spans="1:24" ht="18.75" customHeight="1" x14ac:dyDescent="0.3">
      <c r="A1908" s="2651">
        <v>1094</v>
      </c>
      <c r="B1908" s="1122" t="s">
        <v>2332</v>
      </c>
      <c r="C1908" s="216" t="s">
        <v>1344</v>
      </c>
      <c r="D1908" s="416" t="s">
        <v>1146</v>
      </c>
      <c r="E1908" s="217" t="s">
        <v>2390</v>
      </c>
      <c r="F1908" s="218" t="s">
        <v>2334</v>
      </c>
      <c r="G1908" s="116">
        <v>4950</v>
      </c>
      <c r="H1908" s="1776" t="s">
        <v>1349</v>
      </c>
      <c r="J1908" s="224"/>
      <c r="K1908" s="34" t="s">
        <v>25</v>
      </c>
      <c r="L1908" s="475"/>
      <c r="M1908" s="224"/>
      <c r="N1908" s="224"/>
      <c r="O1908" s="2628" t="s">
        <v>6395</v>
      </c>
      <c r="P1908" s="1">
        <v>1094</v>
      </c>
      <c r="T1908" s="224"/>
      <c r="U1908" s="34" t="s">
        <v>25</v>
      </c>
      <c r="V1908" s="475"/>
      <c r="W1908" s="224"/>
      <c r="X1908" s="224"/>
    </row>
    <row r="1909" spans="1:24" ht="18.75" customHeight="1" x14ac:dyDescent="0.3">
      <c r="A1909" s="2652">
        <v>1095</v>
      </c>
      <c r="B1909" s="1122" t="s">
        <v>2332</v>
      </c>
      <c r="C1909" s="216" t="s">
        <v>1344</v>
      </c>
      <c r="D1909" s="452" t="s">
        <v>1146</v>
      </c>
      <c r="E1909" s="217" t="s">
        <v>2391</v>
      </c>
      <c r="F1909" s="218" t="s">
        <v>2334</v>
      </c>
      <c r="G1909" s="116">
        <v>4950</v>
      </c>
      <c r="H1909" s="1776" t="s">
        <v>1349</v>
      </c>
      <c r="J1909" s="224"/>
      <c r="K1909" s="34" t="s">
        <v>25</v>
      </c>
      <c r="L1909" s="475"/>
      <c r="M1909" s="224"/>
      <c r="N1909" s="224"/>
      <c r="O1909" s="2628" t="s">
        <v>6395</v>
      </c>
      <c r="P1909" s="1">
        <v>1095</v>
      </c>
      <c r="T1909" s="224"/>
      <c r="U1909" s="34" t="s">
        <v>25</v>
      </c>
      <c r="V1909" s="475"/>
      <c r="W1909" s="224"/>
      <c r="X1909" s="224"/>
    </row>
    <row r="1910" spans="1:24" ht="18.75" customHeight="1" x14ac:dyDescent="0.3">
      <c r="A1910" s="2651">
        <v>1096</v>
      </c>
      <c r="B1910" s="1122" t="s">
        <v>2332</v>
      </c>
      <c r="C1910" s="216" t="s">
        <v>1344</v>
      </c>
      <c r="D1910" s="793" t="s">
        <v>1146</v>
      </c>
      <c r="E1910" s="217" t="s">
        <v>2393</v>
      </c>
      <c r="F1910" s="218" t="s">
        <v>2334</v>
      </c>
      <c r="G1910" s="116">
        <v>4950</v>
      </c>
      <c r="H1910" s="1776" t="s">
        <v>1349</v>
      </c>
      <c r="J1910" s="224"/>
      <c r="K1910" s="34" t="s">
        <v>25</v>
      </c>
      <c r="L1910" s="475"/>
      <c r="M1910" s="224"/>
      <c r="N1910" s="224"/>
      <c r="O1910" s="2628" t="s">
        <v>6395</v>
      </c>
      <c r="P1910" s="1">
        <v>1096</v>
      </c>
      <c r="T1910" s="224"/>
      <c r="U1910" s="34" t="s">
        <v>25</v>
      </c>
      <c r="V1910" s="475"/>
      <c r="W1910" s="224"/>
      <c r="X1910" s="224"/>
    </row>
    <row r="1911" spans="1:24" ht="18.75" customHeight="1" x14ac:dyDescent="0.3">
      <c r="A1911" s="2651">
        <v>1097</v>
      </c>
      <c r="B1911" s="1122" t="s">
        <v>2332</v>
      </c>
      <c r="C1911" s="216" t="s">
        <v>1344</v>
      </c>
      <c r="D1911" s="416" t="s">
        <v>1146</v>
      </c>
      <c r="E1911" s="217" t="s">
        <v>2394</v>
      </c>
      <c r="F1911" s="218" t="s">
        <v>2334</v>
      </c>
      <c r="G1911" s="116">
        <v>4950</v>
      </c>
      <c r="H1911" s="1776" t="s">
        <v>1349</v>
      </c>
      <c r="J1911" s="224"/>
      <c r="K1911" s="34" t="s">
        <v>25</v>
      </c>
      <c r="L1911" s="475"/>
      <c r="M1911" s="224"/>
      <c r="N1911" s="224"/>
      <c r="O1911" s="2628" t="s">
        <v>6395</v>
      </c>
      <c r="P1911" s="1">
        <v>1097</v>
      </c>
      <c r="T1911" s="224"/>
      <c r="U1911" s="34" t="s">
        <v>25</v>
      </c>
      <c r="V1911" s="475"/>
      <c r="W1911" s="224"/>
      <c r="X1911" s="224"/>
    </row>
    <row r="1912" spans="1:24" ht="18.75" customHeight="1" x14ac:dyDescent="0.3">
      <c r="A1912" s="2652">
        <v>1098</v>
      </c>
      <c r="B1912" s="1122" t="s">
        <v>2332</v>
      </c>
      <c r="C1912" s="216" t="s">
        <v>1344</v>
      </c>
      <c r="D1912" s="416" t="s">
        <v>1146</v>
      </c>
      <c r="E1912" s="217" t="s">
        <v>2395</v>
      </c>
      <c r="F1912" s="218" t="s">
        <v>2334</v>
      </c>
      <c r="G1912" s="116">
        <v>4950</v>
      </c>
      <c r="H1912" s="1776" t="s">
        <v>1349</v>
      </c>
      <c r="J1912" s="224"/>
      <c r="K1912" s="34" t="s">
        <v>25</v>
      </c>
      <c r="L1912" s="475"/>
      <c r="M1912" s="224"/>
      <c r="N1912" s="224"/>
      <c r="O1912" s="2628" t="s">
        <v>6395</v>
      </c>
      <c r="P1912" s="1">
        <v>1098</v>
      </c>
      <c r="T1912" s="224"/>
      <c r="U1912" s="34" t="s">
        <v>25</v>
      </c>
      <c r="V1912" s="475"/>
      <c r="W1912" s="224"/>
      <c r="X1912" s="224"/>
    </row>
    <row r="1913" spans="1:24" ht="18.75" customHeight="1" x14ac:dyDescent="0.3">
      <c r="A1913" s="2651">
        <v>1099</v>
      </c>
      <c r="B1913" s="1122" t="s">
        <v>2332</v>
      </c>
      <c r="C1913" s="216" t="s">
        <v>1344</v>
      </c>
      <c r="D1913" s="416" t="s">
        <v>1146</v>
      </c>
      <c r="E1913" s="217" t="s">
        <v>2396</v>
      </c>
      <c r="F1913" s="218" t="s">
        <v>2334</v>
      </c>
      <c r="G1913" s="116">
        <v>4950</v>
      </c>
      <c r="H1913" s="1776" t="s">
        <v>1349</v>
      </c>
      <c r="J1913" s="224"/>
      <c r="K1913" s="34" t="s">
        <v>25</v>
      </c>
      <c r="L1913" s="475"/>
      <c r="M1913" s="224"/>
      <c r="N1913" s="224"/>
      <c r="O1913" s="2628" t="s">
        <v>6395</v>
      </c>
      <c r="P1913" s="1">
        <v>1099</v>
      </c>
      <c r="T1913" s="224"/>
      <c r="U1913" s="34" t="s">
        <v>25</v>
      </c>
      <c r="V1913" s="475"/>
      <c r="W1913" s="224"/>
      <c r="X1913" s="224"/>
    </row>
    <row r="1914" spans="1:24" ht="18.75" customHeight="1" x14ac:dyDescent="0.3">
      <c r="A1914" s="2651">
        <v>1100</v>
      </c>
      <c r="B1914" s="1122" t="s">
        <v>2332</v>
      </c>
      <c r="C1914" s="216" t="s">
        <v>1344</v>
      </c>
      <c r="D1914" s="416" t="s">
        <v>1146</v>
      </c>
      <c r="E1914" s="217" t="s">
        <v>2397</v>
      </c>
      <c r="F1914" s="218" t="s">
        <v>2334</v>
      </c>
      <c r="G1914" s="116">
        <v>4950</v>
      </c>
      <c r="H1914" s="1776" t="s">
        <v>1349</v>
      </c>
      <c r="J1914" s="224"/>
      <c r="K1914" s="34" t="s">
        <v>25</v>
      </c>
      <c r="L1914" s="475"/>
      <c r="M1914" s="224"/>
      <c r="N1914" s="224"/>
      <c r="O1914" s="2628" t="s">
        <v>6395</v>
      </c>
      <c r="P1914" s="1">
        <v>1100</v>
      </c>
      <c r="T1914" s="224"/>
      <c r="U1914" s="34" t="s">
        <v>25</v>
      </c>
      <c r="V1914" s="475"/>
      <c r="W1914" s="224"/>
      <c r="X1914" s="224"/>
    </row>
    <row r="1915" spans="1:24" ht="18.75" customHeight="1" x14ac:dyDescent="0.3">
      <c r="A1915" s="2652">
        <v>1101</v>
      </c>
      <c r="B1915" s="1122" t="s">
        <v>2332</v>
      </c>
      <c r="C1915" s="216" t="s">
        <v>1344</v>
      </c>
      <c r="D1915" s="416" t="s">
        <v>1146</v>
      </c>
      <c r="E1915" s="217" t="s">
        <v>2398</v>
      </c>
      <c r="F1915" s="218" t="s">
        <v>2334</v>
      </c>
      <c r="G1915" s="116">
        <v>4950</v>
      </c>
      <c r="H1915" s="1776" t="s">
        <v>1349</v>
      </c>
      <c r="J1915" s="224"/>
      <c r="K1915" s="34" t="s">
        <v>25</v>
      </c>
      <c r="L1915" s="475"/>
      <c r="M1915" s="224"/>
      <c r="N1915" s="224"/>
      <c r="O1915" s="2628" t="s">
        <v>6395</v>
      </c>
      <c r="P1915" s="1">
        <v>1101</v>
      </c>
      <c r="T1915" s="224"/>
      <c r="U1915" s="34" t="s">
        <v>25</v>
      </c>
      <c r="V1915" s="475"/>
      <c r="W1915" s="224"/>
      <c r="X1915" s="224"/>
    </row>
    <row r="1916" spans="1:24" ht="18.75" customHeight="1" x14ac:dyDescent="0.3">
      <c r="A1916" s="2651">
        <v>1102</v>
      </c>
      <c r="B1916" s="1122" t="s">
        <v>2332</v>
      </c>
      <c r="C1916" s="216" t="s">
        <v>1344</v>
      </c>
      <c r="D1916" s="416" t="s">
        <v>1146</v>
      </c>
      <c r="E1916" s="217" t="s">
        <v>2399</v>
      </c>
      <c r="F1916" s="218" t="s">
        <v>2334</v>
      </c>
      <c r="G1916" s="116">
        <v>4950</v>
      </c>
      <c r="H1916" s="1776" t="s">
        <v>1349</v>
      </c>
      <c r="J1916" s="224"/>
      <c r="K1916" s="34" t="s">
        <v>25</v>
      </c>
      <c r="L1916" s="475"/>
      <c r="M1916" s="224"/>
      <c r="N1916" s="224"/>
      <c r="O1916" s="2628" t="s">
        <v>6395</v>
      </c>
      <c r="P1916" s="1">
        <v>1102</v>
      </c>
      <c r="T1916" s="224"/>
      <c r="U1916" s="34" t="s">
        <v>25</v>
      </c>
      <c r="V1916" s="475"/>
      <c r="W1916" s="224"/>
      <c r="X1916" s="224"/>
    </row>
    <row r="1917" spans="1:24" ht="18.75" customHeight="1" x14ac:dyDescent="0.3">
      <c r="A1917" s="2651">
        <v>1103</v>
      </c>
      <c r="B1917" s="1122" t="s">
        <v>2332</v>
      </c>
      <c r="C1917" s="216" t="s">
        <v>1344</v>
      </c>
      <c r="D1917" s="416" t="s">
        <v>1146</v>
      </c>
      <c r="E1917" s="217" t="s">
        <v>2400</v>
      </c>
      <c r="F1917" s="218" t="s">
        <v>2334</v>
      </c>
      <c r="G1917" s="116">
        <v>4950</v>
      </c>
      <c r="H1917" s="1776" t="s">
        <v>1349</v>
      </c>
      <c r="J1917" s="224"/>
      <c r="K1917" s="34" t="s">
        <v>25</v>
      </c>
      <c r="L1917" s="475"/>
      <c r="M1917" s="224"/>
      <c r="N1917" s="224"/>
      <c r="O1917" s="2628" t="s">
        <v>6395</v>
      </c>
      <c r="P1917" s="1">
        <v>1103</v>
      </c>
      <c r="T1917" s="224"/>
      <c r="U1917" s="34" t="s">
        <v>25</v>
      </c>
      <c r="V1917" s="475"/>
      <c r="W1917" s="224"/>
      <c r="X1917" s="224"/>
    </row>
    <row r="1918" spans="1:24" ht="18.75" customHeight="1" x14ac:dyDescent="0.3">
      <c r="A1918" s="2652">
        <v>1104</v>
      </c>
      <c r="B1918" s="1122" t="s">
        <v>2332</v>
      </c>
      <c r="C1918" s="216" t="s">
        <v>1344</v>
      </c>
      <c r="D1918" s="416" t="s">
        <v>1146</v>
      </c>
      <c r="E1918" s="217" t="s">
        <v>2401</v>
      </c>
      <c r="F1918" s="218" t="s">
        <v>2334</v>
      </c>
      <c r="G1918" s="116">
        <v>4950</v>
      </c>
      <c r="H1918" s="1776" t="s">
        <v>1349</v>
      </c>
      <c r="J1918" s="224"/>
      <c r="K1918" s="34" t="s">
        <v>25</v>
      </c>
      <c r="L1918" s="475"/>
      <c r="M1918" s="224"/>
      <c r="N1918" s="224"/>
      <c r="O1918" s="2628" t="s">
        <v>6395</v>
      </c>
      <c r="P1918" s="1">
        <v>1104</v>
      </c>
      <c r="T1918" s="224"/>
      <c r="U1918" s="34" t="s">
        <v>25</v>
      </c>
      <c r="V1918" s="475"/>
      <c r="W1918" s="224"/>
      <c r="X1918" s="224"/>
    </row>
    <row r="1919" spans="1:24" ht="18.75" customHeight="1" x14ac:dyDescent="0.3">
      <c r="A1919" s="2651">
        <v>1105</v>
      </c>
      <c r="B1919" s="1122" t="s">
        <v>2332</v>
      </c>
      <c r="C1919" s="216" t="s">
        <v>1344</v>
      </c>
      <c r="D1919" s="416" t="s">
        <v>1146</v>
      </c>
      <c r="E1919" s="217" t="s">
        <v>2402</v>
      </c>
      <c r="F1919" s="218" t="s">
        <v>2334</v>
      </c>
      <c r="G1919" s="116">
        <v>4950</v>
      </c>
      <c r="H1919" s="1776" t="s">
        <v>1349</v>
      </c>
      <c r="J1919" s="224"/>
      <c r="K1919" s="34" t="s">
        <v>25</v>
      </c>
      <c r="L1919" s="475"/>
      <c r="M1919" s="224"/>
      <c r="N1919" s="224"/>
      <c r="O1919" s="2628" t="s">
        <v>6395</v>
      </c>
      <c r="P1919" s="1">
        <v>1105</v>
      </c>
      <c r="T1919" s="224"/>
      <c r="U1919" s="34" t="s">
        <v>25</v>
      </c>
      <c r="V1919" s="475"/>
      <c r="W1919" s="224"/>
      <c r="X1919" s="224"/>
    </row>
    <row r="1920" spans="1:24" ht="18.75" customHeight="1" x14ac:dyDescent="0.3">
      <c r="A1920" s="2651">
        <v>1106</v>
      </c>
      <c r="B1920" s="1122" t="s">
        <v>2332</v>
      </c>
      <c r="C1920" s="216" t="s">
        <v>1344</v>
      </c>
      <c r="D1920" s="416" t="s">
        <v>1146</v>
      </c>
      <c r="E1920" s="217" t="s">
        <v>2403</v>
      </c>
      <c r="F1920" s="218" t="s">
        <v>2334</v>
      </c>
      <c r="G1920" s="116">
        <v>4950</v>
      </c>
      <c r="H1920" s="1776" t="s">
        <v>1349</v>
      </c>
      <c r="J1920" s="224"/>
      <c r="K1920" s="34" t="s">
        <v>25</v>
      </c>
      <c r="L1920" s="475"/>
      <c r="M1920" s="224"/>
      <c r="N1920" s="224"/>
      <c r="O1920" s="2628" t="s">
        <v>6395</v>
      </c>
      <c r="P1920" s="1">
        <v>1106</v>
      </c>
      <c r="T1920" s="224"/>
      <c r="U1920" s="34" t="s">
        <v>25</v>
      </c>
      <c r="V1920" s="475"/>
      <c r="W1920" s="224"/>
      <c r="X1920" s="224"/>
    </row>
    <row r="1921" spans="1:24" ht="18.75" customHeight="1" x14ac:dyDescent="0.3">
      <c r="A1921" s="2652">
        <v>1107</v>
      </c>
      <c r="B1921" s="1122" t="s">
        <v>2332</v>
      </c>
      <c r="C1921" s="216" t="s">
        <v>1344</v>
      </c>
      <c r="D1921" s="416" t="s">
        <v>1146</v>
      </c>
      <c r="E1921" s="217" t="s">
        <v>2404</v>
      </c>
      <c r="F1921" s="218" t="s">
        <v>2334</v>
      </c>
      <c r="G1921" s="116">
        <v>4950</v>
      </c>
      <c r="H1921" s="1776" t="s">
        <v>1349</v>
      </c>
      <c r="J1921" s="224"/>
      <c r="K1921" s="34" t="s">
        <v>25</v>
      </c>
      <c r="L1921" s="475"/>
      <c r="M1921" s="224"/>
      <c r="N1921" s="224"/>
      <c r="O1921" s="2628" t="s">
        <v>6395</v>
      </c>
      <c r="P1921" s="1">
        <v>1107</v>
      </c>
      <c r="T1921" s="224"/>
      <c r="U1921" s="34" t="s">
        <v>25</v>
      </c>
      <c r="V1921" s="475"/>
      <c r="W1921" s="224"/>
      <c r="X1921" s="224"/>
    </row>
    <row r="1922" spans="1:24" ht="18.75" customHeight="1" x14ac:dyDescent="0.3">
      <c r="A1922" s="2651">
        <v>1108</v>
      </c>
      <c r="B1922" s="1122" t="s">
        <v>2332</v>
      </c>
      <c r="C1922" s="216" t="s">
        <v>1344</v>
      </c>
      <c r="D1922" s="416" t="s">
        <v>1146</v>
      </c>
      <c r="E1922" s="217" t="s">
        <v>2405</v>
      </c>
      <c r="F1922" s="218" t="s">
        <v>2334</v>
      </c>
      <c r="G1922" s="116">
        <v>4950</v>
      </c>
      <c r="H1922" s="1776" t="s">
        <v>1349</v>
      </c>
      <c r="J1922" s="224"/>
      <c r="K1922" s="34" t="s">
        <v>25</v>
      </c>
      <c r="L1922" s="475"/>
      <c r="M1922" s="224"/>
      <c r="N1922" s="224"/>
      <c r="O1922" s="2628" t="s">
        <v>6395</v>
      </c>
      <c r="P1922" s="1">
        <v>1108</v>
      </c>
      <c r="T1922" s="224"/>
      <c r="U1922" s="34" t="s">
        <v>25</v>
      </c>
      <c r="V1922" s="475"/>
      <c r="W1922" s="224"/>
      <c r="X1922" s="224"/>
    </row>
    <row r="1923" spans="1:24" ht="18.75" customHeight="1" x14ac:dyDescent="0.3">
      <c r="A1923" s="2651">
        <v>1109</v>
      </c>
      <c r="B1923" s="1122" t="s">
        <v>2332</v>
      </c>
      <c r="C1923" s="216" t="s">
        <v>1344</v>
      </c>
      <c r="D1923" s="452" t="s">
        <v>1146</v>
      </c>
      <c r="E1923" s="217" t="s">
        <v>2406</v>
      </c>
      <c r="F1923" s="218" t="s">
        <v>2334</v>
      </c>
      <c r="G1923" s="116">
        <v>4950</v>
      </c>
      <c r="H1923" s="1776" t="s">
        <v>1349</v>
      </c>
      <c r="J1923" s="224"/>
      <c r="K1923" s="34" t="s">
        <v>25</v>
      </c>
      <c r="L1923" s="475"/>
      <c r="M1923" s="224"/>
      <c r="N1923" s="224"/>
      <c r="O1923" s="2628" t="s">
        <v>6395</v>
      </c>
      <c r="P1923" s="1">
        <v>1109</v>
      </c>
      <c r="T1923" s="224"/>
      <c r="U1923" s="34" t="s">
        <v>25</v>
      </c>
      <c r="V1923" s="475"/>
      <c r="W1923" s="224"/>
      <c r="X1923" s="224"/>
    </row>
    <row r="1924" spans="1:24" ht="18.75" customHeight="1" x14ac:dyDescent="0.3">
      <c r="A1924" s="2652">
        <v>1110</v>
      </c>
      <c r="B1924" s="1122" t="s">
        <v>2332</v>
      </c>
      <c r="C1924" s="216" t="s">
        <v>1344</v>
      </c>
      <c r="D1924" s="793" t="s">
        <v>1146</v>
      </c>
      <c r="E1924" s="217" t="s">
        <v>2407</v>
      </c>
      <c r="F1924" s="218" t="s">
        <v>2334</v>
      </c>
      <c r="G1924" s="116">
        <v>4950</v>
      </c>
      <c r="H1924" s="1776" t="s">
        <v>1349</v>
      </c>
      <c r="J1924" s="224"/>
      <c r="K1924" s="34" t="s">
        <v>25</v>
      </c>
      <c r="L1924" s="475"/>
      <c r="M1924" s="224"/>
      <c r="N1924" s="224"/>
      <c r="O1924" s="2628" t="s">
        <v>6395</v>
      </c>
      <c r="P1924" s="1">
        <v>1110</v>
      </c>
      <c r="T1924" s="224"/>
      <c r="U1924" s="34" t="s">
        <v>25</v>
      </c>
      <c r="V1924" s="475"/>
      <c r="W1924" s="224"/>
      <c r="X1924" s="224"/>
    </row>
    <row r="1925" spans="1:24" ht="18.75" customHeight="1" x14ac:dyDescent="0.3">
      <c r="A1925" s="2651">
        <v>1111</v>
      </c>
      <c r="B1925" s="1122" t="s">
        <v>2332</v>
      </c>
      <c r="C1925" s="216" t="s">
        <v>1344</v>
      </c>
      <c r="D1925" s="416" t="s">
        <v>1146</v>
      </c>
      <c r="E1925" s="217" t="s">
        <v>2408</v>
      </c>
      <c r="F1925" s="218" t="s">
        <v>2334</v>
      </c>
      <c r="G1925" s="116">
        <v>4950</v>
      </c>
      <c r="H1925" s="1776" t="s">
        <v>1349</v>
      </c>
      <c r="J1925" s="224"/>
      <c r="K1925" s="34" t="s">
        <v>25</v>
      </c>
      <c r="L1925" s="475"/>
      <c r="M1925" s="224"/>
      <c r="N1925" s="224"/>
      <c r="O1925" s="2628" t="s">
        <v>6395</v>
      </c>
      <c r="P1925" s="1">
        <v>1111</v>
      </c>
      <c r="T1925" s="224"/>
      <c r="U1925" s="34" t="s">
        <v>25</v>
      </c>
      <c r="V1925" s="475"/>
      <c r="W1925" s="224"/>
      <c r="X1925" s="224"/>
    </row>
    <row r="1926" spans="1:24" ht="18.75" customHeight="1" x14ac:dyDescent="0.3">
      <c r="A1926" s="2651">
        <v>1112</v>
      </c>
      <c r="B1926" s="1122" t="s">
        <v>2332</v>
      </c>
      <c r="C1926" s="216" t="s">
        <v>1344</v>
      </c>
      <c r="D1926" s="416" t="s">
        <v>1146</v>
      </c>
      <c r="E1926" s="217" t="s">
        <v>2409</v>
      </c>
      <c r="F1926" s="218" t="s">
        <v>2334</v>
      </c>
      <c r="G1926" s="116">
        <v>4950</v>
      </c>
      <c r="H1926" s="1776" t="s">
        <v>1349</v>
      </c>
      <c r="J1926" s="224"/>
      <c r="K1926" s="34" t="s">
        <v>25</v>
      </c>
      <c r="L1926" s="475"/>
      <c r="M1926" s="224"/>
      <c r="N1926" s="224"/>
      <c r="O1926" s="2628" t="s">
        <v>6395</v>
      </c>
      <c r="P1926" s="1">
        <v>1112</v>
      </c>
      <c r="T1926" s="224"/>
      <c r="U1926" s="34" t="s">
        <v>25</v>
      </c>
      <c r="V1926" s="475"/>
      <c r="W1926" s="224"/>
      <c r="X1926" s="224"/>
    </row>
    <row r="1927" spans="1:24" ht="18.75" customHeight="1" x14ac:dyDescent="0.3">
      <c r="A1927" s="2652">
        <v>1113</v>
      </c>
      <c r="B1927" s="1122" t="s">
        <v>2332</v>
      </c>
      <c r="C1927" s="216" t="s">
        <v>1344</v>
      </c>
      <c r="D1927" s="416" t="s">
        <v>1146</v>
      </c>
      <c r="E1927" s="217" t="s">
        <v>2410</v>
      </c>
      <c r="F1927" s="218" t="s">
        <v>2334</v>
      </c>
      <c r="G1927" s="116">
        <v>4950</v>
      </c>
      <c r="H1927" s="1776" t="s">
        <v>1349</v>
      </c>
      <c r="J1927" s="224"/>
      <c r="K1927" s="34" t="s">
        <v>25</v>
      </c>
      <c r="L1927" s="475"/>
      <c r="M1927" s="224"/>
      <c r="N1927" s="224"/>
      <c r="O1927" s="2628" t="s">
        <v>6395</v>
      </c>
      <c r="P1927" s="1">
        <v>1113</v>
      </c>
      <c r="T1927" s="224"/>
      <c r="U1927" s="34" t="s">
        <v>25</v>
      </c>
      <c r="V1927" s="475"/>
      <c r="W1927" s="224"/>
      <c r="X1927" s="224"/>
    </row>
    <row r="1928" spans="1:24" ht="18.75" customHeight="1" x14ac:dyDescent="0.3">
      <c r="A1928" s="2651">
        <v>1114</v>
      </c>
      <c r="B1928" s="1122" t="s">
        <v>2332</v>
      </c>
      <c r="C1928" s="216" t="s">
        <v>1344</v>
      </c>
      <c r="D1928" s="416" t="s">
        <v>1146</v>
      </c>
      <c r="E1928" s="217" t="s">
        <v>2411</v>
      </c>
      <c r="F1928" s="218" t="s">
        <v>2334</v>
      </c>
      <c r="G1928" s="116">
        <v>4950</v>
      </c>
      <c r="H1928" s="1776" t="s">
        <v>1349</v>
      </c>
      <c r="J1928" s="224"/>
      <c r="K1928" s="34" t="s">
        <v>25</v>
      </c>
      <c r="L1928" s="475"/>
      <c r="M1928" s="224"/>
      <c r="N1928" s="224"/>
      <c r="O1928" s="2628" t="s">
        <v>6395</v>
      </c>
      <c r="P1928" s="1">
        <v>1114</v>
      </c>
      <c r="T1928" s="224"/>
      <c r="U1928" s="34" t="s">
        <v>25</v>
      </c>
      <c r="V1928" s="475"/>
      <c r="W1928" s="224"/>
      <c r="X1928" s="224"/>
    </row>
    <row r="1929" spans="1:24" ht="18.75" customHeight="1" x14ac:dyDescent="0.3">
      <c r="A1929" s="2651">
        <v>1115</v>
      </c>
      <c r="B1929" s="1122" t="s">
        <v>2332</v>
      </c>
      <c r="C1929" s="216" t="s">
        <v>1344</v>
      </c>
      <c r="D1929" s="416" t="s">
        <v>1146</v>
      </c>
      <c r="E1929" s="217" t="s">
        <v>2412</v>
      </c>
      <c r="F1929" s="218" t="s">
        <v>2334</v>
      </c>
      <c r="G1929" s="116">
        <v>4950</v>
      </c>
      <c r="H1929" s="1776" t="s">
        <v>1349</v>
      </c>
      <c r="J1929" s="224"/>
      <c r="K1929" s="34" t="s">
        <v>25</v>
      </c>
      <c r="L1929" s="475"/>
      <c r="M1929" s="224"/>
      <c r="N1929" s="224"/>
      <c r="O1929" s="2628" t="s">
        <v>6395</v>
      </c>
      <c r="P1929" s="1">
        <v>1115</v>
      </c>
      <c r="T1929" s="224"/>
      <c r="U1929" s="34" t="s">
        <v>25</v>
      </c>
      <c r="V1929" s="475"/>
      <c r="W1929" s="224"/>
      <c r="X1929" s="224"/>
    </row>
    <row r="1930" spans="1:24" ht="18.75" customHeight="1" x14ac:dyDescent="0.3">
      <c r="A1930" s="2652">
        <v>1116</v>
      </c>
      <c r="B1930" s="1122" t="s">
        <v>2332</v>
      </c>
      <c r="C1930" s="216" t="s">
        <v>1344</v>
      </c>
      <c r="D1930" s="416" t="s">
        <v>1146</v>
      </c>
      <c r="E1930" s="217" t="s">
        <v>2413</v>
      </c>
      <c r="F1930" s="218" t="s">
        <v>2334</v>
      </c>
      <c r="G1930" s="116">
        <v>4950</v>
      </c>
      <c r="H1930" s="1776" t="s">
        <v>1349</v>
      </c>
      <c r="J1930" s="224"/>
      <c r="K1930" s="34" t="s">
        <v>25</v>
      </c>
      <c r="L1930" s="475"/>
      <c r="M1930" s="224"/>
      <c r="N1930" s="224"/>
      <c r="O1930" s="2628" t="s">
        <v>6395</v>
      </c>
      <c r="P1930" s="1">
        <v>1116</v>
      </c>
      <c r="T1930" s="224"/>
      <c r="U1930" s="34" t="s">
        <v>25</v>
      </c>
      <c r="V1930" s="475"/>
      <c r="W1930" s="224"/>
      <c r="X1930" s="224"/>
    </row>
    <row r="1931" spans="1:24" ht="18.75" customHeight="1" x14ac:dyDescent="0.3">
      <c r="A1931" s="2651">
        <v>1117</v>
      </c>
      <c r="B1931" s="1122" t="s">
        <v>2332</v>
      </c>
      <c r="C1931" s="216" t="s">
        <v>1344</v>
      </c>
      <c r="D1931" s="416" t="s">
        <v>1146</v>
      </c>
      <c r="E1931" s="217" t="s">
        <v>2414</v>
      </c>
      <c r="F1931" s="218" t="s">
        <v>2334</v>
      </c>
      <c r="G1931" s="116">
        <v>4950</v>
      </c>
      <c r="H1931" s="1776" t="s">
        <v>1349</v>
      </c>
      <c r="J1931" s="224"/>
      <c r="K1931" s="34" t="s">
        <v>25</v>
      </c>
      <c r="L1931" s="475"/>
      <c r="M1931" s="224"/>
      <c r="N1931" s="224"/>
      <c r="O1931" s="2628" t="s">
        <v>6395</v>
      </c>
      <c r="P1931" s="1">
        <v>1117</v>
      </c>
      <c r="T1931" s="224"/>
      <c r="U1931" s="34" t="s">
        <v>25</v>
      </c>
      <c r="V1931" s="475"/>
      <c r="W1931" s="224"/>
      <c r="X1931" s="224"/>
    </row>
    <row r="1932" spans="1:24" ht="18.75" customHeight="1" x14ac:dyDescent="0.3">
      <c r="A1932" s="2651">
        <v>1118</v>
      </c>
      <c r="B1932" s="1122" t="s">
        <v>2332</v>
      </c>
      <c r="C1932" s="216" t="s">
        <v>1344</v>
      </c>
      <c r="D1932" s="416" t="s">
        <v>1146</v>
      </c>
      <c r="E1932" s="217" t="s">
        <v>2415</v>
      </c>
      <c r="F1932" s="218" t="s">
        <v>2334</v>
      </c>
      <c r="G1932" s="116">
        <v>4950</v>
      </c>
      <c r="H1932" s="1776" t="s">
        <v>1349</v>
      </c>
      <c r="J1932" s="224"/>
      <c r="K1932" s="34" t="s">
        <v>25</v>
      </c>
      <c r="L1932" s="475"/>
      <c r="M1932" s="224"/>
      <c r="N1932" s="224"/>
      <c r="O1932" s="2628" t="s">
        <v>6395</v>
      </c>
      <c r="P1932" s="1">
        <v>1118</v>
      </c>
      <c r="T1932" s="224"/>
      <c r="U1932" s="34" t="s">
        <v>25</v>
      </c>
      <c r="V1932" s="475"/>
      <c r="W1932" s="224"/>
      <c r="X1932" s="224"/>
    </row>
    <row r="1933" spans="1:24" ht="18.75" customHeight="1" x14ac:dyDescent="0.3">
      <c r="A1933" s="2652">
        <v>1119</v>
      </c>
      <c r="B1933" s="1122" t="s">
        <v>2332</v>
      </c>
      <c r="C1933" s="216" t="s">
        <v>1344</v>
      </c>
      <c r="D1933" s="416" t="s">
        <v>1146</v>
      </c>
      <c r="E1933" s="217" t="s">
        <v>2416</v>
      </c>
      <c r="F1933" s="218" t="s">
        <v>2334</v>
      </c>
      <c r="G1933" s="116">
        <v>4950</v>
      </c>
      <c r="H1933" s="1776" t="s">
        <v>1349</v>
      </c>
      <c r="J1933" s="224"/>
      <c r="K1933" s="34" t="s">
        <v>25</v>
      </c>
      <c r="L1933" s="475"/>
      <c r="M1933" s="224"/>
      <c r="N1933" s="224"/>
      <c r="O1933" s="2628" t="s">
        <v>6395</v>
      </c>
      <c r="P1933" s="1">
        <v>1119</v>
      </c>
      <c r="T1933" s="224"/>
      <c r="U1933" s="34" t="s">
        <v>25</v>
      </c>
      <c r="V1933" s="475"/>
      <c r="W1933" s="224"/>
      <c r="X1933" s="224"/>
    </row>
    <row r="1934" spans="1:24" ht="18.75" customHeight="1" x14ac:dyDescent="0.3">
      <c r="A1934" s="2651">
        <v>1120</v>
      </c>
      <c r="B1934" s="1122" t="s">
        <v>2332</v>
      </c>
      <c r="C1934" s="216" t="s">
        <v>1344</v>
      </c>
      <c r="D1934" s="416" t="s">
        <v>1146</v>
      </c>
      <c r="E1934" s="217" t="s">
        <v>2417</v>
      </c>
      <c r="F1934" s="218" t="s">
        <v>2334</v>
      </c>
      <c r="G1934" s="116">
        <v>4950</v>
      </c>
      <c r="H1934" s="1776" t="s">
        <v>1349</v>
      </c>
      <c r="J1934" s="224"/>
      <c r="K1934" s="34" t="s">
        <v>25</v>
      </c>
      <c r="L1934" s="475"/>
      <c r="M1934" s="224"/>
      <c r="N1934" s="224"/>
      <c r="O1934" s="2628" t="s">
        <v>6395</v>
      </c>
      <c r="P1934" s="1">
        <v>1120</v>
      </c>
      <c r="T1934" s="224"/>
      <c r="U1934" s="34" t="s">
        <v>25</v>
      </c>
      <c r="V1934" s="475"/>
      <c r="W1934" s="224"/>
      <c r="X1934" s="224"/>
    </row>
    <row r="1935" spans="1:24" ht="18.75" customHeight="1" x14ac:dyDescent="0.3">
      <c r="A1935" s="2651">
        <v>1121</v>
      </c>
      <c r="B1935" s="1122" t="s">
        <v>2332</v>
      </c>
      <c r="C1935" s="216" t="s">
        <v>1344</v>
      </c>
      <c r="D1935" s="416" t="s">
        <v>1146</v>
      </c>
      <c r="E1935" s="217" t="s">
        <v>2418</v>
      </c>
      <c r="F1935" s="218" t="s">
        <v>2334</v>
      </c>
      <c r="G1935" s="116">
        <v>4950</v>
      </c>
      <c r="H1935" s="1776" t="s">
        <v>1349</v>
      </c>
      <c r="J1935" s="224"/>
      <c r="K1935" s="34" t="s">
        <v>25</v>
      </c>
      <c r="L1935" s="475"/>
      <c r="M1935" s="224"/>
      <c r="N1935" s="224"/>
      <c r="O1935" s="2628" t="s">
        <v>6395</v>
      </c>
      <c r="P1935" s="1">
        <v>1121</v>
      </c>
      <c r="T1935" s="224"/>
      <c r="U1935" s="34" t="s">
        <v>25</v>
      </c>
      <c r="V1935" s="475"/>
      <c r="W1935" s="224"/>
      <c r="X1935" s="224"/>
    </row>
    <row r="1936" spans="1:24" ht="18.75" customHeight="1" x14ac:dyDescent="0.3">
      <c r="A1936" s="2652">
        <v>1122</v>
      </c>
      <c r="B1936" s="1122" t="s">
        <v>2332</v>
      </c>
      <c r="C1936" s="216" t="s">
        <v>1344</v>
      </c>
      <c r="D1936" s="416" t="s">
        <v>1146</v>
      </c>
      <c r="E1936" s="217" t="s">
        <v>2419</v>
      </c>
      <c r="F1936" s="218" t="s">
        <v>2334</v>
      </c>
      <c r="G1936" s="116">
        <v>4950</v>
      </c>
      <c r="H1936" s="1776" t="s">
        <v>1349</v>
      </c>
      <c r="J1936" s="224"/>
      <c r="K1936" s="34" t="s">
        <v>25</v>
      </c>
      <c r="L1936" s="475"/>
      <c r="M1936" s="224"/>
      <c r="N1936" s="224"/>
      <c r="O1936" s="2628" t="s">
        <v>6395</v>
      </c>
      <c r="P1936" s="1">
        <v>1122</v>
      </c>
      <c r="T1936" s="224"/>
      <c r="U1936" s="34" t="s">
        <v>25</v>
      </c>
      <c r="V1936" s="475"/>
      <c r="W1936" s="224"/>
      <c r="X1936" s="224"/>
    </row>
    <row r="1937" spans="1:24" ht="18.75" customHeight="1" x14ac:dyDescent="0.3">
      <c r="A1937" s="2651">
        <v>1123</v>
      </c>
      <c r="B1937" s="1122" t="s">
        <v>2332</v>
      </c>
      <c r="C1937" s="216" t="s">
        <v>1344</v>
      </c>
      <c r="D1937" s="416" t="s">
        <v>1146</v>
      </c>
      <c r="E1937" s="217" t="s">
        <v>2420</v>
      </c>
      <c r="F1937" s="218" t="s">
        <v>2334</v>
      </c>
      <c r="G1937" s="116">
        <v>4950</v>
      </c>
      <c r="H1937" s="1776" t="s">
        <v>1349</v>
      </c>
      <c r="J1937" s="224"/>
      <c r="K1937" s="34" t="s">
        <v>25</v>
      </c>
      <c r="L1937" s="475"/>
      <c r="M1937" s="224"/>
      <c r="N1937" s="224"/>
      <c r="O1937" s="2628" t="s">
        <v>6395</v>
      </c>
      <c r="P1937" s="1">
        <v>1123</v>
      </c>
      <c r="T1937" s="224"/>
      <c r="U1937" s="34" t="s">
        <v>25</v>
      </c>
      <c r="V1937" s="475"/>
      <c r="W1937" s="224"/>
      <c r="X1937" s="224"/>
    </row>
    <row r="1938" spans="1:24" ht="18.75" customHeight="1" x14ac:dyDescent="0.3">
      <c r="A1938" s="2651">
        <v>1124</v>
      </c>
      <c r="B1938" s="1122" t="s">
        <v>2332</v>
      </c>
      <c r="C1938" s="216" t="s">
        <v>1344</v>
      </c>
      <c r="D1938" s="416" t="s">
        <v>1146</v>
      </c>
      <c r="E1938" s="217" t="s">
        <v>2421</v>
      </c>
      <c r="F1938" s="218" t="s">
        <v>2334</v>
      </c>
      <c r="G1938" s="116">
        <v>4950</v>
      </c>
      <c r="H1938" s="1776" t="s">
        <v>1349</v>
      </c>
      <c r="J1938" s="224"/>
      <c r="K1938" s="34" t="s">
        <v>25</v>
      </c>
      <c r="L1938" s="475"/>
      <c r="M1938" s="224"/>
      <c r="N1938" s="224"/>
      <c r="O1938" s="2628" t="s">
        <v>6395</v>
      </c>
      <c r="P1938" s="1">
        <v>1124</v>
      </c>
      <c r="T1938" s="224"/>
      <c r="U1938" s="34" t="s">
        <v>25</v>
      </c>
      <c r="V1938" s="475"/>
      <c r="W1938" s="224"/>
      <c r="X1938" s="224"/>
    </row>
    <row r="1939" spans="1:24" ht="18.75" customHeight="1" x14ac:dyDescent="0.3">
      <c r="A1939" s="2652">
        <v>1125</v>
      </c>
      <c r="B1939" s="1122" t="s">
        <v>2332</v>
      </c>
      <c r="C1939" s="216" t="s">
        <v>1344</v>
      </c>
      <c r="D1939" s="452" t="s">
        <v>1146</v>
      </c>
      <c r="E1939" s="217" t="s">
        <v>2422</v>
      </c>
      <c r="F1939" s="218" t="s">
        <v>2334</v>
      </c>
      <c r="G1939" s="116">
        <v>4950</v>
      </c>
      <c r="H1939" s="1776" t="s">
        <v>1349</v>
      </c>
      <c r="J1939" s="224"/>
      <c r="K1939" s="34" t="s">
        <v>25</v>
      </c>
      <c r="L1939" s="475"/>
      <c r="M1939" s="224"/>
      <c r="N1939" s="224"/>
      <c r="O1939" s="2628" t="s">
        <v>6395</v>
      </c>
      <c r="P1939" s="1">
        <v>1125</v>
      </c>
      <c r="T1939" s="224"/>
      <c r="U1939" s="34" t="s">
        <v>25</v>
      </c>
      <c r="V1939" s="475"/>
      <c r="W1939" s="224"/>
      <c r="X1939" s="224"/>
    </row>
    <row r="1940" spans="1:24" ht="18.75" customHeight="1" x14ac:dyDescent="0.3">
      <c r="A1940" s="2651">
        <v>1126</v>
      </c>
      <c r="B1940" s="1122" t="s">
        <v>2332</v>
      </c>
      <c r="C1940" s="216" t="s">
        <v>1344</v>
      </c>
      <c r="D1940" s="495" t="s">
        <v>1146</v>
      </c>
      <c r="E1940" s="217" t="s">
        <v>2423</v>
      </c>
      <c r="F1940" s="218" t="s">
        <v>2334</v>
      </c>
      <c r="G1940" s="116">
        <v>4950</v>
      </c>
      <c r="H1940" s="1776" t="s">
        <v>1349</v>
      </c>
      <c r="J1940" s="224"/>
      <c r="K1940" s="34" t="s">
        <v>25</v>
      </c>
      <c r="L1940" s="475"/>
      <c r="M1940" s="224"/>
      <c r="N1940" s="224"/>
      <c r="O1940" s="2628" t="s">
        <v>6395</v>
      </c>
      <c r="P1940" s="1">
        <v>1126</v>
      </c>
      <c r="T1940" s="224"/>
      <c r="U1940" s="34" t="s">
        <v>25</v>
      </c>
      <c r="V1940" s="475"/>
      <c r="W1940" s="224"/>
      <c r="X1940" s="224"/>
    </row>
    <row r="1941" spans="1:24" ht="18.75" customHeight="1" x14ac:dyDescent="0.3">
      <c r="A1941" s="2651">
        <v>1127</v>
      </c>
      <c r="B1941" s="1122" t="s">
        <v>2332</v>
      </c>
      <c r="C1941" s="216" t="s">
        <v>1344</v>
      </c>
      <c r="D1941" s="793" t="s">
        <v>1146</v>
      </c>
      <c r="E1941" s="217" t="s">
        <v>2424</v>
      </c>
      <c r="F1941" s="218" t="s">
        <v>2334</v>
      </c>
      <c r="G1941" s="116">
        <v>4950</v>
      </c>
      <c r="H1941" s="1776" t="s">
        <v>1349</v>
      </c>
      <c r="J1941" s="224"/>
      <c r="K1941" s="34" t="s">
        <v>25</v>
      </c>
      <c r="L1941" s="475"/>
      <c r="M1941" s="224"/>
      <c r="N1941" s="224"/>
      <c r="O1941" s="2628" t="s">
        <v>6395</v>
      </c>
      <c r="P1941" s="1">
        <v>1127</v>
      </c>
      <c r="T1941" s="224"/>
      <c r="U1941" s="34" t="s">
        <v>25</v>
      </c>
      <c r="V1941" s="475"/>
      <c r="W1941" s="224"/>
      <c r="X1941" s="224"/>
    </row>
    <row r="1942" spans="1:24" ht="18.75" customHeight="1" x14ac:dyDescent="0.3">
      <c r="A1942" s="2652">
        <v>1128</v>
      </c>
      <c r="B1942" s="1122" t="s">
        <v>2332</v>
      </c>
      <c r="C1942" s="216" t="s">
        <v>1344</v>
      </c>
      <c r="D1942" s="416" t="s">
        <v>1146</v>
      </c>
      <c r="E1942" s="217" t="s">
        <v>2425</v>
      </c>
      <c r="F1942" s="218" t="s">
        <v>2334</v>
      </c>
      <c r="G1942" s="116">
        <v>4950</v>
      </c>
      <c r="H1942" s="1776" t="s">
        <v>1349</v>
      </c>
      <c r="J1942" s="224"/>
      <c r="K1942" s="34" t="s">
        <v>25</v>
      </c>
      <c r="L1942" s="475"/>
      <c r="M1942" s="224"/>
      <c r="N1942" s="224"/>
      <c r="O1942" s="2628" t="s">
        <v>6395</v>
      </c>
      <c r="P1942" s="1">
        <v>1128</v>
      </c>
      <c r="T1942" s="224"/>
      <c r="U1942" s="34" t="s">
        <v>25</v>
      </c>
      <c r="V1942" s="475"/>
      <c r="W1942" s="224"/>
      <c r="X1942" s="224"/>
    </row>
    <row r="1943" spans="1:24" ht="18.75" customHeight="1" x14ac:dyDescent="0.3">
      <c r="A1943" s="2651">
        <v>1129</v>
      </c>
      <c r="B1943" s="1122" t="s">
        <v>2332</v>
      </c>
      <c r="C1943" s="216" t="s">
        <v>1344</v>
      </c>
      <c r="D1943" s="416" t="s">
        <v>1146</v>
      </c>
      <c r="E1943" s="217" t="s">
        <v>2426</v>
      </c>
      <c r="F1943" s="218" t="s">
        <v>2334</v>
      </c>
      <c r="G1943" s="116">
        <v>4950</v>
      </c>
      <c r="H1943" s="1776" t="s">
        <v>1349</v>
      </c>
      <c r="J1943" s="224"/>
      <c r="K1943" s="34" t="s">
        <v>25</v>
      </c>
      <c r="L1943" s="475"/>
      <c r="M1943" s="224"/>
      <c r="N1943" s="224"/>
      <c r="O1943" s="2628" t="s">
        <v>6395</v>
      </c>
      <c r="P1943" s="1">
        <v>1129</v>
      </c>
      <c r="T1943" s="224"/>
      <c r="U1943" s="34" t="s">
        <v>25</v>
      </c>
      <c r="V1943" s="475"/>
      <c r="W1943" s="224"/>
      <c r="X1943" s="224"/>
    </row>
    <row r="1944" spans="1:24" ht="18.75" customHeight="1" x14ac:dyDescent="0.3">
      <c r="A1944" s="2651">
        <v>1130</v>
      </c>
      <c r="B1944" s="1122" t="s">
        <v>2332</v>
      </c>
      <c r="C1944" s="216" t="s">
        <v>1344</v>
      </c>
      <c r="D1944" s="416" t="s">
        <v>1146</v>
      </c>
      <c r="E1944" s="217" t="s">
        <v>2427</v>
      </c>
      <c r="F1944" s="218" t="s">
        <v>2334</v>
      </c>
      <c r="G1944" s="116">
        <v>4950</v>
      </c>
      <c r="H1944" s="1776" t="s">
        <v>1349</v>
      </c>
      <c r="J1944" s="224"/>
      <c r="K1944" s="34" t="s">
        <v>25</v>
      </c>
      <c r="L1944" s="475"/>
      <c r="M1944" s="224"/>
      <c r="N1944" s="224"/>
      <c r="O1944" s="2628" t="s">
        <v>6395</v>
      </c>
      <c r="P1944" s="1">
        <v>1130</v>
      </c>
      <c r="T1944" s="224"/>
      <c r="U1944" s="34" t="s">
        <v>25</v>
      </c>
      <c r="V1944" s="475"/>
      <c r="W1944" s="224"/>
      <c r="X1944" s="224"/>
    </row>
    <row r="1945" spans="1:24" ht="18.75" customHeight="1" x14ac:dyDescent="0.3">
      <c r="A1945" s="2652">
        <v>1131</v>
      </c>
      <c r="B1945" s="1122" t="s">
        <v>2332</v>
      </c>
      <c r="C1945" s="216" t="s">
        <v>1344</v>
      </c>
      <c r="D1945" s="416" t="s">
        <v>1146</v>
      </c>
      <c r="E1945" s="217" t="s">
        <v>2428</v>
      </c>
      <c r="F1945" s="218" t="s">
        <v>2334</v>
      </c>
      <c r="G1945" s="116">
        <v>4950</v>
      </c>
      <c r="H1945" s="1776" t="s">
        <v>1349</v>
      </c>
      <c r="J1945" s="224"/>
      <c r="K1945" s="34" t="s">
        <v>25</v>
      </c>
      <c r="L1945" s="475"/>
      <c r="M1945" s="224"/>
      <c r="N1945" s="224"/>
      <c r="O1945" s="2628" t="s">
        <v>6395</v>
      </c>
      <c r="P1945" s="1">
        <v>1131</v>
      </c>
      <c r="T1945" s="224"/>
      <c r="U1945" s="34" t="s">
        <v>25</v>
      </c>
      <c r="V1945" s="475"/>
      <c r="W1945" s="224"/>
      <c r="X1945" s="224"/>
    </row>
    <row r="1946" spans="1:24" ht="18.75" customHeight="1" x14ac:dyDescent="0.3">
      <c r="A1946" s="2651">
        <v>1132</v>
      </c>
      <c r="B1946" s="1122" t="s">
        <v>2332</v>
      </c>
      <c r="C1946" s="216" t="s">
        <v>1344</v>
      </c>
      <c r="D1946" s="416" t="s">
        <v>1146</v>
      </c>
      <c r="E1946" s="217" t="s">
        <v>2429</v>
      </c>
      <c r="F1946" s="218" t="s">
        <v>2334</v>
      </c>
      <c r="G1946" s="116">
        <v>4950</v>
      </c>
      <c r="H1946" s="1776" t="s">
        <v>1349</v>
      </c>
      <c r="J1946" s="224"/>
      <c r="K1946" s="34" t="s">
        <v>25</v>
      </c>
      <c r="L1946" s="475"/>
      <c r="M1946" s="224"/>
      <c r="N1946" s="224"/>
      <c r="O1946" s="2628" t="s">
        <v>6395</v>
      </c>
      <c r="P1946" s="1">
        <v>1132</v>
      </c>
      <c r="T1946" s="224"/>
      <c r="U1946" s="34" t="s">
        <v>25</v>
      </c>
      <c r="V1946" s="475"/>
      <c r="W1946" s="224"/>
      <c r="X1946" s="224"/>
    </row>
    <row r="1947" spans="1:24" ht="18.75" customHeight="1" x14ac:dyDescent="0.3">
      <c r="A1947" s="2651">
        <v>1133</v>
      </c>
      <c r="B1947" s="1122" t="s">
        <v>2332</v>
      </c>
      <c r="C1947" s="216" t="s">
        <v>1344</v>
      </c>
      <c r="D1947" s="416" t="s">
        <v>1146</v>
      </c>
      <c r="E1947" s="217" t="s">
        <v>2430</v>
      </c>
      <c r="F1947" s="218" t="s">
        <v>2334</v>
      </c>
      <c r="G1947" s="116">
        <v>4950</v>
      </c>
      <c r="H1947" s="1776" t="s">
        <v>1349</v>
      </c>
      <c r="J1947" s="224"/>
      <c r="K1947" s="34" t="s">
        <v>25</v>
      </c>
      <c r="L1947" s="475"/>
      <c r="M1947" s="224"/>
      <c r="N1947" s="224"/>
      <c r="O1947" s="2628" t="s">
        <v>6395</v>
      </c>
      <c r="P1947" s="1">
        <v>1133</v>
      </c>
      <c r="T1947" s="224"/>
      <c r="U1947" s="34" t="s">
        <v>25</v>
      </c>
      <c r="V1947" s="475"/>
      <c r="W1947" s="224"/>
      <c r="X1947" s="224"/>
    </row>
    <row r="1948" spans="1:24" ht="18.75" customHeight="1" x14ac:dyDescent="0.3">
      <c r="A1948" s="2652">
        <v>1134</v>
      </c>
      <c r="B1948" s="1122" t="s">
        <v>2332</v>
      </c>
      <c r="C1948" s="216" t="s">
        <v>1344</v>
      </c>
      <c r="D1948" s="416" t="s">
        <v>1146</v>
      </c>
      <c r="E1948" s="217" t="s">
        <v>2431</v>
      </c>
      <c r="F1948" s="218" t="s">
        <v>2334</v>
      </c>
      <c r="G1948" s="116">
        <v>4950</v>
      </c>
      <c r="H1948" s="1776" t="s">
        <v>1349</v>
      </c>
      <c r="J1948" s="224"/>
      <c r="K1948" s="34" t="s">
        <v>25</v>
      </c>
      <c r="L1948" s="475"/>
      <c r="M1948" s="224"/>
      <c r="N1948" s="224"/>
      <c r="O1948" s="2628" t="s">
        <v>6395</v>
      </c>
      <c r="P1948" s="1">
        <v>1134</v>
      </c>
      <c r="T1948" s="224"/>
      <c r="U1948" s="34" t="s">
        <v>25</v>
      </c>
      <c r="V1948" s="475"/>
      <c r="W1948" s="224"/>
      <c r="X1948" s="224"/>
    </row>
    <row r="1949" spans="1:24" ht="18.75" customHeight="1" x14ac:dyDescent="0.3">
      <c r="A1949" s="2651">
        <v>1135</v>
      </c>
      <c r="B1949" s="1122" t="s">
        <v>2332</v>
      </c>
      <c r="C1949" s="216" t="s">
        <v>1344</v>
      </c>
      <c r="D1949" s="416" t="s">
        <v>1146</v>
      </c>
      <c r="E1949" s="217" t="s">
        <v>2432</v>
      </c>
      <c r="F1949" s="218" t="s">
        <v>2334</v>
      </c>
      <c r="G1949" s="116">
        <v>4950</v>
      </c>
      <c r="H1949" s="1776" t="s">
        <v>1349</v>
      </c>
      <c r="J1949" s="224"/>
      <c r="K1949" s="34" t="s">
        <v>25</v>
      </c>
      <c r="L1949" s="475"/>
      <c r="M1949" s="224"/>
      <c r="N1949" s="224"/>
      <c r="O1949" s="2628" t="s">
        <v>6395</v>
      </c>
      <c r="P1949" s="1">
        <v>1135</v>
      </c>
      <c r="T1949" s="224"/>
      <c r="U1949" s="34" t="s">
        <v>25</v>
      </c>
      <c r="V1949" s="475"/>
      <c r="W1949" s="224"/>
      <c r="X1949" s="224"/>
    </row>
    <row r="1950" spans="1:24" ht="18.75" customHeight="1" x14ac:dyDescent="0.3">
      <c r="A1950" s="2651">
        <v>1136</v>
      </c>
      <c r="B1950" s="1122" t="s">
        <v>2332</v>
      </c>
      <c r="C1950" s="216" t="s">
        <v>1344</v>
      </c>
      <c r="D1950" s="416" t="s">
        <v>1146</v>
      </c>
      <c r="E1950" s="217" t="s">
        <v>2433</v>
      </c>
      <c r="F1950" s="218" t="s">
        <v>2334</v>
      </c>
      <c r="G1950" s="116">
        <v>4950</v>
      </c>
      <c r="H1950" s="1776" t="s">
        <v>1349</v>
      </c>
      <c r="J1950" s="224"/>
      <c r="K1950" s="34" t="s">
        <v>25</v>
      </c>
      <c r="L1950" s="475"/>
      <c r="M1950" s="224"/>
      <c r="N1950" s="224"/>
      <c r="O1950" s="2628" t="s">
        <v>6395</v>
      </c>
      <c r="P1950" s="1">
        <v>1136</v>
      </c>
      <c r="T1950" s="224"/>
      <c r="U1950" s="34" t="s">
        <v>25</v>
      </c>
      <c r="V1950" s="475"/>
      <c r="W1950" s="224"/>
      <c r="X1950" s="224"/>
    </row>
    <row r="1951" spans="1:24" ht="18.75" customHeight="1" x14ac:dyDescent="0.3">
      <c r="A1951" s="2652">
        <v>1137</v>
      </c>
      <c r="B1951" s="1122" t="s">
        <v>2332</v>
      </c>
      <c r="C1951" s="216" t="s">
        <v>1344</v>
      </c>
      <c r="D1951" s="416" t="s">
        <v>1146</v>
      </c>
      <c r="E1951" s="217" t="s">
        <v>2434</v>
      </c>
      <c r="F1951" s="218" t="s">
        <v>2334</v>
      </c>
      <c r="G1951" s="116">
        <v>4950</v>
      </c>
      <c r="H1951" s="1776" t="s">
        <v>1349</v>
      </c>
      <c r="J1951" s="224"/>
      <c r="K1951" s="34" t="s">
        <v>25</v>
      </c>
      <c r="L1951" s="475"/>
      <c r="M1951" s="224"/>
      <c r="N1951" s="224"/>
      <c r="O1951" s="2628" t="s">
        <v>6395</v>
      </c>
      <c r="P1951" s="1">
        <v>1137</v>
      </c>
      <c r="T1951" s="224"/>
      <c r="U1951" s="34" t="s">
        <v>25</v>
      </c>
      <c r="V1951" s="475"/>
      <c r="W1951" s="224"/>
      <c r="X1951" s="224"/>
    </row>
    <row r="1952" spans="1:24" ht="17.399999999999999" x14ac:dyDescent="0.45">
      <c r="G1952" s="2752">
        <f>SUM(G815:G1951)</f>
        <v>4877640</v>
      </c>
      <c r="H1952" s="2753"/>
    </row>
    <row r="1953" spans="1:24" x14ac:dyDescent="0.3">
      <c r="A1953" s="2861" t="s">
        <v>4268</v>
      </c>
      <c r="B1953" s="2861"/>
      <c r="C1953" s="3"/>
      <c r="D1953" s="3"/>
      <c r="E1953" s="3"/>
      <c r="F1953" s="3"/>
      <c r="G1953" s="5"/>
      <c r="H1953" s="7"/>
      <c r="I1953" s="3"/>
      <c r="J1953" s="3"/>
      <c r="K1953" s="3"/>
      <c r="L1953" s="3"/>
      <c r="M1953" s="3"/>
      <c r="N1953" s="3"/>
      <c r="O1953" s="7"/>
    </row>
    <row r="1954" spans="1:24" s="10" customFormat="1" ht="18.75" customHeight="1" x14ac:dyDescent="0.3">
      <c r="A1954" s="2844" t="s">
        <v>3</v>
      </c>
      <c r="B1954" s="2846" t="s">
        <v>4</v>
      </c>
      <c r="C1954" s="2848" t="s">
        <v>5</v>
      </c>
      <c r="D1954" s="2849"/>
      <c r="E1954" s="2850"/>
      <c r="F1954" s="8" t="s">
        <v>6</v>
      </c>
      <c r="G1954" s="2854" t="s">
        <v>7</v>
      </c>
      <c r="H1954" s="2856" t="s">
        <v>8</v>
      </c>
      <c r="I1954" s="2858" t="s">
        <v>9</v>
      </c>
      <c r="J1954" s="2859"/>
      <c r="K1954" s="2859"/>
      <c r="L1954" s="2859"/>
      <c r="M1954" s="2859"/>
      <c r="N1954" s="2860"/>
      <c r="O1954" s="9" t="s">
        <v>10</v>
      </c>
    </row>
    <row r="1955" spans="1:24" s="10" customFormat="1" ht="42" customHeight="1" x14ac:dyDescent="0.3">
      <c r="A1955" s="2845"/>
      <c r="B1955" s="2847"/>
      <c r="C1955" s="2851"/>
      <c r="D1955" s="2852"/>
      <c r="E1955" s="2853"/>
      <c r="F1955" s="11" t="s">
        <v>11</v>
      </c>
      <c r="G1955" s="2855"/>
      <c r="H1955" s="2857"/>
      <c r="I1955" s="14" t="s">
        <v>12</v>
      </c>
      <c r="J1955" s="14" t="s">
        <v>13</v>
      </c>
      <c r="K1955" s="15" t="s">
        <v>14</v>
      </c>
      <c r="L1955" s="15" t="s">
        <v>15</v>
      </c>
      <c r="M1955" s="15" t="s">
        <v>16</v>
      </c>
      <c r="N1955" s="15" t="s">
        <v>17</v>
      </c>
      <c r="O1955" s="13"/>
    </row>
    <row r="1956" spans="1:24" x14ac:dyDescent="0.3">
      <c r="A1956" s="2650">
        <v>439</v>
      </c>
      <c r="B1956" s="815" t="s">
        <v>4275</v>
      </c>
      <c r="C1956" s="829"/>
      <c r="D1956" s="829"/>
      <c r="E1956" s="829"/>
      <c r="F1956" s="845"/>
      <c r="G1956" s="826"/>
      <c r="H1956" s="827"/>
      <c r="I1956" s="779"/>
      <c r="J1956" s="779"/>
      <c r="K1956" s="828"/>
      <c r="L1956" s="828"/>
      <c r="M1956" s="779"/>
      <c r="N1956" s="829"/>
      <c r="O1956" s="830"/>
    </row>
    <row r="1957" spans="1:24" x14ac:dyDescent="0.3">
      <c r="A1957" s="27">
        <v>1</v>
      </c>
      <c r="B1957" s="896" t="s">
        <v>4283</v>
      </c>
      <c r="C1957" s="415" t="s">
        <v>4277</v>
      </c>
      <c r="D1957" s="67">
        <v>46</v>
      </c>
      <c r="E1957" s="217" t="s">
        <v>576</v>
      </c>
      <c r="F1957" s="218" t="s">
        <v>4284</v>
      </c>
      <c r="G1957" s="83">
        <v>3200</v>
      </c>
      <c r="H1957" s="1348" t="s">
        <v>439</v>
      </c>
      <c r="I1957" s="118"/>
      <c r="J1957" s="600"/>
      <c r="K1957" s="83" t="s">
        <v>25</v>
      </c>
      <c r="L1957" s="600"/>
      <c r="M1957" s="83"/>
      <c r="N1957" s="83"/>
      <c r="O1957" s="2628" t="s">
        <v>6395</v>
      </c>
      <c r="Q1957" s="1">
        <v>1</v>
      </c>
      <c r="R1957" s="118"/>
      <c r="S1957" s="600"/>
      <c r="T1957" s="83" t="s">
        <v>25</v>
      </c>
      <c r="U1957" s="600"/>
      <c r="V1957" s="83"/>
      <c r="W1957" s="83"/>
    </row>
    <row r="1958" spans="1:24" x14ac:dyDescent="0.3">
      <c r="A1958" s="27">
        <v>2</v>
      </c>
      <c r="B1958" s="896" t="s">
        <v>4283</v>
      </c>
      <c r="C1958" s="415" t="s">
        <v>4277</v>
      </c>
      <c r="D1958" s="67">
        <v>47</v>
      </c>
      <c r="E1958" s="217" t="s">
        <v>1364</v>
      </c>
      <c r="F1958" s="218" t="s">
        <v>4232</v>
      </c>
      <c r="G1958" s="83">
        <v>3700</v>
      </c>
      <c r="H1958" s="1348" t="s">
        <v>439</v>
      </c>
      <c r="I1958" s="118"/>
      <c r="J1958" s="600"/>
      <c r="K1958" s="83" t="s">
        <v>25</v>
      </c>
      <c r="L1958" s="600"/>
      <c r="M1958" s="83"/>
      <c r="N1958" s="83"/>
      <c r="O1958" s="2628" t="s">
        <v>6395</v>
      </c>
      <c r="Q1958" s="1">
        <v>2</v>
      </c>
      <c r="R1958" s="118"/>
      <c r="S1958" s="600"/>
      <c r="T1958" s="83" t="s">
        <v>25</v>
      </c>
      <c r="U1958" s="600"/>
      <c r="V1958" s="83"/>
      <c r="W1958" s="83"/>
    </row>
    <row r="1959" spans="1:24" ht="18.75" customHeight="1" x14ac:dyDescent="0.45">
      <c r="A1959" s="451"/>
      <c r="B1959" s="1213"/>
      <c r="C1959" s="452"/>
      <c r="D1959" s="452"/>
      <c r="E1959" s="452"/>
      <c r="F1959" s="452"/>
      <c r="G1959" s="2751">
        <f>SUM(G1957:G1958)</f>
        <v>6900</v>
      </c>
      <c r="H1959" s="2681"/>
      <c r="I1959" s="2750"/>
      <c r="J1959" s="2749"/>
      <c r="K1959" s="2748"/>
      <c r="L1959" s="2749"/>
      <c r="M1959" s="2748"/>
      <c r="N1959" s="2748"/>
      <c r="O1959" s="2747"/>
      <c r="R1959" s="233"/>
      <c r="S1959" s="355"/>
      <c r="T1959" s="234"/>
      <c r="U1959" s="355"/>
      <c r="V1959" s="234"/>
      <c r="W1959" s="234"/>
    </row>
    <row r="1960" spans="1:24" ht="18.75" customHeight="1" x14ac:dyDescent="0.45">
      <c r="A1960" s="173"/>
      <c r="B1960" s="200"/>
      <c r="C1960" s="175"/>
      <c r="D1960" s="175"/>
      <c r="E1960" s="175"/>
      <c r="F1960" s="175"/>
      <c r="G1960" s="2665"/>
      <c r="H1960" s="2742"/>
      <c r="I1960" s="2743"/>
      <c r="J1960" s="2744"/>
      <c r="K1960" s="2745"/>
      <c r="L1960" s="2744"/>
      <c r="M1960" s="2745"/>
      <c r="N1960" s="2745"/>
      <c r="O1960" s="2746"/>
      <c r="R1960" s="2605"/>
      <c r="S1960" s="2635"/>
      <c r="T1960" s="986"/>
      <c r="U1960" s="2635"/>
      <c r="V1960" s="986"/>
      <c r="W1960" s="986"/>
    </row>
    <row r="1961" spans="1:24" x14ac:dyDescent="0.3">
      <c r="A1961" s="2861" t="s">
        <v>4323</v>
      </c>
      <c r="B1961" s="2861"/>
      <c r="C1961" s="3"/>
      <c r="D1961" s="3"/>
      <c r="E1961" s="3"/>
      <c r="F1961" s="3"/>
      <c r="G1961" s="5"/>
      <c r="H1961" s="7"/>
      <c r="I1961" s="3"/>
      <c r="J1961" s="3"/>
      <c r="K1961" s="3"/>
      <c r="L1961" s="3"/>
      <c r="M1961" s="3"/>
      <c r="N1961" s="3"/>
      <c r="O1961" s="7"/>
    </row>
    <row r="1962" spans="1:24" s="10" customFormat="1" ht="18.75" customHeight="1" x14ac:dyDescent="0.3">
      <c r="A1962" s="2844" t="s">
        <v>3</v>
      </c>
      <c r="B1962" s="2846" t="s">
        <v>4</v>
      </c>
      <c r="C1962" s="2848" t="s">
        <v>5</v>
      </c>
      <c r="D1962" s="2849"/>
      <c r="E1962" s="2850"/>
      <c r="F1962" s="8" t="s">
        <v>6</v>
      </c>
      <c r="G1962" s="2854" t="s">
        <v>7</v>
      </c>
      <c r="H1962" s="2856" t="s">
        <v>8</v>
      </c>
      <c r="I1962" s="2858" t="s">
        <v>9</v>
      </c>
      <c r="J1962" s="2859"/>
      <c r="K1962" s="2859"/>
      <c r="L1962" s="2859"/>
      <c r="M1962" s="2859"/>
      <c r="N1962" s="2860"/>
      <c r="O1962" s="9" t="s">
        <v>10</v>
      </c>
    </row>
    <row r="1963" spans="1:24" s="10" customFormat="1" ht="42" customHeight="1" x14ac:dyDescent="0.3">
      <c r="A1963" s="2845"/>
      <c r="B1963" s="2847"/>
      <c r="C1963" s="2851"/>
      <c r="D1963" s="2852"/>
      <c r="E1963" s="2853"/>
      <c r="F1963" s="11" t="s">
        <v>11</v>
      </c>
      <c r="G1963" s="2855"/>
      <c r="H1963" s="2857"/>
      <c r="I1963" s="14" t="s">
        <v>12</v>
      </c>
      <c r="J1963" s="14" t="s">
        <v>13</v>
      </c>
      <c r="K1963" s="15" t="s">
        <v>14</v>
      </c>
      <c r="L1963" s="15" t="s">
        <v>15</v>
      </c>
      <c r="M1963" s="15" t="s">
        <v>16</v>
      </c>
      <c r="N1963" s="15" t="s">
        <v>17</v>
      </c>
      <c r="O1963" s="13"/>
    </row>
    <row r="1964" spans="1:24" x14ac:dyDescent="0.3">
      <c r="A1964" s="2642">
        <v>108</v>
      </c>
      <c r="B1964" s="815" t="s">
        <v>4469</v>
      </c>
      <c r="C1964" s="829"/>
      <c r="D1964" s="829"/>
      <c r="E1964" s="829"/>
      <c r="F1964" s="1028"/>
      <c r="G1964" s="826"/>
      <c r="H1964" s="827"/>
      <c r="I1964" s="846"/>
      <c r="J1964" s="779"/>
      <c r="K1964" s="779"/>
      <c r="L1964" s="828"/>
      <c r="M1964" s="828"/>
      <c r="N1964" s="779"/>
      <c r="O1964" s="780"/>
      <c r="S1964" s="846"/>
      <c r="T1964" s="779"/>
      <c r="U1964" s="779"/>
      <c r="V1964" s="828"/>
      <c r="W1964" s="828"/>
      <c r="X1964" s="779"/>
    </row>
    <row r="1965" spans="1:24" x14ac:dyDescent="0.3">
      <c r="A1965" s="2653">
        <v>1</v>
      </c>
      <c r="B1965" s="1465" t="s">
        <v>4470</v>
      </c>
      <c r="C1965" s="1098" t="s">
        <v>4471</v>
      </c>
      <c r="D1965" s="793" t="s">
        <v>494</v>
      </c>
      <c r="E1965" s="1099" t="s">
        <v>1125</v>
      </c>
      <c r="F1965" s="1100" t="s">
        <v>4472</v>
      </c>
      <c r="G1965" s="1101">
        <v>85000</v>
      </c>
      <c r="H1965" s="1466" t="s">
        <v>4473</v>
      </c>
      <c r="I1965" s="644"/>
      <c r="J1965" s="848"/>
      <c r="K1965" s="642" t="s">
        <v>25</v>
      </c>
      <c r="L1965" s="692"/>
      <c r="M1965" s="849"/>
      <c r="N1965" s="642"/>
      <c r="O1965" s="2628" t="s">
        <v>6395</v>
      </c>
      <c r="R1965" s="1">
        <v>1</v>
      </c>
      <c r="S1965" s="644"/>
      <c r="T1965" s="848"/>
      <c r="U1965" s="642" t="s">
        <v>25</v>
      </c>
      <c r="V1965" s="692"/>
      <c r="W1965" s="849"/>
      <c r="X1965" s="642"/>
    </row>
    <row r="1966" spans="1:24" ht="17.399999999999999" x14ac:dyDescent="0.45">
      <c r="A1966" s="451"/>
      <c r="B1966" s="2741"/>
      <c r="C1966" s="942"/>
      <c r="D1966" s="942"/>
      <c r="E1966" s="942"/>
      <c r="F1966" s="2739"/>
      <c r="G1966" s="2709">
        <f>SUM(G1965)</f>
        <v>85000</v>
      </c>
      <c r="H1966" s="944"/>
      <c r="I1966" s="1427"/>
      <c r="J1966" s="2740"/>
      <c r="K1966" s="1428"/>
      <c r="L1966" s="1428"/>
      <c r="M1966" s="1428"/>
      <c r="N1966" s="2663"/>
      <c r="O1966" s="940"/>
      <c r="S1966" s="1475"/>
      <c r="T1966" s="1476"/>
      <c r="U1966" s="1477"/>
      <c r="V1966" s="1477"/>
      <c r="W1966" s="1477"/>
      <c r="X1966" s="1478"/>
    </row>
    <row r="1967" spans="1:24" ht="17.399999999999999" x14ac:dyDescent="0.45">
      <c r="A1967" s="2720"/>
      <c r="B1967" s="2721"/>
      <c r="C1967" s="2722"/>
      <c r="D1967" s="2722"/>
      <c r="E1967" s="2722"/>
      <c r="F1967" s="2723"/>
      <c r="G1967" s="2724"/>
      <c r="H1967" s="2725"/>
      <c r="I1967" s="2726"/>
      <c r="J1967" s="2727"/>
      <c r="K1967" s="2728"/>
      <c r="L1967" s="2728"/>
      <c r="M1967" s="2728"/>
      <c r="N1967" s="2729"/>
      <c r="O1967" s="2730"/>
      <c r="S1967" s="2726"/>
      <c r="T1967" s="2727"/>
      <c r="U1967" s="2728"/>
      <c r="V1967" s="2728"/>
      <c r="W1967" s="2728"/>
      <c r="X1967" s="2729"/>
    </row>
    <row r="1968" spans="1:24" x14ac:dyDescent="0.3">
      <c r="A1968" s="2654">
        <v>115</v>
      </c>
      <c r="B1968" s="1064" t="s">
        <v>4476</v>
      </c>
      <c r="C1968" s="1065"/>
      <c r="D1968" s="1065"/>
      <c r="E1968" s="1065"/>
      <c r="F1968" s="1066"/>
      <c r="G1968" s="1067"/>
      <c r="H1968" s="1068"/>
      <c r="I1968" s="1069"/>
      <c r="J1968" s="1070"/>
      <c r="K1968" s="1070"/>
      <c r="L1968" s="1070"/>
      <c r="M1968" s="1070"/>
      <c r="N1968" s="1070"/>
      <c r="O1968" s="1071"/>
      <c r="S1968" s="1069"/>
      <c r="T1968" s="1070"/>
      <c r="U1968" s="1070"/>
      <c r="V1968" s="1070"/>
      <c r="W1968" s="1070"/>
      <c r="X1968" s="1070"/>
    </row>
    <row r="1969" spans="1:24" x14ac:dyDescent="0.3">
      <c r="A1969" s="2655">
        <v>1</v>
      </c>
      <c r="B1969" s="1492" t="s">
        <v>4477</v>
      </c>
      <c r="C1969" s="1493" t="s">
        <v>4478</v>
      </c>
      <c r="D1969" s="1494" t="s">
        <v>966</v>
      </c>
      <c r="E1969" s="1495" t="s">
        <v>1125</v>
      </c>
      <c r="F1969" s="1496" t="s">
        <v>480</v>
      </c>
      <c r="G1969" s="1497">
        <v>2600000</v>
      </c>
      <c r="H1969" s="1498" t="s">
        <v>4473</v>
      </c>
      <c r="I1969" s="1499"/>
      <c r="J1969" s="1500"/>
      <c r="K1969" s="1499" t="s">
        <v>25</v>
      </c>
      <c r="L1969" s="1500"/>
      <c r="M1969" s="1500"/>
      <c r="N1969" s="1500"/>
      <c r="O1969" s="2628" t="s">
        <v>6395</v>
      </c>
      <c r="Q1969" s="1">
        <v>1</v>
      </c>
      <c r="S1969" s="1499"/>
      <c r="T1969" s="1500"/>
      <c r="U1969" s="1499" t="s">
        <v>25</v>
      </c>
      <c r="V1969" s="1500"/>
      <c r="W1969" s="1500"/>
      <c r="X1969" s="1500"/>
    </row>
    <row r="1970" spans="1:24" ht="17.399999999999999" x14ac:dyDescent="0.3">
      <c r="A1970" s="2731"/>
      <c r="B1970" s="2732"/>
      <c r="C1970" s="2733"/>
      <c r="D1970" s="2733"/>
      <c r="E1970" s="2733"/>
      <c r="F1970" s="2733"/>
      <c r="G1970" s="2734">
        <f>SUM(G1969:G1969)</f>
        <v>2600000</v>
      </c>
      <c r="H1970" s="1516"/>
      <c r="I1970" s="2737"/>
      <c r="J1970" s="2736"/>
      <c r="K1970" s="2736"/>
      <c r="L1970" s="2736"/>
      <c r="M1970" s="2736"/>
      <c r="N1970" s="2736"/>
      <c r="O1970" s="2735"/>
      <c r="S1970" s="1517"/>
      <c r="T1970" s="1518"/>
      <c r="U1970" s="1518"/>
      <c r="V1970" s="1518"/>
      <c r="W1970" s="1518"/>
      <c r="X1970" s="1518"/>
    </row>
    <row r="1971" spans="1:24" ht="17.399999999999999" x14ac:dyDescent="0.3">
      <c r="A1971" s="2717"/>
      <c r="B1971" s="1511"/>
      <c r="C1971" s="2718"/>
      <c r="D1971" s="2718"/>
      <c r="E1971" s="2718"/>
      <c r="F1971" s="1514"/>
      <c r="G1971" s="2719"/>
      <c r="H1971" s="1516"/>
      <c r="I1971" s="58"/>
      <c r="J1971" s="61"/>
      <c r="K1971" s="61"/>
      <c r="L1971" s="61"/>
      <c r="M1971" s="61"/>
      <c r="N1971" s="61"/>
      <c r="O1971" s="2715"/>
      <c r="S1971" s="58"/>
      <c r="T1971" s="61"/>
      <c r="U1971" s="61"/>
      <c r="V1971" s="61"/>
      <c r="W1971" s="61"/>
      <c r="X1971" s="61"/>
    </row>
    <row r="1972" spans="1:24" x14ac:dyDescent="0.3">
      <c r="A1972" s="2650">
        <v>611</v>
      </c>
      <c r="B1972" s="815" t="s">
        <v>4492</v>
      </c>
      <c r="C1972" s="829"/>
      <c r="D1972" s="829"/>
      <c r="E1972" s="829"/>
      <c r="F1972" s="845"/>
      <c r="G1972" s="826"/>
      <c r="H1972" s="827"/>
      <c r="I1972" s="846"/>
      <c r="J1972" s="779"/>
      <c r="K1972" s="828"/>
      <c r="L1972" s="828"/>
      <c r="M1972" s="779"/>
      <c r="N1972" s="829"/>
      <c r="O1972" s="830"/>
      <c r="S1972" s="846"/>
      <c r="T1972" s="779"/>
      <c r="U1972" s="828"/>
      <c r="V1972" s="828"/>
      <c r="W1972" s="779"/>
      <c r="X1972" s="829"/>
    </row>
    <row r="1973" spans="1:24" x14ac:dyDescent="0.3">
      <c r="A1973" s="293">
        <v>1</v>
      </c>
      <c r="B1973" s="643" t="s">
        <v>4493</v>
      </c>
      <c r="C1973" s="348" t="s">
        <v>4494</v>
      </c>
      <c r="D1973" s="326">
        <v>52</v>
      </c>
      <c r="E1973" s="349" t="s">
        <v>1125</v>
      </c>
      <c r="F1973" s="350" t="s">
        <v>4495</v>
      </c>
      <c r="G1973" s="351">
        <v>29850</v>
      </c>
      <c r="H1973" s="1541" t="s">
        <v>4496</v>
      </c>
      <c r="I1973" s="644"/>
      <c r="J1973" s="848"/>
      <c r="K1973" s="642" t="s">
        <v>25</v>
      </c>
      <c r="L1973" s="692"/>
      <c r="M1973" s="849"/>
      <c r="N1973" s="642"/>
      <c r="O1973" s="2628" t="s">
        <v>6395</v>
      </c>
      <c r="R1973" s="1">
        <v>2</v>
      </c>
      <c r="S1973" s="644"/>
      <c r="T1973" s="848"/>
      <c r="U1973" s="642" t="s">
        <v>25</v>
      </c>
      <c r="V1973" s="692"/>
      <c r="W1973" s="849"/>
      <c r="X1973" s="642"/>
    </row>
    <row r="1974" spans="1:24" ht="17.399999999999999" x14ac:dyDescent="0.45">
      <c r="A1974" s="451"/>
      <c r="B1974" s="2663"/>
      <c r="C1974" s="2663"/>
      <c r="D1974" s="2663"/>
      <c r="E1974" s="1422"/>
      <c r="F1974" s="2663"/>
      <c r="G1974" s="2711">
        <f>SUM(G1973)</f>
        <v>29850</v>
      </c>
      <c r="H1974" s="2738"/>
      <c r="I1974" s="2663"/>
      <c r="J1974" s="2663"/>
      <c r="K1974" s="2663"/>
      <c r="L1974" s="2663"/>
      <c r="M1974" s="2663"/>
      <c r="N1974" s="2663"/>
      <c r="O1974" s="940"/>
      <c r="S1974" s="204"/>
      <c r="T1974" s="204"/>
      <c r="U1974" s="204"/>
      <c r="V1974" s="204"/>
      <c r="W1974" s="204"/>
      <c r="X1974" s="204"/>
    </row>
    <row r="1975" spans="1:24" ht="17.399999999999999" x14ac:dyDescent="0.45">
      <c r="A1975" s="51"/>
      <c r="B1975" s="1061"/>
      <c r="C1975" s="1061"/>
      <c r="D1975" s="1061"/>
      <c r="E1975" s="1039"/>
      <c r="F1975" s="1061"/>
      <c r="G1975" s="1554"/>
      <c r="H1975" s="344"/>
      <c r="I1975" s="1061"/>
      <c r="J1975" s="1061"/>
      <c r="K1975" s="1061"/>
      <c r="L1975" s="1061"/>
      <c r="M1975" s="1061"/>
      <c r="N1975" s="1061"/>
      <c r="O1975" s="1062"/>
      <c r="S1975" s="1061"/>
      <c r="T1975" s="1061"/>
      <c r="U1975" s="1061"/>
      <c r="V1975" s="1061"/>
      <c r="W1975" s="1061"/>
      <c r="X1975" s="1061"/>
    </row>
    <row r="1976" spans="1:24" x14ac:dyDescent="0.3">
      <c r="A1976" s="2650">
        <v>636</v>
      </c>
      <c r="B1976" s="815" t="s">
        <v>4499</v>
      </c>
      <c r="C1976" s="1460"/>
      <c r="D1976" s="1461"/>
      <c r="E1976" s="1460"/>
      <c r="F1976" s="1240"/>
      <c r="G1976" s="1229"/>
      <c r="H1976" s="1463"/>
      <c r="I1976" s="819"/>
      <c r="J1976" s="1464"/>
      <c r="K1976" s="1464"/>
      <c r="L1976" s="1555"/>
      <c r="M1976" s="1464"/>
      <c r="N1976" s="819"/>
      <c r="O1976" s="830"/>
      <c r="S1976" s="819"/>
      <c r="T1976" s="1464"/>
      <c r="U1976" s="1464"/>
      <c r="V1976" s="1555"/>
      <c r="W1976" s="1464"/>
      <c r="X1976" s="819"/>
    </row>
    <row r="1977" spans="1:24" x14ac:dyDescent="0.3">
      <c r="A1977" s="293">
        <v>1</v>
      </c>
      <c r="B1977" s="643" t="s">
        <v>4500</v>
      </c>
      <c r="C1977" s="348" t="s">
        <v>4501</v>
      </c>
      <c r="D1977" s="326">
        <v>52</v>
      </c>
      <c r="E1977" s="349" t="s">
        <v>1125</v>
      </c>
      <c r="F1977" s="350" t="s">
        <v>4495</v>
      </c>
      <c r="G1977" s="351">
        <v>74800</v>
      </c>
      <c r="H1977" s="1541" t="s">
        <v>4496</v>
      </c>
      <c r="I1977" s="644"/>
      <c r="J1977" s="848"/>
      <c r="K1977" s="642" t="s">
        <v>25</v>
      </c>
      <c r="L1977" s="692"/>
      <c r="M1977" s="849"/>
      <c r="N1977" s="642"/>
      <c r="O1977" s="2628" t="s">
        <v>6395</v>
      </c>
      <c r="R1977" s="1">
        <v>3</v>
      </c>
      <c r="S1977" s="644"/>
      <c r="T1977" s="848"/>
      <c r="U1977" s="642" t="s">
        <v>25</v>
      </c>
      <c r="V1977" s="692"/>
      <c r="W1977" s="849"/>
      <c r="X1977" s="642"/>
    </row>
    <row r="1978" spans="1:24" ht="17.399999999999999" x14ac:dyDescent="0.45">
      <c r="A1978" s="451"/>
      <c r="B1978" s="2663"/>
      <c r="C1978" s="942"/>
      <c r="D1978" s="1422"/>
      <c r="E1978" s="942"/>
      <c r="F1978" s="2739"/>
      <c r="G1978" s="2709">
        <f>SUM(G1977:G1977)</f>
        <v>74800</v>
      </c>
      <c r="H1978" s="944"/>
      <c r="I1978" s="2706"/>
      <c r="J1978" s="1428"/>
      <c r="K1978" s="1428"/>
      <c r="L1978" s="1428"/>
      <c r="M1978" s="1428"/>
      <c r="N1978" s="2663"/>
      <c r="O1978" s="940"/>
      <c r="S1978" s="48"/>
      <c r="T1978" s="49"/>
      <c r="U1978" s="49"/>
      <c r="V1978" s="49"/>
      <c r="W1978" s="1556"/>
      <c r="X1978" s="204"/>
    </row>
    <row r="1979" spans="1:24" ht="17.399999999999999" x14ac:dyDescent="0.45">
      <c r="A1979" s="51"/>
      <c r="B1979" s="1061"/>
      <c r="C1979" s="1057"/>
      <c r="D1979" s="1039"/>
      <c r="E1979" s="1057"/>
      <c r="F1979" s="1058"/>
      <c r="G1979" s="2713"/>
      <c r="H1979" s="1060"/>
      <c r="I1979" s="60"/>
      <c r="J1979" s="61"/>
      <c r="K1979" s="61"/>
      <c r="L1979" s="61"/>
      <c r="M1979" s="61"/>
      <c r="N1979" s="1061"/>
      <c r="O1979" s="1062"/>
      <c r="S1979" s="60"/>
      <c r="T1979" s="61"/>
      <c r="U1979" s="61"/>
      <c r="V1979" s="61"/>
      <c r="W1979" s="61"/>
      <c r="X1979" s="1061"/>
    </row>
    <row r="1980" spans="1:24" x14ac:dyDescent="0.3">
      <c r="A1980" s="2650">
        <v>637</v>
      </c>
      <c r="B1980" s="815" t="s">
        <v>4502</v>
      </c>
      <c r="C1980" s="1460"/>
      <c r="D1980" s="1461"/>
      <c r="E1980" s="1460"/>
      <c r="F1980" s="1240"/>
      <c r="G1980" s="1229"/>
      <c r="H1980" s="1463"/>
      <c r="I1980" s="819"/>
      <c r="J1980" s="1464"/>
      <c r="K1980" s="1464"/>
      <c r="L1980" s="1555"/>
      <c r="M1980" s="1464"/>
      <c r="N1980" s="819"/>
      <c r="O1980" s="830"/>
      <c r="S1980" s="819"/>
      <c r="T1980" s="1464"/>
      <c r="U1980" s="1464"/>
      <c r="V1980" s="1555"/>
      <c r="W1980" s="1464"/>
      <c r="X1980" s="819"/>
    </row>
    <row r="1981" spans="1:24" x14ac:dyDescent="0.3">
      <c r="A1981" s="735">
        <v>1</v>
      </c>
      <c r="B1981" s="577" t="s">
        <v>4503</v>
      </c>
      <c r="C1981" s="739" t="s">
        <v>4504</v>
      </c>
      <c r="D1981" s="320">
        <v>52</v>
      </c>
      <c r="E1981" s="946" t="s">
        <v>1125</v>
      </c>
      <c r="F1981" s="947" t="s">
        <v>4495</v>
      </c>
      <c r="G1981" s="936">
        <v>69800</v>
      </c>
      <c r="H1981" s="1558" t="s">
        <v>4496</v>
      </c>
      <c r="I1981" s="809"/>
      <c r="J1981" s="1125"/>
      <c r="K1981" s="1557" t="s">
        <v>25</v>
      </c>
      <c r="L1981" s="812"/>
      <c r="M1981" s="1559"/>
      <c r="N1981" s="1557"/>
      <c r="O1981" s="2628" t="s">
        <v>6395</v>
      </c>
      <c r="R1981" s="1">
        <v>4</v>
      </c>
      <c r="S1981" s="809"/>
      <c r="T1981" s="1125"/>
      <c r="U1981" s="1557" t="s">
        <v>25</v>
      </c>
      <c r="V1981" s="812"/>
      <c r="W1981" s="1559"/>
      <c r="X1981" s="1557"/>
    </row>
    <row r="1982" spans="1:24" ht="17.399999999999999" x14ac:dyDescent="0.45">
      <c r="A1982" s="451"/>
      <c r="B1982" s="2663"/>
      <c r="C1982" s="942"/>
      <c r="D1982" s="1422"/>
      <c r="E1982" s="942"/>
      <c r="F1982" s="2664"/>
      <c r="G1982" s="2709">
        <f>SUM(G1981:G1981)</f>
        <v>69800</v>
      </c>
      <c r="H1982" s="944"/>
      <c r="I1982" s="2706"/>
      <c r="J1982" s="1428"/>
      <c r="K1982" s="1428"/>
      <c r="L1982" s="1428"/>
      <c r="M1982" s="1428"/>
      <c r="N1982" s="2663"/>
      <c r="O1982" s="2699"/>
      <c r="S1982" s="48"/>
      <c r="T1982" s="49"/>
      <c r="U1982" s="49"/>
      <c r="V1982" s="49"/>
      <c r="W1982" s="1556"/>
      <c r="X1982" s="204"/>
    </row>
    <row r="1983" spans="1:24" ht="17.399999999999999" x14ac:dyDescent="0.45">
      <c r="A1983" s="173"/>
      <c r="B1983" s="1061"/>
      <c r="C1983" s="1057"/>
      <c r="D1983" s="1039"/>
      <c r="E1983" s="1057"/>
      <c r="F1983" s="3"/>
      <c r="G1983" s="2713"/>
      <c r="H1983" s="1060"/>
      <c r="I1983" s="60"/>
      <c r="J1983" s="61"/>
      <c r="K1983" s="61"/>
      <c r="L1983" s="61"/>
      <c r="M1983" s="61"/>
      <c r="N1983" s="1061"/>
      <c r="O1983" s="2715"/>
      <c r="P1983" s="2716"/>
      <c r="S1983" s="1511"/>
      <c r="T1983" s="1259"/>
      <c r="U1983" s="1259"/>
      <c r="V1983" s="1259"/>
      <c r="W1983" s="1259"/>
    </row>
    <row r="1984" spans="1:24" ht="13.5" customHeight="1" x14ac:dyDescent="0.3">
      <c r="A1984" s="2861" t="s">
        <v>4622</v>
      </c>
      <c r="B1984" s="2861"/>
      <c r="C1984" s="3"/>
      <c r="D1984" s="3"/>
      <c r="E1984" s="3"/>
      <c r="F1984" s="1"/>
      <c r="G1984" s="5"/>
      <c r="H1984" s="7"/>
      <c r="I1984" s="3"/>
      <c r="J1984" s="3"/>
      <c r="K1984" s="3"/>
      <c r="L1984" s="3"/>
      <c r="M1984" s="3"/>
      <c r="N1984" s="3"/>
      <c r="O1984" s="7"/>
    </row>
    <row r="1985" spans="1:16" s="10" customFormat="1" ht="18.75" customHeight="1" x14ac:dyDescent="0.3">
      <c r="A1985" s="2844" t="s">
        <v>3</v>
      </c>
      <c r="B1985" s="2846" t="s">
        <v>4</v>
      </c>
      <c r="C1985" s="2848" t="s">
        <v>5</v>
      </c>
      <c r="D1985" s="2849"/>
      <c r="E1985" s="2850"/>
      <c r="F1985" s="8" t="s">
        <v>6</v>
      </c>
      <c r="G1985" s="2854" t="s">
        <v>7</v>
      </c>
      <c r="H1985" s="2856" t="s">
        <v>8</v>
      </c>
      <c r="I1985" s="2858" t="s">
        <v>9</v>
      </c>
      <c r="J1985" s="2859"/>
      <c r="K1985" s="2859"/>
      <c r="L1985" s="2859"/>
      <c r="M1985" s="2859"/>
      <c r="N1985" s="2860"/>
      <c r="O1985" s="9" t="s">
        <v>10</v>
      </c>
    </row>
    <row r="1986" spans="1:16" s="10" customFormat="1" ht="42" customHeight="1" x14ac:dyDescent="0.3">
      <c r="A1986" s="2845"/>
      <c r="B1986" s="2847"/>
      <c r="C1986" s="2851"/>
      <c r="D1986" s="2852"/>
      <c r="E1986" s="2853"/>
      <c r="F1986" s="11" t="s">
        <v>11</v>
      </c>
      <c r="G1986" s="2855"/>
      <c r="H1986" s="2857"/>
      <c r="I1986" s="14" t="s">
        <v>12</v>
      </c>
      <c r="J1986" s="14" t="s">
        <v>13</v>
      </c>
      <c r="K1986" s="15" t="s">
        <v>14</v>
      </c>
      <c r="L1986" s="15" t="s">
        <v>15</v>
      </c>
      <c r="M1986" s="15" t="s">
        <v>16</v>
      </c>
      <c r="N1986" s="15" t="s">
        <v>17</v>
      </c>
      <c r="O1986" s="13"/>
    </row>
    <row r="1987" spans="1:16" x14ac:dyDescent="0.3">
      <c r="A1987" s="385">
        <v>1</v>
      </c>
      <c r="B1987" s="2698" t="s">
        <v>4645</v>
      </c>
      <c r="C1987" s="2957" t="s">
        <v>4646</v>
      </c>
      <c r="D1987" s="2958"/>
      <c r="E1987" s="2959"/>
      <c r="F1987" s="711" t="s">
        <v>4644</v>
      </c>
      <c r="G1987" s="703">
        <v>23400</v>
      </c>
      <c r="H1987" s="1608" t="s">
        <v>127</v>
      </c>
      <c r="I1987" s="104"/>
      <c r="J1987" s="104"/>
      <c r="K1987" s="104" t="s">
        <v>25</v>
      </c>
      <c r="L1987" s="104"/>
      <c r="M1987" s="104"/>
      <c r="N1987" s="104"/>
      <c r="O1987" s="2628" t="s">
        <v>6395</v>
      </c>
    </row>
    <row r="1988" spans="1:16" ht="17.399999999999999" x14ac:dyDescent="0.45">
      <c r="G1988" s="2709">
        <f>SUM(G1987:G1987)</f>
        <v>23400</v>
      </c>
      <c r="H1988" s="1215"/>
      <c r="K1988" s="1422"/>
      <c r="L1988" s="2663"/>
      <c r="M1988" s="2663"/>
      <c r="N1988" s="2663"/>
      <c r="O1988" s="2699"/>
    </row>
    <row r="1989" spans="1:16" s="10" customFormat="1" ht="18" x14ac:dyDescent="0.35">
      <c r="A1989" s="3013" t="s">
        <v>6134</v>
      </c>
      <c r="B1989" s="2965"/>
      <c r="C1989" s="858"/>
      <c r="D1989" s="858"/>
      <c r="E1989" s="858"/>
      <c r="F1989" s="858"/>
      <c r="G1989" s="858"/>
      <c r="H1989" s="1846"/>
      <c r="I1989" s="1703"/>
      <c r="J1989" s="1845"/>
      <c r="K1989" s="1845"/>
      <c r="L1989" s="1844"/>
      <c r="M1989" s="1844"/>
      <c r="N1989" s="1844"/>
      <c r="O1989" s="1844"/>
      <c r="P1989" s="2700"/>
    </row>
    <row r="1990" spans="1:16" s="10" customFormat="1" ht="18.75" customHeight="1" x14ac:dyDescent="0.3">
      <c r="A1990" s="2844" t="s">
        <v>3</v>
      </c>
      <c r="B1990" s="2846" t="s">
        <v>4</v>
      </c>
      <c r="C1990" s="2848" t="s">
        <v>5</v>
      </c>
      <c r="D1990" s="2849"/>
      <c r="E1990" s="2850"/>
      <c r="F1990" s="8" t="s">
        <v>6</v>
      </c>
      <c r="G1990" s="2854" t="s">
        <v>7</v>
      </c>
      <c r="H1990" s="2856" t="s">
        <v>8</v>
      </c>
      <c r="I1990" s="2858" t="s">
        <v>9</v>
      </c>
      <c r="J1990" s="2859"/>
      <c r="K1990" s="2859"/>
      <c r="L1990" s="2859"/>
      <c r="M1990" s="2859"/>
      <c r="N1990" s="2860"/>
      <c r="O1990" s="9" t="s">
        <v>10</v>
      </c>
      <c r="P1990" s="2701"/>
    </row>
    <row r="1991" spans="1:16" s="10" customFormat="1" ht="42" customHeight="1" x14ac:dyDescent="0.3">
      <c r="A1991" s="2845"/>
      <c r="B1991" s="2847"/>
      <c r="C1991" s="2851"/>
      <c r="D1991" s="2852"/>
      <c r="E1991" s="2853"/>
      <c r="F1991" s="11" t="s">
        <v>11</v>
      </c>
      <c r="G1991" s="2855"/>
      <c r="H1991" s="2857"/>
      <c r="I1991" s="14" t="s">
        <v>12</v>
      </c>
      <c r="J1991" s="14" t="s">
        <v>13</v>
      </c>
      <c r="K1991" s="15" t="s">
        <v>14</v>
      </c>
      <c r="L1991" s="15" t="s">
        <v>15</v>
      </c>
      <c r="M1991" s="15" t="s">
        <v>16</v>
      </c>
      <c r="N1991" s="15" t="s">
        <v>17</v>
      </c>
      <c r="O1991" s="13"/>
    </row>
    <row r="1992" spans="1:16" x14ac:dyDescent="0.3">
      <c r="A1992" s="2644">
        <v>400</v>
      </c>
      <c r="B1992" s="97" t="s">
        <v>6135</v>
      </c>
      <c r="C1992" s="97"/>
      <c r="D1992" s="97"/>
      <c r="E1992" s="1843"/>
      <c r="F1992" s="1842"/>
      <c r="G1992" s="97"/>
      <c r="H1992" s="100"/>
      <c r="I1992" s="101"/>
      <c r="J1992" s="97"/>
      <c r="K1992" s="97"/>
      <c r="L1992" s="97"/>
      <c r="M1992" s="97"/>
      <c r="N1992" s="97"/>
      <c r="O1992" s="102"/>
      <c r="P1992" s="2702"/>
    </row>
    <row r="1993" spans="1:16" x14ac:dyDescent="0.3">
      <c r="A1993" s="104">
        <v>1</v>
      </c>
      <c r="B1993" s="313" t="s">
        <v>5706</v>
      </c>
      <c r="C1993" s="2970" t="s">
        <v>6272</v>
      </c>
      <c r="D1993" s="2971"/>
      <c r="E1993" s="2971"/>
      <c r="F1993" s="218" t="s">
        <v>5315</v>
      </c>
      <c r="G1993" s="192">
        <v>850</v>
      </c>
      <c r="H1993" s="1773" t="s">
        <v>41</v>
      </c>
      <c r="I1993" s="34"/>
      <c r="J1993" s="34"/>
      <c r="K1993" s="2233" t="s">
        <v>25</v>
      </c>
      <c r="L1993" s="147"/>
      <c r="M1993" s="147"/>
      <c r="N1993" s="147"/>
      <c r="O1993" s="2628" t="s">
        <v>6395</v>
      </c>
      <c r="P1993" s="2662"/>
    </row>
    <row r="1994" spans="1:16" x14ac:dyDescent="0.3">
      <c r="A1994" s="104">
        <v>2</v>
      </c>
      <c r="B1994" s="313" t="s">
        <v>5706</v>
      </c>
      <c r="C1994" s="2951" t="s">
        <v>6273</v>
      </c>
      <c r="D1994" s="2952"/>
      <c r="E1994" s="2952"/>
      <c r="F1994" s="218" t="s">
        <v>5315</v>
      </c>
      <c r="G1994" s="192">
        <v>850</v>
      </c>
      <c r="H1994" s="1773" t="s">
        <v>41</v>
      </c>
      <c r="I1994" s="34"/>
      <c r="J1994" s="34"/>
      <c r="K1994" s="2233" t="s">
        <v>25</v>
      </c>
      <c r="L1994" s="147"/>
      <c r="M1994" s="147"/>
      <c r="N1994" s="147"/>
      <c r="O1994" s="2628" t="s">
        <v>6395</v>
      </c>
    </row>
    <row r="1995" spans="1:16" x14ac:dyDescent="0.3">
      <c r="A1995" s="104">
        <v>3</v>
      </c>
      <c r="B1995" s="313" t="s">
        <v>5706</v>
      </c>
      <c r="C1995" s="2951" t="s">
        <v>6274</v>
      </c>
      <c r="D1995" s="2952"/>
      <c r="E1995" s="2952"/>
      <c r="F1995" s="218" t="s">
        <v>5315</v>
      </c>
      <c r="G1995" s="192">
        <v>850</v>
      </c>
      <c r="H1995" s="1773" t="s">
        <v>41</v>
      </c>
      <c r="I1995" s="34"/>
      <c r="J1995" s="34"/>
      <c r="K1995" s="2233" t="s">
        <v>25</v>
      </c>
      <c r="L1995" s="147"/>
      <c r="M1995" s="147"/>
      <c r="N1995" s="147"/>
      <c r="O1995" s="2628" t="s">
        <v>6395</v>
      </c>
    </row>
    <row r="1996" spans="1:16" x14ac:dyDescent="0.3">
      <c r="A1996" s="104">
        <v>4</v>
      </c>
      <c r="B1996" s="313" t="s">
        <v>5706</v>
      </c>
      <c r="C1996" s="2951" t="s">
        <v>6275</v>
      </c>
      <c r="D1996" s="2952"/>
      <c r="E1996" s="2952"/>
      <c r="F1996" s="218" t="s">
        <v>5315</v>
      </c>
      <c r="G1996" s="192">
        <v>850</v>
      </c>
      <c r="H1996" s="1773" t="s">
        <v>41</v>
      </c>
      <c r="I1996" s="34"/>
      <c r="J1996" s="34"/>
      <c r="K1996" s="2233" t="s">
        <v>25</v>
      </c>
      <c r="L1996" s="147"/>
      <c r="M1996" s="147"/>
      <c r="N1996" s="147"/>
      <c r="O1996" s="2628" t="s">
        <v>6395</v>
      </c>
    </row>
    <row r="1997" spans="1:16" x14ac:dyDescent="0.3">
      <c r="A1997" s="104">
        <v>5</v>
      </c>
      <c r="B1997" s="313" t="s">
        <v>5706</v>
      </c>
      <c r="C1997" s="2951" t="s">
        <v>6276</v>
      </c>
      <c r="D1997" s="2952"/>
      <c r="E1997" s="2952"/>
      <c r="F1997" s="218" t="s">
        <v>5315</v>
      </c>
      <c r="G1997" s="192">
        <v>850</v>
      </c>
      <c r="H1997" s="1773" t="s">
        <v>41</v>
      </c>
      <c r="I1997" s="34"/>
      <c r="J1997" s="34"/>
      <c r="K1997" s="2233" t="s">
        <v>25</v>
      </c>
      <c r="L1997" s="147"/>
      <c r="M1997" s="147"/>
      <c r="N1997" s="147"/>
      <c r="O1997" s="2628" t="s">
        <v>6395</v>
      </c>
    </row>
    <row r="1998" spans="1:16" x14ac:dyDescent="0.3">
      <c r="A1998" s="104">
        <v>6</v>
      </c>
      <c r="B1998" s="313" t="s">
        <v>5706</v>
      </c>
      <c r="C1998" s="2951" t="s">
        <v>6277</v>
      </c>
      <c r="D1998" s="2952"/>
      <c r="E1998" s="2952"/>
      <c r="F1998" s="218" t="s">
        <v>5315</v>
      </c>
      <c r="G1998" s="192">
        <v>850</v>
      </c>
      <c r="H1998" s="1773" t="s">
        <v>41</v>
      </c>
      <c r="I1998" s="34"/>
      <c r="J1998" s="34"/>
      <c r="K1998" s="2233" t="s">
        <v>25</v>
      </c>
      <c r="L1998" s="147"/>
      <c r="M1998" s="147"/>
      <c r="N1998" s="147"/>
      <c r="O1998" s="2628" t="s">
        <v>6395</v>
      </c>
    </row>
    <row r="1999" spans="1:16" x14ac:dyDescent="0.3">
      <c r="A1999" s="104">
        <v>7</v>
      </c>
      <c r="B1999" s="313" t="s">
        <v>5706</v>
      </c>
      <c r="C1999" s="2951" t="s">
        <v>6278</v>
      </c>
      <c r="D1999" s="2952"/>
      <c r="E1999" s="2952"/>
      <c r="F1999" s="218" t="s">
        <v>5315</v>
      </c>
      <c r="G1999" s="192">
        <v>850</v>
      </c>
      <c r="H1999" s="1773" t="s">
        <v>41</v>
      </c>
      <c r="I1999" s="34"/>
      <c r="J1999" s="34"/>
      <c r="K1999" s="2233" t="s">
        <v>25</v>
      </c>
      <c r="L1999" s="147"/>
      <c r="M1999" s="147"/>
      <c r="N1999" s="147"/>
      <c r="O1999" s="2628" t="s">
        <v>6395</v>
      </c>
    </row>
    <row r="2000" spans="1:16" x14ac:dyDescent="0.3">
      <c r="A2000" s="104">
        <v>8</v>
      </c>
      <c r="B2000" s="313" t="s">
        <v>5706</v>
      </c>
      <c r="C2000" s="2951" t="s">
        <v>6279</v>
      </c>
      <c r="D2000" s="2952"/>
      <c r="E2000" s="2952"/>
      <c r="F2000" s="218" t="s">
        <v>5315</v>
      </c>
      <c r="G2000" s="192">
        <v>850</v>
      </c>
      <c r="H2000" s="1773" t="s">
        <v>41</v>
      </c>
      <c r="I2000" s="34"/>
      <c r="J2000" s="34"/>
      <c r="K2000" s="2233" t="s">
        <v>25</v>
      </c>
      <c r="L2000" s="147"/>
      <c r="M2000" s="147"/>
      <c r="N2000" s="147"/>
      <c r="O2000" s="2628" t="s">
        <v>6395</v>
      </c>
    </row>
    <row r="2001" spans="1:15" x14ac:dyDescent="0.3">
      <c r="A2001" s="104">
        <v>9</v>
      </c>
      <c r="B2001" s="313" t="s">
        <v>5706</v>
      </c>
      <c r="C2001" s="2951" t="s">
        <v>6280</v>
      </c>
      <c r="D2001" s="2952"/>
      <c r="E2001" s="2952"/>
      <c r="F2001" s="218" t="s">
        <v>5315</v>
      </c>
      <c r="G2001" s="192">
        <v>850</v>
      </c>
      <c r="H2001" s="1773" t="s">
        <v>41</v>
      </c>
      <c r="I2001" s="34"/>
      <c r="J2001" s="34"/>
      <c r="K2001" s="2233" t="s">
        <v>25</v>
      </c>
      <c r="L2001" s="147"/>
      <c r="M2001" s="147"/>
      <c r="N2001" s="147"/>
      <c r="O2001" s="2628" t="s">
        <v>6395</v>
      </c>
    </row>
    <row r="2002" spans="1:15" x14ac:dyDescent="0.3">
      <c r="A2002" s="104">
        <v>10</v>
      </c>
      <c r="B2002" s="313" t="s">
        <v>5706</v>
      </c>
      <c r="C2002" s="2951" t="s">
        <v>6281</v>
      </c>
      <c r="D2002" s="2952"/>
      <c r="E2002" s="2952"/>
      <c r="F2002" s="218" t="s">
        <v>5315</v>
      </c>
      <c r="G2002" s="192">
        <v>850</v>
      </c>
      <c r="H2002" s="1773" t="s">
        <v>41</v>
      </c>
      <c r="I2002" s="34"/>
      <c r="J2002" s="34"/>
      <c r="K2002" s="2233" t="s">
        <v>25</v>
      </c>
      <c r="L2002" s="147"/>
      <c r="M2002" s="147"/>
      <c r="N2002" s="147"/>
      <c r="O2002" s="2628" t="s">
        <v>6395</v>
      </c>
    </row>
    <row r="2003" spans="1:15" x14ac:dyDescent="0.3">
      <c r="A2003" s="104">
        <v>11</v>
      </c>
      <c r="B2003" s="313" t="s">
        <v>5706</v>
      </c>
      <c r="C2003" s="2951" t="s">
        <v>6282</v>
      </c>
      <c r="D2003" s="2952"/>
      <c r="E2003" s="2952"/>
      <c r="F2003" s="218" t="s">
        <v>5315</v>
      </c>
      <c r="G2003" s="192">
        <v>850</v>
      </c>
      <c r="H2003" s="1773" t="s">
        <v>41</v>
      </c>
      <c r="I2003" s="34"/>
      <c r="J2003" s="34"/>
      <c r="K2003" s="2233" t="s">
        <v>25</v>
      </c>
      <c r="L2003" s="147"/>
      <c r="M2003" s="147"/>
      <c r="N2003" s="147"/>
      <c r="O2003" s="2628" t="s">
        <v>6395</v>
      </c>
    </row>
    <row r="2004" spans="1:15" x14ac:dyDescent="0.3">
      <c r="A2004" s="104">
        <v>12</v>
      </c>
      <c r="B2004" s="313" t="s">
        <v>5706</v>
      </c>
      <c r="C2004" s="2951" t="s">
        <v>6283</v>
      </c>
      <c r="D2004" s="2952"/>
      <c r="E2004" s="2952"/>
      <c r="F2004" s="218" t="s">
        <v>5315</v>
      </c>
      <c r="G2004" s="192">
        <v>850</v>
      </c>
      <c r="H2004" s="1773" t="s">
        <v>41</v>
      </c>
      <c r="I2004" s="34"/>
      <c r="J2004" s="34"/>
      <c r="K2004" s="2233" t="s">
        <v>25</v>
      </c>
      <c r="L2004" s="147"/>
      <c r="M2004" s="147"/>
      <c r="N2004" s="147"/>
      <c r="O2004" s="2628" t="s">
        <v>6395</v>
      </c>
    </row>
    <row r="2005" spans="1:15" x14ac:dyDescent="0.3">
      <c r="A2005" s="104">
        <v>13</v>
      </c>
      <c r="B2005" s="313" t="s">
        <v>5706</v>
      </c>
      <c r="C2005" s="2951" t="s">
        <v>6284</v>
      </c>
      <c r="D2005" s="2952"/>
      <c r="E2005" s="2952"/>
      <c r="F2005" s="218" t="s">
        <v>5315</v>
      </c>
      <c r="G2005" s="192">
        <v>850</v>
      </c>
      <c r="H2005" s="1773" t="s">
        <v>41</v>
      </c>
      <c r="I2005" s="34"/>
      <c r="J2005" s="34"/>
      <c r="K2005" s="2233" t="s">
        <v>25</v>
      </c>
      <c r="L2005" s="147"/>
      <c r="M2005" s="147"/>
      <c r="N2005" s="147"/>
      <c r="O2005" s="2628" t="s">
        <v>6395</v>
      </c>
    </row>
    <row r="2006" spans="1:15" x14ac:dyDescent="0.3">
      <c r="A2006" s="104">
        <v>14</v>
      </c>
      <c r="B2006" s="313" t="s">
        <v>5706</v>
      </c>
      <c r="C2006" s="2951" t="s">
        <v>6285</v>
      </c>
      <c r="D2006" s="2952"/>
      <c r="E2006" s="2952"/>
      <c r="F2006" s="218" t="s">
        <v>5315</v>
      </c>
      <c r="G2006" s="192">
        <v>850</v>
      </c>
      <c r="H2006" s="1773" t="s">
        <v>41</v>
      </c>
      <c r="I2006" s="34"/>
      <c r="J2006" s="34"/>
      <c r="K2006" s="2233" t="s">
        <v>25</v>
      </c>
      <c r="L2006" s="147"/>
      <c r="M2006" s="147"/>
      <c r="N2006" s="147"/>
      <c r="O2006" s="2628" t="s">
        <v>6395</v>
      </c>
    </row>
    <row r="2007" spans="1:15" x14ac:dyDescent="0.3">
      <c r="A2007" s="104">
        <v>15</v>
      </c>
      <c r="B2007" s="313" t="s">
        <v>5706</v>
      </c>
      <c r="C2007" s="2951" t="s">
        <v>6286</v>
      </c>
      <c r="D2007" s="2952"/>
      <c r="E2007" s="2952"/>
      <c r="F2007" s="218" t="s">
        <v>5315</v>
      </c>
      <c r="G2007" s="192">
        <v>850</v>
      </c>
      <c r="H2007" s="1773" t="s">
        <v>41</v>
      </c>
      <c r="I2007" s="34"/>
      <c r="J2007" s="34"/>
      <c r="K2007" s="2233" t="s">
        <v>25</v>
      </c>
      <c r="L2007" s="803"/>
      <c r="M2007" s="803"/>
      <c r="N2007" s="803"/>
      <c r="O2007" s="2628" t="s">
        <v>6395</v>
      </c>
    </row>
    <row r="2008" spans="1:15" x14ac:dyDescent="0.3">
      <c r="A2008" s="104">
        <v>16</v>
      </c>
      <c r="B2008" s="313" t="s">
        <v>5706</v>
      </c>
      <c r="C2008" s="2951" t="s">
        <v>6287</v>
      </c>
      <c r="D2008" s="2952"/>
      <c r="E2008" s="2952"/>
      <c r="F2008" s="218" t="s">
        <v>5315</v>
      </c>
      <c r="G2008" s="192">
        <v>850</v>
      </c>
      <c r="H2008" s="1773" t="s">
        <v>41</v>
      </c>
      <c r="I2008" s="34"/>
      <c r="J2008" s="34"/>
      <c r="K2008" s="2233" t="s">
        <v>25</v>
      </c>
      <c r="L2008" s="803"/>
      <c r="M2008" s="803"/>
      <c r="N2008" s="803"/>
      <c r="O2008" s="2628" t="s">
        <v>6395</v>
      </c>
    </row>
    <row r="2009" spans="1:15" x14ac:dyDescent="0.3">
      <c r="A2009" s="104">
        <v>17</v>
      </c>
      <c r="B2009" s="313" t="s">
        <v>5706</v>
      </c>
      <c r="C2009" s="2951" t="s">
        <v>6288</v>
      </c>
      <c r="D2009" s="2952"/>
      <c r="E2009" s="2952"/>
      <c r="F2009" s="218" t="s">
        <v>5315</v>
      </c>
      <c r="G2009" s="192">
        <v>850</v>
      </c>
      <c r="H2009" s="1773" t="s">
        <v>41</v>
      </c>
      <c r="I2009" s="34"/>
      <c r="J2009" s="34"/>
      <c r="K2009" s="2233" t="s">
        <v>25</v>
      </c>
      <c r="L2009" s="803"/>
      <c r="M2009" s="803"/>
      <c r="N2009" s="803"/>
      <c r="O2009" s="2628" t="s">
        <v>6395</v>
      </c>
    </row>
    <row r="2010" spans="1:15" x14ac:dyDescent="0.3">
      <c r="A2010" s="104">
        <v>18</v>
      </c>
      <c r="B2010" s="313" t="s">
        <v>5706</v>
      </c>
      <c r="C2010" s="2951" t="s">
        <v>6289</v>
      </c>
      <c r="D2010" s="2952"/>
      <c r="E2010" s="2952"/>
      <c r="F2010" s="218" t="s">
        <v>5315</v>
      </c>
      <c r="G2010" s="192">
        <v>850</v>
      </c>
      <c r="H2010" s="1773" t="s">
        <v>41</v>
      </c>
      <c r="I2010" s="34"/>
      <c r="J2010" s="34"/>
      <c r="K2010" s="2233" t="s">
        <v>25</v>
      </c>
      <c r="L2010" s="803"/>
      <c r="M2010" s="803"/>
      <c r="N2010" s="803"/>
      <c r="O2010" s="2628" t="s">
        <v>6395</v>
      </c>
    </row>
    <row r="2011" spans="1:15" x14ac:dyDescent="0.3">
      <c r="A2011" s="104">
        <v>19</v>
      </c>
      <c r="B2011" s="313" t="s">
        <v>5706</v>
      </c>
      <c r="C2011" s="2951" t="s">
        <v>6290</v>
      </c>
      <c r="D2011" s="2952"/>
      <c r="E2011" s="2952"/>
      <c r="F2011" s="218" t="s">
        <v>5315</v>
      </c>
      <c r="G2011" s="192">
        <v>850</v>
      </c>
      <c r="H2011" s="1773" t="s">
        <v>41</v>
      </c>
      <c r="I2011" s="34"/>
      <c r="J2011" s="34"/>
      <c r="K2011" s="2233" t="s">
        <v>25</v>
      </c>
      <c r="L2011" s="803"/>
      <c r="M2011" s="803"/>
      <c r="N2011" s="803"/>
      <c r="O2011" s="2628" t="s">
        <v>6395</v>
      </c>
    </row>
    <row r="2012" spans="1:15" x14ac:dyDescent="0.3">
      <c r="A2012" s="104">
        <v>20</v>
      </c>
      <c r="B2012" s="313" t="s">
        <v>5706</v>
      </c>
      <c r="C2012" s="2951" t="s">
        <v>6291</v>
      </c>
      <c r="D2012" s="2952"/>
      <c r="E2012" s="2952"/>
      <c r="F2012" s="218" t="s">
        <v>5315</v>
      </c>
      <c r="G2012" s="192">
        <v>850</v>
      </c>
      <c r="H2012" s="1773" t="s">
        <v>41</v>
      </c>
      <c r="I2012" s="34"/>
      <c r="J2012" s="34"/>
      <c r="K2012" s="2233" t="s">
        <v>25</v>
      </c>
      <c r="L2012" s="803"/>
      <c r="M2012" s="803"/>
      <c r="N2012" s="803"/>
      <c r="O2012" s="2628" t="s">
        <v>6395</v>
      </c>
    </row>
    <row r="2013" spans="1:15" x14ac:dyDescent="0.3">
      <c r="A2013" s="104">
        <v>21</v>
      </c>
      <c r="B2013" s="313" t="s">
        <v>5706</v>
      </c>
      <c r="C2013" s="2951" t="s">
        <v>6292</v>
      </c>
      <c r="D2013" s="2952"/>
      <c r="E2013" s="2952"/>
      <c r="F2013" s="218" t="s">
        <v>5315</v>
      </c>
      <c r="G2013" s="192">
        <v>850</v>
      </c>
      <c r="H2013" s="1773" t="s">
        <v>41</v>
      </c>
      <c r="I2013" s="34"/>
      <c r="J2013" s="34"/>
      <c r="K2013" s="2233" t="s">
        <v>25</v>
      </c>
      <c r="L2013" s="803"/>
      <c r="M2013" s="803"/>
      <c r="N2013" s="803"/>
      <c r="O2013" s="2628" t="s">
        <v>6395</v>
      </c>
    </row>
    <row r="2014" spans="1:15" x14ac:dyDescent="0.3">
      <c r="A2014" s="104">
        <v>22</v>
      </c>
      <c r="B2014" s="313" t="s">
        <v>5706</v>
      </c>
      <c r="C2014" s="2951" t="s">
        <v>6293</v>
      </c>
      <c r="D2014" s="2952"/>
      <c r="E2014" s="2952"/>
      <c r="F2014" s="218" t="s">
        <v>5315</v>
      </c>
      <c r="G2014" s="192">
        <v>850</v>
      </c>
      <c r="H2014" s="1773" t="s">
        <v>41</v>
      </c>
      <c r="I2014" s="34"/>
      <c r="J2014" s="34"/>
      <c r="K2014" s="2233" t="s">
        <v>25</v>
      </c>
      <c r="L2014" s="803"/>
      <c r="M2014" s="803"/>
      <c r="N2014" s="803"/>
      <c r="O2014" s="2628" t="s">
        <v>6395</v>
      </c>
    </row>
    <row r="2015" spans="1:15" x14ac:dyDescent="0.3">
      <c r="A2015" s="104">
        <v>23</v>
      </c>
      <c r="B2015" s="313" t="s">
        <v>5706</v>
      </c>
      <c r="C2015" s="2951" t="s">
        <v>6294</v>
      </c>
      <c r="D2015" s="2952"/>
      <c r="E2015" s="2952"/>
      <c r="F2015" s="218" t="s">
        <v>5315</v>
      </c>
      <c r="G2015" s="192">
        <v>850</v>
      </c>
      <c r="H2015" s="1773" t="s">
        <v>41</v>
      </c>
      <c r="I2015" s="34"/>
      <c r="J2015" s="34"/>
      <c r="K2015" s="2233" t="s">
        <v>25</v>
      </c>
      <c r="L2015" s="803"/>
      <c r="M2015" s="803"/>
      <c r="N2015" s="803"/>
      <c r="O2015" s="2628" t="s">
        <v>6395</v>
      </c>
    </row>
    <row r="2016" spans="1:15" x14ac:dyDescent="0.3">
      <c r="A2016" s="104">
        <v>24</v>
      </c>
      <c r="B2016" s="313" t="s">
        <v>5706</v>
      </c>
      <c r="C2016" s="2951" t="s">
        <v>6295</v>
      </c>
      <c r="D2016" s="2952"/>
      <c r="E2016" s="2952"/>
      <c r="F2016" s="218" t="s">
        <v>5315</v>
      </c>
      <c r="G2016" s="192">
        <v>850</v>
      </c>
      <c r="H2016" s="1773" t="s">
        <v>41</v>
      </c>
      <c r="I2016" s="34"/>
      <c r="J2016" s="34"/>
      <c r="K2016" s="2233" t="s">
        <v>25</v>
      </c>
      <c r="L2016" s="803"/>
      <c r="M2016" s="803"/>
      <c r="N2016" s="803"/>
      <c r="O2016" s="2628" t="s">
        <v>6395</v>
      </c>
    </row>
    <row r="2017" spans="1:15" x14ac:dyDescent="0.3">
      <c r="A2017" s="104">
        <v>25</v>
      </c>
      <c r="B2017" s="313" t="s">
        <v>5706</v>
      </c>
      <c r="C2017" s="2951" t="s">
        <v>6296</v>
      </c>
      <c r="D2017" s="2952"/>
      <c r="E2017" s="2952"/>
      <c r="F2017" s="218" t="s">
        <v>5315</v>
      </c>
      <c r="G2017" s="192">
        <v>850</v>
      </c>
      <c r="H2017" s="1773" t="s">
        <v>41</v>
      </c>
      <c r="I2017" s="34"/>
      <c r="J2017" s="34"/>
      <c r="K2017" s="2233" t="s">
        <v>25</v>
      </c>
      <c r="L2017" s="803"/>
      <c r="M2017" s="803"/>
      <c r="N2017" s="803"/>
      <c r="O2017" s="2628" t="s">
        <v>6395</v>
      </c>
    </row>
    <row r="2018" spans="1:15" x14ac:dyDescent="0.3">
      <c r="A2018" s="104">
        <v>26</v>
      </c>
      <c r="B2018" s="313" t="s">
        <v>5706</v>
      </c>
      <c r="C2018" s="2951" t="s">
        <v>6297</v>
      </c>
      <c r="D2018" s="2952"/>
      <c r="E2018" s="2952"/>
      <c r="F2018" s="218" t="s">
        <v>5315</v>
      </c>
      <c r="G2018" s="192">
        <v>850</v>
      </c>
      <c r="H2018" s="1773" t="s">
        <v>41</v>
      </c>
      <c r="I2018" s="34"/>
      <c r="J2018" s="34"/>
      <c r="K2018" s="2233" t="s">
        <v>25</v>
      </c>
      <c r="L2018" s="803"/>
      <c r="M2018" s="803"/>
      <c r="N2018" s="803"/>
      <c r="O2018" s="2628" t="s">
        <v>6395</v>
      </c>
    </row>
    <row r="2019" spans="1:15" x14ac:dyDescent="0.3">
      <c r="A2019" s="104">
        <v>27</v>
      </c>
      <c r="B2019" s="313" t="s">
        <v>5706</v>
      </c>
      <c r="C2019" s="2951" t="s">
        <v>6298</v>
      </c>
      <c r="D2019" s="2952"/>
      <c r="E2019" s="2952"/>
      <c r="F2019" s="218" t="s">
        <v>5315</v>
      </c>
      <c r="G2019" s="192">
        <v>850</v>
      </c>
      <c r="H2019" s="1773" t="s">
        <v>41</v>
      </c>
      <c r="I2019" s="34"/>
      <c r="J2019" s="34"/>
      <c r="K2019" s="2233" t="s">
        <v>25</v>
      </c>
      <c r="L2019" s="803"/>
      <c r="M2019" s="803"/>
      <c r="N2019" s="803"/>
      <c r="O2019" s="2628" t="s">
        <v>6395</v>
      </c>
    </row>
    <row r="2020" spans="1:15" x14ac:dyDescent="0.3">
      <c r="A2020" s="104">
        <v>28</v>
      </c>
      <c r="B2020" s="313" t="s">
        <v>5706</v>
      </c>
      <c r="C2020" s="2951" t="s">
        <v>6299</v>
      </c>
      <c r="D2020" s="2952"/>
      <c r="E2020" s="2952"/>
      <c r="F2020" s="218" t="s">
        <v>5315</v>
      </c>
      <c r="G2020" s="192">
        <v>850</v>
      </c>
      <c r="H2020" s="1773" t="s">
        <v>41</v>
      </c>
      <c r="I2020" s="34"/>
      <c r="J2020" s="34"/>
      <c r="K2020" s="2233" t="s">
        <v>25</v>
      </c>
      <c r="L2020" s="803"/>
      <c r="M2020" s="803"/>
      <c r="N2020" s="803"/>
      <c r="O2020" s="2628" t="s">
        <v>6395</v>
      </c>
    </row>
    <row r="2021" spans="1:15" x14ac:dyDescent="0.3">
      <c r="A2021" s="104">
        <v>29</v>
      </c>
      <c r="B2021" s="313" t="s">
        <v>5706</v>
      </c>
      <c r="C2021" s="2951" t="s">
        <v>6300</v>
      </c>
      <c r="D2021" s="2952"/>
      <c r="E2021" s="2952"/>
      <c r="F2021" s="218" t="s">
        <v>5315</v>
      </c>
      <c r="G2021" s="192">
        <v>850</v>
      </c>
      <c r="H2021" s="1773" t="s">
        <v>41</v>
      </c>
      <c r="I2021" s="34"/>
      <c r="J2021" s="34"/>
      <c r="K2021" s="2233" t="s">
        <v>25</v>
      </c>
      <c r="L2021" s="803"/>
      <c r="M2021" s="803"/>
      <c r="N2021" s="803"/>
      <c r="O2021" s="2628" t="s">
        <v>6395</v>
      </c>
    </row>
    <row r="2022" spans="1:15" x14ac:dyDescent="0.3">
      <c r="A2022" s="104">
        <v>30</v>
      </c>
      <c r="B2022" s="313" t="s">
        <v>5706</v>
      </c>
      <c r="C2022" s="2951" t="s">
        <v>6301</v>
      </c>
      <c r="D2022" s="2952"/>
      <c r="E2022" s="2952"/>
      <c r="F2022" s="218" t="s">
        <v>5315</v>
      </c>
      <c r="G2022" s="192">
        <v>850</v>
      </c>
      <c r="H2022" s="1773" t="s">
        <v>41</v>
      </c>
      <c r="I2022" s="34"/>
      <c r="J2022" s="34"/>
      <c r="K2022" s="2233" t="s">
        <v>25</v>
      </c>
      <c r="L2022" s="803"/>
      <c r="M2022" s="803"/>
      <c r="N2022" s="803"/>
      <c r="O2022" s="2628" t="s">
        <v>6395</v>
      </c>
    </row>
    <row r="2023" spans="1:15" x14ac:dyDescent="0.3">
      <c r="A2023" s="104">
        <v>31</v>
      </c>
      <c r="B2023" s="313" t="s">
        <v>5706</v>
      </c>
      <c r="C2023" s="2951" t="s">
        <v>6302</v>
      </c>
      <c r="D2023" s="2952"/>
      <c r="E2023" s="2952"/>
      <c r="F2023" s="218" t="s">
        <v>5315</v>
      </c>
      <c r="G2023" s="192">
        <v>850</v>
      </c>
      <c r="H2023" s="1773" t="s">
        <v>41</v>
      </c>
      <c r="I2023" s="34"/>
      <c r="J2023" s="34"/>
      <c r="K2023" s="2233" t="s">
        <v>25</v>
      </c>
      <c r="L2023" s="803"/>
      <c r="M2023" s="803"/>
      <c r="N2023" s="803"/>
      <c r="O2023" s="2628" t="s">
        <v>6395</v>
      </c>
    </row>
    <row r="2024" spans="1:15" x14ac:dyDescent="0.3">
      <c r="A2024" s="104">
        <v>32</v>
      </c>
      <c r="B2024" s="313" t="s">
        <v>5706</v>
      </c>
      <c r="C2024" s="2951" t="s">
        <v>6303</v>
      </c>
      <c r="D2024" s="2952"/>
      <c r="E2024" s="2952"/>
      <c r="F2024" s="218" t="s">
        <v>5315</v>
      </c>
      <c r="G2024" s="192">
        <v>850</v>
      </c>
      <c r="H2024" s="1773" t="s">
        <v>41</v>
      </c>
      <c r="I2024" s="34"/>
      <c r="J2024" s="34"/>
      <c r="K2024" s="2233" t="s">
        <v>25</v>
      </c>
      <c r="L2024" s="803"/>
      <c r="M2024" s="803"/>
      <c r="N2024" s="803"/>
      <c r="O2024" s="2628" t="s">
        <v>6395</v>
      </c>
    </row>
    <row r="2025" spans="1:15" x14ac:dyDescent="0.3">
      <c r="A2025" s="104">
        <v>33</v>
      </c>
      <c r="B2025" s="313" t="s">
        <v>5706</v>
      </c>
      <c r="C2025" s="2951" t="s">
        <v>6304</v>
      </c>
      <c r="D2025" s="2952"/>
      <c r="E2025" s="2952"/>
      <c r="F2025" s="218" t="s">
        <v>5315</v>
      </c>
      <c r="G2025" s="192">
        <v>850</v>
      </c>
      <c r="H2025" s="1773" t="s">
        <v>41</v>
      </c>
      <c r="I2025" s="34"/>
      <c r="J2025" s="34"/>
      <c r="K2025" s="2233" t="s">
        <v>25</v>
      </c>
      <c r="L2025" s="803"/>
      <c r="M2025" s="803"/>
      <c r="N2025" s="803"/>
      <c r="O2025" s="2628" t="s">
        <v>6395</v>
      </c>
    </row>
    <row r="2026" spans="1:15" x14ac:dyDescent="0.3">
      <c r="A2026" s="104">
        <v>34</v>
      </c>
      <c r="B2026" s="313" t="s">
        <v>5706</v>
      </c>
      <c r="C2026" s="2951" t="s">
        <v>6305</v>
      </c>
      <c r="D2026" s="2952"/>
      <c r="E2026" s="2952"/>
      <c r="F2026" s="218" t="s">
        <v>5315</v>
      </c>
      <c r="G2026" s="192">
        <v>850</v>
      </c>
      <c r="H2026" s="1773" t="s">
        <v>41</v>
      </c>
      <c r="I2026" s="34"/>
      <c r="J2026" s="34"/>
      <c r="K2026" s="2233" t="s">
        <v>25</v>
      </c>
      <c r="L2026" s="803"/>
      <c r="M2026" s="803"/>
      <c r="N2026" s="803"/>
      <c r="O2026" s="2628" t="s">
        <v>6395</v>
      </c>
    </row>
    <row r="2027" spans="1:15" x14ac:dyDescent="0.3">
      <c r="A2027" s="104">
        <v>35</v>
      </c>
      <c r="B2027" s="313" t="s">
        <v>5706</v>
      </c>
      <c r="C2027" s="2951" t="s">
        <v>6306</v>
      </c>
      <c r="D2027" s="2952"/>
      <c r="E2027" s="2952"/>
      <c r="F2027" s="218" t="s">
        <v>5315</v>
      </c>
      <c r="G2027" s="192">
        <v>850</v>
      </c>
      <c r="H2027" s="1773" t="s">
        <v>41</v>
      </c>
      <c r="I2027" s="34"/>
      <c r="J2027" s="34"/>
      <c r="K2027" s="2233" t="s">
        <v>25</v>
      </c>
      <c r="L2027" s="803"/>
      <c r="M2027" s="803"/>
      <c r="N2027" s="803"/>
      <c r="O2027" s="2628" t="s">
        <v>6395</v>
      </c>
    </row>
    <row r="2028" spans="1:15" x14ac:dyDescent="0.3">
      <c r="A2028" s="104">
        <v>36</v>
      </c>
      <c r="B2028" s="313" t="s">
        <v>5706</v>
      </c>
      <c r="C2028" s="2951" t="s">
        <v>6307</v>
      </c>
      <c r="D2028" s="2952"/>
      <c r="E2028" s="2952"/>
      <c r="F2028" s="218" t="s">
        <v>5315</v>
      </c>
      <c r="G2028" s="192">
        <v>850</v>
      </c>
      <c r="H2028" s="1773" t="s">
        <v>41</v>
      </c>
      <c r="I2028" s="34"/>
      <c r="J2028" s="34"/>
      <c r="K2028" s="2233" t="s">
        <v>25</v>
      </c>
      <c r="L2028" s="147"/>
      <c r="M2028" s="147"/>
      <c r="N2028" s="147"/>
      <c r="O2028" s="2628" t="s">
        <v>6395</v>
      </c>
    </row>
    <row r="2029" spans="1:15" x14ac:dyDescent="0.3">
      <c r="A2029" s="104">
        <v>37</v>
      </c>
      <c r="B2029" s="313" t="s">
        <v>5706</v>
      </c>
      <c r="C2029" s="2951" t="s">
        <v>6308</v>
      </c>
      <c r="D2029" s="2952"/>
      <c r="E2029" s="2952"/>
      <c r="F2029" s="218" t="s">
        <v>5315</v>
      </c>
      <c r="G2029" s="192">
        <v>850</v>
      </c>
      <c r="H2029" s="1773" t="s">
        <v>41</v>
      </c>
      <c r="I2029" s="34"/>
      <c r="J2029" s="34"/>
      <c r="K2029" s="2233" t="s">
        <v>25</v>
      </c>
      <c r="L2029" s="147"/>
      <c r="M2029" s="147"/>
      <c r="N2029" s="147"/>
      <c r="O2029" s="2628" t="s">
        <v>6395</v>
      </c>
    </row>
    <row r="2030" spans="1:15" x14ac:dyDescent="0.3">
      <c r="A2030" s="104">
        <v>38</v>
      </c>
      <c r="B2030" s="313" t="s">
        <v>5706</v>
      </c>
      <c r="C2030" s="2951" t="s">
        <v>6309</v>
      </c>
      <c r="D2030" s="2952"/>
      <c r="E2030" s="2952"/>
      <c r="F2030" s="218" t="s">
        <v>5315</v>
      </c>
      <c r="G2030" s="192">
        <v>850</v>
      </c>
      <c r="H2030" s="1773" t="s">
        <v>41</v>
      </c>
      <c r="I2030" s="34"/>
      <c r="J2030" s="34"/>
      <c r="K2030" s="2233" t="s">
        <v>25</v>
      </c>
      <c r="L2030" s="147"/>
      <c r="M2030" s="147"/>
      <c r="N2030" s="147"/>
      <c r="O2030" s="2628" t="s">
        <v>6395</v>
      </c>
    </row>
    <row r="2031" spans="1:15" x14ac:dyDescent="0.3">
      <c r="A2031" s="104">
        <v>39</v>
      </c>
      <c r="B2031" s="313" t="s">
        <v>5706</v>
      </c>
      <c r="C2031" s="2951" t="s">
        <v>6310</v>
      </c>
      <c r="D2031" s="2952"/>
      <c r="E2031" s="2952"/>
      <c r="F2031" s="218" t="s">
        <v>5315</v>
      </c>
      <c r="G2031" s="192">
        <v>850</v>
      </c>
      <c r="H2031" s="1773" t="s">
        <v>41</v>
      </c>
      <c r="I2031" s="34"/>
      <c r="J2031" s="34"/>
      <c r="K2031" s="2233" t="s">
        <v>25</v>
      </c>
      <c r="L2031" s="147"/>
      <c r="M2031" s="147"/>
      <c r="N2031" s="147"/>
      <c r="O2031" s="2628" t="s">
        <v>6395</v>
      </c>
    </row>
    <row r="2032" spans="1:15" x14ac:dyDescent="0.3">
      <c r="A2032" s="104">
        <v>40</v>
      </c>
      <c r="B2032" s="313" t="s">
        <v>5706</v>
      </c>
      <c r="C2032" s="2951" t="s">
        <v>6311</v>
      </c>
      <c r="D2032" s="2952"/>
      <c r="E2032" s="2952"/>
      <c r="F2032" s="218" t="s">
        <v>5315</v>
      </c>
      <c r="G2032" s="192">
        <v>850</v>
      </c>
      <c r="H2032" s="1773" t="s">
        <v>41</v>
      </c>
      <c r="I2032" s="34"/>
      <c r="J2032" s="34"/>
      <c r="K2032" s="2233" t="s">
        <v>25</v>
      </c>
      <c r="L2032" s="147"/>
      <c r="M2032" s="147"/>
      <c r="N2032" s="147"/>
      <c r="O2032" s="2628" t="s">
        <v>6395</v>
      </c>
    </row>
    <row r="2033" spans="1:15" x14ac:dyDescent="0.3">
      <c r="A2033" s="104">
        <v>41</v>
      </c>
      <c r="B2033" s="313" t="s">
        <v>5706</v>
      </c>
      <c r="C2033" s="2951" t="s">
        <v>6312</v>
      </c>
      <c r="D2033" s="2952"/>
      <c r="E2033" s="2952"/>
      <c r="F2033" s="218" t="s">
        <v>5315</v>
      </c>
      <c r="G2033" s="192">
        <v>850</v>
      </c>
      <c r="H2033" s="1773" t="s">
        <v>41</v>
      </c>
      <c r="I2033" s="34"/>
      <c r="J2033" s="34"/>
      <c r="K2033" s="2233" t="s">
        <v>25</v>
      </c>
      <c r="L2033" s="147"/>
      <c r="M2033" s="147"/>
      <c r="N2033" s="147"/>
      <c r="O2033" s="2628" t="s">
        <v>6395</v>
      </c>
    </row>
    <row r="2034" spans="1:15" x14ac:dyDescent="0.3">
      <c r="A2034" s="104">
        <v>42</v>
      </c>
      <c r="B2034" s="313" t="s">
        <v>5706</v>
      </c>
      <c r="C2034" s="2951" t="s">
        <v>6313</v>
      </c>
      <c r="D2034" s="2952"/>
      <c r="E2034" s="2952"/>
      <c r="F2034" s="218" t="s">
        <v>5315</v>
      </c>
      <c r="G2034" s="192">
        <v>850</v>
      </c>
      <c r="H2034" s="1773" t="s">
        <v>41</v>
      </c>
      <c r="I2034" s="34"/>
      <c r="J2034" s="34"/>
      <c r="K2034" s="2233" t="s">
        <v>25</v>
      </c>
      <c r="L2034" s="147"/>
      <c r="M2034" s="147"/>
      <c r="N2034" s="147"/>
      <c r="O2034" s="2628" t="s">
        <v>6395</v>
      </c>
    </row>
    <row r="2035" spans="1:15" x14ac:dyDescent="0.3">
      <c r="A2035" s="104">
        <v>43</v>
      </c>
      <c r="B2035" s="313" t="s">
        <v>5706</v>
      </c>
      <c r="C2035" s="2951" t="s">
        <v>6314</v>
      </c>
      <c r="D2035" s="2952"/>
      <c r="E2035" s="2952"/>
      <c r="F2035" s="218" t="s">
        <v>5315</v>
      </c>
      <c r="G2035" s="192">
        <v>850</v>
      </c>
      <c r="H2035" s="1773" t="s">
        <v>41</v>
      </c>
      <c r="I2035" s="34"/>
      <c r="J2035" s="34"/>
      <c r="K2035" s="2233" t="s">
        <v>25</v>
      </c>
      <c r="L2035" s="147"/>
      <c r="M2035" s="147"/>
      <c r="N2035" s="147"/>
      <c r="O2035" s="2628" t="s">
        <v>6395</v>
      </c>
    </row>
    <row r="2036" spans="1:15" x14ac:dyDescent="0.3">
      <c r="A2036" s="104">
        <v>44</v>
      </c>
      <c r="B2036" s="313" t="s">
        <v>5706</v>
      </c>
      <c r="C2036" s="2951" t="s">
        <v>6315</v>
      </c>
      <c r="D2036" s="2952"/>
      <c r="E2036" s="2952"/>
      <c r="F2036" s="218" t="s">
        <v>5315</v>
      </c>
      <c r="G2036" s="192">
        <v>850</v>
      </c>
      <c r="H2036" s="1773" t="s">
        <v>41</v>
      </c>
      <c r="I2036" s="34"/>
      <c r="J2036" s="34"/>
      <c r="K2036" s="2233" t="s">
        <v>25</v>
      </c>
      <c r="L2036" s="147"/>
      <c r="M2036" s="147"/>
      <c r="N2036" s="147"/>
      <c r="O2036" s="2628" t="s">
        <v>6395</v>
      </c>
    </row>
    <row r="2037" spans="1:15" x14ac:dyDescent="0.3">
      <c r="A2037" s="104">
        <v>45</v>
      </c>
      <c r="B2037" s="313" t="s">
        <v>5706</v>
      </c>
      <c r="C2037" s="2951" t="s">
        <v>6316</v>
      </c>
      <c r="D2037" s="2952"/>
      <c r="E2037" s="2952"/>
      <c r="F2037" s="218" t="s">
        <v>5315</v>
      </c>
      <c r="G2037" s="192">
        <v>850</v>
      </c>
      <c r="H2037" s="1773" t="s">
        <v>41</v>
      </c>
      <c r="I2037" s="34"/>
      <c r="J2037" s="34"/>
      <c r="K2037" s="2233" t="s">
        <v>25</v>
      </c>
      <c r="L2037" s="803"/>
      <c r="M2037" s="803"/>
      <c r="N2037" s="803"/>
      <c r="O2037" s="2628" t="s">
        <v>6395</v>
      </c>
    </row>
    <row r="2038" spans="1:15" x14ac:dyDescent="0.3">
      <c r="A2038" s="104">
        <v>46</v>
      </c>
      <c r="B2038" s="313" t="s">
        <v>5706</v>
      </c>
      <c r="C2038" s="2951" t="s">
        <v>6317</v>
      </c>
      <c r="D2038" s="2952"/>
      <c r="E2038" s="2952"/>
      <c r="F2038" s="218" t="s">
        <v>5315</v>
      </c>
      <c r="G2038" s="192">
        <v>850</v>
      </c>
      <c r="H2038" s="1773" t="s">
        <v>41</v>
      </c>
      <c r="I2038" s="34"/>
      <c r="J2038" s="34"/>
      <c r="K2038" s="2233" t="s">
        <v>25</v>
      </c>
      <c r="L2038" s="803"/>
      <c r="M2038" s="803"/>
      <c r="N2038" s="803"/>
      <c r="O2038" s="2628" t="s">
        <v>6395</v>
      </c>
    </row>
    <row r="2039" spans="1:15" x14ac:dyDescent="0.3">
      <c r="A2039" s="104">
        <v>47</v>
      </c>
      <c r="B2039" s="313" t="s">
        <v>5706</v>
      </c>
      <c r="C2039" s="2951" t="s">
        <v>6318</v>
      </c>
      <c r="D2039" s="2952"/>
      <c r="E2039" s="2952"/>
      <c r="F2039" s="218" t="s">
        <v>5315</v>
      </c>
      <c r="G2039" s="192">
        <v>850</v>
      </c>
      <c r="H2039" s="1773" t="s">
        <v>41</v>
      </c>
      <c r="I2039" s="34"/>
      <c r="J2039" s="34"/>
      <c r="K2039" s="2233" t="s">
        <v>25</v>
      </c>
      <c r="L2039" s="803"/>
      <c r="M2039" s="803"/>
      <c r="N2039" s="803"/>
      <c r="O2039" s="2628" t="s">
        <v>6395</v>
      </c>
    </row>
    <row r="2040" spans="1:15" x14ac:dyDescent="0.3">
      <c r="A2040" s="104">
        <v>48</v>
      </c>
      <c r="B2040" s="313" t="s">
        <v>5706</v>
      </c>
      <c r="C2040" s="2951" t="s">
        <v>6319</v>
      </c>
      <c r="D2040" s="2952"/>
      <c r="E2040" s="2952"/>
      <c r="F2040" s="218" t="s">
        <v>5315</v>
      </c>
      <c r="G2040" s="192">
        <v>850</v>
      </c>
      <c r="H2040" s="1773" t="s">
        <v>41</v>
      </c>
      <c r="I2040" s="34"/>
      <c r="J2040" s="34"/>
      <c r="K2040" s="2233" t="s">
        <v>25</v>
      </c>
      <c r="L2040" s="803"/>
      <c r="M2040" s="803"/>
      <c r="N2040" s="803"/>
      <c r="O2040" s="2628" t="s">
        <v>6395</v>
      </c>
    </row>
    <row r="2041" spans="1:15" x14ac:dyDescent="0.3">
      <c r="A2041" s="104">
        <v>49</v>
      </c>
      <c r="B2041" s="313" t="s">
        <v>5706</v>
      </c>
      <c r="C2041" s="2951" t="s">
        <v>6320</v>
      </c>
      <c r="D2041" s="2952"/>
      <c r="E2041" s="2952"/>
      <c r="F2041" s="218" t="s">
        <v>5315</v>
      </c>
      <c r="G2041" s="192">
        <v>850</v>
      </c>
      <c r="H2041" s="1773" t="s">
        <v>41</v>
      </c>
      <c r="I2041" s="34"/>
      <c r="J2041" s="34"/>
      <c r="K2041" s="2233" t="s">
        <v>25</v>
      </c>
      <c r="L2041" s="803"/>
      <c r="M2041" s="803"/>
      <c r="N2041" s="803"/>
      <c r="O2041" s="2628" t="s">
        <v>6395</v>
      </c>
    </row>
    <row r="2042" spans="1:15" x14ac:dyDescent="0.3">
      <c r="A2042" s="104">
        <v>50</v>
      </c>
      <c r="B2042" s="313" t="s">
        <v>5706</v>
      </c>
      <c r="C2042" s="2951" t="s">
        <v>6321</v>
      </c>
      <c r="D2042" s="2952"/>
      <c r="E2042" s="2952"/>
      <c r="F2042" s="218" t="s">
        <v>5315</v>
      </c>
      <c r="G2042" s="192">
        <v>850</v>
      </c>
      <c r="H2042" s="1773" t="s">
        <v>41</v>
      </c>
      <c r="I2042" s="34"/>
      <c r="J2042" s="34"/>
      <c r="K2042" s="2233" t="s">
        <v>25</v>
      </c>
      <c r="L2042" s="803"/>
      <c r="M2042" s="803"/>
      <c r="N2042" s="803"/>
      <c r="O2042" s="2628" t="s">
        <v>6395</v>
      </c>
    </row>
    <row r="2043" spans="1:15" x14ac:dyDescent="0.3">
      <c r="A2043" s="104">
        <v>51</v>
      </c>
      <c r="B2043" s="313" t="s">
        <v>5706</v>
      </c>
      <c r="C2043" s="2951" t="s">
        <v>6322</v>
      </c>
      <c r="D2043" s="2952"/>
      <c r="E2043" s="2952"/>
      <c r="F2043" s="218" t="s">
        <v>5315</v>
      </c>
      <c r="G2043" s="192">
        <v>850</v>
      </c>
      <c r="H2043" s="1773" t="s">
        <v>41</v>
      </c>
      <c r="I2043" s="34"/>
      <c r="J2043" s="34"/>
      <c r="K2043" s="2233" t="s">
        <v>25</v>
      </c>
      <c r="L2043" s="803"/>
      <c r="M2043" s="803"/>
      <c r="N2043" s="803"/>
      <c r="O2043" s="2628" t="s">
        <v>6395</v>
      </c>
    </row>
    <row r="2044" spans="1:15" x14ac:dyDescent="0.3">
      <c r="A2044" s="104">
        <v>52</v>
      </c>
      <c r="B2044" s="313" t="s">
        <v>5318</v>
      </c>
      <c r="C2044" s="2951" t="s">
        <v>6323</v>
      </c>
      <c r="D2044" s="2952"/>
      <c r="E2044" s="2952"/>
      <c r="F2044" s="218" t="s">
        <v>5315</v>
      </c>
      <c r="G2044" s="192">
        <v>850</v>
      </c>
      <c r="H2044" s="1773" t="s">
        <v>41</v>
      </c>
      <c r="I2044" s="34"/>
      <c r="J2044" s="34"/>
      <c r="K2044" s="2233" t="s">
        <v>25</v>
      </c>
      <c r="L2044" s="803"/>
      <c r="M2044" s="803"/>
      <c r="N2044" s="803"/>
      <c r="O2044" s="2628" t="s">
        <v>6395</v>
      </c>
    </row>
    <row r="2045" spans="1:15" x14ac:dyDescent="0.3">
      <c r="A2045" s="104">
        <v>53</v>
      </c>
      <c r="B2045" s="313" t="s">
        <v>5318</v>
      </c>
      <c r="C2045" s="2951" t="s">
        <v>6324</v>
      </c>
      <c r="D2045" s="2952"/>
      <c r="E2045" s="2952"/>
      <c r="F2045" s="218" t="s">
        <v>5315</v>
      </c>
      <c r="G2045" s="192">
        <v>850</v>
      </c>
      <c r="H2045" s="1773" t="s">
        <v>41</v>
      </c>
      <c r="I2045" s="34"/>
      <c r="J2045" s="34"/>
      <c r="K2045" s="2233" t="s">
        <v>25</v>
      </c>
      <c r="L2045" s="803"/>
      <c r="M2045" s="803"/>
      <c r="N2045" s="803"/>
      <c r="O2045" s="2628" t="s">
        <v>6395</v>
      </c>
    </row>
    <row r="2046" spans="1:15" x14ac:dyDescent="0.3">
      <c r="A2046" s="104">
        <v>54</v>
      </c>
      <c r="B2046" s="313" t="s">
        <v>5318</v>
      </c>
      <c r="C2046" s="2951" t="s">
        <v>6325</v>
      </c>
      <c r="D2046" s="2952"/>
      <c r="E2046" s="2952"/>
      <c r="F2046" s="218" t="s">
        <v>5315</v>
      </c>
      <c r="G2046" s="192">
        <v>850</v>
      </c>
      <c r="H2046" s="1773" t="s">
        <v>41</v>
      </c>
      <c r="I2046" s="34"/>
      <c r="J2046" s="34"/>
      <c r="K2046" s="2233" t="s">
        <v>25</v>
      </c>
      <c r="L2046" s="803"/>
      <c r="M2046" s="803"/>
      <c r="N2046" s="803"/>
      <c r="O2046" s="2628" t="s">
        <v>6395</v>
      </c>
    </row>
    <row r="2047" spans="1:15" x14ac:dyDescent="0.3">
      <c r="A2047" s="104">
        <v>55</v>
      </c>
      <c r="B2047" s="313" t="s">
        <v>5318</v>
      </c>
      <c r="C2047" s="2951" t="s">
        <v>6326</v>
      </c>
      <c r="D2047" s="2952"/>
      <c r="E2047" s="2952"/>
      <c r="F2047" s="218" t="s">
        <v>5315</v>
      </c>
      <c r="G2047" s="192">
        <v>850</v>
      </c>
      <c r="H2047" s="1773" t="s">
        <v>41</v>
      </c>
      <c r="I2047" s="34"/>
      <c r="J2047" s="34"/>
      <c r="K2047" s="2233" t="s">
        <v>25</v>
      </c>
      <c r="L2047" s="803"/>
      <c r="M2047" s="803"/>
      <c r="N2047" s="803"/>
      <c r="O2047" s="2628" t="s">
        <v>6395</v>
      </c>
    </row>
    <row r="2048" spans="1:15" x14ac:dyDescent="0.3">
      <c r="A2048" s="104">
        <v>56</v>
      </c>
      <c r="B2048" s="313" t="s">
        <v>5318</v>
      </c>
      <c r="C2048" s="2951" t="s">
        <v>6327</v>
      </c>
      <c r="D2048" s="2952"/>
      <c r="E2048" s="2952"/>
      <c r="F2048" s="218" t="s">
        <v>5315</v>
      </c>
      <c r="G2048" s="192">
        <v>850</v>
      </c>
      <c r="H2048" s="1773" t="s">
        <v>41</v>
      </c>
      <c r="I2048" s="34"/>
      <c r="J2048" s="34"/>
      <c r="K2048" s="2233" t="s">
        <v>25</v>
      </c>
      <c r="L2048" s="803"/>
      <c r="M2048" s="803"/>
      <c r="N2048" s="803"/>
      <c r="O2048" s="2628" t="s">
        <v>6395</v>
      </c>
    </row>
    <row r="2049" spans="1:15" x14ac:dyDescent="0.3">
      <c r="A2049" s="104">
        <v>57</v>
      </c>
      <c r="B2049" s="313" t="s">
        <v>5318</v>
      </c>
      <c r="C2049" s="2951" t="s">
        <v>6328</v>
      </c>
      <c r="D2049" s="2952"/>
      <c r="E2049" s="2952"/>
      <c r="F2049" s="218" t="s">
        <v>5315</v>
      </c>
      <c r="G2049" s="192">
        <v>850</v>
      </c>
      <c r="H2049" s="1773" t="s">
        <v>41</v>
      </c>
      <c r="I2049" s="34"/>
      <c r="J2049" s="34"/>
      <c r="K2049" s="2233" t="s">
        <v>25</v>
      </c>
      <c r="L2049" s="803"/>
      <c r="M2049" s="803"/>
      <c r="N2049" s="803"/>
      <c r="O2049" s="2628" t="s">
        <v>6395</v>
      </c>
    </row>
    <row r="2050" spans="1:15" x14ac:dyDescent="0.3">
      <c r="A2050" s="104">
        <v>58</v>
      </c>
      <c r="B2050" s="313" t="s">
        <v>5318</v>
      </c>
      <c r="C2050" s="2951" t="s">
        <v>6329</v>
      </c>
      <c r="D2050" s="2952"/>
      <c r="E2050" s="2952"/>
      <c r="F2050" s="218" t="s">
        <v>5315</v>
      </c>
      <c r="G2050" s="192">
        <v>850</v>
      </c>
      <c r="H2050" s="1773" t="s">
        <v>41</v>
      </c>
      <c r="I2050" s="34"/>
      <c r="J2050" s="34"/>
      <c r="K2050" s="2233" t="s">
        <v>25</v>
      </c>
      <c r="L2050" s="803"/>
      <c r="M2050" s="803"/>
      <c r="N2050" s="803"/>
      <c r="O2050" s="2628" t="s">
        <v>6395</v>
      </c>
    </row>
    <row r="2051" spans="1:15" x14ac:dyDescent="0.3">
      <c r="A2051" s="104">
        <v>59</v>
      </c>
      <c r="B2051" s="313" t="s">
        <v>5318</v>
      </c>
      <c r="C2051" s="2951" t="s">
        <v>6330</v>
      </c>
      <c r="D2051" s="2952"/>
      <c r="E2051" s="2952"/>
      <c r="F2051" s="218" t="s">
        <v>5315</v>
      </c>
      <c r="G2051" s="192">
        <v>850</v>
      </c>
      <c r="H2051" s="1773" t="s">
        <v>41</v>
      </c>
      <c r="I2051" s="34"/>
      <c r="J2051" s="34"/>
      <c r="K2051" s="2233" t="s">
        <v>25</v>
      </c>
      <c r="L2051" s="803"/>
      <c r="M2051" s="803"/>
      <c r="N2051" s="803"/>
      <c r="O2051" s="2628" t="s">
        <v>6395</v>
      </c>
    </row>
    <row r="2052" spans="1:15" x14ac:dyDescent="0.3">
      <c r="A2052" s="104">
        <v>60</v>
      </c>
      <c r="B2052" s="313" t="s">
        <v>5318</v>
      </c>
      <c r="C2052" s="2951" t="s">
        <v>6331</v>
      </c>
      <c r="D2052" s="2952"/>
      <c r="E2052" s="2952"/>
      <c r="F2052" s="218" t="s">
        <v>5315</v>
      </c>
      <c r="G2052" s="192">
        <v>850</v>
      </c>
      <c r="H2052" s="1773" t="s">
        <v>41</v>
      </c>
      <c r="I2052" s="34"/>
      <c r="J2052" s="34"/>
      <c r="K2052" s="2233" t="s">
        <v>25</v>
      </c>
      <c r="L2052" s="803"/>
      <c r="M2052" s="803"/>
      <c r="N2052" s="803"/>
      <c r="O2052" s="2628" t="s">
        <v>6395</v>
      </c>
    </row>
    <row r="2053" spans="1:15" x14ac:dyDescent="0.3">
      <c r="A2053" s="104">
        <v>61</v>
      </c>
      <c r="B2053" s="313" t="s">
        <v>5318</v>
      </c>
      <c r="C2053" s="2951" t="s">
        <v>6332</v>
      </c>
      <c r="D2053" s="2952"/>
      <c r="E2053" s="2952"/>
      <c r="F2053" s="218" t="s">
        <v>5315</v>
      </c>
      <c r="G2053" s="192">
        <v>850</v>
      </c>
      <c r="H2053" s="1773" t="s">
        <v>41</v>
      </c>
      <c r="I2053" s="34"/>
      <c r="J2053" s="34"/>
      <c r="K2053" s="2233" t="s">
        <v>25</v>
      </c>
      <c r="L2053" s="803"/>
      <c r="M2053" s="803"/>
      <c r="N2053" s="803"/>
      <c r="O2053" s="2628" t="s">
        <v>6395</v>
      </c>
    </row>
    <row r="2054" spans="1:15" x14ac:dyDescent="0.3">
      <c r="A2054" s="104">
        <v>62</v>
      </c>
      <c r="B2054" s="313" t="s">
        <v>5318</v>
      </c>
      <c r="C2054" s="2951" t="s">
        <v>6333</v>
      </c>
      <c r="D2054" s="2952"/>
      <c r="E2054" s="2952"/>
      <c r="F2054" s="218" t="s">
        <v>5315</v>
      </c>
      <c r="G2054" s="192">
        <v>850</v>
      </c>
      <c r="H2054" s="1773" t="s">
        <v>41</v>
      </c>
      <c r="I2054" s="34"/>
      <c r="J2054" s="34"/>
      <c r="K2054" s="2233" t="s">
        <v>25</v>
      </c>
      <c r="L2054" s="803"/>
      <c r="M2054" s="803"/>
      <c r="N2054" s="803"/>
      <c r="O2054" s="2628" t="s">
        <v>6395</v>
      </c>
    </row>
    <row r="2055" spans="1:15" x14ac:dyDescent="0.3">
      <c r="A2055" s="104">
        <v>63</v>
      </c>
      <c r="B2055" s="313" t="s">
        <v>5318</v>
      </c>
      <c r="C2055" s="2951" t="s">
        <v>6334</v>
      </c>
      <c r="D2055" s="2952"/>
      <c r="E2055" s="2952"/>
      <c r="F2055" s="218" t="s">
        <v>5315</v>
      </c>
      <c r="G2055" s="192">
        <v>850</v>
      </c>
      <c r="H2055" s="1773" t="s">
        <v>41</v>
      </c>
      <c r="I2055" s="34"/>
      <c r="J2055" s="34"/>
      <c r="K2055" s="2233" t="s">
        <v>25</v>
      </c>
      <c r="L2055" s="803"/>
      <c r="M2055" s="803"/>
      <c r="N2055" s="803"/>
      <c r="O2055" s="2628" t="s">
        <v>6395</v>
      </c>
    </row>
    <row r="2056" spans="1:15" x14ac:dyDescent="0.3">
      <c r="A2056" s="104">
        <v>64</v>
      </c>
      <c r="B2056" s="313" t="s">
        <v>5318</v>
      </c>
      <c r="C2056" s="2951" t="s">
        <v>6335</v>
      </c>
      <c r="D2056" s="2952"/>
      <c r="E2056" s="2952"/>
      <c r="F2056" s="218" t="s">
        <v>5315</v>
      </c>
      <c r="G2056" s="192">
        <v>850</v>
      </c>
      <c r="H2056" s="1773" t="s">
        <v>41</v>
      </c>
      <c r="I2056" s="34"/>
      <c r="J2056" s="34"/>
      <c r="K2056" s="2233" t="s">
        <v>25</v>
      </c>
      <c r="L2056" s="803"/>
      <c r="M2056" s="803"/>
      <c r="N2056" s="803"/>
      <c r="O2056" s="2628" t="s">
        <v>6395</v>
      </c>
    </row>
    <row r="2057" spans="1:15" x14ac:dyDescent="0.3">
      <c r="A2057" s="104">
        <v>65</v>
      </c>
      <c r="B2057" s="313" t="s">
        <v>5318</v>
      </c>
      <c r="C2057" s="2951" t="s">
        <v>6336</v>
      </c>
      <c r="D2057" s="2952"/>
      <c r="E2057" s="2952"/>
      <c r="F2057" s="218" t="s">
        <v>5315</v>
      </c>
      <c r="G2057" s="192">
        <v>850</v>
      </c>
      <c r="H2057" s="1773" t="s">
        <v>41</v>
      </c>
      <c r="I2057" s="34"/>
      <c r="J2057" s="34"/>
      <c r="K2057" s="2233" t="s">
        <v>25</v>
      </c>
      <c r="L2057" s="803"/>
      <c r="M2057" s="803"/>
      <c r="N2057" s="803"/>
      <c r="O2057" s="2628" t="s">
        <v>6395</v>
      </c>
    </row>
    <row r="2058" spans="1:15" x14ac:dyDescent="0.3">
      <c r="A2058" s="104">
        <v>66</v>
      </c>
      <c r="B2058" s="313" t="s">
        <v>5318</v>
      </c>
      <c r="C2058" s="2951" t="s">
        <v>6337</v>
      </c>
      <c r="D2058" s="2952"/>
      <c r="E2058" s="2952"/>
      <c r="F2058" s="218" t="s">
        <v>5315</v>
      </c>
      <c r="G2058" s="192">
        <v>850</v>
      </c>
      <c r="H2058" s="1773" t="s">
        <v>41</v>
      </c>
      <c r="I2058" s="34"/>
      <c r="J2058" s="34"/>
      <c r="K2058" s="2233" t="s">
        <v>25</v>
      </c>
      <c r="L2058" s="803"/>
      <c r="M2058" s="803"/>
      <c r="N2058" s="803"/>
      <c r="O2058" s="2628" t="s">
        <v>6395</v>
      </c>
    </row>
    <row r="2059" spans="1:15" x14ac:dyDescent="0.3">
      <c r="A2059" s="104">
        <v>67</v>
      </c>
      <c r="B2059" s="313" t="s">
        <v>5318</v>
      </c>
      <c r="C2059" s="2951" t="s">
        <v>6338</v>
      </c>
      <c r="D2059" s="2952"/>
      <c r="E2059" s="2952"/>
      <c r="F2059" s="218" t="s">
        <v>5315</v>
      </c>
      <c r="G2059" s="192">
        <v>850</v>
      </c>
      <c r="H2059" s="1773" t="s">
        <v>41</v>
      </c>
      <c r="I2059" s="34"/>
      <c r="J2059" s="34"/>
      <c r="K2059" s="2233" t="s">
        <v>25</v>
      </c>
      <c r="L2059" s="803"/>
      <c r="M2059" s="803"/>
      <c r="N2059" s="803"/>
      <c r="O2059" s="2628" t="s">
        <v>6395</v>
      </c>
    </row>
    <row r="2060" spans="1:15" x14ac:dyDescent="0.3">
      <c r="A2060" s="104">
        <v>68</v>
      </c>
      <c r="B2060" s="313" t="s">
        <v>5318</v>
      </c>
      <c r="C2060" s="2951" t="s">
        <v>6339</v>
      </c>
      <c r="D2060" s="2952"/>
      <c r="E2060" s="2952"/>
      <c r="F2060" s="218" t="s">
        <v>5315</v>
      </c>
      <c r="G2060" s="192">
        <v>850</v>
      </c>
      <c r="H2060" s="1773" t="s">
        <v>41</v>
      </c>
      <c r="I2060" s="34"/>
      <c r="J2060" s="34"/>
      <c r="K2060" s="2233" t="s">
        <v>25</v>
      </c>
      <c r="L2060" s="803"/>
      <c r="M2060" s="803"/>
      <c r="N2060" s="803"/>
      <c r="O2060" s="2628" t="s">
        <v>6395</v>
      </c>
    </row>
    <row r="2061" spans="1:15" x14ac:dyDescent="0.3">
      <c r="A2061" s="104">
        <v>69</v>
      </c>
      <c r="B2061" s="313" t="s">
        <v>5318</v>
      </c>
      <c r="C2061" s="2951" t="s">
        <v>6340</v>
      </c>
      <c r="D2061" s="2952"/>
      <c r="E2061" s="2952"/>
      <c r="F2061" s="218" t="s">
        <v>5315</v>
      </c>
      <c r="G2061" s="192">
        <v>850</v>
      </c>
      <c r="H2061" s="1773" t="s">
        <v>41</v>
      </c>
      <c r="I2061" s="34"/>
      <c r="J2061" s="34"/>
      <c r="K2061" s="2233" t="s">
        <v>25</v>
      </c>
      <c r="L2061" s="803"/>
      <c r="M2061" s="803"/>
      <c r="N2061" s="803"/>
      <c r="O2061" s="2628" t="s">
        <v>6395</v>
      </c>
    </row>
    <row r="2062" spans="1:15" x14ac:dyDescent="0.3">
      <c r="A2062" s="104">
        <v>70</v>
      </c>
      <c r="B2062" s="313" t="s">
        <v>5318</v>
      </c>
      <c r="C2062" s="2951" t="s">
        <v>6341</v>
      </c>
      <c r="D2062" s="2952"/>
      <c r="E2062" s="2952"/>
      <c r="F2062" s="218" t="s">
        <v>5315</v>
      </c>
      <c r="G2062" s="192">
        <v>850</v>
      </c>
      <c r="H2062" s="1773" t="s">
        <v>41</v>
      </c>
      <c r="I2062" s="34"/>
      <c r="J2062" s="34"/>
      <c r="K2062" s="2233" t="s">
        <v>25</v>
      </c>
      <c r="L2062" s="803"/>
      <c r="M2062" s="803"/>
      <c r="N2062" s="803"/>
      <c r="O2062" s="2628" t="s">
        <v>6395</v>
      </c>
    </row>
    <row r="2063" spans="1:15" x14ac:dyDescent="0.3">
      <c r="A2063" s="104">
        <v>71</v>
      </c>
      <c r="B2063" s="313" t="s">
        <v>5318</v>
      </c>
      <c r="C2063" s="2951" t="s">
        <v>6342</v>
      </c>
      <c r="D2063" s="2952"/>
      <c r="E2063" s="2952"/>
      <c r="F2063" s="218" t="s">
        <v>5315</v>
      </c>
      <c r="G2063" s="192">
        <v>850</v>
      </c>
      <c r="H2063" s="1773" t="s">
        <v>41</v>
      </c>
      <c r="I2063" s="34"/>
      <c r="J2063" s="34"/>
      <c r="K2063" s="2233" t="s">
        <v>25</v>
      </c>
      <c r="L2063" s="147"/>
      <c r="M2063" s="803"/>
      <c r="N2063" s="803"/>
      <c r="O2063" s="2628" t="s">
        <v>6395</v>
      </c>
    </row>
    <row r="2064" spans="1:15" x14ac:dyDescent="0.3">
      <c r="A2064" s="104">
        <v>72</v>
      </c>
      <c r="B2064" s="313" t="s">
        <v>5318</v>
      </c>
      <c r="C2064" s="2951" t="s">
        <v>6343</v>
      </c>
      <c r="D2064" s="2952"/>
      <c r="E2064" s="2952"/>
      <c r="F2064" s="218" t="s">
        <v>5315</v>
      </c>
      <c r="G2064" s="192">
        <v>850</v>
      </c>
      <c r="H2064" s="1773" t="s">
        <v>41</v>
      </c>
      <c r="I2064" s="34"/>
      <c r="J2064" s="34"/>
      <c r="K2064" s="2233" t="s">
        <v>25</v>
      </c>
      <c r="L2064" s="147"/>
      <c r="M2064" s="803"/>
      <c r="N2064" s="803"/>
      <c r="O2064" s="2628" t="s">
        <v>6395</v>
      </c>
    </row>
    <row r="2065" spans="1:15" x14ac:dyDescent="0.3">
      <c r="A2065" s="104">
        <v>73</v>
      </c>
      <c r="B2065" s="313" t="s">
        <v>5318</v>
      </c>
      <c r="C2065" s="2951" t="s">
        <v>6344</v>
      </c>
      <c r="D2065" s="2952"/>
      <c r="E2065" s="2952"/>
      <c r="F2065" s="218" t="s">
        <v>5315</v>
      </c>
      <c r="G2065" s="192">
        <v>850</v>
      </c>
      <c r="H2065" s="1773" t="s">
        <v>41</v>
      </c>
      <c r="I2065" s="34"/>
      <c r="J2065" s="34"/>
      <c r="K2065" s="2233" t="s">
        <v>25</v>
      </c>
      <c r="L2065" s="147"/>
      <c r="M2065" s="803"/>
      <c r="N2065" s="803"/>
      <c r="O2065" s="2628" t="s">
        <v>6395</v>
      </c>
    </row>
    <row r="2066" spans="1:15" x14ac:dyDescent="0.3">
      <c r="A2066" s="104">
        <v>74</v>
      </c>
      <c r="B2066" s="313" t="s">
        <v>5318</v>
      </c>
      <c r="C2066" s="2951" t="s">
        <v>6345</v>
      </c>
      <c r="D2066" s="2952"/>
      <c r="E2066" s="2952"/>
      <c r="F2066" s="218" t="s">
        <v>5315</v>
      </c>
      <c r="G2066" s="192">
        <v>850</v>
      </c>
      <c r="H2066" s="1773" t="s">
        <v>41</v>
      </c>
      <c r="I2066" s="34"/>
      <c r="J2066" s="34"/>
      <c r="K2066" s="2233" t="s">
        <v>25</v>
      </c>
      <c r="L2066" s="147"/>
      <c r="M2066" s="803"/>
      <c r="N2066" s="803"/>
      <c r="O2066" s="2628" t="s">
        <v>6395</v>
      </c>
    </row>
    <row r="2067" spans="1:15" x14ac:dyDescent="0.3">
      <c r="A2067" s="104">
        <v>75</v>
      </c>
      <c r="B2067" s="313" t="s">
        <v>5318</v>
      </c>
      <c r="C2067" s="2951" t="s">
        <v>6346</v>
      </c>
      <c r="D2067" s="2952"/>
      <c r="E2067" s="2952"/>
      <c r="F2067" s="218" t="s">
        <v>5315</v>
      </c>
      <c r="G2067" s="192">
        <v>850</v>
      </c>
      <c r="H2067" s="1773" t="s">
        <v>41</v>
      </c>
      <c r="I2067" s="34"/>
      <c r="J2067" s="34"/>
      <c r="K2067" s="2233" t="s">
        <v>25</v>
      </c>
      <c r="L2067" s="147"/>
      <c r="M2067" s="803"/>
      <c r="N2067" s="803"/>
      <c r="O2067" s="2628" t="s">
        <v>6395</v>
      </c>
    </row>
    <row r="2068" spans="1:15" x14ac:dyDescent="0.3">
      <c r="A2068" s="104">
        <v>76</v>
      </c>
      <c r="B2068" s="313" t="s">
        <v>5318</v>
      </c>
      <c r="C2068" s="2951" t="s">
        <v>6347</v>
      </c>
      <c r="D2068" s="2952"/>
      <c r="E2068" s="2952"/>
      <c r="F2068" s="218" t="s">
        <v>5315</v>
      </c>
      <c r="G2068" s="192">
        <v>850</v>
      </c>
      <c r="H2068" s="1773" t="s">
        <v>41</v>
      </c>
      <c r="I2068" s="34"/>
      <c r="J2068" s="34"/>
      <c r="K2068" s="2233" t="s">
        <v>25</v>
      </c>
      <c r="L2068" s="147"/>
      <c r="M2068" s="803"/>
      <c r="N2068" s="803"/>
      <c r="O2068" s="2628" t="s">
        <v>6395</v>
      </c>
    </row>
    <row r="2069" spans="1:15" x14ac:dyDescent="0.3">
      <c r="A2069" s="104">
        <v>77</v>
      </c>
      <c r="B2069" s="313" t="s">
        <v>5318</v>
      </c>
      <c r="C2069" s="2951" t="s">
        <v>6348</v>
      </c>
      <c r="D2069" s="2952"/>
      <c r="E2069" s="2952"/>
      <c r="F2069" s="218" t="s">
        <v>5315</v>
      </c>
      <c r="G2069" s="192">
        <v>850</v>
      </c>
      <c r="H2069" s="1773" t="s">
        <v>41</v>
      </c>
      <c r="I2069" s="34"/>
      <c r="J2069" s="34"/>
      <c r="K2069" s="2233" t="s">
        <v>25</v>
      </c>
      <c r="L2069" s="147"/>
      <c r="M2069" s="803"/>
      <c r="N2069" s="803"/>
      <c r="O2069" s="2628" t="s">
        <v>6395</v>
      </c>
    </row>
    <row r="2070" spans="1:15" x14ac:dyDescent="0.3">
      <c r="A2070" s="104">
        <v>78</v>
      </c>
      <c r="B2070" s="313" t="s">
        <v>5318</v>
      </c>
      <c r="C2070" s="2951" t="s">
        <v>6349</v>
      </c>
      <c r="D2070" s="2952"/>
      <c r="E2070" s="2952"/>
      <c r="F2070" s="218" t="s">
        <v>5315</v>
      </c>
      <c r="G2070" s="192">
        <v>850</v>
      </c>
      <c r="H2070" s="1773" t="s">
        <v>41</v>
      </c>
      <c r="I2070" s="34"/>
      <c r="J2070" s="34"/>
      <c r="K2070" s="2233" t="s">
        <v>25</v>
      </c>
      <c r="L2070" s="803"/>
      <c r="M2070" s="803"/>
      <c r="N2070" s="803"/>
      <c r="O2070" s="2628" t="s">
        <v>6395</v>
      </c>
    </row>
    <row r="2071" spans="1:15" x14ac:dyDescent="0.3">
      <c r="A2071" s="104">
        <v>79</v>
      </c>
      <c r="B2071" s="313" t="s">
        <v>5318</v>
      </c>
      <c r="C2071" s="2951" t="s">
        <v>6350</v>
      </c>
      <c r="D2071" s="2952"/>
      <c r="E2071" s="2952"/>
      <c r="F2071" s="218" t="s">
        <v>5315</v>
      </c>
      <c r="G2071" s="192">
        <v>850</v>
      </c>
      <c r="H2071" s="1773" t="s">
        <v>41</v>
      </c>
      <c r="I2071" s="34"/>
      <c r="J2071" s="34"/>
      <c r="K2071" s="2233" t="s">
        <v>25</v>
      </c>
      <c r="L2071" s="803"/>
      <c r="M2071" s="803"/>
      <c r="N2071" s="803"/>
      <c r="O2071" s="2628" t="s">
        <v>6395</v>
      </c>
    </row>
    <row r="2072" spans="1:15" x14ac:dyDescent="0.3">
      <c r="A2072" s="104">
        <v>80</v>
      </c>
      <c r="B2072" s="313" t="s">
        <v>5318</v>
      </c>
      <c r="C2072" s="2951" t="s">
        <v>6351</v>
      </c>
      <c r="D2072" s="2952"/>
      <c r="E2072" s="2952"/>
      <c r="F2072" s="218" t="s">
        <v>5315</v>
      </c>
      <c r="G2072" s="192">
        <v>850</v>
      </c>
      <c r="H2072" s="1773" t="s">
        <v>41</v>
      </c>
      <c r="I2072" s="34"/>
      <c r="J2072" s="34"/>
      <c r="K2072" s="2233" t="s">
        <v>25</v>
      </c>
      <c r="L2072" s="803"/>
      <c r="M2072" s="803"/>
      <c r="N2072" s="803"/>
      <c r="O2072" s="2628" t="s">
        <v>6395</v>
      </c>
    </row>
    <row r="2073" spans="1:15" x14ac:dyDescent="0.3">
      <c r="A2073" s="104">
        <v>81</v>
      </c>
      <c r="B2073" s="313" t="s">
        <v>5318</v>
      </c>
      <c r="C2073" s="2951" t="s">
        <v>6352</v>
      </c>
      <c r="D2073" s="2952"/>
      <c r="E2073" s="2952"/>
      <c r="F2073" s="218" t="s">
        <v>5315</v>
      </c>
      <c r="G2073" s="192">
        <v>850</v>
      </c>
      <c r="H2073" s="1773" t="s">
        <v>41</v>
      </c>
      <c r="I2073" s="34"/>
      <c r="J2073" s="34"/>
      <c r="K2073" s="2233" t="s">
        <v>25</v>
      </c>
      <c r="L2073" s="803"/>
      <c r="M2073" s="803"/>
      <c r="N2073" s="803"/>
      <c r="O2073" s="2628" t="s">
        <v>6395</v>
      </c>
    </row>
    <row r="2074" spans="1:15" x14ac:dyDescent="0.3">
      <c r="A2074" s="104">
        <v>82</v>
      </c>
      <c r="B2074" s="313" t="s">
        <v>5318</v>
      </c>
      <c r="C2074" s="2951" t="s">
        <v>6353</v>
      </c>
      <c r="D2074" s="2952"/>
      <c r="E2074" s="2952"/>
      <c r="F2074" s="218" t="s">
        <v>5315</v>
      </c>
      <c r="G2074" s="192">
        <v>850</v>
      </c>
      <c r="H2074" s="1773" t="s">
        <v>41</v>
      </c>
      <c r="I2074" s="34"/>
      <c r="J2074" s="34"/>
      <c r="K2074" s="2233" t="s">
        <v>25</v>
      </c>
      <c r="L2074" s="803"/>
      <c r="M2074" s="803"/>
      <c r="N2074" s="803"/>
      <c r="O2074" s="2628" t="s">
        <v>6395</v>
      </c>
    </row>
    <row r="2075" spans="1:15" x14ac:dyDescent="0.3">
      <c r="A2075" s="104">
        <v>83</v>
      </c>
      <c r="B2075" s="313" t="s">
        <v>5318</v>
      </c>
      <c r="C2075" s="2951" t="s">
        <v>6354</v>
      </c>
      <c r="D2075" s="2952"/>
      <c r="E2075" s="2952"/>
      <c r="F2075" s="218" t="s">
        <v>5315</v>
      </c>
      <c r="G2075" s="192">
        <v>850</v>
      </c>
      <c r="H2075" s="1773" t="s">
        <v>41</v>
      </c>
      <c r="I2075" s="34"/>
      <c r="J2075" s="34"/>
      <c r="K2075" s="2233" t="s">
        <v>25</v>
      </c>
      <c r="L2075" s="803"/>
      <c r="M2075" s="803"/>
      <c r="N2075" s="803"/>
      <c r="O2075" s="2628" t="s">
        <v>6395</v>
      </c>
    </row>
    <row r="2076" spans="1:15" x14ac:dyDescent="0.3">
      <c r="A2076" s="104">
        <v>84</v>
      </c>
      <c r="B2076" s="313" t="s">
        <v>5318</v>
      </c>
      <c r="C2076" s="2951" t="s">
        <v>6355</v>
      </c>
      <c r="D2076" s="2952"/>
      <c r="E2076" s="2952"/>
      <c r="F2076" s="218" t="s">
        <v>5315</v>
      </c>
      <c r="G2076" s="192">
        <v>850</v>
      </c>
      <c r="H2076" s="1773" t="s">
        <v>41</v>
      </c>
      <c r="I2076" s="34"/>
      <c r="J2076" s="34"/>
      <c r="K2076" s="2233" t="s">
        <v>25</v>
      </c>
      <c r="L2076" s="803"/>
      <c r="M2076" s="803"/>
      <c r="N2076" s="803"/>
      <c r="O2076" s="2628" t="s">
        <v>6395</v>
      </c>
    </row>
    <row r="2077" spans="1:15" x14ac:dyDescent="0.3">
      <c r="A2077" s="104">
        <v>85</v>
      </c>
      <c r="B2077" s="313" t="s">
        <v>5318</v>
      </c>
      <c r="C2077" s="2951" t="s">
        <v>6356</v>
      </c>
      <c r="D2077" s="2952"/>
      <c r="E2077" s="2952"/>
      <c r="F2077" s="218" t="s">
        <v>5315</v>
      </c>
      <c r="G2077" s="192">
        <v>850</v>
      </c>
      <c r="H2077" s="1773" t="s">
        <v>41</v>
      </c>
      <c r="I2077" s="34"/>
      <c r="J2077" s="34"/>
      <c r="K2077" s="2233" t="s">
        <v>25</v>
      </c>
      <c r="L2077" s="803"/>
      <c r="M2077" s="803"/>
      <c r="N2077" s="803"/>
      <c r="O2077" s="2628" t="s">
        <v>6395</v>
      </c>
    </row>
    <row r="2078" spans="1:15" x14ac:dyDescent="0.3">
      <c r="A2078" s="104">
        <v>86</v>
      </c>
      <c r="B2078" s="313" t="s">
        <v>5318</v>
      </c>
      <c r="C2078" s="2951" t="s">
        <v>6357</v>
      </c>
      <c r="D2078" s="2952"/>
      <c r="E2078" s="2952"/>
      <c r="F2078" s="218" t="s">
        <v>5315</v>
      </c>
      <c r="G2078" s="192">
        <v>850</v>
      </c>
      <c r="H2078" s="1773" t="s">
        <v>41</v>
      </c>
      <c r="I2078" s="34"/>
      <c r="J2078" s="34"/>
      <c r="K2078" s="2233" t="s">
        <v>25</v>
      </c>
      <c r="L2078" s="803"/>
      <c r="M2078" s="803"/>
      <c r="N2078" s="803"/>
      <c r="O2078" s="2628" t="s">
        <v>6395</v>
      </c>
    </row>
    <row r="2079" spans="1:15" x14ac:dyDescent="0.3">
      <c r="A2079" s="104">
        <v>87</v>
      </c>
      <c r="B2079" s="313" t="s">
        <v>5318</v>
      </c>
      <c r="C2079" s="2951" t="s">
        <v>6358</v>
      </c>
      <c r="D2079" s="2952"/>
      <c r="E2079" s="2952"/>
      <c r="F2079" s="218" t="s">
        <v>5315</v>
      </c>
      <c r="G2079" s="192">
        <v>850</v>
      </c>
      <c r="H2079" s="1773" t="s">
        <v>41</v>
      </c>
      <c r="I2079" s="34"/>
      <c r="J2079" s="34"/>
      <c r="K2079" s="2233" t="s">
        <v>25</v>
      </c>
      <c r="L2079" s="803"/>
      <c r="M2079" s="803"/>
      <c r="N2079" s="803"/>
      <c r="O2079" s="2628" t="s">
        <v>6395</v>
      </c>
    </row>
    <row r="2080" spans="1:15" x14ac:dyDescent="0.3">
      <c r="A2080" s="104">
        <v>88</v>
      </c>
      <c r="B2080" s="313" t="s">
        <v>5318</v>
      </c>
      <c r="C2080" s="2951" t="s">
        <v>6359</v>
      </c>
      <c r="D2080" s="2952"/>
      <c r="E2080" s="2952"/>
      <c r="F2080" s="218" t="s">
        <v>5315</v>
      </c>
      <c r="G2080" s="192">
        <v>850</v>
      </c>
      <c r="H2080" s="1773" t="s">
        <v>41</v>
      </c>
      <c r="I2080" s="34"/>
      <c r="J2080" s="34"/>
      <c r="K2080" s="2233" t="s">
        <v>25</v>
      </c>
      <c r="L2080" s="803"/>
      <c r="M2080" s="803"/>
      <c r="N2080" s="803"/>
      <c r="O2080" s="2628" t="s">
        <v>6395</v>
      </c>
    </row>
    <row r="2081" spans="1:15" x14ac:dyDescent="0.3">
      <c r="A2081" s="104">
        <v>89</v>
      </c>
      <c r="B2081" s="313" t="s">
        <v>5318</v>
      </c>
      <c r="C2081" s="2951" t="s">
        <v>6360</v>
      </c>
      <c r="D2081" s="2952"/>
      <c r="E2081" s="2952"/>
      <c r="F2081" s="218" t="s">
        <v>5315</v>
      </c>
      <c r="G2081" s="192">
        <v>850</v>
      </c>
      <c r="H2081" s="1773" t="s">
        <v>41</v>
      </c>
      <c r="I2081" s="34"/>
      <c r="J2081" s="34"/>
      <c r="K2081" s="2233" t="s">
        <v>25</v>
      </c>
      <c r="L2081" s="803"/>
      <c r="M2081" s="803"/>
      <c r="N2081" s="803"/>
      <c r="O2081" s="2628" t="s">
        <v>6395</v>
      </c>
    </row>
    <row r="2082" spans="1:15" x14ac:dyDescent="0.3">
      <c r="A2082" s="104">
        <v>90</v>
      </c>
      <c r="B2082" s="313" t="s">
        <v>5638</v>
      </c>
      <c r="C2082" s="2951" t="s">
        <v>6361</v>
      </c>
      <c r="D2082" s="2952"/>
      <c r="E2082" s="2952"/>
      <c r="F2082" s="218" t="s">
        <v>5446</v>
      </c>
      <c r="G2082" s="192">
        <v>850</v>
      </c>
      <c r="H2082" s="1773" t="s">
        <v>41</v>
      </c>
      <c r="I2082" s="34"/>
      <c r="J2082" s="34"/>
      <c r="K2082" s="2233" t="s">
        <v>25</v>
      </c>
      <c r="L2082" s="147"/>
      <c r="M2082" s="803"/>
      <c r="N2082" s="803"/>
      <c r="O2082" s="2628" t="s">
        <v>6395</v>
      </c>
    </row>
    <row r="2083" spans="1:15" x14ac:dyDescent="0.3">
      <c r="A2083" s="104">
        <v>91</v>
      </c>
      <c r="B2083" s="313" t="s">
        <v>5638</v>
      </c>
      <c r="C2083" s="2951" t="s">
        <v>6362</v>
      </c>
      <c r="D2083" s="2952"/>
      <c r="E2083" s="2952"/>
      <c r="F2083" s="218" t="s">
        <v>5446</v>
      </c>
      <c r="G2083" s="192">
        <v>850</v>
      </c>
      <c r="H2083" s="1773" t="s">
        <v>41</v>
      </c>
      <c r="I2083" s="34"/>
      <c r="J2083" s="34"/>
      <c r="K2083" s="2233" t="s">
        <v>25</v>
      </c>
      <c r="L2083" s="147"/>
      <c r="M2083" s="803"/>
      <c r="N2083" s="803"/>
      <c r="O2083" s="2628" t="s">
        <v>6395</v>
      </c>
    </row>
    <row r="2084" spans="1:15" x14ac:dyDescent="0.3">
      <c r="A2084" s="104">
        <v>92</v>
      </c>
      <c r="B2084" s="313" t="s">
        <v>5638</v>
      </c>
      <c r="C2084" s="2951" t="s">
        <v>6363</v>
      </c>
      <c r="D2084" s="2952"/>
      <c r="E2084" s="2952"/>
      <c r="F2084" s="218" t="s">
        <v>5446</v>
      </c>
      <c r="G2084" s="192">
        <v>850</v>
      </c>
      <c r="H2084" s="1773" t="s">
        <v>41</v>
      </c>
      <c r="I2084" s="34"/>
      <c r="J2084" s="34"/>
      <c r="K2084" s="2233" t="s">
        <v>25</v>
      </c>
      <c r="L2084" s="147"/>
      <c r="M2084" s="803"/>
      <c r="N2084" s="803"/>
      <c r="O2084" s="2628" t="s">
        <v>6395</v>
      </c>
    </row>
    <row r="2085" spans="1:15" x14ac:dyDescent="0.3">
      <c r="A2085" s="104">
        <v>93</v>
      </c>
      <c r="B2085" s="313" t="s">
        <v>5638</v>
      </c>
      <c r="C2085" s="2951" t="s">
        <v>6364</v>
      </c>
      <c r="D2085" s="2952"/>
      <c r="E2085" s="2952"/>
      <c r="F2085" s="218" t="s">
        <v>5446</v>
      </c>
      <c r="G2085" s="192">
        <v>850</v>
      </c>
      <c r="H2085" s="1773" t="s">
        <v>41</v>
      </c>
      <c r="I2085" s="34"/>
      <c r="J2085" s="34"/>
      <c r="K2085" s="2233" t="s">
        <v>25</v>
      </c>
      <c r="L2085" s="147"/>
      <c r="M2085" s="803"/>
      <c r="N2085" s="803"/>
      <c r="O2085" s="2628" t="s">
        <v>6395</v>
      </c>
    </row>
    <row r="2086" spans="1:15" x14ac:dyDescent="0.3">
      <c r="A2086" s="104">
        <v>94</v>
      </c>
      <c r="B2086" s="313" t="s">
        <v>5638</v>
      </c>
      <c r="C2086" s="2951" t="s">
        <v>6365</v>
      </c>
      <c r="D2086" s="2952"/>
      <c r="E2086" s="2952"/>
      <c r="F2086" s="218" t="s">
        <v>5446</v>
      </c>
      <c r="G2086" s="192">
        <v>850</v>
      </c>
      <c r="H2086" s="1773" t="s">
        <v>41</v>
      </c>
      <c r="I2086" s="34"/>
      <c r="J2086" s="34"/>
      <c r="K2086" s="2233" t="s">
        <v>25</v>
      </c>
      <c r="L2086" s="147"/>
      <c r="M2086" s="803"/>
      <c r="N2086" s="803"/>
      <c r="O2086" s="2628" t="s">
        <v>6395</v>
      </c>
    </row>
    <row r="2087" spans="1:15" x14ac:dyDescent="0.3">
      <c r="A2087" s="104">
        <v>95</v>
      </c>
      <c r="B2087" s="313" t="s">
        <v>5638</v>
      </c>
      <c r="C2087" s="2951" t="s">
        <v>6366</v>
      </c>
      <c r="D2087" s="2952"/>
      <c r="E2087" s="2952"/>
      <c r="F2087" s="218" t="s">
        <v>5446</v>
      </c>
      <c r="G2087" s="192">
        <v>850</v>
      </c>
      <c r="H2087" s="1773" t="s">
        <v>41</v>
      </c>
      <c r="I2087" s="34"/>
      <c r="J2087" s="34"/>
      <c r="K2087" s="2233" t="s">
        <v>25</v>
      </c>
      <c r="L2087" s="147"/>
      <c r="M2087" s="803"/>
      <c r="N2087" s="803"/>
      <c r="O2087" s="2628" t="s">
        <v>6395</v>
      </c>
    </row>
    <row r="2088" spans="1:15" x14ac:dyDescent="0.3">
      <c r="A2088" s="104">
        <v>96</v>
      </c>
      <c r="B2088" s="313" t="s">
        <v>5638</v>
      </c>
      <c r="C2088" s="2951" t="s">
        <v>6367</v>
      </c>
      <c r="D2088" s="2952"/>
      <c r="E2088" s="2952"/>
      <c r="F2088" s="218" t="s">
        <v>5446</v>
      </c>
      <c r="G2088" s="192">
        <v>850</v>
      </c>
      <c r="H2088" s="1773" t="s">
        <v>41</v>
      </c>
      <c r="I2088" s="34"/>
      <c r="J2088" s="34"/>
      <c r="K2088" s="2233" t="s">
        <v>25</v>
      </c>
      <c r="L2088" s="803"/>
      <c r="M2088" s="803"/>
      <c r="N2088" s="803"/>
      <c r="O2088" s="2628" t="s">
        <v>6395</v>
      </c>
    </row>
    <row r="2089" spans="1:15" x14ac:dyDescent="0.3">
      <c r="A2089" s="104">
        <v>97</v>
      </c>
      <c r="B2089" s="313" t="s">
        <v>5638</v>
      </c>
      <c r="C2089" s="2951" t="s">
        <v>6368</v>
      </c>
      <c r="D2089" s="2952"/>
      <c r="E2089" s="2952"/>
      <c r="F2089" s="218" t="s">
        <v>5446</v>
      </c>
      <c r="G2089" s="192">
        <v>850</v>
      </c>
      <c r="H2089" s="1773" t="s">
        <v>41</v>
      </c>
      <c r="I2089" s="34"/>
      <c r="J2089" s="34"/>
      <c r="K2089" s="2233" t="s">
        <v>25</v>
      </c>
      <c r="L2089" s="803"/>
      <c r="M2089" s="803"/>
      <c r="N2089" s="803"/>
      <c r="O2089" s="2628" t="s">
        <v>6395</v>
      </c>
    </row>
    <row r="2090" spans="1:15" x14ac:dyDescent="0.3">
      <c r="A2090" s="104">
        <v>98</v>
      </c>
      <c r="B2090" s="313" t="s">
        <v>5638</v>
      </c>
      <c r="C2090" s="2951" t="s">
        <v>6369</v>
      </c>
      <c r="D2090" s="2952"/>
      <c r="E2090" s="2952"/>
      <c r="F2090" s="218" t="s">
        <v>5446</v>
      </c>
      <c r="G2090" s="192">
        <v>850</v>
      </c>
      <c r="H2090" s="1773" t="s">
        <v>41</v>
      </c>
      <c r="I2090" s="34"/>
      <c r="J2090" s="34"/>
      <c r="K2090" s="2233" t="s">
        <v>25</v>
      </c>
      <c r="L2090" s="803"/>
      <c r="M2090" s="803"/>
      <c r="N2090" s="803"/>
      <c r="O2090" s="2628" t="s">
        <v>6395</v>
      </c>
    </row>
    <row r="2091" spans="1:15" x14ac:dyDescent="0.3">
      <c r="A2091" s="104">
        <v>99</v>
      </c>
      <c r="B2091" s="313" t="s">
        <v>5638</v>
      </c>
      <c r="C2091" s="2951" t="s">
        <v>6370</v>
      </c>
      <c r="D2091" s="2952"/>
      <c r="E2091" s="2952"/>
      <c r="F2091" s="218" t="s">
        <v>5446</v>
      </c>
      <c r="G2091" s="192">
        <v>850</v>
      </c>
      <c r="H2091" s="1773" t="s">
        <v>41</v>
      </c>
      <c r="I2091" s="34"/>
      <c r="J2091" s="34"/>
      <c r="K2091" s="2233" t="s">
        <v>25</v>
      </c>
      <c r="L2091" s="803"/>
      <c r="M2091" s="803"/>
      <c r="N2091" s="803"/>
      <c r="O2091" s="2628" t="s">
        <v>6395</v>
      </c>
    </row>
    <row r="2092" spans="1:15" x14ac:dyDescent="0.3">
      <c r="A2092" s="104">
        <v>100</v>
      </c>
      <c r="B2092" s="313" t="s">
        <v>5638</v>
      </c>
      <c r="C2092" s="2951" t="s">
        <v>6371</v>
      </c>
      <c r="D2092" s="2952"/>
      <c r="E2092" s="2952"/>
      <c r="F2092" s="218" t="s">
        <v>5446</v>
      </c>
      <c r="G2092" s="192">
        <v>850</v>
      </c>
      <c r="H2092" s="1773" t="s">
        <v>41</v>
      </c>
      <c r="I2092" s="34"/>
      <c r="J2092" s="34"/>
      <c r="K2092" s="2233" t="s">
        <v>25</v>
      </c>
      <c r="L2092" s="803"/>
      <c r="M2092" s="803"/>
      <c r="N2092" s="803"/>
      <c r="O2092" s="2628" t="s">
        <v>6395</v>
      </c>
    </row>
    <row r="2093" spans="1:15" x14ac:dyDescent="0.3">
      <c r="A2093" s="104">
        <v>101</v>
      </c>
      <c r="B2093" s="313" t="s">
        <v>5638</v>
      </c>
      <c r="C2093" s="2951" t="s">
        <v>6372</v>
      </c>
      <c r="D2093" s="2952"/>
      <c r="E2093" s="2952"/>
      <c r="F2093" s="218" t="s">
        <v>5446</v>
      </c>
      <c r="G2093" s="192">
        <v>850</v>
      </c>
      <c r="H2093" s="1773" t="s">
        <v>41</v>
      </c>
      <c r="I2093" s="34"/>
      <c r="J2093" s="34"/>
      <c r="K2093" s="2233" t="s">
        <v>25</v>
      </c>
      <c r="L2093" s="803"/>
      <c r="M2093" s="803"/>
      <c r="N2093" s="803"/>
      <c r="O2093" s="2628" t="s">
        <v>6395</v>
      </c>
    </row>
    <row r="2094" spans="1:15" x14ac:dyDescent="0.3">
      <c r="A2094" s="104">
        <v>102</v>
      </c>
      <c r="B2094" s="313" t="s">
        <v>5638</v>
      </c>
      <c r="C2094" s="2951" t="s">
        <v>6373</v>
      </c>
      <c r="D2094" s="2952"/>
      <c r="E2094" s="2952"/>
      <c r="F2094" s="218" t="s">
        <v>5446</v>
      </c>
      <c r="G2094" s="192">
        <v>850</v>
      </c>
      <c r="H2094" s="1773" t="s">
        <v>41</v>
      </c>
      <c r="I2094" s="34"/>
      <c r="J2094" s="34"/>
      <c r="K2094" s="2233" t="s">
        <v>25</v>
      </c>
      <c r="L2094" s="803"/>
      <c r="M2094" s="803"/>
      <c r="N2094" s="803"/>
      <c r="O2094" s="2628" t="s">
        <v>6395</v>
      </c>
    </row>
    <row r="2095" spans="1:15" x14ac:dyDescent="0.3">
      <c r="A2095" s="104">
        <v>103</v>
      </c>
      <c r="B2095" s="313" t="s">
        <v>5638</v>
      </c>
      <c r="C2095" s="2951" t="s">
        <v>6374</v>
      </c>
      <c r="D2095" s="2952"/>
      <c r="E2095" s="2952"/>
      <c r="F2095" s="218" t="s">
        <v>5446</v>
      </c>
      <c r="G2095" s="192">
        <v>850</v>
      </c>
      <c r="H2095" s="1773" t="s">
        <v>41</v>
      </c>
      <c r="I2095" s="34"/>
      <c r="J2095" s="34"/>
      <c r="K2095" s="2233" t="s">
        <v>25</v>
      </c>
      <c r="L2095" s="803"/>
      <c r="M2095" s="803"/>
      <c r="N2095" s="803"/>
      <c r="O2095" s="2628" t="s">
        <v>6395</v>
      </c>
    </row>
    <row r="2096" spans="1:15" x14ac:dyDescent="0.3">
      <c r="A2096" s="104">
        <v>104</v>
      </c>
      <c r="B2096" s="313" t="s">
        <v>5638</v>
      </c>
      <c r="C2096" s="2951" t="s">
        <v>6375</v>
      </c>
      <c r="D2096" s="2952"/>
      <c r="E2096" s="2952"/>
      <c r="F2096" s="218" t="s">
        <v>5446</v>
      </c>
      <c r="G2096" s="192">
        <v>850</v>
      </c>
      <c r="H2096" s="1773" t="s">
        <v>41</v>
      </c>
      <c r="I2096" s="34"/>
      <c r="J2096" s="34"/>
      <c r="K2096" s="2233" t="s">
        <v>25</v>
      </c>
      <c r="L2096" s="803"/>
      <c r="M2096" s="803"/>
      <c r="N2096" s="803"/>
      <c r="O2096" s="2628" t="s">
        <v>6395</v>
      </c>
    </row>
    <row r="2097" spans="1:15" x14ac:dyDescent="0.3">
      <c r="A2097" s="104">
        <v>105</v>
      </c>
      <c r="B2097" s="313" t="s">
        <v>5638</v>
      </c>
      <c r="C2097" s="2951" t="s">
        <v>6376</v>
      </c>
      <c r="D2097" s="2952"/>
      <c r="E2097" s="2952"/>
      <c r="F2097" s="218" t="s">
        <v>5446</v>
      </c>
      <c r="G2097" s="192">
        <v>850</v>
      </c>
      <c r="H2097" s="1773" t="s">
        <v>41</v>
      </c>
      <c r="I2097" s="34"/>
      <c r="J2097" s="34"/>
      <c r="K2097" s="2233" t="s">
        <v>25</v>
      </c>
      <c r="L2097" s="803"/>
      <c r="M2097" s="803"/>
      <c r="N2097" s="803"/>
      <c r="O2097" s="2628" t="s">
        <v>6395</v>
      </c>
    </row>
    <row r="2098" spans="1:15" x14ac:dyDescent="0.3">
      <c r="A2098" s="104">
        <v>106</v>
      </c>
      <c r="B2098" s="313" t="s">
        <v>5638</v>
      </c>
      <c r="C2098" s="2951" t="s">
        <v>6377</v>
      </c>
      <c r="D2098" s="2952"/>
      <c r="E2098" s="2952"/>
      <c r="F2098" s="218" t="s">
        <v>5446</v>
      </c>
      <c r="G2098" s="192">
        <v>850</v>
      </c>
      <c r="H2098" s="1773" t="s">
        <v>41</v>
      </c>
      <c r="I2098" s="34"/>
      <c r="J2098" s="34"/>
      <c r="K2098" s="2233" t="s">
        <v>25</v>
      </c>
      <c r="L2098" s="803"/>
      <c r="M2098" s="803"/>
      <c r="N2098" s="803"/>
      <c r="O2098" s="2628" t="s">
        <v>6395</v>
      </c>
    </row>
    <row r="2099" spans="1:15" x14ac:dyDescent="0.3">
      <c r="A2099" s="104">
        <v>107</v>
      </c>
      <c r="B2099" s="313" t="s">
        <v>5638</v>
      </c>
      <c r="C2099" s="2951" t="s">
        <v>6378</v>
      </c>
      <c r="D2099" s="2952"/>
      <c r="E2099" s="2952"/>
      <c r="F2099" s="218" t="s">
        <v>5446</v>
      </c>
      <c r="G2099" s="192">
        <v>850</v>
      </c>
      <c r="H2099" s="1773" t="s">
        <v>41</v>
      </c>
      <c r="I2099" s="34"/>
      <c r="J2099" s="34"/>
      <c r="K2099" s="2233" t="s">
        <v>25</v>
      </c>
      <c r="L2099" s="803"/>
      <c r="M2099" s="803"/>
      <c r="N2099" s="803"/>
      <c r="O2099" s="2628" t="s">
        <v>6395</v>
      </c>
    </row>
    <row r="2100" spans="1:15" x14ac:dyDescent="0.3">
      <c r="A2100" s="104">
        <v>108</v>
      </c>
      <c r="B2100" s="313" t="s">
        <v>5638</v>
      </c>
      <c r="C2100" s="2951" t="s">
        <v>6379</v>
      </c>
      <c r="D2100" s="2952"/>
      <c r="E2100" s="2952"/>
      <c r="F2100" s="218" t="s">
        <v>5446</v>
      </c>
      <c r="G2100" s="192">
        <v>850</v>
      </c>
      <c r="H2100" s="1773" t="s">
        <v>41</v>
      </c>
      <c r="I2100" s="34"/>
      <c r="J2100" s="34"/>
      <c r="K2100" s="2233" t="s">
        <v>25</v>
      </c>
      <c r="L2100" s="803"/>
      <c r="M2100" s="803"/>
      <c r="N2100" s="803"/>
      <c r="O2100" s="2628" t="s">
        <v>6395</v>
      </c>
    </row>
    <row r="2101" spans="1:15" x14ac:dyDescent="0.3">
      <c r="A2101" s="104">
        <v>109</v>
      </c>
      <c r="B2101" s="313" t="s">
        <v>5638</v>
      </c>
      <c r="C2101" s="2951" t="s">
        <v>6380</v>
      </c>
      <c r="D2101" s="2952"/>
      <c r="E2101" s="2952"/>
      <c r="F2101" s="218" t="s">
        <v>5446</v>
      </c>
      <c r="G2101" s="192">
        <v>850</v>
      </c>
      <c r="H2101" s="1773" t="s">
        <v>41</v>
      </c>
      <c r="I2101" s="34"/>
      <c r="J2101" s="34"/>
      <c r="K2101" s="2233" t="s">
        <v>25</v>
      </c>
      <c r="L2101" s="803"/>
      <c r="M2101" s="803"/>
      <c r="N2101" s="803"/>
      <c r="O2101" s="2628" t="s">
        <v>6395</v>
      </c>
    </row>
    <row r="2102" spans="1:15" x14ac:dyDescent="0.3">
      <c r="A2102" s="104">
        <v>110</v>
      </c>
      <c r="B2102" s="313" t="s">
        <v>5638</v>
      </c>
      <c r="C2102" s="2951" t="s">
        <v>6381</v>
      </c>
      <c r="D2102" s="2952"/>
      <c r="E2102" s="2952"/>
      <c r="F2102" s="218" t="s">
        <v>5446</v>
      </c>
      <c r="G2102" s="192">
        <v>850</v>
      </c>
      <c r="H2102" s="1773" t="s">
        <v>41</v>
      </c>
      <c r="I2102" s="34"/>
      <c r="J2102" s="34"/>
      <c r="K2102" s="2233" t="s">
        <v>25</v>
      </c>
      <c r="L2102" s="803"/>
      <c r="M2102" s="803"/>
      <c r="N2102" s="803"/>
      <c r="O2102" s="2628" t="s">
        <v>6395</v>
      </c>
    </row>
    <row r="2103" spans="1:15" x14ac:dyDescent="0.3">
      <c r="A2103" s="104">
        <v>111</v>
      </c>
      <c r="B2103" s="313" t="s">
        <v>5638</v>
      </c>
      <c r="C2103" s="2951" t="s">
        <v>6382</v>
      </c>
      <c r="D2103" s="2952"/>
      <c r="E2103" s="2952"/>
      <c r="F2103" s="218" t="s">
        <v>5446</v>
      </c>
      <c r="G2103" s="192">
        <v>850</v>
      </c>
      <c r="H2103" s="1773" t="s">
        <v>41</v>
      </c>
      <c r="I2103" s="34"/>
      <c r="J2103" s="34"/>
      <c r="K2103" s="2233" t="s">
        <v>25</v>
      </c>
      <c r="L2103" s="803"/>
      <c r="M2103" s="803"/>
      <c r="N2103" s="803"/>
      <c r="O2103" s="2628" t="s">
        <v>6395</v>
      </c>
    </row>
    <row r="2104" spans="1:15" x14ac:dyDescent="0.3">
      <c r="A2104" s="104">
        <v>112</v>
      </c>
      <c r="B2104" s="313" t="s">
        <v>5638</v>
      </c>
      <c r="C2104" s="2951" t="s">
        <v>6383</v>
      </c>
      <c r="D2104" s="2952"/>
      <c r="E2104" s="2952"/>
      <c r="F2104" s="218" t="s">
        <v>5446</v>
      </c>
      <c r="G2104" s="192">
        <v>850</v>
      </c>
      <c r="H2104" s="1773" t="s">
        <v>41</v>
      </c>
      <c r="I2104" s="34"/>
      <c r="J2104" s="34"/>
      <c r="K2104" s="2233" t="s">
        <v>25</v>
      </c>
      <c r="L2104" s="224"/>
      <c r="M2104" s="803"/>
      <c r="N2104" s="803"/>
      <c r="O2104" s="2628" t="s">
        <v>6395</v>
      </c>
    </row>
    <row r="2105" spans="1:15" x14ac:dyDescent="0.3">
      <c r="A2105" s="104">
        <v>113</v>
      </c>
      <c r="B2105" s="313" t="s">
        <v>5638</v>
      </c>
      <c r="C2105" s="2951" t="s">
        <v>6384</v>
      </c>
      <c r="D2105" s="2952"/>
      <c r="E2105" s="2952"/>
      <c r="F2105" s="218" t="s">
        <v>5446</v>
      </c>
      <c r="G2105" s="192">
        <v>850</v>
      </c>
      <c r="H2105" s="1773" t="s">
        <v>41</v>
      </c>
      <c r="I2105" s="34"/>
      <c r="J2105" s="34"/>
      <c r="K2105" s="2233" t="s">
        <v>25</v>
      </c>
      <c r="L2105" s="224"/>
      <c r="M2105" s="803"/>
      <c r="N2105" s="803"/>
      <c r="O2105" s="2628" t="s">
        <v>6395</v>
      </c>
    </row>
    <row r="2106" spans="1:15" x14ac:dyDescent="0.3">
      <c r="A2106" s="104">
        <v>114</v>
      </c>
      <c r="B2106" s="313" t="s">
        <v>5638</v>
      </c>
      <c r="C2106" s="2951" t="s">
        <v>6385</v>
      </c>
      <c r="D2106" s="2952"/>
      <c r="E2106" s="2952"/>
      <c r="F2106" s="218" t="s">
        <v>5446</v>
      </c>
      <c r="G2106" s="192">
        <v>850</v>
      </c>
      <c r="H2106" s="1773" t="s">
        <v>41</v>
      </c>
      <c r="I2106" s="34"/>
      <c r="J2106" s="34"/>
      <c r="K2106" s="2233" t="s">
        <v>25</v>
      </c>
      <c r="L2106" s="224"/>
      <c r="M2106" s="803"/>
      <c r="N2106" s="803"/>
      <c r="O2106" s="2628" t="s">
        <v>6395</v>
      </c>
    </row>
    <row r="2107" spans="1:15" x14ac:dyDescent="0.3">
      <c r="A2107" s="104">
        <v>115</v>
      </c>
      <c r="B2107" s="313" t="s">
        <v>5638</v>
      </c>
      <c r="C2107" s="2951" t="s">
        <v>6386</v>
      </c>
      <c r="D2107" s="2952"/>
      <c r="E2107" s="2952"/>
      <c r="F2107" s="218" t="s">
        <v>5446</v>
      </c>
      <c r="G2107" s="192">
        <v>850</v>
      </c>
      <c r="H2107" s="1773" t="s">
        <v>41</v>
      </c>
      <c r="I2107" s="34"/>
      <c r="J2107" s="34"/>
      <c r="K2107" s="2233" t="s">
        <v>25</v>
      </c>
      <c r="L2107" s="224"/>
      <c r="M2107" s="803"/>
      <c r="N2107" s="803"/>
      <c r="O2107" s="2628" t="s">
        <v>6395</v>
      </c>
    </row>
    <row r="2108" spans="1:15" x14ac:dyDescent="0.3">
      <c r="A2108" s="104">
        <v>116</v>
      </c>
      <c r="B2108" s="313" t="s">
        <v>5638</v>
      </c>
      <c r="C2108" s="2951" t="s">
        <v>6387</v>
      </c>
      <c r="D2108" s="2952"/>
      <c r="E2108" s="2952"/>
      <c r="F2108" s="218" t="s">
        <v>5446</v>
      </c>
      <c r="G2108" s="192">
        <v>850</v>
      </c>
      <c r="H2108" s="1773" t="s">
        <v>41</v>
      </c>
      <c r="I2108" s="34"/>
      <c r="J2108" s="34"/>
      <c r="K2108" s="2233" t="s">
        <v>25</v>
      </c>
      <c r="L2108" s="224"/>
      <c r="M2108" s="803"/>
      <c r="N2108" s="803"/>
      <c r="O2108" s="2628" t="s">
        <v>6395</v>
      </c>
    </row>
    <row r="2109" spans="1:15" x14ac:dyDescent="0.3">
      <c r="A2109" s="104">
        <v>117</v>
      </c>
      <c r="B2109" s="313" t="s">
        <v>5638</v>
      </c>
      <c r="C2109" s="2951" t="s">
        <v>6388</v>
      </c>
      <c r="D2109" s="2952"/>
      <c r="E2109" s="2952"/>
      <c r="F2109" s="218" t="s">
        <v>5446</v>
      </c>
      <c r="G2109" s="192">
        <v>850</v>
      </c>
      <c r="H2109" s="1773" t="s">
        <v>41</v>
      </c>
      <c r="I2109" s="34"/>
      <c r="J2109" s="34"/>
      <c r="K2109" s="2233" t="s">
        <v>25</v>
      </c>
      <c r="L2109" s="224"/>
      <c r="M2109" s="803"/>
      <c r="N2109" s="803"/>
      <c r="O2109" s="2628" t="s">
        <v>6395</v>
      </c>
    </row>
    <row r="2110" spans="1:15" x14ac:dyDescent="0.3">
      <c r="A2110" s="104">
        <v>118</v>
      </c>
      <c r="B2110" s="313" t="s">
        <v>5638</v>
      </c>
      <c r="C2110" s="2951" t="s">
        <v>6389</v>
      </c>
      <c r="D2110" s="2952"/>
      <c r="E2110" s="2952"/>
      <c r="F2110" s="218" t="s">
        <v>5446</v>
      </c>
      <c r="G2110" s="192">
        <v>850</v>
      </c>
      <c r="H2110" s="1773" t="s">
        <v>41</v>
      </c>
      <c r="I2110" s="34"/>
      <c r="J2110" s="34"/>
      <c r="K2110" s="2233" t="s">
        <v>25</v>
      </c>
      <c r="L2110" s="224"/>
      <c r="M2110" s="803"/>
      <c r="N2110" s="803"/>
      <c r="O2110" s="2628" t="s">
        <v>6395</v>
      </c>
    </row>
    <row r="2111" spans="1:15" x14ac:dyDescent="0.3">
      <c r="A2111" s="104">
        <v>119</v>
      </c>
      <c r="B2111" s="313" t="s">
        <v>5597</v>
      </c>
      <c r="C2111" s="2951" t="s">
        <v>6390</v>
      </c>
      <c r="D2111" s="2952"/>
      <c r="E2111" s="2952"/>
      <c r="F2111" s="218" t="s">
        <v>5595</v>
      </c>
      <c r="G2111" s="192">
        <v>900</v>
      </c>
      <c r="H2111" s="1773" t="s">
        <v>41</v>
      </c>
      <c r="I2111" s="34"/>
      <c r="J2111" s="34"/>
      <c r="K2111" s="2233" t="s">
        <v>25</v>
      </c>
      <c r="L2111" s="803"/>
      <c r="M2111" s="803"/>
      <c r="N2111" s="803"/>
      <c r="O2111" s="2628" t="s">
        <v>6395</v>
      </c>
    </row>
    <row r="2112" spans="1:15" x14ac:dyDescent="0.3">
      <c r="A2112" s="104">
        <v>120</v>
      </c>
      <c r="B2112" s="313" t="s">
        <v>5597</v>
      </c>
      <c r="C2112" s="2951" t="s">
        <v>6391</v>
      </c>
      <c r="D2112" s="2952"/>
      <c r="E2112" s="2952"/>
      <c r="F2112" s="218" t="s">
        <v>5595</v>
      </c>
      <c r="G2112" s="192">
        <v>900</v>
      </c>
      <c r="H2112" s="1773" t="s">
        <v>41</v>
      </c>
      <c r="I2112" s="34"/>
      <c r="J2112" s="34"/>
      <c r="K2112" s="2233" t="s">
        <v>25</v>
      </c>
      <c r="L2112" s="803"/>
      <c r="M2112" s="803"/>
      <c r="N2112" s="803"/>
      <c r="O2112" s="2628" t="s">
        <v>6395</v>
      </c>
    </row>
    <row r="2113" spans="1:15" x14ac:dyDescent="0.3">
      <c r="A2113" s="104">
        <v>121</v>
      </c>
      <c r="B2113" s="313" t="s">
        <v>5597</v>
      </c>
      <c r="C2113" s="2951" t="s">
        <v>6392</v>
      </c>
      <c r="D2113" s="2952"/>
      <c r="E2113" s="2952"/>
      <c r="F2113" s="218" t="s">
        <v>5595</v>
      </c>
      <c r="G2113" s="192">
        <v>900</v>
      </c>
      <c r="H2113" s="1773" t="s">
        <v>41</v>
      </c>
      <c r="I2113" s="34"/>
      <c r="J2113" s="34"/>
      <c r="K2113" s="2233" t="s">
        <v>25</v>
      </c>
      <c r="L2113" s="803"/>
      <c r="M2113" s="803"/>
      <c r="N2113" s="803"/>
      <c r="O2113" s="2628" t="s">
        <v>6395</v>
      </c>
    </row>
    <row r="2114" spans="1:15" x14ac:dyDescent="0.3">
      <c r="A2114" s="104">
        <v>122</v>
      </c>
      <c r="B2114" s="313" t="s">
        <v>5597</v>
      </c>
      <c r="C2114" s="2951" t="s">
        <v>6393</v>
      </c>
      <c r="D2114" s="2952"/>
      <c r="E2114" s="2952"/>
      <c r="F2114" s="218" t="s">
        <v>5595</v>
      </c>
      <c r="G2114" s="192">
        <v>900</v>
      </c>
      <c r="H2114" s="1773" t="s">
        <v>41</v>
      </c>
      <c r="I2114" s="34"/>
      <c r="J2114" s="34"/>
      <c r="K2114" s="2233" t="s">
        <v>25</v>
      </c>
      <c r="L2114" s="803"/>
      <c r="M2114" s="803"/>
      <c r="N2114" s="803"/>
      <c r="O2114" s="2628" t="s">
        <v>6395</v>
      </c>
    </row>
    <row r="2115" spans="1:15" x14ac:dyDescent="0.3">
      <c r="A2115" s="104">
        <v>123</v>
      </c>
      <c r="B2115" s="313" t="s">
        <v>5597</v>
      </c>
      <c r="C2115" s="2951" t="s">
        <v>6271</v>
      </c>
      <c r="D2115" s="2952"/>
      <c r="E2115" s="2952"/>
      <c r="F2115" s="218" t="s">
        <v>5595</v>
      </c>
      <c r="G2115" s="192">
        <v>900</v>
      </c>
      <c r="H2115" s="1773" t="s">
        <v>41</v>
      </c>
      <c r="I2115" s="34"/>
      <c r="J2115" s="34"/>
      <c r="K2115" s="2233" t="s">
        <v>25</v>
      </c>
      <c r="L2115" s="803"/>
      <c r="M2115" s="803"/>
      <c r="N2115" s="803"/>
      <c r="O2115" s="2628" t="s">
        <v>6395</v>
      </c>
    </row>
    <row r="2116" spans="1:15" x14ac:dyDescent="0.3">
      <c r="A2116" s="104">
        <v>124</v>
      </c>
      <c r="B2116" s="313" t="s">
        <v>5597</v>
      </c>
      <c r="C2116" s="2951" t="s">
        <v>6270</v>
      </c>
      <c r="D2116" s="2952"/>
      <c r="E2116" s="2952"/>
      <c r="F2116" s="218" t="s">
        <v>5595</v>
      </c>
      <c r="G2116" s="192">
        <v>900</v>
      </c>
      <c r="H2116" s="1773" t="s">
        <v>41</v>
      </c>
      <c r="I2116" s="34"/>
      <c r="J2116" s="34"/>
      <c r="K2116" s="2233" t="s">
        <v>25</v>
      </c>
      <c r="L2116" s="803"/>
      <c r="M2116" s="803"/>
      <c r="N2116" s="803"/>
      <c r="O2116" s="2628" t="s">
        <v>6395</v>
      </c>
    </row>
    <row r="2117" spans="1:15" x14ac:dyDescent="0.3">
      <c r="A2117" s="104">
        <v>125</v>
      </c>
      <c r="B2117" s="313" t="s">
        <v>5597</v>
      </c>
      <c r="C2117" s="2951" t="s">
        <v>6269</v>
      </c>
      <c r="D2117" s="2952"/>
      <c r="E2117" s="2952"/>
      <c r="F2117" s="218" t="s">
        <v>5595</v>
      </c>
      <c r="G2117" s="192">
        <v>900</v>
      </c>
      <c r="H2117" s="1773" t="s">
        <v>41</v>
      </c>
      <c r="I2117" s="34"/>
      <c r="J2117" s="34"/>
      <c r="K2117" s="2233" t="s">
        <v>25</v>
      </c>
      <c r="L2117" s="803"/>
      <c r="M2117" s="803"/>
      <c r="N2117" s="803"/>
      <c r="O2117" s="2628" t="s">
        <v>6395</v>
      </c>
    </row>
    <row r="2118" spans="1:15" x14ac:dyDescent="0.3">
      <c r="A2118" s="104">
        <v>126</v>
      </c>
      <c r="B2118" s="313" t="s">
        <v>5597</v>
      </c>
      <c r="C2118" s="2951" t="s">
        <v>6268</v>
      </c>
      <c r="D2118" s="2952"/>
      <c r="E2118" s="2952"/>
      <c r="F2118" s="218" t="s">
        <v>5595</v>
      </c>
      <c r="G2118" s="192">
        <v>900</v>
      </c>
      <c r="H2118" s="1773" t="s">
        <v>41</v>
      </c>
      <c r="I2118" s="34"/>
      <c r="J2118" s="34"/>
      <c r="K2118" s="2233" t="s">
        <v>25</v>
      </c>
      <c r="L2118" s="803"/>
      <c r="M2118" s="803"/>
      <c r="N2118" s="803"/>
      <c r="O2118" s="2628" t="s">
        <v>6395</v>
      </c>
    </row>
    <row r="2119" spans="1:15" x14ac:dyDescent="0.3">
      <c r="A2119" s="104">
        <v>127</v>
      </c>
      <c r="B2119" s="313" t="s">
        <v>5597</v>
      </c>
      <c r="C2119" s="2951" t="s">
        <v>6267</v>
      </c>
      <c r="D2119" s="2952"/>
      <c r="E2119" s="2952"/>
      <c r="F2119" s="218" t="s">
        <v>5595</v>
      </c>
      <c r="G2119" s="192">
        <v>900</v>
      </c>
      <c r="H2119" s="1773" t="s">
        <v>41</v>
      </c>
      <c r="I2119" s="34"/>
      <c r="J2119" s="34"/>
      <c r="K2119" s="2233" t="s">
        <v>25</v>
      </c>
      <c r="L2119" s="803"/>
      <c r="M2119" s="803"/>
      <c r="N2119" s="803"/>
      <c r="O2119" s="2628" t="s">
        <v>6395</v>
      </c>
    </row>
    <row r="2120" spans="1:15" x14ac:dyDescent="0.3">
      <c r="A2120" s="104">
        <v>128</v>
      </c>
      <c r="B2120" s="313" t="s">
        <v>5597</v>
      </c>
      <c r="C2120" s="2951" t="s">
        <v>6266</v>
      </c>
      <c r="D2120" s="2952"/>
      <c r="E2120" s="2952"/>
      <c r="F2120" s="218" t="s">
        <v>5595</v>
      </c>
      <c r="G2120" s="192">
        <v>900</v>
      </c>
      <c r="H2120" s="1773" t="s">
        <v>41</v>
      </c>
      <c r="I2120" s="34"/>
      <c r="J2120" s="34"/>
      <c r="K2120" s="2233" t="s">
        <v>25</v>
      </c>
      <c r="L2120" s="803"/>
      <c r="M2120" s="803"/>
      <c r="N2120" s="803"/>
      <c r="O2120" s="2628" t="s">
        <v>6395</v>
      </c>
    </row>
    <row r="2121" spans="1:15" x14ac:dyDescent="0.3">
      <c r="A2121" s="104">
        <v>129</v>
      </c>
      <c r="B2121" s="313" t="s">
        <v>5597</v>
      </c>
      <c r="C2121" s="2951" t="s">
        <v>6265</v>
      </c>
      <c r="D2121" s="2952"/>
      <c r="E2121" s="2952"/>
      <c r="F2121" s="218" t="s">
        <v>5595</v>
      </c>
      <c r="G2121" s="192">
        <v>900</v>
      </c>
      <c r="H2121" s="1773" t="s">
        <v>41</v>
      </c>
      <c r="I2121" s="34"/>
      <c r="J2121" s="34"/>
      <c r="K2121" s="2233" t="s">
        <v>25</v>
      </c>
      <c r="L2121" s="803"/>
      <c r="M2121" s="803"/>
      <c r="N2121" s="803"/>
      <c r="O2121" s="2628" t="s">
        <v>6395</v>
      </c>
    </row>
    <row r="2122" spans="1:15" x14ac:dyDescent="0.3">
      <c r="A2122" s="104">
        <v>130</v>
      </c>
      <c r="B2122" s="313" t="s">
        <v>5597</v>
      </c>
      <c r="C2122" s="2951" t="s">
        <v>6264</v>
      </c>
      <c r="D2122" s="2952"/>
      <c r="E2122" s="2952"/>
      <c r="F2122" s="218" t="s">
        <v>5595</v>
      </c>
      <c r="G2122" s="192">
        <v>900</v>
      </c>
      <c r="H2122" s="1773" t="s">
        <v>41</v>
      </c>
      <c r="I2122" s="34"/>
      <c r="J2122" s="34"/>
      <c r="K2122" s="2233" t="s">
        <v>25</v>
      </c>
      <c r="L2122" s="803"/>
      <c r="M2122" s="803"/>
      <c r="N2122" s="803"/>
      <c r="O2122" s="2628" t="s">
        <v>6395</v>
      </c>
    </row>
    <row r="2123" spans="1:15" x14ac:dyDescent="0.3">
      <c r="A2123" s="104">
        <v>131</v>
      </c>
      <c r="B2123" s="313" t="s">
        <v>5597</v>
      </c>
      <c r="C2123" s="2951" t="s">
        <v>6263</v>
      </c>
      <c r="D2123" s="2952"/>
      <c r="E2123" s="2952"/>
      <c r="F2123" s="218" t="s">
        <v>5595</v>
      </c>
      <c r="G2123" s="192">
        <v>900</v>
      </c>
      <c r="H2123" s="1773" t="s">
        <v>41</v>
      </c>
      <c r="I2123" s="34"/>
      <c r="J2123" s="34"/>
      <c r="K2123" s="2233" t="s">
        <v>25</v>
      </c>
      <c r="L2123" s="803"/>
      <c r="M2123" s="803"/>
      <c r="N2123" s="803"/>
      <c r="O2123" s="2628" t="s">
        <v>6395</v>
      </c>
    </row>
    <row r="2124" spans="1:15" x14ac:dyDescent="0.3">
      <c r="A2124" s="104">
        <v>132</v>
      </c>
      <c r="B2124" s="313" t="s">
        <v>5597</v>
      </c>
      <c r="C2124" s="2951" t="s">
        <v>6262</v>
      </c>
      <c r="D2124" s="2952"/>
      <c r="E2124" s="2952"/>
      <c r="F2124" s="218" t="s">
        <v>5595</v>
      </c>
      <c r="G2124" s="192">
        <v>900</v>
      </c>
      <c r="H2124" s="1773" t="s">
        <v>41</v>
      </c>
      <c r="I2124" s="34"/>
      <c r="J2124" s="34"/>
      <c r="K2124" s="2233" t="s">
        <v>25</v>
      </c>
      <c r="L2124" s="803"/>
      <c r="M2124" s="803"/>
      <c r="N2124" s="803"/>
      <c r="O2124" s="2628" t="s">
        <v>6395</v>
      </c>
    </row>
    <row r="2125" spans="1:15" x14ac:dyDescent="0.3">
      <c r="A2125" s="104">
        <v>133</v>
      </c>
      <c r="B2125" s="313" t="s">
        <v>5597</v>
      </c>
      <c r="C2125" s="2951" t="s">
        <v>6261</v>
      </c>
      <c r="D2125" s="2952"/>
      <c r="E2125" s="2952"/>
      <c r="F2125" s="218" t="s">
        <v>5595</v>
      </c>
      <c r="G2125" s="192">
        <v>900</v>
      </c>
      <c r="H2125" s="1773" t="s">
        <v>41</v>
      </c>
      <c r="I2125" s="34"/>
      <c r="J2125" s="34"/>
      <c r="K2125" s="2233" t="s">
        <v>25</v>
      </c>
      <c r="L2125" s="803"/>
      <c r="M2125" s="803"/>
      <c r="N2125" s="803"/>
      <c r="O2125" s="2628" t="s">
        <v>6395</v>
      </c>
    </row>
    <row r="2126" spans="1:15" x14ac:dyDescent="0.3">
      <c r="A2126" s="104">
        <v>134</v>
      </c>
      <c r="B2126" s="313" t="s">
        <v>5597</v>
      </c>
      <c r="C2126" s="2951" t="s">
        <v>6260</v>
      </c>
      <c r="D2126" s="2952"/>
      <c r="E2126" s="2952"/>
      <c r="F2126" s="218" t="s">
        <v>5595</v>
      </c>
      <c r="G2126" s="192">
        <v>900</v>
      </c>
      <c r="H2126" s="1773" t="s">
        <v>41</v>
      </c>
      <c r="I2126" s="34"/>
      <c r="J2126" s="34"/>
      <c r="K2126" s="2233" t="s">
        <v>25</v>
      </c>
      <c r="L2126" s="803"/>
      <c r="M2126" s="803"/>
      <c r="N2126" s="803"/>
      <c r="O2126" s="2628" t="s">
        <v>6395</v>
      </c>
    </row>
    <row r="2127" spans="1:15" x14ac:dyDescent="0.3">
      <c r="A2127" s="104">
        <v>135</v>
      </c>
      <c r="B2127" s="313" t="s">
        <v>5597</v>
      </c>
      <c r="C2127" s="2951" t="s">
        <v>6259</v>
      </c>
      <c r="D2127" s="2952"/>
      <c r="E2127" s="2952"/>
      <c r="F2127" s="218" t="s">
        <v>5595</v>
      </c>
      <c r="G2127" s="192">
        <v>900</v>
      </c>
      <c r="H2127" s="1773" t="s">
        <v>41</v>
      </c>
      <c r="I2127" s="34"/>
      <c r="J2127" s="34"/>
      <c r="K2127" s="2233" t="s">
        <v>25</v>
      </c>
      <c r="L2127" s="803"/>
      <c r="M2127" s="803"/>
      <c r="N2127" s="803"/>
      <c r="O2127" s="2628" t="s">
        <v>6395</v>
      </c>
    </row>
    <row r="2128" spans="1:15" x14ac:dyDescent="0.3">
      <c r="A2128" s="104">
        <v>136</v>
      </c>
      <c r="B2128" s="313" t="s">
        <v>5597</v>
      </c>
      <c r="C2128" s="2951" t="s">
        <v>6258</v>
      </c>
      <c r="D2128" s="2952"/>
      <c r="E2128" s="2952"/>
      <c r="F2128" s="218" t="s">
        <v>5595</v>
      </c>
      <c r="G2128" s="192">
        <v>900</v>
      </c>
      <c r="H2128" s="1773" t="s">
        <v>41</v>
      </c>
      <c r="I2128" s="34"/>
      <c r="J2128" s="34"/>
      <c r="K2128" s="2233" t="s">
        <v>25</v>
      </c>
      <c r="L2128" s="803"/>
      <c r="M2128" s="803"/>
      <c r="N2128" s="803"/>
      <c r="O2128" s="2628" t="s">
        <v>6395</v>
      </c>
    </row>
    <row r="2129" spans="1:15" x14ac:dyDescent="0.3">
      <c r="A2129" s="104">
        <v>137</v>
      </c>
      <c r="B2129" s="313" t="s">
        <v>5597</v>
      </c>
      <c r="C2129" s="2951" t="s">
        <v>6257</v>
      </c>
      <c r="D2129" s="2952"/>
      <c r="E2129" s="2952"/>
      <c r="F2129" s="218" t="s">
        <v>5595</v>
      </c>
      <c r="G2129" s="192">
        <v>900</v>
      </c>
      <c r="H2129" s="1773" t="s">
        <v>41</v>
      </c>
      <c r="I2129" s="34"/>
      <c r="J2129" s="34"/>
      <c r="K2129" s="2233" t="s">
        <v>25</v>
      </c>
      <c r="L2129" s="803"/>
      <c r="M2129" s="803"/>
      <c r="N2129" s="803"/>
      <c r="O2129" s="2628" t="s">
        <v>6395</v>
      </c>
    </row>
    <row r="2130" spans="1:15" x14ac:dyDescent="0.3">
      <c r="A2130" s="104">
        <v>138</v>
      </c>
      <c r="B2130" s="313" t="s">
        <v>5597</v>
      </c>
      <c r="C2130" s="2951" t="s">
        <v>6256</v>
      </c>
      <c r="D2130" s="2952"/>
      <c r="E2130" s="2952"/>
      <c r="F2130" s="218" t="s">
        <v>5595</v>
      </c>
      <c r="G2130" s="192">
        <v>900</v>
      </c>
      <c r="H2130" s="1773" t="s">
        <v>41</v>
      </c>
      <c r="I2130" s="34"/>
      <c r="J2130" s="34"/>
      <c r="K2130" s="2233" t="s">
        <v>25</v>
      </c>
      <c r="L2130" s="803"/>
      <c r="M2130" s="803"/>
      <c r="N2130" s="803"/>
      <c r="O2130" s="2628" t="s">
        <v>6395</v>
      </c>
    </row>
    <row r="2131" spans="1:15" x14ac:dyDescent="0.3">
      <c r="A2131" s="104">
        <v>139</v>
      </c>
      <c r="B2131" s="313" t="s">
        <v>5597</v>
      </c>
      <c r="C2131" s="2951" t="s">
        <v>6255</v>
      </c>
      <c r="D2131" s="2952"/>
      <c r="E2131" s="2952"/>
      <c r="F2131" s="218" t="s">
        <v>5595</v>
      </c>
      <c r="G2131" s="192">
        <v>900</v>
      </c>
      <c r="H2131" s="1773" t="s">
        <v>41</v>
      </c>
      <c r="I2131" s="34"/>
      <c r="J2131" s="34"/>
      <c r="K2131" s="2233" t="s">
        <v>25</v>
      </c>
      <c r="L2131" s="803"/>
      <c r="M2131" s="803"/>
      <c r="N2131" s="803"/>
      <c r="O2131" s="2628" t="s">
        <v>6395</v>
      </c>
    </row>
    <row r="2132" spans="1:15" x14ac:dyDescent="0.3">
      <c r="A2132" s="104">
        <v>140</v>
      </c>
      <c r="B2132" s="313" t="s">
        <v>5597</v>
      </c>
      <c r="C2132" s="2951" t="s">
        <v>6254</v>
      </c>
      <c r="D2132" s="2952"/>
      <c r="E2132" s="2952"/>
      <c r="F2132" s="218" t="s">
        <v>5595</v>
      </c>
      <c r="G2132" s="192">
        <v>900</v>
      </c>
      <c r="H2132" s="1773" t="s">
        <v>41</v>
      </c>
      <c r="I2132" s="34"/>
      <c r="J2132" s="34"/>
      <c r="K2132" s="2233" t="s">
        <v>25</v>
      </c>
      <c r="L2132" s="803"/>
      <c r="M2132" s="803"/>
      <c r="N2132" s="803"/>
      <c r="O2132" s="2628" t="s">
        <v>6395</v>
      </c>
    </row>
    <row r="2133" spans="1:15" x14ac:dyDescent="0.3">
      <c r="A2133" s="104">
        <v>141</v>
      </c>
      <c r="B2133" s="313" t="s">
        <v>5597</v>
      </c>
      <c r="C2133" s="2951" t="s">
        <v>6253</v>
      </c>
      <c r="D2133" s="2952"/>
      <c r="E2133" s="2952"/>
      <c r="F2133" s="218" t="s">
        <v>5595</v>
      </c>
      <c r="G2133" s="192">
        <v>900</v>
      </c>
      <c r="H2133" s="1773" t="s">
        <v>41</v>
      </c>
      <c r="I2133" s="34"/>
      <c r="J2133" s="34"/>
      <c r="K2133" s="2233" t="s">
        <v>25</v>
      </c>
      <c r="L2133" s="803"/>
      <c r="M2133" s="803"/>
      <c r="N2133" s="803"/>
      <c r="O2133" s="2628" t="s">
        <v>6395</v>
      </c>
    </row>
    <row r="2134" spans="1:15" x14ac:dyDescent="0.3">
      <c r="A2134" s="104">
        <v>142</v>
      </c>
      <c r="B2134" s="313" t="s">
        <v>5597</v>
      </c>
      <c r="C2134" s="2951" t="s">
        <v>6252</v>
      </c>
      <c r="D2134" s="2952"/>
      <c r="E2134" s="2952"/>
      <c r="F2134" s="218" t="s">
        <v>5595</v>
      </c>
      <c r="G2134" s="192">
        <v>900</v>
      </c>
      <c r="H2134" s="1773" t="s">
        <v>41</v>
      </c>
      <c r="I2134" s="34"/>
      <c r="J2134" s="34"/>
      <c r="K2134" s="2233" t="s">
        <v>25</v>
      </c>
      <c r="L2134" s="224"/>
      <c r="M2134" s="224"/>
      <c r="N2134" s="224"/>
      <c r="O2134" s="2628" t="s">
        <v>6395</v>
      </c>
    </row>
    <row r="2135" spans="1:15" x14ac:dyDescent="0.3">
      <c r="A2135" s="104">
        <v>143</v>
      </c>
      <c r="B2135" s="313" t="s">
        <v>5597</v>
      </c>
      <c r="C2135" s="2951" t="s">
        <v>6251</v>
      </c>
      <c r="D2135" s="2952"/>
      <c r="E2135" s="2952"/>
      <c r="F2135" s="218" t="s">
        <v>5595</v>
      </c>
      <c r="G2135" s="192">
        <v>900</v>
      </c>
      <c r="H2135" s="1773" t="s">
        <v>41</v>
      </c>
      <c r="I2135" s="34"/>
      <c r="J2135" s="34"/>
      <c r="K2135" s="2233" t="s">
        <v>25</v>
      </c>
      <c r="L2135" s="224"/>
      <c r="M2135" s="224"/>
      <c r="N2135" s="224"/>
      <c r="O2135" s="2628" t="s">
        <v>6395</v>
      </c>
    </row>
    <row r="2136" spans="1:15" x14ac:dyDescent="0.3">
      <c r="A2136" s="104">
        <v>144</v>
      </c>
      <c r="B2136" s="313" t="s">
        <v>5597</v>
      </c>
      <c r="C2136" s="2951" t="s">
        <v>6250</v>
      </c>
      <c r="D2136" s="2952"/>
      <c r="E2136" s="2952"/>
      <c r="F2136" s="218" t="s">
        <v>5595</v>
      </c>
      <c r="G2136" s="192">
        <v>900</v>
      </c>
      <c r="H2136" s="1773" t="s">
        <v>41</v>
      </c>
      <c r="I2136" s="34"/>
      <c r="J2136" s="34"/>
      <c r="K2136" s="2233" t="s">
        <v>25</v>
      </c>
      <c r="L2136" s="224"/>
      <c r="M2136" s="224"/>
      <c r="N2136" s="224"/>
      <c r="O2136" s="2628" t="s">
        <v>6395</v>
      </c>
    </row>
    <row r="2137" spans="1:15" x14ac:dyDescent="0.3">
      <c r="A2137" s="104">
        <v>145</v>
      </c>
      <c r="B2137" s="313" t="s">
        <v>5597</v>
      </c>
      <c r="C2137" s="2951" t="s">
        <v>6249</v>
      </c>
      <c r="D2137" s="2952"/>
      <c r="E2137" s="2952"/>
      <c r="F2137" s="218" t="s">
        <v>5595</v>
      </c>
      <c r="G2137" s="192">
        <v>900</v>
      </c>
      <c r="H2137" s="1773" t="s">
        <v>41</v>
      </c>
      <c r="I2137" s="34"/>
      <c r="J2137" s="34"/>
      <c r="K2137" s="2233" t="s">
        <v>25</v>
      </c>
      <c r="L2137" s="224"/>
      <c r="M2137" s="224"/>
      <c r="N2137" s="224"/>
      <c r="O2137" s="2628" t="s">
        <v>6395</v>
      </c>
    </row>
    <row r="2138" spans="1:15" x14ac:dyDescent="0.3">
      <c r="A2138" s="104">
        <v>146</v>
      </c>
      <c r="B2138" s="313" t="s">
        <v>5597</v>
      </c>
      <c r="C2138" s="2951" t="s">
        <v>6248</v>
      </c>
      <c r="D2138" s="2952"/>
      <c r="E2138" s="2952"/>
      <c r="F2138" s="218" t="s">
        <v>5595</v>
      </c>
      <c r="G2138" s="192">
        <v>900</v>
      </c>
      <c r="H2138" s="1773" t="s">
        <v>41</v>
      </c>
      <c r="I2138" s="34"/>
      <c r="J2138" s="34"/>
      <c r="K2138" s="2233" t="s">
        <v>25</v>
      </c>
      <c r="L2138" s="224"/>
      <c r="M2138" s="224"/>
      <c r="N2138" s="224"/>
      <c r="O2138" s="2628" t="s">
        <v>6395</v>
      </c>
    </row>
    <row r="2139" spans="1:15" x14ac:dyDescent="0.3">
      <c r="A2139" s="104">
        <v>147</v>
      </c>
      <c r="B2139" s="313" t="s">
        <v>5597</v>
      </c>
      <c r="C2139" s="2951" t="s">
        <v>6247</v>
      </c>
      <c r="D2139" s="2952"/>
      <c r="E2139" s="2952"/>
      <c r="F2139" s="218" t="s">
        <v>5595</v>
      </c>
      <c r="G2139" s="192">
        <v>900</v>
      </c>
      <c r="H2139" s="1773" t="s">
        <v>41</v>
      </c>
      <c r="I2139" s="34"/>
      <c r="J2139" s="34"/>
      <c r="K2139" s="2233" t="s">
        <v>25</v>
      </c>
      <c r="L2139" s="224"/>
      <c r="M2139" s="224"/>
      <c r="N2139" s="224"/>
      <c r="O2139" s="2628" t="s">
        <v>6395</v>
      </c>
    </row>
    <row r="2140" spans="1:15" x14ac:dyDescent="0.3">
      <c r="A2140" s="104">
        <v>148</v>
      </c>
      <c r="B2140" s="313" t="s">
        <v>5597</v>
      </c>
      <c r="C2140" s="2951" t="s">
        <v>6246</v>
      </c>
      <c r="D2140" s="2952"/>
      <c r="E2140" s="2952"/>
      <c r="F2140" s="218" t="s">
        <v>5595</v>
      </c>
      <c r="G2140" s="192">
        <v>900</v>
      </c>
      <c r="H2140" s="1773" t="s">
        <v>41</v>
      </c>
      <c r="I2140" s="34"/>
      <c r="J2140" s="34"/>
      <c r="K2140" s="2233" t="s">
        <v>25</v>
      </c>
      <c r="L2140" s="224"/>
      <c r="M2140" s="224"/>
      <c r="N2140" s="224"/>
      <c r="O2140" s="2628" t="s">
        <v>6395</v>
      </c>
    </row>
    <row r="2141" spans="1:15" x14ac:dyDescent="0.3">
      <c r="A2141" s="104">
        <v>149</v>
      </c>
      <c r="B2141" s="313" t="s">
        <v>5597</v>
      </c>
      <c r="C2141" s="2951" t="s">
        <v>6245</v>
      </c>
      <c r="D2141" s="2952"/>
      <c r="E2141" s="2952"/>
      <c r="F2141" s="218" t="s">
        <v>5595</v>
      </c>
      <c r="G2141" s="192">
        <v>900</v>
      </c>
      <c r="H2141" s="1773" t="s">
        <v>41</v>
      </c>
      <c r="I2141" s="34"/>
      <c r="J2141" s="34"/>
      <c r="K2141" s="2233" t="s">
        <v>25</v>
      </c>
      <c r="L2141" s="224"/>
      <c r="M2141" s="224"/>
      <c r="N2141" s="224"/>
      <c r="O2141" s="2628" t="s">
        <v>6395</v>
      </c>
    </row>
    <row r="2142" spans="1:15" x14ac:dyDescent="0.3">
      <c r="A2142" s="104">
        <v>150</v>
      </c>
      <c r="B2142" s="313" t="s">
        <v>5597</v>
      </c>
      <c r="C2142" s="2951" t="s">
        <v>6244</v>
      </c>
      <c r="D2142" s="2952"/>
      <c r="E2142" s="2952"/>
      <c r="F2142" s="218" t="s">
        <v>5595</v>
      </c>
      <c r="G2142" s="192">
        <v>900</v>
      </c>
      <c r="H2142" s="1773" t="s">
        <v>41</v>
      </c>
      <c r="I2142" s="34"/>
      <c r="J2142" s="34"/>
      <c r="K2142" s="2233" t="s">
        <v>25</v>
      </c>
      <c r="L2142" s="224"/>
      <c r="M2142" s="224"/>
      <c r="N2142" s="224"/>
      <c r="O2142" s="2628" t="s">
        <v>6395</v>
      </c>
    </row>
    <row r="2143" spans="1:15" x14ac:dyDescent="0.3">
      <c r="A2143" s="104">
        <v>151</v>
      </c>
      <c r="B2143" s="313" t="s">
        <v>5597</v>
      </c>
      <c r="C2143" s="2951" t="s">
        <v>6243</v>
      </c>
      <c r="D2143" s="2952"/>
      <c r="E2143" s="2952"/>
      <c r="F2143" s="218" t="s">
        <v>5595</v>
      </c>
      <c r="G2143" s="192">
        <v>900</v>
      </c>
      <c r="H2143" s="1773" t="s">
        <v>41</v>
      </c>
      <c r="I2143" s="34"/>
      <c r="J2143" s="34"/>
      <c r="K2143" s="2233" t="s">
        <v>25</v>
      </c>
      <c r="L2143" s="224"/>
      <c r="M2143" s="224"/>
      <c r="N2143" s="224"/>
      <c r="O2143" s="2628" t="s">
        <v>6395</v>
      </c>
    </row>
    <row r="2144" spans="1:15" x14ac:dyDescent="0.3">
      <c r="A2144" s="104">
        <v>152</v>
      </c>
      <c r="B2144" s="313" t="s">
        <v>5597</v>
      </c>
      <c r="C2144" s="2951" t="s">
        <v>6242</v>
      </c>
      <c r="D2144" s="2952"/>
      <c r="E2144" s="2952"/>
      <c r="F2144" s="218" t="s">
        <v>5595</v>
      </c>
      <c r="G2144" s="192">
        <v>900</v>
      </c>
      <c r="H2144" s="1773" t="s">
        <v>41</v>
      </c>
      <c r="I2144" s="34"/>
      <c r="J2144" s="34"/>
      <c r="K2144" s="2233" t="s">
        <v>25</v>
      </c>
      <c r="L2144" s="147"/>
      <c r="M2144" s="803"/>
      <c r="N2144" s="803"/>
      <c r="O2144" s="2628" t="s">
        <v>6395</v>
      </c>
    </row>
    <row r="2145" spans="1:15" x14ac:dyDescent="0.3">
      <c r="A2145" s="104">
        <v>153</v>
      </c>
      <c r="B2145" s="313" t="s">
        <v>5597</v>
      </c>
      <c r="C2145" s="2951" t="s">
        <v>6241</v>
      </c>
      <c r="D2145" s="2952"/>
      <c r="E2145" s="2952"/>
      <c r="F2145" s="218" t="s">
        <v>5595</v>
      </c>
      <c r="G2145" s="192">
        <v>900</v>
      </c>
      <c r="H2145" s="1773" t="s">
        <v>41</v>
      </c>
      <c r="I2145" s="34"/>
      <c r="J2145" s="34"/>
      <c r="K2145" s="2233" t="s">
        <v>25</v>
      </c>
      <c r="L2145" s="147"/>
      <c r="M2145" s="803"/>
      <c r="N2145" s="803"/>
      <c r="O2145" s="2628" t="s">
        <v>6395</v>
      </c>
    </row>
    <row r="2146" spans="1:15" x14ac:dyDescent="0.3">
      <c r="A2146" s="104">
        <v>154</v>
      </c>
      <c r="B2146" s="313" t="s">
        <v>5597</v>
      </c>
      <c r="C2146" s="2951" t="s">
        <v>6240</v>
      </c>
      <c r="D2146" s="2952"/>
      <c r="E2146" s="2952"/>
      <c r="F2146" s="218" t="s">
        <v>5595</v>
      </c>
      <c r="G2146" s="192">
        <v>900</v>
      </c>
      <c r="H2146" s="1773" t="s">
        <v>41</v>
      </c>
      <c r="I2146" s="34"/>
      <c r="J2146" s="34"/>
      <c r="K2146" s="2233" t="s">
        <v>25</v>
      </c>
      <c r="L2146" s="147"/>
      <c r="M2146" s="803"/>
      <c r="N2146" s="803"/>
      <c r="O2146" s="2628" t="s">
        <v>6395</v>
      </c>
    </row>
    <row r="2147" spans="1:15" x14ac:dyDescent="0.3">
      <c r="A2147" s="104">
        <v>155</v>
      </c>
      <c r="B2147" s="313" t="s">
        <v>5597</v>
      </c>
      <c r="C2147" s="2951" t="s">
        <v>6239</v>
      </c>
      <c r="D2147" s="2952"/>
      <c r="E2147" s="2952"/>
      <c r="F2147" s="218" t="s">
        <v>5595</v>
      </c>
      <c r="G2147" s="192">
        <v>900</v>
      </c>
      <c r="H2147" s="1773" t="s">
        <v>41</v>
      </c>
      <c r="I2147" s="34"/>
      <c r="J2147" s="34"/>
      <c r="K2147" s="2233" t="s">
        <v>25</v>
      </c>
      <c r="L2147" s="147"/>
      <c r="M2147" s="803"/>
      <c r="N2147" s="803"/>
      <c r="O2147" s="2628" t="s">
        <v>6395</v>
      </c>
    </row>
    <row r="2148" spans="1:15" x14ac:dyDescent="0.3">
      <c r="A2148" s="104">
        <v>156</v>
      </c>
      <c r="B2148" s="313" t="s">
        <v>5597</v>
      </c>
      <c r="C2148" s="2951" t="s">
        <v>6238</v>
      </c>
      <c r="D2148" s="2952"/>
      <c r="E2148" s="2952"/>
      <c r="F2148" s="218" t="s">
        <v>5595</v>
      </c>
      <c r="G2148" s="192">
        <v>900</v>
      </c>
      <c r="H2148" s="1773" t="s">
        <v>41</v>
      </c>
      <c r="I2148" s="34"/>
      <c r="J2148" s="34"/>
      <c r="K2148" s="2233" t="s">
        <v>25</v>
      </c>
      <c r="L2148" s="147"/>
      <c r="M2148" s="803"/>
      <c r="N2148" s="803"/>
      <c r="O2148" s="2628" t="s">
        <v>6395</v>
      </c>
    </row>
    <row r="2149" spans="1:15" x14ac:dyDescent="0.3">
      <c r="A2149" s="104">
        <v>157</v>
      </c>
      <c r="B2149" s="313" t="s">
        <v>5597</v>
      </c>
      <c r="C2149" s="2951" t="s">
        <v>6237</v>
      </c>
      <c r="D2149" s="2952"/>
      <c r="E2149" s="2952"/>
      <c r="F2149" s="218" t="s">
        <v>5595</v>
      </c>
      <c r="G2149" s="192">
        <v>900</v>
      </c>
      <c r="H2149" s="1773" t="s">
        <v>41</v>
      </c>
      <c r="I2149" s="34"/>
      <c r="J2149" s="34"/>
      <c r="K2149" s="2233" t="s">
        <v>25</v>
      </c>
      <c r="L2149" s="147"/>
      <c r="M2149" s="803"/>
      <c r="N2149" s="803"/>
      <c r="O2149" s="2628" t="s">
        <v>6395</v>
      </c>
    </row>
    <row r="2150" spans="1:15" x14ac:dyDescent="0.3">
      <c r="A2150" s="104">
        <v>158</v>
      </c>
      <c r="B2150" s="313" t="s">
        <v>5597</v>
      </c>
      <c r="C2150" s="2951" t="s">
        <v>6236</v>
      </c>
      <c r="D2150" s="2952"/>
      <c r="E2150" s="2952"/>
      <c r="F2150" s="218" t="s">
        <v>5595</v>
      </c>
      <c r="G2150" s="192">
        <v>900</v>
      </c>
      <c r="H2150" s="1773" t="s">
        <v>41</v>
      </c>
      <c r="I2150" s="34"/>
      <c r="J2150" s="34"/>
      <c r="K2150" s="2233" t="s">
        <v>25</v>
      </c>
      <c r="L2150" s="147"/>
      <c r="M2150" s="803"/>
      <c r="N2150" s="803"/>
      <c r="O2150" s="2628" t="s">
        <v>6395</v>
      </c>
    </row>
    <row r="2151" spans="1:15" ht="17.399999999999999" x14ac:dyDescent="0.45">
      <c r="A2151" s="2714"/>
      <c r="B2151" s="2663"/>
      <c r="C2151" s="75"/>
      <c r="D2151" s="75"/>
      <c r="E2151" s="75"/>
      <c r="F2151" s="452"/>
      <c r="G2151" s="2709">
        <f>SUM(G1993:G2150)</f>
        <v>136300</v>
      </c>
      <c r="H2151" s="2708"/>
      <c r="I2151" s="1427"/>
      <c r="J2151" s="1427"/>
      <c r="K2151" s="2677"/>
      <c r="L2151" s="1428"/>
      <c r="M2151" s="2706"/>
      <c r="N2151" s="2706"/>
      <c r="O2151" s="2707"/>
    </row>
    <row r="2152" spans="1:15" ht="17.399999999999999" x14ac:dyDescent="0.45">
      <c r="A2152" s="363"/>
      <c r="B2152" s="2619"/>
      <c r="C2152" s="326"/>
      <c r="D2152" s="326"/>
      <c r="E2152" s="326"/>
      <c r="F2152" s="793"/>
      <c r="G2152" s="2703"/>
      <c r="H2152" s="2704"/>
      <c r="I2152" s="2611"/>
      <c r="J2152" s="2611"/>
      <c r="K2152" s="2615"/>
      <c r="L2152" s="1259"/>
      <c r="M2152" s="1511"/>
      <c r="N2152" s="1511"/>
      <c r="O2152" s="2705"/>
    </row>
    <row r="2153" spans="1:15" x14ac:dyDescent="0.3">
      <c r="A2153" s="179">
        <v>401</v>
      </c>
      <c r="B2153" s="1934" t="s">
        <v>6136</v>
      </c>
      <c r="C2153" s="186"/>
      <c r="D2153" s="440"/>
      <c r="E2153" s="1244"/>
      <c r="F2153" s="1933"/>
    </row>
    <row r="2154" spans="1:15" x14ac:dyDescent="0.3">
      <c r="A2154" s="104">
        <v>1</v>
      </c>
      <c r="B2154" s="219" t="s">
        <v>5501</v>
      </c>
      <c r="C2154" s="2892" t="s">
        <v>6235</v>
      </c>
      <c r="D2154" s="2893"/>
      <c r="E2154" s="2893"/>
      <c r="F2154" s="218" t="s">
        <v>5499</v>
      </c>
      <c r="G2154" s="192">
        <v>250</v>
      </c>
      <c r="H2154" s="1773" t="s">
        <v>41</v>
      </c>
      <c r="I2154" s="34"/>
      <c r="J2154" s="34"/>
      <c r="K2154" s="147" t="s">
        <v>25</v>
      </c>
      <c r="L2154" s="147"/>
      <c r="M2154" s="803"/>
      <c r="N2154" s="803"/>
      <c r="O2154" s="2628" t="s">
        <v>6395</v>
      </c>
    </row>
    <row r="2155" spans="1:15" x14ac:dyDescent="0.3">
      <c r="A2155" s="104">
        <v>2</v>
      </c>
      <c r="B2155" s="219" t="s">
        <v>5501</v>
      </c>
      <c r="C2155" s="2892" t="s">
        <v>6234</v>
      </c>
      <c r="D2155" s="2893"/>
      <c r="E2155" s="2893"/>
      <c r="F2155" s="218" t="s">
        <v>5499</v>
      </c>
      <c r="G2155" s="192">
        <v>250</v>
      </c>
      <c r="H2155" s="1773" t="s">
        <v>41</v>
      </c>
      <c r="I2155" s="34"/>
      <c r="J2155" s="34"/>
      <c r="K2155" s="147" t="s">
        <v>25</v>
      </c>
      <c r="L2155" s="147"/>
      <c r="M2155" s="803"/>
      <c r="N2155" s="803"/>
      <c r="O2155" s="2628" t="s">
        <v>6395</v>
      </c>
    </row>
    <row r="2156" spans="1:15" x14ac:dyDescent="0.3">
      <c r="A2156" s="104">
        <v>3</v>
      </c>
      <c r="B2156" s="219" t="s">
        <v>5501</v>
      </c>
      <c r="C2156" s="2892" t="s">
        <v>6233</v>
      </c>
      <c r="D2156" s="2893"/>
      <c r="E2156" s="2893"/>
      <c r="F2156" s="218" t="s">
        <v>5499</v>
      </c>
      <c r="G2156" s="192">
        <v>250</v>
      </c>
      <c r="H2156" s="1773" t="s">
        <v>41</v>
      </c>
      <c r="I2156" s="34"/>
      <c r="J2156" s="34"/>
      <c r="K2156" s="147" t="s">
        <v>25</v>
      </c>
      <c r="L2156" s="147"/>
      <c r="M2156" s="803"/>
      <c r="N2156" s="803"/>
      <c r="O2156" s="2628" t="s">
        <v>6395</v>
      </c>
    </row>
    <row r="2157" spans="1:15" x14ac:dyDescent="0.3">
      <c r="A2157" s="104">
        <v>4</v>
      </c>
      <c r="B2157" s="219" t="s">
        <v>5501</v>
      </c>
      <c r="C2157" s="2892" t="s">
        <v>6232</v>
      </c>
      <c r="D2157" s="2893"/>
      <c r="E2157" s="2893"/>
      <c r="F2157" s="218" t="s">
        <v>5499</v>
      </c>
      <c r="G2157" s="192">
        <v>250</v>
      </c>
      <c r="H2157" s="1773" t="s">
        <v>41</v>
      </c>
      <c r="I2157" s="34"/>
      <c r="J2157" s="34"/>
      <c r="K2157" s="147" t="s">
        <v>25</v>
      </c>
      <c r="L2157" s="147"/>
      <c r="M2157" s="803"/>
      <c r="N2157" s="803"/>
      <c r="O2157" s="2628" t="s">
        <v>6395</v>
      </c>
    </row>
    <row r="2158" spans="1:15" x14ac:dyDescent="0.3">
      <c r="A2158" s="104">
        <v>5</v>
      </c>
      <c r="B2158" s="219" t="s">
        <v>5501</v>
      </c>
      <c r="C2158" s="2892" t="s">
        <v>6231</v>
      </c>
      <c r="D2158" s="2893"/>
      <c r="E2158" s="2893"/>
      <c r="F2158" s="218" t="s">
        <v>5499</v>
      </c>
      <c r="G2158" s="192">
        <v>250</v>
      </c>
      <c r="H2158" s="1773" t="s">
        <v>41</v>
      </c>
      <c r="I2158" s="34"/>
      <c r="J2158" s="34"/>
      <c r="K2158" s="147" t="s">
        <v>25</v>
      </c>
      <c r="L2158" s="147"/>
      <c r="M2158" s="803"/>
      <c r="N2158" s="803"/>
      <c r="O2158" s="2628" t="s">
        <v>6395</v>
      </c>
    </row>
    <row r="2159" spans="1:15" x14ac:dyDescent="0.3">
      <c r="A2159" s="104">
        <v>6</v>
      </c>
      <c r="B2159" s="219" t="s">
        <v>5501</v>
      </c>
      <c r="C2159" s="2892" t="s">
        <v>6230</v>
      </c>
      <c r="D2159" s="2893"/>
      <c r="E2159" s="2893"/>
      <c r="F2159" s="218" t="s">
        <v>5499</v>
      </c>
      <c r="G2159" s="192">
        <v>250</v>
      </c>
      <c r="H2159" s="1773" t="s">
        <v>41</v>
      </c>
      <c r="I2159" s="34"/>
      <c r="J2159" s="34"/>
      <c r="K2159" s="147" t="s">
        <v>25</v>
      </c>
      <c r="L2159" s="147"/>
      <c r="M2159" s="803"/>
      <c r="N2159" s="803"/>
      <c r="O2159" s="2628" t="s">
        <v>6395</v>
      </c>
    </row>
    <row r="2160" spans="1:15" x14ac:dyDescent="0.3">
      <c r="A2160" s="104">
        <v>7</v>
      </c>
      <c r="B2160" s="219" t="s">
        <v>5501</v>
      </c>
      <c r="C2160" s="2892" t="s">
        <v>6229</v>
      </c>
      <c r="D2160" s="2893"/>
      <c r="E2160" s="2893"/>
      <c r="F2160" s="218" t="s">
        <v>5499</v>
      </c>
      <c r="G2160" s="192">
        <v>250</v>
      </c>
      <c r="H2160" s="1773" t="s">
        <v>41</v>
      </c>
      <c r="I2160" s="34"/>
      <c r="J2160" s="34"/>
      <c r="K2160" s="147" t="s">
        <v>25</v>
      </c>
      <c r="L2160" s="147"/>
      <c r="M2160" s="803"/>
      <c r="N2160" s="803"/>
      <c r="O2160" s="2628" t="s">
        <v>6395</v>
      </c>
    </row>
    <row r="2161" spans="1:15" x14ac:dyDescent="0.3">
      <c r="A2161" s="104">
        <v>8</v>
      </c>
      <c r="B2161" s="219" t="s">
        <v>5501</v>
      </c>
      <c r="C2161" s="2892" t="s">
        <v>6228</v>
      </c>
      <c r="D2161" s="2893"/>
      <c r="E2161" s="2893"/>
      <c r="F2161" s="218" t="s">
        <v>5499</v>
      </c>
      <c r="G2161" s="192">
        <v>250</v>
      </c>
      <c r="H2161" s="1773" t="s">
        <v>41</v>
      </c>
      <c r="I2161" s="34"/>
      <c r="J2161" s="34"/>
      <c r="K2161" s="147" t="s">
        <v>25</v>
      </c>
      <c r="L2161" s="803"/>
      <c r="M2161" s="803"/>
      <c r="N2161" s="803"/>
      <c r="O2161" s="2628" t="s">
        <v>6395</v>
      </c>
    </row>
    <row r="2162" spans="1:15" x14ac:dyDescent="0.3">
      <c r="A2162" s="104">
        <v>9</v>
      </c>
      <c r="B2162" s="219" t="s">
        <v>5501</v>
      </c>
      <c r="C2162" s="2892" t="s">
        <v>6227</v>
      </c>
      <c r="D2162" s="2893"/>
      <c r="E2162" s="2893"/>
      <c r="F2162" s="218" t="s">
        <v>5499</v>
      </c>
      <c r="G2162" s="192">
        <v>250</v>
      </c>
      <c r="H2162" s="1773" t="s">
        <v>41</v>
      </c>
      <c r="I2162" s="34"/>
      <c r="J2162" s="34"/>
      <c r="K2162" s="147" t="s">
        <v>25</v>
      </c>
      <c r="L2162" s="803"/>
      <c r="M2162" s="803"/>
      <c r="N2162" s="803"/>
      <c r="O2162" s="2628" t="s">
        <v>6395</v>
      </c>
    </row>
    <row r="2163" spans="1:15" x14ac:dyDescent="0.3">
      <c r="A2163" s="104">
        <v>10</v>
      </c>
      <c r="B2163" s="219" t="s">
        <v>5501</v>
      </c>
      <c r="C2163" s="2892" t="s">
        <v>6226</v>
      </c>
      <c r="D2163" s="2893"/>
      <c r="E2163" s="2893"/>
      <c r="F2163" s="218" t="s">
        <v>5499</v>
      </c>
      <c r="G2163" s="192">
        <v>250</v>
      </c>
      <c r="H2163" s="1773" t="s">
        <v>41</v>
      </c>
      <c r="I2163" s="34"/>
      <c r="J2163" s="34"/>
      <c r="K2163" s="147" t="s">
        <v>25</v>
      </c>
      <c r="L2163" s="803"/>
      <c r="M2163" s="803"/>
      <c r="N2163" s="803"/>
      <c r="O2163" s="2628" t="s">
        <v>6395</v>
      </c>
    </row>
    <row r="2164" spans="1:15" x14ac:dyDescent="0.3">
      <c r="A2164" s="104">
        <v>11</v>
      </c>
      <c r="B2164" s="219" t="s">
        <v>5501</v>
      </c>
      <c r="C2164" s="2892" t="s">
        <v>6225</v>
      </c>
      <c r="D2164" s="2893"/>
      <c r="E2164" s="2893"/>
      <c r="F2164" s="218" t="s">
        <v>5499</v>
      </c>
      <c r="G2164" s="192">
        <v>250</v>
      </c>
      <c r="H2164" s="1773" t="s">
        <v>41</v>
      </c>
      <c r="I2164" s="34"/>
      <c r="J2164" s="34"/>
      <c r="K2164" s="147" t="s">
        <v>25</v>
      </c>
      <c r="L2164" s="803"/>
      <c r="M2164" s="803"/>
      <c r="N2164" s="803"/>
      <c r="O2164" s="2628" t="s">
        <v>6395</v>
      </c>
    </row>
    <row r="2165" spans="1:15" x14ac:dyDescent="0.3">
      <c r="A2165" s="104">
        <v>12</v>
      </c>
      <c r="B2165" s="219" t="s">
        <v>5501</v>
      </c>
      <c r="C2165" s="2892" t="s">
        <v>6224</v>
      </c>
      <c r="D2165" s="2893"/>
      <c r="E2165" s="2893"/>
      <c r="F2165" s="218" t="s">
        <v>5499</v>
      </c>
      <c r="G2165" s="192">
        <v>250</v>
      </c>
      <c r="H2165" s="1773" t="s">
        <v>41</v>
      </c>
      <c r="I2165" s="34"/>
      <c r="J2165" s="34"/>
      <c r="K2165" s="147" t="s">
        <v>25</v>
      </c>
      <c r="L2165" s="803"/>
      <c r="M2165" s="803"/>
      <c r="N2165" s="803"/>
      <c r="O2165" s="2628" t="s">
        <v>6395</v>
      </c>
    </row>
    <row r="2166" spans="1:15" x14ac:dyDescent="0.3">
      <c r="A2166" s="104">
        <v>13</v>
      </c>
      <c r="B2166" s="219" t="s">
        <v>5501</v>
      </c>
      <c r="C2166" s="2892" t="s">
        <v>6223</v>
      </c>
      <c r="D2166" s="2893"/>
      <c r="E2166" s="2893"/>
      <c r="F2166" s="218" t="s">
        <v>5499</v>
      </c>
      <c r="G2166" s="192">
        <v>250</v>
      </c>
      <c r="H2166" s="1773" t="s">
        <v>41</v>
      </c>
      <c r="I2166" s="34"/>
      <c r="J2166" s="34"/>
      <c r="K2166" s="147" t="s">
        <v>25</v>
      </c>
      <c r="L2166" s="803"/>
      <c r="M2166" s="803"/>
      <c r="N2166" s="803"/>
      <c r="O2166" s="2628" t="s">
        <v>6395</v>
      </c>
    </row>
    <row r="2167" spans="1:15" x14ac:dyDescent="0.3">
      <c r="A2167" s="104">
        <v>14</v>
      </c>
      <c r="B2167" s="219" t="s">
        <v>5501</v>
      </c>
      <c r="C2167" s="2892" t="s">
        <v>6222</v>
      </c>
      <c r="D2167" s="2893"/>
      <c r="E2167" s="2893"/>
      <c r="F2167" s="218" t="s">
        <v>5499</v>
      </c>
      <c r="G2167" s="192">
        <v>250</v>
      </c>
      <c r="H2167" s="1773" t="s">
        <v>41</v>
      </c>
      <c r="I2167" s="34"/>
      <c r="J2167" s="34"/>
      <c r="K2167" s="147" t="s">
        <v>25</v>
      </c>
      <c r="L2167" s="803"/>
      <c r="M2167" s="803"/>
      <c r="N2167" s="803"/>
      <c r="O2167" s="2628" t="s">
        <v>6395</v>
      </c>
    </row>
    <row r="2168" spans="1:15" x14ac:dyDescent="0.3">
      <c r="A2168" s="104">
        <v>15</v>
      </c>
      <c r="B2168" s="219" t="s">
        <v>5501</v>
      </c>
      <c r="C2168" s="2892" t="s">
        <v>6221</v>
      </c>
      <c r="D2168" s="2893"/>
      <c r="E2168" s="2893"/>
      <c r="F2168" s="218" t="s">
        <v>5499</v>
      </c>
      <c r="G2168" s="192">
        <v>250</v>
      </c>
      <c r="H2168" s="1773" t="s">
        <v>41</v>
      </c>
      <c r="I2168" s="34"/>
      <c r="J2168" s="34"/>
      <c r="K2168" s="147" t="s">
        <v>25</v>
      </c>
      <c r="L2168" s="803"/>
      <c r="M2168" s="803"/>
      <c r="N2168" s="803"/>
      <c r="O2168" s="2628" t="s">
        <v>6395</v>
      </c>
    </row>
    <row r="2169" spans="1:15" x14ac:dyDescent="0.3">
      <c r="A2169" s="104">
        <v>16</v>
      </c>
      <c r="B2169" s="219" t="s">
        <v>5501</v>
      </c>
      <c r="C2169" s="2892" t="s">
        <v>6220</v>
      </c>
      <c r="D2169" s="2893"/>
      <c r="E2169" s="2893"/>
      <c r="F2169" s="218" t="s">
        <v>5499</v>
      </c>
      <c r="G2169" s="192">
        <v>250</v>
      </c>
      <c r="H2169" s="1773" t="s">
        <v>41</v>
      </c>
      <c r="I2169" s="34"/>
      <c r="J2169" s="34"/>
      <c r="K2169" s="147" t="s">
        <v>25</v>
      </c>
      <c r="L2169" s="803"/>
      <c r="M2169" s="803"/>
      <c r="N2169" s="803"/>
      <c r="O2169" s="2628" t="s">
        <v>6395</v>
      </c>
    </row>
    <row r="2170" spans="1:15" x14ac:dyDescent="0.3">
      <c r="A2170" s="104">
        <v>17</v>
      </c>
      <c r="B2170" s="219" t="s">
        <v>5501</v>
      </c>
      <c r="C2170" s="2892" t="s">
        <v>6219</v>
      </c>
      <c r="D2170" s="2893"/>
      <c r="E2170" s="2893"/>
      <c r="F2170" s="218" t="s">
        <v>5499</v>
      </c>
      <c r="G2170" s="192">
        <v>250</v>
      </c>
      <c r="H2170" s="1773" t="s">
        <v>41</v>
      </c>
      <c r="I2170" s="34"/>
      <c r="J2170" s="34"/>
      <c r="K2170" s="147" t="s">
        <v>25</v>
      </c>
      <c r="L2170" s="803"/>
      <c r="M2170" s="803"/>
      <c r="N2170" s="803"/>
      <c r="O2170" s="2628" t="s">
        <v>6395</v>
      </c>
    </row>
    <row r="2171" spans="1:15" x14ac:dyDescent="0.3">
      <c r="A2171" s="104">
        <v>18</v>
      </c>
      <c r="B2171" s="219" t="s">
        <v>5501</v>
      </c>
      <c r="C2171" s="2892" t="s">
        <v>6218</v>
      </c>
      <c r="D2171" s="2893"/>
      <c r="E2171" s="2893"/>
      <c r="F2171" s="218" t="s">
        <v>5499</v>
      </c>
      <c r="G2171" s="192">
        <v>250</v>
      </c>
      <c r="H2171" s="1773" t="s">
        <v>41</v>
      </c>
      <c r="I2171" s="34"/>
      <c r="J2171" s="34"/>
      <c r="K2171" s="147" t="s">
        <v>25</v>
      </c>
      <c r="L2171" s="803"/>
      <c r="M2171" s="803"/>
      <c r="N2171" s="803"/>
      <c r="O2171" s="2628" t="s">
        <v>6395</v>
      </c>
    </row>
    <row r="2172" spans="1:15" x14ac:dyDescent="0.3">
      <c r="A2172" s="104">
        <v>19</v>
      </c>
      <c r="B2172" s="219" t="s">
        <v>5501</v>
      </c>
      <c r="C2172" s="2892" t="s">
        <v>6217</v>
      </c>
      <c r="D2172" s="2893"/>
      <c r="E2172" s="2893"/>
      <c r="F2172" s="218" t="s">
        <v>5499</v>
      </c>
      <c r="G2172" s="192">
        <v>250</v>
      </c>
      <c r="H2172" s="1773" t="s">
        <v>41</v>
      </c>
      <c r="I2172" s="34"/>
      <c r="J2172" s="34"/>
      <c r="K2172" s="147" t="s">
        <v>25</v>
      </c>
      <c r="L2172" s="803"/>
      <c r="M2172" s="803"/>
      <c r="N2172" s="803"/>
      <c r="O2172" s="2628" t="s">
        <v>6395</v>
      </c>
    </row>
    <row r="2173" spans="1:15" x14ac:dyDescent="0.3">
      <c r="A2173" s="104">
        <v>20</v>
      </c>
      <c r="B2173" s="219" t="s">
        <v>5501</v>
      </c>
      <c r="C2173" s="2892" t="s">
        <v>6216</v>
      </c>
      <c r="D2173" s="2893"/>
      <c r="E2173" s="2893"/>
      <c r="F2173" s="218" t="s">
        <v>5499</v>
      </c>
      <c r="G2173" s="192">
        <v>250</v>
      </c>
      <c r="H2173" s="1773" t="s">
        <v>41</v>
      </c>
      <c r="I2173" s="34"/>
      <c r="J2173" s="34"/>
      <c r="K2173" s="147" t="s">
        <v>25</v>
      </c>
      <c r="L2173" s="803"/>
      <c r="M2173" s="803"/>
      <c r="N2173" s="803"/>
      <c r="O2173" s="2628" t="s">
        <v>6395</v>
      </c>
    </row>
    <row r="2174" spans="1:15" x14ac:dyDescent="0.3">
      <c r="A2174" s="104">
        <v>21</v>
      </c>
      <c r="B2174" s="219" t="s">
        <v>5501</v>
      </c>
      <c r="C2174" s="2892" t="s">
        <v>6215</v>
      </c>
      <c r="D2174" s="2893"/>
      <c r="E2174" s="2893"/>
      <c r="F2174" s="218" t="s">
        <v>5499</v>
      </c>
      <c r="G2174" s="192">
        <v>250</v>
      </c>
      <c r="H2174" s="1773" t="s">
        <v>41</v>
      </c>
      <c r="I2174" s="34"/>
      <c r="J2174" s="34"/>
      <c r="K2174" s="147" t="s">
        <v>25</v>
      </c>
      <c r="L2174" s="803"/>
      <c r="M2174" s="803"/>
      <c r="N2174" s="803"/>
      <c r="O2174" s="2628" t="s">
        <v>6395</v>
      </c>
    </row>
    <row r="2175" spans="1:15" x14ac:dyDescent="0.3">
      <c r="A2175" s="104">
        <v>22</v>
      </c>
      <c r="B2175" s="219" t="s">
        <v>5501</v>
      </c>
      <c r="C2175" s="2892" t="s">
        <v>6214</v>
      </c>
      <c r="D2175" s="2893"/>
      <c r="E2175" s="2893"/>
      <c r="F2175" s="218" t="s">
        <v>5499</v>
      </c>
      <c r="G2175" s="192">
        <v>250</v>
      </c>
      <c r="H2175" s="1773" t="s">
        <v>41</v>
      </c>
      <c r="I2175" s="34"/>
      <c r="J2175" s="34"/>
      <c r="K2175" s="147" t="s">
        <v>25</v>
      </c>
      <c r="L2175" s="147"/>
      <c r="M2175" s="803"/>
      <c r="N2175" s="803"/>
      <c r="O2175" s="2628" t="s">
        <v>6395</v>
      </c>
    </row>
    <row r="2176" spans="1:15" x14ac:dyDescent="0.3">
      <c r="A2176" s="104">
        <v>23</v>
      </c>
      <c r="B2176" s="219" t="s">
        <v>5501</v>
      </c>
      <c r="C2176" s="2892" t="s">
        <v>6213</v>
      </c>
      <c r="D2176" s="2893"/>
      <c r="E2176" s="2893"/>
      <c r="F2176" s="218" t="s">
        <v>5499</v>
      </c>
      <c r="G2176" s="192">
        <v>250</v>
      </c>
      <c r="H2176" s="1773" t="s">
        <v>41</v>
      </c>
      <c r="I2176" s="34"/>
      <c r="J2176" s="34"/>
      <c r="K2176" s="147" t="s">
        <v>25</v>
      </c>
      <c r="L2176" s="147"/>
      <c r="M2176" s="803"/>
      <c r="N2176" s="803"/>
      <c r="O2176" s="2628" t="s">
        <v>6395</v>
      </c>
    </row>
    <row r="2177" spans="1:15" x14ac:dyDescent="0.3">
      <c r="A2177" s="104">
        <v>24</v>
      </c>
      <c r="B2177" s="219" t="s">
        <v>5501</v>
      </c>
      <c r="C2177" s="2892" t="s">
        <v>6212</v>
      </c>
      <c r="D2177" s="2893"/>
      <c r="E2177" s="2893"/>
      <c r="F2177" s="218" t="s">
        <v>5499</v>
      </c>
      <c r="G2177" s="192">
        <v>250</v>
      </c>
      <c r="H2177" s="1773" t="s">
        <v>41</v>
      </c>
      <c r="I2177" s="34"/>
      <c r="J2177" s="34"/>
      <c r="K2177" s="147" t="s">
        <v>25</v>
      </c>
      <c r="L2177" s="147"/>
      <c r="M2177" s="803"/>
      <c r="N2177" s="803"/>
      <c r="O2177" s="2628" t="s">
        <v>6395</v>
      </c>
    </row>
    <row r="2178" spans="1:15" x14ac:dyDescent="0.3">
      <c r="A2178" s="104">
        <v>25</v>
      </c>
      <c r="B2178" s="219" t="s">
        <v>5501</v>
      </c>
      <c r="C2178" s="2892" t="s">
        <v>6211</v>
      </c>
      <c r="D2178" s="2893"/>
      <c r="E2178" s="2893"/>
      <c r="F2178" s="218" t="s">
        <v>5499</v>
      </c>
      <c r="G2178" s="192">
        <v>250</v>
      </c>
      <c r="H2178" s="1773" t="s">
        <v>41</v>
      </c>
      <c r="I2178" s="34"/>
      <c r="J2178" s="34"/>
      <c r="K2178" s="147" t="s">
        <v>25</v>
      </c>
      <c r="L2178" s="147"/>
      <c r="M2178" s="803"/>
      <c r="N2178" s="803"/>
      <c r="O2178" s="2628" t="s">
        <v>6395</v>
      </c>
    </row>
    <row r="2179" spans="1:15" x14ac:dyDescent="0.3">
      <c r="A2179" s="104">
        <v>26</v>
      </c>
      <c r="B2179" s="219" t="s">
        <v>5501</v>
      </c>
      <c r="C2179" s="2892" t="s">
        <v>6210</v>
      </c>
      <c r="D2179" s="2893"/>
      <c r="E2179" s="2893"/>
      <c r="F2179" s="218" t="s">
        <v>5499</v>
      </c>
      <c r="G2179" s="192">
        <v>250</v>
      </c>
      <c r="H2179" s="1773" t="s">
        <v>41</v>
      </c>
      <c r="I2179" s="34"/>
      <c r="J2179" s="34"/>
      <c r="K2179" s="147" t="s">
        <v>25</v>
      </c>
      <c r="L2179" s="147"/>
      <c r="M2179" s="803"/>
      <c r="N2179" s="803"/>
      <c r="O2179" s="2628" t="s">
        <v>6395</v>
      </c>
    </row>
    <row r="2180" spans="1:15" x14ac:dyDescent="0.3">
      <c r="A2180" s="104">
        <v>27</v>
      </c>
      <c r="B2180" s="219" t="s">
        <v>5501</v>
      </c>
      <c r="C2180" s="2892" t="s">
        <v>6209</v>
      </c>
      <c r="D2180" s="2893"/>
      <c r="E2180" s="2893"/>
      <c r="F2180" s="218" t="s">
        <v>5499</v>
      </c>
      <c r="G2180" s="192">
        <v>250</v>
      </c>
      <c r="H2180" s="1773" t="s">
        <v>41</v>
      </c>
      <c r="I2180" s="34"/>
      <c r="J2180" s="34"/>
      <c r="K2180" s="147" t="s">
        <v>25</v>
      </c>
      <c r="L2180" s="147"/>
      <c r="M2180" s="803"/>
      <c r="N2180" s="803"/>
      <c r="O2180" s="2628" t="s">
        <v>6395</v>
      </c>
    </row>
    <row r="2181" spans="1:15" x14ac:dyDescent="0.3">
      <c r="A2181" s="104">
        <v>28</v>
      </c>
      <c r="B2181" s="219" t="s">
        <v>5501</v>
      </c>
      <c r="C2181" s="2892" t="s">
        <v>6208</v>
      </c>
      <c r="D2181" s="2893"/>
      <c r="E2181" s="2893"/>
      <c r="F2181" s="218" t="s">
        <v>5499</v>
      </c>
      <c r="G2181" s="192">
        <v>250</v>
      </c>
      <c r="H2181" s="1773" t="s">
        <v>41</v>
      </c>
      <c r="I2181" s="34"/>
      <c r="J2181" s="34"/>
      <c r="K2181" s="147" t="s">
        <v>25</v>
      </c>
      <c r="L2181" s="147"/>
      <c r="M2181" s="803"/>
      <c r="N2181" s="803"/>
      <c r="O2181" s="2628" t="s">
        <v>6395</v>
      </c>
    </row>
    <row r="2182" spans="1:15" x14ac:dyDescent="0.3">
      <c r="A2182" s="104">
        <v>29</v>
      </c>
      <c r="B2182" s="219" t="s">
        <v>5501</v>
      </c>
      <c r="C2182" s="2892" t="s">
        <v>6207</v>
      </c>
      <c r="D2182" s="2893"/>
      <c r="E2182" s="2893"/>
      <c r="F2182" s="218" t="s">
        <v>5499</v>
      </c>
      <c r="G2182" s="192">
        <v>250</v>
      </c>
      <c r="H2182" s="1773" t="s">
        <v>41</v>
      </c>
      <c r="I2182" s="34"/>
      <c r="J2182" s="34"/>
      <c r="K2182" s="147" t="s">
        <v>25</v>
      </c>
      <c r="L2182" s="803"/>
      <c r="M2182" s="803"/>
      <c r="N2182" s="803"/>
      <c r="O2182" s="2628" t="s">
        <v>6395</v>
      </c>
    </row>
    <row r="2183" spans="1:15" x14ac:dyDescent="0.3">
      <c r="A2183" s="104">
        <v>30</v>
      </c>
      <c r="B2183" s="219" t="s">
        <v>5501</v>
      </c>
      <c r="C2183" s="2892" t="s">
        <v>6206</v>
      </c>
      <c r="D2183" s="2893"/>
      <c r="E2183" s="2893"/>
      <c r="F2183" s="218" t="s">
        <v>5499</v>
      </c>
      <c r="G2183" s="192">
        <v>250</v>
      </c>
      <c r="H2183" s="1773" t="s">
        <v>41</v>
      </c>
      <c r="I2183" s="34"/>
      <c r="J2183" s="34"/>
      <c r="K2183" s="147" t="s">
        <v>25</v>
      </c>
      <c r="L2183" s="803"/>
      <c r="M2183" s="803"/>
      <c r="N2183" s="803"/>
      <c r="O2183" s="2628" t="s">
        <v>6395</v>
      </c>
    </row>
    <row r="2184" spans="1:15" x14ac:dyDescent="0.3">
      <c r="A2184" s="104">
        <v>31</v>
      </c>
      <c r="B2184" s="219" t="s">
        <v>5501</v>
      </c>
      <c r="C2184" s="2892" t="s">
        <v>6205</v>
      </c>
      <c r="D2184" s="2893"/>
      <c r="E2184" s="2893"/>
      <c r="F2184" s="218" t="s">
        <v>5499</v>
      </c>
      <c r="G2184" s="192">
        <v>250</v>
      </c>
      <c r="H2184" s="1773" t="s">
        <v>41</v>
      </c>
      <c r="I2184" s="34"/>
      <c r="J2184" s="34"/>
      <c r="K2184" s="147" t="s">
        <v>25</v>
      </c>
      <c r="L2184" s="803"/>
      <c r="M2184" s="803"/>
      <c r="N2184" s="803"/>
      <c r="O2184" s="2628" t="s">
        <v>6395</v>
      </c>
    </row>
    <row r="2185" spans="1:15" x14ac:dyDescent="0.3">
      <c r="A2185" s="104">
        <v>32</v>
      </c>
      <c r="B2185" s="219" t="s">
        <v>5501</v>
      </c>
      <c r="C2185" s="2892" t="s">
        <v>6204</v>
      </c>
      <c r="D2185" s="2893"/>
      <c r="E2185" s="2893"/>
      <c r="F2185" s="218" t="s">
        <v>5499</v>
      </c>
      <c r="G2185" s="192">
        <v>250</v>
      </c>
      <c r="H2185" s="1773" t="s">
        <v>41</v>
      </c>
      <c r="I2185" s="34"/>
      <c r="J2185" s="34"/>
      <c r="K2185" s="147" t="s">
        <v>25</v>
      </c>
      <c r="L2185" s="803"/>
      <c r="M2185" s="803"/>
      <c r="N2185" s="803"/>
      <c r="O2185" s="2628" t="s">
        <v>6395</v>
      </c>
    </row>
    <row r="2186" spans="1:15" x14ac:dyDescent="0.3">
      <c r="A2186" s="104">
        <v>33</v>
      </c>
      <c r="B2186" s="219" t="s">
        <v>5501</v>
      </c>
      <c r="C2186" s="2892" t="s">
        <v>6203</v>
      </c>
      <c r="D2186" s="2893"/>
      <c r="E2186" s="2893"/>
      <c r="F2186" s="218" t="s">
        <v>5499</v>
      </c>
      <c r="G2186" s="192">
        <v>250</v>
      </c>
      <c r="H2186" s="1773" t="s">
        <v>41</v>
      </c>
      <c r="I2186" s="34"/>
      <c r="J2186" s="34"/>
      <c r="K2186" s="147" t="s">
        <v>25</v>
      </c>
      <c r="L2186" s="803"/>
      <c r="M2186" s="803"/>
      <c r="N2186" s="803"/>
      <c r="O2186" s="2628" t="s">
        <v>6395</v>
      </c>
    </row>
    <row r="2187" spans="1:15" x14ac:dyDescent="0.3">
      <c r="A2187" s="104">
        <v>34</v>
      </c>
      <c r="B2187" s="219" t="s">
        <v>5501</v>
      </c>
      <c r="C2187" s="2892" t="s">
        <v>6202</v>
      </c>
      <c r="D2187" s="2893"/>
      <c r="E2187" s="2893"/>
      <c r="F2187" s="218" t="s">
        <v>5499</v>
      </c>
      <c r="G2187" s="192">
        <v>250</v>
      </c>
      <c r="H2187" s="1773" t="s">
        <v>41</v>
      </c>
      <c r="I2187" s="34"/>
      <c r="J2187" s="34"/>
      <c r="K2187" s="147" t="s">
        <v>25</v>
      </c>
      <c r="L2187" s="803"/>
      <c r="M2187" s="803"/>
      <c r="N2187" s="803"/>
      <c r="O2187" s="2628" t="s">
        <v>6395</v>
      </c>
    </row>
    <row r="2188" spans="1:15" x14ac:dyDescent="0.3">
      <c r="A2188" s="104">
        <v>35</v>
      </c>
      <c r="B2188" s="219" t="s">
        <v>5501</v>
      </c>
      <c r="C2188" s="2892" t="s">
        <v>6201</v>
      </c>
      <c r="D2188" s="2893"/>
      <c r="E2188" s="2893"/>
      <c r="F2188" s="218" t="s">
        <v>5499</v>
      </c>
      <c r="G2188" s="192">
        <v>250</v>
      </c>
      <c r="H2188" s="1773" t="s">
        <v>41</v>
      </c>
      <c r="I2188" s="34"/>
      <c r="J2188" s="34"/>
      <c r="K2188" s="147" t="s">
        <v>25</v>
      </c>
      <c r="L2188" s="803"/>
      <c r="M2188" s="803"/>
      <c r="N2188" s="803"/>
      <c r="O2188" s="2628" t="s">
        <v>6395</v>
      </c>
    </row>
    <row r="2189" spans="1:15" x14ac:dyDescent="0.3">
      <c r="A2189" s="104">
        <v>36</v>
      </c>
      <c r="B2189" s="219" t="s">
        <v>5501</v>
      </c>
      <c r="C2189" s="2892" t="s">
        <v>6200</v>
      </c>
      <c r="D2189" s="2893"/>
      <c r="E2189" s="2893"/>
      <c r="F2189" s="218" t="s">
        <v>5499</v>
      </c>
      <c r="G2189" s="192">
        <v>250</v>
      </c>
      <c r="H2189" s="1773" t="s">
        <v>41</v>
      </c>
      <c r="I2189" s="34"/>
      <c r="J2189" s="34"/>
      <c r="K2189" s="147" t="s">
        <v>25</v>
      </c>
      <c r="L2189" s="803"/>
      <c r="M2189" s="803"/>
      <c r="N2189" s="803"/>
      <c r="O2189" s="2628" t="s">
        <v>6395</v>
      </c>
    </row>
    <row r="2190" spans="1:15" x14ac:dyDescent="0.3">
      <c r="A2190" s="104">
        <v>37</v>
      </c>
      <c r="B2190" s="219" t="s">
        <v>5501</v>
      </c>
      <c r="C2190" s="2892" t="s">
        <v>6199</v>
      </c>
      <c r="D2190" s="2893"/>
      <c r="E2190" s="2893"/>
      <c r="F2190" s="218" t="s">
        <v>5499</v>
      </c>
      <c r="G2190" s="192">
        <v>250</v>
      </c>
      <c r="H2190" s="1773" t="s">
        <v>41</v>
      </c>
      <c r="I2190" s="34"/>
      <c r="J2190" s="34"/>
      <c r="K2190" s="147" t="s">
        <v>25</v>
      </c>
      <c r="L2190" s="803"/>
      <c r="M2190" s="803"/>
      <c r="N2190" s="803"/>
      <c r="O2190" s="2628" t="s">
        <v>6395</v>
      </c>
    </row>
    <row r="2191" spans="1:15" x14ac:dyDescent="0.3">
      <c r="A2191" s="104">
        <v>38</v>
      </c>
      <c r="B2191" s="219" t="s">
        <v>5501</v>
      </c>
      <c r="C2191" s="2892" t="s">
        <v>6198</v>
      </c>
      <c r="D2191" s="2893"/>
      <c r="E2191" s="2893"/>
      <c r="F2191" s="218" t="s">
        <v>5499</v>
      </c>
      <c r="G2191" s="192">
        <v>250</v>
      </c>
      <c r="H2191" s="1773" t="s">
        <v>41</v>
      </c>
      <c r="I2191" s="34"/>
      <c r="J2191" s="34"/>
      <c r="K2191" s="147" t="s">
        <v>25</v>
      </c>
      <c r="L2191" s="803"/>
      <c r="M2191" s="803"/>
      <c r="N2191" s="803"/>
      <c r="O2191" s="2628" t="s">
        <v>6395</v>
      </c>
    </row>
    <row r="2192" spans="1:15" x14ac:dyDescent="0.3">
      <c r="A2192" s="104">
        <v>39</v>
      </c>
      <c r="B2192" s="219" t="s">
        <v>5501</v>
      </c>
      <c r="C2192" s="2892" t="s">
        <v>6197</v>
      </c>
      <c r="D2192" s="2893"/>
      <c r="E2192" s="2893"/>
      <c r="F2192" s="218" t="s">
        <v>5499</v>
      </c>
      <c r="G2192" s="192">
        <v>250</v>
      </c>
      <c r="H2192" s="1773" t="s">
        <v>41</v>
      </c>
      <c r="I2192" s="34"/>
      <c r="J2192" s="34"/>
      <c r="K2192" s="147" t="s">
        <v>25</v>
      </c>
      <c r="L2192" s="803"/>
      <c r="M2192" s="803"/>
      <c r="N2192" s="803"/>
      <c r="O2192" s="2628" t="s">
        <v>6395</v>
      </c>
    </row>
    <row r="2193" spans="1:15" x14ac:dyDescent="0.3">
      <c r="A2193" s="104">
        <v>40</v>
      </c>
      <c r="B2193" s="219" t="s">
        <v>5501</v>
      </c>
      <c r="C2193" s="2892" t="s">
        <v>6196</v>
      </c>
      <c r="D2193" s="2893"/>
      <c r="E2193" s="2893"/>
      <c r="F2193" s="218" t="s">
        <v>5499</v>
      </c>
      <c r="G2193" s="192">
        <v>250</v>
      </c>
      <c r="H2193" s="1773" t="s">
        <v>41</v>
      </c>
      <c r="I2193" s="34"/>
      <c r="J2193" s="34"/>
      <c r="K2193" s="147" t="s">
        <v>25</v>
      </c>
      <c r="L2193" s="803"/>
      <c r="M2193" s="803"/>
      <c r="N2193" s="803"/>
      <c r="O2193" s="2628" t="s">
        <v>6395</v>
      </c>
    </row>
    <row r="2194" spans="1:15" x14ac:dyDescent="0.3">
      <c r="A2194" s="104">
        <v>41</v>
      </c>
      <c r="B2194" s="219" t="s">
        <v>5501</v>
      </c>
      <c r="C2194" s="2892" t="s">
        <v>6195</v>
      </c>
      <c r="D2194" s="2893"/>
      <c r="E2194" s="2893"/>
      <c r="F2194" s="218" t="s">
        <v>5499</v>
      </c>
      <c r="G2194" s="192">
        <v>250</v>
      </c>
      <c r="H2194" s="1773" t="s">
        <v>41</v>
      </c>
      <c r="I2194" s="34"/>
      <c r="J2194" s="34"/>
      <c r="K2194" s="147" t="s">
        <v>25</v>
      </c>
      <c r="L2194" s="803"/>
      <c r="M2194" s="803"/>
      <c r="N2194" s="803"/>
      <c r="O2194" s="2628" t="s">
        <v>6395</v>
      </c>
    </row>
    <row r="2195" spans="1:15" x14ac:dyDescent="0.3">
      <c r="A2195" s="104">
        <v>42</v>
      </c>
      <c r="B2195" s="219" t="s">
        <v>5501</v>
      </c>
      <c r="C2195" s="2892" t="s">
        <v>6194</v>
      </c>
      <c r="D2195" s="2893"/>
      <c r="E2195" s="2893"/>
      <c r="F2195" s="218" t="s">
        <v>5499</v>
      </c>
      <c r="G2195" s="192">
        <v>250</v>
      </c>
      <c r="H2195" s="1773" t="s">
        <v>41</v>
      </c>
      <c r="I2195" s="34"/>
      <c r="J2195" s="34"/>
      <c r="K2195" s="147" t="s">
        <v>25</v>
      </c>
      <c r="L2195" s="803"/>
      <c r="M2195" s="803"/>
      <c r="N2195" s="803"/>
      <c r="O2195" s="2628" t="s">
        <v>6395</v>
      </c>
    </row>
    <row r="2196" spans="1:15" x14ac:dyDescent="0.3">
      <c r="A2196" s="104">
        <v>43</v>
      </c>
      <c r="B2196" s="219" t="s">
        <v>5501</v>
      </c>
      <c r="C2196" s="2892" t="s">
        <v>6193</v>
      </c>
      <c r="D2196" s="2893"/>
      <c r="E2196" s="2893"/>
      <c r="F2196" s="218" t="s">
        <v>5499</v>
      </c>
      <c r="G2196" s="192">
        <v>250</v>
      </c>
      <c r="H2196" s="1773" t="s">
        <v>41</v>
      </c>
      <c r="I2196" s="34"/>
      <c r="J2196" s="34"/>
      <c r="K2196" s="147" t="s">
        <v>25</v>
      </c>
      <c r="L2196" s="147"/>
      <c r="M2196" s="803"/>
      <c r="N2196" s="803"/>
      <c r="O2196" s="2628" t="s">
        <v>6395</v>
      </c>
    </row>
    <row r="2197" spans="1:15" x14ac:dyDescent="0.3">
      <c r="A2197" s="104">
        <v>44</v>
      </c>
      <c r="B2197" s="219" t="s">
        <v>5501</v>
      </c>
      <c r="C2197" s="2892" t="s">
        <v>6192</v>
      </c>
      <c r="D2197" s="2893"/>
      <c r="E2197" s="2893"/>
      <c r="F2197" s="218" t="s">
        <v>5499</v>
      </c>
      <c r="G2197" s="192">
        <v>250</v>
      </c>
      <c r="H2197" s="1773" t="s">
        <v>41</v>
      </c>
      <c r="I2197" s="34"/>
      <c r="J2197" s="34"/>
      <c r="K2197" s="147" t="s">
        <v>25</v>
      </c>
      <c r="L2197" s="147"/>
      <c r="M2197" s="803"/>
      <c r="N2197" s="803"/>
      <c r="O2197" s="2628" t="s">
        <v>6395</v>
      </c>
    </row>
    <row r="2198" spans="1:15" x14ac:dyDescent="0.3">
      <c r="A2198" s="104">
        <v>45</v>
      </c>
      <c r="B2198" s="219" t="s">
        <v>5501</v>
      </c>
      <c r="C2198" s="2892" t="s">
        <v>6191</v>
      </c>
      <c r="D2198" s="2893"/>
      <c r="E2198" s="2893"/>
      <c r="F2198" s="218" t="s">
        <v>5499</v>
      </c>
      <c r="G2198" s="192">
        <v>250</v>
      </c>
      <c r="H2198" s="1773" t="s">
        <v>41</v>
      </c>
      <c r="I2198" s="34"/>
      <c r="J2198" s="34"/>
      <c r="K2198" s="147" t="s">
        <v>25</v>
      </c>
      <c r="L2198" s="147"/>
      <c r="M2198" s="803"/>
      <c r="N2198" s="803"/>
      <c r="O2198" s="2628" t="s">
        <v>6395</v>
      </c>
    </row>
    <row r="2199" spans="1:15" x14ac:dyDescent="0.3">
      <c r="A2199" s="104">
        <v>46</v>
      </c>
      <c r="B2199" s="219" t="s">
        <v>5501</v>
      </c>
      <c r="C2199" s="2892" t="s">
        <v>6190</v>
      </c>
      <c r="D2199" s="2893"/>
      <c r="E2199" s="2893"/>
      <c r="F2199" s="218" t="s">
        <v>5499</v>
      </c>
      <c r="G2199" s="192">
        <v>250</v>
      </c>
      <c r="H2199" s="1773" t="s">
        <v>41</v>
      </c>
      <c r="I2199" s="34"/>
      <c r="J2199" s="34"/>
      <c r="K2199" s="147" t="s">
        <v>25</v>
      </c>
      <c r="L2199" s="147"/>
      <c r="M2199" s="803"/>
      <c r="N2199" s="803"/>
      <c r="O2199" s="2628" t="s">
        <v>6395</v>
      </c>
    </row>
    <row r="2200" spans="1:15" x14ac:dyDescent="0.3">
      <c r="A2200" s="104">
        <v>47</v>
      </c>
      <c r="B2200" s="219" t="s">
        <v>5501</v>
      </c>
      <c r="C2200" s="2892" t="s">
        <v>6189</v>
      </c>
      <c r="D2200" s="2893"/>
      <c r="E2200" s="2893"/>
      <c r="F2200" s="218" t="s">
        <v>5499</v>
      </c>
      <c r="G2200" s="192">
        <v>250</v>
      </c>
      <c r="H2200" s="1773" t="s">
        <v>41</v>
      </c>
      <c r="I2200" s="34"/>
      <c r="J2200" s="34"/>
      <c r="K2200" s="147" t="s">
        <v>25</v>
      </c>
      <c r="L2200" s="147"/>
      <c r="M2200" s="803"/>
      <c r="N2200" s="803"/>
      <c r="O2200" s="2628" t="s">
        <v>6395</v>
      </c>
    </row>
    <row r="2201" spans="1:15" x14ac:dyDescent="0.3">
      <c r="A2201" s="104">
        <v>48</v>
      </c>
      <c r="B2201" s="219" t="s">
        <v>5501</v>
      </c>
      <c r="C2201" s="2892" t="s">
        <v>6188</v>
      </c>
      <c r="D2201" s="2893"/>
      <c r="E2201" s="2893"/>
      <c r="F2201" s="218" t="s">
        <v>5499</v>
      </c>
      <c r="G2201" s="192">
        <v>250</v>
      </c>
      <c r="H2201" s="1773" t="s">
        <v>41</v>
      </c>
      <c r="I2201" s="34"/>
      <c r="J2201" s="34"/>
      <c r="K2201" s="147" t="s">
        <v>25</v>
      </c>
      <c r="L2201" s="147"/>
      <c r="M2201" s="803"/>
      <c r="N2201" s="803"/>
      <c r="O2201" s="2628" t="s">
        <v>6395</v>
      </c>
    </row>
    <row r="2202" spans="1:15" x14ac:dyDescent="0.3">
      <c r="A2202" s="104">
        <v>49</v>
      </c>
      <c r="B2202" s="219" t="s">
        <v>5501</v>
      </c>
      <c r="C2202" s="2892" t="s">
        <v>6187</v>
      </c>
      <c r="D2202" s="2893"/>
      <c r="E2202" s="2893"/>
      <c r="F2202" s="218" t="s">
        <v>5499</v>
      </c>
      <c r="G2202" s="192">
        <v>250</v>
      </c>
      <c r="H2202" s="1773" t="s">
        <v>41</v>
      </c>
      <c r="I2202" s="34"/>
      <c r="J2202" s="34"/>
      <c r="K2202" s="147" t="s">
        <v>25</v>
      </c>
      <c r="L2202" s="147"/>
      <c r="M2202" s="803"/>
      <c r="N2202" s="803"/>
      <c r="O2202" s="2628" t="s">
        <v>6395</v>
      </c>
    </row>
    <row r="2203" spans="1:15" x14ac:dyDescent="0.3">
      <c r="A2203" s="104">
        <v>50</v>
      </c>
      <c r="B2203" s="219" t="s">
        <v>5501</v>
      </c>
      <c r="C2203" s="2892" t="s">
        <v>6186</v>
      </c>
      <c r="D2203" s="2893"/>
      <c r="E2203" s="2893"/>
      <c r="F2203" s="218" t="s">
        <v>5499</v>
      </c>
      <c r="G2203" s="192">
        <v>250</v>
      </c>
      <c r="H2203" s="1773" t="s">
        <v>41</v>
      </c>
      <c r="I2203" s="34"/>
      <c r="J2203" s="34"/>
      <c r="K2203" s="147" t="s">
        <v>25</v>
      </c>
      <c r="L2203" s="803"/>
      <c r="M2203" s="803"/>
      <c r="N2203" s="803"/>
      <c r="O2203" s="2628" t="s">
        <v>6395</v>
      </c>
    </row>
    <row r="2204" spans="1:15" x14ac:dyDescent="0.3">
      <c r="A2204" s="104">
        <v>51</v>
      </c>
      <c r="B2204" s="219" t="s">
        <v>5501</v>
      </c>
      <c r="C2204" s="2892" t="s">
        <v>6185</v>
      </c>
      <c r="D2204" s="2893"/>
      <c r="E2204" s="2893"/>
      <c r="F2204" s="218" t="s">
        <v>5499</v>
      </c>
      <c r="G2204" s="192">
        <v>250</v>
      </c>
      <c r="H2204" s="1773" t="s">
        <v>41</v>
      </c>
      <c r="I2204" s="34"/>
      <c r="J2204" s="34"/>
      <c r="K2204" s="147" t="s">
        <v>25</v>
      </c>
      <c r="L2204" s="803"/>
      <c r="M2204" s="803"/>
      <c r="N2204" s="803"/>
      <c r="O2204" s="2628" t="s">
        <v>6395</v>
      </c>
    </row>
    <row r="2205" spans="1:15" x14ac:dyDescent="0.3">
      <c r="A2205" s="104">
        <v>52</v>
      </c>
      <c r="B2205" s="219" t="s">
        <v>5501</v>
      </c>
      <c r="C2205" s="2892" t="s">
        <v>6184</v>
      </c>
      <c r="D2205" s="2893"/>
      <c r="E2205" s="2893"/>
      <c r="F2205" s="218" t="s">
        <v>5499</v>
      </c>
      <c r="G2205" s="192">
        <v>250</v>
      </c>
      <c r="H2205" s="1773" t="s">
        <v>41</v>
      </c>
      <c r="I2205" s="34"/>
      <c r="J2205" s="34"/>
      <c r="K2205" s="147" t="s">
        <v>25</v>
      </c>
      <c r="L2205" s="803"/>
      <c r="M2205" s="803"/>
      <c r="N2205" s="803"/>
      <c r="O2205" s="2628" t="s">
        <v>6395</v>
      </c>
    </row>
    <row r="2206" spans="1:15" x14ac:dyDescent="0.3">
      <c r="A2206" s="104">
        <v>53</v>
      </c>
      <c r="B2206" s="219" t="s">
        <v>5501</v>
      </c>
      <c r="C2206" s="2892" t="s">
        <v>6183</v>
      </c>
      <c r="D2206" s="2893"/>
      <c r="E2206" s="2893"/>
      <c r="F2206" s="218" t="s">
        <v>5499</v>
      </c>
      <c r="G2206" s="192">
        <v>250</v>
      </c>
      <c r="H2206" s="1773" t="s">
        <v>41</v>
      </c>
      <c r="I2206" s="34"/>
      <c r="J2206" s="34"/>
      <c r="K2206" s="147" t="s">
        <v>25</v>
      </c>
      <c r="L2206" s="803"/>
      <c r="M2206" s="803"/>
      <c r="N2206" s="803"/>
      <c r="O2206" s="2628" t="s">
        <v>6395</v>
      </c>
    </row>
    <row r="2207" spans="1:15" x14ac:dyDescent="0.3">
      <c r="A2207" s="104">
        <v>54</v>
      </c>
      <c r="B2207" s="219" t="s">
        <v>5501</v>
      </c>
      <c r="C2207" s="2892" t="s">
        <v>6182</v>
      </c>
      <c r="D2207" s="2893"/>
      <c r="E2207" s="2893"/>
      <c r="F2207" s="218" t="s">
        <v>5499</v>
      </c>
      <c r="G2207" s="192">
        <v>250</v>
      </c>
      <c r="H2207" s="1773" t="s">
        <v>41</v>
      </c>
      <c r="I2207" s="34"/>
      <c r="J2207" s="34"/>
      <c r="K2207" s="147" t="s">
        <v>25</v>
      </c>
      <c r="L2207" s="803"/>
      <c r="M2207" s="803"/>
      <c r="N2207" s="803"/>
      <c r="O2207" s="2628" t="s">
        <v>6395</v>
      </c>
    </row>
    <row r="2208" spans="1:15" x14ac:dyDescent="0.3">
      <c r="A2208" s="104">
        <v>55</v>
      </c>
      <c r="B2208" s="219" t="s">
        <v>5501</v>
      </c>
      <c r="C2208" s="2892" t="s">
        <v>6181</v>
      </c>
      <c r="D2208" s="2893"/>
      <c r="E2208" s="2893"/>
      <c r="F2208" s="218" t="s">
        <v>5499</v>
      </c>
      <c r="G2208" s="192">
        <v>250</v>
      </c>
      <c r="H2208" s="1773" t="s">
        <v>41</v>
      </c>
      <c r="I2208" s="34"/>
      <c r="J2208" s="34"/>
      <c r="K2208" s="147" t="s">
        <v>25</v>
      </c>
      <c r="L2208" s="803"/>
      <c r="M2208" s="803"/>
      <c r="N2208" s="803"/>
      <c r="O2208" s="2628" t="s">
        <v>6395</v>
      </c>
    </row>
    <row r="2209" spans="1:15" x14ac:dyDescent="0.3">
      <c r="A2209" s="104">
        <v>56</v>
      </c>
      <c r="B2209" s="219" t="s">
        <v>5501</v>
      </c>
      <c r="C2209" s="2892" t="s">
        <v>6180</v>
      </c>
      <c r="D2209" s="2893"/>
      <c r="E2209" s="2893"/>
      <c r="F2209" s="218" t="s">
        <v>5499</v>
      </c>
      <c r="G2209" s="192">
        <v>250</v>
      </c>
      <c r="H2209" s="1773" t="s">
        <v>41</v>
      </c>
      <c r="I2209" s="34"/>
      <c r="J2209" s="34"/>
      <c r="K2209" s="147" t="s">
        <v>25</v>
      </c>
      <c r="L2209" s="803"/>
      <c r="M2209" s="803"/>
      <c r="N2209" s="803"/>
      <c r="O2209" s="2628" t="s">
        <v>6395</v>
      </c>
    </row>
    <row r="2210" spans="1:15" x14ac:dyDescent="0.3">
      <c r="A2210" s="104">
        <v>57</v>
      </c>
      <c r="B2210" s="219" t="s">
        <v>5501</v>
      </c>
      <c r="C2210" s="2892" t="s">
        <v>6179</v>
      </c>
      <c r="D2210" s="2893"/>
      <c r="E2210" s="2893"/>
      <c r="F2210" s="218" t="s">
        <v>5499</v>
      </c>
      <c r="G2210" s="192">
        <v>250</v>
      </c>
      <c r="H2210" s="1773" t="s">
        <v>41</v>
      </c>
      <c r="I2210" s="34"/>
      <c r="J2210" s="34"/>
      <c r="K2210" s="147" t="s">
        <v>25</v>
      </c>
      <c r="L2210" s="803"/>
      <c r="M2210" s="803"/>
      <c r="N2210" s="803"/>
      <c r="O2210" s="2628" t="s">
        <v>6395</v>
      </c>
    </row>
    <row r="2211" spans="1:15" x14ac:dyDescent="0.3">
      <c r="A2211" s="104">
        <v>58</v>
      </c>
      <c r="B2211" s="219" t="s">
        <v>5501</v>
      </c>
      <c r="C2211" s="2892" t="s">
        <v>6178</v>
      </c>
      <c r="D2211" s="2893"/>
      <c r="E2211" s="2893"/>
      <c r="F2211" s="218" t="s">
        <v>5499</v>
      </c>
      <c r="G2211" s="192">
        <v>250</v>
      </c>
      <c r="H2211" s="1773" t="s">
        <v>41</v>
      </c>
      <c r="I2211" s="34"/>
      <c r="J2211" s="34"/>
      <c r="K2211" s="147" t="s">
        <v>25</v>
      </c>
      <c r="L2211" s="803"/>
      <c r="M2211" s="803"/>
      <c r="N2211" s="803"/>
      <c r="O2211" s="2628" t="s">
        <v>6395</v>
      </c>
    </row>
    <row r="2212" spans="1:15" x14ac:dyDescent="0.3">
      <c r="A2212" s="104">
        <v>59</v>
      </c>
      <c r="B2212" s="219" t="s">
        <v>5501</v>
      </c>
      <c r="C2212" s="2892" t="s">
        <v>6177</v>
      </c>
      <c r="D2212" s="2893"/>
      <c r="E2212" s="2893"/>
      <c r="F2212" s="218" t="s">
        <v>5499</v>
      </c>
      <c r="G2212" s="192">
        <v>250</v>
      </c>
      <c r="H2212" s="1773" t="s">
        <v>41</v>
      </c>
      <c r="I2212" s="34"/>
      <c r="J2212" s="34"/>
      <c r="K2212" s="147" t="s">
        <v>25</v>
      </c>
      <c r="L2212" s="803"/>
      <c r="M2212" s="803"/>
      <c r="N2212" s="803"/>
      <c r="O2212" s="2628" t="s">
        <v>6395</v>
      </c>
    </row>
    <row r="2213" spans="1:15" x14ac:dyDescent="0.3">
      <c r="A2213" s="104">
        <v>60</v>
      </c>
      <c r="B2213" s="219" t="s">
        <v>5501</v>
      </c>
      <c r="C2213" s="2892" t="s">
        <v>6176</v>
      </c>
      <c r="D2213" s="2893"/>
      <c r="E2213" s="2893"/>
      <c r="F2213" s="218" t="s">
        <v>5499</v>
      </c>
      <c r="G2213" s="192">
        <v>250</v>
      </c>
      <c r="H2213" s="1773" t="s">
        <v>41</v>
      </c>
      <c r="I2213" s="34"/>
      <c r="J2213" s="34"/>
      <c r="K2213" s="147" t="s">
        <v>25</v>
      </c>
      <c r="L2213" s="803"/>
      <c r="M2213" s="803"/>
      <c r="N2213" s="803"/>
      <c r="O2213" s="2628" t="s">
        <v>6395</v>
      </c>
    </row>
    <row r="2214" spans="1:15" x14ac:dyDescent="0.3">
      <c r="A2214" s="104">
        <v>61</v>
      </c>
      <c r="B2214" s="219" t="s">
        <v>5501</v>
      </c>
      <c r="C2214" s="2892" t="s">
        <v>6175</v>
      </c>
      <c r="D2214" s="2893"/>
      <c r="E2214" s="2893"/>
      <c r="F2214" s="218" t="s">
        <v>5499</v>
      </c>
      <c r="G2214" s="192">
        <v>250</v>
      </c>
      <c r="H2214" s="1773" t="s">
        <v>41</v>
      </c>
      <c r="I2214" s="34"/>
      <c r="J2214" s="34"/>
      <c r="K2214" s="147" t="s">
        <v>25</v>
      </c>
      <c r="L2214" s="803"/>
      <c r="M2214" s="803"/>
      <c r="N2214" s="803"/>
      <c r="O2214" s="2628" t="s">
        <v>6395</v>
      </c>
    </row>
    <row r="2215" spans="1:15" x14ac:dyDescent="0.3">
      <c r="A2215" s="104">
        <v>62</v>
      </c>
      <c r="B2215" s="219" t="s">
        <v>5501</v>
      </c>
      <c r="C2215" s="2892" t="s">
        <v>6174</v>
      </c>
      <c r="D2215" s="2893"/>
      <c r="E2215" s="2893"/>
      <c r="F2215" s="218" t="s">
        <v>5499</v>
      </c>
      <c r="G2215" s="192">
        <v>250</v>
      </c>
      <c r="H2215" s="1773" t="s">
        <v>41</v>
      </c>
      <c r="I2215" s="34"/>
      <c r="J2215" s="34"/>
      <c r="K2215" s="147" t="s">
        <v>25</v>
      </c>
      <c r="L2215" s="803"/>
      <c r="M2215" s="803"/>
      <c r="N2215" s="803"/>
      <c r="O2215" s="2628" t="s">
        <v>6395</v>
      </c>
    </row>
    <row r="2216" spans="1:15" x14ac:dyDescent="0.3">
      <c r="A2216" s="104">
        <v>63</v>
      </c>
      <c r="B2216" s="219" t="s">
        <v>5501</v>
      </c>
      <c r="C2216" s="2892" t="s">
        <v>6173</v>
      </c>
      <c r="D2216" s="2893"/>
      <c r="E2216" s="2893"/>
      <c r="F2216" s="218" t="s">
        <v>5499</v>
      </c>
      <c r="G2216" s="192">
        <v>250</v>
      </c>
      <c r="H2216" s="1773" t="s">
        <v>41</v>
      </c>
      <c r="I2216" s="34"/>
      <c r="J2216" s="34"/>
      <c r="K2216" s="147" t="s">
        <v>25</v>
      </c>
      <c r="L2216" s="803"/>
      <c r="M2216" s="803"/>
      <c r="N2216" s="803"/>
      <c r="O2216" s="2628" t="s">
        <v>6395</v>
      </c>
    </row>
    <row r="2217" spans="1:15" x14ac:dyDescent="0.3">
      <c r="A2217" s="104">
        <v>64</v>
      </c>
      <c r="B2217" s="219" t="s">
        <v>5501</v>
      </c>
      <c r="C2217" s="2892" t="s">
        <v>6172</v>
      </c>
      <c r="D2217" s="2893"/>
      <c r="E2217" s="2893"/>
      <c r="F2217" s="218" t="s">
        <v>5499</v>
      </c>
      <c r="G2217" s="192">
        <v>250</v>
      </c>
      <c r="H2217" s="1773" t="s">
        <v>41</v>
      </c>
      <c r="I2217" s="34"/>
      <c r="J2217" s="34"/>
      <c r="K2217" s="147" t="s">
        <v>25</v>
      </c>
      <c r="L2217" s="147"/>
      <c r="M2217" s="803"/>
      <c r="N2217" s="803"/>
      <c r="O2217" s="2628" t="s">
        <v>6395</v>
      </c>
    </row>
    <row r="2218" spans="1:15" x14ac:dyDescent="0.3">
      <c r="A2218" s="104">
        <v>65</v>
      </c>
      <c r="B2218" s="219" t="s">
        <v>5501</v>
      </c>
      <c r="C2218" s="2892" t="s">
        <v>6171</v>
      </c>
      <c r="D2218" s="2893"/>
      <c r="E2218" s="2893"/>
      <c r="F2218" s="218" t="s">
        <v>5499</v>
      </c>
      <c r="G2218" s="192">
        <v>250</v>
      </c>
      <c r="H2218" s="1773" t="s">
        <v>41</v>
      </c>
      <c r="I2218" s="34"/>
      <c r="J2218" s="34"/>
      <c r="K2218" s="147" t="s">
        <v>25</v>
      </c>
      <c r="L2218" s="147"/>
      <c r="M2218" s="803"/>
      <c r="N2218" s="803"/>
      <c r="O2218" s="2628" t="s">
        <v>6395</v>
      </c>
    </row>
    <row r="2219" spans="1:15" x14ac:dyDescent="0.3">
      <c r="A2219" s="104">
        <v>66</v>
      </c>
      <c r="B2219" s="219" t="s">
        <v>5501</v>
      </c>
      <c r="C2219" s="2892" t="s">
        <v>6170</v>
      </c>
      <c r="D2219" s="2893"/>
      <c r="E2219" s="2893"/>
      <c r="F2219" s="218" t="s">
        <v>5499</v>
      </c>
      <c r="G2219" s="192">
        <v>250</v>
      </c>
      <c r="H2219" s="1773" t="s">
        <v>41</v>
      </c>
      <c r="I2219" s="34"/>
      <c r="J2219" s="34"/>
      <c r="K2219" s="147" t="s">
        <v>25</v>
      </c>
      <c r="L2219" s="147"/>
      <c r="M2219" s="803"/>
      <c r="N2219" s="803"/>
      <c r="O2219" s="2628" t="s">
        <v>6395</v>
      </c>
    </row>
    <row r="2220" spans="1:15" x14ac:dyDescent="0.3">
      <c r="A2220" s="104">
        <v>67</v>
      </c>
      <c r="B2220" s="219" t="s">
        <v>5501</v>
      </c>
      <c r="C2220" s="2892" t="s">
        <v>6169</v>
      </c>
      <c r="D2220" s="2893"/>
      <c r="E2220" s="2893"/>
      <c r="F2220" s="218" t="s">
        <v>5499</v>
      </c>
      <c r="G2220" s="192">
        <v>250</v>
      </c>
      <c r="H2220" s="1773" t="s">
        <v>41</v>
      </c>
      <c r="I2220" s="34"/>
      <c r="J2220" s="34"/>
      <c r="K2220" s="147" t="s">
        <v>25</v>
      </c>
      <c r="L2220" s="147"/>
      <c r="M2220" s="803"/>
      <c r="N2220" s="803"/>
      <c r="O2220" s="2628" t="s">
        <v>6395</v>
      </c>
    </row>
    <row r="2221" spans="1:15" x14ac:dyDescent="0.3">
      <c r="A2221" s="104">
        <v>68</v>
      </c>
      <c r="B2221" s="219" t="s">
        <v>5501</v>
      </c>
      <c r="C2221" s="2892" t="s">
        <v>6168</v>
      </c>
      <c r="D2221" s="2893"/>
      <c r="E2221" s="2893"/>
      <c r="F2221" s="218" t="s">
        <v>5499</v>
      </c>
      <c r="G2221" s="192">
        <v>250</v>
      </c>
      <c r="H2221" s="1773" t="s">
        <v>41</v>
      </c>
      <c r="I2221" s="34"/>
      <c r="J2221" s="34"/>
      <c r="K2221" s="147" t="s">
        <v>25</v>
      </c>
      <c r="L2221" s="147"/>
      <c r="M2221" s="803"/>
      <c r="N2221" s="803"/>
      <c r="O2221" s="2628" t="s">
        <v>6395</v>
      </c>
    </row>
    <row r="2222" spans="1:15" x14ac:dyDescent="0.3">
      <c r="A2222" s="104">
        <v>69</v>
      </c>
      <c r="B2222" s="219" t="s">
        <v>5501</v>
      </c>
      <c r="C2222" s="2892" t="s">
        <v>6167</v>
      </c>
      <c r="D2222" s="2893"/>
      <c r="E2222" s="2893"/>
      <c r="F2222" s="218" t="s">
        <v>5499</v>
      </c>
      <c r="G2222" s="192">
        <v>250</v>
      </c>
      <c r="H2222" s="1773" t="s">
        <v>41</v>
      </c>
      <c r="I2222" s="34"/>
      <c r="J2222" s="34"/>
      <c r="K2222" s="147" t="s">
        <v>25</v>
      </c>
      <c r="L2222" s="147"/>
      <c r="M2222" s="803"/>
      <c r="N2222" s="803"/>
      <c r="O2222" s="2628" t="s">
        <v>6395</v>
      </c>
    </row>
    <row r="2223" spans="1:15" x14ac:dyDescent="0.3">
      <c r="A2223" s="104">
        <v>70</v>
      </c>
      <c r="B2223" s="219" t="s">
        <v>5501</v>
      </c>
      <c r="C2223" s="2892" t="s">
        <v>6166</v>
      </c>
      <c r="D2223" s="2893"/>
      <c r="E2223" s="2893"/>
      <c r="F2223" s="218" t="s">
        <v>5499</v>
      </c>
      <c r="G2223" s="192">
        <v>250</v>
      </c>
      <c r="H2223" s="1773" t="s">
        <v>41</v>
      </c>
      <c r="I2223" s="34"/>
      <c r="J2223" s="34"/>
      <c r="K2223" s="147" t="s">
        <v>25</v>
      </c>
      <c r="L2223" s="147"/>
      <c r="M2223" s="803"/>
      <c r="N2223" s="803"/>
      <c r="O2223" s="2628" t="s">
        <v>6395</v>
      </c>
    </row>
    <row r="2224" spans="1:15" x14ac:dyDescent="0.3">
      <c r="A2224" s="104">
        <v>71</v>
      </c>
      <c r="B2224" s="219" t="s">
        <v>5501</v>
      </c>
      <c r="C2224" s="2892" t="s">
        <v>6165</v>
      </c>
      <c r="D2224" s="2893"/>
      <c r="E2224" s="2893"/>
      <c r="F2224" s="218" t="s">
        <v>5499</v>
      </c>
      <c r="G2224" s="192">
        <v>250</v>
      </c>
      <c r="H2224" s="1773" t="s">
        <v>41</v>
      </c>
      <c r="I2224" s="34"/>
      <c r="J2224" s="34"/>
      <c r="K2224" s="147" t="s">
        <v>25</v>
      </c>
      <c r="L2224" s="803"/>
      <c r="M2224" s="803"/>
      <c r="N2224" s="803"/>
      <c r="O2224" s="2628" t="s">
        <v>6395</v>
      </c>
    </row>
    <row r="2225" spans="1:15" x14ac:dyDescent="0.3">
      <c r="A2225" s="104">
        <v>72</v>
      </c>
      <c r="B2225" s="219" t="s">
        <v>5501</v>
      </c>
      <c r="C2225" s="2892" t="s">
        <v>6164</v>
      </c>
      <c r="D2225" s="2893"/>
      <c r="E2225" s="2893"/>
      <c r="F2225" s="218" t="s">
        <v>5499</v>
      </c>
      <c r="G2225" s="192">
        <v>250</v>
      </c>
      <c r="H2225" s="1773" t="s">
        <v>41</v>
      </c>
      <c r="I2225" s="34"/>
      <c r="J2225" s="34"/>
      <c r="K2225" s="147" t="s">
        <v>25</v>
      </c>
      <c r="L2225" s="803"/>
      <c r="M2225" s="803"/>
      <c r="N2225" s="803"/>
      <c r="O2225" s="2628" t="s">
        <v>6395</v>
      </c>
    </row>
    <row r="2226" spans="1:15" x14ac:dyDescent="0.3">
      <c r="A2226" s="104">
        <v>73</v>
      </c>
      <c r="B2226" s="219" t="s">
        <v>5501</v>
      </c>
      <c r="C2226" s="2892" t="s">
        <v>6163</v>
      </c>
      <c r="D2226" s="2893"/>
      <c r="E2226" s="2893"/>
      <c r="F2226" s="218" t="s">
        <v>5499</v>
      </c>
      <c r="G2226" s="192">
        <v>250</v>
      </c>
      <c r="H2226" s="1773" t="s">
        <v>41</v>
      </c>
      <c r="I2226" s="34"/>
      <c r="J2226" s="34"/>
      <c r="K2226" s="147" t="s">
        <v>25</v>
      </c>
      <c r="L2226" s="803"/>
      <c r="M2226" s="803"/>
      <c r="N2226" s="803"/>
      <c r="O2226" s="2628" t="s">
        <v>6395</v>
      </c>
    </row>
    <row r="2227" spans="1:15" x14ac:dyDescent="0.3">
      <c r="A2227" s="104">
        <v>74</v>
      </c>
      <c r="B2227" s="219" t="s">
        <v>5501</v>
      </c>
      <c r="C2227" s="2892" t="s">
        <v>6162</v>
      </c>
      <c r="D2227" s="2893"/>
      <c r="E2227" s="2893"/>
      <c r="F2227" s="218" t="s">
        <v>5499</v>
      </c>
      <c r="G2227" s="192">
        <v>250</v>
      </c>
      <c r="H2227" s="1773" t="s">
        <v>41</v>
      </c>
      <c r="I2227" s="34"/>
      <c r="J2227" s="34"/>
      <c r="K2227" s="147" t="s">
        <v>25</v>
      </c>
      <c r="L2227" s="803"/>
      <c r="M2227" s="803"/>
      <c r="N2227" s="803"/>
      <c r="O2227" s="2628" t="s">
        <v>6395</v>
      </c>
    </row>
    <row r="2228" spans="1:15" x14ac:dyDescent="0.3">
      <c r="A2228" s="104">
        <v>75</v>
      </c>
      <c r="B2228" s="219" t="s">
        <v>5501</v>
      </c>
      <c r="C2228" s="2892" t="s">
        <v>6161</v>
      </c>
      <c r="D2228" s="2893"/>
      <c r="E2228" s="2893"/>
      <c r="F2228" s="218" t="s">
        <v>5499</v>
      </c>
      <c r="G2228" s="192">
        <v>250</v>
      </c>
      <c r="H2228" s="1773" t="s">
        <v>41</v>
      </c>
      <c r="I2228" s="34"/>
      <c r="J2228" s="34"/>
      <c r="K2228" s="147" t="s">
        <v>25</v>
      </c>
      <c r="L2228" s="803"/>
      <c r="M2228" s="803"/>
      <c r="N2228" s="803"/>
      <c r="O2228" s="2628" t="s">
        <v>6395</v>
      </c>
    </row>
    <row r="2229" spans="1:15" x14ac:dyDescent="0.3">
      <c r="A2229" s="104">
        <v>76</v>
      </c>
      <c r="B2229" s="219" t="s">
        <v>5501</v>
      </c>
      <c r="C2229" s="2892" t="s">
        <v>6160</v>
      </c>
      <c r="D2229" s="2893"/>
      <c r="E2229" s="2893"/>
      <c r="F2229" s="218" t="s">
        <v>5499</v>
      </c>
      <c r="G2229" s="192">
        <v>250</v>
      </c>
      <c r="H2229" s="1773" t="s">
        <v>41</v>
      </c>
      <c r="I2229" s="34"/>
      <c r="J2229" s="34"/>
      <c r="K2229" s="147" t="s">
        <v>25</v>
      </c>
      <c r="L2229" s="803"/>
      <c r="M2229" s="803"/>
      <c r="N2229" s="803"/>
      <c r="O2229" s="2628" t="s">
        <v>6395</v>
      </c>
    </row>
    <row r="2230" spans="1:15" x14ac:dyDescent="0.3">
      <c r="A2230" s="104">
        <v>77</v>
      </c>
      <c r="B2230" s="219" t="s">
        <v>5501</v>
      </c>
      <c r="C2230" s="2892" t="s">
        <v>6159</v>
      </c>
      <c r="D2230" s="2893"/>
      <c r="E2230" s="2893"/>
      <c r="F2230" s="218" t="s">
        <v>5499</v>
      </c>
      <c r="G2230" s="192">
        <v>250</v>
      </c>
      <c r="H2230" s="1773" t="s">
        <v>41</v>
      </c>
      <c r="I2230" s="34"/>
      <c r="J2230" s="34"/>
      <c r="K2230" s="147" t="s">
        <v>25</v>
      </c>
      <c r="L2230" s="803"/>
      <c r="M2230" s="803"/>
      <c r="N2230" s="803"/>
      <c r="O2230" s="2628" t="s">
        <v>6395</v>
      </c>
    </row>
    <row r="2231" spans="1:15" x14ac:dyDescent="0.3">
      <c r="A2231" s="104">
        <v>78</v>
      </c>
      <c r="B2231" s="219" t="s">
        <v>5501</v>
      </c>
      <c r="C2231" s="2892" t="s">
        <v>6158</v>
      </c>
      <c r="D2231" s="2893"/>
      <c r="E2231" s="2893"/>
      <c r="F2231" s="218" t="s">
        <v>5499</v>
      </c>
      <c r="G2231" s="192">
        <v>250</v>
      </c>
      <c r="H2231" s="1773" t="s">
        <v>41</v>
      </c>
      <c r="I2231" s="34"/>
      <c r="J2231" s="34"/>
      <c r="K2231" s="147" t="s">
        <v>25</v>
      </c>
      <c r="L2231" s="803"/>
      <c r="M2231" s="803"/>
      <c r="N2231" s="803"/>
      <c r="O2231" s="2628" t="s">
        <v>6395</v>
      </c>
    </row>
    <row r="2232" spans="1:15" x14ac:dyDescent="0.3">
      <c r="A2232" s="104">
        <v>79</v>
      </c>
      <c r="B2232" s="219" t="s">
        <v>5501</v>
      </c>
      <c r="C2232" s="2892" t="s">
        <v>6157</v>
      </c>
      <c r="D2232" s="2893"/>
      <c r="E2232" s="2893"/>
      <c r="F2232" s="218" t="s">
        <v>5499</v>
      </c>
      <c r="G2232" s="192">
        <v>250</v>
      </c>
      <c r="H2232" s="1773" t="s">
        <v>41</v>
      </c>
      <c r="I2232" s="34"/>
      <c r="J2232" s="34"/>
      <c r="K2232" s="147" t="s">
        <v>25</v>
      </c>
      <c r="L2232" s="803"/>
      <c r="M2232" s="803"/>
      <c r="N2232" s="803"/>
      <c r="O2232" s="2628" t="s">
        <v>6395</v>
      </c>
    </row>
    <row r="2233" spans="1:15" x14ac:dyDescent="0.3">
      <c r="A2233" s="104">
        <v>80</v>
      </c>
      <c r="B2233" s="219" t="s">
        <v>5501</v>
      </c>
      <c r="C2233" s="2892" t="s">
        <v>6156</v>
      </c>
      <c r="D2233" s="2893"/>
      <c r="E2233" s="2893"/>
      <c r="F2233" s="218" t="s">
        <v>5499</v>
      </c>
      <c r="G2233" s="192">
        <v>250</v>
      </c>
      <c r="H2233" s="1773" t="s">
        <v>41</v>
      </c>
      <c r="I2233" s="34"/>
      <c r="J2233" s="34"/>
      <c r="K2233" s="147" t="s">
        <v>25</v>
      </c>
      <c r="L2233" s="317"/>
      <c r="M2233" s="224"/>
      <c r="N2233" s="87"/>
      <c r="O2233" s="2628" t="s">
        <v>6395</v>
      </c>
    </row>
    <row r="2234" spans="1:15" x14ac:dyDescent="0.3">
      <c r="A2234" s="104">
        <v>81</v>
      </c>
      <c r="B2234" s="219" t="s">
        <v>5501</v>
      </c>
      <c r="C2234" s="2892" t="s">
        <v>6155</v>
      </c>
      <c r="D2234" s="2893"/>
      <c r="E2234" s="2893"/>
      <c r="F2234" s="218" t="s">
        <v>5499</v>
      </c>
      <c r="G2234" s="192">
        <v>250</v>
      </c>
      <c r="H2234" s="1773" t="s">
        <v>41</v>
      </c>
      <c r="I2234" s="34"/>
      <c r="J2234" s="34"/>
      <c r="K2234" s="147" t="s">
        <v>25</v>
      </c>
      <c r="L2234" s="317"/>
      <c r="M2234" s="224"/>
      <c r="N2234" s="87"/>
      <c r="O2234" s="2628" t="s">
        <v>6395</v>
      </c>
    </row>
    <row r="2235" spans="1:15" x14ac:dyDescent="0.3">
      <c r="A2235" s="104">
        <v>82</v>
      </c>
      <c r="B2235" s="219" t="s">
        <v>5501</v>
      </c>
      <c r="C2235" s="2892" t="s">
        <v>6154</v>
      </c>
      <c r="D2235" s="2893"/>
      <c r="E2235" s="2893"/>
      <c r="F2235" s="218" t="s">
        <v>5499</v>
      </c>
      <c r="G2235" s="192">
        <v>250</v>
      </c>
      <c r="H2235" s="1773" t="s">
        <v>41</v>
      </c>
      <c r="I2235" s="34"/>
      <c r="J2235" s="34"/>
      <c r="K2235" s="147" t="s">
        <v>25</v>
      </c>
      <c r="L2235" s="317"/>
      <c r="M2235" s="224"/>
      <c r="N2235" s="87"/>
      <c r="O2235" s="2628" t="s">
        <v>6395</v>
      </c>
    </row>
    <row r="2236" spans="1:15" x14ac:dyDescent="0.3">
      <c r="A2236" s="104">
        <v>83</v>
      </c>
      <c r="B2236" s="219" t="s">
        <v>5501</v>
      </c>
      <c r="C2236" s="2892" t="s">
        <v>6153</v>
      </c>
      <c r="D2236" s="2893"/>
      <c r="E2236" s="2893"/>
      <c r="F2236" s="218" t="s">
        <v>5499</v>
      </c>
      <c r="G2236" s="192">
        <v>250</v>
      </c>
      <c r="H2236" s="1773" t="s">
        <v>41</v>
      </c>
      <c r="I2236" s="34"/>
      <c r="J2236" s="34"/>
      <c r="K2236" s="147" t="s">
        <v>25</v>
      </c>
      <c r="L2236" s="317"/>
      <c r="M2236" s="224"/>
      <c r="N2236" s="87"/>
      <c r="O2236" s="2628" t="s">
        <v>6395</v>
      </c>
    </row>
    <row r="2237" spans="1:15" x14ac:dyDescent="0.3">
      <c r="A2237" s="104">
        <v>84</v>
      </c>
      <c r="B2237" s="219" t="s">
        <v>5501</v>
      </c>
      <c r="C2237" s="2892" t="s">
        <v>6152</v>
      </c>
      <c r="D2237" s="2893"/>
      <c r="E2237" s="2893"/>
      <c r="F2237" s="218" t="s">
        <v>5499</v>
      </c>
      <c r="G2237" s="192">
        <v>250</v>
      </c>
      <c r="H2237" s="1773" t="s">
        <v>41</v>
      </c>
      <c r="I2237" s="34"/>
      <c r="J2237" s="34"/>
      <c r="K2237" s="147" t="s">
        <v>25</v>
      </c>
      <c r="L2237" s="317"/>
      <c r="M2237" s="224"/>
      <c r="N2237" s="87"/>
      <c r="O2237" s="2628" t="s">
        <v>6395</v>
      </c>
    </row>
    <row r="2238" spans="1:15" x14ac:dyDescent="0.3">
      <c r="A2238" s="104">
        <v>85</v>
      </c>
      <c r="B2238" s="219" t="s">
        <v>5501</v>
      </c>
      <c r="C2238" s="2892" t="s">
        <v>6151</v>
      </c>
      <c r="D2238" s="2893"/>
      <c r="E2238" s="2893"/>
      <c r="F2238" s="218" t="s">
        <v>5499</v>
      </c>
      <c r="G2238" s="192">
        <v>250</v>
      </c>
      <c r="H2238" s="1773" t="s">
        <v>41</v>
      </c>
      <c r="I2238" s="34"/>
      <c r="J2238" s="34"/>
      <c r="K2238" s="147" t="s">
        <v>25</v>
      </c>
      <c r="L2238" s="317"/>
      <c r="M2238" s="224"/>
      <c r="N2238" s="87"/>
      <c r="O2238" s="2628" t="s">
        <v>6395</v>
      </c>
    </row>
    <row r="2239" spans="1:15" x14ac:dyDescent="0.3">
      <c r="A2239" s="104">
        <v>86</v>
      </c>
      <c r="B2239" s="219" t="s">
        <v>5501</v>
      </c>
      <c r="C2239" s="2892" t="s">
        <v>6150</v>
      </c>
      <c r="D2239" s="2893"/>
      <c r="E2239" s="2893"/>
      <c r="F2239" s="218" t="s">
        <v>5499</v>
      </c>
      <c r="G2239" s="192">
        <v>250</v>
      </c>
      <c r="H2239" s="1773" t="s">
        <v>41</v>
      </c>
      <c r="I2239" s="34"/>
      <c r="J2239" s="34"/>
      <c r="K2239" s="147" t="s">
        <v>25</v>
      </c>
      <c r="L2239" s="803"/>
      <c r="M2239" s="803"/>
      <c r="N2239" s="803"/>
      <c r="O2239" s="2628" t="s">
        <v>6395</v>
      </c>
    </row>
    <row r="2240" spans="1:15" x14ac:dyDescent="0.3">
      <c r="A2240" s="104">
        <v>87</v>
      </c>
      <c r="B2240" s="219" t="s">
        <v>5501</v>
      </c>
      <c r="C2240" s="2892" t="s">
        <v>6149</v>
      </c>
      <c r="D2240" s="2893"/>
      <c r="E2240" s="2893"/>
      <c r="F2240" s="218" t="s">
        <v>5499</v>
      </c>
      <c r="G2240" s="192">
        <v>250</v>
      </c>
      <c r="H2240" s="1773" t="s">
        <v>41</v>
      </c>
      <c r="I2240" s="34"/>
      <c r="J2240" s="34"/>
      <c r="K2240" s="147" t="s">
        <v>25</v>
      </c>
      <c r="L2240" s="803"/>
      <c r="M2240" s="803"/>
      <c r="N2240" s="803"/>
      <c r="O2240" s="2628" t="s">
        <v>6395</v>
      </c>
    </row>
    <row r="2241" spans="1:24" x14ac:dyDescent="0.3">
      <c r="A2241" s="104">
        <v>88</v>
      </c>
      <c r="B2241" s="219" t="s">
        <v>5501</v>
      </c>
      <c r="C2241" s="2892" t="s">
        <v>6148</v>
      </c>
      <c r="D2241" s="2893"/>
      <c r="E2241" s="2893"/>
      <c r="F2241" s="218" t="s">
        <v>5499</v>
      </c>
      <c r="G2241" s="192">
        <v>250</v>
      </c>
      <c r="H2241" s="1773" t="s">
        <v>41</v>
      </c>
      <c r="I2241" s="34"/>
      <c r="J2241" s="34"/>
      <c r="K2241" s="147" t="s">
        <v>25</v>
      </c>
      <c r="L2241" s="803"/>
      <c r="M2241" s="803"/>
      <c r="N2241" s="803"/>
      <c r="O2241" s="2628" t="s">
        <v>6395</v>
      </c>
    </row>
    <row r="2242" spans="1:24" x14ac:dyDescent="0.3">
      <c r="A2242" s="104">
        <v>89</v>
      </c>
      <c r="B2242" s="219" t="s">
        <v>5501</v>
      </c>
      <c r="C2242" s="2892" t="s">
        <v>6147</v>
      </c>
      <c r="D2242" s="2893"/>
      <c r="E2242" s="2893"/>
      <c r="F2242" s="218" t="s">
        <v>5499</v>
      </c>
      <c r="G2242" s="192">
        <v>250</v>
      </c>
      <c r="H2242" s="1773" t="s">
        <v>41</v>
      </c>
      <c r="I2242" s="34"/>
      <c r="J2242" s="34"/>
      <c r="K2242" s="147" t="s">
        <v>25</v>
      </c>
      <c r="L2242" s="803"/>
      <c r="M2242" s="803"/>
      <c r="N2242" s="803"/>
      <c r="O2242" s="2628" t="s">
        <v>6395</v>
      </c>
    </row>
    <row r="2243" spans="1:24" x14ac:dyDescent="0.3">
      <c r="A2243" s="104">
        <v>90</v>
      </c>
      <c r="B2243" s="219" t="s">
        <v>5501</v>
      </c>
      <c r="C2243" s="2892" t="s">
        <v>6146</v>
      </c>
      <c r="D2243" s="2893"/>
      <c r="E2243" s="2893"/>
      <c r="F2243" s="218" t="s">
        <v>5499</v>
      </c>
      <c r="G2243" s="192">
        <v>250</v>
      </c>
      <c r="H2243" s="1773" t="s">
        <v>41</v>
      </c>
      <c r="I2243" s="34"/>
      <c r="J2243" s="34"/>
      <c r="K2243" s="147" t="s">
        <v>25</v>
      </c>
      <c r="L2243" s="147"/>
      <c r="M2243" s="803"/>
      <c r="N2243" s="803"/>
      <c r="O2243" s="2628" t="s">
        <v>6395</v>
      </c>
    </row>
    <row r="2244" spans="1:24" x14ac:dyDescent="0.3">
      <c r="A2244" s="104">
        <v>91</v>
      </c>
      <c r="B2244" s="1611" t="s">
        <v>5382</v>
      </c>
      <c r="C2244" s="2957" t="s">
        <v>6145</v>
      </c>
      <c r="D2244" s="2958"/>
      <c r="E2244" s="2958"/>
      <c r="F2244" s="711" t="s">
        <v>5380</v>
      </c>
      <c r="G2244" s="703">
        <v>4390</v>
      </c>
      <c r="H2244" s="1925" t="s">
        <v>101</v>
      </c>
      <c r="I2244" s="104"/>
      <c r="J2244" s="104"/>
      <c r="K2244" s="104" t="s">
        <v>25</v>
      </c>
      <c r="L2244" s="104"/>
      <c r="M2244" s="104"/>
      <c r="N2244" s="104"/>
      <c r="O2244" s="2628" t="s">
        <v>6395</v>
      </c>
    </row>
    <row r="2245" spans="1:24" ht="17.399999999999999" x14ac:dyDescent="0.45">
      <c r="G2245" s="2709">
        <f>SUM(G2154:G2244)</f>
        <v>26890</v>
      </c>
      <c r="H2245" s="1215"/>
    </row>
    <row r="2246" spans="1:24" ht="17.399999999999999" x14ac:dyDescent="0.45">
      <c r="G2246" s="2713"/>
      <c r="H2246" s="344"/>
      <c r="J2246" s="438"/>
    </row>
    <row r="2247" spans="1:24" s="1612" customFormat="1" x14ac:dyDescent="0.3">
      <c r="A2247" s="2641">
        <v>432</v>
      </c>
      <c r="B2247" s="17" t="s">
        <v>465</v>
      </c>
      <c r="C2247" s="357"/>
      <c r="D2247" s="395"/>
      <c r="E2247" s="1858"/>
      <c r="F2247" s="211"/>
      <c r="G2247" s="357"/>
      <c r="H2247" s="1890"/>
      <c r="I2247" s="360"/>
      <c r="J2247" s="357"/>
      <c r="K2247" s="357"/>
      <c r="L2247" s="357"/>
      <c r="M2247" s="357"/>
      <c r="N2247" s="357"/>
      <c r="O2247" s="357"/>
      <c r="P2247" s="2710"/>
      <c r="S2247" s="357"/>
      <c r="T2247" s="357"/>
      <c r="U2247" s="357"/>
      <c r="V2247" s="357"/>
      <c r="W2247" s="357"/>
      <c r="X2247" s="357"/>
    </row>
    <row r="2248" spans="1:24" x14ac:dyDescent="0.3">
      <c r="A2248" s="381">
        <v>1</v>
      </c>
      <c r="B2248" s="1888" t="s">
        <v>5357</v>
      </c>
      <c r="C2248" s="538">
        <v>432</v>
      </c>
      <c r="D2248" s="409">
        <v>56</v>
      </c>
      <c r="E2248" s="1887" t="s">
        <v>6143</v>
      </c>
      <c r="F2248" s="1885" t="s">
        <v>5356</v>
      </c>
      <c r="G2248" s="708">
        <v>1600</v>
      </c>
      <c r="H2248" s="1884" t="s">
        <v>811</v>
      </c>
      <c r="I2248" s="381"/>
      <c r="J2248" s="381"/>
      <c r="K2248" s="381" t="s">
        <v>25</v>
      </c>
      <c r="L2248" s="381"/>
      <c r="M2248" s="381"/>
      <c r="N2248" s="381"/>
      <c r="O2248" s="2628" t="s">
        <v>6395</v>
      </c>
      <c r="P2248" s="2662"/>
    </row>
    <row r="2249" spans="1:24" x14ac:dyDescent="0.3">
      <c r="A2249" s="381">
        <v>2</v>
      </c>
      <c r="B2249" s="1888" t="s">
        <v>5357</v>
      </c>
      <c r="C2249" s="538">
        <v>432</v>
      </c>
      <c r="D2249" s="409">
        <v>56</v>
      </c>
      <c r="E2249" s="1887" t="s">
        <v>6144</v>
      </c>
      <c r="F2249" s="1885" t="s">
        <v>5356</v>
      </c>
      <c r="G2249" s="708">
        <v>1600</v>
      </c>
      <c r="H2249" s="1884" t="s">
        <v>811</v>
      </c>
      <c r="I2249" s="381"/>
      <c r="J2249" s="1883"/>
      <c r="K2249" s="2435" t="s">
        <v>25</v>
      </c>
      <c r="L2249" s="1883"/>
      <c r="M2249" s="248"/>
      <c r="N2249" s="248"/>
      <c r="O2249" s="2628" t="s">
        <v>6395</v>
      </c>
    </row>
    <row r="2250" spans="1:24" ht="17.399999999999999" x14ac:dyDescent="0.45">
      <c r="G2250" s="2709">
        <f>SUM(G2248:G2249)</f>
        <v>3200</v>
      </c>
      <c r="H2250" s="1215"/>
    </row>
    <row r="2251" spans="1:24" s="10" customFormat="1" ht="18" x14ac:dyDescent="0.35">
      <c r="A2251" s="2965" t="s">
        <v>5324</v>
      </c>
      <c r="B2251" s="2965"/>
      <c r="C2251" s="858"/>
      <c r="D2251" s="858"/>
      <c r="E2251" s="858"/>
      <c r="F2251" s="858"/>
      <c r="G2251" s="858"/>
      <c r="H2251" s="1846"/>
      <c r="I2251" s="1703"/>
      <c r="J2251" s="1845"/>
      <c r="K2251" s="1845"/>
      <c r="L2251" s="1844"/>
      <c r="M2251" s="1844"/>
      <c r="N2251" s="1844"/>
      <c r="O2251" s="1844"/>
      <c r="P2251" s="1703"/>
      <c r="S2251" s="1845"/>
      <c r="T2251" s="1845"/>
      <c r="U2251" s="1844"/>
      <c r="V2251" s="1844"/>
      <c r="W2251" s="1844"/>
      <c r="X2251" s="1844"/>
    </row>
    <row r="2252" spans="1:24" s="10" customFormat="1" ht="18.75" customHeight="1" x14ac:dyDescent="0.3">
      <c r="A2252" s="2844" t="s">
        <v>3</v>
      </c>
      <c r="B2252" s="2846" t="s">
        <v>4</v>
      </c>
      <c r="C2252" s="2848" t="s">
        <v>5</v>
      </c>
      <c r="D2252" s="2849"/>
      <c r="E2252" s="2850"/>
      <c r="F2252" s="8" t="s">
        <v>6</v>
      </c>
      <c r="G2252" s="2854" t="s">
        <v>7</v>
      </c>
      <c r="H2252" s="2856" t="s">
        <v>8</v>
      </c>
      <c r="I2252" s="2858" t="s">
        <v>9</v>
      </c>
      <c r="J2252" s="2859"/>
      <c r="K2252" s="2859"/>
      <c r="L2252" s="2859"/>
      <c r="M2252" s="2859"/>
      <c r="N2252" s="2860"/>
      <c r="O2252" s="9" t="s">
        <v>10</v>
      </c>
    </row>
    <row r="2253" spans="1:24" s="10" customFormat="1" ht="42" customHeight="1" x14ac:dyDescent="0.3">
      <c r="A2253" s="2845"/>
      <c r="B2253" s="2847"/>
      <c r="C2253" s="2851"/>
      <c r="D2253" s="2852"/>
      <c r="E2253" s="2853"/>
      <c r="F2253" s="11" t="s">
        <v>11</v>
      </c>
      <c r="G2253" s="2855"/>
      <c r="H2253" s="2857"/>
      <c r="I2253" s="14" t="s">
        <v>12</v>
      </c>
      <c r="J2253" s="14" t="s">
        <v>13</v>
      </c>
      <c r="K2253" s="15" t="s">
        <v>14</v>
      </c>
      <c r="L2253" s="15" t="s">
        <v>15</v>
      </c>
      <c r="M2253" s="15" t="s">
        <v>16</v>
      </c>
      <c r="N2253" s="15" t="s">
        <v>17</v>
      </c>
      <c r="O2253" s="13"/>
    </row>
    <row r="2254" spans="1:24" x14ac:dyDescent="0.3">
      <c r="A2254" s="2644">
        <v>400</v>
      </c>
      <c r="B2254" s="97" t="s">
        <v>98</v>
      </c>
      <c r="C2254" s="97"/>
      <c r="D2254" s="97"/>
      <c r="E2254" s="1843"/>
      <c r="F2254" s="1842"/>
      <c r="G2254" s="97"/>
      <c r="H2254" s="100"/>
      <c r="I2254" s="101"/>
      <c r="J2254" s="97"/>
      <c r="K2254" s="97"/>
      <c r="L2254" s="97"/>
      <c r="M2254" s="97"/>
      <c r="N2254" s="97"/>
      <c r="O2254" s="102"/>
      <c r="P2254" s="103"/>
      <c r="S2254" s="97"/>
      <c r="T2254" s="97"/>
      <c r="U2254" s="97"/>
      <c r="V2254" s="97"/>
      <c r="W2254" s="97"/>
      <c r="X2254" s="102"/>
    </row>
    <row r="2255" spans="1:24" x14ac:dyDescent="0.3">
      <c r="A2255" s="104">
        <v>1</v>
      </c>
      <c r="B2255" s="313" t="s">
        <v>5318</v>
      </c>
      <c r="C2255" s="2951" t="s">
        <v>6142</v>
      </c>
      <c r="D2255" s="2952"/>
      <c r="E2255" s="2952"/>
      <c r="F2255" s="218" t="s">
        <v>5315</v>
      </c>
      <c r="G2255" s="192">
        <v>850</v>
      </c>
      <c r="H2255" s="1773" t="s">
        <v>41</v>
      </c>
      <c r="I2255" s="34"/>
      <c r="J2255" s="34"/>
      <c r="K2255" s="2233" t="s">
        <v>25</v>
      </c>
      <c r="L2255" s="147"/>
      <c r="M2255" s="803"/>
      <c r="N2255" s="803"/>
      <c r="O2255" s="2628" t="s">
        <v>6395</v>
      </c>
    </row>
    <row r="2256" spans="1:24" x14ac:dyDescent="0.3">
      <c r="A2256" s="104">
        <v>2</v>
      </c>
      <c r="B2256" s="313" t="s">
        <v>5318</v>
      </c>
      <c r="C2256" s="2951" t="s">
        <v>6141</v>
      </c>
      <c r="D2256" s="2952"/>
      <c r="E2256" s="2952"/>
      <c r="F2256" s="218" t="s">
        <v>5315</v>
      </c>
      <c r="G2256" s="192">
        <v>850</v>
      </c>
      <c r="H2256" s="1773" t="s">
        <v>41</v>
      </c>
      <c r="I2256" s="34"/>
      <c r="J2256" s="34"/>
      <c r="K2256" s="2233" t="s">
        <v>25</v>
      </c>
      <c r="L2256" s="147"/>
      <c r="M2256" s="803"/>
      <c r="N2256" s="803"/>
      <c r="O2256" s="2628" t="s">
        <v>6395</v>
      </c>
    </row>
    <row r="2257" spans="1:15" x14ac:dyDescent="0.3">
      <c r="A2257" s="104">
        <v>3</v>
      </c>
      <c r="B2257" s="313" t="s">
        <v>5318</v>
      </c>
      <c r="C2257" s="2951" t="s">
        <v>6140</v>
      </c>
      <c r="D2257" s="2952"/>
      <c r="E2257" s="2952"/>
      <c r="F2257" s="218" t="s">
        <v>5315</v>
      </c>
      <c r="G2257" s="192">
        <v>850</v>
      </c>
      <c r="H2257" s="1773" t="s">
        <v>41</v>
      </c>
      <c r="I2257" s="34"/>
      <c r="J2257" s="34"/>
      <c r="K2257" s="2233" t="s">
        <v>25</v>
      </c>
      <c r="L2257" s="147"/>
      <c r="M2257" s="803"/>
      <c r="N2257" s="803"/>
      <c r="O2257" s="2628" t="s">
        <v>6395</v>
      </c>
    </row>
    <row r="2258" spans="1:15" x14ac:dyDescent="0.3">
      <c r="A2258" s="104">
        <v>4</v>
      </c>
      <c r="B2258" s="313" t="s">
        <v>5318</v>
      </c>
      <c r="C2258" s="2951" t="s">
        <v>6139</v>
      </c>
      <c r="D2258" s="2952"/>
      <c r="E2258" s="2952"/>
      <c r="F2258" s="218" t="s">
        <v>5315</v>
      </c>
      <c r="G2258" s="192">
        <v>850</v>
      </c>
      <c r="H2258" s="1773" t="s">
        <v>41</v>
      </c>
      <c r="I2258" s="34"/>
      <c r="J2258" s="34"/>
      <c r="K2258" s="2233" t="s">
        <v>25</v>
      </c>
      <c r="L2258" s="147"/>
      <c r="M2258" s="803"/>
      <c r="N2258" s="803"/>
      <c r="O2258" s="2628" t="s">
        <v>6395</v>
      </c>
    </row>
    <row r="2259" spans="1:15" x14ac:dyDescent="0.3">
      <c r="A2259" s="104">
        <v>5</v>
      </c>
      <c r="B2259" s="313" t="s">
        <v>5318</v>
      </c>
      <c r="C2259" s="2951" t="s">
        <v>6138</v>
      </c>
      <c r="D2259" s="2952"/>
      <c r="E2259" s="2952"/>
      <c r="F2259" s="218" t="s">
        <v>5315</v>
      </c>
      <c r="G2259" s="192">
        <v>850</v>
      </c>
      <c r="H2259" s="1773" t="s">
        <v>41</v>
      </c>
      <c r="I2259" s="34"/>
      <c r="J2259" s="34"/>
      <c r="K2259" s="2233" t="s">
        <v>25</v>
      </c>
      <c r="L2259" s="147"/>
      <c r="M2259" s="803"/>
      <c r="N2259" s="803"/>
      <c r="O2259" s="2628" t="s">
        <v>6395</v>
      </c>
    </row>
    <row r="2260" spans="1:15" x14ac:dyDescent="0.3">
      <c r="A2260" s="104">
        <v>6</v>
      </c>
      <c r="B2260" s="313" t="s">
        <v>5318</v>
      </c>
      <c r="C2260" s="2951" t="s">
        <v>6137</v>
      </c>
      <c r="D2260" s="2952"/>
      <c r="E2260" s="2952"/>
      <c r="F2260" s="218" t="s">
        <v>5315</v>
      </c>
      <c r="G2260" s="192">
        <v>850</v>
      </c>
      <c r="H2260" s="1773" t="s">
        <v>41</v>
      </c>
      <c r="I2260" s="34"/>
      <c r="J2260" s="34"/>
      <c r="K2260" s="2233" t="s">
        <v>25</v>
      </c>
      <c r="L2260" s="147"/>
      <c r="M2260" s="803"/>
      <c r="N2260" s="803"/>
      <c r="O2260" s="2628" t="s">
        <v>6395</v>
      </c>
    </row>
    <row r="2261" spans="1:15" ht="17.399999999999999" x14ac:dyDescent="0.45">
      <c r="F2261" s="2663"/>
      <c r="G2261" s="2712">
        <f>SUM(G2255:G2260)</f>
        <v>5100</v>
      </c>
      <c r="H2261" s="1215"/>
      <c r="I2261" s="2663"/>
      <c r="J2261" s="2663"/>
      <c r="K2261" s="2663"/>
      <c r="L2261" s="2663"/>
      <c r="M2261" s="2663"/>
      <c r="N2261" s="2663"/>
      <c r="O2261" s="940"/>
    </row>
    <row r="2263" spans="1:15" s="1947" customFormat="1" ht="18" customHeight="1" x14ac:dyDescent="0.35">
      <c r="A2263" s="1992"/>
      <c r="B2263" s="502" t="s">
        <v>601</v>
      </c>
      <c r="C2263" s="502"/>
      <c r="D2263" s="502"/>
      <c r="E2263" s="503"/>
      <c r="F2263" s="502"/>
      <c r="G2263" s="504" t="s">
        <v>602</v>
      </c>
      <c r="H2263" s="497"/>
      <c r="I2263" s="505"/>
      <c r="J2263" s="505" t="s">
        <v>603</v>
      </c>
      <c r="K2263" s="505"/>
      <c r="L2263" s="505"/>
      <c r="M2263" s="1997"/>
      <c r="O2263" s="1998"/>
    </row>
    <row r="2264" spans="1:15" s="1947" customFormat="1" ht="18" customHeight="1" x14ac:dyDescent="0.35">
      <c r="A2264" s="1992"/>
      <c r="B2264" s="507" t="s">
        <v>604</v>
      </c>
      <c r="C2264" s="508"/>
      <c r="D2264" s="502"/>
      <c r="E2264" s="503"/>
      <c r="F2264" s="502"/>
      <c r="G2264" s="504"/>
      <c r="H2264" s="509" t="s">
        <v>605</v>
      </c>
      <c r="I2264" s="1"/>
      <c r="J2264" s="505"/>
      <c r="K2264" s="505"/>
      <c r="L2264" s="505"/>
      <c r="M2264" s="1997"/>
      <c r="O2264" s="1998"/>
    </row>
    <row r="2265" spans="1:15" s="1947" customFormat="1" ht="18" customHeight="1" x14ac:dyDescent="0.35">
      <c r="A2265" s="1992"/>
      <c r="B2265" s="507" t="s">
        <v>606</v>
      </c>
      <c r="C2265" s="508"/>
      <c r="D2265" s="502"/>
      <c r="E2265" s="503"/>
      <c r="F2265" s="502"/>
      <c r="G2265" s="504"/>
      <c r="H2265" s="509" t="s">
        <v>607</v>
      </c>
      <c r="I2265" s="1"/>
      <c r="J2265" s="505"/>
      <c r="K2265" s="505"/>
      <c r="L2265" s="505"/>
      <c r="M2265" s="1997"/>
      <c r="O2265" s="1998"/>
    </row>
    <row r="2266" spans="1:15" s="1947" customFormat="1" ht="18" customHeight="1" x14ac:dyDescent="0.35">
      <c r="A2266" s="1992"/>
      <c r="B2266" s="502"/>
      <c r="C2266" s="502"/>
      <c r="D2266" s="502"/>
      <c r="E2266" s="503"/>
      <c r="F2266" s="502"/>
      <c r="G2266" s="510"/>
      <c r="H2266" s="497"/>
      <c r="I2266" s="505"/>
      <c r="J2266" s="505"/>
      <c r="K2266" s="505"/>
      <c r="L2266" s="505"/>
      <c r="M2266" s="1997"/>
      <c r="O2266" s="1998"/>
    </row>
    <row r="2267" spans="1:15" s="1947" customFormat="1" ht="18" customHeight="1" x14ac:dyDescent="0.35">
      <c r="A2267" s="1992"/>
      <c r="B2267" s="502" t="s">
        <v>1153</v>
      </c>
      <c r="C2267" s="502"/>
      <c r="D2267" s="502"/>
      <c r="E2267" s="503"/>
      <c r="F2267" s="502"/>
      <c r="G2267" s="504"/>
      <c r="H2267" s="497"/>
      <c r="I2267" s="505"/>
      <c r="J2267" s="505"/>
      <c r="K2267" s="505"/>
      <c r="L2267" s="505"/>
      <c r="M2267" s="1997"/>
      <c r="O2267" s="1998"/>
    </row>
    <row r="2268" spans="1:15" s="1947" customFormat="1" ht="18" customHeight="1" x14ac:dyDescent="0.35">
      <c r="A2268" s="1992"/>
      <c r="B2268" s="507" t="s">
        <v>609</v>
      </c>
      <c r="C2268" s="508"/>
      <c r="D2268" s="502"/>
      <c r="E2268" s="503"/>
      <c r="F2268" s="502"/>
      <c r="G2268" s="504"/>
      <c r="H2268" s="506"/>
      <c r="I2268" s="1"/>
      <c r="J2268" s="505"/>
      <c r="K2268" s="505"/>
      <c r="L2268" s="505"/>
      <c r="M2268" s="1997"/>
      <c r="O2268" s="1998"/>
    </row>
    <row r="2269" spans="1:15" s="1947" customFormat="1" ht="18" customHeight="1" x14ac:dyDescent="0.35">
      <c r="A2269" s="1992"/>
      <c r="B2269" s="507" t="s">
        <v>610</v>
      </c>
      <c r="C2269" s="508"/>
      <c r="D2269" s="502"/>
      <c r="E2269" s="503"/>
      <c r="F2269" s="502"/>
      <c r="G2269" s="504"/>
      <c r="H2269" s="506"/>
      <c r="I2269" s="1"/>
      <c r="J2269" s="505"/>
      <c r="K2269" s="505"/>
      <c r="L2269" s="505"/>
      <c r="M2269" s="1997"/>
      <c r="O2269" s="1998"/>
    </row>
    <row r="2270" spans="1:15" s="1947" customFormat="1" ht="18" customHeight="1" x14ac:dyDescent="0.35">
      <c r="A2270" s="1992"/>
      <c r="B2270" s="1999"/>
      <c r="C2270" s="2225"/>
      <c r="D2270" s="1997"/>
      <c r="E2270" s="1999"/>
      <c r="F2270" s="1997"/>
      <c r="G2270" s="2001"/>
      <c r="H2270" s="1999"/>
      <c r="J2270" s="1997"/>
      <c r="K2270" s="1997"/>
      <c r="L2270" s="1997"/>
      <c r="M2270" s="1997"/>
      <c r="O2270" s="1998"/>
    </row>
  </sheetData>
  <mergeCells count="346">
    <mergeCell ref="A2252:A2253"/>
    <mergeCell ref="B2252:B2253"/>
    <mergeCell ref="C2252:E2253"/>
    <mergeCell ref="G2252:G2253"/>
    <mergeCell ref="H2252:H2253"/>
    <mergeCell ref="I2252:N2252"/>
    <mergeCell ref="C2010:E2010"/>
    <mergeCell ref="C2011:E2011"/>
    <mergeCell ref="C2018:E2018"/>
    <mergeCell ref="C2019:E2019"/>
    <mergeCell ref="C2020:E2020"/>
    <mergeCell ref="C2021:E2021"/>
    <mergeCell ref="C2022:E2022"/>
    <mergeCell ref="C2023:E2023"/>
    <mergeCell ref="C2012:E2012"/>
    <mergeCell ref="C2013:E2013"/>
    <mergeCell ref="C2014:E2014"/>
    <mergeCell ref="C2015:E2015"/>
    <mergeCell ref="C2016:E2016"/>
    <mergeCell ref="C2017:E2017"/>
    <mergeCell ref="C2030:E2030"/>
    <mergeCell ref="C2031:E2031"/>
    <mergeCell ref="C2032:E2032"/>
    <mergeCell ref="C2033:E2033"/>
    <mergeCell ref="A1962:A1963"/>
    <mergeCell ref="B1962:B1963"/>
    <mergeCell ref="C1962:E1963"/>
    <mergeCell ref="G1962:G1963"/>
    <mergeCell ref="H1962:H1963"/>
    <mergeCell ref="I1962:N1962"/>
    <mergeCell ref="A1985:A1986"/>
    <mergeCell ref="B1985:B1986"/>
    <mergeCell ref="C1985:E1986"/>
    <mergeCell ref="G1985:G1986"/>
    <mergeCell ref="H1985:H1986"/>
    <mergeCell ref="I1985:N1985"/>
    <mergeCell ref="A1984:B1984"/>
    <mergeCell ref="G802:G803"/>
    <mergeCell ref="H802:H803"/>
    <mergeCell ref="I802:N802"/>
    <mergeCell ref="A812:A813"/>
    <mergeCell ref="B812:B813"/>
    <mergeCell ref="C812:E813"/>
    <mergeCell ref="G812:G813"/>
    <mergeCell ref="H812:H813"/>
    <mergeCell ref="I812:N812"/>
    <mergeCell ref="B808:E808"/>
    <mergeCell ref="C805:E805"/>
    <mergeCell ref="G774:G775"/>
    <mergeCell ref="H774:H775"/>
    <mergeCell ref="I774:N774"/>
    <mergeCell ref="A763:A764"/>
    <mergeCell ref="B763:B764"/>
    <mergeCell ref="C763:E764"/>
    <mergeCell ref="G763:G764"/>
    <mergeCell ref="H763:H764"/>
    <mergeCell ref="I763:N763"/>
    <mergeCell ref="A1:O1"/>
    <mergeCell ref="A2:O2"/>
    <mergeCell ref="A4:A5"/>
    <mergeCell ref="B4:B5"/>
    <mergeCell ref="C4:E5"/>
    <mergeCell ref="G4:G5"/>
    <mergeCell ref="H4:H5"/>
    <mergeCell ref="I4:N4"/>
    <mergeCell ref="C780:E781"/>
    <mergeCell ref="G780:G781"/>
    <mergeCell ref="H780:H781"/>
    <mergeCell ref="I780:N780"/>
    <mergeCell ref="A779:B779"/>
    <mergeCell ref="A780:A781"/>
    <mergeCell ref="B780:B781"/>
    <mergeCell ref="G220:G221"/>
    <mergeCell ref="H220:H221"/>
    <mergeCell ref="I220:N220"/>
    <mergeCell ref="A754:A755"/>
    <mergeCell ref="B754:B755"/>
    <mergeCell ref="C754:E755"/>
    <mergeCell ref="G754:G755"/>
    <mergeCell ref="H754:H755"/>
    <mergeCell ref="I754:N754"/>
    <mergeCell ref="A801:B801"/>
    <mergeCell ref="A220:A221"/>
    <mergeCell ref="B220:B221"/>
    <mergeCell ref="C220:E221"/>
    <mergeCell ref="A1953:B1953"/>
    <mergeCell ref="A1961:B1961"/>
    <mergeCell ref="A811:B811"/>
    <mergeCell ref="A1954:A1955"/>
    <mergeCell ref="B1954:B1955"/>
    <mergeCell ref="C1954:E1955"/>
    <mergeCell ref="A774:A775"/>
    <mergeCell ref="B774:B775"/>
    <mergeCell ref="C774:E775"/>
    <mergeCell ref="A802:A803"/>
    <mergeCell ref="B802:B803"/>
    <mergeCell ref="C802:E803"/>
    <mergeCell ref="G1954:G1955"/>
    <mergeCell ref="H1954:H1955"/>
    <mergeCell ref="I1954:N1954"/>
    <mergeCell ref="C1994:E1994"/>
    <mergeCell ref="C1995:E1995"/>
    <mergeCell ref="C1996:E1996"/>
    <mergeCell ref="C1997:E1997"/>
    <mergeCell ref="C1998:E1998"/>
    <mergeCell ref="C1999:E1999"/>
    <mergeCell ref="C1987:E1987"/>
    <mergeCell ref="G1990:G1991"/>
    <mergeCell ref="H1990:H1991"/>
    <mergeCell ref="I1990:N1990"/>
    <mergeCell ref="A1989:B1989"/>
    <mergeCell ref="C1993:E1993"/>
    <mergeCell ref="A1990:A1991"/>
    <mergeCell ref="B1990:B1991"/>
    <mergeCell ref="C1990:E1991"/>
    <mergeCell ref="C2006:E2006"/>
    <mergeCell ref="C2007:E2007"/>
    <mergeCell ref="C2008:E2008"/>
    <mergeCell ref="C2009:E2009"/>
    <mergeCell ref="C2000:E2000"/>
    <mergeCell ref="C2001:E2001"/>
    <mergeCell ref="C2002:E2002"/>
    <mergeCell ref="C2003:E2003"/>
    <mergeCell ref="C2004:E2004"/>
    <mergeCell ref="C2005:E2005"/>
    <mergeCell ref="C2034:E2034"/>
    <mergeCell ref="C2035:E2035"/>
    <mergeCell ref="C2024:E2024"/>
    <mergeCell ref="C2025:E2025"/>
    <mergeCell ref="C2026:E2026"/>
    <mergeCell ref="C2027:E2027"/>
    <mergeCell ref="C2028:E2028"/>
    <mergeCell ref="C2029:E2029"/>
    <mergeCell ref="C2042:E2042"/>
    <mergeCell ref="C2043:E2043"/>
    <mergeCell ref="C2044:E2044"/>
    <mergeCell ref="C2045:E2045"/>
    <mergeCell ref="C2046:E2046"/>
    <mergeCell ref="C2047:E2047"/>
    <mergeCell ref="C2036:E2036"/>
    <mergeCell ref="C2037:E2037"/>
    <mergeCell ref="C2038:E2038"/>
    <mergeCell ref="C2039:E2039"/>
    <mergeCell ref="C2040:E2040"/>
    <mergeCell ref="C2041:E2041"/>
    <mergeCell ref="C2054:E2054"/>
    <mergeCell ref="C2055:E2055"/>
    <mergeCell ref="C2056:E2056"/>
    <mergeCell ref="C2057:E2057"/>
    <mergeCell ref="C2058:E2058"/>
    <mergeCell ref="C2059:E2059"/>
    <mergeCell ref="C2048:E2048"/>
    <mergeCell ref="C2049:E2049"/>
    <mergeCell ref="C2050:E2050"/>
    <mergeCell ref="C2051:E2051"/>
    <mergeCell ref="C2052:E2052"/>
    <mergeCell ref="C2053:E2053"/>
    <mergeCell ref="C2066:E2066"/>
    <mergeCell ref="C2067:E2067"/>
    <mergeCell ref="C2068:E2068"/>
    <mergeCell ref="C2069:E2069"/>
    <mergeCell ref="C2070:E2070"/>
    <mergeCell ref="C2071:E2071"/>
    <mergeCell ref="C2060:E2060"/>
    <mergeCell ref="C2061:E2061"/>
    <mergeCell ref="C2062:E2062"/>
    <mergeCell ref="C2063:E2063"/>
    <mergeCell ref="C2064:E2064"/>
    <mergeCell ref="C2065:E2065"/>
    <mergeCell ref="C2078:E2078"/>
    <mergeCell ref="C2079:E2079"/>
    <mergeCell ref="C2080:E2080"/>
    <mergeCell ref="C2081:E2081"/>
    <mergeCell ref="C2082:E2082"/>
    <mergeCell ref="C2083:E2083"/>
    <mergeCell ref="C2072:E2072"/>
    <mergeCell ref="C2073:E2073"/>
    <mergeCell ref="C2074:E2074"/>
    <mergeCell ref="C2075:E2075"/>
    <mergeCell ref="C2076:E2076"/>
    <mergeCell ref="C2077:E2077"/>
    <mergeCell ref="C2090:E2090"/>
    <mergeCell ref="C2091:E2091"/>
    <mergeCell ref="C2092:E2092"/>
    <mergeCell ref="C2093:E2093"/>
    <mergeCell ref="C2094:E2094"/>
    <mergeCell ref="C2095:E2095"/>
    <mergeCell ref="C2084:E2084"/>
    <mergeCell ref="C2085:E2085"/>
    <mergeCell ref="C2086:E2086"/>
    <mergeCell ref="C2087:E2087"/>
    <mergeCell ref="C2088:E2088"/>
    <mergeCell ref="C2089:E2089"/>
    <mergeCell ref="C2102:E2102"/>
    <mergeCell ref="C2103:E2103"/>
    <mergeCell ref="C2104:E2104"/>
    <mergeCell ref="C2105:E2105"/>
    <mergeCell ref="C2106:E2106"/>
    <mergeCell ref="C2107:E2107"/>
    <mergeCell ref="C2096:E2096"/>
    <mergeCell ref="C2097:E2097"/>
    <mergeCell ref="C2098:E2098"/>
    <mergeCell ref="C2099:E2099"/>
    <mergeCell ref="C2100:E2100"/>
    <mergeCell ref="C2101:E2101"/>
    <mergeCell ref="C2114:E2114"/>
    <mergeCell ref="C2115:E2115"/>
    <mergeCell ref="C2116:E2116"/>
    <mergeCell ref="C2117:E2117"/>
    <mergeCell ref="C2118:E2118"/>
    <mergeCell ref="C2119:E2119"/>
    <mergeCell ref="C2108:E2108"/>
    <mergeCell ref="C2109:E2109"/>
    <mergeCell ref="C2110:E2110"/>
    <mergeCell ref="C2111:E2111"/>
    <mergeCell ref="C2112:E2112"/>
    <mergeCell ref="C2113:E2113"/>
    <mergeCell ref="C2126:E2126"/>
    <mergeCell ref="C2127:E2127"/>
    <mergeCell ref="C2128:E2128"/>
    <mergeCell ref="C2129:E2129"/>
    <mergeCell ref="C2130:E2130"/>
    <mergeCell ref="C2131:E2131"/>
    <mergeCell ref="C2120:E2120"/>
    <mergeCell ref="C2121:E2121"/>
    <mergeCell ref="C2122:E2122"/>
    <mergeCell ref="C2123:E2123"/>
    <mergeCell ref="C2124:E2124"/>
    <mergeCell ref="C2125:E2125"/>
    <mergeCell ref="C2138:E2138"/>
    <mergeCell ref="C2139:E2139"/>
    <mergeCell ref="C2140:E2140"/>
    <mergeCell ref="C2141:E2141"/>
    <mergeCell ref="C2142:E2142"/>
    <mergeCell ref="C2143:E2143"/>
    <mergeCell ref="C2132:E2132"/>
    <mergeCell ref="C2133:E2133"/>
    <mergeCell ref="C2134:E2134"/>
    <mergeCell ref="C2135:E2135"/>
    <mergeCell ref="C2136:E2136"/>
    <mergeCell ref="C2137:E2137"/>
    <mergeCell ref="C2150:E2150"/>
    <mergeCell ref="C2154:E2154"/>
    <mergeCell ref="C2157:E2157"/>
    <mergeCell ref="C2158:E2158"/>
    <mergeCell ref="C2159:E2159"/>
    <mergeCell ref="C2144:E2144"/>
    <mergeCell ref="C2145:E2145"/>
    <mergeCell ref="C2146:E2146"/>
    <mergeCell ref="C2147:E2147"/>
    <mergeCell ref="C2148:E2148"/>
    <mergeCell ref="C2149:E2149"/>
    <mergeCell ref="C2166:E2166"/>
    <mergeCell ref="C2167:E2167"/>
    <mergeCell ref="C2168:E2168"/>
    <mergeCell ref="C2169:E2169"/>
    <mergeCell ref="C2170:E2170"/>
    <mergeCell ref="C2171:E2171"/>
    <mergeCell ref="C2160:E2160"/>
    <mergeCell ref="C2161:E2161"/>
    <mergeCell ref="C2162:E2162"/>
    <mergeCell ref="C2163:E2163"/>
    <mergeCell ref="C2164:E2164"/>
    <mergeCell ref="C2165:E2165"/>
    <mergeCell ref="C2178:E2178"/>
    <mergeCell ref="C2179:E2179"/>
    <mergeCell ref="C2180:E2180"/>
    <mergeCell ref="C2181:E2181"/>
    <mergeCell ref="C2182:E2182"/>
    <mergeCell ref="C2183:E2183"/>
    <mergeCell ref="C2172:E2172"/>
    <mergeCell ref="C2173:E2173"/>
    <mergeCell ref="C2174:E2174"/>
    <mergeCell ref="C2175:E2175"/>
    <mergeCell ref="C2176:E2176"/>
    <mergeCell ref="C2177:E2177"/>
    <mergeCell ref="C2190:E2190"/>
    <mergeCell ref="C2191:E2191"/>
    <mergeCell ref="C2192:E2192"/>
    <mergeCell ref="C2193:E2193"/>
    <mergeCell ref="C2194:E2194"/>
    <mergeCell ref="C2195:E2195"/>
    <mergeCell ref="C2184:E2184"/>
    <mergeCell ref="C2185:E2185"/>
    <mergeCell ref="C2186:E2186"/>
    <mergeCell ref="C2187:E2187"/>
    <mergeCell ref="C2188:E2188"/>
    <mergeCell ref="C2189:E2189"/>
    <mergeCell ref="C2202:E2202"/>
    <mergeCell ref="C2203:E2203"/>
    <mergeCell ref="C2204:E2204"/>
    <mergeCell ref="C2205:E2205"/>
    <mergeCell ref="C2206:E2206"/>
    <mergeCell ref="C2207:E2207"/>
    <mergeCell ref="C2196:E2196"/>
    <mergeCell ref="C2197:E2197"/>
    <mergeCell ref="C2198:E2198"/>
    <mergeCell ref="C2199:E2199"/>
    <mergeCell ref="C2200:E2200"/>
    <mergeCell ref="C2201:E2201"/>
    <mergeCell ref="C2217:E2217"/>
    <mergeCell ref="C2218:E2218"/>
    <mergeCell ref="C2219:E2219"/>
    <mergeCell ref="C2208:E2208"/>
    <mergeCell ref="C2209:E2209"/>
    <mergeCell ref="C2210:E2210"/>
    <mergeCell ref="C2211:E2211"/>
    <mergeCell ref="C2212:E2212"/>
    <mergeCell ref="C2213:E2213"/>
    <mergeCell ref="A2251:B2251"/>
    <mergeCell ref="C2238:E2238"/>
    <mergeCell ref="C2239:E2239"/>
    <mergeCell ref="C2240:E2240"/>
    <mergeCell ref="C2241:E2241"/>
    <mergeCell ref="C2242:E2242"/>
    <mergeCell ref="C2243:E2243"/>
    <mergeCell ref="C2232:E2232"/>
    <mergeCell ref="C2233:E2233"/>
    <mergeCell ref="C2234:E2234"/>
    <mergeCell ref="C2235:E2235"/>
    <mergeCell ref="C2236:E2236"/>
    <mergeCell ref="C2237:E2237"/>
    <mergeCell ref="C2255:E2255"/>
    <mergeCell ref="C2256:E2256"/>
    <mergeCell ref="C2257:E2257"/>
    <mergeCell ref="C2258:E2258"/>
    <mergeCell ref="C2259:E2259"/>
    <mergeCell ref="C2260:E2260"/>
    <mergeCell ref="C2244:E2244"/>
    <mergeCell ref="C2155:E2155"/>
    <mergeCell ref="C2156:E2156"/>
    <mergeCell ref="C2226:E2226"/>
    <mergeCell ref="C2227:E2227"/>
    <mergeCell ref="C2228:E2228"/>
    <mergeCell ref="C2229:E2229"/>
    <mergeCell ref="C2230:E2230"/>
    <mergeCell ref="C2231:E2231"/>
    <mergeCell ref="C2220:E2220"/>
    <mergeCell ref="C2221:E2221"/>
    <mergeCell ref="C2222:E2222"/>
    <mergeCell ref="C2223:E2223"/>
    <mergeCell ref="C2224:E2224"/>
    <mergeCell ref="C2225:E2225"/>
    <mergeCell ref="C2214:E2214"/>
    <mergeCell ref="C2215:E2215"/>
    <mergeCell ref="C2216:E2216"/>
  </mergeCells>
  <dataValidations count="2">
    <dataValidation type="decimal" operator="greaterThanOrEqual" allowBlank="1" showInputMessage="1" showErrorMessage="1" prompt="กรุณาระบุเฉพาะตัวเลขเท่านั้น" sqref="G58:G60 G783 G815:G1951" xr:uid="{991F1BFF-CAAC-408A-9A75-8A14E2373D23}">
      <formula1>0</formula1>
    </dataValidation>
    <dataValidation type="decimal" allowBlank="1" showInputMessage="1" showErrorMessage="1" prompt="Error - วันที่ไม่ถูกต้อง (1-31)" sqref="D815:D1014" xr:uid="{2E04ADEB-6BE8-4D3D-A9E1-A2BCEAA0C10F}">
      <formula1>1</formula1>
      <formula2>31</formula2>
    </dataValidation>
  </dataValidations>
  <pageMargins left="0.25" right="0.25" top="0.75" bottom="0.75" header="0.3" footer="0.3"/>
  <pageSetup paperSize="9" scale="85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D6764-3EE9-4943-9B52-BE6EE153C79F}">
  <dimension ref="A1:P27"/>
  <sheetViews>
    <sheetView view="pageBreakPreview" zoomScaleNormal="110" zoomScaleSheetLayoutView="100" workbookViewId="0">
      <selection activeCell="F11" sqref="F11"/>
    </sheetView>
  </sheetViews>
  <sheetFormatPr defaultColWidth="9.109375" defaultRowHeight="15.6" x14ac:dyDescent="0.3"/>
  <cols>
    <col min="1" max="1" width="5.44140625" style="320" customWidth="1"/>
    <col min="2" max="2" width="43.88671875" style="438" customWidth="1"/>
    <col min="3" max="3" width="13.6640625" style="438" customWidth="1"/>
    <col min="4" max="4" width="3.109375" style="438" customWidth="1"/>
    <col min="5" max="5" width="6.109375" style="495" customWidth="1"/>
    <col min="6" max="6" width="8.5546875" style="438" customWidth="1"/>
    <col min="7" max="7" width="12.6640625" style="512" customWidth="1"/>
    <col min="8" max="8" width="26.6640625" style="497" customWidth="1"/>
    <col min="9" max="10" width="3.33203125" style="1" customWidth="1"/>
    <col min="11" max="11" width="3.33203125" style="764" customWidth="1"/>
    <col min="12" max="14" width="3.33203125" style="1" customWidth="1"/>
    <col min="15" max="15" width="20" style="498" customWidth="1"/>
    <col min="16" max="16384" width="9.109375" style="1"/>
  </cols>
  <sheetData>
    <row r="1" spans="1:16" ht="18" x14ac:dyDescent="0.35">
      <c r="A1" s="2842" t="s">
        <v>0</v>
      </c>
      <c r="B1" s="2842"/>
      <c r="C1" s="2842"/>
      <c r="D1" s="2842"/>
      <c r="E1" s="2842"/>
      <c r="F1" s="2842"/>
      <c r="G1" s="2842"/>
      <c r="H1" s="2843"/>
      <c r="I1" s="2842"/>
      <c r="J1" s="2842"/>
      <c r="K1" s="2842"/>
      <c r="L1" s="2842"/>
      <c r="M1" s="2842"/>
      <c r="N1" s="2842"/>
      <c r="O1" s="2842"/>
    </row>
    <row r="2" spans="1:16" ht="18" x14ac:dyDescent="0.35">
      <c r="A2" s="2842" t="s">
        <v>1</v>
      </c>
      <c r="B2" s="2842"/>
      <c r="C2" s="2842"/>
      <c r="D2" s="2842"/>
      <c r="E2" s="2842"/>
      <c r="F2" s="2842"/>
      <c r="G2" s="2842"/>
      <c r="H2" s="2843"/>
      <c r="I2" s="2842"/>
      <c r="J2" s="2842"/>
      <c r="K2" s="2842"/>
      <c r="L2" s="2842"/>
      <c r="M2" s="2842"/>
      <c r="N2" s="2842"/>
      <c r="O2" s="2842"/>
    </row>
    <row r="3" spans="1:16" ht="18" customHeight="1" x14ac:dyDescent="0.3">
      <c r="A3" s="2861" t="s">
        <v>623</v>
      </c>
      <c r="B3" s="2861"/>
      <c r="C3" s="3"/>
      <c r="D3" s="3"/>
      <c r="E3" s="5"/>
      <c r="F3" s="7"/>
      <c r="G3" s="3"/>
      <c r="H3" s="3"/>
      <c r="I3" s="3"/>
      <c r="J3" s="3"/>
      <c r="K3" s="3"/>
      <c r="L3" s="3"/>
      <c r="M3" s="7"/>
      <c r="O3" s="1"/>
    </row>
    <row r="4" spans="1:16" s="10" customFormat="1" ht="18.75" customHeight="1" x14ac:dyDescent="0.3">
      <c r="A4" s="2844" t="s">
        <v>3</v>
      </c>
      <c r="B4" s="2846" t="s">
        <v>4</v>
      </c>
      <c r="C4" s="2848" t="s">
        <v>5</v>
      </c>
      <c r="D4" s="2849"/>
      <c r="E4" s="2850"/>
      <c r="F4" s="8" t="s">
        <v>6</v>
      </c>
      <c r="G4" s="2854" t="s">
        <v>7</v>
      </c>
      <c r="H4" s="2856" t="s">
        <v>8</v>
      </c>
      <c r="I4" s="2858" t="s">
        <v>9</v>
      </c>
      <c r="J4" s="2859"/>
      <c r="K4" s="2859"/>
      <c r="L4" s="2859"/>
      <c r="M4" s="2859"/>
      <c r="N4" s="2860"/>
      <c r="O4" s="9" t="s">
        <v>10</v>
      </c>
    </row>
    <row r="5" spans="1:16" s="10" customFormat="1" ht="42" customHeight="1" x14ac:dyDescent="0.3">
      <c r="A5" s="2845"/>
      <c r="B5" s="2847"/>
      <c r="C5" s="2851"/>
      <c r="D5" s="2852"/>
      <c r="E5" s="2853"/>
      <c r="F5" s="11" t="s">
        <v>11</v>
      </c>
      <c r="G5" s="2855"/>
      <c r="H5" s="2857"/>
      <c r="I5" s="14" t="s">
        <v>12</v>
      </c>
      <c r="J5" s="14" t="s">
        <v>13</v>
      </c>
      <c r="K5" s="15" t="s">
        <v>14</v>
      </c>
      <c r="L5" s="15" t="s">
        <v>15</v>
      </c>
      <c r="M5" s="15" t="s">
        <v>16</v>
      </c>
      <c r="N5" s="15" t="s">
        <v>17</v>
      </c>
      <c r="O5" s="13"/>
    </row>
    <row r="6" spans="1:16" ht="18" customHeight="1" x14ac:dyDescent="0.3">
      <c r="A6" s="2657" t="s">
        <v>803</v>
      </c>
      <c r="B6" s="516" t="s">
        <v>804</v>
      </c>
      <c r="C6" s="517"/>
      <c r="D6" s="2660"/>
      <c r="E6" s="2661"/>
      <c r="F6" s="589"/>
      <c r="G6" s="590"/>
      <c r="H6" s="521"/>
      <c r="I6" s="590"/>
      <c r="J6" s="521"/>
      <c r="K6" s="521"/>
      <c r="L6" s="591"/>
      <c r="M6" s="2659"/>
      <c r="N6" s="2333"/>
      <c r="O6" s="2333"/>
      <c r="P6" s="2662"/>
    </row>
    <row r="7" spans="1:16" x14ac:dyDescent="0.3">
      <c r="A7" s="293">
        <v>1</v>
      </c>
      <c r="B7" s="645" t="s">
        <v>805</v>
      </c>
      <c r="C7" s="348" t="s">
        <v>806</v>
      </c>
      <c r="F7" s="350" t="s">
        <v>807</v>
      </c>
      <c r="G7" s="351">
        <v>17900</v>
      </c>
      <c r="H7" s="1718" t="s">
        <v>215</v>
      </c>
      <c r="I7" s="352"/>
      <c r="J7" s="353"/>
      <c r="K7" s="352"/>
      <c r="L7" s="353"/>
      <c r="M7" s="353"/>
      <c r="N7" s="353"/>
      <c r="O7" s="2656" t="s">
        <v>6395</v>
      </c>
      <c r="P7" s="2662"/>
    </row>
    <row r="8" spans="1:16" x14ac:dyDescent="0.3">
      <c r="A8" s="247">
        <v>2</v>
      </c>
      <c r="B8" s="313" t="s">
        <v>812</v>
      </c>
      <c r="C8" s="216" t="s">
        <v>813</v>
      </c>
      <c r="F8" s="218" t="s">
        <v>814</v>
      </c>
      <c r="G8" s="192">
        <v>27800</v>
      </c>
      <c r="H8" s="1731" t="s">
        <v>41</v>
      </c>
      <c r="I8" s="34"/>
      <c r="J8" s="34"/>
      <c r="K8" s="147"/>
      <c r="L8" s="147"/>
      <c r="M8" s="147"/>
      <c r="N8" s="2233" t="s">
        <v>25</v>
      </c>
      <c r="O8" s="2628" t="s">
        <v>6395</v>
      </c>
    </row>
    <row r="9" spans="1:16" x14ac:dyDescent="0.3">
      <c r="A9" s="104">
        <v>3</v>
      </c>
      <c r="B9" s="313" t="s">
        <v>815</v>
      </c>
      <c r="C9" s="216" t="s">
        <v>816</v>
      </c>
      <c r="F9" s="218" t="s">
        <v>814</v>
      </c>
      <c r="G9" s="192">
        <v>27800</v>
      </c>
      <c r="H9" s="1731" t="s">
        <v>41</v>
      </c>
      <c r="I9" s="34"/>
      <c r="J9" s="34"/>
      <c r="K9" s="147"/>
      <c r="L9" s="147"/>
      <c r="M9" s="147"/>
      <c r="N9" s="2233" t="s">
        <v>25</v>
      </c>
      <c r="O9" s="2628" t="s">
        <v>6395</v>
      </c>
    </row>
    <row r="10" spans="1:16" ht="17.399999999999999" x14ac:dyDescent="0.45">
      <c r="F10" s="1213"/>
      <c r="G10" s="2751">
        <f>SUM(G7:G9)</f>
        <v>73500</v>
      </c>
      <c r="H10" s="1215"/>
    </row>
    <row r="11" spans="1:16" x14ac:dyDescent="0.3">
      <c r="A11" s="2861" t="s">
        <v>921</v>
      </c>
      <c r="B11" s="2861"/>
      <c r="C11" s="4"/>
      <c r="D11" s="4"/>
      <c r="E11" s="4"/>
      <c r="F11" s="4"/>
      <c r="G11" s="5"/>
      <c r="H11" s="7"/>
      <c r="I11" s="3"/>
      <c r="J11" s="3"/>
      <c r="K11" s="3"/>
      <c r="L11" s="3"/>
      <c r="M11" s="3"/>
      <c r="N11" s="3"/>
      <c r="O11" s="7"/>
    </row>
    <row r="12" spans="1:16" ht="19.5" customHeight="1" x14ac:dyDescent="0.3">
      <c r="A12" s="2650">
        <v>633</v>
      </c>
      <c r="B12" s="815" t="s">
        <v>1122</v>
      </c>
      <c r="C12" s="826"/>
      <c r="D12" s="826"/>
      <c r="E12" s="826"/>
      <c r="F12" s="826"/>
      <c r="G12" s="826"/>
      <c r="H12" s="827"/>
      <c r="I12" s="779"/>
      <c r="J12" s="779"/>
      <c r="K12" s="828"/>
      <c r="L12" s="828"/>
      <c r="M12" s="779"/>
      <c r="N12" s="829"/>
      <c r="O12" s="830"/>
    </row>
    <row r="13" spans="1:16" ht="19.5" customHeight="1" x14ac:dyDescent="0.3">
      <c r="A13" s="1614">
        <v>1</v>
      </c>
      <c r="B13" s="836" t="s">
        <v>1129</v>
      </c>
      <c r="C13" s="831" t="s">
        <v>1124</v>
      </c>
      <c r="D13" s="832">
        <v>55</v>
      </c>
      <c r="E13" s="833" t="s">
        <v>600</v>
      </c>
      <c r="F13" s="218" t="s">
        <v>1130</v>
      </c>
      <c r="G13" s="837">
        <v>1600000</v>
      </c>
      <c r="H13" s="835" t="s">
        <v>537</v>
      </c>
      <c r="I13" s="352"/>
      <c r="J13" s="119"/>
      <c r="K13" s="119"/>
      <c r="L13" s="119"/>
      <c r="M13" s="119"/>
      <c r="N13" s="1270" t="s">
        <v>25</v>
      </c>
      <c r="O13" s="2628" t="s">
        <v>6395</v>
      </c>
    </row>
    <row r="14" spans="1:16" ht="17.399999999999999" x14ac:dyDescent="0.45">
      <c r="G14" s="2751">
        <f>SUM(G13:G13)</f>
        <v>1600000</v>
      </c>
      <c r="H14" s="1215"/>
    </row>
    <row r="15" spans="1:16" ht="13.5" customHeight="1" x14ac:dyDescent="0.3">
      <c r="A15" s="2861" t="s">
        <v>4622</v>
      </c>
      <c r="B15" s="2861"/>
      <c r="C15" s="3"/>
      <c r="D15" s="3"/>
      <c r="E15" s="3"/>
      <c r="F15" s="1061"/>
      <c r="G15" s="5"/>
      <c r="H15" s="7"/>
      <c r="I15" s="3"/>
      <c r="J15" s="3"/>
      <c r="K15" s="3"/>
      <c r="L15" s="3"/>
      <c r="M15" s="3"/>
      <c r="N15" s="3"/>
      <c r="O15" s="7"/>
    </row>
    <row r="16" spans="1:16" x14ac:dyDescent="0.3">
      <c r="A16" s="112">
        <v>1</v>
      </c>
      <c r="B16" s="1607" t="s">
        <v>4634</v>
      </c>
      <c r="C16" s="2951" t="s">
        <v>4635</v>
      </c>
      <c r="D16" s="2952"/>
      <c r="E16" s="3014"/>
      <c r="F16" s="1602" t="s">
        <v>4630</v>
      </c>
      <c r="G16" s="2811">
        <v>0</v>
      </c>
      <c r="H16" s="1608" t="s">
        <v>811</v>
      </c>
      <c r="I16" s="104" t="s">
        <v>25</v>
      </c>
      <c r="J16" s="104"/>
      <c r="K16" s="104"/>
      <c r="L16" s="104"/>
      <c r="M16" s="104"/>
      <c r="N16" s="104"/>
      <c r="O16" s="2628" t="s">
        <v>6395</v>
      </c>
    </row>
    <row r="17" spans="1:15" ht="17.399999999999999" x14ac:dyDescent="0.3">
      <c r="G17" s="2812">
        <f>SUM(G16:G16)</f>
        <v>0</v>
      </c>
      <c r="H17" s="1215"/>
    </row>
    <row r="20" spans="1:15" s="1947" customFormat="1" ht="18" customHeight="1" x14ac:dyDescent="0.35">
      <c r="A20" s="1992"/>
      <c r="B20" s="502" t="s">
        <v>601</v>
      </c>
      <c r="C20" s="502"/>
      <c r="D20" s="502"/>
      <c r="E20" s="503"/>
      <c r="F20" s="502"/>
      <c r="G20" s="504" t="s">
        <v>602</v>
      </c>
      <c r="H20" s="497"/>
      <c r="I20" s="505"/>
      <c r="J20" s="505" t="s">
        <v>603</v>
      </c>
      <c r="K20" s="505"/>
      <c r="L20" s="505"/>
      <c r="M20" s="1997"/>
      <c r="O20" s="1998"/>
    </row>
    <row r="21" spans="1:15" s="1947" customFormat="1" ht="18" customHeight="1" x14ac:dyDescent="0.35">
      <c r="A21" s="1992"/>
      <c r="B21" s="507" t="s">
        <v>604</v>
      </c>
      <c r="C21" s="508"/>
      <c r="D21" s="502"/>
      <c r="E21" s="503"/>
      <c r="F21" s="502"/>
      <c r="G21" s="504"/>
      <c r="H21" s="509" t="s">
        <v>605</v>
      </c>
      <c r="I21" s="1"/>
      <c r="J21" s="505"/>
      <c r="K21" s="505"/>
      <c r="L21" s="505"/>
      <c r="M21" s="1997"/>
      <c r="O21" s="1998"/>
    </row>
    <row r="22" spans="1:15" s="1947" customFormat="1" ht="18" customHeight="1" x14ac:dyDescent="0.35">
      <c r="A22" s="1992"/>
      <c r="B22" s="507" t="s">
        <v>606</v>
      </c>
      <c r="C22" s="508"/>
      <c r="D22" s="502"/>
      <c r="E22" s="503"/>
      <c r="F22" s="502"/>
      <c r="G22" s="504"/>
      <c r="H22" s="509" t="s">
        <v>607</v>
      </c>
      <c r="I22" s="1"/>
      <c r="J22" s="505"/>
      <c r="K22" s="505"/>
      <c r="L22" s="505"/>
      <c r="M22" s="1997"/>
      <c r="O22" s="1998"/>
    </row>
    <row r="23" spans="1:15" s="1947" customFormat="1" ht="18" customHeight="1" x14ac:dyDescent="0.35">
      <c r="A23" s="1992"/>
      <c r="B23" s="502"/>
      <c r="C23" s="502"/>
      <c r="D23" s="502"/>
      <c r="E23" s="503"/>
      <c r="F23" s="502"/>
      <c r="G23" s="510"/>
      <c r="H23" s="497"/>
      <c r="I23" s="505"/>
      <c r="J23" s="505"/>
      <c r="K23" s="505"/>
      <c r="L23" s="505"/>
      <c r="M23" s="1997"/>
      <c r="O23" s="1998"/>
    </row>
    <row r="24" spans="1:15" s="1947" customFormat="1" ht="18" customHeight="1" x14ac:dyDescent="0.35">
      <c r="A24" s="1992"/>
      <c r="B24" s="502" t="s">
        <v>1153</v>
      </c>
      <c r="C24" s="502"/>
      <c r="D24" s="502"/>
      <c r="E24" s="503"/>
      <c r="F24" s="502"/>
      <c r="G24" s="504"/>
      <c r="H24" s="497"/>
      <c r="I24" s="505"/>
      <c r="J24" s="505"/>
      <c r="K24" s="505"/>
      <c r="L24" s="505"/>
      <c r="M24" s="1997"/>
      <c r="O24" s="1998"/>
    </row>
    <row r="25" spans="1:15" s="1947" customFormat="1" ht="18" customHeight="1" x14ac:dyDescent="0.35">
      <c r="A25" s="1992"/>
      <c r="B25" s="507" t="s">
        <v>609</v>
      </c>
      <c r="C25" s="508"/>
      <c r="D25" s="502"/>
      <c r="E25" s="503"/>
      <c r="F25" s="502"/>
      <c r="G25" s="504"/>
      <c r="H25" s="506"/>
      <c r="I25" s="1"/>
      <c r="J25" s="505"/>
      <c r="K25" s="505"/>
      <c r="L25" s="505"/>
      <c r="M25" s="1997"/>
      <c r="O25" s="1998"/>
    </row>
    <row r="26" spans="1:15" s="1947" customFormat="1" ht="18" customHeight="1" x14ac:dyDescent="0.35">
      <c r="A26" s="1992"/>
      <c r="B26" s="507" t="s">
        <v>610</v>
      </c>
      <c r="C26" s="508"/>
      <c r="D26" s="502"/>
      <c r="E26" s="503"/>
      <c r="F26" s="502"/>
      <c r="G26" s="504"/>
      <c r="H26" s="506"/>
      <c r="I26" s="1"/>
      <c r="J26" s="505"/>
      <c r="K26" s="505"/>
      <c r="L26" s="505"/>
      <c r="M26" s="1997"/>
      <c r="O26" s="1998"/>
    </row>
    <row r="27" spans="1:15" s="1947" customFormat="1" ht="18" customHeight="1" x14ac:dyDescent="0.35">
      <c r="A27" s="1992"/>
      <c r="B27" s="1999"/>
      <c r="C27" s="2225"/>
      <c r="D27" s="1997"/>
      <c r="E27" s="1999"/>
      <c r="F27" s="1997"/>
      <c r="G27" s="2001"/>
      <c r="H27" s="1999"/>
      <c r="J27" s="1997"/>
      <c r="K27" s="1997"/>
      <c r="L27" s="1997"/>
      <c r="M27" s="1997"/>
      <c r="O27" s="1998"/>
    </row>
  </sheetData>
  <mergeCells count="12">
    <mergeCell ref="A1:O1"/>
    <mergeCell ref="A2:O2"/>
    <mergeCell ref="A15:B15"/>
    <mergeCell ref="C16:E16"/>
    <mergeCell ref="I4:N4"/>
    <mergeCell ref="A11:B11"/>
    <mergeCell ref="A3:B3"/>
    <mergeCell ref="A4:A5"/>
    <mergeCell ref="B4:B5"/>
    <mergeCell ref="C4:E5"/>
    <mergeCell ref="G4:G5"/>
    <mergeCell ref="H4:H5"/>
  </mergeCells>
  <pageMargins left="0.7" right="0.7" top="0.75" bottom="0.75" header="0.3" footer="0.3"/>
  <pageSetup paperSize="9" scale="8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20</vt:i4>
      </vt:variant>
      <vt:variant>
        <vt:lpstr>ช่วงที่มีชื่อ</vt:lpstr>
      </vt:variant>
      <vt:variant>
        <vt:i4>21</vt:i4>
      </vt:variant>
    </vt:vector>
  </HeadingPairs>
  <TitlesOfParts>
    <vt:vector size="41" baseType="lpstr">
      <vt:lpstr>รวมงบทรัพย์สินทั้งหมด</vt:lpstr>
      <vt:lpstr>1.ครุภัณฑ์สำนักงาน (รวมทุกงาน)</vt:lpstr>
      <vt:lpstr>2.ครุภัณฑ์ยานพาหนะฯ (รวมทุกงาน)</vt:lpstr>
      <vt:lpstr>3. ครุภัณฑ์การเกษตร(รวมทุกงาน)</vt:lpstr>
      <vt:lpstr>4.ครุภัณฑ์ก่อสร้าง</vt:lpstr>
      <vt:lpstr>5. ครุภัณฑ์ไฟฟ้าฯ</vt:lpstr>
      <vt:lpstr>6. ครุภัณฑ์โฆษณาและเผยแพร่</vt:lpstr>
      <vt:lpstr>7.ครุภัณฑ์วิทยาศาสตร์ฯ</vt:lpstr>
      <vt:lpstr>8.ครุภัณฑ์งานบ้านฯ</vt:lpstr>
      <vt:lpstr>9.ครุภัณฑ์โรงงาน</vt:lpstr>
      <vt:lpstr>10.ครุภัณฑ์กีฬา</vt:lpstr>
      <vt:lpstr>11.ครุภัณฑ์สำรวจ</vt:lpstr>
      <vt:lpstr>12.ครุภัณฑ์คอมฯ</vt:lpstr>
      <vt:lpstr>13.ครุภัณฑ์อื่น</vt:lpstr>
      <vt:lpstr>14.ครุภัณฑ์ต่ำกว่าเกณฑ์</vt:lpstr>
      <vt:lpstr>15.ครุภัณฑ์ไม่แสดงในงบ</vt:lpstr>
      <vt:lpstr>16.ที่ดินและสิ่งก่อสร้าง</vt:lpstr>
      <vt:lpstr>ชำรุด_จำหน่าย 67</vt:lpstr>
      <vt:lpstr>เสื่อมสภาพ_จำหน่าย 67</vt:lpstr>
      <vt:lpstr>อื่นๆ_จำหน่าย 67</vt:lpstr>
      <vt:lpstr>'1.ครุภัณฑ์สำนักงาน (รวมทุกงาน)'!Print_Area</vt:lpstr>
      <vt:lpstr>'16.ที่ดินและสิ่งก่อสร้าง'!Print_Area</vt:lpstr>
      <vt:lpstr>'2.ครุภัณฑ์ยานพาหนะฯ (รวมทุกงาน)'!Print_Area</vt:lpstr>
      <vt:lpstr>'3. ครุภัณฑ์การเกษตร(รวมทุกงาน)'!Print_Area</vt:lpstr>
      <vt:lpstr>'4.ครุภัณฑ์ก่อสร้าง'!Print_Area</vt:lpstr>
      <vt:lpstr>'ชำรุด_จำหน่าย 67'!Print_Area</vt:lpstr>
      <vt:lpstr>'เสื่อมสภาพ_จำหน่าย 67'!Print_Area</vt:lpstr>
      <vt:lpstr>'อื่นๆ_จำหน่าย 67'!Print_Area</vt:lpstr>
      <vt:lpstr>'1.ครุภัณฑ์สำนักงาน (รวมทุกงาน)'!Print_Titles</vt:lpstr>
      <vt:lpstr>'10.ครุภัณฑ์กีฬา'!Print_Titles</vt:lpstr>
      <vt:lpstr>'12.ครุภัณฑ์คอมฯ'!Print_Titles</vt:lpstr>
      <vt:lpstr>'2.ครุภัณฑ์ยานพาหนะฯ (รวมทุกงาน)'!Print_Titles</vt:lpstr>
      <vt:lpstr>'3. ครุภัณฑ์การเกษตร(รวมทุกงาน)'!Print_Titles</vt:lpstr>
      <vt:lpstr>'4.ครุภัณฑ์ก่อสร้าง'!Print_Titles</vt:lpstr>
      <vt:lpstr>'5. ครุภัณฑ์ไฟฟ้าฯ'!Print_Titles</vt:lpstr>
      <vt:lpstr>'6. ครุภัณฑ์โฆษณาและเผยแพร่'!Print_Titles</vt:lpstr>
      <vt:lpstr>'8.ครุภัณฑ์งานบ้านฯ'!Print_Titles</vt:lpstr>
      <vt:lpstr>'9.ครุภัณฑ์โรงงาน'!Print_Titles</vt:lpstr>
      <vt:lpstr>'ชำรุด_จำหน่าย 67'!Print_Titles</vt:lpstr>
      <vt:lpstr>รวมงบทรัพย์สินทั้งหมด!Print_Titles</vt:lpstr>
      <vt:lpstr>'เสื่อมสภาพ_จำหน่าย 67'!Print_Titles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ThinkCentre</dc:creator>
  <cp:lastModifiedBy>Lampangcity039</cp:lastModifiedBy>
  <cp:lastPrinted>2025-02-04T09:01:14Z</cp:lastPrinted>
  <dcterms:created xsi:type="dcterms:W3CDTF">2024-11-06T03:30:12Z</dcterms:created>
  <dcterms:modified xsi:type="dcterms:W3CDTF">2025-06-24T04:46:50Z</dcterms:modified>
</cp:coreProperties>
</file>